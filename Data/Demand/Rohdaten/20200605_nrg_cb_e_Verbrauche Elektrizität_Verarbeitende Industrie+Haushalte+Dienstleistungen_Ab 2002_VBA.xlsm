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\\192.168.50.2\Daten\Projekte\intern\GOO\02_Analysen &amp; Recherchen\01_Recherche Alex\04 Nachfrage\Rohdaten\"/>
    </mc:Choice>
  </mc:AlternateContent>
  <bookViews>
    <workbookView xWindow="0" yWindow="0" windowWidth="28800" windowHeight="10800" activeTab="4"/>
  </bookViews>
  <sheets>
    <sheet name="Aggregierte Daten" sheetId="3" r:id="rId1"/>
    <sheet name="Data" sheetId="1" r:id="rId2"/>
    <sheet name="nrg_cb_e" sheetId="5" r:id="rId3"/>
    <sheet name="GoO Issuance 2016-2018" sheetId="8" r:id="rId4"/>
    <sheet name="Industriesektor GWh" sheetId="4" r:id="rId5"/>
    <sheet name="Sonstige Sektoren GWh" sheetId="6" r:id="rId6"/>
    <sheet name="Aufsummierung der Sektoren" sheetId="7" r:id="rId7"/>
  </sheets>
  <definedNames>
    <definedName name="_xlnm._FilterDatabase" localSheetId="4" hidden="1">'Industriesektor GWh'!$A$1:$I$7906</definedName>
  </definedNames>
  <calcPr calcId="162913" calcMode="manual"/>
  <pivotCaches>
    <pivotCache cacheId="0" r:id="rId8"/>
    <pivotCache cacheId="1" r:id="rId9"/>
    <pivotCache cacheId="2" r:id="rId10"/>
  </pivotCaches>
</workbook>
</file>

<file path=xl/calcChain.xml><?xml version="1.0" encoding="utf-8"?>
<calcChain xmlns="http://schemas.openxmlformats.org/spreadsheetml/2006/main">
  <c r="S16" i="7" l="1"/>
  <c r="Q26" i="7"/>
  <c r="Q28" i="7"/>
  <c r="R28" i="7"/>
  <c r="S28" i="7"/>
  <c r="D9" i="7"/>
  <c r="E9" i="7"/>
  <c r="F9" i="7"/>
  <c r="D10" i="7" a="1"/>
  <c r="D10" i="7" s="1"/>
  <c r="Q9" i="7" s="1"/>
  <c r="E10" i="7" a="1"/>
  <c r="E10" i="7" s="1"/>
  <c r="R9" i="7" s="1"/>
  <c r="F10" i="7" a="1"/>
  <c r="F10" i="7" s="1"/>
  <c r="S9" i="7" s="1"/>
  <c r="D11" i="7" a="1"/>
  <c r="D11" i="7" s="1"/>
  <c r="E11" i="7" a="1"/>
  <c r="E11" i="7" s="1"/>
  <c r="F11" i="7" a="1"/>
  <c r="F11" i="7" s="1"/>
  <c r="D12" i="7"/>
  <c r="E12" i="7"/>
  <c r="F12" i="7"/>
  <c r="D13" i="7" a="1"/>
  <c r="D13" i="7"/>
  <c r="Q13" i="7" s="1"/>
  <c r="E13" i="7" a="1"/>
  <c r="E13" i="7"/>
  <c r="R13" i="7" s="1"/>
  <c r="F13" i="7" a="1"/>
  <c r="F13" i="7"/>
  <c r="D14" i="7" a="1"/>
  <c r="D14" i="7" s="1"/>
  <c r="E14" i="7" a="1"/>
  <c r="E14" i="7"/>
  <c r="F14" i="7" a="1"/>
  <c r="F14" i="7" s="1"/>
  <c r="D15" i="7"/>
  <c r="E15" i="7"/>
  <c r="F15" i="7"/>
  <c r="D16" i="7" a="1"/>
  <c r="D16" i="7" s="1"/>
  <c r="Q10" i="7" s="1"/>
  <c r="E16" i="7" a="1"/>
  <c r="E16" i="7" s="1"/>
  <c r="F16" i="7" a="1"/>
  <c r="F16" i="7" s="1"/>
  <c r="S10" i="7" s="1"/>
  <c r="D17" i="7" a="1"/>
  <c r="D17" i="7" s="1"/>
  <c r="E17" i="7" a="1"/>
  <c r="E17" i="7" s="1"/>
  <c r="F17" i="7" a="1"/>
  <c r="F17" i="7" s="1"/>
  <c r="D18" i="7"/>
  <c r="E18" i="7"/>
  <c r="F18" i="7"/>
  <c r="D19" i="7" a="1"/>
  <c r="D19" i="7"/>
  <c r="E19" i="7" a="1"/>
  <c r="E19" i="7" s="1"/>
  <c r="R11" i="7" s="1"/>
  <c r="F19" i="7" a="1"/>
  <c r="F19" i="7" s="1"/>
  <c r="S11" i="7" s="1"/>
  <c r="D20" i="7" a="1"/>
  <c r="D20" i="7" s="1"/>
  <c r="E20" i="7" a="1"/>
  <c r="E20" i="7" s="1"/>
  <c r="F20" i="7" a="1"/>
  <c r="F20" i="7" s="1"/>
  <c r="D21" i="7"/>
  <c r="E21" i="7"/>
  <c r="R12" i="7" s="1"/>
  <c r="F21" i="7"/>
  <c r="D22" i="7" a="1"/>
  <c r="D22" i="7" s="1"/>
  <c r="E22" i="7" a="1"/>
  <c r="E22" i="7" s="1"/>
  <c r="F22" i="7" a="1"/>
  <c r="F22" i="7" s="1"/>
  <c r="D23" i="7" a="1"/>
  <c r="D23" i="7" s="1"/>
  <c r="E23" i="7" a="1"/>
  <c r="E23" i="7" s="1"/>
  <c r="F23" i="7" a="1"/>
  <c r="F23" i="7" s="1"/>
  <c r="D24" i="7"/>
  <c r="Q14" i="7" s="1"/>
  <c r="E24" i="7"/>
  <c r="F24" i="7"/>
  <c r="D25" i="7" a="1"/>
  <c r="D25" i="7" s="1"/>
  <c r="E25" i="7" a="1"/>
  <c r="E25" i="7" s="1"/>
  <c r="F25" i="7" a="1"/>
  <c r="F25" i="7" s="1"/>
  <c r="S14" i="7" s="1"/>
  <c r="D26" i="7" a="1"/>
  <c r="D26" i="7" s="1"/>
  <c r="E26" i="7" a="1"/>
  <c r="E26" i="7" s="1"/>
  <c r="F26" i="7" a="1"/>
  <c r="F26" i="7" s="1"/>
  <c r="D27" i="7"/>
  <c r="E27" i="7"/>
  <c r="F27" i="7"/>
  <c r="D28" i="7" a="1"/>
  <c r="D28" i="7" s="1"/>
  <c r="E28" i="7" a="1"/>
  <c r="E28" i="7" s="1"/>
  <c r="R16" i="7" s="1"/>
  <c r="F28" i="7" a="1"/>
  <c r="F28" i="7" s="1"/>
  <c r="D29" i="7" a="1"/>
  <c r="D29" i="7" s="1"/>
  <c r="E29" i="7" a="1"/>
  <c r="E29" i="7" s="1"/>
  <c r="F29" i="7" a="1"/>
  <c r="F29" i="7" s="1"/>
  <c r="D30" i="7"/>
  <c r="E30" i="7"/>
  <c r="R15" i="7" s="1"/>
  <c r="F30" i="7"/>
  <c r="D31" i="7" a="1"/>
  <c r="D31" i="7" s="1"/>
  <c r="Q15" i="7" s="1"/>
  <c r="E31" i="7" a="1"/>
  <c r="E31" i="7" s="1"/>
  <c r="F31" i="7" a="1"/>
  <c r="F31" i="7" s="1"/>
  <c r="S15" i="7" s="1"/>
  <c r="D32" i="7" a="1"/>
  <c r="D32" i="7" s="1"/>
  <c r="E32" i="7" a="1"/>
  <c r="E32" i="7" s="1"/>
  <c r="F32" i="7" a="1"/>
  <c r="F32" i="7" s="1"/>
  <c r="D33" i="7"/>
  <c r="E33" i="7"/>
  <c r="F33" i="7"/>
  <c r="D34" i="7" a="1"/>
  <c r="D34" i="7" s="1"/>
  <c r="E34" i="7" a="1"/>
  <c r="E34" i="7" s="1"/>
  <c r="R17" i="7" s="1"/>
  <c r="F34" i="7" a="1"/>
  <c r="F34" i="7" s="1"/>
  <c r="D35" i="7" a="1"/>
  <c r="D35" i="7" s="1"/>
  <c r="E35" i="7" a="1"/>
  <c r="E35" i="7" s="1"/>
  <c r="F35" i="7" a="1"/>
  <c r="F35" i="7" s="1"/>
  <c r="D36" i="7"/>
  <c r="E36" i="7"/>
  <c r="F36" i="7"/>
  <c r="D37" i="7" a="1"/>
  <c r="D37" i="7" s="1"/>
  <c r="Q6" i="7" s="1"/>
  <c r="E37" i="7" a="1"/>
  <c r="E37" i="7" s="1"/>
  <c r="F37" i="7" a="1"/>
  <c r="F37" i="7" s="1"/>
  <c r="S6" i="7" s="1"/>
  <c r="D38" i="7" a="1"/>
  <c r="D38" i="7" s="1"/>
  <c r="E38" i="7" a="1"/>
  <c r="E38" i="7" s="1"/>
  <c r="F38" i="7" a="1"/>
  <c r="F38" i="7" s="1"/>
  <c r="D39" i="7"/>
  <c r="E39" i="7"/>
  <c r="F39" i="7"/>
  <c r="D40" i="7" a="1"/>
  <c r="D40" i="7" s="1"/>
  <c r="E40" i="7" a="1"/>
  <c r="E40" i="7" s="1"/>
  <c r="F40" i="7" a="1"/>
  <c r="F40" i="7" s="1"/>
  <c r="D41" i="7" a="1"/>
  <c r="D41" i="7" s="1"/>
  <c r="E41" i="7" a="1"/>
  <c r="E41" i="7" s="1"/>
  <c r="F41" i="7" a="1"/>
  <c r="F41" i="7" s="1"/>
  <c r="D42" i="7"/>
  <c r="E42" i="7"/>
  <c r="F42" i="7"/>
  <c r="D43" i="7" a="1"/>
  <c r="D43" i="7" s="1"/>
  <c r="E43" i="7" a="1"/>
  <c r="E43" i="7" s="1"/>
  <c r="F43" i="7" a="1"/>
  <c r="F43" i="7" s="1"/>
  <c r="S18" i="7" s="1"/>
  <c r="D44" i="7" a="1"/>
  <c r="D44" i="7" s="1"/>
  <c r="Q18" i="7" s="1"/>
  <c r="E44" i="7" a="1"/>
  <c r="E44" i="7" s="1"/>
  <c r="F44" i="7" a="1"/>
  <c r="F44" i="7" s="1"/>
  <c r="D45" i="7"/>
  <c r="E45" i="7"/>
  <c r="R19" i="7" s="1"/>
  <c r="F45" i="7"/>
  <c r="D46" i="7" a="1"/>
  <c r="D46" i="7" s="1"/>
  <c r="E46" i="7" a="1"/>
  <c r="E46" i="7" s="1"/>
  <c r="F46" i="7" a="1"/>
  <c r="F46" i="7" s="1"/>
  <c r="D47" i="7" a="1"/>
  <c r="D47" i="7" s="1"/>
  <c r="E47" i="7" a="1"/>
  <c r="E47" i="7" s="1"/>
  <c r="F47" i="7" a="1"/>
  <c r="F47" i="7" s="1"/>
  <c r="D48" i="7"/>
  <c r="E48" i="7"/>
  <c r="F48" i="7"/>
  <c r="D49" i="7" a="1"/>
  <c r="D49" i="7" s="1"/>
  <c r="E49" i="7" a="1"/>
  <c r="E49" i="7" s="1"/>
  <c r="F49" i="7" a="1"/>
  <c r="F49" i="7" s="1"/>
  <c r="D50" i="7" a="1"/>
  <c r="D50" i="7" s="1"/>
  <c r="E50" i="7" a="1"/>
  <c r="E50" i="7" s="1"/>
  <c r="F50" i="7" a="1"/>
  <c r="F50" i="7" s="1"/>
  <c r="D51" i="7"/>
  <c r="E51" i="7"/>
  <c r="F51" i="7"/>
  <c r="S20" i="7" s="1"/>
  <c r="D52" i="7" a="1"/>
  <c r="D52" i="7" s="1"/>
  <c r="E52" i="7" a="1"/>
  <c r="E52" i="7" s="1"/>
  <c r="R20" i="7" s="1"/>
  <c r="F52" i="7" a="1"/>
  <c r="F52" i="7" s="1"/>
  <c r="D53" i="7" a="1"/>
  <c r="D53" i="7" s="1"/>
  <c r="E53" i="7" a="1"/>
  <c r="E53" i="7" s="1"/>
  <c r="F53" i="7" a="1"/>
  <c r="F53" i="7" s="1"/>
  <c r="D54" i="7"/>
  <c r="E54" i="7"/>
  <c r="F54" i="7"/>
  <c r="D55" i="7" a="1"/>
  <c r="D55" i="7" s="1"/>
  <c r="Q21" i="7" s="1"/>
  <c r="E55" i="7" a="1"/>
  <c r="E55" i="7" s="1"/>
  <c r="R21" i="7" s="1"/>
  <c r="F55" i="7" a="1"/>
  <c r="F55" i="7" s="1"/>
  <c r="D56" i="7" a="1"/>
  <c r="D56" i="7" s="1"/>
  <c r="E56" i="7" a="1"/>
  <c r="E56" i="7" s="1"/>
  <c r="F56" i="7" a="1"/>
  <c r="F56" i="7" s="1"/>
  <c r="D57" i="7"/>
  <c r="E57" i="7"/>
  <c r="F57" i="7"/>
  <c r="D58" i="7" a="1"/>
  <c r="D58" i="7" s="1"/>
  <c r="E58" i="7" a="1"/>
  <c r="E58" i="7" s="1"/>
  <c r="R4" i="7" s="1"/>
  <c r="R30" i="7" s="1"/>
  <c r="F58" i="7" a="1"/>
  <c r="F58" i="7" s="1"/>
  <c r="D59" i="7" a="1"/>
  <c r="D59" i="7" s="1"/>
  <c r="E59" i="7" a="1"/>
  <c r="E59" i="7" s="1"/>
  <c r="F59" i="7" a="1"/>
  <c r="F59" i="7" s="1"/>
  <c r="D60" i="7"/>
  <c r="E60" i="7"/>
  <c r="F60" i="7"/>
  <c r="D61" i="7" a="1"/>
  <c r="D61" i="7" s="1"/>
  <c r="E61" i="7" a="1"/>
  <c r="E61" i="7" s="1"/>
  <c r="F61" i="7" a="1"/>
  <c r="F61" i="7" s="1"/>
  <c r="D62" i="7" a="1"/>
  <c r="D62" i="7" s="1"/>
  <c r="E62" i="7" a="1"/>
  <c r="E62" i="7" s="1"/>
  <c r="F62" i="7" a="1"/>
  <c r="F62" i="7" s="1"/>
  <c r="D63" i="7"/>
  <c r="E63" i="7"/>
  <c r="F63" i="7"/>
  <c r="D64" i="7" a="1"/>
  <c r="D64" i="7" s="1"/>
  <c r="E64" i="7" a="1"/>
  <c r="E64" i="7" s="1"/>
  <c r="R22" i="7" s="1"/>
  <c r="F64" i="7" a="1"/>
  <c r="F64" i="7" s="1"/>
  <c r="S22" i="7" s="1"/>
  <c r="D65" i="7" a="1"/>
  <c r="D65" i="7" s="1"/>
  <c r="E65" i="7" a="1"/>
  <c r="E65" i="7" s="1"/>
  <c r="F65" i="7" a="1"/>
  <c r="F65" i="7" s="1"/>
  <c r="D66" i="7"/>
  <c r="E66" i="7"/>
  <c r="F66" i="7"/>
  <c r="D67" i="7" a="1"/>
  <c r="D67" i="7" s="1"/>
  <c r="E67" i="7" a="1"/>
  <c r="E67" i="7" s="1"/>
  <c r="F67" i="7" a="1"/>
  <c r="F67" i="7" s="1"/>
  <c r="D68" i="7" a="1"/>
  <c r="D68" i="7" s="1"/>
  <c r="E68" i="7" a="1"/>
  <c r="E68" i="7" s="1"/>
  <c r="F68" i="7" a="1"/>
  <c r="F68" i="7" s="1"/>
  <c r="D69" i="7"/>
  <c r="E69" i="7"/>
  <c r="R27" i="7" s="1"/>
  <c r="F69" i="7"/>
  <c r="D70" i="7" a="1"/>
  <c r="D70" i="7" s="1"/>
  <c r="Q27" i="7" s="1"/>
  <c r="E70" i="7" a="1"/>
  <c r="E70" i="7" s="1"/>
  <c r="F70" i="7" a="1"/>
  <c r="F70" i="7" s="1"/>
  <c r="D71" i="7" a="1"/>
  <c r="D71" i="7" s="1"/>
  <c r="E71" i="7" a="1"/>
  <c r="E71" i="7" s="1"/>
  <c r="F71" i="7" a="1"/>
  <c r="F71" i="7" s="1"/>
  <c r="D72" i="7"/>
  <c r="E72" i="7"/>
  <c r="F72" i="7"/>
  <c r="D73" i="7" a="1"/>
  <c r="D73" i="7" s="1"/>
  <c r="E73" i="7" a="1"/>
  <c r="E73" i="7" s="1"/>
  <c r="F73" i="7" a="1"/>
  <c r="F73" i="7" s="1"/>
  <c r="S23" i="7" s="1"/>
  <c r="D74" i="7" a="1"/>
  <c r="D74" i="7" s="1"/>
  <c r="E74" i="7" a="1"/>
  <c r="E74" i="7" s="1"/>
  <c r="F74" i="7" a="1"/>
  <c r="F74" i="7" s="1"/>
  <c r="D75" i="7"/>
  <c r="E75" i="7"/>
  <c r="F75" i="7"/>
  <c r="S24" i="7" s="1"/>
  <c r="D76" i="7" a="1"/>
  <c r="D76" i="7" s="1"/>
  <c r="E76" i="7" a="1"/>
  <c r="E76" i="7" s="1"/>
  <c r="R24" i="7" s="1"/>
  <c r="F76" i="7" a="1"/>
  <c r="F76" i="7" s="1"/>
  <c r="D77" i="7" a="1"/>
  <c r="D77" i="7" s="1"/>
  <c r="E77" i="7" a="1"/>
  <c r="E77" i="7" s="1"/>
  <c r="F77" i="7" a="1"/>
  <c r="F77" i="7" s="1"/>
  <c r="D78" i="7"/>
  <c r="E78" i="7"/>
  <c r="F78" i="7"/>
  <c r="D79" i="7" a="1"/>
  <c r="D79" i="7" s="1"/>
  <c r="Q25" i="7" s="1"/>
  <c r="E79" i="7" a="1"/>
  <c r="E79" i="7" s="1"/>
  <c r="R25" i="7" s="1"/>
  <c r="F79" i="7" a="1"/>
  <c r="F79" i="7" s="1"/>
  <c r="D80" i="7" a="1"/>
  <c r="D80" i="7" s="1"/>
  <c r="E80" i="7" a="1"/>
  <c r="E80" i="7" s="1"/>
  <c r="F80" i="7" a="1"/>
  <c r="F80" i="7" s="1"/>
  <c r="D81" i="7"/>
  <c r="E81" i="7"/>
  <c r="F81" i="7"/>
  <c r="D82" i="7" a="1"/>
  <c r="D82" i="7" s="1"/>
  <c r="E82" i="7" a="1"/>
  <c r="E82" i="7" s="1"/>
  <c r="F82" i="7" a="1"/>
  <c r="F82" i="7" s="1"/>
  <c r="D83" i="7" a="1"/>
  <c r="D83" i="7" s="1"/>
  <c r="E83" i="7" a="1"/>
  <c r="E83" i="7" s="1"/>
  <c r="F83" i="7" a="1"/>
  <c r="F83" i="7" s="1"/>
  <c r="D84" i="7"/>
  <c r="E84" i="7"/>
  <c r="F84" i="7"/>
  <c r="D85" i="7" a="1"/>
  <c r="D85" i="7" s="1"/>
  <c r="E85" i="7" a="1"/>
  <c r="E85" i="7" s="1"/>
  <c r="F85" i="7" a="1"/>
  <c r="F85" i="7" s="1"/>
  <c r="S8" i="7" s="1"/>
  <c r="D86" i="7" a="1"/>
  <c r="D86" i="7" s="1"/>
  <c r="E86" i="7" a="1"/>
  <c r="E86" i="7" s="1"/>
  <c r="F86" i="7" a="1"/>
  <c r="F86" i="7" s="1"/>
  <c r="D87" i="7"/>
  <c r="E87" i="7"/>
  <c r="F87" i="7"/>
  <c r="D88" i="7" a="1"/>
  <c r="D88" i="7" s="1"/>
  <c r="E88" i="7" a="1"/>
  <c r="E88" i="7" s="1"/>
  <c r="F88" i="7" a="1"/>
  <c r="F88" i="7" s="1"/>
  <c r="D89" i="7" a="1"/>
  <c r="D89" i="7" s="1"/>
  <c r="E89" i="7" a="1"/>
  <c r="E89" i="7" s="1"/>
  <c r="F89" i="7" a="1"/>
  <c r="F89" i="7" s="1"/>
  <c r="D90" i="7"/>
  <c r="E90" i="7"/>
  <c r="F90" i="7"/>
  <c r="D91" i="7" a="1"/>
  <c r="D91" i="7" s="1"/>
  <c r="Q29" i="7" s="1"/>
  <c r="E91" i="7" a="1"/>
  <c r="E91" i="7" s="1"/>
  <c r="R29" i="7" s="1"/>
  <c r="F91" i="7" a="1"/>
  <c r="F91" i="7" s="1"/>
  <c r="D92" i="7" a="1"/>
  <c r="D92" i="7" s="1"/>
  <c r="E92" i="7" a="1"/>
  <c r="E92" i="7" s="1"/>
  <c r="F92" i="7" a="1"/>
  <c r="F92" i="7" s="1"/>
  <c r="D93" i="7"/>
  <c r="E93" i="7"/>
  <c r="F93" i="7"/>
  <c r="D94" i="7" a="1"/>
  <c r="D94" i="7" s="1"/>
  <c r="Q7" i="7" s="1"/>
  <c r="E94" i="7" a="1"/>
  <c r="E94" i="7" s="1"/>
  <c r="R7" i="7" s="1"/>
  <c r="F94" i="7" a="1"/>
  <c r="F94" i="7" s="1"/>
  <c r="D95" i="7" a="1"/>
  <c r="D95" i="7" s="1"/>
  <c r="E95" i="7" a="1"/>
  <c r="E95" i="7" s="1"/>
  <c r="F95" i="7" a="1"/>
  <c r="F95" i="7" s="1"/>
  <c r="F8" i="7" a="1"/>
  <c r="F8" i="7" s="1"/>
  <c r="E8" i="7" a="1"/>
  <c r="E8" i="7" s="1"/>
  <c r="D8" i="7" a="1"/>
  <c r="D8" i="7" s="1"/>
  <c r="F7" i="7" a="1"/>
  <c r="F7" i="7" s="1"/>
  <c r="E7" i="7" a="1"/>
  <c r="E7" i="7" s="1"/>
  <c r="D7" i="7" a="1"/>
  <c r="D7" i="7" s="1"/>
  <c r="F6" i="7"/>
  <c r="E6" i="7"/>
  <c r="D6" i="7"/>
  <c r="F5" i="7" a="1"/>
  <c r="F5" i="7" s="1"/>
  <c r="E5" i="7" a="1"/>
  <c r="E5" i="7"/>
  <c r="D5" i="7" a="1"/>
  <c r="D5" i="7" s="1"/>
  <c r="F4" i="7" a="1"/>
  <c r="F4" i="7"/>
  <c r="E4" i="7" a="1"/>
  <c r="E4" i="7" s="1"/>
  <c r="D4" i="7" a="1"/>
  <c r="D4" i="7"/>
  <c r="Q5" i="7" s="1"/>
  <c r="E3" i="7"/>
  <c r="F3" i="7"/>
  <c r="D3" i="7"/>
  <c r="Q11" i="7" l="1"/>
  <c r="S7" i="7"/>
  <c r="R8" i="7"/>
  <c r="S26" i="7"/>
  <c r="Q24" i="7"/>
  <c r="R23" i="7"/>
  <c r="S27" i="7"/>
  <c r="Q22" i="7"/>
  <c r="S4" i="7"/>
  <c r="S30" i="7" s="1"/>
  <c r="Q20" i="7"/>
  <c r="S19" i="7"/>
  <c r="R6" i="7"/>
  <c r="S17" i="7"/>
  <c r="Q16" i="7"/>
  <c r="R14" i="7"/>
  <c r="S12" i="7"/>
  <c r="R10" i="7"/>
  <c r="R5" i="7"/>
  <c r="S29" i="7"/>
  <c r="Q8" i="7"/>
  <c r="R26" i="7"/>
  <c r="S25" i="7"/>
  <c r="Q23" i="7"/>
  <c r="S21" i="7"/>
  <c r="Q4" i="7"/>
  <c r="Q30" i="7" s="1"/>
  <c r="Q19" i="7"/>
  <c r="R18" i="7"/>
  <c r="Q17" i="7"/>
  <c r="Q12" i="7"/>
  <c r="S13" i="7"/>
  <c r="S5" i="7"/>
  <c r="I73" i="4"/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2" i="6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3840" i="4"/>
  <c r="F3841" i="4"/>
  <c r="F3842" i="4"/>
  <c r="F3843" i="4"/>
  <c r="F3844" i="4"/>
  <c r="F3845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3935" i="4"/>
  <c r="F3936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4108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4413" i="4"/>
  <c r="F4414" i="4"/>
  <c r="F4415" i="4"/>
  <c r="F4416" i="4"/>
  <c r="F4417" i="4"/>
  <c r="F4418" i="4"/>
  <c r="F4419" i="4"/>
  <c r="F4420" i="4"/>
  <c r="F4421" i="4"/>
  <c r="F4422" i="4"/>
  <c r="F4423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780" i="4"/>
  <c r="F4781" i="4"/>
  <c r="F4782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875" i="4"/>
  <c r="F4876" i="4"/>
  <c r="F4877" i="4"/>
  <c r="F4878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5001" i="4"/>
  <c r="F5002" i="4"/>
  <c r="F5003" i="4"/>
  <c r="F5004" i="4"/>
  <c r="F5005" i="4"/>
  <c r="F5006" i="4"/>
  <c r="F5007" i="4"/>
  <c r="F5008" i="4"/>
  <c r="F5009" i="4"/>
  <c r="F5010" i="4"/>
  <c r="F5011" i="4"/>
  <c r="F5012" i="4"/>
  <c r="F5013" i="4"/>
  <c r="F5014" i="4"/>
  <c r="F5015" i="4"/>
  <c r="F5016" i="4"/>
  <c r="F5017" i="4"/>
  <c r="F5018" i="4"/>
  <c r="F5019" i="4"/>
  <c r="F5020" i="4"/>
  <c r="F5021" i="4"/>
  <c r="F5022" i="4"/>
  <c r="F5023" i="4"/>
  <c r="F5024" i="4"/>
  <c r="F5025" i="4"/>
  <c r="F5026" i="4"/>
  <c r="F5027" i="4"/>
  <c r="F5028" i="4"/>
  <c r="F5029" i="4"/>
  <c r="F5030" i="4"/>
  <c r="F5031" i="4"/>
  <c r="F5032" i="4"/>
  <c r="F5033" i="4"/>
  <c r="F5034" i="4"/>
  <c r="F5035" i="4"/>
  <c r="F5036" i="4"/>
  <c r="F5037" i="4"/>
  <c r="F5038" i="4"/>
  <c r="F5039" i="4"/>
  <c r="F5040" i="4"/>
  <c r="F5041" i="4"/>
  <c r="F5042" i="4"/>
  <c r="F5043" i="4"/>
  <c r="F5044" i="4"/>
  <c r="F5045" i="4"/>
  <c r="F5046" i="4"/>
  <c r="F5047" i="4"/>
  <c r="F5048" i="4"/>
  <c r="F5049" i="4"/>
  <c r="F5050" i="4"/>
  <c r="F5051" i="4"/>
  <c r="F5052" i="4"/>
  <c r="F5053" i="4"/>
  <c r="F5054" i="4"/>
  <c r="F5055" i="4"/>
  <c r="F5056" i="4"/>
  <c r="F5057" i="4"/>
  <c r="F5058" i="4"/>
  <c r="F5059" i="4"/>
  <c r="F5060" i="4"/>
  <c r="F5061" i="4"/>
  <c r="F5062" i="4"/>
  <c r="F5063" i="4"/>
  <c r="F5064" i="4"/>
  <c r="F5065" i="4"/>
  <c r="F5066" i="4"/>
  <c r="F5067" i="4"/>
  <c r="F5068" i="4"/>
  <c r="F5069" i="4"/>
  <c r="F5070" i="4"/>
  <c r="F5071" i="4"/>
  <c r="F5072" i="4"/>
  <c r="F5073" i="4"/>
  <c r="F5074" i="4"/>
  <c r="F5075" i="4"/>
  <c r="F5076" i="4"/>
  <c r="F5077" i="4"/>
  <c r="F5078" i="4"/>
  <c r="F5079" i="4"/>
  <c r="F5080" i="4"/>
  <c r="F5081" i="4"/>
  <c r="F5082" i="4"/>
  <c r="F5083" i="4"/>
  <c r="F5084" i="4"/>
  <c r="F5085" i="4"/>
  <c r="F5086" i="4"/>
  <c r="F5087" i="4"/>
  <c r="F5088" i="4"/>
  <c r="F5089" i="4"/>
  <c r="F5090" i="4"/>
  <c r="F5091" i="4"/>
  <c r="F5092" i="4"/>
  <c r="F5093" i="4"/>
  <c r="F5094" i="4"/>
  <c r="F5095" i="4"/>
  <c r="F5096" i="4"/>
  <c r="F5097" i="4"/>
  <c r="F5098" i="4"/>
  <c r="F5099" i="4"/>
  <c r="F5100" i="4"/>
  <c r="F5101" i="4"/>
  <c r="F5102" i="4"/>
  <c r="F5103" i="4"/>
  <c r="F5104" i="4"/>
  <c r="F5105" i="4"/>
  <c r="F5106" i="4"/>
  <c r="F5107" i="4"/>
  <c r="F5108" i="4"/>
  <c r="F5109" i="4"/>
  <c r="F5110" i="4"/>
  <c r="F5111" i="4"/>
  <c r="F5112" i="4"/>
  <c r="F5113" i="4"/>
  <c r="F5114" i="4"/>
  <c r="F5115" i="4"/>
  <c r="F5116" i="4"/>
  <c r="F5117" i="4"/>
  <c r="F5118" i="4"/>
  <c r="F5119" i="4"/>
  <c r="F5120" i="4"/>
  <c r="F5121" i="4"/>
  <c r="F5122" i="4"/>
  <c r="F5123" i="4"/>
  <c r="F5124" i="4"/>
  <c r="F5125" i="4"/>
  <c r="F5126" i="4"/>
  <c r="F5127" i="4"/>
  <c r="F5128" i="4"/>
  <c r="F5129" i="4"/>
  <c r="F5130" i="4"/>
  <c r="F5131" i="4"/>
  <c r="F5132" i="4"/>
  <c r="F5133" i="4"/>
  <c r="F5134" i="4"/>
  <c r="F5135" i="4"/>
  <c r="F5136" i="4"/>
  <c r="F5137" i="4"/>
  <c r="F5138" i="4"/>
  <c r="F5139" i="4"/>
  <c r="F5140" i="4"/>
  <c r="F5141" i="4"/>
  <c r="F5142" i="4"/>
  <c r="F5143" i="4"/>
  <c r="F5144" i="4"/>
  <c r="F5145" i="4"/>
  <c r="F5146" i="4"/>
  <c r="F5147" i="4"/>
  <c r="F5148" i="4"/>
  <c r="F5149" i="4"/>
  <c r="F5150" i="4"/>
  <c r="F5151" i="4"/>
  <c r="F5152" i="4"/>
  <c r="F5153" i="4"/>
  <c r="F5154" i="4"/>
  <c r="F5155" i="4"/>
  <c r="F5156" i="4"/>
  <c r="F5157" i="4"/>
  <c r="F5158" i="4"/>
  <c r="F5159" i="4"/>
  <c r="F5160" i="4"/>
  <c r="F5161" i="4"/>
  <c r="F5162" i="4"/>
  <c r="F5163" i="4"/>
  <c r="F5164" i="4"/>
  <c r="F5165" i="4"/>
  <c r="F5166" i="4"/>
  <c r="F5167" i="4"/>
  <c r="F5168" i="4"/>
  <c r="F5169" i="4"/>
  <c r="F5170" i="4"/>
  <c r="F5171" i="4"/>
  <c r="F5172" i="4"/>
  <c r="F5173" i="4"/>
  <c r="F5174" i="4"/>
  <c r="F5175" i="4"/>
  <c r="F5176" i="4"/>
  <c r="F5177" i="4"/>
  <c r="F5178" i="4"/>
  <c r="F5179" i="4"/>
  <c r="F5180" i="4"/>
  <c r="F5181" i="4"/>
  <c r="F5182" i="4"/>
  <c r="F5183" i="4"/>
  <c r="F5184" i="4"/>
  <c r="F5185" i="4"/>
  <c r="F5186" i="4"/>
  <c r="F5187" i="4"/>
  <c r="F5188" i="4"/>
  <c r="F5189" i="4"/>
  <c r="F5190" i="4"/>
  <c r="F5191" i="4"/>
  <c r="F5192" i="4"/>
  <c r="F5193" i="4"/>
  <c r="F5194" i="4"/>
  <c r="F5195" i="4"/>
  <c r="F5196" i="4"/>
  <c r="F5197" i="4"/>
  <c r="F5198" i="4"/>
  <c r="F5199" i="4"/>
  <c r="F5200" i="4"/>
  <c r="F5201" i="4"/>
  <c r="F5202" i="4"/>
  <c r="F5203" i="4"/>
  <c r="F5204" i="4"/>
  <c r="F5205" i="4"/>
  <c r="F5206" i="4"/>
  <c r="F5207" i="4"/>
  <c r="F5208" i="4"/>
  <c r="F5209" i="4"/>
  <c r="F5210" i="4"/>
  <c r="F5211" i="4"/>
  <c r="F5212" i="4"/>
  <c r="F5213" i="4"/>
  <c r="F5214" i="4"/>
  <c r="F5215" i="4"/>
  <c r="F5216" i="4"/>
  <c r="F5217" i="4"/>
  <c r="F5218" i="4"/>
  <c r="F5219" i="4"/>
  <c r="F5220" i="4"/>
  <c r="F5221" i="4"/>
  <c r="F5222" i="4"/>
  <c r="F5223" i="4"/>
  <c r="F5224" i="4"/>
  <c r="F5225" i="4"/>
  <c r="F5226" i="4"/>
  <c r="F5227" i="4"/>
  <c r="F5228" i="4"/>
  <c r="F5229" i="4"/>
  <c r="F5230" i="4"/>
  <c r="F5231" i="4"/>
  <c r="F5232" i="4"/>
  <c r="F5233" i="4"/>
  <c r="F5234" i="4"/>
  <c r="F5235" i="4"/>
  <c r="F5236" i="4"/>
  <c r="F5237" i="4"/>
  <c r="F5238" i="4"/>
  <c r="F5239" i="4"/>
  <c r="F5240" i="4"/>
  <c r="F5241" i="4"/>
  <c r="F5242" i="4"/>
  <c r="F5243" i="4"/>
  <c r="F5244" i="4"/>
  <c r="F5245" i="4"/>
  <c r="F5246" i="4"/>
  <c r="F5247" i="4"/>
  <c r="F5248" i="4"/>
  <c r="F5249" i="4"/>
  <c r="F5250" i="4"/>
  <c r="F5251" i="4"/>
  <c r="F5252" i="4"/>
  <c r="F5253" i="4"/>
  <c r="F5254" i="4"/>
  <c r="F5255" i="4"/>
  <c r="F5256" i="4"/>
  <c r="F5257" i="4"/>
  <c r="F5258" i="4"/>
  <c r="F5259" i="4"/>
  <c r="F5260" i="4"/>
  <c r="F5261" i="4"/>
  <c r="F5262" i="4"/>
  <c r="F5263" i="4"/>
  <c r="F5264" i="4"/>
  <c r="F5265" i="4"/>
  <c r="F5266" i="4"/>
  <c r="F5267" i="4"/>
  <c r="F5268" i="4"/>
  <c r="F5269" i="4"/>
  <c r="F5270" i="4"/>
  <c r="F5271" i="4"/>
  <c r="F5272" i="4"/>
  <c r="F5273" i="4"/>
  <c r="F5274" i="4"/>
  <c r="F5275" i="4"/>
  <c r="F5276" i="4"/>
  <c r="F5277" i="4"/>
  <c r="F5278" i="4"/>
  <c r="F5279" i="4"/>
  <c r="F5280" i="4"/>
  <c r="F5281" i="4"/>
  <c r="F5282" i="4"/>
  <c r="F5283" i="4"/>
  <c r="F5284" i="4"/>
  <c r="F5285" i="4"/>
  <c r="F5286" i="4"/>
  <c r="F5287" i="4"/>
  <c r="F5288" i="4"/>
  <c r="F5289" i="4"/>
  <c r="F5290" i="4"/>
  <c r="F5291" i="4"/>
  <c r="F5292" i="4"/>
  <c r="F5293" i="4"/>
  <c r="F5294" i="4"/>
  <c r="F5295" i="4"/>
  <c r="F5296" i="4"/>
  <c r="F5297" i="4"/>
  <c r="F5298" i="4"/>
  <c r="F5299" i="4"/>
  <c r="F5300" i="4"/>
  <c r="F5301" i="4"/>
  <c r="F5302" i="4"/>
  <c r="F5303" i="4"/>
  <c r="F5304" i="4"/>
  <c r="F5305" i="4"/>
  <c r="F5306" i="4"/>
  <c r="F5307" i="4"/>
  <c r="F5308" i="4"/>
  <c r="F5309" i="4"/>
  <c r="F5310" i="4"/>
  <c r="F5311" i="4"/>
  <c r="F5312" i="4"/>
  <c r="F5313" i="4"/>
  <c r="F5314" i="4"/>
  <c r="F5315" i="4"/>
  <c r="F5316" i="4"/>
  <c r="F5317" i="4"/>
  <c r="F5318" i="4"/>
  <c r="F5319" i="4"/>
  <c r="F5320" i="4"/>
  <c r="F5321" i="4"/>
  <c r="F5322" i="4"/>
  <c r="F5323" i="4"/>
  <c r="F5324" i="4"/>
  <c r="F5325" i="4"/>
  <c r="F5326" i="4"/>
  <c r="F5327" i="4"/>
  <c r="F5328" i="4"/>
  <c r="F5329" i="4"/>
  <c r="F5330" i="4"/>
  <c r="F5331" i="4"/>
  <c r="F5332" i="4"/>
  <c r="F5333" i="4"/>
  <c r="F5334" i="4"/>
  <c r="F5335" i="4"/>
  <c r="F5336" i="4"/>
  <c r="F5337" i="4"/>
  <c r="F5338" i="4"/>
  <c r="F5339" i="4"/>
  <c r="F5340" i="4"/>
  <c r="F5341" i="4"/>
  <c r="F5342" i="4"/>
  <c r="F5343" i="4"/>
  <c r="F5344" i="4"/>
  <c r="F5345" i="4"/>
  <c r="F5346" i="4"/>
  <c r="F5347" i="4"/>
  <c r="F5348" i="4"/>
  <c r="F5349" i="4"/>
  <c r="F5350" i="4"/>
  <c r="F5351" i="4"/>
  <c r="F5352" i="4"/>
  <c r="F5353" i="4"/>
  <c r="F5354" i="4"/>
  <c r="F5355" i="4"/>
  <c r="F5356" i="4"/>
  <c r="F5357" i="4"/>
  <c r="F5358" i="4"/>
  <c r="F5359" i="4"/>
  <c r="F5360" i="4"/>
  <c r="F5361" i="4"/>
  <c r="F5362" i="4"/>
  <c r="F5363" i="4"/>
  <c r="F5364" i="4"/>
  <c r="F5365" i="4"/>
  <c r="F5366" i="4"/>
  <c r="F5367" i="4"/>
  <c r="F5368" i="4"/>
  <c r="F5369" i="4"/>
  <c r="F5370" i="4"/>
  <c r="F5371" i="4"/>
  <c r="F5372" i="4"/>
  <c r="F5373" i="4"/>
  <c r="F5374" i="4"/>
  <c r="F5375" i="4"/>
  <c r="F5376" i="4"/>
  <c r="F5377" i="4"/>
  <c r="F5378" i="4"/>
  <c r="F5379" i="4"/>
  <c r="F5380" i="4"/>
  <c r="F5381" i="4"/>
  <c r="F5382" i="4"/>
  <c r="F5383" i="4"/>
  <c r="F5384" i="4"/>
  <c r="F5385" i="4"/>
  <c r="F5386" i="4"/>
  <c r="F5387" i="4"/>
  <c r="F5388" i="4"/>
  <c r="F5389" i="4"/>
  <c r="F5390" i="4"/>
  <c r="F5391" i="4"/>
  <c r="F5392" i="4"/>
  <c r="F5393" i="4"/>
  <c r="F5394" i="4"/>
  <c r="F5395" i="4"/>
  <c r="F5396" i="4"/>
  <c r="F5397" i="4"/>
  <c r="F5398" i="4"/>
  <c r="F5399" i="4"/>
  <c r="F5400" i="4"/>
  <c r="F5401" i="4"/>
  <c r="F5402" i="4"/>
  <c r="F5403" i="4"/>
  <c r="F5404" i="4"/>
  <c r="F5405" i="4"/>
  <c r="F5406" i="4"/>
  <c r="F5407" i="4"/>
  <c r="F5408" i="4"/>
  <c r="F5409" i="4"/>
  <c r="F5410" i="4"/>
  <c r="F5411" i="4"/>
  <c r="F5412" i="4"/>
  <c r="F5413" i="4"/>
  <c r="F5414" i="4"/>
  <c r="F5415" i="4"/>
  <c r="F5416" i="4"/>
  <c r="F5417" i="4"/>
  <c r="F5418" i="4"/>
  <c r="F5419" i="4"/>
  <c r="F5420" i="4"/>
  <c r="F5421" i="4"/>
  <c r="F5422" i="4"/>
  <c r="F5423" i="4"/>
  <c r="F5424" i="4"/>
  <c r="F5425" i="4"/>
  <c r="F5426" i="4"/>
  <c r="F5427" i="4"/>
  <c r="F5428" i="4"/>
  <c r="F5429" i="4"/>
  <c r="F5430" i="4"/>
  <c r="F5431" i="4"/>
  <c r="F5432" i="4"/>
  <c r="F5433" i="4"/>
  <c r="F5434" i="4"/>
  <c r="F5435" i="4"/>
  <c r="F5436" i="4"/>
  <c r="F5437" i="4"/>
  <c r="F5438" i="4"/>
  <c r="F5439" i="4"/>
  <c r="F5440" i="4"/>
  <c r="F5441" i="4"/>
  <c r="F5442" i="4"/>
  <c r="F5443" i="4"/>
  <c r="F5444" i="4"/>
  <c r="F5445" i="4"/>
  <c r="F5446" i="4"/>
  <c r="F5447" i="4"/>
  <c r="F5448" i="4"/>
  <c r="F5449" i="4"/>
  <c r="F5450" i="4"/>
  <c r="F5451" i="4"/>
  <c r="F5452" i="4"/>
  <c r="F5453" i="4"/>
  <c r="F5454" i="4"/>
  <c r="F5455" i="4"/>
  <c r="F5456" i="4"/>
  <c r="F5457" i="4"/>
  <c r="F5458" i="4"/>
  <c r="F5459" i="4"/>
  <c r="F5460" i="4"/>
  <c r="F5461" i="4"/>
  <c r="F5462" i="4"/>
  <c r="F5463" i="4"/>
  <c r="F5464" i="4"/>
  <c r="F5465" i="4"/>
  <c r="F5466" i="4"/>
  <c r="F5467" i="4"/>
  <c r="F5468" i="4"/>
  <c r="F5469" i="4"/>
  <c r="F5470" i="4"/>
  <c r="F5471" i="4"/>
  <c r="F5472" i="4"/>
  <c r="F5473" i="4"/>
  <c r="F5474" i="4"/>
  <c r="F5475" i="4"/>
  <c r="F5476" i="4"/>
  <c r="F5477" i="4"/>
  <c r="F5478" i="4"/>
  <c r="F5479" i="4"/>
  <c r="F5480" i="4"/>
  <c r="F5481" i="4"/>
  <c r="F5482" i="4"/>
  <c r="F5483" i="4"/>
  <c r="F5484" i="4"/>
  <c r="F5485" i="4"/>
  <c r="F5486" i="4"/>
  <c r="F5487" i="4"/>
  <c r="F5488" i="4"/>
  <c r="F5489" i="4"/>
  <c r="F5490" i="4"/>
  <c r="F5491" i="4"/>
  <c r="F5492" i="4"/>
  <c r="F5493" i="4"/>
  <c r="F5494" i="4"/>
  <c r="F5495" i="4"/>
  <c r="F5496" i="4"/>
  <c r="F5497" i="4"/>
  <c r="F5498" i="4"/>
  <c r="F5499" i="4"/>
  <c r="F5500" i="4"/>
  <c r="F5501" i="4"/>
  <c r="F5502" i="4"/>
  <c r="F5503" i="4"/>
  <c r="F5504" i="4"/>
  <c r="F5505" i="4"/>
  <c r="F5506" i="4"/>
  <c r="F5507" i="4"/>
  <c r="F5508" i="4"/>
  <c r="F5509" i="4"/>
  <c r="F5510" i="4"/>
  <c r="F5511" i="4"/>
  <c r="F5512" i="4"/>
  <c r="F5513" i="4"/>
  <c r="F5514" i="4"/>
  <c r="F5515" i="4"/>
  <c r="F5516" i="4"/>
  <c r="F5517" i="4"/>
  <c r="F5518" i="4"/>
  <c r="F5519" i="4"/>
  <c r="F5520" i="4"/>
  <c r="F5521" i="4"/>
  <c r="F5522" i="4"/>
  <c r="F5523" i="4"/>
  <c r="F5524" i="4"/>
  <c r="F5525" i="4"/>
  <c r="F5526" i="4"/>
  <c r="F5527" i="4"/>
  <c r="F5528" i="4"/>
  <c r="F5529" i="4"/>
  <c r="F5530" i="4"/>
  <c r="F5531" i="4"/>
  <c r="F5532" i="4"/>
  <c r="F5533" i="4"/>
  <c r="F5534" i="4"/>
  <c r="F5535" i="4"/>
  <c r="F5536" i="4"/>
  <c r="F5537" i="4"/>
  <c r="F5538" i="4"/>
  <c r="F5539" i="4"/>
  <c r="F5540" i="4"/>
  <c r="F5541" i="4"/>
  <c r="F5542" i="4"/>
  <c r="F5543" i="4"/>
  <c r="F5544" i="4"/>
  <c r="F5545" i="4"/>
  <c r="F5546" i="4"/>
  <c r="F5547" i="4"/>
  <c r="F5548" i="4"/>
  <c r="F5549" i="4"/>
  <c r="F5550" i="4"/>
  <c r="F5551" i="4"/>
  <c r="F5552" i="4"/>
  <c r="F5553" i="4"/>
  <c r="F5554" i="4"/>
  <c r="F5555" i="4"/>
  <c r="F5556" i="4"/>
  <c r="F5557" i="4"/>
  <c r="F5558" i="4"/>
  <c r="F5559" i="4"/>
  <c r="F5560" i="4"/>
  <c r="F5561" i="4"/>
  <c r="F5562" i="4"/>
  <c r="F5563" i="4"/>
  <c r="F5564" i="4"/>
  <c r="F5565" i="4"/>
  <c r="F5566" i="4"/>
  <c r="F5567" i="4"/>
  <c r="F5568" i="4"/>
  <c r="F5569" i="4"/>
  <c r="F5570" i="4"/>
  <c r="F5571" i="4"/>
  <c r="F5572" i="4"/>
  <c r="F5573" i="4"/>
  <c r="F5574" i="4"/>
  <c r="F5575" i="4"/>
  <c r="F5576" i="4"/>
  <c r="F5577" i="4"/>
  <c r="F5578" i="4"/>
  <c r="F5579" i="4"/>
  <c r="F5580" i="4"/>
  <c r="F5581" i="4"/>
  <c r="F5582" i="4"/>
  <c r="F5583" i="4"/>
  <c r="F5584" i="4"/>
  <c r="F5585" i="4"/>
  <c r="F5586" i="4"/>
  <c r="F5587" i="4"/>
  <c r="F5588" i="4"/>
  <c r="F5589" i="4"/>
  <c r="F5590" i="4"/>
  <c r="F5591" i="4"/>
  <c r="F5592" i="4"/>
  <c r="F5593" i="4"/>
  <c r="F5594" i="4"/>
  <c r="F5595" i="4"/>
  <c r="F5596" i="4"/>
  <c r="F5597" i="4"/>
  <c r="F5598" i="4"/>
  <c r="F5599" i="4"/>
  <c r="F5600" i="4"/>
  <c r="F5601" i="4"/>
  <c r="F5602" i="4"/>
  <c r="F5603" i="4"/>
  <c r="F5604" i="4"/>
  <c r="F5605" i="4"/>
  <c r="F5606" i="4"/>
  <c r="F5607" i="4"/>
  <c r="F5608" i="4"/>
  <c r="F5609" i="4"/>
  <c r="F5610" i="4"/>
  <c r="F5611" i="4"/>
  <c r="F5612" i="4"/>
  <c r="F5613" i="4"/>
  <c r="F5614" i="4"/>
  <c r="F5615" i="4"/>
  <c r="F5616" i="4"/>
  <c r="F5617" i="4"/>
  <c r="F5618" i="4"/>
  <c r="F5619" i="4"/>
  <c r="F5620" i="4"/>
  <c r="F5621" i="4"/>
  <c r="F5622" i="4"/>
  <c r="F5623" i="4"/>
  <c r="F5624" i="4"/>
  <c r="F5625" i="4"/>
  <c r="F5626" i="4"/>
  <c r="F5627" i="4"/>
  <c r="F5628" i="4"/>
  <c r="F5629" i="4"/>
  <c r="F5630" i="4"/>
  <c r="F5631" i="4"/>
  <c r="F5632" i="4"/>
  <c r="F5633" i="4"/>
  <c r="F5634" i="4"/>
  <c r="F5635" i="4"/>
  <c r="F5636" i="4"/>
  <c r="F5637" i="4"/>
  <c r="F5638" i="4"/>
  <c r="F5639" i="4"/>
  <c r="F5640" i="4"/>
  <c r="F5641" i="4"/>
  <c r="F5642" i="4"/>
  <c r="F5643" i="4"/>
  <c r="F5644" i="4"/>
  <c r="F5645" i="4"/>
  <c r="F5646" i="4"/>
  <c r="F5647" i="4"/>
  <c r="F5648" i="4"/>
  <c r="F5649" i="4"/>
  <c r="F5650" i="4"/>
  <c r="F5651" i="4"/>
  <c r="F5652" i="4"/>
  <c r="F5653" i="4"/>
  <c r="F5654" i="4"/>
  <c r="F5655" i="4"/>
  <c r="F5656" i="4"/>
  <c r="F5657" i="4"/>
  <c r="F5658" i="4"/>
  <c r="F5659" i="4"/>
  <c r="F5660" i="4"/>
  <c r="F5661" i="4"/>
  <c r="F5662" i="4"/>
  <c r="F5663" i="4"/>
  <c r="F5664" i="4"/>
  <c r="F5665" i="4"/>
  <c r="F5666" i="4"/>
  <c r="F5667" i="4"/>
  <c r="F5668" i="4"/>
  <c r="F5669" i="4"/>
  <c r="F5670" i="4"/>
  <c r="F5671" i="4"/>
  <c r="F5672" i="4"/>
  <c r="F5673" i="4"/>
  <c r="F5674" i="4"/>
  <c r="F5675" i="4"/>
  <c r="F5676" i="4"/>
  <c r="F5677" i="4"/>
  <c r="F5678" i="4"/>
  <c r="F5679" i="4"/>
  <c r="F5680" i="4"/>
  <c r="F5681" i="4"/>
  <c r="F5682" i="4"/>
  <c r="F5683" i="4"/>
  <c r="F5684" i="4"/>
  <c r="F5685" i="4"/>
  <c r="F5686" i="4"/>
  <c r="F5687" i="4"/>
  <c r="F5688" i="4"/>
  <c r="F5689" i="4"/>
  <c r="F5690" i="4"/>
  <c r="F5691" i="4"/>
  <c r="F5692" i="4"/>
  <c r="F5693" i="4"/>
  <c r="F5694" i="4"/>
  <c r="F5695" i="4"/>
  <c r="F5696" i="4"/>
  <c r="F5697" i="4"/>
  <c r="F5698" i="4"/>
  <c r="F5699" i="4"/>
  <c r="F5700" i="4"/>
  <c r="F5701" i="4"/>
  <c r="F5702" i="4"/>
  <c r="F5703" i="4"/>
  <c r="F5704" i="4"/>
  <c r="F5705" i="4"/>
  <c r="F5706" i="4"/>
  <c r="F5707" i="4"/>
  <c r="F5708" i="4"/>
  <c r="F5709" i="4"/>
  <c r="F5710" i="4"/>
  <c r="F5711" i="4"/>
  <c r="F5712" i="4"/>
  <c r="F5713" i="4"/>
  <c r="F5714" i="4"/>
  <c r="F5715" i="4"/>
  <c r="F5716" i="4"/>
  <c r="F5717" i="4"/>
  <c r="F5718" i="4"/>
  <c r="F5719" i="4"/>
  <c r="F5720" i="4"/>
  <c r="F5721" i="4"/>
  <c r="F5722" i="4"/>
  <c r="F5723" i="4"/>
  <c r="F5724" i="4"/>
  <c r="F5725" i="4"/>
  <c r="F5726" i="4"/>
  <c r="F5727" i="4"/>
  <c r="F5728" i="4"/>
  <c r="F5729" i="4"/>
  <c r="F5730" i="4"/>
  <c r="F5731" i="4"/>
  <c r="F5732" i="4"/>
  <c r="F5733" i="4"/>
  <c r="F5734" i="4"/>
  <c r="F5735" i="4"/>
  <c r="F5736" i="4"/>
  <c r="F5737" i="4"/>
  <c r="F5738" i="4"/>
  <c r="F5739" i="4"/>
  <c r="F5740" i="4"/>
  <c r="F5741" i="4"/>
  <c r="F5742" i="4"/>
  <c r="F5743" i="4"/>
  <c r="F5744" i="4"/>
  <c r="F5745" i="4"/>
  <c r="F5746" i="4"/>
  <c r="F5747" i="4"/>
  <c r="F5748" i="4"/>
  <c r="F5749" i="4"/>
  <c r="F5750" i="4"/>
  <c r="F5751" i="4"/>
  <c r="F5752" i="4"/>
  <c r="F5753" i="4"/>
  <c r="F5754" i="4"/>
  <c r="F5755" i="4"/>
  <c r="F5756" i="4"/>
  <c r="F5757" i="4"/>
  <c r="F5758" i="4"/>
  <c r="F5759" i="4"/>
  <c r="F5760" i="4"/>
  <c r="F5761" i="4"/>
  <c r="F5762" i="4"/>
  <c r="F5763" i="4"/>
  <c r="F5764" i="4"/>
  <c r="F5765" i="4"/>
  <c r="F5766" i="4"/>
  <c r="F5767" i="4"/>
  <c r="F5768" i="4"/>
  <c r="F5769" i="4"/>
  <c r="F5770" i="4"/>
  <c r="F5771" i="4"/>
  <c r="F5772" i="4"/>
  <c r="F5773" i="4"/>
  <c r="F5774" i="4"/>
  <c r="F5775" i="4"/>
  <c r="F5776" i="4"/>
  <c r="F5777" i="4"/>
  <c r="F5778" i="4"/>
  <c r="F5779" i="4"/>
  <c r="F5780" i="4"/>
  <c r="F5781" i="4"/>
  <c r="F5782" i="4"/>
  <c r="F5783" i="4"/>
  <c r="F5784" i="4"/>
  <c r="F5785" i="4"/>
  <c r="F5786" i="4"/>
  <c r="F5787" i="4"/>
  <c r="F5788" i="4"/>
  <c r="F5789" i="4"/>
  <c r="F5790" i="4"/>
  <c r="F5791" i="4"/>
  <c r="F5792" i="4"/>
  <c r="F5793" i="4"/>
  <c r="F5794" i="4"/>
  <c r="F5795" i="4"/>
  <c r="F5796" i="4"/>
  <c r="F5797" i="4"/>
  <c r="F5798" i="4"/>
  <c r="F5799" i="4"/>
  <c r="F5800" i="4"/>
  <c r="F5801" i="4"/>
  <c r="F5802" i="4"/>
  <c r="F5803" i="4"/>
  <c r="F5804" i="4"/>
  <c r="F5805" i="4"/>
  <c r="F5806" i="4"/>
  <c r="F5807" i="4"/>
  <c r="F5808" i="4"/>
  <c r="F5809" i="4"/>
  <c r="F5810" i="4"/>
  <c r="F5811" i="4"/>
  <c r="F5812" i="4"/>
  <c r="F5813" i="4"/>
  <c r="F5814" i="4"/>
  <c r="F5815" i="4"/>
  <c r="F5816" i="4"/>
  <c r="F5817" i="4"/>
  <c r="F5818" i="4"/>
  <c r="F5819" i="4"/>
  <c r="F5820" i="4"/>
  <c r="F5821" i="4"/>
  <c r="F5822" i="4"/>
  <c r="F5823" i="4"/>
  <c r="F5824" i="4"/>
  <c r="F5825" i="4"/>
  <c r="F5826" i="4"/>
  <c r="F5827" i="4"/>
  <c r="F5828" i="4"/>
  <c r="F5829" i="4"/>
  <c r="F5830" i="4"/>
  <c r="F5831" i="4"/>
  <c r="F5832" i="4"/>
  <c r="F5833" i="4"/>
  <c r="F5834" i="4"/>
  <c r="F5835" i="4"/>
  <c r="F5836" i="4"/>
  <c r="F5837" i="4"/>
  <c r="F5838" i="4"/>
  <c r="F5839" i="4"/>
  <c r="F5840" i="4"/>
  <c r="F5841" i="4"/>
  <c r="F5842" i="4"/>
  <c r="F5843" i="4"/>
  <c r="F5844" i="4"/>
  <c r="F5845" i="4"/>
  <c r="F5846" i="4"/>
  <c r="F5847" i="4"/>
  <c r="F5848" i="4"/>
  <c r="F5849" i="4"/>
  <c r="F5850" i="4"/>
  <c r="F5851" i="4"/>
  <c r="F5852" i="4"/>
  <c r="F5853" i="4"/>
  <c r="F5854" i="4"/>
  <c r="F5855" i="4"/>
  <c r="F5856" i="4"/>
  <c r="F5857" i="4"/>
  <c r="F5858" i="4"/>
  <c r="F5859" i="4"/>
  <c r="F5860" i="4"/>
  <c r="F5861" i="4"/>
  <c r="F5862" i="4"/>
  <c r="F5863" i="4"/>
  <c r="F5864" i="4"/>
  <c r="F5865" i="4"/>
  <c r="F5866" i="4"/>
  <c r="F5867" i="4"/>
  <c r="F5868" i="4"/>
  <c r="F5869" i="4"/>
  <c r="F5870" i="4"/>
  <c r="F5871" i="4"/>
  <c r="F5872" i="4"/>
  <c r="F5873" i="4"/>
  <c r="F5874" i="4"/>
  <c r="F5875" i="4"/>
  <c r="F5876" i="4"/>
  <c r="F5877" i="4"/>
  <c r="F5878" i="4"/>
  <c r="F5879" i="4"/>
  <c r="F5880" i="4"/>
  <c r="F5881" i="4"/>
  <c r="F5882" i="4"/>
  <c r="F5883" i="4"/>
  <c r="F5884" i="4"/>
  <c r="F5885" i="4"/>
  <c r="F5886" i="4"/>
  <c r="F5887" i="4"/>
  <c r="F5888" i="4"/>
  <c r="F5889" i="4"/>
  <c r="F5890" i="4"/>
  <c r="F5891" i="4"/>
  <c r="F5892" i="4"/>
  <c r="F5893" i="4"/>
  <c r="F5894" i="4"/>
  <c r="F5895" i="4"/>
  <c r="F5896" i="4"/>
  <c r="F5897" i="4"/>
  <c r="F5898" i="4"/>
  <c r="F5899" i="4"/>
  <c r="F5900" i="4"/>
  <c r="F5901" i="4"/>
  <c r="F5902" i="4"/>
  <c r="F5903" i="4"/>
  <c r="F5904" i="4"/>
  <c r="F5905" i="4"/>
  <c r="F5906" i="4"/>
  <c r="F5907" i="4"/>
  <c r="F5908" i="4"/>
  <c r="F5909" i="4"/>
  <c r="F5910" i="4"/>
  <c r="F5911" i="4"/>
  <c r="F5912" i="4"/>
  <c r="F5913" i="4"/>
  <c r="F5914" i="4"/>
  <c r="F5915" i="4"/>
  <c r="F5916" i="4"/>
  <c r="F5917" i="4"/>
  <c r="F5918" i="4"/>
  <c r="F5919" i="4"/>
  <c r="F5920" i="4"/>
  <c r="F5921" i="4"/>
  <c r="F5922" i="4"/>
  <c r="F5923" i="4"/>
  <c r="F5924" i="4"/>
  <c r="F5925" i="4"/>
  <c r="F5926" i="4"/>
  <c r="F5927" i="4"/>
  <c r="F5928" i="4"/>
  <c r="F5929" i="4"/>
  <c r="F5930" i="4"/>
  <c r="F5931" i="4"/>
  <c r="F5932" i="4"/>
  <c r="F5933" i="4"/>
  <c r="F5934" i="4"/>
  <c r="F5935" i="4"/>
  <c r="F5936" i="4"/>
  <c r="F5937" i="4"/>
  <c r="F5938" i="4"/>
  <c r="F5939" i="4"/>
  <c r="F5940" i="4"/>
  <c r="F5941" i="4"/>
  <c r="F5942" i="4"/>
  <c r="F5943" i="4"/>
  <c r="F5944" i="4"/>
  <c r="F5945" i="4"/>
  <c r="F5946" i="4"/>
  <c r="F5947" i="4"/>
  <c r="F5948" i="4"/>
  <c r="F5949" i="4"/>
  <c r="F5950" i="4"/>
  <c r="F5951" i="4"/>
  <c r="F5952" i="4"/>
  <c r="F5953" i="4"/>
  <c r="F5954" i="4"/>
  <c r="F5955" i="4"/>
  <c r="F5956" i="4"/>
  <c r="F5957" i="4"/>
  <c r="F5958" i="4"/>
  <c r="F5959" i="4"/>
  <c r="F5960" i="4"/>
  <c r="F5961" i="4"/>
  <c r="F5962" i="4"/>
  <c r="F5963" i="4"/>
  <c r="F5964" i="4"/>
  <c r="F5965" i="4"/>
  <c r="F5966" i="4"/>
  <c r="F5967" i="4"/>
  <c r="F5968" i="4"/>
  <c r="F5969" i="4"/>
  <c r="F5970" i="4"/>
  <c r="F5971" i="4"/>
  <c r="F5972" i="4"/>
  <c r="F5973" i="4"/>
  <c r="F5974" i="4"/>
  <c r="F5975" i="4"/>
  <c r="F5976" i="4"/>
  <c r="F5977" i="4"/>
  <c r="F5978" i="4"/>
  <c r="F5979" i="4"/>
  <c r="F5980" i="4"/>
  <c r="F5981" i="4"/>
  <c r="F5982" i="4"/>
  <c r="F5983" i="4"/>
  <c r="F5984" i="4"/>
  <c r="F5985" i="4"/>
  <c r="F5986" i="4"/>
  <c r="F5987" i="4"/>
  <c r="F5988" i="4"/>
  <c r="F5989" i="4"/>
  <c r="F5990" i="4"/>
  <c r="F5991" i="4"/>
  <c r="F5992" i="4"/>
  <c r="F5993" i="4"/>
  <c r="F5994" i="4"/>
  <c r="F5995" i="4"/>
  <c r="F5996" i="4"/>
  <c r="F5997" i="4"/>
  <c r="F5998" i="4"/>
  <c r="F5999" i="4"/>
  <c r="F6000" i="4"/>
  <c r="F6001" i="4"/>
  <c r="F6002" i="4"/>
  <c r="F6003" i="4"/>
  <c r="F6004" i="4"/>
  <c r="F6005" i="4"/>
  <c r="F6006" i="4"/>
  <c r="F6007" i="4"/>
  <c r="F6008" i="4"/>
  <c r="F6009" i="4"/>
  <c r="F6010" i="4"/>
  <c r="F6011" i="4"/>
  <c r="F6012" i="4"/>
  <c r="F6013" i="4"/>
  <c r="F6014" i="4"/>
  <c r="F6015" i="4"/>
  <c r="F6016" i="4"/>
  <c r="F6017" i="4"/>
  <c r="F6018" i="4"/>
  <c r="F6019" i="4"/>
  <c r="F6020" i="4"/>
  <c r="F6021" i="4"/>
  <c r="F6022" i="4"/>
  <c r="F6023" i="4"/>
  <c r="F6024" i="4"/>
  <c r="F6025" i="4"/>
  <c r="F6026" i="4"/>
  <c r="F6027" i="4"/>
  <c r="F6028" i="4"/>
  <c r="F6029" i="4"/>
  <c r="F6030" i="4"/>
  <c r="F6031" i="4"/>
  <c r="F6032" i="4"/>
  <c r="F6033" i="4"/>
  <c r="F6034" i="4"/>
  <c r="F6035" i="4"/>
  <c r="F6036" i="4"/>
  <c r="F6037" i="4"/>
  <c r="F6038" i="4"/>
  <c r="F6039" i="4"/>
  <c r="F6040" i="4"/>
  <c r="F6041" i="4"/>
  <c r="F6042" i="4"/>
  <c r="F6043" i="4"/>
  <c r="F6044" i="4"/>
  <c r="F6045" i="4"/>
  <c r="F6046" i="4"/>
  <c r="F6047" i="4"/>
  <c r="F6048" i="4"/>
  <c r="F6049" i="4"/>
  <c r="F6050" i="4"/>
  <c r="F6051" i="4"/>
  <c r="F6052" i="4"/>
  <c r="F6053" i="4"/>
  <c r="F6054" i="4"/>
  <c r="F6055" i="4"/>
  <c r="F6056" i="4"/>
  <c r="F6057" i="4"/>
  <c r="F6058" i="4"/>
  <c r="F6059" i="4"/>
  <c r="F6060" i="4"/>
  <c r="F6061" i="4"/>
  <c r="F6062" i="4"/>
  <c r="F6063" i="4"/>
  <c r="F6064" i="4"/>
  <c r="F6065" i="4"/>
  <c r="F6066" i="4"/>
  <c r="F6067" i="4"/>
  <c r="F6068" i="4"/>
  <c r="F6069" i="4"/>
  <c r="F6070" i="4"/>
  <c r="F6071" i="4"/>
  <c r="F6072" i="4"/>
  <c r="F6073" i="4"/>
  <c r="F6074" i="4"/>
  <c r="F6075" i="4"/>
  <c r="F6076" i="4"/>
  <c r="F6077" i="4"/>
  <c r="F6078" i="4"/>
  <c r="F6079" i="4"/>
  <c r="F6080" i="4"/>
  <c r="F6081" i="4"/>
  <c r="F6082" i="4"/>
  <c r="F6083" i="4"/>
  <c r="F6084" i="4"/>
  <c r="F6085" i="4"/>
  <c r="F6086" i="4"/>
  <c r="F6087" i="4"/>
  <c r="F6088" i="4"/>
  <c r="F6089" i="4"/>
  <c r="F6090" i="4"/>
  <c r="F6091" i="4"/>
  <c r="F6092" i="4"/>
  <c r="F6093" i="4"/>
  <c r="F6094" i="4"/>
  <c r="F6095" i="4"/>
  <c r="F6096" i="4"/>
  <c r="F6097" i="4"/>
  <c r="F6098" i="4"/>
  <c r="F6099" i="4"/>
  <c r="F6100" i="4"/>
  <c r="F6101" i="4"/>
  <c r="F6102" i="4"/>
  <c r="F6103" i="4"/>
  <c r="F6104" i="4"/>
  <c r="F6105" i="4"/>
  <c r="F6106" i="4"/>
  <c r="F6107" i="4"/>
  <c r="F6108" i="4"/>
  <c r="F6109" i="4"/>
  <c r="F6110" i="4"/>
  <c r="F6111" i="4"/>
  <c r="F6112" i="4"/>
  <c r="F6113" i="4"/>
  <c r="F6114" i="4"/>
  <c r="F6115" i="4"/>
  <c r="F6116" i="4"/>
  <c r="F6117" i="4"/>
  <c r="F6118" i="4"/>
  <c r="F6119" i="4"/>
  <c r="F6120" i="4"/>
  <c r="F6121" i="4"/>
  <c r="F6122" i="4"/>
  <c r="F6123" i="4"/>
  <c r="F6124" i="4"/>
  <c r="F6125" i="4"/>
  <c r="F6126" i="4"/>
  <c r="F6127" i="4"/>
  <c r="F6128" i="4"/>
  <c r="F6129" i="4"/>
  <c r="F6130" i="4"/>
  <c r="F6131" i="4"/>
  <c r="F6132" i="4"/>
  <c r="F6133" i="4"/>
  <c r="F6134" i="4"/>
  <c r="F6135" i="4"/>
  <c r="F6136" i="4"/>
  <c r="F6137" i="4"/>
  <c r="F6138" i="4"/>
  <c r="F6139" i="4"/>
  <c r="F6140" i="4"/>
  <c r="F6141" i="4"/>
  <c r="F6142" i="4"/>
  <c r="F6143" i="4"/>
  <c r="F6144" i="4"/>
  <c r="F6145" i="4"/>
  <c r="F6146" i="4"/>
  <c r="F6147" i="4"/>
  <c r="F6148" i="4"/>
  <c r="F6149" i="4"/>
  <c r="F6150" i="4"/>
  <c r="F6151" i="4"/>
  <c r="F6152" i="4"/>
  <c r="F6153" i="4"/>
  <c r="F6154" i="4"/>
  <c r="F6155" i="4"/>
  <c r="F6156" i="4"/>
  <c r="F6157" i="4"/>
  <c r="F6158" i="4"/>
  <c r="F6159" i="4"/>
  <c r="F6160" i="4"/>
  <c r="F6161" i="4"/>
  <c r="F6162" i="4"/>
  <c r="F6163" i="4"/>
  <c r="F6164" i="4"/>
  <c r="F6165" i="4"/>
  <c r="F6166" i="4"/>
  <c r="F6167" i="4"/>
  <c r="F6168" i="4"/>
  <c r="F6169" i="4"/>
  <c r="F6170" i="4"/>
  <c r="F6171" i="4"/>
  <c r="F6172" i="4"/>
  <c r="F6173" i="4"/>
  <c r="F6174" i="4"/>
  <c r="F6175" i="4"/>
  <c r="F6176" i="4"/>
  <c r="F6177" i="4"/>
  <c r="F6178" i="4"/>
  <c r="F6179" i="4"/>
  <c r="F6180" i="4"/>
  <c r="F6181" i="4"/>
  <c r="F6182" i="4"/>
  <c r="F6183" i="4"/>
  <c r="F6184" i="4"/>
  <c r="F6185" i="4"/>
  <c r="F6186" i="4"/>
  <c r="F6187" i="4"/>
  <c r="F6188" i="4"/>
  <c r="F6189" i="4"/>
  <c r="F6190" i="4"/>
  <c r="F6191" i="4"/>
  <c r="F6192" i="4"/>
  <c r="F6193" i="4"/>
  <c r="F6194" i="4"/>
  <c r="F6195" i="4"/>
  <c r="F6196" i="4"/>
  <c r="F6197" i="4"/>
  <c r="F6198" i="4"/>
  <c r="F6199" i="4"/>
  <c r="F6200" i="4"/>
  <c r="F6201" i="4"/>
  <c r="F6202" i="4"/>
  <c r="F6203" i="4"/>
  <c r="F6204" i="4"/>
  <c r="F6205" i="4"/>
  <c r="F6206" i="4"/>
  <c r="F6207" i="4"/>
  <c r="F6208" i="4"/>
  <c r="F6209" i="4"/>
  <c r="F6210" i="4"/>
  <c r="F6211" i="4"/>
  <c r="F6212" i="4"/>
  <c r="F6213" i="4"/>
  <c r="F6214" i="4"/>
  <c r="F6215" i="4"/>
  <c r="F6216" i="4"/>
  <c r="F6217" i="4"/>
  <c r="F6218" i="4"/>
  <c r="F6219" i="4"/>
  <c r="F6220" i="4"/>
  <c r="F6221" i="4"/>
  <c r="F6222" i="4"/>
  <c r="F6223" i="4"/>
  <c r="F6224" i="4"/>
  <c r="F6225" i="4"/>
  <c r="F6226" i="4"/>
  <c r="F6227" i="4"/>
  <c r="F6228" i="4"/>
  <c r="F6229" i="4"/>
  <c r="F6230" i="4"/>
  <c r="F6231" i="4"/>
  <c r="F6232" i="4"/>
  <c r="F6233" i="4"/>
  <c r="F6234" i="4"/>
  <c r="F6235" i="4"/>
  <c r="F6236" i="4"/>
  <c r="F6237" i="4"/>
  <c r="F6238" i="4"/>
  <c r="F6239" i="4"/>
  <c r="F6240" i="4"/>
  <c r="F6241" i="4"/>
  <c r="F6242" i="4"/>
  <c r="F6243" i="4"/>
  <c r="F6244" i="4"/>
  <c r="F6245" i="4"/>
  <c r="F6246" i="4"/>
  <c r="F6247" i="4"/>
  <c r="F6248" i="4"/>
  <c r="F6249" i="4"/>
  <c r="F6250" i="4"/>
  <c r="F6251" i="4"/>
  <c r="F6252" i="4"/>
  <c r="F6253" i="4"/>
  <c r="F6254" i="4"/>
  <c r="F6255" i="4"/>
  <c r="F6256" i="4"/>
  <c r="F6257" i="4"/>
  <c r="F6258" i="4"/>
  <c r="F6259" i="4"/>
  <c r="F6260" i="4"/>
  <c r="F6261" i="4"/>
  <c r="F6262" i="4"/>
  <c r="F6263" i="4"/>
  <c r="F6264" i="4"/>
  <c r="F6265" i="4"/>
  <c r="F6266" i="4"/>
  <c r="F6267" i="4"/>
  <c r="F6268" i="4"/>
  <c r="F6269" i="4"/>
  <c r="F6270" i="4"/>
  <c r="F6271" i="4"/>
  <c r="F6272" i="4"/>
  <c r="F6273" i="4"/>
  <c r="F6274" i="4"/>
  <c r="F6275" i="4"/>
  <c r="F6276" i="4"/>
  <c r="F6277" i="4"/>
  <c r="F6278" i="4"/>
  <c r="F6279" i="4"/>
  <c r="F6280" i="4"/>
  <c r="F6281" i="4"/>
  <c r="F6282" i="4"/>
  <c r="F6283" i="4"/>
  <c r="F6284" i="4"/>
  <c r="F6285" i="4"/>
  <c r="F6286" i="4"/>
  <c r="F6287" i="4"/>
  <c r="F6288" i="4"/>
  <c r="F6289" i="4"/>
  <c r="F6290" i="4"/>
  <c r="F6291" i="4"/>
  <c r="F6292" i="4"/>
  <c r="F6293" i="4"/>
  <c r="F6294" i="4"/>
  <c r="F6295" i="4"/>
  <c r="F6296" i="4"/>
  <c r="F6297" i="4"/>
  <c r="F6298" i="4"/>
  <c r="F6299" i="4"/>
  <c r="F6300" i="4"/>
  <c r="F6301" i="4"/>
  <c r="F6302" i="4"/>
  <c r="F6303" i="4"/>
  <c r="F6304" i="4"/>
  <c r="F6305" i="4"/>
  <c r="F6306" i="4"/>
  <c r="F6307" i="4"/>
  <c r="F6308" i="4"/>
  <c r="F6309" i="4"/>
  <c r="F6310" i="4"/>
  <c r="F6311" i="4"/>
  <c r="F6312" i="4"/>
  <c r="F6313" i="4"/>
  <c r="F6314" i="4"/>
  <c r="F6315" i="4"/>
  <c r="F6316" i="4"/>
  <c r="F6317" i="4"/>
  <c r="F6318" i="4"/>
  <c r="F6319" i="4"/>
  <c r="F6320" i="4"/>
  <c r="F6321" i="4"/>
  <c r="F6322" i="4"/>
  <c r="F6323" i="4"/>
  <c r="F6324" i="4"/>
  <c r="F6325" i="4"/>
  <c r="F6326" i="4"/>
  <c r="F6327" i="4"/>
  <c r="F6328" i="4"/>
  <c r="F6329" i="4"/>
  <c r="F6330" i="4"/>
  <c r="F6331" i="4"/>
  <c r="F6332" i="4"/>
  <c r="F6333" i="4"/>
  <c r="F6334" i="4"/>
  <c r="F6335" i="4"/>
  <c r="F6336" i="4"/>
  <c r="F6337" i="4"/>
  <c r="F6338" i="4"/>
  <c r="F6339" i="4"/>
  <c r="F6340" i="4"/>
  <c r="F6341" i="4"/>
  <c r="F6342" i="4"/>
  <c r="F6343" i="4"/>
  <c r="F6344" i="4"/>
  <c r="F6345" i="4"/>
  <c r="F6346" i="4"/>
  <c r="F6347" i="4"/>
  <c r="F6348" i="4"/>
  <c r="F6349" i="4"/>
  <c r="F6350" i="4"/>
  <c r="F6351" i="4"/>
  <c r="F6352" i="4"/>
  <c r="F6353" i="4"/>
  <c r="F6354" i="4"/>
  <c r="F6355" i="4"/>
  <c r="F6356" i="4"/>
  <c r="F6357" i="4"/>
  <c r="F6358" i="4"/>
  <c r="F6359" i="4"/>
  <c r="F6360" i="4"/>
  <c r="F6361" i="4"/>
  <c r="F6362" i="4"/>
  <c r="F6363" i="4"/>
  <c r="F6364" i="4"/>
  <c r="F6365" i="4"/>
  <c r="F6366" i="4"/>
  <c r="F6367" i="4"/>
  <c r="F6368" i="4"/>
  <c r="F6369" i="4"/>
  <c r="F6370" i="4"/>
  <c r="F6371" i="4"/>
  <c r="F6372" i="4"/>
  <c r="F6373" i="4"/>
  <c r="F6374" i="4"/>
  <c r="F6375" i="4"/>
  <c r="F6376" i="4"/>
  <c r="F6377" i="4"/>
  <c r="F6378" i="4"/>
  <c r="F6379" i="4"/>
  <c r="F6380" i="4"/>
  <c r="F6381" i="4"/>
  <c r="F6382" i="4"/>
  <c r="F6383" i="4"/>
  <c r="F6384" i="4"/>
  <c r="F6385" i="4"/>
  <c r="F6386" i="4"/>
  <c r="F6387" i="4"/>
  <c r="F6388" i="4"/>
  <c r="F6389" i="4"/>
  <c r="F6390" i="4"/>
  <c r="F6391" i="4"/>
  <c r="F6392" i="4"/>
  <c r="F6393" i="4"/>
  <c r="F6394" i="4"/>
  <c r="F6395" i="4"/>
  <c r="F6396" i="4"/>
  <c r="F6397" i="4"/>
  <c r="F6398" i="4"/>
  <c r="F6399" i="4"/>
  <c r="F6400" i="4"/>
  <c r="F6401" i="4"/>
  <c r="F6402" i="4"/>
  <c r="F6403" i="4"/>
  <c r="F6404" i="4"/>
  <c r="F6405" i="4"/>
  <c r="F6406" i="4"/>
  <c r="F6407" i="4"/>
  <c r="F6408" i="4"/>
  <c r="F6409" i="4"/>
  <c r="F6410" i="4"/>
  <c r="F6411" i="4"/>
  <c r="F6412" i="4"/>
  <c r="F6413" i="4"/>
  <c r="F6414" i="4"/>
  <c r="F6415" i="4"/>
  <c r="F6416" i="4"/>
  <c r="F6417" i="4"/>
  <c r="F6418" i="4"/>
  <c r="F6419" i="4"/>
  <c r="F6420" i="4"/>
  <c r="F6421" i="4"/>
  <c r="F6422" i="4"/>
  <c r="F6423" i="4"/>
  <c r="F6424" i="4"/>
  <c r="F6425" i="4"/>
  <c r="F6426" i="4"/>
  <c r="F6427" i="4"/>
  <c r="F6428" i="4"/>
  <c r="F6429" i="4"/>
  <c r="F6430" i="4"/>
  <c r="F6431" i="4"/>
  <c r="F6432" i="4"/>
  <c r="F6433" i="4"/>
  <c r="F6434" i="4"/>
  <c r="F6435" i="4"/>
  <c r="F6436" i="4"/>
  <c r="F6437" i="4"/>
  <c r="F6438" i="4"/>
  <c r="F6439" i="4"/>
  <c r="F6440" i="4"/>
  <c r="F6441" i="4"/>
  <c r="F6442" i="4"/>
  <c r="F6443" i="4"/>
  <c r="F6444" i="4"/>
  <c r="F6445" i="4"/>
  <c r="F6446" i="4"/>
  <c r="F6447" i="4"/>
  <c r="F6448" i="4"/>
  <c r="F6449" i="4"/>
  <c r="F6450" i="4"/>
  <c r="F6451" i="4"/>
  <c r="F6452" i="4"/>
  <c r="F6453" i="4"/>
  <c r="F6454" i="4"/>
  <c r="F6455" i="4"/>
  <c r="F6456" i="4"/>
  <c r="F6457" i="4"/>
  <c r="F6458" i="4"/>
  <c r="F6459" i="4"/>
  <c r="F6460" i="4"/>
  <c r="F6461" i="4"/>
  <c r="F6462" i="4"/>
  <c r="F6463" i="4"/>
  <c r="F6464" i="4"/>
  <c r="F6465" i="4"/>
  <c r="F6466" i="4"/>
  <c r="F6467" i="4"/>
  <c r="F6468" i="4"/>
  <c r="F6469" i="4"/>
  <c r="F6470" i="4"/>
  <c r="F6471" i="4"/>
  <c r="F6472" i="4"/>
  <c r="F6473" i="4"/>
  <c r="F6474" i="4"/>
  <c r="F6475" i="4"/>
  <c r="F6476" i="4"/>
  <c r="F6477" i="4"/>
  <c r="F6478" i="4"/>
  <c r="F6479" i="4"/>
  <c r="F6480" i="4"/>
  <c r="F6481" i="4"/>
  <c r="F6482" i="4"/>
  <c r="F6483" i="4"/>
  <c r="F6484" i="4"/>
  <c r="F6485" i="4"/>
  <c r="F6486" i="4"/>
  <c r="F6487" i="4"/>
  <c r="F6488" i="4"/>
  <c r="F6489" i="4"/>
  <c r="F6490" i="4"/>
  <c r="F6491" i="4"/>
  <c r="F6492" i="4"/>
  <c r="F6493" i="4"/>
  <c r="F6494" i="4"/>
  <c r="F6495" i="4"/>
  <c r="F6496" i="4"/>
  <c r="F6497" i="4"/>
  <c r="F6498" i="4"/>
  <c r="F6499" i="4"/>
  <c r="F6500" i="4"/>
  <c r="F6501" i="4"/>
  <c r="F6502" i="4"/>
  <c r="F6503" i="4"/>
  <c r="F6504" i="4"/>
  <c r="F6505" i="4"/>
  <c r="F6506" i="4"/>
  <c r="F6507" i="4"/>
  <c r="F6508" i="4"/>
  <c r="F6509" i="4"/>
  <c r="F6510" i="4"/>
  <c r="F6511" i="4"/>
  <c r="F6512" i="4"/>
  <c r="F6513" i="4"/>
  <c r="F6514" i="4"/>
  <c r="F6515" i="4"/>
  <c r="F6516" i="4"/>
  <c r="F6517" i="4"/>
  <c r="F6518" i="4"/>
  <c r="F6519" i="4"/>
  <c r="F6520" i="4"/>
  <c r="F6521" i="4"/>
  <c r="F6522" i="4"/>
  <c r="F6523" i="4"/>
  <c r="F6524" i="4"/>
  <c r="F6525" i="4"/>
  <c r="F6526" i="4"/>
  <c r="F6527" i="4"/>
  <c r="F6528" i="4"/>
  <c r="F6529" i="4"/>
  <c r="F6530" i="4"/>
  <c r="F6531" i="4"/>
  <c r="F6532" i="4"/>
  <c r="F6533" i="4"/>
  <c r="F6534" i="4"/>
  <c r="F6535" i="4"/>
  <c r="F6536" i="4"/>
  <c r="F6537" i="4"/>
  <c r="F6538" i="4"/>
  <c r="F6539" i="4"/>
  <c r="F6540" i="4"/>
  <c r="F6541" i="4"/>
  <c r="F6542" i="4"/>
  <c r="F6543" i="4"/>
  <c r="F6544" i="4"/>
  <c r="F6545" i="4"/>
  <c r="F6546" i="4"/>
  <c r="F6547" i="4"/>
  <c r="F6548" i="4"/>
  <c r="F6549" i="4"/>
  <c r="F6550" i="4"/>
  <c r="F6551" i="4"/>
  <c r="F6552" i="4"/>
  <c r="F6553" i="4"/>
  <c r="F6554" i="4"/>
  <c r="F6555" i="4"/>
  <c r="F6556" i="4"/>
  <c r="F6557" i="4"/>
  <c r="F6558" i="4"/>
  <c r="F6559" i="4"/>
  <c r="F6560" i="4"/>
  <c r="F6561" i="4"/>
  <c r="F6562" i="4"/>
  <c r="F6563" i="4"/>
  <c r="F6564" i="4"/>
  <c r="F6565" i="4"/>
  <c r="F6566" i="4"/>
  <c r="F6567" i="4"/>
  <c r="F6568" i="4"/>
  <c r="F6569" i="4"/>
  <c r="F6570" i="4"/>
  <c r="F6571" i="4"/>
  <c r="F6572" i="4"/>
  <c r="F6573" i="4"/>
  <c r="F6574" i="4"/>
  <c r="F6575" i="4"/>
  <c r="F6576" i="4"/>
  <c r="F6577" i="4"/>
  <c r="F6578" i="4"/>
  <c r="F6579" i="4"/>
  <c r="F6580" i="4"/>
  <c r="F6581" i="4"/>
  <c r="F6582" i="4"/>
  <c r="F6583" i="4"/>
  <c r="F6584" i="4"/>
  <c r="F6585" i="4"/>
  <c r="F6586" i="4"/>
  <c r="F6587" i="4"/>
  <c r="F6588" i="4"/>
  <c r="F6589" i="4"/>
  <c r="F6590" i="4"/>
  <c r="F6591" i="4"/>
  <c r="F6592" i="4"/>
  <c r="F6593" i="4"/>
  <c r="F6594" i="4"/>
  <c r="F6595" i="4"/>
  <c r="F6596" i="4"/>
  <c r="F6597" i="4"/>
  <c r="F6598" i="4"/>
  <c r="F6599" i="4"/>
  <c r="F6600" i="4"/>
  <c r="F6601" i="4"/>
  <c r="F6602" i="4"/>
  <c r="F6603" i="4"/>
  <c r="F6604" i="4"/>
  <c r="F6605" i="4"/>
  <c r="F6606" i="4"/>
  <c r="F6607" i="4"/>
  <c r="F6608" i="4"/>
  <c r="F6609" i="4"/>
  <c r="F6610" i="4"/>
  <c r="F6611" i="4"/>
  <c r="F6612" i="4"/>
  <c r="F6613" i="4"/>
  <c r="F6614" i="4"/>
  <c r="F6615" i="4"/>
  <c r="F6616" i="4"/>
  <c r="F6617" i="4"/>
  <c r="F6618" i="4"/>
  <c r="F6619" i="4"/>
  <c r="F6620" i="4"/>
  <c r="F6621" i="4"/>
  <c r="F6622" i="4"/>
  <c r="F6623" i="4"/>
  <c r="F6624" i="4"/>
  <c r="F6625" i="4"/>
  <c r="F6626" i="4"/>
  <c r="F6627" i="4"/>
  <c r="F6628" i="4"/>
  <c r="F6629" i="4"/>
  <c r="F6630" i="4"/>
  <c r="F6631" i="4"/>
  <c r="F6632" i="4"/>
  <c r="F6633" i="4"/>
  <c r="F6634" i="4"/>
  <c r="F6635" i="4"/>
  <c r="F6636" i="4"/>
  <c r="F6637" i="4"/>
  <c r="F6638" i="4"/>
  <c r="F6639" i="4"/>
  <c r="F6640" i="4"/>
  <c r="F6641" i="4"/>
  <c r="F6642" i="4"/>
  <c r="F6643" i="4"/>
  <c r="F6644" i="4"/>
  <c r="F6645" i="4"/>
  <c r="F6646" i="4"/>
  <c r="F6647" i="4"/>
  <c r="F6648" i="4"/>
  <c r="F6649" i="4"/>
  <c r="F6650" i="4"/>
  <c r="F6651" i="4"/>
  <c r="F6652" i="4"/>
  <c r="F6653" i="4"/>
  <c r="F6654" i="4"/>
  <c r="F6655" i="4"/>
  <c r="F6656" i="4"/>
  <c r="F6657" i="4"/>
  <c r="F6658" i="4"/>
  <c r="F6659" i="4"/>
  <c r="F6660" i="4"/>
  <c r="F6661" i="4"/>
  <c r="F6662" i="4"/>
  <c r="F6663" i="4"/>
  <c r="F6664" i="4"/>
  <c r="F6665" i="4"/>
  <c r="F6666" i="4"/>
  <c r="F6667" i="4"/>
  <c r="F6668" i="4"/>
  <c r="F6669" i="4"/>
  <c r="F6670" i="4"/>
  <c r="F6671" i="4"/>
  <c r="F6672" i="4"/>
  <c r="F6673" i="4"/>
  <c r="F6674" i="4"/>
  <c r="F6675" i="4"/>
  <c r="F6676" i="4"/>
  <c r="F6677" i="4"/>
  <c r="F6678" i="4"/>
  <c r="F6679" i="4"/>
  <c r="F6680" i="4"/>
  <c r="F6681" i="4"/>
  <c r="F6682" i="4"/>
  <c r="F6683" i="4"/>
  <c r="F6684" i="4"/>
  <c r="F6685" i="4"/>
  <c r="F6686" i="4"/>
  <c r="F6687" i="4"/>
  <c r="F6688" i="4"/>
  <c r="F6689" i="4"/>
  <c r="F6690" i="4"/>
  <c r="F6691" i="4"/>
  <c r="F6692" i="4"/>
  <c r="F6693" i="4"/>
  <c r="F6694" i="4"/>
  <c r="F6695" i="4"/>
  <c r="F6696" i="4"/>
  <c r="F6697" i="4"/>
  <c r="F6698" i="4"/>
  <c r="F6699" i="4"/>
  <c r="F6700" i="4"/>
  <c r="F6701" i="4"/>
  <c r="F6702" i="4"/>
  <c r="F6703" i="4"/>
  <c r="F6704" i="4"/>
  <c r="F6705" i="4"/>
  <c r="F6706" i="4"/>
  <c r="F6707" i="4"/>
  <c r="F6708" i="4"/>
  <c r="F6709" i="4"/>
  <c r="F6710" i="4"/>
  <c r="F6711" i="4"/>
  <c r="F6712" i="4"/>
  <c r="F6713" i="4"/>
  <c r="F6714" i="4"/>
  <c r="F6715" i="4"/>
  <c r="F6716" i="4"/>
  <c r="F6717" i="4"/>
  <c r="F6718" i="4"/>
  <c r="F6719" i="4"/>
  <c r="F6720" i="4"/>
  <c r="F6721" i="4"/>
  <c r="F6722" i="4"/>
  <c r="F6723" i="4"/>
  <c r="F6724" i="4"/>
  <c r="F6725" i="4"/>
  <c r="F6726" i="4"/>
  <c r="F6727" i="4"/>
  <c r="F6728" i="4"/>
  <c r="F6729" i="4"/>
  <c r="F6730" i="4"/>
  <c r="F6731" i="4"/>
  <c r="F6732" i="4"/>
  <c r="F6733" i="4"/>
  <c r="F6734" i="4"/>
  <c r="F6735" i="4"/>
  <c r="F6736" i="4"/>
  <c r="F6737" i="4"/>
  <c r="F6738" i="4"/>
  <c r="F6739" i="4"/>
  <c r="F6740" i="4"/>
  <c r="F6741" i="4"/>
  <c r="F6742" i="4"/>
  <c r="F6743" i="4"/>
  <c r="F6744" i="4"/>
  <c r="F6745" i="4"/>
  <c r="F6746" i="4"/>
  <c r="F6747" i="4"/>
  <c r="F6748" i="4"/>
  <c r="F6749" i="4"/>
  <c r="F6750" i="4"/>
  <c r="F6751" i="4"/>
  <c r="F6752" i="4"/>
  <c r="F6753" i="4"/>
  <c r="F6754" i="4"/>
  <c r="F6755" i="4"/>
  <c r="F6756" i="4"/>
  <c r="F6757" i="4"/>
  <c r="F6758" i="4"/>
  <c r="F6759" i="4"/>
  <c r="F6760" i="4"/>
  <c r="F6761" i="4"/>
  <c r="F6762" i="4"/>
  <c r="F6763" i="4"/>
  <c r="F6764" i="4"/>
  <c r="F6765" i="4"/>
  <c r="F6766" i="4"/>
  <c r="F6767" i="4"/>
  <c r="F6768" i="4"/>
  <c r="F6769" i="4"/>
  <c r="F6770" i="4"/>
  <c r="F6771" i="4"/>
  <c r="F6772" i="4"/>
  <c r="F6773" i="4"/>
  <c r="F6774" i="4"/>
  <c r="F6775" i="4"/>
  <c r="F6776" i="4"/>
  <c r="F6777" i="4"/>
  <c r="F6778" i="4"/>
  <c r="F6779" i="4"/>
  <c r="F6780" i="4"/>
  <c r="F6781" i="4"/>
  <c r="F6782" i="4"/>
  <c r="F6783" i="4"/>
  <c r="F6784" i="4"/>
  <c r="F6785" i="4"/>
  <c r="F6786" i="4"/>
  <c r="F6787" i="4"/>
  <c r="F6788" i="4"/>
  <c r="F6789" i="4"/>
  <c r="F6790" i="4"/>
  <c r="F6791" i="4"/>
  <c r="F6792" i="4"/>
  <c r="F6793" i="4"/>
  <c r="F6794" i="4"/>
  <c r="F6795" i="4"/>
  <c r="F6796" i="4"/>
  <c r="F6797" i="4"/>
  <c r="F6798" i="4"/>
  <c r="F6799" i="4"/>
  <c r="F6800" i="4"/>
  <c r="F6801" i="4"/>
  <c r="F6802" i="4"/>
  <c r="F6803" i="4"/>
  <c r="F6804" i="4"/>
  <c r="F6805" i="4"/>
  <c r="F6806" i="4"/>
  <c r="F6807" i="4"/>
  <c r="F6808" i="4"/>
  <c r="F6809" i="4"/>
  <c r="F6810" i="4"/>
  <c r="F6811" i="4"/>
  <c r="F6812" i="4"/>
  <c r="F6813" i="4"/>
  <c r="F6814" i="4"/>
  <c r="F6815" i="4"/>
  <c r="F6816" i="4"/>
  <c r="F6817" i="4"/>
  <c r="F6818" i="4"/>
  <c r="F6819" i="4"/>
  <c r="F6820" i="4"/>
  <c r="F6821" i="4"/>
  <c r="F6822" i="4"/>
  <c r="F6823" i="4"/>
  <c r="F6824" i="4"/>
  <c r="F6825" i="4"/>
  <c r="F6826" i="4"/>
  <c r="F6827" i="4"/>
  <c r="F6828" i="4"/>
  <c r="F6829" i="4"/>
  <c r="F6830" i="4"/>
  <c r="F6831" i="4"/>
  <c r="F6832" i="4"/>
  <c r="F6833" i="4"/>
  <c r="F6834" i="4"/>
  <c r="F6835" i="4"/>
  <c r="F6836" i="4"/>
  <c r="F6837" i="4"/>
  <c r="F6838" i="4"/>
  <c r="F6839" i="4"/>
  <c r="F6840" i="4"/>
  <c r="F6841" i="4"/>
  <c r="F6842" i="4"/>
  <c r="F6843" i="4"/>
  <c r="F6844" i="4"/>
  <c r="F6845" i="4"/>
  <c r="F6846" i="4"/>
  <c r="F6847" i="4"/>
  <c r="F6848" i="4"/>
  <c r="F6849" i="4"/>
  <c r="F6850" i="4"/>
  <c r="F6851" i="4"/>
  <c r="F6852" i="4"/>
  <c r="F2" i="4"/>
  <c r="F3" i="4"/>
  <c r="F4" i="4"/>
  <c r="F5" i="4"/>
</calcChain>
</file>

<file path=xl/sharedStrings.xml><?xml version="1.0" encoding="utf-8"?>
<sst xmlns="http://schemas.openxmlformats.org/spreadsheetml/2006/main" count="43880" uniqueCount="204">
  <si>
    <t>Versorgung, Umwandlung und Verbrauch von Elektrizität [nrg_cb_e]</t>
  </si>
  <si>
    <t>Letzte Aktualisierung</t>
  </si>
  <si>
    <t>Exportierte Daten</t>
  </si>
  <si>
    <t>Quelle der Daten</t>
  </si>
  <si>
    <t>Eurostat</t>
  </si>
  <si>
    <t>NRG_BAL</t>
  </si>
  <si>
    <t>Endenergieverbrauch - Industriesektor - Eisen und Stahl - energetischer Verbrauch</t>
  </si>
  <si>
    <t>SIEC</t>
  </si>
  <si>
    <t>Elektrizität</t>
  </si>
  <si>
    <t>UNIT</t>
  </si>
  <si>
    <t>Gigawattstunde</t>
  </si>
  <si>
    <t>GEO/TIME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</si>
  <si>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</si>
  <si>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</si>
  <si>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</si>
  <si>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</si>
  <si>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</si>
  <si>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</si>
  <si>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</si>
  <si>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</si>
  <si>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</si>
  <si>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</si>
  <si>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</si>
  <si>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</si>
  <si>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</si>
  <si>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</si>
  <si>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</si>
  <si>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</si>
  <si>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</si>
  <si>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Belgien</t>
  </si>
  <si>
    <t>Bulgarien</t>
  </si>
  <si>
    <t>Tschechien</t>
  </si>
  <si>
    <t>Dänemark</t>
  </si>
  <si>
    <t>Deutschland (bis 1990 früheres Gebiet der BRD)</t>
  </si>
  <si>
    <t>Estland</t>
  </si>
  <si>
    <t>Irland</t>
  </si>
  <si>
    <t>Griechenland</t>
  </si>
  <si>
    <t>Spanien</t>
  </si>
  <si>
    <t>Frankreich</t>
  </si>
  <si>
    <t>Kroatien</t>
  </si>
  <si>
    <t>Italien</t>
  </si>
  <si>
    <t>Zypern</t>
  </si>
  <si>
    <t>Lettland</t>
  </si>
  <si>
    <t>Litauen</t>
  </si>
  <si>
    <t>Luxemburg</t>
  </si>
  <si>
    <t>Ungarn</t>
  </si>
  <si>
    <t>Malta</t>
  </si>
  <si>
    <t>Niederlande</t>
  </si>
  <si>
    <t>Österreich</t>
  </si>
  <si>
    <t>Polen</t>
  </si>
  <si>
    <t>Portugal</t>
  </si>
  <si>
    <t>Rumänien</t>
  </si>
  <si>
    <t>Slowenien</t>
  </si>
  <si>
    <t>Slowakei</t>
  </si>
  <si>
    <t>Finnland</t>
  </si>
  <si>
    <t>Schweden</t>
  </si>
  <si>
    <t>Vereinigtes Königreich</t>
  </si>
  <si>
    <t>Island</t>
  </si>
  <si>
    <t>Norwegen</t>
  </si>
  <si>
    <t>Serbien</t>
  </si>
  <si>
    <t>:</t>
  </si>
  <si>
    <t>Sonderzeichen:</t>
  </si>
  <si>
    <t>nicht verfügbar</t>
  </si>
  <si>
    <t>Endenergieverbrauch - Industriesektor - Chemie und Petrochemie - energetischer Verbrauch</t>
  </si>
  <si>
    <t>Endenergieverbrauch - Industriesektor - Nichteisenmetalle - energetischer Verbrauch</t>
  </si>
  <si>
    <t>Endenergieverbrauch - Industriesektor - Nichtmetallische mineralische Rohstoffe - energetischer Verbrauch</t>
  </si>
  <si>
    <t>Endenergieverbrauch - Industriesektor - Fahrzeuge und Beförderungsmittel - energetischer Verbrauch</t>
  </si>
  <si>
    <t>Endenergieverbrauch - Industriesektor - Maschinen - energetischer Verbrauch</t>
  </si>
  <si>
    <t>Endenergieverbrauch - Industriesektor - Bergbau und Steinbrüche - energetischer Verbrauch</t>
  </si>
  <si>
    <t>Endenergieverbrauch - Industriesektor - Nahrungsmittel, Getränke und Tabak - energetischer Verbrauch</t>
  </si>
  <si>
    <t>Endenergieverbrauch - Industriesektor - Papier, Zellstoff und Druckerzeugnisse - energetischer Verbrauch</t>
  </si>
  <si>
    <t>Endenergieverbrauch - Industriesektor - Holz und Holzprodukte - energetischer Verbrauch</t>
  </si>
  <si>
    <t>Endenergieverbrauch - Industriesektor - Bauwesen - energetischer Verbrauch</t>
  </si>
  <si>
    <t>Endenergieverbrauch - Industriesektor - Textil und Leder - energetischer Verbrauch</t>
  </si>
  <si>
    <t>Endenergieverbrauch - Industriesektor - nicht anders angegeben - energetischer Verbrauch</t>
  </si>
  <si>
    <t>Endenergieverbrauch - Sonstige Sektoren - Handel und öffentliche Dienstleistungen - energetischer Verbrauch</t>
  </si>
  <si>
    <t>Endenergieverbrauch - Sonstige Sektoren - Haushalte - energetischer Verbrauch</t>
  </si>
  <si>
    <t>Land</t>
  </si>
  <si>
    <t>Physikalische Größe</t>
  </si>
  <si>
    <t>Einheit</t>
  </si>
  <si>
    <t>Sektor</t>
  </si>
  <si>
    <t>09.04.2020  03001006</t>
  </si>
  <si>
    <t>05.06.2020  12038028</t>
  </si>
  <si>
    <t>Jahr</t>
  </si>
  <si>
    <t>Wert</t>
  </si>
  <si>
    <t>Kode</t>
  </si>
  <si>
    <t>Versorgung, Umwandlung und Verbrauch von Elektriztität [nrg_cb_e]</t>
  </si>
  <si>
    <t>Code</t>
  </si>
  <si>
    <t>Unterkategorie</t>
  </si>
  <si>
    <t>NRG_E</t>
  </si>
  <si>
    <t>Energiesektor</t>
  </si>
  <si>
    <t>Gesamt</t>
  </si>
  <si>
    <t>NRG_EHG_E</t>
  </si>
  <si>
    <t>Erzeugung von Elektrizität und Wärme</t>
  </si>
  <si>
    <t>NRG_CM_E</t>
  </si>
  <si>
    <t>Kohlebewergwerke</t>
  </si>
  <si>
    <t>NRG_OIL_NG_E</t>
  </si>
  <si>
    <t>Erdöl- und Erdgasgewinnungsanlagen</t>
  </si>
  <si>
    <t>NRG_PF_E</t>
  </si>
  <si>
    <t>Steinkohlebrikettfabriken</t>
  </si>
  <si>
    <t>NRG_CO_E</t>
  </si>
  <si>
    <t>Kokereien</t>
  </si>
  <si>
    <t>NRG_BKBPB_E</t>
  </si>
  <si>
    <t>Braunkohle-/Torfbrikettfabriken</t>
  </si>
  <si>
    <t>NRG_GW_E</t>
  </si>
  <si>
    <t>Gaswerke</t>
  </si>
  <si>
    <t>NRG_BF_E</t>
  </si>
  <si>
    <t>Hochöfen</t>
  </si>
  <si>
    <t>NRG_PR_E</t>
  </si>
  <si>
    <t>Öl Raffinerien</t>
  </si>
  <si>
    <t>NRG_NI_E</t>
  </si>
  <si>
    <t>Nukeare Industrie</t>
  </si>
  <si>
    <t>NRG_Cl_E</t>
  </si>
  <si>
    <t>Kohleverflüssigungsanlagen</t>
  </si>
  <si>
    <t>NRG_LNG_E</t>
  </si>
  <si>
    <t>Verflüssigungs- und Vergasungsanlagen (LNG)</t>
  </si>
  <si>
    <t>NRG_NSP_E</t>
  </si>
  <si>
    <t>nicht anders angegeben</t>
  </si>
  <si>
    <t>FC_IND_E</t>
  </si>
  <si>
    <t>Industriesektor</t>
  </si>
  <si>
    <t>FC_IND_IS_E</t>
  </si>
  <si>
    <t>Eisen und Stahl</t>
  </si>
  <si>
    <t>FC_IND_CPC_E</t>
  </si>
  <si>
    <t>Chemie und Petrochemie</t>
  </si>
  <si>
    <t>FC_IND_NFM_E</t>
  </si>
  <si>
    <t>Nichteisenmetalle</t>
  </si>
  <si>
    <t>FC_IND_NMM_E</t>
  </si>
  <si>
    <t>Nichtmetallische mineralische Rohstoffe</t>
  </si>
  <si>
    <t>FC_IND_TE_E</t>
  </si>
  <si>
    <t>Fahrzeuge und Beförderungsmittel</t>
  </si>
  <si>
    <t>FC_IND_MAC_E</t>
  </si>
  <si>
    <t>Maschinen</t>
  </si>
  <si>
    <t>FC_IND_MQ_E</t>
  </si>
  <si>
    <t>Bergbau und Steinbrüche</t>
  </si>
  <si>
    <t>FC_IND_FBT_E</t>
  </si>
  <si>
    <t>Nahrungsmittel, Getränke und Tabak</t>
  </si>
  <si>
    <t>FC_IND_PPP_E</t>
  </si>
  <si>
    <t>Papier, Zellstoff und Druckerzeugnisse</t>
  </si>
  <si>
    <t>FC_IND_WP_E</t>
  </si>
  <si>
    <t>Holz und Holzprodukte</t>
  </si>
  <si>
    <t>FC_IND_CON_E</t>
  </si>
  <si>
    <t>Bauwesen</t>
  </si>
  <si>
    <t>FC_IND_TL_E</t>
  </si>
  <si>
    <t>Textil und Leder</t>
  </si>
  <si>
    <t>FC_IND_NSP_E</t>
  </si>
  <si>
    <t>FC_TRA_E</t>
  </si>
  <si>
    <t>Verkehrssektor</t>
  </si>
  <si>
    <t>FC_TRA_RAIL_E</t>
  </si>
  <si>
    <t>Schienenverkehr</t>
  </si>
  <si>
    <t>FC_TRA_ROAD_E</t>
  </si>
  <si>
    <t>Straßenverkehr</t>
  </si>
  <si>
    <t>FC_TRA_PIPE_E</t>
  </si>
  <si>
    <t>Pipeline-Transport</t>
  </si>
  <si>
    <t>FC_TRA_NSP_E</t>
  </si>
  <si>
    <t>FC_OTH_CP_E</t>
  </si>
  <si>
    <t>Sonstige Sektoren</t>
  </si>
  <si>
    <t>Handel und öffentliche Dienstleistungen</t>
  </si>
  <si>
    <t>FC_OTH_HH_E</t>
  </si>
  <si>
    <t>Haushalte</t>
  </si>
  <si>
    <t>FC_OTH_AF_E</t>
  </si>
  <si>
    <t>Land- und Forstwirtschaft</t>
  </si>
  <si>
    <t>FC_OTH_FISH_E</t>
  </si>
  <si>
    <t>Fischerei</t>
  </si>
  <si>
    <t>FC_OTH_NSP_E</t>
  </si>
  <si>
    <t>Gesamtergebnis</t>
  </si>
  <si>
    <t>Summe von Wert</t>
  </si>
  <si>
    <t>Industrie</t>
  </si>
  <si>
    <t>Dienstleistungen</t>
  </si>
  <si>
    <t>Austria</t>
  </si>
  <si>
    <t>Transaction - Issue</t>
  </si>
  <si>
    <t>Belgium (Federal)</t>
  </si>
  <si>
    <t>Belgium Brussels</t>
  </si>
  <si>
    <t>Belgium Flanders</t>
  </si>
  <si>
    <t>Belg &amp; Lux RECS</t>
  </si>
  <si>
    <t>Belgium Wallonia</t>
  </si>
  <si>
    <t>Switzerland</t>
  </si>
  <si>
    <t>Cyprus</t>
  </si>
  <si>
    <t>Czech Republic</t>
  </si>
  <si>
    <t>Germany</t>
  </si>
  <si>
    <t>Denmark</t>
  </si>
  <si>
    <t>Estonia</t>
  </si>
  <si>
    <t>Spain</t>
  </si>
  <si>
    <t>Finland</t>
  </si>
  <si>
    <t>France</t>
  </si>
  <si>
    <t>Greece</t>
  </si>
  <si>
    <t>Croatia</t>
  </si>
  <si>
    <t>Ireland</t>
  </si>
  <si>
    <t>Iceland</t>
  </si>
  <si>
    <t>Italy</t>
  </si>
  <si>
    <t>Lithuania</t>
  </si>
  <si>
    <t>Luxembourg</t>
  </si>
  <si>
    <t>Netherlands</t>
  </si>
  <si>
    <t>Norway</t>
  </si>
  <si>
    <t>Serbia</t>
  </si>
  <si>
    <t>Sweden</t>
  </si>
  <si>
    <t>Slovenia</t>
  </si>
  <si>
    <t>Slovakia</t>
  </si>
  <si>
    <t>UK</t>
  </si>
  <si>
    <t>Zeilenbeschriftungen</t>
  </si>
  <si>
    <t>Spaltenbeschriftungen</t>
  </si>
  <si>
    <t>Issuance</t>
  </si>
  <si>
    <t>Schweiz</t>
  </si>
  <si>
    <t>Belgium</t>
  </si>
  <si>
    <t>GoOs geteilt durch gesamte Stromnachfrage -&gt; Werte, die erreicht werden müssen!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</si>
</sst>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dd\.mm\.yy"/>
    <numFmt numFmtId="165" formatCode="#,##0.000"/>
  </numFmts>
  <fonts count="8" x14ac:knownFonts="1">
    <font>
      <sz val="11"/>
      <name val="Arial"/>
      <charset val="23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Arial"/>
      <family val="2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</cellStyleXfs>
  <cellXfs count="35">
    <xf numFmtId="0" fontId="0" fillId="0" borderId="0" xfId="0"/>
    <xf numFmtId="0" fontId="3" fillId="0" borderId="0" xfId="0" applyNumberFormat="1" applyFont="1" applyFill="1" applyBorder="1" applyAlignment="1"/>
    <xf numFmtId="164" fontId="3" fillId="0" borderId="0" xfId="0" applyNumberFormat="1" applyFont="1" applyFill="1" applyBorder="1" applyAlignment="1"/>
    <xf numFmtId="0" fontId="3" fillId="2" borderId="1" xfId="0" applyNumberFormat="1" applyFont="1" applyFill="1" applyBorder="1" applyAlignment="1"/>
    <xf numFmtId="165" fontId="3" fillId="0" borderId="1" xfId="0" applyNumberFormat="1" applyFont="1" applyFill="1" applyBorder="1" applyAlignment="1"/>
    <xf numFmtId="0" fontId="3" fillId="0" borderId="1" xfId="0" applyNumberFormat="1" applyFont="1" applyFill="1" applyBorder="1" applyAlignment="1"/>
    <xf numFmtId="0" fontId="7" fillId="4" borderId="2" xfId="0" applyNumberFormat="1" applyFont="1" applyFill="1" applyBorder="1"/>
    <xf numFmtId="0" fontId="7" fillId="4" borderId="3" xfId="0" applyNumberFormat="1" applyFont="1" applyFill="1" applyBorder="1"/>
    <xf numFmtId="0" fontId="7" fillId="4" borderId="4" xfId="0" applyNumberFormat="1" applyFont="1" applyFill="1" applyBorder="1"/>
    <xf numFmtId="0" fontId="7" fillId="0" borderId="3" xfId="0" applyNumberFormat="1" applyFont="1" applyBorder="1"/>
    <xf numFmtId="0" fontId="2" fillId="0" borderId="0" xfId="1"/>
    <xf numFmtId="0" fontId="5" fillId="5" borderId="0" xfId="1" applyFont="1" applyFill="1"/>
    <xf numFmtId="0" fontId="4" fillId="0" borderId="0" xfId="0" applyFont="1"/>
    <xf numFmtId="0" fontId="6" fillId="3" borderId="5" xfId="0" applyNumberFormat="1" applyFont="1" applyFill="1" applyBorder="1"/>
    <xf numFmtId="0" fontId="6" fillId="3" borderId="6" xfId="0" applyNumberFormat="1" applyFont="1" applyFill="1" applyBorder="1"/>
    <xf numFmtId="0" fontId="6" fillId="3" borderId="7" xfId="0" applyNumberFormat="1" applyFont="1" applyFill="1" applyBorder="1"/>
    <xf numFmtId="0" fontId="7" fillId="4" borderId="5" xfId="0" applyNumberFormat="1" applyFont="1" applyFill="1" applyBorder="1"/>
    <xf numFmtId="0" fontId="7" fillId="4" borderId="6" xfId="0" applyNumberFormat="1" applyFont="1" applyFill="1" applyBorder="1"/>
    <xf numFmtId="0" fontId="7" fillId="4" borderId="7" xfId="0" applyNumberFormat="1" applyFont="1" applyFill="1" applyBorder="1"/>
    <xf numFmtId="0" fontId="7" fillId="0" borderId="5" xfId="0" applyNumberFormat="1" applyFont="1" applyBorder="1"/>
    <xf numFmtId="0" fontId="7" fillId="0" borderId="6" xfId="0" applyNumberFormat="1" applyFont="1" applyBorder="1"/>
    <xf numFmtId="0" fontId="7" fillId="0" borderId="7" xfId="0" applyNumberFormat="1" applyFont="1" applyBorder="1"/>
    <xf numFmtId="0" fontId="0" fillId="0" borderId="0" xfId="0" pivotButton="1"/>
    <xf numFmtId="0" fontId="0" fillId="0" borderId="0" xfId="0" applyNumberFormat="1"/>
    <xf numFmtId="2" fontId="0" fillId="0" borderId="0" xfId="0" applyNumberFormat="1"/>
    <xf numFmtId="0" fontId="7" fillId="0" borderId="0" xfId="0" applyFont="1"/>
    <xf numFmtId="0" fontId="7" fillId="0" borderId="8" xfId="0" applyFont="1" applyBorder="1"/>
    <xf numFmtId="2" fontId="4" fillId="0" borderId="0" xfId="0" applyNumberFormat="1" applyFont="1"/>
    <xf numFmtId="0" fontId="1" fillId="0" borderId="0" xfId="2" applyNumberFormat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wrapText="1"/>
    </xf>
    <xf numFmtId="0" fontId="5" fillId="5" borderId="0" xfId="1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</cellXfs>
  <cellStyles count="7">
    <cellStyle name="Comma 2 2" xfId="4"/>
    <cellStyle name="Comma 2 2 2" xfId="5"/>
    <cellStyle name="Normal 43" xfId="6"/>
    <cellStyle name="Normal 46" xfId="3"/>
    <cellStyle name="Standard" xfId="0" builtinId="0"/>
    <cellStyle name="Standard 2" xfId="1"/>
    <cellStyle name="Standard 3" xfId="2"/>
  </cellStyles>
  <dxfs count="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lex Wimmers" refreshedDate="44008.461990393516" createdVersion="6" refreshedVersion="6" minRefreshableVersion="3" recordCount="6851">
  <cacheSource type="worksheet">
    <worksheetSource ref="A1:G6852" sheet="Industriesektor GWh"/>
  </cacheSource>
  <cacheFields count="7">
    <cacheField name="Land" numFmtId="0">
      <sharedItems count="31">
        <s v="Belgien"/>
        <s v="Bulgarien"/>
        <s v="Tschechien"/>
        <s v="Dänemark"/>
        <s v="Deutschland (bis 1990 früheres Gebiet der BRD)"/>
        <s v="Estland"/>
        <s v="Irland"/>
        <s v="Griechenland"/>
        <s v="Spanien"/>
        <s v="Frankreich"/>
        <s v="Kroatien"/>
        <s v="Italien"/>
        <s v="Zypern"/>
        <s v="Lettland"/>
        <s v="Litauen"/>
        <s v="Luxemburg"/>
        <s v="Ungarn"/>
        <s v="Malta"/>
        <s v="Niederlande"/>
        <s v="Österreich"/>
        <s v="Polen"/>
        <s v="Portugal"/>
        <s v="Rumänien"/>
        <s v="Slowenien"/>
        <s v="Slowakei"/>
        <s v="Finnland"/>
        <s v="Schweden"/>
        <s v="Vereinigtes Königreich"/>
        <s v="Island"/>
        <s v="Norwegen"/>
        <s v="Serbien"/>
      </sharedItems>
    </cacheField>
    <cacheField name="Sektor" numFmtId="0">
      <sharedItems/>
    </cacheField>
    <cacheField name="Physikalische Größe" numFmtId="0">
      <sharedItems/>
    </cacheField>
    <cacheField name="Einheit" numFmtId="0">
      <sharedItems/>
    </cacheField>
    <cacheField name="Jahr" numFmtId="0">
      <sharedItems count="17">
        <s v="2002"/>
        <s v="2003"/>
        <s v="2004"/>
        <s v="2005"/>
        <s v="2006"/>
        <s v="2007"/>
        <s v="2008"/>
        <s v="2009"/>
        <s v="2010"/>
        <s v="2011"/>
        <s v="2012"/>
        <s v="2013"/>
        <s v="2014"/>
        <s v="2015"/>
        <s v="2016"/>
        <s v="2017"/>
        <s v="2018"/>
      </sharedItems>
    </cacheField>
    <cacheField name="Kode" numFmtId="0">
      <sharedItems count="13">
        <s v="FC_IND_CON_E"/>
        <s v="FC_IND_MQ_E"/>
        <s v="FC_IND_CPC_E"/>
        <s v="FC_IND_IS_E"/>
        <s v="FC_IND_TE_E"/>
        <s v="FC_IND_WP_E"/>
        <s v="FC_IND_MAC_E"/>
        <s v="FC_IND_FBT_E"/>
        <s v="NRG_NSP_E"/>
        <s v="FC_IND_NFM_E"/>
        <s v="FC_IND_NMM_E"/>
        <s v="FC_IND_PPP_E"/>
        <s v="FC_IND_TL_E"/>
      </sharedItems>
    </cacheField>
    <cacheField name="Wert" numFmtId="0">
      <sharedItems containsSemiMixedTypes="0" containsString="0" containsNumber="1" minValue="0" maxValue="542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lex Wimmers" refreshedDate="44008.47657835648" createdVersion="6" refreshedVersion="6" minRefreshableVersion="3" recordCount="1054">
  <cacheSource type="worksheet">
    <worksheetSource ref="A1:G1055" sheet="Sonstige Sektoren GWh"/>
  </cacheSource>
  <cacheFields count="7">
    <cacheField name="Land" numFmtId="0">
      <sharedItems count="31">
        <s v="Belgien"/>
        <s v="Bulgarien"/>
        <s v="Tschechien"/>
        <s v="Dänemark"/>
        <s v="Deutschland (bis 1990 früheres Gebiet der BRD)"/>
        <s v="Estland"/>
        <s v="Irland"/>
        <s v="Griechenland"/>
        <s v="Spanien"/>
        <s v="Frankreich"/>
        <s v="Kroatien"/>
        <s v="Italien"/>
        <s v="Zypern"/>
        <s v="Lettland"/>
        <s v="Litauen"/>
        <s v="Luxemburg"/>
        <s v="Ungarn"/>
        <s v="Malta"/>
        <s v="Niederlande"/>
        <s v="Österreich"/>
        <s v="Polen"/>
        <s v="Portugal"/>
        <s v="Rumänien"/>
        <s v="Slowenien"/>
        <s v="Slowakei"/>
        <s v="Finnland"/>
        <s v="Schweden"/>
        <s v="Vereinigtes Königreich"/>
        <s v="Island"/>
        <s v="Norwegen"/>
        <s v="Serbien"/>
      </sharedItems>
    </cacheField>
    <cacheField name="Sektor" numFmtId="0">
      <sharedItems/>
    </cacheField>
    <cacheField name="Physikalische Größe" numFmtId="0">
      <sharedItems/>
    </cacheField>
    <cacheField name="Einheit" numFmtId="0">
      <sharedItems/>
    </cacheField>
    <cacheField name="Jahr" numFmtId="0">
      <sharedItems count="17">
        <s v="2002"/>
        <s v="2003"/>
        <s v="2004"/>
        <s v="2005"/>
        <s v="2006"/>
        <s v="2007"/>
        <s v="2008"/>
        <s v="2009"/>
        <s v="2010"/>
        <s v="2011"/>
        <s v="2012"/>
        <s v="2013"/>
        <s v="2014"/>
        <s v="2015"/>
        <s v="2016"/>
        <s v="2017"/>
        <s v="2018"/>
      </sharedItems>
    </cacheField>
    <cacheField name="Kode" numFmtId="0">
      <sharedItems count="2">
        <s v="FC_OTH_CP_E"/>
        <s v="FC_OTH_HH_E"/>
      </sharedItems>
    </cacheField>
    <cacheField name="Wert" numFmtId="0">
      <sharedItems containsSemiMixedTypes="0" containsString="0" containsNumber="1" minValue="313" maxValue="166129.6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trommarkt" refreshedDate="44091.378423379632" createdVersion="6" refreshedVersion="6" minRefreshableVersion="3" recordCount="90">
  <cacheSource type="worksheet">
    <worksheetSource ref="A1:D91" sheet="GoO Issuance 2016-2018"/>
  </cacheSource>
  <cacheFields count="4">
    <cacheField name="Land" numFmtId="0">
      <sharedItems count="30">
        <s v="Austria"/>
        <s v="Belgium (Federal)"/>
        <s v="Belgium Brussels"/>
        <s v="Belgium Flanders"/>
        <s v="Belg &amp; Lux RECS"/>
        <s v="Belgium Wallonia"/>
        <s v="Switzerland"/>
        <s v="Cyprus"/>
        <s v="Czech Republic"/>
        <s v="Germany"/>
        <s v="Denmark"/>
        <s v="Estonia"/>
        <s v="Spain"/>
        <s v="Finland"/>
        <s v="France"/>
        <s v="Greece"/>
        <s v="Croatia"/>
        <s v="Ireland"/>
        <s v="Iceland"/>
        <s v="Italy"/>
        <s v="Lithuania"/>
        <s v="Luxembourg"/>
        <s v="Netherlands"/>
        <s v="Norway"/>
        <s v="Portugal"/>
        <s v="Serbia"/>
        <s v="Sweden"/>
        <s v="Slovenia"/>
        <s v="Slovakia"/>
        <s v="UK"/>
      </sharedItems>
    </cacheField>
    <cacheField name="Issuance" numFmtId="0">
      <sharedItems/>
    </cacheField>
    <cacheField name="Jahr" numFmtId="0">
      <sharedItems count="3">
        <s v="2016"/>
        <s v="2017"/>
        <s v="2018"/>
      </sharedItems>
    </cacheField>
    <cacheField name="Wert" numFmtId="0">
      <sharedItems containsSemiMixedTypes="0" containsString="0" containsNumber="1" minValue="0" maxValue="1384594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51">
  <r>
    <x v="0"/>
    <s v="Endenergieverbrauch - Industriesektor - Bauwesen - energetischer Verbrauch"/>
    <s v="Elektrizität"/>
    <s v="Gigawattstunde"/>
    <x v="0"/>
    <x v="0"/>
    <n v="324"/>
  </r>
  <r>
    <x v="0"/>
    <s v="Endenergieverbrauch - Industriesektor - Bauwesen - energetischer Verbrauch"/>
    <s v="Elektrizität"/>
    <s v="Gigawattstunde"/>
    <x v="1"/>
    <x v="0"/>
    <n v="320"/>
  </r>
  <r>
    <x v="0"/>
    <s v="Endenergieverbrauch - Industriesektor - Bauwesen - energetischer Verbrauch"/>
    <s v="Elektrizität"/>
    <s v="Gigawattstunde"/>
    <x v="2"/>
    <x v="0"/>
    <n v="327"/>
  </r>
  <r>
    <x v="0"/>
    <s v="Endenergieverbrauch - Industriesektor - Bauwesen - energetischer Verbrauch"/>
    <s v="Elektrizität"/>
    <s v="Gigawattstunde"/>
    <x v="3"/>
    <x v="0"/>
    <n v="321"/>
  </r>
  <r>
    <x v="0"/>
    <s v="Endenergieverbrauch - Industriesektor - Bauwesen - energetischer Verbrauch"/>
    <s v="Elektrizität"/>
    <s v="Gigawattstunde"/>
    <x v="4"/>
    <x v="0"/>
    <n v="825"/>
  </r>
  <r>
    <x v="0"/>
    <s v="Endenergieverbrauch - Industriesektor - Bauwesen - energetischer Verbrauch"/>
    <s v="Elektrizität"/>
    <s v="Gigawattstunde"/>
    <x v="5"/>
    <x v="0"/>
    <n v="788"/>
  </r>
  <r>
    <x v="0"/>
    <s v="Endenergieverbrauch - Industriesektor - Bauwesen - energetischer Verbrauch"/>
    <s v="Elektrizität"/>
    <s v="Gigawattstunde"/>
    <x v="6"/>
    <x v="0"/>
    <n v="872"/>
  </r>
  <r>
    <x v="0"/>
    <s v="Endenergieverbrauch - Industriesektor - Bauwesen - energetischer Verbrauch"/>
    <s v="Elektrizität"/>
    <s v="Gigawattstunde"/>
    <x v="7"/>
    <x v="0"/>
    <n v="1278"/>
  </r>
  <r>
    <x v="0"/>
    <s v="Endenergieverbrauch - Industriesektor - Bauwesen - energetischer Verbrauch"/>
    <s v="Elektrizität"/>
    <s v="Gigawattstunde"/>
    <x v="8"/>
    <x v="0"/>
    <n v="1410"/>
  </r>
  <r>
    <x v="0"/>
    <s v="Endenergieverbrauch - Industriesektor - Bauwesen - energetischer Verbrauch"/>
    <s v="Elektrizität"/>
    <s v="Gigawattstunde"/>
    <x v="9"/>
    <x v="0"/>
    <n v="900"/>
  </r>
  <r>
    <x v="0"/>
    <s v="Endenergieverbrauch - Industriesektor - Bauwesen - energetischer Verbrauch"/>
    <s v="Elektrizität"/>
    <s v="Gigawattstunde"/>
    <x v="10"/>
    <x v="0"/>
    <n v="798"/>
  </r>
  <r>
    <x v="0"/>
    <s v="Endenergieverbrauch - Industriesektor - Bauwesen - energetischer Verbrauch"/>
    <s v="Elektrizität"/>
    <s v="Gigawattstunde"/>
    <x v="11"/>
    <x v="0"/>
    <n v="929"/>
  </r>
  <r>
    <x v="0"/>
    <s v="Endenergieverbrauch - Industriesektor - Bauwesen - energetischer Verbrauch"/>
    <s v="Elektrizität"/>
    <s v="Gigawattstunde"/>
    <x v="12"/>
    <x v="0"/>
    <n v="812.3"/>
  </r>
  <r>
    <x v="0"/>
    <s v="Endenergieverbrauch - Industriesektor - Bauwesen - energetischer Verbrauch"/>
    <s v="Elektrizität"/>
    <s v="Gigawattstunde"/>
    <x v="13"/>
    <x v="0"/>
    <n v="845.4"/>
  </r>
  <r>
    <x v="0"/>
    <s v="Endenergieverbrauch - Industriesektor - Bauwesen - energetischer Verbrauch"/>
    <s v="Elektrizität"/>
    <s v="Gigawattstunde"/>
    <x v="14"/>
    <x v="0"/>
    <n v="859.6"/>
  </r>
  <r>
    <x v="0"/>
    <s v="Endenergieverbrauch - Industriesektor - Bauwesen - energetischer Verbrauch"/>
    <s v="Elektrizität"/>
    <s v="Gigawattstunde"/>
    <x v="15"/>
    <x v="0"/>
    <n v="873.4"/>
  </r>
  <r>
    <x v="0"/>
    <s v="Endenergieverbrauch - Industriesektor - Bauwesen - energetischer Verbrauch"/>
    <s v="Elektrizität"/>
    <s v="Gigawattstunde"/>
    <x v="16"/>
    <x v="0"/>
    <n v="929.4"/>
  </r>
  <r>
    <x v="1"/>
    <s v="Endenergieverbrauch - Industriesektor - Bauwesen - energetischer Verbrauch"/>
    <s v="Elektrizität"/>
    <s v="Gigawattstunde"/>
    <x v="0"/>
    <x v="0"/>
    <n v="129"/>
  </r>
  <r>
    <x v="1"/>
    <s v="Endenergieverbrauch - Industriesektor - Bauwesen - energetischer Verbrauch"/>
    <s v="Elektrizität"/>
    <s v="Gigawattstunde"/>
    <x v="1"/>
    <x v="0"/>
    <n v="164"/>
  </r>
  <r>
    <x v="1"/>
    <s v="Endenergieverbrauch - Industriesektor - Bauwesen - energetischer Verbrauch"/>
    <s v="Elektrizität"/>
    <s v="Gigawattstunde"/>
    <x v="2"/>
    <x v="0"/>
    <n v="151"/>
  </r>
  <r>
    <x v="1"/>
    <s v="Endenergieverbrauch - Industriesektor - Bauwesen - energetischer Verbrauch"/>
    <s v="Elektrizität"/>
    <s v="Gigawattstunde"/>
    <x v="3"/>
    <x v="0"/>
    <n v="169"/>
  </r>
  <r>
    <x v="1"/>
    <s v="Endenergieverbrauch - Industriesektor - Bauwesen - energetischer Verbrauch"/>
    <s v="Elektrizität"/>
    <s v="Gigawattstunde"/>
    <x v="4"/>
    <x v="0"/>
    <n v="216"/>
  </r>
  <r>
    <x v="1"/>
    <s v="Endenergieverbrauch - Industriesektor - Bauwesen - energetischer Verbrauch"/>
    <s v="Elektrizität"/>
    <s v="Gigawattstunde"/>
    <x v="5"/>
    <x v="0"/>
    <n v="278"/>
  </r>
  <r>
    <x v="1"/>
    <s v="Endenergieverbrauch - Industriesektor - Bauwesen - energetischer Verbrauch"/>
    <s v="Elektrizität"/>
    <s v="Gigawattstunde"/>
    <x v="6"/>
    <x v="0"/>
    <n v="410"/>
  </r>
  <r>
    <x v="1"/>
    <s v="Endenergieverbrauch - Industriesektor - Bauwesen - energetischer Verbrauch"/>
    <s v="Elektrizität"/>
    <s v="Gigawattstunde"/>
    <x v="7"/>
    <x v="0"/>
    <n v="368"/>
  </r>
  <r>
    <x v="1"/>
    <s v="Endenergieverbrauch - Industriesektor - Bauwesen - energetischer Verbrauch"/>
    <s v="Elektrizität"/>
    <s v="Gigawattstunde"/>
    <x v="8"/>
    <x v="0"/>
    <n v="303"/>
  </r>
  <r>
    <x v="1"/>
    <s v="Endenergieverbrauch - Industriesektor - Bauwesen - energetischer Verbrauch"/>
    <s v="Elektrizität"/>
    <s v="Gigawattstunde"/>
    <x v="9"/>
    <x v="0"/>
    <n v="368"/>
  </r>
  <r>
    <x v="1"/>
    <s v="Endenergieverbrauch - Industriesektor - Bauwesen - energetischer Verbrauch"/>
    <s v="Elektrizität"/>
    <s v="Gigawattstunde"/>
    <x v="10"/>
    <x v="0"/>
    <n v="277"/>
  </r>
  <r>
    <x v="1"/>
    <s v="Endenergieverbrauch - Industriesektor - Bauwesen - energetischer Verbrauch"/>
    <s v="Elektrizität"/>
    <s v="Gigawattstunde"/>
    <x v="11"/>
    <x v="0"/>
    <n v="299"/>
  </r>
  <r>
    <x v="1"/>
    <s v="Endenergieverbrauch - Industriesektor - Bauwesen - energetischer Verbrauch"/>
    <s v="Elektrizität"/>
    <s v="Gigawattstunde"/>
    <x v="12"/>
    <x v="0"/>
    <n v="260"/>
  </r>
  <r>
    <x v="1"/>
    <s v="Endenergieverbrauch - Industriesektor - Bauwesen - energetischer Verbrauch"/>
    <s v="Elektrizität"/>
    <s v="Gigawattstunde"/>
    <x v="13"/>
    <x v="0"/>
    <n v="261"/>
  </r>
  <r>
    <x v="1"/>
    <s v="Endenergieverbrauch - Industriesektor - Bauwesen - energetischer Verbrauch"/>
    <s v="Elektrizität"/>
    <s v="Gigawattstunde"/>
    <x v="14"/>
    <x v="0"/>
    <n v="251"/>
  </r>
  <r>
    <x v="1"/>
    <s v="Endenergieverbrauch - Industriesektor - Bauwesen - energetischer Verbrauch"/>
    <s v="Elektrizität"/>
    <s v="Gigawattstunde"/>
    <x v="15"/>
    <x v="0"/>
    <n v="250.09800000000001"/>
  </r>
  <r>
    <x v="1"/>
    <s v="Endenergieverbrauch - Industriesektor - Bauwesen - energetischer Verbrauch"/>
    <s v="Elektrizität"/>
    <s v="Gigawattstunde"/>
    <x v="16"/>
    <x v="0"/>
    <n v="229.422"/>
  </r>
  <r>
    <x v="2"/>
    <s v="Endenergieverbrauch - Industriesektor - Bauwesen - energetischer Verbrauch"/>
    <s v="Elektrizität"/>
    <s v="Gigawattstunde"/>
    <x v="0"/>
    <x v="0"/>
    <n v="320"/>
  </r>
  <r>
    <x v="2"/>
    <s v="Endenergieverbrauch - Industriesektor - Bauwesen - energetischer Verbrauch"/>
    <s v="Elektrizität"/>
    <s v="Gigawattstunde"/>
    <x v="1"/>
    <x v="0"/>
    <n v="302"/>
  </r>
  <r>
    <x v="2"/>
    <s v="Endenergieverbrauch - Industriesektor - Bauwesen - energetischer Verbrauch"/>
    <s v="Elektrizität"/>
    <s v="Gigawattstunde"/>
    <x v="2"/>
    <x v="0"/>
    <n v="412"/>
  </r>
  <r>
    <x v="2"/>
    <s v="Endenergieverbrauch - Industriesektor - Bauwesen - energetischer Verbrauch"/>
    <s v="Elektrizität"/>
    <s v="Gigawattstunde"/>
    <x v="3"/>
    <x v="0"/>
    <n v="398"/>
  </r>
  <r>
    <x v="2"/>
    <s v="Endenergieverbrauch - Industriesektor - Bauwesen - energetischer Verbrauch"/>
    <s v="Elektrizität"/>
    <s v="Gigawattstunde"/>
    <x v="4"/>
    <x v="0"/>
    <n v="476"/>
  </r>
  <r>
    <x v="2"/>
    <s v="Endenergieverbrauch - Industriesektor - Bauwesen - energetischer Verbrauch"/>
    <s v="Elektrizität"/>
    <s v="Gigawattstunde"/>
    <x v="5"/>
    <x v="0"/>
    <n v="454"/>
  </r>
  <r>
    <x v="2"/>
    <s v="Endenergieverbrauch - Industriesektor - Bauwesen - energetischer Verbrauch"/>
    <s v="Elektrizität"/>
    <s v="Gigawattstunde"/>
    <x v="6"/>
    <x v="0"/>
    <n v="476"/>
  </r>
  <r>
    <x v="2"/>
    <s v="Endenergieverbrauch - Industriesektor - Bauwesen - energetischer Verbrauch"/>
    <s v="Elektrizität"/>
    <s v="Gigawattstunde"/>
    <x v="7"/>
    <x v="0"/>
    <n v="486"/>
  </r>
  <r>
    <x v="2"/>
    <s v="Endenergieverbrauch - Industriesektor - Bauwesen - energetischer Verbrauch"/>
    <s v="Elektrizität"/>
    <s v="Gigawattstunde"/>
    <x v="8"/>
    <x v="0"/>
    <n v="511"/>
  </r>
  <r>
    <x v="2"/>
    <s v="Endenergieverbrauch - Industriesektor - Bauwesen - energetischer Verbrauch"/>
    <s v="Elektrizität"/>
    <s v="Gigawattstunde"/>
    <x v="9"/>
    <x v="0"/>
    <n v="492"/>
  </r>
  <r>
    <x v="2"/>
    <s v="Endenergieverbrauch - Industriesektor - Bauwesen - energetischer Verbrauch"/>
    <s v="Elektrizität"/>
    <s v="Gigawattstunde"/>
    <x v="10"/>
    <x v="0"/>
    <n v="456"/>
  </r>
  <r>
    <x v="2"/>
    <s v="Endenergieverbrauch - Industriesektor - Bauwesen - energetischer Verbrauch"/>
    <s v="Elektrizität"/>
    <s v="Gigawattstunde"/>
    <x v="11"/>
    <x v="0"/>
    <n v="424"/>
  </r>
  <r>
    <x v="2"/>
    <s v="Endenergieverbrauch - Industriesektor - Bauwesen - energetischer Verbrauch"/>
    <s v="Elektrizität"/>
    <s v="Gigawattstunde"/>
    <x v="12"/>
    <x v="0"/>
    <n v="450"/>
  </r>
  <r>
    <x v="2"/>
    <s v="Endenergieverbrauch - Industriesektor - Bauwesen - energetischer Verbrauch"/>
    <s v="Elektrizität"/>
    <s v="Gigawattstunde"/>
    <x v="13"/>
    <x v="0"/>
    <n v="476"/>
  </r>
  <r>
    <x v="2"/>
    <s v="Endenergieverbrauch - Industriesektor - Bauwesen - energetischer Verbrauch"/>
    <s v="Elektrizität"/>
    <s v="Gigawattstunde"/>
    <x v="14"/>
    <x v="0"/>
    <n v="492"/>
  </r>
  <r>
    <x v="2"/>
    <s v="Endenergieverbrauch - Industriesektor - Bauwesen - energetischer Verbrauch"/>
    <s v="Elektrizität"/>
    <s v="Gigawattstunde"/>
    <x v="15"/>
    <x v="0"/>
    <n v="544.87800000000004"/>
  </r>
  <r>
    <x v="2"/>
    <s v="Endenergieverbrauch - Industriesektor - Bauwesen - energetischer Verbrauch"/>
    <s v="Elektrizität"/>
    <s v="Gigawattstunde"/>
    <x v="16"/>
    <x v="0"/>
    <n v="619.68600000000004"/>
  </r>
  <r>
    <x v="3"/>
    <s v="Endenergieverbrauch - Industriesektor - Bauwesen - energetischer Verbrauch"/>
    <s v="Elektrizität"/>
    <s v="Gigawattstunde"/>
    <x v="0"/>
    <x v="0"/>
    <n v="339"/>
  </r>
  <r>
    <x v="3"/>
    <s v="Endenergieverbrauch - Industriesektor - Bauwesen - energetischer Verbrauch"/>
    <s v="Elektrizität"/>
    <s v="Gigawattstunde"/>
    <x v="1"/>
    <x v="0"/>
    <n v="329"/>
  </r>
  <r>
    <x v="3"/>
    <s v="Endenergieverbrauch - Industriesektor - Bauwesen - energetischer Verbrauch"/>
    <s v="Elektrizität"/>
    <s v="Gigawattstunde"/>
    <x v="2"/>
    <x v="0"/>
    <n v="338"/>
  </r>
  <r>
    <x v="3"/>
    <s v="Endenergieverbrauch - Industriesektor - Bauwesen - energetischer Verbrauch"/>
    <s v="Elektrizität"/>
    <s v="Gigawattstunde"/>
    <x v="3"/>
    <x v="0"/>
    <n v="354"/>
  </r>
  <r>
    <x v="3"/>
    <s v="Endenergieverbrauch - Industriesektor - Bauwesen - energetischer Verbrauch"/>
    <s v="Elektrizität"/>
    <s v="Gigawattstunde"/>
    <x v="4"/>
    <x v="0"/>
    <n v="378"/>
  </r>
  <r>
    <x v="3"/>
    <s v="Endenergieverbrauch - Industriesektor - Bauwesen - energetischer Verbrauch"/>
    <s v="Elektrizität"/>
    <s v="Gigawattstunde"/>
    <x v="5"/>
    <x v="0"/>
    <n v="406"/>
  </r>
  <r>
    <x v="3"/>
    <s v="Endenergieverbrauch - Industriesektor - Bauwesen - energetischer Verbrauch"/>
    <s v="Elektrizität"/>
    <s v="Gigawattstunde"/>
    <x v="6"/>
    <x v="0"/>
    <n v="435"/>
  </r>
  <r>
    <x v="3"/>
    <s v="Endenergieverbrauch - Industriesektor - Bauwesen - energetischer Verbrauch"/>
    <s v="Elektrizität"/>
    <s v="Gigawattstunde"/>
    <x v="7"/>
    <x v="0"/>
    <n v="373"/>
  </r>
  <r>
    <x v="3"/>
    <s v="Endenergieverbrauch - Industriesektor - Bauwesen - energetischer Verbrauch"/>
    <s v="Elektrizität"/>
    <s v="Gigawattstunde"/>
    <x v="8"/>
    <x v="0"/>
    <n v="381"/>
  </r>
  <r>
    <x v="3"/>
    <s v="Endenergieverbrauch - Industriesektor - Bauwesen - energetischer Verbrauch"/>
    <s v="Elektrizität"/>
    <s v="Gigawattstunde"/>
    <x v="9"/>
    <x v="0"/>
    <n v="357"/>
  </r>
  <r>
    <x v="3"/>
    <s v="Endenergieverbrauch - Industriesektor - Bauwesen - energetischer Verbrauch"/>
    <s v="Elektrizität"/>
    <s v="Gigawattstunde"/>
    <x v="10"/>
    <x v="0"/>
    <n v="374"/>
  </r>
  <r>
    <x v="3"/>
    <s v="Endenergieverbrauch - Industriesektor - Bauwesen - energetischer Verbrauch"/>
    <s v="Elektrizität"/>
    <s v="Gigawattstunde"/>
    <x v="11"/>
    <x v="0"/>
    <n v="361"/>
  </r>
  <r>
    <x v="3"/>
    <s v="Endenergieverbrauch - Industriesektor - Bauwesen - energetischer Verbrauch"/>
    <s v="Elektrizität"/>
    <s v="Gigawattstunde"/>
    <x v="12"/>
    <x v="0"/>
    <n v="357"/>
  </r>
  <r>
    <x v="3"/>
    <s v="Endenergieverbrauch - Industriesektor - Bauwesen - energetischer Verbrauch"/>
    <s v="Elektrizität"/>
    <s v="Gigawattstunde"/>
    <x v="13"/>
    <x v="0"/>
    <n v="361"/>
  </r>
  <r>
    <x v="3"/>
    <s v="Endenergieverbrauch - Industriesektor - Bauwesen - energetischer Verbrauch"/>
    <s v="Elektrizität"/>
    <s v="Gigawattstunde"/>
    <x v="14"/>
    <x v="0"/>
    <n v="373"/>
  </r>
  <r>
    <x v="3"/>
    <s v="Endenergieverbrauch - Industriesektor - Bauwesen - energetischer Verbrauch"/>
    <s v="Elektrizität"/>
    <s v="Gigawattstunde"/>
    <x v="15"/>
    <x v="0"/>
    <n v="402.72300000000001"/>
  </r>
  <r>
    <x v="3"/>
    <s v="Endenergieverbrauch - Industriesektor - Bauwesen - energetischer Verbrauch"/>
    <s v="Elektrizität"/>
    <s v="Gigawattstunde"/>
    <x v="16"/>
    <x v="0"/>
    <n v="409.346"/>
  </r>
  <r>
    <x v="4"/>
    <s v="Endenergieverbrauch - Industriesektor - Bauwesen - energetischer Verbrauch"/>
    <s v="Elektrizität"/>
    <s v="Gigawattstunde"/>
    <x v="0"/>
    <x v="0"/>
    <n v="826"/>
  </r>
  <r>
    <x v="4"/>
    <s v="Endenergieverbrauch - Industriesektor - Bauwesen - energetischer Verbrauch"/>
    <s v="Elektrizität"/>
    <s v="Gigawattstunde"/>
    <x v="1"/>
    <x v="0"/>
    <n v="0"/>
  </r>
  <r>
    <x v="4"/>
    <s v="Endenergieverbrauch - Industriesektor - Bauwesen - energetischer Verbrauch"/>
    <s v="Elektrizität"/>
    <s v="Gigawattstunde"/>
    <x v="2"/>
    <x v="0"/>
    <n v="0"/>
  </r>
  <r>
    <x v="4"/>
    <s v="Endenergieverbrauch - Industriesektor - Bauwesen - energetischer Verbrauch"/>
    <s v="Elektrizität"/>
    <s v="Gigawattstunde"/>
    <x v="3"/>
    <x v="0"/>
    <n v="0"/>
  </r>
  <r>
    <x v="4"/>
    <s v="Endenergieverbrauch - Industriesektor - Bauwesen - energetischer Verbrauch"/>
    <s v="Elektrizität"/>
    <s v="Gigawattstunde"/>
    <x v="4"/>
    <x v="0"/>
    <n v="0"/>
  </r>
  <r>
    <x v="4"/>
    <s v="Endenergieverbrauch - Industriesektor - Bauwesen - energetischer Verbrauch"/>
    <s v="Elektrizität"/>
    <s v="Gigawattstunde"/>
    <x v="5"/>
    <x v="0"/>
    <n v="0"/>
  </r>
  <r>
    <x v="4"/>
    <s v="Endenergieverbrauch - Industriesektor - Bauwesen - energetischer Verbrauch"/>
    <s v="Elektrizität"/>
    <s v="Gigawattstunde"/>
    <x v="6"/>
    <x v="0"/>
    <n v="0"/>
  </r>
  <r>
    <x v="4"/>
    <s v="Endenergieverbrauch - Industriesektor - Bauwesen - energetischer Verbrauch"/>
    <s v="Elektrizität"/>
    <s v="Gigawattstunde"/>
    <x v="7"/>
    <x v="0"/>
    <n v="0"/>
  </r>
  <r>
    <x v="4"/>
    <s v="Endenergieverbrauch - Industriesektor - Bauwesen - energetischer Verbrauch"/>
    <s v="Elektrizität"/>
    <s v="Gigawattstunde"/>
    <x v="8"/>
    <x v="0"/>
    <n v="3975"/>
  </r>
  <r>
    <x v="4"/>
    <s v="Endenergieverbrauch - Industriesektor - Bauwesen - energetischer Verbrauch"/>
    <s v="Elektrizität"/>
    <s v="Gigawattstunde"/>
    <x v="9"/>
    <x v="0"/>
    <n v="4429"/>
  </r>
  <r>
    <x v="4"/>
    <s v="Endenergieverbrauch - Industriesektor - Bauwesen - energetischer Verbrauch"/>
    <s v="Elektrizität"/>
    <s v="Gigawattstunde"/>
    <x v="10"/>
    <x v="0"/>
    <n v="4353"/>
  </r>
  <r>
    <x v="4"/>
    <s v="Endenergieverbrauch - Industriesektor - Bauwesen - energetischer Verbrauch"/>
    <s v="Elektrizität"/>
    <s v="Gigawattstunde"/>
    <x v="11"/>
    <x v="0"/>
    <n v="3581"/>
  </r>
  <r>
    <x v="4"/>
    <s v="Endenergieverbrauch - Industriesektor - Bauwesen - energetischer Verbrauch"/>
    <s v="Elektrizität"/>
    <s v="Gigawattstunde"/>
    <x v="12"/>
    <x v="0"/>
    <n v="4089"/>
  </r>
  <r>
    <x v="4"/>
    <s v="Endenergieverbrauch - Industriesektor - Bauwesen - energetischer Verbrauch"/>
    <s v="Elektrizität"/>
    <s v="Gigawattstunde"/>
    <x v="13"/>
    <x v="0"/>
    <n v="3945"/>
  </r>
  <r>
    <x v="4"/>
    <s v="Endenergieverbrauch - Industriesektor - Bauwesen - energetischer Verbrauch"/>
    <s v="Elektrizität"/>
    <s v="Gigawattstunde"/>
    <x v="14"/>
    <x v="0"/>
    <n v="3976"/>
  </r>
  <r>
    <x v="4"/>
    <s v="Endenergieverbrauch - Industriesektor - Bauwesen - energetischer Verbrauch"/>
    <s v="Elektrizität"/>
    <s v="Gigawattstunde"/>
    <x v="15"/>
    <x v="0"/>
    <n v="4136"/>
  </r>
  <r>
    <x v="4"/>
    <s v="Endenergieverbrauch - Industriesektor - Bauwesen - energetischer Verbrauch"/>
    <s v="Elektrizität"/>
    <s v="Gigawattstunde"/>
    <x v="16"/>
    <x v="0"/>
    <n v="4460"/>
  </r>
  <r>
    <x v="5"/>
    <s v="Endenergieverbrauch - Industriesektor - Bauwesen - energetischer Verbrauch"/>
    <s v="Elektrizität"/>
    <s v="Gigawattstunde"/>
    <x v="0"/>
    <x v="0"/>
    <n v="94"/>
  </r>
  <r>
    <x v="5"/>
    <s v="Endenergieverbrauch - Industriesektor - Bauwesen - energetischer Verbrauch"/>
    <s v="Elektrizität"/>
    <s v="Gigawattstunde"/>
    <x v="1"/>
    <x v="0"/>
    <n v="96"/>
  </r>
  <r>
    <x v="5"/>
    <s v="Endenergieverbrauch - Industriesektor - Bauwesen - energetischer Verbrauch"/>
    <s v="Elektrizität"/>
    <s v="Gigawattstunde"/>
    <x v="2"/>
    <x v="0"/>
    <n v="95"/>
  </r>
  <r>
    <x v="5"/>
    <s v="Endenergieverbrauch - Industriesektor - Bauwesen - energetischer Verbrauch"/>
    <s v="Elektrizität"/>
    <s v="Gigawattstunde"/>
    <x v="3"/>
    <x v="0"/>
    <n v="97"/>
  </r>
  <r>
    <x v="5"/>
    <s v="Endenergieverbrauch - Industriesektor - Bauwesen - energetischer Verbrauch"/>
    <s v="Elektrizität"/>
    <s v="Gigawattstunde"/>
    <x v="4"/>
    <x v="0"/>
    <n v="107"/>
  </r>
  <r>
    <x v="5"/>
    <s v="Endenergieverbrauch - Industriesektor - Bauwesen - energetischer Verbrauch"/>
    <s v="Elektrizität"/>
    <s v="Gigawattstunde"/>
    <x v="5"/>
    <x v="0"/>
    <n v="106"/>
  </r>
  <r>
    <x v="5"/>
    <s v="Endenergieverbrauch - Industriesektor - Bauwesen - energetischer Verbrauch"/>
    <s v="Elektrizität"/>
    <s v="Gigawattstunde"/>
    <x v="6"/>
    <x v="0"/>
    <n v="101"/>
  </r>
  <r>
    <x v="5"/>
    <s v="Endenergieverbrauch - Industriesektor - Bauwesen - energetischer Verbrauch"/>
    <s v="Elektrizität"/>
    <s v="Gigawattstunde"/>
    <x v="7"/>
    <x v="0"/>
    <n v="78"/>
  </r>
  <r>
    <x v="5"/>
    <s v="Endenergieverbrauch - Industriesektor - Bauwesen - energetischer Verbrauch"/>
    <s v="Elektrizität"/>
    <s v="Gigawattstunde"/>
    <x v="8"/>
    <x v="0"/>
    <n v="62"/>
  </r>
  <r>
    <x v="5"/>
    <s v="Endenergieverbrauch - Industriesektor - Bauwesen - energetischer Verbrauch"/>
    <s v="Elektrizität"/>
    <s v="Gigawattstunde"/>
    <x v="9"/>
    <x v="0"/>
    <n v="71"/>
  </r>
  <r>
    <x v="5"/>
    <s v="Endenergieverbrauch - Industriesektor - Bauwesen - energetischer Verbrauch"/>
    <s v="Elektrizität"/>
    <s v="Gigawattstunde"/>
    <x v="10"/>
    <x v="0"/>
    <n v="82"/>
  </r>
  <r>
    <x v="5"/>
    <s v="Endenergieverbrauch - Industriesektor - Bauwesen - energetischer Verbrauch"/>
    <s v="Elektrizität"/>
    <s v="Gigawattstunde"/>
    <x v="11"/>
    <x v="0"/>
    <n v="84"/>
  </r>
  <r>
    <x v="5"/>
    <s v="Endenergieverbrauch - Industriesektor - Bauwesen - energetischer Verbrauch"/>
    <s v="Elektrizität"/>
    <s v="Gigawattstunde"/>
    <x v="12"/>
    <x v="0"/>
    <n v="78"/>
  </r>
  <r>
    <x v="5"/>
    <s v="Endenergieverbrauch - Industriesektor - Bauwesen - energetischer Verbrauch"/>
    <s v="Elektrizität"/>
    <s v="Gigawattstunde"/>
    <x v="13"/>
    <x v="0"/>
    <n v="81"/>
  </r>
  <r>
    <x v="5"/>
    <s v="Endenergieverbrauch - Industriesektor - Bauwesen - energetischer Verbrauch"/>
    <s v="Elektrizität"/>
    <s v="Gigawattstunde"/>
    <x v="14"/>
    <x v="0"/>
    <n v="83"/>
  </r>
  <r>
    <x v="5"/>
    <s v="Endenergieverbrauch - Industriesektor - Bauwesen - energetischer Verbrauch"/>
    <s v="Elektrizität"/>
    <s v="Gigawattstunde"/>
    <x v="15"/>
    <x v="0"/>
    <n v="82"/>
  </r>
  <r>
    <x v="5"/>
    <s v="Endenergieverbrauch - Industriesektor - Bauwesen - energetischer Verbrauch"/>
    <s v="Elektrizität"/>
    <s v="Gigawattstunde"/>
    <x v="16"/>
    <x v="0"/>
    <n v="71"/>
  </r>
  <r>
    <x v="6"/>
    <s v="Endenergieverbrauch - Industriesektor - Bauwesen - energetischer Verbrauch"/>
    <s v="Elektrizität"/>
    <s v="Gigawattstunde"/>
    <x v="0"/>
    <x v="0"/>
    <n v="84"/>
  </r>
  <r>
    <x v="6"/>
    <s v="Endenergieverbrauch - Industriesektor - Bauwesen - energetischer Verbrauch"/>
    <s v="Elektrizität"/>
    <s v="Gigawattstunde"/>
    <x v="1"/>
    <x v="0"/>
    <n v="73"/>
  </r>
  <r>
    <x v="6"/>
    <s v="Endenergieverbrauch - Industriesektor - Bauwesen - energetischer Verbrauch"/>
    <s v="Elektrizität"/>
    <s v="Gigawattstunde"/>
    <x v="2"/>
    <x v="0"/>
    <n v="73"/>
  </r>
  <r>
    <x v="6"/>
    <s v="Endenergieverbrauch - Industriesektor - Bauwesen - energetischer Verbrauch"/>
    <s v="Elektrizität"/>
    <s v="Gigawattstunde"/>
    <x v="3"/>
    <x v="0"/>
    <n v="73"/>
  </r>
  <r>
    <x v="6"/>
    <s v="Endenergieverbrauch - Industriesektor - Bauwesen - energetischer Verbrauch"/>
    <s v="Elektrizität"/>
    <s v="Gigawattstunde"/>
    <x v="4"/>
    <x v="0"/>
    <n v="73"/>
  </r>
  <r>
    <x v="6"/>
    <s v="Endenergieverbrauch - Industriesektor - Bauwesen - energetischer Verbrauch"/>
    <s v="Elektrizität"/>
    <s v="Gigawattstunde"/>
    <x v="5"/>
    <x v="0"/>
    <n v="73"/>
  </r>
  <r>
    <x v="6"/>
    <s v="Endenergieverbrauch - Industriesektor - Bauwesen - energetischer Verbrauch"/>
    <s v="Elektrizität"/>
    <s v="Gigawattstunde"/>
    <x v="6"/>
    <x v="0"/>
    <n v="73"/>
  </r>
  <r>
    <x v="6"/>
    <s v="Endenergieverbrauch - Industriesektor - Bauwesen - energetischer Verbrauch"/>
    <s v="Elektrizität"/>
    <s v="Gigawattstunde"/>
    <x v="7"/>
    <x v="0"/>
    <n v="73"/>
  </r>
  <r>
    <x v="6"/>
    <s v="Endenergieverbrauch - Industriesektor - Bauwesen - energetischer Verbrauch"/>
    <s v="Elektrizität"/>
    <s v="Gigawattstunde"/>
    <x v="8"/>
    <x v="0"/>
    <n v="73"/>
  </r>
  <r>
    <x v="6"/>
    <s v="Endenergieverbrauch - Industriesektor - Bauwesen - energetischer Verbrauch"/>
    <s v="Elektrizität"/>
    <s v="Gigawattstunde"/>
    <x v="9"/>
    <x v="0"/>
    <n v="73"/>
  </r>
  <r>
    <x v="6"/>
    <s v="Endenergieverbrauch - Industriesektor - Bauwesen - energetischer Verbrauch"/>
    <s v="Elektrizität"/>
    <s v="Gigawattstunde"/>
    <x v="10"/>
    <x v="0"/>
    <n v="73"/>
  </r>
  <r>
    <x v="6"/>
    <s v="Endenergieverbrauch - Industriesektor - Bauwesen - energetischer Verbrauch"/>
    <s v="Elektrizität"/>
    <s v="Gigawattstunde"/>
    <x v="11"/>
    <x v="0"/>
    <n v="73"/>
  </r>
  <r>
    <x v="6"/>
    <s v="Endenergieverbrauch - Industriesektor - Bauwesen - energetischer Verbrauch"/>
    <s v="Elektrizität"/>
    <s v="Gigawattstunde"/>
    <x v="12"/>
    <x v="0"/>
    <n v="73"/>
  </r>
  <r>
    <x v="6"/>
    <s v="Endenergieverbrauch - Industriesektor - Bauwesen - energetischer Verbrauch"/>
    <s v="Elektrizität"/>
    <s v="Gigawattstunde"/>
    <x v="13"/>
    <x v="0"/>
    <n v="73"/>
  </r>
  <r>
    <x v="6"/>
    <s v="Endenergieverbrauch - Industriesektor - Bauwesen - energetischer Verbrauch"/>
    <s v="Elektrizität"/>
    <s v="Gigawattstunde"/>
    <x v="14"/>
    <x v="0"/>
    <n v="73"/>
  </r>
  <r>
    <x v="6"/>
    <s v="Endenergieverbrauch - Industriesektor - Bauwesen - energetischer Verbrauch"/>
    <s v="Elektrizität"/>
    <s v="Gigawattstunde"/>
    <x v="15"/>
    <x v="0"/>
    <n v="73"/>
  </r>
  <r>
    <x v="6"/>
    <s v="Endenergieverbrauch - Industriesektor - Bauwesen - energetischer Verbrauch"/>
    <s v="Elektrizität"/>
    <s v="Gigawattstunde"/>
    <x v="16"/>
    <x v="0"/>
    <n v="73"/>
  </r>
  <r>
    <x v="7"/>
    <s v="Endenergieverbrauch - Industriesektor - Bauwesen - energetischer Verbrauch"/>
    <s v="Elektrizität"/>
    <s v="Gigawattstunde"/>
    <x v="0"/>
    <x v="0"/>
    <n v="98"/>
  </r>
  <r>
    <x v="7"/>
    <s v="Endenergieverbrauch - Industriesektor - Bauwesen - energetischer Verbrauch"/>
    <s v="Elektrizität"/>
    <s v="Gigawattstunde"/>
    <x v="1"/>
    <x v="0"/>
    <n v="33"/>
  </r>
  <r>
    <x v="7"/>
    <s v="Endenergieverbrauch - Industriesektor - Bauwesen - energetischer Verbrauch"/>
    <s v="Elektrizität"/>
    <s v="Gigawattstunde"/>
    <x v="2"/>
    <x v="0"/>
    <n v="2"/>
  </r>
  <r>
    <x v="7"/>
    <s v="Endenergieverbrauch - Industriesektor - Bauwesen - energetischer Verbrauch"/>
    <s v="Elektrizität"/>
    <s v="Gigawattstunde"/>
    <x v="3"/>
    <x v="0"/>
    <n v="5"/>
  </r>
  <r>
    <x v="7"/>
    <s v="Endenergieverbrauch - Industriesektor - Bauwesen - energetischer Verbrauch"/>
    <s v="Elektrizität"/>
    <s v="Gigawattstunde"/>
    <x v="4"/>
    <x v="0"/>
    <n v="6"/>
  </r>
  <r>
    <x v="7"/>
    <s v="Endenergieverbrauch - Industriesektor - Bauwesen - energetischer Verbrauch"/>
    <s v="Elektrizität"/>
    <s v="Gigawattstunde"/>
    <x v="5"/>
    <x v="0"/>
    <n v="7"/>
  </r>
  <r>
    <x v="7"/>
    <s v="Endenergieverbrauch - Industriesektor - Bauwesen - energetischer Verbrauch"/>
    <s v="Elektrizität"/>
    <s v="Gigawattstunde"/>
    <x v="6"/>
    <x v="0"/>
    <n v="7"/>
  </r>
  <r>
    <x v="7"/>
    <s v="Endenergieverbrauch - Industriesektor - Bauwesen - energetischer Verbrauch"/>
    <s v="Elektrizität"/>
    <s v="Gigawattstunde"/>
    <x v="7"/>
    <x v="0"/>
    <n v="1"/>
  </r>
  <r>
    <x v="7"/>
    <s v="Endenergieverbrauch - Industriesektor - Bauwesen - energetischer Verbrauch"/>
    <s v="Elektrizität"/>
    <s v="Gigawattstunde"/>
    <x v="8"/>
    <x v="0"/>
    <n v="1"/>
  </r>
  <r>
    <x v="7"/>
    <s v="Endenergieverbrauch - Industriesektor - Bauwesen - energetischer Verbrauch"/>
    <s v="Elektrizität"/>
    <s v="Gigawattstunde"/>
    <x v="9"/>
    <x v="0"/>
    <n v="1"/>
  </r>
  <r>
    <x v="7"/>
    <s v="Endenergieverbrauch - Industriesektor - Bauwesen - energetischer Verbrauch"/>
    <s v="Elektrizität"/>
    <s v="Gigawattstunde"/>
    <x v="10"/>
    <x v="0"/>
    <n v="1"/>
  </r>
  <r>
    <x v="7"/>
    <s v="Endenergieverbrauch - Industriesektor - Bauwesen - energetischer Verbrauch"/>
    <s v="Elektrizität"/>
    <s v="Gigawattstunde"/>
    <x v="11"/>
    <x v="0"/>
    <n v="1"/>
  </r>
  <r>
    <x v="7"/>
    <s v="Endenergieverbrauch - Industriesektor - Bauwesen - energetischer Verbrauch"/>
    <s v="Elektrizität"/>
    <s v="Gigawattstunde"/>
    <x v="12"/>
    <x v="0"/>
    <n v="1"/>
  </r>
  <r>
    <x v="7"/>
    <s v="Endenergieverbrauch - Industriesektor - Bauwesen - energetischer Verbrauch"/>
    <s v="Elektrizität"/>
    <s v="Gigawattstunde"/>
    <x v="13"/>
    <x v="0"/>
    <n v="0"/>
  </r>
  <r>
    <x v="7"/>
    <s v="Endenergieverbrauch - Industriesektor - Bauwesen - energetischer Verbrauch"/>
    <s v="Elektrizität"/>
    <s v="Gigawattstunde"/>
    <x v="14"/>
    <x v="0"/>
    <n v="2"/>
  </r>
  <r>
    <x v="7"/>
    <s v="Endenergieverbrauch - Industriesektor - Bauwesen - energetischer Verbrauch"/>
    <s v="Elektrizität"/>
    <s v="Gigawattstunde"/>
    <x v="15"/>
    <x v="0"/>
    <n v="496.733"/>
  </r>
  <r>
    <x v="7"/>
    <s v="Endenergieverbrauch - Industriesektor - Bauwesen - energetischer Verbrauch"/>
    <s v="Elektrizität"/>
    <s v="Gigawattstunde"/>
    <x v="16"/>
    <x v="0"/>
    <n v="468.15"/>
  </r>
  <r>
    <x v="8"/>
    <s v="Endenergieverbrauch - Industriesektor - Bauwesen - energetischer Verbrauch"/>
    <s v="Elektrizität"/>
    <s v="Gigawattstunde"/>
    <x v="0"/>
    <x v="0"/>
    <n v="1913"/>
  </r>
  <r>
    <x v="8"/>
    <s v="Endenergieverbrauch - Industriesektor - Bauwesen - energetischer Verbrauch"/>
    <s v="Elektrizität"/>
    <s v="Gigawattstunde"/>
    <x v="1"/>
    <x v="0"/>
    <n v="2017"/>
  </r>
  <r>
    <x v="8"/>
    <s v="Endenergieverbrauch - Industriesektor - Bauwesen - energetischer Verbrauch"/>
    <s v="Elektrizität"/>
    <s v="Gigawattstunde"/>
    <x v="2"/>
    <x v="0"/>
    <n v="2263"/>
  </r>
  <r>
    <x v="8"/>
    <s v="Endenergieverbrauch - Industriesektor - Bauwesen - energetischer Verbrauch"/>
    <s v="Elektrizität"/>
    <s v="Gigawattstunde"/>
    <x v="3"/>
    <x v="0"/>
    <n v="2643"/>
  </r>
  <r>
    <x v="8"/>
    <s v="Endenergieverbrauch - Industriesektor - Bauwesen - energetischer Verbrauch"/>
    <s v="Elektrizität"/>
    <s v="Gigawattstunde"/>
    <x v="4"/>
    <x v="0"/>
    <n v="2591"/>
  </r>
  <r>
    <x v="8"/>
    <s v="Endenergieverbrauch - Industriesektor - Bauwesen - energetischer Verbrauch"/>
    <s v="Elektrizität"/>
    <s v="Gigawattstunde"/>
    <x v="5"/>
    <x v="0"/>
    <n v="2859"/>
  </r>
  <r>
    <x v="8"/>
    <s v="Endenergieverbrauch - Industriesektor - Bauwesen - energetischer Verbrauch"/>
    <s v="Elektrizität"/>
    <s v="Gigawattstunde"/>
    <x v="6"/>
    <x v="0"/>
    <n v="3229"/>
  </r>
  <r>
    <x v="8"/>
    <s v="Endenergieverbrauch - Industriesektor - Bauwesen - energetischer Verbrauch"/>
    <s v="Elektrizität"/>
    <s v="Gigawattstunde"/>
    <x v="7"/>
    <x v="0"/>
    <n v="3005"/>
  </r>
  <r>
    <x v="8"/>
    <s v="Endenergieverbrauch - Industriesektor - Bauwesen - energetischer Verbrauch"/>
    <s v="Elektrizität"/>
    <s v="Gigawattstunde"/>
    <x v="8"/>
    <x v="0"/>
    <n v="2767"/>
  </r>
  <r>
    <x v="8"/>
    <s v="Endenergieverbrauch - Industriesektor - Bauwesen - energetischer Verbrauch"/>
    <s v="Elektrizität"/>
    <s v="Gigawattstunde"/>
    <x v="9"/>
    <x v="0"/>
    <n v="2513"/>
  </r>
  <r>
    <x v="8"/>
    <s v="Endenergieverbrauch - Industriesektor - Bauwesen - energetischer Verbrauch"/>
    <s v="Elektrizität"/>
    <s v="Gigawattstunde"/>
    <x v="10"/>
    <x v="0"/>
    <n v="2479"/>
  </r>
  <r>
    <x v="8"/>
    <s v="Endenergieverbrauch - Industriesektor - Bauwesen - energetischer Verbrauch"/>
    <s v="Elektrizität"/>
    <s v="Gigawattstunde"/>
    <x v="11"/>
    <x v="0"/>
    <n v="2871"/>
  </r>
  <r>
    <x v="8"/>
    <s v="Endenergieverbrauch - Industriesektor - Bauwesen - energetischer Verbrauch"/>
    <s v="Elektrizität"/>
    <s v="Gigawattstunde"/>
    <x v="12"/>
    <x v="0"/>
    <n v="2390"/>
  </r>
  <r>
    <x v="8"/>
    <s v="Endenergieverbrauch - Industriesektor - Bauwesen - energetischer Verbrauch"/>
    <s v="Elektrizität"/>
    <s v="Gigawattstunde"/>
    <x v="13"/>
    <x v="0"/>
    <n v="2070"/>
  </r>
  <r>
    <x v="8"/>
    <s v="Endenergieverbrauch - Industriesektor - Bauwesen - energetischer Verbrauch"/>
    <s v="Elektrizität"/>
    <s v="Gigawattstunde"/>
    <x v="14"/>
    <x v="0"/>
    <n v="2027"/>
  </r>
  <r>
    <x v="8"/>
    <s v="Endenergieverbrauch - Industriesektor - Bauwesen - energetischer Verbrauch"/>
    <s v="Elektrizität"/>
    <s v="Gigawattstunde"/>
    <x v="15"/>
    <x v="0"/>
    <n v="2425"/>
  </r>
  <r>
    <x v="8"/>
    <s v="Endenergieverbrauch - Industriesektor - Bauwesen - energetischer Verbrauch"/>
    <s v="Elektrizität"/>
    <s v="Gigawattstunde"/>
    <x v="16"/>
    <x v="0"/>
    <n v="3052"/>
  </r>
  <r>
    <x v="9"/>
    <s v="Endenergieverbrauch - Industriesektor - Bauwesen - energetischer Verbrauch"/>
    <s v="Elektrizität"/>
    <s v="Gigawattstunde"/>
    <x v="0"/>
    <x v="0"/>
    <n v="1457"/>
  </r>
  <r>
    <x v="9"/>
    <s v="Endenergieverbrauch - Industriesektor - Bauwesen - energetischer Verbrauch"/>
    <s v="Elektrizität"/>
    <s v="Gigawattstunde"/>
    <x v="1"/>
    <x v="0"/>
    <n v="1587"/>
  </r>
  <r>
    <x v="9"/>
    <s v="Endenergieverbrauch - Industriesektor - Bauwesen - energetischer Verbrauch"/>
    <s v="Elektrizität"/>
    <s v="Gigawattstunde"/>
    <x v="2"/>
    <x v="0"/>
    <n v="1650"/>
  </r>
  <r>
    <x v="9"/>
    <s v="Endenergieverbrauch - Industriesektor - Bauwesen - energetischer Verbrauch"/>
    <s v="Elektrizität"/>
    <s v="Gigawattstunde"/>
    <x v="3"/>
    <x v="0"/>
    <n v="1735"/>
  </r>
  <r>
    <x v="9"/>
    <s v="Endenergieverbrauch - Industriesektor - Bauwesen - energetischer Verbrauch"/>
    <s v="Elektrizität"/>
    <s v="Gigawattstunde"/>
    <x v="4"/>
    <x v="0"/>
    <n v="1859"/>
  </r>
  <r>
    <x v="9"/>
    <s v="Endenergieverbrauch - Industriesektor - Bauwesen - energetischer Verbrauch"/>
    <s v="Elektrizität"/>
    <s v="Gigawattstunde"/>
    <x v="5"/>
    <x v="0"/>
    <n v="1956"/>
  </r>
  <r>
    <x v="9"/>
    <s v="Endenergieverbrauch - Industriesektor - Bauwesen - energetischer Verbrauch"/>
    <s v="Elektrizität"/>
    <s v="Gigawattstunde"/>
    <x v="6"/>
    <x v="0"/>
    <n v="2539"/>
  </r>
  <r>
    <x v="9"/>
    <s v="Endenergieverbrauch - Industriesektor - Bauwesen - energetischer Verbrauch"/>
    <s v="Elektrizität"/>
    <s v="Gigawattstunde"/>
    <x v="7"/>
    <x v="0"/>
    <n v="1899"/>
  </r>
  <r>
    <x v="9"/>
    <s v="Endenergieverbrauch - Industriesektor - Bauwesen - energetischer Verbrauch"/>
    <s v="Elektrizität"/>
    <s v="Gigawattstunde"/>
    <x v="8"/>
    <x v="0"/>
    <n v="2169"/>
  </r>
  <r>
    <x v="9"/>
    <s v="Endenergieverbrauch - Industriesektor - Bauwesen - energetischer Verbrauch"/>
    <s v="Elektrizität"/>
    <s v="Gigawattstunde"/>
    <x v="9"/>
    <x v="0"/>
    <n v="7590.4920000000002"/>
  </r>
  <r>
    <x v="9"/>
    <s v="Endenergieverbrauch - Industriesektor - Bauwesen - energetischer Verbrauch"/>
    <s v="Elektrizität"/>
    <s v="Gigawattstunde"/>
    <x v="10"/>
    <x v="0"/>
    <n v="7919.893"/>
  </r>
  <r>
    <x v="9"/>
    <s v="Endenergieverbrauch - Industriesektor - Bauwesen - energetischer Verbrauch"/>
    <s v="Elektrizität"/>
    <s v="Gigawattstunde"/>
    <x v="11"/>
    <x v="0"/>
    <n v="7909.0020000000004"/>
  </r>
  <r>
    <x v="9"/>
    <s v="Endenergieverbrauch - Industriesektor - Bauwesen - energetischer Verbrauch"/>
    <s v="Elektrizität"/>
    <s v="Gigawattstunde"/>
    <x v="12"/>
    <x v="0"/>
    <n v="7045.9639999999999"/>
  </r>
  <r>
    <x v="9"/>
    <s v="Endenergieverbrauch - Industriesektor - Bauwesen - energetischer Verbrauch"/>
    <s v="Elektrizität"/>
    <s v="Gigawattstunde"/>
    <x v="13"/>
    <x v="0"/>
    <n v="6817.56"/>
  </r>
  <r>
    <x v="9"/>
    <s v="Endenergieverbrauch - Industriesektor - Bauwesen - energetischer Verbrauch"/>
    <s v="Elektrizität"/>
    <s v="Gigawattstunde"/>
    <x v="14"/>
    <x v="0"/>
    <n v="6865.6930000000002"/>
  </r>
  <r>
    <x v="9"/>
    <s v="Endenergieverbrauch - Industriesektor - Bauwesen - energetischer Verbrauch"/>
    <s v="Elektrizität"/>
    <s v="Gigawattstunde"/>
    <x v="15"/>
    <x v="0"/>
    <n v="6808.7879999999996"/>
  </r>
  <r>
    <x v="9"/>
    <s v="Endenergieverbrauch - Industriesektor - Bauwesen - energetischer Verbrauch"/>
    <s v="Elektrizität"/>
    <s v="Gigawattstunde"/>
    <x v="16"/>
    <x v="0"/>
    <n v="6989.973"/>
  </r>
  <r>
    <x v="10"/>
    <s v="Endenergieverbrauch - Industriesektor - Bauwesen - energetischer Verbrauch"/>
    <s v="Elektrizität"/>
    <s v="Gigawattstunde"/>
    <x v="0"/>
    <x v="0"/>
    <n v="77"/>
  </r>
  <r>
    <x v="10"/>
    <s v="Endenergieverbrauch - Industriesektor - Bauwesen - energetischer Verbrauch"/>
    <s v="Elektrizität"/>
    <s v="Gigawattstunde"/>
    <x v="1"/>
    <x v="0"/>
    <n v="91"/>
  </r>
  <r>
    <x v="10"/>
    <s v="Endenergieverbrauch - Industriesektor - Bauwesen - energetischer Verbrauch"/>
    <s v="Elektrizität"/>
    <s v="Gigawattstunde"/>
    <x v="2"/>
    <x v="0"/>
    <n v="94"/>
  </r>
  <r>
    <x v="10"/>
    <s v="Endenergieverbrauch - Industriesektor - Bauwesen - energetischer Verbrauch"/>
    <s v="Elektrizität"/>
    <s v="Gigawattstunde"/>
    <x v="3"/>
    <x v="0"/>
    <n v="93"/>
  </r>
  <r>
    <x v="10"/>
    <s v="Endenergieverbrauch - Industriesektor - Bauwesen - energetischer Verbrauch"/>
    <s v="Elektrizität"/>
    <s v="Gigawattstunde"/>
    <x v="4"/>
    <x v="0"/>
    <n v="99"/>
  </r>
  <r>
    <x v="10"/>
    <s v="Endenergieverbrauch - Industriesektor - Bauwesen - energetischer Verbrauch"/>
    <s v="Elektrizität"/>
    <s v="Gigawattstunde"/>
    <x v="5"/>
    <x v="0"/>
    <n v="99"/>
  </r>
  <r>
    <x v="10"/>
    <s v="Endenergieverbrauch - Industriesektor - Bauwesen - energetischer Verbrauch"/>
    <s v="Elektrizität"/>
    <s v="Gigawattstunde"/>
    <x v="6"/>
    <x v="0"/>
    <n v="118"/>
  </r>
  <r>
    <x v="10"/>
    <s v="Endenergieverbrauch - Industriesektor - Bauwesen - energetischer Verbrauch"/>
    <s v="Elektrizität"/>
    <s v="Gigawattstunde"/>
    <x v="7"/>
    <x v="0"/>
    <n v="118"/>
  </r>
  <r>
    <x v="10"/>
    <s v="Endenergieverbrauch - Industriesektor - Bauwesen - energetischer Verbrauch"/>
    <s v="Elektrizität"/>
    <s v="Gigawattstunde"/>
    <x v="8"/>
    <x v="0"/>
    <n v="109"/>
  </r>
  <r>
    <x v="10"/>
    <s v="Endenergieverbrauch - Industriesektor - Bauwesen - energetischer Verbrauch"/>
    <s v="Elektrizität"/>
    <s v="Gigawattstunde"/>
    <x v="9"/>
    <x v="0"/>
    <n v="96"/>
  </r>
  <r>
    <x v="10"/>
    <s v="Endenergieverbrauch - Industriesektor - Bauwesen - energetischer Verbrauch"/>
    <s v="Elektrizität"/>
    <s v="Gigawattstunde"/>
    <x v="10"/>
    <x v="0"/>
    <n v="92"/>
  </r>
  <r>
    <x v="10"/>
    <s v="Endenergieverbrauch - Industriesektor - Bauwesen - energetischer Verbrauch"/>
    <s v="Elektrizität"/>
    <s v="Gigawattstunde"/>
    <x v="11"/>
    <x v="0"/>
    <n v="85"/>
  </r>
  <r>
    <x v="10"/>
    <s v="Endenergieverbrauch - Industriesektor - Bauwesen - energetischer Verbrauch"/>
    <s v="Elektrizität"/>
    <s v="Gigawattstunde"/>
    <x v="12"/>
    <x v="0"/>
    <n v="81"/>
  </r>
  <r>
    <x v="10"/>
    <s v="Endenergieverbrauch - Industriesektor - Bauwesen - energetischer Verbrauch"/>
    <s v="Elektrizität"/>
    <s v="Gigawattstunde"/>
    <x v="13"/>
    <x v="0"/>
    <n v="76"/>
  </r>
  <r>
    <x v="10"/>
    <s v="Endenergieverbrauch - Industriesektor - Bauwesen - energetischer Verbrauch"/>
    <s v="Elektrizität"/>
    <s v="Gigawattstunde"/>
    <x v="14"/>
    <x v="0"/>
    <n v="78"/>
  </r>
  <r>
    <x v="10"/>
    <s v="Endenergieverbrauch - Industriesektor - Bauwesen - energetischer Verbrauch"/>
    <s v="Elektrizität"/>
    <s v="Gigawattstunde"/>
    <x v="15"/>
    <x v="0"/>
    <n v="76.599999999999994"/>
  </r>
  <r>
    <x v="10"/>
    <s v="Endenergieverbrauch - Industriesektor - Bauwesen - energetischer Verbrauch"/>
    <s v="Elektrizität"/>
    <s v="Gigawattstunde"/>
    <x v="16"/>
    <x v="0"/>
    <n v="77.900000000000006"/>
  </r>
  <r>
    <x v="11"/>
    <s v="Endenergieverbrauch - Industriesektor - Bauwesen - energetischer Verbrauch"/>
    <s v="Elektrizität"/>
    <s v="Gigawattstunde"/>
    <x v="0"/>
    <x v="0"/>
    <n v="1325"/>
  </r>
  <r>
    <x v="11"/>
    <s v="Endenergieverbrauch - Industriesektor - Bauwesen - energetischer Verbrauch"/>
    <s v="Elektrizität"/>
    <s v="Gigawattstunde"/>
    <x v="1"/>
    <x v="0"/>
    <n v="1509"/>
  </r>
  <r>
    <x v="11"/>
    <s v="Endenergieverbrauch - Industriesektor - Bauwesen - energetischer Verbrauch"/>
    <s v="Elektrizität"/>
    <s v="Gigawattstunde"/>
    <x v="2"/>
    <x v="0"/>
    <n v="1608"/>
  </r>
  <r>
    <x v="11"/>
    <s v="Endenergieverbrauch - Industriesektor - Bauwesen - energetischer Verbrauch"/>
    <s v="Elektrizität"/>
    <s v="Gigawattstunde"/>
    <x v="3"/>
    <x v="0"/>
    <n v="1709"/>
  </r>
  <r>
    <x v="11"/>
    <s v="Endenergieverbrauch - Industriesektor - Bauwesen - energetischer Verbrauch"/>
    <s v="Elektrizität"/>
    <s v="Gigawattstunde"/>
    <x v="4"/>
    <x v="0"/>
    <n v="1755"/>
  </r>
  <r>
    <x v="11"/>
    <s v="Endenergieverbrauch - Industriesektor - Bauwesen - energetischer Verbrauch"/>
    <s v="Elektrizität"/>
    <s v="Gigawattstunde"/>
    <x v="5"/>
    <x v="0"/>
    <n v="1797"/>
  </r>
  <r>
    <x v="11"/>
    <s v="Endenergieverbrauch - Industriesektor - Bauwesen - energetischer Verbrauch"/>
    <s v="Elektrizität"/>
    <s v="Gigawattstunde"/>
    <x v="6"/>
    <x v="0"/>
    <n v="1888"/>
  </r>
  <r>
    <x v="11"/>
    <s v="Endenergieverbrauch - Industriesektor - Bauwesen - energetischer Verbrauch"/>
    <s v="Elektrizität"/>
    <s v="Gigawattstunde"/>
    <x v="7"/>
    <x v="0"/>
    <n v="1808"/>
  </r>
  <r>
    <x v="11"/>
    <s v="Endenergieverbrauch - Industriesektor - Bauwesen - energetischer Verbrauch"/>
    <s v="Elektrizität"/>
    <s v="Gigawattstunde"/>
    <x v="8"/>
    <x v="0"/>
    <n v="1752"/>
  </r>
  <r>
    <x v="11"/>
    <s v="Endenergieverbrauch - Industriesektor - Bauwesen - energetischer Verbrauch"/>
    <s v="Elektrizität"/>
    <s v="Gigawattstunde"/>
    <x v="9"/>
    <x v="0"/>
    <n v="1640"/>
  </r>
  <r>
    <x v="11"/>
    <s v="Endenergieverbrauch - Industriesektor - Bauwesen - energetischer Verbrauch"/>
    <s v="Elektrizität"/>
    <s v="Gigawattstunde"/>
    <x v="10"/>
    <x v="0"/>
    <n v="1446"/>
  </r>
  <r>
    <x v="11"/>
    <s v="Endenergieverbrauch - Industriesektor - Bauwesen - energetischer Verbrauch"/>
    <s v="Elektrizität"/>
    <s v="Gigawattstunde"/>
    <x v="11"/>
    <x v="0"/>
    <n v="1290"/>
  </r>
  <r>
    <x v="11"/>
    <s v="Endenergieverbrauch - Industriesektor - Bauwesen - energetischer Verbrauch"/>
    <s v="Elektrizität"/>
    <s v="Gigawattstunde"/>
    <x v="12"/>
    <x v="0"/>
    <n v="1251"/>
  </r>
  <r>
    <x v="11"/>
    <s v="Endenergieverbrauch - Industriesektor - Bauwesen - energetischer Verbrauch"/>
    <s v="Elektrizität"/>
    <s v="Gigawattstunde"/>
    <x v="13"/>
    <x v="0"/>
    <n v="1355"/>
  </r>
  <r>
    <x v="11"/>
    <s v="Endenergieverbrauch - Industriesektor - Bauwesen - energetischer Verbrauch"/>
    <s v="Elektrizität"/>
    <s v="Gigawattstunde"/>
    <x v="14"/>
    <x v="0"/>
    <n v="1353"/>
  </r>
  <r>
    <x v="11"/>
    <s v="Endenergieverbrauch - Industriesektor - Bauwesen - energetischer Verbrauch"/>
    <s v="Elektrizität"/>
    <s v="Gigawattstunde"/>
    <x v="15"/>
    <x v="0"/>
    <n v="1385.999"/>
  </r>
  <r>
    <x v="11"/>
    <s v="Endenergieverbrauch - Industriesektor - Bauwesen - energetischer Verbrauch"/>
    <s v="Elektrizität"/>
    <s v="Gigawattstunde"/>
    <x v="16"/>
    <x v="0"/>
    <n v="1419.489"/>
  </r>
  <r>
    <x v="12"/>
    <s v="Endenergieverbrauch - Industriesektor - Bauwesen - energetischer Verbrauch"/>
    <s v="Elektrizität"/>
    <s v="Gigawattstunde"/>
    <x v="0"/>
    <x v="0"/>
    <n v="4"/>
  </r>
  <r>
    <x v="12"/>
    <s v="Endenergieverbrauch - Industriesektor - Bauwesen - energetischer Verbrauch"/>
    <s v="Elektrizität"/>
    <s v="Gigawattstunde"/>
    <x v="1"/>
    <x v="0"/>
    <n v="6"/>
  </r>
  <r>
    <x v="12"/>
    <s v="Endenergieverbrauch - Industriesektor - Bauwesen - energetischer Verbrauch"/>
    <s v="Elektrizität"/>
    <s v="Gigawattstunde"/>
    <x v="2"/>
    <x v="0"/>
    <n v="7"/>
  </r>
  <r>
    <x v="12"/>
    <s v="Endenergieverbrauch - Industriesektor - Bauwesen - energetischer Verbrauch"/>
    <s v="Elektrizität"/>
    <s v="Gigawattstunde"/>
    <x v="3"/>
    <x v="0"/>
    <n v="8"/>
  </r>
  <r>
    <x v="12"/>
    <s v="Endenergieverbrauch - Industriesektor - Bauwesen - energetischer Verbrauch"/>
    <s v="Elektrizität"/>
    <s v="Gigawattstunde"/>
    <x v="4"/>
    <x v="0"/>
    <n v="9"/>
  </r>
  <r>
    <x v="12"/>
    <s v="Endenergieverbrauch - Industriesektor - Bauwesen - energetischer Verbrauch"/>
    <s v="Elektrizität"/>
    <s v="Gigawattstunde"/>
    <x v="5"/>
    <x v="0"/>
    <n v="10"/>
  </r>
  <r>
    <x v="12"/>
    <s v="Endenergieverbrauch - Industriesektor - Bauwesen - energetischer Verbrauch"/>
    <s v="Elektrizität"/>
    <s v="Gigawattstunde"/>
    <x v="6"/>
    <x v="0"/>
    <n v="12"/>
  </r>
  <r>
    <x v="12"/>
    <s v="Endenergieverbrauch - Industriesektor - Bauwesen - energetischer Verbrauch"/>
    <s v="Elektrizität"/>
    <s v="Gigawattstunde"/>
    <x v="7"/>
    <x v="0"/>
    <n v="11"/>
  </r>
  <r>
    <x v="12"/>
    <s v="Endenergieverbrauch - Industriesektor - Bauwesen - energetischer Verbrauch"/>
    <s v="Elektrizität"/>
    <s v="Gigawattstunde"/>
    <x v="8"/>
    <x v="0"/>
    <n v="12"/>
  </r>
  <r>
    <x v="12"/>
    <s v="Endenergieverbrauch - Industriesektor - Bauwesen - energetischer Verbrauch"/>
    <s v="Elektrizität"/>
    <s v="Gigawattstunde"/>
    <x v="9"/>
    <x v="0"/>
    <n v="12"/>
  </r>
  <r>
    <x v="12"/>
    <s v="Endenergieverbrauch - Industriesektor - Bauwesen - energetischer Verbrauch"/>
    <s v="Elektrizität"/>
    <s v="Gigawattstunde"/>
    <x v="10"/>
    <x v="0"/>
    <n v="10"/>
  </r>
  <r>
    <x v="12"/>
    <s v="Endenergieverbrauch - Industriesektor - Bauwesen - energetischer Verbrauch"/>
    <s v="Elektrizität"/>
    <s v="Gigawattstunde"/>
    <x v="11"/>
    <x v="0"/>
    <n v="6"/>
  </r>
  <r>
    <x v="12"/>
    <s v="Endenergieverbrauch - Industriesektor - Bauwesen - energetischer Verbrauch"/>
    <s v="Elektrizität"/>
    <s v="Gigawattstunde"/>
    <x v="12"/>
    <x v="0"/>
    <n v="5"/>
  </r>
  <r>
    <x v="12"/>
    <s v="Endenergieverbrauch - Industriesektor - Bauwesen - energetischer Verbrauch"/>
    <s v="Elektrizität"/>
    <s v="Gigawattstunde"/>
    <x v="13"/>
    <x v="0"/>
    <n v="4"/>
  </r>
  <r>
    <x v="12"/>
    <s v="Endenergieverbrauch - Industriesektor - Bauwesen - energetischer Verbrauch"/>
    <s v="Elektrizität"/>
    <s v="Gigawattstunde"/>
    <x v="14"/>
    <x v="0"/>
    <n v="4"/>
  </r>
  <r>
    <x v="12"/>
    <s v="Endenergieverbrauch - Industriesektor - Bauwesen - energetischer Verbrauch"/>
    <s v="Elektrizität"/>
    <s v="Gigawattstunde"/>
    <x v="15"/>
    <x v="0"/>
    <n v="4.899"/>
  </r>
  <r>
    <x v="12"/>
    <s v="Endenergieverbrauch - Industriesektor - Bauwesen - energetischer Verbrauch"/>
    <s v="Elektrizität"/>
    <s v="Gigawattstunde"/>
    <x v="16"/>
    <x v="0"/>
    <n v="6.7569999999999997"/>
  </r>
  <r>
    <x v="13"/>
    <s v="Endenergieverbrauch - Industriesektor - Bauwesen - energetischer Verbrauch"/>
    <s v="Elektrizität"/>
    <s v="Gigawattstunde"/>
    <x v="0"/>
    <x v="0"/>
    <n v="72"/>
  </r>
  <r>
    <x v="13"/>
    <s v="Endenergieverbrauch - Industriesektor - Bauwesen - energetischer Verbrauch"/>
    <s v="Elektrizität"/>
    <s v="Gigawattstunde"/>
    <x v="1"/>
    <x v="0"/>
    <n v="81"/>
  </r>
  <r>
    <x v="13"/>
    <s v="Endenergieverbrauch - Industriesektor - Bauwesen - energetischer Verbrauch"/>
    <s v="Elektrizität"/>
    <s v="Gigawattstunde"/>
    <x v="2"/>
    <x v="0"/>
    <n v="88"/>
  </r>
  <r>
    <x v="13"/>
    <s v="Endenergieverbrauch - Industriesektor - Bauwesen - energetischer Verbrauch"/>
    <s v="Elektrizität"/>
    <s v="Gigawattstunde"/>
    <x v="3"/>
    <x v="0"/>
    <n v="103"/>
  </r>
  <r>
    <x v="13"/>
    <s v="Endenergieverbrauch - Industriesektor - Bauwesen - energetischer Verbrauch"/>
    <s v="Elektrizität"/>
    <s v="Gigawattstunde"/>
    <x v="4"/>
    <x v="0"/>
    <n v="119"/>
  </r>
  <r>
    <x v="13"/>
    <s v="Endenergieverbrauch - Industriesektor - Bauwesen - energetischer Verbrauch"/>
    <s v="Elektrizität"/>
    <s v="Gigawattstunde"/>
    <x v="5"/>
    <x v="0"/>
    <n v="111"/>
  </r>
  <r>
    <x v="13"/>
    <s v="Endenergieverbrauch - Industriesektor - Bauwesen - energetischer Verbrauch"/>
    <s v="Elektrizität"/>
    <s v="Gigawattstunde"/>
    <x v="6"/>
    <x v="0"/>
    <n v="146"/>
  </r>
  <r>
    <x v="13"/>
    <s v="Endenergieverbrauch - Industriesektor - Bauwesen - energetischer Verbrauch"/>
    <s v="Elektrizität"/>
    <s v="Gigawattstunde"/>
    <x v="7"/>
    <x v="0"/>
    <n v="117"/>
  </r>
  <r>
    <x v="13"/>
    <s v="Endenergieverbrauch - Industriesektor - Bauwesen - energetischer Verbrauch"/>
    <s v="Elektrizität"/>
    <s v="Gigawattstunde"/>
    <x v="8"/>
    <x v="0"/>
    <n v="106"/>
  </r>
  <r>
    <x v="13"/>
    <s v="Endenergieverbrauch - Industriesektor - Bauwesen - energetischer Verbrauch"/>
    <s v="Elektrizität"/>
    <s v="Gigawattstunde"/>
    <x v="9"/>
    <x v="0"/>
    <n v="91"/>
  </r>
  <r>
    <x v="13"/>
    <s v="Endenergieverbrauch - Industriesektor - Bauwesen - energetischer Verbrauch"/>
    <s v="Elektrizität"/>
    <s v="Gigawattstunde"/>
    <x v="10"/>
    <x v="0"/>
    <n v="84"/>
  </r>
  <r>
    <x v="13"/>
    <s v="Endenergieverbrauch - Industriesektor - Bauwesen - energetischer Verbrauch"/>
    <s v="Elektrizität"/>
    <s v="Gigawattstunde"/>
    <x v="11"/>
    <x v="0"/>
    <n v="70"/>
  </r>
  <r>
    <x v="13"/>
    <s v="Endenergieverbrauch - Industriesektor - Bauwesen - energetischer Verbrauch"/>
    <s v="Elektrizität"/>
    <s v="Gigawattstunde"/>
    <x v="12"/>
    <x v="0"/>
    <n v="78"/>
  </r>
  <r>
    <x v="13"/>
    <s v="Endenergieverbrauch - Industriesektor - Bauwesen - energetischer Verbrauch"/>
    <s v="Elektrizität"/>
    <s v="Gigawattstunde"/>
    <x v="13"/>
    <x v="0"/>
    <n v="74"/>
  </r>
  <r>
    <x v="13"/>
    <s v="Endenergieverbrauch - Industriesektor - Bauwesen - energetischer Verbrauch"/>
    <s v="Elektrizität"/>
    <s v="Gigawattstunde"/>
    <x v="14"/>
    <x v="0"/>
    <n v="66"/>
  </r>
  <r>
    <x v="13"/>
    <s v="Endenergieverbrauch - Industriesektor - Bauwesen - energetischer Verbrauch"/>
    <s v="Elektrizität"/>
    <s v="Gigawattstunde"/>
    <x v="15"/>
    <x v="0"/>
    <n v="67.581999999999994"/>
  </r>
  <r>
    <x v="13"/>
    <s v="Endenergieverbrauch - Industriesektor - Bauwesen - energetischer Verbrauch"/>
    <s v="Elektrizität"/>
    <s v="Gigawattstunde"/>
    <x v="16"/>
    <x v="0"/>
    <n v="70.355999999999995"/>
  </r>
  <r>
    <x v="14"/>
    <s v="Endenergieverbrauch - Industriesektor - Bauwesen - energetischer Verbrauch"/>
    <s v="Elektrizität"/>
    <s v="Gigawattstunde"/>
    <x v="0"/>
    <x v="0"/>
    <n v="98"/>
  </r>
  <r>
    <x v="14"/>
    <s v="Endenergieverbrauch - Industriesektor - Bauwesen - energetischer Verbrauch"/>
    <s v="Elektrizität"/>
    <s v="Gigawattstunde"/>
    <x v="1"/>
    <x v="0"/>
    <n v="102"/>
  </r>
  <r>
    <x v="14"/>
    <s v="Endenergieverbrauch - Industriesektor - Bauwesen - energetischer Verbrauch"/>
    <s v="Elektrizität"/>
    <s v="Gigawattstunde"/>
    <x v="2"/>
    <x v="0"/>
    <n v="109"/>
  </r>
  <r>
    <x v="14"/>
    <s v="Endenergieverbrauch - Industriesektor - Bauwesen - energetischer Verbrauch"/>
    <s v="Elektrizität"/>
    <s v="Gigawattstunde"/>
    <x v="3"/>
    <x v="0"/>
    <n v="117"/>
  </r>
  <r>
    <x v="14"/>
    <s v="Endenergieverbrauch - Industriesektor - Bauwesen - energetischer Verbrauch"/>
    <s v="Elektrizität"/>
    <s v="Gigawattstunde"/>
    <x v="4"/>
    <x v="0"/>
    <n v="123"/>
  </r>
  <r>
    <x v="14"/>
    <s v="Endenergieverbrauch - Industriesektor - Bauwesen - energetischer Verbrauch"/>
    <s v="Elektrizität"/>
    <s v="Gigawattstunde"/>
    <x v="5"/>
    <x v="0"/>
    <n v="131"/>
  </r>
  <r>
    <x v="14"/>
    <s v="Endenergieverbrauch - Industriesektor - Bauwesen - energetischer Verbrauch"/>
    <s v="Elektrizität"/>
    <s v="Gigawattstunde"/>
    <x v="6"/>
    <x v="0"/>
    <n v="130"/>
  </r>
  <r>
    <x v="14"/>
    <s v="Endenergieverbrauch - Industriesektor - Bauwesen - energetischer Verbrauch"/>
    <s v="Elektrizität"/>
    <s v="Gigawattstunde"/>
    <x v="7"/>
    <x v="0"/>
    <n v="103"/>
  </r>
  <r>
    <x v="14"/>
    <s v="Endenergieverbrauch - Industriesektor - Bauwesen - energetischer Verbrauch"/>
    <s v="Elektrizität"/>
    <s v="Gigawattstunde"/>
    <x v="8"/>
    <x v="0"/>
    <n v="106"/>
  </r>
  <r>
    <x v="14"/>
    <s v="Endenergieverbrauch - Industriesektor - Bauwesen - energetischer Verbrauch"/>
    <s v="Elektrizität"/>
    <s v="Gigawattstunde"/>
    <x v="9"/>
    <x v="0"/>
    <n v="102"/>
  </r>
  <r>
    <x v="14"/>
    <s v="Endenergieverbrauch - Industriesektor - Bauwesen - energetischer Verbrauch"/>
    <s v="Elektrizität"/>
    <s v="Gigawattstunde"/>
    <x v="10"/>
    <x v="0"/>
    <n v="100"/>
  </r>
  <r>
    <x v="14"/>
    <s v="Endenergieverbrauch - Industriesektor - Bauwesen - energetischer Verbrauch"/>
    <s v="Elektrizität"/>
    <s v="Gigawattstunde"/>
    <x v="11"/>
    <x v="0"/>
    <n v="108"/>
  </r>
  <r>
    <x v="14"/>
    <s v="Endenergieverbrauch - Industriesektor - Bauwesen - energetischer Verbrauch"/>
    <s v="Elektrizität"/>
    <s v="Gigawattstunde"/>
    <x v="12"/>
    <x v="0"/>
    <n v="102"/>
  </r>
  <r>
    <x v="14"/>
    <s v="Endenergieverbrauch - Industriesektor - Bauwesen - energetischer Verbrauch"/>
    <s v="Elektrizität"/>
    <s v="Gigawattstunde"/>
    <x v="13"/>
    <x v="0"/>
    <n v="143"/>
  </r>
  <r>
    <x v="14"/>
    <s v="Endenergieverbrauch - Industriesektor - Bauwesen - energetischer Verbrauch"/>
    <s v="Elektrizität"/>
    <s v="Gigawattstunde"/>
    <x v="14"/>
    <x v="0"/>
    <n v="148"/>
  </r>
  <r>
    <x v="14"/>
    <s v="Endenergieverbrauch - Industriesektor - Bauwesen - energetischer Verbrauch"/>
    <s v="Elektrizität"/>
    <s v="Gigawattstunde"/>
    <x v="15"/>
    <x v="0"/>
    <n v="138.69999999999999"/>
  </r>
  <r>
    <x v="14"/>
    <s v="Endenergieverbrauch - Industriesektor - Bauwesen - energetischer Verbrauch"/>
    <s v="Elektrizität"/>
    <s v="Gigawattstunde"/>
    <x v="16"/>
    <x v="0"/>
    <n v="157.1"/>
  </r>
  <r>
    <x v="15"/>
    <s v="Endenergieverbrauch - Industriesektor - Bauwesen - energetischer Verbrauch"/>
    <s v="Elektrizität"/>
    <s v="Gigawattstunde"/>
    <x v="0"/>
    <x v="0"/>
    <n v="203.268"/>
  </r>
  <r>
    <x v="15"/>
    <s v="Endenergieverbrauch - Industriesektor - Bauwesen - energetischer Verbrauch"/>
    <s v="Elektrizität"/>
    <s v="Gigawattstunde"/>
    <x v="1"/>
    <x v="0"/>
    <n v="395.47800000000001"/>
  </r>
  <r>
    <x v="15"/>
    <s v="Endenergieverbrauch - Industriesektor - Bauwesen - energetischer Verbrauch"/>
    <s v="Elektrizität"/>
    <s v="Gigawattstunde"/>
    <x v="2"/>
    <x v="0"/>
    <n v="270.15800000000002"/>
  </r>
  <r>
    <x v="15"/>
    <s v="Endenergieverbrauch - Industriesektor - Bauwesen - energetischer Verbrauch"/>
    <s v="Elektrizität"/>
    <s v="Gigawattstunde"/>
    <x v="3"/>
    <x v="0"/>
    <n v="258.91800000000001"/>
  </r>
  <r>
    <x v="15"/>
    <s v="Endenergieverbrauch - Industriesektor - Bauwesen - energetischer Verbrauch"/>
    <s v="Elektrizität"/>
    <s v="Gigawattstunde"/>
    <x v="4"/>
    <x v="0"/>
    <n v="255.70500000000001"/>
  </r>
  <r>
    <x v="15"/>
    <s v="Endenergieverbrauch - Industriesektor - Bauwesen - energetischer Verbrauch"/>
    <s v="Elektrizität"/>
    <s v="Gigawattstunde"/>
    <x v="5"/>
    <x v="0"/>
    <n v="237.304"/>
  </r>
  <r>
    <x v="15"/>
    <s v="Endenergieverbrauch - Industriesektor - Bauwesen - energetischer Verbrauch"/>
    <s v="Elektrizität"/>
    <s v="Gigawattstunde"/>
    <x v="6"/>
    <x v="0"/>
    <n v="257.32100000000003"/>
  </r>
  <r>
    <x v="15"/>
    <s v="Endenergieverbrauch - Industriesektor - Bauwesen - energetischer Verbrauch"/>
    <s v="Elektrizität"/>
    <s v="Gigawattstunde"/>
    <x v="7"/>
    <x v="0"/>
    <n v="177.154"/>
  </r>
  <r>
    <x v="15"/>
    <s v="Endenergieverbrauch - Industriesektor - Bauwesen - energetischer Verbrauch"/>
    <s v="Elektrizität"/>
    <s v="Gigawattstunde"/>
    <x v="8"/>
    <x v="0"/>
    <n v="165.57300000000001"/>
  </r>
  <r>
    <x v="15"/>
    <s v="Endenergieverbrauch - Industriesektor - Bauwesen - energetischer Verbrauch"/>
    <s v="Elektrizität"/>
    <s v="Gigawattstunde"/>
    <x v="9"/>
    <x v="0"/>
    <n v="125.967"/>
  </r>
  <r>
    <x v="15"/>
    <s v="Endenergieverbrauch - Industriesektor - Bauwesen - energetischer Verbrauch"/>
    <s v="Elektrizität"/>
    <s v="Gigawattstunde"/>
    <x v="10"/>
    <x v="0"/>
    <n v="124.149"/>
  </r>
  <r>
    <x v="15"/>
    <s v="Endenergieverbrauch - Industriesektor - Bauwesen - energetischer Verbrauch"/>
    <s v="Elektrizität"/>
    <s v="Gigawattstunde"/>
    <x v="11"/>
    <x v="0"/>
    <n v="123.76"/>
  </r>
  <r>
    <x v="15"/>
    <s v="Endenergieverbrauch - Industriesektor - Bauwesen - energetischer Verbrauch"/>
    <s v="Elektrizität"/>
    <s v="Gigawattstunde"/>
    <x v="12"/>
    <x v="0"/>
    <n v="140.19499999999999"/>
  </r>
  <r>
    <x v="15"/>
    <s v="Endenergieverbrauch - Industriesektor - Bauwesen - energetischer Verbrauch"/>
    <s v="Elektrizität"/>
    <s v="Gigawattstunde"/>
    <x v="13"/>
    <x v="0"/>
    <n v="143.24600000000001"/>
  </r>
  <r>
    <x v="15"/>
    <s v="Endenergieverbrauch - Industriesektor - Bauwesen - energetischer Verbrauch"/>
    <s v="Elektrizität"/>
    <s v="Gigawattstunde"/>
    <x v="14"/>
    <x v="0"/>
    <n v="175.43100000000001"/>
  </r>
  <r>
    <x v="15"/>
    <s v="Endenergieverbrauch - Industriesektor - Bauwesen - energetischer Verbrauch"/>
    <s v="Elektrizität"/>
    <s v="Gigawattstunde"/>
    <x v="15"/>
    <x v="0"/>
    <n v="180.739"/>
  </r>
  <r>
    <x v="15"/>
    <s v="Endenergieverbrauch - Industriesektor - Bauwesen - energetischer Verbrauch"/>
    <s v="Elektrizität"/>
    <s v="Gigawattstunde"/>
    <x v="16"/>
    <x v="0"/>
    <n v="192.23099999999999"/>
  </r>
  <r>
    <x v="16"/>
    <s v="Endenergieverbrauch - Industriesektor - Bauwesen - energetischer Verbrauch"/>
    <s v="Elektrizität"/>
    <s v="Gigawattstunde"/>
    <x v="0"/>
    <x v="0"/>
    <n v="58"/>
  </r>
  <r>
    <x v="16"/>
    <s v="Endenergieverbrauch - Industriesektor - Bauwesen - energetischer Verbrauch"/>
    <s v="Elektrizität"/>
    <s v="Gigawattstunde"/>
    <x v="1"/>
    <x v="0"/>
    <n v="89"/>
  </r>
  <r>
    <x v="16"/>
    <s v="Endenergieverbrauch - Industriesektor - Bauwesen - energetischer Verbrauch"/>
    <s v="Elektrizität"/>
    <s v="Gigawattstunde"/>
    <x v="2"/>
    <x v="0"/>
    <n v="56"/>
  </r>
  <r>
    <x v="16"/>
    <s v="Endenergieverbrauch - Industriesektor - Bauwesen - energetischer Verbrauch"/>
    <s v="Elektrizität"/>
    <s v="Gigawattstunde"/>
    <x v="3"/>
    <x v="0"/>
    <n v="74"/>
  </r>
  <r>
    <x v="16"/>
    <s v="Endenergieverbrauch - Industriesektor - Bauwesen - energetischer Verbrauch"/>
    <s v="Elektrizität"/>
    <s v="Gigawattstunde"/>
    <x v="4"/>
    <x v="0"/>
    <n v="73"/>
  </r>
  <r>
    <x v="16"/>
    <s v="Endenergieverbrauch - Industriesektor - Bauwesen - energetischer Verbrauch"/>
    <s v="Elektrizität"/>
    <s v="Gigawattstunde"/>
    <x v="5"/>
    <x v="0"/>
    <n v="67"/>
  </r>
  <r>
    <x v="16"/>
    <s v="Endenergieverbrauch - Industriesektor - Bauwesen - energetischer Verbrauch"/>
    <s v="Elektrizität"/>
    <s v="Gigawattstunde"/>
    <x v="6"/>
    <x v="0"/>
    <n v="78"/>
  </r>
  <r>
    <x v="16"/>
    <s v="Endenergieverbrauch - Industriesektor - Bauwesen - energetischer Verbrauch"/>
    <s v="Elektrizität"/>
    <s v="Gigawattstunde"/>
    <x v="7"/>
    <x v="0"/>
    <n v="78"/>
  </r>
  <r>
    <x v="16"/>
    <s v="Endenergieverbrauch - Industriesektor - Bauwesen - energetischer Verbrauch"/>
    <s v="Elektrizität"/>
    <s v="Gigawattstunde"/>
    <x v="8"/>
    <x v="0"/>
    <n v="115"/>
  </r>
  <r>
    <x v="16"/>
    <s v="Endenergieverbrauch - Industriesektor - Bauwesen - energetischer Verbrauch"/>
    <s v="Elektrizität"/>
    <s v="Gigawattstunde"/>
    <x v="9"/>
    <x v="0"/>
    <n v="116"/>
  </r>
  <r>
    <x v="16"/>
    <s v="Endenergieverbrauch - Industriesektor - Bauwesen - energetischer Verbrauch"/>
    <s v="Elektrizität"/>
    <s v="Gigawattstunde"/>
    <x v="10"/>
    <x v="0"/>
    <n v="447"/>
  </r>
  <r>
    <x v="16"/>
    <s v="Endenergieverbrauch - Industriesektor - Bauwesen - energetischer Verbrauch"/>
    <s v="Elektrizität"/>
    <s v="Gigawattstunde"/>
    <x v="11"/>
    <x v="0"/>
    <n v="327"/>
  </r>
  <r>
    <x v="16"/>
    <s v="Endenergieverbrauch - Industriesektor - Bauwesen - energetischer Verbrauch"/>
    <s v="Elektrizität"/>
    <s v="Gigawattstunde"/>
    <x v="12"/>
    <x v="0"/>
    <n v="261"/>
  </r>
  <r>
    <x v="16"/>
    <s v="Endenergieverbrauch - Industriesektor - Bauwesen - energetischer Verbrauch"/>
    <s v="Elektrizität"/>
    <s v="Gigawattstunde"/>
    <x v="13"/>
    <x v="0"/>
    <n v="288"/>
  </r>
  <r>
    <x v="16"/>
    <s v="Endenergieverbrauch - Industriesektor - Bauwesen - energetischer Verbrauch"/>
    <s v="Elektrizität"/>
    <s v="Gigawattstunde"/>
    <x v="14"/>
    <x v="0"/>
    <n v="323"/>
  </r>
  <r>
    <x v="16"/>
    <s v="Endenergieverbrauch - Industriesektor - Bauwesen - energetischer Verbrauch"/>
    <s v="Elektrizität"/>
    <s v="Gigawattstunde"/>
    <x v="15"/>
    <x v="0"/>
    <n v="336"/>
  </r>
  <r>
    <x v="16"/>
    <s v="Endenergieverbrauch - Industriesektor - Bauwesen - energetischer Verbrauch"/>
    <s v="Elektrizität"/>
    <s v="Gigawattstunde"/>
    <x v="16"/>
    <x v="0"/>
    <n v="466"/>
  </r>
  <r>
    <x v="17"/>
    <s v="Endenergieverbrauch - Industriesektor - Bauwesen - energetischer Verbrauch"/>
    <s v="Elektrizität"/>
    <s v="Gigawattstunde"/>
    <x v="0"/>
    <x v="0"/>
    <n v="0"/>
  </r>
  <r>
    <x v="17"/>
    <s v="Endenergieverbrauch - Industriesektor - Bauwesen - energetischer Verbrauch"/>
    <s v="Elektrizität"/>
    <s v="Gigawattstunde"/>
    <x v="1"/>
    <x v="0"/>
    <n v="0"/>
  </r>
  <r>
    <x v="17"/>
    <s v="Endenergieverbrauch - Industriesektor - Bauwesen - energetischer Verbrauch"/>
    <s v="Elektrizität"/>
    <s v="Gigawattstunde"/>
    <x v="2"/>
    <x v="0"/>
    <n v="0"/>
  </r>
  <r>
    <x v="17"/>
    <s v="Endenergieverbrauch - Industriesektor - Bauwesen - energetischer Verbrauch"/>
    <s v="Elektrizität"/>
    <s v="Gigawattstunde"/>
    <x v="3"/>
    <x v="0"/>
    <n v="0"/>
  </r>
  <r>
    <x v="17"/>
    <s v="Endenergieverbrauch - Industriesektor - Bauwesen - energetischer Verbrauch"/>
    <s v="Elektrizität"/>
    <s v="Gigawattstunde"/>
    <x v="4"/>
    <x v="0"/>
    <n v="0"/>
  </r>
  <r>
    <x v="17"/>
    <s v="Endenergieverbrauch - Industriesektor - Bauwesen - energetischer Verbrauch"/>
    <s v="Elektrizität"/>
    <s v="Gigawattstunde"/>
    <x v="5"/>
    <x v="0"/>
    <n v="0"/>
  </r>
  <r>
    <x v="17"/>
    <s v="Endenergieverbrauch - Industriesektor - Bauwesen - energetischer Verbrauch"/>
    <s v="Elektrizität"/>
    <s v="Gigawattstunde"/>
    <x v="6"/>
    <x v="0"/>
    <n v="0"/>
  </r>
  <r>
    <x v="17"/>
    <s v="Endenergieverbrauch - Industriesektor - Bauwesen - energetischer Verbrauch"/>
    <s v="Elektrizität"/>
    <s v="Gigawattstunde"/>
    <x v="7"/>
    <x v="0"/>
    <n v="0"/>
  </r>
  <r>
    <x v="17"/>
    <s v="Endenergieverbrauch - Industriesektor - Bauwesen - energetischer Verbrauch"/>
    <s v="Elektrizität"/>
    <s v="Gigawattstunde"/>
    <x v="8"/>
    <x v="0"/>
    <n v="16"/>
  </r>
  <r>
    <x v="17"/>
    <s v="Endenergieverbrauch - Industriesektor - Bauwesen - energetischer Verbrauch"/>
    <s v="Elektrizität"/>
    <s v="Gigawattstunde"/>
    <x v="9"/>
    <x v="0"/>
    <n v="16"/>
  </r>
  <r>
    <x v="17"/>
    <s v="Endenergieverbrauch - Industriesektor - Bauwesen - energetischer Verbrauch"/>
    <s v="Elektrizität"/>
    <s v="Gigawattstunde"/>
    <x v="10"/>
    <x v="0"/>
    <n v="18"/>
  </r>
  <r>
    <x v="17"/>
    <s v="Endenergieverbrauch - Industriesektor - Bauwesen - energetischer Verbrauch"/>
    <s v="Elektrizität"/>
    <s v="Gigawattstunde"/>
    <x v="11"/>
    <x v="0"/>
    <n v="20"/>
  </r>
  <r>
    <x v="17"/>
    <s v="Endenergieverbrauch - Industriesektor - Bauwesen - energetischer Verbrauch"/>
    <s v="Elektrizität"/>
    <s v="Gigawattstunde"/>
    <x v="12"/>
    <x v="0"/>
    <n v="26"/>
  </r>
  <r>
    <x v="17"/>
    <s v="Endenergieverbrauch - Industriesektor - Bauwesen - energetischer Verbrauch"/>
    <s v="Elektrizität"/>
    <s v="Gigawattstunde"/>
    <x v="13"/>
    <x v="0"/>
    <n v="28"/>
  </r>
  <r>
    <x v="17"/>
    <s v="Endenergieverbrauch - Industriesektor - Bauwesen - energetischer Verbrauch"/>
    <s v="Elektrizität"/>
    <s v="Gigawattstunde"/>
    <x v="14"/>
    <x v="0"/>
    <n v="24"/>
  </r>
  <r>
    <x v="17"/>
    <s v="Endenergieverbrauch - Industriesektor - Bauwesen - energetischer Verbrauch"/>
    <s v="Elektrizität"/>
    <s v="Gigawattstunde"/>
    <x v="15"/>
    <x v="0"/>
    <n v="26.635000000000002"/>
  </r>
  <r>
    <x v="17"/>
    <s v="Endenergieverbrauch - Industriesektor - Bauwesen - energetischer Verbrauch"/>
    <s v="Elektrizität"/>
    <s v="Gigawattstunde"/>
    <x v="16"/>
    <x v="0"/>
    <n v="27.37"/>
  </r>
  <r>
    <x v="18"/>
    <s v="Endenergieverbrauch - Industriesektor - Bauwesen - energetischer Verbrauch"/>
    <s v="Elektrizität"/>
    <s v="Gigawattstunde"/>
    <x v="0"/>
    <x v="0"/>
    <n v="1035"/>
  </r>
  <r>
    <x v="18"/>
    <s v="Endenergieverbrauch - Industriesektor - Bauwesen - energetischer Verbrauch"/>
    <s v="Elektrizität"/>
    <s v="Gigawattstunde"/>
    <x v="1"/>
    <x v="0"/>
    <n v="992"/>
  </r>
  <r>
    <x v="18"/>
    <s v="Endenergieverbrauch - Industriesektor - Bauwesen - energetischer Verbrauch"/>
    <s v="Elektrizität"/>
    <s v="Gigawattstunde"/>
    <x v="2"/>
    <x v="0"/>
    <n v="974"/>
  </r>
  <r>
    <x v="18"/>
    <s v="Endenergieverbrauch - Industriesektor - Bauwesen - energetischer Verbrauch"/>
    <s v="Elektrizität"/>
    <s v="Gigawattstunde"/>
    <x v="3"/>
    <x v="0"/>
    <n v="972"/>
  </r>
  <r>
    <x v="18"/>
    <s v="Endenergieverbrauch - Industriesektor - Bauwesen - energetischer Verbrauch"/>
    <s v="Elektrizität"/>
    <s v="Gigawattstunde"/>
    <x v="4"/>
    <x v="0"/>
    <n v="981"/>
  </r>
  <r>
    <x v="18"/>
    <s v="Endenergieverbrauch - Industriesektor - Bauwesen - energetischer Verbrauch"/>
    <s v="Elektrizität"/>
    <s v="Gigawattstunde"/>
    <x v="5"/>
    <x v="0"/>
    <n v="1013"/>
  </r>
  <r>
    <x v="18"/>
    <s v="Endenergieverbrauch - Industriesektor - Bauwesen - energetischer Verbrauch"/>
    <s v="Elektrizität"/>
    <s v="Gigawattstunde"/>
    <x v="6"/>
    <x v="0"/>
    <n v="1030"/>
  </r>
  <r>
    <x v="18"/>
    <s v="Endenergieverbrauch - Industriesektor - Bauwesen - energetischer Verbrauch"/>
    <s v="Elektrizität"/>
    <s v="Gigawattstunde"/>
    <x v="7"/>
    <x v="0"/>
    <n v="1018"/>
  </r>
  <r>
    <x v="18"/>
    <s v="Endenergieverbrauch - Industriesektor - Bauwesen - energetischer Verbrauch"/>
    <s v="Elektrizität"/>
    <s v="Gigawattstunde"/>
    <x v="8"/>
    <x v="0"/>
    <n v="1009"/>
  </r>
  <r>
    <x v="18"/>
    <s v="Endenergieverbrauch - Industriesektor - Bauwesen - energetischer Verbrauch"/>
    <s v="Elektrizität"/>
    <s v="Gigawattstunde"/>
    <x v="9"/>
    <x v="0"/>
    <n v="943"/>
  </r>
  <r>
    <x v="18"/>
    <s v="Endenergieverbrauch - Industriesektor - Bauwesen - energetischer Verbrauch"/>
    <s v="Elektrizität"/>
    <s v="Gigawattstunde"/>
    <x v="10"/>
    <x v="0"/>
    <n v="900.38900000000001"/>
  </r>
  <r>
    <x v="18"/>
    <s v="Endenergieverbrauch - Industriesektor - Bauwesen - energetischer Verbrauch"/>
    <s v="Elektrizität"/>
    <s v="Gigawattstunde"/>
    <x v="11"/>
    <x v="0"/>
    <n v="948.57899999999995"/>
  </r>
  <r>
    <x v="18"/>
    <s v="Endenergieverbrauch - Industriesektor - Bauwesen - energetischer Verbrauch"/>
    <s v="Elektrizität"/>
    <s v="Gigawattstunde"/>
    <x v="12"/>
    <x v="0"/>
    <n v="875.34699999999998"/>
  </r>
  <r>
    <x v="18"/>
    <s v="Endenergieverbrauch - Industriesektor - Bauwesen - energetischer Verbrauch"/>
    <s v="Elektrizität"/>
    <s v="Gigawattstunde"/>
    <x v="13"/>
    <x v="0"/>
    <n v="889.71799999999996"/>
  </r>
  <r>
    <x v="18"/>
    <s v="Endenergieverbrauch - Industriesektor - Bauwesen - energetischer Verbrauch"/>
    <s v="Elektrizität"/>
    <s v="Gigawattstunde"/>
    <x v="14"/>
    <x v="0"/>
    <n v="893.447"/>
  </r>
  <r>
    <x v="18"/>
    <s v="Endenergieverbrauch - Industriesektor - Bauwesen - energetischer Verbrauch"/>
    <s v="Elektrizität"/>
    <s v="Gigawattstunde"/>
    <x v="15"/>
    <x v="0"/>
    <n v="973.76800000000003"/>
  </r>
  <r>
    <x v="18"/>
    <s v="Endenergieverbrauch - Industriesektor - Bauwesen - energetischer Verbrauch"/>
    <s v="Elektrizität"/>
    <s v="Gigawattstunde"/>
    <x v="16"/>
    <x v="0"/>
    <n v="1037.4749999999999"/>
  </r>
  <r>
    <x v="19"/>
    <s v="Endenergieverbrauch - Industriesektor - Bauwesen - energetischer Verbrauch"/>
    <s v="Elektrizität"/>
    <s v="Gigawattstunde"/>
    <x v="0"/>
    <x v="0"/>
    <n v="374"/>
  </r>
  <r>
    <x v="19"/>
    <s v="Endenergieverbrauch - Industriesektor - Bauwesen - energetischer Verbrauch"/>
    <s v="Elektrizität"/>
    <s v="Gigawattstunde"/>
    <x v="1"/>
    <x v="0"/>
    <n v="512"/>
  </r>
  <r>
    <x v="19"/>
    <s v="Endenergieverbrauch - Industriesektor - Bauwesen - energetischer Verbrauch"/>
    <s v="Elektrizität"/>
    <s v="Gigawattstunde"/>
    <x v="2"/>
    <x v="0"/>
    <n v="646"/>
  </r>
  <r>
    <x v="19"/>
    <s v="Endenergieverbrauch - Industriesektor - Bauwesen - energetischer Verbrauch"/>
    <s v="Elektrizität"/>
    <s v="Gigawattstunde"/>
    <x v="3"/>
    <x v="0"/>
    <n v="694.75400000000002"/>
  </r>
  <r>
    <x v="19"/>
    <s v="Endenergieverbrauch - Industriesektor - Bauwesen - energetischer Verbrauch"/>
    <s v="Elektrizität"/>
    <s v="Gigawattstunde"/>
    <x v="4"/>
    <x v="0"/>
    <n v="740.08199999999999"/>
  </r>
  <r>
    <x v="19"/>
    <s v="Endenergieverbrauch - Industriesektor - Bauwesen - energetischer Verbrauch"/>
    <s v="Elektrizität"/>
    <s v="Gigawattstunde"/>
    <x v="5"/>
    <x v="0"/>
    <n v="676.85400000000004"/>
  </r>
  <r>
    <x v="19"/>
    <s v="Endenergieverbrauch - Industriesektor - Bauwesen - energetischer Verbrauch"/>
    <s v="Elektrizität"/>
    <s v="Gigawattstunde"/>
    <x v="6"/>
    <x v="0"/>
    <n v="553.51599999999996"/>
  </r>
  <r>
    <x v="19"/>
    <s v="Endenergieverbrauch - Industriesektor - Bauwesen - energetischer Verbrauch"/>
    <s v="Elektrizität"/>
    <s v="Gigawattstunde"/>
    <x v="7"/>
    <x v="0"/>
    <n v="686.88699999999994"/>
  </r>
  <r>
    <x v="19"/>
    <s v="Endenergieverbrauch - Industriesektor - Bauwesen - energetischer Verbrauch"/>
    <s v="Elektrizität"/>
    <s v="Gigawattstunde"/>
    <x v="8"/>
    <x v="0"/>
    <n v="611.49300000000005"/>
  </r>
  <r>
    <x v="19"/>
    <s v="Endenergieverbrauch - Industriesektor - Bauwesen - energetischer Verbrauch"/>
    <s v="Elektrizität"/>
    <s v="Gigawattstunde"/>
    <x v="9"/>
    <x v="0"/>
    <n v="640.05200000000002"/>
  </r>
  <r>
    <x v="19"/>
    <s v="Endenergieverbrauch - Industriesektor - Bauwesen - energetischer Verbrauch"/>
    <s v="Elektrizität"/>
    <s v="Gigawattstunde"/>
    <x v="10"/>
    <x v="0"/>
    <n v="640.30499999999995"/>
  </r>
  <r>
    <x v="19"/>
    <s v="Endenergieverbrauch - Industriesektor - Bauwesen - energetischer Verbrauch"/>
    <s v="Elektrizität"/>
    <s v="Gigawattstunde"/>
    <x v="11"/>
    <x v="0"/>
    <n v="606.10299999999995"/>
  </r>
  <r>
    <x v="19"/>
    <s v="Endenergieverbrauch - Industriesektor - Bauwesen - energetischer Verbrauch"/>
    <s v="Elektrizität"/>
    <s v="Gigawattstunde"/>
    <x v="12"/>
    <x v="0"/>
    <n v="508.28199999999998"/>
  </r>
  <r>
    <x v="19"/>
    <s v="Endenergieverbrauch - Industriesektor - Bauwesen - energetischer Verbrauch"/>
    <s v="Elektrizität"/>
    <s v="Gigawattstunde"/>
    <x v="13"/>
    <x v="0"/>
    <n v="469.78"/>
  </r>
  <r>
    <x v="19"/>
    <s v="Endenergieverbrauch - Industriesektor - Bauwesen - energetischer Verbrauch"/>
    <s v="Elektrizität"/>
    <s v="Gigawattstunde"/>
    <x v="14"/>
    <x v="0"/>
    <n v="489.096"/>
  </r>
  <r>
    <x v="19"/>
    <s v="Endenergieverbrauch - Industriesektor - Bauwesen - energetischer Verbrauch"/>
    <s v="Elektrizität"/>
    <s v="Gigawattstunde"/>
    <x v="15"/>
    <x v="0"/>
    <n v="565.50800000000004"/>
  </r>
  <r>
    <x v="19"/>
    <s v="Endenergieverbrauch - Industriesektor - Bauwesen - energetischer Verbrauch"/>
    <s v="Elektrizität"/>
    <s v="Gigawattstunde"/>
    <x v="16"/>
    <x v="0"/>
    <n v="540.13400000000001"/>
  </r>
  <r>
    <x v="20"/>
    <s v="Endenergieverbrauch - Industriesektor - Bauwesen - energetischer Verbrauch"/>
    <s v="Elektrizität"/>
    <s v="Gigawattstunde"/>
    <x v="0"/>
    <x v="0"/>
    <n v="649"/>
  </r>
  <r>
    <x v="20"/>
    <s v="Endenergieverbrauch - Industriesektor - Bauwesen - energetischer Verbrauch"/>
    <s v="Elektrizität"/>
    <s v="Gigawattstunde"/>
    <x v="1"/>
    <x v="0"/>
    <n v="666"/>
  </r>
  <r>
    <x v="20"/>
    <s v="Endenergieverbrauch - Industriesektor - Bauwesen - energetischer Verbrauch"/>
    <s v="Elektrizität"/>
    <s v="Gigawattstunde"/>
    <x v="2"/>
    <x v="0"/>
    <n v="509"/>
  </r>
  <r>
    <x v="20"/>
    <s v="Endenergieverbrauch - Industriesektor - Bauwesen - energetischer Verbrauch"/>
    <s v="Elektrizität"/>
    <s v="Gigawattstunde"/>
    <x v="3"/>
    <x v="0"/>
    <n v="522"/>
  </r>
  <r>
    <x v="20"/>
    <s v="Endenergieverbrauch - Industriesektor - Bauwesen - energetischer Verbrauch"/>
    <s v="Elektrizität"/>
    <s v="Gigawattstunde"/>
    <x v="4"/>
    <x v="0"/>
    <n v="571"/>
  </r>
  <r>
    <x v="20"/>
    <s v="Endenergieverbrauch - Industriesektor - Bauwesen - energetischer Verbrauch"/>
    <s v="Elektrizität"/>
    <s v="Gigawattstunde"/>
    <x v="5"/>
    <x v="0"/>
    <n v="780"/>
  </r>
  <r>
    <x v="20"/>
    <s v="Endenergieverbrauch - Industriesektor - Bauwesen - energetischer Verbrauch"/>
    <s v="Elektrizität"/>
    <s v="Gigawattstunde"/>
    <x v="6"/>
    <x v="0"/>
    <n v="674"/>
  </r>
  <r>
    <x v="20"/>
    <s v="Endenergieverbrauch - Industriesektor - Bauwesen - energetischer Verbrauch"/>
    <s v="Elektrizität"/>
    <s v="Gigawattstunde"/>
    <x v="7"/>
    <x v="0"/>
    <n v="746"/>
  </r>
  <r>
    <x v="20"/>
    <s v="Endenergieverbrauch - Industriesektor - Bauwesen - energetischer Verbrauch"/>
    <s v="Elektrizität"/>
    <s v="Gigawattstunde"/>
    <x v="8"/>
    <x v="0"/>
    <n v="770"/>
  </r>
  <r>
    <x v="20"/>
    <s v="Endenergieverbrauch - Industriesektor - Bauwesen - energetischer Verbrauch"/>
    <s v="Elektrizität"/>
    <s v="Gigawattstunde"/>
    <x v="9"/>
    <x v="0"/>
    <n v="796"/>
  </r>
  <r>
    <x v="20"/>
    <s v="Endenergieverbrauch - Industriesektor - Bauwesen - energetischer Verbrauch"/>
    <s v="Elektrizität"/>
    <s v="Gigawattstunde"/>
    <x v="10"/>
    <x v="0"/>
    <n v="809"/>
  </r>
  <r>
    <x v="20"/>
    <s v="Endenergieverbrauch - Industriesektor - Bauwesen - energetischer Verbrauch"/>
    <s v="Elektrizität"/>
    <s v="Gigawattstunde"/>
    <x v="11"/>
    <x v="0"/>
    <n v="784"/>
  </r>
  <r>
    <x v="20"/>
    <s v="Endenergieverbrauch - Industriesektor - Bauwesen - energetischer Verbrauch"/>
    <s v="Elektrizität"/>
    <s v="Gigawattstunde"/>
    <x v="12"/>
    <x v="0"/>
    <n v="754"/>
  </r>
  <r>
    <x v="20"/>
    <s v="Endenergieverbrauch - Industriesektor - Bauwesen - energetischer Verbrauch"/>
    <s v="Elektrizität"/>
    <s v="Gigawattstunde"/>
    <x v="13"/>
    <x v="0"/>
    <n v="825"/>
  </r>
  <r>
    <x v="20"/>
    <s v="Endenergieverbrauch - Industriesektor - Bauwesen - energetischer Verbrauch"/>
    <s v="Elektrizität"/>
    <s v="Gigawattstunde"/>
    <x v="14"/>
    <x v="0"/>
    <n v="860"/>
  </r>
  <r>
    <x v="20"/>
    <s v="Endenergieverbrauch - Industriesektor - Bauwesen - energetischer Verbrauch"/>
    <s v="Elektrizität"/>
    <s v="Gigawattstunde"/>
    <x v="15"/>
    <x v="0"/>
    <n v="903"/>
  </r>
  <r>
    <x v="20"/>
    <s v="Endenergieverbrauch - Industriesektor - Bauwesen - energetischer Verbrauch"/>
    <s v="Elektrizität"/>
    <s v="Gigawattstunde"/>
    <x v="16"/>
    <x v="0"/>
    <n v="984.80499999999995"/>
  </r>
  <r>
    <x v="21"/>
    <s v="Endenergieverbrauch - Industriesektor - Bauwesen - energetischer Verbrauch"/>
    <s v="Elektrizität"/>
    <s v="Gigawattstunde"/>
    <x v="0"/>
    <x v="0"/>
    <n v="672"/>
  </r>
  <r>
    <x v="21"/>
    <s v="Endenergieverbrauch - Industriesektor - Bauwesen - energetischer Verbrauch"/>
    <s v="Elektrizität"/>
    <s v="Gigawattstunde"/>
    <x v="1"/>
    <x v="0"/>
    <n v="680"/>
  </r>
  <r>
    <x v="21"/>
    <s v="Endenergieverbrauch - Industriesektor - Bauwesen - energetischer Verbrauch"/>
    <s v="Elektrizität"/>
    <s v="Gigawattstunde"/>
    <x v="2"/>
    <x v="0"/>
    <n v="689"/>
  </r>
  <r>
    <x v="21"/>
    <s v="Endenergieverbrauch - Industriesektor - Bauwesen - energetischer Verbrauch"/>
    <s v="Elektrizität"/>
    <s v="Gigawattstunde"/>
    <x v="3"/>
    <x v="0"/>
    <n v="651"/>
  </r>
  <r>
    <x v="21"/>
    <s v="Endenergieverbrauch - Industriesektor - Bauwesen - energetischer Verbrauch"/>
    <s v="Elektrizität"/>
    <s v="Gigawattstunde"/>
    <x v="4"/>
    <x v="0"/>
    <n v="688"/>
  </r>
  <r>
    <x v="21"/>
    <s v="Endenergieverbrauch - Industriesektor - Bauwesen - energetischer Verbrauch"/>
    <s v="Elektrizität"/>
    <s v="Gigawattstunde"/>
    <x v="5"/>
    <x v="0"/>
    <n v="636"/>
  </r>
  <r>
    <x v="21"/>
    <s v="Endenergieverbrauch - Industriesektor - Bauwesen - energetischer Verbrauch"/>
    <s v="Elektrizität"/>
    <s v="Gigawattstunde"/>
    <x v="6"/>
    <x v="0"/>
    <n v="622"/>
  </r>
  <r>
    <x v="21"/>
    <s v="Endenergieverbrauch - Industriesektor - Bauwesen - energetischer Verbrauch"/>
    <s v="Elektrizität"/>
    <s v="Gigawattstunde"/>
    <x v="7"/>
    <x v="0"/>
    <n v="647"/>
  </r>
  <r>
    <x v="21"/>
    <s v="Endenergieverbrauch - Industriesektor - Bauwesen - energetischer Verbrauch"/>
    <s v="Elektrizität"/>
    <s v="Gigawattstunde"/>
    <x v="8"/>
    <x v="0"/>
    <n v="610"/>
  </r>
  <r>
    <x v="21"/>
    <s v="Endenergieverbrauch - Industriesektor - Bauwesen - energetischer Verbrauch"/>
    <s v="Elektrizität"/>
    <s v="Gigawattstunde"/>
    <x v="9"/>
    <x v="0"/>
    <n v="564"/>
  </r>
  <r>
    <x v="21"/>
    <s v="Endenergieverbrauch - Industriesektor - Bauwesen - energetischer Verbrauch"/>
    <s v="Elektrizität"/>
    <s v="Gigawattstunde"/>
    <x v="10"/>
    <x v="0"/>
    <n v="462"/>
  </r>
  <r>
    <x v="21"/>
    <s v="Endenergieverbrauch - Industriesektor - Bauwesen - energetischer Verbrauch"/>
    <s v="Elektrizität"/>
    <s v="Gigawattstunde"/>
    <x v="11"/>
    <x v="0"/>
    <n v="360"/>
  </r>
  <r>
    <x v="21"/>
    <s v="Endenergieverbrauch - Industriesektor - Bauwesen - energetischer Verbrauch"/>
    <s v="Elektrizität"/>
    <s v="Gigawattstunde"/>
    <x v="12"/>
    <x v="0"/>
    <n v="325"/>
  </r>
  <r>
    <x v="21"/>
    <s v="Endenergieverbrauch - Industriesektor - Bauwesen - energetischer Verbrauch"/>
    <s v="Elektrizität"/>
    <s v="Gigawattstunde"/>
    <x v="13"/>
    <x v="0"/>
    <n v="314"/>
  </r>
  <r>
    <x v="21"/>
    <s v="Endenergieverbrauch - Industriesektor - Bauwesen - energetischer Verbrauch"/>
    <s v="Elektrizität"/>
    <s v="Gigawattstunde"/>
    <x v="14"/>
    <x v="0"/>
    <n v="559.40200000000004"/>
  </r>
  <r>
    <x v="21"/>
    <s v="Endenergieverbrauch - Industriesektor - Bauwesen - energetischer Verbrauch"/>
    <s v="Elektrizität"/>
    <s v="Gigawattstunde"/>
    <x v="15"/>
    <x v="0"/>
    <n v="584.654"/>
  </r>
  <r>
    <x v="21"/>
    <s v="Endenergieverbrauch - Industriesektor - Bauwesen - energetischer Verbrauch"/>
    <s v="Elektrizität"/>
    <s v="Gigawattstunde"/>
    <x v="16"/>
    <x v="0"/>
    <n v="511.70699999999999"/>
  </r>
  <r>
    <x v="22"/>
    <s v="Endenergieverbrauch - Industriesektor - Bauwesen - energetischer Verbrauch"/>
    <s v="Elektrizität"/>
    <s v="Gigawattstunde"/>
    <x v="0"/>
    <x v="0"/>
    <n v="1029"/>
  </r>
  <r>
    <x v="22"/>
    <s v="Endenergieverbrauch - Industriesektor - Bauwesen - energetischer Verbrauch"/>
    <s v="Elektrizität"/>
    <s v="Gigawattstunde"/>
    <x v="1"/>
    <x v="0"/>
    <n v="1062"/>
  </r>
  <r>
    <x v="22"/>
    <s v="Endenergieverbrauch - Industriesektor - Bauwesen - energetischer Verbrauch"/>
    <s v="Elektrizität"/>
    <s v="Gigawattstunde"/>
    <x v="2"/>
    <x v="0"/>
    <n v="680"/>
  </r>
  <r>
    <x v="22"/>
    <s v="Endenergieverbrauch - Industriesektor - Bauwesen - energetischer Verbrauch"/>
    <s v="Elektrizität"/>
    <s v="Gigawattstunde"/>
    <x v="3"/>
    <x v="0"/>
    <n v="703"/>
  </r>
  <r>
    <x v="22"/>
    <s v="Endenergieverbrauch - Industriesektor - Bauwesen - energetischer Verbrauch"/>
    <s v="Elektrizität"/>
    <s v="Gigawattstunde"/>
    <x v="4"/>
    <x v="0"/>
    <n v="813"/>
  </r>
  <r>
    <x v="22"/>
    <s v="Endenergieverbrauch - Industriesektor - Bauwesen - energetischer Verbrauch"/>
    <s v="Elektrizität"/>
    <s v="Gigawattstunde"/>
    <x v="5"/>
    <x v="0"/>
    <n v="934"/>
  </r>
  <r>
    <x v="22"/>
    <s v="Endenergieverbrauch - Industriesektor - Bauwesen - energetischer Verbrauch"/>
    <s v="Elektrizität"/>
    <s v="Gigawattstunde"/>
    <x v="6"/>
    <x v="0"/>
    <n v="842"/>
  </r>
  <r>
    <x v="22"/>
    <s v="Endenergieverbrauch - Industriesektor - Bauwesen - energetischer Verbrauch"/>
    <s v="Elektrizität"/>
    <s v="Gigawattstunde"/>
    <x v="7"/>
    <x v="0"/>
    <n v="793"/>
  </r>
  <r>
    <x v="22"/>
    <s v="Endenergieverbrauch - Industriesektor - Bauwesen - energetischer Verbrauch"/>
    <s v="Elektrizität"/>
    <s v="Gigawattstunde"/>
    <x v="8"/>
    <x v="0"/>
    <n v="697"/>
  </r>
  <r>
    <x v="22"/>
    <s v="Endenergieverbrauch - Industriesektor - Bauwesen - energetischer Verbrauch"/>
    <s v="Elektrizität"/>
    <s v="Gigawattstunde"/>
    <x v="9"/>
    <x v="0"/>
    <n v="691"/>
  </r>
  <r>
    <x v="22"/>
    <s v="Endenergieverbrauch - Industriesektor - Bauwesen - energetischer Verbrauch"/>
    <s v="Elektrizität"/>
    <s v="Gigawattstunde"/>
    <x v="10"/>
    <x v="0"/>
    <n v="720"/>
  </r>
  <r>
    <x v="22"/>
    <s v="Endenergieverbrauch - Industriesektor - Bauwesen - energetischer Verbrauch"/>
    <s v="Elektrizität"/>
    <s v="Gigawattstunde"/>
    <x v="11"/>
    <x v="0"/>
    <n v="526"/>
  </r>
  <r>
    <x v="22"/>
    <s v="Endenergieverbrauch - Industriesektor - Bauwesen - energetischer Verbrauch"/>
    <s v="Elektrizität"/>
    <s v="Gigawattstunde"/>
    <x v="12"/>
    <x v="0"/>
    <n v="483"/>
  </r>
  <r>
    <x v="22"/>
    <s v="Endenergieverbrauch - Industriesektor - Bauwesen - energetischer Verbrauch"/>
    <s v="Elektrizität"/>
    <s v="Gigawattstunde"/>
    <x v="13"/>
    <x v="0"/>
    <n v="450"/>
  </r>
  <r>
    <x v="22"/>
    <s v="Endenergieverbrauch - Industriesektor - Bauwesen - energetischer Verbrauch"/>
    <s v="Elektrizität"/>
    <s v="Gigawattstunde"/>
    <x v="14"/>
    <x v="0"/>
    <n v="429"/>
  </r>
  <r>
    <x v="22"/>
    <s v="Endenergieverbrauch - Industriesektor - Bauwesen - energetischer Verbrauch"/>
    <s v="Elektrizität"/>
    <s v="Gigawattstunde"/>
    <x v="15"/>
    <x v="0"/>
    <n v="403.46499999999997"/>
  </r>
  <r>
    <x v="22"/>
    <s v="Endenergieverbrauch - Industriesektor - Bauwesen - energetischer Verbrauch"/>
    <s v="Elektrizität"/>
    <s v="Gigawattstunde"/>
    <x v="16"/>
    <x v="0"/>
    <n v="387.899"/>
  </r>
  <r>
    <x v="23"/>
    <s v="Endenergieverbrauch - Industriesektor - Bauwesen - energetischer Verbrauch"/>
    <s v="Elektrizität"/>
    <s v="Gigawattstunde"/>
    <x v="0"/>
    <x v="0"/>
    <n v="105"/>
  </r>
  <r>
    <x v="23"/>
    <s v="Endenergieverbrauch - Industriesektor - Bauwesen - energetischer Verbrauch"/>
    <s v="Elektrizität"/>
    <s v="Gigawattstunde"/>
    <x v="1"/>
    <x v="0"/>
    <n v="46"/>
  </r>
  <r>
    <x v="23"/>
    <s v="Endenergieverbrauch - Industriesektor - Bauwesen - energetischer Verbrauch"/>
    <s v="Elektrizität"/>
    <s v="Gigawattstunde"/>
    <x v="2"/>
    <x v="0"/>
    <n v="61"/>
  </r>
  <r>
    <x v="23"/>
    <s v="Endenergieverbrauch - Industriesektor - Bauwesen - energetischer Verbrauch"/>
    <s v="Elektrizität"/>
    <s v="Gigawattstunde"/>
    <x v="3"/>
    <x v="0"/>
    <n v="142"/>
  </r>
  <r>
    <x v="23"/>
    <s v="Endenergieverbrauch - Industriesektor - Bauwesen - energetischer Verbrauch"/>
    <s v="Elektrizität"/>
    <s v="Gigawattstunde"/>
    <x v="4"/>
    <x v="0"/>
    <n v="132"/>
  </r>
  <r>
    <x v="23"/>
    <s v="Endenergieverbrauch - Industriesektor - Bauwesen - energetischer Verbrauch"/>
    <s v="Elektrizität"/>
    <s v="Gigawattstunde"/>
    <x v="5"/>
    <x v="0"/>
    <n v="78"/>
  </r>
  <r>
    <x v="23"/>
    <s v="Endenergieverbrauch - Industriesektor - Bauwesen - energetischer Verbrauch"/>
    <s v="Elektrizität"/>
    <s v="Gigawattstunde"/>
    <x v="6"/>
    <x v="0"/>
    <n v="74"/>
  </r>
  <r>
    <x v="23"/>
    <s v="Endenergieverbrauch - Industriesektor - Bauwesen - energetischer Verbrauch"/>
    <s v="Elektrizität"/>
    <s v="Gigawattstunde"/>
    <x v="7"/>
    <x v="0"/>
    <n v="64"/>
  </r>
  <r>
    <x v="23"/>
    <s v="Endenergieverbrauch - Industriesektor - Bauwesen - energetischer Verbrauch"/>
    <s v="Elektrizität"/>
    <s v="Gigawattstunde"/>
    <x v="8"/>
    <x v="0"/>
    <n v="56"/>
  </r>
  <r>
    <x v="23"/>
    <s v="Endenergieverbrauch - Industriesektor - Bauwesen - energetischer Verbrauch"/>
    <s v="Elektrizität"/>
    <s v="Gigawattstunde"/>
    <x v="9"/>
    <x v="0"/>
    <n v="53"/>
  </r>
  <r>
    <x v="23"/>
    <s v="Endenergieverbrauch - Industriesektor - Bauwesen - energetischer Verbrauch"/>
    <s v="Elektrizität"/>
    <s v="Gigawattstunde"/>
    <x v="10"/>
    <x v="0"/>
    <n v="43"/>
  </r>
  <r>
    <x v="23"/>
    <s v="Endenergieverbrauch - Industriesektor - Bauwesen - energetischer Verbrauch"/>
    <s v="Elektrizität"/>
    <s v="Gigawattstunde"/>
    <x v="11"/>
    <x v="0"/>
    <n v="41"/>
  </r>
  <r>
    <x v="23"/>
    <s v="Endenergieverbrauch - Industriesektor - Bauwesen - energetischer Verbrauch"/>
    <s v="Elektrizität"/>
    <s v="Gigawattstunde"/>
    <x v="12"/>
    <x v="0"/>
    <n v="38"/>
  </r>
  <r>
    <x v="23"/>
    <s v="Endenergieverbrauch - Industriesektor - Bauwesen - energetischer Verbrauch"/>
    <s v="Elektrizität"/>
    <s v="Gigawattstunde"/>
    <x v="13"/>
    <x v="0"/>
    <n v="45"/>
  </r>
  <r>
    <x v="23"/>
    <s v="Endenergieverbrauch - Industriesektor - Bauwesen - energetischer Verbrauch"/>
    <s v="Elektrizität"/>
    <s v="Gigawattstunde"/>
    <x v="14"/>
    <x v="0"/>
    <n v="45"/>
  </r>
  <r>
    <x v="23"/>
    <s v="Endenergieverbrauch - Industriesektor - Bauwesen - energetischer Verbrauch"/>
    <s v="Elektrizität"/>
    <s v="Gigawattstunde"/>
    <x v="15"/>
    <x v="0"/>
    <n v="48.728000000000002"/>
  </r>
  <r>
    <x v="23"/>
    <s v="Endenergieverbrauch - Industriesektor - Bauwesen - energetischer Verbrauch"/>
    <s v="Elektrizität"/>
    <s v="Gigawattstunde"/>
    <x v="16"/>
    <x v="0"/>
    <n v="80.132999999999996"/>
  </r>
  <r>
    <x v="24"/>
    <s v="Endenergieverbrauch - Industriesektor - Bauwesen - energetischer Verbrauch"/>
    <s v="Elektrizität"/>
    <s v="Gigawattstunde"/>
    <x v="0"/>
    <x v="0"/>
    <n v="124"/>
  </r>
  <r>
    <x v="24"/>
    <s v="Endenergieverbrauch - Industriesektor - Bauwesen - energetischer Verbrauch"/>
    <s v="Elektrizität"/>
    <s v="Gigawattstunde"/>
    <x v="1"/>
    <x v="0"/>
    <n v="80"/>
  </r>
  <r>
    <x v="24"/>
    <s v="Endenergieverbrauch - Industriesektor - Bauwesen - energetischer Verbrauch"/>
    <s v="Elektrizität"/>
    <s v="Gigawattstunde"/>
    <x v="2"/>
    <x v="0"/>
    <n v="74"/>
  </r>
  <r>
    <x v="24"/>
    <s v="Endenergieverbrauch - Industriesektor - Bauwesen - energetischer Verbrauch"/>
    <s v="Elektrizität"/>
    <s v="Gigawattstunde"/>
    <x v="3"/>
    <x v="0"/>
    <n v="77"/>
  </r>
  <r>
    <x v="24"/>
    <s v="Endenergieverbrauch - Industriesektor - Bauwesen - energetischer Verbrauch"/>
    <s v="Elektrizität"/>
    <s v="Gigawattstunde"/>
    <x v="4"/>
    <x v="0"/>
    <n v="74"/>
  </r>
  <r>
    <x v="24"/>
    <s v="Endenergieverbrauch - Industriesektor - Bauwesen - energetischer Verbrauch"/>
    <s v="Elektrizität"/>
    <s v="Gigawattstunde"/>
    <x v="5"/>
    <x v="0"/>
    <n v="90"/>
  </r>
  <r>
    <x v="24"/>
    <s v="Endenergieverbrauch - Industriesektor - Bauwesen - energetischer Verbrauch"/>
    <s v="Elektrizität"/>
    <s v="Gigawattstunde"/>
    <x v="6"/>
    <x v="0"/>
    <n v="122"/>
  </r>
  <r>
    <x v="24"/>
    <s v="Endenergieverbrauch - Industriesektor - Bauwesen - energetischer Verbrauch"/>
    <s v="Elektrizität"/>
    <s v="Gigawattstunde"/>
    <x v="7"/>
    <x v="0"/>
    <n v="204"/>
  </r>
  <r>
    <x v="24"/>
    <s v="Endenergieverbrauch - Industriesektor - Bauwesen - energetischer Verbrauch"/>
    <s v="Elektrizität"/>
    <s v="Gigawattstunde"/>
    <x v="8"/>
    <x v="0"/>
    <n v="169"/>
  </r>
  <r>
    <x v="24"/>
    <s v="Endenergieverbrauch - Industriesektor - Bauwesen - energetischer Verbrauch"/>
    <s v="Elektrizität"/>
    <s v="Gigawattstunde"/>
    <x v="9"/>
    <x v="0"/>
    <n v="226"/>
  </r>
  <r>
    <x v="24"/>
    <s v="Endenergieverbrauch - Industriesektor - Bauwesen - energetischer Verbrauch"/>
    <s v="Elektrizität"/>
    <s v="Gigawattstunde"/>
    <x v="10"/>
    <x v="0"/>
    <n v="60"/>
  </r>
  <r>
    <x v="24"/>
    <s v="Endenergieverbrauch - Industriesektor - Bauwesen - energetischer Verbrauch"/>
    <s v="Elektrizität"/>
    <s v="Gigawattstunde"/>
    <x v="11"/>
    <x v="0"/>
    <n v="60"/>
  </r>
  <r>
    <x v="24"/>
    <s v="Endenergieverbrauch - Industriesektor - Bauwesen - energetischer Verbrauch"/>
    <s v="Elektrizität"/>
    <s v="Gigawattstunde"/>
    <x v="12"/>
    <x v="0"/>
    <n v="59"/>
  </r>
  <r>
    <x v="24"/>
    <s v="Endenergieverbrauch - Industriesektor - Bauwesen - energetischer Verbrauch"/>
    <s v="Elektrizität"/>
    <s v="Gigawattstunde"/>
    <x v="13"/>
    <x v="0"/>
    <n v="69"/>
  </r>
  <r>
    <x v="24"/>
    <s v="Endenergieverbrauch - Industriesektor - Bauwesen - energetischer Verbrauch"/>
    <s v="Elektrizität"/>
    <s v="Gigawattstunde"/>
    <x v="14"/>
    <x v="0"/>
    <n v="71"/>
  </r>
  <r>
    <x v="24"/>
    <s v="Endenergieverbrauch - Industriesektor - Bauwesen - energetischer Verbrauch"/>
    <s v="Elektrizität"/>
    <s v="Gigawattstunde"/>
    <x v="15"/>
    <x v="0"/>
    <n v="73"/>
  </r>
  <r>
    <x v="24"/>
    <s v="Endenergieverbrauch - Industriesektor - Bauwesen - energetischer Verbrauch"/>
    <s v="Elektrizität"/>
    <s v="Gigawattstunde"/>
    <x v="16"/>
    <x v="0"/>
    <n v="104"/>
  </r>
  <r>
    <x v="25"/>
    <s v="Endenergieverbrauch - Industriesektor - Bauwesen - energetischer Verbrauch"/>
    <s v="Elektrizität"/>
    <s v="Gigawattstunde"/>
    <x v="0"/>
    <x v="0"/>
    <n v="245"/>
  </r>
  <r>
    <x v="25"/>
    <s v="Endenergieverbrauch - Industriesektor - Bauwesen - energetischer Verbrauch"/>
    <s v="Elektrizität"/>
    <s v="Gigawattstunde"/>
    <x v="1"/>
    <x v="0"/>
    <n v="242"/>
  </r>
  <r>
    <x v="25"/>
    <s v="Endenergieverbrauch - Industriesektor - Bauwesen - energetischer Verbrauch"/>
    <s v="Elektrizität"/>
    <s v="Gigawattstunde"/>
    <x v="2"/>
    <x v="0"/>
    <n v="256"/>
  </r>
  <r>
    <x v="25"/>
    <s v="Endenergieverbrauch - Industriesektor - Bauwesen - energetischer Verbrauch"/>
    <s v="Elektrizität"/>
    <s v="Gigawattstunde"/>
    <x v="3"/>
    <x v="0"/>
    <n v="270"/>
  </r>
  <r>
    <x v="25"/>
    <s v="Endenergieverbrauch - Industriesektor - Bauwesen - energetischer Verbrauch"/>
    <s v="Elektrizität"/>
    <s v="Gigawattstunde"/>
    <x v="4"/>
    <x v="0"/>
    <n v="300"/>
  </r>
  <r>
    <x v="25"/>
    <s v="Endenergieverbrauch - Industriesektor - Bauwesen - energetischer Verbrauch"/>
    <s v="Elektrizität"/>
    <s v="Gigawattstunde"/>
    <x v="5"/>
    <x v="0"/>
    <n v="349"/>
  </r>
  <r>
    <x v="25"/>
    <s v="Endenergieverbrauch - Industriesektor - Bauwesen - energetischer Verbrauch"/>
    <s v="Elektrizität"/>
    <s v="Gigawattstunde"/>
    <x v="6"/>
    <x v="0"/>
    <n v="319"/>
  </r>
  <r>
    <x v="25"/>
    <s v="Endenergieverbrauch - Industriesektor - Bauwesen - energetischer Verbrauch"/>
    <s v="Elektrizität"/>
    <s v="Gigawattstunde"/>
    <x v="7"/>
    <x v="0"/>
    <n v="314"/>
  </r>
  <r>
    <x v="25"/>
    <s v="Endenergieverbrauch - Industriesektor - Bauwesen - energetischer Verbrauch"/>
    <s v="Elektrizität"/>
    <s v="Gigawattstunde"/>
    <x v="8"/>
    <x v="0"/>
    <n v="354"/>
  </r>
  <r>
    <x v="25"/>
    <s v="Endenergieverbrauch - Industriesektor - Bauwesen - energetischer Verbrauch"/>
    <s v="Elektrizität"/>
    <s v="Gigawattstunde"/>
    <x v="9"/>
    <x v="0"/>
    <n v="349"/>
  </r>
  <r>
    <x v="25"/>
    <s v="Endenergieverbrauch - Industriesektor - Bauwesen - energetischer Verbrauch"/>
    <s v="Elektrizität"/>
    <s v="Gigawattstunde"/>
    <x v="10"/>
    <x v="0"/>
    <n v="368"/>
  </r>
  <r>
    <x v="25"/>
    <s v="Endenergieverbrauch - Industriesektor - Bauwesen - energetischer Verbrauch"/>
    <s v="Elektrizität"/>
    <s v="Gigawattstunde"/>
    <x v="11"/>
    <x v="0"/>
    <n v="378"/>
  </r>
  <r>
    <x v="25"/>
    <s v="Endenergieverbrauch - Industriesektor - Bauwesen - energetischer Verbrauch"/>
    <s v="Elektrizität"/>
    <s v="Gigawattstunde"/>
    <x v="12"/>
    <x v="0"/>
    <n v="433"/>
  </r>
  <r>
    <x v="25"/>
    <s v="Endenergieverbrauch - Industriesektor - Bauwesen - energetischer Verbrauch"/>
    <s v="Elektrizität"/>
    <s v="Gigawattstunde"/>
    <x v="13"/>
    <x v="0"/>
    <n v="372"/>
  </r>
  <r>
    <x v="25"/>
    <s v="Endenergieverbrauch - Industriesektor - Bauwesen - energetischer Verbrauch"/>
    <s v="Elektrizität"/>
    <s v="Gigawattstunde"/>
    <x v="14"/>
    <x v="0"/>
    <n v="416"/>
  </r>
  <r>
    <x v="25"/>
    <s v="Endenergieverbrauch - Industriesektor - Bauwesen - energetischer Verbrauch"/>
    <s v="Elektrizität"/>
    <s v="Gigawattstunde"/>
    <x v="15"/>
    <x v="0"/>
    <n v="450"/>
  </r>
  <r>
    <x v="25"/>
    <s v="Endenergieverbrauch - Industriesektor - Bauwesen - energetischer Verbrauch"/>
    <s v="Elektrizität"/>
    <s v="Gigawattstunde"/>
    <x v="16"/>
    <x v="0"/>
    <n v="415"/>
  </r>
  <r>
    <x v="26"/>
    <s v="Endenergieverbrauch - Industriesektor - Bauwesen - energetischer Verbrauch"/>
    <s v="Elektrizität"/>
    <s v="Gigawattstunde"/>
    <x v="0"/>
    <x v="0"/>
    <n v="861"/>
  </r>
  <r>
    <x v="26"/>
    <s v="Endenergieverbrauch - Industriesektor - Bauwesen - energetischer Verbrauch"/>
    <s v="Elektrizität"/>
    <s v="Gigawattstunde"/>
    <x v="1"/>
    <x v="0"/>
    <n v="806"/>
  </r>
  <r>
    <x v="26"/>
    <s v="Endenergieverbrauch - Industriesektor - Bauwesen - energetischer Verbrauch"/>
    <s v="Elektrizität"/>
    <s v="Gigawattstunde"/>
    <x v="2"/>
    <x v="0"/>
    <n v="822"/>
  </r>
  <r>
    <x v="26"/>
    <s v="Endenergieverbrauch - Industriesektor - Bauwesen - energetischer Verbrauch"/>
    <s v="Elektrizität"/>
    <s v="Gigawattstunde"/>
    <x v="3"/>
    <x v="0"/>
    <n v="803"/>
  </r>
  <r>
    <x v="26"/>
    <s v="Endenergieverbrauch - Industriesektor - Bauwesen - energetischer Verbrauch"/>
    <s v="Elektrizität"/>
    <s v="Gigawattstunde"/>
    <x v="4"/>
    <x v="0"/>
    <n v="871"/>
  </r>
  <r>
    <x v="26"/>
    <s v="Endenergieverbrauch - Industriesektor - Bauwesen - energetischer Verbrauch"/>
    <s v="Elektrizität"/>
    <s v="Gigawattstunde"/>
    <x v="5"/>
    <x v="0"/>
    <n v="885"/>
  </r>
  <r>
    <x v="26"/>
    <s v="Endenergieverbrauch - Industriesektor - Bauwesen - energetischer Verbrauch"/>
    <s v="Elektrizität"/>
    <s v="Gigawattstunde"/>
    <x v="6"/>
    <x v="0"/>
    <n v="920"/>
  </r>
  <r>
    <x v="26"/>
    <s v="Endenergieverbrauch - Industriesektor - Bauwesen - energetischer Verbrauch"/>
    <s v="Elektrizität"/>
    <s v="Gigawattstunde"/>
    <x v="7"/>
    <x v="0"/>
    <n v="1074"/>
  </r>
  <r>
    <x v="26"/>
    <s v="Endenergieverbrauch - Industriesektor - Bauwesen - energetischer Verbrauch"/>
    <s v="Elektrizität"/>
    <s v="Gigawattstunde"/>
    <x v="8"/>
    <x v="0"/>
    <n v="1207"/>
  </r>
  <r>
    <x v="26"/>
    <s v="Endenergieverbrauch - Industriesektor - Bauwesen - energetischer Verbrauch"/>
    <s v="Elektrizität"/>
    <s v="Gigawattstunde"/>
    <x v="9"/>
    <x v="0"/>
    <n v="1107"/>
  </r>
  <r>
    <x v="26"/>
    <s v="Endenergieverbrauch - Industriesektor - Bauwesen - energetischer Verbrauch"/>
    <s v="Elektrizität"/>
    <s v="Gigawattstunde"/>
    <x v="10"/>
    <x v="0"/>
    <n v="1096"/>
  </r>
  <r>
    <x v="26"/>
    <s v="Endenergieverbrauch - Industriesektor - Bauwesen - energetischer Verbrauch"/>
    <s v="Elektrizität"/>
    <s v="Gigawattstunde"/>
    <x v="11"/>
    <x v="0"/>
    <n v="1120"/>
  </r>
  <r>
    <x v="26"/>
    <s v="Endenergieverbrauch - Industriesektor - Bauwesen - energetischer Verbrauch"/>
    <s v="Elektrizität"/>
    <s v="Gigawattstunde"/>
    <x v="12"/>
    <x v="0"/>
    <n v="1079"/>
  </r>
  <r>
    <x v="26"/>
    <s v="Endenergieverbrauch - Industriesektor - Bauwesen - energetischer Verbrauch"/>
    <s v="Elektrizität"/>
    <s v="Gigawattstunde"/>
    <x v="13"/>
    <x v="0"/>
    <n v="1212"/>
  </r>
  <r>
    <x v="26"/>
    <s v="Endenergieverbrauch - Industriesektor - Bauwesen - energetischer Verbrauch"/>
    <s v="Elektrizität"/>
    <s v="Gigawattstunde"/>
    <x v="14"/>
    <x v="0"/>
    <n v="1337"/>
  </r>
  <r>
    <x v="26"/>
    <s v="Endenergieverbrauch - Industriesektor - Bauwesen - energetischer Verbrauch"/>
    <s v="Elektrizität"/>
    <s v="Gigawattstunde"/>
    <x v="15"/>
    <x v="0"/>
    <n v="1378"/>
  </r>
  <r>
    <x v="26"/>
    <s v="Endenergieverbrauch - Industriesektor - Bauwesen - energetischer Verbrauch"/>
    <s v="Elektrizität"/>
    <s v="Gigawattstunde"/>
    <x v="16"/>
    <x v="0"/>
    <n v="1483"/>
  </r>
  <r>
    <x v="27"/>
    <s v="Endenergieverbrauch - Industriesektor - Bauwesen - energetischer Verbrauch"/>
    <s v="Elektrizität"/>
    <s v="Gigawattstunde"/>
    <x v="0"/>
    <x v="0"/>
    <n v="1700"/>
  </r>
  <r>
    <x v="27"/>
    <s v="Endenergieverbrauch - Industriesektor - Bauwesen - energetischer Verbrauch"/>
    <s v="Elektrizität"/>
    <s v="Gigawattstunde"/>
    <x v="1"/>
    <x v="0"/>
    <n v="1701"/>
  </r>
  <r>
    <x v="27"/>
    <s v="Endenergieverbrauch - Industriesektor - Bauwesen - energetischer Verbrauch"/>
    <s v="Elektrizität"/>
    <s v="Gigawattstunde"/>
    <x v="2"/>
    <x v="0"/>
    <n v="1804"/>
  </r>
  <r>
    <x v="27"/>
    <s v="Endenergieverbrauch - Industriesektor - Bauwesen - energetischer Verbrauch"/>
    <s v="Elektrizität"/>
    <s v="Gigawattstunde"/>
    <x v="3"/>
    <x v="0"/>
    <n v="1929"/>
  </r>
  <r>
    <x v="27"/>
    <s v="Endenergieverbrauch - Industriesektor - Bauwesen - energetischer Verbrauch"/>
    <s v="Elektrizität"/>
    <s v="Gigawattstunde"/>
    <x v="4"/>
    <x v="0"/>
    <n v="1840"/>
  </r>
  <r>
    <x v="27"/>
    <s v="Endenergieverbrauch - Industriesektor - Bauwesen - energetischer Verbrauch"/>
    <s v="Elektrizität"/>
    <s v="Gigawattstunde"/>
    <x v="5"/>
    <x v="0"/>
    <n v="1798"/>
  </r>
  <r>
    <x v="27"/>
    <s v="Endenergieverbrauch - Industriesektor - Bauwesen - energetischer Verbrauch"/>
    <s v="Elektrizität"/>
    <s v="Gigawattstunde"/>
    <x v="6"/>
    <x v="0"/>
    <n v="1817"/>
  </r>
  <r>
    <x v="27"/>
    <s v="Endenergieverbrauch - Industriesektor - Bauwesen - energetischer Verbrauch"/>
    <s v="Elektrizität"/>
    <s v="Gigawattstunde"/>
    <x v="7"/>
    <x v="0"/>
    <n v="1586"/>
  </r>
  <r>
    <x v="27"/>
    <s v="Endenergieverbrauch - Industriesektor - Bauwesen - energetischer Verbrauch"/>
    <s v="Elektrizität"/>
    <s v="Gigawattstunde"/>
    <x v="8"/>
    <x v="0"/>
    <n v="1621"/>
  </r>
  <r>
    <x v="27"/>
    <s v="Endenergieverbrauch - Industriesektor - Bauwesen - energetischer Verbrauch"/>
    <s v="Elektrizität"/>
    <s v="Gigawattstunde"/>
    <x v="9"/>
    <x v="0"/>
    <n v="1539"/>
  </r>
  <r>
    <x v="27"/>
    <s v="Endenergieverbrauch - Industriesektor - Bauwesen - energetischer Verbrauch"/>
    <s v="Elektrizität"/>
    <s v="Gigawattstunde"/>
    <x v="10"/>
    <x v="0"/>
    <n v="1494"/>
  </r>
  <r>
    <x v="27"/>
    <s v="Endenergieverbrauch - Industriesektor - Bauwesen - energetischer Verbrauch"/>
    <s v="Elektrizität"/>
    <s v="Gigawattstunde"/>
    <x v="11"/>
    <x v="0"/>
    <n v="1464"/>
  </r>
  <r>
    <x v="27"/>
    <s v="Endenergieverbrauch - Industriesektor - Bauwesen - energetischer Verbrauch"/>
    <s v="Elektrizität"/>
    <s v="Gigawattstunde"/>
    <x v="12"/>
    <x v="0"/>
    <n v="1393"/>
  </r>
  <r>
    <x v="27"/>
    <s v="Endenergieverbrauch - Industriesektor - Bauwesen - energetischer Verbrauch"/>
    <s v="Elektrizität"/>
    <s v="Gigawattstunde"/>
    <x v="13"/>
    <x v="0"/>
    <n v="1363.7349999999999"/>
  </r>
  <r>
    <x v="27"/>
    <s v="Endenergieverbrauch - Industriesektor - Bauwesen - energetischer Verbrauch"/>
    <s v="Elektrizität"/>
    <s v="Gigawattstunde"/>
    <x v="14"/>
    <x v="0"/>
    <n v="1308.7829999999999"/>
  </r>
  <r>
    <x v="27"/>
    <s v="Endenergieverbrauch - Industriesektor - Bauwesen - energetischer Verbrauch"/>
    <s v="Elektrizität"/>
    <s v="Gigawattstunde"/>
    <x v="15"/>
    <x v="0"/>
    <n v="1416.8140000000001"/>
  </r>
  <r>
    <x v="27"/>
    <s v="Endenergieverbrauch - Industriesektor - Bauwesen - energetischer Verbrauch"/>
    <s v="Elektrizität"/>
    <s v="Gigawattstunde"/>
    <x v="16"/>
    <x v="0"/>
    <n v="1395.6420000000001"/>
  </r>
  <r>
    <x v="28"/>
    <s v="Endenergieverbrauch - Industriesektor - Bauwesen - energetischer Verbrauch"/>
    <s v="Elektrizität"/>
    <s v="Gigawattstunde"/>
    <x v="0"/>
    <x v="0"/>
    <n v="28"/>
  </r>
  <r>
    <x v="28"/>
    <s v="Endenergieverbrauch - Industriesektor - Bauwesen - energetischer Verbrauch"/>
    <s v="Elektrizität"/>
    <s v="Gigawattstunde"/>
    <x v="1"/>
    <x v="0"/>
    <n v="17"/>
  </r>
  <r>
    <x v="28"/>
    <s v="Endenergieverbrauch - Industriesektor - Bauwesen - energetischer Verbrauch"/>
    <s v="Elektrizität"/>
    <s v="Gigawattstunde"/>
    <x v="2"/>
    <x v="0"/>
    <n v="66"/>
  </r>
  <r>
    <x v="28"/>
    <s v="Endenergieverbrauch - Industriesektor - Bauwesen - energetischer Verbrauch"/>
    <s v="Elektrizität"/>
    <s v="Gigawattstunde"/>
    <x v="3"/>
    <x v="0"/>
    <n v="112"/>
  </r>
  <r>
    <x v="28"/>
    <s v="Endenergieverbrauch - Industriesektor - Bauwesen - energetischer Verbrauch"/>
    <s v="Elektrizität"/>
    <s v="Gigawattstunde"/>
    <x v="4"/>
    <x v="0"/>
    <n v="157"/>
  </r>
  <r>
    <x v="28"/>
    <s v="Endenergieverbrauch - Industriesektor - Bauwesen - energetischer Verbrauch"/>
    <s v="Elektrizität"/>
    <s v="Gigawattstunde"/>
    <x v="5"/>
    <x v="0"/>
    <n v="133"/>
  </r>
  <r>
    <x v="28"/>
    <s v="Endenergieverbrauch - Industriesektor - Bauwesen - energetischer Verbrauch"/>
    <s v="Elektrizität"/>
    <s v="Gigawattstunde"/>
    <x v="6"/>
    <x v="0"/>
    <n v="73"/>
  </r>
  <r>
    <x v="28"/>
    <s v="Endenergieverbrauch - Industriesektor - Bauwesen - energetischer Verbrauch"/>
    <s v="Elektrizität"/>
    <s v="Gigawattstunde"/>
    <x v="7"/>
    <x v="0"/>
    <n v="40"/>
  </r>
  <r>
    <x v="28"/>
    <s v="Endenergieverbrauch - Industriesektor - Bauwesen - energetischer Verbrauch"/>
    <s v="Elektrizität"/>
    <s v="Gigawattstunde"/>
    <x v="8"/>
    <x v="0"/>
    <n v="20"/>
  </r>
  <r>
    <x v="28"/>
    <s v="Endenergieverbrauch - Industriesektor - Bauwesen - energetischer Verbrauch"/>
    <s v="Elektrizität"/>
    <s v="Gigawattstunde"/>
    <x v="9"/>
    <x v="0"/>
    <n v="22"/>
  </r>
  <r>
    <x v="28"/>
    <s v="Endenergieverbrauch - Industriesektor - Bauwesen - energetischer Verbrauch"/>
    <s v="Elektrizität"/>
    <s v="Gigawattstunde"/>
    <x v="10"/>
    <x v="0"/>
    <n v="29"/>
  </r>
  <r>
    <x v="28"/>
    <s v="Endenergieverbrauch - Industriesektor - Bauwesen - energetischer Verbrauch"/>
    <s v="Elektrizität"/>
    <s v="Gigawattstunde"/>
    <x v="11"/>
    <x v="0"/>
    <n v="28"/>
  </r>
  <r>
    <x v="28"/>
    <s v="Endenergieverbrauch - Industriesektor - Bauwesen - energetischer Verbrauch"/>
    <s v="Elektrizität"/>
    <s v="Gigawattstunde"/>
    <x v="12"/>
    <x v="0"/>
    <n v="27"/>
  </r>
  <r>
    <x v="28"/>
    <s v="Endenergieverbrauch - Industriesektor - Bauwesen - energetischer Verbrauch"/>
    <s v="Elektrizität"/>
    <s v="Gigawattstunde"/>
    <x v="13"/>
    <x v="0"/>
    <n v="33"/>
  </r>
  <r>
    <x v="28"/>
    <s v="Endenergieverbrauch - Industriesektor - Bauwesen - energetischer Verbrauch"/>
    <s v="Elektrizität"/>
    <s v="Gigawattstunde"/>
    <x v="14"/>
    <x v="0"/>
    <n v="38"/>
  </r>
  <r>
    <x v="28"/>
    <s v="Endenergieverbrauch - Industriesektor - Bauwesen - energetischer Verbrauch"/>
    <s v="Elektrizität"/>
    <s v="Gigawattstunde"/>
    <x v="15"/>
    <x v="0"/>
    <n v="38.277000000000001"/>
  </r>
  <r>
    <x v="28"/>
    <s v="Endenergieverbrauch - Industriesektor - Bauwesen - energetischer Verbrauch"/>
    <s v="Elektrizität"/>
    <s v="Gigawattstunde"/>
    <x v="16"/>
    <x v="0"/>
    <n v="37.97"/>
  </r>
  <r>
    <x v="29"/>
    <s v="Endenergieverbrauch - Industriesektor - Bauwesen - energetischer Verbrauch"/>
    <s v="Elektrizität"/>
    <s v="Gigawattstunde"/>
    <x v="0"/>
    <x v="0"/>
    <n v="775"/>
  </r>
  <r>
    <x v="29"/>
    <s v="Endenergieverbrauch - Industriesektor - Bauwesen - energetischer Verbrauch"/>
    <s v="Elektrizität"/>
    <s v="Gigawattstunde"/>
    <x v="1"/>
    <x v="0"/>
    <n v="657"/>
  </r>
  <r>
    <x v="29"/>
    <s v="Endenergieverbrauch - Industriesektor - Bauwesen - energetischer Verbrauch"/>
    <s v="Elektrizität"/>
    <s v="Gigawattstunde"/>
    <x v="2"/>
    <x v="0"/>
    <n v="549"/>
  </r>
  <r>
    <x v="29"/>
    <s v="Endenergieverbrauch - Industriesektor - Bauwesen - energetischer Verbrauch"/>
    <s v="Elektrizität"/>
    <s v="Gigawattstunde"/>
    <x v="3"/>
    <x v="0"/>
    <n v="707"/>
  </r>
  <r>
    <x v="29"/>
    <s v="Endenergieverbrauch - Industriesektor - Bauwesen - energetischer Verbrauch"/>
    <s v="Elektrizität"/>
    <s v="Gigawattstunde"/>
    <x v="4"/>
    <x v="0"/>
    <n v="714"/>
  </r>
  <r>
    <x v="29"/>
    <s v="Endenergieverbrauch - Industriesektor - Bauwesen - energetischer Verbrauch"/>
    <s v="Elektrizität"/>
    <s v="Gigawattstunde"/>
    <x v="5"/>
    <x v="0"/>
    <n v="761"/>
  </r>
  <r>
    <x v="29"/>
    <s v="Endenergieverbrauch - Industriesektor - Bauwesen - energetischer Verbrauch"/>
    <s v="Elektrizität"/>
    <s v="Gigawattstunde"/>
    <x v="6"/>
    <x v="0"/>
    <n v="1038"/>
  </r>
  <r>
    <x v="29"/>
    <s v="Endenergieverbrauch - Industriesektor - Bauwesen - energetischer Verbrauch"/>
    <s v="Elektrizität"/>
    <s v="Gigawattstunde"/>
    <x v="7"/>
    <x v="0"/>
    <n v="1073"/>
  </r>
  <r>
    <x v="29"/>
    <s v="Endenergieverbrauch - Industriesektor - Bauwesen - energetischer Verbrauch"/>
    <s v="Elektrizität"/>
    <s v="Gigawattstunde"/>
    <x v="8"/>
    <x v="0"/>
    <n v="1150"/>
  </r>
  <r>
    <x v="29"/>
    <s v="Endenergieverbrauch - Industriesektor - Bauwesen - energetischer Verbrauch"/>
    <s v="Elektrizität"/>
    <s v="Gigawattstunde"/>
    <x v="9"/>
    <x v="0"/>
    <n v="1112"/>
  </r>
  <r>
    <x v="29"/>
    <s v="Endenergieverbrauch - Industriesektor - Bauwesen - energetischer Verbrauch"/>
    <s v="Elektrizität"/>
    <s v="Gigawattstunde"/>
    <x v="10"/>
    <x v="0"/>
    <n v="1240"/>
  </r>
  <r>
    <x v="29"/>
    <s v="Endenergieverbrauch - Industriesektor - Bauwesen - energetischer Verbrauch"/>
    <s v="Elektrizität"/>
    <s v="Gigawattstunde"/>
    <x v="11"/>
    <x v="0"/>
    <n v="1284"/>
  </r>
  <r>
    <x v="29"/>
    <s v="Endenergieverbrauch - Industriesektor - Bauwesen - energetischer Verbrauch"/>
    <s v="Elektrizität"/>
    <s v="Gigawattstunde"/>
    <x v="12"/>
    <x v="0"/>
    <n v="1256"/>
  </r>
  <r>
    <x v="29"/>
    <s v="Endenergieverbrauch - Industriesektor - Bauwesen - energetischer Verbrauch"/>
    <s v="Elektrizität"/>
    <s v="Gigawattstunde"/>
    <x v="13"/>
    <x v="0"/>
    <n v="1293"/>
  </r>
  <r>
    <x v="29"/>
    <s v="Endenergieverbrauch - Industriesektor - Bauwesen - energetischer Verbrauch"/>
    <s v="Elektrizität"/>
    <s v="Gigawattstunde"/>
    <x v="14"/>
    <x v="0"/>
    <n v="1340"/>
  </r>
  <r>
    <x v="29"/>
    <s v="Endenergieverbrauch - Industriesektor - Bauwesen - energetischer Verbrauch"/>
    <s v="Elektrizität"/>
    <s v="Gigawattstunde"/>
    <x v="15"/>
    <x v="0"/>
    <n v="1391"/>
  </r>
  <r>
    <x v="29"/>
    <s v="Endenergieverbrauch - Industriesektor - Bauwesen - energetischer Verbrauch"/>
    <s v="Elektrizität"/>
    <s v="Gigawattstunde"/>
    <x v="16"/>
    <x v="0"/>
    <n v="1414.2049999999999"/>
  </r>
  <r>
    <x v="30"/>
    <s v="Endenergieverbrauch - Industriesektor - Bauwesen - energetischer Verbrauch"/>
    <s v="Elektrizität"/>
    <s v="Gigawattstunde"/>
    <x v="0"/>
    <x v="0"/>
    <n v="0"/>
  </r>
  <r>
    <x v="30"/>
    <s v="Endenergieverbrauch - Industriesektor - Bauwesen - energetischer Verbrauch"/>
    <s v="Elektrizität"/>
    <s v="Gigawattstunde"/>
    <x v="1"/>
    <x v="0"/>
    <n v="0"/>
  </r>
  <r>
    <x v="30"/>
    <s v="Endenergieverbrauch - Industriesektor - Bauwesen - energetischer Verbrauch"/>
    <s v="Elektrizität"/>
    <s v="Gigawattstunde"/>
    <x v="2"/>
    <x v="0"/>
    <n v="318"/>
  </r>
  <r>
    <x v="30"/>
    <s v="Endenergieverbrauch - Industriesektor - Bauwesen - energetischer Verbrauch"/>
    <s v="Elektrizität"/>
    <s v="Gigawattstunde"/>
    <x v="3"/>
    <x v="0"/>
    <n v="297"/>
  </r>
  <r>
    <x v="30"/>
    <s v="Endenergieverbrauch - Industriesektor - Bauwesen - energetischer Verbrauch"/>
    <s v="Elektrizität"/>
    <s v="Gigawattstunde"/>
    <x v="4"/>
    <x v="0"/>
    <n v="190"/>
  </r>
  <r>
    <x v="30"/>
    <s v="Endenergieverbrauch - Industriesektor - Bauwesen - energetischer Verbrauch"/>
    <s v="Elektrizität"/>
    <s v="Gigawattstunde"/>
    <x v="5"/>
    <x v="0"/>
    <n v="214"/>
  </r>
  <r>
    <x v="30"/>
    <s v="Endenergieverbrauch - Industriesektor - Bauwesen - energetischer Verbrauch"/>
    <s v="Elektrizität"/>
    <s v="Gigawattstunde"/>
    <x v="6"/>
    <x v="0"/>
    <n v="206"/>
  </r>
  <r>
    <x v="30"/>
    <s v="Endenergieverbrauch - Industriesektor - Bauwesen - energetischer Verbrauch"/>
    <s v="Elektrizität"/>
    <s v="Gigawattstunde"/>
    <x v="7"/>
    <x v="0"/>
    <n v="310"/>
  </r>
  <r>
    <x v="30"/>
    <s v="Endenergieverbrauch - Industriesektor - Bauwesen - energetischer Verbrauch"/>
    <s v="Elektrizität"/>
    <s v="Gigawattstunde"/>
    <x v="8"/>
    <x v="0"/>
    <n v="160"/>
  </r>
  <r>
    <x v="30"/>
    <s v="Endenergieverbrauch - Industriesektor - Bauwesen - energetischer Verbrauch"/>
    <s v="Elektrizität"/>
    <s v="Gigawattstunde"/>
    <x v="9"/>
    <x v="0"/>
    <n v="326"/>
  </r>
  <r>
    <x v="30"/>
    <s v="Endenergieverbrauch - Industriesektor - Bauwesen - energetischer Verbrauch"/>
    <s v="Elektrizität"/>
    <s v="Gigawattstunde"/>
    <x v="10"/>
    <x v="0"/>
    <n v="317"/>
  </r>
  <r>
    <x v="30"/>
    <s v="Endenergieverbrauch - Industriesektor - Bauwesen - energetischer Verbrauch"/>
    <s v="Elektrizität"/>
    <s v="Gigawattstunde"/>
    <x v="11"/>
    <x v="0"/>
    <n v="310"/>
  </r>
  <r>
    <x v="30"/>
    <s v="Endenergieverbrauch - Industriesektor - Bauwesen - energetischer Verbrauch"/>
    <s v="Elektrizität"/>
    <s v="Gigawattstunde"/>
    <x v="12"/>
    <x v="0"/>
    <n v="306"/>
  </r>
  <r>
    <x v="30"/>
    <s v="Endenergieverbrauch - Industriesektor - Bauwesen - energetischer Verbrauch"/>
    <s v="Elektrizität"/>
    <s v="Gigawattstunde"/>
    <x v="13"/>
    <x v="0"/>
    <n v="318"/>
  </r>
  <r>
    <x v="30"/>
    <s v="Endenergieverbrauch - Industriesektor - Bauwesen - energetischer Verbrauch"/>
    <s v="Elektrizität"/>
    <s v="Gigawattstunde"/>
    <x v="14"/>
    <x v="0"/>
    <n v="321"/>
  </r>
  <r>
    <x v="30"/>
    <s v="Endenergieverbrauch - Industriesektor - Bauwesen - energetischer Verbrauch"/>
    <s v="Elektrizität"/>
    <s v="Gigawattstunde"/>
    <x v="15"/>
    <x v="0"/>
    <n v="339.87"/>
  </r>
  <r>
    <x v="30"/>
    <s v="Endenergieverbrauch - Industriesektor - Bauwesen - energetischer Verbrauch"/>
    <s v="Elektrizität"/>
    <s v="Gigawattstunde"/>
    <x v="16"/>
    <x v="0"/>
    <n v="339.1"/>
  </r>
  <r>
    <x v="0"/>
    <s v="Endenergieverbrauch - Industriesektor - Bergbau und Steinbrüche - energetischer Verbrauch"/>
    <s v="Elektrizität"/>
    <s v="Gigawattstunde"/>
    <x v="0"/>
    <x v="1"/>
    <n v="354"/>
  </r>
  <r>
    <x v="0"/>
    <s v="Endenergieverbrauch - Industriesektor - Bergbau und Steinbrüche - energetischer Verbrauch"/>
    <s v="Elektrizität"/>
    <s v="Gigawattstunde"/>
    <x v="1"/>
    <x v="1"/>
    <n v="361"/>
  </r>
  <r>
    <x v="0"/>
    <s v="Endenergieverbrauch - Industriesektor - Bergbau und Steinbrüche - energetischer Verbrauch"/>
    <s v="Elektrizität"/>
    <s v="Gigawattstunde"/>
    <x v="2"/>
    <x v="1"/>
    <n v="513"/>
  </r>
  <r>
    <x v="0"/>
    <s v="Endenergieverbrauch - Industriesektor - Bergbau und Steinbrüche - energetischer Verbrauch"/>
    <s v="Elektrizität"/>
    <s v="Gigawattstunde"/>
    <x v="3"/>
    <x v="1"/>
    <n v="529"/>
  </r>
  <r>
    <x v="0"/>
    <s v="Endenergieverbrauch - Industriesektor - Bergbau und Steinbrüche - energetischer Verbrauch"/>
    <s v="Elektrizität"/>
    <s v="Gigawattstunde"/>
    <x v="4"/>
    <x v="1"/>
    <n v="875"/>
  </r>
  <r>
    <x v="0"/>
    <s v="Endenergieverbrauch - Industriesektor - Bergbau und Steinbrüche - energetischer Verbrauch"/>
    <s v="Elektrizität"/>
    <s v="Gigawattstunde"/>
    <x v="5"/>
    <x v="1"/>
    <n v="723"/>
  </r>
  <r>
    <x v="0"/>
    <s v="Endenergieverbrauch - Industriesektor - Bergbau und Steinbrüche - energetischer Verbrauch"/>
    <s v="Elektrizität"/>
    <s v="Gigawattstunde"/>
    <x v="6"/>
    <x v="1"/>
    <n v="757"/>
  </r>
  <r>
    <x v="0"/>
    <s v="Endenergieverbrauch - Industriesektor - Bergbau und Steinbrüche - energetischer Verbrauch"/>
    <s v="Elektrizität"/>
    <s v="Gigawattstunde"/>
    <x v="7"/>
    <x v="1"/>
    <n v="629"/>
  </r>
  <r>
    <x v="0"/>
    <s v="Endenergieverbrauch - Industriesektor - Bergbau und Steinbrüche - energetischer Verbrauch"/>
    <s v="Elektrizität"/>
    <s v="Gigawattstunde"/>
    <x v="8"/>
    <x v="1"/>
    <n v="1186"/>
  </r>
  <r>
    <x v="0"/>
    <s v="Endenergieverbrauch - Industriesektor - Bergbau und Steinbrüche - energetischer Verbrauch"/>
    <s v="Elektrizität"/>
    <s v="Gigawattstunde"/>
    <x v="9"/>
    <x v="1"/>
    <n v="422"/>
  </r>
  <r>
    <x v="0"/>
    <s v="Endenergieverbrauch - Industriesektor - Bergbau und Steinbrüche - energetischer Verbrauch"/>
    <s v="Elektrizität"/>
    <s v="Gigawattstunde"/>
    <x v="10"/>
    <x v="1"/>
    <n v="422"/>
  </r>
  <r>
    <x v="0"/>
    <s v="Endenergieverbrauch - Industriesektor - Bergbau und Steinbrüche - energetischer Verbrauch"/>
    <s v="Elektrizität"/>
    <s v="Gigawattstunde"/>
    <x v="11"/>
    <x v="1"/>
    <n v="431"/>
  </r>
  <r>
    <x v="0"/>
    <s v="Endenergieverbrauch - Industriesektor - Bergbau und Steinbrüche - energetischer Verbrauch"/>
    <s v="Elektrizität"/>
    <s v="Gigawattstunde"/>
    <x v="12"/>
    <x v="1"/>
    <n v="439"/>
  </r>
  <r>
    <x v="0"/>
    <s v="Endenergieverbrauch - Industriesektor - Bergbau und Steinbrüche - energetischer Verbrauch"/>
    <s v="Elektrizität"/>
    <s v="Gigawattstunde"/>
    <x v="13"/>
    <x v="1"/>
    <n v="430"/>
  </r>
  <r>
    <x v="0"/>
    <s v="Endenergieverbrauch - Industriesektor - Bergbau und Steinbrüche - energetischer Verbrauch"/>
    <s v="Elektrizität"/>
    <s v="Gigawattstunde"/>
    <x v="14"/>
    <x v="1"/>
    <n v="440"/>
  </r>
  <r>
    <x v="0"/>
    <s v="Endenergieverbrauch - Industriesektor - Bergbau und Steinbrüche - energetischer Verbrauch"/>
    <s v="Elektrizität"/>
    <s v="Gigawattstunde"/>
    <x v="15"/>
    <x v="1"/>
    <n v="452.3"/>
  </r>
  <r>
    <x v="0"/>
    <s v="Endenergieverbrauch - Industriesektor - Bergbau und Steinbrüche - energetischer Verbrauch"/>
    <s v="Elektrizität"/>
    <s v="Gigawattstunde"/>
    <x v="16"/>
    <x v="1"/>
    <n v="454.5"/>
  </r>
  <r>
    <x v="1"/>
    <s v="Endenergieverbrauch - Industriesektor - Bergbau und Steinbrüche - energetischer Verbrauch"/>
    <s v="Elektrizität"/>
    <s v="Gigawattstunde"/>
    <x v="0"/>
    <x v="1"/>
    <n v="898"/>
  </r>
  <r>
    <x v="1"/>
    <s v="Endenergieverbrauch - Industriesektor - Bergbau und Steinbrüche - energetischer Verbrauch"/>
    <s v="Elektrizität"/>
    <s v="Gigawattstunde"/>
    <x v="1"/>
    <x v="1"/>
    <n v="875"/>
  </r>
  <r>
    <x v="1"/>
    <s v="Endenergieverbrauch - Industriesektor - Bergbau und Steinbrüche - energetischer Verbrauch"/>
    <s v="Elektrizität"/>
    <s v="Gigawattstunde"/>
    <x v="2"/>
    <x v="1"/>
    <n v="827"/>
  </r>
  <r>
    <x v="1"/>
    <s v="Endenergieverbrauch - Industriesektor - Bergbau und Steinbrüche - energetischer Verbrauch"/>
    <s v="Elektrizität"/>
    <s v="Gigawattstunde"/>
    <x v="3"/>
    <x v="1"/>
    <n v="884"/>
  </r>
  <r>
    <x v="1"/>
    <s v="Endenergieverbrauch - Industriesektor - Bergbau und Steinbrüche - energetischer Verbrauch"/>
    <s v="Elektrizität"/>
    <s v="Gigawattstunde"/>
    <x v="4"/>
    <x v="1"/>
    <n v="891"/>
  </r>
  <r>
    <x v="1"/>
    <s v="Endenergieverbrauch - Industriesektor - Bergbau und Steinbrüche - energetischer Verbrauch"/>
    <s v="Elektrizität"/>
    <s v="Gigawattstunde"/>
    <x v="5"/>
    <x v="1"/>
    <n v="931"/>
  </r>
  <r>
    <x v="1"/>
    <s v="Endenergieverbrauch - Industriesektor - Bergbau und Steinbrüche - energetischer Verbrauch"/>
    <s v="Elektrizität"/>
    <s v="Gigawattstunde"/>
    <x v="6"/>
    <x v="1"/>
    <n v="955"/>
  </r>
  <r>
    <x v="1"/>
    <s v="Endenergieverbrauch - Industriesektor - Bergbau und Steinbrüche - energetischer Verbrauch"/>
    <s v="Elektrizität"/>
    <s v="Gigawattstunde"/>
    <x v="7"/>
    <x v="1"/>
    <n v="878"/>
  </r>
  <r>
    <x v="1"/>
    <s v="Endenergieverbrauch - Industriesektor - Bergbau und Steinbrüche - energetischer Verbrauch"/>
    <s v="Elektrizität"/>
    <s v="Gigawattstunde"/>
    <x v="8"/>
    <x v="1"/>
    <n v="842"/>
  </r>
  <r>
    <x v="1"/>
    <s v="Endenergieverbrauch - Industriesektor - Bergbau und Steinbrüche - energetischer Verbrauch"/>
    <s v="Elektrizität"/>
    <s v="Gigawattstunde"/>
    <x v="9"/>
    <x v="1"/>
    <n v="931"/>
  </r>
  <r>
    <x v="1"/>
    <s v="Endenergieverbrauch - Industriesektor - Bergbau und Steinbrüche - energetischer Verbrauch"/>
    <s v="Elektrizität"/>
    <s v="Gigawattstunde"/>
    <x v="10"/>
    <x v="1"/>
    <n v="956"/>
  </r>
  <r>
    <x v="1"/>
    <s v="Endenergieverbrauch - Industriesektor - Bergbau und Steinbrüche - energetischer Verbrauch"/>
    <s v="Elektrizität"/>
    <s v="Gigawattstunde"/>
    <x v="11"/>
    <x v="1"/>
    <n v="964"/>
  </r>
  <r>
    <x v="1"/>
    <s v="Endenergieverbrauch - Industriesektor - Bergbau und Steinbrüche - energetischer Verbrauch"/>
    <s v="Elektrizität"/>
    <s v="Gigawattstunde"/>
    <x v="12"/>
    <x v="1"/>
    <n v="944"/>
  </r>
  <r>
    <x v="1"/>
    <s v="Endenergieverbrauch - Industriesektor - Bergbau und Steinbrüche - energetischer Verbrauch"/>
    <s v="Elektrizität"/>
    <s v="Gigawattstunde"/>
    <x v="13"/>
    <x v="1"/>
    <n v="1069"/>
  </r>
  <r>
    <x v="1"/>
    <s v="Endenergieverbrauch - Industriesektor - Bergbau und Steinbrüche - energetischer Verbrauch"/>
    <s v="Elektrizität"/>
    <s v="Gigawattstunde"/>
    <x v="14"/>
    <x v="1"/>
    <n v="1083"/>
  </r>
  <r>
    <x v="1"/>
    <s v="Endenergieverbrauch - Industriesektor - Bergbau und Steinbrüche - energetischer Verbrauch"/>
    <s v="Elektrizität"/>
    <s v="Gigawattstunde"/>
    <x v="15"/>
    <x v="1"/>
    <n v="1103.932"/>
  </r>
  <r>
    <x v="1"/>
    <s v="Endenergieverbrauch - Industriesektor - Bergbau und Steinbrüche - energetischer Verbrauch"/>
    <s v="Elektrizität"/>
    <s v="Gigawattstunde"/>
    <x v="16"/>
    <x v="1"/>
    <n v="1123.423"/>
  </r>
  <r>
    <x v="2"/>
    <s v="Endenergieverbrauch - Industriesektor - Bergbau und Steinbrüche - energetischer Verbrauch"/>
    <s v="Elektrizität"/>
    <s v="Gigawattstunde"/>
    <x v="0"/>
    <x v="1"/>
    <n v="184"/>
  </r>
  <r>
    <x v="2"/>
    <s v="Endenergieverbrauch - Industriesektor - Bergbau und Steinbrüche - energetischer Verbrauch"/>
    <s v="Elektrizität"/>
    <s v="Gigawattstunde"/>
    <x v="1"/>
    <x v="1"/>
    <n v="201"/>
  </r>
  <r>
    <x v="2"/>
    <s v="Endenergieverbrauch - Industriesektor - Bergbau und Steinbrüche - energetischer Verbrauch"/>
    <s v="Elektrizität"/>
    <s v="Gigawattstunde"/>
    <x v="2"/>
    <x v="1"/>
    <n v="201"/>
  </r>
  <r>
    <x v="2"/>
    <s v="Endenergieverbrauch - Industriesektor - Bergbau und Steinbrüche - energetischer Verbrauch"/>
    <s v="Elektrizität"/>
    <s v="Gigawattstunde"/>
    <x v="3"/>
    <x v="1"/>
    <n v="201"/>
  </r>
  <r>
    <x v="2"/>
    <s v="Endenergieverbrauch - Industriesektor - Bergbau und Steinbrüche - energetischer Verbrauch"/>
    <s v="Elektrizität"/>
    <s v="Gigawattstunde"/>
    <x v="4"/>
    <x v="1"/>
    <n v="205"/>
  </r>
  <r>
    <x v="2"/>
    <s v="Endenergieverbrauch - Industriesektor - Bergbau und Steinbrüche - energetischer Verbrauch"/>
    <s v="Elektrizität"/>
    <s v="Gigawattstunde"/>
    <x v="5"/>
    <x v="1"/>
    <n v="217"/>
  </r>
  <r>
    <x v="2"/>
    <s v="Endenergieverbrauch - Industriesektor - Bergbau und Steinbrüche - energetischer Verbrauch"/>
    <s v="Elektrizität"/>
    <s v="Gigawattstunde"/>
    <x v="6"/>
    <x v="1"/>
    <n v="333"/>
  </r>
  <r>
    <x v="2"/>
    <s v="Endenergieverbrauch - Industriesektor - Bergbau und Steinbrüche - energetischer Verbrauch"/>
    <s v="Elektrizität"/>
    <s v="Gigawattstunde"/>
    <x v="7"/>
    <x v="1"/>
    <n v="261"/>
  </r>
  <r>
    <x v="2"/>
    <s v="Endenergieverbrauch - Industriesektor - Bergbau und Steinbrüche - energetischer Verbrauch"/>
    <s v="Elektrizität"/>
    <s v="Gigawattstunde"/>
    <x v="8"/>
    <x v="1"/>
    <n v="412"/>
  </r>
  <r>
    <x v="2"/>
    <s v="Endenergieverbrauch - Industriesektor - Bergbau und Steinbrüche - energetischer Verbrauch"/>
    <s v="Elektrizität"/>
    <s v="Gigawattstunde"/>
    <x v="9"/>
    <x v="1"/>
    <n v="393"/>
  </r>
  <r>
    <x v="2"/>
    <s v="Endenergieverbrauch - Industriesektor - Bergbau und Steinbrüche - energetischer Verbrauch"/>
    <s v="Elektrizität"/>
    <s v="Gigawattstunde"/>
    <x v="10"/>
    <x v="1"/>
    <n v="362"/>
  </r>
  <r>
    <x v="2"/>
    <s v="Endenergieverbrauch - Industriesektor - Bergbau und Steinbrüche - energetischer Verbrauch"/>
    <s v="Elektrizität"/>
    <s v="Gigawattstunde"/>
    <x v="11"/>
    <x v="1"/>
    <n v="363"/>
  </r>
  <r>
    <x v="2"/>
    <s v="Endenergieverbrauch - Industriesektor - Bergbau und Steinbrüche - energetischer Verbrauch"/>
    <s v="Elektrizität"/>
    <s v="Gigawattstunde"/>
    <x v="12"/>
    <x v="1"/>
    <n v="354"/>
  </r>
  <r>
    <x v="2"/>
    <s v="Endenergieverbrauch - Industriesektor - Bergbau und Steinbrüche - energetischer Verbrauch"/>
    <s v="Elektrizität"/>
    <s v="Gigawattstunde"/>
    <x v="13"/>
    <x v="1"/>
    <n v="350"/>
  </r>
  <r>
    <x v="2"/>
    <s v="Endenergieverbrauch - Industriesektor - Bergbau und Steinbrüche - energetischer Verbrauch"/>
    <s v="Elektrizität"/>
    <s v="Gigawattstunde"/>
    <x v="14"/>
    <x v="1"/>
    <n v="372"/>
  </r>
  <r>
    <x v="2"/>
    <s v="Endenergieverbrauch - Industriesektor - Bergbau und Steinbrüche - energetischer Verbrauch"/>
    <s v="Elektrizität"/>
    <s v="Gigawattstunde"/>
    <x v="15"/>
    <x v="1"/>
    <n v="375.99599999999998"/>
  </r>
  <r>
    <x v="2"/>
    <s v="Endenergieverbrauch - Industriesektor - Bergbau und Steinbrüche - energetischer Verbrauch"/>
    <s v="Elektrizität"/>
    <s v="Gigawattstunde"/>
    <x v="16"/>
    <x v="1"/>
    <n v="372.09699999999998"/>
  </r>
  <r>
    <x v="3"/>
    <s v="Endenergieverbrauch - Industriesektor - Bergbau und Steinbrüche - energetischer Verbrauch"/>
    <s v="Elektrizität"/>
    <s v="Gigawattstunde"/>
    <x v="0"/>
    <x v="1"/>
    <n v="100"/>
  </r>
  <r>
    <x v="3"/>
    <s v="Endenergieverbrauch - Industriesektor - Bergbau und Steinbrüche - energetischer Verbrauch"/>
    <s v="Elektrizität"/>
    <s v="Gigawattstunde"/>
    <x v="1"/>
    <x v="1"/>
    <n v="89"/>
  </r>
  <r>
    <x v="3"/>
    <s v="Endenergieverbrauch - Industriesektor - Bergbau und Steinbrüche - energetischer Verbrauch"/>
    <s v="Elektrizität"/>
    <s v="Gigawattstunde"/>
    <x v="2"/>
    <x v="1"/>
    <n v="94"/>
  </r>
  <r>
    <x v="3"/>
    <s v="Endenergieverbrauch - Industriesektor - Bergbau und Steinbrüche - energetischer Verbrauch"/>
    <s v="Elektrizität"/>
    <s v="Gigawattstunde"/>
    <x v="3"/>
    <x v="1"/>
    <n v="83"/>
  </r>
  <r>
    <x v="3"/>
    <s v="Endenergieverbrauch - Industriesektor - Bergbau und Steinbrüche - energetischer Verbrauch"/>
    <s v="Elektrizität"/>
    <s v="Gigawattstunde"/>
    <x v="4"/>
    <x v="1"/>
    <n v="80"/>
  </r>
  <r>
    <x v="3"/>
    <s v="Endenergieverbrauch - Industriesektor - Bergbau und Steinbrüche - energetischer Verbrauch"/>
    <s v="Elektrizität"/>
    <s v="Gigawattstunde"/>
    <x v="5"/>
    <x v="1"/>
    <n v="78"/>
  </r>
  <r>
    <x v="3"/>
    <s v="Endenergieverbrauch - Industriesektor - Bergbau und Steinbrüche - energetischer Verbrauch"/>
    <s v="Elektrizität"/>
    <s v="Gigawattstunde"/>
    <x v="6"/>
    <x v="1"/>
    <n v="76"/>
  </r>
  <r>
    <x v="3"/>
    <s v="Endenergieverbrauch - Industriesektor - Bergbau und Steinbrüche - energetischer Verbrauch"/>
    <s v="Elektrizität"/>
    <s v="Gigawattstunde"/>
    <x v="7"/>
    <x v="1"/>
    <n v="70"/>
  </r>
  <r>
    <x v="3"/>
    <s v="Endenergieverbrauch - Industriesektor - Bergbau und Steinbrüche - energetischer Verbrauch"/>
    <s v="Elektrizität"/>
    <s v="Gigawattstunde"/>
    <x v="8"/>
    <x v="1"/>
    <n v="71"/>
  </r>
  <r>
    <x v="3"/>
    <s v="Endenergieverbrauch - Industriesektor - Bergbau und Steinbrüche - energetischer Verbrauch"/>
    <s v="Elektrizität"/>
    <s v="Gigawattstunde"/>
    <x v="9"/>
    <x v="1"/>
    <n v="80"/>
  </r>
  <r>
    <x v="3"/>
    <s v="Endenergieverbrauch - Industriesektor - Bergbau und Steinbrüche - energetischer Verbrauch"/>
    <s v="Elektrizität"/>
    <s v="Gigawattstunde"/>
    <x v="10"/>
    <x v="1"/>
    <n v="102"/>
  </r>
  <r>
    <x v="3"/>
    <s v="Endenergieverbrauch - Industriesektor - Bergbau und Steinbrüche - energetischer Verbrauch"/>
    <s v="Elektrizität"/>
    <s v="Gigawattstunde"/>
    <x v="11"/>
    <x v="1"/>
    <n v="88"/>
  </r>
  <r>
    <x v="3"/>
    <s v="Endenergieverbrauch - Industriesektor - Bergbau und Steinbrüche - energetischer Verbrauch"/>
    <s v="Elektrizität"/>
    <s v="Gigawattstunde"/>
    <x v="12"/>
    <x v="1"/>
    <n v="77"/>
  </r>
  <r>
    <x v="3"/>
    <s v="Endenergieverbrauch - Industriesektor - Bergbau und Steinbrüche - energetischer Verbrauch"/>
    <s v="Elektrizität"/>
    <s v="Gigawattstunde"/>
    <x v="13"/>
    <x v="1"/>
    <n v="90.826999999999998"/>
  </r>
  <r>
    <x v="3"/>
    <s v="Endenergieverbrauch - Industriesektor - Bergbau und Steinbrüche - energetischer Verbrauch"/>
    <s v="Elektrizität"/>
    <s v="Gigawattstunde"/>
    <x v="14"/>
    <x v="1"/>
    <n v="90.882999999999996"/>
  </r>
  <r>
    <x v="3"/>
    <s v="Endenergieverbrauch - Industriesektor - Bergbau und Steinbrüche - energetischer Verbrauch"/>
    <s v="Elektrizität"/>
    <s v="Gigawattstunde"/>
    <x v="15"/>
    <x v="1"/>
    <n v="92.278000000000006"/>
  </r>
  <r>
    <x v="3"/>
    <s v="Endenergieverbrauch - Industriesektor - Bergbau und Steinbrüche - energetischer Verbrauch"/>
    <s v="Elektrizität"/>
    <s v="Gigawattstunde"/>
    <x v="16"/>
    <x v="1"/>
    <n v="92.188000000000002"/>
  </r>
  <r>
    <x v="4"/>
    <s v="Endenergieverbrauch - Industriesektor - Bergbau und Steinbrüche - energetischer Verbrauch"/>
    <s v="Elektrizität"/>
    <s v="Gigawattstunde"/>
    <x v="0"/>
    <x v="1"/>
    <n v="2092"/>
  </r>
  <r>
    <x v="4"/>
    <s v="Endenergieverbrauch - Industriesektor - Bergbau und Steinbrüche - energetischer Verbrauch"/>
    <s v="Elektrizität"/>
    <s v="Gigawattstunde"/>
    <x v="1"/>
    <x v="1"/>
    <n v="1932"/>
  </r>
  <r>
    <x v="4"/>
    <s v="Endenergieverbrauch - Industriesektor - Bergbau und Steinbrüche - energetischer Verbrauch"/>
    <s v="Elektrizität"/>
    <s v="Gigawattstunde"/>
    <x v="2"/>
    <x v="1"/>
    <n v="1966"/>
  </r>
  <r>
    <x v="4"/>
    <s v="Endenergieverbrauch - Industriesektor - Bergbau und Steinbrüche - energetischer Verbrauch"/>
    <s v="Elektrizität"/>
    <s v="Gigawattstunde"/>
    <x v="3"/>
    <x v="1"/>
    <n v="1902"/>
  </r>
  <r>
    <x v="4"/>
    <s v="Endenergieverbrauch - Industriesektor - Bergbau und Steinbrüche - energetischer Verbrauch"/>
    <s v="Elektrizität"/>
    <s v="Gigawattstunde"/>
    <x v="4"/>
    <x v="1"/>
    <n v="1927"/>
  </r>
  <r>
    <x v="4"/>
    <s v="Endenergieverbrauch - Industriesektor - Bergbau und Steinbrüche - energetischer Verbrauch"/>
    <s v="Elektrizität"/>
    <s v="Gigawattstunde"/>
    <x v="5"/>
    <x v="1"/>
    <n v="1962"/>
  </r>
  <r>
    <x v="4"/>
    <s v="Endenergieverbrauch - Industriesektor - Bergbau und Steinbrüche - energetischer Verbrauch"/>
    <s v="Elektrizität"/>
    <s v="Gigawattstunde"/>
    <x v="6"/>
    <x v="1"/>
    <n v="2373"/>
  </r>
  <r>
    <x v="4"/>
    <s v="Endenergieverbrauch - Industriesektor - Bergbau und Steinbrüche - energetischer Verbrauch"/>
    <s v="Elektrizität"/>
    <s v="Gigawattstunde"/>
    <x v="7"/>
    <x v="1"/>
    <n v="2101"/>
  </r>
  <r>
    <x v="4"/>
    <s v="Endenergieverbrauch - Industriesektor - Bergbau und Steinbrüche - energetischer Verbrauch"/>
    <s v="Elektrizität"/>
    <s v="Gigawattstunde"/>
    <x v="8"/>
    <x v="1"/>
    <n v="2158"/>
  </r>
  <r>
    <x v="4"/>
    <s v="Endenergieverbrauch - Industriesektor - Bergbau und Steinbrüche - energetischer Verbrauch"/>
    <s v="Elektrizität"/>
    <s v="Gigawattstunde"/>
    <x v="9"/>
    <x v="1"/>
    <n v="1920"/>
  </r>
  <r>
    <x v="4"/>
    <s v="Endenergieverbrauch - Industriesektor - Bergbau und Steinbrüche - energetischer Verbrauch"/>
    <s v="Elektrizität"/>
    <s v="Gigawattstunde"/>
    <x v="10"/>
    <x v="1"/>
    <n v="1800"/>
  </r>
  <r>
    <x v="4"/>
    <s v="Endenergieverbrauch - Industriesektor - Bergbau und Steinbrüche - energetischer Verbrauch"/>
    <s v="Elektrizität"/>
    <s v="Gigawattstunde"/>
    <x v="11"/>
    <x v="1"/>
    <n v="1747"/>
  </r>
  <r>
    <x v="4"/>
    <s v="Endenergieverbrauch - Industriesektor - Bergbau und Steinbrüche - energetischer Verbrauch"/>
    <s v="Elektrizität"/>
    <s v="Gigawattstunde"/>
    <x v="12"/>
    <x v="1"/>
    <n v="1768"/>
  </r>
  <r>
    <x v="4"/>
    <s v="Endenergieverbrauch - Industriesektor - Bergbau und Steinbrüche - energetischer Verbrauch"/>
    <s v="Elektrizität"/>
    <s v="Gigawattstunde"/>
    <x v="13"/>
    <x v="1"/>
    <n v="1740"/>
  </r>
  <r>
    <x v="4"/>
    <s v="Endenergieverbrauch - Industriesektor - Bergbau und Steinbrüche - energetischer Verbrauch"/>
    <s v="Elektrizität"/>
    <s v="Gigawattstunde"/>
    <x v="14"/>
    <x v="1"/>
    <n v="1783"/>
  </r>
  <r>
    <x v="4"/>
    <s v="Endenergieverbrauch - Industriesektor - Bergbau und Steinbrüche - energetischer Verbrauch"/>
    <s v="Elektrizität"/>
    <s v="Gigawattstunde"/>
    <x v="15"/>
    <x v="1"/>
    <n v="1768"/>
  </r>
  <r>
    <x v="4"/>
    <s v="Endenergieverbrauch - Industriesektor - Bergbau und Steinbrüche - energetischer Verbrauch"/>
    <s v="Elektrizität"/>
    <s v="Gigawattstunde"/>
    <x v="16"/>
    <x v="1"/>
    <n v="1774"/>
  </r>
  <r>
    <x v="5"/>
    <s v="Endenergieverbrauch - Industriesektor - Bergbau und Steinbrüche - energetischer Verbrauch"/>
    <s v="Elektrizität"/>
    <s v="Gigawattstunde"/>
    <x v="0"/>
    <x v="1"/>
    <n v="12"/>
  </r>
  <r>
    <x v="5"/>
    <s v="Endenergieverbrauch - Industriesektor - Bergbau und Steinbrüche - energetischer Verbrauch"/>
    <s v="Elektrizität"/>
    <s v="Gigawattstunde"/>
    <x v="1"/>
    <x v="1"/>
    <n v="17"/>
  </r>
  <r>
    <x v="5"/>
    <s v="Endenergieverbrauch - Industriesektor - Bergbau und Steinbrüche - energetischer Verbrauch"/>
    <s v="Elektrizität"/>
    <s v="Gigawattstunde"/>
    <x v="2"/>
    <x v="1"/>
    <n v="19"/>
  </r>
  <r>
    <x v="5"/>
    <s v="Endenergieverbrauch - Industriesektor - Bergbau und Steinbrüche - energetischer Verbrauch"/>
    <s v="Elektrizität"/>
    <s v="Gigawattstunde"/>
    <x v="3"/>
    <x v="1"/>
    <n v="20"/>
  </r>
  <r>
    <x v="5"/>
    <s v="Endenergieverbrauch - Industriesektor - Bergbau und Steinbrüche - energetischer Verbrauch"/>
    <s v="Elektrizität"/>
    <s v="Gigawattstunde"/>
    <x v="4"/>
    <x v="1"/>
    <n v="20"/>
  </r>
  <r>
    <x v="5"/>
    <s v="Endenergieverbrauch - Industriesektor - Bergbau und Steinbrüche - energetischer Verbrauch"/>
    <s v="Elektrizität"/>
    <s v="Gigawattstunde"/>
    <x v="5"/>
    <x v="1"/>
    <n v="20"/>
  </r>
  <r>
    <x v="5"/>
    <s v="Endenergieverbrauch - Industriesektor - Bergbau und Steinbrüche - energetischer Verbrauch"/>
    <s v="Elektrizität"/>
    <s v="Gigawattstunde"/>
    <x v="6"/>
    <x v="1"/>
    <n v="19"/>
  </r>
  <r>
    <x v="5"/>
    <s v="Endenergieverbrauch - Industriesektor - Bergbau und Steinbrüche - energetischer Verbrauch"/>
    <s v="Elektrizität"/>
    <s v="Gigawattstunde"/>
    <x v="7"/>
    <x v="1"/>
    <n v="16"/>
  </r>
  <r>
    <x v="5"/>
    <s v="Endenergieverbrauch - Industriesektor - Bergbau und Steinbrüche - energetischer Verbrauch"/>
    <s v="Elektrizität"/>
    <s v="Gigawattstunde"/>
    <x v="8"/>
    <x v="1"/>
    <n v="15"/>
  </r>
  <r>
    <x v="5"/>
    <s v="Endenergieverbrauch - Industriesektor - Bergbau und Steinbrüche - energetischer Verbrauch"/>
    <s v="Elektrizität"/>
    <s v="Gigawattstunde"/>
    <x v="9"/>
    <x v="1"/>
    <n v="16"/>
  </r>
  <r>
    <x v="5"/>
    <s v="Endenergieverbrauch - Industriesektor - Bergbau und Steinbrüche - energetischer Verbrauch"/>
    <s v="Elektrizität"/>
    <s v="Gigawattstunde"/>
    <x v="10"/>
    <x v="1"/>
    <n v="19"/>
  </r>
  <r>
    <x v="5"/>
    <s v="Endenergieverbrauch - Industriesektor - Bergbau und Steinbrüche - energetischer Verbrauch"/>
    <s v="Elektrizität"/>
    <s v="Gigawattstunde"/>
    <x v="11"/>
    <x v="1"/>
    <n v="19"/>
  </r>
  <r>
    <x v="5"/>
    <s v="Endenergieverbrauch - Industriesektor - Bergbau und Steinbrüche - energetischer Verbrauch"/>
    <s v="Elektrizität"/>
    <s v="Gigawattstunde"/>
    <x v="12"/>
    <x v="1"/>
    <n v="18"/>
  </r>
  <r>
    <x v="5"/>
    <s v="Endenergieverbrauch - Industriesektor - Bergbau und Steinbrüche - energetischer Verbrauch"/>
    <s v="Elektrizität"/>
    <s v="Gigawattstunde"/>
    <x v="13"/>
    <x v="1"/>
    <n v="18"/>
  </r>
  <r>
    <x v="5"/>
    <s v="Endenergieverbrauch - Industriesektor - Bergbau und Steinbrüche - energetischer Verbrauch"/>
    <s v="Elektrizität"/>
    <s v="Gigawattstunde"/>
    <x v="14"/>
    <x v="1"/>
    <n v="18"/>
  </r>
  <r>
    <x v="5"/>
    <s v="Endenergieverbrauch - Industriesektor - Bergbau und Steinbrüche - energetischer Verbrauch"/>
    <s v="Elektrizität"/>
    <s v="Gigawattstunde"/>
    <x v="15"/>
    <x v="1"/>
    <n v="10"/>
  </r>
  <r>
    <x v="5"/>
    <s v="Endenergieverbrauch - Industriesektor - Bergbau und Steinbrüche - energetischer Verbrauch"/>
    <s v="Elektrizität"/>
    <s v="Gigawattstunde"/>
    <x v="16"/>
    <x v="1"/>
    <n v="20"/>
  </r>
  <r>
    <x v="6"/>
    <s v="Endenergieverbrauch - Industriesektor - Bergbau und Steinbrüche - energetischer Verbrauch"/>
    <s v="Elektrizität"/>
    <s v="Gigawattstunde"/>
    <x v="0"/>
    <x v="1"/>
    <n v="465.17399999999998"/>
  </r>
  <r>
    <x v="6"/>
    <s v="Endenergieverbrauch - Industriesektor - Bergbau und Steinbrüche - energetischer Verbrauch"/>
    <s v="Elektrizität"/>
    <s v="Gigawattstunde"/>
    <x v="1"/>
    <x v="1"/>
    <n v="433.142"/>
  </r>
  <r>
    <x v="6"/>
    <s v="Endenergieverbrauch - Industriesektor - Bergbau und Steinbrüche - energetischer Verbrauch"/>
    <s v="Elektrizität"/>
    <s v="Gigawattstunde"/>
    <x v="2"/>
    <x v="1"/>
    <n v="409.92200000000003"/>
  </r>
  <r>
    <x v="6"/>
    <s v="Endenergieverbrauch - Industriesektor - Bergbau und Steinbrüche - energetischer Verbrauch"/>
    <s v="Elektrizität"/>
    <s v="Gigawattstunde"/>
    <x v="3"/>
    <x v="1"/>
    <n v="456.839"/>
  </r>
  <r>
    <x v="6"/>
    <s v="Endenergieverbrauch - Industriesektor - Bergbau und Steinbrüche - energetischer Verbrauch"/>
    <s v="Elektrizität"/>
    <s v="Gigawattstunde"/>
    <x v="4"/>
    <x v="1"/>
    <n v="649.64400000000001"/>
  </r>
  <r>
    <x v="6"/>
    <s v="Endenergieverbrauch - Industriesektor - Bergbau und Steinbrüche - energetischer Verbrauch"/>
    <s v="Elektrizität"/>
    <s v="Gigawattstunde"/>
    <x v="5"/>
    <x v="1"/>
    <n v="675.10799999999995"/>
  </r>
  <r>
    <x v="6"/>
    <s v="Endenergieverbrauch - Industriesektor - Bergbau und Steinbrüche - energetischer Verbrauch"/>
    <s v="Elektrizität"/>
    <s v="Gigawattstunde"/>
    <x v="6"/>
    <x v="1"/>
    <n v="588.01300000000003"/>
  </r>
  <r>
    <x v="6"/>
    <s v="Endenergieverbrauch - Industriesektor - Bergbau und Steinbrüche - energetischer Verbrauch"/>
    <s v="Elektrizität"/>
    <s v="Gigawattstunde"/>
    <x v="7"/>
    <x v="1"/>
    <n v="643.221"/>
  </r>
  <r>
    <x v="6"/>
    <s v="Endenergieverbrauch - Industriesektor - Bergbau und Steinbrüche - energetischer Verbrauch"/>
    <s v="Elektrizität"/>
    <s v="Gigawattstunde"/>
    <x v="8"/>
    <x v="1"/>
    <n v="652.70100000000002"/>
  </r>
  <r>
    <x v="6"/>
    <s v="Endenergieverbrauch - Industriesektor - Bergbau und Steinbrüche - energetischer Verbrauch"/>
    <s v="Elektrizität"/>
    <s v="Gigawattstunde"/>
    <x v="9"/>
    <x v="1"/>
    <n v="681.404"/>
  </r>
  <r>
    <x v="6"/>
    <s v="Endenergieverbrauch - Industriesektor - Bergbau und Steinbrüche - energetischer Verbrauch"/>
    <s v="Elektrizität"/>
    <s v="Gigawattstunde"/>
    <x v="10"/>
    <x v="1"/>
    <n v="655.83299999999997"/>
  </r>
  <r>
    <x v="6"/>
    <s v="Endenergieverbrauch - Industriesektor - Bergbau und Steinbrüche - energetischer Verbrauch"/>
    <s v="Elektrizität"/>
    <s v="Gigawattstunde"/>
    <x v="11"/>
    <x v="1"/>
    <n v="666.00400000000002"/>
  </r>
  <r>
    <x v="6"/>
    <s v="Endenergieverbrauch - Industriesektor - Bergbau und Steinbrüche - energetischer Verbrauch"/>
    <s v="Elektrizität"/>
    <s v="Gigawattstunde"/>
    <x v="12"/>
    <x v="1"/>
    <n v="673.95799999999997"/>
  </r>
  <r>
    <x v="6"/>
    <s v="Endenergieverbrauch - Industriesektor - Bergbau und Steinbrüche - energetischer Verbrauch"/>
    <s v="Elektrizität"/>
    <s v="Gigawattstunde"/>
    <x v="13"/>
    <x v="1"/>
    <n v="705.93100000000004"/>
  </r>
  <r>
    <x v="6"/>
    <s v="Endenergieverbrauch - Industriesektor - Bergbau und Steinbrüche - energetischer Verbrauch"/>
    <s v="Elektrizität"/>
    <s v="Gigawattstunde"/>
    <x v="14"/>
    <x v="1"/>
    <n v="728.90300000000002"/>
  </r>
  <r>
    <x v="6"/>
    <s v="Endenergieverbrauch - Industriesektor - Bergbau und Steinbrüche - energetischer Verbrauch"/>
    <s v="Elektrizität"/>
    <s v="Gigawattstunde"/>
    <x v="15"/>
    <x v="1"/>
    <n v="737.01"/>
  </r>
  <r>
    <x v="6"/>
    <s v="Endenergieverbrauch - Industriesektor - Bergbau und Steinbrüche - energetischer Verbrauch"/>
    <s v="Elektrizität"/>
    <s v="Gigawattstunde"/>
    <x v="16"/>
    <x v="1"/>
    <n v="784.34500000000003"/>
  </r>
  <r>
    <x v="7"/>
    <s v="Endenergieverbrauch - Industriesektor - Bergbau und Steinbrüche - energetischer Verbrauch"/>
    <s v="Elektrizität"/>
    <s v="Gigawattstunde"/>
    <x v="0"/>
    <x v="1"/>
    <n v="276"/>
  </r>
  <r>
    <x v="7"/>
    <s v="Endenergieverbrauch - Industriesektor - Bergbau und Steinbrüche - energetischer Verbrauch"/>
    <s v="Elektrizität"/>
    <s v="Gigawattstunde"/>
    <x v="1"/>
    <x v="1"/>
    <n v="89"/>
  </r>
  <r>
    <x v="7"/>
    <s v="Endenergieverbrauch - Industriesektor - Bergbau und Steinbrüche - energetischer Verbrauch"/>
    <s v="Elektrizität"/>
    <s v="Gigawattstunde"/>
    <x v="2"/>
    <x v="1"/>
    <n v="294"/>
  </r>
  <r>
    <x v="7"/>
    <s v="Endenergieverbrauch - Industriesektor - Bergbau und Steinbrüche - energetischer Verbrauch"/>
    <s v="Elektrizität"/>
    <s v="Gigawattstunde"/>
    <x v="3"/>
    <x v="1"/>
    <n v="264"/>
  </r>
  <r>
    <x v="7"/>
    <s v="Endenergieverbrauch - Industriesektor - Bergbau und Steinbrüche - energetischer Verbrauch"/>
    <s v="Elektrizität"/>
    <s v="Gigawattstunde"/>
    <x v="4"/>
    <x v="1"/>
    <n v="319"/>
  </r>
  <r>
    <x v="7"/>
    <s v="Endenergieverbrauch - Industriesektor - Bergbau und Steinbrüche - energetischer Verbrauch"/>
    <s v="Elektrizität"/>
    <s v="Gigawattstunde"/>
    <x v="5"/>
    <x v="1"/>
    <n v="357"/>
  </r>
  <r>
    <x v="7"/>
    <s v="Endenergieverbrauch - Industriesektor - Bergbau und Steinbrüche - energetischer Verbrauch"/>
    <s v="Elektrizität"/>
    <s v="Gigawattstunde"/>
    <x v="6"/>
    <x v="1"/>
    <n v="361"/>
  </r>
  <r>
    <x v="7"/>
    <s v="Endenergieverbrauch - Industriesektor - Bergbau und Steinbrüche - energetischer Verbrauch"/>
    <s v="Elektrizität"/>
    <s v="Gigawattstunde"/>
    <x v="7"/>
    <x v="1"/>
    <n v="273"/>
  </r>
  <r>
    <x v="7"/>
    <s v="Endenergieverbrauch - Industriesektor - Bergbau und Steinbrüche - energetischer Verbrauch"/>
    <s v="Elektrizität"/>
    <s v="Gigawattstunde"/>
    <x v="8"/>
    <x v="1"/>
    <n v="157"/>
  </r>
  <r>
    <x v="7"/>
    <s v="Endenergieverbrauch - Industriesektor - Bergbau und Steinbrüche - energetischer Verbrauch"/>
    <s v="Elektrizität"/>
    <s v="Gigawattstunde"/>
    <x v="9"/>
    <x v="1"/>
    <n v="41"/>
  </r>
  <r>
    <x v="7"/>
    <s v="Endenergieverbrauch - Industriesektor - Bergbau und Steinbrüche - energetischer Verbrauch"/>
    <s v="Elektrizität"/>
    <s v="Gigawattstunde"/>
    <x v="10"/>
    <x v="1"/>
    <n v="37"/>
  </r>
  <r>
    <x v="7"/>
    <s v="Endenergieverbrauch - Industriesektor - Bergbau und Steinbrüche - energetischer Verbrauch"/>
    <s v="Elektrizität"/>
    <s v="Gigawattstunde"/>
    <x v="11"/>
    <x v="1"/>
    <n v="39"/>
  </r>
  <r>
    <x v="7"/>
    <s v="Endenergieverbrauch - Industriesektor - Bergbau und Steinbrüche - energetischer Verbrauch"/>
    <s v="Elektrizität"/>
    <s v="Gigawattstunde"/>
    <x v="12"/>
    <x v="1"/>
    <n v="40"/>
  </r>
  <r>
    <x v="7"/>
    <s v="Endenergieverbrauch - Industriesektor - Bergbau und Steinbrüche - energetischer Verbrauch"/>
    <s v="Elektrizität"/>
    <s v="Gigawattstunde"/>
    <x v="13"/>
    <x v="1"/>
    <n v="29"/>
  </r>
  <r>
    <x v="7"/>
    <s v="Endenergieverbrauch - Industriesektor - Bergbau und Steinbrüche - energetischer Verbrauch"/>
    <s v="Elektrizität"/>
    <s v="Gigawattstunde"/>
    <x v="14"/>
    <x v="1"/>
    <n v="20"/>
  </r>
  <r>
    <x v="7"/>
    <s v="Endenergieverbrauch - Industriesektor - Bergbau und Steinbrüche - energetischer Verbrauch"/>
    <s v="Elektrizität"/>
    <s v="Gigawattstunde"/>
    <x v="15"/>
    <x v="1"/>
    <n v="62.920999999999999"/>
  </r>
  <r>
    <x v="7"/>
    <s v="Endenergieverbrauch - Industriesektor - Bergbau und Steinbrüche - energetischer Verbrauch"/>
    <s v="Elektrizität"/>
    <s v="Gigawattstunde"/>
    <x v="16"/>
    <x v="1"/>
    <n v="204.95"/>
  </r>
  <r>
    <x v="8"/>
    <s v="Endenergieverbrauch - Industriesektor - Bergbau und Steinbrüche - energetischer Verbrauch"/>
    <s v="Elektrizität"/>
    <s v="Gigawattstunde"/>
    <x v="0"/>
    <x v="1"/>
    <n v="1768"/>
  </r>
  <r>
    <x v="8"/>
    <s v="Endenergieverbrauch - Industriesektor - Bergbau und Steinbrüche - energetischer Verbrauch"/>
    <s v="Elektrizität"/>
    <s v="Gigawattstunde"/>
    <x v="1"/>
    <x v="1"/>
    <n v="1443"/>
  </r>
  <r>
    <x v="8"/>
    <s v="Endenergieverbrauch - Industriesektor - Bergbau und Steinbrüche - energetischer Verbrauch"/>
    <s v="Elektrizität"/>
    <s v="Gigawattstunde"/>
    <x v="2"/>
    <x v="1"/>
    <n v="1526"/>
  </r>
  <r>
    <x v="8"/>
    <s v="Endenergieverbrauch - Industriesektor - Bergbau und Steinbrüche - energetischer Verbrauch"/>
    <s v="Elektrizität"/>
    <s v="Gigawattstunde"/>
    <x v="3"/>
    <x v="1"/>
    <n v="1559"/>
  </r>
  <r>
    <x v="8"/>
    <s v="Endenergieverbrauch - Industriesektor - Bergbau und Steinbrüche - energetischer Verbrauch"/>
    <s v="Elektrizität"/>
    <s v="Gigawattstunde"/>
    <x v="4"/>
    <x v="1"/>
    <n v="1392"/>
  </r>
  <r>
    <x v="8"/>
    <s v="Endenergieverbrauch - Industriesektor - Bergbau und Steinbrüche - energetischer Verbrauch"/>
    <s v="Elektrizität"/>
    <s v="Gigawattstunde"/>
    <x v="5"/>
    <x v="1"/>
    <n v="1434"/>
  </r>
  <r>
    <x v="8"/>
    <s v="Endenergieverbrauch - Industriesektor - Bergbau und Steinbrüche - energetischer Verbrauch"/>
    <s v="Elektrizität"/>
    <s v="Gigawattstunde"/>
    <x v="6"/>
    <x v="1"/>
    <n v="1307"/>
  </r>
  <r>
    <x v="8"/>
    <s v="Endenergieverbrauch - Industriesektor - Bergbau und Steinbrüche - energetischer Verbrauch"/>
    <s v="Elektrizität"/>
    <s v="Gigawattstunde"/>
    <x v="7"/>
    <x v="1"/>
    <n v="1080"/>
  </r>
  <r>
    <x v="8"/>
    <s v="Endenergieverbrauch - Industriesektor - Bergbau und Steinbrüche - energetischer Verbrauch"/>
    <s v="Elektrizität"/>
    <s v="Gigawattstunde"/>
    <x v="8"/>
    <x v="1"/>
    <n v="1211"/>
  </r>
  <r>
    <x v="8"/>
    <s v="Endenergieverbrauch - Industriesektor - Bergbau und Steinbrüche - energetischer Verbrauch"/>
    <s v="Elektrizität"/>
    <s v="Gigawattstunde"/>
    <x v="9"/>
    <x v="1"/>
    <n v="1354"/>
  </r>
  <r>
    <x v="8"/>
    <s v="Endenergieverbrauch - Industriesektor - Bergbau und Steinbrüche - energetischer Verbrauch"/>
    <s v="Elektrizität"/>
    <s v="Gigawattstunde"/>
    <x v="10"/>
    <x v="1"/>
    <n v="1336"/>
  </r>
  <r>
    <x v="8"/>
    <s v="Endenergieverbrauch - Industriesektor - Bergbau und Steinbrüche - energetischer Verbrauch"/>
    <s v="Elektrizität"/>
    <s v="Gigawattstunde"/>
    <x v="11"/>
    <x v="1"/>
    <n v="1379"/>
  </r>
  <r>
    <x v="8"/>
    <s v="Endenergieverbrauch - Industriesektor - Bergbau und Steinbrüche - energetischer Verbrauch"/>
    <s v="Elektrizität"/>
    <s v="Gigawattstunde"/>
    <x v="12"/>
    <x v="1"/>
    <n v="1519"/>
  </r>
  <r>
    <x v="8"/>
    <s v="Endenergieverbrauch - Industriesektor - Bergbau und Steinbrüche - energetischer Verbrauch"/>
    <s v="Elektrizität"/>
    <s v="Gigawattstunde"/>
    <x v="13"/>
    <x v="1"/>
    <n v="1440"/>
  </r>
  <r>
    <x v="8"/>
    <s v="Endenergieverbrauch - Industriesektor - Bergbau und Steinbrüche - energetischer Verbrauch"/>
    <s v="Elektrizität"/>
    <s v="Gigawattstunde"/>
    <x v="14"/>
    <x v="1"/>
    <n v="1765"/>
  </r>
  <r>
    <x v="8"/>
    <s v="Endenergieverbrauch - Industriesektor - Bergbau und Steinbrüche - energetischer Verbrauch"/>
    <s v="Elektrizität"/>
    <s v="Gigawattstunde"/>
    <x v="15"/>
    <x v="1"/>
    <n v="1983"/>
  </r>
  <r>
    <x v="8"/>
    <s v="Endenergieverbrauch - Industriesektor - Bergbau und Steinbrüche - energetischer Verbrauch"/>
    <s v="Elektrizität"/>
    <s v="Gigawattstunde"/>
    <x v="16"/>
    <x v="1"/>
    <n v="1895"/>
  </r>
  <r>
    <x v="9"/>
    <s v="Endenergieverbrauch - Industriesektor - Bergbau und Steinbrüche - energetischer Verbrauch"/>
    <s v="Elektrizität"/>
    <s v="Gigawattstunde"/>
    <x v="0"/>
    <x v="1"/>
    <n v="1766"/>
  </r>
  <r>
    <x v="9"/>
    <s v="Endenergieverbrauch - Industriesektor - Bergbau und Steinbrüche - energetischer Verbrauch"/>
    <s v="Elektrizität"/>
    <s v="Gigawattstunde"/>
    <x v="1"/>
    <x v="1"/>
    <n v="1668"/>
  </r>
  <r>
    <x v="9"/>
    <s v="Endenergieverbrauch - Industriesektor - Bergbau und Steinbrüche - energetischer Verbrauch"/>
    <s v="Elektrizität"/>
    <s v="Gigawattstunde"/>
    <x v="2"/>
    <x v="1"/>
    <n v="1702"/>
  </r>
  <r>
    <x v="9"/>
    <s v="Endenergieverbrauch - Industriesektor - Bergbau und Steinbrüche - energetischer Verbrauch"/>
    <s v="Elektrizität"/>
    <s v="Gigawattstunde"/>
    <x v="3"/>
    <x v="1"/>
    <n v="1653"/>
  </r>
  <r>
    <x v="9"/>
    <s v="Endenergieverbrauch - Industriesektor - Bergbau und Steinbrüche - energetischer Verbrauch"/>
    <s v="Elektrizität"/>
    <s v="Gigawattstunde"/>
    <x v="4"/>
    <x v="1"/>
    <n v="1624"/>
  </r>
  <r>
    <x v="9"/>
    <s v="Endenergieverbrauch - Industriesektor - Bergbau und Steinbrüche - energetischer Verbrauch"/>
    <s v="Elektrizität"/>
    <s v="Gigawattstunde"/>
    <x v="5"/>
    <x v="1"/>
    <n v="1658"/>
  </r>
  <r>
    <x v="9"/>
    <s v="Endenergieverbrauch - Industriesektor - Bergbau und Steinbrüche - energetischer Verbrauch"/>
    <s v="Elektrizität"/>
    <s v="Gigawattstunde"/>
    <x v="6"/>
    <x v="1"/>
    <n v="680"/>
  </r>
  <r>
    <x v="9"/>
    <s v="Endenergieverbrauch - Industriesektor - Bergbau und Steinbrüche - energetischer Verbrauch"/>
    <s v="Elektrizität"/>
    <s v="Gigawattstunde"/>
    <x v="7"/>
    <x v="1"/>
    <n v="552"/>
  </r>
  <r>
    <x v="9"/>
    <s v="Endenergieverbrauch - Industriesektor - Bergbau und Steinbrüche - energetischer Verbrauch"/>
    <s v="Elektrizität"/>
    <s v="Gigawattstunde"/>
    <x v="8"/>
    <x v="1"/>
    <n v="575"/>
  </r>
  <r>
    <x v="9"/>
    <s v="Endenergieverbrauch - Industriesektor - Bergbau und Steinbrüche - energetischer Verbrauch"/>
    <s v="Elektrizität"/>
    <s v="Gigawattstunde"/>
    <x v="9"/>
    <x v="1"/>
    <n v="1746.366"/>
  </r>
  <r>
    <x v="9"/>
    <s v="Endenergieverbrauch - Industriesektor - Bergbau und Steinbrüche - energetischer Verbrauch"/>
    <s v="Elektrizität"/>
    <s v="Gigawattstunde"/>
    <x v="10"/>
    <x v="1"/>
    <n v="1739.635"/>
  </r>
  <r>
    <x v="9"/>
    <s v="Endenergieverbrauch - Industriesektor - Bergbau und Steinbrüche - energetischer Verbrauch"/>
    <s v="Elektrizität"/>
    <s v="Gigawattstunde"/>
    <x v="11"/>
    <x v="1"/>
    <n v="1745.029"/>
  </r>
  <r>
    <x v="9"/>
    <s v="Endenergieverbrauch - Industriesektor - Bergbau und Steinbrüche - energetischer Verbrauch"/>
    <s v="Elektrizität"/>
    <s v="Gigawattstunde"/>
    <x v="12"/>
    <x v="1"/>
    <n v="1708.9860000000001"/>
  </r>
  <r>
    <x v="9"/>
    <s v="Endenergieverbrauch - Industriesektor - Bergbau und Steinbrüche - energetischer Verbrauch"/>
    <s v="Elektrizität"/>
    <s v="Gigawattstunde"/>
    <x v="13"/>
    <x v="1"/>
    <n v="1638.509"/>
  </r>
  <r>
    <x v="9"/>
    <s v="Endenergieverbrauch - Industriesektor - Bergbau und Steinbrüche - energetischer Verbrauch"/>
    <s v="Elektrizität"/>
    <s v="Gigawattstunde"/>
    <x v="14"/>
    <x v="1"/>
    <n v="1594.3309999999999"/>
  </r>
  <r>
    <x v="9"/>
    <s v="Endenergieverbrauch - Industriesektor - Bergbau und Steinbrüche - energetischer Verbrauch"/>
    <s v="Elektrizität"/>
    <s v="Gigawattstunde"/>
    <x v="15"/>
    <x v="1"/>
    <n v="1629.502"/>
  </r>
  <r>
    <x v="9"/>
    <s v="Endenergieverbrauch - Industriesektor - Bergbau und Steinbrüche - energetischer Verbrauch"/>
    <s v="Elektrizität"/>
    <s v="Gigawattstunde"/>
    <x v="16"/>
    <x v="1"/>
    <n v="1610.0889999999999"/>
  </r>
  <r>
    <x v="10"/>
    <s v="Endenergieverbrauch - Industriesektor - Bergbau und Steinbrüche - energetischer Verbrauch"/>
    <s v="Elektrizität"/>
    <s v="Gigawattstunde"/>
    <x v="0"/>
    <x v="1"/>
    <n v="46"/>
  </r>
  <r>
    <x v="10"/>
    <s v="Endenergieverbrauch - Industriesektor - Bergbau und Steinbrüche - energetischer Verbrauch"/>
    <s v="Elektrizität"/>
    <s v="Gigawattstunde"/>
    <x v="1"/>
    <x v="1"/>
    <n v="57"/>
  </r>
  <r>
    <x v="10"/>
    <s v="Endenergieverbrauch - Industriesektor - Bergbau und Steinbrüche - energetischer Verbrauch"/>
    <s v="Elektrizität"/>
    <s v="Gigawattstunde"/>
    <x v="2"/>
    <x v="1"/>
    <n v="63"/>
  </r>
  <r>
    <x v="10"/>
    <s v="Endenergieverbrauch - Industriesektor - Bergbau und Steinbrüche - energetischer Verbrauch"/>
    <s v="Elektrizität"/>
    <s v="Gigawattstunde"/>
    <x v="3"/>
    <x v="1"/>
    <n v="56"/>
  </r>
  <r>
    <x v="10"/>
    <s v="Endenergieverbrauch - Industriesektor - Bergbau und Steinbrüche - energetischer Verbrauch"/>
    <s v="Elektrizität"/>
    <s v="Gigawattstunde"/>
    <x v="4"/>
    <x v="1"/>
    <n v="60"/>
  </r>
  <r>
    <x v="10"/>
    <s v="Endenergieverbrauch - Industriesektor - Bergbau und Steinbrüche - energetischer Verbrauch"/>
    <s v="Elektrizität"/>
    <s v="Gigawattstunde"/>
    <x v="5"/>
    <x v="1"/>
    <n v="58"/>
  </r>
  <r>
    <x v="10"/>
    <s v="Endenergieverbrauch - Industriesektor - Bergbau und Steinbrüche - energetischer Verbrauch"/>
    <s v="Elektrizität"/>
    <s v="Gigawattstunde"/>
    <x v="6"/>
    <x v="1"/>
    <n v="52"/>
  </r>
  <r>
    <x v="10"/>
    <s v="Endenergieverbrauch - Industriesektor - Bergbau und Steinbrüche - energetischer Verbrauch"/>
    <s v="Elektrizität"/>
    <s v="Gigawattstunde"/>
    <x v="7"/>
    <x v="1"/>
    <n v="57"/>
  </r>
  <r>
    <x v="10"/>
    <s v="Endenergieverbrauch - Industriesektor - Bergbau und Steinbrüche - energetischer Verbrauch"/>
    <s v="Elektrizität"/>
    <s v="Gigawattstunde"/>
    <x v="8"/>
    <x v="1"/>
    <n v="47"/>
  </r>
  <r>
    <x v="10"/>
    <s v="Endenergieverbrauch - Industriesektor - Bergbau und Steinbrüche - energetischer Verbrauch"/>
    <s v="Elektrizität"/>
    <s v="Gigawattstunde"/>
    <x v="9"/>
    <x v="1"/>
    <n v="40"/>
  </r>
  <r>
    <x v="10"/>
    <s v="Endenergieverbrauch - Industriesektor - Bergbau und Steinbrüche - energetischer Verbrauch"/>
    <s v="Elektrizität"/>
    <s v="Gigawattstunde"/>
    <x v="10"/>
    <x v="1"/>
    <n v="41"/>
  </r>
  <r>
    <x v="10"/>
    <s v="Endenergieverbrauch - Industriesektor - Bergbau und Steinbrüche - energetischer Verbrauch"/>
    <s v="Elektrizität"/>
    <s v="Gigawattstunde"/>
    <x v="11"/>
    <x v="1"/>
    <n v="42"/>
  </r>
  <r>
    <x v="10"/>
    <s v="Endenergieverbrauch - Industriesektor - Bergbau und Steinbrüche - energetischer Verbrauch"/>
    <s v="Elektrizität"/>
    <s v="Gigawattstunde"/>
    <x v="12"/>
    <x v="1"/>
    <n v="40"/>
  </r>
  <r>
    <x v="10"/>
    <s v="Endenergieverbrauch - Industriesektor - Bergbau und Steinbrüche - energetischer Verbrauch"/>
    <s v="Elektrizität"/>
    <s v="Gigawattstunde"/>
    <x v="13"/>
    <x v="1"/>
    <n v="44"/>
  </r>
  <r>
    <x v="10"/>
    <s v="Endenergieverbrauch - Industriesektor - Bergbau und Steinbrüche - energetischer Verbrauch"/>
    <s v="Elektrizität"/>
    <s v="Gigawattstunde"/>
    <x v="14"/>
    <x v="1"/>
    <n v="49"/>
  </r>
  <r>
    <x v="10"/>
    <s v="Endenergieverbrauch - Industriesektor - Bergbau und Steinbrüche - energetischer Verbrauch"/>
    <s v="Elektrizität"/>
    <s v="Gigawattstunde"/>
    <x v="15"/>
    <x v="1"/>
    <n v="32.9"/>
  </r>
  <r>
    <x v="10"/>
    <s v="Endenergieverbrauch - Industriesektor - Bergbau und Steinbrüche - energetischer Verbrauch"/>
    <s v="Elektrizität"/>
    <s v="Gigawattstunde"/>
    <x v="16"/>
    <x v="1"/>
    <n v="28.8"/>
  </r>
  <r>
    <x v="11"/>
    <s v="Endenergieverbrauch - Industriesektor - Bergbau und Steinbrüche - energetischer Verbrauch"/>
    <s v="Elektrizität"/>
    <s v="Gigawattstunde"/>
    <x v="0"/>
    <x v="1"/>
    <n v="1042"/>
  </r>
  <r>
    <x v="11"/>
    <s v="Endenergieverbrauch - Industriesektor - Bergbau und Steinbrüche - energetischer Verbrauch"/>
    <s v="Elektrizität"/>
    <s v="Gigawattstunde"/>
    <x v="1"/>
    <x v="1"/>
    <n v="1060"/>
  </r>
  <r>
    <x v="11"/>
    <s v="Endenergieverbrauch - Industriesektor - Bergbau und Steinbrüche - energetischer Verbrauch"/>
    <s v="Elektrizität"/>
    <s v="Gigawattstunde"/>
    <x v="2"/>
    <x v="1"/>
    <n v="1099"/>
  </r>
  <r>
    <x v="11"/>
    <s v="Endenergieverbrauch - Industriesektor - Bergbau und Steinbrüche - energetischer Verbrauch"/>
    <s v="Elektrizität"/>
    <s v="Gigawattstunde"/>
    <x v="3"/>
    <x v="1"/>
    <n v="1065"/>
  </r>
  <r>
    <x v="11"/>
    <s v="Endenergieverbrauch - Industriesektor - Bergbau und Steinbrüche - energetischer Verbrauch"/>
    <s v="Elektrizität"/>
    <s v="Gigawattstunde"/>
    <x v="4"/>
    <x v="1"/>
    <n v="1087"/>
  </r>
  <r>
    <x v="11"/>
    <s v="Endenergieverbrauch - Industriesektor - Bergbau und Steinbrüche - energetischer Verbrauch"/>
    <s v="Elektrizität"/>
    <s v="Gigawattstunde"/>
    <x v="5"/>
    <x v="1"/>
    <n v="1065"/>
  </r>
  <r>
    <x v="11"/>
    <s v="Endenergieverbrauch - Industriesektor - Bergbau und Steinbrüche - energetischer Verbrauch"/>
    <s v="Elektrizität"/>
    <s v="Gigawattstunde"/>
    <x v="6"/>
    <x v="1"/>
    <n v="1027"/>
  </r>
  <r>
    <x v="11"/>
    <s v="Endenergieverbrauch - Industriesektor - Bergbau und Steinbrüche - energetischer Verbrauch"/>
    <s v="Elektrizität"/>
    <s v="Gigawattstunde"/>
    <x v="7"/>
    <x v="1"/>
    <n v="917"/>
  </r>
  <r>
    <x v="11"/>
    <s v="Endenergieverbrauch - Industriesektor - Bergbau und Steinbrüche - energetischer Verbrauch"/>
    <s v="Elektrizität"/>
    <s v="Gigawattstunde"/>
    <x v="8"/>
    <x v="1"/>
    <n v="880"/>
  </r>
  <r>
    <x v="11"/>
    <s v="Endenergieverbrauch - Industriesektor - Bergbau und Steinbrüche - energetischer Verbrauch"/>
    <s v="Elektrizität"/>
    <s v="Gigawattstunde"/>
    <x v="9"/>
    <x v="1"/>
    <n v="863"/>
  </r>
  <r>
    <x v="11"/>
    <s v="Endenergieverbrauch - Industriesektor - Bergbau und Steinbrüche - energetischer Verbrauch"/>
    <s v="Elektrizität"/>
    <s v="Gigawattstunde"/>
    <x v="10"/>
    <x v="1"/>
    <n v="742"/>
  </r>
  <r>
    <x v="11"/>
    <s v="Endenergieverbrauch - Industriesektor - Bergbau und Steinbrüche - energetischer Verbrauch"/>
    <s v="Elektrizität"/>
    <s v="Gigawattstunde"/>
    <x v="11"/>
    <x v="1"/>
    <n v="681"/>
  </r>
  <r>
    <x v="11"/>
    <s v="Endenergieverbrauch - Industriesektor - Bergbau und Steinbrüche - energetischer Verbrauch"/>
    <s v="Elektrizität"/>
    <s v="Gigawattstunde"/>
    <x v="12"/>
    <x v="1"/>
    <n v="643"/>
  </r>
  <r>
    <x v="11"/>
    <s v="Endenergieverbrauch - Industriesektor - Bergbau und Steinbrüche - energetischer Verbrauch"/>
    <s v="Elektrizität"/>
    <s v="Gigawattstunde"/>
    <x v="13"/>
    <x v="1"/>
    <n v="627"/>
  </r>
  <r>
    <x v="11"/>
    <s v="Endenergieverbrauch - Industriesektor - Bergbau und Steinbrüche - energetischer Verbrauch"/>
    <s v="Elektrizität"/>
    <s v="Gigawattstunde"/>
    <x v="14"/>
    <x v="1"/>
    <n v="609"/>
  </r>
  <r>
    <x v="11"/>
    <s v="Endenergieverbrauch - Industriesektor - Bergbau und Steinbrüche - energetischer Verbrauch"/>
    <s v="Elektrizität"/>
    <s v="Gigawattstunde"/>
    <x v="15"/>
    <x v="1"/>
    <n v="605.50300000000004"/>
  </r>
  <r>
    <x v="11"/>
    <s v="Endenergieverbrauch - Industriesektor - Bergbau und Steinbrüche - energetischer Verbrauch"/>
    <s v="Elektrizität"/>
    <s v="Gigawattstunde"/>
    <x v="16"/>
    <x v="1"/>
    <n v="615.05999999999995"/>
  </r>
  <r>
    <x v="12"/>
    <s v="Endenergieverbrauch - Industriesektor - Bergbau und Steinbrüche - energetischer Verbrauch"/>
    <s v="Elektrizität"/>
    <s v="Gigawattstunde"/>
    <x v="0"/>
    <x v="1"/>
    <n v="12"/>
  </r>
  <r>
    <x v="12"/>
    <s v="Endenergieverbrauch - Industriesektor - Bergbau und Steinbrüche - energetischer Verbrauch"/>
    <s v="Elektrizität"/>
    <s v="Gigawattstunde"/>
    <x v="1"/>
    <x v="1"/>
    <n v="13"/>
  </r>
  <r>
    <x v="12"/>
    <s v="Endenergieverbrauch - Industriesektor - Bergbau und Steinbrüche - energetischer Verbrauch"/>
    <s v="Elektrizität"/>
    <s v="Gigawattstunde"/>
    <x v="2"/>
    <x v="1"/>
    <n v="20"/>
  </r>
  <r>
    <x v="12"/>
    <s v="Endenergieverbrauch - Industriesektor - Bergbau und Steinbrüche - energetischer Verbrauch"/>
    <s v="Elektrizität"/>
    <s v="Gigawattstunde"/>
    <x v="3"/>
    <x v="1"/>
    <n v="14"/>
  </r>
  <r>
    <x v="12"/>
    <s v="Endenergieverbrauch - Industriesektor - Bergbau und Steinbrüche - energetischer Verbrauch"/>
    <s v="Elektrizität"/>
    <s v="Gigawattstunde"/>
    <x v="4"/>
    <x v="1"/>
    <n v="16"/>
  </r>
  <r>
    <x v="12"/>
    <s v="Endenergieverbrauch - Industriesektor - Bergbau und Steinbrüche - energetischer Verbrauch"/>
    <s v="Elektrizität"/>
    <s v="Gigawattstunde"/>
    <x v="5"/>
    <x v="1"/>
    <n v="36"/>
  </r>
  <r>
    <x v="12"/>
    <s v="Endenergieverbrauch - Industriesektor - Bergbau und Steinbrüche - energetischer Verbrauch"/>
    <s v="Elektrizität"/>
    <s v="Gigawattstunde"/>
    <x v="6"/>
    <x v="1"/>
    <n v="39"/>
  </r>
  <r>
    <x v="12"/>
    <s v="Endenergieverbrauch - Industriesektor - Bergbau und Steinbrüche - energetischer Verbrauch"/>
    <s v="Elektrizität"/>
    <s v="Gigawattstunde"/>
    <x v="7"/>
    <x v="1"/>
    <n v="34"/>
  </r>
  <r>
    <x v="12"/>
    <s v="Endenergieverbrauch - Industriesektor - Bergbau und Steinbrüche - energetischer Verbrauch"/>
    <s v="Elektrizität"/>
    <s v="Gigawattstunde"/>
    <x v="8"/>
    <x v="1"/>
    <n v="34"/>
  </r>
  <r>
    <x v="12"/>
    <s v="Endenergieverbrauch - Industriesektor - Bergbau und Steinbrüche - energetischer Verbrauch"/>
    <s v="Elektrizität"/>
    <s v="Gigawattstunde"/>
    <x v="9"/>
    <x v="1"/>
    <n v="40"/>
  </r>
  <r>
    <x v="12"/>
    <s v="Endenergieverbrauch - Industriesektor - Bergbau und Steinbrüche - energetischer Verbrauch"/>
    <s v="Elektrizität"/>
    <s v="Gigawattstunde"/>
    <x v="10"/>
    <x v="1"/>
    <n v="35"/>
  </r>
  <r>
    <x v="12"/>
    <s v="Endenergieverbrauch - Industriesektor - Bergbau und Steinbrüche - energetischer Verbrauch"/>
    <s v="Elektrizität"/>
    <s v="Gigawattstunde"/>
    <x v="11"/>
    <x v="1"/>
    <n v="29"/>
  </r>
  <r>
    <x v="12"/>
    <s v="Endenergieverbrauch - Industriesektor - Bergbau und Steinbrüche - energetischer Verbrauch"/>
    <s v="Elektrizität"/>
    <s v="Gigawattstunde"/>
    <x v="12"/>
    <x v="1"/>
    <n v="29"/>
  </r>
  <r>
    <x v="12"/>
    <s v="Endenergieverbrauch - Industriesektor - Bergbau und Steinbrüche - energetischer Verbrauch"/>
    <s v="Elektrizität"/>
    <s v="Gigawattstunde"/>
    <x v="13"/>
    <x v="1"/>
    <n v="25"/>
  </r>
  <r>
    <x v="12"/>
    <s v="Endenergieverbrauch - Industriesektor - Bergbau und Steinbrüche - energetischer Verbrauch"/>
    <s v="Elektrizität"/>
    <s v="Gigawattstunde"/>
    <x v="14"/>
    <x v="1"/>
    <n v="29"/>
  </r>
  <r>
    <x v="12"/>
    <s v="Endenergieverbrauch - Industriesektor - Bergbau und Steinbrüche - energetischer Verbrauch"/>
    <s v="Elektrizität"/>
    <s v="Gigawattstunde"/>
    <x v="15"/>
    <x v="1"/>
    <n v="29.335000000000001"/>
  </r>
  <r>
    <x v="12"/>
    <s v="Endenergieverbrauch - Industriesektor - Bergbau und Steinbrüche - energetischer Verbrauch"/>
    <s v="Elektrizität"/>
    <s v="Gigawattstunde"/>
    <x v="16"/>
    <x v="1"/>
    <n v="29.353999999999999"/>
  </r>
  <r>
    <x v="13"/>
    <s v="Endenergieverbrauch - Industriesektor - Bergbau und Steinbrüche - energetischer Verbrauch"/>
    <s v="Elektrizität"/>
    <s v="Gigawattstunde"/>
    <x v="0"/>
    <x v="1"/>
    <n v="8"/>
  </r>
  <r>
    <x v="13"/>
    <s v="Endenergieverbrauch - Industriesektor - Bergbau und Steinbrüche - energetischer Verbrauch"/>
    <s v="Elektrizität"/>
    <s v="Gigawattstunde"/>
    <x v="1"/>
    <x v="1"/>
    <n v="8"/>
  </r>
  <r>
    <x v="13"/>
    <s v="Endenergieverbrauch - Industriesektor - Bergbau und Steinbrüche - energetischer Verbrauch"/>
    <s v="Elektrizität"/>
    <s v="Gigawattstunde"/>
    <x v="2"/>
    <x v="1"/>
    <n v="9"/>
  </r>
  <r>
    <x v="13"/>
    <s v="Endenergieverbrauch - Industriesektor - Bergbau und Steinbrüche - energetischer Verbrauch"/>
    <s v="Elektrizität"/>
    <s v="Gigawattstunde"/>
    <x v="3"/>
    <x v="1"/>
    <n v="11"/>
  </r>
  <r>
    <x v="13"/>
    <s v="Endenergieverbrauch - Industriesektor - Bergbau und Steinbrüche - energetischer Verbrauch"/>
    <s v="Elektrizität"/>
    <s v="Gigawattstunde"/>
    <x v="4"/>
    <x v="1"/>
    <n v="13"/>
  </r>
  <r>
    <x v="13"/>
    <s v="Endenergieverbrauch - Industriesektor - Bergbau und Steinbrüche - energetischer Verbrauch"/>
    <s v="Elektrizität"/>
    <s v="Gigawattstunde"/>
    <x v="5"/>
    <x v="1"/>
    <n v="13"/>
  </r>
  <r>
    <x v="13"/>
    <s v="Endenergieverbrauch - Industriesektor - Bergbau und Steinbrüche - energetischer Verbrauch"/>
    <s v="Elektrizität"/>
    <s v="Gigawattstunde"/>
    <x v="6"/>
    <x v="1"/>
    <n v="12"/>
  </r>
  <r>
    <x v="13"/>
    <s v="Endenergieverbrauch - Industriesektor - Bergbau und Steinbrüche - energetischer Verbrauch"/>
    <s v="Elektrizität"/>
    <s v="Gigawattstunde"/>
    <x v="7"/>
    <x v="1"/>
    <n v="9"/>
  </r>
  <r>
    <x v="13"/>
    <s v="Endenergieverbrauch - Industriesektor - Bergbau und Steinbrüche - energetischer Verbrauch"/>
    <s v="Elektrizität"/>
    <s v="Gigawattstunde"/>
    <x v="8"/>
    <x v="1"/>
    <n v="18"/>
  </r>
  <r>
    <x v="13"/>
    <s v="Endenergieverbrauch - Industriesektor - Bergbau und Steinbrüche - energetischer Verbrauch"/>
    <s v="Elektrizität"/>
    <s v="Gigawattstunde"/>
    <x v="9"/>
    <x v="1"/>
    <n v="12"/>
  </r>
  <r>
    <x v="13"/>
    <s v="Endenergieverbrauch - Industriesektor - Bergbau und Steinbrüche - energetischer Verbrauch"/>
    <s v="Elektrizität"/>
    <s v="Gigawattstunde"/>
    <x v="10"/>
    <x v="1"/>
    <n v="11"/>
  </r>
  <r>
    <x v="13"/>
    <s v="Endenergieverbrauch - Industriesektor - Bergbau und Steinbrüche - energetischer Verbrauch"/>
    <s v="Elektrizität"/>
    <s v="Gigawattstunde"/>
    <x v="11"/>
    <x v="1"/>
    <n v="21"/>
  </r>
  <r>
    <x v="13"/>
    <s v="Endenergieverbrauch - Industriesektor - Bergbau und Steinbrüche - energetischer Verbrauch"/>
    <s v="Elektrizität"/>
    <s v="Gigawattstunde"/>
    <x v="12"/>
    <x v="1"/>
    <n v="14"/>
  </r>
  <r>
    <x v="13"/>
    <s v="Endenergieverbrauch - Industriesektor - Bergbau und Steinbrüche - energetischer Verbrauch"/>
    <s v="Elektrizität"/>
    <s v="Gigawattstunde"/>
    <x v="13"/>
    <x v="1"/>
    <n v="15"/>
  </r>
  <r>
    <x v="13"/>
    <s v="Endenergieverbrauch - Industriesektor - Bergbau und Steinbrüche - energetischer Verbrauch"/>
    <s v="Elektrizität"/>
    <s v="Gigawattstunde"/>
    <x v="14"/>
    <x v="1"/>
    <n v="12"/>
  </r>
  <r>
    <x v="13"/>
    <s v="Endenergieverbrauch - Industriesektor - Bergbau und Steinbrüche - energetischer Verbrauch"/>
    <s v="Elektrizität"/>
    <s v="Gigawattstunde"/>
    <x v="15"/>
    <x v="1"/>
    <n v="27.687999999999999"/>
  </r>
  <r>
    <x v="13"/>
    <s v="Endenergieverbrauch - Industriesektor - Bergbau und Steinbrüche - energetischer Verbrauch"/>
    <s v="Elektrizität"/>
    <s v="Gigawattstunde"/>
    <x v="16"/>
    <x v="1"/>
    <n v="30.074999999999999"/>
  </r>
  <r>
    <x v="14"/>
    <s v="Endenergieverbrauch - Industriesektor - Bergbau und Steinbrüche - energetischer Verbrauch"/>
    <s v="Elektrizität"/>
    <s v="Gigawattstunde"/>
    <x v="0"/>
    <x v="1"/>
    <n v="30"/>
  </r>
  <r>
    <x v="14"/>
    <s v="Endenergieverbrauch - Industriesektor - Bergbau und Steinbrüche - energetischer Verbrauch"/>
    <s v="Elektrizität"/>
    <s v="Gigawattstunde"/>
    <x v="1"/>
    <x v="1"/>
    <n v="32"/>
  </r>
  <r>
    <x v="14"/>
    <s v="Endenergieverbrauch - Industriesektor - Bergbau und Steinbrüche - energetischer Verbrauch"/>
    <s v="Elektrizität"/>
    <s v="Gigawattstunde"/>
    <x v="2"/>
    <x v="1"/>
    <n v="35"/>
  </r>
  <r>
    <x v="14"/>
    <s v="Endenergieverbrauch - Industriesektor - Bergbau und Steinbrüche - energetischer Verbrauch"/>
    <s v="Elektrizität"/>
    <s v="Gigawattstunde"/>
    <x v="3"/>
    <x v="1"/>
    <n v="37"/>
  </r>
  <r>
    <x v="14"/>
    <s v="Endenergieverbrauch - Industriesektor - Bergbau und Steinbrüche - energetischer Verbrauch"/>
    <s v="Elektrizität"/>
    <s v="Gigawattstunde"/>
    <x v="4"/>
    <x v="1"/>
    <n v="40"/>
  </r>
  <r>
    <x v="14"/>
    <s v="Endenergieverbrauch - Industriesektor - Bergbau und Steinbrüche - energetischer Verbrauch"/>
    <s v="Elektrizität"/>
    <s v="Gigawattstunde"/>
    <x v="5"/>
    <x v="1"/>
    <n v="45"/>
  </r>
  <r>
    <x v="14"/>
    <s v="Endenergieverbrauch - Industriesektor - Bergbau und Steinbrüche - energetischer Verbrauch"/>
    <s v="Elektrizität"/>
    <s v="Gigawattstunde"/>
    <x v="6"/>
    <x v="1"/>
    <n v="42"/>
  </r>
  <r>
    <x v="14"/>
    <s v="Endenergieverbrauch - Industriesektor - Bergbau und Steinbrüche - energetischer Verbrauch"/>
    <s v="Elektrizität"/>
    <s v="Gigawattstunde"/>
    <x v="7"/>
    <x v="1"/>
    <n v="23"/>
  </r>
  <r>
    <x v="14"/>
    <s v="Endenergieverbrauch - Industriesektor - Bergbau und Steinbrüche - energetischer Verbrauch"/>
    <s v="Elektrizität"/>
    <s v="Gigawattstunde"/>
    <x v="8"/>
    <x v="1"/>
    <n v="24"/>
  </r>
  <r>
    <x v="14"/>
    <s v="Endenergieverbrauch - Industriesektor - Bergbau und Steinbrüche - energetischer Verbrauch"/>
    <s v="Elektrizität"/>
    <s v="Gigawattstunde"/>
    <x v="9"/>
    <x v="1"/>
    <n v="29"/>
  </r>
  <r>
    <x v="14"/>
    <s v="Endenergieverbrauch - Industriesektor - Bergbau und Steinbrüche - energetischer Verbrauch"/>
    <s v="Elektrizität"/>
    <s v="Gigawattstunde"/>
    <x v="10"/>
    <x v="1"/>
    <n v="25"/>
  </r>
  <r>
    <x v="14"/>
    <s v="Endenergieverbrauch - Industriesektor - Bergbau und Steinbrüche - energetischer Verbrauch"/>
    <s v="Elektrizität"/>
    <s v="Gigawattstunde"/>
    <x v="11"/>
    <x v="1"/>
    <n v="27"/>
  </r>
  <r>
    <x v="14"/>
    <s v="Endenergieverbrauch - Industriesektor - Bergbau und Steinbrüche - energetischer Verbrauch"/>
    <s v="Elektrizität"/>
    <s v="Gigawattstunde"/>
    <x v="12"/>
    <x v="1"/>
    <n v="26"/>
  </r>
  <r>
    <x v="14"/>
    <s v="Endenergieverbrauch - Industriesektor - Bergbau und Steinbrüche - energetischer Verbrauch"/>
    <s v="Elektrizität"/>
    <s v="Gigawattstunde"/>
    <x v="13"/>
    <x v="1"/>
    <n v="27"/>
  </r>
  <r>
    <x v="14"/>
    <s v="Endenergieverbrauch - Industriesektor - Bergbau und Steinbrüche - energetischer Verbrauch"/>
    <s v="Elektrizität"/>
    <s v="Gigawattstunde"/>
    <x v="14"/>
    <x v="1"/>
    <n v="29"/>
  </r>
  <r>
    <x v="14"/>
    <s v="Endenergieverbrauch - Industriesektor - Bergbau und Steinbrüche - energetischer Verbrauch"/>
    <s v="Elektrizität"/>
    <s v="Gigawattstunde"/>
    <x v="15"/>
    <x v="1"/>
    <n v="30.9"/>
  </r>
  <r>
    <x v="14"/>
    <s v="Endenergieverbrauch - Industriesektor - Bergbau und Steinbrüche - energetischer Verbrauch"/>
    <s v="Elektrizität"/>
    <s v="Gigawattstunde"/>
    <x v="16"/>
    <x v="1"/>
    <n v="30.6"/>
  </r>
  <r>
    <x v="15"/>
    <s v="Endenergieverbrauch - Industriesektor - Bergbau und Steinbrüche - energetischer Verbrauch"/>
    <s v="Elektrizität"/>
    <s v="Gigawattstunde"/>
    <x v="0"/>
    <x v="1"/>
    <n v="17.215"/>
  </r>
  <r>
    <x v="15"/>
    <s v="Endenergieverbrauch - Industriesektor - Bergbau und Steinbrüche - energetischer Verbrauch"/>
    <s v="Elektrizität"/>
    <s v="Gigawattstunde"/>
    <x v="1"/>
    <x v="1"/>
    <n v="17.792000000000002"/>
  </r>
  <r>
    <x v="15"/>
    <s v="Endenergieverbrauch - Industriesektor - Bergbau und Steinbrüche - energetischer Verbrauch"/>
    <s v="Elektrizität"/>
    <s v="Gigawattstunde"/>
    <x v="2"/>
    <x v="1"/>
    <n v="15.371"/>
  </r>
  <r>
    <x v="15"/>
    <s v="Endenergieverbrauch - Industriesektor - Bergbau und Steinbrüche - energetischer Verbrauch"/>
    <s v="Elektrizität"/>
    <s v="Gigawattstunde"/>
    <x v="3"/>
    <x v="1"/>
    <n v="12.379"/>
  </r>
  <r>
    <x v="15"/>
    <s v="Endenergieverbrauch - Industriesektor - Bergbau und Steinbrüche - energetischer Verbrauch"/>
    <s v="Elektrizität"/>
    <s v="Gigawattstunde"/>
    <x v="4"/>
    <x v="1"/>
    <n v="12.385"/>
  </r>
  <r>
    <x v="15"/>
    <s v="Endenergieverbrauch - Industriesektor - Bergbau und Steinbrüche - energetischer Verbrauch"/>
    <s v="Elektrizität"/>
    <s v="Gigawattstunde"/>
    <x v="5"/>
    <x v="1"/>
    <n v="12.55"/>
  </r>
  <r>
    <x v="15"/>
    <s v="Endenergieverbrauch - Industriesektor - Bergbau und Steinbrüche - energetischer Verbrauch"/>
    <s v="Elektrizität"/>
    <s v="Gigawattstunde"/>
    <x v="6"/>
    <x v="1"/>
    <n v="12.885999999999999"/>
  </r>
  <r>
    <x v="15"/>
    <s v="Endenergieverbrauch - Industriesektor - Bergbau und Steinbrüche - energetischer Verbrauch"/>
    <s v="Elektrizität"/>
    <s v="Gigawattstunde"/>
    <x v="7"/>
    <x v="1"/>
    <n v="12.52"/>
  </r>
  <r>
    <x v="15"/>
    <s v="Endenergieverbrauch - Industriesektor - Bergbau und Steinbrüche - energetischer Verbrauch"/>
    <s v="Elektrizität"/>
    <s v="Gigawattstunde"/>
    <x v="8"/>
    <x v="1"/>
    <n v="11.233000000000001"/>
  </r>
  <r>
    <x v="15"/>
    <s v="Endenergieverbrauch - Industriesektor - Bergbau und Steinbrüche - energetischer Verbrauch"/>
    <s v="Elektrizität"/>
    <s v="Gigawattstunde"/>
    <x v="9"/>
    <x v="1"/>
    <n v="14.864000000000001"/>
  </r>
  <r>
    <x v="15"/>
    <s v="Endenergieverbrauch - Industriesektor - Bergbau und Steinbrüche - energetischer Verbrauch"/>
    <s v="Elektrizität"/>
    <s v="Gigawattstunde"/>
    <x v="10"/>
    <x v="1"/>
    <n v="12.11"/>
  </r>
  <r>
    <x v="15"/>
    <s v="Endenergieverbrauch - Industriesektor - Bergbau und Steinbrüche - energetischer Verbrauch"/>
    <s v="Elektrizität"/>
    <s v="Gigawattstunde"/>
    <x v="11"/>
    <x v="1"/>
    <n v="11.789"/>
  </r>
  <r>
    <x v="15"/>
    <s v="Endenergieverbrauch - Industriesektor - Bergbau und Steinbrüche - energetischer Verbrauch"/>
    <s v="Elektrizität"/>
    <s v="Gigawattstunde"/>
    <x v="12"/>
    <x v="1"/>
    <n v="13.305"/>
  </r>
  <r>
    <x v="15"/>
    <s v="Endenergieverbrauch - Industriesektor - Bergbau und Steinbrüche - energetischer Verbrauch"/>
    <s v="Elektrizität"/>
    <s v="Gigawattstunde"/>
    <x v="13"/>
    <x v="1"/>
    <n v="13.42"/>
  </r>
  <r>
    <x v="15"/>
    <s v="Endenergieverbrauch - Industriesektor - Bergbau und Steinbrüche - energetischer Verbrauch"/>
    <s v="Elektrizität"/>
    <s v="Gigawattstunde"/>
    <x v="14"/>
    <x v="1"/>
    <n v="11.358000000000001"/>
  </r>
  <r>
    <x v="15"/>
    <s v="Endenergieverbrauch - Industriesektor - Bergbau und Steinbrüche - energetischer Verbrauch"/>
    <s v="Elektrizität"/>
    <s v="Gigawattstunde"/>
    <x v="15"/>
    <x v="1"/>
    <n v="8.4740000000000002"/>
  </r>
  <r>
    <x v="15"/>
    <s v="Endenergieverbrauch - Industriesektor - Bergbau und Steinbrüche - energetischer Verbrauch"/>
    <s v="Elektrizität"/>
    <s v="Gigawattstunde"/>
    <x v="16"/>
    <x v="1"/>
    <n v="9.0129999999999999"/>
  </r>
  <r>
    <x v="16"/>
    <s v="Endenergieverbrauch - Industriesektor - Bergbau und Steinbrüche - energetischer Verbrauch"/>
    <s v="Elektrizität"/>
    <s v="Gigawattstunde"/>
    <x v="0"/>
    <x v="1"/>
    <n v="41"/>
  </r>
  <r>
    <x v="16"/>
    <s v="Endenergieverbrauch - Industriesektor - Bergbau und Steinbrüche - energetischer Verbrauch"/>
    <s v="Elektrizität"/>
    <s v="Gigawattstunde"/>
    <x v="1"/>
    <x v="1"/>
    <n v="103"/>
  </r>
  <r>
    <x v="16"/>
    <s v="Endenergieverbrauch - Industriesektor - Bergbau und Steinbrüche - energetischer Verbrauch"/>
    <s v="Elektrizität"/>
    <s v="Gigawattstunde"/>
    <x v="2"/>
    <x v="1"/>
    <n v="68"/>
  </r>
  <r>
    <x v="16"/>
    <s v="Endenergieverbrauch - Industriesektor - Bergbau und Steinbrüche - energetischer Verbrauch"/>
    <s v="Elektrizität"/>
    <s v="Gigawattstunde"/>
    <x v="3"/>
    <x v="1"/>
    <n v="76"/>
  </r>
  <r>
    <x v="16"/>
    <s v="Endenergieverbrauch - Industriesektor - Bergbau und Steinbrüche - energetischer Verbrauch"/>
    <s v="Elektrizität"/>
    <s v="Gigawattstunde"/>
    <x v="4"/>
    <x v="1"/>
    <n v="70"/>
  </r>
  <r>
    <x v="16"/>
    <s v="Endenergieverbrauch - Industriesektor - Bergbau und Steinbrüche - energetischer Verbrauch"/>
    <s v="Elektrizität"/>
    <s v="Gigawattstunde"/>
    <x v="5"/>
    <x v="1"/>
    <n v="64"/>
  </r>
  <r>
    <x v="16"/>
    <s v="Endenergieverbrauch - Industriesektor - Bergbau und Steinbrüche - energetischer Verbrauch"/>
    <s v="Elektrizität"/>
    <s v="Gigawattstunde"/>
    <x v="6"/>
    <x v="1"/>
    <n v="55"/>
  </r>
  <r>
    <x v="16"/>
    <s v="Endenergieverbrauch - Industriesektor - Bergbau und Steinbrüche - energetischer Verbrauch"/>
    <s v="Elektrizität"/>
    <s v="Gigawattstunde"/>
    <x v="7"/>
    <x v="1"/>
    <n v="64"/>
  </r>
  <r>
    <x v="16"/>
    <s v="Endenergieverbrauch - Industriesektor - Bergbau und Steinbrüche - energetischer Verbrauch"/>
    <s v="Elektrizität"/>
    <s v="Gigawattstunde"/>
    <x v="8"/>
    <x v="1"/>
    <n v="56"/>
  </r>
  <r>
    <x v="16"/>
    <s v="Endenergieverbrauch - Industriesektor - Bergbau und Steinbrüche - energetischer Verbrauch"/>
    <s v="Elektrizität"/>
    <s v="Gigawattstunde"/>
    <x v="9"/>
    <x v="1"/>
    <n v="57"/>
  </r>
  <r>
    <x v="16"/>
    <s v="Endenergieverbrauch - Industriesektor - Bergbau und Steinbrüche - energetischer Verbrauch"/>
    <s v="Elektrizität"/>
    <s v="Gigawattstunde"/>
    <x v="10"/>
    <x v="1"/>
    <n v="92"/>
  </r>
  <r>
    <x v="16"/>
    <s v="Endenergieverbrauch - Industriesektor - Bergbau und Steinbrüche - energetischer Verbrauch"/>
    <s v="Elektrizität"/>
    <s v="Gigawattstunde"/>
    <x v="11"/>
    <x v="1"/>
    <n v="163"/>
  </r>
  <r>
    <x v="16"/>
    <s v="Endenergieverbrauch - Industriesektor - Bergbau und Steinbrüche - energetischer Verbrauch"/>
    <s v="Elektrizität"/>
    <s v="Gigawattstunde"/>
    <x v="12"/>
    <x v="1"/>
    <n v="87"/>
  </r>
  <r>
    <x v="16"/>
    <s v="Endenergieverbrauch - Industriesektor - Bergbau und Steinbrüche - energetischer Verbrauch"/>
    <s v="Elektrizität"/>
    <s v="Gigawattstunde"/>
    <x v="13"/>
    <x v="1"/>
    <n v="98"/>
  </r>
  <r>
    <x v="16"/>
    <s v="Endenergieverbrauch - Industriesektor - Bergbau und Steinbrüche - energetischer Verbrauch"/>
    <s v="Elektrizität"/>
    <s v="Gigawattstunde"/>
    <x v="14"/>
    <x v="1"/>
    <n v="96"/>
  </r>
  <r>
    <x v="16"/>
    <s v="Endenergieverbrauch - Industriesektor - Bergbau und Steinbrüche - energetischer Verbrauch"/>
    <s v="Elektrizität"/>
    <s v="Gigawattstunde"/>
    <x v="15"/>
    <x v="1"/>
    <n v="100"/>
  </r>
  <r>
    <x v="16"/>
    <s v="Endenergieverbrauch - Industriesektor - Bergbau und Steinbrüche - energetischer Verbrauch"/>
    <s v="Elektrizität"/>
    <s v="Gigawattstunde"/>
    <x v="16"/>
    <x v="1"/>
    <n v="117"/>
  </r>
  <r>
    <x v="17"/>
    <s v="Endenergieverbrauch - Industriesektor - Bergbau und Steinbrüche - energetischer Verbrauch"/>
    <s v="Elektrizität"/>
    <s v="Gigawattstunde"/>
    <x v="0"/>
    <x v="1"/>
    <n v="0"/>
  </r>
  <r>
    <x v="17"/>
    <s v="Endenergieverbrauch - Industriesektor - Bergbau und Steinbrüche - energetischer Verbrauch"/>
    <s v="Elektrizität"/>
    <s v="Gigawattstunde"/>
    <x v="1"/>
    <x v="1"/>
    <n v="0"/>
  </r>
  <r>
    <x v="17"/>
    <s v="Endenergieverbrauch - Industriesektor - Bergbau und Steinbrüche - energetischer Verbrauch"/>
    <s v="Elektrizität"/>
    <s v="Gigawattstunde"/>
    <x v="2"/>
    <x v="1"/>
    <n v="0"/>
  </r>
  <r>
    <x v="17"/>
    <s v="Endenergieverbrauch - Industriesektor - Bergbau und Steinbrüche - energetischer Verbrauch"/>
    <s v="Elektrizität"/>
    <s v="Gigawattstunde"/>
    <x v="3"/>
    <x v="1"/>
    <n v="0"/>
  </r>
  <r>
    <x v="17"/>
    <s v="Endenergieverbrauch - Industriesektor - Bergbau und Steinbrüche - energetischer Verbrauch"/>
    <s v="Elektrizität"/>
    <s v="Gigawattstunde"/>
    <x v="4"/>
    <x v="1"/>
    <n v="0"/>
  </r>
  <r>
    <x v="17"/>
    <s v="Endenergieverbrauch - Industriesektor - Bergbau und Steinbrüche - energetischer Verbrauch"/>
    <s v="Elektrizität"/>
    <s v="Gigawattstunde"/>
    <x v="5"/>
    <x v="1"/>
    <n v="0"/>
  </r>
  <r>
    <x v="17"/>
    <s v="Endenergieverbrauch - Industriesektor - Bergbau und Steinbrüche - energetischer Verbrauch"/>
    <s v="Elektrizität"/>
    <s v="Gigawattstunde"/>
    <x v="6"/>
    <x v="1"/>
    <n v="0"/>
  </r>
  <r>
    <x v="17"/>
    <s v="Endenergieverbrauch - Industriesektor - Bergbau und Steinbrüche - energetischer Verbrauch"/>
    <s v="Elektrizität"/>
    <s v="Gigawattstunde"/>
    <x v="7"/>
    <x v="1"/>
    <n v="0"/>
  </r>
  <r>
    <x v="17"/>
    <s v="Endenergieverbrauch - Industriesektor - Bergbau und Steinbrüche - energetischer Verbrauch"/>
    <s v="Elektrizität"/>
    <s v="Gigawattstunde"/>
    <x v="8"/>
    <x v="1"/>
    <n v="1"/>
  </r>
  <r>
    <x v="17"/>
    <s v="Endenergieverbrauch - Industriesektor - Bergbau und Steinbrüche - energetischer Verbrauch"/>
    <s v="Elektrizität"/>
    <s v="Gigawattstunde"/>
    <x v="9"/>
    <x v="1"/>
    <n v="1"/>
  </r>
  <r>
    <x v="17"/>
    <s v="Endenergieverbrauch - Industriesektor - Bergbau und Steinbrüche - energetischer Verbrauch"/>
    <s v="Elektrizität"/>
    <s v="Gigawattstunde"/>
    <x v="10"/>
    <x v="1"/>
    <n v="1"/>
  </r>
  <r>
    <x v="17"/>
    <s v="Endenergieverbrauch - Industriesektor - Bergbau und Steinbrüche - energetischer Verbrauch"/>
    <s v="Elektrizität"/>
    <s v="Gigawattstunde"/>
    <x v="11"/>
    <x v="1"/>
    <n v="1"/>
  </r>
  <r>
    <x v="17"/>
    <s v="Endenergieverbrauch - Industriesektor - Bergbau und Steinbrüche - energetischer Verbrauch"/>
    <s v="Elektrizität"/>
    <s v="Gigawattstunde"/>
    <x v="12"/>
    <x v="1"/>
    <n v="2"/>
  </r>
  <r>
    <x v="17"/>
    <s v="Endenergieverbrauch - Industriesektor - Bergbau und Steinbrüche - energetischer Verbrauch"/>
    <s v="Elektrizität"/>
    <s v="Gigawattstunde"/>
    <x v="13"/>
    <x v="1"/>
    <n v="1"/>
  </r>
  <r>
    <x v="17"/>
    <s v="Endenergieverbrauch - Industriesektor - Bergbau und Steinbrüche - energetischer Verbrauch"/>
    <s v="Elektrizität"/>
    <s v="Gigawattstunde"/>
    <x v="14"/>
    <x v="1"/>
    <n v="1"/>
  </r>
  <r>
    <x v="17"/>
    <s v="Endenergieverbrauch - Industriesektor - Bergbau und Steinbrüche - energetischer Verbrauch"/>
    <s v="Elektrizität"/>
    <s v="Gigawattstunde"/>
    <x v="15"/>
    <x v="1"/>
    <n v="1.3919999999999999"/>
  </r>
  <r>
    <x v="17"/>
    <s v="Endenergieverbrauch - Industriesektor - Bergbau und Steinbrüche - energetischer Verbrauch"/>
    <s v="Elektrizität"/>
    <s v="Gigawattstunde"/>
    <x v="16"/>
    <x v="1"/>
    <n v="1.581"/>
  </r>
  <r>
    <x v="18"/>
    <s v="Endenergieverbrauch - Industriesektor - Bergbau und Steinbrüche - energetischer Verbrauch"/>
    <s v="Elektrizität"/>
    <s v="Gigawattstunde"/>
    <x v="0"/>
    <x v="1"/>
    <n v="201"/>
  </r>
  <r>
    <x v="18"/>
    <s v="Endenergieverbrauch - Industriesektor - Bergbau und Steinbrüche - energetischer Verbrauch"/>
    <s v="Elektrizität"/>
    <s v="Gigawattstunde"/>
    <x v="1"/>
    <x v="1"/>
    <n v="212"/>
  </r>
  <r>
    <x v="18"/>
    <s v="Endenergieverbrauch - Industriesektor - Bergbau und Steinbrüche - energetischer Verbrauch"/>
    <s v="Elektrizität"/>
    <s v="Gigawattstunde"/>
    <x v="2"/>
    <x v="1"/>
    <n v="189"/>
  </r>
  <r>
    <x v="18"/>
    <s v="Endenergieverbrauch - Industriesektor - Bergbau und Steinbrüche - energetischer Verbrauch"/>
    <s v="Elektrizität"/>
    <s v="Gigawattstunde"/>
    <x v="3"/>
    <x v="1"/>
    <n v="187"/>
  </r>
  <r>
    <x v="18"/>
    <s v="Endenergieverbrauch - Industriesektor - Bergbau und Steinbrüche - energetischer Verbrauch"/>
    <s v="Elektrizität"/>
    <s v="Gigawattstunde"/>
    <x v="4"/>
    <x v="1"/>
    <n v="286"/>
  </r>
  <r>
    <x v="18"/>
    <s v="Endenergieverbrauch - Industriesektor - Bergbau und Steinbrüche - energetischer Verbrauch"/>
    <s v="Elektrizität"/>
    <s v="Gigawattstunde"/>
    <x v="5"/>
    <x v="1"/>
    <n v="254"/>
  </r>
  <r>
    <x v="18"/>
    <s v="Endenergieverbrauch - Industriesektor - Bergbau und Steinbrüche - energetischer Verbrauch"/>
    <s v="Elektrizität"/>
    <s v="Gigawattstunde"/>
    <x v="6"/>
    <x v="1"/>
    <n v="330"/>
  </r>
  <r>
    <x v="18"/>
    <s v="Endenergieverbrauch - Industriesektor - Bergbau und Steinbrüche - energetischer Verbrauch"/>
    <s v="Elektrizität"/>
    <s v="Gigawattstunde"/>
    <x v="7"/>
    <x v="1"/>
    <n v="131"/>
  </r>
  <r>
    <x v="18"/>
    <s v="Endenergieverbrauch - Industriesektor - Bergbau und Steinbrüche - energetischer Verbrauch"/>
    <s v="Elektrizität"/>
    <s v="Gigawattstunde"/>
    <x v="8"/>
    <x v="1"/>
    <n v="439"/>
  </r>
  <r>
    <x v="18"/>
    <s v="Endenergieverbrauch - Industriesektor - Bergbau und Steinbrüche - energetischer Verbrauch"/>
    <s v="Elektrizität"/>
    <s v="Gigawattstunde"/>
    <x v="9"/>
    <x v="1"/>
    <n v="250"/>
  </r>
  <r>
    <x v="18"/>
    <s v="Endenergieverbrauch - Industriesektor - Bergbau und Steinbrüche - energetischer Verbrauch"/>
    <s v="Elektrizität"/>
    <s v="Gigawattstunde"/>
    <x v="10"/>
    <x v="1"/>
    <n v="244"/>
  </r>
  <r>
    <x v="18"/>
    <s v="Endenergieverbrauch - Industriesektor - Bergbau und Steinbrüche - energetischer Verbrauch"/>
    <s v="Elektrizität"/>
    <s v="Gigawattstunde"/>
    <x v="11"/>
    <x v="1"/>
    <n v="251"/>
  </r>
  <r>
    <x v="18"/>
    <s v="Endenergieverbrauch - Industriesektor - Bergbau und Steinbrüche - energetischer Verbrauch"/>
    <s v="Elektrizität"/>
    <s v="Gigawattstunde"/>
    <x v="12"/>
    <x v="1"/>
    <n v="201"/>
  </r>
  <r>
    <x v="18"/>
    <s v="Endenergieverbrauch - Industriesektor - Bergbau und Steinbrüche - energetischer Verbrauch"/>
    <s v="Elektrizität"/>
    <s v="Gigawattstunde"/>
    <x v="13"/>
    <x v="1"/>
    <n v="235.792"/>
  </r>
  <r>
    <x v="18"/>
    <s v="Endenergieverbrauch - Industriesektor - Bergbau und Steinbrüche - energetischer Verbrauch"/>
    <s v="Elektrizität"/>
    <s v="Gigawattstunde"/>
    <x v="14"/>
    <x v="1"/>
    <n v="247.13200000000001"/>
  </r>
  <r>
    <x v="18"/>
    <s v="Endenergieverbrauch - Industriesektor - Bergbau und Steinbrüche - energetischer Verbrauch"/>
    <s v="Elektrizität"/>
    <s v="Gigawattstunde"/>
    <x v="15"/>
    <x v="1"/>
    <n v="247.958"/>
  </r>
  <r>
    <x v="18"/>
    <s v="Endenergieverbrauch - Industriesektor - Bergbau und Steinbrüche - energetischer Verbrauch"/>
    <s v="Elektrizität"/>
    <s v="Gigawattstunde"/>
    <x v="16"/>
    <x v="1"/>
    <n v="273.07600000000002"/>
  </r>
  <r>
    <x v="19"/>
    <s v="Endenergieverbrauch - Industriesektor - Bergbau und Steinbrüche - energetischer Verbrauch"/>
    <s v="Elektrizität"/>
    <s v="Gigawattstunde"/>
    <x v="0"/>
    <x v="1"/>
    <n v="646"/>
  </r>
  <r>
    <x v="19"/>
    <s v="Endenergieverbrauch - Industriesektor - Bergbau und Steinbrüche - energetischer Verbrauch"/>
    <s v="Elektrizität"/>
    <s v="Gigawattstunde"/>
    <x v="1"/>
    <x v="1"/>
    <n v="671"/>
  </r>
  <r>
    <x v="19"/>
    <s v="Endenergieverbrauch - Industriesektor - Bergbau und Steinbrüche - energetischer Verbrauch"/>
    <s v="Elektrizität"/>
    <s v="Gigawattstunde"/>
    <x v="2"/>
    <x v="1"/>
    <n v="683"/>
  </r>
  <r>
    <x v="19"/>
    <s v="Endenergieverbrauch - Industriesektor - Bergbau und Steinbrüche - energetischer Verbrauch"/>
    <s v="Elektrizität"/>
    <s v="Gigawattstunde"/>
    <x v="3"/>
    <x v="1"/>
    <n v="667.33900000000006"/>
  </r>
  <r>
    <x v="19"/>
    <s v="Endenergieverbrauch - Industriesektor - Bergbau und Steinbrüche - energetischer Verbrauch"/>
    <s v="Elektrizität"/>
    <s v="Gigawattstunde"/>
    <x v="4"/>
    <x v="1"/>
    <n v="744.36900000000003"/>
  </r>
  <r>
    <x v="19"/>
    <s v="Endenergieverbrauch - Industriesektor - Bergbau und Steinbrüche - energetischer Verbrauch"/>
    <s v="Elektrizität"/>
    <s v="Gigawattstunde"/>
    <x v="5"/>
    <x v="1"/>
    <n v="771.65599999999995"/>
  </r>
  <r>
    <x v="19"/>
    <s v="Endenergieverbrauch - Industriesektor - Bergbau und Steinbrüche - energetischer Verbrauch"/>
    <s v="Elektrizität"/>
    <s v="Gigawattstunde"/>
    <x v="6"/>
    <x v="1"/>
    <n v="764.95"/>
  </r>
  <r>
    <x v="19"/>
    <s v="Endenergieverbrauch - Industriesektor - Bergbau und Steinbrüche - energetischer Verbrauch"/>
    <s v="Elektrizität"/>
    <s v="Gigawattstunde"/>
    <x v="7"/>
    <x v="1"/>
    <n v="898.20500000000004"/>
  </r>
  <r>
    <x v="19"/>
    <s v="Endenergieverbrauch - Industriesektor - Bergbau und Steinbrüche - energetischer Verbrauch"/>
    <s v="Elektrizität"/>
    <s v="Gigawattstunde"/>
    <x v="8"/>
    <x v="1"/>
    <n v="1161.471"/>
  </r>
  <r>
    <x v="19"/>
    <s v="Endenergieverbrauch - Industriesektor - Bergbau und Steinbrüche - energetischer Verbrauch"/>
    <s v="Elektrizität"/>
    <s v="Gigawattstunde"/>
    <x v="9"/>
    <x v="1"/>
    <n v="1146.8630000000001"/>
  </r>
  <r>
    <x v="19"/>
    <s v="Endenergieverbrauch - Industriesektor - Bergbau und Steinbrüche - energetischer Verbrauch"/>
    <s v="Elektrizität"/>
    <s v="Gigawattstunde"/>
    <x v="10"/>
    <x v="1"/>
    <n v="1080.93"/>
  </r>
  <r>
    <x v="19"/>
    <s v="Endenergieverbrauch - Industriesektor - Bergbau und Steinbrüche - energetischer Verbrauch"/>
    <s v="Elektrizität"/>
    <s v="Gigawattstunde"/>
    <x v="11"/>
    <x v="1"/>
    <n v="1827.1659999999999"/>
  </r>
  <r>
    <x v="19"/>
    <s v="Endenergieverbrauch - Industriesektor - Bergbau und Steinbrüche - energetischer Verbrauch"/>
    <s v="Elektrizität"/>
    <s v="Gigawattstunde"/>
    <x v="12"/>
    <x v="1"/>
    <n v="1951.3230000000001"/>
  </r>
  <r>
    <x v="19"/>
    <s v="Endenergieverbrauch - Industriesektor - Bergbau und Steinbrüche - energetischer Verbrauch"/>
    <s v="Elektrizität"/>
    <s v="Gigawattstunde"/>
    <x v="13"/>
    <x v="1"/>
    <n v="1780.028"/>
  </r>
  <r>
    <x v="19"/>
    <s v="Endenergieverbrauch - Industriesektor - Bergbau und Steinbrüche - energetischer Verbrauch"/>
    <s v="Elektrizität"/>
    <s v="Gigawattstunde"/>
    <x v="14"/>
    <x v="1"/>
    <n v="1790.2049999999999"/>
  </r>
  <r>
    <x v="19"/>
    <s v="Endenergieverbrauch - Industriesektor - Bergbau und Steinbrüche - energetischer Verbrauch"/>
    <s v="Elektrizität"/>
    <s v="Gigawattstunde"/>
    <x v="15"/>
    <x v="1"/>
    <n v="1984.0050000000001"/>
  </r>
  <r>
    <x v="19"/>
    <s v="Endenergieverbrauch - Industriesektor - Bergbau und Steinbrüche - energetischer Verbrauch"/>
    <s v="Elektrizität"/>
    <s v="Gigawattstunde"/>
    <x v="16"/>
    <x v="1"/>
    <n v="1986.646"/>
  </r>
  <r>
    <x v="20"/>
    <s v="Endenergieverbrauch - Industriesektor - Bergbau und Steinbrüche - energetischer Verbrauch"/>
    <s v="Elektrizität"/>
    <s v="Gigawattstunde"/>
    <x v="0"/>
    <x v="1"/>
    <n v="1299"/>
  </r>
  <r>
    <x v="20"/>
    <s v="Endenergieverbrauch - Industriesektor - Bergbau und Steinbrüche - energetischer Verbrauch"/>
    <s v="Elektrizität"/>
    <s v="Gigawattstunde"/>
    <x v="1"/>
    <x v="1"/>
    <n v="1290"/>
  </r>
  <r>
    <x v="20"/>
    <s v="Endenergieverbrauch - Industriesektor - Bergbau und Steinbrüche - energetischer Verbrauch"/>
    <s v="Elektrizität"/>
    <s v="Gigawattstunde"/>
    <x v="2"/>
    <x v="1"/>
    <n v="1329"/>
  </r>
  <r>
    <x v="20"/>
    <s v="Endenergieverbrauch - Industriesektor - Bergbau und Steinbrüche - energetischer Verbrauch"/>
    <s v="Elektrizität"/>
    <s v="Gigawattstunde"/>
    <x v="3"/>
    <x v="1"/>
    <n v="1313"/>
  </r>
  <r>
    <x v="20"/>
    <s v="Endenergieverbrauch - Industriesektor - Bergbau und Steinbrüche - energetischer Verbrauch"/>
    <s v="Elektrizität"/>
    <s v="Gigawattstunde"/>
    <x v="4"/>
    <x v="1"/>
    <n v="1383"/>
  </r>
  <r>
    <x v="20"/>
    <s v="Endenergieverbrauch - Industriesektor - Bergbau und Steinbrüche - energetischer Verbrauch"/>
    <s v="Elektrizität"/>
    <s v="Gigawattstunde"/>
    <x v="5"/>
    <x v="1"/>
    <n v="1439"/>
  </r>
  <r>
    <x v="20"/>
    <s v="Endenergieverbrauch - Industriesektor - Bergbau und Steinbrüche - energetischer Verbrauch"/>
    <s v="Elektrizität"/>
    <s v="Gigawattstunde"/>
    <x v="6"/>
    <x v="1"/>
    <n v="1421"/>
  </r>
  <r>
    <x v="20"/>
    <s v="Endenergieverbrauch - Industriesektor - Bergbau und Steinbrüche - energetischer Verbrauch"/>
    <s v="Elektrizität"/>
    <s v="Gigawattstunde"/>
    <x v="7"/>
    <x v="1"/>
    <n v="1389"/>
  </r>
  <r>
    <x v="20"/>
    <s v="Endenergieverbrauch - Industriesektor - Bergbau und Steinbrüche - energetischer Verbrauch"/>
    <s v="Elektrizität"/>
    <s v="Gigawattstunde"/>
    <x v="8"/>
    <x v="1"/>
    <n v="2149"/>
  </r>
  <r>
    <x v="20"/>
    <s v="Endenergieverbrauch - Industriesektor - Bergbau und Steinbrüche - energetischer Verbrauch"/>
    <s v="Elektrizität"/>
    <s v="Gigawattstunde"/>
    <x v="9"/>
    <x v="1"/>
    <n v="2224"/>
  </r>
  <r>
    <x v="20"/>
    <s v="Endenergieverbrauch - Industriesektor - Bergbau und Steinbrüche - energetischer Verbrauch"/>
    <s v="Elektrizität"/>
    <s v="Gigawattstunde"/>
    <x v="10"/>
    <x v="1"/>
    <n v="2191"/>
  </r>
  <r>
    <x v="20"/>
    <s v="Endenergieverbrauch - Industriesektor - Bergbau und Steinbrüche - energetischer Verbrauch"/>
    <s v="Elektrizität"/>
    <s v="Gigawattstunde"/>
    <x v="11"/>
    <x v="1"/>
    <n v="2437"/>
  </r>
  <r>
    <x v="20"/>
    <s v="Endenergieverbrauch - Industriesektor - Bergbau und Steinbrüche - energetischer Verbrauch"/>
    <s v="Elektrizität"/>
    <s v="Gigawattstunde"/>
    <x v="12"/>
    <x v="1"/>
    <n v="2387"/>
  </r>
  <r>
    <x v="20"/>
    <s v="Endenergieverbrauch - Industriesektor - Bergbau und Steinbrüche - energetischer Verbrauch"/>
    <s v="Elektrizität"/>
    <s v="Gigawattstunde"/>
    <x v="13"/>
    <x v="1"/>
    <n v="2612"/>
  </r>
  <r>
    <x v="20"/>
    <s v="Endenergieverbrauch - Industriesektor - Bergbau und Steinbrüche - energetischer Verbrauch"/>
    <s v="Elektrizität"/>
    <s v="Gigawattstunde"/>
    <x v="14"/>
    <x v="1"/>
    <n v="2704"/>
  </r>
  <r>
    <x v="20"/>
    <s v="Endenergieverbrauch - Industriesektor - Bergbau und Steinbrüche - energetischer Verbrauch"/>
    <s v="Elektrizität"/>
    <s v="Gigawattstunde"/>
    <x v="15"/>
    <x v="1"/>
    <n v="2763.002"/>
  </r>
  <r>
    <x v="20"/>
    <s v="Endenergieverbrauch - Industriesektor - Bergbau und Steinbrüche - energetischer Verbrauch"/>
    <s v="Elektrizität"/>
    <s v="Gigawattstunde"/>
    <x v="16"/>
    <x v="1"/>
    <n v="2817.4879999999998"/>
  </r>
  <r>
    <x v="21"/>
    <s v="Endenergieverbrauch - Industriesektor - Bergbau und Steinbrüche - energetischer Verbrauch"/>
    <s v="Elektrizität"/>
    <s v="Gigawattstunde"/>
    <x v="0"/>
    <x v="1"/>
    <n v="440"/>
  </r>
  <r>
    <x v="21"/>
    <s v="Endenergieverbrauch - Industriesektor - Bergbau und Steinbrüche - energetischer Verbrauch"/>
    <s v="Elektrizität"/>
    <s v="Gigawattstunde"/>
    <x v="1"/>
    <x v="1"/>
    <n v="456"/>
  </r>
  <r>
    <x v="21"/>
    <s v="Endenergieverbrauch - Industriesektor - Bergbau und Steinbrüche - energetischer Verbrauch"/>
    <s v="Elektrizität"/>
    <s v="Gigawattstunde"/>
    <x v="2"/>
    <x v="1"/>
    <n v="480"/>
  </r>
  <r>
    <x v="21"/>
    <s v="Endenergieverbrauch - Industriesektor - Bergbau und Steinbrüche - energetischer Verbrauch"/>
    <s v="Elektrizität"/>
    <s v="Gigawattstunde"/>
    <x v="3"/>
    <x v="1"/>
    <n v="483"/>
  </r>
  <r>
    <x v="21"/>
    <s v="Endenergieverbrauch - Industriesektor - Bergbau und Steinbrüche - energetischer Verbrauch"/>
    <s v="Elektrizität"/>
    <s v="Gigawattstunde"/>
    <x v="4"/>
    <x v="1"/>
    <n v="526"/>
  </r>
  <r>
    <x v="21"/>
    <s v="Endenergieverbrauch - Industriesektor - Bergbau und Steinbrüche - energetischer Verbrauch"/>
    <s v="Elektrizität"/>
    <s v="Gigawattstunde"/>
    <x v="5"/>
    <x v="1"/>
    <n v="526"/>
  </r>
  <r>
    <x v="21"/>
    <s v="Endenergieverbrauch - Industriesektor - Bergbau und Steinbrüche - energetischer Verbrauch"/>
    <s v="Elektrizität"/>
    <s v="Gigawattstunde"/>
    <x v="6"/>
    <x v="1"/>
    <n v="556"/>
  </r>
  <r>
    <x v="21"/>
    <s v="Endenergieverbrauch - Industriesektor - Bergbau und Steinbrüche - energetischer Verbrauch"/>
    <s v="Elektrizität"/>
    <s v="Gigawattstunde"/>
    <x v="7"/>
    <x v="1"/>
    <n v="516"/>
  </r>
  <r>
    <x v="21"/>
    <s v="Endenergieverbrauch - Industriesektor - Bergbau und Steinbrüche - energetischer Verbrauch"/>
    <s v="Elektrizität"/>
    <s v="Gigawattstunde"/>
    <x v="8"/>
    <x v="1"/>
    <n v="555"/>
  </r>
  <r>
    <x v="21"/>
    <s v="Endenergieverbrauch - Industriesektor - Bergbau und Steinbrüche - energetischer Verbrauch"/>
    <s v="Elektrizität"/>
    <s v="Gigawattstunde"/>
    <x v="9"/>
    <x v="1"/>
    <n v="579"/>
  </r>
  <r>
    <x v="21"/>
    <s v="Endenergieverbrauch - Industriesektor - Bergbau und Steinbrüche - energetischer Verbrauch"/>
    <s v="Elektrizität"/>
    <s v="Gigawattstunde"/>
    <x v="10"/>
    <x v="1"/>
    <n v="566"/>
  </r>
  <r>
    <x v="21"/>
    <s v="Endenergieverbrauch - Industriesektor - Bergbau und Steinbrüche - energetischer Verbrauch"/>
    <s v="Elektrizität"/>
    <s v="Gigawattstunde"/>
    <x v="11"/>
    <x v="1"/>
    <n v="591"/>
  </r>
  <r>
    <x v="21"/>
    <s v="Endenergieverbrauch - Industriesektor - Bergbau und Steinbrüche - energetischer Verbrauch"/>
    <s v="Elektrizität"/>
    <s v="Gigawattstunde"/>
    <x v="12"/>
    <x v="1"/>
    <n v="613"/>
  </r>
  <r>
    <x v="21"/>
    <s v="Endenergieverbrauch - Industriesektor - Bergbau und Steinbrüche - energetischer Verbrauch"/>
    <s v="Elektrizität"/>
    <s v="Gigawattstunde"/>
    <x v="13"/>
    <x v="1"/>
    <n v="631"/>
  </r>
  <r>
    <x v="21"/>
    <s v="Endenergieverbrauch - Industriesektor - Bergbau und Steinbrüche - energetischer Verbrauch"/>
    <s v="Elektrizität"/>
    <s v="Gigawattstunde"/>
    <x v="14"/>
    <x v="1"/>
    <n v="435.5"/>
  </r>
  <r>
    <x v="21"/>
    <s v="Endenergieverbrauch - Industriesektor - Bergbau und Steinbrüche - energetischer Verbrauch"/>
    <s v="Elektrizität"/>
    <s v="Gigawattstunde"/>
    <x v="15"/>
    <x v="1"/>
    <n v="427.245"/>
  </r>
  <r>
    <x v="21"/>
    <s v="Endenergieverbrauch - Industriesektor - Bergbau und Steinbrüche - energetischer Verbrauch"/>
    <s v="Elektrizität"/>
    <s v="Gigawattstunde"/>
    <x v="16"/>
    <x v="1"/>
    <n v="440.27100000000002"/>
  </r>
  <r>
    <x v="22"/>
    <s v="Endenergieverbrauch - Industriesektor - Bergbau und Steinbrüche - energetischer Verbrauch"/>
    <s v="Elektrizität"/>
    <s v="Gigawattstunde"/>
    <x v="0"/>
    <x v="1"/>
    <n v="614"/>
  </r>
  <r>
    <x v="22"/>
    <s v="Endenergieverbrauch - Industriesektor - Bergbau und Steinbrüche - energetischer Verbrauch"/>
    <s v="Elektrizität"/>
    <s v="Gigawattstunde"/>
    <x v="1"/>
    <x v="1"/>
    <n v="593"/>
  </r>
  <r>
    <x v="22"/>
    <s v="Endenergieverbrauch - Industriesektor - Bergbau und Steinbrüche - energetischer Verbrauch"/>
    <s v="Elektrizität"/>
    <s v="Gigawattstunde"/>
    <x v="2"/>
    <x v="1"/>
    <n v="504"/>
  </r>
  <r>
    <x v="22"/>
    <s v="Endenergieverbrauch - Industriesektor - Bergbau und Steinbrüche - energetischer Verbrauch"/>
    <s v="Elektrizität"/>
    <s v="Gigawattstunde"/>
    <x v="3"/>
    <x v="1"/>
    <n v="520"/>
  </r>
  <r>
    <x v="22"/>
    <s v="Endenergieverbrauch - Industriesektor - Bergbau und Steinbrüche - energetischer Verbrauch"/>
    <s v="Elektrizität"/>
    <s v="Gigawattstunde"/>
    <x v="4"/>
    <x v="1"/>
    <n v="343"/>
  </r>
  <r>
    <x v="22"/>
    <s v="Endenergieverbrauch - Industriesektor - Bergbau und Steinbrüche - energetischer Verbrauch"/>
    <s v="Elektrizität"/>
    <s v="Gigawattstunde"/>
    <x v="5"/>
    <x v="1"/>
    <n v="145"/>
  </r>
  <r>
    <x v="22"/>
    <s v="Endenergieverbrauch - Industriesektor - Bergbau und Steinbrüche - energetischer Verbrauch"/>
    <s v="Elektrizität"/>
    <s v="Gigawattstunde"/>
    <x v="6"/>
    <x v="1"/>
    <n v="151"/>
  </r>
  <r>
    <x v="22"/>
    <s v="Endenergieverbrauch - Industriesektor - Bergbau und Steinbrüche - energetischer Verbrauch"/>
    <s v="Elektrizität"/>
    <s v="Gigawattstunde"/>
    <x v="7"/>
    <x v="1"/>
    <n v="175"/>
  </r>
  <r>
    <x v="22"/>
    <s v="Endenergieverbrauch - Industriesektor - Bergbau und Steinbrüche - energetischer Verbrauch"/>
    <s v="Elektrizität"/>
    <s v="Gigawattstunde"/>
    <x v="8"/>
    <x v="1"/>
    <n v="250"/>
  </r>
  <r>
    <x v="22"/>
    <s v="Endenergieverbrauch - Industriesektor - Bergbau und Steinbrüche - energetischer Verbrauch"/>
    <s v="Elektrizität"/>
    <s v="Gigawattstunde"/>
    <x v="9"/>
    <x v="1"/>
    <n v="245"/>
  </r>
  <r>
    <x v="22"/>
    <s v="Endenergieverbrauch - Industriesektor - Bergbau und Steinbrüche - energetischer Verbrauch"/>
    <s v="Elektrizität"/>
    <s v="Gigawattstunde"/>
    <x v="10"/>
    <x v="1"/>
    <n v="227"/>
  </r>
  <r>
    <x v="22"/>
    <s v="Endenergieverbrauch - Industriesektor - Bergbau und Steinbrüche - energetischer Verbrauch"/>
    <s v="Elektrizität"/>
    <s v="Gigawattstunde"/>
    <x v="11"/>
    <x v="1"/>
    <n v="234"/>
  </r>
  <r>
    <x v="22"/>
    <s v="Endenergieverbrauch - Industriesektor - Bergbau und Steinbrüche - energetischer Verbrauch"/>
    <s v="Elektrizität"/>
    <s v="Gigawattstunde"/>
    <x v="12"/>
    <x v="1"/>
    <n v="200"/>
  </r>
  <r>
    <x v="22"/>
    <s v="Endenergieverbrauch - Industriesektor - Bergbau und Steinbrüche - energetischer Verbrauch"/>
    <s v="Elektrizität"/>
    <s v="Gigawattstunde"/>
    <x v="13"/>
    <x v="1"/>
    <n v="226"/>
  </r>
  <r>
    <x v="22"/>
    <s v="Endenergieverbrauch - Industriesektor - Bergbau und Steinbrüche - energetischer Verbrauch"/>
    <s v="Elektrizität"/>
    <s v="Gigawattstunde"/>
    <x v="14"/>
    <x v="1"/>
    <n v="250"/>
  </r>
  <r>
    <x v="22"/>
    <s v="Endenergieverbrauch - Industriesektor - Bergbau und Steinbrüche - energetischer Verbrauch"/>
    <s v="Elektrizität"/>
    <s v="Gigawattstunde"/>
    <x v="15"/>
    <x v="1"/>
    <n v="263.65100000000001"/>
  </r>
  <r>
    <x v="22"/>
    <s v="Endenergieverbrauch - Industriesektor - Bergbau und Steinbrüche - energetischer Verbrauch"/>
    <s v="Elektrizität"/>
    <s v="Gigawattstunde"/>
    <x v="16"/>
    <x v="1"/>
    <n v="247.52"/>
  </r>
  <r>
    <x v="23"/>
    <s v="Endenergieverbrauch - Industriesektor - Bergbau und Steinbrüche - energetischer Verbrauch"/>
    <s v="Elektrizität"/>
    <s v="Gigawattstunde"/>
    <x v="0"/>
    <x v="1"/>
    <n v="36"/>
  </r>
  <r>
    <x v="23"/>
    <s v="Endenergieverbrauch - Industriesektor - Bergbau und Steinbrüche - energetischer Verbrauch"/>
    <s v="Elektrizität"/>
    <s v="Gigawattstunde"/>
    <x v="1"/>
    <x v="1"/>
    <n v="48"/>
  </r>
  <r>
    <x v="23"/>
    <s v="Endenergieverbrauch - Industriesektor - Bergbau und Steinbrüche - energetischer Verbrauch"/>
    <s v="Elektrizität"/>
    <s v="Gigawattstunde"/>
    <x v="2"/>
    <x v="1"/>
    <n v="47"/>
  </r>
  <r>
    <x v="23"/>
    <s v="Endenergieverbrauch - Industriesektor - Bergbau und Steinbrüche - energetischer Verbrauch"/>
    <s v="Elektrizität"/>
    <s v="Gigawattstunde"/>
    <x v="3"/>
    <x v="1"/>
    <n v="48"/>
  </r>
  <r>
    <x v="23"/>
    <s v="Endenergieverbrauch - Industriesektor - Bergbau und Steinbrüche - energetischer Verbrauch"/>
    <s v="Elektrizität"/>
    <s v="Gigawattstunde"/>
    <x v="4"/>
    <x v="1"/>
    <n v="68"/>
  </r>
  <r>
    <x v="23"/>
    <s v="Endenergieverbrauch - Industriesektor - Bergbau und Steinbrüche - energetischer Verbrauch"/>
    <s v="Elektrizität"/>
    <s v="Gigawattstunde"/>
    <x v="5"/>
    <x v="1"/>
    <n v="67"/>
  </r>
  <r>
    <x v="23"/>
    <s v="Endenergieverbrauch - Industriesektor - Bergbau und Steinbrüche - energetischer Verbrauch"/>
    <s v="Elektrizität"/>
    <s v="Gigawattstunde"/>
    <x v="6"/>
    <x v="1"/>
    <n v="78"/>
  </r>
  <r>
    <x v="23"/>
    <s v="Endenergieverbrauch - Industriesektor - Bergbau und Steinbrüche - energetischer Verbrauch"/>
    <s v="Elektrizität"/>
    <s v="Gigawattstunde"/>
    <x v="7"/>
    <x v="1"/>
    <n v="87"/>
  </r>
  <r>
    <x v="23"/>
    <s v="Endenergieverbrauch - Industriesektor - Bergbau und Steinbrüche - energetischer Verbrauch"/>
    <s v="Elektrizität"/>
    <s v="Gigawattstunde"/>
    <x v="8"/>
    <x v="1"/>
    <n v="98"/>
  </r>
  <r>
    <x v="23"/>
    <s v="Endenergieverbrauch - Industriesektor - Bergbau und Steinbrüche - energetischer Verbrauch"/>
    <s v="Elektrizität"/>
    <s v="Gigawattstunde"/>
    <x v="9"/>
    <x v="1"/>
    <n v="93"/>
  </r>
  <r>
    <x v="23"/>
    <s v="Endenergieverbrauch - Industriesektor - Bergbau und Steinbrüche - energetischer Verbrauch"/>
    <s v="Elektrizität"/>
    <s v="Gigawattstunde"/>
    <x v="10"/>
    <x v="1"/>
    <n v="99"/>
  </r>
  <r>
    <x v="23"/>
    <s v="Endenergieverbrauch - Industriesektor - Bergbau und Steinbrüche - energetischer Verbrauch"/>
    <s v="Elektrizität"/>
    <s v="Gigawattstunde"/>
    <x v="11"/>
    <x v="1"/>
    <n v="122"/>
  </r>
  <r>
    <x v="23"/>
    <s v="Endenergieverbrauch - Industriesektor - Bergbau und Steinbrüche - energetischer Verbrauch"/>
    <s v="Elektrizität"/>
    <s v="Gigawattstunde"/>
    <x v="12"/>
    <x v="1"/>
    <n v="133"/>
  </r>
  <r>
    <x v="23"/>
    <s v="Endenergieverbrauch - Industriesektor - Bergbau und Steinbrüche - energetischer Verbrauch"/>
    <s v="Elektrizität"/>
    <s v="Gigawattstunde"/>
    <x v="13"/>
    <x v="1"/>
    <n v="129"/>
  </r>
  <r>
    <x v="23"/>
    <s v="Endenergieverbrauch - Industriesektor - Bergbau und Steinbrüche - energetischer Verbrauch"/>
    <s v="Elektrizität"/>
    <s v="Gigawattstunde"/>
    <x v="14"/>
    <x v="1"/>
    <n v="131"/>
  </r>
  <r>
    <x v="23"/>
    <s v="Endenergieverbrauch - Industriesektor - Bergbau und Steinbrüche - energetischer Verbrauch"/>
    <s v="Elektrizität"/>
    <s v="Gigawattstunde"/>
    <x v="15"/>
    <x v="1"/>
    <n v="147.15199999999999"/>
  </r>
  <r>
    <x v="23"/>
    <s v="Endenergieverbrauch - Industriesektor - Bergbau und Steinbrüche - energetischer Verbrauch"/>
    <s v="Elektrizität"/>
    <s v="Gigawattstunde"/>
    <x v="16"/>
    <x v="1"/>
    <n v="161.54900000000001"/>
  </r>
  <r>
    <x v="24"/>
    <s v="Endenergieverbrauch - Industriesektor - Bergbau und Steinbrüche - energetischer Verbrauch"/>
    <s v="Elektrizität"/>
    <s v="Gigawattstunde"/>
    <x v="0"/>
    <x v="1"/>
    <n v="119"/>
  </r>
  <r>
    <x v="24"/>
    <s v="Endenergieverbrauch - Industriesektor - Bergbau und Steinbrüche - energetischer Verbrauch"/>
    <s v="Elektrizität"/>
    <s v="Gigawattstunde"/>
    <x v="1"/>
    <x v="1"/>
    <n v="102"/>
  </r>
  <r>
    <x v="24"/>
    <s v="Endenergieverbrauch - Industriesektor - Bergbau und Steinbrüche - energetischer Verbrauch"/>
    <s v="Elektrizität"/>
    <s v="Gigawattstunde"/>
    <x v="2"/>
    <x v="1"/>
    <n v="100"/>
  </r>
  <r>
    <x v="24"/>
    <s v="Endenergieverbrauch - Industriesektor - Bergbau und Steinbrüche - energetischer Verbrauch"/>
    <s v="Elektrizität"/>
    <s v="Gigawattstunde"/>
    <x v="3"/>
    <x v="1"/>
    <n v="103"/>
  </r>
  <r>
    <x v="24"/>
    <s v="Endenergieverbrauch - Industriesektor - Bergbau und Steinbrüche - energetischer Verbrauch"/>
    <s v="Elektrizität"/>
    <s v="Gigawattstunde"/>
    <x v="4"/>
    <x v="1"/>
    <n v="109"/>
  </r>
  <r>
    <x v="24"/>
    <s v="Endenergieverbrauch - Industriesektor - Bergbau und Steinbrüche - energetischer Verbrauch"/>
    <s v="Elektrizität"/>
    <s v="Gigawattstunde"/>
    <x v="5"/>
    <x v="1"/>
    <n v="105"/>
  </r>
  <r>
    <x v="24"/>
    <s v="Endenergieverbrauch - Industriesektor - Bergbau und Steinbrüche - energetischer Verbrauch"/>
    <s v="Elektrizität"/>
    <s v="Gigawattstunde"/>
    <x v="6"/>
    <x v="1"/>
    <n v="96"/>
  </r>
  <r>
    <x v="24"/>
    <s v="Endenergieverbrauch - Industriesektor - Bergbau und Steinbrüche - energetischer Verbrauch"/>
    <s v="Elektrizität"/>
    <s v="Gigawattstunde"/>
    <x v="7"/>
    <x v="1"/>
    <n v="45"/>
  </r>
  <r>
    <x v="24"/>
    <s v="Endenergieverbrauch - Industriesektor - Bergbau und Steinbrüche - energetischer Verbrauch"/>
    <s v="Elektrizität"/>
    <s v="Gigawattstunde"/>
    <x v="8"/>
    <x v="1"/>
    <n v="45"/>
  </r>
  <r>
    <x v="24"/>
    <s v="Endenergieverbrauch - Industriesektor - Bergbau und Steinbrüche - energetischer Verbrauch"/>
    <s v="Elektrizität"/>
    <s v="Gigawattstunde"/>
    <x v="9"/>
    <x v="1"/>
    <n v="43"/>
  </r>
  <r>
    <x v="24"/>
    <s v="Endenergieverbrauch - Industriesektor - Bergbau und Steinbrüche - energetischer Verbrauch"/>
    <s v="Elektrizität"/>
    <s v="Gigawattstunde"/>
    <x v="10"/>
    <x v="1"/>
    <n v="37"/>
  </r>
  <r>
    <x v="24"/>
    <s v="Endenergieverbrauch - Industriesektor - Bergbau und Steinbrüche - energetischer Verbrauch"/>
    <s v="Elektrizität"/>
    <s v="Gigawattstunde"/>
    <x v="11"/>
    <x v="1"/>
    <n v="29"/>
  </r>
  <r>
    <x v="24"/>
    <s v="Endenergieverbrauch - Industriesektor - Bergbau und Steinbrüche - energetischer Verbrauch"/>
    <s v="Elektrizität"/>
    <s v="Gigawattstunde"/>
    <x v="12"/>
    <x v="1"/>
    <n v="30"/>
  </r>
  <r>
    <x v="24"/>
    <s v="Endenergieverbrauch - Industriesektor - Bergbau und Steinbrüche - energetischer Verbrauch"/>
    <s v="Elektrizität"/>
    <s v="Gigawattstunde"/>
    <x v="13"/>
    <x v="1"/>
    <n v="34"/>
  </r>
  <r>
    <x v="24"/>
    <s v="Endenergieverbrauch - Industriesektor - Bergbau und Steinbrüche - energetischer Verbrauch"/>
    <s v="Elektrizität"/>
    <s v="Gigawattstunde"/>
    <x v="14"/>
    <x v="1"/>
    <n v="44"/>
  </r>
  <r>
    <x v="24"/>
    <s v="Endenergieverbrauch - Industriesektor - Bergbau und Steinbrüche - energetischer Verbrauch"/>
    <s v="Elektrizität"/>
    <s v="Gigawattstunde"/>
    <x v="15"/>
    <x v="1"/>
    <n v="41"/>
  </r>
  <r>
    <x v="24"/>
    <s v="Endenergieverbrauch - Industriesektor - Bergbau und Steinbrüche - energetischer Verbrauch"/>
    <s v="Elektrizität"/>
    <s v="Gigawattstunde"/>
    <x v="16"/>
    <x v="1"/>
    <n v="72"/>
  </r>
  <r>
    <x v="25"/>
    <s v="Endenergieverbrauch - Industriesektor - Bergbau und Steinbrüche - energetischer Verbrauch"/>
    <s v="Elektrizität"/>
    <s v="Gigawattstunde"/>
    <x v="0"/>
    <x v="1"/>
    <n v="585"/>
  </r>
  <r>
    <x v="25"/>
    <s v="Endenergieverbrauch - Industriesektor - Bergbau und Steinbrüche - energetischer Verbrauch"/>
    <s v="Elektrizität"/>
    <s v="Gigawattstunde"/>
    <x v="1"/>
    <x v="1"/>
    <n v="591"/>
  </r>
  <r>
    <x v="25"/>
    <s v="Endenergieverbrauch - Industriesektor - Bergbau und Steinbrüche - energetischer Verbrauch"/>
    <s v="Elektrizität"/>
    <s v="Gigawattstunde"/>
    <x v="2"/>
    <x v="1"/>
    <n v="614"/>
  </r>
  <r>
    <x v="25"/>
    <s v="Endenergieverbrauch - Industriesektor - Bergbau und Steinbrüche - energetischer Verbrauch"/>
    <s v="Elektrizität"/>
    <s v="Gigawattstunde"/>
    <x v="3"/>
    <x v="1"/>
    <n v="631"/>
  </r>
  <r>
    <x v="25"/>
    <s v="Endenergieverbrauch - Industriesektor - Bergbau und Steinbrüche - energetischer Verbrauch"/>
    <s v="Elektrizität"/>
    <s v="Gigawattstunde"/>
    <x v="4"/>
    <x v="1"/>
    <n v="670"/>
  </r>
  <r>
    <x v="25"/>
    <s v="Endenergieverbrauch - Industriesektor - Bergbau und Steinbrüche - energetischer Verbrauch"/>
    <s v="Elektrizität"/>
    <s v="Gigawattstunde"/>
    <x v="5"/>
    <x v="1"/>
    <n v="757"/>
  </r>
  <r>
    <x v="25"/>
    <s v="Endenergieverbrauch - Industriesektor - Bergbau und Steinbrüche - energetischer Verbrauch"/>
    <s v="Elektrizität"/>
    <s v="Gigawattstunde"/>
    <x v="6"/>
    <x v="1"/>
    <n v="812"/>
  </r>
  <r>
    <x v="25"/>
    <s v="Endenergieverbrauch - Industriesektor - Bergbau und Steinbrüche - energetischer Verbrauch"/>
    <s v="Elektrizität"/>
    <s v="Gigawattstunde"/>
    <x v="7"/>
    <x v="1"/>
    <n v="775"/>
  </r>
  <r>
    <x v="25"/>
    <s v="Endenergieverbrauch - Industriesektor - Bergbau und Steinbrüche - energetischer Verbrauch"/>
    <s v="Elektrizität"/>
    <s v="Gigawattstunde"/>
    <x v="8"/>
    <x v="1"/>
    <n v="941"/>
  </r>
  <r>
    <x v="25"/>
    <s v="Endenergieverbrauch - Industriesektor - Bergbau und Steinbrüche - energetischer Verbrauch"/>
    <s v="Elektrizität"/>
    <s v="Gigawattstunde"/>
    <x v="9"/>
    <x v="1"/>
    <n v="1094"/>
  </r>
  <r>
    <x v="25"/>
    <s v="Endenergieverbrauch - Industriesektor - Bergbau und Steinbrüche - energetischer Verbrauch"/>
    <s v="Elektrizität"/>
    <s v="Gigawattstunde"/>
    <x v="10"/>
    <x v="1"/>
    <n v="1340"/>
  </r>
  <r>
    <x v="25"/>
    <s v="Endenergieverbrauch - Industriesektor - Bergbau und Steinbrüche - energetischer Verbrauch"/>
    <s v="Elektrizität"/>
    <s v="Gigawattstunde"/>
    <x v="11"/>
    <x v="1"/>
    <n v="1422"/>
  </r>
  <r>
    <x v="25"/>
    <s v="Endenergieverbrauch - Industriesektor - Bergbau und Steinbrüche - energetischer Verbrauch"/>
    <s v="Elektrizität"/>
    <s v="Gigawattstunde"/>
    <x v="12"/>
    <x v="1"/>
    <n v="1471"/>
  </r>
  <r>
    <x v="25"/>
    <s v="Endenergieverbrauch - Industriesektor - Bergbau und Steinbrüche - energetischer Verbrauch"/>
    <s v="Elektrizität"/>
    <s v="Gigawattstunde"/>
    <x v="13"/>
    <x v="1"/>
    <n v="1549"/>
  </r>
  <r>
    <x v="25"/>
    <s v="Endenergieverbrauch - Industriesektor - Bergbau und Steinbrüche - energetischer Verbrauch"/>
    <s v="Elektrizität"/>
    <s v="Gigawattstunde"/>
    <x v="14"/>
    <x v="1"/>
    <n v="1871"/>
  </r>
  <r>
    <x v="25"/>
    <s v="Endenergieverbrauch - Industriesektor - Bergbau und Steinbrüche - energetischer Verbrauch"/>
    <s v="Elektrizität"/>
    <s v="Gigawattstunde"/>
    <x v="15"/>
    <x v="1"/>
    <n v="1457"/>
  </r>
  <r>
    <x v="25"/>
    <s v="Endenergieverbrauch - Industriesektor - Bergbau und Steinbrüche - energetischer Verbrauch"/>
    <s v="Elektrizität"/>
    <s v="Gigawattstunde"/>
    <x v="16"/>
    <x v="1"/>
    <n v="1446"/>
  </r>
  <r>
    <x v="26"/>
    <s v="Endenergieverbrauch - Industriesektor - Bergbau und Steinbrüche - energetischer Verbrauch"/>
    <s v="Elektrizität"/>
    <s v="Gigawattstunde"/>
    <x v="0"/>
    <x v="1"/>
    <n v="2579"/>
  </r>
  <r>
    <x v="26"/>
    <s v="Endenergieverbrauch - Industriesektor - Bergbau und Steinbrüche - energetischer Verbrauch"/>
    <s v="Elektrizität"/>
    <s v="Gigawattstunde"/>
    <x v="1"/>
    <x v="1"/>
    <n v="2583"/>
  </r>
  <r>
    <x v="26"/>
    <s v="Endenergieverbrauch - Industriesektor - Bergbau und Steinbrüche - energetischer Verbrauch"/>
    <s v="Elektrizität"/>
    <s v="Gigawattstunde"/>
    <x v="2"/>
    <x v="1"/>
    <n v="2635"/>
  </r>
  <r>
    <x v="26"/>
    <s v="Endenergieverbrauch - Industriesektor - Bergbau und Steinbrüche - energetischer Verbrauch"/>
    <s v="Elektrizität"/>
    <s v="Gigawattstunde"/>
    <x v="3"/>
    <x v="1"/>
    <n v="2515"/>
  </r>
  <r>
    <x v="26"/>
    <s v="Endenergieverbrauch - Industriesektor - Bergbau und Steinbrüche - energetischer Verbrauch"/>
    <s v="Elektrizität"/>
    <s v="Gigawattstunde"/>
    <x v="4"/>
    <x v="1"/>
    <n v="2561"/>
  </r>
  <r>
    <x v="26"/>
    <s v="Endenergieverbrauch - Industriesektor - Bergbau und Steinbrüche - energetischer Verbrauch"/>
    <s v="Elektrizität"/>
    <s v="Gigawattstunde"/>
    <x v="5"/>
    <x v="1"/>
    <n v="2569"/>
  </r>
  <r>
    <x v="26"/>
    <s v="Endenergieverbrauch - Industriesektor - Bergbau und Steinbrüche - energetischer Verbrauch"/>
    <s v="Elektrizität"/>
    <s v="Gigawattstunde"/>
    <x v="6"/>
    <x v="1"/>
    <n v="3001"/>
  </r>
  <r>
    <x v="26"/>
    <s v="Endenergieverbrauch - Industriesektor - Bergbau und Steinbrüche - energetischer Verbrauch"/>
    <s v="Elektrizität"/>
    <s v="Gigawattstunde"/>
    <x v="7"/>
    <x v="1"/>
    <n v="2423"/>
  </r>
  <r>
    <x v="26"/>
    <s v="Endenergieverbrauch - Industriesektor - Bergbau und Steinbrüche - energetischer Verbrauch"/>
    <s v="Elektrizität"/>
    <s v="Gigawattstunde"/>
    <x v="8"/>
    <x v="1"/>
    <n v="3057"/>
  </r>
  <r>
    <x v="26"/>
    <s v="Endenergieverbrauch - Industriesektor - Bergbau und Steinbrüche - energetischer Verbrauch"/>
    <s v="Elektrizität"/>
    <s v="Gigawattstunde"/>
    <x v="9"/>
    <x v="1"/>
    <n v="3325"/>
  </r>
  <r>
    <x v="26"/>
    <s v="Endenergieverbrauch - Industriesektor - Bergbau und Steinbrüche - energetischer Verbrauch"/>
    <s v="Elektrizität"/>
    <s v="Gigawattstunde"/>
    <x v="10"/>
    <x v="1"/>
    <n v="3289"/>
  </r>
  <r>
    <x v="26"/>
    <s v="Endenergieverbrauch - Industriesektor - Bergbau und Steinbrüche - energetischer Verbrauch"/>
    <s v="Elektrizität"/>
    <s v="Gigawattstunde"/>
    <x v="11"/>
    <x v="1"/>
    <n v="3702"/>
  </r>
  <r>
    <x v="26"/>
    <s v="Endenergieverbrauch - Industriesektor - Bergbau und Steinbrüche - energetischer Verbrauch"/>
    <s v="Elektrizität"/>
    <s v="Gigawattstunde"/>
    <x v="12"/>
    <x v="1"/>
    <n v="0"/>
  </r>
  <r>
    <x v="26"/>
    <s v="Endenergieverbrauch - Industriesektor - Bergbau und Steinbrüche - energetischer Verbrauch"/>
    <s v="Elektrizität"/>
    <s v="Gigawattstunde"/>
    <x v="13"/>
    <x v="1"/>
    <n v="3530"/>
  </r>
  <r>
    <x v="26"/>
    <s v="Endenergieverbrauch - Industriesektor - Bergbau und Steinbrüche - energetischer Verbrauch"/>
    <s v="Elektrizität"/>
    <s v="Gigawattstunde"/>
    <x v="14"/>
    <x v="1"/>
    <n v="3612"/>
  </r>
  <r>
    <x v="26"/>
    <s v="Endenergieverbrauch - Industriesektor - Bergbau und Steinbrüche - energetischer Verbrauch"/>
    <s v="Elektrizität"/>
    <s v="Gigawattstunde"/>
    <x v="15"/>
    <x v="1"/>
    <n v="3727"/>
  </r>
  <r>
    <x v="26"/>
    <s v="Endenergieverbrauch - Industriesektor - Bergbau und Steinbrüche - energetischer Verbrauch"/>
    <s v="Elektrizität"/>
    <s v="Gigawattstunde"/>
    <x v="16"/>
    <x v="1"/>
    <n v="3728"/>
  </r>
  <r>
    <x v="27"/>
    <s v="Endenergieverbrauch - Industriesektor - Bergbau und Steinbrüche - energetischer Verbrauch"/>
    <s v="Elektrizität"/>
    <s v="Gigawattstunde"/>
    <x v="0"/>
    <x v="1"/>
    <n v="0"/>
  </r>
  <r>
    <x v="27"/>
    <s v="Endenergieverbrauch - Industriesektor - Bergbau und Steinbrüche - energetischer Verbrauch"/>
    <s v="Elektrizität"/>
    <s v="Gigawattstunde"/>
    <x v="1"/>
    <x v="1"/>
    <n v="0"/>
  </r>
  <r>
    <x v="27"/>
    <s v="Endenergieverbrauch - Industriesektor - Bergbau und Steinbrüche - energetischer Verbrauch"/>
    <s v="Elektrizität"/>
    <s v="Gigawattstunde"/>
    <x v="2"/>
    <x v="1"/>
    <n v="0"/>
  </r>
  <r>
    <x v="27"/>
    <s v="Endenergieverbrauch - Industriesektor - Bergbau und Steinbrüche - energetischer Verbrauch"/>
    <s v="Elektrizität"/>
    <s v="Gigawattstunde"/>
    <x v="3"/>
    <x v="1"/>
    <n v="0"/>
  </r>
  <r>
    <x v="27"/>
    <s v="Endenergieverbrauch - Industriesektor - Bergbau und Steinbrüche - energetischer Verbrauch"/>
    <s v="Elektrizität"/>
    <s v="Gigawattstunde"/>
    <x v="4"/>
    <x v="1"/>
    <n v="0"/>
  </r>
  <r>
    <x v="27"/>
    <s v="Endenergieverbrauch - Industriesektor - Bergbau und Steinbrüche - energetischer Verbrauch"/>
    <s v="Elektrizität"/>
    <s v="Gigawattstunde"/>
    <x v="5"/>
    <x v="1"/>
    <n v="0"/>
  </r>
  <r>
    <x v="27"/>
    <s v="Endenergieverbrauch - Industriesektor - Bergbau und Steinbrüche - energetischer Verbrauch"/>
    <s v="Elektrizität"/>
    <s v="Gigawattstunde"/>
    <x v="6"/>
    <x v="1"/>
    <n v="0"/>
  </r>
  <r>
    <x v="27"/>
    <s v="Endenergieverbrauch - Industriesektor - Bergbau und Steinbrüche - energetischer Verbrauch"/>
    <s v="Elektrizität"/>
    <s v="Gigawattstunde"/>
    <x v="7"/>
    <x v="1"/>
    <n v="0"/>
  </r>
  <r>
    <x v="27"/>
    <s v="Endenergieverbrauch - Industriesektor - Bergbau und Steinbrüche - energetischer Verbrauch"/>
    <s v="Elektrizität"/>
    <s v="Gigawattstunde"/>
    <x v="8"/>
    <x v="1"/>
    <n v="132"/>
  </r>
  <r>
    <x v="27"/>
    <s v="Endenergieverbrauch - Industriesektor - Bergbau und Steinbrüche - energetischer Verbrauch"/>
    <s v="Elektrizität"/>
    <s v="Gigawattstunde"/>
    <x v="9"/>
    <x v="1"/>
    <n v="115"/>
  </r>
  <r>
    <x v="27"/>
    <s v="Endenergieverbrauch - Industriesektor - Bergbau und Steinbrüche - energetischer Verbrauch"/>
    <s v="Elektrizität"/>
    <s v="Gigawattstunde"/>
    <x v="10"/>
    <x v="1"/>
    <n v="121"/>
  </r>
  <r>
    <x v="27"/>
    <s v="Endenergieverbrauch - Industriesektor - Bergbau und Steinbrüche - energetischer Verbrauch"/>
    <s v="Elektrizität"/>
    <s v="Gigawattstunde"/>
    <x v="11"/>
    <x v="1"/>
    <n v="150"/>
  </r>
  <r>
    <x v="27"/>
    <s v="Endenergieverbrauch - Industriesektor - Bergbau und Steinbrüche - energetischer Verbrauch"/>
    <s v="Elektrizität"/>
    <s v="Gigawattstunde"/>
    <x v="12"/>
    <x v="1"/>
    <n v="150"/>
  </r>
  <r>
    <x v="27"/>
    <s v="Endenergieverbrauch - Industriesektor - Bergbau und Steinbrüche - energetischer Verbrauch"/>
    <s v="Elektrizität"/>
    <s v="Gigawattstunde"/>
    <x v="13"/>
    <x v="1"/>
    <n v="105.92"/>
  </r>
  <r>
    <x v="27"/>
    <s v="Endenergieverbrauch - Industriesektor - Bergbau und Steinbrüche - energetischer Verbrauch"/>
    <s v="Elektrizität"/>
    <s v="Gigawattstunde"/>
    <x v="14"/>
    <x v="1"/>
    <n v="107.25"/>
  </r>
  <r>
    <x v="27"/>
    <s v="Endenergieverbrauch - Industriesektor - Bergbau und Steinbrüche - energetischer Verbrauch"/>
    <s v="Elektrizität"/>
    <s v="Gigawattstunde"/>
    <x v="15"/>
    <x v="1"/>
    <n v="31.599"/>
  </r>
  <r>
    <x v="27"/>
    <s v="Endenergieverbrauch - Industriesektor - Bergbau und Steinbrüche - energetischer Verbrauch"/>
    <s v="Elektrizität"/>
    <s v="Gigawattstunde"/>
    <x v="16"/>
    <x v="1"/>
    <n v="115.107"/>
  </r>
  <r>
    <x v="28"/>
    <s v="Endenergieverbrauch - Industriesektor - Bergbau und Steinbrüche - energetischer Verbrauch"/>
    <s v="Elektrizität"/>
    <s v="Gigawattstunde"/>
    <x v="0"/>
    <x v="1"/>
    <n v="14"/>
  </r>
  <r>
    <x v="28"/>
    <s v="Endenergieverbrauch - Industriesektor - Bergbau und Steinbrüche - energetischer Verbrauch"/>
    <s v="Elektrizität"/>
    <s v="Gigawattstunde"/>
    <x v="1"/>
    <x v="1"/>
    <n v="15"/>
  </r>
  <r>
    <x v="28"/>
    <s v="Endenergieverbrauch - Industriesektor - Bergbau und Steinbrüche - energetischer Verbrauch"/>
    <s v="Elektrizität"/>
    <s v="Gigawattstunde"/>
    <x v="2"/>
    <x v="1"/>
    <n v="11"/>
  </r>
  <r>
    <x v="28"/>
    <s v="Endenergieverbrauch - Industriesektor - Bergbau und Steinbrüche - energetischer Verbrauch"/>
    <s v="Elektrizität"/>
    <s v="Gigawattstunde"/>
    <x v="3"/>
    <x v="1"/>
    <n v="1"/>
  </r>
  <r>
    <x v="28"/>
    <s v="Endenergieverbrauch - Industriesektor - Bergbau und Steinbrüche - energetischer Verbrauch"/>
    <s v="Elektrizität"/>
    <s v="Gigawattstunde"/>
    <x v="4"/>
    <x v="1"/>
    <n v="1"/>
  </r>
  <r>
    <x v="28"/>
    <s v="Endenergieverbrauch - Industriesektor - Bergbau und Steinbrüche - energetischer Verbrauch"/>
    <s v="Elektrizität"/>
    <s v="Gigawattstunde"/>
    <x v="5"/>
    <x v="1"/>
    <n v="1"/>
  </r>
  <r>
    <x v="28"/>
    <s v="Endenergieverbrauch - Industriesektor - Bergbau und Steinbrüche - energetischer Verbrauch"/>
    <s v="Elektrizität"/>
    <s v="Gigawattstunde"/>
    <x v="6"/>
    <x v="1"/>
    <n v="1"/>
  </r>
  <r>
    <x v="28"/>
    <s v="Endenergieverbrauch - Industriesektor - Bergbau und Steinbrüche - energetischer Verbrauch"/>
    <s v="Elektrizität"/>
    <s v="Gigawattstunde"/>
    <x v="7"/>
    <x v="1"/>
    <n v="1"/>
  </r>
  <r>
    <x v="28"/>
    <s v="Endenergieverbrauch - Industriesektor - Bergbau und Steinbrüche - energetischer Verbrauch"/>
    <s v="Elektrizität"/>
    <s v="Gigawattstunde"/>
    <x v="8"/>
    <x v="1"/>
    <n v="1"/>
  </r>
  <r>
    <x v="28"/>
    <s v="Endenergieverbrauch - Industriesektor - Bergbau und Steinbrüche - energetischer Verbrauch"/>
    <s v="Elektrizität"/>
    <s v="Gigawattstunde"/>
    <x v="9"/>
    <x v="1"/>
    <n v="1"/>
  </r>
  <r>
    <x v="28"/>
    <s v="Endenergieverbrauch - Industriesektor - Bergbau und Steinbrüche - energetischer Verbrauch"/>
    <s v="Elektrizität"/>
    <s v="Gigawattstunde"/>
    <x v="10"/>
    <x v="1"/>
    <n v="1"/>
  </r>
  <r>
    <x v="28"/>
    <s v="Endenergieverbrauch - Industriesektor - Bergbau und Steinbrüche - energetischer Verbrauch"/>
    <s v="Elektrizität"/>
    <s v="Gigawattstunde"/>
    <x v="11"/>
    <x v="1"/>
    <n v="1"/>
  </r>
  <r>
    <x v="28"/>
    <s v="Endenergieverbrauch - Industriesektor - Bergbau und Steinbrüche - energetischer Verbrauch"/>
    <s v="Elektrizität"/>
    <s v="Gigawattstunde"/>
    <x v="12"/>
    <x v="1"/>
    <n v="1"/>
  </r>
  <r>
    <x v="28"/>
    <s v="Endenergieverbrauch - Industriesektor - Bergbau und Steinbrüche - energetischer Verbrauch"/>
    <s v="Elektrizität"/>
    <s v="Gigawattstunde"/>
    <x v="13"/>
    <x v="1"/>
    <n v="2"/>
  </r>
  <r>
    <x v="28"/>
    <s v="Endenergieverbrauch - Industriesektor - Bergbau und Steinbrüche - energetischer Verbrauch"/>
    <s v="Elektrizität"/>
    <s v="Gigawattstunde"/>
    <x v="14"/>
    <x v="1"/>
    <n v="3"/>
  </r>
  <r>
    <x v="28"/>
    <s v="Endenergieverbrauch - Industriesektor - Bergbau und Steinbrüche - energetischer Verbrauch"/>
    <s v="Elektrizität"/>
    <s v="Gigawattstunde"/>
    <x v="15"/>
    <x v="1"/>
    <n v="1.8879999999999999"/>
  </r>
  <r>
    <x v="28"/>
    <s v="Endenergieverbrauch - Industriesektor - Bergbau und Steinbrüche - energetischer Verbrauch"/>
    <s v="Elektrizität"/>
    <s v="Gigawattstunde"/>
    <x v="16"/>
    <x v="1"/>
    <n v="4.0549999999999997"/>
  </r>
  <r>
    <x v="29"/>
    <s v="Endenergieverbrauch - Industriesektor - Bergbau und Steinbrüche - energetischer Verbrauch"/>
    <s v="Elektrizität"/>
    <s v="Gigawattstunde"/>
    <x v="0"/>
    <x v="1"/>
    <n v="450"/>
  </r>
  <r>
    <x v="29"/>
    <s v="Endenergieverbrauch - Industriesektor - Bergbau und Steinbrüche - energetischer Verbrauch"/>
    <s v="Elektrizität"/>
    <s v="Gigawattstunde"/>
    <x v="1"/>
    <x v="1"/>
    <n v="462"/>
  </r>
  <r>
    <x v="29"/>
    <s v="Endenergieverbrauch - Industriesektor - Bergbau und Steinbrüche - energetischer Verbrauch"/>
    <s v="Elektrizität"/>
    <s v="Gigawattstunde"/>
    <x v="2"/>
    <x v="1"/>
    <n v="474"/>
  </r>
  <r>
    <x v="29"/>
    <s v="Endenergieverbrauch - Industriesektor - Bergbau und Steinbrüche - energetischer Verbrauch"/>
    <s v="Elektrizität"/>
    <s v="Gigawattstunde"/>
    <x v="3"/>
    <x v="1"/>
    <n v="455"/>
  </r>
  <r>
    <x v="29"/>
    <s v="Endenergieverbrauch - Industriesektor - Bergbau und Steinbrüche - energetischer Verbrauch"/>
    <s v="Elektrizität"/>
    <s v="Gigawattstunde"/>
    <x v="4"/>
    <x v="1"/>
    <n v="446"/>
  </r>
  <r>
    <x v="29"/>
    <s v="Endenergieverbrauch - Industriesektor - Bergbau und Steinbrüche - energetischer Verbrauch"/>
    <s v="Elektrizität"/>
    <s v="Gigawattstunde"/>
    <x v="5"/>
    <x v="1"/>
    <n v="466"/>
  </r>
  <r>
    <x v="29"/>
    <s v="Endenergieverbrauch - Industriesektor - Bergbau und Steinbrüche - energetischer Verbrauch"/>
    <s v="Elektrizität"/>
    <s v="Gigawattstunde"/>
    <x v="6"/>
    <x v="1"/>
    <n v="497"/>
  </r>
  <r>
    <x v="29"/>
    <s v="Endenergieverbrauch - Industriesektor - Bergbau und Steinbrüche - energetischer Verbrauch"/>
    <s v="Elektrizität"/>
    <s v="Gigawattstunde"/>
    <x v="7"/>
    <x v="1"/>
    <n v="436"/>
  </r>
  <r>
    <x v="29"/>
    <s v="Endenergieverbrauch - Industriesektor - Bergbau und Steinbrüche - energetischer Verbrauch"/>
    <s v="Elektrizität"/>
    <s v="Gigawattstunde"/>
    <x v="8"/>
    <x v="1"/>
    <n v="558"/>
  </r>
  <r>
    <x v="29"/>
    <s v="Endenergieverbrauch - Industriesektor - Bergbau und Steinbrüche - energetischer Verbrauch"/>
    <s v="Elektrizität"/>
    <s v="Gigawattstunde"/>
    <x v="9"/>
    <x v="1"/>
    <n v="609"/>
  </r>
  <r>
    <x v="29"/>
    <s v="Endenergieverbrauch - Industriesektor - Bergbau und Steinbrüche - energetischer Verbrauch"/>
    <s v="Elektrizität"/>
    <s v="Gigawattstunde"/>
    <x v="10"/>
    <x v="1"/>
    <n v="573"/>
  </r>
  <r>
    <x v="29"/>
    <s v="Endenergieverbrauch - Industriesektor - Bergbau und Steinbrüche - energetischer Verbrauch"/>
    <s v="Elektrizität"/>
    <s v="Gigawattstunde"/>
    <x v="11"/>
    <x v="1"/>
    <n v="584"/>
  </r>
  <r>
    <x v="29"/>
    <s v="Endenergieverbrauch - Industriesektor - Bergbau und Steinbrüche - energetischer Verbrauch"/>
    <s v="Elektrizität"/>
    <s v="Gigawattstunde"/>
    <x v="12"/>
    <x v="1"/>
    <n v="580"/>
  </r>
  <r>
    <x v="29"/>
    <s v="Endenergieverbrauch - Industriesektor - Bergbau und Steinbrüche - energetischer Verbrauch"/>
    <s v="Elektrizität"/>
    <s v="Gigawattstunde"/>
    <x v="13"/>
    <x v="1"/>
    <n v="532"/>
  </r>
  <r>
    <x v="29"/>
    <s v="Endenergieverbrauch - Industriesektor - Bergbau und Steinbrüche - energetischer Verbrauch"/>
    <s v="Elektrizität"/>
    <s v="Gigawattstunde"/>
    <x v="14"/>
    <x v="1"/>
    <n v="416"/>
  </r>
  <r>
    <x v="29"/>
    <s v="Endenergieverbrauch - Industriesektor - Bergbau und Steinbrüche - energetischer Verbrauch"/>
    <s v="Elektrizität"/>
    <s v="Gigawattstunde"/>
    <x v="15"/>
    <x v="1"/>
    <n v="411"/>
  </r>
  <r>
    <x v="29"/>
    <s v="Endenergieverbrauch - Industriesektor - Bergbau und Steinbrüche - energetischer Verbrauch"/>
    <s v="Elektrizität"/>
    <s v="Gigawattstunde"/>
    <x v="16"/>
    <x v="1"/>
    <n v="399.24900000000002"/>
  </r>
  <r>
    <x v="30"/>
    <s v="Endenergieverbrauch - Industriesektor - Bergbau und Steinbrüche - energetischer Verbrauch"/>
    <s v="Elektrizität"/>
    <s v="Gigawattstunde"/>
    <x v="0"/>
    <x v="1"/>
    <n v="0"/>
  </r>
  <r>
    <x v="30"/>
    <s v="Endenergieverbrauch - Industriesektor - Bergbau und Steinbrüche - energetischer Verbrauch"/>
    <s v="Elektrizität"/>
    <s v="Gigawattstunde"/>
    <x v="1"/>
    <x v="1"/>
    <n v="0"/>
  </r>
  <r>
    <x v="30"/>
    <s v="Endenergieverbrauch - Industriesektor - Bergbau und Steinbrüche - energetischer Verbrauch"/>
    <s v="Elektrizität"/>
    <s v="Gigawattstunde"/>
    <x v="2"/>
    <x v="1"/>
    <n v="348"/>
  </r>
  <r>
    <x v="30"/>
    <s v="Endenergieverbrauch - Industriesektor - Bergbau und Steinbrüche - energetischer Verbrauch"/>
    <s v="Elektrizität"/>
    <s v="Gigawattstunde"/>
    <x v="3"/>
    <x v="1"/>
    <n v="356"/>
  </r>
  <r>
    <x v="30"/>
    <s v="Endenergieverbrauch - Industriesektor - Bergbau und Steinbrüche - energetischer Verbrauch"/>
    <s v="Elektrizität"/>
    <s v="Gigawattstunde"/>
    <x v="4"/>
    <x v="1"/>
    <n v="378"/>
  </r>
  <r>
    <x v="30"/>
    <s v="Endenergieverbrauch - Industriesektor - Bergbau und Steinbrüche - energetischer Verbrauch"/>
    <s v="Elektrizität"/>
    <s v="Gigawattstunde"/>
    <x v="5"/>
    <x v="1"/>
    <n v="354"/>
  </r>
  <r>
    <x v="30"/>
    <s v="Endenergieverbrauch - Industriesektor - Bergbau und Steinbrüche - energetischer Verbrauch"/>
    <s v="Elektrizität"/>
    <s v="Gigawattstunde"/>
    <x v="6"/>
    <x v="1"/>
    <n v="513"/>
  </r>
  <r>
    <x v="30"/>
    <s v="Endenergieverbrauch - Industriesektor - Bergbau und Steinbrüche - energetischer Verbrauch"/>
    <s v="Elektrizität"/>
    <s v="Gigawattstunde"/>
    <x v="7"/>
    <x v="1"/>
    <n v="431"/>
  </r>
  <r>
    <x v="30"/>
    <s v="Endenergieverbrauch - Industriesektor - Bergbau und Steinbrüche - energetischer Verbrauch"/>
    <s v="Elektrizität"/>
    <s v="Gigawattstunde"/>
    <x v="8"/>
    <x v="1"/>
    <n v="530"/>
  </r>
  <r>
    <x v="30"/>
    <s v="Endenergieverbrauch - Industriesektor - Bergbau und Steinbrüche - energetischer Verbrauch"/>
    <s v="Elektrizität"/>
    <s v="Gigawattstunde"/>
    <x v="9"/>
    <x v="1"/>
    <n v="687"/>
  </r>
  <r>
    <x v="30"/>
    <s v="Endenergieverbrauch - Industriesektor - Bergbau und Steinbrüche - energetischer Verbrauch"/>
    <s v="Elektrizität"/>
    <s v="Gigawattstunde"/>
    <x v="10"/>
    <x v="1"/>
    <n v="815"/>
  </r>
  <r>
    <x v="30"/>
    <s v="Endenergieverbrauch - Industriesektor - Bergbau und Steinbrüche - energetischer Verbrauch"/>
    <s v="Elektrizität"/>
    <s v="Gigawattstunde"/>
    <x v="11"/>
    <x v="1"/>
    <n v="825"/>
  </r>
  <r>
    <x v="30"/>
    <s v="Endenergieverbrauch - Industriesektor - Bergbau und Steinbrüche - energetischer Verbrauch"/>
    <s v="Elektrizität"/>
    <s v="Gigawattstunde"/>
    <x v="12"/>
    <x v="1"/>
    <n v="863"/>
  </r>
  <r>
    <x v="30"/>
    <s v="Endenergieverbrauch - Industriesektor - Bergbau und Steinbrüche - energetischer Verbrauch"/>
    <s v="Elektrizität"/>
    <s v="Gigawattstunde"/>
    <x v="13"/>
    <x v="1"/>
    <n v="843"/>
  </r>
  <r>
    <x v="30"/>
    <s v="Endenergieverbrauch - Industriesektor - Bergbau und Steinbrüche - energetischer Verbrauch"/>
    <s v="Elektrizität"/>
    <s v="Gigawattstunde"/>
    <x v="14"/>
    <x v="1"/>
    <n v="432"/>
  </r>
  <r>
    <x v="30"/>
    <s v="Endenergieverbrauch - Industriesektor - Bergbau und Steinbrüche - energetischer Verbrauch"/>
    <s v="Elektrizität"/>
    <s v="Gigawattstunde"/>
    <x v="15"/>
    <x v="1"/>
    <n v="453.89800000000002"/>
  </r>
  <r>
    <x v="30"/>
    <s v="Endenergieverbrauch - Industriesektor - Bergbau und Steinbrüche - energetischer Verbrauch"/>
    <s v="Elektrizität"/>
    <s v="Gigawattstunde"/>
    <x v="16"/>
    <x v="1"/>
    <n v="407.21499999999997"/>
  </r>
  <r>
    <x v="0"/>
    <s v="Endenergieverbrauch - Industriesektor - Chemie und Petrochemie - energetischer Verbrauch"/>
    <s v="Elektrizität"/>
    <s v="Gigawattstunde"/>
    <x v="0"/>
    <x v="2"/>
    <n v="13177"/>
  </r>
  <r>
    <x v="0"/>
    <s v="Endenergieverbrauch - Industriesektor - Chemie und Petrochemie - energetischer Verbrauch"/>
    <s v="Elektrizität"/>
    <s v="Gigawattstunde"/>
    <x v="1"/>
    <x v="2"/>
    <n v="13537"/>
  </r>
  <r>
    <x v="0"/>
    <s v="Endenergieverbrauch - Industriesektor - Chemie und Petrochemie - energetischer Verbrauch"/>
    <s v="Elektrizität"/>
    <s v="Gigawattstunde"/>
    <x v="2"/>
    <x v="2"/>
    <n v="13473"/>
  </r>
  <r>
    <x v="0"/>
    <s v="Endenergieverbrauch - Industriesektor - Chemie und Petrochemie - energetischer Verbrauch"/>
    <s v="Elektrizität"/>
    <s v="Gigawattstunde"/>
    <x v="3"/>
    <x v="2"/>
    <n v="13767"/>
  </r>
  <r>
    <x v="0"/>
    <s v="Endenergieverbrauch - Industriesektor - Chemie und Petrochemie - energetischer Verbrauch"/>
    <s v="Elektrizität"/>
    <s v="Gigawattstunde"/>
    <x v="4"/>
    <x v="2"/>
    <n v="11766"/>
  </r>
  <r>
    <x v="0"/>
    <s v="Endenergieverbrauch - Industriesektor - Chemie und Petrochemie - energetischer Verbrauch"/>
    <s v="Elektrizität"/>
    <s v="Gigawattstunde"/>
    <x v="5"/>
    <x v="2"/>
    <n v="13176"/>
  </r>
  <r>
    <x v="0"/>
    <s v="Endenergieverbrauch - Industriesektor - Chemie und Petrochemie - energetischer Verbrauch"/>
    <s v="Elektrizität"/>
    <s v="Gigawattstunde"/>
    <x v="6"/>
    <x v="2"/>
    <n v="12222"/>
  </r>
  <r>
    <x v="0"/>
    <s v="Endenergieverbrauch - Industriesektor - Chemie und Petrochemie - energetischer Verbrauch"/>
    <s v="Elektrizität"/>
    <s v="Gigawattstunde"/>
    <x v="7"/>
    <x v="2"/>
    <n v="8678"/>
  </r>
  <r>
    <x v="0"/>
    <s v="Endenergieverbrauch - Industriesektor - Chemie und Petrochemie - energetischer Verbrauch"/>
    <s v="Elektrizität"/>
    <s v="Gigawattstunde"/>
    <x v="8"/>
    <x v="2"/>
    <n v="13500"/>
  </r>
  <r>
    <x v="0"/>
    <s v="Endenergieverbrauch - Industriesektor - Chemie und Petrochemie - energetischer Verbrauch"/>
    <s v="Elektrizität"/>
    <s v="Gigawattstunde"/>
    <x v="9"/>
    <x v="2"/>
    <n v="12829"/>
  </r>
  <r>
    <x v="0"/>
    <s v="Endenergieverbrauch - Industriesektor - Chemie und Petrochemie - energetischer Verbrauch"/>
    <s v="Elektrizität"/>
    <s v="Gigawattstunde"/>
    <x v="10"/>
    <x v="2"/>
    <n v="11357"/>
  </r>
  <r>
    <x v="0"/>
    <s v="Endenergieverbrauch - Industriesektor - Chemie und Petrochemie - energetischer Verbrauch"/>
    <s v="Elektrizität"/>
    <s v="Gigawattstunde"/>
    <x v="11"/>
    <x v="2"/>
    <n v="12770"/>
  </r>
  <r>
    <x v="0"/>
    <s v="Endenergieverbrauch - Industriesektor - Chemie und Petrochemie - energetischer Verbrauch"/>
    <s v="Elektrizität"/>
    <s v="Gigawattstunde"/>
    <x v="12"/>
    <x v="2"/>
    <n v="12922.5"/>
  </r>
  <r>
    <x v="0"/>
    <s v="Endenergieverbrauch - Industriesektor - Chemie und Petrochemie - energetischer Verbrauch"/>
    <s v="Elektrizität"/>
    <s v="Gigawattstunde"/>
    <x v="13"/>
    <x v="2"/>
    <n v="13172.8"/>
  </r>
  <r>
    <x v="0"/>
    <s v="Endenergieverbrauch - Industriesektor - Chemie und Petrochemie - energetischer Verbrauch"/>
    <s v="Elektrizität"/>
    <s v="Gigawattstunde"/>
    <x v="14"/>
    <x v="2"/>
    <n v="13575.1"/>
  </r>
  <r>
    <x v="0"/>
    <s v="Endenergieverbrauch - Industriesektor - Chemie und Petrochemie - energetischer Verbrauch"/>
    <s v="Elektrizität"/>
    <s v="Gigawattstunde"/>
    <x v="15"/>
    <x v="2"/>
    <n v="14861"/>
  </r>
  <r>
    <x v="0"/>
    <s v="Endenergieverbrauch - Industriesektor - Chemie und Petrochemie - energetischer Verbrauch"/>
    <s v="Elektrizität"/>
    <s v="Gigawattstunde"/>
    <x v="16"/>
    <x v="2"/>
    <n v="14678.2"/>
  </r>
  <r>
    <x v="1"/>
    <s v="Endenergieverbrauch - Industriesektor - Chemie und Petrochemie - energetischer Verbrauch"/>
    <s v="Elektrizität"/>
    <s v="Gigawattstunde"/>
    <x v="0"/>
    <x v="2"/>
    <n v="1583"/>
  </r>
  <r>
    <x v="1"/>
    <s v="Endenergieverbrauch - Industriesektor - Chemie und Petrochemie - energetischer Verbrauch"/>
    <s v="Elektrizität"/>
    <s v="Gigawattstunde"/>
    <x v="1"/>
    <x v="2"/>
    <n v="1536"/>
  </r>
  <r>
    <x v="1"/>
    <s v="Endenergieverbrauch - Industriesektor - Chemie und Petrochemie - energetischer Verbrauch"/>
    <s v="Elektrizität"/>
    <s v="Gigawattstunde"/>
    <x v="2"/>
    <x v="2"/>
    <n v="1580"/>
  </r>
  <r>
    <x v="1"/>
    <s v="Endenergieverbrauch - Industriesektor - Chemie und Petrochemie - energetischer Verbrauch"/>
    <s v="Elektrizität"/>
    <s v="Gigawattstunde"/>
    <x v="3"/>
    <x v="2"/>
    <n v="1677"/>
  </r>
  <r>
    <x v="1"/>
    <s v="Endenergieverbrauch - Industriesektor - Chemie und Petrochemie - energetischer Verbrauch"/>
    <s v="Elektrizität"/>
    <s v="Gigawattstunde"/>
    <x v="4"/>
    <x v="2"/>
    <n v="1742"/>
  </r>
  <r>
    <x v="1"/>
    <s v="Endenergieverbrauch - Industriesektor - Chemie und Petrochemie - energetischer Verbrauch"/>
    <s v="Elektrizität"/>
    <s v="Gigawattstunde"/>
    <x v="5"/>
    <x v="2"/>
    <n v="1807"/>
  </r>
  <r>
    <x v="1"/>
    <s v="Endenergieverbrauch - Industriesektor - Chemie und Petrochemie - energetischer Verbrauch"/>
    <s v="Elektrizität"/>
    <s v="Gigawattstunde"/>
    <x v="6"/>
    <x v="2"/>
    <n v="1634"/>
  </r>
  <r>
    <x v="1"/>
    <s v="Endenergieverbrauch - Industriesektor - Chemie und Petrochemie - energetischer Verbrauch"/>
    <s v="Elektrizität"/>
    <s v="Gigawattstunde"/>
    <x v="7"/>
    <x v="2"/>
    <n v="1220"/>
  </r>
  <r>
    <x v="1"/>
    <s v="Endenergieverbrauch - Industriesektor - Chemie und Petrochemie - energetischer Verbrauch"/>
    <s v="Elektrizität"/>
    <s v="Gigawattstunde"/>
    <x v="8"/>
    <x v="2"/>
    <n v="939"/>
  </r>
  <r>
    <x v="1"/>
    <s v="Endenergieverbrauch - Industriesektor - Chemie und Petrochemie - energetischer Verbrauch"/>
    <s v="Elektrizität"/>
    <s v="Gigawattstunde"/>
    <x v="9"/>
    <x v="2"/>
    <n v="1005"/>
  </r>
  <r>
    <x v="1"/>
    <s v="Endenergieverbrauch - Industriesektor - Chemie und Petrochemie - energetischer Verbrauch"/>
    <s v="Elektrizität"/>
    <s v="Gigawattstunde"/>
    <x v="10"/>
    <x v="2"/>
    <n v="1156"/>
  </r>
  <r>
    <x v="1"/>
    <s v="Endenergieverbrauch - Industriesektor - Chemie und Petrochemie - energetischer Verbrauch"/>
    <s v="Elektrizität"/>
    <s v="Gigawattstunde"/>
    <x v="11"/>
    <x v="2"/>
    <n v="1234"/>
  </r>
  <r>
    <x v="1"/>
    <s v="Endenergieverbrauch - Industriesektor - Chemie und Petrochemie - energetischer Verbrauch"/>
    <s v="Elektrizität"/>
    <s v="Gigawattstunde"/>
    <x v="12"/>
    <x v="2"/>
    <n v="1236"/>
  </r>
  <r>
    <x v="1"/>
    <s v="Endenergieverbrauch - Industriesektor - Chemie und Petrochemie - energetischer Verbrauch"/>
    <s v="Elektrizität"/>
    <s v="Gigawattstunde"/>
    <x v="13"/>
    <x v="2"/>
    <n v="1410"/>
  </r>
  <r>
    <x v="1"/>
    <s v="Endenergieverbrauch - Industriesektor - Chemie und Petrochemie - energetischer Verbrauch"/>
    <s v="Elektrizität"/>
    <s v="Gigawattstunde"/>
    <x v="14"/>
    <x v="2"/>
    <n v="1435"/>
  </r>
  <r>
    <x v="1"/>
    <s v="Endenergieverbrauch - Industriesektor - Chemie und Petrochemie - energetischer Verbrauch"/>
    <s v="Elektrizität"/>
    <s v="Gigawattstunde"/>
    <x v="15"/>
    <x v="2"/>
    <n v="1486.09"/>
  </r>
  <r>
    <x v="1"/>
    <s v="Endenergieverbrauch - Industriesektor - Chemie und Petrochemie - energetischer Verbrauch"/>
    <s v="Elektrizität"/>
    <s v="Gigawattstunde"/>
    <x v="16"/>
    <x v="2"/>
    <n v="1363.568"/>
  </r>
  <r>
    <x v="2"/>
    <s v="Endenergieverbrauch - Industriesektor - Chemie und Petrochemie - energetischer Verbrauch"/>
    <s v="Elektrizität"/>
    <s v="Gigawattstunde"/>
    <x v="0"/>
    <x v="2"/>
    <n v="3211"/>
  </r>
  <r>
    <x v="2"/>
    <s v="Endenergieverbrauch - Industriesektor - Chemie und Petrochemie - energetischer Verbrauch"/>
    <s v="Elektrizität"/>
    <s v="Gigawattstunde"/>
    <x v="1"/>
    <x v="2"/>
    <n v="3641"/>
  </r>
  <r>
    <x v="2"/>
    <s v="Endenergieverbrauch - Industriesektor - Chemie und Petrochemie - energetischer Verbrauch"/>
    <s v="Elektrizität"/>
    <s v="Gigawattstunde"/>
    <x v="2"/>
    <x v="2"/>
    <n v="3771"/>
  </r>
  <r>
    <x v="2"/>
    <s v="Endenergieverbrauch - Industriesektor - Chemie und Petrochemie - energetischer Verbrauch"/>
    <s v="Elektrizität"/>
    <s v="Gigawattstunde"/>
    <x v="3"/>
    <x v="2"/>
    <n v="3881"/>
  </r>
  <r>
    <x v="2"/>
    <s v="Endenergieverbrauch - Industriesektor - Chemie und Petrochemie - energetischer Verbrauch"/>
    <s v="Elektrizität"/>
    <s v="Gigawattstunde"/>
    <x v="4"/>
    <x v="2"/>
    <n v="3881"/>
  </r>
  <r>
    <x v="2"/>
    <s v="Endenergieverbrauch - Industriesektor - Chemie und Petrochemie - energetischer Verbrauch"/>
    <s v="Elektrizität"/>
    <s v="Gigawattstunde"/>
    <x v="5"/>
    <x v="2"/>
    <n v="3879"/>
  </r>
  <r>
    <x v="2"/>
    <s v="Endenergieverbrauch - Industriesektor - Chemie und Petrochemie - energetischer Verbrauch"/>
    <s v="Elektrizität"/>
    <s v="Gigawattstunde"/>
    <x v="6"/>
    <x v="2"/>
    <n v="3633"/>
  </r>
  <r>
    <x v="2"/>
    <s v="Endenergieverbrauch - Industriesektor - Chemie und Petrochemie - energetischer Verbrauch"/>
    <s v="Elektrizität"/>
    <s v="Gigawattstunde"/>
    <x v="7"/>
    <x v="2"/>
    <n v="3396"/>
  </r>
  <r>
    <x v="2"/>
    <s v="Endenergieverbrauch - Industriesektor - Chemie und Petrochemie - energetischer Verbrauch"/>
    <s v="Elektrizität"/>
    <s v="Gigawattstunde"/>
    <x v="8"/>
    <x v="2"/>
    <n v="3626"/>
  </r>
  <r>
    <x v="2"/>
    <s v="Endenergieverbrauch - Industriesektor - Chemie und Petrochemie - energetischer Verbrauch"/>
    <s v="Elektrizität"/>
    <s v="Gigawattstunde"/>
    <x v="9"/>
    <x v="2"/>
    <n v="3651"/>
  </r>
  <r>
    <x v="2"/>
    <s v="Endenergieverbrauch - Industriesektor - Chemie und Petrochemie - energetischer Verbrauch"/>
    <s v="Elektrizität"/>
    <s v="Gigawattstunde"/>
    <x v="10"/>
    <x v="2"/>
    <n v="3706"/>
  </r>
  <r>
    <x v="2"/>
    <s v="Endenergieverbrauch - Industriesektor - Chemie und Petrochemie - energetischer Verbrauch"/>
    <s v="Elektrizität"/>
    <s v="Gigawattstunde"/>
    <x v="11"/>
    <x v="2"/>
    <n v="3451"/>
  </r>
  <r>
    <x v="2"/>
    <s v="Endenergieverbrauch - Industriesektor - Chemie und Petrochemie - energetischer Verbrauch"/>
    <s v="Elektrizität"/>
    <s v="Gigawattstunde"/>
    <x v="12"/>
    <x v="2"/>
    <n v="3721"/>
  </r>
  <r>
    <x v="2"/>
    <s v="Endenergieverbrauch - Industriesektor - Chemie und Petrochemie - energetischer Verbrauch"/>
    <s v="Elektrizität"/>
    <s v="Gigawattstunde"/>
    <x v="13"/>
    <x v="2"/>
    <n v="3538"/>
  </r>
  <r>
    <x v="2"/>
    <s v="Endenergieverbrauch - Industriesektor - Chemie und Petrochemie - energetischer Verbrauch"/>
    <s v="Elektrizität"/>
    <s v="Gigawattstunde"/>
    <x v="14"/>
    <x v="2"/>
    <n v="3226"/>
  </r>
  <r>
    <x v="2"/>
    <s v="Endenergieverbrauch - Industriesektor - Chemie und Petrochemie - energetischer Verbrauch"/>
    <s v="Elektrizität"/>
    <s v="Gigawattstunde"/>
    <x v="15"/>
    <x v="2"/>
    <n v="3384.1689999999999"/>
  </r>
  <r>
    <x v="2"/>
    <s v="Endenergieverbrauch - Industriesektor - Chemie und Petrochemie - energetischer Verbrauch"/>
    <s v="Elektrizität"/>
    <s v="Gigawattstunde"/>
    <x v="16"/>
    <x v="2"/>
    <n v="3295.6959999999999"/>
  </r>
  <r>
    <x v="3"/>
    <s v="Endenergieverbrauch - Industriesektor - Chemie und Petrochemie - energetischer Verbrauch"/>
    <s v="Elektrizität"/>
    <s v="Gigawattstunde"/>
    <x v="0"/>
    <x v="2"/>
    <n v="1384"/>
  </r>
  <r>
    <x v="3"/>
    <s v="Endenergieverbrauch - Industriesektor - Chemie und Petrochemie - energetischer Verbrauch"/>
    <s v="Elektrizität"/>
    <s v="Gigawattstunde"/>
    <x v="1"/>
    <x v="2"/>
    <n v="1270"/>
  </r>
  <r>
    <x v="3"/>
    <s v="Endenergieverbrauch - Industriesektor - Chemie und Petrochemie - energetischer Verbrauch"/>
    <s v="Elektrizität"/>
    <s v="Gigawattstunde"/>
    <x v="2"/>
    <x v="2"/>
    <n v="1266"/>
  </r>
  <r>
    <x v="3"/>
    <s v="Endenergieverbrauch - Industriesektor - Chemie und Petrochemie - energetischer Verbrauch"/>
    <s v="Elektrizität"/>
    <s v="Gigawattstunde"/>
    <x v="3"/>
    <x v="2"/>
    <n v="1389"/>
  </r>
  <r>
    <x v="3"/>
    <s v="Endenergieverbrauch - Industriesektor - Chemie und Petrochemie - energetischer Verbrauch"/>
    <s v="Elektrizität"/>
    <s v="Gigawattstunde"/>
    <x v="4"/>
    <x v="2"/>
    <n v="1331"/>
  </r>
  <r>
    <x v="3"/>
    <s v="Endenergieverbrauch - Industriesektor - Chemie und Petrochemie - energetischer Verbrauch"/>
    <s v="Elektrizität"/>
    <s v="Gigawattstunde"/>
    <x v="5"/>
    <x v="2"/>
    <n v="1239"/>
  </r>
  <r>
    <x v="3"/>
    <s v="Endenergieverbrauch - Industriesektor - Chemie und Petrochemie - energetischer Verbrauch"/>
    <s v="Elektrizität"/>
    <s v="Gigawattstunde"/>
    <x v="6"/>
    <x v="2"/>
    <n v="1305"/>
  </r>
  <r>
    <x v="3"/>
    <s v="Endenergieverbrauch - Industriesektor - Chemie und Petrochemie - energetischer Verbrauch"/>
    <s v="Elektrizität"/>
    <s v="Gigawattstunde"/>
    <x v="7"/>
    <x v="2"/>
    <n v="1228"/>
  </r>
  <r>
    <x v="3"/>
    <s v="Endenergieverbrauch - Industriesektor - Chemie und Petrochemie - energetischer Verbrauch"/>
    <s v="Elektrizität"/>
    <s v="Gigawattstunde"/>
    <x v="8"/>
    <x v="2"/>
    <n v="1249"/>
  </r>
  <r>
    <x v="3"/>
    <s v="Endenergieverbrauch - Industriesektor - Chemie und Petrochemie - energetischer Verbrauch"/>
    <s v="Elektrizität"/>
    <s v="Gigawattstunde"/>
    <x v="9"/>
    <x v="2"/>
    <n v="1300"/>
  </r>
  <r>
    <x v="3"/>
    <s v="Endenergieverbrauch - Industriesektor - Chemie und Petrochemie - energetischer Verbrauch"/>
    <s v="Elektrizität"/>
    <s v="Gigawattstunde"/>
    <x v="10"/>
    <x v="2"/>
    <n v="1425"/>
  </r>
  <r>
    <x v="3"/>
    <s v="Endenergieverbrauch - Industriesektor - Chemie und Petrochemie - energetischer Verbrauch"/>
    <s v="Elektrizität"/>
    <s v="Gigawattstunde"/>
    <x v="11"/>
    <x v="2"/>
    <n v="1353"/>
  </r>
  <r>
    <x v="3"/>
    <s v="Endenergieverbrauch - Industriesektor - Chemie und Petrochemie - energetischer Verbrauch"/>
    <s v="Elektrizität"/>
    <s v="Gigawattstunde"/>
    <x v="12"/>
    <x v="2"/>
    <n v="1312"/>
  </r>
  <r>
    <x v="3"/>
    <s v="Endenergieverbrauch - Industriesektor - Chemie und Petrochemie - energetischer Verbrauch"/>
    <s v="Elektrizität"/>
    <s v="Gigawattstunde"/>
    <x v="13"/>
    <x v="2"/>
    <n v="1339.6880000000001"/>
  </r>
  <r>
    <x v="3"/>
    <s v="Endenergieverbrauch - Industriesektor - Chemie und Petrochemie - energetischer Verbrauch"/>
    <s v="Elektrizität"/>
    <s v="Gigawattstunde"/>
    <x v="14"/>
    <x v="2"/>
    <n v="1512.0070000000001"/>
  </r>
  <r>
    <x v="3"/>
    <s v="Endenergieverbrauch - Industriesektor - Chemie und Petrochemie - energetischer Verbrauch"/>
    <s v="Elektrizität"/>
    <s v="Gigawattstunde"/>
    <x v="15"/>
    <x v="2"/>
    <n v="1535.2049999999999"/>
  </r>
  <r>
    <x v="3"/>
    <s v="Endenergieverbrauch - Industriesektor - Chemie und Petrochemie - energetischer Verbrauch"/>
    <s v="Elektrizität"/>
    <s v="Gigawattstunde"/>
    <x v="16"/>
    <x v="2"/>
    <n v="1533.7139999999999"/>
  </r>
  <r>
    <x v="4"/>
    <s v="Endenergieverbrauch - Industriesektor - Chemie und Petrochemie - energetischer Verbrauch"/>
    <s v="Elektrizität"/>
    <s v="Gigawattstunde"/>
    <x v="0"/>
    <x v="2"/>
    <n v="50185"/>
  </r>
  <r>
    <x v="4"/>
    <s v="Endenergieverbrauch - Industriesektor - Chemie und Petrochemie - energetischer Verbrauch"/>
    <s v="Elektrizität"/>
    <s v="Gigawattstunde"/>
    <x v="1"/>
    <x v="2"/>
    <n v="51012"/>
  </r>
  <r>
    <x v="4"/>
    <s v="Endenergieverbrauch - Industriesektor - Chemie und Petrochemie - energetischer Verbrauch"/>
    <s v="Elektrizität"/>
    <s v="Gigawattstunde"/>
    <x v="2"/>
    <x v="2"/>
    <n v="50867"/>
  </r>
  <r>
    <x v="4"/>
    <s v="Endenergieverbrauch - Industriesektor - Chemie und Petrochemie - energetischer Verbrauch"/>
    <s v="Elektrizität"/>
    <s v="Gigawattstunde"/>
    <x v="3"/>
    <x v="2"/>
    <n v="52857"/>
  </r>
  <r>
    <x v="4"/>
    <s v="Endenergieverbrauch - Industriesektor - Chemie und Petrochemie - energetischer Verbrauch"/>
    <s v="Elektrizität"/>
    <s v="Gigawattstunde"/>
    <x v="4"/>
    <x v="2"/>
    <n v="52335"/>
  </r>
  <r>
    <x v="4"/>
    <s v="Endenergieverbrauch - Industriesektor - Chemie und Petrochemie - energetischer Verbrauch"/>
    <s v="Elektrizität"/>
    <s v="Gigawattstunde"/>
    <x v="5"/>
    <x v="2"/>
    <n v="53400"/>
  </r>
  <r>
    <x v="4"/>
    <s v="Endenergieverbrauch - Industriesektor - Chemie und Petrochemie - energetischer Verbrauch"/>
    <s v="Elektrizität"/>
    <s v="Gigawattstunde"/>
    <x v="6"/>
    <x v="2"/>
    <n v="51728"/>
  </r>
  <r>
    <x v="4"/>
    <s v="Endenergieverbrauch - Industriesektor - Chemie und Petrochemie - energetischer Verbrauch"/>
    <s v="Elektrizität"/>
    <s v="Gigawattstunde"/>
    <x v="7"/>
    <x v="2"/>
    <n v="44863"/>
  </r>
  <r>
    <x v="4"/>
    <s v="Endenergieverbrauch - Industriesektor - Chemie und Petrochemie - energetischer Verbrauch"/>
    <s v="Elektrizität"/>
    <s v="Gigawattstunde"/>
    <x v="8"/>
    <x v="2"/>
    <n v="52337"/>
  </r>
  <r>
    <x v="4"/>
    <s v="Endenergieverbrauch - Industriesektor - Chemie und Petrochemie - energetischer Verbrauch"/>
    <s v="Elektrizität"/>
    <s v="Gigawattstunde"/>
    <x v="9"/>
    <x v="2"/>
    <n v="52522"/>
  </r>
  <r>
    <x v="4"/>
    <s v="Endenergieverbrauch - Industriesektor - Chemie und Petrochemie - energetischer Verbrauch"/>
    <s v="Elektrizität"/>
    <s v="Gigawattstunde"/>
    <x v="10"/>
    <x v="2"/>
    <n v="52151"/>
  </r>
  <r>
    <x v="4"/>
    <s v="Endenergieverbrauch - Industriesektor - Chemie und Petrochemie - energetischer Verbrauch"/>
    <s v="Elektrizität"/>
    <s v="Gigawattstunde"/>
    <x v="11"/>
    <x v="2"/>
    <n v="51729"/>
  </r>
  <r>
    <x v="4"/>
    <s v="Endenergieverbrauch - Industriesektor - Chemie und Petrochemie - energetischer Verbrauch"/>
    <s v="Elektrizität"/>
    <s v="Gigawattstunde"/>
    <x v="12"/>
    <x v="2"/>
    <n v="53487"/>
  </r>
  <r>
    <x v="4"/>
    <s v="Endenergieverbrauch - Industriesektor - Chemie und Petrochemie - energetischer Verbrauch"/>
    <s v="Elektrizität"/>
    <s v="Gigawattstunde"/>
    <x v="13"/>
    <x v="2"/>
    <n v="53465"/>
  </r>
  <r>
    <x v="4"/>
    <s v="Endenergieverbrauch - Industriesektor - Chemie und Petrochemie - energetischer Verbrauch"/>
    <s v="Elektrizität"/>
    <s v="Gigawattstunde"/>
    <x v="14"/>
    <x v="2"/>
    <n v="53577"/>
  </r>
  <r>
    <x v="4"/>
    <s v="Endenergieverbrauch - Industriesektor - Chemie und Petrochemie - energetischer Verbrauch"/>
    <s v="Elektrizität"/>
    <s v="Gigawattstunde"/>
    <x v="15"/>
    <x v="2"/>
    <n v="54219"/>
  </r>
  <r>
    <x v="4"/>
    <s v="Endenergieverbrauch - Industriesektor - Chemie und Petrochemie - energetischer Verbrauch"/>
    <s v="Elektrizität"/>
    <s v="Gigawattstunde"/>
    <x v="16"/>
    <x v="2"/>
    <n v="53566"/>
  </r>
  <r>
    <x v="5"/>
    <s v="Endenergieverbrauch - Industriesektor - Chemie und Petrochemie - energetischer Verbrauch"/>
    <s v="Elektrizität"/>
    <s v="Gigawattstunde"/>
    <x v="0"/>
    <x v="2"/>
    <n v="282"/>
  </r>
  <r>
    <x v="5"/>
    <s v="Endenergieverbrauch - Industriesektor - Chemie und Petrochemie - energetischer Verbrauch"/>
    <s v="Elektrizität"/>
    <s v="Gigawattstunde"/>
    <x v="1"/>
    <x v="2"/>
    <n v="305"/>
  </r>
  <r>
    <x v="5"/>
    <s v="Endenergieverbrauch - Industriesektor - Chemie und Petrochemie - energetischer Verbrauch"/>
    <s v="Elektrizität"/>
    <s v="Gigawattstunde"/>
    <x v="2"/>
    <x v="2"/>
    <n v="330"/>
  </r>
  <r>
    <x v="5"/>
    <s v="Endenergieverbrauch - Industriesektor - Chemie und Petrochemie - energetischer Verbrauch"/>
    <s v="Elektrizität"/>
    <s v="Gigawattstunde"/>
    <x v="3"/>
    <x v="2"/>
    <n v="358"/>
  </r>
  <r>
    <x v="5"/>
    <s v="Endenergieverbrauch - Industriesektor - Chemie und Petrochemie - energetischer Verbrauch"/>
    <s v="Elektrizität"/>
    <s v="Gigawattstunde"/>
    <x v="4"/>
    <x v="2"/>
    <n v="361"/>
  </r>
  <r>
    <x v="5"/>
    <s v="Endenergieverbrauch - Industriesektor - Chemie und Petrochemie - energetischer Verbrauch"/>
    <s v="Elektrizität"/>
    <s v="Gigawattstunde"/>
    <x v="5"/>
    <x v="2"/>
    <n v="320"/>
  </r>
  <r>
    <x v="5"/>
    <s v="Endenergieverbrauch - Industriesektor - Chemie und Petrochemie - energetischer Verbrauch"/>
    <s v="Elektrizität"/>
    <s v="Gigawattstunde"/>
    <x v="6"/>
    <x v="2"/>
    <n v="354"/>
  </r>
  <r>
    <x v="5"/>
    <s v="Endenergieverbrauch - Industriesektor - Chemie und Petrochemie - energetischer Verbrauch"/>
    <s v="Elektrizität"/>
    <s v="Gigawattstunde"/>
    <x v="7"/>
    <x v="2"/>
    <n v="321"/>
  </r>
  <r>
    <x v="5"/>
    <s v="Endenergieverbrauch - Industriesektor - Chemie und Petrochemie - energetischer Verbrauch"/>
    <s v="Elektrizität"/>
    <s v="Gigawattstunde"/>
    <x v="8"/>
    <x v="2"/>
    <n v="252"/>
  </r>
  <r>
    <x v="5"/>
    <s v="Endenergieverbrauch - Industriesektor - Chemie und Petrochemie - energetischer Verbrauch"/>
    <s v="Elektrizität"/>
    <s v="Gigawattstunde"/>
    <x v="9"/>
    <x v="2"/>
    <n v="199"/>
  </r>
  <r>
    <x v="5"/>
    <s v="Endenergieverbrauch - Industriesektor - Chemie und Petrochemie - energetischer Verbrauch"/>
    <s v="Elektrizität"/>
    <s v="Gigawattstunde"/>
    <x v="10"/>
    <x v="2"/>
    <n v="198"/>
  </r>
  <r>
    <x v="5"/>
    <s v="Endenergieverbrauch - Industriesektor - Chemie und Petrochemie - energetischer Verbrauch"/>
    <s v="Elektrizität"/>
    <s v="Gigawattstunde"/>
    <x v="11"/>
    <x v="2"/>
    <n v="253"/>
  </r>
  <r>
    <x v="5"/>
    <s v="Endenergieverbrauch - Industriesektor - Chemie und Petrochemie - energetischer Verbrauch"/>
    <s v="Elektrizität"/>
    <s v="Gigawattstunde"/>
    <x v="12"/>
    <x v="2"/>
    <n v="151"/>
  </r>
  <r>
    <x v="5"/>
    <s v="Endenergieverbrauch - Industriesektor - Chemie und Petrochemie - energetischer Verbrauch"/>
    <s v="Elektrizität"/>
    <s v="Gigawattstunde"/>
    <x v="13"/>
    <x v="2"/>
    <n v="134"/>
  </r>
  <r>
    <x v="5"/>
    <s v="Endenergieverbrauch - Industriesektor - Chemie und Petrochemie - energetischer Verbrauch"/>
    <s v="Elektrizität"/>
    <s v="Gigawattstunde"/>
    <x v="14"/>
    <x v="2"/>
    <n v="114"/>
  </r>
  <r>
    <x v="5"/>
    <s v="Endenergieverbrauch - Industriesektor - Chemie und Petrochemie - energetischer Verbrauch"/>
    <s v="Elektrizität"/>
    <s v="Gigawattstunde"/>
    <x v="15"/>
    <x v="2"/>
    <n v="114"/>
  </r>
  <r>
    <x v="5"/>
    <s v="Endenergieverbrauch - Industriesektor - Chemie und Petrochemie - energetischer Verbrauch"/>
    <s v="Elektrizität"/>
    <s v="Gigawattstunde"/>
    <x v="16"/>
    <x v="2"/>
    <n v="116"/>
  </r>
  <r>
    <x v="6"/>
    <s v="Endenergieverbrauch - Industriesektor - Chemie und Petrochemie - energetischer Verbrauch"/>
    <s v="Elektrizität"/>
    <s v="Gigawattstunde"/>
    <x v="0"/>
    <x v="2"/>
    <n v="1388.527"/>
  </r>
  <r>
    <x v="6"/>
    <s v="Endenergieverbrauch - Industriesektor - Chemie und Petrochemie - energetischer Verbrauch"/>
    <s v="Elektrizität"/>
    <s v="Gigawattstunde"/>
    <x v="1"/>
    <x v="2"/>
    <n v="1292.913"/>
  </r>
  <r>
    <x v="6"/>
    <s v="Endenergieverbrauch - Industriesektor - Chemie und Petrochemie - energetischer Verbrauch"/>
    <s v="Elektrizität"/>
    <s v="Gigawattstunde"/>
    <x v="2"/>
    <x v="2"/>
    <n v="1223.6020000000001"/>
  </r>
  <r>
    <x v="6"/>
    <s v="Endenergieverbrauch - Industriesektor - Chemie und Petrochemie - energetischer Verbrauch"/>
    <s v="Elektrizität"/>
    <s v="Gigawattstunde"/>
    <x v="3"/>
    <x v="2"/>
    <n v="1363.6489999999999"/>
  </r>
  <r>
    <x v="6"/>
    <s v="Endenergieverbrauch - Industriesektor - Chemie und Petrochemie - energetischer Verbrauch"/>
    <s v="Elektrizität"/>
    <s v="Gigawattstunde"/>
    <x v="4"/>
    <x v="2"/>
    <n v="1376.876"/>
  </r>
  <r>
    <x v="6"/>
    <s v="Endenergieverbrauch - Industriesektor - Chemie und Petrochemie - energetischer Verbrauch"/>
    <s v="Elektrizität"/>
    <s v="Gigawattstunde"/>
    <x v="5"/>
    <x v="2"/>
    <n v="1377.9680000000001"/>
  </r>
  <r>
    <x v="6"/>
    <s v="Endenergieverbrauch - Industriesektor - Chemie und Petrochemie - energetischer Verbrauch"/>
    <s v="Elektrizität"/>
    <s v="Gigawattstunde"/>
    <x v="6"/>
    <x v="2"/>
    <n v="1379.7470000000001"/>
  </r>
  <r>
    <x v="6"/>
    <s v="Endenergieverbrauch - Industriesektor - Chemie und Petrochemie - energetischer Verbrauch"/>
    <s v="Elektrizität"/>
    <s v="Gigawattstunde"/>
    <x v="7"/>
    <x v="2"/>
    <n v="1509.288"/>
  </r>
  <r>
    <x v="6"/>
    <s v="Endenergieverbrauch - Industriesektor - Chemie und Petrochemie - energetischer Verbrauch"/>
    <s v="Elektrizität"/>
    <s v="Gigawattstunde"/>
    <x v="8"/>
    <x v="2"/>
    <n v="1653.2929999999999"/>
  </r>
  <r>
    <x v="6"/>
    <s v="Endenergieverbrauch - Industriesektor - Chemie und Petrochemie - energetischer Verbrauch"/>
    <s v="Elektrizität"/>
    <s v="Gigawattstunde"/>
    <x v="9"/>
    <x v="2"/>
    <n v="1725.999"/>
  </r>
  <r>
    <x v="6"/>
    <s v="Endenergieverbrauch - Industriesektor - Chemie und Petrochemie - energetischer Verbrauch"/>
    <s v="Elektrizität"/>
    <s v="Gigawattstunde"/>
    <x v="10"/>
    <x v="2"/>
    <n v="1661.2280000000001"/>
  </r>
  <r>
    <x v="6"/>
    <s v="Endenergieverbrauch - Industriesektor - Chemie und Petrochemie - energetischer Verbrauch"/>
    <s v="Elektrizität"/>
    <s v="Gigawattstunde"/>
    <x v="11"/>
    <x v="2"/>
    <n v="1686.99"/>
  </r>
  <r>
    <x v="6"/>
    <s v="Endenergieverbrauch - Industriesektor - Chemie und Petrochemie - energetischer Verbrauch"/>
    <s v="Elektrizität"/>
    <s v="Gigawattstunde"/>
    <x v="12"/>
    <x v="2"/>
    <n v="1707.1369999999999"/>
  </r>
  <r>
    <x v="6"/>
    <s v="Endenergieverbrauch - Industriesektor - Chemie und Petrochemie - energetischer Verbrauch"/>
    <s v="Elektrizität"/>
    <s v="Gigawattstunde"/>
    <x v="13"/>
    <x v="2"/>
    <n v="1788.126"/>
  </r>
  <r>
    <x v="6"/>
    <s v="Endenergieverbrauch - Industriesektor - Chemie und Petrochemie - energetischer Verbrauch"/>
    <s v="Elektrizität"/>
    <s v="Gigawattstunde"/>
    <x v="14"/>
    <x v="2"/>
    <n v="1846.3130000000001"/>
  </r>
  <r>
    <x v="6"/>
    <s v="Endenergieverbrauch - Industriesektor - Chemie und Petrochemie - energetischer Verbrauch"/>
    <s v="Elektrizität"/>
    <s v="Gigawattstunde"/>
    <x v="15"/>
    <x v="2"/>
    <n v="1866.85"/>
  </r>
  <r>
    <x v="6"/>
    <s v="Endenergieverbrauch - Industriesektor - Chemie und Petrochemie - energetischer Verbrauch"/>
    <s v="Elektrizität"/>
    <s v="Gigawattstunde"/>
    <x v="16"/>
    <x v="2"/>
    <n v="1986.75"/>
  </r>
  <r>
    <x v="7"/>
    <s v="Endenergieverbrauch - Industriesektor - Chemie und Petrochemie - energetischer Verbrauch"/>
    <s v="Elektrizität"/>
    <s v="Gigawattstunde"/>
    <x v="0"/>
    <x v="2"/>
    <n v="1154"/>
  </r>
  <r>
    <x v="7"/>
    <s v="Endenergieverbrauch - Industriesektor - Chemie und Petrochemie - energetischer Verbrauch"/>
    <s v="Elektrizität"/>
    <s v="Gigawattstunde"/>
    <x v="1"/>
    <x v="2"/>
    <n v="627"/>
  </r>
  <r>
    <x v="7"/>
    <s v="Endenergieverbrauch - Industriesektor - Chemie und Petrochemie - energetischer Verbrauch"/>
    <s v="Elektrizität"/>
    <s v="Gigawattstunde"/>
    <x v="2"/>
    <x v="2"/>
    <n v="524"/>
  </r>
  <r>
    <x v="7"/>
    <s v="Endenergieverbrauch - Industriesektor - Chemie und Petrochemie - energetischer Verbrauch"/>
    <s v="Elektrizität"/>
    <s v="Gigawattstunde"/>
    <x v="3"/>
    <x v="2"/>
    <n v="569"/>
  </r>
  <r>
    <x v="7"/>
    <s v="Endenergieverbrauch - Industriesektor - Chemie und Petrochemie - energetischer Verbrauch"/>
    <s v="Elektrizität"/>
    <s v="Gigawattstunde"/>
    <x v="4"/>
    <x v="2"/>
    <n v="529"/>
  </r>
  <r>
    <x v="7"/>
    <s v="Endenergieverbrauch - Industriesektor - Chemie und Petrochemie - energetischer Verbrauch"/>
    <s v="Elektrizität"/>
    <s v="Gigawattstunde"/>
    <x v="5"/>
    <x v="2"/>
    <n v="98"/>
  </r>
  <r>
    <x v="7"/>
    <s v="Endenergieverbrauch - Industriesektor - Chemie und Petrochemie - energetischer Verbrauch"/>
    <s v="Elektrizität"/>
    <s v="Gigawattstunde"/>
    <x v="6"/>
    <x v="2"/>
    <n v="763"/>
  </r>
  <r>
    <x v="7"/>
    <s v="Endenergieverbrauch - Industriesektor - Chemie und Petrochemie - energetischer Verbrauch"/>
    <s v="Elektrizität"/>
    <s v="Gigawattstunde"/>
    <x v="7"/>
    <x v="2"/>
    <n v="729"/>
  </r>
  <r>
    <x v="7"/>
    <s v="Endenergieverbrauch - Industriesektor - Chemie und Petrochemie - energetischer Verbrauch"/>
    <s v="Elektrizität"/>
    <s v="Gigawattstunde"/>
    <x v="8"/>
    <x v="2"/>
    <n v="527"/>
  </r>
  <r>
    <x v="7"/>
    <s v="Endenergieverbrauch - Industriesektor - Chemie und Petrochemie - energetischer Verbrauch"/>
    <s v="Elektrizität"/>
    <s v="Gigawattstunde"/>
    <x v="9"/>
    <x v="2"/>
    <n v="467"/>
  </r>
  <r>
    <x v="7"/>
    <s v="Endenergieverbrauch - Industriesektor - Chemie und Petrochemie - energetischer Verbrauch"/>
    <s v="Elektrizität"/>
    <s v="Gigawattstunde"/>
    <x v="10"/>
    <x v="2"/>
    <n v="625"/>
  </r>
  <r>
    <x v="7"/>
    <s v="Endenergieverbrauch - Industriesektor - Chemie und Petrochemie - energetischer Verbrauch"/>
    <s v="Elektrizität"/>
    <s v="Gigawattstunde"/>
    <x v="11"/>
    <x v="2"/>
    <n v="600"/>
  </r>
  <r>
    <x v="7"/>
    <s v="Endenergieverbrauch - Industriesektor - Chemie und Petrochemie - energetischer Verbrauch"/>
    <s v="Elektrizität"/>
    <s v="Gigawattstunde"/>
    <x v="12"/>
    <x v="2"/>
    <n v="660"/>
  </r>
  <r>
    <x v="7"/>
    <s v="Endenergieverbrauch - Industriesektor - Chemie und Petrochemie - energetischer Verbrauch"/>
    <s v="Elektrizität"/>
    <s v="Gigawattstunde"/>
    <x v="13"/>
    <x v="2"/>
    <n v="643"/>
  </r>
  <r>
    <x v="7"/>
    <s v="Endenergieverbrauch - Industriesektor - Chemie und Petrochemie - energetischer Verbrauch"/>
    <s v="Elektrizität"/>
    <s v="Gigawattstunde"/>
    <x v="14"/>
    <x v="2"/>
    <n v="184"/>
  </r>
  <r>
    <x v="7"/>
    <s v="Endenergieverbrauch - Industriesektor - Chemie und Petrochemie - energetischer Verbrauch"/>
    <s v="Elektrizität"/>
    <s v="Gigawattstunde"/>
    <x v="15"/>
    <x v="2"/>
    <n v="668.71799999999996"/>
  </r>
  <r>
    <x v="7"/>
    <s v="Endenergieverbrauch - Industriesektor - Chemie und Petrochemie - energetischer Verbrauch"/>
    <s v="Elektrizität"/>
    <s v="Gigawattstunde"/>
    <x v="16"/>
    <x v="2"/>
    <n v="936.39"/>
  </r>
  <r>
    <x v="8"/>
    <s v="Endenergieverbrauch - Industriesektor - Chemie und Petrochemie - energetischer Verbrauch"/>
    <s v="Elektrizität"/>
    <s v="Gigawattstunde"/>
    <x v="0"/>
    <x v="2"/>
    <n v="12111"/>
  </r>
  <r>
    <x v="8"/>
    <s v="Endenergieverbrauch - Industriesektor - Chemie und Petrochemie - energetischer Verbrauch"/>
    <s v="Elektrizität"/>
    <s v="Gigawattstunde"/>
    <x v="1"/>
    <x v="2"/>
    <n v="12646"/>
  </r>
  <r>
    <x v="8"/>
    <s v="Endenergieverbrauch - Industriesektor - Chemie und Petrochemie - energetischer Verbrauch"/>
    <s v="Elektrizität"/>
    <s v="Gigawattstunde"/>
    <x v="2"/>
    <x v="2"/>
    <n v="13172"/>
  </r>
  <r>
    <x v="8"/>
    <s v="Endenergieverbrauch - Industriesektor - Chemie und Petrochemie - energetischer Verbrauch"/>
    <s v="Elektrizität"/>
    <s v="Gigawattstunde"/>
    <x v="3"/>
    <x v="2"/>
    <n v="13379"/>
  </r>
  <r>
    <x v="8"/>
    <s v="Endenergieverbrauch - Industriesektor - Chemie und Petrochemie - energetischer Verbrauch"/>
    <s v="Elektrizität"/>
    <s v="Gigawattstunde"/>
    <x v="4"/>
    <x v="2"/>
    <n v="12819"/>
  </r>
  <r>
    <x v="8"/>
    <s v="Endenergieverbrauch - Industriesektor - Chemie und Petrochemie - energetischer Verbrauch"/>
    <s v="Elektrizität"/>
    <s v="Gigawattstunde"/>
    <x v="5"/>
    <x v="2"/>
    <n v="12130"/>
  </r>
  <r>
    <x v="8"/>
    <s v="Endenergieverbrauch - Industriesektor - Chemie und Petrochemie - energetischer Verbrauch"/>
    <s v="Elektrizität"/>
    <s v="Gigawattstunde"/>
    <x v="6"/>
    <x v="2"/>
    <n v="10999"/>
  </r>
  <r>
    <x v="8"/>
    <s v="Endenergieverbrauch - Industriesektor - Chemie und Petrochemie - energetischer Verbrauch"/>
    <s v="Elektrizität"/>
    <s v="Gigawattstunde"/>
    <x v="7"/>
    <x v="2"/>
    <n v="8845"/>
  </r>
  <r>
    <x v="8"/>
    <s v="Endenergieverbrauch - Industriesektor - Chemie und Petrochemie - energetischer Verbrauch"/>
    <s v="Elektrizität"/>
    <s v="Gigawattstunde"/>
    <x v="8"/>
    <x v="2"/>
    <n v="8638"/>
  </r>
  <r>
    <x v="8"/>
    <s v="Endenergieverbrauch - Industriesektor - Chemie und Petrochemie - energetischer Verbrauch"/>
    <s v="Elektrizität"/>
    <s v="Gigawattstunde"/>
    <x v="9"/>
    <x v="2"/>
    <n v="8524"/>
  </r>
  <r>
    <x v="8"/>
    <s v="Endenergieverbrauch - Industriesektor - Chemie und Petrochemie - energetischer Verbrauch"/>
    <s v="Elektrizität"/>
    <s v="Gigawattstunde"/>
    <x v="10"/>
    <x v="2"/>
    <n v="8410"/>
  </r>
  <r>
    <x v="8"/>
    <s v="Endenergieverbrauch - Industriesektor - Chemie und Petrochemie - energetischer Verbrauch"/>
    <s v="Elektrizität"/>
    <s v="Gigawattstunde"/>
    <x v="11"/>
    <x v="2"/>
    <n v="8966"/>
  </r>
  <r>
    <x v="8"/>
    <s v="Endenergieverbrauch - Industriesektor - Chemie und Petrochemie - energetischer Verbrauch"/>
    <s v="Elektrizität"/>
    <s v="Gigawattstunde"/>
    <x v="12"/>
    <x v="2"/>
    <n v="9155"/>
  </r>
  <r>
    <x v="8"/>
    <s v="Endenergieverbrauch - Industriesektor - Chemie und Petrochemie - energetischer Verbrauch"/>
    <s v="Elektrizität"/>
    <s v="Gigawattstunde"/>
    <x v="13"/>
    <x v="2"/>
    <n v="9504"/>
  </r>
  <r>
    <x v="8"/>
    <s v="Endenergieverbrauch - Industriesektor - Chemie und Petrochemie - energetischer Verbrauch"/>
    <s v="Elektrizität"/>
    <s v="Gigawattstunde"/>
    <x v="14"/>
    <x v="2"/>
    <n v="9761"/>
  </r>
  <r>
    <x v="8"/>
    <s v="Endenergieverbrauch - Industriesektor - Chemie und Petrochemie - energetischer Verbrauch"/>
    <s v="Elektrizität"/>
    <s v="Gigawattstunde"/>
    <x v="15"/>
    <x v="2"/>
    <n v="9640"/>
  </r>
  <r>
    <x v="8"/>
    <s v="Endenergieverbrauch - Industriesektor - Chemie und Petrochemie - energetischer Verbrauch"/>
    <s v="Elektrizität"/>
    <s v="Gigawattstunde"/>
    <x v="16"/>
    <x v="2"/>
    <n v="9140"/>
  </r>
  <r>
    <x v="9"/>
    <s v="Endenergieverbrauch - Industriesektor - Chemie und Petrochemie - energetischer Verbrauch"/>
    <s v="Elektrizität"/>
    <s v="Gigawattstunde"/>
    <x v="0"/>
    <x v="2"/>
    <n v="24738"/>
  </r>
  <r>
    <x v="9"/>
    <s v="Endenergieverbrauch - Industriesektor - Chemie und Petrochemie - energetischer Verbrauch"/>
    <s v="Elektrizität"/>
    <s v="Gigawattstunde"/>
    <x v="1"/>
    <x v="2"/>
    <n v="23566"/>
  </r>
  <r>
    <x v="9"/>
    <s v="Endenergieverbrauch - Industriesektor - Chemie und Petrochemie - energetischer Verbrauch"/>
    <s v="Elektrizität"/>
    <s v="Gigawattstunde"/>
    <x v="2"/>
    <x v="2"/>
    <n v="24035"/>
  </r>
  <r>
    <x v="9"/>
    <s v="Endenergieverbrauch - Industriesektor - Chemie und Petrochemie - energetischer Verbrauch"/>
    <s v="Elektrizität"/>
    <s v="Gigawattstunde"/>
    <x v="3"/>
    <x v="2"/>
    <n v="24932"/>
  </r>
  <r>
    <x v="9"/>
    <s v="Endenergieverbrauch - Industriesektor - Chemie und Petrochemie - energetischer Verbrauch"/>
    <s v="Elektrizität"/>
    <s v="Gigawattstunde"/>
    <x v="4"/>
    <x v="2"/>
    <n v="24720"/>
  </r>
  <r>
    <x v="9"/>
    <s v="Endenergieverbrauch - Industriesektor - Chemie und Petrochemie - energetischer Verbrauch"/>
    <s v="Elektrizität"/>
    <s v="Gigawattstunde"/>
    <x v="5"/>
    <x v="2"/>
    <n v="24844"/>
  </r>
  <r>
    <x v="9"/>
    <s v="Endenergieverbrauch - Industriesektor - Chemie und Petrochemie - energetischer Verbrauch"/>
    <s v="Elektrizität"/>
    <s v="Gigawattstunde"/>
    <x v="6"/>
    <x v="2"/>
    <n v="30704"/>
  </r>
  <r>
    <x v="9"/>
    <s v="Endenergieverbrauch - Industriesektor - Chemie und Petrochemie - energetischer Verbrauch"/>
    <s v="Elektrizität"/>
    <s v="Gigawattstunde"/>
    <x v="7"/>
    <x v="2"/>
    <n v="26559"/>
  </r>
  <r>
    <x v="9"/>
    <s v="Endenergieverbrauch - Industriesektor - Chemie und Petrochemie - energetischer Verbrauch"/>
    <s v="Elektrizität"/>
    <s v="Gigawattstunde"/>
    <x v="8"/>
    <x v="2"/>
    <n v="27640"/>
  </r>
  <r>
    <x v="9"/>
    <s v="Endenergieverbrauch - Industriesektor - Chemie und Petrochemie - energetischer Verbrauch"/>
    <s v="Elektrizität"/>
    <s v="Gigawattstunde"/>
    <x v="9"/>
    <x v="2"/>
    <n v="20232.866999999998"/>
  </r>
  <r>
    <x v="9"/>
    <s v="Endenergieverbrauch - Industriesektor - Chemie und Petrochemie - energetischer Verbrauch"/>
    <s v="Elektrizität"/>
    <s v="Gigawattstunde"/>
    <x v="10"/>
    <x v="2"/>
    <n v="19719.856"/>
  </r>
  <r>
    <x v="9"/>
    <s v="Endenergieverbrauch - Industriesektor - Chemie und Petrochemie - energetischer Verbrauch"/>
    <s v="Elektrizität"/>
    <s v="Gigawattstunde"/>
    <x v="11"/>
    <x v="2"/>
    <n v="19586.636999999999"/>
  </r>
  <r>
    <x v="9"/>
    <s v="Endenergieverbrauch - Industriesektor - Chemie und Petrochemie - energetischer Verbrauch"/>
    <s v="Elektrizität"/>
    <s v="Gigawattstunde"/>
    <x v="12"/>
    <x v="2"/>
    <n v="20257.506000000001"/>
  </r>
  <r>
    <x v="9"/>
    <s v="Endenergieverbrauch - Industriesektor - Chemie und Petrochemie - energetischer Verbrauch"/>
    <s v="Elektrizität"/>
    <s v="Gigawattstunde"/>
    <x v="13"/>
    <x v="2"/>
    <n v="19952.143"/>
  </r>
  <r>
    <x v="9"/>
    <s v="Endenergieverbrauch - Industriesektor - Chemie und Petrochemie - energetischer Verbrauch"/>
    <s v="Elektrizität"/>
    <s v="Gigawattstunde"/>
    <x v="14"/>
    <x v="2"/>
    <n v="19964.786"/>
  </r>
  <r>
    <x v="9"/>
    <s v="Endenergieverbrauch - Industriesektor - Chemie und Petrochemie - energetischer Verbrauch"/>
    <s v="Elektrizität"/>
    <s v="Gigawattstunde"/>
    <x v="15"/>
    <x v="2"/>
    <n v="20377.413"/>
  </r>
  <r>
    <x v="9"/>
    <s v="Endenergieverbrauch - Industriesektor - Chemie und Petrochemie - energetischer Verbrauch"/>
    <s v="Elektrizität"/>
    <s v="Gigawattstunde"/>
    <x v="16"/>
    <x v="2"/>
    <n v="20070.468000000001"/>
  </r>
  <r>
    <x v="10"/>
    <s v="Endenergieverbrauch - Industriesektor - Chemie und Petrochemie - energetischer Verbrauch"/>
    <s v="Elektrizität"/>
    <s v="Gigawattstunde"/>
    <x v="0"/>
    <x v="2"/>
    <n v="495"/>
  </r>
  <r>
    <x v="10"/>
    <s v="Endenergieverbrauch - Industriesektor - Chemie und Petrochemie - energetischer Verbrauch"/>
    <s v="Elektrizität"/>
    <s v="Gigawattstunde"/>
    <x v="1"/>
    <x v="2"/>
    <n v="530"/>
  </r>
  <r>
    <x v="10"/>
    <s v="Endenergieverbrauch - Industriesektor - Chemie und Petrochemie - energetischer Verbrauch"/>
    <s v="Elektrizität"/>
    <s v="Gigawattstunde"/>
    <x v="2"/>
    <x v="2"/>
    <n v="470"/>
  </r>
  <r>
    <x v="10"/>
    <s v="Endenergieverbrauch - Industriesektor - Chemie und Petrochemie - energetischer Verbrauch"/>
    <s v="Elektrizität"/>
    <s v="Gigawattstunde"/>
    <x v="3"/>
    <x v="2"/>
    <n v="474"/>
  </r>
  <r>
    <x v="10"/>
    <s v="Endenergieverbrauch - Industriesektor - Chemie und Petrochemie - energetischer Verbrauch"/>
    <s v="Elektrizität"/>
    <s v="Gigawattstunde"/>
    <x v="4"/>
    <x v="2"/>
    <n v="477"/>
  </r>
  <r>
    <x v="10"/>
    <s v="Endenergieverbrauch - Industriesektor - Chemie und Petrochemie - energetischer Verbrauch"/>
    <s v="Elektrizität"/>
    <s v="Gigawattstunde"/>
    <x v="5"/>
    <x v="2"/>
    <n v="592"/>
  </r>
  <r>
    <x v="10"/>
    <s v="Endenergieverbrauch - Industriesektor - Chemie und Petrochemie - energetischer Verbrauch"/>
    <s v="Elektrizität"/>
    <s v="Gigawattstunde"/>
    <x v="6"/>
    <x v="2"/>
    <n v="488"/>
  </r>
  <r>
    <x v="10"/>
    <s v="Endenergieverbrauch - Industriesektor - Chemie und Petrochemie - energetischer Verbrauch"/>
    <s v="Elektrizität"/>
    <s v="Gigawattstunde"/>
    <x v="7"/>
    <x v="2"/>
    <n v="451"/>
  </r>
  <r>
    <x v="10"/>
    <s v="Endenergieverbrauch - Industriesektor - Chemie und Petrochemie - energetischer Verbrauch"/>
    <s v="Elektrizität"/>
    <s v="Gigawattstunde"/>
    <x v="8"/>
    <x v="2"/>
    <n v="476"/>
  </r>
  <r>
    <x v="10"/>
    <s v="Endenergieverbrauch - Industriesektor - Chemie und Petrochemie - energetischer Verbrauch"/>
    <s v="Elektrizität"/>
    <s v="Gigawattstunde"/>
    <x v="9"/>
    <x v="2"/>
    <n v="410"/>
  </r>
  <r>
    <x v="10"/>
    <s v="Endenergieverbrauch - Industriesektor - Chemie und Petrochemie - energetischer Verbrauch"/>
    <s v="Elektrizität"/>
    <s v="Gigawattstunde"/>
    <x v="10"/>
    <x v="2"/>
    <n v="257"/>
  </r>
  <r>
    <x v="10"/>
    <s v="Endenergieverbrauch - Industriesektor - Chemie und Petrochemie - energetischer Verbrauch"/>
    <s v="Elektrizität"/>
    <s v="Gigawattstunde"/>
    <x v="11"/>
    <x v="2"/>
    <n v="269"/>
  </r>
  <r>
    <x v="10"/>
    <s v="Endenergieverbrauch - Industriesektor - Chemie und Petrochemie - energetischer Verbrauch"/>
    <s v="Elektrizität"/>
    <s v="Gigawattstunde"/>
    <x v="12"/>
    <x v="2"/>
    <n v="272"/>
  </r>
  <r>
    <x v="10"/>
    <s v="Endenergieverbrauch - Industriesektor - Chemie und Petrochemie - energetischer Verbrauch"/>
    <s v="Elektrizität"/>
    <s v="Gigawattstunde"/>
    <x v="13"/>
    <x v="2"/>
    <n v="306"/>
  </r>
  <r>
    <x v="10"/>
    <s v="Endenergieverbrauch - Industriesektor - Chemie und Petrochemie - energetischer Verbrauch"/>
    <s v="Elektrizität"/>
    <s v="Gigawattstunde"/>
    <x v="14"/>
    <x v="2"/>
    <n v="305"/>
  </r>
  <r>
    <x v="10"/>
    <s v="Endenergieverbrauch - Industriesektor - Chemie und Petrochemie - energetischer Verbrauch"/>
    <s v="Elektrizität"/>
    <s v="Gigawattstunde"/>
    <x v="15"/>
    <x v="2"/>
    <n v="307.5"/>
  </r>
  <r>
    <x v="10"/>
    <s v="Endenergieverbrauch - Industriesektor - Chemie und Petrochemie - energetischer Verbrauch"/>
    <s v="Elektrizität"/>
    <s v="Gigawattstunde"/>
    <x v="16"/>
    <x v="2"/>
    <n v="312.10000000000002"/>
  </r>
  <r>
    <x v="11"/>
    <s v="Endenergieverbrauch - Industriesektor - Chemie und Petrochemie - energetischer Verbrauch"/>
    <s v="Elektrizität"/>
    <s v="Gigawattstunde"/>
    <x v="0"/>
    <x v="2"/>
    <n v="20236"/>
  </r>
  <r>
    <x v="11"/>
    <s v="Endenergieverbrauch - Industriesektor - Chemie und Petrochemie - energetischer Verbrauch"/>
    <s v="Elektrizität"/>
    <s v="Gigawattstunde"/>
    <x v="1"/>
    <x v="2"/>
    <n v="20110"/>
  </r>
  <r>
    <x v="11"/>
    <s v="Endenergieverbrauch - Industriesektor - Chemie und Petrochemie - energetischer Verbrauch"/>
    <s v="Elektrizität"/>
    <s v="Gigawattstunde"/>
    <x v="2"/>
    <x v="2"/>
    <n v="19431"/>
  </r>
  <r>
    <x v="11"/>
    <s v="Endenergieverbrauch - Industriesektor - Chemie und Petrochemie - energetischer Verbrauch"/>
    <s v="Elektrizität"/>
    <s v="Gigawattstunde"/>
    <x v="3"/>
    <x v="2"/>
    <n v="19015"/>
  </r>
  <r>
    <x v="11"/>
    <s v="Endenergieverbrauch - Industriesektor - Chemie und Petrochemie - energetischer Verbrauch"/>
    <s v="Elektrizität"/>
    <s v="Gigawattstunde"/>
    <x v="4"/>
    <x v="2"/>
    <n v="18838"/>
  </r>
  <r>
    <x v="11"/>
    <s v="Endenergieverbrauch - Industriesektor - Chemie und Petrochemie - energetischer Verbrauch"/>
    <s v="Elektrizität"/>
    <s v="Gigawattstunde"/>
    <x v="5"/>
    <x v="2"/>
    <n v="18192"/>
  </r>
  <r>
    <x v="11"/>
    <s v="Endenergieverbrauch - Industriesektor - Chemie und Petrochemie - energetischer Verbrauch"/>
    <s v="Elektrizität"/>
    <s v="Gigawattstunde"/>
    <x v="6"/>
    <x v="2"/>
    <n v="17525"/>
  </r>
  <r>
    <x v="11"/>
    <s v="Endenergieverbrauch - Industriesektor - Chemie und Petrochemie - energetischer Verbrauch"/>
    <s v="Elektrizität"/>
    <s v="Gigawattstunde"/>
    <x v="7"/>
    <x v="2"/>
    <n v="14591"/>
  </r>
  <r>
    <x v="11"/>
    <s v="Endenergieverbrauch - Industriesektor - Chemie und Petrochemie - energetischer Verbrauch"/>
    <s v="Elektrizität"/>
    <s v="Gigawattstunde"/>
    <x v="8"/>
    <x v="2"/>
    <n v="15541"/>
  </r>
  <r>
    <x v="11"/>
    <s v="Endenergieverbrauch - Industriesektor - Chemie und Petrochemie - energetischer Verbrauch"/>
    <s v="Elektrizität"/>
    <s v="Gigawattstunde"/>
    <x v="9"/>
    <x v="2"/>
    <n v="15085"/>
  </r>
  <r>
    <x v="11"/>
    <s v="Endenergieverbrauch - Industriesektor - Chemie und Petrochemie - energetischer Verbrauch"/>
    <s v="Elektrizität"/>
    <s v="Gigawattstunde"/>
    <x v="10"/>
    <x v="2"/>
    <n v="14864"/>
  </r>
  <r>
    <x v="11"/>
    <s v="Endenergieverbrauch - Industriesektor - Chemie und Petrochemie - energetischer Verbrauch"/>
    <s v="Elektrizität"/>
    <s v="Gigawattstunde"/>
    <x v="11"/>
    <x v="2"/>
    <n v="14843"/>
  </r>
  <r>
    <x v="11"/>
    <s v="Endenergieverbrauch - Industriesektor - Chemie und Petrochemie - energetischer Verbrauch"/>
    <s v="Elektrizität"/>
    <s v="Gigawattstunde"/>
    <x v="12"/>
    <x v="2"/>
    <n v="14203"/>
  </r>
  <r>
    <x v="11"/>
    <s v="Endenergieverbrauch - Industriesektor - Chemie und Petrochemie - energetischer Verbrauch"/>
    <s v="Elektrizität"/>
    <s v="Gigawattstunde"/>
    <x v="13"/>
    <x v="2"/>
    <n v="13961"/>
  </r>
  <r>
    <x v="11"/>
    <s v="Endenergieverbrauch - Industriesektor - Chemie und Petrochemie - energetischer Verbrauch"/>
    <s v="Elektrizität"/>
    <s v="Gigawattstunde"/>
    <x v="14"/>
    <x v="2"/>
    <n v="13911"/>
  </r>
  <r>
    <x v="11"/>
    <s v="Endenergieverbrauch - Industriesektor - Chemie und Petrochemie - energetischer Verbrauch"/>
    <s v="Elektrizität"/>
    <s v="Gigawattstunde"/>
    <x v="15"/>
    <x v="2"/>
    <n v="14283.61"/>
  </r>
  <r>
    <x v="11"/>
    <s v="Endenergieverbrauch - Industriesektor - Chemie und Petrochemie - energetischer Verbrauch"/>
    <s v="Elektrizität"/>
    <s v="Gigawattstunde"/>
    <x v="16"/>
    <x v="2"/>
    <n v="14463.6"/>
  </r>
  <r>
    <x v="12"/>
    <s v="Endenergieverbrauch - Industriesektor - Chemie und Petrochemie - energetischer Verbrauch"/>
    <s v="Elektrizität"/>
    <s v="Gigawattstunde"/>
    <x v="0"/>
    <x v="2"/>
    <n v="19"/>
  </r>
  <r>
    <x v="12"/>
    <s v="Endenergieverbrauch - Industriesektor - Chemie und Petrochemie - energetischer Verbrauch"/>
    <s v="Elektrizität"/>
    <s v="Gigawattstunde"/>
    <x v="1"/>
    <x v="2"/>
    <n v="20"/>
  </r>
  <r>
    <x v="12"/>
    <s v="Endenergieverbrauch - Industriesektor - Chemie und Petrochemie - energetischer Verbrauch"/>
    <s v="Elektrizität"/>
    <s v="Gigawattstunde"/>
    <x v="2"/>
    <x v="2"/>
    <n v="21"/>
  </r>
  <r>
    <x v="12"/>
    <s v="Endenergieverbrauch - Industriesektor - Chemie und Petrochemie - energetischer Verbrauch"/>
    <s v="Elektrizität"/>
    <s v="Gigawattstunde"/>
    <x v="3"/>
    <x v="2"/>
    <n v="24"/>
  </r>
  <r>
    <x v="12"/>
    <s v="Endenergieverbrauch - Industriesektor - Chemie und Petrochemie - energetischer Verbrauch"/>
    <s v="Elektrizität"/>
    <s v="Gigawattstunde"/>
    <x v="4"/>
    <x v="2"/>
    <n v="25"/>
  </r>
  <r>
    <x v="12"/>
    <s v="Endenergieverbrauch - Industriesektor - Chemie und Petrochemie - energetischer Verbrauch"/>
    <s v="Elektrizität"/>
    <s v="Gigawattstunde"/>
    <x v="5"/>
    <x v="2"/>
    <n v="27"/>
  </r>
  <r>
    <x v="12"/>
    <s v="Endenergieverbrauch - Industriesektor - Chemie und Petrochemie - energetischer Verbrauch"/>
    <s v="Elektrizität"/>
    <s v="Gigawattstunde"/>
    <x v="6"/>
    <x v="2"/>
    <n v="28"/>
  </r>
  <r>
    <x v="12"/>
    <s v="Endenergieverbrauch - Industriesektor - Chemie und Petrochemie - energetischer Verbrauch"/>
    <s v="Elektrizität"/>
    <s v="Gigawattstunde"/>
    <x v="7"/>
    <x v="2"/>
    <n v="28"/>
  </r>
  <r>
    <x v="12"/>
    <s v="Endenergieverbrauch - Industriesektor - Chemie und Petrochemie - energetischer Verbrauch"/>
    <s v="Elektrizität"/>
    <s v="Gigawattstunde"/>
    <x v="8"/>
    <x v="2"/>
    <n v="30"/>
  </r>
  <r>
    <x v="12"/>
    <s v="Endenergieverbrauch - Industriesektor - Chemie und Petrochemie - energetischer Verbrauch"/>
    <s v="Elektrizität"/>
    <s v="Gigawattstunde"/>
    <x v="9"/>
    <x v="2"/>
    <n v="29"/>
  </r>
  <r>
    <x v="12"/>
    <s v="Endenergieverbrauch - Industriesektor - Chemie und Petrochemie - energetischer Verbrauch"/>
    <s v="Elektrizität"/>
    <s v="Gigawattstunde"/>
    <x v="10"/>
    <x v="2"/>
    <n v="32"/>
  </r>
  <r>
    <x v="12"/>
    <s v="Endenergieverbrauch - Industriesektor - Chemie und Petrochemie - energetischer Verbrauch"/>
    <s v="Elektrizität"/>
    <s v="Gigawattstunde"/>
    <x v="11"/>
    <x v="2"/>
    <n v="35"/>
  </r>
  <r>
    <x v="12"/>
    <s v="Endenergieverbrauch - Industriesektor - Chemie und Petrochemie - energetischer Verbrauch"/>
    <s v="Elektrizität"/>
    <s v="Gigawattstunde"/>
    <x v="12"/>
    <x v="2"/>
    <n v="38"/>
  </r>
  <r>
    <x v="12"/>
    <s v="Endenergieverbrauch - Industriesektor - Chemie und Petrochemie - energetischer Verbrauch"/>
    <s v="Elektrizität"/>
    <s v="Gigawattstunde"/>
    <x v="13"/>
    <x v="2"/>
    <n v="40"/>
  </r>
  <r>
    <x v="12"/>
    <s v="Endenergieverbrauch - Industriesektor - Chemie und Petrochemie - energetischer Verbrauch"/>
    <s v="Elektrizität"/>
    <s v="Gigawattstunde"/>
    <x v="14"/>
    <x v="2"/>
    <n v="43"/>
  </r>
  <r>
    <x v="12"/>
    <s v="Endenergieverbrauch - Industriesektor - Chemie und Petrochemie - energetischer Verbrauch"/>
    <s v="Elektrizität"/>
    <s v="Gigawattstunde"/>
    <x v="15"/>
    <x v="2"/>
    <n v="43.801000000000002"/>
  </r>
  <r>
    <x v="12"/>
    <s v="Endenergieverbrauch - Industriesektor - Chemie und Petrochemie - energetischer Verbrauch"/>
    <s v="Elektrizität"/>
    <s v="Gigawattstunde"/>
    <x v="16"/>
    <x v="2"/>
    <n v="44.654000000000003"/>
  </r>
  <r>
    <x v="13"/>
    <s v="Endenergieverbrauch - Industriesektor - Chemie und Petrochemie - energetischer Verbrauch"/>
    <s v="Elektrizität"/>
    <s v="Gigawattstunde"/>
    <x v="0"/>
    <x v="2"/>
    <n v="75"/>
  </r>
  <r>
    <x v="13"/>
    <s v="Endenergieverbrauch - Industriesektor - Chemie und Petrochemie - energetischer Verbrauch"/>
    <s v="Elektrizität"/>
    <s v="Gigawattstunde"/>
    <x v="1"/>
    <x v="2"/>
    <n v="75"/>
  </r>
  <r>
    <x v="13"/>
    <s v="Endenergieverbrauch - Industriesektor - Chemie und Petrochemie - energetischer Verbrauch"/>
    <s v="Elektrizität"/>
    <s v="Gigawattstunde"/>
    <x v="2"/>
    <x v="2"/>
    <n v="66"/>
  </r>
  <r>
    <x v="13"/>
    <s v="Endenergieverbrauch - Industriesektor - Chemie und Petrochemie - energetischer Verbrauch"/>
    <s v="Elektrizität"/>
    <s v="Gigawattstunde"/>
    <x v="3"/>
    <x v="2"/>
    <n v="72"/>
  </r>
  <r>
    <x v="13"/>
    <s v="Endenergieverbrauch - Industriesektor - Chemie und Petrochemie - energetischer Verbrauch"/>
    <s v="Elektrizität"/>
    <s v="Gigawattstunde"/>
    <x v="4"/>
    <x v="2"/>
    <n v="75"/>
  </r>
  <r>
    <x v="13"/>
    <s v="Endenergieverbrauch - Industriesektor - Chemie und Petrochemie - energetischer Verbrauch"/>
    <s v="Elektrizität"/>
    <s v="Gigawattstunde"/>
    <x v="5"/>
    <x v="2"/>
    <n v="59"/>
  </r>
  <r>
    <x v="13"/>
    <s v="Endenergieverbrauch - Industriesektor - Chemie und Petrochemie - energetischer Verbrauch"/>
    <s v="Elektrizität"/>
    <s v="Gigawattstunde"/>
    <x v="6"/>
    <x v="2"/>
    <n v="65"/>
  </r>
  <r>
    <x v="13"/>
    <s v="Endenergieverbrauch - Industriesektor - Chemie und Petrochemie - energetischer Verbrauch"/>
    <s v="Elektrizität"/>
    <s v="Gigawattstunde"/>
    <x v="7"/>
    <x v="2"/>
    <n v="59"/>
  </r>
  <r>
    <x v="13"/>
    <s v="Endenergieverbrauch - Industriesektor - Chemie und Petrochemie - energetischer Verbrauch"/>
    <s v="Elektrizität"/>
    <s v="Gigawattstunde"/>
    <x v="8"/>
    <x v="2"/>
    <n v="63"/>
  </r>
  <r>
    <x v="13"/>
    <s v="Endenergieverbrauch - Industriesektor - Chemie und Petrochemie - energetischer Verbrauch"/>
    <s v="Elektrizität"/>
    <s v="Gigawattstunde"/>
    <x v="9"/>
    <x v="2"/>
    <n v="69"/>
  </r>
  <r>
    <x v="13"/>
    <s v="Endenergieverbrauch - Industriesektor - Chemie und Petrochemie - energetischer Verbrauch"/>
    <s v="Elektrizität"/>
    <s v="Gigawattstunde"/>
    <x v="10"/>
    <x v="2"/>
    <n v="72"/>
  </r>
  <r>
    <x v="13"/>
    <s v="Endenergieverbrauch - Industriesektor - Chemie und Petrochemie - energetischer Verbrauch"/>
    <s v="Elektrizität"/>
    <s v="Gigawattstunde"/>
    <x v="11"/>
    <x v="2"/>
    <n v="72"/>
  </r>
  <r>
    <x v="13"/>
    <s v="Endenergieverbrauch - Industriesektor - Chemie und Petrochemie - energetischer Verbrauch"/>
    <s v="Elektrizität"/>
    <s v="Gigawattstunde"/>
    <x v="12"/>
    <x v="2"/>
    <n v="60"/>
  </r>
  <r>
    <x v="13"/>
    <s v="Endenergieverbrauch - Industriesektor - Chemie und Petrochemie - energetischer Verbrauch"/>
    <s v="Elektrizität"/>
    <s v="Gigawattstunde"/>
    <x v="13"/>
    <x v="2"/>
    <n v="62"/>
  </r>
  <r>
    <x v="13"/>
    <s v="Endenergieverbrauch - Industriesektor - Chemie und Petrochemie - energetischer Verbrauch"/>
    <s v="Elektrizität"/>
    <s v="Gigawattstunde"/>
    <x v="14"/>
    <x v="2"/>
    <n v="62"/>
  </r>
  <r>
    <x v="13"/>
    <s v="Endenergieverbrauch - Industriesektor - Chemie und Petrochemie - energetischer Verbrauch"/>
    <s v="Elektrizität"/>
    <s v="Gigawattstunde"/>
    <x v="15"/>
    <x v="2"/>
    <n v="64.498999999999995"/>
  </r>
  <r>
    <x v="13"/>
    <s v="Endenergieverbrauch - Industriesektor - Chemie und Petrochemie - energetischer Verbrauch"/>
    <s v="Elektrizität"/>
    <s v="Gigawattstunde"/>
    <x v="16"/>
    <x v="2"/>
    <n v="65.269000000000005"/>
  </r>
  <r>
    <x v="14"/>
    <s v="Endenergieverbrauch - Industriesektor - Chemie und Petrochemie - energetischer Verbrauch"/>
    <s v="Elektrizität"/>
    <s v="Gigawattstunde"/>
    <x v="0"/>
    <x v="2"/>
    <n v="507"/>
  </r>
  <r>
    <x v="14"/>
    <s v="Endenergieverbrauch - Industriesektor - Chemie und Petrochemie - energetischer Verbrauch"/>
    <s v="Elektrizität"/>
    <s v="Gigawattstunde"/>
    <x v="1"/>
    <x v="2"/>
    <n v="551"/>
  </r>
  <r>
    <x v="14"/>
    <s v="Endenergieverbrauch - Industriesektor - Chemie und Petrochemie - energetischer Verbrauch"/>
    <s v="Elektrizität"/>
    <s v="Gigawattstunde"/>
    <x v="2"/>
    <x v="2"/>
    <n v="554"/>
  </r>
  <r>
    <x v="14"/>
    <s v="Endenergieverbrauch - Industriesektor - Chemie und Petrochemie - energetischer Verbrauch"/>
    <s v="Elektrizität"/>
    <s v="Gigawattstunde"/>
    <x v="3"/>
    <x v="2"/>
    <n v="598"/>
  </r>
  <r>
    <x v="14"/>
    <s v="Endenergieverbrauch - Industriesektor - Chemie und Petrochemie - energetischer Verbrauch"/>
    <s v="Elektrizität"/>
    <s v="Gigawattstunde"/>
    <x v="4"/>
    <x v="2"/>
    <n v="671"/>
  </r>
  <r>
    <x v="14"/>
    <s v="Endenergieverbrauch - Industriesektor - Chemie und Petrochemie - energetischer Verbrauch"/>
    <s v="Elektrizität"/>
    <s v="Gigawattstunde"/>
    <x v="5"/>
    <x v="2"/>
    <n v="780"/>
  </r>
  <r>
    <x v="14"/>
    <s v="Endenergieverbrauch - Industriesektor - Chemie und Petrochemie - energetischer Verbrauch"/>
    <s v="Elektrizität"/>
    <s v="Gigawattstunde"/>
    <x v="6"/>
    <x v="2"/>
    <n v="736"/>
  </r>
  <r>
    <x v="14"/>
    <s v="Endenergieverbrauch - Industriesektor - Chemie und Petrochemie - energetischer Verbrauch"/>
    <s v="Elektrizität"/>
    <s v="Gigawattstunde"/>
    <x v="7"/>
    <x v="2"/>
    <n v="624"/>
  </r>
  <r>
    <x v="14"/>
    <s v="Endenergieverbrauch - Industriesektor - Chemie und Petrochemie - energetischer Verbrauch"/>
    <s v="Elektrizität"/>
    <s v="Gigawattstunde"/>
    <x v="8"/>
    <x v="2"/>
    <n v="680"/>
  </r>
  <r>
    <x v="14"/>
    <s v="Endenergieverbrauch - Industriesektor - Chemie und Petrochemie - energetischer Verbrauch"/>
    <s v="Elektrizität"/>
    <s v="Gigawattstunde"/>
    <x v="9"/>
    <x v="2"/>
    <n v="770"/>
  </r>
  <r>
    <x v="14"/>
    <s v="Endenergieverbrauch - Industriesektor - Chemie und Petrochemie - energetischer Verbrauch"/>
    <s v="Elektrizität"/>
    <s v="Gigawattstunde"/>
    <x v="10"/>
    <x v="2"/>
    <n v="785"/>
  </r>
  <r>
    <x v="14"/>
    <s v="Endenergieverbrauch - Industriesektor - Chemie und Petrochemie - energetischer Verbrauch"/>
    <s v="Elektrizität"/>
    <s v="Gigawattstunde"/>
    <x v="11"/>
    <x v="2"/>
    <n v="730"/>
  </r>
  <r>
    <x v="14"/>
    <s v="Endenergieverbrauch - Industriesektor - Chemie und Petrochemie - energetischer Verbrauch"/>
    <s v="Elektrizität"/>
    <s v="Gigawattstunde"/>
    <x v="12"/>
    <x v="2"/>
    <n v="750"/>
  </r>
  <r>
    <x v="14"/>
    <s v="Endenergieverbrauch - Industriesektor - Chemie und Petrochemie - energetischer Verbrauch"/>
    <s v="Elektrizität"/>
    <s v="Gigawattstunde"/>
    <x v="13"/>
    <x v="2"/>
    <n v="713"/>
  </r>
  <r>
    <x v="14"/>
    <s v="Endenergieverbrauch - Industriesektor - Chemie und Petrochemie - energetischer Verbrauch"/>
    <s v="Elektrizität"/>
    <s v="Gigawattstunde"/>
    <x v="14"/>
    <x v="2"/>
    <n v="746"/>
  </r>
  <r>
    <x v="14"/>
    <s v="Endenergieverbrauch - Industriesektor - Chemie und Petrochemie - energetischer Verbrauch"/>
    <s v="Elektrizität"/>
    <s v="Gigawattstunde"/>
    <x v="15"/>
    <x v="2"/>
    <n v="831.4"/>
  </r>
  <r>
    <x v="14"/>
    <s v="Endenergieverbrauch - Industriesektor - Chemie und Petrochemie - energetischer Verbrauch"/>
    <s v="Elektrizität"/>
    <s v="Gigawattstunde"/>
    <x v="16"/>
    <x v="2"/>
    <n v="804.7"/>
  </r>
  <r>
    <x v="15"/>
    <s v="Endenergieverbrauch - Industriesektor - Chemie und Petrochemie - energetischer Verbrauch"/>
    <s v="Elektrizität"/>
    <s v="Gigawattstunde"/>
    <x v="0"/>
    <x v="2"/>
    <n v="280.858"/>
  </r>
  <r>
    <x v="15"/>
    <s v="Endenergieverbrauch - Industriesektor - Chemie und Petrochemie - energetischer Verbrauch"/>
    <s v="Elektrizität"/>
    <s v="Gigawattstunde"/>
    <x v="1"/>
    <x v="2"/>
    <n v="477.59800000000001"/>
  </r>
  <r>
    <x v="15"/>
    <s v="Endenergieverbrauch - Industriesektor - Chemie und Petrochemie - energetischer Verbrauch"/>
    <s v="Elektrizität"/>
    <s v="Gigawattstunde"/>
    <x v="2"/>
    <x v="2"/>
    <n v="477.74299999999999"/>
  </r>
  <r>
    <x v="15"/>
    <s v="Endenergieverbrauch - Industriesektor - Chemie und Petrochemie - energetischer Verbrauch"/>
    <s v="Elektrizität"/>
    <s v="Gigawattstunde"/>
    <x v="3"/>
    <x v="2"/>
    <n v="530.09400000000005"/>
  </r>
  <r>
    <x v="15"/>
    <s v="Endenergieverbrauch - Industriesektor - Chemie und Petrochemie - energetischer Verbrauch"/>
    <s v="Elektrizität"/>
    <s v="Gigawattstunde"/>
    <x v="4"/>
    <x v="2"/>
    <n v="462.44799999999998"/>
  </r>
  <r>
    <x v="15"/>
    <s v="Endenergieverbrauch - Industriesektor - Chemie und Petrochemie - energetischer Verbrauch"/>
    <s v="Elektrizität"/>
    <s v="Gigawattstunde"/>
    <x v="5"/>
    <x v="2"/>
    <n v="445.09199999999998"/>
  </r>
  <r>
    <x v="15"/>
    <s v="Endenergieverbrauch - Industriesektor - Chemie und Petrochemie - energetischer Verbrauch"/>
    <s v="Elektrizität"/>
    <s v="Gigawattstunde"/>
    <x v="6"/>
    <x v="2"/>
    <n v="396.89600000000002"/>
  </r>
  <r>
    <x v="15"/>
    <s v="Endenergieverbrauch - Industriesektor - Chemie und Petrochemie - energetischer Verbrauch"/>
    <s v="Elektrizität"/>
    <s v="Gigawattstunde"/>
    <x v="7"/>
    <x v="2"/>
    <n v="311.01600000000002"/>
  </r>
  <r>
    <x v="15"/>
    <s v="Endenergieverbrauch - Industriesektor - Chemie und Petrochemie - energetischer Verbrauch"/>
    <s v="Elektrizität"/>
    <s v="Gigawattstunde"/>
    <x v="8"/>
    <x v="2"/>
    <n v="349.89"/>
  </r>
  <r>
    <x v="15"/>
    <s v="Endenergieverbrauch - Industriesektor - Chemie und Petrochemie - energetischer Verbrauch"/>
    <s v="Elektrizität"/>
    <s v="Gigawattstunde"/>
    <x v="9"/>
    <x v="2"/>
    <n v="400.79500000000002"/>
  </r>
  <r>
    <x v="15"/>
    <s v="Endenergieverbrauch - Industriesektor - Chemie und Petrochemie - energetischer Verbrauch"/>
    <s v="Elektrizität"/>
    <s v="Gigawattstunde"/>
    <x v="10"/>
    <x v="2"/>
    <n v="389.6"/>
  </r>
  <r>
    <x v="15"/>
    <s v="Endenergieverbrauch - Industriesektor - Chemie und Petrochemie - energetischer Verbrauch"/>
    <s v="Elektrizität"/>
    <s v="Gigawattstunde"/>
    <x v="11"/>
    <x v="2"/>
    <n v="406.983"/>
  </r>
  <r>
    <x v="15"/>
    <s v="Endenergieverbrauch - Industriesektor - Chemie und Petrochemie - energetischer Verbrauch"/>
    <s v="Elektrizität"/>
    <s v="Gigawattstunde"/>
    <x v="12"/>
    <x v="2"/>
    <n v="368.471"/>
  </r>
  <r>
    <x v="15"/>
    <s v="Endenergieverbrauch - Industriesektor - Chemie und Petrochemie - energetischer Verbrauch"/>
    <s v="Elektrizität"/>
    <s v="Gigawattstunde"/>
    <x v="13"/>
    <x v="2"/>
    <n v="379.84800000000001"/>
  </r>
  <r>
    <x v="15"/>
    <s v="Endenergieverbrauch - Industriesektor - Chemie und Petrochemie - energetischer Verbrauch"/>
    <s v="Elektrizität"/>
    <s v="Gigawattstunde"/>
    <x v="14"/>
    <x v="2"/>
    <n v="383.47800000000001"/>
  </r>
  <r>
    <x v="15"/>
    <s v="Endenergieverbrauch - Industriesektor - Chemie und Petrochemie - energetischer Verbrauch"/>
    <s v="Elektrizität"/>
    <s v="Gigawattstunde"/>
    <x v="15"/>
    <x v="2"/>
    <n v="335.54"/>
  </r>
  <r>
    <x v="15"/>
    <s v="Endenergieverbrauch - Industriesektor - Chemie und Petrochemie - energetischer Verbrauch"/>
    <s v="Elektrizität"/>
    <s v="Gigawattstunde"/>
    <x v="16"/>
    <x v="2"/>
    <n v="356.875"/>
  </r>
  <r>
    <x v="16"/>
    <s v="Endenergieverbrauch - Industriesektor - Chemie und Petrochemie - energetischer Verbrauch"/>
    <s v="Elektrizität"/>
    <s v="Gigawattstunde"/>
    <x v="0"/>
    <x v="2"/>
    <n v="3048"/>
  </r>
  <r>
    <x v="16"/>
    <s v="Endenergieverbrauch - Industriesektor - Chemie und Petrochemie - energetischer Verbrauch"/>
    <s v="Elektrizität"/>
    <s v="Gigawattstunde"/>
    <x v="1"/>
    <x v="2"/>
    <n v="2050"/>
  </r>
  <r>
    <x v="16"/>
    <s v="Endenergieverbrauch - Industriesektor - Chemie und Petrochemie - energetischer Verbrauch"/>
    <s v="Elektrizität"/>
    <s v="Gigawattstunde"/>
    <x v="2"/>
    <x v="2"/>
    <n v="2102"/>
  </r>
  <r>
    <x v="16"/>
    <s v="Endenergieverbrauch - Industriesektor - Chemie und Petrochemie - energetischer Verbrauch"/>
    <s v="Elektrizität"/>
    <s v="Gigawattstunde"/>
    <x v="3"/>
    <x v="2"/>
    <n v="2127"/>
  </r>
  <r>
    <x v="16"/>
    <s v="Endenergieverbrauch - Industriesektor - Chemie und Petrochemie - energetischer Verbrauch"/>
    <s v="Elektrizität"/>
    <s v="Gigawattstunde"/>
    <x v="4"/>
    <x v="2"/>
    <n v="2407"/>
  </r>
  <r>
    <x v="16"/>
    <s v="Endenergieverbrauch - Industriesektor - Chemie und Petrochemie - energetischer Verbrauch"/>
    <s v="Elektrizität"/>
    <s v="Gigawattstunde"/>
    <x v="5"/>
    <x v="2"/>
    <n v="2640"/>
  </r>
  <r>
    <x v="16"/>
    <s v="Endenergieverbrauch - Industriesektor - Chemie und Petrochemie - energetischer Verbrauch"/>
    <s v="Elektrizität"/>
    <s v="Gigawattstunde"/>
    <x v="6"/>
    <x v="2"/>
    <n v="2721"/>
  </r>
  <r>
    <x v="16"/>
    <s v="Endenergieverbrauch - Industriesektor - Chemie und Petrochemie - energetischer Verbrauch"/>
    <s v="Elektrizität"/>
    <s v="Gigawattstunde"/>
    <x v="7"/>
    <x v="2"/>
    <n v="2164"/>
  </r>
  <r>
    <x v="16"/>
    <s v="Endenergieverbrauch - Industriesektor - Chemie und Petrochemie - energetischer Verbrauch"/>
    <s v="Elektrizität"/>
    <s v="Gigawattstunde"/>
    <x v="8"/>
    <x v="2"/>
    <n v="2315"/>
  </r>
  <r>
    <x v="16"/>
    <s v="Endenergieverbrauch - Industriesektor - Chemie und Petrochemie - energetischer Verbrauch"/>
    <s v="Elektrizität"/>
    <s v="Gigawattstunde"/>
    <x v="9"/>
    <x v="2"/>
    <n v="2338"/>
  </r>
  <r>
    <x v="16"/>
    <s v="Endenergieverbrauch - Industriesektor - Chemie und Petrochemie - energetischer Verbrauch"/>
    <s v="Elektrizität"/>
    <s v="Gigawattstunde"/>
    <x v="10"/>
    <x v="2"/>
    <n v="2828"/>
  </r>
  <r>
    <x v="16"/>
    <s v="Endenergieverbrauch - Industriesektor - Chemie und Petrochemie - energetischer Verbrauch"/>
    <s v="Elektrizität"/>
    <s v="Gigawattstunde"/>
    <x v="11"/>
    <x v="2"/>
    <n v="3050"/>
  </r>
  <r>
    <x v="16"/>
    <s v="Endenergieverbrauch - Industriesektor - Chemie und Petrochemie - energetischer Verbrauch"/>
    <s v="Elektrizität"/>
    <s v="Gigawattstunde"/>
    <x v="12"/>
    <x v="2"/>
    <n v="3197"/>
  </r>
  <r>
    <x v="16"/>
    <s v="Endenergieverbrauch - Industriesektor - Chemie und Petrochemie - energetischer Verbrauch"/>
    <s v="Elektrizität"/>
    <s v="Gigawattstunde"/>
    <x v="13"/>
    <x v="2"/>
    <n v="3277"/>
  </r>
  <r>
    <x v="16"/>
    <s v="Endenergieverbrauch - Industriesektor - Chemie und Petrochemie - energetischer Verbrauch"/>
    <s v="Elektrizität"/>
    <s v="Gigawattstunde"/>
    <x v="14"/>
    <x v="2"/>
    <n v="3271"/>
  </r>
  <r>
    <x v="16"/>
    <s v="Endenergieverbrauch - Industriesektor - Chemie und Petrochemie - energetischer Verbrauch"/>
    <s v="Elektrizität"/>
    <s v="Gigawattstunde"/>
    <x v="15"/>
    <x v="2"/>
    <n v="3372"/>
  </r>
  <r>
    <x v="16"/>
    <s v="Endenergieverbrauch - Industriesektor - Chemie und Petrochemie - energetischer Verbrauch"/>
    <s v="Elektrizität"/>
    <s v="Gigawattstunde"/>
    <x v="16"/>
    <x v="2"/>
    <n v="3333"/>
  </r>
  <r>
    <x v="17"/>
    <s v="Endenergieverbrauch - Industriesektor - Chemie und Petrochemie - energetischer Verbrauch"/>
    <s v="Elektrizität"/>
    <s v="Gigawattstunde"/>
    <x v="0"/>
    <x v="2"/>
    <n v="0"/>
  </r>
  <r>
    <x v="17"/>
    <s v="Endenergieverbrauch - Industriesektor - Chemie und Petrochemie - energetischer Verbrauch"/>
    <s v="Elektrizität"/>
    <s v="Gigawattstunde"/>
    <x v="1"/>
    <x v="2"/>
    <n v="0"/>
  </r>
  <r>
    <x v="17"/>
    <s v="Endenergieverbrauch - Industriesektor - Chemie und Petrochemie - energetischer Verbrauch"/>
    <s v="Elektrizität"/>
    <s v="Gigawattstunde"/>
    <x v="2"/>
    <x v="2"/>
    <n v="0"/>
  </r>
  <r>
    <x v="17"/>
    <s v="Endenergieverbrauch - Industriesektor - Chemie und Petrochemie - energetischer Verbrauch"/>
    <s v="Elektrizität"/>
    <s v="Gigawattstunde"/>
    <x v="3"/>
    <x v="2"/>
    <n v="0"/>
  </r>
  <r>
    <x v="17"/>
    <s v="Endenergieverbrauch - Industriesektor - Chemie und Petrochemie - energetischer Verbrauch"/>
    <s v="Elektrizität"/>
    <s v="Gigawattstunde"/>
    <x v="4"/>
    <x v="2"/>
    <n v="0"/>
  </r>
  <r>
    <x v="17"/>
    <s v="Endenergieverbrauch - Industriesektor - Chemie und Petrochemie - energetischer Verbrauch"/>
    <s v="Elektrizität"/>
    <s v="Gigawattstunde"/>
    <x v="5"/>
    <x v="2"/>
    <n v="0"/>
  </r>
  <r>
    <x v="17"/>
    <s v="Endenergieverbrauch - Industriesektor - Chemie und Petrochemie - energetischer Verbrauch"/>
    <s v="Elektrizität"/>
    <s v="Gigawattstunde"/>
    <x v="6"/>
    <x v="2"/>
    <n v="0"/>
  </r>
  <r>
    <x v="17"/>
    <s v="Endenergieverbrauch - Industriesektor - Chemie und Petrochemie - energetischer Verbrauch"/>
    <s v="Elektrizität"/>
    <s v="Gigawattstunde"/>
    <x v="7"/>
    <x v="2"/>
    <n v="0"/>
  </r>
  <r>
    <x v="17"/>
    <s v="Endenergieverbrauch - Industriesektor - Chemie und Petrochemie - energetischer Verbrauch"/>
    <s v="Elektrizität"/>
    <s v="Gigawattstunde"/>
    <x v="8"/>
    <x v="2"/>
    <n v="38"/>
  </r>
  <r>
    <x v="17"/>
    <s v="Endenergieverbrauch - Industriesektor - Chemie und Petrochemie - energetischer Verbrauch"/>
    <s v="Elektrizität"/>
    <s v="Gigawattstunde"/>
    <x v="9"/>
    <x v="2"/>
    <n v="38"/>
  </r>
  <r>
    <x v="17"/>
    <s v="Endenergieverbrauch - Industriesektor - Chemie und Petrochemie - energetischer Verbrauch"/>
    <s v="Elektrizität"/>
    <s v="Gigawattstunde"/>
    <x v="10"/>
    <x v="2"/>
    <n v="40"/>
  </r>
  <r>
    <x v="17"/>
    <s v="Endenergieverbrauch - Industriesektor - Chemie und Petrochemie - energetischer Verbrauch"/>
    <s v="Elektrizität"/>
    <s v="Gigawattstunde"/>
    <x v="11"/>
    <x v="2"/>
    <n v="40"/>
  </r>
  <r>
    <x v="17"/>
    <s v="Endenergieverbrauch - Industriesektor - Chemie und Petrochemie - energetischer Verbrauch"/>
    <s v="Elektrizität"/>
    <s v="Gigawattstunde"/>
    <x v="12"/>
    <x v="2"/>
    <n v="41"/>
  </r>
  <r>
    <x v="17"/>
    <s v="Endenergieverbrauch - Industriesektor - Chemie und Petrochemie - energetischer Verbrauch"/>
    <s v="Elektrizität"/>
    <s v="Gigawattstunde"/>
    <x v="13"/>
    <x v="2"/>
    <n v="41"/>
  </r>
  <r>
    <x v="17"/>
    <s v="Endenergieverbrauch - Industriesektor - Chemie und Petrochemie - energetischer Verbrauch"/>
    <s v="Elektrizität"/>
    <s v="Gigawattstunde"/>
    <x v="14"/>
    <x v="2"/>
    <n v="45"/>
  </r>
  <r>
    <x v="17"/>
    <s v="Endenergieverbrauch - Industriesektor - Chemie und Petrochemie - energetischer Verbrauch"/>
    <s v="Elektrizität"/>
    <s v="Gigawattstunde"/>
    <x v="15"/>
    <x v="2"/>
    <n v="50.593000000000004"/>
  </r>
  <r>
    <x v="17"/>
    <s v="Endenergieverbrauch - Industriesektor - Chemie und Petrochemie - energetischer Verbrauch"/>
    <s v="Elektrizität"/>
    <s v="Gigawattstunde"/>
    <x v="16"/>
    <x v="2"/>
    <n v="47.232999999999997"/>
  </r>
  <r>
    <x v="18"/>
    <s v="Endenergieverbrauch - Industriesektor - Chemie und Petrochemie - energetischer Verbrauch"/>
    <s v="Elektrizität"/>
    <s v="Gigawattstunde"/>
    <x v="0"/>
    <x v="2"/>
    <n v="12198"/>
  </r>
  <r>
    <x v="18"/>
    <s v="Endenergieverbrauch - Industriesektor - Chemie und Petrochemie - energetischer Verbrauch"/>
    <s v="Elektrizität"/>
    <s v="Gigawattstunde"/>
    <x v="1"/>
    <x v="2"/>
    <n v="12228"/>
  </r>
  <r>
    <x v="18"/>
    <s v="Endenergieverbrauch - Industriesektor - Chemie und Petrochemie - energetischer Verbrauch"/>
    <s v="Elektrizität"/>
    <s v="Gigawattstunde"/>
    <x v="2"/>
    <x v="2"/>
    <n v="12385"/>
  </r>
  <r>
    <x v="18"/>
    <s v="Endenergieverbrauch - Industriesektor - Chemie und Petrochemie - energetischer Verbrauch"/>
    <s v="Elektrizität"/>
    <s v="Gigawattstunde"/>
    <x v="3"/>
    <x v="2"/>
    <n v="12626"/>
  </r>
  <r>
    <x v="18"/>
    <s v="Endenergieverbrauch - Industriesektor - Chemie und Petrochemie - energetischer Verbrauch"/>
    <s v="Elektrizität"/>
    <s v="Gigawattstunde"/>
    <x v="4"/>
    <x v="2"/>
    <n v="12863"/>
  </r>
  <r>
    <x v="18"/>
    <s v="Endenergieverbrauch - Industriesektor - Chemie und Petrochemie - energetischer Verbrauch"/>
    <s v="Elektrizität"/>
    <s v="Gigawattstunde"/>
    <x v="5"/>
    <x v="2"/>
    <n v="13160"/>
  </r>
  <r>
    <x v="18"/>
    <s v="Endenergieverbrauch - Industriesektor - Chemie und Petrochemie - energetischer Verbrauch"/>
    <s v="Elektrizität"/>
    <s v="Gigawattstunde"/>
    <x v="6"/>
    <x v="2"/>
    <n v="12520"/>
  </r>
  <r>
    <x v="18"/>
    <s v="Endenergieverbrauch - Industriesektor - Chemie und Petrochemie - energetischer Verbrauch"/>
    <s v="Elektrizität"/>
    <s v="Gigawattstunde"/>
    <x v="7"/>
    <x v="2"/>
    <n v="12324"/>
  </r>
  <r>
    <x v="18"/>
    <s v="Endenergieverbrauch - Industriesektor - Chemie und Petrochemie - energetischer Verbrauch"/>
    <s v="Elektrizität"/>
    <s v="Gigawattstunde"/>
    <x v="8"/>
    <x v="2"/>
    <n v="13218"/>
  </r>
  <r>
    <x v="18"/>
    <s v="Endenergieverbrauch - Industriesektor - Chemie und Petrochemie - energetischer Verbrauch"/>
    <s v="Elektrizität"/>
    <s v="Gigawattstunde"/>
    <x v="9"/>
    <x v="2"/>
    <n v="12990"/>
  </r>
  <r>
    <x v="18"/>
    <s v="Endenergieverbrauch - Industriesektor - Chemie und Petrochemie - energetischer Verbrauch"/>
    <s v="Elektrizität"/>
    <s v="Gigawattstunde"/>
    <x v="10"/>
    <x v="2"/>
    <n v="12484.800999999999"/>
  </r>
  <r>
    <x v="18"/>
    <s v="Endenergieverbrauch - Industriesektor - Chemie und Petrochemie - energetischer Verbrauch"/>
    <s v="Elektrizität"/>
    <s v="Gigawattstunde"/>
    <x v="11"/>
    <x v="2"/>
    <n v="12560.067999999999"/>
  </r>
  <r>
    <x v="18"/>
    <s v="Endenergieverbrauch - Industriesektor - Chemie und Petrochemie - energetischer Verbrauch"/>
    <s v="Elektrizität"/>
    <s v="Gigawattstunde"/>
    <x v="12"/>
    <x v="2"/>
    <n v="12202.724"/>
  </r>
  <r>
    <x v="18"/>
    <s v="Endenergieverbrauch - Industriesektor - Chemie und Petrochemie - energetischer Verbrauch"/>
    <s v="Elektrizität"/>
    <s v="Gigawattstunde"/>
    <x v="13"/>
    <x v="2"/>
    <n v="12371.800999999999"/>
  </r>
  <r>
    <x v="18"/>
    <s v="Endenergieverbrauch - Industriesektor - Chemie und Petrochemie - energetischer Verbrauch"/>
    <s v="Elektrizität"/>
    <s v="Gigawattstunde"/>
    <x v="14"/>
    <x v="2"/>
    <n v="12860.609"/>
  </r>
  <r>
    <x v="18"/>
    <s v="Endenergieverbrauch - Industriesektor - Chemie und Petrochemie - energetischer Verbrauch"/>
    <s v="Elektrizität"/>
    <s v="Gigawattstunde"/>
    <x v="15"/>
    <x v="2"/>
    <n v="12842.906999999999"/>
  </r>
  <r>
    <x v="18"/>
    <s v="Endenergieverbrauch - Industriesektor - Chemie und Petrochemie - energetischer Verbrauch"/>
    <s v="Elektrizität"/>
    <s v="Gigawattstunde"/>
    <x v="16"/>
    <x v="2"/>
    <n v="12925.1"/>
  </r>
  <r>
    <x v="19"/>
    <s v="Endenergieverbrauch - Industriesektor - Chemie und Petrochemie - energetischer Verbrauch"/>
    <s v="Elektrizität"/>
    <s v="Gigawattstunde"/>
    <x v="0"/>
    <x v="2"/>
    <n v="3337"/>
  </r>
  <r>
    <x v="19"/>
    <s v="Endenergieverbrauch - Industriesektor - Chemie und Petrochemie - energetischer Verbrauch"/>
    <s v="Elektrizität"/>
    <s v="Gigawattstunde"/>
    <x v="1"/>
    <x v="2"/>
    <n v="3360"/>
  </r>
  <r>
    <x v="19"/>
    <s v="Endenergieverbrauch - Industriesektor - Chemie und Petrochemie - energetischer Verbrauch"/>
    <s v="Elektrizität"/>
    <s v="Gigawattstunde"/>
    <x v="2"/>
    <x v="2"/>
    <n v="3540"/>
  </r>
  <r>
    <x v="19"/>
    <s v="Endenergieverbrauch - Industriesektor - Chemie und Petrochemie - energetischer Verbrauch"/>
    <s v="Elektrizität"/>
    <s v="Gigawattstunde"/>
    <x v="3"/>
    <x v="2"/>
    <n v="3569.8150000000001"/>
  </r>
  <r>
    <x v="19"/>
    <s v="Endenergieverbrauch - Industriesektor - Chemie und Petrochemie - energetischer Verbrauch"/>
    <s v="Elektrizität"/>
    <s v="Gigawattstunde"/>
    <x v="4"/>
    <x v="2"/>
    <n v="3687.9569999999999"/>
  </r>
  <r>
    <x v="19"/>
    <s v="Endenergieverbrauch - Industriesektor - Chemie und Petrochemie - energetischer Verbrauch"/>
    <s v="Elektrizität"/>
    <s v="Gigawattstunde"/>
    <x v="5"/>
    <x v="2"/>
    <n v="3865.489"/>
  </r>
  <r>
    <x v="19"/>
    <s v="Endenergieverbrauch - Industriesektor - Chemie und Petrochemie - energetischer Verbrauch"/>
    <s v="Elektrizität"/>
    <s v="Gigawattstunde"/>
    <x v="6"/>
    <x v="2"/>
    <n v="3901.0309999999999"/>
  </r>
  <r>
    <x v="19"/>
    <s v="Endenergieverbrauch - Industriesektor - Chemie und Petrochemie - energetischer Verbrauch"/>
    <s v="Elektrizität"/>
    <s v="Gigawattstunde"/>
    <x v="7"/>
    <x v="2"/>
    <n v="3944.5259999999998"/>
  </r>
  <r>
    <x v="19"/>
    <s v="Endenergieverbrauch - Industriesektor - Chemie und Petrochemie - energetischer Verbrauch"/>
    <s v="Elektrizität"/>
    <s v="Gigawattstunde"/>
    <x v="8"/>
    <x v="2"/>
    <n v="4270.8220000000001"/>
  </r>
  <r>
    <x v="19"/>
    <s v="Endenergieverbrauch - Industriesektor - Chemie und Petrochemie - energetischer Verbrauch"/>
    <s v="Elektrizität"/>
    <s v="Gigawattstunde"/>
    <x v="9"/>
    <x v="2"/>
    <n v="4267.4480000000003"/>
  </r>
  <r>
    <x v="19"/>
    <s v="Endenergieverbrauch - Industriesektor - Chemie und Petrochemie - energetischer Verbrauch"/>
    <s v="Elektrizität"/>
    <s v="Gigawattstunde"/>
    <x v="10"/>
    <x v="2"/>
    <n v="4368.8029999999999"/>
  </r>
  <r>
    <x v="19"/>
    <s v="Endenergieverbrauch - Industriesektor - Chemie und Petrochemie - energetischer Verbrauch"/>
    <s v="Elektrizität"/>
    <s v="Gigawattstunde"/>
    <x v="11"/>
    <x v="2"/>
    <n v="4290.2370000000001"/>
  </r>
  <r>
    <x v="19"/>
    <s v="Endenergieverbrauch - Industriesektor - Chemie und Petrochemie - energetischer Verbrauch"/>
    <s v="Elektrizität"/>
    <s v="Gigawattstunde"/>
    <x v="12"/>
    <x v="2"/>
    <n v="4396.5209999999997"/>
  </r>
  <r>
    <x v="19"/>
    <s v="Endenergieverbrauch - Industriesektor - Chemie und Petrochemie - energetischer Verbrauch"/>
    <s v="Elektrizität"/>
    <s v="Gigawattstunde"/>
    <x v="13"/>
    <x v="2"/>
    <n v="4541.8559999999998"/>
  </r>
  <r>
    <x v="19"/>
    <s v="Endenergieverbrauch - Industriesektor - Chemie und Petrochemie - energetischer Verbrauch"/>
    <s v="Elektrizität"/>
    <s v="Gigawattstunde"/>
    <x v="14"/>
    <x v="2"/>
    <n v="4815.6570000000002"/>
  </r>
  <r>
    <x v="19"/>
    <s v="Endenergieverbrauch - Industriesektor - Chemie und Petrochemie - energetischer Verbrauch"/>
    <s v="Elektrizität"/>
    <s v="Gigawattstunde"/>
    <x v="15"/>
    <x v="2"/>
    <n v="4736.1279999999997"/>
  </r>
  <r>
    <x v="19"/>
    <s v="Endenergieverbrauch - Industriesektor - Chemie und Petrochemie - energetischer Verbrauch"/>
    <s v="Elektrizität"/>
    <s v="Gigawattstunde"/>
    <x v="16"/>
    <x v="2"/>
    <n v="4634.7719999999999"/>
  </r>
  <r>
    <x v="20"/>
    <s v="Endenergieverbrauch - Industriesektor - Chemie und Petrochemie - energetischer Verbrauch"/>
    <s v="Elektrizität"/>
    <s v="Gigawattstunde"/>
    <x v="0"/>
    <x v="2"/>
    <n v="7473"/>
  </r>
  <r>
    <x v="20"/>
    <s v="Endenergieverbrauch - Industriesektor - Chemie und Petrochemie - energetischer Verbrauch"/>
    <s v="Elektrizität"/>
    <s v="Gigawattstunde"/>
    <x v="1"/>
    <x v="2"/>
    <n v="8089"/>
  </r>
  <r>
    <x v="20"/>
    <s v="Endenergieverbrauch - Industriesektor - Chemie und Petrochemie - energetischer Verbrauch"/>
    <s v="Elektrizität"/>
    <s v="Gigawattstunde"/>
    <x v="2"/>
    <x v="2"/>
    <n v="8212"/>
  </r>
  <r>
    <x v="20"/>
    <s v="Endenergieverbrauch - Industriesektor - Chemie und Petrochemie - energetischer Verbrauch"/>
    <s v="Elektrizität"/>
    <s v="Gigawattstunde"/>
    <x v="3"/>
    <x v="2"/>
    <n v="7905"/>
  </r>
  <r>
    <x v="20"/>
    <s v="Endenergieverbrauch - Industriesektor - Chemie und Petrochemie - energetischer Verbrauch"/>
    <s v="Elektrizität"/>
    <s v="Gigawattstunde"/>
    <x v="4"/>
    <x v="2"/>
    <n v="8424"/>
  </r>
  <r>
    <x v="20"/>
    <s v="Endenergieverbrauch - Industriesektor - Chemie und Petrochemie - energetischer Verbrauch"/>
    <s v="Elektrizität"/>
    <s v="Gigawattstunde"/>
    <x v="5"/>
    <x v="2"/>
    <n v="8442"/>
  </r>
  <r>
    <x v="20"/>
    <s v="Endenergieverbrauch - Industriesektor - Chemie und Petrochemie - energetischer Verbrauch"/>
    <s v="Elektrizität"/>
    <s v="Gigawattstunde"/>
    <x v="6"/>
    <x v="2"/>
    <n v="8033"/>
  </r>
  <r>
    <x v="20"/>
    <s v="Endenergieverbrauch - Industriesektor - Chemie und Petrochemie - energetischer Verbrauch"/>
    <s v="Elektrizität"/>
    <s v="Gigawattstunde"/>
    <x v="7"/>
    <x v="2"/>
    <n v="7630"/>
  </r>
  <r>
    <x v="20"/>
    <s v="Endenergieverbrauch - Industriesektor - Chemie und Petrochemie - energetischer Verbrauch"/>
    <s v="Elektrizität"/>
    <s v="Gigawattstunde"/>
    <x v="8"/>
    <x v="2"/>
    <n v="7181"/>
  </r>
  <r>
    <x v="20"/>
    <s v="Endenergieverbrauch - Industriesektor - Chemie und Petrochemie - energetischer Verbrauch"/>
    <s v="Elektrizität"/>
    <s v="Gigawattstunde"/>
    <x v="9"/>
    <x v="2"/>
    <n v="7785"/>
  </r>
  <r>
    <x v="20"/>
    <s v="Endenergieverbrauch - Industriesektor - Chemie und Petrochemie - energetischer Verbrauch"/>
    <s v="Elektrizität"/>
    <s v="Gigawattstunde"/>
    <x v="10"/>
    <x v="2"/>
    <n v="8133"/>
  </r>
  <r>
    <x v="20"/>
    <s v="Endenergieverbrauch - Industriesektor - Chemie und Petrochemie - energetischer Verbrauch"/>
    <s v="Elektrizität"/>
    <s v="Gigawattstunde"/>
    <x v="11"/>
    <x v="2"/>
    <n v="8312"/>
  </r>
  <r>
    <x v="20"/>
    <s v="Endenergieverbrauch - Industriesektor - Chemie und Petrochemie - energetischer Verbrauch"/>
    <s v="Elektrizität"/>
    <s v="Gigawattstunde"/>
    <x v="12"/>
    <x v="2"/>
    <n v="8159"/>
  </r>
  <r>
    <x v="20"/>
    <s v="Endenergieverbrauch - Industriesektor - Chemie und Petrochemie - energetischer Verbrauch"/>
    <s v="Elektrizität"/>
    <s v="Gigawattstunde"/>
    <x v="13"/>
    <x v="2"/>
    <n v="8366"/>
  </r>
  <r>
    <x v="20"/>
    <s v="Endenergieverbrauch - Industriesektor - Chemie und Petrochemie - energetischer Verbrauch"/>
    <s v="Elektrizität"/>
    <s v="Gigawattstunde"/>
    <x v="14"/>
    <x v="2"/>
    <n v="8303"/>
  </r>
  <r>
    <x v="20"/>
    <s v="Endenergieverbrauch - Industriesektor - Chemie und Petrochemie - energetischer Verbrauch"/>
    <s v="Elektrizität"/>
    <s v="Gigawattstunde"/>
    <x v="15"/>
    <x v="2"/>
    <n v="8733.7189999999991"/>
  </r>
  <r>
    <x v="20"/>
    <s v="Endenergieverbrauch - Industriesektor - Chemie und Petrochemie - energetischer Verbrauch"/>
    <s v="Elektrizität"/>
    <s v="Gigawattstunde"/>
    <x v="16"/>
    <x v="2"/>
    <n v="8867.232"/>
  </r>
  <r>
    <x v="21"/>
    <s v="Endenergieverbrauch - Industriesektor - Chemie und Petrochemie - energetischer Verbrauch"/>
    <s v="Elektrizität"/>
    <s v="Gigawattstunde"/>
    <x v="0"/>
    <x v="2"/>
    <n v="2331"/>
  </r>
  <r>
    <x v="21"/>
    <s v="Endenergieverbrauch - Industriesektor - Chemie und Petrochemie - energetischer Verbrauch"/>
    <s v="Elektrizität"/>
    <s v="Gigawattstunde"/>
    <x v="1"/>
    <x v="2"/>
    <n v="2480"/>
  </r>
  <r>
    <x v="21"/>
    <s v="Endenergieverbrauch - Industriesektor - Chemie und Petrochemie - energetischer Verbrauch"/>
    <s v="Elektrizität"/>
    <s v="Gigawattstunde"/>
    <x v="2"/>
    <x v="2"/>
    <n v="2555"/>
  </r>
  <r>
    <x v="21"/>
    <s v="Endenergieverbrauch - Industriesektor - Chemie und Petrochemie - energetischer Verbrauch"/>
    <s v="Elektrizität"/>
    <s v="Gigawattstunde"/>
    <x v="3"/>
    <x v="2"/>
    <n v="2561"/>
  </r>
  <r>
    <x v="21"/>
    <s v="Endenergieverbrauch - Industriesektor - Chemie und Petrochemie - energetischer Verbrauch"/>
    <s v="Elektrizität"/>
    <s v="Gigawattstunde"/>
    <x v="4"/>
    <x v="2"/>
    <n v="2637"/>
  </r>
  <r>
    <x v="21"/>
    <s v="Endenergieverbrauch - Industriesektor - Chemie und Petrochemie - energetischer Verbrauch"/>
    <s v="Elektrizität"/>
    <s v="Gigawattstunde"/>
    <x v="5"/>
    <x v="2"/>
    <n v="2679"/>
  </r>
  <r>
    <x v="21"/>
    <s v="Endenergieverbrauch - Industriesektor - Chemie und Petrochemie - energetischer Verbrauch"/>
    <s v="Elektrizität"/>
    <s v="Gigawattstunde"/>
    <x v="6"/>
    <x v="2"/>
    <n v="2509"/>
  </r>
  <r>
    <x v="21"/>
    <s v="Endenergieverbrauch - Industriesektor - Chemie und Petrochemie - energetischer Verbrauch"/>
    <s v="Elektrizität"/>
    <s v="Gigawattstunde"/>
    <x v="7"/>
    <x v="2"/>
    <n v="2172"/>
  </r>
  <r>
    <x v="21"/>
    <s v="Endenergieverbrauch - Industriesektor - Chemie und Petrochemie - energetischer Verbrauch"/>
    <s v="Elektrizität"/>
    <s v="Gigawattstunde"/>
    <x v="8"/>
    <x v="2"/>
    <n v="2491"/>
  </r>
  <r>
    <x v="21"/>
    <s v="Endenergieverbrauch - Industriesektor - Chemie und Petrochemie - energetischer Verbrauch"/>
    <s v="Elektrizität"/>
    <s v="Gigawattstunde"/>
    <x v="9"/>
    <x v="2"/>
    <n v="2401"/>
  </r>
  <r>
    <x v="21"/>
    <s v="Endenergieverbrauch - Industriesektor - Chemie und Petrochemie - energetischer Verbrauch"/>
    <s v="Elektrizität"/>
    <s v="Gigawattstunde"/>
    <x v="10"/>
    <x v="2"/>
    <n v="2294"/>
  </r>
  <r>
    <x v="21"/>
    <s v="Endenergieverbrauch - Industriesektor - Chemie und Petrochemie - energetischer Verbrauch"/>
    <s v="Elektrizität"/>
    <s v="Gigawattstunde"/>
    <x v="11"/>
    <x v="2"/>
    <n v="2289"/>
  </r>
  <r>
    <x v="21"/>
    <s v="Endenergieverbrauch - Industriesektor - Chemie und Petrochemie - energetischer Verbrauch"/>
    <s v="Elektrizität"/>
    <s v="Gigawattstunde"/>
    <x v="12"/>
    <x v="2"/>
    <n v="2116"/>
  </r>
  <r>
    <x v="21"/>
    <s v="Endenergieverbrauch - Industriesektor - Chemie und Petrochemie - energetischer Verbrauch"/>
    <s v="Elektrizität"/>
    <s v="Gigawattstunde"/>
    <x v="13"/>
    <x v="2"/>
    <n v="2119"/>
  </r>
  <r>
    <x v="21"/>
    <s v="Endenergieverbrauch - Industriesektor - Chemie und Petrochemie - energetischer Verbrauch"/>
    <s v="Elektrizität"/>
    <s v="Gigawattstunde"/>
    <x v="14"/>
    <x v="2"/>
    <n v="2310.0419999999999"/>
  </r>
  <r>
    <x v="21"/>
    <s v="Endenergieverbrauch - Industriesektor - Chemie und Petrochemie - energetischer Verbrauch"/>
    <s v="Elektrizität"/>
    <s v="Gigawattstunde"/>
    <x v="15"/>
    <x v="2"/>
    <n v="2375.1109999999999"/>
  </r>
  <r>
    <x v="21"/>
    <s v="Endenergieverbrauch - Industriesektor - Chemie und Petrochemie - energetischer Verbrauch"/>
    <s v="Elektrizität"/>
    <s v="Gigawattstunde"/>
    <x v="16"/>
    <x v="2"/>
    <n v="2382.5909999999999"/>
  </r>
  <r>
    <x v="22"/>
    <s v="Endenergieverbrauch - Industriesektor - Chemie und Petrochemie - energetischer Verbrauch"/>
    <s v="Elektrizität"/>
    <s v="Gigawattstunde"/>
    <x v="0"/>
    <x v="2"/>
    <n v="3859"/>
  </r>
  <r>
    <x v="22"/>
    <s v="Endenergieverbrauch - Industriesektor - Chemie und Petrochemie - energetischer Verbrauch"/>
    <s v="Elektrizität"/>
    <s v="Gigawattstunde"/>
    <x v="1"/>
    <x v="2"/>
    <n v="3696"/>
  </r>
  <r>
    <x v="22"/>
    <s v="Endenergieverbrauch - Industriesektor - Chemie und Petrochemie - energetischer Verbrauch"/>
    <s v="Elektrizität"/>
    <s v="Gigawattstunde"/>
    <x v="2"/>
    <x v="2"/>
    <n v="3526"/>
  </r>
  <r>
    <x v="22"/>
    <s v="Endenergieverbrauch - Industriesektor - Chemie und Petrochemie - energetischer Verbrauch"/>
    <s v="Elektrizität"/>
    <s v="Gigawattstunde"/>
    <x v="3"/>
    <x v="2"/>
    <n v="3417"/>
  </r>
  <r>
    <x v="22"/>
    <s v="Endenergieverbrauch - Industriesektor - Chemie und Petrochemie - energetischer Verbrauch"/>
    <s v="Elektrizität"/>
    <s v="Gigawattstunde"/>
    <x v="4"/>
    <x v="2"/>
    <n v="4320"/>
  </r>
  <r>
    <x v="22"/>
    <s v="Endenergieverbrauch - Industriesektor - Chemie und Petrochemie - energetischer Verbrauch"/>
    <s v="Elektrizität"/>
    <s v="Gigawattstunde"/>
    <x v="5"/>
    <x v="2"/>
    <n v="3734"/>
  </r>
  <r>
    <x v="22"/>
    <s v="Endenergieverbrauch - Industriesektor - Chemie und Petrochemie - energetischer Verbrauch"/>
    <s v="Elektrizität"/>
    <s v="Gigawattstunde"/>
    <x v="6"/>
    <x v="2"/>
    <n v="3916"/>
  </r>
  <r>
    <x v="22"/>
    <s v="Endenergieverbrauch - Industriesektor - Chemie und Petrochemie - energetischer Verbrauch"/>
    <s v="Elektrizität"/>
    <s v="Gigawattstunde"/>
    <x v="7"/>
    <x v="2"/>
    <n v="3299"/>
  </r>
  <r>
    <x v="22"/>
    <s v="Endenergieverbrauch - Industriesektor - Chemie und Petrochemie - energetischer Verbrauch"/>
    <s v="Elektrizität"/>
    <s v="Gigawattstunde"/>
    <x v="8"/>
    <x v="2"/>
    <n v="3468"/>
  </r>
  <r>
    <x v="22"/>
    <s v="Endenergieverbrauch - Industriesektor - Chemie und Petrochemie - energetischer Verbrauch"/>
    <s v="Elektrizität"/>
    <s v="Gigawattstunde"/>
    <x v="9"/>
    <x v="2"/>
    <n v="3876"/>
  </r>
  <r>
    <x v="22"/>
    <s v="Endenergieverbrauch - Industriesektor - Chemie und Petrochemie - energetischer Verbrauch"/>
    <s v="Elektrizität"/>
    <s v="Gigawattstunde"/>
    <x v="10"/>
    <x v="2"/>
    <n v="3647"/>
  </r>
  <r>
    <x v="22"/>
    <s v="Endenergieverbrauch - Industriesektor - Chemie und Petrochemie - energetischer Verbrauch"/>
    <s v="Elektrizität"/>
    <s v="Gigawattstunde"/>
    <x v="11"/>
    <x v="2"/>
    <n v="2998"/>
  </r>
  <r>
    <x v="22"/>
    <s v="Endenergieverbrauch - Industriesektor - Chemie und Petrochemie - energetischer Verbrauch"/>
    <s v="Elektrizität"/>
    <s v="Gigawattstunde"/>
    <x v="12"/>
    <x v="2"/>
    <n v="3314"/>
  </r>
  <r>
    <x v="22"/>
    <s v="Endenergieverbrauch - Industriesektor - Chemie und Petrochemie - energetischer Verbrauch"/>
    <s v="Elektrizität"/>
    <s v="Gigawattstunde"/>
    <x v="13"/>
    <x v="2"/>
    <n v="3096"/>
  </r>
  <r>
    <x v="22"/>
    <s v="Endenergieverbrauch - Industriesektor - Chemie und Petrochemie - energetischer Verbrauch"/>
    <s v="Elektrizität"/>
    <s v="Gigawattstunde"/>
    <x v="14"/>
    <x v="2"/>
    <n v="3010"/>
  </r>
  <r>
    <x v="22"/>
    <s v="Endenergieverbrauch - Industriesektor - Chemie und Petrochemie - energetischer Verbrauch"/>
    <s v="Elektrizität"/>
    <s v="Gigawattstunde"/>
    <x v="15"/>
    <x v="2"/>
    <n v="3096.7449999999999"/>
  </r>
  <r>
    <x v="22"/>
    <s v="Endenergieverbrauch - Industriesektor - Chemie und Petrochemie - energetischer Verbrauch"/>
    <s v="Elektrizität"/>
    <s v="Gigawattstunde"/>
    <x v="16"/>
    <x v="2"/>
    <n v="3240.2530000000002"/>
  </r>
  <r>
    <x v="23"/>
    <s v="Endenergieverbrauch - Industriesektor - Chemie und Petrochemie - energetischer Verbrauch"/>
    <s v="Elektrizität"/>
    <s v="Gigawattstunde"/>
    <x v="0"/>
    <x v="2"/>
    <n v="479"/>
  </r>
  <r>
    <x v="23"/>
    <s v="Endenergieverbrauch - Industriesektor - Chemie und Petrochemie - energetischer Verbrauch"/>
    <s v="Elektrizität"/>
    <s v="Gigawattstunde"/>
    <x v="1"/>
    <x v="2"/>
    <n v="897"/>
  </r>
  <r>
    <x v="23"/>
    <s v="Endenergieverbrauch - Industriesektor - Chemie und Petrochemie - energetischer Verbrauch"/>
    <s v="Elektrizität"/>
    <s v="Gigawattstunde"/>
    <x v="2"/>
    <x v="2"/>
    <n v="903"/>
  </r>
  <r>
    <x v="23"/>
    <s v="Endenergieverbrauch - Industriesektor - Chemie und Petrochemie - energetischer Verbrauch"/>
    <s v="Elektrizität"/>
    <s v="Gigawattstunde"/>
    <x v="3"/>
    <x v="2"/>
    <n v="852"/>
  </r>
  <r>
    <x v="23"/>
    <s v="Endenergieverbrauch - Industriesektor - Chemie und Petrochemie - energetischer Verbrauch"/>
    <s v="Elektrizität"/>
    <s v="Gigawattstunde"/>
    <x v="4"/>
    <x v="2"/>
    <n v="832"/>
  </r>
  <r>
    <x v="23"/>
    <s v="Endenergieverbrauch - Industriesektor - Chemie und Petrochemie - energetischer Verbrauch"/>
    <s v="Elektrizität"/>
    <s v="Gigawattstunde"/>
    <x v="5"/>
    <x v="2"/>
    <n v="900"/>
  </r>
  <r>
    <x v="23"/>
    <s v="Endenergieverbrauch - Industriesektor - Chemie und Petrochemie - energetischer Verbrauch"/>
    <s v="Elektrizität"/>
    <s v="Gigawattstunde"/>
    <x v="6"/>
    <x v="2"/>
    <n v="621"/>
  </r>
  <r>
    <x v="23"/>
    <s v="Endenergieverbrauch - Industriesektor - Chemie und Petrochemie - energetischer Verbrauch"/>
    <s v="Elektrizität"/>
    <s v="Gigawattstunde"/>
    <x v="7"/>
    <x v="2"/>
    <n v="615"/>
  </r>
  <r>
    <x v="23"/>
    <s v="Endenergieverbrauch - Industriesektor - Chemie und Petrochemie - energetischer Verbrauch"/>
    <s v="Elektrizität"/>
    <s v="Gigawattstunde"/>
    <x v="8"/>
    <x v="2"/>
    <n v="662"/>
  </r>
  <r>
    <x v="23"/>
    <s v="Endenergieverbrauch - Industriesektor - Chemie und Petrochemie - energetischer Verbrauch"/>
    <s v="Elektrizität"/>
    <s v="Gigawattstunde"/>
    <x v="9"/>
    <x v="2"/>
    <n v="647"/>
  </r>
  <r>
    <x v="23"/>
    <s v="Endenergieverbrauch - Industriesektor - Chemie und Petrochemie - energetischer Verbrauch"/>
    <s v="Elektrizität"/>
    <s v="Gigawattstunde"/>
    <x v="10"/>
    <x v="2"/>
    <n v="648"/>
  </r>
  <r>
    <x v="23"/>
    <s v="Endenergieverbrauch - Industriesektor - Chemie und Petrochemie - energetischer Verbrauch"/>
    <s v="Elektrizität"/>
    <s v="Gigawattstunde"/>
    <x v="11"/>
    <x v="2"/>
    <n v="621"/>
  </r>
  <r>
    <x v="23"/>
    <s v="Endenergieverbrauch - Industriesektor - Chemie und Petrochemie - energetischer Verbrauch"/>
    <s v="Elektrizität"/>
    <s v="Gigawattstunde"/>
    <x v="12"/>
    <x v="2"/>
    <n v="662"/>
  </r>
  <r>
    <x v="23"/>
    <s v="Endenergieverbrauch - Industriesektor - Chemie und Petrochemie - energetischer Verbrauch"/>
    <s v="Elektrizität"/>
    <s v="Gigawattstunde"/>
    <x v="13"/>
    <x v="2"/>
    <n v="678"/>
  </r>
  <r>
    <x v="23"/>
    <s v="Endenergieverbrauch - Industriesektor - Chemie und Petrochemie - energetischer Verbrauch"/>
    <s v="Elektrizität"/>
    <s v="Gigawattstunde"/>
    <x v="14"/>
    <x v="2"/>
    <n v="677"/>
  </r>
  <r>
    <x v="23"/>
    <s v="Endenergieverbrauch - Industriesektor - Chemie und Petrochemie - energetischer Verbrauch"/>
    <s v="Elektrizität"/>
    <s v="Gigawattstunde"/>
    <x v="15"/>
    <x v="2"/>
    <n v="692.81799999999998"/>
  </r>
  <r>
    <x v="23"/>
    <s v="Endenergieverbrauch - Industriesektor - Chemie und Petrochemie - energetischer Verbrauch"/>
    <s v="Elektrizität"/>
    <s v="Gigawattstunde"/>
    <x v="16"/>
    <x v="2"/>
    <n v="641.35599999999999"/>
  </r>
  <r>
    <x v="24"/>
    <s v="Endenergieverbrauch - Industriesektor - Chemie und Petrochemie - energetischer Verbrauch"/>
    <s v="Elektrizität"/>
    <s v="Gigawattstunde"/>
    <x v="0"/>
    <x v="2"/>
    <n v="1415"/>
  </r>
  <r>
    <x v="24"/>
    <s v="Endenergieverbrauch - Industriesektor - Chemie und Petrochemie - energetischer Verbrauch"/>
    <s v="Elektrizität"/>
    <s v="Gigawattstunde"/>
    <x v="1"/>
    <x v="2"/>
    <n v="1460"/>
  </r>
  <r>
    <x v="24"/>
    <s v="Endenergieverbrauch - Industriesektor - Chemie und Petrochemie - energetischer Verbrauch"/>
    <s v="Elektrizität"/>
    <s v="Gigawattstunde"/>
    <x v="2"/>
    <x v="2"/>
    <n v="1406"/>
  </r>
  <r>
    <x v="24"/>
    <s v="Endenergieverbrauch - Industriesektor - Chemie und Petrochemie - energetischer Verbrauch"/>
    <s v="Elektrizität"/>
    <s v="Gigawattstunde"/>
    <x v="3"/>
    <x v="2"/>
    <n v="1699"/>
  </r>
  <r>
    <x v="24"/>
    <s v="Endenergieverbrauch - Industriesektor - Chemie und Petrochemie - energetischer Verbrauch"/>
    <s v="Elektrizität"/>
    <s v="Gigawattstunde"/>
    <x v="4"/>
    <x v="2"/>
    <n v="1797"/>
  </r>
  <r>
    <x v="24"/>
    <s v="Endenergieverbrauch - Industriesektor - Chemie und Petrochemie - energetischer Verbrauch"/>
    <s v="Elektrizität"/>
    <s v="Gigawattstunde"/>
    <x v="5"/>
    <x v="2"/>
    <n v="1774"/>
  </r>
  <r>
    <x v="24"/>
    <s v="Endenergieverbrauch - Industriesektor - Chemie und Petrochemie - energetischer Verbrauch"/>
    <s v="Elektrizität"/>
    <s v="Gigawattstunde"/>
    <x v="6"/>
    <x v="2"/>
    <n v="1564"/>
  </r>
  <r>
    <x v="24"/>
    <s v="Endenergieverbrauch - Industriesektor - Chemie und Petrochemie - energetischer Verbrauch"/>
    <s v="Elektrizität"/>
    <s v="Gigawattstunde"/>
    <x v="7"/>
    <x v="2"/>
    <n v="1387"/>
  </r>
  <r>
    <x v="24"/>
    <s v="Endenergieverbrauch - Industriesektor - Chemie und Petrochemie - energetischer Verbrauch"/>
    <s v="Elektrizität"/>
    <s v="Gigawattstunde"/>
    <x v="8"/>
    <x v="2"/>
    <n v="804"/>
  </r>
  <r>
    <x v="24"/>
    <s v="Endenergieverbrauch - Industriesektor - Chemie und Petrochemie - energetischer Verbrauch"/>
    <s v="Elektrizität"/>
    <s v="Gigawattstunde"/>
    <x v="9"/>
    <x v="2"/>
    <n v="917"/>
  </r>
  <r>
    <x v="24"/>
    <s v="Endenergieverbrauch - Industriesektor - Chemie und Petrochemie - energetischer Verbrauch"/>
    <s v="Elektrizität"/>
    <s v="Gigawattstunde"/>
    <x v="10"/>
    <x v="2"/>
    <n v="1403"/>
  </r>
  <r>
    <x v="24"/>
    <s v="Endenergieverbrauch - Industriesektor - Chemie und Petrochemie - energetischer Verbrauch"/>
    <s v="Elektrizität"/>
    <s v="Gigawattstunde"/>
    <x v="11"/>
    <x v="2"/>
    <n v="1347"/>
  </r>
  <r>
    <x v="24"/>
    <s v="Endenergieverbrauch - Industriesektor - Chemie und Petrochemie - energetischer Verbrauch"/>
    <s v="Elektrizität"/>
    <s v="Gigawattstunde"/>
    <x v="12"/>
    <x v="2"/>
    <n v="1203"/>
  </r>
  <r>
    <x v="24"/>
    <s v="Endenergieverbrauch - Industriesektor - Chemie und Petrochemie - energetischer Verbrauch"/>
    <s v="Elektrizität"/>
    <s v="Gigawattstunde"/>
    <x v="13"/>
    <x v="2"/>
    <n v="1312"/>
  </r>
  <r>
    <x v="24"/>
    <s v="Endenergieverbrauch - Industriesektor - Chemie und Petrochemie - energetischer Verbrauch"/>
    <s v="Elektrizität"/>
    <s v="Gigawattstunde"/>
    <x v="14"/>
    <x v="2"/>
    <n v="1264"/>
  </r>
  <r>
    <x v="24"/>
    <s v="Endenergieverbrauch - Industriesektor - Chemie und Petrochemie - energetischer Verbrauch"/>
    <s v="Elektrizität"/>
    <s v="Gigawattstunde"/>
    <x v="15"/>
    <x v="2"/>
    <n v="1108"/>
  </r>
  <r>
    <x v="24"/>
    <s v="Endenergieverbrauch - Industriesektor - Chemie und Petrochemie - energetischer Verbrauch"/>
    <s v="Elektrizität"/>
    <s v="Gigawattstunde"/>
    <x v="16"/>
    <x v="2"/>
    <n v="961"/>
  </r>
  <r>
    <x v="25"/>
    <s v="Endenergieverbrauch - Industriesektor - Chemie und Petrochemie - energetischer Verbrauch"/>
    <s v="Elektrizität"/>
    <s v="Gigawattstunde"/>
    <x v="0"/>
    <x v="2"/>
    <n v="4568"/>
  </r>
  <r>
    <x v="25"/>
    <s v="Endenergieverbrauch - Industriesektor - Chemie und Petrochemie - energetischer Verbrauch"/>
    <s v="Elektrizität"/>
    <s v="Gigawattstunde"/>
    <x v="1"/>
    <x v="2"/>
    <n v="4621"/>
  </r>
  <r>
    <x v="25"/>
    <s v="Endenergieverbrauch - Industriesektor - Chemie und Petrochemie - energetischer Verbrauch"/>
    <s v="Elektrizität"/>
    <s v="Gigawattstunde"/>
    <x v="2"/>
    <x v="2"/>
    <n v="4770"/>
  </r>
  <r>
    <x v="25"/>
    <s v="Endenergieverbrauch - Industriesektor - Chemie und Petrochemie - energetischer Verbrauch"/>
    <s v="Elektrizität"/>
    <s v="Gigawattstunde"/>
    <x v="3"/>
    <x v="2"/>
    <n v="4619"/>
  </r>
  <r>
    <x v="25"/>
    <s v="Endenergieverbrauch - Industriesektor - Chemie und Petrochemie - energetischer Verbrauch"/>
    <s v="Elektrizität"/>
    <s v="Gigawattstunde"/>
    <x v="4"/>
    <x v="2"/>
    <n v="4878"/>
  </r>
  <r>
    <x v="25"/>
    <s v="Endenergieverbrauch - Industriesektor - Chemie und Petrochemie - energetischer Verbrauch"/>
    <s v="Elektrizität"/>
    <s v="Gigawattstunde"/>
    <x v="5"/>
    <x v="2"/>
    <n v="5064"/>
  </r>
  <r>
    <x v="25"/>
    <s v="Endenergieverbrauch - Industriesektor - Chemie und Petrochemie - energetischer Verbrauch"/>
    <s v="Elektrizität"/>
    <s v="Gigawattstunde"/>
    <x v="6"/>
    <x v="2"/>
    <n v="4768"/>
  </r>
  <r>
    <x v="25"/>
    <s v="Endenergieverbrauch - Industriesektor - Chemie und Petrochemie - energetischer Verbrauch"/>
    <s v="Elektrizität"/>
    <s v="Gigawattstunde"/>
    <x v="7"/>
    <x v="2"/>
    <n v="4299"/>
  </r>
  <r>
    <x v="25"/>
    <s v="Endenergieverbrauch - Industriesektor - Chemie und Petrochemie - energetischer Verbrauch"/>
    <s v="Elektrizität"/>
    <s v="Gigawattstunde"/>
    <x v="8"/>
    <x v="2"/>
    <n v="4595"/>
  </r>
  <r>
    <x v="25"/>
    <s v="Endenergieverbrauch - Industriesektor - Chemie und Petrochemie - energetischer Verbrauch"/>
    <s v="Elektrizität"/>
    <s v="Gigawattstunde"/>
    <x v="9"/>
    <x v="2"/>
    <n v="4745"/>
  </r>
  <r>
    <x v="25"/>
    <s v="Endenergieverbrauch - Industriesektor - Chemie und Petrochemie - energetischer Verbrauch"/>
    <s v="Elektrizität"/>
    <s v="Gigawattstunde"/>
    <x v="10"/>
    <x v="2"/>
    <n v="4637"/>
  </r>
  <r>
    <x v="25"/>
    <s v="Endenergieverbrauch - Industriesektor - Chemie und Petrochemie - energetischer Verbrauch"/>
    <s v="Elektrizität"/>
    <s v="Gigawattstunde"/>
    <x v="11"/>
    <x v="2"/>
    <n v="4751"/>
  </r>
  <r>
    <x v="25"/>
    <s v="Endenergieverbrauch - Industriesektor - Chemie und Petrochemie - energetischer Verbrauch"/>
    <s v="Elektrizität"/>
    <s v="Gigawattstunde"/>
    <x v="12"/>
    <x v="2"/>
    <n v="4679"/>
  </r>
  <r>
    <x v="25"/>
    <s v="Endenergieverbrauch - Industriesektor - Chemie und Petrochemie - energetischer Verbrauch"/>
    <s v="Elektrizität"/>
    <s v="Gigawattstunde"/>
    <x v="13"/>
    <x v="2"/>
    <n v="4695"/>
  </r>
  <r>
    <x v="25"/>
    <s v="Endenergieverbrauch - Industriesektor - Chemie und Petrochemie - energetischer Verbrauch"/>
    <s v="Elektrizität"/>
    <s v="Gigawattstunde"/>
    <x v="14"/>
    <x v="2"/>
    <n v="5004"/>
  </r>
  <r>
    <x v="25"/>
    <s v="Endenergieverbrauch - Industriesektor - Chemie und Petrochemie - energetischer Verbrauch"/>
    <s v="Elektrizität"/>
    <s v="Gigawattstunde"/>
    <x v="15"/>
    <x v="2"/>
    <n v="4614"/>
  </r>
  <r>
    <x v="25"/>
    <s v="Endenergieverbrauch - Industriesektor - Chemie und Petrochemie - energetischer Verbrauch"/>
    <s v="Elektrizität"/>
    <s v="Gigawattstunde"/>
    <x v="16"/>
    <x v="2"/>
    <n v="4887"/>
  </r>
  <r>
    <x v="26"/>
    <s v="Endenergieverbrauch - Industriesektor - Chemie und Petrochemie - energetischer Verbrauch"/>
    <s v="Elektrizität"/>
    <s v="Gigawattstunde"/>
    <x v="0"/>
    <x v="2"/>
    <n v="5560"/>
  </r>
  <r>
    <x v="26"/>
    <s v="Endenergieverbrauch - Industriesektor - Chemie und Petrochemie - energetischer Verbrauch"/>
    <s v="Elektrizität"/>
    <s v="Gigawattstunde"/>
    <x v="1"/>
    <x v="2"/>
    <n v="6663"/>
  </r>
  <r>
    <x v="26"/>
    <s v="Endenergieverbrauch - Industriesektor - Chemie und Petrochemie - energetischer Verbrauch"/>
    <s v="Elektrizität"/>
    <s v="Gigawattstunde"/>
    <x v="2"/>
    <x v="2"/>
    <n v="6796"/>
  </r>
  <r>
    <x v="26"/>
    <s v="Endenergieverbrauch - Industriesektor - Chemie und Petrochemie - energetischer Verbrauch"/>
    <s v="Elektrizität"/>
    <s v="Gigawattstunde"/>
    <x v="3"/>
    <x v="2"/>
    <n v="6635"/>
  </r>
  <r>
    <x v="26"/>
    <s v="Endenergieverbrauch - Industriesektor - Chemie und Petrochemie - energetischer Verbrauch"/>
    <s v="Elektrizität"/>
    <s v="Gigawattstunde"/>
    <x v="4"/>
    <x v="2"/>
    <n v="6353"/>
  </r>
  <r>
    <x v="26"/>
    <s v="Endenergieverbrauch - Industriesektor - Chemie und Petrochemie - energetischer Verbrauch"/>
    <s v="Elektrizität"/>
    <s v="Gigawattstunde"/>
    <x v="5"/>
    <x v="2"/>
    <n v="6137"/>
  </r>
  <r>
    <x v="26"/>
    <s v="Endenergieverbrauch - Industriesektor - Chemie und Petrochemie - energetischer Verbrauch"/>
    <s v="Elektrizität"/>
    <s v="Gigawattstunde"/>
    <x v="6"/>
    <x v="2"/>
    <n v="5904"/>
  </r>
  <r>
    <x v="26"/>
    <s v="Endenergieverbrauch - Industriesektor - Chemie und Petrochemie - energetischer Verbrauch"/>
    <s v="Elektrizität"/>
    <s v="Gigawattstunde"/>
    <x v="7"/>
    <x v="2"/>
    <n v="4474"/>
  </r>
  <r>
    <x v="26"/>
    <s v="Endenergieverbrauch - Industriesektor - Chemie und Petrochemie - energetischer Verbrauch"/>
    <s v="Elektrizität"/>
    <s v="Gigawattstunde"/>
    <x v="8"/>
    <x v="2"/>
    <n v="4914"/>
  </r>
  <r>
    <x v="26"/>
    <s v="Endenergieverbrauch - Industriesektor - Chemie und Petrochemie - energetischer Verbrauch"/>
    <s v="Elektrizität"/>
    <s v="Gigawattstunde"/>
    <x v="9"/>
    <x v="2"/>
    <n v="4611"/>
  </r>
  <r>
    <x v="26"/>
    <s v="Endenergieverbrauch - Industriesektor - Chemie und Petrochemie - energetischer Verbrauch"/>
    <s v="Elektrizität"/>
    <s v="Gigawattstunde"/>
    <x v="10"/>
    <x v="2"/>
    <n v="4600"/>
  </r>
  <r>
    <x v="26"/>
    <s v="Endenergieverbrauch - Industriesektor - Chemie und Petrochemie - energetischer Verbrauch"/>
    <s v="Elektrizität"/>
    <s v="Gigawattstunde"/>
    <x v="11"/>
    <x v="2"/>
    <n v="4615"/>
  </r>
  <r>
    <x v="26"/>
    <s v="Endenergieverbrauch - Industriesektor - Chemie und Petrochemie - energetischer Verbrauch"/>
    <s v="Elektrizität"/>
    <s v="Gigawattstunde"/>
    <x v="12"/>
    <x v="2"/>
    <n v="4483"/>
  </r>
  <r>
    <x v="26"/>
    <s v="Endenergieverbrauch - Industriesektor - Chemie und Petrochemie - energetischer Verbrauch"/>
    <s v="Elektrizität"/>
    <s v="Gigawattstunde"/>
    <x v="13"/>
    <x v="2"/>
    <n v="4400"/>
  </r>
  <r>
    <x v="26"/>
    <s v="Endenergieverbrauch - Industriesektor - Chemie und Petrochemie - energetischer Verbrauch"/>
    <s v="Elektrizität"/>
    <s v="Gigawattstunde"/>
    <x v="14"/>
    <x v="2"/>
    <n v="4607"/>
  </r>
  <r>
    <x v="26"/>
    <s v="Endenergieverbrauch - Industriesektor - Chemie und Petrochemie - energetischer Verbrauch"/>
    <s v="Elektrizität"/>
    <s v="Gigawattstunde"/>
    <x v="15"/>
    <x v="2"/>
    <n v="4655"/>
  </r>
  <r>
    <x v="26"/>
    <s v="Endenergieverbrauch - Industriesektor - Chemie und Petrochemie - energetischer Verbrauch"/>
    <s v="Elektrizität"/>
    <s v="Gigawattstunde"/>
    <x v="16"/>
    <x v="2"/>
    <n v="4389"/>
  </r>
  <r>
    <x v="27"/>
    <s v="Endenergieverbrauch - Industriesektor - Chemie und Petrochemie - energetischer Verbrauch"/>
    <s v="Elektrizität"/>
    <s v="Gigawattstunde"/>
    <x v="0"/>
    <x v="2"/>
    <n v="22861"/>
  </r>
  <r>
    <x v="27"/>
    <s v="Endenergieverbrauch - Industriesektor - Chemie und Petrochemie - energetischer Verbrauch"/>
    <s v="Elektrizität"/>
    <s v="Gigawattstunde"/>
    <x v="1"/>
    <x v="2"/>
    <n v="19741"/>
  </r>
  <r>
    <x v="27"/>
    <s v="Endenergieverbrauch - Industriesektor - Chemie und Petrochemie - energetischer Verbrauch"/>
    <s v="Elektrizität"/>
    <s v="Gigawattstunde"/>
    <x v="2"/>
    <x v="2"/>
    <n v="19928"/>
  </r>
  <r>
    <x v="27"/>
    <s v="Endenergieverbrauch - Industriesektor - Chemie und Petrochemie - energetischer Verbrauch"/>
    <s v="Elektrizität"/>
    <s v="Gigawattstunde"/>
    <x v="3"/>
    <x v="2"/>
    <n v="21125"/>
  </r>
  <r>
    <x v="27"/>
    <s v="Endenergieverbrauch - Industriesektor - Chemie und Petrochemie - energetischer Verbrauch"/>
    <s v="Elektrizität"/>
    <s v="Gigawattstunde"/>
    <x v="4"/>
    <x v="2"/>
    <n v="20391"/>
  </r>
  <r>
    <x v="27"/>
    <s v="Endenergieverbrauch - Industriesektor - Chemie und Petrochemie - energetischer Verbrauch"/>
    <s v="Elektrizität"/>
    <s v="Gigawattstunde"/>
    <x v="5"/>
    <x v="2"/>
    <n v="20197"/>
  </r>
  <r>
    <x v="27"/>
    <s v="Endenergieverbrauch - Industriesektor - Chemie und Petrochemie - energetischer Verbrauch"/>
    <s v="Elektrizität"/>
    <s v="Gigawattstunde"/>
    <x v="6"/>
    <x v="2"/>
    <n v="20287"/>
  </r>
  <r>
    <x v="27"/>
    <s v="Endenergieverbrauch - Industriesektor - Chemie und Petrochemie - energetischer Verbrauch"/>
    <s v="Elektrizität"/>
    <s v="Gigawattstunde"/>
    <x v="7"/>
    <x v="2"/>
    <n v="17702"/>
  </r>
  <r>
    <x v="27"/>
    <s v="Endenergieverbrauch - Industriesektor - Chemie und Petrochemie - energetischer Verbrauch"/>
    <s v="Elektrizität"/>
    <s v="Gigawattstunde"/>
    <x v="8"/>
    <x v="2"/>
    <n v="18468"/>
  </r>
  <r>
    <x v="27"/>
    <s v="Endenergieverbrauch - Industriesektor - Chemie und Petrochemie - energetischer Verbrauch"/>
    <s v="Elektrizität"/>
    <s v="Gigawattstunde"/>
    <x v="9"/>
    <x v="2"/>
    <n v="17640"/>
  </r>
  <r>
    <x v="27"/>
    <s v="Endenergieverbrauch - Industriesektor - Chemie und Petrochemie - energetischer Verbrauch"/>
    <s v="Elektrizität"/>
    <s v="Gigawattstunde"/>
    <x v="10"/>
    <x v="2"/>
    <n v="17507"/>
  </r>
  <r>
    <x v="27"/>
    <s v="Endenergieverbrauch - Industriesektor - Chemie und Petrochemie - energetischer Verbrauch"/>
    <s v="Elektrizität"/>
    <s v="Gigawattstunde"/>
    <x v="11"/>
    <x v="2"/>
    <n v="16525"/>
  </r>
  <r>
    <x v="27"/>
    <s v="Endenergieverbrauch - Industriesektor - Chemie und Petrochemie - energetischer Verbrauch"/>
    <s v="Elektrizität"/>
    <s v="Gigawattstunde"/>
    <x v="12"/>
    <x v="2"/>
    <n v="15476"/>
  </r>
  <r>
    <x v="27"/>
    <s v="Endenergieverbrauch - Industriesektor - Chemie und Petrochemie - energetischer Verbrauch"/>
    <s v="Elektrizität"/>
    <s v="Gigawattstunde"/>
    <x v="13"/>
    <x v="2"/>
    <n v="15614.878000000001"/>
  </r>
  <r>
    <x v="27"/>
    <s v="Endenergieverbrauch - Industriesektor - Chemie und Petrochemie - energetischer Verbrauch"/>
    <s v="Elektrizität"/>
    <s v="Gigawattstunde"/>
    <x v="14"/>
    <x v="2"/>
    <n v="15088.12"/>
  </r>
  <r>
    <x v="27"/>
    <s v="Endenergieverbrauch - Industriesektor - Chemie und Petrochemie - energetischer Verbrauch"/>
    <s v="Elektrizität"/>
    <s v="Gigawattstunde"/>
    <x v="15"/>
    <x v="2"/>
    <n v="15233.713"/>
  </r>
  <r>
    <x v="27"/>
    <s v="Endenergieverbrauch - Industriesektor - Chemie und Petrochemie - energetischer Verbrauch"/>
    <s v="Elektrizität"/>
    <s v="Gigawattstunde"/>
    <x v="16"/>
    <x v="2"/>
    <n v="15268.031000000001"/>
  </r>
  <r>
    <x v="28"/>
    <s v="Endenergieverbrauch - Industriesektor - Chemie und Petrochemie - energetischer Verbrauch"/>
    <s v="Elektrizität"/>
    <s v="Gigawattstunde"/>
    <x v="0"/>
    <x v="2"/>
    <n v="29"/>
  </r>
  <r>
    <x v="28"/>
    <s v="Endenergieverbrauch - Industriesektor - Chemie und Petrochemie - energetischer Verbrauch"/>
    <s v="Elektrizität"/>
    <s v="Gigawattstunde"/>
    <x v="1"/>
    <x v="2"/>
    <n v="20"/>
  </r>
  <r>
    <x v="28"/>
    <s v="Endenergieverbrauch - Industriesektor - Chemie und Petrochemie - energetischer Verbrauch"/>
    <s v="Elektrizität"/>
    <s v="Gigawattstunde"/>
    <x v="2"/>
    <x v="2"/>
    <n v="20"/>
  </r>
  <r>
    <x v="28"/>
    <s v="Endenergieverbrauch - Industriesektor - Chemie und Petrochemie - energetischer Verbrauch"/>
    <s v="Elektrizität"/>
    <s v="Gigawattstunde"/>
    <x v="3"/>
    <x v="2"/>
    <n v="19"/>
  </r>
  <r>
    <x v="28"/>
    <s v="Endenergieverbrauch - Industriesektor - Chemie und Petrochemie - energetischer Verbrauch"/>
    <s v="Elektrizität"/>
    <s v="Gigawattstunde"/>
    <x v="4"/>
    <x v="2"/>
    <n v="20"/>
  </r>
  <r>
    <x v="28"/>
    <s v="Endenergieverbrauch - Industriesektor - Chemie und Petrochemie - energetischer Verbrauch"/>
    <s v="Elektrizität"/>
    <s v="Gigawattstunde"/>
    <x v="5"/>
    <x v="2"/>
    <n v="50"/>
  </r>
  <r>
    <x v="28"/>
    <s v="Endenergieverbrauch - Industriesektor - Chemie und Petrochemie - energetischer Verbrauch"/>
    <s v="Elektrizität"/>
    <s v="Gigawattstunde"/>
    <x v="6"/>
    <x v="2"/>
    <n v="37"/>
  </r>
  <r>
    <x v="28"/>
    <s v="Endenergieverbrauch - Industriesektor - Chemie und Petrochemie - energetischer Verbrauch"/>
    <s v="Elektrizität"/>
    <s v="Gigawattstunde"/>
    <x v="7"/>
    <x v="2"/>
    <n v="39"/>
  </r>
  <r>
    <x v="28"/>
    <s v="Endenergieverbrauch - Industriesektor - Chemie und Petrochemie - energetischer Verbrauch"/>
    <s v="Elektrizität"/>
    <s v="Gigawattstunde"/>
    <x v="8"/>
    <x v="2"/>
    <n v="43"/>
  </r>
  <r>
    <x v="28"/>
    <s v="Endenergieverbrauch - Industriesektor - Chemie und Petrochemie - energetischer Verbrauch"/>
    <s v="Elektrizität"/>
    <s v="Gigawattstunde"/>
    <x v="9"/>
    <x v="2"/>
    <n v="46"/>
  </r>
  <r>
    <x v="28"/>
    <s v="Endenergieverbrauch - Industriesektor - Chemie und Petrochemie - energetischer Verbrauch"/>
    <s v="Elektrizität"/>
    <s v="Gigawattstunde"/>
    <x v="10"/>
    <x v="2"/>
    <n v="57"/>
  </r>
  <r>
    <x v="28"/>
    <s v="Endenergieverbrauch - Industriesektor - Chemie und Petrochemie - energetischer Verbrauch"/>
    <s v="Elektrizität"/>
    <s v="Gigawattstunde"/>
    <x v="11"/>
    <x v="2"/>
    <n v="39"/>
  </r>
  <r>
    <x v="28"/>
    <s v="Endenergieverbrauch - Industriesektor - Chemie und Petrochemie - energetischer Verbrauch"/>
    <s v="Elektrizität"/>
    <s v="Gigawattstunde"/>
    <x v="12"/>
    <x v="2"/>
    <n v="66"/>
  </r>
  <r>
    <x v="28"/>
    <s v="Endenergieverbrauch - Industriesektor - Chemie und Petrochemie - energetischer Verbrauch"/>
    <s v="Elektrizität"/>
    <s v="Gigawattstunde"/>
    <x v="13"/>
    <x v="2"/>
    <n v="81"/>
  </r>
  <r>
    <x v="28"/>
    <s v="Endenergieverbrauch - Industriesektor - Chemie und Petrochemie - energetischer Verbrauch"/>
    <s v="Elektrizität"/>
    <s v="Gigawattstunde"/>
    <x v="14"/>
    <x v="2"/>
    <n v="87"/>
  </r>
  <r>
    <x v="28"/>
    <s v="Endenergieverbrauch - Industriesektor - Chemie und Petrochemie - energetischer Verbrauch"/>
    <s v="Elektrizität"/>
    <s v="Gigawattstunde"/>
    <x v="15"/>
    <x v="2"/>
    <n v="84.272000000000006"/>
  </r>
  <r>
    <x v="28"/>
    <s v="Endenergieverbrauch - Industriesektor - Chemie und Petrochemie - energetischer Verbrauch"/>
    <s v="Elektrizität"/>
    <s v="Gigawattstunde"/>
    <x v="16"/>
    <x v="2"/>
    <n v="96.326999999999998"/>
  </r>
  <r>
    <x v="29"/>
    <s v="Endenergieverbrauch - Industriesektor - Chemie und Petrochemie - energetischer Verbrauch"/>
    <s v="Elektrizität"/>
    <s v="Gigawattstunde"/>
    <x v="0"/>
    <x v="2"/>
    <n v="6808"/>
  </r>
  <r>
    <x v="29"/>
    <s v="Endenergieverbrauch - Industriesektor - Chemie und Petrochemie - energetischer Verbrauch"/>
    <s v="Elektrizität"/>
    <s v="Gigawattstunde"/>
    <x v="1"/>
    <x v="2"/>
    <n v="6834"/>
  </r>
  <r>
    <x v="29"/>
    <s v="Endenergieverbrauch - Industriesektor - Chemie und Petrochemie - energetischer Verbrauch"/>
    <s v="Elektrizität"/>
    <s v="Gigawattstunde"/>
    <x v="2"/>
    <x v="2"/>
    <n v="7093"/>
  </r>
  <r>
    <x v="29"/>
    <s v="Endenergieverbrauch - Industriesektor - Chemie und Petrochemie - energetischer Verbrauch"/>
    <s v="Elektrizität"/>
    <s v="Gigawattstunde"/>
    <x v="3"/>
    <x v="2"/>
    <n v="7617"/>
  </r>
  <r>
    <x v="29"/>
    <s v="Endenergieverbrauch - Industriesektor - Chemie und Petrochemie - energetischer Verbrauch"/>
    <s v="Elektrizität"/>
    <s v="Gigawattstunde"/>
    <x v="4"/>
    <x v="2"/>
    <n v="7476"/>
  </r>
  <r>
    <x v="29"/>
    <s v="Endenergieverbrauch - Industriesektor - Chemie und Petrochemie - energetischer Verbrauch"/>
    <s v="Elektrizität"/>
    <s v="Gigawattstunde"/>
    <x v="5"/>
    <x v="2"/>
    <n v="7226"/>
  </r>
  <r>
    <x v="29"/>
    <s v="Endenergieverbrauch - Industriesektor - Chemie und Petrochemie - energetischer Verbrauch"/>
    <s v="Elektrizität"/>
    <s v="Gigawattstunde"/>
    <x v="6"/>
    <x v="2"/>
    <n v="7856"/>
  </r>
  <r>
    <x v="29"/>
    <s v="Endenergieverbrauch - Industriesektor - Chemie und Petrochemie - energetischer Verbrauch"/>
    <s v="Elektrizität"/>
    <s v="Gigawattstunde"/>
    <x v="7"/>
    <x v="2"/>
    <n v="6519"/>
  </r>
  <r>
    <x v="29"/>
    <s v="Endenergieverbrauch - Industriesektor - Chemie und Petrochemie - energetischer Verbrauch"/>
    <s v="Elektrizität"/>
    <s v="Gigawattstunde"/>
    <x v="8"/>
    <x v="2"/>
    <n v="7811"/>
  </r>
  <r>
    <x v="29"/>
    <s v="Endenergieverbrauch - Industriesektor - Chemie und Petrochemie - energetischer Verbrauch"/>
    <s v="Elektrizität"/>
    <s v="Gigawattstunde"/>
    <x v="9"/>
    <x v="2"/>
    <n v="7688"/>
  </r>
  <r>
    <x v="29"/>
    <s v="Endenergieverbrauch - Industriesektor - Chemie und Petrochemie - energetischer Verbrauch"/>
    <s v="Elektrizität"/>
    <s v="Gigawattstunde"/>
    <x v="10"/>
    <x v="2"/>
    <n v="7252"/>
  </r>
  <r>
    <x v="29"/>
    <s v="Endenergieverbrauch - Industriesektor - Chemie und Petrochemie - energetischer Verbrauch"/>
    <s v="Elektrizität"/>
    <s v="Gigawattstunde"/>
    <x v="11"/>
    <x v="2"/>
    <n v="7229"/>
  </r>
  <r>
    <x v="29"/>
    <s v="Endenergieverbrauch - Industriesektor - Chemie und Petrochemie - energetischer Verbrauch"/>
    <s v="Elektrizität"/>
    <s v="Gigawattstunde"/>
    <x v="12"/>
    <x v="2"/>
    <n v="7650"/>
  </r>
  <r>
    <x v="29"/>
    <s v="Endenergieverbrauch - Industriesektor - Chemie und Petrochemie - energetischer Verbrauch"/>
    <s v="Elektrizität"/>
    <s v="Gigawattstunde"/>
    <x v="13"/>
    <x v="2"/>
    <n v="7829"/>
  </r>
  <r>
    <x v="29"/>
    <s v="Endenergieverbrauch - Industriesektor - Chemie und Petrochemie - energetischer Verbrauch"/>
    <s v="Elektrizität"/>
    <s v="Gigawattstunde"/>
    <x v="14"/>
    <x v="2"/>
    <n v="7748"/>
  </r>
  <r>
    <x v="29"/>
    <s v="Endenergieverbrauch - Industriesektor - Chemie und Petrochemie - energetischer Verbrauch"/>
    <s v="Elektrizität"/>
    <s v="Gigawattstunde"/>
    <x v="15"/>
    <x v="2"/>
    <n v="7454"/>
  </r>
  <r>
    <x v="29"/>
    <s v="Endenergieverbrauch - Industriesektor - Chemie und Petrochemie - energetischer Verbrauch"/>
    <s v="Elektrizität"/>
    <s v="Gigawattstunde"/>
    <x v="16"/>
    <x v="2"/>
    <n v="7638.9120000000003"/>
  </r>
  <r>
    <x v="30"/>
    <s v="Endenergieverbrauch - Industriesektor - Chemie und Petrochemie - energetischer Verbrauch"/>
    <s v="Elektrizität"/>
    <s v="Gigawattstunde"/>
    <x v="0"/>
    <x v="2"/>
    <n v="463"/>
  </r>
  <r>
    <x v="30"/>
    <s v="Endenergieverbrauch - Industriesektor - Chemie und Petrochemie - energetischer Verbrauch"/>
    <s v="Elektrizität"/>
    <s v="Gigawattstunde"/>
    <x v="1"/>
    <x v="2"/>
    <n v="433"/>
  </r>
  <r>
    <x v="30"/>
    <s v="Endenergieverbrauch - Industriesektor - Chemie und Petrochemie - energetischer Verbrauch"/>
    <s v="Elektrizität"/>
    <s v="Gigawattstunde"/>
    <x v="2"/>
    <x v="2"/>
    <n v="957"/>
  </r>
  <r>
    <x v="30"/>
    <s v="Endenergieverbrauch - Industriesektor - Chemie und Petrochemie - energetischer Verbrauch"/>
    <s v="Elektrizität"/>
    <s v="Gigawattstunde"/>
    <x v="3"/>
    <x v="2"/>
    <n v="840"/>
  </r>
  <r>
    <x v="30"/>
    <s v="Endenergieverbrauch - Industriesektor - Chemie und Petrochemie - energetischer Verbrauch"/>
    <s v="Elektrizität"/>
    <s v="Gigawattstunde"/>
    <x v="4"/>
    <x v="2"/>
    <n v="930"/>
  </r>
  <r>
    <x v="30"/>
    <s v="Endenergieverbrauch - Industriesektor - Chemie und Petrochemie - energetischer Verbrauch"/>
    <s v="Elektrizität"/>
    <s v="Gigawattstunde"/>
    <x v="5"/>
    <x v="2"/>
    <n v="858"/>
  </r>
  <r>
    <x v="30"/>
    <s v="Endenergieverbrauch - Industriesektor - Chemie und Petrochemie - energetischer Verbrauch"/>
    <s v="Elektrizität"/>
    <s v="Gigawattstunde"/>
    <x v="6"/>
    <x v="2"/>
    <n v="1147"/>
  </r>
  <r>
    <x v="30"/>
    <s v="Endenergieverbrauch - Industriesektor - Chemie und Petrochemie - energetischer Verbrauch"/>
    <s v="Elektrizität"/>
    <s v="Gigawattstunde"/>
    <x v="7"/>
    <x v="2"/>
    <n v="625"/>
  </r>
  <r>
    <x v="30"/>
    <s v="Endenergieverbrauch - Industriesektor - Chemie und Petrochemie - energetischer Verbrauch"/>
    <s v="Elektrizität"/>
    <s v="Gigawattstunde"/>
    <x v="8"/>
    <x v="2"/>
    <n v="951"/>
  </r>
  <r>
    <x v="30"/>
    <s v="Endenergieverbrauch - Industriesektor - Chemie und Petrochemie - energetischer Verbrauch"/>
    <s v="Elektrizität"/>
    <s v="Gigawattstunde"/>
    <x v="9"/>
    <x v="2"/>
    <n v="611"/>
  </r>
  <r>
    <x v="30"/>
    <s v="Endenergieverbrauch - Industriesektor - Chemie und Petrochemie - energetischer Verbrauch"/>
    <s v="Elektrizität"/>
    <s v="Gigawattstunde"/>
    <x v="10"/>
    <x v="2"/>
    <n v="825"/>
  </r>
  <r>
    <x v="30"/>
    <s v="Endenergieverbrauch - Industriesektor - Chemie und Petrochemie - energetischer Verbrauch"/>
    <s v="Elektrizität"/>
    <s v="Gigawattstunde"/>
    <x v="11"/>
    <x v="2"/>
    <n v="932"/>
  </r>
  <r>
    <x v="30"/>
    <s v="Endenergieverbrauch - Industriesektor - Chemie und Petrochemie - energetischer Verbrauch"/>
    <s v="Elektrizität"/>
    <s v="Gigawattstunde"/>
    <x v="12"/>
    <x v="2"/>
    <n v="903"/>
  </r>
  <r>
    <x v="30"/>
    <s v="Endenergieverbrauch - Industriesektor - Chemie und Petrochemie - energetischer Verbrauch"/>
    <s v="Elektrizität"/>
    <s v="Gigawattstunde"/>
    <x v="13"/>
    <x v="2"/>
    <n v="922"/>
  </r>
  <r>
    <x v="30"/>
    <s v="Endenergieverbrauch - Industriesektor - Chemie und Petrochemie - energetischer Verbrauch"/>
    <s v="Elektrizität"/>
    <s v="Gigawattstunde"/>
    <x v="14"/>
    <x v="2"/>
    <n v="1202"/>
  </r>
  <r>
    <x v="30"/>
    <s v="Endenergieverbrauch - Industriesektor - Chemie und Petrochemie - energetischer Verbrauch"/>
    <s v="Elektrizität"/>
    <s v="Gigawattstunde"/>
    <x v="15"/>
    <x v="2"/>
    <n v="1261.7249999999999"/>
  </r>
  <r>
    <x v="30"/>
    <s v="Endenergieverbrauch - Industriesektor - Chemie und Petrochemie - energetischer Verbrauch"/>
    <s v="Elektrizität"/>
    <s v="Gigawattstunde"/>
    <x v="16"/>
    <x v="2"/>
    <n v="1347.587"/>
  </r>
  <r>
    <x v="0"/>
    <s v="Endenergieverbrauch - Industriesektor - Eisen und Stahl - energetischer Verbrauch"/>
    <s v="Elektrizität"/>
    <s v="Gigawattstunde"/>
    <x v="0"/>
    <x v="3"/>
    <n v="6833"/>
  </r>
  <r>
    <x v="0"/>
    <s v="Endenergieverbrauch - Industriesektor - Eisen und Stahl - energetischer Verbrauch"/>
    <s v="Elektrizität"/>
    <s v="Gigawattstunde"/>
    <x v="1"/>
    <x v="3"/>
    <n v="7015"/>
  </r>
  <r>
    <x v="0"/>
    <s v="Endenergieverbrauch - Industriesektor - Eisen und Stahl - energetischer Verbrauch"/>
    <s v="Elektrizität"/>
    <s v="Gigawattstunde"/>
    <x v="2"/>
    <x v="3"/>
    <n v="7061"/>
  </r>
  <r>
    <x v="0"/>
    <s v="Endenergieverbrauch - Industriesektor - Eisen und Stahl - energetischer Verbrauch"/>
    <s v="Elektrizität"/>
    <s v="Gigawattstunde"/>
    <x v="3"/>
    <x v="3"/>
    <n v="5997"/>
  </r>
  <r>
    <x v="0"/>
    <s v="Endenergieverbrauch - Industriesektor - Eisen und Stahl - energetischer Verbrauch"/>
    <s v="Elektrizität"/>
    <s v="Gigawattstunde"/>
    <x v="4"/>
    <x v="3"/>
    <n v="6193"/>
  </r>
  <r>
    <x v="0"/>
    <s v="Endenergieverbrauch - Industriesektor - Eisen und Stahl - energetischer Verbrauch"/>
    <s v="Elektrizität"/>
    <s v="Gigawattstunde"/>
    <x v="5"/>
    <x v="3"/>
    <n v="6486"/>
  </r>
  <r>
    <x v="0"/>
    <s v="Endenergieverbrauch - Industriesektor - Eisen und Stahl - energetischer Verbrauch"/>
    <s v="Elektrizität"/>
    <s v="Gigawattstunde"/>
    <x v="6"/>
    <x v="3"/>
    <n v="6346"/>
  </r>
  <r>
    <x v="0"/>
    <s v="Endenergieverbrauch - Industriesektor - Eisen und Stahl - energetischer Verbrauch"/>
    <s v="Elektrizität"/>
    <s v="Gigawattstunde"/>
    <x v="7"/>
    <x v="3"/>
    <n v="5198"/>
  </r>
  <r>
    <x v="0"/>
    <s v="Endenergieverbrauch - Industriesektor - Eisen und Stahl - energetischer Verbrauch"/>
    <s v="Elektrizität"/>
    <s v="Gigawattstunde"/>
    <x v="8"/>
    <x v="3"/>
    <n v="5986"/>
  </r>
  <r>
    <x v="0"/>
    <s v="Endenergieverbrauch - Industriesektor - Eisen und Stahl - energetischer Verbrauch"/>
    <s v="Elektrizität"/>
    <s v="Gigawattstunde"/>
    <x v="9"/>
    <x v="3"/>
    <n v="5028"/>
  </r>
  <r>
    <x v="0"/>
    <s v="Endenergieverbrauch - Industriesektor - Eisen und Stahl - energetischer Verbrauch"/>
    <s v="Elektrizität"/>
    <s v="Gigawattstunde"/>
    <x v="10"/>
    <x v="3"/>
    <n v="5668"/>
  </r>
  <r>
    <x v="0"/>
    <s v="Endenergieverbrauch - Industriesektor - Eisen und Stahl - energetischer Verbrauch"/>
    <s v="Elektrizität"/>
    <s v="Gigawattstunde"/>
    <x v="11"/>
    <x v="3"/>
    <n v="4551"/>
  </r>
  <r>
    <x v="0"/>
    <s v="Endenergieverbrauch - Industriesektor - Eisen und Stahl - energetischer Verbrauch"/>
    <s v="Elektrizität"/>
    <s v="Gigawattstunde"/>
    <x v="12"/>
    <x v="3"/>
    <n v="4358.3"/>
  </r>
  <r>
    <x v="0"/>
    <s v="Endenergieverbrauch - Industriesektor - Eisen und Stahl - energetischer Verbrauch"/>
    <s v="Elektrizität"/>
    <s v="Gigawattstunde"/>
    <x v="13"/>
    <x v="3"/>
    <n v="4426.2"/>
  </r>
  <r>
    <x v="0"/>
    <s v="Endenergieverbrauch - Industriesektor - Eisen und Stahl - energetischer Verbrauch"/>
    <s v="Elektrizität"/>
    <s v="Gigawattstunde"/>
    <x v="14"/>
    <x v="3"/>
    <n v="4345.3"/>
  </r>
  <r>
    <x v="0"/>
    <s v="Endenergieverbrauch - Industriesektor - Eisen und Stahl - energetischer Verbrauch"/>
    <s v="Elektrizität"/>
    <s v="Gigawattstunde"/>
    <x v="15"/>
    <x v="3"/>
    <n v="4425.2"/>
  </r>
  <r>
    <x v="0"/>
    <s v="Endenergieverbrauch - Industriesektor - Eisen und Stahl - energetischer Verbrauch"/>
    <s v="Elektrizität"/>
    <s v="Gigawattstunde"/>
    <x v="16"/>
    <x v="3"/>
    <n v="4357"/>
  </r>
  <r>
    <x v="1"/>
    <s v="Endenergieverbrauch - Industriesektor - Eisen und Stahl - energetischer Verbrauch"/>
    <s v="Elektrizität"/>
    <s v="Gigawattstunde"/>
    <x v="0"/>
    <x v="3"/>
    <n v="1644"/>
  </r>
  <r>
    <x v="1"/>
    <s v="Endenergieverbrauch - Industriesektor - Eisen und Stahl - energetischer Verbrauch"/>
    <s v="Elektrizität"/>
    <s v="Gigawattstunde"/>
    <x v="1"/>
    <x v="3"/>
    <n v="1959"/>
  </r>
  <r>
    <x v="1"/>
    <s v="Endenergieverbrauch - Industriesektor - Eisen und Stahl - energetischer Verbrauch"/>
    <s v="Elektrizität"/>
    <s v="Gigawattstunde"/>
    <x v="2"/>
    <x v="3"/>
    <n v="1868"/>
  </r>
  <r>
    <x v="1"/>
    <s v="Endenergieverbrauch - Industriesektor - Eisen und Stahl - energetischer Verbrauch"/>
    <s v="Elektrizität"/>
    <s v="Gigawattstunde"/>
    <x v="3"/>
    <x v="3"/>
    <n v="1740"/>
  </r>
  <r>
    <x v="1"/>
    <s v="Endenergieverbrauch - Industriesektor - Eisen und Stahl - energetischer Verbrauch"/>
    <s v="Elektrizität"/>
    <s v="Gigawattstunde"/>
    <x v="4"/>
    <x v="3"/>
    <n v="1944"/>
  </r>
  <r>
    <x v="1"/>
    <s v="Endenergieverbrauch - Industriesektor - Eisen und Stahl - energetischer Verbrauch"/>
    <s v="Elektrizität"/>
    <s v="Gigawattstunde"/>
    <x v="5"/>
    <x v="3"/>
    <n v="1791"/>
  </r>
  <r>
    <x v="1"/>
    <s v="Endenergieverbrauch - Industriesektor - Eisen und Stahl - energetischer Verbrauch"/>
    <s v="Elektrizität"/>
    <s v="Gigawattstunde"/>
    <x v="6"/>
    <x v="3"/>
    <n v="1595"/>
  </r>
  <r>
    <x v="1"/>
    <s v="Endenergieverbrauch - Industriesektor - Eisen und Stahl - energetischer Verbrauch"/>
    <s v="Elektrizität"/>
    <s v="Gigawattstunde"/>
    <x v="7"/>
    <x v="3"/>
    <n v="1113"/>
  </r>
  <r>
    <x v="1"/>
    <s v="Endenergieverbrauch - Industriesektor - Eisen und Stahl - energetischer Verbrauch"/>
    <s v="Elektrizität"/>
    <s v="Gigawattstunde"/>
    <x v="8"/>
    <x v="3"/>
    <n v="838"/>
  </r>
  <r>
    <x v="1"/>
    <s v="Endenergieverbrauch - Industriesektor - Eisen und Stahl - energetischer Verbrauch"/>
    <s v="Elektrizität"/>
    <s v="Gigawattstunde"/>
    <x v="9"/>
    <x v="3"/>
    <n v="867"/>
  </r>
  <r>
    <x v="1"/>
    <s v="Endenergieverbrauch - Industriesektor - Eisen und Stahl - energetischer Verbrauch"/>
    <s v="Elektrizität"/>
    <s v="Gigawattstunde"/>
    <x v="10"/>
    <x v="3"/>
    <n v="715"/>
  </r>
  <r>
    <x v="1"/>
    <s v="Endenergieverbrauch - Industriesektor - Eisen und Stahl - energetischer Verbrauch"/>
    <s v="Elektrizität"/>
    <s v="Gigawattstunde"/>
    <x v="11"/>
    <x v="3"/>
    <n v="655"/>
  </r>
  <r>
    <x v="1"/>
    <s v="Endenergieverbrauch - Industriesektor - Eisen und Stahl - energetischer Verbrauch"/>
    <s v="Elektrizität"/>
    <s v="Gigawattstunde"/>
    <x v="12"/>
    <x v="3"/>
    <n v="716"/>
  </r>
  <r>
    <x v="1"/>
    <s v="Endenergieverbrauch - Industriesektor - Eisen und Stahl - energetischer Verbrauch"/>
    <s v="Elektrizität"/>
    <s v="Gigawattstunde"/>
    <x v="13"/>
    <x v="3"/>
    <n v="707"/>
  </r>
  <r>
    <x v="1"/>
    <s v="Endenergieverbrauch - Industriesektor - Eisen und Stahl - energetischer Verbrauch"/>
    <s v="Elektrizität"/>
    <s v="Gigawattstunde"/>
    <x v="14"/>
    <x v="3"/>
    <n v="724"/>
  </r>
  <r>
    <x v="1"/>
    <s v="Endenergieverbrauch - Industriesektor - Eisen und Stahl - energetischer Verbrauch"/>
    <s v="Elektrizität"/>
    <s v="Gigawattstunde"/>
    <x v="15"/>
    <x v="3"/>
    <n v="787.23599999999999"/>
  </r>
  <r>
    <x v="1"/>
    <s v="Endenergieverbrauch - Industriesektor - Eisen und Stahl - energetischer Verbrauch"/>
    <s v="Elektrizität"/>
    <s v="Gigawattstunde"/>
    <x v="16"/>
    <x v="3"/>
    <n v="817.30499999999995"/>
  </r>
  <r>
    <x v="2"/>
    <s v="Endenergieverbrauch - Industriesektor - Eisen und Stahl - energetischer Verbrauch"/>
    <s v="Elektrizität"/>
    <s v="Gigawattstunde"/>
    <x v="0"/>
    <x v="3"/>
    <n v="3751"/>
  </r>
  <r>
    <x v="2"/>
    <s v="Endenergieverbrauch - Industriesektor - Eisen und Stahl - energetischer Verbrauch"/>
    <s v="Elektrizität"/>
    <s v="Gigawattstunde"/>
    <x v="1"/>
    <x v="3"/>
    <n v="3530"/>
  </r>
  <r>
    <x v="2"/>
    <s v="Endenergieverbrauch - Industriesektor - Eisen und Stahl - energetischer Verbrauch"/>
    <s v="Elektrizität"/>
    <s v="Gigawattstunde"/>
    <x v="2"/>
    <x v="3"/>
    <n v="3560"/>
  </r>
  <r>
    <x v="2"/>
    <s v="Endenergieverbrauch - Industriesektor - Eisen und Stahl - energetischer Verbrauch"/>
    <s v="Elektrizität"/>
    <s v="Gigawattstunde"/>
    <x v="3"/>
    <x v="3"/>
    <n v="3439"/>
  </r>
  <r>
    <x v="2"/>
    <s v="Endenergieverbrauch - Industriesektor - Eisen und Stahl - energetischer Verbrauch"/>
    <s v="Elektrizität"/>
    <s v="Gigawattstunde"/>
    <x v="4"/>
    <x v="3"/>
    <n v="3389"/>
  </r>
  <r>
    <x v="2"/>
    <s v="Endenergieverbrauch - Industriesektor - Eisen und Stahl - energetischer Verbrauch"/>
    <s v="Elektrizität"/>
    <s v="Gigawattstunde"/>
    <x v="5"/>
    <x v="3"/>
    <n v="3138"/>
  </r>
  <r>
    <x v="2"/>
    <s v="Endenergieverbrauch - Industriesektor - Eisen und Stahl - energetischer Verbrauch"/>
    <s v="Elektrizität"/>
    <s v="Gigawattstunde"/>
    <x v="6"/>
    <x v="3"/>
    <n v="3153"/>
  </r>
  <r>
    <x v="2"/>
    <s v="Endenergieverbrauch - Industriesektor - Eisen und Stahl - energetischer Verbrauch"/>
    <s v="Elektrizität"/>
    <s v="Gigawattstunde"/>
    <x v="7"/>
    <x v="3"/>
    <n v="3107"/>
  </r>
  <r>
    <x v="2"/>
    <s v="Endenergieverbrauch - Industriesektor - Eisen und Stahl - energetischer Verbrauch"/>
    <s v="Elektrizität"/>
    <s v="Gigawattstunde"/>
    <x v="8"/>
    <x v="3"/>
    <n v="2537"/>
  </r>
  <r>
    <x v="2"/>
    <s v="Endenergieverbrauch - Industriesektor - Eisen und Stahl - energetischer Verbrauch"/>
    <s v="Elektrizität"/>
    <s v="Gigawattstunde"/>
    <x v="9"/>
    <x v="3"/>
    <n v="2611"/>
  </r>
  <r>
    <x v="2"/>
    <s v="Endenergieverbrauch - Industriesektor - Eisen und Stahl - energetischer Verbrauch"/>
    <s v="Elektrizität"/>
    <s v="Gigawattstunde"/>
    <x v="10"/>
    <x v="3"/>
    <n v="2296"/>
  </r>
  <r>
    <x v="2"/>
    <s v="Endenergieverbrauch - Industriesektor - Eisen und Stahl - energetischer Verbrauch"/>
    <s v="Elektrizität"/>
    <s v="Gigawattstunde"/>
    <x v="11"/>
    <x v="3"/>
    <n v="2300"/>
  </r>
  <r>
    <x v="2"/>
    <s v="Endenergieverbrauch - Industriesektor - Eisen und Stahl - energetischer Verbrauch"/>
    <s v="Elektrizität"/>
    <s v="Gigawattstunde"/>
    <x v="12"/>
    <x v="3"/>
    <n v="2354"/>
  </r>
  <r>
    <x v="2"/>
    <s v="Endenergieverbrauch - Industriesektor - Eisen und Stahl - energetischer Verbrauch"/>
    <s v="Elektrizität"/>
    <s v="Gigawattstunde"/>
    <x v="13"/>
    <x v="3"/>
    <n v="2346"/>
  </r>
  <r>
    <x v="2"/>
    <s v="Endenergieverbrauch - Industriesektor - Eisen und Stahl - energetischer Verbrauch"/>
    <s v="Elektrizität"/>
    <s v="Gigawattstunde"/>
    <x v="14"/>
    <x v="3"/>
    <n v="2374"/>
  </r>
  <r>
    <x v="2"/>
    <s v="Endenergieverbrauch - Industriesektor - Eisen und Stahl - energetischer Verbrauch"/>
    <s v="Elektrizität"/>
    <s v="Gigawattstunde"/>
    <x v="15"/>
    <x v="3"/>
    <n v="2316.4810000000002"/>
  </r>
  <r>
    <x v="2"/>
    <s v="Endenergieverbrauch - Industriesektor - Eisen und Stahl - energetischer Verbrauch"/>
    <s v="Elektrizität"/>
    <s v="Gigawattstunde"/>
    <x v="16"/>
    <x v="3"/>
    <n v="2357.424"/>
  </r>
  <r>
    <x v="3"/>
    <s v="Endenergieverbrauch - Industriesektor - Eisen und Stahl - energetischer Verbrauch"/>
    <s v="Elektrizität"/>
    <s v="Gigawattstunde"/>
    <x v="0"/>
    <x v="3"/>
    <n v="645"/>
  </r>
  <r>
    <x v="3"/>
    <s v="Endenergieverbrauch - Industriesektor - Eisen und Stahl - energetischer Verbrauch"/>
    <s v="Elektrizität"/>
    <s v="Gigawattstunde"/>
    <x v="1"/>
    <x v="3"/>
    <n v="502"/>
  </r>
  <r>
    <x v="3"/>
    <s v="Endenergieverbrauch - Industriesektor - Eisen und Stahl - energetischer Verbrauch"/>
    <s v="Elektrizität"/>
    <s v="Gigawattstunde"/>
    <x v="2"/>
    <x v="3"/>
    <n v="522"/>
  </r>
  <r>
    <x v="3"/>
    <s v="Endenergieverbrauch - Industriesektor - Eisen und Stahl - energetischer Verbrauch"/>
    <s v="Elektrizität"/>
    <s v="Gigawattstunde"/>
    <x v="3"/>
    <x v="3"/>
    <n v="574"/>
  </r>
  <r>
    <x v="3"/>
    <s v="Endenergieverbrauch - Industriesektor - Eisen und Stahl - energetischer Verbrauch"/>
    <s v="Elektrizität"/>
    <s v="Gigawattstunde"/>
    <x v="4"/>
    <x v="3"/>
    <n v="519"/>
  </r>
  <r>
    <x v="3"/>
    <s v="Endenergieverbrauch - Industriesektor - Eisen und Stahl - energetischer Verbrauch"/>
    <s v="Elektrizität"/>
    <s v="Gigawattstunde"/>
    <x v="5"/>
    <x v="3"/>
    <n v="454"/>
  </r>
  <r>
    <x v="3"/>
    <s v="Endenergieverbrauch - Industriesektor - Eisen und Stahl - energetischer Verbrauch"/>
    <s v="Elektrizität"/>
    <s v="Gigawattstunde"/>
    <x v="6"/>
    <x v="3"/>
    <n v="418"/>
  </r>
  <r>
    <x v="3"/>
    <s v="Endenergieverbrauch - Industriesektor - Eisen und Stahl - energetischer Verbrauch"/>
    <s v="Elektrizität"/>
    <s v="Gigawattstunde"/>
    <x v="7"/>
    <x v="3"/>
    <n v="227"/>
  </r>
  <r>
    <x v="3"/>
    <s v="Endenergieverbrauch - Industriesektor - Eisen und Stahl - energetischer Verbrauch"/>
    <s v="Elektrizität"/>
    <s v="Gigawattstunde"/>
    <x v="8"/>
    <x v="3"/>
    <n v="238"/>
  </r>
  <r>
    <x v="3"/>
    <s v="Endenergieverbrauch - Industriesektor - Eisen und Stahl - energetischer Verbrauch"/>
    <s v="Elektrizität"/>
    <s v="Gigawattstunde"/>
    <x v="9"/>
    <x v="3"/>
    <n v="279"/>
  </r>
  <r>
    <x v="3"/>
    <s v="Endenergieverbrauch - Industriesektor - Eisen und Stahl - energetischer Verbrauch"/>
    <s v="Elektrizität"/>
    <s v="Gigawattstunde"/>
    <x v="10"/>
    <x v="3"/>
    <n v="402"/>
  </r>
  <r>
    <x v="3"/>
    <s v="Endenergieverbrauch - Industriesektor - Eisen und Stahl - energetischer Verbrauch"/>
    <s v="Elektrizität"/>
    <s v="Gigawattstunde"/>
    <x v="11"/>
    <x v="3"/>
    <n v="397"/>
  </r>
  <r>
    <x v="3"/>
    <s v="Endenergieverbrauch - Industriesektor - Eisen und Stahl - energetischer Verbrauch"/>
    <s v="Elektrizität"/>
    <s v="Gigawattstunde"/>
    <x v="12"/>
    <x v="3"/>
    <n v="438"/>
  </r>
  <r>
    <x v="3"/>
    <s v="Endenergieverbrauch - Industriesektor - Eisen und Stahl - energetischer Verbrauch"/>
    <s v="Elektrizität"/>
    <s v="Gigawattstunde"/>
    <x v="13"/>
    <x v="3"/>
    <n v="434.80399999999997"/>
  </r>
  <r>
    <x v="3"/>
    <s v="Endenergieverbrauch - Industriesektor - Eisen und Stahl - energetischer Verbrauch"/>
    <s v="Elektrizität"/>
    <s v="Gigawattstunde"/>
    <x v="14"/>
    <x v="3"/>
    <n v="415.77199999999999"/>
  </r>
  <r>
    <x v="3"/>
    <s v="Endenergieverbrauch - Industriesektor - Eisen und Stahl - energetischer Verbrauch"/>
    <s v="Elektrizität"/>
    <s v="Gigawattstunde"/>
    <x v="15"/>
    <x v="3"/>
    <n v="422.15100000000001"/>
  </r>
  <r>
    <x v="3"/>
    <s v="Endenergieverbrauch - Industriesektor - Eisen und Stahl - energetischer Verbrauch"/>
    <s v="Elektrizität"/>
    <s v="Gigawattstunde"/>
    <x v="16"/>
    <x v="3"/>
    <n v="421.74099999999999"/>
  </r>
  <r>
    <x v="4"/>
    <s v="Endenergieverbrauch - Industriesektor - Eisen und Stahl - energetischer Verbrauch"/>
    <s v="Elektrizität"/>
    <s v="Gigawattstunde"/>
    <x v="0"/>
    <x v="3"/>
    <n v="25070"/>
  </r>
  <r>
    <x v="4"/>
    <s v="Endenergieverbrauch - Industriesektor - Eisen und Stahl - energetischer Verbrauch"/>
    <s v="Elektrizität"/>
    <s v="Gigawattstunde"/>
    <x v="1"/>
    <x v="3"/>
    <n v="26233"/>
  </r>
  <r>
    <x v="4"/>
    <s v="Endenergieverbrauch - Industriesektor - Eisen und Stahl - energetischer Verbrauch"/>
    <s v="Elektrizität"/>
    <s v="Gigawattstunde"/>
    <x v="2"/>
    <x v="3"/>
    <n v="27423"/>
  </r>
  <r>
    <x v="4"/>
    <s v="Endenergieverbrauch - Industriesektor - Eisen und Stahl - energetischer Verbrauch"/>
    <s v="Elektrizität"/>
    <s v="Gigawattstunde"/>
    <x v="3"/>
    <x v="3"/>
    <n v="27654"/>
  </r>
  <r>
    <x v="4"/>
    <s v="Endenergieverbrauch - Industriesektor - Eisen und Stahl - energetischer Verbrauch"/>
    <s v="Elektrizität"/>
    <s v="Gigawattstunde"/>
    <x v="4"/>
    <x v="3"/>
    <n v="29876"/>
  </r>
  <r>
    <x v="4"/>
    <s v="Endenergieverbrauch - Industriesektor - Eisen und Stahl - energetischer Verbrauch"/>
    <s v="Elektrizität"/>
    <s v="Gigawattstunde"/>
    <x v="5"/>
    <x v="3"/>
    <n v="28581"/>
  </r>
  <r>
    <x v="4"/>
    <s v="Endenergieverbrauch - Industriesektor - Eisen und Stahl - energetischer Verbrauch"/>
    <s v="Elektrizität"/>
    <s v="Gigawattstunde"/>
    <x v="6"/>
    <x v="3"/>
    <n v="28357"/>
  </r>
  <r>
    <x v="4"/>
    <s v="Endenergieverbrauch - Industriesektor - Eisen und Stahl - energetischer Verbrauch"/>
    <s v="Elektrizität"/>
    <s v="Gigawattstunde"/>
    <x v="7"/>
    <x v="3"/>
    <n v="22393"/>
  </r>
  <r>
    <x v="4"/>
    <s v="Endenergieverbrauch - Industriesektor - Eisen und Stahl - energetischer Verbrauch"/>
    <s v="Elektrizität"/>
    <s v="Gigawattstunde"/>
    <x v="8"/>
    <x v="3"/>
    <n v="27093"/>
  </r>
  <r>
    <x v="4"/>
    <s v="Endenergieverbrauch - Industriesektor - Eisen und Stahl - energetischer Verbrauch"/>
    <s v="Elektrizität"/>
    <s v="Gigawattstunde"/>
    <x v="9"/>
    <x v="3"/>
    <n v="28220"/>
  </r>
  <r>
    <x v="4"/>
    <s v="Endenergieverbrauch - Industriesektor - Eisen und Stahl - energetischer Verbrauch"/>
    <s v="Elektrizität"/>
    <s v="Gigawattstunde"/>
    <x v="10"/>
    <x v="3"/>
    <n v="26873"/>
  </r>
  <r>
    <x v="4"/>
    <s v="Endenergieverbrauch - Industriesektor - Eisen und Stahl - energetischer Verbrauch"/>
    <s v="Elektrizität"/>
    <s v="Gigawattstunde"/>
    <x v="11"/>
    <x v="3"/>
    <n v="26144"/>
  </r>
  <r>
    <x v="4"/>
    <s v="Endenergieverbrauch - Industriesektor - Eisen und Stahl - energetischer Verbrauch"/>
    <s v="Elektrizität"/>
    <s v="Gigawattstunde"/>
    <x v="12"/>
    <x v="3"/>
    <n v="26321"/>
  </r>
  <r>
    <x v="4"/>
    <s v="Endenergieverbrauch - Industriesektor - Eisen und Stahl - energetischer Verbrauch"/>
    <s v="Elektrizität"/>
    <s v="Gigawattstunde"/>
    <x v="13"/>
    <x v="3"/>
    <n v="26063"/>
  </r>
  <r>
    <x v="4"/>
    <s v="Endenergieverbrauch - Industriesektor - Eisen und Stahl - energetischer Verbrauch"/>
    <s v="Elektrizität"/>
    <s v="Gigawattstunde"/>
    <x v="14"/>
    <x v="3"/>
    <n v="27062"/>
  </r>
  <r>
    <x v="4"/>
    <s v="Endenergieverbrauch - Industriesektor - Eisen und Stahl - energetischer Verbrauch"/>
    <s v="Elektrizität"/>
    <s v="Gigawattstunde"/>
    <x v="15"/>
    <x v="3"/>
    <n v="26695"/>
  </r>
  <r>
    <x v="4"/>
    <s v="Endenergieverbrauch - Industriesektor - Eisen und Stahl - energetischer Verbrauch"/>
    <s v="Elektrizität"/>
    <s v="Gigawattstunde"/>
    <x v="16"/>
    <x v="3"/>
    <n v="26341"/>
  </r>
  <r>
    <x v="5"/>
    <s v="Endenergieverbrauch - Industriesektor - Eisen und Stahl - energetischer Verbrauch"/>
    <s v="Elektrizität"/>
    <s v="Gigawattstunde"/>
    <x v="0"/>
    <x v="3"/>
    <n v="4"/>
  </r>
  <r>
    <x v="5"/>
    <s v="Endenergieverbrauch - Industriesektor - Eisen und Stahl - energetischer Verbrauch"/>
    <s v="Elektrizität"/>
    <s v="Gigawattstunde"/>
    <x v="1"/>
    <x v="3"/>
    <n v="4"/>
  </r>
  <r>
    <x v="5"/>
    <s v="Endenergieverbrauch - Industriesektor - Eisen und Stahl - energetischer Verbrauch"/>
    <s v="Elektrizität"/>
    <s v="Gigawattstunde"/>
    <x v="2"/>
    <x v="3"/>
    <n v="3"/>
  </r>
  <r>
    <x v="5"/>
    <s v="Endenergieverbrauch - Industriesektor - Eisen und Stahl - energetischer Verbrauch"/>
    <s v="Elektrizität"/>
    <s v="Gigawattstunde"/>
    <x v="3"/>
    <x v="3"/>
    <n v="5"/>
  </r>
  <r>
    <x v="5"/>
    <s v="Endenergieverbrauch - Industriesektor - Eisen und Stahl - energetischer Verbrauch"/>
    <s v="Elektrizität"/>
    <s v="Gigawattstunde"/>
    <x v="4"/>
    <x v="3"/>
    <n v="6"/>
  </r>
  <r>
    <x v="5"/>
    <s v="Endenergieverbrauch - Industriesektor - Eisen und Stahl - energetischer Verbrauch"/>
    <s v="Elektrizität"/>
    <s v="Gigawattstunde"/>
    <x v="5"/>
    <x v="3"/>
    <n v="5"/>
  </r>
  <r>
    <x v="5"/>
    <s v="Endenergieverbrauch - Industriesektor - Eisen und Stahl - energetischer Verbrauch"/>
    <s v="Elektrizität"/>
    <s v="Gigawattstunde"/>
    <x v="6"/>
    <x v="3"/>
    <n v="4"/>
  </r>
  <r>
    <x v="5"/>
    <s v="Endenergieverbrauch - Industriesektor - Eisen und Stahl - energetischer Verbrauch"/>
    <s v="Elektrizität"/>
    <s v="Gigawattstunde"/>
    <x v="7"/>
    <x v="3"/>
    <n v="3"/>
  </r>
  <r>
    <x v="5"/>
    <s v="Endenergieverbrauch - Industriesektor - Eisen und Stahl - energetischer Verbrauch"/>
    <s v="Elektrizität"/>
    <s v="Gigawattstunde"/>
    <x v="8"/>
    <x v="3"/>
    <n v="3"/>
  </r>
  <r>
    <x v="5"/>
    <s v="Endenergieverbrauch - Industriesektor - Eisen und Stahl - energetischer Verbrauch"/>
    <s v="Elektrizität"/>
    <s v="Gigawattstunde"/>
    <x v="9"/>
    <x v="3"/>
    <n v="3"/>
  </r>
  <r>
    <x v="5"/>
    <s v="Endenergieverbrauch - Industriesektor - Eisen und Stahl - energetischer Verbrauch"/>
    <s v="Elektrizität"/>
    <s v="Gigawattstunde"/>
    <x v="10"/>
    <x v="3"/>
    <n v="1"/>
  </r>
  <r>
    <x v="5"/>
    <s v="Endenergieverbrauch - Industriesektor - Eisen und Stahl - energetischer Verbrauch"/>
    <s v="Elektrizität"/>
    <s v="Gigawattstunde"/>
    <x v="11"/>
    <x v="3"/>
    <n v="1"/>
  </r>
  <r>
    <x v="5"/>
    <s v="Endenergieverbrauch - Industriesektor - Eisen und Stahl - energetischer Verbrauch"/>
    <s v="Elektrizität"/>
    <s v="Gigawattstunde"/>
    <x v="12"/>
    <x v="3"/>
    <n v="1"/>
  </r>
  <r>
    <x v="5"/>
    <s v="Endenergieverbrauch - Industriesektor - Eisen und Stahl - energetischer Verbrauch"/>
    <s v="Elektrizität"/>
    <s v="Gigawattstunde"/>
    <x v="13"/>
    <x v="3"/>
    <n v="1"/>
  </r>
  <r>
    <x v="5"/>
    <s v="Endenergieverbrauch - Industriesektor - Eisen und Stahl - energetischer Verbrauch"/>
    <s v="Elektrizität"/>
    <s v="Gigawattstunde"/>
    <x v="14"/>
    <x v="3"/>
    <n v="1"/>
  </r>
  <r>
    <x v="5"/>
    <s v="Endenergieverbrauch - Industriesektor - Eisen und Stahl - energetischer Verbrauch"/>
    <s v="Elektrizität"/>
    <s v="Gigawattstunde"/>
    <x v="15"/>
    <x v="3"/>
    <n v="2"/>
  </r>
  <r>
    <x v="5"/>
    <s v="Endenergieverbrauch - Industriesektor - Eisen und Stahl - energetischer Verbrauch"/>
    <s v="Elektrizität"/>
    <s v="Gigawattstunde"/>
    <x v="16"/>
    <x v="3"/>
    <n v="3"/>
  </r>
  <r>
    <x v="6"/>
    <s v="Endenergieverbrauch - Industriesektor - Eisen und Stahl - energetischer Verbrauch"/>
    <s v="Elektrizität"/>
    <s v="Gigawattstunde"/>
    <x v="0"/>
    <x v="3"/>
    <n v="22"/>
  </r>
  <r>
    <x v="6"/>
    <s v="Endenergieverbrauch - Industriesektor - Eisen und Stahl - energetischer Verbrauch"/>
    <s v="Elektrizität"/>
    <s v="Gigawattstunde"/>
    <x v="1"/>
    <x v="3"/>
    <n v="12"/>
  </r>
  <r>
    <x v="6"/>
    <s v="Endenergieverbrauch - Industriesektor - Eisen und Stahl - energetischer Verbrauch"/>
    <s v="Elektrizität"/>
    <s v="Gigawattstunde"/>
    <x v="2"/>
    <x v="3"/>
    <n v="12"/>
  </r>
  <r>
    <x v="6"/>
    <s v="Endenergieverbrauch - Industriesektor - Eisen und Stahl - energetischer Verbrauch"/>
    <s v="Elektrizität"/>
    <s v="Gigawattstunde"/>
    <x v="3"/>
    <x v="3"/>
    <n v="12"/>
  </r>
  <r>
    <x v="6"/>
    <s v="Endenergieverbrauch - Industriesektor - Eisen und Stahl - energetischer Verbrauch"/>
    <s v="Elektrizität"/>
    <s v="Gigawattstunde"/>
    <x v="4"/>
    <x v="3"/>
    <n v="12"/>
  </r>
  <r>
    <x v="6"/>
    <s v="Endenergieverbrauch - Industriesektor - Eisen und Stahl - energetischer Verbrauch"/>
    <s v="Elektrizität"/>
    <s v="Gigawattstunde"/>
    <x v="5"/>
    <x v="3"/>
    <n v="0"/>
  </r>
  <r>
    <x v="6"/>
    <s v="Endenergieverbrauch - Industriesektor - Eisen und Stahl - energetischer Verbrauch"/>
    <s v="Elektrizität"/>
    <s v="Gigawattstunde"/>
    <x v="6"/>
    <x v="3"/>
    <n v="0"/>
  </r>
  <r>
    <x v="6"/>
    <s v="Endenergieverbrauch - Industriesektor - Eisen und Stahl - energetischer Verbrauch"/>
    <s v="Elektrizität"/>
    <s v="Gigawattstunde"/>
    <x v="7"/>
    <x v="3"/>
    <n v="0"/>
  </r>
  <r>
    <x v="6"/>
    <s v="Endenergieverbrauch - Industriesektor - Eisen und Stahl - energetischer Verbrauch"/>
    <s v="Elektrizität"/>
    <s v="Gigawattstunde"/>
    <x v="8"/>
    <x v="3"/>
    <n v="0"/>
  </r>
  <r>
    <x v="6"/>
    <s v="Endenergieverbrauch - Industriesektor - Eisen und Stahl - energetischer Verbrauch"/>
    <s v="Elektrizität"/>
    <s v="Gigawattstunde"/>
    <x v="9"/>
    <x v="3"/>
    <n v="0"/>
  </r>
  <r>
    <x v="6"/>
    <s v="Endenergieverbrauch - Industriesektor - Eisen und Stahl - energetischer Verbrauch"/>
    <s v="Elektrizität"/>
    <s v="Gigawattstunde"/>
    <x v="10"/>
    <x v="3"/>
    <n v="0"/>
  </r>
  <r>
    <x v="6"/>
    <s v="Endenergieverbrauch - Industriesektor - Eisen und Stahl - energetischer Verbrauch"/>
    <s v="Elektrizität"/>
    <s v="Gigawattstunde"/>
    <x v="11"/>
    <x v="3"/>
    <n v="0"/>
  </r>
  <r>
    <x v="6"/>
    <s v="Endenergieverbrauch - Industriesektor - Eisen und Stahl - energetischer Verbrauch"/>
    <s v="Elektrizität"/>
    <s v="Gigawattstunde"/>
    <x v="12"/>
    <x v="3"/>
    <n v="0"/>
  </r>
  <r>
    <x v="6"/>
    <s v="Endenergieverbrauch - Industriesektor - Eisen und Stahl - energetischer Verbrauch"/>
    <s v="Elektrizität"/>
    <s v="Gigawattstunde"/>
    <x v="13"/>
    <x v="3"/>
    <n v="0"/>
  </r>
  <r>
    <x v="6"/>
    <s v="Endenergieverbrauch - Industriesektor - Eisen und Stahl - energetischer Verbrauch"/>
    <s v="Elektrizität"/>
    <s v="Gigawattstunde"/>
    <x v="14"/>
    <x v="3"/>
    <n v="0"/>
  </r>
  <r>
    <x v="6"/>
    <s v="Endenergieverbrauch - Industriesektor - Eisen und Stahl - energetischer Verbrauch"/>
    <s v="Elektrizität"/>
    <s v="Gigawattstunde"/>
    <x v="15"/>
    <x v="3"/>
    <n v="0"/>
  </r>
  <r>
    <x v="6"/>
    <s v="Endenergieverbrauch - Industriesektor - Eisen und Stahl - energetischer Verbrauch"/>
    <s v="Elektrizität"/>
    <s v="Gigawattstunde"/>
    <x v="16"/>
    <x v="3"/>
    <n v="0"/>
  </r>
  <r>
    <x v="7"/>
    <s v="Endenergieverbrauch - Industriesektor - Eisen und Stahl - energetischer Verbrauch"/>
    <s v="Elektrizität"/>
    <s v="Gigawattstunde"/>
    <x v="0"/>
    <x v="3"/>
    <n v="1416"/>
  </r>
  <r>
    <x v="7"/>
    <s v="Endenergieverbrauch - Industriesektor - Eisen und Stahl - energetischer Verbrauch"/>
    <s v="Elektrizität"/>
    <s v="Gigawattstunde"/>
    <x v="1"/>
    <x v="3"/>
    <n v="1550"/>
  </r>
  <r>
    <x v="7"/>
    <s v="Endenergieverbrauch - Industriesektor - Eisen und Stahl - energetischer Verbrauch"/>
    <s v="Elektrizität"/>
    <s v="Gigawattstunde"/>
    <x v="2"/>
    <x v="3"/>
    <n v="1506"/>
  </r>
  <r>
    <x v="7"/>
    <s v="Endenergieverbrauch - Industriesektor - Eisen und Stahl - energetischer Verbrauch"/>
    <s v="Elektrizität"/>
    <s v="Gigawattstunde"/>
    <x v="3"/>
    <x v="3"/>
    <n v="1683"/>
  </r>
  <r>
    <x v="7"/>
    <s v="Endenergieverbrauch - Industriesektor - Eisen und Stahl - energetischer Verbrauch"/>
    <s v="Elektrizität"/>
    <s v="Gigawattstunde"/>
    <x v="4"/>
    <x v="3"/>
    <n v="1776"/>
  </r>
  <r>
    <x v="7"/>
    <s v="Endenergieverbrauch - Industriesektor - Eisen und Stahl - energetischer Verbrauch"/>
    <s v="Elektrizität"/>
    <s v="Gigawattstunde"/>
    <x v="5"/>
    <x v="3"/>
    <n v="1985"/>
  </r>
  <r>
    <x v="7"/>
    <s v="Endenergieverbrauch - Industriesektor - Eisen und Stahl - energetischer Verbrauch"/>
    <s v="Elektrizität"/>
    <s v="Gigawattstunde"/>
    <x v="6"/>
    <x v="3"/>
    <n v="1693"/>
  </r>
  <r>
    <x v="7"/>
    <s v="Endenergieverbrauch - Industriesektor - Eisen und Stahl - energetischer Verbrauch"/>
    <s v="Elektrizität"/>
    <s v="Gigawattstunde"/>
    <x v="7"/>
    <x v="3"/>
    <n v="1413"/>
  </r>
  <r>
    <x v="7"/>
    <s v="Endenergieverbrauch - Industriesektor - Eisen und Stahl - energetischer Verbrauch"/>
    <s v="Elektrizität"/>
    <s v="Gigawattstunde"/>
    <x v="8"/>
    <x v="3"/>
    <n v="1302"/>
  </r>
  <r>
    <x v="7"/>
    <s v="Endenergieverbrauch - Industriesektor - Eisen und Stahl - energetischer Verbrauch"/>
    <s v="Elektrizität"/>
    <s v="Gigawattstunde"/>
    <x v="9"/>
    <x v="3"/>
    <n v="1398"/>
  </r>
  <r>
    <x v="7"/>
    <s v="Endenergieverbrauch - Industriesektor - Eisen und Stahl - energetischer Verbrauch"/>
    <s v="Elektrizität"/>
    <s v="Gigawattstunde"/>
    <x v="10"/>
    <x v="3"/>
    <n v="919"/>
  </r>
  <r>
    <x v="7"/>
    <s v="Endenergieverbrauch - Industriesektor - Eisen und Stahl - energetischer Verbrauch"/>
    <s v="Elektrizität"/>
    <s v="Gigawattstunde"/>
    <x v="11"/>
    <x v="3"/>
    <n v="761"/>
  </r>
  <r>
    <x v="7"/>
    <s v="Endenergieverbrauch - Industriesektor - Eisen und Stahl - energetischer Verbrauch"/>
    <s v="Elektrizität"/>
    <s v="Gigawattstunde"/>
    <x v="12"/>
    <x v="3"/>
    <n v="777"/>
  </r>
  <r>
    <x v="7"/>
    <s v="Endenergieverbrauch - Industriesektor - Eisen und Stahl - energetischer Verbrauch"/>
    <s v="Elektrizität"/>
    <s v="Gigawattstunde"/>
    <x v="13"/>
    <x v="3"/>
    <n v="706"/>
  </r>
  <r>
    <x v="7"/>
    <s v="Endenergieverbrauch - Industriesektor - Eisen und Stahl - energetischer Verbrauch"/>
    <s v="Elektrizität"/>
    <s v="Gigawattstunde"/>
    <x v="14"/>
    <x v="3"/>
    <n v="870"/>
  </r>
  <r>
    <x v="7"/>
    <s v="Endenergieverbrauch - Industriesektor - Eisen und Stahl - energetischer Verbrauch"/>
    <s v="Elektrizität"/>
    <s v="Gigawattstunde"/>
    <x v="15"/>
    <x v="3"/>
    <n v="1001"/>
  </r>
  <r>
    <x v="7"/>
    <s v="Endenergieverbrauch - Industriesektor - Eisen und Stahl - energetischer Verbrauch"/>
    <s v="Elektrizität"/>
    <s v="Gigawattstunde"/>
    <x v="16"/>
    <x v="3"/>
    <n v="1063"/>
  </r>
  <r>
    <x v="8"/>
    <s v="Endenergieverbrauch - Industriesektor - Eisen und Stahl - energetischer Verbrauch"/>
    <s v="Elektrizität"/>
    <s v="Gigawattstunde"/>
    <x v="0"/>
    <x v="3"/>
    <n v="16228"/>
  </r>
  <r>
    <x v="8"/>
    <s v="Endenergieverbrauch - Industriesektor - Eisen und Stahl - energetischer Verbrauch"/>
    <s v="Elektrizität"/>
    <s v="Gigawattstunde"/>
    <x v="1"/>
    <x v="3"/>
    <n v="17157"/>
  </r>
  <r>
    <x v="8"/>
    <s v="Endenergieverbrauch - Industriesektor - Eisen und Stahl - energetischer Verbrauch"/>
    <s v="Elektrizität"/>
    <s v="Gigawattstunde"/>
    <x v="2"/>
    <x v="3"/>
    <n v="17210"/>
  </r>
  <r>
    <x v="8"/>
    <s v="Endenergieverbrauch - Industriesektor - Eisen und Stahl - energetischer Verbrauch"/>
    <s v="Elektrizität"/>
    <s v="Gigawattstunde"/>
    <x v="3"/>
    <x v="3"/>
    <n v="18370"/>
  </r>
  <r>
    <x v="8"/>
    <s v="Endenergieverbrauch - Industriesektor - Eisen und Stahl - energetischer Verbrauch"/>
    <s v="Elektrizität"/>
    <s v="Gigawattstunde"/>
    <x v="4"/>
    <x v="3"/>
    <n v="16122"/>
  </r>
  <r>
    <x v="8"/>
    <s v="Endenergieverbrauch - Industriesektor - Eisen und Stahl - energetischer Verbrauch"/>
    <s v="Elektrizität"/>
    <s v="Gigawattstunde"/>
    <x v="5"/>
    <x v="3"/>
    <n v="16571"/>
  </r>
  <r>
    <x v="8"/>
    <s v="Endenergieverbrauch - Industriesektor - Eisen und Stahl - energetischer Verbrauch"/>
    <s v="Elektrizität"/>
    <s v="Gigawattstunde"/>
    <x v="6"/>
    <x v="3"/>
    <n v="17151"/>
  </r>
  <r>
    <x v="8"/>
    <s v="Endenergieverbrauch - Industriesektor - Eisen und Stahl - energetischer Verbrauch"/>
    <s v="Elektrizität"/>
    <s v="Gigawattstunde"/>
    <x v="7"/>
    <x v="3"/>
    <n v="12271"/>
  </r>
  <r>
    <x v="8"/>
    <s v="Endenergieverbrauch - Industriesektor - Eisen und Stahl - energetischer Verbrauch"/>
    <s v="Elektrizität"/>
    <s v="Gigawattstunde"/>
    <x v="8"/>
    <x v="3"/>
    <n v="14318"/>
  </r>
  <r>
    <x v="8"/>
    <s v="Endenergieverbrauch - Industriesektor - Eisen und Stahl - energetischer Verbrauch"/>
    <s v="Elektrizität"/>
    <s v="Gigawattstunde"/>
    <x v="9"/>
    <x v="3"/>
    <n v="13434"/>
  </r>
  <r>
    <x v="8"/>
    <s v="Endenergieverbrauch - Industriesektor - Eisen und Stahl - energetischer Verbrauch"/>
    <s v="Elektrizität"/>
    <s v="Gigawattstunde"/>
    <x v="10"/>
    <x v="3"/>
    <n v="13254"/>
  </r>
  <r>
    <x v="8"/>
    <s v="Endenergieverbrauch - Industriesektor - Eisen und Stahl - energetischer Verbrauch"/>
    <s v="Elektrizität"/>
    <s v="Gigawattstunde"/>
    <x v="11"/>
    <x v="3"/>
    <n v="12326"/>
  </r>
  <r>
    <x v="8"/>
    <s v="Endenergieverbrauch - Industriesektor - Eisen und Stahl - energetischer Verbrauch"/>
    <s v="Elektrizität"/>
    <s v="Gigawattstunde"/>
    <x v="12"/>
    <x v="3"/>
    <n v="12310"/>
  </r>
  <r>
    <x v="8"/>
    <s v="Endenergieverbrauch - Industriesektor - Eisen und Stahl - energetischer Verbrauch"/>
    <s v="Elektrizität"/>
    <s v="Gigawattstunde"/>
    <x v="13"/>
    <x v="3"/>
    <n v="12610"/>
  </r>
  <r>
    <x v="8"/>
    <s v="Endenergieverbrauch - Industriesektor - Eisen und Stahl - energetischer Verbrauch"/>
    <s v="Elektrizität"/>
    <s v="Gigawattstunde"/>
    <x v="14"/>
    <x v="3"/>
    <n v="13499"/>
  </r>
  <r>
    <x v="8"/>
    <s v="Endenergieverbrauch - Industriesektor - Eisen und Stahl - energetischer Verbrauch"/>
    <s v="Elektrizität"/>
    <s v="Gigawattstunde"/>
    <x v="15"/>
    <x v="3"/>
    <n v="14412"/>
  </r>
  <r>
    <x v="8"/>
    <s v="Endenergieverbrauch - Industriesektor - Eisen und Stahl - energetischer Verbrauch"/>
    <s v="Elektrizität"/>
    <s v="Gigawattstunde"/>
    <x v="16"/>
    <x v="3"/>
    <n v="15136"/>
  </r>
  <r>
    <x v="9"/>
    <s v="Endenergieverbrauch - Industriesektor - Eisen und Stahl - energetischer Verbrauch"/>
    <s v="Elektrizität"/>
    <s v="Gigawattstunde"/>
    <x v="0"/>
    <x v="3"/>
    <n v="16162"/>
  </r>
  <r>
    <x v="9"/>
    <s v="Endenergieverbrauch - Industriesektor - Eisen und Stahl - energetischer Verbrauch"/>
    <s v="Elektrizität"/>
    <s v="Gigawattstunde"/>
    <x v="1"/>
    <x v="3"/>
    <n v="15561"/>
  </r>
  <r>
    <x v="9"/>
    <s v="Endenergieverbrauch - Industriesektor - Eisen und Stahl - energetischer Verbrauch"/>
    <s v="Elektrizität"/>
    <s v="Gigawattstunde"/>
    <x v="2"/>
    <x v="3"/>
    <n v="16362"/>
  </r>
  <r>
    <x v="9"/>
    <s v="Endenergieverbrauch - Industriesektor - Eisen und Stahl - energetischer Verbrauch"/>
    <s v="Elektrizität"/>
    <s v="Gigawattstunde"/>
    <x v="3"/>
    <x v="3"/>
    <n v="15611"/>
  </r>
  <r>
    <x v="9"/>
    <s v="Endenergieverbrauch - Industriesektor - Eisen und Stahl - energetischer Verbrauch"/>
    <s v="Elektrizität"/>
    <s v="Gigawattstunde"/>
    <x v="4"/>
    <x v="3"/>
    <n v="15924"/>
  </r>
  <r>
    <x v="9"/>
    <s v="Endenergieverbrauch - Industriesektor - Eisen und Stahl - energetischer Verbrauch"/>
    <s v="Elektrizität"/>
    <s v="Gigawattstunde"/>
    <x v="5"/>
    <x v="3"/>
    <n v="15861"/>
  </r>
  <r>
    <x v="9"/>
    <s v="Endenergieverbrauch - Industriesektor - Eisen und Stahl - energetischer Verbrauch"/>
    <s v="Elektrizität"/>
    <s v="Gigawattstunde"/>
    <x v="6"/>
    <x v="3"/>
    <n v="11897"/>
  </r>
  <r>
    <x v="9"/>
    <s v="Endenergieverbrauch - Industriesektor - Eisen und Stahl - energetischer Verbrauch"/>
    <s v="Elektrizität"/>
    <s v="Gigawattstunde"/>
    <x v="7"/>
    <x v="3"/>
    <n v="8821"/>
  </r>
  <r>
    <x v="9"/>
    <s v="Endenergieverbrauch - Industriesektor - Eisen und Stahl - energetischer Verbrauch"/>
    <s v="Elektrizität"/>
    <s v="Gigawattstunde"/>
    <x v="8"/>
    <x v="3"/>
    <n v="10217"/>
  </r>
  <r>
    <x v="9"/>
    <s v="Endenergieverbrauch - Industriesektor - Eisen und Stahl - energetischer Verbrauch"/>
    <s v="Elektrizität"/>
    <s v="Gigawattstunde"/>
    <x v="9"/>
    <x v="3"/>
    <n v="12677.449000000001"/>
  </r>
  <r>
    <x v="9"/>
    <s v="Endenergieverbrauch - Industriesektor - Eisen und Stahl - energetischer Verbrauch"/>
    <s v="Elektrizität"/>
    <s v="Gigawattstunde"/>
    <x v="10"/>
    <x v="3"/>
    <n v="12581.119000000001"/>
  </r>
  <r>
    <x v="9"/>
    <s v="Endenergieverbrauch - Industriesektor - Eisen und Stahl - energetischer Verbrauch"/>
    <s v="Elektrizität"/>
    <s v="Gigawattstunde"/>
    <x v="11"/>
    <x v="3"/>
    <n v="12389.322"/>
  </r>
  <r>
    <x v="9"/>
    <s v="Endenergieverbrauch - Industriesektor - Eisen und Stahl - energetischer Verbrauch"/>
    <s v="Elektrizität"/>
    <s v="Gigawattstunde"/>
    <x v="12"/>
    <x v="3"/>
    <n v="12607.163"/>
  </r>
  <r>
    <x v="9"/>
    <s v="Endenergieverbrauch - Industriesektor - Eisen und Stahl - energetischer Verbrauch"/>
    <s v="Elektrizität"/>
    <s v="Gigawattstunde"/>
    <x v="13"/>
    <x v="3"/>
    <n v="12052.245000000001"/>
  </r>
  <r>
    <x v="9"/>
    <s v="Endenergieverbrauch - Industriesektor - Eisen und Stahl - energetischer Verbrauch"/>
    <s v="Elektrizität"/>
    <s v="Gigawattstunde"/>
    <x v="14"/>
    <x v="3"/>
    <n v="12299.036"/>
  </r>
  <r>
    <x v="9"/>
    <s v="Endenergieverbrauch - Industriesektor - Eisen und Stahl - energetischer Verbrauch"/>
    <s v="Elektrizität"/>
    <s v="Gigawattstunde"/>
    <x v="15"/>
    <x v="3"/>
    <n v="11871.609"/>
  </r>
  <r>
    <x v="9"/>
    <s v="Endenergieverbrauch - Industriesektor - Eisen und Stahl - energetischer Verbrauch"/>
    <s v="Elektrizität"/>
    <s v="Gigawattstunde"/>
    <x v="16"/>
    <x v="3"/>
    <n v="12067.746999999999"/>
  </r>
  <r>
    <x v="10"/>
    <s v="Endenergieverbrauch - Industriesektor - Eisen und Stahl - energetischer Verbrauch"/>
    <s v="Elektrizität"/>
    <s v="Gigawattstunde"/>
    <x v="0"/>
    <x v="3"/>
    <n v="122"/>
  </r>
  <r>
    <x v="10"/>
    <s v="Endenergieverbrauch - Industriesektor - Eisen und Stahl - energetischer Verbrauch"/>
    <s v="Elektrizität"/>
    <s v="Gigawattstunde"/>
    <x v="1"/>
    <x v="3"/>
    <n v="137"/>
  </r>
  <r>
    <x v="10"/>
    <s v="Endenergieverbrauch - Industriesektor - Eisen und Stahl - energetischer Verbrauch"/>
    <s v="Elektrizität"/>
    <s v="Gigawattstunde"/>
    <x v="2"/>
    <x v="3"/>
    <n v="188"/>
  </r>
  <r>
    <x v="10"/>
    <s v="Endenergieverbrauch - Industriesektor - Eisen und Stahl - energetischer Verbrauch"/>
    <s v="Elektrizität"/>
    <s v="Gigawattstunde"/>
    <x v="3"/>
    <x v="3"/>
    <n v="180"/>
  </r>
  <r>
    <x v="10"/>
    <s v="Endenergieverbrauch - Industriesektor - Eisen und Stahl - energetischer Verbrauch"/>
    <s v="Elektrizität"/>
    <s v="Gigawattstunde"/>
    <x v="4"/>
    <x v="3"/>
    <n v="206"/>
  </r>
  <r>
    <x v="10"/>
    <s v="Endenergieverbrauch - Industriesektor - Eisen und Stahl - energetischer Verbrauch"/>
    <s v="Elektrizität"/>
    <s v="Gigawattstunde"/>
    <x v="5"/>
    <x v="3"/>
    <n v="203"/>
  </r>
  <r>
    <x v="10"/>
    <s v="Endenergieverbrauch - Industriesektor - Eisen und Stahl - energetischer Verbrauch"/>
    <s v="Elektrizität"/>
    <s v="Gigawattstunde"/>
    <x v="6"/>
    <x v="3"/>
    <n v="245"/>
  </r>
  <r>
    <x v="10"/>
    <s v="Endenergieverbrauch - Industriesektor - Eisen und Stahl - energetischer Verbrauch"/>
    <s v="Elektrizität"/>
    <s v="Gigawattstunde"/>
    <x v="7"/>
    <x v="3"/>
    <n v="139"/>
  </r>
  <r>
    <x v="10"/>
    <s v="Endenergieverbrauch - Industriesektor - Eisen und Stahl - energetischer Verbrauch"/>
    <s v="Elektrizität"/>
    <s v="Gigawattstunde"/>
    <x v="8"/>
    <x v="3"/>
    <n v="181"/>
  </r>
  <r>
    <x v="10"/>
    <s v="Endenergieverbrauch - Industriesektor - Eisen und Stahl - energetischer Verbrauch"/>
    <s v="Elektrizität"/>
    <s v="Gigawattstunde"/>
    <x v="9"/>
    <x v="3"/>
    <n v="176"/>
  </r>
  <r>
    <x v="10"/>
    <s v="Endenergieverbrauch - Industriesektor - Eisen und Stahl - energetischer Verbrauch"/>
    <s v="Elektrizität"/>
    <s v="Gigawattstunde"/>
    <x v="10"/>
    <x v="3"/>
    <n v="82"/>
  </r>
  <r>
    <x v="10"/>
    <s v="Endenergieverbrauch - Industriesektor - Eisen und Stahl - energetischer Verbrauch"/>
    <s v="Elektrizität"/>
    <s v="Gigawattstunde"/>
    <x v="11"/>
    <x v="3"/>
    <n v="168"/>
  </r>
  <r>
    <x v="10"/>
    <s v="Endenergieverbrauch - Industriesektor - Eisen und Stahl - energetischer Verbrauch"/>
    <s v="Elektrizität"/>
    <s v="Gigawattstunde"/>
    <x v="12"/>
    <x v="3"/>
    <n v="176"/>
  </r>
  <r>
    <x v="10"/>
    <s v="Endenergieverbrauch - Industriesektor - Eisen und Stahl - energetischer Verbrauch"/>
    <s v="Elektrizität"/>
    <s v="Gigawattstunde"/>
    <x v="13"/>
    <x v="3"/>
    <n v="170"/>
  </r>
  <r>
    <x v="10"/>
    <s v="Endenergieverbrauch - Industriesektor - Eisen und Stahl - energetischer Verbrauch"/>
    <s v="Elektrizität"/>
    <s v="Gigawattstunde"/>
    <x v="14"/>
    <x v="3"/>
    <n v="50"/>
  </r>
  <r>
    <x v="10"/>
    <s v="Endenergieverbrauch - Industriesektor - Eisen und Stahl - energetischer Verbrauch"/>
    <s v="Elektrizität"/>
    <s v="Gigawattstunde"/>
    <x v="15"/>
    <x v="3"/>
    <n v="53.7"/>
  </r>
  <r>
    <x v="10"/>
    <s v="Endenergieverbrauch - Industriesektor - Eisen und Stahl - energetischer Verbrauch"/>
    <s v="Elektrizität"/>
    <s v="Gigawattstunde"/>
    <x v="16"/>
    <x v="3"/>
    <n v="175.3"/>
  </r>
  <r>
    <x v="11"/>
    <s v="Endenergieverbrauch - Industriesektor - Eisen und Stahl - energetischer Verbrauch"/>
    <s v="Elektrizität"/>
    <s v="Gigawattstunde"/>
    <x v="0"/>
    <x v="3"/>
    <n v="19966"/>
  </r>
  <r>
    <x v="11"/>
    <s v="Endenergieverbrauch - Industriesektor - Eisen und Stahl - energetischer Verbrauch"/>
    <s v="Elektrizität"/>
    <s v="Gigawattstunde"/>
    <x v="1"/>
    <x v="3"/>
    <n v="19887"/>
  </r>
  <r>
    <x v="11"/>
    <s v="Endenergieverbrauch - Industriesektor - Eisen und Stahl - energetischer Verbrauch"/>
    <s v="Elektrizität"/>
    <s v="Gigawattstunde"/>
    <x v="2"/>
    <x v="3"/>
    <n v="20045"/>
  </r>
  <r>
    <x v="11"/>
    <s v="Endenergieverbrauch - Industriesektor - Eisen und Stahl - energetischer Verbrauch"/>
    <s v="Elektrizität"/>
    <s v="Gigawattstunde"/>
    <x v="3"/>
    <x v="3"/>
    <n v="20395"/>
  </r>
  <r>
    <x v="11"/>
    <s v="Endenergieverbrauch - Industriesektor - Eisen und Stahl - energetischer Verbrauch"/>
    <s v="Elektrizität"/>
    <s v="Gigawattstunde"/>
    <x v="4"/>
    <x v="3"/>
    <n v="21688"/>
  </r>
  <r>
    <x v="11"/>
    <s v="Endenergieverbrauch - Industriesektor - Eisen und Stahl - energetischer Verbrauch"/>
    <s v="Elektrizität"/>
    <s v="Gigawattstunde"/>
    <x v="5"/>
    <x v="3"/>
    <n v="21676"/>
  </r>
  <r>
    <x v="11"/>
    <s v="Endenergieverbrauch - Industriesektor - Eisen und Stahl - energetischer Verbrauch"/>
    <s v="Elektrizität"/>
    <s v="Gigawattstunde"/>
    <x v="6"/>
    <x v="3"/>
    <n v="21625"/>
  </r>
  <r>
    <x v="11"/>
    <s v="Endenergieverbrauch - Industriesektor - Eisen und Stahl - energetischer Verbrauch"/>
    <s v="Elektrizität"/>
    <s v="Gigawattstunde"/>
    <x v="7"/>
    <x v="3"/>
    <n v="15731"/>
  </r>
  <r>
    <x v="11"/>
    <s v="Endenergieverbrauch - Industriesektor - Eisen und Stahl - energetischer Verbrauch"/>
    <s v="Elektrizität"/>
    <s v="Gigawattstunde"/>
    <x v="8"/>
    <x v="3"/>
    <n v="18675"/>
  </r>
  <r>
    <x v="11"/>
    <s v="Endenergieverbrauch - Industriesektor - Eisen und Stahl - energetischer Verbrauch"/>
    <s v="Elektrizität"/>
    <s v="Gigawattstunde"/>
    <x v="9"/>
    <x v="3"/>
    <n v="20640"/>
  </r>
  <r>
    <x v="11"/>
    <s v="Endenergieverbrauch - Industriesektor - Eisen und Stahl - energetischer Verbrauch"/>
    <s v="Elektrizität"/>
    <s v="Gigawattstunde"/>
    <x v="10"/>
    <x v="3"/>
    <n v="19772"/>
  </r>
  <r>
    <x v="11"/>
    <s v="Endenergieverbrauch - Industriesektor - Eisen und Stahl - energetischer Verbrauch"/>
    <s v="Elektrizität"/>
    <s v="Gigawattstunde"/>
    <x v="11"/>
    <x v="3"/>
    <n v="18300"/>
  </r>
  <r>
    <x v="11"/>
    <s v="Endenergieverbrauch - Industriesektor - Eisen und Stahl - energetischer Verbrauch"/>
    <s v="Elektrizität"/>
    <s v="Gigawattstunde"/>
    <x v="12"/>
    <x v="3"/>
    <n v="18355"/>
  </r>
  <r>
    <x v="11"/>
    <s v="Endenergieverbrauch - Industriesektor - Eisen und Stahl - energetischer Verbrauch"/>
    <s v="Elektrizität"/>
    <s v="Gigawattstunde"/>
    <x v="13"/>
    <x v="3"/>
    <n v="17439"/>
  </r>
  <r>
    <x v="11"/>
    <s v="Endenergieverbrauch - Industriesektor - Eisen und Stahl - energetischer Verbrauch"/>
    <s v="Elektrizität"/>
    <s v="Gigawattstunde"/>
    <x v="14"/>
    <x v="3"/>
    <n v="18262"/>
  </r>
  <r>
    <x v="11"/>
    <s v="Endenergieverbrauch - Industriesektor - Eisen und Stahl - energetischer Verbrauch"/>
    <s v="Elektrizität"/>
    <s v="Gigawattstunde"/>
    <x v="15"/>
    <x v="3"/>
    <n v="18724.677"/>
  </r>
  <r>
    <x v="11"/>
    <s v="Endenergieverbrauch - Industriesektor - Eisen und Stahl - energetischer Verbrauch"/>
    <s v="Elektrizität"/>
    <s v="Gigawattstunde"/>
    <x v="16"/>
    <x v="3"/>
    <n v="18908.468000000001"/>
  </r>
  <r>
    <x v="12"/>
    <s v="Endenergieverbrauch - Industriesektor - Eisen und Stahl - energetischer Verbrauch"/>
    <s v="Elektrizität"/>
    <s v="Gigawattstunde"/>
    <x v="0"/>
    <x v="3"/>
    <n v="0"/>
  </r>
  <r>
    <x v="12"/>
    <s v="Endenergieverbrauch - Industriesektor - Eisen und Stahl - energetischer Verbrauch"/>
    <s v="Elektrizität"/>
    <s v="Gigawattstunde"/>
    <x v="1"/>
    <x v="3"/>
    <n v="0"/>
  </r>
  <r>
    <x v="12"/>
    <s v="Endenergieverbrauch - Industriesektor - Eisen und Stahl - energetischer Verbrauch"/>
    <s v="Elektrizität"/>
    <s v="Gigawattstunde"/>
    <x v="2"/>
    <x v="3"/>
    <n v="0"/>
  </r>
  <r>
    <x v="12"/>
    <s v="Endenergieverbrauch - Industriesektor - Eisen und Stahl - energetischer Verbrauch"/>
    <s v="Elektrizität"/>
    <s v="Gigawattstunde"/>
    <x v="3"/>
    <x v="3"/>
    <n v="1"/>
  </r>
  <r>
    <x v="12"/>
    <s v="Endenergieverbrauch - Industriesektor - Eisen und Stahl - energetischer Verbrauch"/>
    <s v="Elektrizität"/>
    <s v="Gigawattstunde"/>
    <x v="4"/>
    <x v="3"/>
    <n v="1"/>
  </r>
  <r>
    <x v="12"/>
    <s v="Endenergieverbrauch - Industriesektor - Eisen und Stahl - energetischer Verbrauch"/>
    <s v="Elektrizität"/>
    <s v="Gigawattstunde"/>
    <x v="5"/>
    <x v="3"/>
    <n v="1"/>
  </r>
  <r>
    <x v="12"/>
    <s v="Endenergieverbrauch - Industriesektor - Eisen und Stahl - energetischer Verbrauch"/>
    <s v="Elektrizität"/>
    <s v="Gigawattstunde"/>
    <x v="6"/>
    <x v="3"/>
    <n v="2"/>
  </r>
  <r>
    <x v="12"/>
    <s v="Endenergieverbrauch - Industriesektor - Eisen und Stahl - energetischer Verbrauch"/>
    <s v="Elektrizität"/>
    <s v="Gigawattstunde"/>
    <x v="7"/>
    <x v="3"/>
    <n v="2"/>
  </r>
  <r>
    <x v="12"/>
    <s v="Endenergieverbrauch - Industriesektor - Eisen und Stahl - energetischer Verbrauch"/>
    <s v="Elektrizität"/>
    <s v="Gigawattstunde"/>
    <x v="8"/>
    <x v="3"/>
    <n v="2"/>
  </r>
  <r>
    <x v="12"/>
    <s v="Endenergieverbrauch - Industriesektor - Eisen und Stahl - energetischer Verbrauch"/>
    <s v="Elektrizität"/>
    <s v="Gigawattstunde"/>
    <x v="9"/>
    <x v="3"/>
    <n v="2"/>
  </r>
  <r>
    <x v="12"/>
    <s v="Endenergieverbrauch - Industriesektor - Eisen und Stahl - energetischer Verbrauch"/>
    <s v="Elektrizität"/>
    <s v="Gigawattstunde"/>
    <x v="10"/>
    <x v="3"/>
    <n v="2"/>
  </r>
  <r>
    <x v="12"/>
    <s v="Endenergieverbrauch - Industriesektor - Eisen und Stahl - energetischer Verbrauch"/>
    <s v="Elektrizität"/>
    <s v="Gigawattstunde"/>
    <x v="11"/>
    <x v="3"/>
    <n v="2"/>
  </r>
  <r>
    <x v="12"/>
    <s v="Endenergieverbrauch - Industriesektor - Eisen und Stahl - energetischer Verbrauch"/>
    <s v="Elektrizität"/>
    <s v="Gigawattstunde"/>
    <x v="12"/>
    <x v="3"/>
    <n v="2"/>
  </r>
  <r>
    <x v="12"/>
    <s v="Endenergieverbrauch - Industriesektor - Eisen und Stahl - energetischer Verbrauch"/>
    <s v="Elektrizität"/>
    <s v="Gigawattstunde"/>
    <x v="13"/>
    <x v="3"/>
    <n v="2"/>
  </r>
  <r>
    <x v="12"/>
    <s v="Endenergieverbrauch - Industriesektor - Eisen und Stahl - energetischer Verbrauch"/>
    <s v="Elektrizität"/>
    <s v="Gigawattstunde"/>
    <x v="14"/>
    <x v="3"/>
    <n v="2"/>
  </r>
  <r>
    <x v="12"/>
    <s v="Endenergieverbrauch - Industriesektor - Eisen und Stahl - energetischer Verbrauch"/>
    <s v="Elektrizität"/>
    <s v="Gigawattstunde"/>
    <x v="15"/>
    <x v="3"/>
    <n v="2.024"/>
  </r>
  <r>
    <x v="12"/>
    <s v="Endenergieverbrauch - Industriesektor - Eisen und Stahl - energetischer Verbrauch"/>
    <s v="Elektrizität"/>
    <s v="Gigawattstunde"/>
    <x v="16"/>
    <x v="3"/>
    <n v="2.2559999999999998"/>
  </r>
  <r>
    <x v="13"/>
    <s v="Endenergieverbrauch - Industriesektor - Eisen und Stahl - energetischer Verbrauch"/>
    <s v="Elektrizität"/>
    <s v="Gigawattstunde"/>
    <x v="0"/>
    <x v="3"/>
    <n v="137"/>
  </r>
  <r>
    <x v="13"/>
    <s v="Endenergieverbrauch - Industriesektor - Eisen und Stahl - energetischer Verbrauch"/>
    <s v="Elektrizität"/>
    <s v="Gigawattstunde"/>
    <x v="1"/>
    <x v="3"/>
    <n v="137"/>
  </r>
  <r>
    <x v="13"/>
    <s v="Endenergieverbrauch - Industriesektor - Eisen und Stahl - energetischer Verbrauch"/>
    <s v="Elektrizität"/>
    <s v="Gigawattstunde"/>
    <x v="2"/>
    <x v="3"/>
    <n v="147"/>
  </r>
  <r>
    <x v="13"/>
    <s v="Endenergieverbrauch - Industriesektor - Eisen und Stahl - energetischer Verbrauch"/>
    <s v="Elektrizität"/>
    <s v="Gigawattstunde"/>
    <x v="3"/>
    <x v="3"/>
    <n v="144"/>
  </r>
  <r>
    <x v="13"/>
    <s v="Endenergieverbrauch - Industriesektor - Eisen und Stahl - energetischer Verbrauch"/>
    <s v="Elektrizität"/>
    <s v="Gigawattstunde"/>
    <x v="4"/>
    <x v="3"/>
    <n v="157"/>
  </r>
  <r>
    <x v="13"/>
    <s v="Endenergieverbrauch - Industriesektor - Eisen und Stahl - energetischer Verbrauch"/>
    <s v="Elektrizität"/>
    <s v="Gigawattstunde"/>
    <x v="5"/>
    <x v="3"/>
    <n v="147"/>
  </r>
  <r>
    <x v="13"/>
    <s v="Endenergieverbrauch - Industriesektor - Eisen und Stahl - energetischer Verbrauch"/>
    <s v="Elektrizität"/>
    <s v="Gigawattstunde"/>
    <x v="6"/>
    <x v="3"/>
    <n v="142"/>
  </r>
  <r>
    <x v="13"/>
    <s v="Endenergieverbrauch - Industriesektor - Eisen und Stahl - energetischer Verbrauch"/>
    <s v="Elektrizität"/>
    <s v="Gigawattstunde"/>
    <x v="7"/>
    <x v="3"/>
    <n v="134"/>
  </r>
  <r>
    <x v="13"/>
    <s v="Endenergieverbrauch - Industriesektor - Eisen und Stahl - energetischer Verbrauch"/>
    <s v="Elektrizität"/>
    <s v="Gigawattstunde"/>
    <x v="8"/>
    <x v="3"/>
    <n v="148"/>
  </r>
  <r>
    <x v="13"/>
    <s v="Endenergieverbrauch - Industriesektor - Eisen und Stahl - energetischer Verbrauch"/>
    <s v="Elektrizität"/>
    <s v="Gigawattstunde"/>
    <x v="9"/>
    <x v="3"/>
    <n v="189"/>
  </r>
  <r>
    <x v="13"/>
    <s v="Endenergieverbrauch - Industriesektor - Eisen und Stahl - energetischer Verbrauch"/>
    <s v="Elektrizität"/>
    <s v="Gigawattstunde"/>
    <x v="10"/>
    <x v="3"/>
    <n v="486"/>
  </r>
  <r>
    <x v="13"/>
    <s v="Endenergieverbrauch - Industriesektor - Eisen und Stahl - energetischer Verbrauch"/>
    <s v="Elektrizität"/>
    <s v="Gigawattstunde"/>
    <x v="11"/>
    <x v="3"/>
    <n v="141"/>
  </r>
  <r>
    <x v="13"/>
    <s v="Endenergieverbrauch - Industriesektor - Eisen und Stahl - energetischer Verbrauch"/>
    <s v="Elektrizität"/>
    <s v="Gigawattstunde"/>
    <x v="12"/>
    <x v="3"/>
    <n v="15"/>
  </r>
  <r>
    <x v="13"/>
    <s v="Endenergieverbrauch - Industriesektor - Eisen und Stahl - energetischer Verbrauch"/>
    <s v="Elektrizität"/>
    <s v="Gigawattstunde"/>
    <x v="13"/>
    <x v="3"/>
    <n v="49"/>
  </r>
  <r>
    <x v="13"/>
    <s v="Endenergieverbrauch - Industriesektor - Eisen und Stahl - energetischer Verbrauch"/>
    <s v="Elektrizität"/>
    <s v="Gigawattstunde"/>
    <x v="14"/>
    <x v="3"/>
    <n v="14"/>
  </r>
  <r>
    <x v="13"/>
    <s v="Endenergieverbrauch - Industriesektor - Eisen und Stahl - energetischer Verbrauch"/>
    <s v="Elektrizität"/>
    <s v="Gigawattstunde"/>
    <x v="15"/>
    <x v="3"/>
    <n v="14.581"/>
  </r>
  <r>
    <x v="13"/>
    <s v="Endenergieverbrauch - Industriesektor - Eisen und Stahl - energetischer Verbrauch"/>
    <s v="Elektrizität"/>
    <s v="Gigawattstunde"/>
    <x v="16"/>
    <x v="3"/>
    <n v="13.706"/>
  </r>
  <r>
    <x v="14"/>
    <s v="Endenergieverbrauch - Industriesektor - Eisen und Stahl - energetischer Verbrauch"/>
    <s v="Elektrizität"/>
    <s v="Gigawattstunde"/>
    <x v="0"/>
    <x v="3"/>
    <n v="40"/>
  </r>
  <r>
    <x v="14"/>
    <s v="Endenergieverbrauch - Industriesektor - Eisen und Stahl - energetischer Verbrauch"/>
    <s v="Elektrizität"/>
    <s v="Gigawattstunde"/>
    <x v="1"/>
    <x v="3"/>
    <n v="34"/>
  </r>
  <r>
    <x v="14"/>
    <s v="Endenergieverbrauch - Industriesektor - Eisen und Stahl - energetischer Verbrauch"/>
    <s v="Elektrizität"/>
    <s v="Gigawattstunde"/>
    <x v="2"/>
    <x v="3"/>
    <n v="32"/>
  </r>
  <r>
    <x v="14"/>
    <s v="Endenergieverbrauch - Industriesektor - Eisen und Stahl - energetischer Verbrauch"/>
    <s v="Elektrizität"/>
    <s v="Gigawattstunde"/>
    <x v="3"/>
    <x v="3"/>
    <n v="29"/>
  </r>
  <r>
    <x v="14"/>
    <s v="Endenergieverbrauch - Industriesektor - Eisen und Stahl - energetischer Verbrauch"/>
    <s v="Elektrizität"/>
    <s v="Gigawattstunde"/>
    <x v="4"/>
    <x v="3"/>
    <n v="25"/>
  </r>
  <r>
    <x v="14"/>
    <s v="Endenergieverbrauch - Industriesektor - Eisen und Stahl - energetischer Verbrauch"/>
    <s v="Elektrizität"/>
    <s v="Gigawattstunde"/>
    <x v="5"/>
    <x v="3"/>
    <n v="36"/>
  </r>
  <r>
    <x v="14"/>
    <s v="Endenergieverbrauch - Industriesektor - Eisen und Stahl - energetischer Verbrauch"/>
    <s v="Elektrizität"/>
    <s v="Gigawattstunde"/>
    <x v="6"/>
    <x v="3"/>
    <n v="19"/>
  </r>
  <r>
    <x v="14"/>
    <s v="Endenergieverbrauch - Industriesektor - Eisen und Stahl - energetischer Verbrauch"/>
    <s v="Elektrizität"/>
    <s v="Gigawattstunde"/>
    <x v="7"/>
    <x v="3"/>
    <n v="22"/>
  </r>
  <r>
    <x v="14"/>
    <s v="Endenergieverbrauch - Industriesektor - Eisen und Stahl - energetischer Verbrauch"/>
    <s v="Elektrizität"/>
    <s v="Gigawattstunde"/>
    <x v="8"/>
    <x v="3"/>
    <n v="19"/>
  </r>
  <r>
    <x v="14"/>
    <s v="Endenergieverbrauch - Industriesektor - Eisen und Stahl - energetischer Verbrauch"/>
    <s v="Elektrizität"/>
    <s v="Gigawattstunde"/>
    <x v="9"/>
    <x v="3"/>
    <n v="21"/>
  </r>
  <r>
    <x v="14"/>
    <s v="Endenergieverbrauch - Industriesektor - Eisen und Stahl - energetischer Verbrauch"/>
    <s v="Elektrizität"/>
    <s v="Gigawattstunde"/>
    <x v="10"/>
    <x v="3"/>
    <n v="24"/>
  </r>
  <r>
    <x v="14"/>
    <s v="Endenergieverbrauch - Industriesektor - Eisen und Stahl - energetischer Verbrauch"/>
    <s v="Elektrizität"/>
    <s v="Gigawattstunde"/>
    <x v="11"/>
    <x v="3"/>
    <n v="21"/>
  </r>
  <r>
    <x v="14"/>
    <s v="Endenergieverbrauch - Industriesektor - Eisen und Stahl - energetischer Verbrauch"/>
    <s v="Elektrizität"/>
    <s v="Gigawattstunde"/>
    <x v="12"/>
    <x v="3"/>
    <n v="20"/>
  </r>
  <r>
    <x v="14"/>
    <s v="Endenergieverbrauch - Industriesektor - Eisen und Stahl - energetischer Verbrauch"/>
    <s v="Elektrizität"/>
    <s v="Gigawattstunde"/>
    <x v="13"/>
    <x v="3"/>
    <n v="19"/>
  </r>
  <r>
    <x v="14"/>
    <s v="Endenergieverbrauch - Industriesektor - Eisen und Stahl - energetischer Verbrauch"/>
    <s v="Elektrizität"/>
    <s v="Gigawattstunde"/>
    <x v="14"/>
    <x v="3"/>
    <n v="19"/>
  </r>
  <r>
    <x v="14"/>
    <s v="Endenergieverbrauch - Industriesektor - Eisen und Stahl - energetischer Verbrauch"/>
    <s v="Elektrizität"/>
    <s v="Gigawattstunde"/>
    <x v="15"/>
    <x v="3"/>
    <n v="19.100000000000001"/>
  </r>
  <r>
    <x v="14"/>
    <s v="Endenergieverbrauch - Industriesektor - Eisen und Stahl - energetischer Verbrauch"/>
    <s v="Elektrizität"/>
    <s v="Gigawattstunde"/>
    <x v="16"/>
    <x v="3"/>
    <n v="16.600000000000001"/>
  </r>
  <r>
    <x v="15"/>
    <s v="Endenergieverbrauch - Industriesektor - Eisen und Stahl - energetischer Verbrauch"/>
    <s v="Elektrizität"/>
    <s v="Gigawattstunde"/>
    <x v="0"/>
    <x v="3"/>
    <n v="1794.5509999999999"/>
  </r>
  <r>
    <x v="15"/>
    <s v="Endenergieverbrauch - Industriesektor - Eisen und Stahl - energetischer Verbrauch"/>
    <s v="Elektrizität"/>
    <s v="Gigawattstunde"/>
    <x v="1"/>
    <x v="3"/>
    <n v="1595.393"/>
  </r>
  <r>
    <x v="15"/>
    <s v="Endenergieverbrauch - Industriesektor - Eisen und Stahl - energetischer Verbrauch"/>
    <s v="Elektrizität"/>
    <s v="Gigawattstunde"/>
    <x v="2"/>
    <x v="3"/>
    <n v="2127.7399999999998"/>
  </r>
  <r>
    <x v="15"/>
    <s v="Endenergieverbrauch - Industriesektor - Eisen und Stahl - energetischer Verbrauch"/>
    <s v="Elektrizität"/>
    <s v="Gigawattstunde"/>
    <x v="3"/>
    <x v="3"/>
    <n v="1698.146"/>
  </r>
  <r>
    <x v="15"/>
    <s v="Endenergieverbrauch - Industriesektor - Eisen und Stahl - energetischer Verbrauch"/>
    <s v="Elektrizität"/>
    <s v="Gigawattstunde"/>
    <x v="4"/>
    <x v="3"/>
    <n v="2337.0250000000001"/>
  </r>
  <r>
    <x v="15"/>
    <s v="Endenergieverbrauch - Industriesektor - Eisen und Stahl - energetischer Verbrauch"/>
    <s v="Elektrizität"/>
    <s v="Gigawattstunde"/>
    <x v="5"/>
    <x v="3"/>
    <n v="2127.9690000000001"/>
  </r>
  <r>
    <x v="15"/>
    <s v="Endenergieverbrauch - Industriesektor - Eisen und Stahl - energetischer Verbrauch"/>
    <s v="Elektrizität"/>
    <s v="Gigawattstunde"/>
    <x v="6"/>
    <x v="3"/>
    <n v="2135.5940000000001"/>
  </r>
  <r>
    <x v="15"/>
    <s v="Endenergieverbrauch - Industriesektor - Eisen und Stahl - energetischer Verbrauch"/>
    <s v="Elektrizität"/>
    <s v="Gigawattstunde"/>
    <x v="7"/>
    <x v="3"/>
    <n v="1839.5160000000001"/>
  </r>
  <r>
    <x v="15"/>
    <s v="Endenergieverbrauch - Industriesektor - Eisen und Stahl - energetischer Verbrauch"/>
    <s v="Elektrizität"/>
    <s v="Gigawattstunde"/>
    <x v="8"/>
    <x v="3"/>
    <n v="2311.46"/>
  </r>
  <r>
    <x v="15"/>
    <s v="Endenergieverbrauch - Industriesektor - Eisen und Stahl - energetischer Verbrauch"/>
    <s v="Elektrizität"/>
    <s v="Gigawattstunde"/>
    <x v="9"/>
    <x v="3"/>
    <n v="2025.5940000000001"/>
  </r>
  <r>
    <x v="15"/>
    <s v="Endenergieverbrauch - Industriesektor - Eisen und Stahl - energetischer Verbrauch"/>
    <s v="Elektrizität"/>
    <s v="Gigawattstunde"/>
    <x v="10"/>
    <x v="3"/>
    <n v="1733.8019999999999"/>
  </r>
  <r>
    <x v="15"/>
    <s v="Endenergieverbrauch - Industriesektor - Eisen und Stahl - energetischer Verbrauch"/>
    <s v="Elektrizität"/>
    <s v="Gigawattstunde"/>
    <x v="11"/>
    <x v="3"/>
    <n v="1600.211"/>
  </r>
  <r>
    <x v="15"/>
    <s v="Endenergieverbrauch - Industriesektor - Eisen und Stahl - energetischer Verbrauch"/>
    <s v="Elektrizität"/>
    <s v="Gigawattstunde"/>
    <x v="12"/>
    <x v="3"/>
    <n v="1536.4760000000001"/>
  </r>
  <r>
    <x v="15"/>
    <s v="Endenergieverbrauch - Industriesektor - Eisen und Stahl - energetischer Verbrauch"/>
    <s v="Elektrizität"/>
    <s v="Gigawattstunde"/>
    <x v="13"/>
    <x v="3"/>
    <n v="1626.6130000000001"/>
  </r>
  <r>
    <x v="15"/>
    <s v="Endenergieverbrauch - Industriesektor - Eisen und Stahl - energetischer Verbrauch"/>
    <s v="Elektrizität"/>
    <s v="Gigawattstunde"/>
    <x v="14"/>
    <x v="3"/>
    <n v="1839.587"/>
  </r>
  <r>
    <x v="15"/>
    <s v="Endenergieverbrauch - Industriesektor - Eisen und Stahl - energetischer Verbrauch"/>
    <s v="Elektrizität"/>
    <s v="Gigawattstunde"/>
    <x v="15"/>
    <x v="3"/>
    <n v="1611.578"/>
  </r>
  <r>
    <x v="15"/>
    <s v="Endenergieverbrauch - Industriesektor - Eisen und Stahl - energetischer Verbrauch"/>
    <s v="Elektrizität"/>
    <s v="Gigawattstunde"/>
    <x v="16"/>
    <x v="3"/>
    <n v="1614.242"/>
  </r>
  <r>
    <x v="16"/>
    <s v="Endenergieverbrauch - Industriesektor - Eisen und Stahl - energetischer Verbrauch"/>
    <s v="Elektrizität"/>
    <s v="Gigawattstunde"/>
    <x v="0"/>
    <x v="3"/>
    <n v="685"/>
  </r>
  <r>
    <x v="16"/>
    <s v="Endenergieverbrauch - Industriesektor - Eisen und Stahl - energetischer Verbrauch"/>
    <s v="Elektrizität"/>
    <s v="Gigawattstunde"/>
    <x v="1"/>
    <x v="3"/>
    <n v="645"/>
  </r>
  <r>
    <x v="16"/>
    <s v="Endenergieverbrauch - Industriesektor - Eisen und Stahl - energetischer Verbrauch"/>
    <s v="Elektrizität"/>
    <s v="Gigawattstunde"/>
    <x v="2"/>
    <x v="3"/>
    <n v="593"/>
  </r>
  <r>
    <x v="16"/>
    <s v="Endenergieverbrauch - Industriesektor - Eisen und Stahl - energetischer Verbrauch"/>
    <s v="Elektrizität"/>
    <s v="Gigawattstunde"/>
    <x v="3"/>
    <x v="3"/>
    <n v="759"/>
  </r>
  <r>
    <x v="16"/>
    <s v="Endenergieverbrauch - Industriesektor - Eisen und Stahl - energetischer Verbrauch"/>
    <s v="Elektrizität"/>
    <s v="Gigawattstunde"/>
    <x v="4"/>
    <x v="3"/>
    <n v="780"/>
  </r>
  <r>
    <x v="16"/>
    <s v="Endenergieverbrauch - Industriesektor - Eisen und Stahl - energetischer Verbrauch"/>
    <s v="Elektrizität"/>
    <s v="Gigawattstunde"/>
    <x v="5"/>
    <x v="3"/>
    <n v="738"/>
  </r>
  <r>
    <x v="16"/>
    <s v="Endenergieverbrauch - Industriesektor - Eisen und Stahl - energetischer Verbrauch"/>
    <s v="Elektrizität"/>
    <s v="Gigawattstunde"/>
    <x v="6"/>
    <x v="3"/>
    <n v="752"/>
  </r>
  <r>
    <x v="16"/>
    <s v="Endenergieverbrauch - Industriesektor - Eisen und Stahl - energetischer Verbrauch"/>
    <s v="Elektrizität"/>
    <s v="Gigawattstunde"/>
    <x v="7"/>
    <x v="3"/>
    <n v="434"/>
  </r>
  <r>
    <x v="16"/>
    <s v="Endenergieverbrauch - Industriesektor - Eisen und Stahl - energetischer Verbrauch"/>
    <s v="Elektrizität"/>
    <s v="Gigawattstunde"/>
    <x v="8"/>
    <x v="3"/>
    <n v="517"/>
  </r>
  <r>
    <x v="16"/>
    <s v="Endenergieverbrauch - Industriesektor - Eisen und Stahl - energetischer Verbrauch"/>
    <s v="Elektrizität"/>
    <s v="Gigawattstunde"/>
    <x v="9"/>
    <x v="3"/>
    <n v="522"/>
  </r>
  <r>
    <x v="16"/>
    <s v="Endenergieverbrauch - Industriesektor - Eisen und Stahl - energetischer Verbrauch"/>
    <s v="Elektrizität"/>
    <s v="Gigawattstunde"/>
    <x v="10"/>
    <x v="3"/>
    <n v="544"/>
  </r>
  <r>
    <x v="16"/>
    <s v="Endenergieverbrauch - Industriesektor - Eisen und Stahl - energetischer Verbrauch"/>
    <s v="Elektrizität"/>
    <s v="Gigawattstunde"/>
    <x v="11"/>
    <x v="3"/>
    <n v="579"/>
  </r>
  <r>
    <x v="16"/>
    <s v="Endenergieverbrauch - Industriesektor - Eisen und Stahl - energetischer Verbrauch"/>
    <s v="Elektrizität"/>
    <s v="Gigawattstunde"/>
    <x v="12"/>
    <x v="3"/>
    <n v="592"/>
  </r>
  <r>
    <x v="16"/>
    <s v="Endenergieverbrauch - Industriesektor - Eisen und Stahl - energetischer Verbrauch"/>
    <s v="Elektrizität"/>
    <s v="Gigawattstunde"/>
    <x v="13"/>
    <x v="3"/>
    <n v="613"/>
  </r>
  <r>
    <x v="16"/>
    <s v="Endenergieverbrauch - Industriesektor - Eisen und Stahl - energetischer Verbrauch"/>
    <s v="Elektrizität"/>
    <s v="Gigawattstunde"/>
    <x v="14"/>
    <x v="3"/>
    <n v="613"/>
  </r>
  <r>
    <x v="16"/>
    <s v="Endenergieverbrauch - Industriesektor - Eisen und Stahl - energetischer Verbrauch"/>
    <s v="Elektrizität"/>
    <s v="Gigawattstunde"/>
    <x v="15"/>
    <x v="3"/>
    <n v="688"/>
  </r>
  <r>
    <x v="16"/>
    <s v="Endenergieverbrauch - Industriesektor - Eisen und Stahl - energetischer Verbrauch"/>
    <s v="Elektrizität"/>
    <s v="Gigawattstunde"/>
    <x v="16"/>
    <x v="3"/>
    <n v="732"/>
  </r>
  <r>
    <x v="17"/>
    <s v="Endenergieverbrauch - Industriesektor - Eisen und Stahl - energetischer Verbrauch"/>
    <s v="Elektrizität"/>
    <s v="Gigawattstunde"/>
    <x v="0"/>
    <x v="3"/>
    <n v="0"/>
  </r>
  <r>
    <x v="17"/>
    <s v="Endenergieverbrauch - Industriesektor - Eisen und Stahl - energetischer Verbrauch"/>
    <s v="Elektrizität"/>
    <s v="Gigawattstunde"/>
    <x v="1"/>
    <x v="3"/>
    <n v="0"/>
  </r>
  <r>
    <x v="17"/>
    <s v="Endenergieverbrauch - Industriesektor - Eisen und Stahl - energetischer Verbrauch"/>
    <s v="Elektrizität"/>
    <s v="Gigawattstunde"/>
    <x v="2"/>
    <x v="3"/>
    <n v="0"/>
  </r>
  <r>
    <x v="17"/>
    <s v="Endenergieverbrauch - Industriesektor - Eisen und Stahl - energetischer Verbrauch"/>
    <s v="Elektrizität"/>
    <s v="Gigawattstunde"/>
    <x v="3"/>
    <x v="3"/>
    <n v="0"/>
  </r>
  <r>
    <x v="17"/>
    <s v="Endenergieverbrauch - Industriesektor - Eisen und Stahl - energetischer Verbrauch"/>
    <s v="Elektrizität"/>
    <s v="Gigawattstunde"/>
    <x v="4"/>
    <x v="3"/>
    <n v="0"/>
  </r>
  <r>
    <x v="17"/>
    <s v="Endenergieverbrauch - Industriesektor - Eisen und Stahl - energetischer Verbrauch"/>
    <s v="Elektrizität"/>
    <s v="Gigawattstunde"/>
    <x v="5"/>
    <x v="3"/>
    <n v="0"/>
  </r>
  <r>
    <x v="17"/>
    <s v="Endenergieverbrauch - Industriesektor - Eisen und Stahl - energetischer Verbrauch"/>
    <s v="Elektrizität"/>
    <s v="Gigawattstunde"/>
    <x v="6"/>
    <x v="3"/>
    <n v="0"/>
  </r>
  <r>
    <x v="17"/>
    <s v="Endenergieverbrauch - Industriesektor - Eisen und Stahl - energetischer Verbrauch"/>
    <s v="Elektrizität"/>
    <s v="Gigawattstunde"/>
    <x v="7"/>
    <x v="3"/>
    <n v="0"/>
  </r>
  <r>
    <x v="17"/>
    <s v="Endenergieverbrauch - Industriesektor - Eisen und Stahl - energetischer Verbrauch"/>
    <s v="Elektrizität"/>
    <s v="Gigawattstunde"/>
    <x v="8"/>
    <x v="3"/>
    <n v="0"/>
  </r>
  <r>
    <x v="17"/>
    <s v="Endenergieverbrauch - Industriesektor - Eisen und Stahl - energetischer Verbrauch"/>
    <s v="Elektrizität"/>
    <s v="Gigawattstunde"/>
    <x v="9"/>
    <x v="3"/>
    <n v="0"/>
  </r>
  <r>
    <x v="17"/>
    <s v="Endenergieverbrauch - Industriesektor - Eisen und Stahl - energetischer Verbrauch"/>
    <s v="Elektrizität"/>
    <s v="Gigawattstunde"/>
    <x v="10"/>
    <x v="3"/>
    <n v="0"/>
  </r>
  <r>
    <x v="17"/>
    <s v="Endenergieverbrauch - Industriesektor - Eisen und Stahl - energetischer Verbrauch"/>
    <s v="Elektrizität"/>
    <s v="Gigawattstunde"/>
    <x v="11"/>
    <x v="3"/>
    <n v="0"/>
  </r>
  <r>
    <x v="17"/>
    <s v="Endenergieverbrauch - Industriesektor - Eisen und Stahl - energetischer Verbrauch"/>
    <s v="Elektrizität"/>
    <s v="Gigawattstunde"/>
    <x v="12"/>
    <x v="3"/>
    <n v="0"/>
  </r>
  <r>
    <x v="17"/>
    <s v="Endenergieverbrauch - Industriesektor - Eisen und Stahl - energetischer Verbrauch"/>
    <s v="Elektrizität"/>
    <s v="Gigawattstunde"/>
    <x v="13"/>
    <x v="3"/>
    <n v="0"/>
  </r>
  <r>
    <x v="17"/>
    <s v="Endenergieverbrauch - Industriesektor - Eisen und Stahl - energetischer Verbrauch"/>
    <s v="Elektrizität"/>
    <s v="Gigawattstunde"/>
    <x v="14"/>
    <x v="3"/>
    <n v="0"/>
  </r>
  <r>
    <x v="17"/>
    <s v="Endenergieverbrauch - Industriesektor - Eisen und Stahl - energetischer Verbrauch"/>
    <s v="Elektrizität"/>
    <s v="Gigawattstunde"/>
    <x v="15"/>
    <x v="3"/>
    <n v="6.0000000000000001E-3"/>
  </r>
  <r>
    <x v="17"/>
    <s v="Endenergieverbrauch - Industriesektor - Eisen und Stahl - energetischer Verbrauch"/>
    <s v="Elektrizität"/>
    <s v="Gigawattstunde"/>
    <x v="16"/>
    <x v="3"/>
    <n v="5.0000000000000001E-3"/>
  </r>
  <r>
    <x v="18"/>
    <s v="Endenergieverbrauch - Industriesektor - Eisen und Stahl - energetischer Verbrauch"/>
    <s v="Elektrizität"/>
    <s v="Gigawattstunde"/>
    <x v="0"/>
    <x v="3"/>
    <n v="2573"/>
  </r>
  <r>
    <x v="18"/>
    <s v="Endenergieverbrauch - Industriesektor - Eisen und Stahl - energetischer Verbrauch"/>
    <s v="Elektrizität"/>
    <s v="Gigawattstunde"/>
    <x v="1"/>
    <x v="3"/>
    <n v="2654"/>
  </r>
  <r>
    <x v="18"/>
    <s v="Endenergieverbrauch - Industriesektor - Eisen und Stahl - energetischer Verbrauch"/>
    <s v="Elektrizität"/>
    <s v="Gigawattstunde"/>
    <x v="2"/>
    <x v="3"/>
    <n v="2708"/>
  </r>
  <r>
    <x v="18"/>
    <s v="Endenergieverbrauch - Industriesektor - Eisen und Stahl - energetischer Verbrauch"/>
    <s v="Elektrizität"/>
    <s v="Gigawattstunde"/>
    <x v="3"/>
    <x v="3"/>
    <n v="2717"/>
  </r>
  <r>
    <x v="18"/>
    <s v="Endenergieverbrauch - Industriesektor - Eisen und Stahl - energetischer Verbrauch"/>
    <s v="Elektrizität"/>
    <s v="Gigawattstunde"/>
    <x v="4"/>
    <x v="3"/>
    <n v="2679"/>
  </r>
  <r>
    <x v="18"/>
    <s v="Endenergieverbrauch - Industriesektor - Eisen und Stahl - energetischer Verbrauch"/>
    <s v="Elektrizität"/>
    <s v="Gigawattstunde"/>
    <x v="5"/>
    <x v="3"/>
    <n v="2752"/>
  </r>
  <r>
    <x v="18"/>
    <s v="Endenergieverbrauch - Industriesektor - Eisen und Stahl - energetischer Verbrauch"/>
    <s v="Elektrizität"/>
    <s v="Gigawattstunde"/>
    <x v="6"/>
    <x v="3"/>
    <n v="2659"/>
  </r>
  <r>
    <x v="18"/>
    <s v="Endenergieverbrauch - Industriesektor - Eisen und Stahl - energetischer Verbrauch"/>
    <s v="Elektrizität"/>
    <s v="Gigawattstunde"/>
    <x v="7"/>
    <x v="3"/>
    <n v="2381"/>
  </r>
  <r>
    <x v="18"/>
    <s v="Endenergieverbrauch - Industriesektor - Eisen und Stahl - energetischer Verbrauch"/>
    <s v="Elektrizität"/>
    <s v="Gigawattstunde"/>
    <x v="8"/>
    <x v="3"/>
    <n v="2638"/>
  </r>
  <r>
    <x v="18"/>
    <s v="Endenergieverbrauch - Industriesektor - Eisen und Stahl - energetischer Verbrauch"/>
    <s v="Elektrizität"/>
    <s v="Gigawattstunde"/>
    <x v="9"/>
    <x v="3"/>
    <n v="2691"/>
  </r>
  <r>
    <x v="18"/>
    <s v="Endenergieverbrauch - Industriesektor - Eisen und Stahl - energetischer Verbrauch"/>
    <s v="Elektrizität"/>
    <s v="Gigawattstunde"/>
    <x v="10"/>
    <x v="3"/>
    <n v="2706"/>
  </r>
  <r>
    <x v="18"/>
    <s v="Endenergieverbrauch - Industriesektor - Eisen und Stahl - energetischer Verbrauch"/>
    <s v="Elektrizität"/>
    <s v="Gigawattstunde"/>
    <x v="11"/>
    <x v="3"/>
    <n v="2648"/>
  </r>
  <r>
    <x v="18"/>
    <s v="Endenergieverbrauch - Industriesektor - Eisen und Stahl - energetischer Verbrauch"/>
    <s v="Elektrizität"/>
    <s v="Gigawattstunde"/>
    <x v="12"/>
    <x v="3"/>
    <n v="2704"/>
  </r>
  <r>
    <x v="18"/>
    <s v="Endenergieverbrauch - Industriesektor - Eisen und Stahl - energetischer Verbrauch"/>
    <s v="Elektrizität"/>
    <s v="Gigawattstunde"/>
    <x v="13"/>
    <x v="3"/>
    <n v="2687.663"/>
  </r>
  <r>
    <x v="18"/>
    <s v="Endenergieverbrauch - Industriesektor - Eisen und Stahl - energetischer Verbrauch"/>
    <s v="Elektrizität"/>
    <s v="Gigawattstunde"/>
    <x v="14"/>
    <x v="3"/>
    <n v="2605.9549999999999"/>
  </r>
  <r>
    <x v="18"/>
    <s v="Endenergieverbrauch - Industriesektor - Eisen und Stahl - energetischer Verbrauch"/>
    <s v="Elektrizität"/>
    <s v="Gigawattstunde"/>
    <x v="15"/>
    <x v="3"/>
    <n v="2584.8040000000001"/>
  </r>
  <r>
    <x v="18"/>
    <s v="Endenergieverbrauch - Industriesektor - Eisen und Stahl - energetischer Verbrauch"/>
    <s v="Elektrizität"/>
    <s v="Gigawattstunde"/>
    <x v="16"/>
    <x v="3"/>
    <n v="2498.0410000000002"/>
  </r>
  <r>
    <x v="19"/>
    <s v="Endenergieverbrauch - Industriesektor - Eisen und Stahl - energetischer Verbrauch"/>
    <s v="Elektrizität"/>
    <s v="Gigawattstunde"/>
    <x v="0"/>
    <x v="3"/>
    <n v="2745"/>
  </r>
  <r>
    <x v="19"/>
    <s v="Endenergieverbrauch - Industriesektor - Eisen und Stahl - energetischer Verbrauch"/>
    <s v="Elektrizität"/>
    <s v="Gigawattstunde"/>
    <x v="1"/>
    <x v="3"/>
    <n v="2680"/>
  </r>
  <r>
    <x v="19"/>
    <s v="Endenergieverbrauch - Industriesektor - Eisen und Stahl - energetischer Verbrauch"/>
    <s v="Elektrizität"/>
    <s v="Gigawattstunde"/>
    <x v="2"/>
    <x v="3"/>
    <n v="3074"/>
  </r>
  <r>
    <x v="19"/>
    <s v="Endenergieverbrauch - Industriesektor - Eisen und Stahl - energetischer Verbrauch"/>
    <s v="Elektrizität"/>
    <s v="Gigawattstunde"/>
    <x v="3"/>
    <x v="3"/>
    <n v="2026.2270000000001"/>
  </r>
  <r>
    <x v="19"/>
    <s v="Endenergieverbrauch - Industriesektor - Eisen und Stahl - energetischer Verbrauch"/>
    <s v="Elektrizität"/>
    <s v="Gigawattstunde"/>
    <x v="4"/>
    <x v="3"/>
    <n v="2093.5439999999999"/>
  </r>
  <r>
    <x v="19"/>
    <s v="Endenergieverbrauch - Industriesektor - Eisen und Stahl - energetischer Verbrauch"/>
    <s v="Elektrizität"/>
    <s v="Gigawattstunde"/>
    <x v="5"/>
    <x v="3"/>
    <n v="2250.4299999999998"/>
  </r>
  <r>
    <x v="19"/>
    <s v="Endenergieverbrauch - Industriesektor - Eisen und Stahl - energetischer Verbrauch"/>
    <s v="Elektrizität"/>
    <s v="Gigawattstunde"/>
    <x v="6"/>
    <x v="3"/>
    <n v="2030.749"/>
  </r>
  <r>
    <x v="19"/>
    <s v="Endenergieverbrauch - Industriesektor - Eisen und Stahl - energetischer Verbrauch"/>
    <s v="Elektrizität"/>
    <s v="Gigawattstunde"/>
    <x v="7"/>
    <x v="3"/>
    <n v="2004.038"/>
  </r>
  <r>
    <x v="19"/>
    <s v="Endenergieverbrauch - Industriesektor - Eisen und Stahl - energetischer Verbrauch"/>
    <s v="Elektrizität"/>
    <s v="Gigawattstunde"/>
    <x v="8"/>
    <x v="3"/>
    <n v="2284.3890000000001"/>
  </r>
  <r>
    <x v="19"/>
    <s v="Endenergieverbrauch - Industriesektor - Eisen und Stahl - energetischer Verbrauch"/>
    <s v="Elektrizität"/>
    <s v="Gigawattstunde"/>
    <x v="9"/>
    <x v="3"/>
    <n v="2340.0650000000001"/>
  </r>
  <r>
    <x v="19"/>
    <s v="Endenergieverbrauch - Industriesektor - Eisen und Stahl - energetischer Verbrauch"/>
    <s v="Elektrizität"/>
    <s v="Gigawattstunde"/>
    <x v="10"/>
    <x v="3"/>
    <n v="2386.0169999999998"/>
  </r>
  <r>
    <x v="19"/>
    <s v="Endenergieverbrauch - Industriesektor - Eisen und Stahl - energetischer Verbrauch"/>
    <s v="Elektrizität"/>
    <s v="Gigawattstunde"/>
    <x v="11"/>
    <x v="3"/>
    <n v="2429.3719999999998"/>
  </r>
  <r>
    <x v="19"/>
    <s v="Endenergieverbrauch - Industriesektor - Eisen und Stahl - energetischer Verbrauch"/>
    <s v="Elektrizität"/>
    <s v="Gigawattstunde"/>
    <x v="12"/>
    <x v="3"/>
    <n v="2370.0659999999998"/>
  </r>
  <r>
    <x v="19"/>
    <s v="Endenergieverbrauch - Industriesektor - Eisen und Stahl - energetischer Verbrauch"/>
    <s v="Elektrizität"/>
    <s v="Gigawattstunde"/>
    <x v="13"/>
    <x v="3"/>
    <n v="2592.491"/>
  </r>
  <r>
    <x v="19"/>
    <s v="Endenergieverbrauch - Industriesektor - Eisen und Stahl - energetischer Verbrauch"/>
    <s v="Elektrizität"/>
    <s v="Gigawattstunde"/>
    <x v="14"/>
    <x v="3"/>
    <n v="2597.5940000000001"/>
  </r>
  <r>
    <x v="19"/>
    <s v="Endenergieverbrauch - Industriesektor - Eisen und Stahl - energetischer Verbrauch"/>
    <s v="Elektrizität"/>
    <s v="Gigawattstunde"/>
    <x v="15"/>
    <x v="3"/>
    <n v="2579.9009999999998"/>
  </r>
  <r>
    <x v="19"/>
    <s v="Endenergieverbrauch - Industriesektor - Eisen und Stahl - energetischer Verbrauch"/>
    <s v="Elektrizität"/>
    <s v="Gigawattstunde"/>
    <x v="16"/>
    <x v="3"/>
    <n v="2500.17"/>
  </r>
  <r>
    <x v="20"/>
    <s v="Endenergieverbrauch - Industriesektor - Eisen und Stahl - energetischer Verbrauch"/>
    <s v="Elektrizität"/>
    <s v="Gigawattstunde"/>
    <x v="0"/>
    <x v="3"/>
    <n v="5446"/>
  </r>
  <r>
    <x v="20"/>
    <s v="Endenergieverbrauch - Industriesektor - Eisen und Stahl - energetischer Verbrauch"/>
    <s v="Elektrizität"/>
    <s v="Gigawattstunde"/>
    <x v="1"/>
    <x v="3"/>
    <n v="6148"/>
  </r>
  <r>
    <x v="20"/>
    <s v="Endenergieverbrauch - Industriesektor - Eisen und Stahl - energetischer Verbrauch"/>
    <s v="Elektrizität"/>
    <s v="Gigawattstunde"/>
    <x v="2"/>
    <x v="3"/>
    <n v="7204"/>
  </r>
  <r>
    <x v="20"/>
    <s v="Endenergieverbrauch - Industriesektor - Eisen und Stahl - energetischer Verbrauch"/>
    <s v="Elektrizität"/>
    <s v="Gigawattstunde"/>
    <x v="3"/>
    <x v="3"/>
    <n v="5921"/>
  </r>
  <r>
    <x v="20"/>
    <s v="Endenergieverbrauch - Industriesektor - Eisen und Stahl - energetischer Verbrauch"/>
    <s v="Elektrizität"/>
    <s v="Gigawattstunde"/>
    <x v="4"/>
    <x v="3"/>
    <n v="6262"/>
  </r>
  <r>
    <x v="20"/>
    <s v="Endenergieverbrauch - Industriesektor - Eisen und Stahl - energetischer Verbrauch"/>
    <s v="Elektrizität"/>
    <s v="Gigawattstunde"/>
    <x v="5"/>
    <x v="3"/>
    <n v="7012"/>
  </r>
  <r>
    <x v="20"/>
    <s v="Endenergieverbrauch - Industriesektor - Eisen und Stahl - energetischer Verbrauch"/>
    <s v="Elektrizität"/>
    <s v="Gigawattstunde"/>
    <x v="6"/>
    <x v="3"/>
    <n v="6733"/>
  </r>
  <r>
    <x v="20"/>
    <s v="Endenergieverbrauch - Industriesektor - Eisen und Stahl - energetischer Verbrauch"/>
    <s v="Elektrizität"/>
    <s v="Gigawattstunde"/>
    <x v="7"/>
    <x v="3"/>
    <n v="4995"/>
  </r>
  <r>
    <x v="20"/>
    <s v="Endenergieverbrauch - Industriesektor - Eisen und Stahl - energetischer Verbrauch"/>
    <s v="Elektrizität"/>
    <s v="Gigawattstunde"/>
    <x v="8"/>
    <x v="3"/>
    <n v="5888"/>
  </r>
  <r>
    <x v="20"/>
    <s v="Endenergieverbrauch - Industriesektor - Eisen und Stahl - energetischer Verbrauch"/>
    <s v="Elektrizität"/>
    <s v="Gigawattstunde"/>
    <x v="9"/>
    <x v="3"/>
    <n v="6323"/>
  </r>
  <r>
    <x v="20"/>
    <s v="Endenergieverbrauch - Industriesektor - Eisen und Stahl - energetischer Verbrauch"/>
    <s v="Elektrizität"/>
    <s v="Gigawattstunde"/>
    <x v="10"/>
    <x v="3"/>
    <n v="6323"/>
  </r>
  <r>
    <x v="20"/>
    <s v="Endenergieverbrauch - Industriesektor - Eisen und Stahl - energetischer Verbrauch"/>
    <s v="Elektrizität"/>
    <s v="Gigawattstunde"/>
    <x v="11"/>
    <x v="3"/>
    <n v="6085"/>
  </r>
  <r>
    <x v="20"/>
    <s v="Endenergieverbrauch - Industriesektor - Eisen und Stahl - energetischer Verbrauch"/>
    <s v="Elektrizität"/>
    <s v="Gigawattstunde"/>
    <x v="12"/>
    <x v="3"/>
    <n v="6015"/>
  </r>
  <r>
    <x v="20"/>
    <s v="Endenergieverbrauch - Industriesektor - Eisen und Stahl - energetischer Verbrauch"/>
    <s v="Elektrizität"/>
    <s v="Gigawattstunde"/>
    <x v="13"/>
    <x v="3"/>
    <n v="6236"/>
  </r>
  <r>
    <x v="20"/>
    <s v="Endenergieverbrauch - Industriesektor - Eisen und Stahl - energetischer Verbrauch"/>
    <s v="Elektrizität"/>
    <s v="Gigawattstunde"/>
    <x v="14"/>
    <x v="3"/>
    <n v="6149"/>
  </r>
  <r>
    <x v="20"/>
    <s v="Endenergieverbrauch - Industriesektor - Eisen und Stahl - energetischer Verbrauch"/>
    <s v="Elektrizität"/>
    <s v="Gigawattstunde"/>
    <x v="15"/>
    <x v="3"/>
    <n v="6808.4459999999999"/>
  </r>
  <r>
    <x v="20"/>
    <s v="Endenergieverbrauch - Industriesektor - Eisen und Stahl - energetischer Verbrauch"/>
    <s v="Elektrizität"/>
    <s v="Gigawattstunde"/>
    <x v="16"/>
    <x v="3"/>
    <n v="6827.1440000000002"/>
  </r>
  <r>
    <x v="21"/>
    <s v="Endenergieverbrauch - Industriesektor - Eisen und Stahl - energetischer Verbrauch"/>
    <s v="Elektrizität"/>
    <s v="Gigawattstunde"/>
    <x v="0"/>
    <x v="3"/>
    <n v="863"/>
  </r>
  <r>
    <x v="21"/>
    <s v="Endenergieverbrauch - Industriesektor - Eisen und Stahl - energetischer Verbrauch"/>
    <s v="Elektrizität"/>
    <s v="Gigawattstunde"/>
    <x v="1"/>
    <x v="3"/>
    <n v="1088"/>
  </r>
  <r>
    <x v="21"/>
    <s v="Endenergieverbrauch - Industriesektor - Eisen und Stahl - energetischer Verbrauch"/>
    <s v="Elektrizität"/>
    <s v="Gigawattstunde"/>
    <x v="2"/>
    <x v="3"/>
    <n v="1186"/>
  </r>
  <r>
    <x v="21"/>
    <s v="Endenergieverbrauch - Industriesektor - Eisen und Stahl - energetischer Verbrauch"/>
    <s v="Elektrizität"/>
    <s v="Gigawattstunde"/>
    <x v="3"/>
    <x v="3"/>
    <n v="1279"/>
  </r>
  <r>
    <x v="21"/>
    <s v="Endenergieverbrauch - Industriesektor - Eisen und Stahl - energetischer Verbrauch"/>
    <s v="Elektrizität"/>
    <s v="Gigawattstunde"/>
    <x v="4"/>
    <x v="3"/>
    <n v="1386"/>
  </r>
  <r>
    <x v="21"/>
    <s v="Endenergieverbrauch - Industriesektor - Eisen und Stahl - energetischer Verbrauch"/>
    <s v="Elektrizität"/>
    <s v="Gigawattstunde"/>
    <x v="5"/>
    <x v="3"/>
    <n v="1471"/>
  </r>
  <r>
    <x v="21"/>
    <s v="Endenergieverbrauch - Industriesektor - Eisen und Stahl - energetischer Verbrauch"/>
    <s v="Elektrizität"/>
    <s v="Gigawattstunde"/>
    <x v="6"/>
    <x v="3"/>
    <n v="1492"/>
  </r>
  <r>
    <x v="21"/>
    <s v="Endenergieverbrauch - Industriesektor - Eisen und Stahl - energetischer Verbrauch"/>
    <s v="Elektrizität"/>
    <s v="Gigawattstunde"/>
    <x v="7"/>
    <x v="3"/>
    <n v="1086"/>
  </r>
  <r>
    <x v="21"/>
    <s v="Endenergieverbrauch - Industriesektor - Eisen und Stahl - energetischer Verbrauch"/>
    <s v="Elektrizität"/>
    <s v="Gigawattstunde"/>
    <x v="8"/>
    <x v="3"/>
    <n v="1103"/>
  </r>
  <r>
    <x v="21"/>
    <s v="Endenergieverbrauch - Industriesektor - Eisen und Stahl - energetischer Verbrauch"/>
    <s v="Elektrizität"/>
    <s v="Gigawattstunde"/>
    <x v="9"/>
    <x v="3"/>
    <n v="1286"/>
  </r>
  <r>
    <x v="21"/>
    <s v="Endenergieverbrauch - Industriesektor - Eisen und Stahl - energetischer Verbrauch"/>
    <s v="Elektrizität"/>
    <s v="Gigawattstunde"/>
    <x v="10"/>
    <x v="3"/>
    <n v="1353"/>
  </r>
  <r>
    <x v="21"/>
    <s v="Endenergieverbrauch - Industriesektor - Eisen und Stahl - energetischer Verbrauch"/>
    <s v="Elektrizität"/>
    <s v="Gigawattstunde"/>
    <x v="11"/>
    <x v="3"/>
    <n v="1377"/>
  </r>
  <r>
    <x v="21"/>
    <s v="Endenergieverbrauch - Industriesektor - Eisen und Stahl - energetischer Verbrauch"/>
    <s v="Elektrizität"/>
    <s v="Gigawattstunde"/>
    <x v="12"/>
    <x v="3"/>
    <n v="1401"/>
  </r>
  <r>
    <x v="21"/>
    <s v="Endenergieverbrauch - Industriesektor - Eisen und Stahl - energetischer Verbrauch"/>
    <s v="Elektrizität"/>
    <s v="Gigawattstunde"/>
    <x v="13"/>
    <x v="3"/>
    <n v="1391"/>
  </r>
  <r>
    <x v="21"/>
    <s v="Endenergieverbrauch - Industriesektor - Eisen und Stahl - energetischer Verbrauch"/>
    <s v="Elektrizität"/>
    <s v="Gigawattstunde"/>
    <x v="14"/>
    <x v="3"/>
    <n v="1495.6120000000001"/>
  </r>
  <r>
    <x v="21"/>
    <s v="Endenergieverbrauch - Industriesektor - Eisen und Stahl - energetischer Verbrauch"/>
    <s v="Elektrizität"/>
    <s v="Gigawattstunde"/>
    <x v="15"/>
    <x v="3"/>
    <n v="1554.5519999999999"/>
  </r>
  <r>
    <x v="21"/>
    <s v="Endenergieverbrauch - Industriesektor - Eisen und Stahl - energetischer Verbrauch"/>
    <s v="Elektrizität"/>
    <s v="Gigawattstunde"/>
    <x v="16"/>
    <x v="3"/>
    <n v="1681.4860000000001"/>
  </r>
  <r>
    <x v="22"/>
    <s v="Endenergieverbrauch - Industriesektor - Eisen und Stahl - energetischer Verbrauch"/>
    <s v="Elektrizität"/>
    <s v="Gigawattstunde"/>
    <x v="0"/>
    <x v="3"/>
    <n v="6966"/>
  </r>
  <r>
    <x v="22"/>
    <s v="Endenergieverbrauch - Industriesektor - Eisen und Stahl - energetischer Verbrauch"/>
    <s v="Elektrizität"/>
    <s v="Gigawattstunde"/>
    <x v="1"/>
    <x v="3"/>
    <n v="7220"/>
  </r>
  <r>
    <x v="22"/>
    <s v="Endenergieverbrauch - Industriesektor - Eisen und Stahl - energetischer Verbrauch"/>
    <s v="Elektrizität"/>
    <s v="Gigawattstunde"/>
    <x v="2"/>
    <x v="3"/>
    <n v="8544"/>
  </r>
  <r>
    <x v="22"/>
    <s v="Endenergieverbrauch - Industriesektor - Eisen und Stahl - energetischer Verbrauch"/>
    <s v="Elektrizität"/>
    <s v="Gigawattstunde"/>
    <x v="3"/>
    <x v="3"/>
    <n v="8463"/>
  </r>
  <r>
    <x v="22"/>
    <s v="Endenergieverbrauch - Industriesektor - Eisen und Stahl - energetischer Verbrauch"/>
    <s v="Elektrizität"/>
    <s v="Gigawattstunde"/>
    <x v="4"/>
    <x v="3"/>
    <n v="8499"/>
  </r>
  <r>
    <x v="22"/>
    <s v="Endenergieverbrauch - Industriesektor - Eisen und Stahl - energetischer Verbrauch"/>
    <s v="Elektrizität"/>
    <s v="Gigawattstunde"/>
    <x v="5"/>
    <x v="3"/>
    <n v="8327"/>
  </r>
  <r>
    <x v="22"/>
    <s v="Endenergieverbrauch - Industriesektor - Eisen und Stahl - energetischer Verbrauch"/>
    <s v="Elektrizität"/>
    <s v="Gigawattstunde"/>
    <x v="6"/>
    <x v="3"/>
    <n v="7826"/>
  </r>
  <r>
    <x v="22"/>
    <s v="Endenergieverbrauch - Industriesektor - Eisen und Stahl - energetischer Verbrauch"/>
    <s v="Elektrizität"/>
    <s v="Gigawattstunde"/>
    <x v="7"/>
    <x v="3"/>
    <n v="5540"/>
  </r>
  <r>
    <x v="22"/>
    <s v="Endenergieverbrauch - Industriesektor - Eisen und Stahl - energetischer Verbrauch"/>
    <s v="Elektrizität"/>
    <s v="Gigawattstunde"/>
    <x v="8"/>
    <x v="3"/>
    <n v="6703"/>
  </r>
  <r>
    <x v="22"/>
    <s v="Endenergieverbrauch - Industriesektor - Eisen und Stahl - energetischer Verbrauch"/>
    <s v="Elektrizität"/>
    <s v="Gigawattstunde"/>
    <x v="9"/>
    <x v="3"/>
    <n v="6757"/>
  </r>
  <r>
    <x v="22"/>
    <s v="Endenergieverbrauch - Industriesektor - Eisen und Stahl - energetischer Verbrauch"/>
    <s v="Elektrizität"/>
    <s v="Gigawattstunde"/>
    <x v="10"/>
    <x v="3"/>
    <n v="6352"/>
  </r>
  <r>
    <x v="22"/>
    <s v="Endenergieverbrauch - Industriesektor - Eisen und Stahl - energetischer Verbrauch"/>
    <s v="Elektrizität"/>
    <s v="Gigawattstunde"/>
    <x v="11"/>
    <x v="3"/>
    <n v="5263"/>
  </r>
  <r>
    <x v="22"/>
    <s v="Endenergieverbrauch - Industriesektor - Eisen und Stahl - energetischer Verbrauch"/>
    <s v="Elektrizität"/>
    <s v="Gigawattstunde"/>
    <x v="12"/>
    <x v="3"/>
    <n v="5375"/>
  </r>
  <r>
    <x v="22"/>
    <s v="Endenergieverbrauch - Industriesektor - Eisen und Stahl - energetischer Verbrauch"/>
    <s v="Elektrizität"/>
    <s v="Gigawattstunde"/>
    <x v="13"/>
    <x v="3"/>
    <n v="5694"/>
  </r>
  <r>
    <x v="22"/>
    <s v="Endenergieverbrauch - Industriesektor - Eisen und Stahl - energetischer Verbrauch"/>
    <s v="Elektrizität"/>
    <s v="Gigawattstunde"/>
    <x v="14"/>
    <x v="3"/>
    <n v="5635"/>
  </r>
  <r>
    <x v="22"/>
    <s v="Endenergieverbrauch - Industriesektor - Eisen und Stahl - energetischer Verbrauch"/>
    <s v="Elektrizität"/>
    <s v="Gigawattstunde"/>
    <x v="15"/>
    <x v="3"/>
    <n v="2540.6489999999999"/>
  </r>
  <r>
    <x v="22"/>
    <s v="Endenergieverbrauch - Industriesektor - Eisen und Stahl - energetischer Verbrauch"/>
    <s v="Elektrizität"/>
    <s v="Gigawattstunde"/>
    <x v="16"/>
    <x v="3"/>
    <n v="2414.2109999999998"/>
  </r>
  <r>
    <x v="23"/>
    <s v="Endenergieverbrauch - Industriesektor - Eisen und Stahl - energetischer Verbrauch"/>
    <s v="Elektrizität"/>
    <s v="Gigawattstunde"/>
    <x v="0"/>
    <x v="3"/>
    <n v="860"/>
  </r>
  <r>
    <x v="23"/>
    <s v="Endenergieverbrauch - Industriesektor - Eisen und Stahl - energetischer Verbrauch"/>
    <s v="Elektrizität"/>
    <s v="Gigawattstunde"/>
    <x v="1"/>
    <x v="3"/>
    <n v="644"/>
  </r>
  <r>
    <x v="23"/>
    <s v="Endenergieverbrauch - Industriesektor - Eisen und Stahl - energetischer Verbrauch"/>
    <s v="Elektrizität"/>
    <s v="Gigawattstunde"/>
    <x v="2"/>
    <x v="3"/>
    <n v="657"/>
  </r>
  <r>
    <x v="23"/>
    <s v="Endenergieverbrauch - Industriesektor - Eisen und Stahl - energetischer Verbrauch"/>
    <s v="Elektrizität"/>
    <s v="Gigawattstunde"/>
    <x v="3"/>
    <x v="3"/>
    <n v="750"/>
  </r>
  <r>
    <x v="23"/>
    <s v="Endenergieverbrauch - Industriesektor - Eisen und Stahl - energetischer Verbrauch"/>
    <s v="Elektrizität"/>
    <s v="Gigawattstunde"/>
    <x v="4"/>
    <x v="3"/>
    <n v="819"/>
  </r>
  <r>
    <x v="23"/>
    <s v="Endenergieverbrauch - Industriesektor - Eisen und Stahl - energetischer Verbrauch"/>
    <s v="Elektrizität"/>
    <s v="Gigawattstunde"/>
    <x v="5"/>
    <x v="3"/>
    <n v="601"/>
  </r>
  <r>
    <x v="23"/>
    <s v="Endenergieverbrauch - Industriesektor - Eisen und Stahl - energetischer Verbrauch"/>
    <s v="Elektrizität"/>
    <s v="Gigawattstunde"/>
    <x v="6"/>
    <x v="3"/>
    <n v="766"/>
  </r>
  <r>
    <x v="23"/>
    <s v="Endenergieverbrauch - Industriesektor - Eisen und Stahl - energetischer Verbrauch"/>
    <s v="Elektrizität"/>
    <s v="Gigawattstunde"/>
    <x v="7"/>
    <x v="3"/>
    <n v="588"/>
  </r>
  <r>
    <x v="23"/>
    <s v="Endenergieverbrauch - Industriesektor - Eisen und Stahl - energetischer Verbrauch"/>
    <s v="Elektrizität"/>
    <s v="Gigawattstunde"/>
    <x v="8"/>
    <x v="3"/>
    <n v="738"/>
  </r>
  <r>
    <x v="23"/>
    <s v="Endenergieverbrauch - Industriesektor - Eisen und Stahl - energetischer Verbrauch"/>
    <s v="Elektrizität"/>
    <s v="Gigawattstunde"/>
    <x v="9"/>
    <x v="3"/>
    <n v="728"/>
  </r>
  <r>
    <x v="23"/>
    <s v="Endenergieverbrauch - Industriesektor - Eisen und Stahl - energetischer Verbrauch"/>
    <s v="Elektrizität"/>
    <s v="Gigawattstunde"/>
    <x v="10"/>
    <x v="3"/>
    <n v="768"/>
  </r>
  <r>
    <x v="23"/>
    <s v="Endenergieverbrauch - Industriesektor - Eisen und Stahl - energetischer Verbrauch"/>
    <s v="Elektrizität"/>
    <s v="Gigawattstunde"/>
    <x v="11"/>
    <x v="3"/>
    <n v="769"/>
  </r>
  <r>
    <x v="23"/>
    <s v="Endenergieverbrauch - Industriesektor - Eisen und Stahl - energetischer Verbrauch"/>
    <s v="Elektrizität"/>
    <s v="Gigawattstunde"/>
    <x v="12"/>
    <x v="3"/>
    <n v="758"/>
  </r>
  <r>
    <x v="23"/>
    <s v="Endenergieverbrauch - Industriesektor - Eisen und Stahl - energetischer Verbrauch"/>
    <s v="Elektrizität"/>
    <s v="Gigawattstunde"/>
    <x v="13"/>
    <x v="3"/>
    <n v="760"/>
  </r>
  <r>
    <x v="23"/>
    <s v="Endenergieverbrauch - Industriesektor - Eisen und Stahl - energetischer Verbrauch"/>
    <s v="Elektrizität"/>
    <s v="Gigawattstunde"/>
    <x v="14"/>
    <x v="3"/>
    <n v="787"/>
  </r>
  <r>
    <x v="23"/>
    <s v="Endenergieverbrauch - Industriesektor - Eisen und Stahl - energetischer Verbrauch"/>
    <s v="Elektrizität"/>
    <s v="Gigawattstunde"/>
    <x v="15"/>
    <x v="3"/>
    <n v="822.23900000000003"/>
  </r>
  <r>
    <x v="23"/>
    <s v="Endenergieverbrauch - Industriesektor - Eisen und Stahl - energetischer Verbrauch"/>
    <s v="Elektrizität"/>
    <s v="Gigawattstunde"/>
    <x v="16"/>
    <x v="3"/>
    <n v="778.59"/>
  </r>
  <r>
    <x v="24"/>
    <s v="Endenergieverbrauch - Industriesektor - Eisen und Stahl - energetischer Verbrauch"/>
    <s v="Elektrizität"/>
    <s v="Gigawattstunde"/>
    <x v="0"/>
    <x v="3"/>
    <n v="1541"/>
  </r>
  <r>
    <x v="24"/>
    <s v="Endenergieverbrauch - Industriesektor - Eisen und Stahl - energetischer Verbrauch"/>
    <s v="Elektrizität"/>
    <s v="Gigawattstunde"/>
    <x v="1"/>
    <x v="3"/>
    <n v="2415"/>
  </r>
  <r>
    <x v="24"/>
    <s v="Endenergieverbrauch - Industriesektor - Eisen und Stahl - energetischer Verbrauch"/>
    <s v="Elektrizität"/>
    <s v="Gigawattstunde"/>
    <x v="2"/>
    <x v="3"/>
    <n v="2602"/>
  </r>
  <r>
    <x v="24"/>
    <s v="Endenergieverbrauch - Industriesektor - Eisen und Stahl - energetischer Verbrauch"/>
    <s v="Elektrizität"/>
    <s v="Gigawattstunde"/>
    <x v="3"/>
    <x v="3"/>
    <n v="2292"/>
  </r>
  <r>
    <x v="24"/>
    <s v="Endenergieverbrauch - Industriesektor - Eisen und Stahl - energetischer Verbrauch"/>
    <s v="Elektrizität"/>
    <s v="Gigawattstunde"/>
    <x v="4"/>
    <x v="3"/>
    <n v="2563"/>
  </r>
  <r>
    <x v="24"/>
    <s v="Endenergieverbrauch - Industriesektor - Eisen und Stahl - energetischer Verbrauch"/>
    <s v="Elektrizität"/>
    <s v="Gigawattstunde"/>
    <x v="5"/>
    <x v="3"/>
    <n v="2726"/>
  </r>
  <r>
    <x v="24"/>
    <s v="Endenergieverbrauch - Industriesektor - Eisen und Stahl - energetischer Verbrauch"/>
    <s v="Elektrizität"/>
    <s v="Gigawattstunde"/>
    <x v="6"/>
    <x v="3"/>
    <n v="2416"/>
  </r>
  <r>
    <x v="24"/>
    <s v="Endenergieverbrauch - Industriesektor - Eisen und Stahl - energetischer Verbrauch"/>
    <s v="Elektrizität"/>
    <s v="Gigawattstunde"/>
    <x v="7"/>
    <x v="3"/>
    <n v="1891"/>
  </r>
  <r>
    <x v="24"/>
    <s v="Endenergieverbrauch - Industriesektor - Eisen und Stahl - energetischer Verbrauch"/>
    <s v="Elektrizität"/>
    <s v="Gigawattstunde"/>
    <x v="8"/>
    <x v="3"/>
    <n v="2349"/>
  </r>
  <r>
    <x v="24"/>
    <s v="Endenergieverbrauch - Industriesektor - Eisen und Stahl - energetischer Verbrauch"/>
    <s v="Elektrizität"/>
    <s v="Gigawattstunde"/>
    <x v="9"/>
    <x v="3"/>
    <n v="2336"/>
  </r>
  <r>
    <x v="24"/>
    <s v="Endenergieverbrauch - Industriesektor - Eisen und Stahl - energetischer Verbrauch"/>
    <s v="Elektrizität"/>
    <s v="Gigawattstunde"/>
    <x v="10"/>
    <x v="3"/>
    <n v="2597"/>
  </r>
  <r>
    <x v="24"/>
    <s v="Endenergieverbrauch - Industriesektor - Eisen und Stahl - energetischer Verbrauch"/>
    <s v="Elektrizität"/>
    <s v="Gigawattstunde"/>
    <x v="11"/>
    <x v="3"/>
    <n v="2454"/>
  </r>
  <r>
    <x v="24"/>
    <s v="Endenergieverbrauch - Industriesektor - Eisen und Stahl - energetischer Verbrauch"/>
    <s v="Elektrizität"/>
    <s v="Gigawattstunde"/>
    <x v="12"/>
    <x v="3"/>
    <n v="2485"/>
  </r>
  <r>
    <x v="24"/>
    <s v="Endenergieverbrauch - Industriesektor - Eisen und Stahl - energetischer Verbrauch"/>
    <s v="Elektrizität"/>
    <s v="Gigawattstunde"/>
    <x v="13"/>
    <x v="3"/>
    <n v="2337"/>
  </r>
  <r>
    <x v="24"/>
    <s v="Endenergieverbrauch - Industriesektor - Eisen und Stahl - energetischer Verbrauch"/>
    <s v="Elektrizität"/>
    <s v="Gigawattstunde"/>
    <x v="14"/>
    <x v="3"/>
    <n v="2303"/>
  </r>
  <r>
    <x v="24"/>
    <s v="Endenergieverbrauch - Industriesektor - Eisen und Stahl - energetischer Verbrauch"/>
    <s v="Elektrizität"/>
    <s v="Gigawattstunde"/>
    <x v="15"/>
    <x v="3"/>
    <n v="2614"/>
  </r>
  <r>
    <x v="24"/>
    <s v="Endenergieverbrauch - Industriesektor - Eisen und Stahl - energetischer Verbrauch"/>
    <s v="Elektrizität"/>
    <s v="Gigawattstunde"/>
    <x v="16"/>
    <x v="3"/>
    <n v="2541"/>
  </r>
  <r>
    <x v="25"/>
    <s v="Endenergieverbrauch - Industriesektor - Eisen und Stahl - energetischer Verbrauch"/>
    <s v="Elektrizität"/>
    <s v="Gigawattstunde"/>
    <x v="0"/>
    <x v="3"/>
    <n v="3024"/>
  </r>
  <r>
    <x v="25"/>
    <s v="Endenergieverbrauch - Industriesektor - Eisen und Stahl - energetischer Verbrauch"/>
    <s v="Elektrizität"/>
    <s v="Gigawattstunde"/>
    <x v="1"/>
    <x v="3"/>
    <n v="3231"/>
  </r>
  <r>
    <x v="25"/>
    <s v="Endenergieverbrauch - Industriesektor - Eisen und Stahl - energetischer Verbrauch"/>
    <s v="Elektrizität"/>
    <s v="Gigawattstunde"/>
    <x v="2"/>
    <x v="3"/>
    <n v="3410"/>
  </r>
  <r>
    <x v="25"/>
    <s v="Endenergieverbrauch - Industriesektor - Eisen und Stahl - energetischer Verbrauch"/>
    <s v="Elektrizität"/>
    <s v="Gigawattstunde"/>
    <x v="3"/>
    <x v="3"/>
    <n v="3448"/>
  </r>
  <r>
    <x v="25"/>
    <s v="Endenergieverbrauch - Industriesektor - Eisen und Stahl - energetischer Verbrauch"/>
    <s v="Elektrizität"/>
    <s v="Gigawattstunde"/>
    <x v="4"/>
    <x v="3"/>
    <n v="3630"/>
  </r>
  <r>
    <x v="25"/>
    <s v="Endenergieverbrauch - Industriesektor - Eisen und Stahl - energetischer Verbrauch"/>
    <s v="Elektrizität"/>
    <s v="Gigawattstunde"/>
    <x v="5"/>
    <x v="3"/>
    <n v="3445"/>
  </r>
  <r>
    <x v="25"/>
    <s v="Endenergieverbrauch - Industriesektor - Eisen und Stahl - energetischer Verbrauch"/>
    <s v="Elektrizität"/>
    <s v="Gigawattstunde"/>
    <x v="6"/>
    <x v="3"/>
    <n v="3284"/>
  </r>
  <r>
    <x v="25"/>
    <s v="Endenergieverbrauch - Industriesektor - Eisen und Stahl - energetischer Verbrauch"/>
    <s v="Elektrizität"/>
    <s v="Gigawattstunde"/>
    <x v="7"/>
    <x v="3"/>
    <n v="2651"/>
  </r>
  <r>
    <x v="25"/>
    <s v="Endenergieverbrauch - Industriesektor - Eisen und Stahl - energetischer Verbrauch"/>
    <s v="Elektrizität"/>
    <s v="Gigawattstunde"/>
    <x v="8"/>
    <x v="3"/>
    <n v="3276"/>
  </r>
  <r>
    <x v="25"/>
    <s v="Endenergieverbrauch - Industriesektor - Eisen und Stahl - energetischer Verbrauch"/>
    <s v="Elektrizität"/>
    <s v="Gigawattstunde"/>
    <x v="9"/>
    <x v="3"/>
    <n v="3497"/>
  </r>
  <r>
    <x v="25"/>
    <s v="Endenergieverbrauch - Industriesektor - Eisen und Stahl - energetischer Verbrauch"/>
    <s v="Elektrizität"/>
    <s v="Gigawattstunde"/>
    <x v="10"/>
    <x v="3"/>
    <n v="3349"/>
  </r>
  <r>
    <x v="25"/>
    <s v="Endenergieverbrauch - Industriesektor - Eisen und Stahl - energetischer Verbrauch"/>
    <s v="Elektrizität"/>
    <s v="Gigawattstunde"/>
    <x v="11"/>
    <x v="3"/>
    <n v="3902"/>
  </r>
  <r>
    <x v="25"/>
    <s v="Endenergieverbrauch - Industriesektor - Eisen und Stahl - energetischer Verbrauch"/>
    <s v="Elektrizität"/>
    <s v="Gigawattstunde"/>
    <x v="12"/>
    <x v="3"/>
    <n v="4002"/>
  </r>
  <r>
    <x v="25"/>
    <s v="Endenergieverbrauch - Industriesektor - Eisen und Stahl - energetischer Verbrauch"/>
    <s v="Elektrizität"/>
    <s v="Gigawattstunde"/>
    <x v="13"/>
    <x v="3"/>
    <n v="4353"/>
  </r>
  <r>
    <x v="25"/>
    <s v="Endenergieverbrauch - Industriesektor - Eisen und Stahl - energetischer Verbrauch"/>
    <s v="Elektrizität"/>
    <s v="Gigawattstunde"/>
    <x v="14"/>
    <x v="3"/>
    <n v="4414"/>
  </r>
  <r>
    <x v="25"/>
    <s v="Endenergieverbrauch - Industriesektor - Eisen und Stahl - energetischer Verbrauch"/>
    <s v="Elektrizität"/>
    <s v="Gigawattstunde"/>
    <x v="15"/>
    <x v="3"/>
    <n v="4222"/>
  </r>
  <r>
    <x v="25"/>
    <s v="Endenergieverbrauch - Industriesektor - Eisen und Stahl - energetischer Verbrauch"/>
    <s v="Elektrizität"/>
    <s v="Gigawattstunde"/>
    <x v="16"/>
    <x v="3"/>
    <n v="4308"/>
  </r>
  <r>
    <x v="26"/>
    <s v="Endenergieverbrauch - Industriesektor - Eisen und Stahl - energetischer Verbrauch"/>
    <s v="Elektrizität"/>
    <s v="Gigawattstunde"/>
    <x v="0"/>
    <x v="3"/>
    <n v="4873"/>
  </r>
  <r>
    <x v="26"/>
    <s v="Endenergieverbrauch - Industriesektor - Eisen und Stahl - energetischer Verbrauch"/>
    <s v="Elektrizität"/>
    <s v="Gigawattstunde"/>
    <x v="1"/>
    <x v="3"/>
    <n v="4850"/>
  </r>
  <r>
    <x v="26"/>
    <s v="Endenergieverbrauch - Industriesektor - Eisen und Stahl - energetischer Verbrauch"/>
    <s v="Elektrizität"/>
    <s v="Gigawattstunde"/>
    <x v="2"/>
    <x v="3"/>
    <n v="4947"/>
  </r>
  <r>
    <x v="26"/>
    <s v="Endenergieverbrauch - Industriesektor - Eisen und Stahl - energetischer Verbrauch"/>
    <s v="Elektrizität"/>
    <s v="Gigawattstunde"/>
    <x v="3"/>
    <x v="3"/>
    <n v="5356"/>
  </r>
  <r>
    <x v="26"/>
    <s v="Endenergieverbrauch - Industriesektor - Eisen und Stahl - energetischer Verbrauch"/>
    <s v="Elektrizität"/>
    <s v="Gigawattstunde"/>
    <x v="4"/>
    <x v="3"/>
    <n v="5287"/>
  </r>
  <r>
    <x v="26"/>
    <s v="Endenergieverbrauch - Industriesektor - Eisen und Stahl - energetischer Verbrauch"/>
    <s v="Elektrizität"/>
    <s v="Gigawattstunde"/>
    <x v="5"/>
    <x v="3"/>
    <n v="5218"/>
  </r>
  <r>
    <x v="26"/>
    <s v="Endenergieverbrauch - Industriesektor - Eisen und Stahl - energetischer Verbrauch"/>
    <s v="Elektrizität"/>
    <s v="Gigawattstunde"/>
    <x v="6"/>
    <x v="3"/>
    <n v="5201"/>
  </r>
  <r>
    <x v="26"/>
    <s v="Endenergieverbrauch - Industriesektor - Eisen und Stahl - energetischer Verbrauch"/>
    <s v="Elektrizität"/>
    <s v="Gigawattstunde"/>
    <x v="7"/>
    <x v="3"/>
    <n v="3662"/>
  </r>
  <r>
    <x v="26"/>
    <s v="Endenergieverbrauch - Industriesektor - Eisen und Stahl - energetischer Verbrauch"/>
    <s v="Elektrizität"/>
    <s v="Gigawattstunde"/>
    <x v="8"/>
    <x v="3"/>
    <n v="4572"/>
  </r>
  <r>
    <x v="26"/>
    <s v="Endenergieverbrauch - Industriesektor - Eisen und Stahl - energetischer Verbrauch"/>
    <s v="Elektrizität"/>
    <s v="Gigawattstunde"/>
    <x v="9"/>
    <x v="3"/>
    <n v="4986"/>
  </r>
  <r>
    <x v="26"/>
    <s v="Endenergieverbrauch - Industriesektor - Eisen und Stahl - energetischer Verbrauch"/>
    <s v="Elektrizität"/>
    <s v="Gigawattstunde"/>
    <x v="10"/>
    <x v="3"/>
    <n v="4507"/>
  </r>
  <r>
    <x v="26"/>
    <s v="Endenergieverbrauch - Industriesektor - Eisen und Stahl - energetischer Verbrauch"/>
    <s v="Elektrizität"/>
    <s v="Gigawattstunde"/>
    <x v="11"/>
    <x v="3"/>
    <n v="4438"/>
  </r>
  <r>
    <x v="26"/>
    <s v="Endenergieverbrauch - Industriesektor - Eisen und Stahl - energetischer Verbrauch"/>
    <s v="Elektrizität"/>
    <s v="Gigawattstunde"/>
    <x v="12"/>
    <x v="3"/>
    <n v="4329"/>
  </r>
  <r>
    <x v="26"/>
    <s v="Endenergieverbrauch - Industriesektor - Eisen und Stahl - energetischer Verbrauch"/>
    <s v="Elektrizität"/>
    <s v="Gigawattstunde"/>
    <x v="13"/>
    <x v="3"/>
    <n v="4399"/>
  </r>
  <r>
    <x v="26"/>
    <s v="Endenergieverbrauch - Industriesektor - Eisen und Stahl - energetischer Verbrauch"/>
    <s v="Elektrizität"/>
    <s v="Gigawattstunde"/>
    <x v="14"/>
    <x v="3"/>
    <n v="4387"/>
  </r>
  <r>
    <x v="26"/>
    <s v="Endenergieverbrauch - Industriesektor - Eisen und Stahl - energetischer Verbrauch"/>
    <s v="Elektrizität"/>
    <s v="Gigawattstunde"/>
    <x v="15"/>
    <x v="3"/>
    <n v="4562"/>
  </r>
  <r>
    <x v="26"/>
    <s v="Endenergieverbrauch - Industriesektor - Eisen und Stahl - energetischer Verbrauch"/>
    <s v="Elektrizität"/>
    <s v="Gigawattstunde"/>
    <x v="16"/>
    <x v="3"/>
    <n v="4601"/>
  </r>
  <r>
    <x v="27"/>
    <s v="Endenergieverbrauch - Industriesektor - Eisen und Stahl - energetischer Verbrauch"/>
    <s v="Elektrizität"/>
    <s v="Gigawattstunde"/>
    <x v="0"/>
    <x v="3"/>
    <n v="5092"/>
  </r>
  <r>
    <x v="27"/>
    <s v="Endenergieverbrauch - Industriesektor - Eisen und Stahl - energetischer Verbrauch"/>
    <s v="Elektrizität"/>
    <s v="Gigawattstunde"/>
    <x v="1"/>
    <x v="3"/>
    <n v="5434"/>
  </r>
  <r>
    <x v="27"/>
    <s v="Endenergieverbrauch - Industriesektor - Eisen und Stahl - energetischer Verbrauch"/>
    <s v="Elektrizität"/>
    <s v="Gigawattstunde"/>
    <x v="2"/>
    <x v="3"/>
    <n v="5412"/>
  </r>
  <r>
    <x v="27"/>
    <s v="Endenergieverbrauch - Industriesektor - Eisen und Stahl - energetischer Verbrauch"/>
    <s v="Elektrizität"/>
    <s v="Gigawattstunde"/>
    <x v="3"/>
    <x v="3"/>
    <n v="5020"/>
  </r>
  <r>
    <x v="27"/>
    <s v="Endenergieverbrauch - Industriesektor - Eisen und Stahl - energetischer Verbrauch"/>
    <s v="Elektrizität"/>
    <s v="Gigawattstunde"/>
    <x v="4"/>
    <x v="3"/>
    <n v="5860"/>
  </r>
  <r>
    <x v="27"/>
    <s v="Endenergieverbrauch - Industriesektor - Eisen und Stahl - energetischer Verbrauch"/>
    <s v="Elektrizität"/>
    <s v="Gigawattstunde"/>
    <x v="5"/>
    <x v="3"/>
    <n v="4937"/>
  </r>
  <r>
    <x v="27"/>
    <s v="Endenergieverbrauch - Industriesektor - Eisen und Stahl - energetischer Verbrauch"/>
    <s v="Elektrizität"/>
    <s v="Gigawattstunde"/>
    <x v="6"/>
    <x v="3"/>
    <n v="4657"/>
  </r>
  <r>
    <x v="27"/>
    <s v="Endenergieverbrauch - Industriesektor - Eisen und Stahl - energetischer Verbrauch"/>
    <s v="Elektrizität"/>
    <s v="Gigawattstunde"/>
    <x v="7"/>
    <x v="3"/>
    <n v="3615"/>
  </r>
  <r>
    <x v="27"/>
    <s v="Endenergieverbrauch - Industriesektor - Eisen und Stahl - energetischer Verbrauch"/>
    <s v="Elektrizität"/>
    <s v="Gigawattstunde"/>
    <x v="8"/>
    <x v="3"/>
    <n v="3842"/>
  </r>
  <r>
    <x v="27"/>
    <s v="Endenergieverbrauch - Industriesektor - Eisen und Stahl - energetischer Verbrauch"/>
    <s v="Elektrizität"/>
    <s v="Gigawattstunde"/>
    <x v="9"/>
    <x v="3"/>
    <n v="3852"/>
  </r>
  <r>
    <x v="27"/>
    <s v="Endenergieverbrauch - Industriesektor - Eisen und Stahl - energetischer Verbrauch"/>
    <s v="Elektrizität"/>
    <s v="Gigawattstunde"/>
    <x v="10"/>
    <x v="3"/>
    <n v="3579"/>
  </r>
  <r>
    <x v="27"/>
    <s v="Endenergieverbrauch - Industriesektor - Eisen und Stahl - energetischer Verbrauch"/>
    <s v="Elektrizität"/>
    <s v="Gigawattstunde"/>
    <x v="11"/>
    <x v="3"/>
    <n v="3799"/>
  </r>
  <r>
    <x v="27"/>
    <s v="Endenergieverbrauch - Industriesektor - Eisen und Stahl - energetischer Verbrauch"/>
    <s v="Elektrizität"/>
    <s v="Gigawattstunde"/>
    <x v="12"/>
    <x v="3"/>
    <n v="3787"/>
  </r>
  <r>
    <x v="27"/>
    <s v="Endenergieverbrauch - Industriesektor - Eisen und Stahl - energetischer Verbrauch"/>
    <s v="Elektrizität"/>
    <s v="Gigawattstunde"/>
    <x v="13"/>
    <x v="3"/>
    <n v="3687.567"/>
  </r>
  <r>
    <x v="27"/>
    <s v="Endenergieverbrauch - Industriesektor - Eisen und Stahl - energetischer Verbrauch"/>
    <s v="Elektrizität"/>
    <s v="Gigawattstunde"/>
    <x v="14"/>
    <x v="3"/>
    <n v="2830.1219999999998"/>
  </r>
  <r>
    <x v="27"/>
    <s v="Endenergieverbrauch - Industriesektor - Eisen und Stahl - energetischer Verbrauch"/>
    <s v="Elektrizität"/>
    <s v="Gigawattstunde"/>
    <x v="15"/>
    <x v="3"/>
    <n v="2702.5819999999999"/>
  </r>
  <r>
    <x v="27"/>
    <s v="Endenergieverbrauch - Industriesektor - Eisen und Stahl - energetischer Verbrauch"/>
    <s v="Elektrizität"/>
    <s v="Gigawattstunde"/>
    <x v="16"/>
    <x v="3"/>
    <n v="2560.2089999999998"/>
  </r>
  <r>
    <x v="28"/>
    <s v="Endenergieverbrauch - Industriesektor - Eisen und Stahl - energetischer Verbrauch"/>
    <s v="Elektrizität"/>
    <s v="Gigawattstunde"/>
    <x v="0"/>
    <x v="3"/>
    <n v="1039"/>
  </r>
  <r>
    <x v="28"/>
    <s v="Endenergieverbrauch - Industriesektor - Eisen und Stahl - energetischer Verbrauch"/>
    <s v="Elektrizität"/>
    <s v="Gigawattstunde"/>
    <x v="1"/>
    <x v="3"/>
    <n v="1050"/>
  </r>
  <r>
    <x v="28"/>
    <s v="Endenergieverbrauch - Industriesektor - Eisen und Stahl - energetischer Verbrauch"/>
    <s v="Elektrizität"/>
    <s v="Gigawattstunde"/>
    <x v="2"/>
    <x v="3"/>
    <n v="1031"/>
  </r>
  <r>
    <x v="28"/>
    <s v="Endenergieverbrauch - Industriesektor - Eisen und Stahl - energetischer Verbrauch"/>
    <s v="Elektrizität"/>
    <s v="Gigawattstunde"/>
    <x v="3"/>
    <x v="3"/>
    <n v="981"/>
  </r>
  <r>
    <x v="28"/>
    <s v="Endenergieverbrauch - Industriesektor - Eisen und Stahl - energetischer Verbrauch"/>
    <s v="Elektrizität"/>
    <s v="Gigawattstunde"/>
    <x v="4"/>
    <x v="3"/>
    <n v="983"/>
  </r>
  <r>
    <x v="28"/>
    <s v="Endenergieverbrauch - Industriesektor - Eisen und Stahl - energetischer Verbrauch"/>
    <s v="Elektrizität"/>
    <s v="Gigawattstunde"/>
    <x v="5"/>
    <x v="3"/>
    <n v="1006"/>
  </r>
  <r>
    <x v="28"/>
    <s v="Endenergieverbrauch - Industriesektor - Eisen und Stahl - energetischer Verbrauch"/>
    <s v="Elektrizität"/>
    <s v="Gigawattstunde"/>
    <x v="6"/>
    <x v="3"/>
    <n v="888"/>
  </r>
  <r>
    <x v="28"/>
    <s v="Endenergieverbrauch - Industriesektor - Eisen und Stahl - energetischer Verbrauch"/>
    <s v="Elektrizität"/>
    <s v="Gigawattstunde"/>
    <x v="7"/>
    <x v="3"/>
    <n v="898"/>
  </r>
  <r>
    <x v="28"/>
    <s v="Endenergieverbrauch - Industriesektor - Eisen und Stahl - energetischer Verbrauch"/>
    <s v="Elektrizität"/>
    <s v="Gigawattstunde"/>
    <x v="8"/>
    <x v="3"/>
    <n v="933"/>
  </r>
  <r>
    <x v="28"/>
    <s v="Endenergieverbrauch - Industriesektor - Eisen und Stahl - energetischer Verbrauch"/>
    <s v="Elektrizität"/>
    <s v="Gigawattstunde"/>
    <x v="9"/>
    <x v="3"/>
    <n v="947"/>
  </r>
  <r>
    <x v="28"/>
    <s v="Endenergieverbrauch - Industriesektor - Eisen und Stahl - energetischer Verbrauch"/>
    <s v="Elektrizität"/>
    <s v="Gigawattstunde"/>
    <x v="10"/>
    <x v="3"/>
    <n v="1035"/>
  </r>
  <r>
    <x v="28"/>
    <s v="Endenergieverbrauch - Industriesektor - Eisen und Stahl - energetischer Verbrauch"/>
    <s v="Elektrizität"/>
    <s v="Gigawattstunde"/>
    <x v="11"/>
    <x v="3"/>
    <n v="1066"/>
  </r>
  <r>
    <x v="28"/>
    <s v="Endenergieverbrauch - Industriesektor - Eisen und Stahl - energetischer Verbrauch"/>
    <s v="Elektrizität"/>
    <s v="Gigawattstunde"/>
    <x v="12"/>
    <x v="3"/>
    <n v="985"/>
  </r>
  <r>
    <x v="28"/>
    <s v="Endenergieverbrauch - Industriesektor - Eisen und Stahl - energetischer Verbrauch"/>
    <s v="Elektrizität"/>
    <s v="Gigawattstunde"/>
    <x v="13"/>
    <x v="3"/>
    <n v="1046"/>
  </r>
  <r>
    <x v="28"/>
    <s v="Endenergieverbrauch - Industriesektor - Eisen und Stahl - energetischer Verbrauch"/>
    <s v="Elektrizität"/>
    <s v="Gigawattstunde"/>
    <x v="14"/>
    <x v="3"/>
    <n v="1045"/>
  </r>
  <r>
    <x v="28"/>
    <s v="Endenergieverbrauch - Industriesektor - Eisen und Stahl - energetischer Verbrauch"/>
    <s v="Elektrizität"/>
    <s v="Gigawattstunde"/>
    <x v="15"/>
    <x v="3"/>
    <n v="1012.704"/>
  </r>
  <r>
    <x v="28"/>
    <s v="Endenergieverbrauch - Industriesektor - Eisen und Stahl - energetischer Verbrauch"/>
    <s v="Elektrizität"/>
    <s v="Gigawattstunde"/>
    <x v="16"/>
    <x v="3"/>
    <n v="1013.978"/>
  </r>
  <r>
    <x v="29"/>
    <s v="Endenergieverbrauch - Industriesektor - Eisen und Stahl - energetischer Verbrauch"/>
    <s v="Elektrizität"/>
    <s v="Gigawattstunde"/>
    <x v="0"/>
    <x v="3"/>
    <n v="6352"/>
  </r>
  <r>
    <x v="29"/>
    <s v="Endenergieverbrauch - Industriesektor - Eisen und Stahl - energetischer Verbrauch"/>
    <s v="Elektrizität"/>
    <s v="Gigawattstunde"/>
    <x v="1"/>
    <x v="3"/>
    <n v="5927"/>
  </r>
  <r>
    <x v="29"/>
    <s v="Endenergieverbrauch - Industriesektor - Eisen und Stahl - energetischer Verbrauch"/>
    <s v="Elektrizität"/>
    <s v="Gigawattstunde"/>
    <x v="2"/>
    <x v="3"/>
    <n v="6885"/>
  </r>
  <r>
    <x v="29"/>
    <s v="Endenergieverbrauch - Industriesektor - Eisen und Stahl - energetischer Verbrauch"/>
    <s v="Elektrizität"/>
    <s v="Gigawattstunde"/>
    <x v="3"/>
    <x v="3"/>
    <n v="5646"/>
  </r>
  <r>
    <x v="29"/>
    <s v="Endenergieverbrauch - Industriesektor - Eisen und Stahl - energetischer Verbrauch"/>
    <s v="Elektrizität"/>
    <s v="Gigawattstunde"/>
    <x v="4"/>
    <x v="3"/>
    <n v="4257"/>
  </r>
  <r>
    <x v="29"/>
    <s v="Endenergieverbrauch - Industriesektor - Eisen und Stahl - energetischer Verbrauch"/>
    <s v="Elektrizität"/>
    <s v="Gigawattstunde"/>
    <x v="5"/>
    <x v="3"/>
    <n v="4964"/>
  </r>
  <r>
    <x v="29"/>
    <s v="Endenergieverbrauch - Industriesektor - Eisen und Stahl - energetischer Verbrauch"/>
    <s v="Elektrizität"/>
    <s v="Gigawattstunde"/>
    <x v="6"/>
    <x v="3"/>
    <n v="5177"/>
  </r>
  <r>
    <x v="29"/>
    <s v="Endenergieverbrauch - Industriesektor - Eisen und Stahl - energetischer Verbrauch"/>
    <s v="Elektrizität"/>
    <s v="Gigawattstunde"/>
    <x v="7"/>
    <x v="3"/>
    <n v="3643"/>
  </r>
  <r>
    <x v="29"/>
    <s v="Endenergieverbrauch - Industriesektor - Eisen und Stahl - energetischer Verbrauch"/>
    <s v="Elektrizität"/>
    <s v="Gigawattstunde"/>
    <x v="8"/>
    <x v="3"/>
    <n v="4678"/>
  </r>
  <r>
    <x v="29"/>
    <s v="Endenergieverbrauch - Industriesektor - Eisen und Stahl - energetischer Verbrauch"/>
    <s v="Elektrizität"/>
    <s v="Gigawattstunde"/>
    <x v="9"/>
    <x v="3"/>
    <n v="5154"/>
  </r>
  <r>
    <x v="29"/>
    <s v="Endenergieverbrauch - Industriesektor - Eisen und Stahl - energetischer Verbrauch"/>
    <s v="Elektrizität"/>
    <s v="Gigawattstunde"/>
    <x v="10"/>
    <x v="3"/>
    <n v="5048"/>
  </r>
  <r>
    <x v="29"/>
    <s v="Endenergieverbrauch - Industriesektor - Eisen und Stahl - energetischer Verbrauch"/>
    <s v="Elektrizität"/>
    <s v="Gigawattstunde"/>
    <x v="11"/>
    <x v="3"/>
    <n v="5022"/>
  </r>
  <r>
    <x v="29"/>
    <s v="Endenergieverbrauch - Industriesektor - Eisen und Stahl - energetischer Verbrauch"/>
    <s v="Elektrizität"/>
    <s v="Gigawattstunde"/>
    <x v="12"/>
    <x v="3"/>
    <n v="5280"/>
  </r>
  <r>
    <x v="29"/>
    <s v="Endenergieverbrauch - Industriesektor - Eisen und Stahl - energetischer Verbrauch"/>
    <s v="Elektrizität"/>
    <s v="Gigawattstunde"/>
    <x v="13"/>
    <x v="3"/>
    <n v="5053"/>
  </r>
  <r>
    <x v="29"/>
    <s v="Endenergieverbrauch - Industriesektor - Eisen und Stahl - energetischer Verbrauch"/>
    <s v="Elektrizität"/>
    <s v="Gigawattstunde"/>
    <x v="14"/>
    <x v="3"/>
    <n v="5175"/>
  </r>
  <r>
    <x v="29"/>
    <s v="Endenergieverbrauch - Industriesektor - Eisen und Stahl - energetischer Verbrauch"/>
    <s v="Elektrizität"/>
    <s v="Gigawattstunde"/>
    <x v="15"/>
    <x v="3"/>
    <n v="5542"/>
  </r>
  <r>
    <x v="29"/>
    <s v="Endenergieverbrauch - Industriesektor - Eisen und Stahl - energetischer Verbrauch"/>
    <s v="Elektrizität"/>
    <s v="Gigawattstunde"/>
    <x v="16"/>
    <x v="3"/>
    <n v="5446.9589999999998"/>
  </r>
  <r>
    <x v="30"/>
    <s v="Endenergieverbrauch - Industriesektor - Eisen und Stahl - energetischer Verbrauch"/>
    <s v="Elektrizität"/>
    <s v="Gigawattstunde"/>
    <x v="0"/>
    <x v="3"/>
    <n v="389"/>
  </r>
  <r>
    <x v="30"/>
    <s v="Endenergieverbrauch - Industriesektor - Eisen und Stahl - energetischer Verbrauch"/>
    <s v="Elektrizität"/>
    <s v="Gigawattstunde"/>
    <x v="1"/>
    <x v="3"/>
    <n v="364"/>
  </r>
  <r>
    <x v="30"/>
    <s v="Endenergieverbrauch - Industriesektor - Eisen und Stahl - energetischer Verbrauch"/>
    <s v="Elektrizität"/>
    <s v="Gigawattstunde"/>
    <x v="2"/>
    <x v="3"/>
    <n v="777"/>
  </r>
  <r>
    <x v="30"/>
    <s v="Endenergieverbrauch - Industriesektor - Eisen und Stahl - energetischer Verbrauch"/>
    <s v="Elektrizität"/>
    <s v="Gigawattstunde"/>
    <x v="3"/>
    <x v="3"/>
    <n v="918"/>
  </r>
  <r>
    <x v="30"/>
    <s v="Endenergieverbrauch - Industriesektor - Eisen und Stahl - energetischer Verbrauch"/>
    <s v="Elektrizität"/>
    <s v="Gigawattstunde"/>
    <x v="4"/>
    <x v="3"/>
    <n v="1118"/>
  </r>
  <r>
    <x v="30"/>
    <s v="Endenergieverbrauch - Industriesektor - Eisen und Stahl - energetischer Verbrauch"/>
    <s v="Elektrizität"/>
    <s v="Gigawattstunde"/>
    <x v="5"/>
    <x v="3"/>
    <n v="937"/>
  </r>
  <r>
    <x v="30"/>
    <s v="Endenergieverbrauch - Industriesektor - Eisen und Stahl - energetischer Verbrauch"/>
    <s v="Elektrizität"/>
    <s v="Gigawattstunde"/>
    <x v="6"/>
    <x v="3"/>
    <n v="857"/>
  </r>
  <r>
    <x v="30"/>
    <s v="Endenergieverbrauch - Industriesektor - Eisen und Stahl - energetischer Verbrauch"/>
    <s v="Elektrizität"/>
    <s v="Gigawattstunde"/>
    <x v="7"/>
    <x v="3"/>
    <n v="648"/>
  </r>
  <r>
    <x v="30"/>
    <s v="Endenergieverbrauch - Industriesektor - Eisen und Stahl - energetischer Verbrauch"/>
    <s v="Elektrizität"/>
    <s v="Gigawattstunde"/>
    <x v="8"/>
    <x v="3"/>
    <n v="759"/>
  </r>
  <r>
    <x v="30"/>
    <s v="Endenergieverbrauch - Industriesektor - Eisen und Stahl - energetischer Verbrauch"/>
    <s v="Elektrizität"/>
    <s v="Gigawattstunde"/>
    <x v="9"/>
    <x v="3"/>
    <n v="886"/>
  </r>
  <r>
    <x v="30"/>
    <s v="Endenergieverbrauch - Industriesektor - Eisen und Stahl - energetischer Verbrauch"/>
    <s v="Elektrizität"/>
    <s v="Gigawattstunde"/>
    <x v="10"/>
    <x v="3"/>
    <n v="756"/>
  </r>
  <r>
    <x v="30"/>
    <s v="Endenergieverbrauch - Industriesektor - Eisen und Stahl - energetischer Verbrauch"/>
    <s v="Elektrizität"/>
    <s v="Gigawattstunde"/>
    <x v="11"/>
    <x v="3"/>
    <n v="396"/>
  </r>
  <r>
    <x v="30"/>
    <s v="Endenergieverbrauch - Industriesektor - Eisen und Stahl - energetischer Verbrauch"/>
    <s v="Elektrizität"/>
    <s v="Gigawattstunde"/>
    <x v="12"/>
    <x v="3"/>
    <n v="557"/>
  </r>
  <r>
    <x v="30"/>
    <s v="Endenergieverbrauch - Industriesektor - Eisen und Stahl - energetischer Verbrauch"/>
    <s v="Elektrizität"/>
    <s v="Gigawattstunde"/>
    <x v="13"/>
    <x v="3"/>
    <n v="732"/>
  </r>
  <r>
    <x v="30"/>
    <s v="Endenergieverbrauch - Industriesektor - Eisen und Stahl - energetischer Verbrauch"/>
    <s v="Elektrizität"/>
    <s v="Gigawattstunde"/>
    <x v="14"/>
    <x v="3"/>
    <n v="876"/>
  </r>
  <r>
    <x v="30"/>
    <s v="Endenergieverbrauch - Industriesektor - Eisen und Stahl - energetischer Verbrauch"/>
    <s v="Elektrizität"/>
    <s v="Gigawattstunde"/>
    <x v="15"/>
    <x v="3"/>
    <n v="919.89"/>
  </r>
  <r>
    <x v="30"/>
    <s v="Endenergieverbrauch - Industriesektor - Eisen und Stahl - energetischer Verbrauch"/>
    <s v="Elektrizität"/>
    <s v="Gigawattstunde"/>
    <x v="16"/>
    <x v="3"/>
    <n v="1342.549"/>
  </r>
  <r>
    <x v="0"/>
    <s v="Endenergieverbrauch - Industriesektor - Fahrzeuge und Beförderungsmittel - energetischer Verbrauch"/>
    <s v="Elektrizität"/>
    <s v="Gigawattstunde"/>
    <x v="0"/>
    <x v="4"/>
    <n v="959"/>
  </r>
  <r>
    <x v="0"/>
    <s v="Endenergieverbrauch - Industriesektor - Fahrzeuge und Beförderungsmittel - energetischer Verbrauch"/>
    <s v="Elektrizität"/>
    <s v="Gigawattstunde"/>
    <x v="1"/>
    <x v="4"/>
    <n v="1001"/>
  </r>
  <r>
    <x v="0"/>
    <s v="Endenergieverbrauch - Industriesektor - Fahrzeuge und Beförderungsmittel - energetischer Verbrauch"/>
    <s v="Elektrizität"/>
    <s v="Gigawattstunde"/>
    <x v="2"/>
    <x v="4"/>
    <n v="1021"/>
  </r>
  <r>
    <x v="0"/>
    <s v="Endenergieverbrauch - Industriesektor - Fahrzeuge und Beförderungsmittel - energetischer Verbrauch"/>
    <s v="Elektrizität"/>
    <s v="Gigawattstunde"/>
    <x v="3"/>
    <x v="4"/>
    <n v="994"/>
  </r>
  <r>
    <x v="0"/>
    <s v="Endenergieverbrauch - Industriesektor - Fahrzeuge und Beförderungsmittel - energetischer Verbrauch"/>
    <s v="Elektrizität"/>
    <s v="Gigawattstunde"/>
    <x v="4"/>
    <x v="4"/>
    <n v="1180"/>
  </r>
  <r>
    <x v="0"/>
    <s v="Endenergieverbrauch - Industriesektor - Fahrzeuge und Beförderungsmittel - energetischer Verbrauch"/>
    <s v="Elektrizität"/>
    <s v="Gigawattstunde"/>
    <x v="5"/>
    <x v="4"/>
    <n v="1199"/>
  </r>
  <r>
    <x v="0"/>
    <s v="Endenergieverbrauch - Industriesektor - Fahrzeuge und Beförderungsmittel - energetischer Verbrauch"/>
    <s v="Elektrizität"/>
    <s v="Gigawattstunde"/>
    <x v="6"/>
    <x v="4"/>
    <n v="1097"/>
  </r>
  <r>
    <x v="0"/>
    <s v="Endenergieverbrauch - Industriesektor - Fahrzeuge und Beförderungsmittel - energetischer Verbrauch"/>
    <s v="Elektrizität"/>
    <s v="Gigawattstunde"/>
    <x v="7"/>
    <x v="4"/>
    <n v="1017"/>
  </r>
  <r>
    <x v="0"/>
    <s v="Endenergieverbrauch - Industriesektor - Fahrzeuge und Beförderungsmittel - energetischer Verbrauch"/>
    <s v="Elektrizität"/>
    <s v="Gigawattstunde"/>
    <x v="8"/>
    <x v="4"/>
    <n v="1061"/>
  </r>
  <r>
    <x v="0"/>
    <s v="Endenergieverbrauch - Industriesektor - Fahrzeuge und Beförderungsmittel - energetischer Verbrauch"/>
    <s v="Elektrizität"/>
    <s v="Gigawattstunde"/>
    <x v="9"/>
    <x v="4"/>
    <n v="767"/>
  </r>
  <r>
    <x v="0"/>
    <s v="Endenergieverbrauch - Industriesektor - Fahrzeuge und Beförderungsmittel - energetischer Verbrauch"/>
    <s v="Elektrizität"/>
    <s v="Gigawattstunde"/>
    <x v="10"/>
    <x v="4"/>
    <n v="739"/>
  </r>
  <r>
    <x v="0"/>
    <s v="Endenergieverbrauch - Industriesektor - Fahrzeuge und Beförderungsmittel - energetischer Verbrauch"/>
    <s v="Elektrizität"/>
    <s v="Gigawattstunde"/>
    <x v="11"/>
    <x v="4"/>
    <n v="862"/>
  </r>
  <r>
    <x v="0"/>
    <s v="Endenergieverbrauch - Industriesektor - Fahrzeuge und Beförderungsmittel - energetischer Verbrauch"/>
    <s v="Elektrizität"/>
    <s v="Gigawattstunde"/>
    <x v="12"/>
    <x v="4"/>
    <n v="824.6"/>
  </r>
  <r>
    <x v="0"/>
    <s v="Endenergieverbrauch - Industriesektor - Fahrzeuge und Beförderungsmittel - energetischer Verbrauch"/>
    <s v="Elektrizität"/>
    <s v="Gigawattstunde"/>
    <x v="13"/>
    <x v="4"/>
    <n v="799.6"/>
  </r>
  <r>
    <x v="0"/>
    <s v="Endenergieverbrauch - Industriesektor - Fahrzeuge und Beförderungsmittel - energetischer Verbrauch"/>
    <s v="Elektrizität"/>
    <s v="Gigawattstunde"/>
    <x v="14"/>
    <x v="4"/>
    <n v="757.8"/>
  </r>
  <r>
    <x v="0"/>
    <s v="Endenergieverbrauch - Industriesektor - Fahrzeuge und Beförderungsmittel - energetischer Verbrauch"/>
    <s v="Elektrizität"/>
    <s v="Gigawattstunde"/>
    <x v="15"/>
    <x v="4"/>
    <n v="811.2"/>
  </r>
  <r>
    <x v="0"/>
    <s v="Endenergieverbrauch - Industriesektor - Fahrzeuge und Beförderungsmittel - energetischer Verbrauch"/>
    <s v="Elektrizität"/>
    <s v="Gigawattstunde"/>
    <x v="16"/>
    <x v="4"/>
    <n v="803.1"/>
  </r>
  <r>
    <x v="1"/>
    <s v="Endenergieverbrauch - Industriesektor - Fahrzeuge und Beförderungsmittel - energetischer Verbrauch"/>
    <s v="Elektrizität"/>
    <s v="Gigawattstunde"/>
    <x v="0"/>
    <x v="4"/>
    <n v="179"/>
  </r>
  <r>
    <x v="1"/>
    <s v="Endenergieverbrauch - Industriesektor - Fahrzeuge und Beförderungsmittel - energetischer Verbrauch"/>
    <s v="Elektrizität"/>
    <s v="Gigawattstunde"/>
    <x v="1"/>
    <x v="4"/>
    <n v="101"/>
  </r>
  <r>
    <x v="1"/>
    <s v="Endenergieverbrauch - Industriesektor - Fahrzeuge und Beförderungsmittel - energetischer Verbrauch"/>
    <s v="Elektrizität"/>
    <s v="Gigawattstunde"/>
    <x v="2"/>
    <x v="4"/>
    <n v="102"/>
  </r>
  <r>
    <x v="1"/>
    <s v="Endenergieverbrauch - Industriesektor - Fahrzeuge und Beförderungsmittel - energetischer Verbrauch"/>
    <s v="Elektrizität"/>
    <s v="Gigawattstunde"/>
    <x v="3"/>
    <x v="4"/>
    <n v="108"/>
  </r>
  <r>
    <x v="1"/>
    <s v="Endenergieverbrauch - Industriesektor - Fahrzeuge und Beförderungsmittel - energetischer Verbrauch"/>
    <s v="Elektrizität"/>
    <s v="Gigawattstunde"/>
    <x v="4"/>
    <x v="4"/>
    <n v="94"/>
  </r>
  <r>
    <x v="1"/>
    <s v="Endenergieverbrauch - Industriesektor - Fahrzeuge und Beförderungsmittel - energetischer Verbrauch"/>
    <s v="Elektrizität"/>
    <s v="Gigawattstunde"/>
    <x v="5"/>
    <x v="4"/>
    <n v="95"/>
  </r>
  <r>
    <x v="1"/>
    <s v="Endenergieverbrauch - Industriesektor - Fahrzeuge und Beförderungsmittel - energetischer Verbrauch"/>
    <s v="Elektrizität"/>
    <s v="Gigawattstunde"/>
    <x v="6"/>
    <x v="4"/>
    <n v="114"/>
  </r>
  <r>
    <x v="1"/>
    <s v="Endenergieverbrauch - Industriesektor - Fahrzeuge und Beförderungsmittel - energetischer Verbrauch"/>
    <s v="Elektrizität"/>
    <s v="Gigawattstunde"/>
    <x v="7"/>
    <x v="4"/>
    <n v="95"/>
  </r>
  <r>
    <x v="1"/>
    <s v="Endenergieverbrauch - Industriesektor - Fahrzeuge und Beförderungsmittel - energetischer Verbrauch"/>
    <s v="Elektrizität"/>
    <s v="Gigawattstunde"/>
    <x v="8"/>
    <x v="4"/>
    <n v="89"/>
  </r>
  <r>
    <x v="1"/>
    <s v="Endenergieverbrauch - Industriesektor - Fahrzeuge und Beförderungsmittel - energetischer Verbrauch"/>
    <s v="Elektrizität"/>
    <s v="Gigawattstunde"/>
    <x v="9"/>
    <x v="4"/>
    <n v="113"/>
  </r>
  <r>
    <x v="1"/>
    <s v="Endenergieverbrauch - Industriesektor - Fahrzeuge und Beförderungsmittel - energetischer Verbrauch"/>
    <s v="Elektrizität"/>
    <s v="Gigawattstunde"/>
    <x v="10"/>
    <x v="4"/>
    <n v="112"/>
  </r>
  <r>
    <x v="1"/>
    <s v="Endenergieverbrauch - Industriesektor - Fahrzeuge und Beförderungsmittel - energetischer Verbrauch"/>
    <s v="Elektrizität"/>
    <s v="Gigawattstunde"/>
    <x v="11"/>
    <x v="4"/>
    <n v="102"/>
  </r>
  <r>
    <x v="1"/>
    <s v="Endenergieverbrauch - Industriesektor - Fahrzeuge und Beförderungsmittel - energetischer Verbrauch"/>
    <s v="Elektrizität"/>
    <s v="Gigawattstunde"/>
    <x v="12"/>
    <x v="4"/>
    <n v="102"/>
  </r>
  <r>
    <x v="1"/>
    <s v="Endenergieverbrauch - Industriesektor - Fahrzeuge und Beförderungsmittel - energetischer Verbrauch"/>
    <s v="Elektrizität"/>
    <s v="Gigawattstunde"/>
    <x v="13"/>
    <x v="4"/>
    <n v="118"/>
  </r>
  <r>
    <x v="1"/>
    <s v="Endenergieverbrauch - Industriesektor - Fahrzeuge und Beförderungsmittel - energetischer Verbrauch"/>
    <s v="Elektrizität"/>
    <s v="Gigawattstunde"/>
    <x v="14"/>
    <x v="4"/>
    <n v="109"/>
  </r>
  <r>
    <x v="1"/>
    <s v="Endenergieverbrauch - Industriesektor - Fahrzeuge und Beförderungsmittel - energetischer Verbrauch"/>
    <s v="Elektrizität"/>
    <s v="Gigawattstunde"/>
    <x v="15"/>
    <x v="4"/>
    <n v="118.56100000000001"/>
  </r>
  <r>
    <x v="1"/>
    <s v="Endenergieverbrauch - Industriesektor - Fahrzeuge und Beförderungsmittel - energetischer Verbrauch"/>
    <s v="Elektrizität"/>
    <s v="Gigawattstunde"/>
    <x v="16"/>
    <x v="4"/>
    <n v="133.72499999999999"/>
  </r>
  <r>
    <x v="2"/>
    <s v="Endenergieverbrauch - Industriesektor - Fahrzeuge und Beförderungsmittel - energetischer Verbrauch"/>
    <s v="Elektrizität"/>
    <s v="Gigawattstunde"/>
    <x v="0"/>
    <x v="4"/>
    <n v="1212"/>
  </r>
  <r>
    <x v="2"/>
    <s v="Endenergieverbrauch - Industriesektor - Fahrzeuge und Beförderungsmittel - energetischer Verbrauch"/>
    <s v="Elektrizität"/>
    <s v="Gigawattstunde"/>
    <x v="1"/>
    <x v="4"/>
    <n v="1162"/>
  </r>
  <r>
    <x v="2"/>
    <s v="Endenergieverbrauch - Industriesektor - Fahrzeuge und Beförderungsmittel - energetischer Verbrauch"/>
    <s v="Elektrizität"/>
    <s v="Gigawattstunde"/>
    <x v="2"/>
    <x v="4"/>
    <n v="1482"/>
  </r>
  <r>
    <x v="2"/>
    <s v="Endenergieverbrauch - Industriesektor - Fahrzeuge und Beförderungsmittel - energetischer Verbrauch"/>
    <s v="Elektrizität"/>
    <s v="Gigawattstunde"/>
    <x v="3"/>
    <x v="4"/>
    <n v="1580"/>
  </r>
  <r>
    <x v="2"/>
    <s v="Endenergieverbrauch - Industriesektor - Fahrzeuge und Beförderungsmittel - energetischer Verbrauch"/>
    <s v="Elektrizität"/>
    <s v="Gigawattstunde"/>
    <x v="4"/>
    <x v="4"/>
    <n v="1834"/>
  </r>
  <r>
    <x v="2"/>
    <s v="Endenergieverbrauch - Industriesektor - Fahrzeuge und Beförderungsmittel - energetischer Verbrauch"/>
    <s v="Elektrizität"/>
    <s v="Gigawattstunde"/>
    <x v="5"/>
    <x v="4"/>
    <n v="1934"/>
  </r>
  <r>
    <x v="2"/>
    <s v="Endenergieverbrauch - Industriesektor - Fahrzeuge und Beförderungsmittel - energetischer Verbrauch"/>
    <s v="Elektrizität"/>
    <s v="Gigawattstunde"/>
    <x v="6"/>
    <x v="4"/>
    <n v="2321"/>
  </r>
  <r>
    <x v="2"/>
    <s v="Endenergieverbrauch - Industriesektor - Fahrzeuge und Beförderungsmittel - energetischer Verbrauch"/>
    <s v="Elektrizität"/>
    <s v="Gigawattstunde"/>
    <x v="7"/>
    <x v="4"/>
    <n v="2242"/>
  </r>
  <r>
    <x v="2"/>
    <s v="Endenergieverbrauch - Industriesektor - Fahrzeuge und Beförderungsmittel - energetischer Verbrauch"/>
    <s v="Elektrizität"/>
    <s v="Gigawattstunde"/>
    <x v="8"/>
    <x v="4"/>
    <n v="2463"/>
  </r>
  <r>
    <x v="2"/>
    <s v="Endenergieverbrauch - Industriesektor - Fahrzeuge und Beförderungsmittel - energetischer Verbrauch"/>
    <s v="Elektrizität"/>
    <s v="Gigawattstunde"/>
    <x v="9"/>
    <x v="4"/>
    <n v="2675"/>
  </r>
  <r>
    <x v="2"/>
    <s v="Endenergieverbrauch - Industriesektor - Fahrzeuge und Beförderungsmittel - energetischer Verbrauch"/>
    <s v="Elektrizität"/>
    <s v="Gigawattstunde"/>
    <x v="10"/>
    <x v="4"/>
    <n v="2619"/>
  </r>
  <r>
    <x v="2"/>
    <s v="Endenergieverbrauch - Industriesektor - Fahrzeuge und Beförderungsmittel - energetischer Verbrauch"/>
    <s v="Elektrizität"/>
    <s v="Gigawattstunde"/>
    <x v="11"/>
    <x v="4"/>
    <n v="2520"/>
  </r>
  <r>
    <x v="2"/>
    <s v="Endenergieverbrauch - Industriesektor - Fahrzeuge und Beförderungsmittel - energetischer Verbrauch"/>
    <s v="Elektrizität"/>
    <s v="Gigawattstunde"/>
    <x v="12"/>
    <x v="4"/>
    <n v="2504"/>
  </r>
  <r>
    <x v="2"/>
    <s v="Endenergieverbrauch - Industriesektor - Fahrzeuge und Beförderungsmittel - energetischer Verbrauch"/>
    <s v="Elektrizität"/>
    <s v="Gigawattstunde"/>
    <x v="13"/>
    <x v="4"/>
    <n v="2788"/>
  </r>
  <r>
    <x v="2"/>
    <s v="Endenergieverbrauch - Industriesektor - Fahrzeuge und Beförderungsmittel - energetischer Verbrauch"/>
    <s v="Elektrizität"/>
    <s v="Gigawattstunde"/>
    <x v="14"/>
    <x v="4"/>
    <n v="2915"/>
  </r>
  <r>
    <x v="2"/>
    <s v="Endenergieverbrauch - Industriesektor - Fahrzeuge und Beförderungsmittel - energetischer Verbrauch"/>
    <s v="Elektrizität"/>
    <s v="Gigawattstunde"/>
    <x v="15"/>
    <x v="4"/>
    <n v="3050.855"/>
  </r>
  <r>
    <x v="2"/>
    <s v="Endenergieverbrauch - Industriesektor - Fahrzeuge und Beförderungsmittel - energetischer Verbrauch"/>
    <s v="Elektrizität"/>
    <s v="Gigawattstunde"/>
    <x v="16"/>
    <x v="4"/>
    <n v="3241.018"/>
  </r>
  <r>
    <x v="3"/>
    <s v="Endenergieverbrauch - Industriesektor - Fahrzeuge und Beförderungsmittel - energetischer Verbrauch"/>
    <s v="Elektrizität"/>
    <s v="Gigawattstunde"/>
    <x v="0"/>
    <x v="4"/>
    <n v="188"/>
  </r>
  <r>
    <x v="3"/>
    <s v="Endenergieverbrauch - Industriesektor - Fahrzeuge und Beförderungsmittel - energetischer Verbrauch"/>
    <s v="Elektrizität"/>
    <s v="Gigawattstunde"/>
    <x v="1"/>
    <x v="4"/>
    <n v="166"/>
  </r>
  <r>
    <x v="3"/>
    <s v="Endenergieverbrauch - Industriesektor - Fahrzeuge und Beförderungsmittel - energetischer Verbrauch"/>
    <s v="Elektrizität"/>
    <s v="Gigawattstunde"/>
    <x v="2"/>
    <x v="4"/>
    <n v="173"/>
  </r>
  <r>
    <x v="3"/>
    <s v="Endenergieverbrauch - Industriesektor - Fahrzeuge und Beförderungsmittel - energetischer Verbrauch"/>
    <s v="Elektrizität"/>
    <s v="Gigawattstunde"/>
    <x v="3"/>
    <x v="4"/>
    <n v="191"/>
  </r>
  <r>
    <x v="3"/>
    <s v="Endenergieverbrauch - Industriesektor - Fahrzeuge und Beförderungsmittel - energetischer Verbrauch"/>
    <s v="Elektrizität"/>
    <s v="Gigawattstunde"/>
    <x v="4"/>
    <x v="4"/>
    <n v="221"/>
  </r>
  <r>
    <x v="3"/>
    <s v="Endenergieverbrauch - Industriesektor - Fahrzeuge und Beförderungsmittel - energetischer Verbrauch"/>
    <s v="Elektrizität"/>
    <s v="Gigawattstunde"/>
    <x v="5"/>
    <x v="4"/>
    <n v="256"/>
  </r>
  <r>
    <x v="3"/>
    <s v="Endenergieverbrauch - Industriesektor - Fahrzeuge und Beförderungsmittel - energetischer Verbrauch"/>
    <s v="Elektrizität"/>
    <s v="Gigawattstunde"/>
    <x v="6"/>
    <x v="4"/>
    <n v="227"/>
  </r>
  <r>
    <x v="3"/>
    <s v="Endenergieverbrauch - Industriesektor - Fahrzeuge und Beförderungsmittel - energetischer Verbrauch"/>
    <s v="Elektrizität"/>
    <s v="Gigawattstunde"/>
    <x v="7"/>
    <x v="4"/>
    <n v="204"/>
  </r>
  <r>
    <x v="3"/>
    <s v="Endenergieverbrauch - Industriesektor - Fahrzeuge und Beförderungsmittel - energetischer Verbrauch"/>
    <s v="Elektrizität"/>
    <s v="Gigawattstunde"/>
    <x v="8"/>
    <x v="4"/>
    <n v="204"/>
  </r>
  <r>
    <x v="3"/>
    <s v="Endenergieverbrauch - Industriesektor - Fahrzeuge und Beförderungsmittel - energetischer Verbrauch"/>
    <s v="Elektrizität"/>
    <s v="Gigawattstunde"/>
    <x v="9"/>
    <x v="4"/>
    <n v="167"/>
  </r>
  <r>
    <x v="3"/>
    <s v="Endenergieverbrauch - Industriesektor - Fahrzeuge und Beförderungsmittel - energetischer Verbrauch"/>
    <s v="Elektrizität"/>
    <s v="Gigawattstunde"/>
    <x v="10"/>
    <x v="4"/>
    <n v="97"/>
  </r>
  <r>
    <x v="3"/>
    <s v="Endenergieverbrauch - Industriesektor - Fahrzeuge und Beförderungsmittel - energetischer Verbrauch"/>
    <s v="Elektrizität"/>
    <s v="Gigawattstunde"/>
    <x v="11"/>
    <x v="4"/>
    <n v="138"/>
  </r>
  <r>
    <x v="3"/>
    <s v="Endenergieverbrauch - Industriesektor - Fahrzeuge und Beförderungsmittel - energetischer Verbrauch"/>
    <s v="Elektrizität"/>
    <s v="Gigawattstunde"/>
    <x v="12"/>
    <x v="4"/>
    <n v="90"/>
  </r>
  <r>
    <x v="3"/>
    <s v="Endenergieverbrauch - Industriesektor - Fahrzeuge und Beförderungsmittel - energetischer Verbrauch"/>
    <s v="Elektrizität"/>
    <s v="Gigawattstunde"/>
    <x v="13"/>
    <x v="4"/>
    <n v="89.619"/>
  </r>
  <r>
    <x v="3"/>
    <s v="Endenergieverbrauch - Industriesektor - Fahrzeuge und Beförderungsmittel - energetischer Verbrauch"/>
    <s v="Elektrizität"/>
    <s v="Gigawattstunde"/>
    <x v="14"/>
    <x v="4"/>
    <n v="87.022000000000006"/>
  </r>
  <r>
    <x v="3"/>
    <s v="Endenergieverbrauch - Industriesektor - Fahrzeuge und Beförderungsmittel - energetischer Verbrauch"/>
    <s v="Elektrizität"/>
    <s v="Gigawattstunde"/>
    <x v="15"/>
    <x v="4"/>
    <n v="88.356999999999999"/>
  </r>
  <r>
    <x v="3"/>
    <s v="Endenergieverbrauch - Industriesektor - Fahrzeuge und Beförderungsmittel - energetischer Verbrauch"/>
    <s v="Elektrizität"/>
    <s v="Gigawattstunde"/>
    <x v="16"/>
    <x v="4"/>
    <n v="88.271000000000001"/>
  </r>
  <r>
    <x v="4"/>
    <s v="Endenergieverbrauch - Industriesektor - Fahrzeuge und Beförderungsmittel - energetischer Verbrauch"/>
    <s v="Elektrizität"/>
    <s v="Gigawattstunde"/>
    <x v="0"/>
    <x v="4"/>
    <n v="19323"/>
  </r>
  <r>
    <x v="4"/>
    <s v="Endenergieverbrauch - Industriesektor - Fahrzeuge und Beförderungsmittel - energetischer Verbrauch"/>
    <s v="Elektrizität"/>
    <s v="Gigawattstunde"/>
    <x v="1"/>
    <x v="4"/>
    <n v="18500"/>
  </r>
  <r>
    <x v="4"/>
    <s v="Endenergieverbrauch - Industriesektor - Fahrzeuge und Beförderungsmittel - energetischer Verbrauch"/>
    <s v="Elektrizität"/>
    <s v="Gigawattstunde"/>
    <x v="2"/>
    <x v="4"/>
    <n v="19299"/>
  </r>
  <r>
    <x v="4"/>
    <s v="Endenergieverbrauch - Industriesektor - Fahrzeuge und Beförderungsmittel - energetischer Verbrauch"/>
    <s v="Elektrizität"/>
    <s v="Gigawattstunde"/>
    <x v="3"/>
    <x v="4"/>
    <n v="19676"/>
  </r>
  <r>
    <x v="4"/>
    <s v="Endenergieverbrauch - Industriesektor - Fahrzeuge und Beförderungsmittel - energetischer Verbrauch"/>
    <s v="Elektrizität"/>
    <s v="Gigawattstunde"/>
    <x v="4"/>
    <x v="4"/>
    <n v="19249"/>
  </r>
  <r>
    <x v="4"/>
    <s v="Endenergieverbrauch - Industriesektor - Fahrzeuge und Beförderungsmittel - energetischer Verbrauch"/>
    <s v="Elektrizität"/>
    <s v="Gigawattstunde"/>
    <x v="5"/>
    <x v="4"/>
    <n v="19666"/>
  </r>
  <r>
    <x v="4"/>
    <s v="Endenergieverbrauch - Industriesektor - Fahrzeuge und Beförderungsmittel - energetischer Verbrauch"/>
    <s v="Elektrizität"/>
    <s v="Gigawattstunde"/>
    <x v="6"/>
    <x v="4"/>
    <n v="18532"/>
  </r>
  <r>
    <x v="4"/>
    <s v="Endenergieverbrauch - Industriesektor - Fahrzeuge und Beförderungsmittel - energetischer Verbrauch"/>
    <s v="Elektrizität"/>
    <s v="Gigawattstunde"/>
    <x v="7"/>
    <x v="4"/>
    <n v="15844"/>
  </r>
  <r>
    <x v="4"/>
    <s v="Endenergieverbrauch - Industriesektor - Fahrzeuge und Beförderungsmittel - energetischer Verbrauch"/>
    <s v="Elektrizität"/>
    <s v="Gigawattstunde"/>
    <x v="8"/>
    <x v="4"/>
    <n v="17838"/>
  </r>
  <r>
    <x v="4"/>
    <s v="Endenergieverbrauch - Industriesektor - Fahrzeuge und Beförderungsmittel - energetischer Verbrauch"/>
    <s v="Elektrizität"/>
    <s v="Gigawattstunde"/>
    <x v="9"/>
    <x v="4"/>
    <n v="18179"/>
  </r>
  <r>
    <x v="4"/>
    <s v="Endenergieverbrauch - Industriesektor - Fahrzeuge und Beförderungsmittel - energetischer Verbrauch"/>
    <s v="Elektrizität"/>
    <s v="Gigawattstunde"/>
    <x v="10"/>
    <x v="4"/>
    <n v="17940"/>
  </r>
  <r>
    <x v="4"/>
    <s v="Endenergieverbrauch - Industriesektor - Fahrzeuge und Beförderungsmittel - energetischer Verbrauch"/>
    <s v="Elektrizität"/>
    <s v="Gigawattstunde"/>
    <x v="11"/>
    <x v="4"/>
    <n v="18320"/>
  </r>
  <r>
    <x v="4"/>
    <s v="Endenergieverbrauch - Industriesektor - Fahrzeuge und Beförderungsmittel - energetischer Verbrauch"/>
    <s v="Elektrizität"/>
    <s v="Gigawattstunde"/>
    <x v="12"/>
    <x v="4"/>
    <n v="18536"/>
  </r>
  <r>
    <x v="4"/>
    <s v="Endenergieverbrauch - Industriesektor - Fahrzeuge und Beförderungsmittel - energetischer Verbrauch"/>
    <s v="Elektrizität"/>
    <s v="Gigawattstunde"/>
    <x v="13"/>
    <x v="4"/>
    <n v="18515"/>
  </r>
  <r>
    <x v="4"/>
    <s v="Endenergieverbrauch - Industriesektor - Fahrzeuge und Beförderungsmittel - energetischer Verbrauch"/>
    <s v="Elektrizität"/>
    <s v="Gigawattstunde"/>
    <x v="14"/>
    <x v="4"/>
    <n v="18020"/>
  </r>
  <r>
    <x v="4"/>
    <s v="Endenergieverbrauch - Industriesektor - Fahrzeuge und Beförderungsmittel - energetischer Verbrauch"/>
    <s v="Elektrizität"/>
    <s v="Gigawattstunde"/>
    <x v="15"/>
    <x v="4"/>
    <n v="17781"/>
  </r>
  <r>
    <x v="4"/>
    <s v="Endenergieverbrauch - Industriesektor - Fahrzeuge und Beförderungsmittel - energetischer Verbrauch"/>
    <s v="Elektrizität"/>
    <s v="Gigawattstunde"/>
    <x v="16"/>
    <x v="4"/>
    <n v="17747"/>
  </r>
  <r>
    <x v="5"/>
    <s v="Endenergieverbrauch - Industriesektor - Fahrzeuge und Beförderungsmittel - energetischer Verbrauch"/>
    <s v="Elektrizität"/>
    <s v="Gigawattstunde"/>
    <x v="0"/>
    <x v="4"/>
    <n v="39"/>
  </r>
  <r>
    <x v="5"/>
    <s v="Endenergieverbrauch - Industriesektor - Fahrzeuge und Beförderungsmittel - energetischer Verbrauch"/>
    <s v="Elektrizität"/>
    <s v="Gigawattstunde"/>
    <x v="1"/>
    <x v="4"/>
    <n v="42"/>
  </r>
  <r>
    <x v="5"/>
    <s v="Endenergieverbrauch - Industriesektor - Fahrzeuge und Beförderungsmittel - energetischer Verbrauch"/>
    <s v="Elektrizität"/>
    <s v="Gigawattstunde"/>
    <x v="2"/>
    <x v="4"/>
    <n v="46"/>
  </r>
  <r>
    <x v="5"/>
    <s v="Endenergieverbrauch - Industriesektor - Fahrzeuge und Beförderungsmittel - energetischer Verbrauch"/>
    <s v="Elektrizität"/>
    <s v="Gigawattstunde"/>
    <x v="3"/>
    <x v="4"/>
    <n v="47"/>
  </r>
  <r>
    <x v="5"/>
    <s v="Endenergieverbrauch - Industriesektor - Fahrzeuge und Beförderungsmittel - energetischer Verbrauch"/>
    <s v="Elektrizität"/>
    <s v="Gigawattstunde"/>
    <x v="4"/>
    <x v="4"/>
    <n v="55"/>
  </r>
  <r>
    <x v="5"/>
    <s v="Endenergieverbrauch - Industriesektor - Fahrzeuge und Beförderungsmittel - energetischer Verbrauch"/>
    <s v="Elektrizität"/>
    <s v="Gigawattstunde"/>
    <x v="5"/>
    <x v="4"/>
    <n v="54"/>
  </r>
  <r>
    <x v="5"/>
    <s v="Endenergieverbrauch - Industriesektor - Fahrzeuge und Beförderungsmittel - energetischer Verbrauch"/>
    <s v="Elektrizität"/>
    <s v="Gigawattstunde"/>
    <x v="6"/>
    <x v="4"/>
    <n v="43"/>
  </r>
  <r>
    <x v="5"/>
    <s v="Endenergieverbrauch - Industriesektor - Fahrzeuge und Beförderungsmittel - energetischer Verbrauch"/>
    <s v="Elektrizität"/>
    <s v="Gigawattstunde"/>
    <x v="7"/>
    <x v="4"/>
    <n v="38"/>
  </r>
  <r>
    <x v="5"/>
    <s v="Endenergieverbrauch - Industriesektor - Fahrzeuge und Beförderungsmittel - energetischer Verbrauch"/>
    <s v="Elektrizität"/>
    <s v="Gigawattstunde"/>
    <x v="8"/>
    <x v="4"/>
    <n v="40"/>
  </r>
  <r>
    <x v="5"/>
    <s v="Endenergieverbrauch - Industriesektor - Fahrzeuge und Beförderungsmittel - energetischer Verbrauch"/>
    <s v="Elektrizität"/>
    <s v="Gigawattstunde"/>
    <x v="9"/>
    <x v="4"/>
    <n v="44"/>
  </r>
  <r>
    <x v="5"/>
    <s v="Endenergieverbrauch - Industriesektor - Fahrzeuge und Beförderungsmittel - energetischer Verbrauch"/>
    <s v="Elektrizität"/>
    <s v="Gigawattstunde"/>
    <x v="10"/>
    <x v="4"/>
    <n v="61"/>
  </r>
  <r>
    <x v="5"/>
    <s v="Endenergieverbrauch - Industriesektor - Fahrzeuge und Beförderungsmittel - energetischer Verbrauch"/>
    <s v="Elektrizität"/>
    <s v="Gigawattstunde"/>
    <x v="11"/>
    <x v="4"/>
    <n v="70"/>
  </r>
  <r>
    <x v="5"/>
    <s v="Endenergieverbrauch - Industriesektor - Fahrzeuge und Beförderungsmittel - energetischer Verbrauch"/>
    <s v="Elektrizität"/>
    <s v="Gigawattstunde"/>
    <x v="12"/>
    <x v="4"/>
    <n v="61"/>
  </r>
  <r>
    <x v="5"/>
    <s v="Endenergieverbrauch - Industriesektor - Fahrzeuge und Beförderungsmittel - energetischer Verbrauch"/>
    <s v="Elektrizität"/>
    <s v="Gigawattstunde"/>
    <x v="13"/>
    <x v="4"/>
    <n v="65"/>
  </r>
  <r>
    <x v="5"/>
    <s v="Endenergieverbrauch - Industriesektor - Fahrzeuge und Beförderungsmittel - energetischer Verbrauch"/>
    <s v="Elektrizität"/>
    <s v="Gigawattstunde"/>
    <x v="14"/>
    <x v="4"/>
    <n v="67"/>
  </r>
  <r>
    <x v="5"/>
    <s v="Endenergieverbrauch - Industriesektor - Fahrzeuge und Beförderungsmittel - energetischer Verbrauch"/>
    <s v="Elektrizität"/>
    <s v="Gigawattstunde"/>
    <x v="15"/>
    <x v="4"/>
    <n v="72"/>
  </r>
  <r>
    <x v="5"/>
    <s v="Endenergieverbrauch - Industriesektor - Fahrzeuge und Beförderungsmittel - energetischer Verbrauch"/>
    <s v="Elektrizität"/>
    <s v="Gigawattstunde"/>
    <x v="16"/>
    <x v="4"/>
    <n v="82"/>
  </r>
  <r>
    <x v="6"/>
    <s v="Endenergieverbrauch - Industriesektor - Fahrzeuge und Beförderungsmittel - energetischer Verbrauch"/>
    <s v="Elektrizität"/>
    <s v="Gigawattstunde"/>
    <x v="0"/>
    <x v="4"/>
    <n v="119.29300000000001"/>
  </r>
  <r>
    <x v="6"/>
    <s v="Endenergieverbrauch - Industriesektor - Fahrzeuge und Beförderungsmittel - energetischer Verbrauch"/>
    <s v="Elektrizität"/>
    <s v="Gigawattstunde"/>
    <x v="1"/>
    <x v="4"/>
    <n v="111.07899999999999"/>
  </r>
  <r>
    <x v="6"/>
    <s v="Endenergieverbrauch - Industriesektor - Fahrzeuge und Beförderungsmittel - energetischer Verbrauch"/>
    <s v="Elektrizität"/>
    <s v="Gigawattstunde"/>
    <x v="2"/>
    <x v="4"/>
    <n v="105.124"/>
  </r>
  <r>
    <x v="6"/>
    <s v="Endenergieverbrauch - Industriesektor - Fahrzeuge und Beförderungsmittel - energetischer Verbrauch"/>
    <s v="Elektrizität"/>
    <s v="Gigawattstunde"/>
    <x v="3"/>
    <x v="4"/>
    <n v="117.15600000000001"/>
  </r>
  <r>
    <x v="6"/>
    <s v="Endenergieverbrauch - Industriesektor - Fahrzeuge und Beförderungsmittel - energetischer Verbrauch"/>
    <s v="Elektrizität"/>
    <s v="Gigawattstunde"/>
    <x v="4"/>
    <x v="4"/>
    <n v="129.94300000000001"/>
  </r>
  <r>
    <x v="6"/>
    <s v="Endenergieverbrauch - Industriesektor - Fahrzeuge und Beförderungsmittel - energetischer Verbrauch"/>
    <s v="Elektrizität"/>
    <s v="Gigawattstunde"/>
    <x v="5"/>
    <x v="4"/>
    <n v="70.545000000000002"/>
  </r>
  <r>
    <x v="6"/>
    <s v="Endenergieverbrauch - Industriesektor - Fahrzeuge und Beförderungsmittel - energetischer Verbrauch"/>
    <s v="Elektrizität"/>
    <s v="Gigawattstunde"/>
    <x v="6"/>
    <x v="4"/>
    <n v="93.915999999999997"/>
  </r>
  <r>
    <x v="6"/>
    <s v="Endenergieverbrauch - Industriesektor - Fahrzeuge und Beförderungsmittel - energetischer Verbrauch"/>
    <s v="Elektrizität"/>
    <s v="Gigawattstunde"/>
    <x v="7"/>
    <x v="4"/>
    <n v="102.733"/>
  </r>
  <r>
    <x v="6"/>
    <s v="Endenergieverbrauch - Industriesektor - Fahrzeuge und Beförderungsmittel - energetischer Verbrauch"/>
    <s v="Elektrizität"/>
    <s v="Gigawattstunde"/>
    <x v="8"/>
    <x v="4"/>
    <n v="192.19900000000001"/>
  </r>
  <r>
    <x v="6"/>
    <s v="Endenergieverbrauch - Industriesektor - Fahrzeuge und Beförderungsmittel - energetischer Verbrauch"/>
    <s v="Elektrizität"/>
    <s v="Gigawattstunde"/>
    <x v="9"/>
    <x v="4"/>
    <n v="200.65100000000001"/>
  </r>
  <r>
    <x v="6"/>
    <s v="Endenergieverbrauch - Industriesektor - Fahrzeuge und Beförderungsmittel - energetischer Verbrauch"/>
    <s v="Elektrizität"/>
    <s v="Gigawattstunde"/>
    <x v="10"/>
    <x v="4"/>
    <n v="193.12100000000001"/>
  </r>
  <r>
    <x v="6"/>
    <s v="Endenergieverbrauch - Industriesektor - Fahrzeuge und Beförderungsmittel - energetischer Verbrauch"/>
    <s v="Elektrizität"/>
    <s v="Gigawattstunde"/>
    <x v="11"/>
    <x v="4"/>
    <n v="196.11600000000001"/>
  </r>
  <r>
    <x v="6"/>
    <s v="Endenergieverbrauch - Industriesektor - Fahrzeuge und Beförderungsmittel - energetischer Verbrauch"/>
    <s v="Elektrizität"/>
    <s v="Gigawattstunde"/>
    <x v="12"/>
    <x v="4"/>
    <n v="198.458"/>
  </r>
  <r>
    <x v="6"/>
    <s v="Endenergieverbrauch - Industriesektor - Fahrzeuge und Beförderungsmittel - energetischer Verbrauch"/>
    <s v="Elektrizität"/>
    <s v="Gigawattstunde"/>
    <x v="13"/>
    <x v="4"/>
    <n v="207.87299999999999"/>
  </r>
  <r>
    <x v="6"/>
    <s v="Endenergieverbrauch - Industriesektor - Fahrzeuge und Beförderungsmittel - energetischer Verbrauch"/>
    <s v="Elektrizität"/>
    <s v="Gigawattstunde"/>
    <x v="14"/>
    <x v="4"/>
    <n v="214.63800000000001"/>
  </r>
  <r>
    <x v="6"/>
    <s v="Endenergieverbrauch - Industriesektor - Fahrzeuge und Beförderungsmittel - energetischer Verbrauch"/>
    <s v="Elektrizität"/>
    <s v="Gigawattstunde"/>
    <x v="15"/>
    <x v="4"/>
    <n v="217.02500000000001"/>
  </r>
  <r>
    <x v="6"/>
    <s v="Endenergieverbrauch - Industriesektor - Fahrzeuge und Beförderungsmittel - energetischer Verbrauch"/>
    <s v="Elektrizität"/>
    <s v="Gigawattstunde"/>
    <x v="16"/>
    <x v="4"/>
    <n v="230.964"/>
  </r>
  <r>
    <x v="7"/>
    <s v="Endenergieverbrauch - Industriesektor - Fahrzeuge und Beförderungsmittel - energetischer Verbrauch"/>
    <s v="Elektrizität"/>
    <s v="Gigawattstunde"/>
    <x v="0"/>
    <x v="4"/>
    <n v="172"/>
  </r>
  <r>
    <x v="7"/>
    <s v="Endenergieverbrauch - Industriesektor - Fahrzeuge und Beförderungsmittel - energetischer Verbrauch"/>
    <s v="Elektrizität"/>
    <s v="Gigawattstunde"/>
    <x v="1"/>
    <x v="4"/>
    <n v="173"/>
  </r>
  <r>
    <x v="7"/>
    <s v="Endenergieverbrauch - Industriesektor - Fahrzeuge und Beförderungsmittel - energetischer Verbrauch"/>
    <s v="Elektrizität"/>
    <s v="Gigawattstunde"/>
    <x v="2"/>
    <x v="4"/>
    <n v="159"/>
  </r>
  <r>
    <x v="7"/>
    <s v="Endenergieverbrauch - Industriesektor - Fahrzeuge und Beförderungsmittel - energetischer Verbrauch"/>
    <s v="Elektrizität"/>
    <s v="Gigawattstunde"/>
    <x v="3"/>
    <x v="4"/>
    <n v="125"/>
  </r>
  <r>
    <x v="7"/>
    <s v="Endenergieverbrauch - Industriesektor - Fahrzeuge und Beförderungsmittel - energetischer Verbrauch"/>
    <s v="Elektrizität"/>
    <s v="Gigawattstunde"/>
    <x v="4"/>
    <x v="4"/>
    <n v="118"/>
  </r>
  <r>
    <x v="7"/>
    <s v="Endenergieverbrauch - Industriesektor - Fahrzeuge und Beförderungsmittel - energetischer Verbrauch"/>
    <s v="Elektrizität"/>
    <s v="Gigawattstunde"/>
    <x v="5"/>
    <x v="4"/>
    <n v="132"/>
  </r>
  <r>
    <x v="7"/>
    <s v="Endenergieverbrauch - Industriesektor - Fahrzeuge und Beförderungsmittel - energetischer Verbrauch"/>
    <s v="Elektrizität"/>
    <s v="Gigawattstunde"/>
    <x v="6"/>
    <x v="4"/>
    <n v="156"/>
  </r>
  <r>
    <x v="7"/>
    <s v="Endenergieverbrauch - Industriesektor - Fahrzeuge und Beförderungsmittel - energetischer Verbrauch"/>
    <s v="Elektrizität"/>
    <s v="Gigawattstunde"/>
    <x v="7"/>
    <x v="4"/>
    <n v="160"/>
  </r>
  <r>
    <x v="7"/>
    <s v="Endenergieverbrauch - Industriesektor - Fahrzeuge und Beförderungsmittel - energetischer Verbrauch"/>
    <s v="Elektrizität"/>
    <s v="Gigawattstunde"/>
    <x v="8"/>
    <x v="4"/>
    <n v="85"/>
  </r>
  <r>
    <x v="7"/>
    <s v="Endenergieverbrauch - Industriesektor - Fahrzeuge und Beförderungsmittel - energetischer Verbrauch"/>
    <s v="Elektrizität"/>
    <s v="Gigawattstunde"/>
    <x v="9"/>
    <x v="4"/>
    <n v="330"/>
  </r>
  <r>
    <x v="7"/>
    <s v="Endenergieverbrauch - Industriesektor - Fahrzeuge und Beförderungsmittel - energetischer Verbrauch"/>
    <s v="Elektrizität"/>
    <s v="Gigawattstunde"/>
    <x v="10"/>
    <x v="4"/>
    <n v="138"/>
  </r>
  <r>
    <x v="7"/>
    <s v="Endenergieverbrauch - Industriesektor - Fahrzeuge und Beförderungsmittel - energetischer Verbrauch"/>
    <s v="Elektrizität"/>
    <s v="Gigawattstunde"/>
    <x v="11"/>
    <x v="4"/>
    <n v="117"/>
  </r>
  <r>
    <x v="7"/>
    <s v="Endenergieverbrauch - Industriesektor - Fahrzeuge und Beförderungsmittel - energetischer Verbrauch"/>
    <s v="Elektrizität"/>
    <s v="Gigawattstunde"/>
    <x v="12"/>
    <x v="4"/>
    <n v="105"/>
  </r>
  <r>
    <x v="7"/>
    <s v="Endenergieverbrauch - Industriesektor - Fahrzeuge und Beförderungsmittel - energetischer Verbrauch"/>
    <s v="Elektrizität"/>
    <s v="Gigawattstunde"/>
    <x v="13"/>
    <x v="4"/>
    <n v="105"/>
  </r>
  <r>
    <x v="7"/>
    <s v="Endenergieverbrauch - Industriesektor - Fahrzeuge und Beförderungsmittel - energetischer Verbrauch"/>
    <s v="Elektrizität"/>
    <s v="Gigawattstunde"/>
    <x v="14"/>
    <x v="4"/>
    <n v="39"/>
  </r>
  <r>
    <x v="7"/>
    <s v="Endenergieverbrauch - Industriesektor - Fahrzeuge und Beförderungsmittel - energetischer Verbrauch"/>
    <s v="Elektrizität"/>
    <s v="Gigawattstunde"/>
    <x v="15"/>
    <x v="4"/>
    <n v="53.357999999999997"/>
  </r>
  <r>
    <x v="7"/>
    <s v="Endenergieverbrauch - Industriesektor - Fahrzeuge und Beförderungsmittel - energetischer Verbrauch"/>
    <s v="Elektrizität"/>
    <s v="Gigawattstunde"/>
    <x v="16"/>
    <x v="4"/>
    <n v="74.72"/>
  </r>
  <r>
    <x v="8"/>
    <s v="Endenergieverbrauch - Industriesektor - Fahrzeuge und Beförderungsmittel - energetischer Verbrauch"/>
    <s v="Elektrizität"/>
    <s v="Gigawattstunde"/>
    <x v="0"/>
    <x v="4"/>
    <n v="3821"/>
  </r>
  <r>
    <x v="8"/>
    <s v="Endenergieverbrauch - Industriesektor - Fahrzeuge und Beförderungsmittel - energetischer Verbrauch"/>
    <s v="Elektrizität"/>
    <s v="Gigawattstunde"/>
    <x v="1"/>
    <x v="4"/>
    <n v="4071"/>
  </r>
  <r>
    <x v="8"/>
    <s v="Endenergieverbrauch - Industriesektor - Fahrzeuge und Beförderungsmittel - energetischer Verbrauch"/>
    <s v="Elektrizität"/>
    <s v="Gigawattstunde"/>
    <x v="2"/>
    <x v="4"/>
    <n v="4330"/>
  </r>
  <r>
    <x v="8"/>
    <s v="Endenergieverbrauch - Industriesektor - Fahrzeuge und Beförderungsmittel - energetischer Verbrauch"/>
    <s v="Elektrizität"/>
    <s v="Gigawattstunde"/>
    <x v="3"/>
    <x v="4"/>
    <n v="4406"/>
  </r>
  <r>
    <x v="8"/>
    <s v="Endenergieverbrauch - Industriesektor - Fahrzeuge und Beförderungsmittel - energetischer Verbrauch"/>
    <s v="Elektrizität"/>
    <s v="Gigawattstunde"/>
    <x v="4"/>
    <x v="4"/>
    <n v="3773"/>
  </r>
  <r>
    <x v="8"/>
    <s v="Endenergieverbrauch - Industriesektor - Fahrzeuge und Beförderungsmittel - energetischer Verbrauch"/>
    <s v="Elektrizität"/>
    <s v="Gigawattstunde"/>
    <x v="5"/>
    <x v="4"/>
    <n v="3836"/>
  </r>
  <r>
    <x v="8"/>
    <s v="Endenergieverbrauch - Industriesektor - Fahrzeuge und Beförderungsmittel - energetischer Verbrauch"/>
    <s v="Elektrizität"/>
    <s v="Gigawattstunde"/>
    <x v="6"/>
    <x v="4"/>
    <n v="3639"/>
  </r>
  <r>
    <x v="8"/>
    <s v="Endenergieverbrauch - Industriesektor - Fahrzeuge und Beförderungsmittel - energetischer Verbrauch"/>
    <s v="Elektrizität"/>
    <s v="Gigawattstunde"/>
    <x v="7"/>
    <x v="4"/>
    <n v="3171"/>
  </r>
  <r>
    <x v="8"/>
    <s v="Endenergieverbrauch - Industriesektor - Fahrzeuge und Beförderungsmittel - energetischer Verbrauch"/>
    <s v="Elektrizität"/>
    <s v="Gigawattstunde"/>
    <x v="8"/>
    <x v="4"/>
    <n v="2851"/>
  </r>
  <r>
    <x v="8"/>
    <s v="Endenergieverbrauch - Industriesektor - Fahrzeuge und Beförderungsmittel - energetischer Verbrauch"/>
    <s v="Elektrizität"/>
    <s v="Gigawattstunde"/>
    <x v="9"/>
    <x v="4"/>
    <n v="2693"/>
  </r>
  <r>
    <x v="8"/>
    <s v="Endenergieverbrauch - Industriesektor - Fahrzeuge und Beförderungsmittel - energetischer Verbrauch"/>
    <s v="Elektrizität"/>
    <s v="Gigawattstunde"/>
    <x v="10"/>
    <x v="4"/>
    <n v="2657"/>
  </r>
  <r>
    <x v="8"/>
    <s v="Endenergieverbrauch - Industriesektor - Fahrzeuge und Beförderungsmittel - energetischer Verbrauch"/>
    <s v="Elektrizität"/>
    <s v="Gigawattstunde"/>
    <x v="11"/>
    <x v="4"/>
    <n v="2984"/>
  </r>
  <r>
    <x v="8"/>
    <s v="Endenergieverbrauch - Industriesektor - Fahrzeuge und Beförderungsmittel - energetischer Verbrauch"/>
    <s v="Elektrizität"/>
    <s v="Gigawattstunde"/>
    <x v="12"/>
    <x v="4"/>
    <n v="3468"/>
  </r>
  <r>
    <x v="8"/>
    <s v="Endenergieverbrauch - Industriesektor - Fahrzeuge und Beförderungsmittel - energetischer Verbrauch"/>
    <s v="Elektrizität"/>
    <s v="Gigawattstunde"/>
    <x v="13"/>
    <x v="4"/>
    <n v="3653"/>
  </r>
  <r>
    <x v="8"/>
    <s v="Endenergieverbrauch - Industriesektor - Fahrzeuge und Beförderungsmittel - energetischer Verbrauch"/>
    <s v="Elektrizität"/>
    <s v="Gigawattstunde"/>
    <x v="14"/>
    <x v="4"/>
    <n v="4208"/>
  </r>
  <r>
    <x v="8"/>
    <s v="Endenergieverbrauch - Industriesektor - Fahrzeuge und Beförderungsmittel - energetischer Verbrauch"/>
    <s v="Elektrizität"/>
    <s v="Gigawattstunde"/>
    <x v="15"/>
    <x v="4"/>
    <n v="4499"/>
  </r>
  <r>
    <x v="8"/>
    <s v="Endenergieverbrauch - Industriesektor - Fahrzeuge und Beförderungsmittel - energetischer Verbrauch"/>
    <s v="Elektrizität"/>
    <s v="Gigawattstunde"/>
    <x v="16"/>
    <x v="4"/>
    <n v="4335"/>
  </r>
  <r>
    <x v="9"/>
    <s v="Endenergieverbrauch - Industriesektor - Fahrzeuge und Beförderungsmittel - energetischer Verbrauch"/>
    <s v="Elektrizität"/>
    <s v="Gigawattstunde"/>
    <x v="0"/>
    <x v="4"/>
    <n v="8354"/>
  </r>
  <r>
    <x v="9"/>
    <s v="Endenergieverbrauch - Industriesektor - Fahrzeuge und Beförderungsmittel - energetischer Verbrauch"/>
    <s v="Elektrizität"/>
    <s v="Gigawattstunde"/>
    <x v="1"/>
    <x v="4"/>
    <n v="8371"/>
  </r>
  <r>
    <x v="9"/>
    <s v="Endenergieverbrauch - Industriesektor - Fahrzeuge und Beförderungsmittel - energetischer Verbrauch"/>
    <s v="Elektrizität"/>
    <s v="Gigawattstunde"/>
    <x v="2"/>
    <x v="4"/>
    <n v="8403"/>
  </r>
  <r>
    <x v="9"/>
    <s v="Endenergieverbrauch - Industriesektor - Fahrzeuge und Beförderungsmittel - energetischer Verbrauch"/>
    <s v="Elektrizität"/>
    <s v="Gigawattstunde"/>
    <x v="3"/>
    <x v="4"/>
    <n v="8264"/>
  </r>
  <r>
    <x v="9"/>
    <s v="Endenergieverbrauch - Industriesektor - Fahrzeuge und Beförderungsmittel - energetischer Verbrauch"/>
    <s v="Elektrizität"/>
    <s v="Gigawattstunde"/>
    <x v="4"/>
    <x v="4"/>
    <n v="7960"/>
  </r>
  <r>
    <x v="9"/>
    <s v="Endenergieverbrauch - Industriesektor - Fahrzeuge und Beförderungsmittel - energetischer Verbrauch"/>
    <s v="Elektrizität"/>
    <s v="Gigawattstunde"/>
    <x v="5"/>
    <x v="4"/>
    <n v="7881"/>
  </r>
  <r>
    <x v="9"/>
    <s v="Endenergieverbrauch - Industriesektor - Fahrzeuge und Beförderungsmittel - energetischer Verbrauch"/>
    <s v="Elektrizität"/>
    <s v="Gigawattstunde"/>
    <x v="6"/>
    <x v="4"/>
    <n v="8671"/>
  </r>
  <r>
    <x v="9"/>
    <s v="Endenergieverbrauch - Industriesektor - Fahrzeuge und Beförderungsmittel - energetischer Verbrauch"/>
    <s v="Elektrizität"/>
    <s v="Gigawattstunde"/>
    <x v="7"/>
    <x v="4"/>
    <n v="7305"/>
  </r>
  <r>
    <x v="9"/>
    <s v="Endenergieverbrauch - Industriesektor - Fahrzeuge und Beförderungsmittel - energetischer Verbrauch"/>
    <s v="Elektrizität"/>
    <s v="Gigawattstunde"/>
    <x v="8"/>
    <x v="4"/>
    <n v="7560"/>
  </r>
  <r>
    <x v="9"/>
    <s v="Endenergieverbrauch - Industriesektor - Fahrzeuge und Beförderungsmittel - energetischer Verbrauch"/>
    <s v="Elektrizität"/>
    <s v="Gigawattstunde"/>
    <x v="9"/>
    <x v="4"/>
    <n v="6881.9880000000003"/>
  </r>
  <r>
    <x v="9"/>
    <s v="Endenergieverbrauch - Industriesektor - Fahrzeuge und Beförderungsmittel - energetischer Verbrauch"/>
    <s v="Elektrizität"/>
    <s v="Gigawattstunde"/>
    <x v="10"/>
    <x v="4"/>
    <n v="6860.8419999999996"/>
  </r>
  <r>
    <x v="9"/>
    <s v="Endenergieverbrauch - Industriesektor - Fahrzeuge und Beförderungsmittel - energetischer Verbrauch"/>
    <s v="Elektrizität"/>
    <s v="Gigawattstunde"/>
    <x v="11"/>
    <x v="4"/>
    <n v="6741.91"/>
  </r>
  <r>
    <x v="9"/>
    <s v="Endenergieverbrauch - Industriesektor - Fahrzeuge und Beförderungsmittel - energetischer Verbrauch"/>
    <s v="Elektrizität"/>
    <s v="Gigawattstunde"/>
    <x v="12"/>
    <x v="4"/>
    <n v="6639.6059999999998"/>
  </r>
  <r>
    <x v="9"/>
    <s v="Endenergieverbrauch - Industriesektor - Fahrzeuge und Beförderungsmittel - energetischer Verbrauch"/>
    <s v="Elektrizität"/>
    <s v="Gigawattstunde"/>
    <x v="13"/>
    <x v="4"/>
    <n v="6692.3969999999999"/>
  </r>
  <r>
    <x v="9"/>
    <s v="Endenergieverbrauch - Industriesektor - Fahrzeuge und Beförderungsmittel - energetischer Verbrauch"/>
    <s v="Elektrizität"/>
    <s v="Gigawattstunde"/>
    <x v="14"/>
    <x v="4"/>
    <n v="7300.0309999999999"/>
  </r>
  <r>
    <x v="9"/>
    <s v="Endenergieverbrauch - Industriesektor - Fahrzeuge und Beförderungsmittel - energetischer Verbrauch"/>
    <s v="Elektrizität"/>
    <s v="Gigawattstunde"/>
    <x v="15"/>
    <x v="4"/>
    <n v="7213.7030000000004"/>
  </r>
  <r>
    <x v="9"/>
    <s v="Endenergieverbrauch - Industriesektor - Fahrzeuge und Beförderungsmittel - energetischer Verbrauch"/>
    <s v="Elektrizität"/>
    <s v="Gigawattstunde"/>
    <x v="16"/>
    <x v="4"/>
    <n v="7352"/>
  </r>
  <r>
    <x v="10"/>
    <s v="Endenergieverbrauch - Industriesektor - Fahrzeuge und Beförderungsmittel - energetischer Verbrauch"/>
    <s v="Elektrizität"/>
    <s v="Gigawattstunde"/>
    <x v="0"/>
    <x v="4"/>
    <n v="191"/>
  </r>
  <r>
    <x v="10"/>
    <s v="Endenergieverbrauch - Industriesektor - Fahrzeuge und Beförderungsmittel - energetischer Verbrauch"/>
    <s v="Elektrizität"/>
    <s v="Gigawattstunde"/>
    <x v="1"/>
    <x v="4"/>
    <n v="190"/>
  </r>
  <r>
    <x v="10"/>
    <s v="Endenergieverbrauch - Industriesektor - Fahrzeuge und Beförderungsmittel - energetischer Verbrauch"/>
    <s v="Elektrizität"/>
    <s v="Gigawattstunde"/>
    <x v="2"/>
    <x v="4"/>
    <n v="191"/>
  </r>
  <r>
    <x v="10"/>
    <s v="Endenergieverbrauch - Industriesektor - Fahrzeuge und Beförderungsmittel - energetischer Verbrauch"/>
    <s v="Elektrizität"/>
    <s v="Gigawattstunde"/>
    <x v="3"/>
    <x v="4"/>
    <n v="182"/>
  </r>
  <r>
    <x v="10"/>
    <s v="Endenergieverbrauch - Industriesektor - Fahrzeuge und Beförderungsmittel - energetischer Verbrauch"/>
    <s v="Elektrizität"/>
    <s v="Gigawattstunde"/>
    <x v="4"/>
    <x v="4"/>
    <n v="176"/>
  </r>
  <r>
    <x v="10"/>
    <s v="Endenergieverbrauch - Industriesektor - Fahrzeuge und Beförderungsmittel - energetischer Verbrauch"/>
    <s v="Elektrizität"/>
    <s v="Gigawattstunde"/>
    <x v="5"/>
    <x v="4"/>
    <n v="193"/>
  </r>
  <r>
    <x v="10"/>
    <s v="Endenergieverbrauch - Industriesektor - Fahrzeuge und Beförderungsmittel - energetischer Verbrauch"/>
    <s v="Elektrizität"/>
    <s v="Gigawattstunde"/>
    <x v="6"/>
    <x v="4"/>
    <n v="165"/>
  </r>
  <r>
    <x v="10"/>
    <s v="Endenergieverbrauch - Industriesektor - Fahrzeuge und Beförderungsmittel - energetischer Verbrauch"/>
    <s v="Elektrizität"/>
    <s v="Gigawattstunde"/>
    <x v="7"/>
    <x v="4"/>
    <n v="134"/>
  </r>
  <r>
    <x v="10"/>
    <s v="Endenergieverbrauch - Industriesektor - Fahrzeuge und Beförderungsmittel - energetischer Verbrauch"/>
    <s v="Elektrizität"/>
    <s v="Gigawattstunde"/>
    <x v="8"/>
    <x v="4"/>
    <n v="128"/>
  </r>
  <r>
    <x v="10"/>
    <s v="Endenergieverbrauch - Industriesektor - Fahrzeuge und Beförderungsmittel - energetischer Verbrauch"/>
    <s v="Elektrizität"/>
    <s v="Gigawattstunde"/>
    <x v="9"/>
    <x v="4"/>
    <n v="124"/>
  </r>
  <r>
    <x v="10"/>
    <s v="Endenergieverbrauch - Industriesektor - Fahrzeuge und Beförderungsmittel - energetischer Verbrauch"/>
    <s v="Elektrizität"/>
    <s v="Gigawattstunde"/>
    <x v="10"/>
    <x v="4"/>
    <n v="111"/>
  </r>
  <r>
    <x v="10"/>
    <s v="Endenergieverbrauch - Industriesektor - Fahrzeuge und Beförderungsmittel - energetischer Verbrauch"/>
    <s v="Elektrizität"/>
    <s v="Gigawattstunde"/>
    <x v="11"/>
    <x v="4"/>
    <n v="90"/>
  </r>
  <r>
    <x v="10"/>
    <s v="Endenergieverbrauch - Industriesektor - Fahrzeuge und Beförderungsmittel - energetischer Verbrauch"/>
    <s v="Elektrizität"/>
    <s v="Gigawattstunde"/>
    <x v="12"/>
    <x v="4"/>
    <n v="76"/>
  </r>
  <r>
    <x v="10"/>
    <s v="Endenergieverbrauch - Industriesektor - Fahrzeuge und Beförderungsmittel - energetischer Verbrauch"/>
    <s v="Elektrizität"/>
    <s v="Gigawattstunde"/>
    <x v="13"/>
    <x v="4"/>
    <n v="82"/>
  </r>
  <r>
    <x v="10"/>
    <s v="Endenergieverbrauch - Industriesektor - Fahrzeuge und Beförderungsmittel - energetischer Verbrauch"/>
    <s v="Elektrizität"/>
    <s v="Gigawattstunde"/>
    <x v="14"/>
    <x v="4"/>
    <n v="91"/>
  </r>
  <r>
    <x v="10"/>
    <s v="Endenergieverbrauch - Industriesektor - Fahrzeuge und Beförderungsmittel - energetischer Verbrauch"/>
    <s v="Elektrizität"/>
    <s v="Gigawattstunde"/>
    <x v="15"/>
    <x v="4"/>
    <n v="98"/>
  </r>
  <r>
    <x v="10"/>
    <s v="Endenergieverbrauch - Industriesektor - Fahrzeuge und Beförderungsmittel - energetischer Verbrauch"/>
    <s v="Elektrizität"/>
    <s v="Gigawattstunde"/>
    <x v="16"/>
    <x v="4"/>
    <n v="93"/>
  </r>
  <r>
    <x v="11"/>
    <s v="Endenergieverbrauch - Industriesektor - Fahrzeuge und Beförderungsmittel - energetischer Verbrauch"/>
    <s v="Elektrizität"/>
    <s v="Gigawattstunde"/>
    <x v="0"/>
    <x v="4"/>
    <n v="4433"/>
  </r>
  <r>
    <x v="11"/>
    <s v="Endenergieverbrauch - Industriesektor - Fahrzeuge und Beförderungsmittel - energetischer Verbrauch"/>
    <s v="Elektrizität"/>
    <s v="Gigawattstunde"/>
    <x v="1"/>
    <x v="4"/>
    <n v="4408"/>
  </r>
  <r>
    <x v="11"/>
    <s v="Endenergieverbrauch - Industriesektor - Fahrzeuge und Beförderungsmittel - energetischer Verbrauch"/>
    <s v="Elektrizität"/>
    <s v="Gigawattstunde"/>
    <x v="2"/>
    <x v="4"/>
    <n v="4238"/>
  </r>
  <r>
    <x v="11"/>
    <s v="Endenergieverbrauch - Industriesektor - Fahrzeuge und Beförderungsmittel - energetischer Verbrauch"/>
    <s v="Elektrizität"/>
    <s v="Gigawattstunde"/>
    <x v="3"/>
    <x v="4"/>
    <n v="4236"/>
  </r>
  <r>
    <x v="11"/>
    <s v="Endenergieverbrauch - Industriesektor - Fahrzeuge und Beförderungsmittel - energetischer Verbrauch"/>
    <s v="Elektrizität"/>
    <s v="Gigawattstunde"/>
    <x v="4"/>
    <x v="4"/>
    <n v="4426"/>
  </r>
  <r>
    <x v="11"/>
    <s v="Endenergieverbrauch - Industriesektor - Fahrzeuge und Beförderungsmittel - energetischer Verbrauch"/>
    <s v="Elektrizität"/>
    <s v="Gigawattstunde"/>
    <x v="5"/>
    <x v="4"/>
    <n v="4479"/>
  </r>
  <r>
    <x v="11"/>
    <s v="Endenergieverbrauch - Industriesektor - Fahrzeuge und Beförderungsmittel - energetischer Verbrauch"/>
    <s v="Elektrizität"/>
    <s v="Gigawattstunde"/>
    <x v="6"/>
    <x v="4"/>
    <n v="4257"/>
  </r>
  <r>
    <x v="11"/>
    <s v="Endenergieverbrauch - Industriesektor - Fahrzeuge und Beförderungsmittel - energetischer Verbrauch"/>
    <s v="Elektrizität"/>
    <s v="Gigawattstunde"/>
    <x v="7"/>
    <x v="4"/>
    <n v="3630"/>
  </r>
  <r>
    <x v="11"/>
    <s v="Endenergieverbrauch - Industriesektor - Fahrzeuge und Beförderungsmittel - energetischer Verbrauch"/>
    <s v="Elektrizität"/>
    <s v="Gigawattstunde"/>
    <x v="8"/>
    <x v="4"/>
    <n v="3788"/>
  </r>
  <r>
    <x v="11"/>
    <s v="Endenergieverbrauch - Industriesektor - Fahrzeuge und Beförderungsmittel - energetischer Verbrauch"/>
    <s v="Elektrizität"/>
    <s v="Gigawattstunde"/>
    <x v="9"/>
    <x v="4"/>
    <n v="3645"/>
  </r>
  <r>
    <x v="11"/>
    <s v="Endenergieverbrauch - Industriesektor - Fahrzeuge und Beförderungsmittel - energetischer Verbrauch"/>
    <s v="Elektrizität"/>
    <s v="Gigawattstunde"/>
    <x v="10"/>
    <x v="4"/>
    <n v="3314"/>
  </r>
  <r>
    <x v="11"/>
    <s v="Endenergieverbrauch - Industriesektor - Fahrzeuge und Beförderungsmittel - energetischer Verbrauch"/>
    <s v="Elektrizität"/>
    <s v="Gigawattstunde"/>
    <x v="11"/>
    <x v="4"/>
    <n v="3325"/>
  </r>
  <r>
    <x v="11"/>
    <s v="Endenergieverbrauch - Industriesektor - Fahrzeuge und Beförderungsmittel - energetischer Verbrauch"/>
    <s v="Elektrizität"/>
    <s v="Gigawattstunde"/>
    <x v="12"/>
    <x v="4"/>
    <n v="3340"/>
  </r>
  <r>
    <x v="11"/>
    <s v="Endenergieverbrauch - Industriesektor - Fahrzeuge und Beförderungsmittel - energetischer Verbrauch"/>
    <s v="Elektrizität"/>
    <s v="Gigawattstunde"/>
    <x v="13"/>
    <x v="4"/>
    <n v="3518"/>
  </r>
  <r>
    <x v="11"/>
    <s v="Endenergieverbrauch - Industriesektor - Fahrzeuge und Beförderungsmittel - energetischer Verbrauch"/>
    <s v="Elektrizität"/>
    <s v="Gigawattstunde"/>
    <x v="14"/>
    <x v="4"/>
    <n v="3610"/>
  </r>
  <r>
    <x v="11"/>
    <s v="Endenergieverbrauch - Industriesektor - Fahrzeuge und Beförderungsmittel - energetischer Verbrauch"/>
    <s v="Elektrizität"/>
    <s v="Gigawattstunde"/>
    <x v="15"/>
    <x v="4"/>
    <n v="3590.4969999999998"/>
  </r>
  <r>
    <x v="11"/>
    <s v="Endenergieverbrauch - Industriesektor - Fahrzeuge und Beförderungsmittel - energetischer Verbrauch"/>
    <s v="Elektrizität"/>
    <s v="Gigawattstunde"/>
    <x v="16"/>
    <x v="4"/>
    <n v="3566.1669999999999"/>
  </r>
  <r>
    <x v="12"/>
    <s v="Endenergieverbrauch - Industriesektor - Fahrzeuge und Beförderungsmittel - energetischer Verbrauch"/>
    <s v="Elektrizität"/>
    <s v="Gigawattstunde"/>
    <x v="0"/>
    <x v="4"/>
    <n v="1"/>
  </r>
  <r>
    <x v="12"/>
    <s v="Endenergieverbrauch - Industriesektor - Fahrzeuge und Beförderungsmittel - energetischer Verbrauch"/>
    <s v="Elektrizität"/>
    <s v="Gigawattstunde"/>
    <x v="1"/>
    <x v="4"/>
    <n v="1"/>
  </r>
  <r>
    <x v="12"/>
    <s v="Endenergieverbrauch - Industriesektor - Fahrzeuge und Beförderungsmittel - energetischer Verbrauch"/>
    <s v="Elektrizität"/>
    <s v="Gigawattstunde"/>
    <x v="2"/>
    <x v="4"/>
    <n v="1"/>
  </r>
  <r>
    <x v="12"/>
    <s v="Endenergieverbrauch - Industriesektor - Fahrzeuge und Beförderungsmittel - energetischer Verbrauch"/>
    <s v="Elektrizität"/>
    <s v="Gigawattstunde"/>
    <x v="3"/>
    <x v="4"/>
    <n v="1"/>
  </r>
  <r>
    <x v="12"/>
    <s v="Endenergieverbrauch - Industriesektor - Fahrzeuge und Beförderungsmittel - energetischer Verbrauch"/>
    <s v="Elektrizität"/>
    <s v="Gigawattstunde"/>
    <x v="4"/>
    <x v="4"/>
    <n v="1"/>
  </r>
  <r>
    <x v="12"/>
    <s v="Endenergieverbrauch - Industriesektor - Fahrzeuge und Beförderungsmittel - energetischer Verbrauch"/>
    <s v="Elektrizität"/>
    <s v="Gigawattstunde"/>
    <x v="5"/>
    <x v="4"/>
    <n v="1"/>
  </r>
  <r>
    <x v="12"/>
    <s v="Endenergieverbrauch - Industriesektor - Fahrzeuge und Beförderungsmittel - energetischer Verbrauch"/>
    <s v="Elektrizität"/>
    <s v="Gigawattstunde"/>
    <x v="6"/>
    <x v="4"/>
    <n v="1"/>
  </r>
  <r>
    <x v="12"/>
    <s v="Endenergieverbrauch - Industriesektor - Fahrzeuge und Beförderungsmittel - energetischer Verbrauch"/>
    <s v="Elektrizität"/>
    <s v="Gigawattstunde"/>
    <x v="7"/>
    <x v="4"/>
    <n v="1"/>
  </r>
  <r>
    <x v="12"/>
    <s v="Endenergieverbrauch - Industriesektor - Fahrzeuge und Beförderungsmittel - energetischer Verbrauch"/>
    <s v="Elektrizität"/>
    <s v="Gigawattstunde"/>
    <x v="8"/>
    <x v="4"/>
    <n v="1"/>
  </r>
  <r>
    <x v="12"/>
    <s v="Endenergieverbrauch - Industriesektor - Fahrzeuge und Beförderungsmittel - energetischer Verbrauch"/>
    <s v="Elektrizität"/>
    <s v="Gigawattstunde"/>
    <x v="9"/>
    <x v="4"/>
    <n v="1"/>
  </r>
  <r>
    <x v="12"/>
    <s v="Endenergieverbrauch - Industriesektor - Fahrzeuge und Beförderungsmittel - energetischer Verbrauch"/>
    <s v="Elektrizität"/>
    <s v="Gigawattstunde"/>
    <x v="10"/>
    <x v="4"/>
    <n v="2"/>
  </r>
  <r>
    <x v="12"/>
    <s v="Endenergieverbrauch - Industriesektor - Fahrzeuge und Beförderungsmittel - energetischer Verbrauch"/>
    <s v="Elektrizität"/>
    <s v="Gigawattstunde"/>
    <x v="11"/>
    <x v="4"/>
    <n v="2"/>
  </r>
  <r>
    <x v="12"/>
    <s v="Endenergieverbrauch - Industriesektor - Fahrzeuge und Beförderungsmittel - energetischer Verbrauch"/>
    <s v="Elektrizität"/>
    <s v="Gigawattstunde"/>
    <x v="12"/>
    <x v="4"/>
    <n v="2"/>
  </r>
  <r>
    <x v="12"/>
    <s v="Endenergieverbrauch - Industriesektor - Fahrzeuge und Beförderungsmittel - energetischer Verbrauch"/>
    <s v="Elektrizität"/>
    <s v="Gigawattstunde"/>
    <x v="13"/>
    <x v="4"/>
    <n v="2"/>
  </r>
  <r>
    <x v="12"/>
    <s v="Endenergieverbrauch - Industriesektor - Fahrzeuge und Beförderungsmittel - energetischer Verbrauch"/>
    <s v="Elektrizität"/>
    <s v="Gigawattstunde"/>
    <x v="14"/>
    <x v="4"/>
    <n v="2"/>
  </r>
  <r>
    <x v="12"/>
    <s v="Endenergieverbrauch - Industriesektor - Fahrzeuge und Beförderungsmittel - energetischer Verbrauch"/>
    <s v="Elektrizität"/>
    <s v="Gigawattstunde"/>
    <x v="15"/>
    <x v="4"/>
    <n v="1.9330000000000001"/>
  </r>
  <r>
    <x v="12"/>
    <s v="Endenergieverbrauch - Industriesektor - Fahrzeuge und Beförderungsmittel - energetischer Verbrauch"/>
    <s v="Elektrizität"/>
    <s v="Gigawattstunde"/>
    <x v="16"/>
    <x v="4"/>
    <n v="1.9970000000000001"/>
  </r>
  <r>
    <x v="13"/>
    <s v="Endenergieverbrauch - Industriesektor - Fahrzeuge und Beförderungsmittel - energetischer Verbrauch"/>
    <s v="Elektrizität"/>
    <s v="Gigawattstunde"/>
    <x v="0"/>
    <x v="4"/>
    <n v="60"/>
  </r>
  <r>
    <x v="13"/>
    <s v="Endenergieverbrauch - Industriesektor - Fahrzeuge und Beförderungsmittel - energetischer Verbrauch"/>
    <s v="Elektrizität"/>
    <s v="Gigawattstunde"/>
    <x v="1"/>
    <x v="4"/>
    <n v="66"/>
  </r>
  <r>
    <x v="13"/>
    <s v="Endenergieverbrauch - Industriesektor - Fahrzeuge und Beförderungsmittel - energetischer Verbrauch"/>
    <s v="Elektrizität"/>
    <s v="Gigawattstunde"/>
    <x v="2"/>
    <x v="4"/>
    <n v="64"/>
  </r>
  <r>
    <x v="13"/>
    <s v="Endenergieverbrauch - Industriesektor - Fahrzeuge und Beförderungsmittel - energetischer Verbrauch"/>
    <s v="Elektrizität"/>
    <s v="Gigawattstunde"/>
    <x v="3"/>
    <x v="4"/>
    <n v="69"/>
  </r>
  <r>
    <x v="13"/>
    <s v="Endenergieverbrauch - Industriesektor - Fahrzeuge und Beförderungsmittel - energetischer Verbrauch"/>
    <s v="Elektrizität"/>
    <s v="Gigawattstunde"/>
    <x v="4"/>
    <x v="4"/>
    <n v="63"/>
  </r>
  <r>
    <x v="13"/>
    <s v="Endenergieverbrauch - Industriesektor - Fahrzeuge und Beförderungsmittel - energetischer Verbrauch"/>
    <s v="Elektrizität"/>
    <s v="Gigawattstunde"/>
    <x v="5"/>
    <x v="4"/>
    <n v="87"/>
  </r>
  <r>
    <x v="13"/>
    <s v="Endenergieverbrauch - Industriesektor - Fahrzeuge und Beförderungsmittel - energetischer Verbrauch"/>
    <s v="Elektrizität"/>
    <s v="Gigawattstunde"/>
    <x v="6"/>
    <x v="4"/>
    <n v="56"/>
  </r>
  <r>
    <x v="13"/>
    <s v="Endenergieverbrauch - Industriesektor - Fahrzeuge und Beförderungsmittel - energetischer Verbrauch"/>
    <s v="Elektrizität"/>
    <s v="Gigawattstunde"/>
    <x v="7"/>
    <x v="4"/>
    <n v="38"/>
  </r>
  <r>
    <x v="13"/>
    <s v="Endenergieverbrauch - Industriesektor - Fahrzeuge und Beförderungsmittel - energetischer Verbrauch"/>
    <s v="Elektrizität"/>
    <s v="Gigawattstunde"/>
    <x v="8"/>
    <x v="4"/>
    <n v="31"/>
  </r>
  <r>
    <x v="13"/>
    <s v="Endenergieverbrauch - Industriesektor - Fahrzeuge und Beförderungsmittel - energetischer Verbrauch"/>
    <s v="Elektrizität"/>
    <s v="Gigawattstunde"/>
    <x v="9"/>
    <x v="4"/>
    <n v="36"/>
  </r>
  <r>
    <x v="13"/>
    <s v="Endenergieverbrauch - Industriesektor - Fahrzeuge und Beförderungsmittel - energetischer Verbrauch"/>
    <s v="Elektrizität"/>
    <s v="Gigawattstunde"/>
    <x v="10"/>
    <x v="4"/>
    <n v="38"/>
  </r>
  <r>
    <x v="13"/>
    <s v="Endenergieverbrauch - Industriesektor - Fahrzeuge und Beförderungsmittel - energetischer Verbrauch"/>
    <s v="Elektrizität"/>
    <s v="Gigawattstunde"/>
    <x v="11"/>
    <x v="4"/>
    <n v="53"/>
  </r>
  <r>
    <x v="13"/>
    <s v="Endenergieverbrauch - Industriesektor - Fahrzeuge und Beförderungsmittel - energetischer Verbrauch"/>
    <s v="Elektrizität"/>
    <s v="Gigawattstunde"/>
    <x v="12"/>
    <x v="4"/>
    <n v="35"/>
  </r>
  <r>
    <x v="13"/>
    <s v="Endenergieverbrauch - Industriesektor - Fahrzeuge und Beförderungsmittel - energetischer Verbrauch"/>
    <s v="Elektrizität"/>
    <s v="Gigawattstunde"/>
    <x v="13"/>
    <x v="4"/>
    <n v="44"/>
  </r>
  <r>
    <x v="13"/>
    <s v="Endenergieverbrauch - Industriesektor - Fahrzeuge und Beförderungsmittel - energetischer Verbrauch"/>
    <s v="Elektrizität"/>
    <s v="Gigawattstunde"/>
    <x v="14"/>
    <x v="4"/>
    <n v="45"/>
  </r>
  <r>
    <x v="13"/>
    <s v="Endenergieverbrauch - Industriesektor - Fahrzeuge und Beförderungsmittel - energetischer Verbrauch"/>
    <s v="Elektrizität"/>
    <s v="Gigawattstunde"/>
    <x v="15"/>
    <x v="4"/>
    <n v="46.738999999999997"/>
  </r>
  <r>
    <x v="13"/>
    <s v="Endenergieverbrauch - Industriesektor - Fahrzeuge und Beförderungsmittel - energetischer Verbrauch"/>
    <s v="Elektrizität"/>
    <s v="Gigawattstunde"/>
    <x v="16"/>
    <x v="4"/>
    <n v="46.521999999999998"/>
  </r>
  <r>
    <x v="14"/>
    <s v="Endenergieverbrauch - Industriesektor - Fahrzeuge und Beförderungsmittel - energetischer Verbrauch"/>
    <s v="Elektrizität"/>
    <s v="Gigawattstunde"/>
    <x v="0"/>
    <x v="4"/>
    <n v="66"/>
  </r>
  <r>
    <x v="14"/>
    <s v="Endenergieverbrauch - Industriesektor - Fahrzeuge und Beförderungsmittel - energetischer Verbrauch"/>
    <s v="Elektrizität"/>
    <s v="Gigawattstunde"/>
    <x v="1"/>
    <x v="4"/>
    <n v="63"/>
  </r>
  <r>
    <x v="14"/>
    <s v="Endenergieverbrauch - Industriesektor - Fahrzeuge und Beförderungsmittel - energetischer Verbrauch"/>
    <s v="Elektrizität"/>
    <s v="Gigawattstunde"/>
    <x v="2"/>
    <x v="4"/>
    <n v="57"/>
  </r>
  <r>
    <x v="14"/>
    <s v="Endenergieverbrauch - Industriesektor - Fahrzeuge und Beförderungsmittel - energetischer Verbrauch"/>
    <s v="Elektrizität"/>
    <s v="Gigawattstunde"/>
    <x v="3"/>
    <x v="4"/>
    <n v="51"/>
  </r>
  <r>
    <x v="14"/>
    <s v="Endenergieverbrauch - Industriesektor - Fahrzeuge und Beförderungsmittel - energetischer Verbrauch"/>
    <s v="Elektrizität"/>
    <s v="Gigawattstunde"/>
    <x v="4"/>
    <x v="4"/>
    <n v="53"/>
  </r>
  <r>
    <x v="14"/>
    <s v="Endenergieverbrauch - Industriesektor - Fahrzeuge und Beförderungsmittel - energetischer Verbrauch"/>
    <s v="Elektrizität"/>
    <s v="Gigawattstunde"/>
    <x v="5"/>
    <x v="4"/>
    <n v="52"/>
  </r>
  <r>
    <x v="14"/>
    <s v="Endenergieverbrauch - Industriesektor - Fahrzeuge und Beförderungsmittel - energetischer Verbrauch"/>
    <s v="Elektrizität"/>
    <s v="Gigawattstunde"/>
    <x v="6"/>
    <x v="4"/>
    <n v="43"/>
  </r>
  <r>
    <x v="14"/>
    <s v="Endenergieverbrauch - Industriesektor - Fahrzeuge und Beförderungsmittel - energetischer Verbrauch"/>
    <s v="Elektrizität"/>
    <s v="Gigawattstunde"/>
    <x v="7"/>
    <x v="4"/>
    <n v="37"/>
  </r>
  <r>
    <x v="14"/>
    <s v="Endenergieverbrauch - Industriesektor - Fahrzeuge und Beförderungsmittel - energetischer Verbrauch"/>
    <s v="Elektrizität"/>
    <s v="Gigawattstunde"/>
    <x v="8"/>
    <x v="4"/>
    <n v="31"/>
  </r>
  <r>
    <x v="14"/>
    <s v="Endenergieverbrauch - Industriesektor - Fahrzeuge und Beförderungsmittel - energetischer Verbrauch"/>
    <s v="Elektrizität"/>
    <s v="Gigawattstunde"/>
    <x v="9"/>
    <x v="4"/>
    <n v="27"/>
  </r>
  <r>
    <x v="14"/>
    <s v="Endenergieverbrauch - Industriesektor - Fahrzeuge und Beförderungsmittel - energetischer Verbrauch"/>
    <s v="Elektrizität"/>
    <s v="Gigawattstunde"/>
    <x v="10"/>
    <x v="4"/>
    <n v="20"/>
  </r>
  <r>
    <x v="14"/>
    <s v="Endenergieverbrauch - Industriesektor - Fahrzeuge und Beförderungsmittel - energetischer Verbrauch"/>
    <s v="Elektrizität"/>
    <s v="Gigawattstunde"/>
    <x v="11"/>
    <x v="4"/>
    <n v="19"/>
  </r>
  <r>
    <x v="14"/>
    <s v="Endenergieverbrauch - Industriesektor - Fahrzeuge und Beförderungsmittel - energetischer Verbrauch"/>
    <s v="Elektrizität"/>
    <s v="Gigawattstunde"/>
    <x v="12"/>
    <x v="4"/>
    <n v="25"/>
  </r>
  <r>
    <x v="14"/>
    <s v="Endenergieverbrauch - Industriesektor - Fahrzeuge und Beförderungsmittel - energetischer Verbrauch"/>
    <s v="Elektrizität"/>
    <s v="Gigawattstunde"/>
    <x v="13"/>
    <x v="4"/>
    <n v="30"/>
  </r>
  <r>
    <x v="14"/>
    <s v="Endenergieverbrauch - Industriesektor - Fahrzeuge und Beförderungsmittel - energetischer Verbrauch"/>
    <s v="Elektrizität"/>
    <s v="Gigawattstunde"/>
    <x v="14"/>
    <x v="4"/>
    <n v="24"/>
  </r>
  <r>
    <x v="14"/>
    <s v="Endenergieverbrauch - Industriesektor - Fahrzeuge und Beförderungsmittel - energetischer Verbrauch"/>
    <s v="Elektrizität"/>
    <s v="Gigawattstunde"/>
    <x v="15"/>
    <x v="4"/>
    <n v="23.1"/>
  </r>
  <r>
    <x v="14"/>
    <s v="Endenergieverbrauch - Industriesektor - Fahrzeuge und Beförderungsmittel - energetischer Verbrauch"/>
    <s v="Elektrizität"/>
    <s v="Gigawattstunde"/>
    <x v="16"/>
    <x v="4"/>
    <n v="32.1"/>
  </r>
  <r>
    <x v="15"/>
    <s v="Endenergieverbrauch - Industriesektor - Fahrzeuge und Beförderungsmittel - energetischer Verbrauch"/>
    <s v="Elektrizität"/>
    <s v="Gigawattstunde"/>
    <x v="0"/>
    <x v="4"/>
    <n v="5.0709999999999997"/>
  </r>
  <r>
    <x v="15"/>
    <s v="Endenergieverbrauch - Industriesektor - Fahrzeuge und Beförderungsmittel - energetischer Verbrauch"/>
    <s v="Elektrizität"/>
    <s v="Gigawattstunde"/>
    <x v="1"/>
    <x v="4"/>
    <n v="13.439"/>
  </r>
  <r>
    <x v="15"/>
    <s v="Endenergieverbrauch - Industriesektor - Fahrzeuge und Beförderungsmittel - energetischer Verbrauch"/>
    <s v="Elektrizität"/>
    <s v="Gigawattstunde"/>
    <x v="2"/>
    <x v="4"/>
    <n v="16.201000000000001"/>
  </r>
  <r>
    <x v="15"/>
    <s v="Endenergieverbrauch - Industriesektor - Fahrzeuge und Beförderungsmittel - energetischer Verbrauch"/>
    <s v="Elektrizität"/>
    <s v="Gigawattstunde"/>
    <x v="3"/>
    <x v="4"/>
    <n v="18.398"/>
  </r>
  <r>
    <x v="15"/>
    <s v="Endenergieverbrauch - Industriesektor - Fahrzeuge und Beförderungsmittel - energetischer Verbrauch"/>
    <s v="Elektrizität"/>
    <s v="Gigawattstunde"/>
    <x v="4"/>
    <x v="4"/>
    <n v="24.207000000000001"/>
  </r>
  <r>
    <x v="15"/>
    <s v="Endenergieverbrauch - Industriesektor - Fahrzeuge und Beförderungsmittel - energetischer Verbrauch"/>
    <s v="Elektrizität"/>
    <s v="Gigawattstunde"/>
    <x v="5"/>
    <x v="4"/>
    <n v="34.058999999999997"/>
  </r>
  <r>
    <x v="15"/>
    <s v="Endenergieverbrauch - Industriesektor - Fahrzeuge und Beförderungsmittel - energetischer Verbrauch"/>
    <s v="Elektrizität"/>
    <s v="Gigawattstunde"/>
    <x v="6"/>
    <x v="4"/>
    <n v="38.674999999999997"/>
  </r>
  <r>
    <x v="15"/>
    <s v="Endenergieverbrauch - Industriesektor - Fahrzeuge und Beförderungsmittel - energetischer Verbrauch"/>
    <s v="Elektrizität"/>
    <s v="Gigawattstunde"/>
    <x v="7"/>
    <x v="4"/>
    <n v="28.713999999999999"/>
  </r>
  <r>
    <x v="15"/>
    <s v="Endenergieverbrauch - Industriesektor - Fahrzeuge und Beförderungsmittel - energetischer Verbrauch"/>
    <s v="Elektrizität"/>
    <s v="Gigawattstunde"/>
    <x v="8"/>
    <x v="4"/>
    <n v="24.780999999999999"/>
  </r>
  <r>
    <x v="15"/>
    <s v="Endenergieverbrauch - Industriesektor - Fahrzeuge und Beförderungsmittel - energetischer Verbrauch"/>
    <s v="Elektrizität"/>
    <s v="Gigawattstunde"/>
    <x v="9"/>
    <x v="4"/>
    <n v="12.590999999999999"/>
  </r>
  <r>
    <x v="15"/>
    <s v="Endenergieverbrauch - Industriesektor - Fahrzeuge und Beförderungsmittel - energetischer Verbrauch"/>
    <s v="Elektrizität"/>
    <s v="Gigawattstunde"/>
    <x v="10"/>
    <x v="4"/>
    <n v="12.597"/>
  </r>
  <r>
    <x v="15"/>
    <s v="Endenergieverbrauch - Industriesektor - Fahrzeuge und Beförderungsmittel - energetischer Verbrauch"/>
    <s v="Elektrizität"/>
    <s v="Gigawattstunde"/>
    <x v="11"/>
    <x v="4"/>
    <n v="11.548999999999999"/>
  </r>
  <r>
    <x v="15"/>
    <s v="Endenergieverbrauch - Industriesektor - Fahrzeuge und Beförderungsmittel - energetischer Verbrauch"/>
    <s v="Elektrizität"/>
    <s v="Gigawattstunde"/>
    <x v="12"/>
    <x v="4"/>
    <n v="5.3129999999999997"/>
  </r>
  <r>
    <x v="15"/>
    <s v="Endenergieverbrauch - Industriesektor - Fahrzeuge und Beförderungsmittel - energetischer Verbrauch"/>
    <s v="Elektrizität"/>
    <s v="Gigawattstunde"/>
    <x v="13"/>
    <x v="4"/>
    <n v="9.2119999999999997"/>
  </r>
  <r>
    <x v="15"/>
    <s v="Endenergieverbrauch - Industriesektor - Fahrzeuge und Beförderungsmittel - energetischer Verbrauch"/>
    <s v="Elektrizität"/>
    <s v="Gigawattstunde"/>
    <x v="14"/>
    <x v="4"/>
    <n v="12.535"/>
  </r>
  <r>
    <x v="15"/>
    <s v="Endenergieverbrauch - Industriesektor - Fahrzeuge und Beförderungsmittel - energetischer Verbrauch"/>
    <s v="Elektrizität"/>
    <s v="Gigawattstunde"/>
    <x v="15"/>
    <x v="4"/>
    <n v="11.795"/>
  </r>
  <r>
    <x v="15"/>
    <s v="Endenergieverbrauch - Industriesektor - Fahrzeuge und Beförderungsmittel - energetischer Verbrauch"/>
    <s v="Elektrizität"/>
    <s v="Gigawattstunde"/>
    <x v="16"/>
    <x v="4"/>
    <n v="12.545"/>
  </r>
  <r>
    <x v="16"/>
    <s v="Endenergieverbrauch - Industriesektor - Fahrzeuge und Beförderungsmittel - energetischer Verbrauch"/>
    <s v="Elektrizität"/>
    <s v="Gigawattstunde"/>
    <x v="0"/>
    <x v="4"/>
    <n v="595"/>
  </r>
  <r>
    <x v="16"/>
    <s v="Endenergieverbrauch - Industriesektor - Fahrzeuge und Beförderungsmittel - energetischer Verbrauch"/>
    <s v="Elektrizität"/>
    <s v="Gigawattstunde"/>
    <x v="1"/>
    <x v="4"/>
    <n v="670"/>
  </r>
  <r>
    <x v="16"/>
    <s v="Endenergieverbrauch - Industriesektor - Fahrzeuge und Beförderungsmittel - energetischer Verbrauch"/>
    <s v="Elektrizität"/>
    <s v="Gigawattstunde"/>
    <x v="2"/>
    <x v="4"/>
    <n v="747"/>
  </r>
  <r>
    <x v="16"/>
    <s v="Endenergieverbrauch - Industriesektor - Fahrzeuge und Beförderungsmittel - energetischer Verbrauch"/>
    <s v="Elektrizität"/>
    <s v="Gigawattstunde"/>
    <x v="3"/>
    <x v="4"/>
    <n v="754"/>
  </r>
  <r>
    <x v="16"/>
    <s v="Endenergieverbrauch - Industriesektor - Fahrzeuge und Beförderungsmittel - energetischer Verbrauch"/>
    <s v="Elektrizität"/>
    <s v="Gigawattstunde"/>
    <x v="4"/>
    <x v="4"/>
    <n v="890"/>
  </r>
  <r>
    <x v="16"/>
    <s v="Endenergieverbrauch - Industriesektor - Fahrzeuge und Beförderungsmittel - energetischer Verbrauch"/>
    <s v="Elektrizität"/>
    <s v="Gigawattstunde"/>
    <x v="5"/>
    <x v="4"/>
    <n v="935"/>
  </r>
  <r>
    <x v="16"/>
    <s v="Endenergieverbrauch - Industriesektor - Fahrzeuge und Beförderungsmittel - energetischer Verbrauch"/>
    <s v="Elektrizität"/>
    <s v="Gigawattstunde"/>
    <x v="6"/>
    <x v="4"/>
    <n v="958"/>
  </r>
  <r>
    <x v="16"/>
    <s v="Endenergieverbrauch - Industriesektor - Fahrzeuge und Beförderungsmittel - energetischer Verbrauch"/>
    <s v="Elektrizität"/>
    <s v="Gigawattstunde"/>
    <x v="7"/>
    <x v="4"/>
    <n v="776"/>
  </r>
  <r>
    <x v="16"/>
    <s v="Endenergieverbrauch - Industriesektor - Fahrzeuge und Beförderungsmittel - energetischer Verbrauch"/>
    <s v="Elektrizität"/>
    <s v="Gigawattstunde"/>
    <x v="8"/>
    <x v="4"/>
    <n v="927"/>
  </r>
  <r>
    <x v="16"/>
    <s v="Endenergieverbrauch - Industriesektor - Fahrzeuge und Beförderungsmittel - energetischer Verbrauch"/>
    <s v="Elektrizität"/>
    <s v="Gigawattstunde"/>
    <x v="9"/>
    <x v="4"/>
    <n v="936"/>
  </r>
  <r>
    <x v="16"/>
    <s v="Endenergieverbrauch - Industriesektor - Fahrzeuge und Beförderungsmittel - energetischer Verbrauch"/>
    <s v="Elektrizität"/>
    <s v="Gigawattstunde"/>
    <x v="10"/>
    <x v="4"/>
    <n v="1363"/>
  </r>
  <r>
    <x v="16"/>
    <s v="Endenergieverbrauch - Industriesektor - Fahrzeuge und Beförderungsmittel - energetischer Verbrauch"/>
    <s v="Elektrizität"/>
    <s v="Gigawattstunde"/>
    <x v="11"/>
    <x v="4"/>
    <n v="1475"/>
  </r>
  <r>
    <x v="16"/>
    <s v="Endenergieverbrauch - Industriesektor - Fahrzeuge und Beförderungsmittel - energetischer Verbrauch"/>
    <s v="Elektrizität"/>
    <s v="Gigawattstunde"/>
    <x v="12"/>
    <x v="4"/>
    <n v="1466"/>
  </r>
  <r>
    <x v="16"/>
    <s v="Endenergieverbrauch - Industriesektor - Fahrzeuge und Beförderungsmittel - energetischer Verbrauch"/>
    <s v="Elektrizität"/>
    <s v="Gigawattstunde"/>
    <x v="13"/>
    <x v="4"/>
    <n v="1559"/>
  </r>
  <r>
    <x v="16"/>
    <s v="Endenergieverbrauch - Industriesektor - Fahrzeuge und Beförderungsmittel - energetischer Verbrauch"/>
    <s v="Elektrizität"/>
    <s v="Gigawattstunde"/>
    <x v="14"/>
    <x v="4"/>
    <n v="1655"/>
  </r>
  <r>
    <x v="16"/>
    <s v="Endenergieverbrauch - Industriesektor - Fahrzeuge und Beförderungsmittel - energetischer Verbrauch"/>
    <s v="Elektrizität"/>
    <s v="Gigawattstunde"/>
    <x v="15"/>
    <x v="4"/>
    <n v="1715"/>
  </r>
  <r>
    <x v="16"/>
    <s v="Endenergieverbrauch - Industriesektor - Fahrzeuge und Beförderungsmittel - energetischer Verbrauch"/>
    <s v="Elektrizität"/>
    <s v="Gigawattstunde"/>
    <x v="16"/>
    <x v="4"/>
    <n v="1760"/>
  </r>
  <r>
    <x v="17"/>
    <s v="Endenergieverbrauch - Industriesektor - Fahrzeuge und Beförderungsmittel - energetischer Verbrauch"/>
    <s v="Elektrizität"/>
    <s v="Gigawattstunde"/>
    <x v="0"/>
    <x v="4"/>
    <n v="0"/>
  </r>
  <r>
    <x v="17"/>
    <s v="Endenergieverbrauch - Industriesektor - Fahrzeuge und Beförderungsmittel - energetischer Verbrauch"/>
    <s v="Elektrizität"/>
    <s v="Gigawattstunde"/>
    <x v="1"/>
    <x v="4"/>
    <n v="0"/>
  </r>
  <r>
    <x v="17"/>
    <s v="Endenergieverbrauch - Industriesektor - Fahrzeuge und Beförderungsmittel - energetischer Verbrauch"/>
    <s v="Elektrizität"/>
    <s v="Gigawattstunde"/>
    <x v="2"/>
    <x v="4"/>
    <n v="0"/>
  </r>
  <r>
    <x v="17"/>
    <s v="Endenergieverbrauch - Industriesektor - Fahrzeuge und Beförderungsmittel - energetischer Verbrauch"/>
    <s v="Elektrizität"/>
    <s v="Gigawattstunde"/>
    <x v="3"/>
    <x v="4"/>
    <n v="0"/>
  </r>
  <r>
    <x v="17"/>
    <s v="Endenergieverbrauch - Industriesektor - Fahrzeuge und Beförderungsmittel - energetischer Verbrauch"/>
    <s v="Elektrizität"/>
    <s v="Gigawattstunde"/>
    <x v="4"/>
    <x v="4"/>
    <n v="0"/>
  </r>
  <r>
    <x v="17"/>
    <s v="Endenergieverbrauch - Industriesektor - Fahrzeuge und Beförderungsmittel - energetischer Verbrauch"/>
    <s v="Elektrizität"/>
    <s v="Gigawattstunde"/>
    <x v="5"/>
    <x v="4"/>
    <n v="0"/>
  </r>
  <r>
    <x v="17"/>
    <s v="Endenergieverbrauch - Industriesektor - Fahrzeuge und Beförderungsmittel - energetischer Verbrauch"/>
    <s v="Elektrizität"/>
    <s v="Gigawattstunde"/>
    <x v="6"/>
    <x v="4"/>
    <n v="0"/>
  </r>
  <r>
    <x v="17"/>
    <s v="Endenergieverbrauch - Industriesektor - Fahrzeuge und Beförderungsmittel - energetischer Verbrauch"/>
    <s v="Elektrizität"/>
    <s v="Gigawattstunde"/>
    <x v="7"/>
    <x v="4"/>
    <n v="0"/>
  </r>
  <r>
    <x v="17"/>
    <s v="Endenergieverbrauch - Industriesektor - Fahrzeuge und Beförderungsmittel - energetischer Verbrauch"/>
    <s v="Elektrizität"/>
    <s v="Gigawattstunde"/>
    <x v="8"/>
    <x v="4"/>
    <n v="14"/>
  </r>
  <r>
    <x v="17"/>
    <s v="Endenergieverbrauch - Industriesektor - Fahrzeuge und Beförderungsmittel - energetischer Verbrauch"/>
    <s v="Elektrizität"/>
    <s v="Gigawattstunde"/>
    <x v="9"/>
    <x v="4"/>
    <n v="15"/>
  </r>
  <r>
    <x v="17"/>
    <s v="Endenergieverbrauch - Industriesektor - Fahrzeuge und Beförderungsmittel - energetischer Verbrauch"/>
    <s v="Elektrizität"/>
    <s v="Gigawattstunde"/>
    <x v="10"/>
    <x v="4"/>
    <n v="16"/>
  </r>
  <r>
    <x v="17"/>
    <s v="Endenergieverbrauch - Industriesektor - Fahrzeuge und Beförderungsmittel - energetischer Verbrauch"/>
    <s v="Elektrizität"/>
    <s v="Gigawattstunde"/>
    <x v="11"/>
    <x v="4"/>
    <n v="17"/>
  </r>
  <r>
    <x v="17"/>
    <s v="Endenergieverbrauch - Industriesektor - Fahrzeuge und Beförderungsmittel - energetischer Verbrauch"/>
    <s v="Elektrizität"/>
    <s v="Gigawattstunde"/>
    <x v="12"/>
    <x v="4"/>
    <n v="19"/>
  </r>
  <r>
    <x v="17"/>
    <s v="Endenergieverbrauch - Industriesektor - Fahrzeuge und Beförderungsmittel - energetischer Verbrauch"/>
    <s v="Elektrizität"/>
    <s v="Gigawattstunde"/>
    <x v="13"/>
    <x v="4"/>
    <n v="20"/>
  </r>
  <r>
    <x v="17"/>
    <s v="Endenergieverbrauch - Industriesektor - Fahrzeuge und Beförderungsmittel - energetischer Verbrauch"/>
    <s v="Elektrizität"/>
    <s v="Gigawattstunde"/>
    <x v="14"/>
    <x v="4"/>
    <n v="19"/>
  </r>
  <r>
    <x v="17"/>
    <s v="Endenergieverbrauch - Industriesektor - Fahrzeuge und Beförderungsmittel - energetischer Verbrauch"/>
    <s v="Elektrizität"/>
    <s v="Gigawattstunde"/>
    <x v="15"/>
    <x v="4"/>
    <n v="21.472000000000001"/>
  </r>
  <r>
    <x v="17"/>
    <s v="Endenergieverbrauch - Industriesektor - Fahrzeuge und Beförderungsmittel - energetischer Verbrauch"/>
    <s v="Elektrizität"/>
    <s v="Gigawattstunde"/>
    <x v="16"/>
    <x v="4"/>
    <n v="21.067"/>
  </r>
  <r>
    <x v="18"/>
    <s v="Endenergieverbrauch - Industriesektor - Fahrzeuge und Beförderungsmittel - energetischer Verbrauch"/>
    <s v="Elektrizität"/>
    <s v="Gigawattstunde"/>
    <x v="0"/>
    <x v="4"/>
    <n v="703"/>
  </r>
  <r>
    <x v="18"/>
    <s v="Endenergieverbrauch - Industriesektor - Fahrzeuge und Beförderungsmittel - energetischer Verbrauch"/>
    <s v="Elektrizität"/>
    <s v="Gigawattstunde"/>
    <x v="1"/>
    <x v="4"/>
    <n v="666"/>
  </r>
  <r>
    <x v="18"/>
    <s v="Endenergieverbrauch - Industriesektor - Fahrzeuge und Beförderungsmittel - energetischer Verbrauch"/>
    <s v="Elektrizität"/>
    <s v="Gigawattstunde"/>
    <x v="2"/>
    <x v="4"/>
    <n v="628"/>
  </r>
  <r>
    <x v="18"/>
    <s v="Endenergieverbrauch - Industriesektor - Fahrzeuge und Beförderungsmittel - energetischer Verbrauch"/>
    <s v="Elektrizität"/>
    <s v="Gigawattstunde"/>
    <x v="3"/>
    <x v="4"/>
    <n v="579"/>
  </r>
  <r>
    <x v="18"/>
    <s v="Endenergieverbrauch - Industriesektor - Fahrzeuge und Beförderungsmittel - energetischer Verbrauch"/>
    <s v="Elektrizität"/>
    <s v="Gigawattstunde"/>
    <x v="4"/>
    <x v="4"/>
    <n v="584"/>
  </r>
  <r>
    <x v="18"/>
    <s v="Endenergieverbrauch - Industriesektor - Fahrzeuge und Beförderungsmittel - energetischer Verbrauch"/>
    <s v="Elektrizität"/>
    <s v="Gigawattstunde"/>
    <x v="5"/>
    <x v="4"/>
    <n v="605"/>
  </r>
  <r>
    <x v="18"/>
    <s v="Endenergieverbrauch - Industriesektor - Fahrzeuge und Beförderungsmittel - energetischer Verbrauch"/>
    <s v="Elektrizität"/>
    <s v="Gigawattstunde"/>
    <x v="6"/>
    <x v="4"/>
    <n v="681"/>
  </r>
  <r>
    <x v="18"/>
    <s v="Endenergieverbrauch - Industriesektor - Fahrzeuge und Beförderungsmittel - energetischer Verbrauch"/>
    <s v="Elektrizität"/>
    <s v="Gigawattstunde"/>
    <x v="7"/>
    <x v="4"/>
    <n v="721"/>
  </r>
  <r>
    <x v="18"/>
    <s v="Endenergieverbrauch - Industriesektor - Fahrzeuge und Beförderungsmittel - energetischer Verbrauch"/>
    <s v="Elektrizität"/>
    <s v="Gigawattstunde"/>
    <x v="8"/>
    <x v="4"/>
    <n v="710"/>
  </r>
  <r>
    <x v="18"/>
    <s v="Endenergieverbrauch - Industriesektor - Fahrzeuge und Beförderungsmittel - energetischer Verbrauch"/>
    <s v="Elektrizität"/>
    <s v="Gigawattstunde"/>
    <x v="9"/>
    <x v="4"/>
    <n v="571"/>
  </r>
  <r>
    <x v="18"/>
    <s v="Endenergieverbrauch - Industriesektor - Fahrzeuge und Beförderungsmittel - energetischer Verbrauch"/>
    <s v="Elektrizität"/>
    <s v="Gigawattstunde"/>
    <x v="10"/>
    <x v="4"/>
    <n v="520"/>
  </r>
  <r>
    <x v="18"/>
    <s v="Endenergieverbrauch - Industriesektor - Fahrzeuge und Beförderungsmittel - energetischer Verbrauch"/>
    <s v="Elektrizität"/>
    <s v="Gigawattstunde"/>
    <x v="11"/>
    <x v="4"/>
    <n v="545"/>
  </r>
  <r>
    <x v="18"/>
    <s v="Endenergieverbrauch - Industriesektor - Fahrzeuge und Beförderungsmittel - energetischer Verbrauch"/>
    <s v="Elektrizität"/>
    <s v="Gigawattstunde"/>
    <x v="12"/>
    <x v="4"/>
    <n v="548"/>
  </r>
  <r>
    <x v="18"/>
    <s v="Endenergieverbrauch - Industriesektor - Fahrzeuge und Beförderungsmittel - energetischer Verbrauch"/>
    <s v="Elektrizität"/>
    <s v="Gigawattstunde"/>
    <x v="13"/>
    <x v="4"/>
    <n v="555.48"/>
  </r>
  <r>
    <x v="18"/>
    <s v="Endenergieverbrauch - Industriesektor - Fahrzeuge und Beförderungsmittel - energetischer Verbrauch"/>
    <s v="Elektrizität"/>
    <s v="Gigawattstunde"/>
    <x v="14"/>
    <x v="4"/>
    <n v="608.74599999999998"/>
  </r>
  <r>
    <x v="18"/>
    <s v="Endenergieverbrauch - Industriesektor - Fahrzeuge und Beförderungsmittel - energetischer Verbrauch"/>
    <s v="Elektrizität"/>
    <s v="Gigawattstunde"/>
    <x v="15"/>
    <x v="4"/>
    <n v="589.154"/>
  </r>
  <r>
    <x v="18"/>
    <s v="Endenergieverbrauch - Industriesektor - Fahrzeuge und Beförderungsmittel - energetischer Verbrauch"/>
    <s v="Elektrizität"/>
    <s v="Gigawattstunde"/>
    <x v="16"/>
    <x v="4"/>
    <n v="717.30399999999997"/>
  </r>
  <r>
    <x v="19"/>
    <s v="Endenergieverbrauch - Industriesektor - Fahrzeuge und Beförderungsmittel - energetischer Verbrauch"/>
    <s v="Elektrizität"/>
    <s v="Gigawattstunde"/>
    <x v="0"/>
    <x v="4"/>
    <n v="701"/>
  </r>
  <r>
    <x v="19"/>
    <s v="Endenergieverbrauch - Industriesektor - Fahrzeuge und Beförderungsmittel - energetischer Verbrauch"/>
    <s v="Elektrizität"/>
    <s v="Gigawattstunde"/>
    <x v="1"/>
    <x v="4"/>
    <n v="758"/>
  </r>
  <r>
    <x v="19"/>
    <s v="Endenergieverbrauch - Industriesektor - Fahrzeuge und Beförderungsmittel - energetischer Verbrauch"/>
    <s v="Elektrizität"/>
    <s v="Gigawattstunde"/>
    <x v="2"/>
    <x v="4"/>
    <n v="916"/>
  </r>
  <r>
    <x v="19"/>
    <s v="Endenergieverbrauch - Industriesektor - Fahrzeuge und Beförderungsmittel - energetischer Verbrauch"/>
    <s v="Elektrizität"/>
    <s v="Gigawattstunde"/>
    <x v="3"/>
    <x v="4"/>
    <n v="952.88499999999999"/>
  </r>
  <r>
    <x v="19"/>
    <s v="Endenergieverbrauch - Industriesektor - Fahrzeuge und Beförderungsmittel - energetischer Verbrauch"/>
    <s v="Elektrizität"/>
    <s v="Gigawattstunde"/>
    <x v="4"/>
    <x v="4"/>
    <n v="955.82299999999998"/>
  </r>
  <r>
    <x v="19"/>
    <s v="Endenergieverbrauch - Industriesektor - Fahrzeuge und Beförderungsmittel - energetischer Verbrauch"/>
    <s v="Elektrizität"/>
    <s v="Gigawattstunde"/>
    <x v="5"/>
    <x v="4"/>
    <n v="928.96299999999997"/>
  </r>
  <r>
    <x v="19"/>
    <s v="Endenergieverbrauch - Industriesektor - Fahrzeuge und Beförderungsmittel - energetischer Verbrauch"/>
    <s v="Elektrizität"/>
    <s v="Gigawattstunde"/>
    <x v="6"/>
    <x v="4"/>
    <n v="872.94899999999996"/>
  </r>
  <r>
    <x v="19"/>
    <s v="Endenergieverbrauch - Industriesektor - Fahrzeuge und Beförderungsmittel - energetischer Verbrauch"/>
    <s v="Elektrizität"/>
    <s v="Gigawattstunde"/>
    <x v="7"/>
    <x v="4"/>
    <n v="719.13699999999994"/>
  </r>
  <r>
    <x v="19"/>
    <s v="Endenergieverbrauch - Industriesektor - Fahrzeuge und Beförderungsmittel - energetischer Verbrauch"/>
    <s v="Elektrizität"/>
    <s v="Gigawattstunde"/>
    <x v="8"/>
    <x v="4"/>
    <n v="846.52099999999996"/>
  </r>
  <r>
    <x v="19"/>
    <s v="Endenergieverbrauch - Industriesektor - Fahrzeuge und Beförderungsmittel - energetischer Verbrauch"/>
    <s v="Elektrizität"/>
    <s v="Gigawattstunde"/>
    <x v="9"/>
    <x v="4"/>
    <n v="961.42200000000003"/>
  </r>
  <r>
    <x v="19"/>
    <s v="Endenergieverbrauch - Industriesektor - Fahrzeuge und Beförderungsmittel - energetischer Verbrauch"/>
    <s v="Elektrizität"/>
    <s v="Gigawattstunde"/>
    <x v="10"/>
    <x v="4"/>
    <n v="904.38199999999995"/>
  </r>
  <r>
    <x v="19"/>
    <s v="Endenergieverbrauch - Industriesektor - Fahrzeuge und Beförderungsmittel - energetischer Verbrauch"/>
    <s v="Elektrizität"/>
    <s v="Gigawattstunde"/>
    <x v="11"/>
    <x v="4"/>
    <n v="771.04899999999998"/>
  </r>
  <r>
    <x v="19"/>
    <s v="Endenergieverbrauch - Industriesektor - Fahrzeuge und Beförderungsmittel - energetischer Verbrauch"/>
    <s v="Elektrizität"/>
    <s v="Gigawattstunde"/>
    <x v="12"/>
    <x v="4"/>
    <n v="837.66300000000001"/>
  </r>
  <r>
    <x v="19"/>
    <s v="Endenergieverbrauch - Industriesektor - Fahrzeuge und Beförderungsmittel - energetischer Verbrauch"/>
    <s v="Elektrizität"/>
    <s v="Gigawattstunde"/>
    <x v="13"/>
    <x v="4"/>
    <n v="828.71900000000005"/>
  </r>
  <r>
    <x v="19"/>
    <s v="Endenergieverbrauch - Industriesektor - Fahrzeuge und Beförderungsmittel - energetischer Verbrauch"/>
    <s v="Elektrizität"/>
    <s v="Gigawattstunde"/>
    <x v="14"/>
    <x v="4"/>
    <n v="886.42700000000002"/>
  </r>
  <r>
    <x v="19"/>
    <s v="Endenergieverbrauch - Industriesektor - Fahrzeuge und Beförderungsmittel - energetischer Verbrauch"/>
    <s v="Elektrizität"/>
    <s v="Gigawattstunde"/>
    <x v="15"/>
    <x v="4"/>
    <n v="968.99900000000002"/>
  </r>
  <r>
    <x v="19"/>
    <s v="Endenergieverbrauch - Industriesektor - Fahrzeuge und Beförderungsmittel - energetischer Verbrauch"/>
    <s v="Elektrizität"/>
    <s v="Gigawattstunde"/>
    <x v="16"/>
    <x v="4"/>
    <n v="960.976"/>
  </r>
  <r>
    <x v="20"/>
    <s v="Endenergieverbrauch - Industriesektor - Fahrzeuge und Beförderungsmittel - energetischer Verbrauch"/>
    <s v="Elektrizität"/>
    <s v="Gigawattstunde"/>
    <x v="0"/>
    <x v="4"/>
    <n v="1351"/>
  </r>
  <r>
    <x v="20"/>
    <s v="Endenergieverbrauch - Industriesektor - Fahrzeuge und Beförderungsmittel - energetischer Verbrauch"/>
    <s v="Elektrizität"/>
    <s v="Gigawattstunde"/>
    <x v="1"/>
    <x v="4"/>
    <n v="1561"/>
  </r>
  <r>
    <x v="20"/>
    <s v="Endenergieverbrauch - Industriesektor - Fahrzeuge und Beförderungsmittel - energetischer Verbrauch"/>
    <s v="Elektrizität"/>
    <s v="Gigawattstunde"/>
    <x v="2"/>
    <x v="4"/>
    <n v="1745"/>
  </r>
  <r>
    <x v="20"/>
    <s v="Endenergieverbrauch - Industriesektor - Fahrzeuge und Beförderungsmittel - energetischer Verbrauch"/>
    <s v="Elektrizität"/>
    <s v="Gigawattstunde"/>
    <x v="3"/>
    <x v="4"/>
    <n v="1938"/>
  </r>
  <r>
    <x v="20"/>
    <s v="Endenergieverbrauch - Industriesektor - Fahrzeuge und Beförderungsmittel - energetischer Verbrauch"/>
    <s v="Elektrizität"/>
    <s v="Gigawattstunde"/>
    <x v="4"/>
    <x v="4"/>
    <n v="2052"/>
  </r>
  <r>
    <x v="20"/>
    <s v="Endenergieverbrauch - Industriesektor - Fahrzeuge und Beförderungsmittel - energetischer Verbrauch"/>
    <s v="Elektrizität"/>
    <s v="Gigawattstunde"/>
    <x v="5"/>
    <x v="4"/>
    <n v="2314"/>
  </r>
  <r>
    <x v="20"/>
    <s v="Endenergieverbrauch - Industriesektor - Fahrzeuge und Beförderungsmittel - energetischer Verbrauch"/>
    <s v="Elektrizität"/>
    <s v="Gigawattstunde"/>
    <x v="6"/>
    <x v="4"/>
    <n v="2394"/>
  </r>
  <r>
    <x v="20"/>
    <s v="Endenergieverbrauch - Industriesektor - Fahrzeuge und Beförderungsmittel - energetischer Verbrauch"/>
    <s v="Elektrizität"/>
    <s v="Gigawattstunde"/>
    <x v="7"/>
    <x v="4"/>
    <n v="1662"/>
  </r>
  <r>
    <x v="20"/>
    <s v="Endenergieverbrauch - Industriesektor - Fahrzeuge und Beförderungsmittel - energetischer Verbrauch"/>
    <s v="Elektrizität"/>
    <s v="Gigawattstunde"/>
    <x v="8"/>
    <x v="4"/>
    <n v="1746"/>
  </r>
  <r>
    <x v="20"/>
    <s v="Endenergieverbrauch - Industriesektor - Fahrzeuge und Beförderungsmittel - energetischer Verbrauch"/>
    <s v="Elektrizität"/>
    <s v="Gigawattstunde"/>
    <x v="9"/>
    <x v="4"/>
    <n v="1926"/>
  </r>
  <r>
    <x v="20"/>
    <s v="Endenergieverbrauch - Industriesektor - Fahrzeuge und Beförderungsmittel - energetischer Verbrauch"/>
    <s v="Elektrizität"/>
    <s v="Gigawattstunde"/>
    <x v="10"/>
    <x v="4"/>
    <n v="2014"/>
  </r>
  <r>
    <x v="20"/>
    <s v="Endenergieverbrauch - Industriesektor - Fahrzeuge und Beförderungsmittel - energetischer Verbrauch"/>
    <s v="Elektrizität"/>
    <s v="Gigawattstunde"/>
    <x v="11"/>
    <x v="4"/>
    <n v="2533"/>
  </r>
  <r>
    <x v="20"/>
    <s v="Endenergieverbrauch - Industriesektor - Fahrzeuge und Beförderungsmittel - energetischer Verbrauch"/>
    <s v="Elektrizität"/>
    <s v="Gigawattstunde"/>
    <x v="12"/>
    <x v="4"/>
    <n v="2537"/>
  </r>
  <r>
    <x v="20"/>
    <s v="Endenergieverbrauch - Industriesektor - Fahrzeuge und Beförderungsmittel - energetischer Verbrauch"/>
    <s v="Elektrizität"/>
    <s v="Gigawattstunde"/>
    <x v="13"/>
    <x v="4"/>
    <n v="2562"/>
  </r>
  <r>
    <x v="20"/>
    <s v="Endenergieverbrauch - Industriesektor - Fahrzeuge und Beförderungsmittel - energetischer Verbrauch"/>
    <s v="Elektrizität"/>
    <s v="Gigawattstunde"/>
    <x v="14"/>
    <x v="4"/>
    <n v="2712"/>
  </r>
  <r>
    <x v="20"/>
    <s v="Endenergieverbrauch - Industriesektor - Fahrzeuge und Beförderungsmittel - energetischer Verbrauch"/>
    <s v="Elektrizität"/>
    <s v="Gigawattstunde"/>
    <x v="15"/>
    <x v="4"/>
    <n v="2928.1669999999999"/>
  </r>
  <r>
    <x v="20"/>
    <s v="Endenergieverbrauch - Industriesektor - Fahrzeuge und Beförderungsmittel - energetischer Verbrauch"/>
    <s v="Elektrizität"/>
    <s v="Gigawattstunde"/>
    <x v="16"/>
    <x v="4"/>
    <n v="3061.085"/>
  </r>
  <r>
    <x v="21"/>
    <s v="Endenergieverbrauch - Industriesektor - Fahrzeuge und Beförderungsmittel - energetischer Verbrauch"/>
    <s v="Elektrizität"/>
    <s v="Gigawattstunde"/>
    <x v="0"/>
    <x v="4"/>
    <n v="476"/>
  </r>
  <r>
    <x v="21"/>
    <s v="Endenergieverbrauch - Industriesektor - Fahrzeuge und Beförderungsmittel - energetischer Verbrauch"/>
    <s v="Elektrizität"/>
    <s v="Gigawattstunde"/>
    <x v="1"/>
    <x v="4"/>
    <n v="481"/>
  </r>
  <r>
    <x v="21"/>
    <s v="Endenergieverbrauch - Industriesektor - Fahrzeuge und Beförderungsmittel - energetischer Verbrauch"/>
    <s v="Elektrizität"/>
    <s v="Gigawattstunde"/>
    <x v="2"/>
    <x v="4"/>
    <n v="471"/>
  </r>
  <r>
    <x v="21"/>
    <s v="Endenergieverbrauch - Industriesektor - Fahrzeuge und Beförderungsmittel - energetischer Verbrauch"/>
    <s v="Elektrizität"/>
    <s v="Gigawattstunde"/>
    <x v="3"/>
    <x v="4"/>
    <n v="478"/>
  </r>
  <r>
    <x v="21"/>
    <s v="Endenergieverbrauch - Industriesektor - Fahrzeuge und Beförderungsmittel - energetischer Verbrauch"/>
    <s v="Elektrizität"/>
    <s v="Gigawattstunde"/>
    <x v="4"/>
    <x v="4"/>
    <n v="483"/>
  </r>
  <r>
    <x v="21"/>
    <s v="Endenergieverbrauch - Industriesektor - Fahrzeuge und Beförderungsmittel - energetischer Verbrauch"/>
    <s v="Elektrizität"/>
    <s v="Gigawattstunde"/>
    <x v="5"/>
    <x v="4"/>
    <n v="494"/>
  </r>
  <r>
    <x v="21"/>
    <s v="Endenergieverbrauch - Industriesektor - Fahrzeuge und Beförderungsmittel - energetischer Verbrauch"/>
    <s v="Elektrizität"/>
    <s v="Gigawattstunde"/>
    <x v="6"/>
    <x v="4"/>
    <n v="481"/>
  </r>
  <r>
    <x v="21"/>
    <s v="Endenergieverbrauch - Industriesektor - Fahrzeuge und Beförderungsmittel - energetischer Verbrauch"/>
    <s v="Elektrizität"/>
    <s v="Gigawattstunde"/>
    <x v="7"/>
    <x v="4"/>
    <n v="411"/>
  </r>
  <r>
    <x v="21"/>
    <s v="Endenergieverbrauch - Industriesektor - Fahrzeuge und Beförderungsmittel - energetischer Verbrauch"/>
    <s v="Elektrizität"/>
    <s v="Gigawattstunde"/>
    <x v="8"/>
    <x v="4"/>
    <n v="442"/>
  </r>
  <r>
    <x v="21"/>
    <s v="Endenergieverbrauch - Industriesektor - Fahrzeuge und Beförderungsmittel - energetischer Verbrauch"/>
    <s v="Elektrizität"/>
    <s v="Gigawattstunde"/>
    <x v="9"/>
    <x v="4"/>
    <n v="433"/>
  </r>
  <r>
    <x v="21"/>
    <s v="Endenergieverbrauch - Industriesektor - Fahrzeuge und Beförderungsmittel - energetischer Verbrauch"/>
    <s v="Elektrizität"/>
    <s v="Gigawattstunde"/>
    <x v="10"/>
    <x v="4"/>
    <n v="374"/>
  </r>
  <r>
    <x v="21"/>
    <s v="Endenergieverbrauch - Industriesektor - Fahrzeuge und Beförderungsmittel - energetischer Verbrauch"/>
    <s v="Elektrizität"/>
    <s v="Gigawattstunde"/>
    <x v="11"/>
    <x v="4"/>
    <n v="347"/>
  </r>
  <r>
    <x v="21"/>
    <s v="Endenergieverbrauch - Industriesektor - Fahrzeuge und Beförderungsmittel - energetischer Verbrauch"/>
    <s v="Elektrizität"/>
    <s v="Gigawattstunde"/>
    <x v="12"/>
    <x v="4"/>
    <n v="358"/>
  </r>
  <r>
    <x v="21"/>
    <s v="Endenergieverbrauch - Industriesektor - Fahrzeuge und Beförderungsmittel - energetischer Verbrauch"/>
    <s v="Elektrizität"/>
    <s v="Gigawattstunde"/>
    <x v="13"/>
    <x v="4"/>
    <n v="369"/>
  </r>
  <r>
    <x v="21"/>
    <s v="Endenergieverbrauch - Industriesektor - Fahrzeuge und Beförderungsmittel - energetischer Verbrauch"/>
    <s v="Elektrizität"/>
    <s v="Gigawattstunde"/>
    <x v="14"/>
    <x v="4"/>
    <n v="446.08800000000002"/>
  </r>
  <r>
    <x v="21"/>
    <s v="Endenergieverbrauch - Industriesektor - Fahrzeuge und Beförderungsmittel - energetischer Verbrauch"/>
    <s v="Elektrizität"/>
    <s v="Gigawattstunde"/>
    <x v="15"/>
    <x v="4"/>
    <n v="524.89700000000005"/>
  </r>
  <r>
    <x v="21"/>
    <s v="Endenergieverbrauch - Industriesektor - Fahrzeuge und Beförderungsmittel - energetischer Verbrauch"/>
    <s v="Elektrizität"/>
    <s v="Gigawattstunde"/>
    <x v="16"/>
    <x v="4"/>
    <n v="551.40099999999995"/>
  </r>
  <r>
    <x v="22"/>
    <s v="Endenergieverbrauch - Industriesektor - Fahrzeuge und Beförderungsmittel - energetischer Verbrauch"/>
    <s v="Elektrizität"/>
    <s v="Gigawattstunde"/>
    <x v="0"/>
    <x v="4"/>
    <n v="467"/>
  </r>
  <r>
    <x v="22"/>
    <s v="Endenergieverbrauch - Industriesektor - Fahrzeuge und Beförderungsmittel - energetischer Verbrauch"/>
    <s v="Elektrizität"/>
    <s v="Gigawattstunde"/>
    <x v="1"/>
    <x v="4"/>
    <n v="399"/>
  </r>
  <r>
    <x v="22"/>
    <s v="Endenergieverbrauch - Industriesektor - Fahrzeuge und Beförderungsmittel - energetischer Verbrauch"/>
    <s v="Elektrizität"/>
    <s v="Gigawattstunde"/>
    <x v="2"/>
    <x v="4"/>
    <n v="508"/>
  </r>
  <r>
    <x v="22"/>
    <s v="Endenergieverbrauch - Industriesektor - Fahrzeuge und Beförderungsmittel - energetischer Verbrauch"/>
    <s v="Elektrizität"/>
    <s v="Gigawattstunde"/>
    <x v="3"/>
    <x v="4"/>
    <n v="479"/>
  </r>
  <r>
    <x v="22"/>
    <s v="Endenergieverbrauch - Industriesektor - Fahrzeuge und Beförderungsmittel - energetischer Verbrauch"/>
    <s v="Elektrizität"/>
    <s v="Gigawattstunde"/>
    <x v="4"/>
    <x v="4"/>
    <n v="835"/>
  </r>
  <r>
    <x v="22"/>
    <s v="Endenergieverbrauch - Industriesektor - Fahrzeuge und Beförderungsmittel - energetischer Verbrauch"/>
    <s v="Elektrizität"/>
    <s v="Gigawattstunde"/>
    <x v="5"/>
    <x v="4"/>
    <n v="914"/>
  </r>
  <r>
    <x v="22"/>
    <s v="Endenergieverbrauch - Industriesektor - Fahrzeuge und Beförderungsmittel - energetischer Verbrauch"/>
    <s v="Elektrizität"/>
    <s v="Gigawattstunde"/>
    <x v="6"/>
    <x v="4"/>
    <n v="891"/>
  </r>
  <r>
    <x v="22"/>
    <s v="Endenergieverbrauch - Industriesektor - Fahrzeuge und Beförderungsmittel - energetischer Verbrauch"/>
    <s v="Elektrizität"/>
    <s v="Gigawattstunde"/>
    <x v="7"/>
    <x v="4"/>
    <n v="849"/>
  </r>
  <r>
    <x v="22"/>
    <s v="Endenergieverbrauch - Industriesektor - Fahrzeuge und Beförderungsmittel - energetischer Verbrauch"/>
    <s v="Elektrizität"/>
    <s v="Gigawattstunde"/>
    <x v="8"/>
    <x v="4"/>
    <n v="476"/>
  </r>
  <r>
    <x v="22"/>
    <s v="Endenergieverbrauch - Industriesektor - Fahrzeuge und Beförderungsmittel - energetischer Verbrauch"/>
    <s v="Elektrizität"/>
    <s v="Gigawattstunde"/>
    <x v="9"/>
    <x v="4"/>
    <n v="972"/>
  </r>
  <r>
    <x v="22"/>
    <s v="Endenergieverbrauch - Industriesektor - Fahrzeuge und Beförderungsmittel - energetischer Verbrauch"/>
    <s v="Elektrizität"/>
    <s v="Gigawattstunde"/>
    <x v="10"/>
    <x v="4"/>
    <n v="1011"/>
  </r>
  <r>
    <x v="22"/>
    <s v="Endenergieverbrauch - Industriesektor - Fahrzeuge und Beförderungsmittel - energetischer Verbrauch"/>
    <s v="Elektrizität"/>
    <s v="Gigawattstunde"/>
    <x v="11"/>
    <x v="4"/>
    <n v="1226"/>
  </r>
  <r>
    <x v="22"/>
    <s v="Endenergieverbrauch - Industriesektor - Fahrzeuge und Beförderungsmittel - energetischer Verbrauch"/>
    <s v="Elektrizität"/>
    <s v="Gigawattstunde"/>
    <x v="12"/>
    <x v="4"/>
    <n v="1397"/>
  </r>
  <r>
    <x v="22"/>
    <s v="Endenergieverbrauch - Industriesektor - Fahrzeuge und Beförderungsmittel - energetischer Verbrauch"/>
    <s v="Elektrizität"/>
    <s v="Gigawattstunde"/>
    <x v="13"/>
    <x v="4"/>
    <n v="1398"/>
  </r>
  <r>
    <x v="22"/>
    <s v="Endenergieverbrauch - Industriesektor - Fahrzeuge und Beförderungsmittel - energetischer Verbrauch"/>
    <s v="Elektrizität"/>
    <s v="Gigawattstunde"/>
    <x v="14"/>
    <x v="4"/>
    <n v="1384"/>
  </r>
  <r>
    <x v="22"/>
    <s v="Endenergieverbrauch - Industriesektor - Fahrzeuge und Beförderungsmittel - energetischer Verbrauch"/>
    <s v="Elektrizität"/>
    <s v="Gigawattstunde"/>
    <x v="15"/>
    <x v="4"/>
    <n v="1431.107"/>
  </r>
  <r>
    <x v="22"/>
    <s v="Endenergieverbrauch - Industriesektor - Fahrzeuge und Beförderungsmittel - energetischer Verbrauch"/>
    <s v="Elektrizität"/>
    <s v="Gigawattstunde"/>
    <x v="16"/>
    <x v="4"/>
    <n v="1657.626"/>
  </r>
  <r>
    <x v="23"/>
    <s v="Endenergieverbrauch - Industriesektor - Fahrzeuge und Beförderungsmittel - energetischer Verbrauch"/>
    <s v="Elektrizität"/>
    <s v="Gigawattstunde"/>
    <x v="0"/>
    <x v="4"/>
    <n v="118"/>
  </r>
  <r>
    <x v="23"/>
    <s v="Endenergieverbrauch - Industriesektor - Fahrzeuge und Beförderungsmittel - energetischer Verbrauch"/>
    <s v="Elektrizität"/>
    <s v="Gigawattstunde"/>
    <x v="1"/>
    <x v="4"/>
    <n v="132"/>
  </r>
  <r>
    <x v="23"/>
    <s v="Endenergieverbrauch - Industriesektor - Fahrzeuge und Beförderungsmittel - energetischer Verbrauch"/>
    <s v="Elektrizität"/>
    <s v="Gigawattstunde"/>
    <x v="2"/>
    <x v="4"/>
    <n v="135"/>
  </r>
  <r>
    <x v="23"/>
    <s v="Endenergieverbrauch - Industriesektor - Fahrzeuge und Beförderungsmittel - energetischer Verbrauch"/>
    <s v="Elektrizität"/>
    <s v="Gigawattstunde"/>
    <x v="3"/>
    <x v="4"/>
    <n v="155"/>
  </r>
  <r>
    <x v="23"/>
    <s v="Endenergieverbrauch - Industriesektor - Fahrzeuge und Beförderungsmittel - energetischer Verbrauch"/>
    <s v="Elektrizität"/>
    <s v="Gigawattstunde"/>
    <x v="4"/>
    <x v="4"/>
    <n v="165"/>
  </r>
  <r>
    <x v="23"/>
    <s v="Endenergieverbrauch - Industriesektor - Fahrzeuge und Beförderungsmittel - energetischer Verbrauch"/>
    <s v="Elektrizität"/>
    <s v="Gigawattstunde"/>
    <x v="5"/>
    <x v="4"/>
    <n v="216"/>
  </r>
  <r>
    <x v="23"/>
    <s v="Endenergieverbrauch - Industriesektor - Fahrzeuge und Beförderungsmittel - energetischer Verbrauch"/>
    <s v="Elektrizität"/>
    <s v="Gigawattstunde"/>
    <x v="6"/>
    <x v="4"/>
    <n v="231"/>
  </r>
  <r>
    <x v="23"/>
    <s v="Endenergieverbrauch - Industriesektor - Fahrzeuge und Beförderungsmittel - energetischer Verbrauch"/>
    <s v="Elektrizität"/>
    <s v="Gigawattstunde"/>
    <x v="7"/>
    <x v="4"/>
    <n v="201"/>
  </r>
  <r>
    <x v="23"/>
    <s v="Endenergieverbrauch - Industriesektor - Fahrzeuge und Beförderungsmittel - energetischer Verbrauch"/>
    <s v="Elektrizität"/>
    <s v="Gigawattstunde"/>
    <x v="8"/>
    <x v="4"/>
    <n v="212"/>
  </r>
  <r>
    <x v="23"/>
    <s v="Endenergieverbrauch - Industriesektor - Fahrzeuge und Beförderungsmittel - energetischer Verbrauch"/>
    <s v="Elektrizität"/>
    <s v="Gigawattstunde"/>
    <x v="9"/>
    <x v="4"/>
    <n v="217"/>
  </r>
  <r>
    <x v="23"/>
    <s v="Endenergieverbrauch - Industriesektor - Fahrzeuge und Beförderungsmittel - energetischer Verbrauch"/>
    <s v="Elektrizität"/>
    <s v="Gigawattstunde"/>
    <x v="10"/>
    <x v="4"/>
    <n v="245"/>
  </r>
  <r>
    <x v="23"/>
    <s v="Endenergieverbrauch - Industriesektor - Fahrzeuge und Beförderungsmittel - energetischer Verbrauch"/>
    <s v="Elektrizität"/>
    <s v="Gigawattstunde"/>
    <x v="11"/>
    <x v="4"/>
    <n v="211"/>
  </r>
  <r>
    <x v="23"/>
    <s v="Endenergieverbrauch - Industriesektor - Fahrzeuge und Beförderungsmittel - energetischer Verbrauch"/>
    <s v="Elektrizität"/>
    <s v="Gigawattstunde"/>
    <x v="12"/>
    <x v="4"/>
    <n v="233"/>
  </r>
  <r>
    <x v="23"/>
    <s v="Endenergieverbrauch - Industriesektor - Fahrzeuge und Beförderungsmittel - energetischer Verbrauch"/>
    <s v="Elektrizität"/>
    <s v="Gigawattstunde"/>
    <x v="13"/>
    <x v="4"/>
    <n v="222"/>
  </r>
  <r>
    <x v="23"/>
    <s v="Endenergieverbrauch - Industriesektor - Fahrzeuge und Beförderungsmittel - energetischer Verbrauch"/>
    <s v="Elektrizität"/>
    <s v="Gigawattstunde"/>
    <x v="14"/>
    <x v="4"/>
    <n v="214"/>
  </r>
  <r>
    <x v="23"/>
    <s v="Endenergieverbrauch - Industriesektor - Fahrzeuge und Beförderungsmittel - energetischer Verbrauch"/>
    <s v="Elektrizität"/>
    <s v="Gigawattstunde"/>
    <x v="15"/>
    <x v="4"/>
    <n v="246.92500000000001"/>
  </r>
  <r>
    <x v="23"/>
    <s v="Endenergieverbrauch - Industriesektor - Fahrzeuge und Beförderungsmittel - energetischer Verbrauch"/>
    <s v="Elektrizität"/>
    <s v="Gigawattstunde"/>
    <x v="16"/>
    <x v="4"/>
    <n v="239.78800000000001"/>
  </r>
  <r>
    <x v="24"/>
    <s v="Endenergieverbrauch - Industriesektor - Fahrzeuge und Beförderungsmittel - energetischer Verbrauch"/>
    <s v="Elektrizität"/>
    <s v="Gigawattstunde"/>
    <x v="0"/>
    <x v="4"/>
    <n v="154"/>
  </r>
  <r>
    <x v="24"/>
    <s v="Endenergieverbrauch - Industriesektor - Fahrzeuge und Beförderungsmittel - energetischer Verbrauch"/>
    <s v="Elektrizität"/>
    <s v="Gigawattstunde"/>
    <x v="1"/>
    <x v="4"/>
    <n v="177"/>
  </r>
  <r>
    <x v="24"/>
    <s v="Endenergieverbrauch - Industriesektor - Fahrzeuge und Beförderungsmittel - energetischer Verbrauch"/>
    <s v="Elektrizität"/>
    <s v="Gigawattstunde"/>
    <x v="2"/>
    <x v="4"/>
    <n v="196"/>
  </r>
  <r>
    <x v="24"/>
    <s v="Endenergieverbrauch - Industriesektor - Fahrzeuge und Beförderungsmittel - energetischer Verbrauch"/>
    <s v="Elektrizität"/>
    <s v="Gigawattstunde"/>
    <x v="3"/>
    <x v="4"/>
    <n v="233"/>
  </r>
  <r>
    <x v="24"/>
    <s v="Endenergieverbrauch - Industriesektor - Fahrzeuge und Beförderungsmittel - energetischer Verbrauch"/>
    <s v="Elektrizität"/>
    <s v="Gigawattstunde"/>
    <x v="4"/>
    <x v="4"/>
    <n v="563"/>
  </r>
  <r>
    <x v="24"/>
    <s v="Endenergieverbrauch - Industriesektor - Fahrzeuge und Beförderungsmittel - energetischer Verbrauch"/>
    <s v="Elektrizität"/>
    <s v="Gigawattstunde"/>
    <x v="5"/>
    <x v="4"/>
    <n v="715"/>
  </r>
  <r>
    <x v="24"/>
    <s v="Endenergieverbrauch - Industriesektor - Fahrzeuge und Beförderungsmittel - energetischer Verbrauch"/>
    <s v="Elektrizität"/>
    <s v="Gigawattstunde"/>
    <x v="6"/>
    <x v="4"/>
    <n v="745"/>
  </r>
  <r>
    <x v="24"/>
    <s v="Endenergieverbrauch - Industriesektor - Fahrzeuge und Beförderungsmittel - energetischer Verbrauch"/>
    <s v="Elektrizität"/>
    <s v="Gigawattstunde"/>
    <x v="7"/>
    <x v="4"/>
    <n v="632"/>
  </r>
  <r>
    <x v="24"/>
    <s v="Endenergieverbrauch - Industriesektor - Fahrzeuge und Beförderungsmittel - energetischer Verbrauch"/>
    <s v="Elektrizität"/>
    <s v="Gigawattstunde"/>
    <x v="8"/>
    <x v="4"/>
    <n v="737"/>
  </r>
  <r>
    <x v="24"/>
    <s v="Endenergieverbrauch - Industriesektor - Fahrzeuge und Beförderungsmittel - energetischer Verbrauch"/>
    <s v="Elektrizität"/>
    <s v="Gigawattstunde"/>
    <x v="9"/>
    <x v="4"/>
    <n v="848"/>
  </r>
  <r>
    <x v="24"/>
    <s v="Endenergieverbrauch - Industriesektor - Fahrzeuge und Beförderungsmittel - energetischer Verbrauch"/>
    <s v="Elektrizität"/>
    <s v="Gigawattstunde"/>
    <x v="10"/>
    <x v="4"/>
    <n v="939"/>
  </r>
  <r>
    <x v="24"/>
    <s v="Endenergieverbrauch - Industriesektor - Fahrzeuge und Beförderungsmittel - energetischer Verbrauch"/>
    <s v="Elektrizität"/>
    <s v="Gigawattstunde"/>
    <x v="11"/>
    <x v="4"/>
    <n v="945"/>
  </r>
  <r>
    <x v="24"/>
    <s v="Endenergieverbrauch - Industriesektor - Fahrzeuge und Beförderungsmittel - energetischer Verbrauch"/>
    <s v="Elektrizität"/>
    <s v="Gigawattstunde"/>
    <x v="12"/>
    <x v="4"/>
    <n v="1459"/>
  </r>
  <r>
    <x v="24"/>
    <s v="Endenergieverbrauch - Industriesektor - Fahrzeuge und Beförderungsmittel - energetischer Verbrauch"/>
    <s v="Elektrizität"/>
    <s v="Gigawattstunde"/>
    <x v="13"/>
    <x v="4"/>
    <n v="969"/>
  </r>
  <r>
    <x v="24"/>
    <s v="Endenergieverbrauch - Industriesektor - Fahrzeuge und Beförderungsmittel - energetischer Verbrauch"/>
    <s v="Elektrizität"/>
    <s v="Gigawattstunde"/>
    <x v="14"/>
    <x v="4"/>
    <n v="1072"/>
  </r>
  <r>
    <x v="24"/>
    <s v="Endenergieverbrauch - Industriesektor - Fahrzeuge und Beförderungsmittel - energetischer Verbrauch"/>
    <s v="Elektrizität"/>
    <s v="Gigawattstunde"/>
    <x v="15"/>
    <x v="4"/>
    <n v="969"/>
  </r>
  <r>
    <x v="24"/>
    <s v="Endenergieverbrauch - Industriesektor - Fahrzeuge und Beförderungsmittel - energetischer Verbrauch"/>
    <s v="Elektrizität"/>
    <s v="Gigawattstunde"/>
    <x v="16"/>
    <x v="4"/>
    <n v="1357"/>
  </r>
  <r>
    <x v="25"/>
    <s v="Endenergieverbrauch - Industriesektor - Fahrzeuge und Beförderungsmittel - energetischer Verbrauch"/>
    <s v="Elektrizität"/>
    <s v="Gigawattstunde"/>
    <x v="0"/>
    <x v="4"/>
    <n v="350"/>
  </r>
  <r>
    <x v="25"/>
    <s v="Endenergieverbrauch - Industriesektor - Fahrzeuge und Beförderungsmittel - energetischer Verbrauch"/>
    <s v="Elektrizität"/>
    <s v="Gigawattstunde"/>
    <x v="1"/>
    <x v="4"/>
    <n v="302"/>
  </r>
  <r>
    <x v="25"/>
    <s v="Endenergieverbrauch - Industriesektor - Fahrzeuge und Beförderungsmittel - energetischer Verbrauch"/>
    <s v="Elektrizität"/>
    <s v="Gigawattstunde"/>
    <x v="2"/>
    <x v="4"/>
    <n v="263"/>
  </r>
  <r>
    <x v="25"/>
    <s v="Endenergieverbrauch - Industriesektor - Fahrzeuge und Beförderungsmittel - energetischer Verbrauch"/>
    <s v="Elektrizität"/>
    <s v="Gigawattstunde"/>
    <x v="3"/>
    <x v="4"/>
    <n v="289"/>
  </r>
  <r>
    <x v="25"/>
    <s v="Endenergieverbrauch - Industriesektor - Fahrzeuge und Beförderungsmittel - energetischer Verbrauch"/>
    <s v="Elektrizität"/>
    <s v="Gigawattstunde"/>
    <x v="4"/>
    <x v="4"/>
    <n v="314"/>
  </r>
  <r>
    <x v="25"/>
    <s v="Endenergieverbrauch - Industriesektor - Fahrzeuge und Beförderungsmittel - energetischer Verbrauch"/>
    <s v="Elektrizität"/>
    <s v="Gigawattstunde"/>
    <x v="5"/>
    <x v="4"/>
    <n v="397"/>
  </r>
  <r>
    <x v="25"/>
    <s v="Endenergieverbrauch - Industriesektor - Fahrzeuge und Beförderungsmittel - energetischer Verbrauch"/>
    <s v="Elektrizität"/>
    <s v="Gigawattstunde"/>
    <x v="6"/>
    <x v="4"/>
    <n v="369"/>
  </r>
  <r>
    <x v="25"/>
    <s v="Endenergieverbrauch - Industriesektor - Fahrzeuge und Beförderungsmittel - energetischer Verbrauch"/>
    <s v="Elektrizität"/>
    <s v="Gigawattstunde"/>
    <x v="7"/>
    <x v="4"/>
    <n v="310"/>
  </r>
  <r>
    <x v="25"/>
    <s v="Endenergieverbrauch - Industriesektor - Fahrzeuge und Beförderungsmittel - energetischer Verbrauch"/>
    <s v="Elektrizität"/>
    <s v="Gigawattstunde"/>
    <x v="8"/>
    <x v="4"/>
    <n v="400"/>
  </r>
  <r>
    <x v="25"/>
    <s v="Endenergieverbrauch - Industriesektor - Fahrzeuge und Beförderungsmittel - energetischer Verbrauch"/>
    <s v="Elektrizität"/>
    <s v="Gigawattstunde"/>
    <x v="9"/>
    <x v="4"/>
    <n v="298"/>
  </r>
  <r>
    <x v="25"/>
    <s v="Endenergieverbrauch - Industriesektor - Fahrzeuge und Beförderungsmittel - energetischer Verbrauch"/>
    <s v="Elektrizität"/>
    <s v="Gigawattstunde"/>
    <x v="10"/>
    <x v="4"/>
    <n v="284"/>
  </r>
  <r>
    <x v="25"/>
    <s v="Endenergieverbrauch - Industriesektor - Fahrzeuge und Beförderungsmittel - energetischer Verbrauch"/>
    <s v="Elektrizität"/>
    <s v="Gigawattstunde"/>
    <x v="11"/>
    <x v="4"/>
    <n v="273"/>
  </r>
  <r>
    <x v="25"/>
    <s v="Endenergieverbrauch - Industriesektor - Fahrzeuge und Beförderungsmittel - energetischer Verbrauch"/>
    <s v="Elektrizität"/>
    <s v="Gigawattstunde"/>
    <x v="12"/>
    <x v="4"/>
    <n v="280"/>
  </r>
  <r>
    <x v="25"/>
    <s v="Endenergieverbrauch - Industriesektor - Fahrzeuge und Beförderungsmittel - energetischer Verbrauch"/>
    <s v="Elektrizität"/>
    <s v="Gigawattstunde"/>
    <x v="13"/>
    <x v="4"/>
    <n v="325"/>
  </r>
  <r>
    <x v="25"/>
    <s v="Endenergieverbrauch - Industriesektor - Fahrzeuge und Beförderungsmittel - energetischer Verbrauch"/>
    <s v="Elektrizität"/>
    <s v="Gigawattstunde"/>
    <x v="14"/>
    <x v="4"/>
    <n v="350"/>
  </r>
  <r>
    <x v="25"/>
    <s v="Endenergieverbrauch - Industriesektor - Fahrzeuge und Beförderungsmittel - energetischer Verbrauch"/>
    <s v="Elektrizität"/>
    <s v="Gigawattstunde"/>
    <x v="15"/>
    <x v="4"/>
    <n v="326"/>
  </r>
  <r>
    <x v="25"/>
    <s v="Endenergieverbrauch - Industriesektor - Fahrzeuge und Beförderungsmittel - energetischer Verbrauch"/>
    <s v="Elektrizität"/>
    <s v="Gigawattstunde"/>
    <x v="16"/>
    <x v="4"/>
    <n v="295"/>
  </r>
  <r>
    <x v="26"/>
    <s v="Endenergieverbrauch - Industriesektor - Fahrzeuge und Beförderungsmittel - energetischer Verbrauch"/>
    <s v="Elektrizität"/>
    <s v="Gigawattstunde"/>
    <x v="0"/>
    <x v="4"/>
    <n v="2600"/>
  </r>
  <r>
    <x v="26"/>
    <s v="Endenergieverbrauch - Industriesektor - Fahrzeuge und Beförderungsmittel - energetischer Verbrauch"/>
    <s v="Elektrizität"/>
    <s v="Gigawattstunde"/>
    <x v="1"/>
    <x v="4"/>
    <n v="2392"/>
  </r>
  <r>
    <x v="26"/>
    <s v="Endenergieverbrauch - Industriesektor - Fahrzeuge und Beförderungsmittel - energetischer Verbrauch"/>
    <s v="Elektrizität"/>
    <s v="Gigawattstunde"/>
    <x v="2"/>
    <x v="4"/>
    <n v="2440"/>
  </r>
  <r>
    <x v="26"/>
    <s v="Endenergieverbrauch - Industriesektor - Fahrzeuge und Beförderungsmittel - energetischer Verbrauch"/>
    <s v="Elektrizität"/>
    <s v="Gigawattstunde"/>
    <x v="3"/>
    <x v="4"/>
    <n v="2609"/>
  </r>
  <r>
    <x v="26"/>
    <s v="Endenergieverbrauch - Industriesektor - Fahrzeuge und Beförderungsmittel - energetischer Verbrauch"/>
    <s v="Elektrizität"/>
    <s v="Gigawattstunde"/>
    <x v="4"/>
    <x v="4"/>
    <n v="2472"/>
  </r>
  <r>
    <x v="26"/>
    <s v="Endenergieverbrauch - Industriesektor - Fahrzeuge und Beförderungsmittel - energetischer Verbrauch"/>
    <s v="Elektrizität"/>
    <s v="Gigawattstunde"/>
    <x v="5"/>
    <x v="4"/>
    <n v="2518"/>
  </r>
  <r>
    <x v="26"/>
    <s v="Endenergieverbrauch - Industriesektor - Fahrzeuge und Beförderungsmittel - energetischer Verbrauch"/>
    <s v="Elektrizität"/>
    <s v="Gigawattstunde"/>
    <x v="6"/>
    <x v="4"/>
    <n v="2109"/>
  </r>
  <r>
    <x v="26"/>
    <s v="Endenergieverbrauch - Industriesektor - Fahrzeuge und Beförderungsmittel - energetischer Verbrauch"/>
    <s v="Elektrizität"/>
    <s v="Gigawattstunde"/>
    <x v="7"/>
    <x v="4"/>
    <n v="1737"/>
  </r>
  <r>
    <x v="26"/>
    <s v="Endenergieverbrauch - Industriesektor - Fahrzeuge und Beförderungsmittel - energetischer Verbrauch"/>
    <s v="Elektrizität"/>
    <s v="Gigawattstunde"/>
    <x v="8"/>
    <x v="4"/>
    <n v="1883"/>
  </r>
  <r>
    <x v="26"/>
    <s v="Endenergieverbrauch - Industriesektor - Fahrzeuge und Beförderungsmittel - energetischer Verbrauch"/>
    <s v="Elektrizität"/>
    <s v="Gigawattstunde"/>
    <x v="9"/>
    <x v="4"/>
    <n v="2012"/>
  </r>
  <r>
    <x v="26"/>
    <s v="Endenergieverbrauch - Industriesektor - Fahrzeuge und Beförderungsmittel - energetischer Verbrauch"/>
    <s v="Elektrizität"/>
    <s v="Gigawattstunde"/>
    <x v="10"/>
    <x v="4"/>
    <n v="1948"/>
  </r>
  <r>
    <x v="26"/>
    <s v="Endenergieverbrauch - Industriesektor - Fahrzeuge und Beförderungsmittel - energetischer Verbrauch"/>
    <s v="Elektrizität"/>
    <s v="Gigawattstunde"/>
    <x v="11"/>
    <x v="4"/>
    <n v="1961"/>
  </r>
  <r>
    <x v="26"/>
    <s v="Endenergieverbrauch - Industriesektor - Fahrzeuge und Beförderungsmittel - energetischer Verbrauch"/>
    <s v="Elektrizität"/>
    <s v="Gigawattstunde"/>
    <x v="12"/>
    <x v="4"/>
    <n v="1959"/>
  </r>
  <r>
    <x v="26"/>
    <s v="Endenergieverbrauch - Industriesektor - Fahrzeuge und Beförderungsmittel - energetischer Verbrauch"/>
    <s v="Elektrizität"/>
    <s v="Gigawattstunde"/>
    <x v="13"/>
    <x v="4"/>
    <n v="1930"/>
  </r>
  <r>
    <x v="26"/>
    <s v="Endenergieverbrauch - Industriesektor - Fahrzeuge und Beförderungsmittel - energetischer Verbrauch"/>
    <s v="Elektrizität"/>
    <s v="Gigawattstunde"/>
    <x v="14"/>
    <x v="4"/>
    <n v="1938"/>
  </r>
  <r>
    <x v="26"/>
    <s v="Endenergieverbrauch - Industriesektor - Fahrzeuge und Beförderungsmittel - energetischer Verbrauch"/>
    <s v="Elektrizität"/>
    <s v="Gigawattstunde"/>
    <x v="15"/>
    <x v="4"/>
    <n v="1977"/>
  </r>
  <r>
    <x v="26"/>
    <s v="Endenergieverbrauch - Industriesektor - Fahrzeuge und Beförderungsmittel - energetischer Verbrauch"/>
    <s v="Elektrizität"/>
    <s v="Gigawattstunde"/>
    <x v="16"/>
    <x v="4"/>
    <n v="1990"/>
  </r>
  <r>
    <x v="27"/>
    <s v="Endenergieverbrauch - Industriesektor - Fahrzeuge und Beförderungsmittel - energetischer Verbrauch"/>
    <s v="Elektrizität"/>
    <s v="Gigawattstunde"/>
    <x v="0"/>
    <x v="4"/>
    <n v="5625"/>
  </r>
  <r>
    <x v="27"/>
    <s v="Endenergieverbrauch - Industriesektor - Fahrzeuge und Beförderungsmittel - energetischer Verbrauch"/>
    <s v="Elektrizität"/>
    <s v="Gigawattstunde"/>
    <x v="1"/>
    <x v="4"/>
    <n v="5610"/>
  </r>
  <r>
    <x v="27"/>
    <s v="Endenergieverbrauch - Industriesektor - Fahrzeuge und Beförderungsmittel - energetischer Verbrauch"/>
    <s v="Elektrizität"/>
    <s v="Gigawattstunde"/>
    <x v="2"/>
    <x v="4"/>
    <n v="5582"/>
  </r>
  <r>
    <x v="27"/>
    <s v="Endenergieverbrauch - Industriesektor - Fahrzeuge und Beförderungsmittel - energetischer Verbrauch"/>
    <s v="Elektrizität"/>
    <s v="Gigawattstunde"/>
    <x v="3"/>
    <x v="4"/>
    <n v="5841"/>
  </r>
  <r>
    <x v="27"/>
    <s v="Endenergieverbrauch - Industriesektor - Fahrzeuge und Beförderungsmittel - energetischer Verbrauch"/>
    <s v="Elektrizität"/>
    <s v="Gigawattstunde"/>
    <x v="4"/>
    <x v="4"/>
    <n v="5748"/>
  </r>
  <r>
    <x v="27"/>
    <s v="Endenergieverbrauch - Industriesektor - Fahrzeuge und Beförderungsmittel - energetischer Verbrauch"/>
    <s v="Elektrizität"/>
    <s v="Gigawattstunde"/>
    <x v="5"/>
    <x v="4"/>
    <n v="5723"/>
  </r>
  <r>
    <x v="27"/>
    <s v="Endenergieverbrauch - Industriesektor - Fahrzeuge und Beförderungsmittel - energetischer Verbrauch"/>
    <s v="Elektrizität"/>
    <s v="Gigawattstunde"/>
    <x v="6"/>
    <x v="4"/>
    <n v="5812"/>
  </r>
  <r>
    <x v="27"/>
    <s v="Endenergieverbrauch - Industriesektor - Fahrzeuge und Beförderungsmittel - energetischer Verbrauch"/>
    <s v="Elektrizität"/>
    <s v="Gigawattstunde"/>
    <x v="7"/>
    <x v="4"/>
    <n v="5012"/>
  </r>
  <r>
    <x v="27"/>
    <s v="Endenergieverbrauch - Industriesektor - Fahrzeuge und Beförderungsmittel - energetischer Verbrauch"/>
    <s v="Elektrizität"/>
    <s v="Gigawattstunde"/>
    <x v="8"/>
    <x v="4"/>
    <n v="5284"/>
  </r>
  <r>
    <x v="27"/>
    <s v="Endenergieverbrauch - Industriesektor - Fahrzeuge und Beförderungsmittel - energetischer Verbrauch"/>
    <s v="Elektrizität"/>
    <s v="Gigawattstunde"/>
    <x v="9"/>
    <x v="4"/>
    <n v="5188"/>
  </r>
  <r>
    <x v="27"/>
    <s v="Endenergieverbrauch - Industriesektor - Fahrzeuge und Beförderungsmittel - energetischer Verbrauch"/>
    <s v="Elektrizität"/>
    <s v="Gigawattstunde"/>
    <x v="10"/>
    <x v="4"/>
    <n v="5081"/>
  </r>
  <r>
    <x v="27"/>
    <s v="Endenergieverbrauch - Industriesektor - Fahrzeuge und Beförderungsmittel - energetischer Verbrauch"/>
    <s v="Elektrizität"/>
    <s v="Gigawattstunde"/>
    <x v="11"/>
    <x v="4"/>
    <n v="5067"/>
  </r>
  <r>
    <x v="27"/>
    <s v="Endenergieverbrauch - Industriesektor - Fahrzeuge und Beförderungsmittel - energetischer Verbrauch"/>
    <s v="Elektrizität"/>
    <s v="Gigawattstunde"/>
    <x v="12"/>
    <x v="4"/>
    <n v="4831"/>
  </r>
  <r>
    <x v="27"/>
    <s v="Endenergieverbrauch - Industriesektor - Fahrzeuge und Beförderungsmittel - energetischer Verbrauch"/>
    <s v="Elektrizität"/>
    <s v="Gigawattstunde"/>
    <x v="13"/>
    <x v="4"/>
    <n v="4875.9780000000001"/>
  </r>
  <r>
    <x v="27"/>
    <s v="Endenergieverbrauch - Industriesektor - Fahrzeuge und Beförderungsmittel - energetischer Verbrauch"/>
    <s v="Elektrizität"/>
    <s v="Gigawattstunde"/>
    <x v="14"/>
    <x v="4"/>
    <n v="4847.8609999999999"/>
  </r>
  <r>
    <x v="27"/>
    <s v="Endenergieverbrauch - Industriesektor - Fahrzeuge und Beförderungsmittel - energetischer Verbrauch"/>
    <s v="Elektrizität"/>
    <s v="Gigawattstunde"/>
    <x v="15"/>
    <x v="4"/>
    <n v="4756.2830000000004"/>
  </r>
  <r>
    <x v="27"/>
    <s v="Endenergieverbrauch - Industriesektor - Fahrzeuge und Beförderungsmittel - energetischer Verbrauch"/>
    <s v="Elektrizität"/>
    <s v="Gigawattstunde"/>
    <x v="16"/>
    <x v="4"/>
    <n v="4767.6450000000004"/>
  </r>
  <r>
    <x v="28"/>
    <s v="Endenergieverbrauch - Industriesektor - Fahrzeuge und Beförderungsmittel - energetischer Verbrauch"/>
    <s v="Elektrizität"/>
    <s v="Gigawattstunde"/>
    <x v="0"/>
    <x v="4"/>
    <n v="8"/>
  </r>
  <r>
    <x v="28"/>
    <s v="Endenergieverbrauch - Industriesektor - Fahrzeuge und Beförderungsmittel - energetischer Verbrauch"/>
    <s v="Elektrizität"/>
    <s v="Gigawattstunde"/>
    <x v="1"/>
    <x v="4"/>
    <n v="6"/>
  </r>
  <r>
    <x v="28"/>
    <s v="Endenergieverbrauch - Industriesektor - Fahrzeuge und Beförderungsmittel - energetischer Verbrauch"/>
    <s v="Elektrizität"/>
    <s v="Gigawattstunde"/>
    <x v="2"/>
    <x v="4"/>
    <n v="6"/>
  </r>
  <r>
    <x v="28"/>
    <s v="Endenergieverbrauch - Industriesektor - Fahrzeuge und Beförderungsmittel - energetischer Verbrauch"/>
    <s v="Elektrizität"/>
    <s v="Gigawattstunde"/>
    <x v="3"/>
    <x v="4"/>
    <n v="5"/>
  </r>
  <r>
    <x v="28"/>
    <s v="Endenergieverbrauch - Industriesektor - Fahrzeuge und Beförderungsmittel - energetischer Verbrauch"/>
    <s v="Elektrizität"/>
    <s v="Gigawattstunde"/>
    <x v="4"/>
    <x v="4"/>
    <n v="5"/>
  </r>
  <r>
    <x v="28"/>
    <s v="Endenergieverbrauch - Industriesektor - Fahrzeuge und Beförderungsmittel - energetischer Verbrauch"/>
    <s v="Elektrizität"/>
    <s v="Gigawattstunde"/>
    <x v="5"/>
    <x v="4"/>
    <n v="5"/>
  </r>
  <r>
    <x v="28"/>
    <s v="Endenergieverbrauch - Industriesektor - Fahrzeuge und Beförderungsmittel - energetischer Verbrauch"/>
    <s v="Elektrizität"/>
    <s v="Gigawattstunde"/>
    <x v="6"/>
    <x v="4"/>
    <n v="5"/>
  </r>
  <r>
    <x v="28"/>
    <s v="Endenergieverbrauch - Industriesektor - Fahrzeuge und Beförderungsmittel - energetischer Verbrauch"/>
    <s v="Elektrizität"/>
    <s v="Gigawattstunde"/>
    <x v="7"/>
    <x v="4"/>
    <n v="5"/>
  </r>
  <r>
    <x v="28"/>
    <s v="Endenergieverbrauch - Industriesektor - Fahrzeuge und Beförderungsmittel - energetischer Verbrauch"/>
    <s v="Elektrizität"/>
    <s v="Gigawattstunde"/>
    <x v="8"/>
    <x v="4"/>
    <n v="4"/>
  </r>
  <r>
    <x v="28"/>
    <s v="Endenergieverbrauch - Industriesektor - Fahrzeuge und Beförderungsmittel - energetischer Verbrauch"/>
    <s v="Elektrizität"/>
    <s v="Gigawattstunde"/>
    <x v="9"/>
    <x v="4"/>
    <n v="4"/>
  </r>
  <r>
    <x v="28"/>
    <s v="Endenergieverbrauch - Industriesektor - Fahrzeuge und Beförderungsmittel - energetischer Verbrauch"/>
    <s v="Elektrizität"/>
    <s v="Gigawattstunde"/>
    <x v="10"/>
    <x v="4"/>
    <n v="5"/>
  </r>
  <r>
    <x v="28"/>
    <s v="Endenergieverbrauch - Industriesektor - Fahrzeuge und Beförderungsmittel - energetischer Verbrauch"/>
    <s v="Elektrizität"/>
    <s v="Gigawattstunde"/>
    <x v="11"/>
    <x v="4"/>
    <n v="5"/>
  </r>
  <r>
    <x v="28"/>
    <s v="Endenergieverbrauch - Industriesektor - Fahrzeuge und Beförderungsmittel - energetischer Verbrauch"/>
    <s v="Elektrizität"/>
    <s v="Gigawattstunde"/>
    <x v="12"/>
    <x v="4"/>
    <n v="5"/>
  </r>
  <r>
    <x v="28"/>
    <s v="Endenergieverbrauch - Industriesektor - Fahrzeuge und Beförderungsmittel - energetischer Verbrauch"/>
    <s v="Elektrizität"/>
    <s v="Gigawattstunde"/>
    <x v="13"/>
    <x v="4"/>
    <n v="6"/>
  </r>
  <r>
    <x v="28"/>
    <s v="Endenergieverbrauch - Industriesektor - Fahrzeuge und Beförderungsmittel - energetischer Verbrauch"/>
    <s v="Elektrizität"/>
    <s v="Gigawattstunde"/>
    <x v="14"/>
    <x v="4"/>
    <n v="5"/>
  </r>
  <r>
    <x v="28"/>
    <s v="Endenergieverbrauch - Industriesektor - Fahrzeuge und Beförderungsmittel - energetischer Verbrauch"/>
    <s v="Elektrizität"/>
    <s v="Gigawattstunde"/>
    <x v="15"/>
    <x v="4"/>
    <n v="5.2469999999999999"/>
  </r>
  <r>
    <x v="28"/>
    <s v="Endenergieverbrauch - Industriesektor - Fahrzeuge und Beförderungsmittel - energetischer Verbrauch"/>
    <s v="Elektrizität"/>
    <s v="Gigawattstunde"/>
    <x v="16"/>
    <x v="4"/>
    <n v="4.6609999999999996"/>
  </r>
  <r>
    <x v="29"/>
    <s v="Endenergieverbrauch - Industriesektor - Fahrzeuge und Beförderungsmittel - energetischer Verbrauch"/>
    <s v="Elektrizität"/>
    <s v="Gigawattstunde"/>
    <x v="0"/>
    <x v="4"/>
    <n v="876"/>
  </r>
  <r>
    <x v="29"/>
    <s v="Endenergieverbrauch - Industriesektor - Fahrzeuge und Beförderungsmittel - energetischer Verbrauch"/>
    <s v="Elektrizität"/>
    <s v="Gigawattstunde"/>
    <x v="1"/>
    <x v="4"/>
    <n v="731"/>
  </r>
  <r>
    <x v="29"/>
    <s v="Endenergieverbrauch - Industriesektor - Fahrzeuge und Beförderungsmittel - energetischer Verbrauch"/>
    <s v="Elektrizität"/>
    <s v="Gigawattstunde"/>
    <x v="2"/>
    <x v="4"/>
    <n v="717"/>
  </r>
  <r>
    <x v="29"/>
    <s v="Endenergieverbrauch - Industriesektor - Fahrzeuge und Beförderungsmittel - energetischer Verbrauch"/>
    <s v="Elektrizität"/>
    <s v="Gigawattstunde"/>
    <x v="3"/>
    <x v="4"/>
    <n v="724"/>
  </r>
  <r>
    <x v="29"/>
    <s v="Endenergieverbrauch - Industriesektor - Fahrzeuge und Beförderungsmittel - energetischer Verbrauch"/>
    <s v="Elektrizität"/>
    <s v="Gigawattstunde"/>
    <x v="4"/>
    <x v="4"/>
    <n v="852"/>
  </r>
  <r>
    <x v="29"/>
    <s v="Endenergieverbrauch - Industriesektor - Fahrzeuge und Beförderungsmittel - energetischer Verbrauch"/>
    <s v="Elektrizität"/>
    <s v="Gigawattstunde"/>
    <x v="5"/>
    <x v="4"/>
    <n v="662"/>
  </r>
  <r>
    <x v="29"/>
    <s v="Endenergieverbrauch - Industriesektor - Fahrzeuge und Beförderungsmittel - energetischer Verbrauch"/>
    <s v="Elektrizität"/>
    <s v="Gigawattstunde"/>
    <x v="6"/>
    <x v="4"/>
    <n v="714"/>
  </r>
  <r>
    <x v="29"/>
    <s v="Endenergieverbrauch - Industriesektor - Fahrzeuge und Beförderungsmittel - energetischer Verbrauch"/>
    <s v="Elektrizität"/>
    <s v="Gigawattstunde"/>
    <x v="7"/>
    <x v="4"/>
    <n v="499"/>
  </r>
  <r>
    <x v="29"/>
    <s v="Endenergieverbrauch - Industriesektor - Fahrzeuge und Beförderungsmittel - energetischer Verbrauch"/>
    <s v="Elektrizität"/>
    <s v="Gigawattstunde"/>
    <x v="8"/>
    <x v="4"/>
    <n v="557"/>
  </r>
  <r>
    <x v="29"/>
    <s v="Endenergieverbrauch - Industriesektor - Fahrzeuge und Beförderungsmittel - energetischer Verbrauch"/>
    <s v="Elektrizität"/>
    <s v="Gigawattstunde"/>
    <x v="9"/>
    <x v="4"/>
    <n v="503"/>
  </r>
  <r>
    <x v="29"/>
    <s v="Endenergieverbrauch - Industriesektor - Fahrzeuge und Beförderungsmittel - energetischer Verbrauch"/>
    <s v="Elektrizität"/>
    <s v="Gigawattstunde"/>
    <x v="10"/>
    <x v="4"/>
    <n v="498"/>
  </r>
  <r>
    <x v="29"/>
    <s v="Endenergieverbrauch - Industriesektor - Fahrzeuge und Beförderungsmittel - energetischer Verbrauch"/>
    <s v="Elektrizität"/>
    <s v="Gigawattstunde"/>
    <x v="11"/>
    <x v="4"/>
    <n v="541"/>
  </r>
  <r>
    <x v="29"/>
    <s v="Endenergieverbrauch - Industriesektor - Fahrzeuge und Beförderungsmittel - energetischer Verbrauch"/>
    <s v="Elektrizität"/>
    <s v="Gigawattstunde"/>
    <x v="12"/>
    <x v="4"/>
    <n v="623"/>
  </r>
  <r>
    <x v="29"/>
    <s v="Endenergieverbrauch - Industriesektor - Fahrzeuge und Beförderungsmittel - energetischer Verbrauch"/>
    <s v="Elektrizität"/>
    <s v="Gigawattstunde"/>
    <x v="13"/>
    <x v="4"/>
    <n v="413"/>
  </r>
  <r>
    <x v="29"/>
    <s v="Endenergieverbrauch - Industriesektor - Fahrzeuge und Beförderungsmittel - energetischer Verbrauch"/>
    <s v="Elektrizität"/>
    <s v="Gigawattstunde"/>
    <x v="14"/>
    <x v="4"/>
    <n v="433"/>
  </r>
  <r>
    <x v="29"/>
    <s v="Endenergieverbrauch - Industriesektor - Fahrzeuge und Beförderungsmittel - energetischer Verbrauch"/>
    <s v="Elektrizität"/>
    <s v="Gigawattstunde"/>
    <x v="15"/>
    <x v="4"/>
    <n v="397"/>
  </r>
  <r>
    <x v="29"/>
    <s v="Endenergieverbrauch - Industriesektor - Fahrzeuge und Beförderungsmittel - energetischer Verbrauch"/>
    <s v="Elektrizität"/>
    <s v="Gigawattstunde"/>
    <x v="16"/>
    <x v="4"/>
    <n v="431.99900000000002"/>
  </r>
  <r>
    <x v="30"/>
    <s v="Endenergieverbrauch - Industriesektor - Fahrzeuge und Beförderungsmittel - energetischer Verbrauch"/>
    <s v="Elektrizität"/>
    <s v="Gigawattstunde"/>
    <x v="0"/>
    <x v="4"/>
    <n v="0"/>
  </r>
  <r>
    <x v="30"/>
    <s v="Endenergieverbrauch - Industriesektor - Fahrzeuge und Beförderungsmittel - energetischer Verbrauch"/>
    <s v="Elektrizität"/>
    <s v="Gigawattstunde"/>
    <x v="1"/>
    <x v="4"/>
    <n v="0"/>
  </r>
  <r>
    <x v="30"/>
    <s v="Endenergieverbrauch - Industriesektor - Fahrzeuge und Beförderungsmittel - energetischer Verbrauch"/>
    <s v="Elektrizität"/>
    <s v="Gigawattstunde"/>
    <x v="2"/>
    <x v="4"/>
    <n v="684"/>
  </r>
  <r>
    <x v="30"/>
    <s v="Endenergieverbrauch - Industriesektor - Fahrzeuge und Beförderungsmittel - energetischer Verbrauch"/>
    <s v="Elektrizität"/>
    <s v="Gigawattstunde"/>
    <x v="3"/>
    <x v="4"/>
    <n v="670"/>
  </r>
  <r>
    <x v="30"/>
    <s v="Endenergieverbrauch - Industriesektor - Fahrzeuge und Beförderungsmittel - energetischer Verbrauch"/>
    <s v="Elektrizität"/>
    <s v="Gigawattstunde"/>
    <x v="4"/>
    <x v="4"/>
    <n v="128"/>
  </r>
  <r>
    <x v="30"/>
    <s v="Endenergieverbrauch - Industriesektor - Fahrzeuge und Beförderungsmittel - energetischer Verbrauch"/>
    <s v="Elektrizität"/>
    <s v="Gigawattstunde"/>
    <x v="5"/>
    <x v="4"/>
    <n v="135"/>
  </r>
  <r>
    <x v="30"/>
    <s v="Endenergieverbrauch - Industriesektor - Fahrzeuge und Beförderungsmittel - energetischer Verbrauch"/>
    <s v="Elektrizität"/>
    <s v="Gigawattstunde"/>
    <x v="6"/>
    <x v="4"/>
    <n v="364"/>
  </r>
  <r>
    <x v="30"/>
    <s v="Endenergieverbrauch - Industriesektor - Fahrzeuge und Beförderungsmittel - energetischer Verbrauch"/>
    <s v="Elektrizität"/>
    <s v="Gigawattstunde"/>
    <x v="7"/>
    <x v="4"/>
    <n v="1492"/>
  </r>
  <r>
    <x v="30"/>
    <s v="Endenergieverbrauch - Industriesektor - Fahrzeuge und Beförderungsmittel - energetischer Verbrauch"/>
    <s v="Elektrizität"/>
    <s v="Gigawattstunde"/>
    <x v="8"/>
    <x v="4"/>
    <n v="148"/>
  </r>
  <r>
    <x v="30"/>
    <s v="Endenergieverbrauch - Industriesektor - Fahrzeuge und Beförderungsmittel - energetischer Verbrauch"/>
    <s v="Elektrizität"/>
    <s v="Gigawattstunde"/>
    <x v="9"/>
    <x v="4"/>
    <n v="194"/>
  </r>
  <r>
    <x v="30"/>
    <s v="Endenergieverbrauch - Industriesektor - Fahrzeuge und Beförderungsmittel - energetischer Verbrauch"/>
    <s v="Elektrizität"/>
    <s v="Gigawattstunde"/>
    <x v="10"/>
    <x v="4"/>
    <n v="234"/>
  </r>
  <r>
    <x v="30"/>
    <s v="Endenergieverbrauch - Industriesektor - Fahrzeuge und Beförderungsmittel - energetischer Verbrauch"/>
    <s v="Elektrizität"/>
    <s v="Gigawattstunde"/>
    <x v="11"/>
    <x v="4"/>
    <n v="317"/>
  </r>
  <r>
    <x v="30"/>
    <s v="Endenergieverbrauch - Industriesektor - Fahrzeuge und Beförderungsmittel - energetischer Verbrauch"/>
    <s v="Elektrizität"/>
    <s v="Gigawattstunde"/>
    <x v="12"/>
    <x v="4"/>
    <n v="260"/>
  </r>
  <r>
    <x v="30"/>
    <s v="Endenergieverbrauch - Industriesektor - Fahrzeuge und Beförderungsmittel - energetischer Verbrauch"/>
    <s v="Elektrizität"/>
    <s v="Gigawattstunde"/>
    <x v="13"/>
    <x v="4"/>
    <n v="213"/>
  </r>
  <r>
    <x v="30"/>
    <s v="Endenergieverbrauch - Industriesektor - Fahrzeuge und Beförderungsmittel - energetischer Verbrauch"/>
    <s v="Elektrizität"/>
    <s v="Gigawattstunde"/>
    <x v="14"/>
    <x v="4"/>
    <n v="244"/>
  </r>
  <r>
    <x v="30"/>
    <s v="Endenergieverbrauch - Industriesektor - Fahrzeuge und Beförderungsmittel - energetischer Verbrauch"/>
    <s v="Elektrizität"/>
    <s v="Gigawattstunde"/>
    <x v="15"/>
    <x v="4"/>
    <n v="256.37599999999998"/>
  </r>
  <r>
    <x v="30"/>
    <s v="Endenergieverbrauch - Industriesektor - Fahrzeuge und Beförderungsmittel - energetischer Verbrauch"/>
    <s v="Elektrizität"/>
    <s v="Gigawattstunde"/>
    <x v="16"/>
    <x v="4"/>
    <n v="213.26300000000001"/>
  </r>
  <r>
    <x v="0"/>
    <s v="Endenergieverbrauch - Industriesektor - Holz und Holzprodukte - energetischer Verbrauch"/>
    <s v="Elektrizität"/>
    <s v="Gigawattstunde"/>
    <x v="0"/>
    <x v="5"/>
    <n v="585"/>
  </r>
  <r>
    <x v="0"/>
    <s v="Endenergieverbrauch - Industriesektor - Holz und Holzprodukte - energetischer Verbrauch"/>
    <s v="Elektrizität"/>
    <s v="Gigawattstunde"/>
    <x v="1"/>
    <x v="5"/>
    <n v="601"/>
  </r>
  <r>
    <x v="0"/>
    <s v="Endenergieverbrauch - Industriesektor - Holz und Holzprodukte - energetischer Verbrauch"/>
    <s v="Elektrizität"/>
    <s v="Gigawattstunde"/>
    <x v="2"/>
    <x v="5"/>
    <n v="612"/>
  </r>
  <r>
    <x v="0"/>
    <s v="Endenergieverbrauch - Industriesektor - Holz und Holzprodukte - energetischer Verbrauch"/>
    <s v="Elektrizität"/>
    <s v="Gigawattstunde"/>
    <x v="3"/>
    <x v="5"/>
    <n v="1859"/>
  </r>
  <r>
    <x v="0"/>
    <s v="Endenergieverbrauch - Industriesektor - Holz und Holzprodukte - energetischer Verbrauch"/>
    <s v="Elektrizität"/>
    <s v="Gigawattstunde"/>
    <x v="4"/>
    <x v="5"/>
    <n v="1894"/>
  </r>
  <r>
    <x v="0"/>
    <s v="Endenergieverbrauch - Industriesektor - Holz und Holzprodukte - energetischer Verbrauch"/>
    <s v="Elektrizität"/>
    <s v="Gigawattstunde"/>
    <x v="5"/>
    <x v="5"/>
    <n v="1549"/>
  </r>
  <r>
    <x v="0"/>
    <s v="Endenergieverbrauch - Industriesektor - Holz und Holzprodukte - energetischer Verbrauch"/>
    <s v="Elektrizität"/>
    <s v="Gigawattstunde"/>
    <x v="6"/>
    <x v="5"/>
    <n v="1382"/>
  </r>
  <r>
    <x v="0"/>
    <s v="Endenergieverbrauch - Industriesektor - Holz und Holzprodukte - energetischer Verbrauch"/>
    <s v="Elektrizität"/>
    <s v="Gigawattstunde"/>
    <x v="7"/>
    <x v="5"/>
    <n v="778"/>
  </r>
  <r>
    <x v="0"/>
    <s v="Endenergieverbrauch - Industriesektor - Holz und Holzprodukte - energetischer Verbrauch"/>
    <s v="Elektrizität"/>
    <s v="Gigawattstunde"/>
    <x v="8"/>
    <x v="5"/>
    <n v="662"/>
  </r>
  <r>
    <x v="0"/>
    <s v="Endenergieverbrauch - Industriesektor - Holz und Holzprodukte - energetischer Verbrauch"/>
    <s v="Elektrizität"/>
    <s v="Gigawattstunde"/>
    <x v="9"/>
    <x v="5"/>
    <n v="393"/>
  </r>
  <r>
    <x v="0"/>
    <s v="Endenergieverbrauch - Industriesektor - Holz und Holzprodukte - energetischer Verbrauch"/>
    <s v="Elektrizität"/>
    <s v="Gigawattstunde"/>
    <x v="10"/>
    <x v="5"/>
    <n v="378"/>
  </r>
  <r>
    <x v="0"/>
    <s v="Endenergieverbrauch - Industriesektor - Holz und Holzprodukte - energetischer Verbrauch"/>
    <s v="Elektrizität"/>
    <s v="Gigawattstunde"/>
    <x v="11"/>
    <x v="5"/>
    <n v="376"/>
  </r>
  <r>
    <x v="0"/>
    <s v="Endenergieverbrauch - Industriesektor - Holz und Holzprodukte - energetischer Verbrauch"/>
    <s v="Elektrizität"/>
    <s v="Gigawattstunde"/>
    <x v="12"/>
    <x v="5"/>
    <n v="375.9"/>
  </r>
  <r>
    <x v="0"/>
    <s v="Endenergieverbrauch - Industriesektor - Holz und Holzprodukte - energetischer Verbrauch"/>
    <s v="Elektrizität"/>
    <s v="Gigawattstunde"/>
    <x v="13"/>
    <x v="5"/>
    <n v="384.6"/>
  </r>
  <r>
    <x v="0"/>
    <s v="Endenergieverbrauch - Industriesektor - Holz und Holzprodukte - energetischer Verbrauch"/>
    <s v="Elektrizität"/>
    <s v="Gigawattstunde"/>
    <x v="14"/>
    <x v="5"/>
    <n v="364.2"/>
  </r>
  <r>
    <x v="0"/>
    <s v="Endenergieverbrauch - Industriesektor - Holz und Holzprodukte - energetischer Verbrauch"/>
    <s v="Elektrizität"/>
    <s v="Gigawattstunde"/>
    <x v="15"/>
    <x v="5"/>
    <n v="389.5"/>
  </r>
  <r>
    <x v="0"/>
    <s v="Endenergieverbrauch - Industriesektor - Holz und Holzprodukte - energetischer Verbrauch"/>
    <s v="Elektrizität"/>
    <s v="Gigawattstunde"/>
    <x v="16"/>
    <x v="5"/>
    <n v="407.5"/>
  </r>
  <r>
    <x v="1"/>
    <s v="Endenergieverbrauch - Industriesektor - Holz und Holzprodukte - energetischer Verbrauch"/>
    <s v="Elektrizität"/>
    <s v="Gigawattstunde"/>
    <x v="0"/>
    <x v="5"/>
    <n v="152"/>
  </r>
  <r>
    <x v="1"/>
    <s v="Endenergieverbrauch - Industriesektor - Holz und Holzprodukte - energetischer Verbrauch"/>
    <s v="Elektrizität"/>
    <s v="Gigawattstunde"/>
    <x v="1"/>
    <x v="5"/>
    <n v="168"/>
  </r>
  <r>
    <x v="1"/>
    <s v="Endenergieverbrauch - Industriesektor - Holz und Holzprodukte - energetischer Verbrauch"/>
    <s v="Elektrizität"/>
    <s v="Gigawattstunde"/>
    <x v="2"/>
    <x v="5"/>
    <n v="174"/>
  </r>
  <r>
    <x v="1"/>
    <s v="Endenergieverbrauch - Industriesektor - Holz und Holzprodukte - energetischer Verbrauch"/>
    <s v="Elektrizität"/>
    <s v="Gigawattstunde"/>
    <x v="3"/>
    <x v="5"/>
    <n v="137"/>
  </r>
  <r>
    <x v="1"/>
    <s v="Endenergieverbrauch - Industriesektor - Holz und Holzprodukte - energetischer Verbrauch"/>
    <s v="Elektrizität"/>
    <s v="Gigawattstunde"/>
    <x v="4"/>
    <x v="5"/>
    <n v="167"/>
  </r>
  <r>
    <x v="1"/>
    <s v="Endenergieverbrauch - Industriesektor - Holz und Holzprodukte - energetischer Verbrauch"/>
    <s v="Elektrizität"/>
    <s v="Gigawattstunde"/>
    <x v="5"/>
    <x v="5"/>
    <n v="176"/>
  </r>
  <r>
    <x v="1"/>
    <s v="Endenergieverbrauch - Industriesektor - Holz und Holzprodukte - energetischer Verbrauch"/>
    <s v="Elektrizität"/>
    <s v="Gigawattstunde"/>
    <x v="6"/>
    <x v="5"/>
    <n v="194"/>
  </r>
  <r>
    <x v="1"/>
    <s v="Endenergieverbrauch - Industriesektor - Holz und Holzprodukte - energetischer Verbrauch"/>
    <s v="Elektrizität"/>
    <s v="Gigawattstunde"/>
    <x v="7"/>
    <x v="5"/>
    <n v="144"/>
  </r>
  <r>
    <x v="1"/>
    <s v="Endenergieverbrauch - Industriesektor - Holz und Holzprodukte - energetischer Verbrauch"/>
    <s v="Elektrizität"/>
    <s v="Gigawattstunde"/>
    <x v="8"/>
    <x v="5"/>
    <n v="173"/>
  </r>
  <r>
    <x v="1"/>
    <s v="Endenergieverbrauch - Industriesektor - Holz und Holzprodukte - energetischer Verbrauch"/>
    <s v="Elektrizität"/>
    <s v="Gigawattstunde"/>
    <x v="9"/>
    <x v="5"/>
    <n v="183"/>
  </r>
  <r>
    <x v="1"/>
    <s v="Endenergieverbrauch - Industriesektor - Holz und Holzprodukte - energetischer Verbrauch"/>
    <s v="Elektrizität"/>
    <s v="Gigawattstunde"/>
    <x v="10"/>
    <x v="5"/>
    <n v="181"/>
  </r>
  <r>
    <x v="1"/>
    <s v="Endenergieverbrauch - Industriesektor - Holz und Holzprodukte - energetischer Verbrauch"/>
    <s v="Elektrizität"/>
    <s v="Gigawattstunde"/>
    <x v="11"/>
    <x v="5"/>
    <n v="180"/>
  </r>
  <r>
    <x v="1"/>
    <s v="Endenergieverbrauch - Industriesektor - Holz und Holzprodukte - energetischer Verbrauch"/>
    <s v="Elektrizität"/>
    <s v="Gigawattstunde"/>
    <x v="12"/>
    <x v="5"/>
    <n v="197"/>
  </r>
  <r>
    <x v="1"/>
    <s v="Endenergieverbrauch - Industriesektor - Holz und Holzprodukte - energetischer Verbrauch"/>
    <s v="Elektrizität"/>
    <s v="Gigawattstunde"/>
    <x v="13"/>
    <x v="5"/>
    <n v="207"/>
  </r>
  <r>
    <x v="1"/>
    <s v="Endenergieverbrauch - Industriesektor - Holz und Holzprodukte - energetischer Verbrauch"/>
    <s v="Elektrizität"/>
    <s v="Gigawattstunde"/>
    <x v="14"/>
    <x v="5"/>
    <n v="200"/>
  </r>
  <r>
    <x v="1"/>
    <s v="Endenergieverbrauch - Industriesektor - Holz und Holzprodukte - energetischer Verbrauch"/>
    <s v="Elektrizität"/>
    <s v="Gigawattstunde"/>
    <x v="15"/>
    <x v="5"/>
    <n v="226.93"/>
  </r>
  <r>
    <x v="1"/>
    <s v="Endenergieverbrauch - Industriesektor - Holz und Holzprodukte - energetischer Verbrauch"/>
    <s v="Elektrizität"/>
    <s v="Gigawattstunde"/>
    <x v="16"/>
    <x v="5"/>
    <n v="251.08699999999999"/>
  </r>
  <r>
    <x v="2"/>
    <s v="Endenergieverbrauch - Industriesektor - Holz und Holzprodukte - energetischer Verbrauch"/>
    <s v="Elektrizität"/>
    <s v="Gigawattstunde"/>
    <x v="0"/>
    <x v="5"/>
    <n v="396"/>
  </r>
  <r>
    <x v="2"/>
    <s v="Endenergieverbrauch - Industriesektor - Holz und Holzprodukte - energetischer Verbrauch"/>
    <s v="Elektrizität"/>
    <s v="Gigawattstunde"/>
    <x v="1"/>
    <x v="5"/>
    <n v="398"/>
  </r>
  <r>
    <x v="2"/>
    <s v="Endenergieverbrauch - Industriesektor - Holz und Holzprodukte - energetischer Verbrauch"/>
    <s v="Elektrizität"/>
    <s v="Gigawattstunde"/>
    <x v="2"/>
    <x v="5"/>
    <n v="484"/>
  </r>
  <r>
    <x v="2"/>
    <s v="Endenergieverbrauch - Industriesektor - Holz und Holzprodukte - energetischer Verbrauch"/>
    <s v="Elektrizität"/>
    <s v="Gigawattstunde"/>
    <x v="3"/>
    <x v="5"/>
    <n v="538"/>
  </r>
  <r>
    <x v="2"/>
    <s v="Endenergieverbrauch - Industriesektor - Holz und Holzprodukte - energetischer Verbrauch"/>
    <s v="Elektrizität"/>
    <s v="Gigawattstunde"/>
    <x v="4"/>
    <x v="5"/>
    <n v="517"/>
  </r>
  <r>
    <x v="2"/>
    <s v="Endenergieverbrauch - Industriesektor - Holz und Holzprodukte - energetischer Verbrauch"/>
    <s v="Elektrizität"/>
    <s v="Gigawattstunde"/>
    <x v="5"/>
    <x v="5"/>
    <n v="549"/>
  </r>
  <r>
    <x v="2"/>
    <s v="Endenergieverbrauch - Industriesektor - Holz und Holzprodukte - energetischer Verbrauch"/>
    <s v="Elektrizität"/>
    <s v="Gigawattstunde"/>
    <x v="6"/>
    <x v="5"/>
    <n v="550"/>
  </r>
  <r>
    <x v="2"/>
    <s v="Endenergieverbrauch - Industriesektor - Holz und Holzprodukte - energetischer Verbrauch"/>
    <s v="Elektrizität"/>
    <s v="Gigawattstunde"/>
    <x v="7"/>
    <x v="5"/>
    <n v="480"/>
  </r>
  <r>
    <x v="2"/>
    <s v="Endenergieverbrauch - Industriesektor - Holz und Holzprodukte - energetischer Verbrauch"/>
    <s v="Elektrizität"/>
    <s v="Gigawattstunde"/>
    <x v="8"/>
    <x v="5"/>
    <n v="487"/>
  </r>
  <r>
    <x v="2"/>
    <s v="Endenergieverbrauch - Industriesektor - Holz und Holzprodukte - energetischer Verbrauch"/>
    <s v="Elektrizität"/>
    <s v="Gigawattstunde"/>
    <x v="9"/>
    <x v="5"/>
    <n v="461"/>
  </r>
  <r>
    <x v="2"/>
    <s v="Endenergieverbrauch - Industriesektor - Holz und Holzprodukte - energetischer Verbrauch"/>
    <s v="Elektrizität"/>
    <s v="Gigawattstunde"/>
    <x v="10"/>
    <x v="5"/>
    <n v="521"/>
  </r>
  <r>
    <x v="2"/>
    <s v="Endenergieverbrauch - Industriesektor - Holz und Holzprodukte - energetischer Verbrauch"/>
    <s v="Elektrizität"/>
    <s v="Gigawattstunde"/>
    <x v="11"/>
    <x v="5"/>
    <n v="515"/>
  </r>
  <r>
    <x v="2"/>
    <s v="Endenergieverbrauch - Industriesektor - Holz und Holzprodukte - energetischer Verbrauch"/>
    <s v="Elektrizität"/>
    <s v="Gigawattstunde"/>
    <x v="12"/>
    <x v="5"/>
    <n v="480"/>
  </r>
  <r>
    <x v="2"/>
    <s v="Endenergieverbrauch - Industriesektor - Holz und Holzprodukte - energetischer Verbrauch"/>
    <s v="Elektrizität"/>
    <s v="Gigawattstunde"/>
    <x v="13"/>
    <x v="5"/>
    <n v="481"/>
  </r>
  <r>
    <x v="2"/>
    <s v="Endenergieverbrauch - Industriesektor - Holz und Holzprodukte - energetischer Verbrauch"/>
    <s v="Elektrizität"/>
    <s v="Gigawattstunde"/>
    <x v="14"/>
    <x v="5"/>
    <n v="511"/>
  </r>
  <r>
    <x v="2"/>
    <s v="Endenergieverbrauch - Industriesektor - Holz und Holzprodukte - energetischer Verbrauch"/>
    <s v="Elektrizität"/>
    <s v="Gigawattstunde"/>
    <x v="15"/>
    <x v="5"/>
    <n v="525.976"/>
  </r>
  <r>
    <x v="2"/>
    <s v="Endenergieverbrauch - Industriesektor - Holz und Holzprodukte - energetischer Verbrauch"/>
    <s v="Elektrizität"/>
    <s v="Gigawattstunde"/>
    <x v="16"/>
    <x v="5"/>
    <n v="559.351"/>
  </r>
  <r>
    <x v="3"/>
    <s v="Endenergieverbrauch - Industriesektor - Holz und Holzprodukte - energetischer Verbrauch"/>
    <s v="Elektrizität"/>
    <s v="Gigawattstunde"/>
    <x v="0"/>
    <x v="5"/>
    <n v="305"/>
  </r>
  <r>
    <x v="3"/>
    <s v="Endenergieverbrauch - Industriesektor - Holz und Holzprodukte - energetischer Verbrauch"/>
    <s v="Elektrizität"/>
    <s v="Gigawattstunde"/>
    <x v="1"/>
    <x v="5"/>
    <n v="319"/>
  </r>
  <r>
    <x v="3"/>
    <s v="Endenergieverbrauch - Industriesektor - Holz und Holzprodukte - energetischer Verbrauch"/>
    <s v="Elektrizität"/>
    <s v="Gigawattstunde"/>
    <x v="2"/>
    <x v="5"/>
    <n v="331"/>
  </r>
  <r>
    <x v="3"/>
    <s v="Endenergieverbrauch - Industriesektor - Holz und Holzprodukte - energetischer Verbrauch"/>
    <s v="Elektrizität"/>
    <s v="Gigawattstunde"/>
    <x v="3"/>
    <x v="5"/>
    <n v="328"/>
  </r>
  <r>
    <x v="3"/>
    <s v="Endenergieverbrauch - Industriesektor - Holz und Holzprodukte - energetischer Verbrauch"/>
    <s v="Elektrizität"/>
    <s v="Gigawattstunde"/>
    <x v="4"/>
    <x v="5"/>
    <n v="329"/>
  </r>
  <r>
    <x v="3"/>
    <s v="Endenergieverbrauch - Industriesektor - Holz und Holzprodukte - energetischer Verbrauch"/>
    <s v="Elektrizität"/>
    <s v="Gigawattstunde"/>
    <x v="5"/>
    <x v="5"/>
    <n v="321"/>
  </r>
  <r>
    <x v="3"/>
    <s v="Endenergieverbrauch - Industriesektor - Holz und Holzprodukte - energetischer Verbrauch"/>
    <s v="Elektrizität"/>
    <s v="Gigawattstunde"/>
    <x v="6"/>
    <x v="5"/>
    <n v="276"/>
  </r>
  <r>
    <x v="3"/>
    <s v="Endenergieverbrauch - Industriesektor - Holz und Holzprodukte - energetischer Verbrauch"/>
    <s v="Elektrizität"/>
    <s v="Gigawattstunde"/>
    <x v="7"/>
    <x v="5"/>
    <n v="226"/>
  </r>
  <r>
    <x v="3"/>
    <s v="Endenergieverbrauch - Industriesektor - Holz und Holzprodukte - energetischer Verbrauch"/>
    <s v="Elektrizität"/>
    <s v="Gigawattstunde"/>
    <x v="8"/>
    <x v="5"/>
    <n v="226"/>
  </r>
  <r>
    <x v="3"/>
    <s v="Endenergieverbrauch - Industriesektor - Holz und Holzprodukte - energetischer Verbrauch"/>
    <s v="Elektrizität"/>
    <s v="Gigawattstunde"/>
    <x v="9"/>
    <x v="5"/>
    <n v="238"/>
  </r>
  <r>
    <x v="3"/>
    <s v="Endenergieverbrauch - Industriesektor - Holz und Holzprodukte - energetischer Verbrauch"/>
    <s v="Elektrizität"/>
    <s v="Gigawattstunde"/>
    <x v="10"/>
    <x v="5"/>
    <n v="236"/>
  </r>
  <r>
    <x v="3"/>
    <s v="Endenergieverbrauch - Industriesektor - Holz und Holzprodukte - energetischer Verbrauch"/>
    <s v="Elektrizität"/>
    <s v="Gigawattstunde"/>
    <x v="11"/>
    <x v="5"/>
    <n v="219"/>
  </r>
  <r>
    <x v="3"/>
    <s v="Endenergieverbrauch - Industriesektor - Holz und Holzprodukte - energetischer Verbrauch"/>
    <s v="Elektrizität"/>
    <s v="Gigawattstunde"/>
    <x v="12"/>
    <x v="5"/>
    <n v="207"/>
  </r>
  <r>
    <x v="3"/>
    <s v="Endenergieverbrauch - Industriesektor - Holz und Holzprodukte - energetischer Verbrauch"/>
    <s v="Elektrizität"/>
    <s v="Gigawattstunde"/>
    <x v="13"/>
    <x v="5"/>
    <n v="205.071"/>
  </r>
  <r>
    <x v="3"/>
    <s v="Endenergieverbrauch - Industriesektor - Holz und Holzprodukte - energetischer Verbrauch"/>
    <s v="Elektrizität"/>
    <s v="Gigawattstunde"/>
    <x v="14"/>
    <x v="5"/>
    <n v="209.09399999999999"/>
  </r>
  <r>
    <x v="3"/>
    <s v="Endenergieverbrauch - Industriesektor - Holz und Holzprodukte - energetischer Verbrauch"/>
    <s v="Elektrizität"/>
    <s v="Gigawattstunde"/>
    <x v="15"/>
    <x v="5"/>
    <n v="212.303"/>
  </r>
  <r>
    <x v="3"/>
    <s v="Endenergieverbrauch - Industriesektor - Holz und Holzprodukte - energetischer Verbrauch"/>
    <s v="Elektrizität"/>
    <s v="Gigawattstunde"/>
    <x v="16"/>
    <x v="5"/>
    <n v="212.096"/>
  </r>
  <r>
    <x v="4"/>
    <s v="Endenergieverbrauch - Industriesektor - Holz und Holzprodukte - energetischer Verbrauch"/>
    <s v="Elektrizität"/>
    <s v="Gigawattstunde"/>
    <x v="0"/>
    <x v="5"/>
    <n v="4075"/>
  </r>
  <r>
    <x v="4"/>
    <s v="Endenergieverbrauch - Industriesektor - Holz und Holzprodukte - energetischer Verbrauch"/>
    <s v="Elektrizität"/>
    <s v="Gigawattstunde"/>
    <x v="1"/>
    <x v="5"/>
    <n v="4136"/>
  </r>
  <r>
    <x v="4"/>
    <s v="Endenergieverbrauch - Industriesektor - Holz und Holzprodukte - energetischer Verbrauch"/>
    <s v="Elektrizität"/>
    <s v="Gigawattstunde"/>
    <x v="2"/>
    <x v="5"/>
    <n v="4429"/>
  </r>
  <r>
    <x v="4"/>
    <s v="Endenergieverbrauch - Industriesektor - Holz und Holzprodukte - energetischer Verbrauch"/>
    <s v="Elektrizität"/>
    <s v="Gigawattstunde"/>
    <x v="3"/>
    <x v="5"/>
    <n v="4413"/>
  </r>
  <r>
    <x v="4"/>
    <s v="Endenergieverbrauch - Industriesektor - Holz und Holzprodukte - energetischer Verbrauch"/>
    <s v="Elektrizität"/>
    <s v="Gigawattstunde"/>
    <x v="4"/>
    <x v="5"/>
    <n v="4561"/>
  </r>
  <r>
    <x v="4"/>
    <s v="Endenergieverbrauch - Industriesektor - Holz und Holzprodukte - energetischer Verbrauch"/>
    <s v="Elektrizität"/>
    <s v="Gigawattstunde"/>
    <x v="5"/>
    <x v="5"/>
    <n v="4864"/>
  </r>
  <r>
    <x v="4"/>
    <s v="Endenergieverbrauch - Industriesektor - Holz und Holzprodukte - energetischer Verbrauch"/>
    <s v="Elektrizität"/>
    <s v="Gigawattstunde"/>
    <x v="6"/>
    <x v="5"/>
    <n v="4678"/>
  </r>
  <r>
    <x v="4"/>
    <s v="Endenergieverbrauch - Industriesektor - Holz und Holzprodukte - energetischer Verbrauch"/>
    <s v="Elektrizität"/>
    <s v="Gigawattstunde"/>
    <x v="7"/>
    <x v="5"/>
    <n v="4474"/>
  </r>
  <r>
    <x v="4"/>
    <s v="Endenergieverbrauch - Industriesektor - Holz und Holzprodukte - energetischer Verbrauch"/>
    <s v="Elektrizität"/>
    <s v="Gigawattstunde"/>
    <x v="8"/>
    <x v="5"/>
    <n v="4510"/>
  </r>
  <r>
    <x v="4"/>
    <s v="Endenergieverbrauch - Industriesektor - Holz und Holzprodukte - energetischer Verbrauch"/>
    <s v="Elektrizität"/>
    <s v="Gigawattstunde"/>
    <x v="9"/>
    <x v="5"/>
    <n v="4552"/>
  </r>
  <r>
    <x v="4"/>
    <s v="Endenergieverbrauch - Industriesektor - Holz und Holzprodukte - energetischer Verbrauch"/>
    <s v="Elektrizität"/>
    <s v="Gigawattstunde"/>
    <x v="10"/>
    <x v="5"/>
    <n v="4332"/>
  </r>
  <r>
    <x v="4"/>
    <s v="Endenergieverbrauch - Industriesektor - Holz und Holzprodukte - energetischer Verbrauch"/>
    <s v="Elektrizität"/>
    <s v="Gigawattstunde"/>
    <x v="11"/>
    <x v="5"/>
    <n v="4317"/>
  </r>
  <r>
    <x v="4"/>
    <s v="Endenergieverbrauch - Industriesektor - Holz und Holzprodukte - energetischer Verbrauch"/>
    <s v="Elektrizität"/>
    <s v="Gigawattstunde"/>
    <x v="12"/>
    <x v="5"/>
    <n v="4278"/>
  </r>
  <r>
    <x v="4"/>
    <s v="Endenergieverbrauch - Industriesektor - Holz und Holzprodukte - energetischer Verbrauch"/>
    <s v="Elektrizität"/>
    <s v="Gigawattstunde"/>
    <x v="13"/>
    <x v="5"/>
    <n v="4492"/>
  </r>
  <r>
    <x v="4"/>
    <s v="Endenergieverbrauch - Industriesektor - Holz und Holzprodukte - energetischer Verbrauch"/>
    <s v="Elektrizität"/>
    <s v="Gigawattstunde"/>
    <x v="14"/>
    <x v="5"/>
    <n v="4637"/>
  </r>
  <r>
    <x v="4"/>
    <s v="Endenergieverbrauch - Industriesektor - Holz und Holzprodukte - energetischer Verbrauch"/>
    <s v="Elektrizität"/>
    <s v="Gigawattstunde"/>
    <x v="15"/>
    <x v="5"/>
    <n v="4817"/>
  </r>
  <r>
    <x v="4"/>
    <s v="Endenergieverbrauch - Industriesektor - Holz und Holzprodukte - energetischer Verbrauch"/>
    <s v="Elektrizität"/>
    <s v="Gigawattstunde"/>
    <x v="16"/>
    <x v="5"/>
    <n v="4668"/>
  </r>
  <r>
    <x v="5"/>
    <s v="Endenergieverbrauch - Industriesektor - Holz und Holzprodukte - energetischer Verbrauch"/>
    <s v="Elektrizität"/>
    <s v="Gigawattstunde"/>
    <x v="0"/>
    <x v="5"/>
    <n v="243"/>
  </r>
  <r>
    <x v="5"/>
    <s v="Endenergieverbrauch - Industriesektor - Holz und Holzprodukte - energetischer Verbrauch"/>
    <s v="Elektrizität"/>
    <s v="Gigawattstunde"/>
    <x v="1"/>
    <x v="5"/>
    <n v="301"/>
  </r>
  <r>
    <x v="5"/>
    <s v="Endenergieverbrauch - Industriesektor - Holz und Holzprodukte - energetischer Verbrauch"/>
    <s v="Elektrizität"/>
    <s v="Gigawattstunde"/>
    <x v="2"/>
    <x v="5"/>
    <n v="341"/>
  </r>
  <r>
    <x v="5"/>
    <s v="Endenergieverbrauch - Industriesektor - Holz und Holzprodukte - energetischer Verbrauch"/>
    <s v="Elektrizität"/>
    <s v="Gigawattstunde"/>
    <x v="3"/>
    <x v="5"/>
    <n v="359"/>
  </r>
  <r>
    <x v="5"/>
    <s v="Endenergieverbrauch - Industriesektor - Holz und Holzprodukte - energetischer Verbrauch"/>
    <s v="Elektrizität"/>
    <s v="Gigawattstunde"/>
    <x v="4"/>
    <x v="5"/>
    <n v="364"/>
  </r>
  <r>
    <x v="5"/>
    <s v="Endenergieverbrauch - Industriesektor - Holz und Holzprodukte - energetischer Verbrauch"/>
    <s v="Elektrizität"/>
    <s v="Gigawattstunde"/>
    <x v="5"/>
    <x v="5"/>
    <n v="336"/>
  </r>
  <r>
    <x v="5"/>
    <s v="Endenergieverbrauch - Industriesektor - Holz und Holzprodukte - energetischer Verbrauch"/>
    <s v="Elektrizität"/>
    <s v="Gigawattstunde"/>
    <x v="6"/>
    <x v="5"/>
    <n v="288"/>
  </r>
  <r>
    <x v="5"/>
    <s v="Endenergieverbrauch - Industriesektor - Holz und Holzprodukte - energetischer Verbrauch"/>
    <s v="Elektrizität"/>
    <s v="Gigawattstunde"/>
    <x v="7"/>
    <x v="5"/>
    <n v="233"/>
  </r>
  <r>
    <x v="5"/>
    <s v="Endenergieverbrauch - Industriesektor - Holz und Holzprodukte - energetischer Verbrauch"/>
    <s v="Elektrizität"/>
    <s v="Gigawattstunde"/>
    <x v="8"/>
    <x v="5"/>
    <n v="278"/>
  </r>
  <r>
    <x v="5"/>
    <s v="Endenergieverbrauch - Industriesektor - Holz und Holzprodukte - energetischer Verbrauch"/>
    <s v="Elektrizität"/>
    <s v="Gigawattstunde"/>
    <x v="9"/>
    <x v="5"/>
    <n v="290"/>
  </r>
  <r>
    <x v="5"/>
    <s v="Endenergieverbrauch - Industriesektor - Holz und Holzprodukte - energetischer Verbrauch"/>
    <s v="Elektrizität"/>
    <s v="Gigawattstunde"/>
    <x v="10"/>
    <x v="5"/>
    <n v="314"/>
  </r>
  <r>
    <x v="5"/>
    <s v="Endenergieverbrauch - Industriesektor - Holz und Holzprodukte - energetischer Verbrauch"/>
    <s v="Elektrizität"/>
    <s v="Gigawattstunde"/>
    <x v="11"/>
    <x v="5"/>
    <n v="339"/>
  </r>
  <r>
    <x v="5"/>
    <s v="Endenergieverbrauch - Industriesektor - Holz und Holzprodukte - energetischer Verbrauch"/>
    <s v="Elektrizität"/>
    <s v="Gigawattstunde"/>
    <x v="12"/>
    <x v="5"/>
    <n v="365"/>
  </r>
  <r>
    <x v="5"/>
    <s v="Endenergieverbrauch - Industriesektor - Holz und Holzprodukte - energetischer Verbrauch"/>
    <s v="Elektrizität"/>
    <s v="Gigawattstunde"/>
    <x v="13"/>
    <x v="5"/>
    <n v="374"/>
  </r>
  <r>
    <x v="5"/>
    <s v="Endenergieverbrauch - Industriesektor - Holz und Holzprodukte - energetischer Verbrauch"/>
    <s v="Elektrizität"/>
    <s v="Gigawattstunde"/>
    <x v="14"/>
    <x v="5"/>
    <n v="412"/>
  </r>
  <r>
    <x v="5"/>
    <s v="Endenergieverbrauch - Industriesektor - Holz und Holzprodukte - energetischer Verbrauch"/>
    <s v="Elektrizität"/>
    <s v="Gigawattstunde"/>
    <x v="15"/>
    <x v="5"/>
    <n v="499"/>
  </r>
  <r>
    <x v="5"/>
    <s v="Endenergieverbrauch - Industriesektor - Holz und Holzprodukte - energetischer Verbrauch"/>
    <s v="Elektrizität"/>
    <s v="Gigawattstunde"/>
    <x v="16"/>
    <x v="5"/>
    <n v="539"/>
  </r>
  <r>
    <x v="6"/>
    <s v="Endenergieverbrauch - Industriesektor - Holz und Holzprodukte - energetischer Verbrauch"/>
    <s v="Elektrizität"/>
    <s v="Gigawattstunde"/>
    <x v="0"/>
    <x v="5"/>
    <n v="341.82400000000001"/>
  </r>
  <r>
    <x v="6"/>
    <s v="Endenergieverbrauch - Industriesektor - Holz und Holzprodukte - energetischer Verbrauch"/>
    <s v="Elektrizität"/>
    <s v="Gigawattstunde"/>
    <x v="1"/>
    <x v="5"/>
    <n v="318.286"/>
  </r>
  <r>
    <x v="6"/>
    <s v="Endenergieverbrauch - Industriesektor - Holz und Holzprodukte - energetischer Verbrauch"/>
    <s v="Elektrizität"/>
    <s v="Gigawattstunde"/>
    <x v="2"/>
    <x v="5"/>
    <n v="301.22300000000001"/>
  </r>
  <r>
    <x v="6"/>
    <s v="Endenergieverbrauch - Industriesektor - Holz und Holzprodukte - energetischer Verbrauch"/>
    <s v="Elektrizität"/>
    <s v="Gigawattstunde"/>
    <x v="3"/>
    <x v="5"/>
    <n v="335.69900000000001"/>
  </r>
  <r>
    <x v="6"/>
    <s v="Endenergieverbrauch - Industriesektor - Holz und Holzprodukte - energetischer Verbrauch"/>
    <s v="Elektrizität"/>
    <s v="Gigawattstunde"/>
    <x v="4"/>
    <x v="5"/>
    <n v="366.78199999999998"/>
  </r>
  <r>
    <x v="6"/>
    <s v="Endenergieverbrauch - Industriesektor - Holz und Holzprodukte - energetischer Verbrauch"/>
    <s v="Elektrizität"/>
    <s v="Gigawattstunde"/>
    <x v="5"/>
    <x v="5"/>
    <n v="389.053"/>
  </r>
  <r>
    <x v="6"/>
    <s v="Endenergieverbrauch - Industriesektor - Holz und Holzprodukte - energetischer Verbrauch"/>
    <s v="Elektrizität"/>
    <s v="Gigawattstunde"/>
    <x v="6"/>
    <x v="5"/>
    <n v="301.33499999999998"/>
  </r>
  <r>
    <x v="6"/>
    <s v="Endenergieverbrauch - Industriesektor - Holz und Holzprodukte - energetischer Verbrauch"/>
    <s v="Elektrizität"/>
    <s v="Gigawattstunde"/>
    <x v="7"/>
    <x v="5"/>
    <n v="329.62599999999998"/>
  </r>
  <r>
    <x v="6"/>
    <s v="Endenergieverbrauch - Industriesektor - Holz und Holzprodukte - energetischer Verbrauch"/>
    <s v="Elektrizität"/>
    <s v="Gigawattstunde"/>
    <x v="8"/>
    <x v="5"/>
    <n v="390.31299999999999"/>
  </r>
  <r>
    <x v="6"/>
    <s v="Endenergieverbrauch - Industriesektor - Holz und Holzprodukte - energetischer Verbrauch"/>
    <s v="Elektrizität"/>
    <s v="Gigawattstunde"/>
    <x v="9"/>
    <x v="5"/>
    <n v="407.47800000000001"/>
  </r>
  <r>
    <x v="6"/>
    <s v="Endenergieverbrauch - Industriesektor - Holz und Holzprodukte - energetischer Verbrauch"/>
    <s v="Elektrizität"/>
    <s v="Gigawattstunde"/>
    <x v="10"/>
    <x v="5"/>
    <n v="392.18599999999998"/>
  </r>
  <r>
    <x v="6"/>
    <s v="Endenergieverbrauch - Industriesektor - Holz und Holzprodukte - energetischer Verbrauch"/>
    <s v="Elektrizität"/>
    <s v="Gigawattstunde"/>
    <x v="11"/>
    <x v="5"/>
    <n v="398.26799999999997"/>
  </r>
  <r>
    <x v="6"/>
    <s v="Endenergieverbrauch - Industriesektor - Holz und Holzprodukte - energetischer Verbrauch"/>
    <s v="Elektrizität"/>
    <s v="Gigawattstunde"/>
    <x v="12"/>
    <x v="5"/>
    <n v="403.02499999999998"/>
  </r>
  <r>
    <x v="6"/>
    <s v="Endenergieverbrauch - Industriesektor - Holz und Holzprodukte - energetischer Verbrauch"/>
    <s v="Elektrizität"/>
    <s v="Gigawattstunde"/>
    <x v="13"/>
    <x v="5"/>
    <n v="422.14499999999998"/>
  </r>
  <r>
    <x v="6"/>
    <s v="Endenergieverbrauch - Industriesektor - Holz und Holzprodukte - energetischer Verbrauch"/>
    <s v="Elektrizität"/>
    <s v="Gigawattstunde"/>
    <x v="14"/>
    <x v="5"/>
    <n v="435.88200000000001"/>
  </r>
  <r>
    <x v="6"/>
    <s v="Endenergieverbrauch - Industriesektor - Holz und Holzprodukte - energetischer Verbrauch"/>
    <s v="Elektrizität"/>
    <s v="Gigawattstunde"/>
    <x v="15"/>
    <x v="5"/>
    <n v="440.73"/>
  </r>
  <r>
    <x v="6"/>
    <s v="Endenergieverbrauch - Industriesektor - Holz und Holzprodukte - energetischer Verbrauch"/>
    <s v="Elektrizität"/>
    <s v="Gigawattstunde"/>
    <x v="16"/>
    <x v="5"/>
    <n v="469.036"/>
  </r>
  <r>
    <x v="7"/>
    <s v="Endenergieverbrauch - Industriesektor - Holz und Holzprodukte - energetischer Verbrauch"/>
    <s v="Elektrizität"/>
    <s v="Gigawattstunde"/>
    <x v="0"/>
    <x v="5"/>
    <n v="150"/>
  </r>
  <r>
    <x v="7"/>
    <s v="Endenergieverbrauch - Industriesektor - Holz und Holzprodukte - energetischer Verbrauch"/>
    <s v="Elektrizität"/>
    <s v="Gigawattstunde"/>
    <x v="1"/>
    <x v="5"/>
    <n v="248"/>
  </r>
  <r>
    <x v="7"/>
    <s v="Endenergieverbrauch - Industriesektor - Holz und Holzprodukte - energetischer Verbrauch"/>
    <s v="Elektrizität"/>
    <s v="Gigawattstunde"/>
    <x v="2"/>
    <x v="5"/>
    <n v="273"/>
  </r>
  <r>
    <x v="7"/>
    <s v="Endenergieverbrauch - Industriesektor - Holz und Holzprodukte - energetischer Verbrauch"/>
    <s v="Elektrizität"/>
    <s v="Gigawattstunde"/>
    <x v="3"/>
    <x v="5"/>
    <n v="221"/>
  </r>
  <r>
    <x v="7"/>
    <s v="Endenergieverbrauch - Industriesektor - Holz und Holzprodukte - energetischer Verbrauch"/>
    <s v="Elektrizität"/>
    <s v="Gigawattstunde"/>
    <x v="4"/>
    <x v="5"/>
    <n v="237"/>
  </r>
  <r>
    <x v="7"/>
    <s v="Endenergieverbrauch - Industriesektor - Holz und Holzprodukte - energetischer Verbrauch"/>
    <s v="Elektrizität"/>
    <s v="Gigawattstunde"/>
    <x v="5"/>
    <x v="5"/>
    <n v="265"/>
  </r>
  <r>
    <x v="7"/>
    <s v="Endenergieverbrauch - Industriesektor - Holz und Holzprodukte - energetischer Verbrauch"/>
    <s v="Elektrizität"/>
    <s v="Gigawattstunde"/>
    <x v="6"/>
    <x v="5"/>
    <n v="270"/>
  </r>
  <r>
    <x v="7"/>
    <s v="Endenergieverbrauch - Industriesektor - Holz und Holzprodukte - energetischer Verbrauch"/>
    <s v="Elektrizität"/>
    <s v="Gigawattstunde"/>
    <x v="7"/>
    <x v="5"/>
    <n v="226"/>
  </r>
  <r>
    <x v="7"/>
    <s v="Endenergieverbrauch - Industriesektor - Holz und Holzprodukte - energetischer Verbrauch"/>
    <s v="Elektrizität"/>
    <s v="Gigawattstunde"/>
    <x v="8"/>
    <x v="5"/>
    <n v="222"/>
  </r>
  <r>
    <x v="7"/>
    <s v="Endenergieverbrauch - Industriesektor - Holz und Holzprodukte - energetischer Verbrauch"/>
    <s v="Elektrizität"/>
    <s v="Gigawattstunde"/>
    <x v="9"/>
    <x v="5"/>
    <n v="308"/>
  </r>
  <r>
    <x v="7"/>
    <s v="Endenergieverbrauch - Industriesektor - Holz und Holzprodukte - energetischer Verbrauch"/>
    <s v="Elektrizität"/>
    <s v="Gigawattstunde"/>
    <x v="10"/>
    <x v="5"/>
    <n v="200"/>
  </r>
  <r>
    <x v="7"/>
    <s v="Endenergieverbrauch - Industriesektor - Holz und Holzprodukte - energetischer Verbrauch"/>
    <s v="Elektrizität"/>
    <s v="Gigawattstunde"/>
    <x v="11"/>
    <x v="5"/>
    <n v="137"/>
  </r>
  <r>
    <x v="7"/>
    <s v="Endenergieverbrauch - Industriesektor - Holz und Holzprodukte - energetischer Verbrauch"/>
    <s v="Elektrizität"/>
    <s v="Gigawattstunde"/>
    <x v="12"/>
    <x v="5"/>
    <n v="130"/>
  </r>
  <r>
    <x v="7"/>
    <s v="Endenergieverbrauch - Industriesektor - Holz und Holzprodukte - energetischer Verbrauch"/>
    <s v="Elektrizität"/>
    <s v="Gigawattstunde"/>
    <x v="13"/>
    <x v="5"/>
    <n v="128"/>
  </r>
  <r>
    <x v="7"/>
    <s v="Endenergieverbrauch - Industriesektor - Holz und Holzprodukte - energetischer Verbrauch"/>
    <s v="Elektrizität"/>
    <s v="Gigawattstunde"/>
    <x v="14"/>
    <x v="5"/>
    <n v="54"/>
  </r>
  <r>
    <x v="7"/>
    <s v="Endenergieverbrauch - Industriesektor - Holz und Holzprodukte - energetischer Verbrauch"/>
    <s v="Elektrizität"/>
    <s v="Gigawattstunde"/>
    <x v="15"/>
    <x v="5"/>
    <n v="65.814999999999998"/>
  </r>
  <r>
    <x v="7"/>
    <s v="Endenergieverbrauch - Industriesektor - Holz und Holzprodukte - energetischer Verbrauch"/>
    <s v="Elektrizität"/>
    <s v="Gigawattstunde"/>
    <x v="16"/>
    <x v="5"/>
    <n v="265.74"/>
  </r>
  <r>
    <x v="8"/>
    <s v="Endenergieverbrauch - Industriesektor - Holz und Holzprodukte - energetischer Verbrauch"/>
    <s v="Elektrizität"/>
    <s v="Gigawattstunde"/>
    <x v="0"/>
    <x v="5"/>
    <n v="1974"/>
  </r>
  <r>
    <x v="8"/>
    <s v="Endenergieverbrauch - Industriesektor - Holz und Holzprodukte - energetischer Verbrauch"/>
    <s v="Elektrizität"/>
    <s v="Gigawattstunde"/>
    <x v="1"/>
    <x v="5"/>
    <n v="2634"/>
  </r>
  <r>
    <x v="8"/>
    <s v="Endenergieverbrauch - Industriesektor - Holz und Holzprodukte - energetischer Verbrauch"/>
    <s v="Elektrizität"/>
    <s v="Gigawattstunde"/>
    <x v="2"/>
    <x v="5"/>
    <n v="2463"/>
  </r>
  <r>
    <x v="8"/>
    <s v="Endenergieverbrauch - Industriesektor - Holz und Holzprodukte - energetischer Verbrauch"/>
    <s v="Elektrizität"/>
    <s v="Gigawattstunde"/>
    <x v="3"/>
    <x v="5"/>
    <n v="2598"/>
  </r>
  <r>
    <x v="8"/>
    <s v="Endenergieverbrauch - Industriesektor - Holz und Holzprodukte - energetischer Verbrauch"/>
    <s v="Elektrizität"/>
    <s v="Gigawattstunde"/>
    <x v="4"/>
    <x v="5"/>
    <n v="2260"/>
  </r>
  <r>
    <x v="8"/>
    <s v="Endenergieverbrauch - Industriesektor - Holz und Holzprodukte - energetischer Verbrauch"/>
    <s v="Elektrizität"/>
    <s v="Gigawattstunde"/>
    <x v="5"/>
    <x v="5"/>
    <n v="2250"/>
  </r>
  <r>
    <x v="8"/>
    <s v="Endenergieverbrauch - Industriesektor - Holz und Holzprodukte - energetischer Verbrauch"/>
    <s v="Elektrizität"/>
    <s v="Gigawattstunde"/>
    <x v="6"/>
    <x v="5"/>
    <n v="2056"/>
  </r>
  <r>
    <x v="8"/>
    <s v="Endenergieverbrauch - Industriesektor - Holz und Holzprodukte - energetischer Verbrauch"/>
    <s v="Elektrizität"/>
    <s v="Gigawattstunde"/>
    <x v="7"/>
    <x v="5"/>
    <n v="1474"/>
  </r>
  <r>
    <x v="8"/>
    <s v="Endenergieverbrauch - Industriesektor - Holz und Holzprodukte - energetischer Verbrauch"/>
    <s v="Elektrizität"/>
    <s v="Gigawattstunde"/>
    <x v="8"/>
    <x v="5"/>
    <n v="1415"/>
  </r>
  <r>
    <x v="8"/>
    <s v="Endenergieverbrauch - Industriesektor - Holz und Holzprodukte - energetischer Verbrauch"/>
    <s v="Elektrizität"/>
    <s v="Gigawattstunde"/>
    <x v="9"/>
    <x v="5"/>
    <n v="1406"/>
  </r>
  <r>
    <x v="8"/>
    <s v="Endenergieverbrauch - Industriesektor - Holz und Holzprodukte - energetischer Verbrauch"/>
    <s v="Elektrizität"/>
    <s v="Gigawattstunde"/>
    <x v="10"/>
    <x v="5"/>
    <n v="1387"/>
  </r>
  <r>
    <x v="8"/>
    <s v="Endenergieverbrauch - Industriesektor - Holz und Holzprodukte - energetischer Verbrauch"/>
    <s v="Elektrizität"/>
    <s v="Gigawattstunde"/>
    <x v="11"/>
    <x v="5"/>
    <n v="1415"/>
  </r>
  <r>
    <x v="8"/>
    <s v="Endenergieverbrauch - Industriesektor - Holz und Holzprodukte - energetischer Verbrauch"/>
    <s v="Elektrizität"/>
    <s v="Gigawattstunde"/>
    <x v="12"/>
    <x v="5"/>
    <n v="1089"/>
  </r>
  <r>
    <x v="8"/>
    <s v="Endenergieverbrauch - Industriesektor - Holz und Holzprodukte - energetischer Verbrauch"/>
    <s v="Elektrizität"/>
    <s v="Gigawattstunde"/>
    <x v="13"/>
    <x v="5"/>
    <n v="1132"/>
  </r>
  <r>
    <x v="8"/>
    <s v="Endenergieverbrauch - Industriesektor - Holz und Holzprodukte - energetischer Verbrauch"/>
    <s v="Elektrizität"/>
    <s v="Gigawattstunde"/>
    <x v="14"/>
    <x v="5"/>
    <n v="1233"/>
  </r>
  <r>
    <x v="8"/>
    <s v="Endenergieverbrauch - Industriesektor - Holz und Holzprodukte - energetischer Verbrauch"/>
    <s v="Elektrizität"/>
    <s v="Gigawattstunde"/>
    <x v="15"/>
    <x v="5"/>
    <n v="1593"/>
  </r>
  <r>
    <x v="8"/>
    <s v="Endenergieverbrauch - Industriesektor - Holz und Holzprodukte - energetischer Verbrauch"/>
    <s v="Elektrizität"/>
    <s v="Gigawattstunde"/>
    <x v="16"/>
    <x v="5"/>
    <n v="1414"/>
  </r>
  <r>
    <x v="9"/>
    <s v="Endenergieverbrauch - Industriesektor - Holz und Holzprodukte - energetischer Verbrauch"/>
    <s v="Elektrizität"/>
    <s v="Gigawattstunde"/>
    <x v="0"/>
    <x v="5"/>
    <n v="2168"/>
  </r>
  <r>
    <x v="9"/>
    <s v="Endenergieverbrauch - Industriesektor - Holz und Holzprodukte - energetischer Verbrauch"/>
    <s v="Elektrizität"/>
    <s v="Gigawattstunde"/>
    <x v="1"/>
    <x v="5"/>
    <n v="2221"/>
  </r>
  <r>
    <x v="9"/>
    <s v="Endenergieverbrauch - Industriesektor - Holz und Holzprodukte - energetischer Verbrauch"/>
    <s v="Elektrizität"/>
    <s v="Gigawattstunde"/>
    <x v="2"/>
    <x v="5"/>
    <n v="2276"/>
  </r>
  <r>
    <x v="9"/>
    <s v="Endenergieverbrauch - Industriesektor - Holz und Holzprodukte - energetischer Verbrauch"/>
    <s v="Elektrizität"/>
    <s v="Gigawattstunde"/>
    <x v="3"/>
    <x v="5"/>
    <n v="2276"/>
  </r>
  <r>
    <x v="9"/>
    <s v="Endenergieverbrauch - Industriesektor - Holz und Holzprodukte - energetischer Verbrauch"/>
    <s v="Elektrizität"/>
    <s v="Gigawattstunde"/>
    <x v="4"/>
    <x v="5"/>
    <n v="2300"/>
  </r>
  <r>
    <x v="9"/>
    <s v="Endenergieverbrauch - Industriesektor - Holz und Holzprodukte - energetischer Verbrauch"/>
    <s v="Elektrizität"/>
    <s v="Gigawattstunde"/>
    <x v="5"/>
    <x v="5"/>
    <n v="2293"/>
  </r>
  <r>
    <x v="9"/>
    <s v="Endenergieverbrauch - Industriesektor - Holz und Holzprodukte - energetischer Verbrauch"/>
    <s v="Elektrizität"/>
    <s v="Gigawattstunde"/>
    <x v="6"/>
    <x v="5"/>
    <n v="2442"/>
  </r>
  <r>
    <x v="9"/>
    <s v="Endenergieverbrauch - Industriesektor - Holz und Holzprodukte - energetischer Verbrauch"/>
    <s v="Elektrizität"/>
    <s v="Gigawattstunde"/>
    <x v="7"/>
    <x v="5"/>
    <n v="2138"/>
  </r>
  <r>
    <x v="9"/>
    <s v="Endenergieverbrauch - Industriesektor - Holz und Holzprodukte - energetischer Verbrauch"/>
    <s v="Elektrizität"/>
    <s v="Gigawattstunde"/>
    <x v="8"/>
    <x v="5"/>
    <n v="2248"/>
  </r>
  <r>
    <x v="9"/>
    <s v="Endenergieverbrauch - Industriesektor - Holz und Holzprodukte - energetischer Verbrauch"/>
    <s v="Elektrizität"/>
    <s v="Gigawattstunde"/>
    <x v="9"/>
    <x v="5"/>
    <n v="2218.509"/>
  </r>
  <r>
    <x v="9"/>
    <s v="Endenergieverbrauch - Industriesektor - Holz und Holzprodukte - energetischer Verbrauch"/>
    <s v="Elektrizität"/>
    <s v="Gigawattstunde"/>
    <x v="10"/>
    <x v="5"/>
    <n v="2277.7330000000002"/>
  </r>
  <r>
    <x v="9"/>
    <s v="Endenergieverbrauch - Industriesektor - Holz und Holzprodukte - energetischer Verbrauch"/>
    <s v="Elektrizität"/>
    <s v="Gigawattstunde"/>
    <x v="11"/>
    <x v="5"/>
    <n v="2248.9389999999999"/>
  </r>
  <r>
    <x v="9"/>
    <s v="Endenergieverbrauch - Industriesektor - Holz und Holzprodukte - energetischer Verbrauch"/>
    <s v="Elektrizität"/>
    <s v="Gigawattstunde"/>
    <x v="12"/>
    <x v="5"/>
    <n v="2187.7089999999998"/>
  </r>
  <r>
    <x v="9"/>
    <s v="Endenergieverbrauch - Industriesektor - Holz und Holzprodukte - energetischer Verbrauch"/>
    <s v="Elektrizität"/>
    <s v="Gigawattstunde"/>
    <x v="13"/>
    <x v="5"/>
    <n v="2228.9259999999999"/>
  </r>
  <r>
    <x v="9"/>
    <s v="Endenergieverbrauch - Industriesektor - Holz und Holzprodukte - energetischer Verbrauch"/>
    <s v="Elektrizität"/>
    <s v="Gigawattstunde"/>
    <x v="14"/>
    <x v="5"/>
    <n v="2198.0279999999998"/>
  </r>
  <r>
    <x v="9"/>
    <s v="Endenergieverbrauch - Industriesektor - Holz und Holzprodukte - energetischer Verbrauch"/>
    <s v="Elektrizität"/>
    <s v="Gigawattstunde"/>
    <x v="15"/>
    <x v="5"/>
    <n v="2208.7809999999999"/>
  </r>
  <r>
    <x v="9"/>
    <s v="Endenergieverbrauch - Industriesektor - Holz und Holzprodukte - energetischer Verbrauch"/>
    <s v="Elektrizität"/>
    <s v="Gigawattstunde"/>
    <x v="16"/>
    <x v="5"/>
    <n v="2245.2109999999998"/>
  </r>
  <r>
    <x v="10"/>
    <s v="Endenergieverbrauch - Industriesektor - Holz und Holzprodukte - energetischer Verbrauch"/>
    <s v="Elektrizität"/>
    <s v="Gigawattstunde"/>
    <x v="0"/>
    <x v="5"/>
    <n v="95"/>
  </r>
  <r>
    <x v="10"/>
    <s v="Endenergieverbrauch - Industriesektor - Holz und Holzprodukte - energetischer Verbrauch"/>
    <s v="Elektrizität"/>
    <s v="Gigawattstunde"/>
    <x v="1"/>
    <x v="5"/>
    <n v="102"/>
  </r>
  <r>
    <x v="10"/>
    <s v="Endenergieverbrauch - Industriesektor - Holz und Holzprodukte - energetischer Verbrauch"/>
    <s v="Elektrizität"/>
    <s v="Gigawattstunde"/>
    <x v="2"/>
    <x v="5"/>
    <n v="124"/>
  </r>
  <r>
    <x v="10"/>
    <s v="Endenergieverbrauch - Industriesektor - Holz und Holzprodukte - energetischer Verbrauch"/>
    <s v="Elektrizität"/>
    <s v="Gigawattstunde"/>
    <x v="3"/>
    <x v="5"/>
    <n v="146"/>
  </r>
  <r>
    <x v="10"/>
    <s v="Endenergieverbrauch - Industriesektor - Holz und Holzprodukte - energetischer Verbrauch"/>
    <s v="Elektrizität"/>
    <s v="Gigawattstunde"/>
    <x v="4"/>
    <x v="5"/>
    <n v="159"/>
  </r>
  <r>
    <x v="10"/>
    <s v="Endenergieverbrauch - Industriesektor - Holz und Holzprodukte - energetischer Verbrauch"/>
    <s v="Elektrizität"/>
    <s v="Gigawattstunde"/>
    <x v="5"/>
    <x v="5"/>
    <n v="150"/>
  </r>
  <r>
    <x v="10"/>
    <s v="Endenergieverbrauch - Industriesektor - Holz und Holzprodukte - energetischer Verbrauch"/>
    <s v="Elektrizität"/>
    <s v="Gigawattstunde"/>
    <x v="6"/>
    <x v="5"/>
    <n v="165"/>
  </r>
  <r>
    <x v="10"/>
    <s v="Endenergieverbrauch - Industriesektor - Holz und Holzprodukte - energetischer Verbrauch"/>
    <s v="Elektrizität"/>
    <s v="Gigawattstunde"/>
    <x v="7"/>
    <x v="5"/>
    <n v="159"/>
  </r>
  <r>
    <x v="10"/>
    <s v="Endenergieverbrauch - Industriesektor - Holz und Holzprodukte - energetischer Verbrauch"/>
    <s v="Elektrizität"/>
    <s v="Gigawattstunde"/>
    <x v="8"/>
    <x v="5"/>
    <n v="179"/>
  </r>
  <r>
    <x v="10"/>
    <s v="Endenergieverbrauch - Industriesektor - Holz und Holzprodukte - energetischer Verbrauch"/>
    <s v="Elektrizität"/>
    <s v="Gigawattstunde"/>
    <x v="9"/>
    <x v="5"/>
    <n v="198"/>
  </r>
  <r>
    <x v="10"/>
    <s v="Endenergieverbrauch - Industriesektor - Holz und Holzprodukte - energetischer Verbrauch"/>
    <s v="Elektrizität"/>
    <s v="Gigawattstunde"/>
    <x v="10"/>
    <x v="5"/>
    <n v="198"/>
  </r>
  <r>
    <x v="10"/>
    <s v="Endenergieverbrauch - Industriesektor - Holz und Holzprodukte - energetischer Verbrauch"/>
    <s v="Elektrizität"/>
    <s v="Gigawattstunde"/>
    <x v="11"/>
    <x v="5"/>
    <n v="224"/>
  </r>
  <r>
    <x v="10"/>
    <s v="Endenergieverbrauch - Industriesektor - Holz und Holzprodukte - energetischer Verbrauch"/>
    <s v="Elektrizität"/>
    <s v="Gigawattstunde"/>
    <x v="12"/>
    <x v="5"/>
    <n v="238"/>
  </r>
  <r>
    <x v="10"/>
    <s v="Endenergieverbrauch - Industriesektor - Holz und Holzprodukte - energetischer Verbrauch"/>
    <s v="Elektrizität"/>
    <s v="Gigawattstunde"/>
    <x v="13"/>
    <x v="5"/>
    <n v="265"/>
  </r>
  <r>
    <x v="10"/>
    <s v="Endenergieverbrauch - Industriesektor - Holz und Holzprodukte - energetischer Verbrauch"/>
    <s v="Elektrizität"/>
    <s v="Gigawattstunde"/>
    <x v="14"/>
    <x v="5"/>
    <n v="279"/>
  </r>
  <r>
    <x v="10"/>
    <s v="Endenergieverbrauch - Industriesektor - Holz und Holzprodukte - energetischer Verbrauch"/>
    <s v="Elektrizität"/>
    <s v="Gigawattstunde"/>
    <x v="15"/>
    <x v="5"/>
    <n v="310.5"/>
  </r>
  <r>
    <x v="10"/>
    <s v="Endenergieverbrauch - Industriesektor - Holz und Holzprodukte - energetischer Verbrauch"/>
    <s v="Elektrizität"/>
    <s v="Gigawattstunde"/>
    <x v="16"/>
    <x v="5"/>
    <n v="316.39999999999998"/>
  </r>
  <r>
    <x v="11"/>
    <s v="Endenergieverbrauch - Industriesektor - Holz und Holzprodukte - energetischer Verbrauch"/>
    <s v="Elektrizität"/>
    <s v="Gigawattstunde"/>
    <x v="0"/>
    <x v="5"/>
    <n v="4255"/>
  </r>
  <r>
    <x v="11"/>
    <s v="Endenergieverbrauch - Industriesektor - Holz und Holzprodukte - energetischer Verbrauch"/>
    <s v="Elektrizität"/>
    <s v="Gigawattstunde"/>
    <x v="1"/>
    <x v="5"/>
    <n v="4250"/>
  </r>
  <r>
    <x v="11"/>
    <s v="Endenergieverbrauch - Industriesektor - Holz und Holzprodukte - energetischer Verbrauch"/>
    <s v="Elektrizität"/>
    <s v="Gigawattstunde"/>
    <x v="2"/>
    <x v="5"/>
    <n v="4333"/>
  </r>
  <r>
    <x v="11"/>
    <s v="Endenergieverbrauch - Industriesektor - Holz und Holzprodukte - energetischer Verbrauch"/>
    <s v="Elektrizität"/>
    <s v="Gigawattstunde"/>
    <x v="3"/>
    <x v="5"/>
    <n v="4373"/>
  </r>
  <r>
    <x v="11"/>
    <s v="Endenergieverbrauch - Industriesektor - Holz und Holzprodukte - energetischer Verbrauch"/>
    <s v="Elektrizität"/>
    <s v="Gigawattstunde"/>
    <x v="4"/>
    <x v="5"/>
    <n v="4490"/>
  </r>
  <r>
    <x v="11"/>
    <s v="Endenergieverbrauch - Industriesektor - Holz und Holzprodukte - energetischer Verbrauch"/>
    <s v="Elektrizität"/>
    <s v="Gigawattstunde"/>
    <x v="5"/>
    <x v="5"/>
    <n v="4456"/>
  </r>
  <r>
    <x v="11"/>
    <s v="Endenergieverbrauch - Industriesektor - Holz und Holzprodukte - energetischer Verbrauch"/>
    <s v="Elektrizität"/>
    <s v="Gigawattstunde"/>
    <x v="6"/>
    <x v="5"/>
    <n v="4324"/>
  </r>
  <r>
    <x v="11"/>
    <s v="Endenergieverbrauch - Industriesektor - Holz und Holzprodukte - energetischer Verbrauch"/>
    <s v="Elektrizität"/>
    <s v="Gigawattstunde"/>
    <x v="7"/>
    <x v="5"/>
    <n v="3804"/>
  </r>
  <r>
    <x v="11"/>
    <s v="Endenergieverbrauch - Industriesektor - Holz und Holzprodukte - energetischer Verbrauch"/>
    <s v="Elektrizität"/>
    <s v="Gigawattstunde"/>
    <x v="8"/>
    <x v="5"/>
    <n v="3913"/>
  </r>
  <r>
    <x v="11"/>
    <s v="Endenergieverbrauch - Industriesektor - Holz und Holzprodukte - energetischer Verbrauch"/>
    <s v="Elektrizität"/>
    <s v="Gigawattstunde"/>
    <x v="9"/>
    <x v="5"/>
    <n v="3605"/>
  </r>
  <r>
    <x v="11"/>
    <s v="Endenergieverbrauch - Industriesektor - Holz und Holzprodukte - energetischer Verbrauch"/>
    <s v="Elektrizität"/>
    <s v="Gigawattstunde"/>
    <x v="10"/>
    <x v="5"/>
    <n v="3195"/>
  </r>
  <r>
    <x v="11"/>
    <s v="Endenergieverbrauch - Industriesektor - Holz und Holzprodukte - energetischer Verbrauch"/>
    <s v="Elektrizität"/>
    <s v="Gigawattstunde"/>
    <x v="11"/>
    <x v="5"/>
    <n v="2980"/>
  </r>
  <r>
    <x v="11"/>
    <s v="Endenergieverbrauch - Industriesektor - Holz und Holzprodukte - energetischer Verbrauch"/>
    <s v="Elektrizität"/>
    <s v="Gigawattstunde"/>
    <x v="12"/>
    <x v="5"/>
    <n v="2894"/>
  </r>
  <r>
    <x v="11"/>
    <s v="Endenergieverbrauch - Industriesektor - Holz und Holzprodukte - energetischer Verbrauch"/>
    <s v="Elektrizität"/>
    <s v="Gigawattstunde"/>
    <x v="13"/>
    <x v="5"/>
    <n v="3009"/>
  </r>
  <r>
    <x v="11"/>
    <s v="Endenergieverbrauch - Industriesektor - Holz und Holzprodukte - energetischer Verbrauch"/>
    <s v="Elektrizität"/>
    <s v="Gigawattstunde"/>
    <x v="14"/>
    <x v="5"/>
    <n v="2965"/>
  </r>
  <r>
    <x v="11"/>
    <s v="Endenergieverbrauch - Industriesektor - Holz und Holzprodukte - energetischer Verbrauch"/>
    <s v="Elektrizität"/>
    <s v="Gigawattstunde"/>
    <x v="15"/>
    <x v="5"/>
    <n v="2979.0590000000002"/>
  </r>
  <r>
    <x v="11"/>
    <s v="Endenergieverbrauch - Industriesektor - Holz und Holzprodukte - energetischer Verbrauch"/>
    <s v="Elektrizität"/>
    <s v="Gigawattstunde"/>
    <x v="16"/>
    <x v="5"/>
    <n v="2988.6869999999999"/>
  </r>
  <r>
    <x v="12"/>
    <s v="Endenergieverbrauch - Industriesektor - Holz und Holzprodukte - energetischer Verbrauch"/>
    <s v="Elektrizität"/>
    <s v="Gigawattstunde"/>
    <x v="0"/>
    <x v="5"/>
    <n v="7"/>
  </r>
  <r>
    <x v="12"/>
    <s v="Endenergieverbrauch - Industriesektor - Holz und Holzprodukte - energetischer Verbrauch"/>
    <s v="Elektrizität"/>
    <s v="Gigawattstunde"/>
    <x v="1"/>
    <x v="5"/>
    <n v="8"/>
  </r>
  <r>
    <x v="12"/>
    <s v="Endenergieverbrauch - Industriesektor - Holz und Holzprodukte - energetischer Verbrauch"/>
    <s v="Elektrizität"/>
    <s v="Gigawattstunde"/>
    <x v="2"/>
    <x v="5"/>
    <n v="8"/>
  </r>
  <r>
    <x v="12"/>
    <s v="Endenergieverbrauch - Industriesektor - Holz und Holzprodukte - energetischer Verbrauch"/>
    <s v="Elektrizität"/>
    <s v="Gigawattstunde"/>
    <x v="3"/>
    <x v="5"/>
    <n v="8"/>
  </r>
  <r>
    <x v="12"/>
    <s v="Endenergieverbrauch - Industriesektor - Holz und Holzprodukte - energetischer Verbrauch"/>
    <s v="Elektrizität"/>
    <s v="Gigawattstunde"/>
    <x v="4"/>
    <x v="5"/>
    <n v="8"/>
  </r>
  <r>
    <x v="12"/>
    <s v="Endenergieverbrauch - Industriesektor - Holz und Holzprodukte - energetischer Verbrauch"/>
    <s v="Elektrizität"/>
    <s v="Gigawattstunde"/>
    <x v="5"/>
    <x v="5"/>
    <n v="9"/>
  </r>
  <r>
    <x v="12"/>
    <s v="Endenergieverbrauch - Industriesektor - Holz und Holzprodukte - energetischer Verbrauch"/>
    <s v="Elektrizität"/>
    <s v="Gigawattstunde"/>
    <x v="6"/>
    <x v="5"/>
    <n v="9"/>
  </r>
  <r>
    <x v="12"/>
    <s v="Endenergieverbrauch - Industriesektor - Holz und Holzprodukte - energetischer Verbrauch"/>
    <s v="Elektrizität"/>
    <s v="Gigawattstunde"/>
    <x v="7"/>
    <x v="5"/>
    <n v="9"/>
  </r>
  <r>
    <x v="12"/>
    <s v="Endenergieverbrauch - Industriesektor - Holz und Holzprodukte - energetischer Verbrauch"/>
    <s v="Elektrizität"/>
    <s v="Gigawattstunde"/>
    <x v="8"/>
    <x v="5"/>
    <n v="9"/>
  </r>
  <r>
    <x v="12"/>
    <s v="Endenergieverbrauch - Industriesektor - Holz und Holzprodukte - energetischer Verbrauch"/>
    <s v="Elektrizität"/>
    <s v="Gigawattstunde"/>
    <x v="9"/>
    <x v="5"/>
    <n v="8"/>
  </r>
  <r>
    <x v="12"/>
    <s v="Endenergieverbrauch - Industriesektor - Holz und Holzprodukte - energetischer Verbrauch"/>
    <s v="Elektrizität"/>
    <s v="Gigawattstunde"/>
    <x v="10"/>
    <x v="5"/>
    <n v="7"/>
  </r>
  <r>
    <x v="12"/>
    <s v="Endenergieverbrauch - Industriesektor - Holz und Holzprodukte - energetischer Verbrauch"/>
    <s v="Elektrizität"/>
    <s v="Gigawattstunde"/>
    <x v="11"/>
    <x v="5"/>
    <n v="5"/>
  </r>
  <r>
    <x v="12"/>
    <s v="Endenergieverbrauch - Industriesektor - Holz und Holzprodukte - energetischer Verbrauch"/>
    <s v="Elektrizität"/>
    <s v="Gigawattstunde"/>
    <x v="12"/>
    <x v="5"/>
    <n v="5"/>
  </r>
  <r>
    <x v="12"/>
    <s v="Endenergieverbrauch - Industriesektor - Holz und Holzprodukte - energetischer Verbrauch"/>
    <s v="Elektrizität"/>
    <s v="Gigawattstunde"/>
    <x v="13"/>
    <x v="5"/>
    <n v="5"/>
  </r>
  <r>
    <x v="12"/>
    <s v="Endenergieverbrauch - Industriesektor - Holz und Holzprodukte - energetischer Verbrauch"/>
    <s v="Elektrizität"/>
    <s v="Gigawattstunde"/>
    <x v="14"/>
    <x v="5"/>
    <n v="6"/>
  </r>
  <r>
    <x v="12"/>
    <s v="Endenergieverbrauch - Industriesektor - Holz und Holzprodukte - energetischer Verbrauch"/>
    <s v="Elektrizität"/>
    <s v="Gigawattstunde"/>
    <x v="15"/>
    <x v="5"/>
    <n v="6.0010000000000003"/>
  </r>
  <r>
    <x v="12"/>
    <s v="Endenergieverbrauch - Industriesektor - Holz und Holzprodukte - energetischer Verbrauch"/>
    <s v="Elektrizität"/>
    <s v="Gigawattstunde"/>
    <x v="16"/>
    <x v="5"/>
    <n v="6.1920000000000002"/>
  </r>
  <r>
    <x v="13"/>
    <s v="Endenergieverbrauch - Industriesektor - Holz und Holzprodukte - energetischer Verbrauch"/>
    <s v="Elektrizität"/>
    <s v="Gigawattstunde"/>
    <x v="0"/>
    <x v="5"/>
    <n v="284"/>
  </r>
  <r>
    <x v="13"/>
    <s v="Endenergieverbrauch - Industriesektor - Holz und Holzprodukte - energetischer Verbrauch"/>
    <s v="Elektrizität"/>
    <s v="Gigawattstunde"/>
    <x v="1"/>
    <x v="5"/>
    <n v="318"/>
  </r>
  <r>
    <x v="13"/>
    <s v="Endenergieverbrauch - Industriesektor - Holz und Holzprodukte - energetischer Verbrauch"/>
    <s v="Elektrizität"/>
    <s v="Gigawattstunde"/>
    <x v="2"/>
    <x v="5"/>
    <n v="359"/>
  </r>
  <r>
    <x v="13"/>
    <s v="Endenergieverbrauch - Industriesektor - Holz und Holzprodukte - energetischer Verbrauch"/>
    <s v="Elektrizität"/>
    <s v="Gigawattstunde"/>
    <x v="3"/>
    <x v="5"/>
    <n v="388"/>
  </r>
  <r>
    <x v="13"/>
    <s v="Endenergieverbrauch - Industriesektor - Holz und Holzprodukte - energetischer Verbrauch"/>
    <s v="Elektrizität"/>
    <s v="Gigawattstunde"/>
    <x v="4"/>
    <x v="5"/>
    <n v="429"/>
  </r>
  <r>
    <x v="13"/>
    <s v="Endenergieverbrauch - Industriesektor - Holz und Holzprodukte - energetischer Verbrauch"/>
    <s v="Elektrizität"/>
    <s v="Gigawattstunde"/>
    <x v="5"/>
    <x v="5"/>
    <n v="439"/>
  </r>
  <r>
    <x v="13"/>
    <s v="Endenergieverbrauch - Industriesektor - Holz und Holzprodukte - energetischer Verbrauch"/>
    <s v="Elektrizität"/>
    <s v="Gigawattstunde"/>
    <x v="6"/>
    <x v="5"/>
    <n v="408"/>
  </r>
  <r>
    <x v="13"/>
    <s v="Endenergieverbrauch - Industriesektor - Holz und Holzprodukte - energetischer Verbrauch"/>
    <s v="Elektrizität"/>
    <s v="Gigawattstunde"/>
    <x v="7"/>
    <x v="5"/>
    <n v="458"/>
  </r>
  <r>
    <x v="13"/>
    <s v="Endenergieverbrauch - Industriesektor - Holz und Holzprodukte - energetischer Verbrauch"/>
    <s v="Elektrizität"/>
    <s v="Gigawattstunde"/>
    <x v="8"/>
    <x v="5"/>
    <n v="477"/>
  </r>
  <r>
    <x v="13"/>
    <s v="Endenergieverbrauch - Industriesektor - Holz und Holzprodukte - energetischer Verbrauch"/>
    <s v="Elektrizität"/>
    <s v="Gigawattstunde"/>
    <x v="9"/>
    <x v="5"/>
    <n v="498"/>
  </r>
  <r>
    <x v="13"/>
    <s v="Endenergieverbrauch - Industriesektor - Holz und Holzprodukte - energetischer Verbrauch"/>
    <s v="Elektrizität"/>
    <s v="Gigawattstunde"/>
    <x v="10"/>
    <x v="5"/>
    <n v="560"/>
  </r>
  <r>
    <x v="13"/>
    <s v="Endenergieverbrauch - Industriesektor - Holz und Holzprodukte - energetischer Verbrauch"/>
    <s v="Elektrizität"/>
    <s v="Gigawattstunde"/>
    <x v="11"/>
    <x v="5"/>
    <n v="625"/>
  </r>
  <r>
    <x v="13"/>
    <s v="Endenergieverbrauch - Industriesektor - Holz und Holzprodukte - energetischer Verbrauch"/>
    <s v="Elektrizität"/>
    <s v="Gigawattstunde"/>
    <x v="12"/>
    <x v="5"/>
    <n v="681"/>
  </r>
  <r>
    <x v="13"/>
    <s v="Endenergieverbrauch - Industriesektor - Holz und Holzprodukte - energetischer Verbrauch"/>
    <s v="Elektrizität"/>
    <s v="Gigawattstunde"/>
    <x v="13"/>
    <x v="5"/>
    <n v="724"/>
  </r>
  <r>
    <x v="13"/>
    <s v="Endenergieverbrauch - Industriesektor - Holz und Holzprodukte - energetischer Verbrauch"/>
    <s v="Elektrizität"/>
    <s v="Gigawattstunde"/>
    <x v="14"/>
    <x v="5"/>
    <n v="738"/>
  </r>
  <r>
    <x v="13"/>
    <s v="Endenergieverbrauch - Industriesektor - Holz und Holzprodukte - energetischer Verbrauch"/>
    <s v="Elektrizität"/>
    <s v="Gigawattstunde"/>
    <x v="15"/>
    <x v="5"/>
    <n v="762.08299999999997"/>
  </r>
  <r>
    <x v="13"/>
    <s v="Endenergieverbrauch - Industriesektor - Holz und Holzprodukte - energetischer Verbrauch"/>
    <s v="Elektrizität"/>
    <s v="Gigawattstunde"/>
    <x v="16"/>
    <x v="5"/>
    <n v="806.59699999999998"/>
  </r>
  <r>
    <x v="14"/>
    <s v="Endenergieverbrauch - Industriesektor - Holz und Holzprodukte - energetischer Verbrauch"/>
    <s v="Elektrizität"/>
    <s v="Gigawattstunde"/>
    <x v="0"/>
    <x v="5"/>
    <n v="202"/>
  </r>
  <r>
    <x v="14"/>
    <s v="Endenergieverbrauch - Industriesektor - Holz und Holzprodukte - energetischer Verbrauch"/>
    <s v="Elektrizität"/>
    <s v="Gigawattstunde"/>
    <x v="1"/>
    <x v="5"/>
    <n v="218"/>
  </r>
  <r>
    <x v="14"/>
    <s v="Endenergieverbrauch - Industriesektor - Holz und Holzprodukte - energetischer Verbrauch"/>
    <s v="Elektrizität"/>
    <s v="Gigawattstunde"/>
    <x v="2"/>
    <x v="5"/>
    <n v="256"/>
  </r>
  <r>
    <x v="14"/>
    <s v="Endenergieverbrauch - Industriesektor - Holz und Holzprodukte - energetischer Verbrauch"/>
    <s v="Elektrizität"/>
    <s v="Gigawattstunde"/>
    <x v="3"/>
    <x v="5"/>
    <n v="280"/>
  </r>
  <r>
    <x v="14"/>
    <s v="Endenergieverbrauch - Industriesektor - Holz und Holzprodukte - energetischer Verbrauch"/>
    <s v="Elektrizität"/>
    <s v="Gigawattstunde"/>
    <x v="4"/>
    <x v="5"/>
    <n v="292"/>
  </r>
  <r>
    <x v="14"/>
    <s v="Endenergieverbrauch - Industriesektor - Holz und Holzprodukte - energetischer Verbrauch"/>
    <s v="Elektrizität"/>
    <s v="Gigawattstunde"/>
    <x v="5"/>
    <x v="5"/>
    <n v="301"/>
  </r>
  <r>
    <x v="14"/>
    <s v="Endenergieverbrauch - Industriesektor - Holz und Holzprodukte - energetischer Verbrauch"/>
    <s v="Elektrizität"/>
    <s v="Gigawattstunde"/>
    <x v="6"/>
    <x v="5"/>
    <n v="283"/>
  </r>
  <r>
    <x v="14"/>
    <s v="Endenergieverbrauch - Industriesektor - Holz und Holzprodukte - energetischer Verbrauch"/>
    <s v="Elektrizität"/>
    <s v="Gigawattstunde"/>
    <x v="7"/>
    <x v="5"/>
    <n v="234"/>
  </r>
  <r>
    <x v="14"/>
    <s v="Endenergieverbrauch - Industriesektor - Holz und Holzprodukte - energetischer Verbrauch"/>
    <s v="Elektrizität"/>
    <s v="Gigawattstunde"/>
    <x v="8"/>
    <x v="5"/>
    <n v="250"/>
  </r>
  <r>
    <x v="14"/>
    <s v="Endenergieverbrauch - Industriesektor - Holz und Holzprodukte - energetischer Verbrauch"/>
    <s v="Elektrizität"/>
    <s v="Gigawattstunde"/>
    <x v="9"/>
    <x v="5"/>
    <n v="219"/>
  </r>
  <r>
    <x v="14"/>
    <s v="Endenergieverbrauch - Industriesektor - Holz und Holzprodukte - energetischer Verbrauch"/>
    <s v="Elektrizität"/>
    <s v="Gigawattstunde"/>
    <x v="10"/>
    <x v="5"/>
    <n v="275"/>
  </r>
  <r>
    <x v="14"/>
    <s v="Endenergieverbrauch - Industriesektor - Holz und Holzprodukte - energetischer Verbrauch"/>
    <s v="Elektrizität"/>
    <s v="Gigawattstunde"/>
    <x v="11"/>
    <x v="5"/>
    <n v="261"/>
  </r>
  <r>
    <x v="14"/>
    <s v="Endenergieverbrauch - Industriesektor - Holz und Holzprodukte - energetischer Verbrauch"/>
    <s v="Elektrizität"/>
    <s v="Gigawattstunde"/>
    <x v="12"/>
    <x v="5"/>
    <n v="299"/>
  </r>
  <r>
    <x v="14"/>
    <s v="Endenergieverbrauch - Industriesektor - Holz und Holzprodukte - energetischer Verbrauch"/>
    <s v="Elektrizität"/>
    <s v="Gigawattstunde"/>
    <x v="13"/>
    <x v="5"/>
    <n v="343"/>
  </r>
  <r>
    <x v="14"/>
    <s v="Endenergieverbrauch - Industriesektor - Holz und Holzprodukte - energetischer Verbrauch"/>
    <s v="Elektrizität"/>
    <s v="Gigawattstunde"/>
    <x v="14"/>
    <x v="5"/>
    <n v="366"/>
  </r>
  <r>
    <x v="14"/>
    <s v="Endenergieverbrauch - Industriesektor - Holz und Holzprodukte - energetischer Verbrauch"/>
    <s v="Elektrizität"/>
    <s v="Gigawattstunde"/>
    <x v="15"/>
    <x v="5"/>
    <n v="364.9"/>
  </r>
  <r>
    <x v="14"/>
    <s v="Endenergieverbrauch - Industriesektor - Holz und Holzprodukte - energetischer Verbrauch"/>
    <s v="Elektrizität"/>
    <s v="Gigawattstunde"/>
    <x v="16"/>
    <x v="5"/>
    <n v="355.7"/>
  </r>
  <r>
    <x v="15"/>
    <s v="Endenergieverbrauch - Industriesektor - Holz und Holzprodukte - energetischer Verbrauch"/>
    <s v="Elektrizität"/>
    <s v="Gigawattstunde"/>
    <x v="0"/>
    <x v="5"/>
    <n v="20.154"/>
  </r>
  <r>
    <x v="15"/>
    <s v="Endenergieverbrauch - Industriesektor - Holz und Holzprodukte - energetischer Verbrauch"/>
    <s v="Elektrizität"/>
    <s v="Gigawattstunde"/>
    <x v="1"/>
    <x v="5"/>
    <n v="22.346"/>
  </r>
  <r>
    <x v="15"/>
    <s v="Endenergieverbrauch - Industriesektor - Holz und Holzprodukte - energetischer Verbrauch"/>
    <s v="Elektrizität"/>
    <s v="Gigawattstunde"/>
    <x v="2"/>
    <x v="5"/>
    <n v="23.282"/>
  </r>
  <r>
    <x v="15"/>
    <s v="Endenergieverbrauch - Industriesektor - Holz und Holzprodukte - energetischer Verbrauch"/>
    <s v="Elektrizität"/>
    <s v="Gigawattstunde"/>
    <x v="3"/>
    <x v="5"/>
    <n v="22.780999999999999"/>
  </r>
  <r>
    <x v="15"/>
    <s v="Endenergieverbrauch - Industriesektor - Holz und Holzprodukte - energetischer Verbrauch"/>
    <s v="Elektrizität"/>
    <s v="Gigawattstunde"/>
    <x v="4"/>
    <x v="5"/>
    <n v="18.904"/>
  </r>
  <r>
    <x v="15"/>
    <s v="Endenergieverbrauch - Industriesektor - Holz und Holzprodukte - energetischer Verbrauch"/>
    <s v="Elektrizität"/>
    <s v="Gigawattstunde"/>
    <x v="5"/>
    <x v="5"/>
    <n v="18.949000000000002"/>
  </r>
  <r>
    <x v="15"/>
    <s v="Endenergieverbrauch - Industriesektor - Holz und Holzprodukte - energetischer Verbrauch"/>
    <s v="Elektrizität"/>
    <s v="Gigawattstunde"/>
    <x v="6"/>
    <x v="5"/>
    <n v="16.564"/>
  </r>
  <r>
    <x v="15"/>
    <s v="Endenergieverbrauch - Industriesektor - Holz und Holzprodukte - energetischer Verbrauch"/>
    <s v="Elektrizität"/>
    <s v="Gigawattstunde"/>
    <x v="7"/>
    <x v="5"/>
    <n v="17.271000000000001"/>
  </r>
  <r>
    <x v="15"/>
    <s v="Endenergieverbrauch - Industriesektor - Holz und Holzprodukte - energetischer Verbrauch"/>
    <s v="Elektrizität"/>
    <s v="Gigawattstunde"/>
    <x v="8"/>
    <x v="5"/>
    <n v="17.02"/>
  </r>
  <r>
    <x v="15"/>
    <s v="Endenergieverbrauch - Industriesektor - Holz und Holzprodukte - energetischer Verbrauch"/>
    <s v="Elektrizität"/>
    <s v="Gigawattstunde"/>
    <x v="9"/>
    <x v="5"/>
    <n v="7.5839999999999996"/>
  </r>
  <r>
    <x v="15"/>
    <s v="Endenergieverbrauch - Industriesektor - Holz und Holzprodukte - energetischer Verbrauch"/>
    <s v="Elektrizität"/>
    <s v="Gigawattstunde"/>
    <x v="10"/>
    <x v="5"/>
    <n v="4.7130000000000001"/>
  </r>
  <r>
    <x v="15"/>
    <s v="Endenergieverbrauch - Industriesektor - Holz und Holzprodukte - energetischer Verbrauch"/>
    <s v="Elektrizität"/>
    <s v="Gigawattstunde"/>
    <x v="11"/>
    <x v="5"/>
    <n v="0.86199999999999999"/>
  </r>
  <r>
    <x v="15"/>
    <s v="Endenergieverbrauch - Industriesektor - Holz und Holzprodukte - energetischer Verbrauch"/>
    <s v="Elektrizität"/>
    <s v="Gigawattstunde"/>
    <x v="12"/>
    <x v="5"/>
    <n v="3.125"/>
  </r>
  <r>
    <x v="15"/>
    <s v="Endenergieverbrauch - Industriesektor - Holz und Holzprodukte - energetischer Verbrauch"/>
    <s v="Elektrizität"/>
    <s v="Gigawattstunde"/>
    <x v="13"/>
    <x v="5"/>
    <n v="6.4379999999999997"/>
  </r>
  <r>
    <x v="15"/>
    <s v="Endenergieverbrauch - Industriesektor - Holz und Holzprodukte - energetischer Verbrauch"/>
    <s v="Elektrizität"/>
    <s v="Gigawattstunde"/>
    <x v="14"/>
    <x v="5"/>
    <n v="4.117"/>
  </r>
  <r>
    <x v="15"/>
    <s v="Endenergieverbrauch - Industriesektor - Holz und Holzprodukte - energetischer Verbrauch"/>
    <s v="Elektrizität"/>
    <s v="Gigawattstunde"/>
    <x v="15"/>
    <x v="5"/>
    <n v="15.1"/>
  </r>
  <r>
    <x v="15"/>
    <s v="Endenergieverbrauch - Industriesektor - Holz und Holzprodukte - energetischer Verbrauch"/>
    <s v="Elektrizität"/>
    <s v="Gigawattstunde"/>
    <x v="16"/>
    <x v="5"/>
    <n v="15.782"/>
  </r>
  <r>
    <x v="16"/>
    <s v="Endenergieverbrauch - Industriesektor - Holz und Holzprodukte - energetischer Verbrauch"/>
    <s v="Elektrizität"/>
    <s v="Gigawattstunde"/>
    <x v="0"/>
    <x v="5"/>
    <n v="137"/>
  </r>
  <r>
    <x v="16"/>
    <s v="Endenergieverbrauch - Industriesektor - Holz und Holzprodukte - energetischer Verbrauch"/>
    <s v="Elektrizität"/>
    <s v="Gigawattstunde"/>
    <x v="1"/>
    <x v="5"/>
    <n v="148"/>
  </r>
  <r>
    <x v="16"/>
    <s v="Endenergieverbrauch - Industriesektor - Holz und Holzprodukte - energetischer Verbrauch"/>
    <s v="Elektrizität"/>
    <s v="Gigawattstunde"/>
    <x v="2"/>
    <x v="5"/>
    <n v="153"/>
  </r>
  <r>
    <x v="16"/>
    <s v="Endenergieverbrauch - Industriesektor - Holz und Holzprodukte - energetischer Verbrauch"/>
    <s v="Elektrizität"/>
    <s v="Gigawattstunde"/>
    <x v="3"/>
    <x v="5"/>
    <n v="149"/>
  </r>
  <r>
    <x v="16"/>
    <s v="Endenergieverbrauch - Industriesektor - Holz und Holzprodukte - energetischer Verbrauch"/>
    <s v="Elektrizität"/>
    <s v="Gigawattstunde"/>
    <x v="4"/>
    <x v="5"/>
    <n v="146"/>
  </r>
  <r>
    <x v="16"/>
    <s v="Endenergieverbrauch - Industriesektor - Holz und Holzprodukte - energetischer Verbrauch"/>
    <s v="Elektrizität"/>
    <s v="Gigawattstunde"/>
    <x v="5"/>
    <x v="5"/>
    <n v="159"/>
  </r>
  <r>
    <x v="16"/>
    <s v="Endenergieverbrauch - Industriesektor - Holz und Holzprodukte - energetischer Verbrauch"/>
    <s v="Elektrizität"/>
    <s v="Gigawattstunde"/>
    <x v="6"/>
    <x v="5"/>
    <n v="170"/>
  </r>
  <r>
    <x v="16"/>
    <s v="Endenergieverbrauch - Industriesektor - Holz und Holzprodukte - energetischer Verbrauch"/>
    <s v="Elektrizität"/>
    <s v="Gigawattstunde"/>
    <x v="7"/>
    <x v="5"/>
    <n v="119"/>
  </r>
  <r>
    <x v="16"/>
    <s v="Endenergieverbrauch - Industriesektor - Holz und Holzprodukte - energetischer Verbrauch"/>
    <s v="Elektrizität"/>
    <s v="Gigawattstunde"/>
    <x v="8"/>
    <x v="5"/>
    <n v="153"/>
  </r>
  <r>
    <x v="16"/>
    <s v="Endenergieverbrauch - Industriesektor - Holz und Holzprodukte - energetischer Verbrauch"/>
    <s v="Elektrizität"/>
    <s v="Gigawattstunde"/>
    <x v="9"/>
    <x v="5"/>
    <n v="154"/>
  </r>
  <r>
    <x v="16"/>
    <s v="Endenergieverbrauch - Industriesektor - Holz und Holzprodukte - energetischer Verbrauch"/>
    <s v="Elektrizität"/>
    <s v="Gigawattstunde"/>
    <x v="10"/>
    <x v="5"/>
    <n v="265"/>
  </r>
  <r>
    <x v="16"/>
    <s v="Endenergieverbrauch - Industriesektor - Holz und Holzprodukte - energetischer Verbrauch"/>
    <s v="Elektrizität"/>
    <s v="Gigawattstunde"/>
    <x v="11"/>
    <x v="5"/>
    <n v="328"/>
  </r>
  <r>
    <x v="16"/>
    <s v="Endenergieverbrauch - Industriesektor - Holz und Holzprodukte - energetischer Verbrauch"/>
    <s v="Elektrizität"/>
    <s v="Gigawattstunde"/>
    <x v="12"/>
    <x v="5"/>
    <n v="245"/>
  </r>
  <r>
    <x v="16"/>
    <s v="Endenergieverbrauch - Industriesektor - Holz und Holzprodukte - energetischer Verbrauch"/>
    <s v="Elektrizität"/>
    <s v="Gigawattstunde"/>
    <x v="13"/>
    <x v="5"/>
    <n v="258"/>
  </r>
  <r>
    <x v="16"/>
    <s v="Endenergieverbrauch - Industriesektor - Holz und Holzprodukte - energetischer Verbrauch"/>
    <s v="Elektrizität"/>
    <s v="Gigawattstunde"/>
    <x v="14"/>
    <x v="5"/>
    <n v="280"/>
  </r>
  <r>
    <x v="16"/>
    <s v="Endenergieverbrauch - Industriesektor - Holz und Holzprodukte - energetischer Verbrauch"/>
    <s v="Elektrizität"/>
    <s v="Gigawattstunde"/>
    <x v="15"/>
    <x v="5"/>
    <n v="337"/>
  </r>
  <r>
    <x v="16"/>
    <s v="Endenergieverbrauch - Industriesektor - Holz und Holzprodukte - energetischer Verbrauch"/>
    <s v="Elektrizität"/>
    <s v="Gigawattstunde"/>
    <x v="16"/>
    <x v="5"/>
    <n v="378"/>
  </r>
  <r>
    <x v="17"/>
    <s v="Endenergieverbrauch - Industriesektor - Holz und Holzprodukte - energetischer Verbrauch"/>
    <s v="Elektrizität"/>
    <s v="Gigawattstunde"/>
    <x v="0"/>
    <x v="5"/>
    <n v="0"/>
  </r>
  <r>
    <x v="17"/>
    <s v="Endenergieverbrauch - Industriesektor - Holz und Holzprodukte - energetischer Verbrauch"/>
    <s v="Elektrizität"/>
    <s v="Gigawattstunde"/>
    <x v="1"/>
    <x v="5"/>
    <n v="0"/>
  </r>
  <r>
    <x v="17"/>
    <s v="Endenergieverbrauch - Industriesektor - Holz und Holzprodukte - energetischer Verbrauch"/>
    <s v="Elektrizität"/>
    <s v="Gigawattstunde"/>
    <x v="2"/>
    <x v="5"/>
    <n v="0"/>
  </r>
  <r>
    <x v="17"/>
    <s v="Endenergieverbrauch - Industriesektor - Holz und Holzprodukte - energetischer Verbrauch"/>
    <s v="Elektrizität"/>
    <s v="Gigawattstunde"/>
    <x v="3"/>
    <x v="5"/>
    <n v="0"/>
  </r>
  <r>
    <x v="17"/>
    <s v="Endenergieverbrauch - Industriesektor - Holz und Holzprodukte - energetischer Verbrauch"/>
    <s v="Elektrizität"/>
    <s v="Gigawattstunde"/>
    <x v="4"/>
    <x v="5"/>
    <n v="0"/>
  </r>
  <r>
    <x v="17"/>
    <s v="Endenergieverbrauch - Industriesektor - Holz und Holzprodukte - energetischer Verbrauch"/>
    <s v="Elektrizität"/>
    <s v="Gigawattstunde"/>
    <x v="5"/>
    <x v="5"/>
    <n v="0"/>
  </r>
  <r>
    <x v="17"/>
    <s v="Endenergieverbrauch - Industriesektor - Holz und Holzprodukte - energetischer Verbrauch"/>
    <s v="Elektrizität"/>
    <s v="Gigawattstunde"/>
    <x v="6"/>
    <x v="5"/>
    <n v="0"/>
  </r>
  <r>
    <x v="17"/>
    <s v="Endenergieverbrauch - Industriesektor - Holz und Holzprodukte - energetischer Verbrauch"/>
    <s v="Elektrizität"/>
    <s v="Gigawattstunde"/>
    <x v="7"/>
    <x v="5"/>
    <n v="0"/>
  </r>
  <r>
    <x v="17"/>
    <s v="Endenergieverbrauch - Industriesektor - Holz und Holzprodukte - energetischer Verbrauch"/>
    <s v="Elektrizität"/>
    <s v="Gigawattstunde"/>
    <x v="8"/>
    <x v="5"/>
    <n v="1"/>
  </r>
  <r>
    <x v="17"/>
    <s v="Endenergieverbrauch - Industriesektor - Holz und Holzprodukte - energetischer Verbrauch"/>
    <s v="Elektrizität"/>
    <s v="Gigawattstunde"/>
    <x v="9"/>
    <x v="5"/>
    <n v="1"/>
  </r>
  <r>
    <x v="17"/>
    <s v="Endenergieverbrauch - Industriesektor - Holz und Holzprodukte - energetischer Verbrauch"/>
    <s v="Elektrizität"/>
    <s v="Gigawattstunde"/>
    <x v="10"/>
    <x v="5"/>
    <n v="1"/>
  </r>
  <r>
    <x v="17"/>
    <s v="Endenergieverbrauch - Industriesektor - Holz und Holzprodukte - energetischer Verbrauch"/>
    <s v="Elektrizität"/>
    <s v="Gigawattstunde"/>
    <x v="11"/>
    <x v="5"/>
    <n v="1"/>
  </r>
  <r>
    <x v="17"/>
    <s v="Endenergieverbrauch - Industriesektor - Holz und Holzprodukte - energetischer Verbrauch"/>
    <s v="Elektrizität"/>
    <s v="Gigawattstunde"/>
    <x v="12"/>
    <x v="5"/>
    <n v="2"/>
  </r>
  <r>
    <x v="17"/>
    <s v="Endenergieverbrauch - Industriesektor - Holz und Holzprodukte - energetischer Verbrauch"/>
    <s v="Elektrizität"/>
    <s v="Gigawattstunde"/>
    <x v="13"/>
    <x v="5"/>
    <n v="2"/>
  </r>
  <r>
    <x v="17"/>
    <s v="Endenergieverbrauch - Industriesektor - Holz und Holzprodukte - energetischer Verbrauch"/>
    <s v="Elektrizität"/>
    <s v="Gigawattstunde"/>
    <x v="14"/>
    <x v="5"/>
    <n v="2"/>
  </r>
  <r>
    <x v="17"/>
    <s v="Endenergieverbrauch - Industriesektor - Holz und Holzprodukte - energetischer Verbrauch"/>
    <s v="Elektrizität"/>
    <s v="Gigawattstunde"/>
    <x v="15"/>
    <x v="5"/>
    <n v="2.0880000000000001"/>
  </r>
  <r>
    <x v="17"/>
    <s v="Endenergieverbrauch - Industriesektor - Holz und Holzprodukte - energetischer Verbrauch"/>
    <s v="Elektrizität"/>
    <s v="Gigawattstunde"/>
    <x v="16"/>
    <x v="5"/>
    <n v="2.2890000000000001"/>
  </r>
  <r>
    <x v="18"/>
    <s v="Endenergieverbrauch - Industriesektor - Holz und Holzprodukte - energetischer Verbrauch"/>
    <s v="Elektrizität"/>
    <s v="Gigawattstunde"/>
    <x v="0"/>
    <x v="5"/>
    <n v="257"/>
  </r>
  <r>
    <x v="18"/>
    <s v="Endenergieverbrauch - Industriesektor - Holz und Holzprodukte - energetischer Verbrauch"/>
    <s v="Elektrizität"/>
    <s v="Gigawattstunde"/>
    <x v="1"/>
    <x v="5"/>
    <n v="225"/>
  </r>
  <r>
    <x v="18"/>
    <s v="Endenergieverbrauch - Industriesektor - Holz und Holzprodukte - energetischer Verbrauch"/>
    <s v="Elektrizität"/>
    <s v="Gigawattstunde"/>
    <x v="2"/>
    <x v="5"/>
    <n v="205"/>
  </r>
  <r>
    <x v="18"/>
    <s v="Endenergieverbrauch - Industriesektor - Holz und Holzprodukte - energetischer Verbrauch"/>
    <s v="Elektrizität"/>
    <s v="Gigawattstunde"/>
    <x v="3"/>
    <x v="5"/>
    <n v="242"/>
  </r>
  <r>
    <x v="18"/>
    <s v="Endenergieverbrauch - Industriesektor - Holz und Holzprodukte - energetischer Verbrauch"/>
    <s v="Elektrizität"/>
    <s v="Gigawattstunde"/>
    <x v="4"/>
    <x v="5"/>
    <n v="262"/>
  </r>
  <r>
    <x v="18"/>
    <s v="Endenergieverbrauch - Industriesektor - Holz und Holzprodukte - energetischer Verbrauch"/>
    <s v="Elektrizität"/>
    <s v="Gigawattstunde"/>
    <x v="5"/>
    <x v="5"/>
    <n v="278"/>
  </r>
  <r>
    <x v="18"/>
    <s v="Endenergieverbrauch - Industriesektor - Holz und Holzprodukte - energetischer Verbrauch"/>
    <s v="Elektrizität"/>
    <s v="Gigawattstunde"/>
    <x v="6"/>
    <x v="5"/>
    <n v="288"/>
  </r>
  <r>
    <x v="18"/>
    <s v="Endenergieverbrauch - Industriesektor - Holz und Holzprodukte - energetischer Verbrauch"/>
    <s v="Elektrizität"/>
    <s v="Gigawattstunde"/>
    <x v="7"/>
    <x v="5"/>
    <n v="284"/>
  </r>
  <r>
    <x v="18"/>
    <s v="Endenergieverbrauch - Industriesektor - Holz und Holzprodukte - energetischer Verbrauch"/>
    <s v="Elektrizität"/>
    <s v="Gigawattstunde"/>
    <x v="8"/>
    <x v="5"/>
    <n v="243"/>
  </r>
  <r>
    <x v="18"/>
    <s v="Endenergieverbrauch - Industriesektor - Holz und Holzprodukte - energetischer Verbrauch"/>
    <s v="Elektrizität"/>
    <s v="Gigawattstunde"/>
    <x v="9"/>
    <x v="5"/>
    <n v="223"/>
  </r>
  <r>
    <x v="18"/>
    <s v="Endenergieverbrauch - Industriesektor - Holz und Holzprodukte - energetischer Verbrauch"/>
    <s v="Elektrizität"/>
    <s v="Gigawattstunde"/>
    <x v="10"/>
    <x v="5"/>
    <n v="239"/>
  </r>
  <r>
    <x v="18"/>
    <s v="Endenergieverbrauch - Industriesektor - Holz und Holzprodukte - energetischer Verbrauch"/>
    <s v="Elektrizität"/>
    <s v="Gigawattstunde"/>
    <x v="11"/>
    <x v="5"/>
    <n v="171"/>
  </r>
  <r>
    <x v="18"/>
    <s v="Endenergieverbrauch - Industriesektor - Holz und Holzprodukte - energetischer Verbrauch"/>
    <s v="Elektrizität"/>
    <s v="Gigawattstunde"/>
    <x v="12"/>
    <x v="5"/>
    <n v="197"/>
  </r>
  <r>
    <x v="18"/>
    <s v="Endenergieverbrauch - Industriesektor - Holz und Holzprodukte - energetischer Verbrauch"/>
    <s v="Elektrizität"/>
    <s v="Gigawattstunde"/>
    <x v="13"/>
    <x v="5"/>
    <n v="235.78100000000001"/>
  </r>
  <r>
    <x v="18"/>
    <s v="Endenergieverbrauch - Industriesektor - Holz und Holzprodukte - energetischer Verbrauch"/>
    <s v="Elektrizität"/>
    <s v="Gigawattstunde"/>
    <x v="14"/>
    <x v="5"/>
    <n v="201.518"/>
  </r>
  <r>
    <x v="18"/>
    <s v="Endenergieverbrauch - Industriesektor - Holz und Holzprodukte - energetischer Verbrauch"/>
    <s v="Elektrizität"/>
    <s v="Gigawattstunde"/>
    <x v="15"/>
    <x v="5"/>
    <n v="155.77600000000001"/>
  </r>
  <r>
    <x v="18"/>
    <s v="Endenergieverbrauch - Industriesektor - Holz und Holzprodukte - energetischer Verbrauch"/>
    <s v="Elektrizität"/>
    <s v="Gigawattstunde"/>
    <x v="16"/>
    <x v="5"/>
    <n v="145.12200000000001"/>
  </r>
  <r>
    <x v="19"/>
    <s v="Endenergieverbrauch - Industriesektor - Holz und Holzprodukte - energetischer Verbrauch"/>
    <s v="Elektrizität"/>
    <s v="Gigawattstunde"/>
    <x v="0"/>
    <x v="5"/>
    <n v="1047"/>
  </r>
  <r>
    <x v="19"/>
    <s v="Endenergieverbrauch - Industriesektor - Holz und Holzprodukte - energetischer Verbrauch"/>
    <s v="Elektrizität"/>
    <s v="Gigawattstunde"/>
    <x v="1"/>
    <x v="5"/>
    <n v="1226"/>
  </r>
  <r>
    <x v="19"/>
    <s v="Endenergieverbrauch - Industriesektor - Holz und Holzprodukte - energetischer Verbrauch"/>
    <s v="Elektrizität"/>
    <s v="Gigawattstunde"/>
    <x v="2"/>
    <x v="5"/>
    <n v="1320"/>
  </r>
  <r>
    <x v="19"/>
    <s v="Endenergieverbrauch - Industriesektor - Holz und Holzprodukte - energetischer Verbrauch"/>
    <s v="Elektrizität"/>
    <s v="Gigawattstunde"/>
    <x v="3"/>
    <x v="5"/>
    <n v="1616.864"/>
  </r>
  <r>
    <x v="19"/>
    <s v="Endenergieverbrauch - Industriesektor - Holz und Holzprodukte - energetischer Verbrauch"/>
    <s v="Elektrizität"/>
    <s v="Gigawattstunde"/>
    <x v="4"/>
    <x v="5"/>
    <n v="1819.5920000000001"/>
  </r>
  <r>
    <x v="19"/>
    <s v="Endenergieverbrauch - Industriesektor - Holz und Holzprodukte - energetischer Verbrauch"/>
    <s v="Elektrizität"/>
    <s v="Gigawattstunde"/>
    <x v="5"/>
    <x v="5"/>
    <n v="1931.2950000000001"/>
  </r>
  <r>
    <x v="19"/>
    <s v="Endenergieverbrauch - Industriesektor - Holz und Holzprodukte - energetischer Verbrauch"/>
    <s v="Elektrizität"/>
    <s v="Gigawattstunde"/>
    <x v="6"/>
    <x v="5"/>
    <n v="1793.133"/>
  </r>
  <r>
    <x v="19"/>
    <s v="Endenergieverbrauch - Industriesektor - Holz und Holzprodukte - energetischer Verbrauch"/>
    <s v="Elektrizität"/>
    <s v="Gigawattstunde"/>
    <x v="7"/>
    <x v="5"/>
    <n v="1616.51"/>
  </r>
  <r>
    <x v="19"/>
    <s v="Endenergieverbrauch - Industriesektor - Holz und Holzprodukte - energetischer Verbrauch"/>
    <s v="Elektrizität"/>
    <s v="Gigawattstunde"/>
    <x v="8"/>
    <x v="5"/>
    <n v="1682.4549999999999"/>
  </r>
  <r>
    <x v="19"/>
    <s v="Endenergieverbrauch - Industriesektor - Holz und Holzprodukte - energetischer Verbrauch"/>
    <s v="Elektrizität"/>
    <s v="Gigawattstunde"/>
    <x v="9"/>
    <x v="5"/>
    <n v="1739.1379999999999"/>
  </r>
  <r>
    <x v="19"/>
    <s v="Endenergieverbrauch - Industriesektor - Holz und Holzprodukte - energetischer Verbrauch"/>
    <s v="Elektrizität"/>
    <s v="Gigawattstunde"/>
    <x v="10"/>
    <x v="5"/>
    <n v="1804.5319999999999"/>
  </r>
  <r>
    <x v="19"/>
    <s v="Endenergieverbrauch - Industriesektor - Holz und Holzprodukte - energetischer Verbrauch"/>
    <s v="Elektrizität"/>
    <s v="Gigawattstunde"/>
    <x v="11"/>
    <x v="5"/>
    <n v="1924.998"/>
  </r>
  <r>
    <x v="19"/>
    <s v="Endenergieverbrauch - Industriesektor - Holz und Holzprodukte - energetischer Verbrauch"/>
    <s v="Elektrizität"/>
    <s v="Gigawattstunde"/>
    <x v="12"/>
    <x v="5"/>
    <n v="1796.5609999999999"/>
  </r>
  <r>
    <x v="19"/>
    <s v="Endenergieverbrauch - Industriesektor - Holz und Holzprodukte - energetischer Verbrauch"/>
    <s v="Elektrizität"/>
    <s v="Gigawattstunde"/>
    <x v="13"/>
    <x v="5"/>
    <n v="1802.2139999999999"/>
  </r>
  <r>
    <x v="19"/>
    <s v="Endenergieverbrauch - Industriesektor - Holz und Holzprodukte - energetischer Verbrauch"/>
    <s v="Elektrizität"/>
    <s v="Gigawattstunde"/>
    <x v="14"/>
    <x v="5"/>
    <n v="1813.21"/>
  </r>
  <r>
    <x v="19"/>
    <s v="Endenergieverbrauch - Industriesektor - Holz und Holzprodukte - energetischer Verbrauch"/>
    <s v="Elektrizität"/>
    <s v="Gigawattstunde"/>
    <x v="15"/>
    <x v="5"/>
    <n v="1856.8050000000001"/>
  </r>
  <r>
    <x v="19"/>
    <s v="Endenergieverbrauch - Industriesektor - Holz und Holzprodukte - energetischer Verbrauch"/>
    <s v="Elektrizität"/>
    <s v="Gigawattstunde"/>
    <x v="16"/>
    <x v="5"/>
    <n v="1821.5719999999999"/>
  </r>
  <r>
    <x v="20"/>
    <s v="Endenergieverbrauch - Industriesektor - Holz und Holzprodukte - energetischer Verbrauch"/>
    <s v="Elektrizität"/>
    <s v="Gigawattstunde"/>
    <x v="0"/>
    <x v="5"/>
    <n v="1538"/>
  </r>
  <r>
    <x v="20"/>
    <s v="Endenergieverbrauch - Industriesektor - Holz und Holzprodukte - energetischer Verbrauch"/>
    <s v="Elektrizität"/>
    <s v="Gigawattstunde"/>
    <x v="1"/>
    <x v="5"/>
    <n v="1228"/>
  </r>
  <r>
    <x v="20"/>
    <s v="Endenergieverbrauch - Industriesektor - Holz und Holzprodukte - energetischer Verbrauch"/>
    <s v="Elektrizität"/>
    <s v="Gigawattstunde"/>
    <x v="2"/>
    <x v="5"/>
    <n v="1608"/>
  </r>
  <r>
    <x v="20"/>
    <s v="Endenergieverbrauch - Industriesektor - Holz und Holzprodukte - energetischer Verbrauch"/>
    <s v="Elektrizität"/>
    <s v="Gigawattstunde"/>
    <x v="3"/>
    <x v="5"/>
    <n v="1584"/>
  </r>
  <r>
    <x v="20"/>
    <s v="Endenergieverbrauch - Industriesektor - Holz und Holzprodukte - energetischer Verbrauch"/>
    <s v="Elektrizität"/>
    <s v="Gigawattstunde"/>
    <x v="4"/>
    <x v="5"/>
    <n v="1398"/>
  </r>
  <r>
    <x v="20"/>
    <s v="Endenergieverbrauch - Industriesektor - Holz und Holzprodukte - energetischer Verbrauch"/>
    <s v="Elektrizität"/>
    <s v="Gigawattstunde"/>
    <x v="5"/>
    <x v="5"/>
    <n v="1537"/>
  </r>
  <r>
    <x v="20"/>
    <s v="Endenergieverbrauch - Industriesektor - Holz und Holzprodukte - energetischer Verbrauch"/>
    <s v="Elektrizität"/>
    <s v="Gigawattstunde"/>
    <x v="6"/>
    <x v="5"/>
    <n v="1824"/>
  </r>
  <r>
    <x v="20"/>
    <s v="Endenergieverbrauch - Industriesektor - Holz und Holzprodukte - energetischer Verbrauch"/>
    <s v="Elektrizität"/>
    <s v="Gigawattstunde"/>
    <x v="7"/>
    <x v="5"/>
    <n v="1815"/>
  </r>
  <r>
    <x v="20"/>
    <s v="Endenergieverbrauch - Industriesektor - Holz und Holzprodukte - energetischer Verbrauch"/>
    <s v="Elektrizität"/>
    <s v="Gigawattstunde"/>
    <x v="8"/>
    <x v="5"/>
    <n v="1855"/>
  </r>
  <r>
    <x v="20"/>
    <s v="Endenergieverbrauch - Industriesektor - Holz und Holzprodukte - energetischer Verbrauch"/>
    <s v="Elektrizität"/>
    <s v="Gigawattstunde"/>
    <x v="9"/>
    <x v="5"/>
    <n v="1849"/>
  </r>
  <r>
    <x v="20"/>
    <s v="Endenergieverbrauch - Industriesektor - Holz und Holzprodukte - energetischer Verbrauch"/>
    <s v="Elektrizität"/>
    <s v="Gigawattstunde"/>
    <x v="10"/>
    <x v="5"/>
    <n v="1886"/>
  </r>
  <r>
    <x v="20"/>
    <s v="Endenergieverbrauch - Industriesektor - Holz und Holzprodukte - energetischer Verbrauch"/>
    <s v="Elektrizität"/>
    <s v="Gigawattstunde"/>
    <x v="11"/>
    <x v="5"/>
    <n v="1988"/>
  </r>
  <r>
    <x v="20"/>
    <s v="Endenergieverbrauch - Industriesektor - Holz und Holzprodukte - energetischer Verbrauch"/>
    <s v="Elektrizität"/>
    <s v="Gigawattstunde"/>
    <x v="12"/>
    <x v="5"/>
    <n v="1967"/>
  </r>
  <r>
    <x v="20"/>
    <s v="Endenergieverbrauch - Industriesektor - Holz und Holzprodukte - energetischer Verbrauch"/>
    <s v="Elektrizität"/>
    <s v="Gigawattstunde"/>
    <x v="13"/>
    <x v="5"/>
    <n v="2086"/>
  </r>
  <r>
    <x v="20"/>
    <s v="Endenergieverbrauch - Industriesektor - Holz und Holzprodukte - energetischer Verbrauch"/>
    <s v="Elektrizität"/>
    <s v="Gigawattstunde"/>
    <x v="14"/>
    <x v="5"/>
    <n v="2421"/>
  </r>
  <r>
    <x v="20"/>
    <s v="Endenergieverbrauch - Industriesektor - Holz und Holzprodukte - energetischer Verbrauch"/>
    <s v="Elektrizität"/>
    <s v="Gigawattstunde"/>
    <x v="15"/>
    <x v="5"/>
    <n v="2400.4169999999999"/>
  </r>
  <r>
    <x v="20"/>
    <s v="Endenergieverbrauch - Industriesektor - Holz und Holzprodukte - energetischer Verbrauch"/>
    <s v="Elektrizität"/>
    <s v="Gigawattstunde"/>
    <x v="16"/>
    <x v="5"/>
    <n v="2518.636"/>
  </r>
  <r>
    <x v="21"/>
    <s v="Endenergieverbrauch - Industriesektor - Holz und Holzprodukte - energetischer Verbrauch"/>
    <s v="Elektrizität"/>
    <s v="Gigawattstunde"/>
    <x v="0"/>
    <x v="5"/>
    <n v="946"/>
  </r>
  <r>
    <x v="21"/>
    <s v="Endenergieverbrauch - Industriesektor - Holz und Holzprodukte - energetischer Verbrauch"/>
    <s v="Elektrizität"/>
    <s v="Gigawattstunde"/>
    <x v="1"/>
    <x v="5"/>
    <n v="678"/>
  </r>
  <r>
    <x v="21"/>
    <s v="Endenergieverbrauch - Industriesektor - Holz und Holzprodukte - energetischer Verbrauch"/>
    <s v="Elektrizität"/>
    <s v="Gigawattstunde"/>
    <x v="2"/>
    <x v="5"/>
    <n v="608"/>
  </r>
  <r>
    <x v="21"/>
    <s v="Endenergieverbrauch - Industriesektor - Holz und Holzprodukte - energetischer Verbrauch"/>
    <s v="Elektrizität"/>
    <s v="Gigawattstunde"/>
    <x v="3"/>
    <x v="5"/>
    <n v="715"/>
  </r>
  <r>
    <x v="21"/>
    <s v="Endenergieverbrauch - Industriesektor - Holz und Holzprodukte - energetischer Verbrauch"/>
    <s v="Elektrizität"/>
    <s v="Gigawattstunde"/>
    <x v="4"/>
    <x v="5"/>
    <n v="722"/>
  </r>
  <r>
    <x v="21"/>
    <s v="Endenergieverbrauch - Industriesektor - Holz und Holzprodukte - energetischer Verbrauch"/>
    <s v="Elektrizität"/>
    <s v="Gigawattstunde"/>
    <x v="5"/>
    <x v="5"/>
    <n v="728"/>
  </r>
  <r>
    <x v="21"/>
    <s v="Endenergieverbrauch - Industriesektor - Holz und Holzprodukte - energetischer Verbrauch"/>
    <s v="Elektrizität"/>
    <s v="Gigawattstunde"/>
    <x v="6"/>
    <x v="5"/>
    <n v="669"/>
  </r>
  <r>
    <x v="21"/>
    <s v="Endenergieverbrauch - Industriesektor - Holz und Holzprodukte - energetischer Verbrauch"/>
    <s v="Elektrizität"/>
    <s v="Gigawattstunde"/>
    <x v="7"/>
    <x v="5"/>
    <n v="557"/>
  </r>
  <r>
    <x v="21"/>
    <s v="Endenergieverbrauch - Industriesektor - Holz und Holzprodukte - energetischer Verbrauch"/>
    <s v="Elektrizität"/>
    <s v="Gigawattstunde"/>
    <x v="8"/>
    <x v="5"/>
    <n v="581"/>
  </r>
  <r>
    <x v="21"/>
    <s v="Endenergieverbrauch - Industriesektor - Holz und Holzprodukte - energetischer Verbrauch"/>
    <s v="Elektrizität"/>
    <s v="Gigawattstunde"/>
    <x v="9"/>
    <x v="5"/>
    <n v="573"/>
  </r>
  <r>
    <x v="21"/>
    <s v="Endenergieverbrauch - Industriesektor - Holz und Holzprodukte - energetischer Verbrauch"/>
    <s v="Elektrizität"/>
    <s v="Gigawattstunde"/>
    <x v="10"/>
    <x v="5"/>
    <n v="535"/>
  </r>
  <r>
    <x v="21"/>
    <s v="Endenergieverbrauch - Industriesektor - Holz und Holzprodukte - energetischer Verbrauch"/>
    <s v="Elektrizität"/>
    <s v="Gigawattstunde"/>
    <x v="11"/>
    <x v="5"/>
    <n v="509"/>
  </r>
  <r>
    <x v="21"/>
    <s v="Endenergieverbrauch - Industriesektor - Holz und Holzprodukte - energetischer Verbrauch"/>
    <s v="Elektrizität"/>
    <s v="Gigawattstunde"/>
    <x v="12"/>
    <x v="5"/>
    <n v="491"/>
  </r>
  <r>
    <x v="21"/>
    <s v="Endenergieverbrauch - Industriesektor - Holz und Holzprodukte - energetischer Verbrauch"/>
    <s v="Elektrizität"/>
    <s v="Gigawattstunde"/>
    <x v="13"/>
    <x v="5"/>
    <n v="511"/>
  </r>
  <r>
    <x v="21"/>
    <s v="Endenergieverbrauch - Industriesektor - Holz und Holzprodukte - energetischer Verbrauch"/>
    <s v="Elektrizität"/>
    <s v="Gigawattstunde"/>
    <x v="14"/>
    <x v="5"/>
    <n v="700.23099999999999"/>
  </r>
  <r>
    <x v="21"/>
    <s v="Endenergieverbrauch - Industriesektor - Holz und Holzprodukte - energetischer Verbrauch"/>
    <s v="Elektrizität"/>
    <s v="Gigawattstunde"/>
    <x v="15"/>
    <x v="5"/>
    <n v="702.39599999999996"/>
  </r>
  <r>
    <x v="21"/>
    <s v="Endenergieverbrauch - Industriesektor - Holz und Holzprodukte - energetischer Verbrauch"/>
    <s v="Elektrizität"/>
    <s v="Gigawattstunde"/>
    <x v="16"/>
    <x v="5"/>
    <n v="723.75400000000002"/>
  </r>
  <r>
    <x v="22"/>
    <s v="Endenergieverbrauch - Industriesektor - Holz und Holzprodukte - energetischer Verbrauch"/>
    <s v="Elektrizität"/>
    <s v="Gigawattstunde"/>
    <x v="0"/>
    <x v="5"/>
    <n v="544"/>
  </r>
  <r>
    <x v="22"/>
    <s v="Endenergieverbrauch - Industriesektor - Holz und Holzprodukte - energetischer Verbrauch"/>
    <s v="Elektrizität"/>
    <s v="Gigawattstunde"/>
    <x v="1"/>
    <x v="5"/>
    <n v="293"/>
  </r>
  <r>
    <x v="22"/>
    <s v="Endenergieverbrauch - Industriesektor - Holz und Holzprodukte - energetischer Verbrauch"/>
    <s v="Elektrizität"/>
    <s v="Gigawattstunde"/>
    <x v="2"/>
    <x v="5"/>
    <n v="715"/>
  </r>
  <r>
    <x v="22"/>
    <s v="Endenergieverbrauch - Industriesektor - Holz und Holzprodukte - energetischer Verbrauch"/>
    <s v="Elektrizität"/>
    <s v="Gigawattstunde"/>
    <x v="3"/>
    <x v="5"/>
    <n v="549"/>
  </r>
  <r>
    <x v="22"/>
    <s v="Endenergieverbrauch - Industriesektor - Holz und Holzprodukte - energetischer Verbrauch"/>
    <s v="Elektrizität"/>
    <s v="Gigawattstunde"/>
    <x v="4"/>
    <x v="5"/>
    <n v="735"/>
  </r>
  <r>
    <x v="22"/>
    <s v="Endenergieverbrauch - Industriesektor - Holz und Holzprodukte - energetischer Verbrauch"/>
    <s v="Elektrizität"/>
    <s v="Gigawattstunde"/>
    <x v="5"/>
    <x v="5"/>
    <n v="653"/>
  </r>
  <r>
    <x v="22"/>
    <s v="Endenergieverbrauch - Industriesektor - Holz und Holzprodukte - energetischer Verbrauch"/>
    <s v="Elektrizität"/>
    <s v="Gigawattstunde"/>
    <x v="6"/>
    <x v="5"/>
    <n v="879"/>
  </r>
  <r>
    <x v="22"/>
    <s v="Endenergieverbrauch - Industriesektor - Holz und Holzprodukte - energetischer Verbrauch"/>
    <s v="Elektrizität"/>
    <s v="Gigawattstunde"/>
    <x v="7"/>
    <x v="5"/>
    <n v="740"/>
  </r>
  <r>
    <x v="22"/>
    <s v="Endenergieverbrauch - Industriesektor - Holz und Holzprodukte - energetischer Verbrauch"/>
    <s v="Elektrizität"/>
    <s v="Gigawattstunde"/>
    <x v="8"/>
    <x v="5"/>
    <n v="701"/>
  </r>
  <r>
    <x v="22"/>
    <s v="Endenergieverbrauch - Industriesektor - Holz und Holzprodukte - energetischer Verbrauch"/>
    <s v="Elektrizität"/>
    <s v="Gigawattstunde"/>
    <x v="9"/>
    <x v="5"/>
    <n v="718"/>
  </r>
  <r>
    <x v="22"/>
    <s v="Endenergieverbrauch - Industriesektor - Holz und Holzprodukte - energetischer Verbrauch"/>
    <s v="Elektrizität"/>
    <s v="Gigawattstunde"/>
    <x v="10"/>
    <x v="5"/>
    <n v="847"/>
  </r>
  <r>
    <x v="22"/>
    <s v="Endenergieverbrauch - Industriesektor - Holz und Holzprodukte - energetischer Verbrauch"/>
    <s v="Elektrizität"/>
    <s v="Gigawattstunde"/>
    <x v="11"/>
    <x v="5"/>
    <n v="940"/>
  </r>
  <r>
    <x v="22"/>
    <s v="Endenergieverbrauch - Industriesektor - Holz und Holzprodukte - energetischer Verbrauch"/>
    <s v="Elektrizität"/>
    <s v="Gigawattstunde"/>
    <x v="12"/>
    <x v="5"/>
    <n v="912"/>
  </r>
  <r>
    <x v="22"/>
    <s v="Endenergieverbrauch - Industriesektor - Holz und Holzprodukte - energetischer Verbrauch"/>
    <s v="Elektrizität"/>
    <s v="Gigawattstunde"/>
    <x v="13"/>
    <x v="5"/>
    <n v="980"/>
  </r>
  <r>
    <x v="22"/>
    <s v="Endenergieverbrauch - Industriesektor - Holz und Holzprodukte - energetischer Verbrauch"/>
    <s v="Elektrizität"/>
    <s v="Gigawattstunde"/>
    <x v="14"/>
    <x v="5"/>
    <n v="968"/>
  </r>
  <r>
    <x v="22"/>
    <s v="Endenergieverbrauch - Industriesektor - Holz und Holzprodukte - energetischer Verbrauch"/>
    <s v="Elektrizität"/>
    <s v="Gigawattstunde"/>
    <x v="15"/>
    <x v="5"/>
    <n v="1053.046"/>
  </r>
  <r>
    <x v="22"/>
    <s v="Endenergieverbrauch - Industriesektor - Holz und Holzprodukte - energetischer Verbrauch"/>
    <s v="Elektrizität"/>
    <s v="Gigawattstunde"/>
    <x v="16"/>
    <x v="5"/>
    <n v="1035.8240000000001"/>
  </r>
  <r>
    <x v="23"/>
    <s v="Endenergieverbrauch - Industriesektor - Holz und Holzprodukte - energetischer Verbrauch"/>
    <s v="Elektrizität"/>
    <s v="Gigawattstunde"/>
    <x v="0"/>
    <x v="5"/>
    <n v="162"/>
  </r>
  <r>
    <x v="23"/>
    <s v="Endenergieverbrauch - Industriesektor - Holz und Holzprodukte - energetischer Verbrauch"/>
    <s v="Elektrizität"/>
    <s v="Gigawattstunde"/>
    <x v="1"/>
    <x v="5"/>
    <n v="169"/>
  </r>
  <r>
    <x v="23"/>
    <s v="Endenergieverbrauch - Industriesektor - Holz und Holzprodukte - energetischer Verbrauch"/>
    <s v="Elektrizität"/>
    <s v="Gigawattstunde"/>
    <x v="2"/>
    <x v="5"/>
    <n v="193"/>
  </r>
  <r>
    <x v="23"/>
    <s v="Endenergieverbrauch - Industriesektor - Holz und Holzprodukte - energetischer Verbrauch"/>
    <s v="Elektrizität"/>
    <s v="Gigawattstunde"/>
    <x v="3"/>
    <x v="5"/>
    <n v="217"/>
  </r>
  <r>
    <x v="23"/>
    <s v="Endenergieverbrauch - Industriesektor - Holz und Holzprodukte - energetischer Verbrauch"/>
    <s v="Elektrizität"/>
    <s v="Gigawattstunde"/>
    <x v="4"/>
    <x v="5"/>
    <n v="205"/>
  </r>
  <r>
    <x v="23"/>
    <s v="Endenergieverbrauch - Industriesektor - Holz und Holzprodukte - energetischer Verbrauch"/>
    <s v="Elektrizität"/>
    <s v="Gigawattstunde"/>
    <x v="5"/>
    <x v="5"/>
    <n v="203"/>
  </r>
  <r>
    <x v="23"/>
    <s v="Endenergieverbrauch - Industriesektor - Holz und Holzprodukte - energetischer Verbrauch"/>
    <s v="Elektrizität"/>
    <s v="Gigawattstunde"/>
    <x v="6"/>
    <x v="5"/>
    <n v="185"/>
  </r>
  <r>
    <x v="23"/>
    <s v="Endenergieverbrauch - Industriesektor - Holz und Holzprodukte - energetischer Verbrauch"/>
    <s v="Elektrizität"/>
    <s v="Gigawattstunde"/>
    <x v="7"/>
    <x v="5"/>
    <n v="158"/>
  </r>
  <r>
    <x v="23"/>
    <s v="Endenergieverbrauch - Industriesektor - Holz und Holzprodukte - energetischer Verbrauch"/>
    <s v="Elektrizität"/>
    <s v="Gigawattstunde"/>
    <x v="8"/>
    <x v="5"/>
    <n v="168"/>
  </r>
  <r>
    <x v="23"/>
    <s v="Endenergieverbrauch - Industriesektor - Holz und Holzprodukte - energetischer Verbrauch"/>
    <s v="Elektrizität"/>
    <s v="Gigawattstunde"/>
    <x v="9"/>
    <x v="5"/>
    <n v="173"/>
  </r>
  <r>
    <x v="23"/>
    <s v="Endenergieverbrauch - Industriesektor - Holz und Holzprodukte - energetischer Verbrauch"/>
    <s v="Elektrizität"/>
    <s v="Gigawattstunde"/>
    <x v="10"/>
    <x v="5"/>
    <n v="175"/>
  </r>
  <r>
    <x v="23"/>
    <s v="Endenergieverbrauch - Industriesektor - Holz und Holzprodukte - energetischer Verbrauch"/>
    <s v="Elektrizität"/>
    <s v="Gigawattstunde"/>
    <x v="11"/>
    <x v="5"/>
    <n v="152"/>
  </r>
  <r>
    <x v="23"/>
    <s v="Endenergieverbrauch - Industriesektor - Holz und Holzprodukte - energetischer Verbrauch"/>
    <s v="Elektrizität"/>
    <s v="Gigawattstunde"/>
    <x v="12"/>
    <x v="5"/>
    <n v="161"/>
  </r>
  <r>
    <x v="23"/>
    <s v="Endenergieverbrauch - Industriesektor - Holz und Holzprodukte - energetischer Verbrauch"/>
    <s v="Elektrizität"/>
    <s v="Gigawattstunde"/>
    <x v="13"/>
    <x v="5"/>
    <n v="168"/>
  </r>
  <r>
    <x v="23"/>
    <s v="Endenergieverbrauch - Industriesektor - Holz und Holzprodukte - energetischer Verbrauch"/>
    <s v="Elektrizität"/>
    <s v="Gigawattstunde"/>
    <x v="14"/>
    <x v="5"/>
    <n v="163"/>
  </r>
  <r>
    <x v="23"/>
    <s v="Endenergieverbrauch - Industriesektor - Holz und Holzprodukte - energetischer Verbrauch"/>
    <s v="Elektrizität"/>
    <s v="Gigawattstunde"/>
    <x v="15"/>
    <x v="5"/>
    <n v="154.922"/>
  </r>
  <r>
    <x v="23"/>
    <s v="Endenergieverbrauch - Industriesektor - Holz und Holzprodukte - energetischer Verbrauch"/>
    <s v="Elektrizität"/>
    <s v="Gigawattstunde"/>
    <x v="16"/>
    <x v="5"/>
    <n v="172.96199999999999"/>
  </r>
  <r>
    <x v="24"/>
    <s v="Endenergieverbrauch - Industriesektor - Holz und Holzprodukte - energetischer Verbrauch"/>
    <s v="Elektrizität"/>
    <s v="Gigawattstunde"/>
    <x v="0"/>
    <x v="5"/>
    <n v="178"/>
  </r>
  <r>
    <x v="24"/>
    <s v="Endenergieverbrauch - Industriesektor - Holz und Holzprodukte - energetischer Verbrauch"/>
    <s v="Elektrizität"/>
    <s v="Gigawattstunde"/>
    <x v="1"/>
    <x v="5"/>
    <n v="156"/>
  </r>
  <r>
    <x v="24"/>
    <s v="Endenergieverbrauch - Industriesektor - Holz und Holzprodukte - energetischer Verbrauch"/>
    <s v="Elektrizität"/>
    <s v="Gigawattstunde"/>
    <x v="2"/>
    <x v="5"/>
    <n v="182"/>
  </r>
  <r>
    <x v="24"/>
    <s v="Endenergieverbrauch - Industriesektor - Holz und Holzprodukte - energetischer Verbrauch"/>
    <s v="Elektrizität"/>
    <s v="Gigawattstunde"/>
    <x v="3"/>
    <x v="5"/>
    <n v="167"/>
  </r>
  <r>
    <x v="24"/>
    <s v="Endenergieverbrauch - Industriesektor - Holz und Holzprodukte - energetischer Verbrauch"/>
    <s v="Elektrizität"/>
    <s v="Gigawattstunde"/>
    <x v="4"/>
    <x v="5"/>
    <n v="161"/>
  </r>
  <r>
    <x v="24"/>
    <s v="Endenergieverbrauch - Industriesektor - Holz und Holzprodukte - energetischer Verbrauch"/>
    <s v="Elektrizität"/>
    <s v="Gigawattstunde"/>
    <x v="5"/>
    <x v="5"/>
    <n v="221"/>
  </r>
  <r>
    <x v="24"/>
    <s v="Endenergieverbrauch - Industriesektor - Holz und Holzprodukte - energetischer Verbrauch"/>
    <s v="Elektrizität"/>
    <s v="Gigawattstunde"/>
    <x v="6"/>
    <x v="5"/>
    <n v="225"/>
  </r>
  <r>
    <x v="24"/>
    <s v="Endenergieverbrauch - Industriesektor - Holz und Holzprodukte - energetischer Verbrauch"/>
    <s v="Elektrizität"/>
    <s v="Gigawattstunde"/>
    <x v="7"/>
    <x v="5"/>
    <n v="194"/>
  </r>
  <r>
    <x v="24"/>
    <s v="Endenergieverbrauch - Industriesektor - Holz und Holzprodukte - energetischer Verbrauch"/>
    <s v="Elektrizität"/>
    <s v="Gigawattstunde"/>
    <x v="8"/>
    <x v="5"/>
    <n v="164"/>
  </r>
  <r>
    <x v="24"/>
    <s v="Endenergieverbrauch - Industriesektor - Holz und Holzprodukte - energetischer Verbrauch"/>
    <s v="Elektrizität"/>
    <s v="Gigawattstunde"/>
    <x v="9"/>
    <x v="5"/>
    <n v="167"/>
  </r>
  <r>
    <x v="24"/>
    <s v="Endenergieverbrauch - Industriesektor - Holz und Holzprodukte - energetischer Verbrauch"/>
    <s v="Elektrizität"/>
    <s v="Gigawattstunde"/>
    <x v="10"/>
    <x v="5"/>
    <n v="158"/>
  </r>
  <r>
    <x v="24"/>
    <s v="Endenergieverbrauch - Industriesektor - Holz und Holzprodukte - energetischer Verbrauch"/>
    <s v="Elektrizität"/>
    <s v="Gigawattstunde"/>
    <x v="11"/>
    <x v="5"/>
    <n v="134"/>
  </r>
  <r>
    <x v="24"/>
    <s v="Endenergieverbrauch - Industriesektor - Holz und Holzprodukte - energetischer Verbrauch"/>
    <s v="Elektrizität"/>
    <s v="Gigawattstunde"/>
    <x v="12"/>
    <x v="5"/>
    <n v="145"/>
  </r>
  <r>
    <x v="24"/>
    <s v="Endenergieverbrauch - Industriesektor - Holz und Holzprodukte - energetischer Verbrauch"/>
    <s v="Elektrizität"/>
    <s v="Gigawattstunde"/>
    <x v="13"/>
    <x v="5"/>
    <n v="151"/>
  </r>
  <r>
    <x v="24"/>
    <s v="Endenergieverbrauch - Industriesektor - Holz und Holzprodukte - energetischer Verbrauch"/>
    <s v="Elektrizität"/>
    <s v="Gigawattstunde"/>
    <x v="14"/>
    <x v="5"/>
    <n v="154"/>
  </r>
  <r>
    <x v="24"/>
    <s v="Endenergieverbrauch - Industriesektor - Holz und Holzprodukte - energetischer Verbrauch"/>
    <s v="Elektrizität"/>
    <s v="Gigawattstunde"/>
    <x v="15"/>
    <x v="5"/>
    <n v="191"/>
  </r>
  <r>
    <x v="24"/>
    <s v="Endenergieverbrauch - Industriesektor - Holz und Holzprodukte - energetischer Verbrauch"/>
    <s v="Elektrizität"/>
    <s v="Gigawattstunde"/>
    <x v="16"/>
    <x v="5"/>
    <n v="194"/>
  </r>
  <r>
    <x v="25"/>
    <s v="Endenergieverbrauch - Industriesektor - Holz und Holzprodukte - energetischer Verbrauch"/>
    <s v="Elektrizität"/>
    <s v="Gigawattstunde"/>
    <x v="0"/>
    <x v="5"/>
    <n v="1564"/>
  </r>
  <r>
    <x v="25"/>
    <s v="Endenergieverbrauch - Industriesektor - Holz und Holzprodukte - energetischer Verbrauch"/>
    <s v="Elektrizität"/>
    <s v="Gigawattstunde"/>
    <x v="1"/>
    <x v="5"/>
    <n v="1630"/>
  </r>
  <r>
    <x v="25"/>
    <s v="Endenergieverbrauch - Industriesektor - Holz und Holzprodukte - energetischer Verbrauch"/>
    <s v="Elektrizität"/>
    <s v="Gigawattstunde"/>
    <x v="2"/>
    <x v="5"/>
    <n v="1652"/>
  </r>
  <r>
    <x v="25"/>
    <s v="Endenergieverbrauch - Industriesektor - Holz und Holzprodukte - energetischer Verbrauch"/>
    <s v="Elektrizität"/>
    <s v="Gigawattstunde"/>
    <x v="3"/>
    <x v="5"/>
    <n v="1625"/>
  </r>
  <r>
    <x v="25"/>
    <s v="Endenergieverbrauch - Industriesektor - Holz und Holzprodukte - energetischer Verbrauch"/>
    <s v="Elektrizität"/>
    <s v="Gigawattstunde"/>
    <x v="4"/>
    <x v="5"/>
    <n v="1694"/>
  </r>
  <r>
    <x v="25"/>
    <s v="Endenergieverbrauch - Industriesektor - Holz und Holzprodukte - energetischer Verbrauch"/>
    <s v="Elektrizität"/>
    <s v="Gigawattstunde"/>
    <x v="5"/>
    <x v="5"/>
    <n v="1837"/>
  </r>
  <r>
    <x v="25"/>
    <s v="Endenergieverbrauch - Industriesektor - Holz und Holzprodukte - energetischer Verbrauch"/>
    <s v="Elektrizität"/>
    <s v="Gigawattstunde"/>
    <x v="6"/>
    <x v="5"/>
    <n v="1581"/>
  </r>
  <r>
    <x v="25"/>
    <s v="Endenergieverbrauch - Industriesektor - Holz und Holzprodukte - energetischer Verbrauch"/>
    <s v="Elektrizität"/>
    <s v="Gigawattstunde"/>
    <x v="7"/>
    <x v="5"/>
    <n v="1535"/>
  </r>
  <r>
    <x v="25"/>
    <s v="Endenergieverbrauch - Industriesektor - Holz und Holzprodukte - energetischer Verbrauch"/>
    <s v="Elektrizität"/>
    <s v="Gigawattstunde"/>
    <x v="8"/>
    <x v="5"/>
    <n v="1544"/>
  </r>
  <r>
    <x v="25"/>
    <s v="Endenergieverbrauch - Industriesektor - Holz und Holzprodukte - energetischer Verbrauch"/>
    <s v="Elektrizität"/>
    <s v="Gigawattstunde"/>
    <x v="9"/>
    <x v="5"/>
    <n v="1694"/>
  </r>
  <r>
    <x v="25"/>
    <s v="Endenergieverbrauch - Industriesektor - Holz und Holzprodukte - energetischer Verbrauch"/>
    <s v="Elektrizität"/>
    <s v="Gigawattstunde"/>
    <x v="10"/>
    <x v="5"/>
    <n v="1488"/>
  </r>
  <r>
    <x v="25"/>
    <s v="Endenergieverbrauch - Industriesektor - Holz und Holzprodukte - energetischer Verbrauch"/>
    <s v="Elektrizität"/>
    <s v="Gigawattstunde"/>
    <x v="11"/>
    <x v="5"/>
    <n v="1484"/>
  </r>
  <r>
    <x v="25"/>
    <s v="Endenergieverbrauch - Industriesektor - Holz und Holzprodukte - energetischer Verbrauch"/>
    <s v="Elektrizität"/>
    <s v="Gigawattstunde"/>
    <x v="12"/>
    <x v="5"/>
    <n v="1268"/>
  </r>
  <r>
    <x v="25"/>
    <s v="Endenergieverbrauch - Industriesektor - Holz und Holzprodukte - energetischer Verbrauch"/>
    <s v="Elektrizität"/>
    <s v="Gigawattstunde"/>
    <x v="13"/>
    <x v="5"/>
    <n v="1281"/>
  </r>
  <r>
    <x v="25"/>
    <s v="Endenergieverbrauch - Industriesektor - Holz und Holzprodukte - energetischer Verbrauch"/>
    <s v="Elektrizität"/>
    <s v="Gigawattstunde"/>
    <x v="14"/>
    <x v="5"/>
    <n v="1299"/>
  </r>
  <r>
    <x v="25"/>
    <s v="Endenergieverbrauch - Industriesektor - Holz und Holzprodukte - energetischer Verbrauch"/>
    <s v="Elektrizität"/>
    <s v="Gigawattstunde"/>
    <x v="15"/>
    <x v="5"/>
    <n v="1618"/>
  </r>
  <r>
    <x v="25"/>
    <s v="Endenergieverbrauch - Industriesektor - Holz und Holzprodukte - energetischer Verbrauch"/>
    <s v="Elektrizität"/>
    <s v="Gigawattstunde"/>
    <x v="16"/>
    <x v="5"/>
    <n v="1661"/>
  </r>
  <r>
    <x v="26"/>
    <s v="Endenergieverbrauch - Industriesektor - Holz und Holzprodukte - energetischer Verbrauch"/>
    <s v="Elektrizität"/>
    <s v="Gigawattstunde"/>
    <x v="0"/>
    <x v="5"/>
    <n v="2282"/>
  </r>
  <r>
    <x v="26"/>
    <s v="Endenergieverbrauch - Industriesektor - Holz und Holzprodukte - energetischer Verbrauch"/>
    <s v="Elektrizität"/>
    <s v="Gigawattstunde"/>
    <x v="1"/>
    <x v="5"/>
    <n v="2245"/>
  </r>
  <r>
    <x v="26"/>
    <s v="Endenergieverbrauch - Industriesektor - Holz und Holzprodukte - energetischer Verbrauch"/>
    <s v="Elektrizität"/>
    <s v="Gigawattstunde"/>
    <x v="2"/>
    <x v="5"/>
    <n v="2290"/>
  </r>
  <r>
    <x v="26"/>
    <s v="Endenergieverbrauch - Industriesektor - Holz und Holzprodukte - energetischer Verbrauch"/>
    <s v="Elektrizität"/>
    <s v="Gigawattstunde"/>
    <x v="3"/>
    <x v="5"/>
    <n v="2202"/>
  </r>
  <r>
    <x v="26"/>
    <s v="Endenergieverbrauch - Industriesektor - Holz und Holzprodukte - energetischer Verbrauch"/>
    <s v="Elektrizität"/>
    <s v="Gigawattstunde"/>
    <x v="4"/>
    <x v="5"/>
    <n v="2166"/>
  </r>
  <r>
    <x v="26"/>
    <s v="Endenergieverbrauch - Industriesektor - Holz und Holzprodukte - energetischer Verbrauch"/>
    <s v="Elektrizität"/>
    <s v="Gigawattstunde"/>
    <x v="5"/>
    <x v="5"/>
    <n v="2231"/>
  </r>
  <r>
    <x v="26"/>
    <s v="Endenergieverbrauch - Industriesektor - Holz und Holzprodukte - energetischer Verbrauch"/>
    <s v="Elektrizität"/>
    <s v="Gigawattstunde"/>
    <x v="6"/>
    <x v="5"/>
    <n v="2223"/>
  </r>
  <r>
    <x v="26"/>
    <s v="Endenergieverbrauch - Industriesektor - Holz und Holzprodukte - energetischer Verbrauch"/>
    <s v="Elektrizität"/>
    <s v="Gigawattstunde"/>
    <x v="7"/>
    <x v="5"/>
    <n v="2067"/>
  </r>
  <r>
    <x v="26"/>
    <s v="Endenergieverbrauch - Industriesektor - Holz und Holzprodukte - energetischer Verbrauch"/>
    <s v="Elektrizität"/>
    <s v="Gigawattstunde"/>
    <x v="8"/>
    <x v="5"/>
    <n v="2225"/>
  </r>
  <r>
    <x v="26"/>
    <s v="Endenergieverbrauch - Industriesektor - Holz und Holzprodukte - energetischer Verbrauch"/>
    <s v="Elektrizität"/>
    <s v="Gigawattstunde"/>
    <x v="9"/>
    <x v="5"/>
    <n v="2031"/>
  </r>
  <r>
    <x v="26"/>
    <s v="Endenergieverbrauch - Industriesektor - Holz und Holzprodukte - energetischer Verbrauch"/>
    <s v="Elektrizität"/>
    <s v="Gigawattstunde"/>
    <x v="10"/>
    <x v="5"/>
    <n v="1927"/>
  </r>
  <r>
    <x v="26"/>
    <s v="Endenergieverbrauch - Industriesektor - Holz und Holzprodukte - energetischer Verbrauch"/>
    <s v="Elektrizität"/>
    <s v="Gigawattstunde"/>
    <x v="11"/>
    <x v="5"/>
    <n v="1837"/>
  </r>
  <r>
    <x v="26"/>
    <s v="Endenergieverbrauch - Industriesektor - Holz und Holzprodukte - energetischer Verbrauch"/>
    <s v="Elektrizität"/>
    <s v="Gigawattstunde"/>
    <x v="12"/>
    <x v="5"/>
    <n v="1877"/>
  </r>
  <r>
    <x v="26"/>
    <s v="Endenergieverbrauch - Industriesektor - Holz und Holzprodukte - energetischer Verbrauch"/>
    <s v="Elektrizität"/>
    <s v="Gigawattstunde"/>
    <x v="13"/>
    <x v="5"/>
    <n v="1879"/>
  </r>
  <r>
    <x v="26"/>
    <s v="Endenergieverbrauch - Industriesektor - Holz und Holzprodukte - energetischer Verbrauch"/>
    <s v="Elektrizität"/>
    <s v="Gigawattstunde"/>
    <x v="14"/>
    <x v="5"/>
    <n v="1871"/>
  </r>
  <r>
    <x v="26"/>
    <s v="Endenergieverbrauch - Industriesektor - Holz und Holzprodukte - energetischer Verbrauch"/>
    <s v="Elektrizität"/>
    <s v="Gigawattstunde"/>
    <x v="15"/>
    <x v="5"/>
    <n v="1851"/>
  </r>
  <r>
    <x v="26"/>
    <s v="Endenergieverbrauch - Industriesektor - Holz und Holzprodukte - energetischer Verbrauch"/>
    <s v="Elektrizität"/>
    <s v="Gigawattstunde"/>
    <x v="16"/>
    <x v="5"/>
    <n v="1825"/>
  </r>
  <r>
    <x v="27"/>
    <s v="Endenergieverbrauch - Industriesektor - Holz und Holzprodukte - energetischer Verbrauch"/>
    <s v="Elektrizität"/>
    <s v="Gigawattstunde"/>
    <x v="0"/>
    <x v="5"/>
    <n v="0"/>
  </r>
  <r>
    <x v="27"/>
    <s v="Endenergieverbrauch - Industriesektor - Holz und Holzprodukte - energetischer Verbrauch"/>
    <s v="Elektrizität"/>
    <s v="Gigawattstunde"/>
    <x v="1"/>
    <x v="5"/>
    <n v="0"/>
  </r>
  <r>
    <x v="27"/>
    <s v="Endenergieverbrauch - Industriesektor - Holz und Holzprodukte - energetischer Verbrauch"/>
    <s v="Elektrizität"/>
    <s v="Gigawattstunde"/>
    <x v="2"/>
    <x v="5"/>
    <n v="0"/>
  </r>
  <r>
    <x v="27"/>
    <s v="Endenergieverbrauch - Industriesektor - Holz und Holzprodukte - energetischer Verbrauch"/>
    <s v="Elektrizität"/>
    <s v="Gigawattstunde"/>
    <x v="3"/>
    <x v="5"/>
    <n v="0"/>
  </r>
  <r>
    <x v="27"/>
    <s v="Endenergieverbrauch - Industriesektor - Holz und Holzprodukte - energetischer Verbrauch"/>
    <s v="Elektrizität"/>
    <s v="Gigawattstunde"/>
    <x v="4"/>
    <x v="5"/>
    <n v="0"/>
  </r>
  <r>
    <x v="27"/>
    <s v="Endenergieverbrauch - Industriesektor - Holz und Holzprodukte - energetischer Verbrauch"/>
    <s v="Elektrizität"/>
    <s v="Gigawattstunde"/>
    <x v="5"/>
    <x v="5"/>
    <n v="0"/>
  </r>
  <r>
    <x v="27"/>
    <s v="Endenergieverbrauch - Industriesektor - Holz und Holzprodukte - energetischer Verbrauch"/>
    <s v="Elektrizität"/>
    <s v="Gigawattstunde"/>
    <x v="6"/>
    <x v="5"/>
    <n v="0"/>
  </r>
  <r>
    <x v="27"/>
    <s v="Endenergieverbrauch - Industriesektor - Holz und Holzprodukte - energetischer Verbrauch"/>
    <s v="Elektrizität"/>
    <s v="Gigawattstunde"/>
    <x v="7"/>
    <x v="5"/>
    <n v="0"/>
  </r>
  <r>
    <x v="27"/>
    <s v="Endenergieverbrauch - Industriesektor - Holz und Holzprodukte - energetischer Verbrauch"/>
    <s v="Elektrizität"/>
    <s v="Gigawattstunde"/>
    <x v="8"/>
    <x v="5"/>
    <n v="537"/>
  </r>
  <r>
    <x v="27"/>
    <s v="Endenergieverbrauch - Industriesektor - Holz und Holzprodukte - energetischer Verbrauch"/>
    <s v="Elektrizität"/>
    <s v="Gigawattstunde"/>
    <x v="9"/>
    <x v="5"/>
    <n v="533"/>
  </r>
  <r>
    <x v="27"/>
    <s v="Endenergieverbrauch - Industriesektor - Holz und Holzprodukte - energetischer Verbrauch"/>
    <s v="Elektrizität"/>
    <s v="Gigawattstunde"/>
    <x v="10"/>
    <x v="5"/>
    <n v="521"/>
  </r>
  <r>
    <x v="27"/>
    <s v="Endenergieverbrauch - Industriesektor - Holz und Holzprodukte - energetischer Verbrauch"/>
    <s v="Elektrizität"/>
    <s v="Gigawattstunde"/>
    <x v="11"/>
    <x v="5"/>
    <n v="522"/>
  </r>
  <r>
    <x v="27"/>
    <s v="Endenergieverbrauch - Industriesektor - Holz und Holzprodukte - energetischer Verbrauch"/>
    <s v="Elektrizität"/>
    <s v="Gigawattstunde"/>
    <x v="12"/>
    <x v="5"/>
    <n v="502"/>
  </r>
  <r>
    <x v="27"/>
    <s v="Endenergieverbrauch - Industriesektor - Holz und Holzprodukte - energetischer Verbrauch"/>
    <s v="Elektrizität"/>
    <s v="Gigawattstunde"/>
    <x v="13"/>
    <x v="5"/>
    <n v="0"/>
  </r>
  <r>
    <x v="27"/>
    <s v="Endenergieverbrauch - Industriesektor - Holz und Holzprodukte - energetischer Verbrauch"/>
    <s v="Elektrizität"/>
    <s v="Gigawattstunde"/>
    <x v="14"/>
    <x v="5"/>
    <n v="0"/>
  </r>
  <r>
    <x v="27"/>
    <s v="Endenergieverbrauch - Industriesektor - Holz und Holzprodukte - energetischer Verbrauch"/>
    <s v="Elektrizität"/>
    <s v="Gigawattstunde"/>
    <x v="15"/>
    <x v="5"/>
    <n v="0"/>
  </r>
  <r>
    <x v="27"/>
    <s v="Endenergieverbrauch - Industriesektor - Holz und Holzprodukte - energetischer Verbrauch"/>
    <s v="Elektrizität"/>
    <s v="Gigawattstunde"/>
    <x v="16"/>
    <x v="5"/>
    <n v="0"/>
  </r>
  <r>
    <x v="28"/>
    <s v="Endenergieverbrauch - Industriesektor - Holz und Holzprodukte - energetischer Verbrauch"/>
    <s v="Elektrizität"/>
    <s v="Gigawattstunde"/>
    <x v="0"/>
    <x v="5"/>
    <n v="7"/>
  </r>
  <r>
    <x v="28"/>
    <s v="Endenergieverbrauch - Industriesektor - Holz und Holzprodukte - energetischer Verbrauch"/>
    <s v="Elektrizität"/>
    <s v="Gigawattstunde"/>
    <x v="1"/>
    <x v="5"/>
    <n v="7"/>
  </r>
  <r>
    <x v="28"/>
    <s v="Endenergieverbrauch - Industriesektor - Holz und Holzprodukte - energetischer Verbrauch"/>
    <s v="Elektrizität"/>
    <s v="Gigawattstunde"/>
    <x v="2"/>
    <x v="5"/>
    <n v="7"/>
  </r>
  <r>
    <x v="28"/>
    <s v="Endenergieverbrauch - Industriesektor - Holz und Holzprodukte - energetischer Verbrauch"/>
    <s v="Elektrizität"/>
    <s v="Gigawattstunde"/>
    <x v="3"/>
    <x v="5"/>
    <n v="7"/>
  </r>
  <r>
    <x v="28"/>
    <s v="Endenergieverbrauch - Industriesektor - Holz und Holzprodukte - energetischer Verbrauch"/>
    <s v="Elektrizität"/>
    <s v="Gigawattstunde"/>
    <x v="4"/>
    <x v="5"/>
    <n v="5"/>
  </r>
  <r>
    <x v="28"/>
    <s v="Endenergieverbrauch - Industriesektor - Holz und Holzprodukte - energetischer Verbrauch"/>
    <s v="Elektrizität"/>
    <s v="Gigawattstunde"/>
    <x v="5"/>
    <x v="5"/>
    <n v="5"/>
  </r>
  <r>
    <x v="28"/>
    <s v="Endenergieverbrauch - Industriesektor - Holz und Holzprodukte - energetischer Verbrauch"/>
    <s v="Elektrizität"/>
    <s v="Gigawattstunde"/>
    <x v="6"/>
    <x v="5"/>
    <n v="5"/>
  </r>
  <r>
    <x v="28"/>
    <s v="Endenergieverbrauch - Industriesektor - Holz und Holzprodukte - energetischer Verbrauch"/>
    <s v="Elektrizität"/>
    <s v="Gigawattstunde"/>
    <x v="7"/>
    <x v="5"/>
    <n v="4"/>
  </r>
  <r>
    <x v="28"/>
    <s v="Endenergieverbrauch - Industriesektor - Holz und Holzprodukte - energetischer Verbrauch"/>
    <s v="Elektrizität"/>
    <s v="Gigawattstunde"/>
    <x v="8"/>
    <x v="5"/>
    <n v="3"/>
  </r>
  <r>
    <x v="28"/>
    <s v="Endenergieverbrauch - Industriesektor - Holz und Holzprodukte - energetischer Verbrauch"/>
    <s v="Elektrizität"/>
    <s v="Gigawattstunde"/>
    <x v="9"/>
    <x v="5"/>
    <n v="4"/>
  </r>
  <r>
    <x v="28"/>
    <s v="Endenergieverbrauch - Industriesektor - Holz und Holzprodukte - energetischer Verbrauch"/>
    <s v="Elektrizität"/>
    <s v="Gigawattstunde"/>
    <x v="10"/>
    <x v="5"/>
    <n v="4"/>
  </r>
  <r>
    <x v="28"/>
    <s v="Endenergieverbrauch - Industriesektor - Holz und Holzprodukte - energetischer Verbrauch"/>
    <s v="Elektrizität"/>
    <s v="Gigawattstunde"/>
    <x v="11"/>
    <x v="5"/>
    <n v="3"/>
  </r>
  <r>
    <x v="28"/>
    <s v="Endenergieverbrauch - Industriesektor - Holz und Holzprodukte - energetischer Verbrauch"/>
    <s v="Elektrizität"/>
    <s v="Gigawattstunde"/>
    <x v="12"/>
    <x v="5"/>
    <n v="3"/>
  </r>
  <r>
    <x v="28"/>
    <s v="Endenergieverbrauch - Industriesektor - Holz und Holzprodukte - energetischer Verbrauch"/>
    <s v="Elektrizität"/>
    <s v="Gigawattstunde"/>
    <x v="13"/>
    <x v="5"/>
    <n v="4"/>
  </r>
  <r>
    <x v="28"/>
    <s v="Endenergieverbrauch - Industriesektor - Holz und Holzprodukte - energetischer Verbrauch"/>
    <s v="Elektrizität"/>
    <s v="Gigawattstunde"/>
    <x v="14"/>
    <x v="5"/>
    <n v="4"/>
  </r>
  <r>
    <x v="28"/>
    <s v="Endenergieverbrauch - Industriesektor - Holz und Holzprodukte - energetischer Verbrauch"/>
    <s v="Elektrizität"/>
    <s v="Gigawattstunde"/>
    <x v="15"/>
    <x v="5"/>
    <n v="3.8220000000000001"/>
  </r>
  <r>
    <x v="28"/>
    <s v="Endenergieverbrauch - Industriesektor - Holz und Holzprodukte - energetischer Verbrauch"/>
    <s v="Elektrizität"/>
    <s v="Gigawattstunde"/>
    <x v="16"/>
    <x v="5"/>
    <n v="3.12"/>
  </r>
  <r>
    <x v="29"/>
    <s v="Endenergieverbrauch - Industriesektor - Holz und Holzprodukte - energetischer Verbrauch"/>
    <s v="Elektrizität"/>
    <s v="Gigawattstunde"/>
    <x v="0"/>
    <x v="5"/>
    <n v="763"/>
  </r>
  <r>
    <x v="29"/>
    <s v="Endenergieverbrauch - Industriesektor - Holz und Holzprodukte - energetischer Verbrauch"/>
    <s v="Elektrizität"/>
    <s v="Gigawattstunde"/>
    <x v="1"/>
    <x v="5"/>
    <n v="689"/>
  </r>
  <r>
    <x v="29"/>
    <s v="Endenergieverbrauch - Industriesektor - Holz und Holzprodukte - energetischer Verbrauch"/>
    <s v="Elektrizität"/>
    <s v="Gigawattstunde"/>
    <x v="2"/>
    <x v="5"/>
    <n v="705"/>
  </r>
  <r>
    <x v="29"/>
    <s v="Endenergieverbrauch - Industriesektor - Holz und Holzprodukte - energetischer Verbrauch"/>
    <s v="Elektrizität"/>
    <s v="Gigawattstunde"/>
    <x v="3"/>
    <x v="5"/>
    <n v="716"/>
  </r>
  <r>
    <x v="29"/>
    <s v="Endenergieverbrauch - Industriesektor - Holz und Holzprodukte - energetischer Verbrauch"/>
    <s v="Elektrizität"/>
    <s v="Gigawattstunde"/>
    <x v="4"/>
    <x v="5"/>
    <n v="711"/>
  </r>
  <r>
    <x v="29"/>
    <s v="Endenergieverbrauch - Industriesektor - Holz und Holzprodukte - energetischer Verbrauch"/>
    <s v="Elektrizität"/>
    <s v="Gigawattstunde"/>
    <x v="5"/>
    <x v="5"/>
    <n v="807"/>
  </r>
  <r>
    <x v="29"/>
    <s v="Endenergieverbrauch - Industriesektor - Holz und Holzprodukte - energetischer Verbrauch"/>
    <s v="Elektrizität"/>
    <s v="Gigawattstunde"/>
    <x v="6"/>
    <x v="5"/>
    <n v="741"/>
  </r>
  <r>
    <x v="29"/>
    <s v="Endenergieverbrauch - Industriesektor - Holz und Holzprodukte - energetischer Verbrauch"/>
    <s v="Elektrizität"/>
    <s v="Gigawattstunde"/>
    <x v="7"/>
    <x v="5"/>
    <n v="558"/>
  </r>
  <r>
    <x v="29"/>
    <s v="Endenergieverbrauch - Industriesektor - Holz und Holzprodukte - energetischer Verbrauch"/>
    <s v="Elektrizität"/>
    <s v="Gigawattstunde"/>
    <x v="8"/>
    <x v="5"/>
    <n v="717"/>
  </r>
  <r>
    <x v="29"/>
    <s v="Endenergieverbrauch - Industriesektor - Holz und Holzprodukte - energetischer Verbrauch"/>
    <s v="Elektrizität"/>
    <s v="Gigawattstunde"/>
    <x v="9"/>
    <x v="5"/>
    <n v="640"/>
  </r>
  <r>
    <x v="29"/>
    <s v="Endenergieverbrauch - Industriesektor - Holz und Holzprodukte - energetischer Verbrauch"/>
    <s v="Elektrizität"/>
    <s v="Gigawattstunde"/>
    <x v="10"/>
    <x v="5"/>
    <n v="658"/>
  </r>
  <r>
    <x v="29"/>
    <s v="Endenergieverbrauch - Industriesektor - Holz und Holzprodukte - energetischer Verbrauch"/>
    <s v="Elektrizität"/>
    <s v="Gigawattstunde"/>
    <x v="11"/>
    <x v="5"/>
    <n v="609"/>
  </r>
  <r>
    <x v="29"/>
    <s v="Endenergieverbrauch - Industriesektor - Holz und Holzprodukte - energetischer Verbrauch"/>
    <s v="Elektrizität"/>
    <s v="Gigawattstunde"/>
    <x v="12"/>
    <x v="5"/>
    <n v="629"/>
  </r>
  <r>
    <x v="29"/>
    <s v="Endenergieverbrauch - Industriesektor - Holz und Holzprodukte - energetischer Verbrauch"/>
    <s v="Elektrizität"/>
    <s v="Gigawattstunde"/>
    <x v="13"/>
    <x v="5"/>
    <n v="641"/>
  </r>
  <r>
    <x v="29"/>
    <s v="Endenergieverbrauch - Industriesektor - Holz und Holzprodukte - energetischer Verbrauch"/>
    <s v="Elektrizität"/>
    <s v="Gigawattstunde"/>
    <x v="14"/>
    <x v="5"/>
    <n v="675"/>
  </r>
  <r>
    <x v="29"/>
    <s v="Endenergieverbrauch - Industriesektor - Holz und Holzprodukte - energetischer Verbrauch"/>
    <s v="Elektrizität"/>
    <s v="Gigawattstunde"/>
    <x v="15"/>
    <x v="5"/>
    <n v="615"/>
  </r>
  <r>
    <x v="29"/>
    <s v="Endenergieverbrauch - Industriesektor - Holz und Holzprodukte - energetischer Verbrauch"/>
    <s v="Elektrizität"/>
    <s v="Gigawattstunde"/>
    <x v="16"/>
    <x v="5"/>
    <n v="612.89"/>
  </r>
  <r>
    <x v="30"/>
    <s v="Endenergieverbrauch - Industriesektor - Holz und Holzprodukte - energetischer Verbrauch"/>
    <s v="Elektrizität"/>
    <s v="Gigawattstunde"/>
    <x v="0"/>
    <x v="5"/>
    <n v="0"/>
  </r>
  <r>
    <x v="30"/>
    <s v="Endenergieverbrauch - Industriesektor - Holz und Holzprodukte - energetischer Verbrauch"/>
    <s v="Elektrizität"/>
    <s v="Gigawattstunde"/>
    <x v="1"/>
    <x v="5"/>
    <n v="0"/>
  </r>
  <r>
    <x v="30"/>
    <s v="Endenergieverbrauch - Industriesektor - Holz und Holzprodukte - energetischer Verbrauch"/>
    <s v="Elektrizität"/>
    <s v="Gigawattstunde"/>
    <x v="2"/>
    <x v="5"/>
    <n v="54"/>
  </r>
  <r>
    <x v="30"/>
    <s v="Endenergieverbrauch - Industriesektor - Holz und Holzprodukte - energetischer Verbrauch"/>
    <s v="Elektrizität"/>
    <s v="Gigawattstunde"/>
    <x v="3"/>
    <x v="5"/>
    <n v="55"/>
  </r>
  <r>
    <x v="30"/>
    <s v="Endenergieverbrauch - Industriesektor - Holz und Holzprodukte - energetischer Verbrauch"/>
    <s v="Elektrizität"/>
    <s v="Gigawattstunde"/>
    <x v="4"/>
    <x v="5"/>
    <n v="48"/>
  </r>
  <r>
    <x v="30"/>
    <s v="Endenergieverbrauch - Industriesektor - Holz und Holzprodukte - energetischer Verbrauch"/>
    <s v="Elektrizität"/>
    <s v="Gigawattstunde"/>
    <x v="5"/>
    <x v="5"/>
    <n v="58"/>
  </r>
  <r>
    <x v="30"/>
    <s v="Endenergieverbrauch - Industriesektor - Holz und Holzprodukte - energetischer Verbrauch"/>
    <s v="Elektrizität"/>
    <s v="Gigawattstunde"/>
    <x v="6"/>
    <x v="5"/>
    <n v="82"/>
  </r>
  <r>
    <x v="30"/>
    <s v="Endenergieverbrauch - Industriesektor - Holz und Holzprodukte - energetischer Verbrauch"/>
    <s v="Elektrizität"/>
    <s v="Gigawattstunde"/>
    <x v="7"/>
    <x v="5"/>
    <n v="23"/>
  </r>
  <r>
    <x v="30"/>
    <s v="Endenergieverbrauch - Industriesektor - Holz und Holzprodukte - energetischer Verbrauch"/>
    <s v="Elektrizität"/>
    <s v="Gigawattstunde"/>
    <x v="8"/>
    <x v="5"/>
    <n v="73"/>
  </r>
  <r>
    <x v="30"/>
    <s v="Endenergieverbrauch - Industriesektor - Holz und Holzprodukte - energetischer Verbrauch"/>
    <s v="Elektrizität"/>
    <s v="Gigawattstunde"/>
    <x v="9"/>
    <x v="5"/>
    <n v="85"/>
  </r>
  <r>
    <x v="30"/>
    <s v="Endenergieverbrauch - Industriesektor - Holz und Holzprodukte - energetischer Verbrauch"/>
    <s v="Elektrizität"/>
    <s v="Gigawattstunde"/>
    <x v="10"/>
    <x v="5"/>
    <n v="42"/>
  </r>
  <r>
    <x v="30"/>
    <s v="Endenergieverbrauch - Industriesektor - Holz und Holzprodukte - energetischer Verbrauch"/>
    <s v="Elektrizität"/>
    <s v="Gigawattstunde"/>
    <x v="11"/>
    <x v="5"/>
    <n v="92"/>
  </r>
  <r>
    <x v="30"/>
    <s v="Endenergieverbrauch - Industriesektor - Holz und Holzprodukte - energetischer Verbrauch"/>
    <s v="Elektrizität"/>
    <s v="Gigawattstunde"/>
    <x v="12"/>
    <x v="5"/>
    <n v="122"/>
  </r>
  <r>
    <x v="30"/>
    <s v="Endenergieverbrauch - Industriesektor - Holz und Holzprodukte - energetischer Verbrauch"/>
    <s v="Elektrizität"/>
    <s v="Gigawattstunde"/>
    <x v="13"/>
    <x v="5"/>
    <n v="128"/>
  </r>
  <r>
    <x v="30"/>
    <s v="Endenergieverbrauch - Industriesektor - Holz und Holzprodukte - energetischer Verbrauch"/>
    <s v="Elektrizität"/>
    <s v="Gigawattstunde"/>
    <x v="14"/>
    <x v="5"/>
    <n v="126"/>
  </r>
  <r>
    <x v="30"/>
    <s v="Endenergieverbrauch - Industriesektor - Holz und Holzprodukte - energetischer Verbrauch"/>
    <s v="Elektrizität"/>
    <s v="Gigawattstunde"/>
    <x v="15"/>
    <x v="5"/>
    <n v="132.21899999999999"/>
  </r>
  <r>
    <x v="30"/>
    <s v="Endenergieverbrauch - Industriesektor - Holz und Holzprodukte - energetischer Verbrauch"/>
    <s v="Elektrizität"/>
    <s v="Gigawattstunde"/>
    <x v="16"/>
    <x v="5"/>
    <n v="105.792"/>
  </r>
  <r>
    <x v="0"/>
    <s v="Endenergieverbrauch - Industriesektor - Maschinen - energetischer Verbrauch"/>
    <s v="Elektrizität"/>
    <s v="Gigawattstunde"/>
    <x v="0"/>
    <x v="6"/>
    <n v="2025"/>
  </r>
  <r>
    <x v="0"/>
    <s v="Endenergieverbrauch - Industriesektor - Maschinen - energetischer Verbrauch"/>
    <s v="Elektrizität"/>
    <s v="Gigawattstunde"/>
    <x v="1"/>
    <x v="6"/>
    <n v="2082"/>
  </r>
  <r>
    <x v="0"/>
    <s v="Endenergieverbrauch - Industriesektor - Maschinen - energetischer Verbrauch"/>
    <s v="Elektrizität"/>
    <s v="Gigawattstunde"/>
    <x v="2"/>
    <x v="6"/>
    <n v="2122"/>
  </r>
  <r>
    <x v="0"/>
    <s v="Endenergieverbrauch - Industriesektor - Maschinen - energetischer Verbrauch"/>
    <s v="Elektrizität"/>
    <s v="Gigawattstunde"/>
    <x v="3"/>
    <x v="6"/>
    <n v="2169"/>
  </r>
  <r>
    <x v="0"/>
    <s v="Endenergieverbrauch - Industriesektor - Maschinen - energetischer Verbrauch"/>
    <s v="Elektrizität"/>
    <s v="Gigawattstunde"/>
    <x v="4"/>
    <x v="6"/>
    <n v="2176"/>
  </r>
  <r>
    <x v="0"/>
    <s v="Endenergieverbrauch - Industriesektor - Maschinen - energetischer Verbrauch"/>
    <s v="Elektrizität"/>
    <s v="Gigawattstunde"/>
    <x v="5"/>
    <x v="6"/>
    <n v="2149"/>
  </r>
  <r>
    <x v="0"/>
    <s v="Endenergieverbrauch - Industriesektor - Maschinen - energetischer Verbrauch"/>
    <s v="Elektrizität"/>
    <s v="Gigawattstunde"/>
    <x v="6"/>
    <x v="6"/>
    <n v="2188"/>
  </r>
  <r>
    <x v="0"/>
    <s v="Endenergieverbrauch - Industriesektor - Maschinen - energetischer Verbrauch"/>
    <s v="Elektrizität"/>
    <s v="Gigawattstunde"/>
    <x v="7"/>
    <x v="6"/>
    <n v="1762"/>
  </r>
  <r>
    <x v="0"/>
    <s v="Endenergieverbrauch - Industriesektor - Maschinen - energetischer Verbrauch"/>
    <s v="Elektrizität"/>
    <s v="Gigawattstunde"/>
    <x v="8"/>
    <x v="6"/>
    <n v="1899"/>
  </r>
  <r>
    <x v="0"/>
    <s v="Endenergieverbrauch - Industriesektor - Maschinen - energetischer Verbrauch"/>
    <s v="Elektrizität"/>
    <s v="Gigawattstunde"/>
    <x v="9"/>
    <x v="6"/>
    <n v="1873"/>
  </r>
  <r>
    <x v="0"/>
    <s v="Endenergieverbrauch - Industriesektor - Maschinen - energetischer Verbrauch"/>
    <s v="Elektrizität"/>
    <s v="Gigawattstunde"/>
    <x v="10"/>
    <x v="6"/>
    <n v="2030"/>
  </r>
  <r>
    <x v="0"/>
    <s v="Endenergieverbrauch - Industriesektor - Maschinen - energetischer Verbrauch"/>
    <s v="Elektrizität"/>
    <s v="Gigawattstunde"/>
    <x v="11"/>
    <x v="6"/>
    <n v="1954"/>
  </r>
  <r>
    <x v="0"/>
    <s v="Endenergieverbrauch - Industriesektor - Maschinen - energetischer Verbrauch"/>
    <s v="Elektrizität"/>
    <s v="Gigawattstunde"/>
    <x v="12"/>
    <x v="6"/>
    <n v="1924.7"/>
  </r>
  <r>
    <x v="0"/>
    <s v="Endenergieverbrauch - Industriesektor - Maschinen - energetischer Verbrauch"/>
    <s v="Elektrizität"/>
    <s v="Gigawattstunde"/>
    <x v="13"/>
    <x v="6"/>
    <n v="1864.3"/>
  </r>
  <r>
    <x v="0"/>
    <s v="Endenergieverbrauch - Industriesektor - Maschinen - energetischer Verbrauch"/>
    <s v="Elektrizität"/>
    <s v="Gigawattstunde"/>
    <x v="14"/>
    <x v="6"/>
    <n v="1756"/>
  </r>
  <r>
    <x v="0"/>
    <s v="Endenergieverbrauch - Industriesektor - Maschinen - energetischer Verbrauch"/>
    <s v="Elektrizität"/>
    <s v="Gigawattstunde"/>
    <x v="15"/>
    <x v="6"/>
    <n v="1835.2"/>
  </r>
  <r>
    <x v="0"/>
    <s v="Endenergieverbrauch - Industriesektor - Maschinen - energetischer Verbrauch"/>
    <s v="Elektrizität"/>
    <s v="Gigawattstunde"/>
    <x v="16"/>
    <x v="6"/>
    <n v="1838.1"/>
  </r>
  <r>
    <x v="1"/>
    <s v="Endenergieverbrauch - Industriesektor - Maschinen - energetischer Verbrauch"/>
    <s v="Elektrizität"/>
    <s v="Gigawattstunde"/>
    <x v="0"/>
    <x v="6"/>
    <n v="750"/>
  </r>
  <r>
    <x v="1"/>
    <s v="Endenergieverbrauch - Industriesektor - Maschinen - energetischer Verbrauch"/>
    <s v="Elektrizität"/>
    <s v="Gigawattstunde"/>
    <x v="1"/>
    <x v="6"/>
    <n v="802"/>
  </r>
  <r>
    <x v="1"/>
    <s v="Endenergieverbrauch - Industriesektor - Maschinen - energetischer Verbrauch"/>
    <s v="Elektrizität"/>
    <s v="Gigawattstunde"/>
    <x v="2"/>
    <x v="6"/>
    <n v="760"/>
  </r>
  <r>
    <x v="1"/>
    <s v="Endenergieverbrauch - Industriesektor - Maschinen - energetischer Verbrauch"/>
    <s v="Elektrizität"/>
    <s v="Gigawattstunde"/>
    <x v="3"/>
    <x v="6"/>
    <n v="819"/>
  </r>
  <r>
    <x v="1"/>
    <s v="Endenergieverbrauch - Industriesektor - Maschinen - energetischer Verbrauch"/>
    <s v="Elektrizität"/>
    <s v="Gigawattstunde"/>
    <x v="4"/>
    <x v="6"/>
    <n v="795"/>
  </r>
  <r>
    <x v="1"/>
    <s v="Endenergieverbrauch - Industriesektor - Maschinen - energetischer Verbrauch"/>
    <s v="Elektrizität"/>
    <s v="Gigawattstunde"/>
    <x v="5"/>
    <x v="6"/>
    <n v="848"/>
  </r>
  <r>
    <x v="1"/>
    <s v="Endenergieverbrauch - Industriesektor - Maschinen - energetischer Verbrauch"/>
    <s v="Elektrizität"/>
    <s v="Gigawattstunde"/>
    <x v="6"/>
    <x v="6"/>
    <n v="891"/>
  </r>
  <r>
    <x v="1"/>
    <s v="Endenergieverbrauch - Industriesektor - Maschinen - energetischer Verbrauch"/>
    <s v="Elektrizität"/>
    <s v="Gigawattstunde"/>
    <x v="7"/>
    <x v="6"/>
    <n v="685"/>
  </r>
  <r>
    <x v="1"/>
    <s v="Endenergieverbrauch - Industriesektor - Maschinen - energetischer Verbrauch"/>
    <s v="Elektrizität"/>
    <s v="Gigawattstunde"/>
    <x v="8"/>
    <x v="6"/>
    <n v="738"/>
  </r>
  <r>
    <x v="1"/>
    <s v="Endenergieverbrauch - Industriesektor - Maschinen - energetischer Verbrauch"/>
    <s v="Elektrizität"/>
    <s v="Gigawattstunde"/>
    <x v="9"/>
    <x v="6"/>
    <n v="912"/>
  </r>
  <r>
    <x v="1"/>
    <s v="Endenergieverbrauch - Industriesektor - Maschinen - energetischer Verbrauch"/>
    <s v="Elektrizität"/>
    <s v="Gigawattstunde"/>
    <x v="10"/>
    <x v="6"/>
    <n v="901"/>
  </r>
  <r>
    <x v="1"/>
    <s v="Endenergieverbrauch - Industriesektor - Maschinen - energetischer Verbrauch"/>
    <s v="Elektrizität"/>
    <s v="Gigawattstunde"/>
    <x v="11"/>
    <x v="6"/>
    <n v="905"/>
  </r>
  <r>
    <x v="1"/>
    <s v="Endenergieverbrauch - Industriesektor - Maschinen - energetischer Verbrauch"/>
    <s v="Elektrizität"/>
    <s v="Gigawattstunde"/>
    <x v="12"/>
    <x v="6"/>
    <n v="902"/>
  </r>
  <r>
    <x v="1"/>
    <s v="Endenergieverbrauch - Industriesektor - Maschinen - energetischer Verbrauch"/>
    <s v="Elektrizität"/>
    <s v="Gigawattstunde"/>
    <x v="13"/>
    <x v="6"/>
    <n v="931"/>
  </r>
  <r>
    <x v="1"/>
    <s v="Endenergieverbrauch - Industriesektor - Maschinen - energetischer Verbrauch"/>
    <s v="Elektrizität"/>
    <s v="Gigawattstunde"/>
    <x v="14"/>
    <x v="6"/>
    <n v="984"/>
  </r>
  <r>
    <x v="1"/>
    <s v="Endenergieverbrauch - Industriesektor - Maschinen - energetischer Verbrauch"/>
    <s v="Elektrizität"/>
    <s v="Gigawattstunde"/>
    <x v="15"/>
    <x v="6"/>
    <n v="1035.056"/>
  </r>
  <r>
    <x v="1"/>
    <s v="Endenergieverbrauch - Industriesektor - Maschinen - energetischer Verbrauch"/>
    <s v="Elektrizität"/>
    <s v="Gigawattstunde"/>
    <x v="16"/>
    <x v="6"/>
    <n v="1070.636"/>
  </r>
  <r>
    <x v="2"/>
    <s v="Endenergieverbrauch - Industriesektor - Maschinen - energetischer Verbrauch"/>
    <s v="Elektrizität"/>
    <s v="Gigawattstunde"/>
    <x v="0"/>
    <x v="6"/>
    <n v="2571"/>
  </r>
  <r>
    <x v="2"/>
    <s v="Endenergieverbrauch - Industriesektor - Maschinen - energetischer Verbrauch"/>
    <s v="Elektrizität"/>
    <s v="Gigawattstunde"/>
    <x v="1"/>
    <x v="6"/>
    <n v="2711"/>
  </r>
  <r>
    <x v="2"/>
    <s v="Endenergieverbrauch - Industriesektor - Maschinen - energetischer Verbrauch"/>
    <s v="Elektrizität"/>
    <s v="Gigawattstunde"/>
    <x v="2"/>
    <x v="6"/>
    <n v="3163"/>
  </r>
  <r>
    <x v="2"/>
    <s v="Endenergieverbrauch - Industriesektor - Maschinen - energetischer Verbrauch"/>
    <s v="Elektrizität"/>
    <s v="Gigawattstunde"/>
    <x v="3"/>
    <x v="6"/>
    <n v="3403"/>
  </r>
  <r>
    <x v="2"/>
    <s v="Endenergieverbrauch - Industriesektor - Maschinen - energetischer Verbrauch"/>
    <s v="Elektrizität"/>
    <s v="Gigawattstunde"/>
    <x v="4"/>
    <x v="6"/>
    <n v="3521"/>
  </r>
  <r>
    <x v="2"/>
    <s v="Endenergieverbrauch - Industriesektor - Maschinen - energetischer Verbrauch"/>
    <s v="Elektrizität"/>
    <s v="Gigawattstunde"/>
    <x v="5"/>
    <x v="6"/>
    <n v="3882"/>
  </r>
  <r>
    <x v="2"/>
    <s v="Endenergieverbrauch - Industriesektor - Maschinen - energetischer Verbrauch"/>
    <s v="Elektrizität"/>
    <s v="Gigawattstunde"/>
    <x v="6"/>
    <x v="6"/>
    <n v="4004"/>
  </r>
  <r>
    <x v="2"/>
    <s v="Endenergieverbrauch - Industriesektor - Maschinen - energetischer Verbrauch"/>
    <s v="Elektrizität"/>
    <s v="Gigawattstunde"/>
    <x v="7"/>
    <x v="6"/>
    <n v="3101"/>
  </r>
  <r>
    <x v="2"/>
    <s v="Endenergieverbrauch - Industriesektor - Maschinen - energetischer Verbrauch"/>
    <s v="Elektrizität"/>
    <s v="Gigawattstunde"/>
    <x v="8"/>
    <x v="6"/>
    <n v="3545"/>
  </r>
  <r>
    <x v="2"/>
    <s v="Endenergieverbrauch - Industriesektor - Maschinen - energetischer Verbrauch"/>
    <s v="Elektrizität"/>
    <s v="Gigawattstunde"/>
    <x v="9"/>
    <x v="6"/>
    <n v="3820"/>
  </r>
  <r>
    <x v="2"/>
    <s v="Endenergieverbrauch - Industriesektor - Maschinen - energetischer Verbrauch"/>
    <s v="Elektrizität"/>
    <s v="Gigawattstunde"/>
    <x v="10"/>
    <x v="6"/>
    <n v="3864"/>
  </r>
  <r>
    <x v="2"/>
    <s v="Endenergieverbrauch - Industriesektor - Maschinen - energetischer Verbrauch"/>
    <s v="Elektrizität"/>
    <s v="Gigawattstunde"/>
    <x v="11"/>
    <x v="6"/>
    <n v="3724"/>
  </r>
  <r>
    <x v="2"/>
    <s v="Endenergieverbrauch - Industriesektor - Maschinen - energetischer Verbrauch"/>
    <s v="Elektrizität"/>
    <s v="Gigawattstunde"/>
    <x v="12"/>
    <x v="6"/>
    <n v="3817"/>
  </r>
  <r>
    <x v="2"/>
    <s v="Endenergieverbrauch - Industriesektor - Maschinen - energetischer Verbrauch"/>
    <s v="Elektrizität"/>
    <s v="Gigawattstunde"/>
    <x v="13"/>
    <x v="6"/>
    <n v="3996"/>
  </r>
  <r>
    <x v="2"/>
    <s v="Endenergieverbrauch - Industriesektor - Maschinen - energetischer Verbrauch"/>
    <s v="Elektrizität"/>
    <s v="Gigawattstunde"/>
    <x v="14"/>
    <x v="6"/>
    <n v="4069"/>
  </r>
  <r>
    <x v="2"/>
    <s v="Endenergieverbrauch - Industriesektor - Maschinen - energetischer Verbrauch"/>
    <s v="Elektrizität"/>
    <s v="Gigawattstunde"/>
    <x v="15"/>
    <x v="6"/>
    <n v="4343.018"/>
  </r>
  <r>
    <x v="2"/>
    <s v="Endenergieverbrauch - Industriesektor - Maschinen - energetischer Verbrauch"/>
    <s v="Elektrizität"/>
    <s v="Gigawattstunde"/>
    <x v="16"/>
    <x v="6"/>
    <n v="4262.6899999999996"/>
  </r>
  <r>
    <x v="3"/>
    <s v="Endenergieverbrauch - Industriesektor - Maschinen - energetischer Verbrauch"/>
    <s v="Elektrizität"/>
    <s v="Gigawattstunde"/>
    <x v="0"/>
    <x v="6"/>
    <n v="1567"/>
  </r>
  <r>
    <x v="3"/>
    <s v="Endenergieverbrauch - Industriesektor - Maschinen - energetischer Verbrauch"/>
    <s v="Elektrizität"/>
    <s v="Gigawattstunde"/>
    <x v="1"/>
    <x v="6"/>
    <n v="1556"/>
  </r>
  <r>
    <x v="3"/>
    <s v="Endenergieverbrauch - Industriesektor - Maschinen - energetischer Verbrauch"/>
    <s v="Elektrizität"/>
    <s v="Gigawattstunde"/>
    <x v="2"/>
    <x v="6"/>
    <n v="1618"/>
  </r>
  <r>
    <x v="3"/>
    <s v="Endenergieverbrauch - Industriesektor - Maschinen - energetischer Verbrauch"/>
    <s v="Elektrizität"/>
    <s v="Gigawattstunde"/>
    <x v="3"/>
    <x v="6"/>
    <n v="1647"/>
  </r>
  <r>
    <x v="3"/>
    <s v="Endenergieverbrauch - Industriesektor - Maschinen - energetischer Verbrauch"/>
    <s v="Elektrizität"/>
    <s v="Gigawattstunde"/>
    <x v="4"/>
    <x v="6"/>
    <n v="1695"/>
  </r>
  <r>
    <x v="3"/>
    <s v="Endenergieverbrauch - Industriesektor - Maschinen - energetischer Verbrauch"/>
    <s v="Elektrizität"/>
    <s v="Gigawattstunde"/>
    <x v="5"/>
    <x v="6"/>
    <n v="1732"/>
  </r>
  <r>
    <x v="3"/>
    <s v="Endenergieverbrauch - Industriesektor - Maschinen - energetischer Verbrauch"/>
    <s v="Elektrizität"/>
    <s v="Gigawattstunde"/>
    <x v="6"/>
    <x v="6"/>
    <n v="1667"/>
  </r>
  <r>
    <x v="3"/>
    <s v="Endenergieverbrauch - Industriesektor - Maschinen - energetischer Verbrauch"/>
    <s v="Elektrizität"/>
    <s v="Gigawattstunde"/>
    <x v="7"/>
    <x v="6"/>
    <n v="1551"/>
  </r>
  <r>
    <x v="3"/>
    <s v="Endenergieverbrauch - Industriesektor - Maschinen - energetischer Verbrauch"/>
    <s v="Elektrizität"/>
    <s v="Gigawattstunde"/>
    <x v="8"/>
    <x v="6"/>
    <n v="1552"/>
  </r>
  <r>
    <x v="3"/>
    <s v="Endenergieverbrauch - Industriesektor - Maschinen - energetischer Verbrauch"/>
    <s v="Elektrizität"/>
    <s v="Gigawattstunde"/>
    <x v="9"/>
    <x v="6"/>
    <n v="1548"/>
  </r>
  <r>
    <x v="3"/>
    <s v="Endenergieverbrauch - Industriesektor - Maschinen - energetischer Verbrauch"/>
    <s v="Elektrizität"/>
    <s v="Gigawattstunde"/>
    <x v="10"/>
    <x v="6"/>
    <n v="1496"/>
  </r>
  <r>
    <x v="3"/>
    <s v="Endenergieverbrauch - Industriesektor - Maschinen - energetischer Verbrauch"/>
    <s v="Elektrizität"/>
    <s v="Gigawattstunde"/>
    <x v="11"/>
    <x v="6"/>
    <n v="1432"/>
  </r>
  <r>
    <x v="3"/>
    <s v="Endenergieverbrauch - Industriesektor - Maschinen - energetischer Verbrauch"/>
    <s v="Elektrizität"/>
    <s v="Gigawattstunde"/>
    <x v="12"/>
    <x v="6"/>
    <n v="1400"/>
  </r>
  <r>
    <x v="3"/>
    <s v="Endenergieverbrauch - Industriesektor - Maschinen - energetischer Verbrauch"/>
    <s v="Elektrizität"/>
    <s v="Gigawattstunde"/>
    <x v="13"/>
    <x v="6"/>
    <n v="1409.174"/>
  </r>
  <r>
    <x v="3"/>
    <s v="Endenergieverbrauch - Industriesektor - Maschinen - energetischer Verbrauch"/>
    <s v="Elektrizität"/>
    <s v="Gigawattstunde"/>
    <x v="14"/>
    <x v="6"/>
    <n v="1319.8330000000001"/>
  </r>
  <r>
    <x v="3"/>
    <s v="Endenergieverbrauch - Industriesektor - Maschinen - energetischer Verbrauch"/>
    <s v="Elektrizität"/>
    <s v="Gigawattstunde"/>
    <x v="15"/>
    <x v="6"/>
    <n v="1340.0830000000001"/>
  </r>
  <r>
    <x v="3"/>
    <s v="Endenergieverbrauch - Industriesektor - Maschinen - energetischer Verbrauch"/>
    <s v="Elektrizität"/>
    <s v="Gigawattstunde"/>
    <x v="16"/>
    <x v="6"/>
    <n v="1338.7809999999999"/>
  </r>
  <r>
    <x v="4"/>
    <s v="Endenergieverbrauch - Industriesektor - Maschinen - energetischer Verbrauch"/>
    <s v="Elektrizität"/>
    <s v="Gigawattstunde"/>
    <x v="0"/>
    <x v="6"/>
    <n v="10415"/>
  </r>
  <r>
    <x v="4"/>
    <s v="Endenergieverbrauch - Industriesektor - Maschinen - energetischer Verbrauch"/>
    <s v="Elektrizität"/>
    <s v="Gigawattstunde"/>
    <x v="1"/>
    <x v="6"/>
    <n v="24573"/>
  </r>
  <r>
    <x v="4"/>
    <s v="Endenergieverbrauch - Industriesektor - Maschinen - energetischer Verbrauch"/>
    <s v="Elektrizität"/>
    <s v="Gigawattstunde"/>
    <x v="2"/>
    <x v="6"/>
    <n v="24347"/>
  </r>
  <r>
    <x v="4"/>
    <s v="Endenergieverbrauch - Industriesektor - Maschinen - energetischer Verbrauch"/>
    <s v="Elektrizität"/>
    <s v="Gigawattstunde"/>
    <x v="3"/>
    <x v="6"/>
    <n v="24293"/>
  </r>
  <r>
    <x v="4"/>
    <s v="Endenergieverbrauch - Industriesektor - Maschinen - energetischer Verbrauch"/>
    <s v="Elektrizität"/>
    <s v="Gigawattstunde"/>
    <x v="4"/>
    <x v="6"/>
    <n v="25438"/>
  </r>
  <r>
    <x v="4"/>
    <s v="Endenergieverbrauch - Industriesektor - Maschinen - energetischer Verbrauch"/>
    <s v="Elektrizität"/>
    <s v="Gigawattstunde"/>
    <x v="5"/>
    <x v="6"/>
    <n v="26559"/>
  </r>
  <r>
    <x v="4"/>
    <s v="Endenergieverbrauch - Industriesektor - Maschinen - energetischer Verbrauch"/>
    <s v="Elektrizität"/>
    <s v="Gigawattstunde"/>
    <x v="6"/>
    <x v="6"/>
    <n v="36547"/>
  </r>
  <r>
    <x v="4"/>
    <s v="Endenergieverbrauch - Industriesektor - Maschinen - energetischer Verbrauch"/>
    <s v="Elektrizität"/>
    <s v="Gigawattstunde"/>
    <x v="7"/>
    <x v="6"/>
    <n v="29222"/>
  </r>
  <r>
    <x v="4"/>
    <s v="Endenergieverbrauch - Industriesektor - Maschinen - energetischer Verbrauch"/>
    <s v="Elektrizität"/>
    <s v="Gigawattstunde"/>
    <x v="8"/>
    <x v="6"/>
    <n v="32910"/>
  </r>
  <r>
    <x v="4"/>
    <s v="Endenergieverbrauch - Industriesektor - Maschinen - energetischer Verbrauch"/>
    <s v="Elektrizität"/>
    <s v="Gigawattstunde"/>
    <x v="9"/>
    <x v="6"/>
    <n v="36361"/>
  </r>
  <r>
    <x v="4"/>
    <s v="Endenergieverbrauch - Industriesektor - Maschinen - energetischer Verbrauch"/>
    <s v="Elektrizität"/>
    <s v="Gigawattstunde"/>
    <x v="10"/>
    <x v="6"/>
    <n v="36452"/>
  </r>
  <r>
    <x v="4"/>
    <s v="Endenergieverbrauch - Industriesektor - Maschinen - energetischer Verbrauch"/>
    <s v="Elektrizität"/>
    <s v="Gigawattstunde"/>
    <x v="11"/>
    <x v="6"/>
    <n v="37202"/>
  </r>
  <r>
    <x v="4"/>
    <s v="Endenergieverbrauch - Industriesektor - Maschinen - energetischer Verbrauch"/>
    <s v="Elektrizität"/>
    <s v="Gigawattstunde"/>
    <x v="12"/>
    <x v="6"/>
    <n v="39303"/>
  </r>
  <r>
    <x v="4"/>
    <s v="Endenergieverbrauch - Industriesektor - Maschinen - energetischer Verbrauch"/>
    <s v="Elektrizität"/>
    <s v="Gigawattstunde"/>
    <x v="13"/>
    <x v="6"/>
    <n v="33421"/>
  </r>
  <r>
    <x v="4"/>
    <s v="Endenergieverbrauch - Industriesektor - Maschinen - energetischer Verbrauch"/>
    <s v="Elektrizität"/>
    <s v="Gigawattstunde"/>
    <x v="14"/>
    <x v="6"/>
    <n v="33466"/>
  </r>
  <r>
    <x v="4"/>
    <s v="Endenergieverbrauch - Industriesektor - Maschinen - energetischer Verbrauch"/>
    <s v="Elektrizität"/>
    <s v="Gigawattstunde"/>
    <x v="15"/>
    <x v="6"/>
    <n v="33908"/>
  </r>
  <r>
    <x v="4"/>
    <s v="Endenergieverbrauch - Industriesektor - Maschinen - energetischer Verbrauch"/>
    <s v="Elektrizität"/>
    <s v="Gigawattstunde"/>
    <x v="16"/>
    <x v="6"/>
    <n v="34020"/>
  </r>
  <r>
    <x v="5"/>
    <s v="Endenergieverbrauch - Industriesektor - Maschinen - energetischer Verbrauch"/>
    <s v="Elektrizität"/>
    <s v="Gigawattstunde"/>
    <x v="0"/>
    <x v="6"/>
    <n v="157"/>
  </r>
  <r>
    <x v="5"/>
    <s v="Endenergieverbrauch - Industriesektor - Maschinen - energetischer Verbrauch"/>
    <s v="Elektrizität"/>
    <s v="Gigawattstunde"/>
    <x v="1"/>
    <x v="6"/>
    <n v="182"/>
  </r>
  <r>
    <x v="5"/>
    <s v="Endenergieverbrauch - Industriesektor - Maschinen - energetischer Verbrauch"/>
    <s v="Elektrizität"/>
    <s v="Gigawattstunde"/>
    <x v="2"/>
    <x v="6"/>
    <n v="200"/>
  </r>
  <r>
    <x v="5"/>
    <s v="Endenergieverbrauch - Industriesektor - Maschinen - energetischer Verbrauch"/>
    <s v="Elektrizität"/>
    <s v="Gigawattstunde"/>
    <x v="3"/>
    <x v="6"/>
    <n v="207"/>
  </r>
  <r>
    <x v="5"/>
    <s v="Endenergieverbrauch - Industriesektor - Maschinen - energetischer Verbrauch"/>
    <s v="Elektrizität"/>
    <s v="Gigawattstunde"/>
    <x v="4"/>
    <x v="6"/>
    <n v="216"/>
  </r>
  <r>
    <x v="5"/>
    <s v="Endenergieverbrauch - Industriesektor - Maschinen - energetischer Verbrauch"/>
    <s v="Elektrizität"/>
    <s v="Gigawattstunde"/>
    <x v="5"/>
    <x v="6"/>
    <n v="230"/>
  </r>
  <r>
    <x v="5"/>
    <s v="Endenergieverbrauch - Industriesektor - Maschinen - energetischer Verbrauch"/>
    <s v="Elektrizität"/>
    <s v="Gigawattstunde"/>
    <x v="6"/>
    <x v="6"/>
    <n v="248"/>
  </r>
  <r>
    <x v="5"/>
    <s v="Endenergieverbrauch - Industriesektor - Maschinen - energetischer Verbrauch"/>
    <s v="Elektrizität"/>
    <s v="Gigawattstunde"/>
    <x v="7"/>
    <x v="6"/>
    <n v="234"/>
  </r>
  <r>
    <x v="5"/>
    <s v="Endenergieverbrauch - Industriesektor - Maschinen - energetischer Verbrauch"/>
    <s v="Elektrizität"/>
    <s v="Gigawattstunde"/>
    <x v="8"/>
    <x v="6"/>
    <n v="294"/>
  </r>
  <r>
    <x v="5"/>
    <s v="Endenergieverbrauch - Industriesektor - Maschinen - energetischer Verbrauch"/>
    <s v="Elektrizität"/>
    <s v="Gigawattstunde"/>
    <x v="9"/>
    <x v="6"/>
    <n v="293"/>
  </r>
  <r>
    <x v="5"/>
    <s v="Endenergieverbrauch - Industriesektor - Maschinen - energetischer Verbrauch"/>
    <s v="Elektrizität"/>
    <s v="Gigawattstunde"/>
    <x v="10"/>
    <x v="6"/>
    <n v="285"/>
  </r>
  <r>
    <x v="5"/>
    <s v="Endenergieverbrauch - Industriesektor - Maschinen - energetischer Verbrauch"/>
    <s v="Elektrizität"/>
    <s v="Gigawattstunde"/>
    <x v="11"/>
    <x v="6"/>
    <n v="260"/>
  </r>
  <r>
    <x v="5"/>
    <s v="Endenergieverbrauch - Industriesektor - Maschinen - energetischer Verbrauch"/>
    <s v="Elektrizität"/>
    <s v="Gigawattstunde"/>
    <x v="12"/>
    <x v="6"/>
    <n v="248"/>
  </r>
  <r>
    <x v="5"/>
    <s v="Endenergieverbrauch - Industriesektor - Maschinen - energetischer Verbrauch"/>
    <s v="Elektrizität"/>
    <s v="Gigawattstunde"/>
    <x v="13"/>
    <x v="6"/>
    <n v="250"/>
  </r>
  <r>
    <x v="5"/>
    <s v="Endenergieverbrauch - Industriesektor - Maschinen - energetischer Verbrauch"/>
    <s v="Elektrizität"/>
    <s v="Gigawattstunde"/>
    <x v="14"/>
    <x v="6"/>
    <n v="294"/>
  </r>
  <r>
    <x v="5"/>
    <s v="Endenergieverbrauch - Industriesektor - Maschinen - energetischer Verbrauch"/>
    <s v="Elektrizität"/>
    <s v="Gigawattstunde"/>
    <x v="15"/>
    <x v="6"/>
    <n v="302"/>
  </r>
  <r>
    <x v="5"/>
    <s v="Endenergieverbrauch - Industriesektor - Maschinen - energetischer Verbrauch"/>
    <s v="Elektrizität"/>
    <s v="Gigawattstunde"/>
    <x v="16"/>
    <x v="6"/>
    <n v="320"/>
  </r>
  <r>
    <x v="6"/>
    <s v="Endenergieverbrauch - Industriesektor - Maschinen - energetischer Verbrauch"/>
    <s v="Elektrizität"/>
    <s v="Gigawattstunde"/>
    <x v="0"/>
    <x v="6"/>
    <n v="1416.683"/>
  </r>
  <r>
    <x v="6"/>
    <s v="Endenergieverbrauch - Industriesektor - Maschinen - energetischer Verbrauch"/>
    <s v="Elektrizität"/>
    <s v="Gigawattstunde"/>
    <x v="1"/>
    <x v="6"/>
    <n v="1327.616"/>
  </r>
  <r>
    <x v="6"/>
    <s v="Endenergieverbrauch - Industriesektor - Maschinen - energetischer Verbrauch"/>
    <s v="Elektrizität"/>
    <s v="Gigawattstunde"/>
    <x v="2"/>
    <x v="6"/>
    <n v="1255.8019999999999"/>
  </r>
  <r>
    <x v="6"/>
    <s v="Endenergieverbrauch - Industriesektor - Maschinen - energetischer Verbrauch"/>
    <s v="Elektrizität"/>
    <s v="Gigawattstunde"/>
    <x v="3"/>
    <x v="6"/>
    <n v="1400.9069999999999"/>
  </r>
  <r>
    <x v="6"/>
    <s v="Endenergieverbrauch - Industriesektor - Maschinen - energetischer Verbrauch"/>
    <s v="Elektrizität"/>
    <s v="Gigawattstunde"/>
    <x v="4"/>
    <x v="6"/>
    <n v="1926.3579999999999"/>
  </r>
  <r>
    <x v="6"/>
    <s v="Endenergieverbrauch - Industriesektor - Maschinen - energetischer Verbrauch"/>
    <s v="Elektrizität"/>
    <s v="Gigawattstunde"/>
    <x v="5"/>
    <x v="6"/>
    <n v="1418.7639999999999"/>
  </r>
  <r>
    <x v="6"/>
    <s v="Endenergieverbrauch - Industriesektor - Maschinen - energetischer Verbrauch"/>
    <s v="Elektrizität"/>
    <s v="Gigawattstunde"/>
    <x v="6"/>
    <x v="6"/>
    <n v="1345.422"/>
  </r>
  <r>
    <x v="6"/>
    <s v="Endenergieverbrauch - Industriesektor - Maschinen - energetischer Verbrauch"/>
    <s v="Elektrizität"/>
    <s v="Gigawattstunde"/>
    <x v="7"/>
    <x v="6"/>
    <n v="1471.741"/>
  </r>
  <r>
    <x v="6"/>
    <s v="Endenergieverbrauch - Industriesektor - Maschinen - energetischer Verbrauch"/>
    <s v="Elektrizität"/>
    <s v="Gigawattstunde"/>
    <x v="8"/>
    <x v="6"/>
    <n v="1355.4670000000001"/>
  </r>
  <r>
    <x v="6"/>
    <s v="Endenergieverbrauch - Industriesektor - Maschinen - energetischer Verbrauch"/>
    <s v="Elektrizität"/>
    <s v="Gigawattstunde"/>
    <x v="9"/>
    <x v="6"/>
    <n v="1415.075"/>
  </r>
  <r>
    <x v="6"/>
    <s v="Endenergieverbrauch - Industriesektor - Maschinen - energetischer Verbrauch"/>
    <s v="Elektrizität"/>
    <s v="Gigawattstunde"/>
    <x v="10"/>
    <x v="6"/>
    <n v="1361.972"/>
  </r>
  <r>
    <x v="6"/>
    <s v="Endenergieverbrauch - Industriesektor - Maschinen - energetischer Verbrauch"/>
    <s v="Elektrizität"/>
    <s v="Gigawattstunde"/>
    <x v="11"/>
    <x v="6"/>
    <n v="1383.0930000000001"/>
  </r>
  <r>
    <x v="6"/>
    <s v="Endenergieverbrauch - Industriesektor - Maschinen - energetischer Verbrauch"/>
    <s v="Elektrizität"/>
    <s v="Gigawattstunde"/>
    <x v="12"/>
    <x v="6"/>
    <n v="1399.6110000000001"/>
  </r>
  <r>
    <x v="6"/>
    <s v="Endenergieverbrauch - Industriesektor - Maschinen - energetischer Verbrauch"/>
    <s v="Elektrizität"/>
    <s v="Gigawattstunde"/>
    <x v="13"/>
    <x v="6"/>
    <n v="1466.01"/>
  </r>
  <r>
    <x v="6"/>
    <s v="Endenergieverbrauch - Industriesektor - Maschinen - energetischer Verbrauch"/>
    <s v="Elektrizität"/>
    <s v="Gigawattstunde"/>
    <x v="14"/>
    <x v="6"/>
    <n v="1513.7159999999999"/>
  </r>
  <r>
    <x v="6"/>
    <s v="Endenergieverbrauch - Industriesektor - Maschinen - energetischer Verbrauch"/>
    <s v="Elektrizität"/>
    <s v="Gigawattstunde"/>
    <x v="15"/>
    <x v="6"/>
    <n v="1530.5530000000001"/>
  </r>
  <r>
    <x v="6"/>
    <s v="Endenergieverbrauch - Industriesektor - Maschinen - energetischer Verbrauch"/>
    <s v="Elektrizität"/>
    <s v="Gigawattstunde"/>
    <x v="16"/>
    <x v="6"/>
    <n v="1628.854"/>
  </r>
  <r>
    <x v="7"/>
    <s v="Endenergieverbrauch - Industriesektor - Maschinen - energetischer Verbrauch"/>
    <s v="Elektrizität"/>
    <s v="Gigawattstunde"/>
    <x v="0"/>
    <x v="6"/>
    <n v="636"/>
  </r>
  <r>
    <x v="7"/>
    <s v="Endenergieverbrauch - Industriesektor - Maschinen - energetischer Verbrauch"/>
    <s v="Elektrizität"/>
    <s v="Gigawattstunde"/>
    <x v="1"/>
    <x v="6"/>
    <n v="879"/>
  </r>
  <r>
    <x v="7"/>
    <s v="Endenergieverbrauch - Industriesektor - Maschinen - energetischer Verbrauch"/>
    <s v="Elektrizität"/>
    <s v="Gigawattstunde"/>
    <x v="2"/>
    <x v="6"/>
    <n v="561"/>
  </r>
  <r>
    <x v="7"/>
    <s v="Endenergieverbrauch - Industriesektor - Maschinen - energetischer Verbrauch"/>
    <s v="Elektrizität"/>
    <s v="Gigawattstunde"/>
    <x v="3"/>
    <x v="6"/>
    <n v="566"/>
  </r>
  <r>
    <x v="7"/>
    <s v="Endenergieverbrauch - Industriesektor - Maschinen - energetischer Verbrauch"/>
    <s v="Elektrizität"/>
    <s v="Gigawattstunde"/>
    <x v="4"/>
    <x v="6"/>
    <n v="603"/>
  </r>
  <r>
    <x v="7"/>
    <s v="Endenergieverbrauch - Industriesektor - Maschinen - energetischer Verbrauch"/>
    <s v="Elektrizität"/>
    <s v="Gigawattstunde"/>
    <x v="5"/>
    <x v="6"/>
    <n v="674"/>
  </r>
  <r>
    <x v="7"/>
    <s v="Endenergieverbrauch - Industriesektor - Maschinen - energetischer Verbrauch"/>
    <s v="Elektrizität"/>
    <s v="Gigawattstunde"/>
    <x v="6"/>
    <x v="6"/>
    <n v="680"/>
  </r>
  <r>
    <x v="7"/>
    <s v="Endenergieverbrauch - Industriesektor - Maschinen - energetischer Verbrauch"/>
    <s v="Elektrizität"/>
    <s v="Gigawattstunde"/>
    <x v="7"/>
    <x v="6"/>
    <n v="51"/>
  </r>
  <r>
    <x v="7"/>
    <s v="Endenergieverbrauch - Industriesektor - Maschinen - energetischer Verbrauch"/>
    <s v="Elektrizität"/>
    <s v="Gigawattstunde"/>
    <x v="8"/>
    <x v="6"/>
    <n v="140"/>
  </r>
  <r>
    <x v="7"/>
    <s v="Endenergieverbrauch - Industriesektor - Maschinen - energetischer Verbrauch"/>
    <s v="Elektrizität"/>
    <s v="Gigawattstunde"/>
    <x v="9"/>
    <x v="6"/>
    <n v="475"/>
  </r>
  <r>
    <x v="7"/>
    <s v="Endenergieverbrauch - Industriesektor - Maschinen - energetischer Verbrauch"/>
    <s v="Elektrizität"/>
    <s v="Gigawattstunde"/>
    <x v="10"/>
    <x v="6"/>
    <n v="191"/>
  </r>
  <r>
    <x v="7"/>
    <s v="Endenergieverbrauch - Industriesektor - Maschinen - energetischer Verbrauch"/>
    <s v="Elektrizität"/>
    <s v="Gigawattstunde"/>
    <x v="11"/>
    <x v="6"/>
    <n v="205"/>
  </r>
  <r>
    <x v="7"/>
    <s v="Endenergieverbrauch - Industriesektor - Maschinen - energetischer Verbrauch"/>
    <s v="Elektrizität"/>
    <s v="Gigawattstunde"/>
    <x v="12"/>
    <x v="6"/>
    <n v="198"/>
  </r>
  <r>
    <x v="7"/>
    <s v="Endenergieverbrauch - Industriesektor - Maschinen - energetischer Verbrauch"/>
    <s v="Elektrizität"/>
    <s v="Gigawattstunde"/>
    <x v="13"/>
    <x v="6"/>
    <n v="175"/>
  </r>
  <r>
    <x v="7"/>
    <s v="Endenergieverbrauch - Industriesektor - Maschinen - energetischer Verbrauch"/>
    <s v="Elektrizität"/>
    <s v="Gigawattstunde"/>
    <x v="14"/>
    <x v="6"/>
    <n v="151"/>
  </r>
  <r>
    <x v="7"/>
    <s v="Endenergieverbrauch - Industriesektor - Maschinen - energetischer Verbrauch"/>
    <s v="Elektrizität"/>
    <s v="Gigawattstunde"/>
    <x v="15"/>
    <x v="6"/>
    <n v="425.05900000000003"/>
  </r>
  <r>
    <x v="7"/>
    <s v="Endenergieverbrauch - Industriesektor - Maschinen - energetischer Verbrauch"/>
    <s v="Elektrizität"/>
    <s v="Gigawattstunde"/>
    <x v="16"/>
    <x v="6"/>
    <n v="554.47"/>
  </r>
  <r>
    <x v="8"/>
    <s v="Endenergieverbrauch - Industriesektor - Maschinen - energetischer Verbrauch"/>
    <s v="Elektrizität"/>
    <s v="Gigawattstunde"/>
    <x v="0"/>
    <x v="6"/>
    <n v="6668"/>
  </r>
  <r>
    <x v="8"/>
    <s v="Endenergieverbrauch - Industriesektor - Maschinen - energetischer Verbrauch"/>
    <s v="Elektrizität"/>
    <s v="Gigawattstunde"/>
    <x v="1"/>
    <x v="6"/>
    <n v="6869"/>
  </r>
  <r>
    <x v="8"/>
    <s v="Endenergieverbrauch - Industriesektor - Maschinen - energetischer Verbrauch"/>
    <s v="Elektrizität"/>
    <s v="Gigawattstunde"/>
    <x v="2"/>
    <x v="6"/>
    <n v="7001"/>
  </r>
  <r>
    <x v="8"/>
    <s v="Endenergieverbrauch - Industriesektor - Maschinen - energetischer Verbrauch"/>
    <s v="Elektrizität"/>
    <s v="Gigawattstunde"/>
    <x v="3"/>
    <x v="6"/>
    <n v="7331"/>
  </r>
  <r>
    <x v="8"/>
    <s v="Endenergieverbrauch - Industriesektor - Maschinen - energetischer Verbrauch"/>
    <s v="Elektrizität"/>
    <s v="Gigawattstunde"/>
    <x v="4"/>
    <x v="6"/>
    <n v="6348"/>
  </r>
  <r>
    <x v="8"/>
    <s v="Endenergieverbrauch - Industriesektor - Maschinen - energetischer Verbrauch"/>
    <s v="Elektrizität"/>
    <s v="Gigawattstunde"/>
    <x v="5"/>
    <x v="6"/>
    <n v="6650"/>
  </r>
  <r>
    <x v="8"/>
    <s v="Endenergieverbrauch - Industriesektor - Maschinen - energetischer Verbrauch"/>
    <s v="Elektrizität"/>
    <s v="Gigawattstunde"/>
    <x v="6"/>
    <x v="6"/>
    <n v="6547"/>
  </r>
  <r>
    <x v="8"/>
    <s v="Endenergieverbrauch - Industriesektor - Maschinen - energetischer Verbrauch"/>
    <s v="Elektrizität"/>
    <s v="Gigawattstunde"/>
    <x v="7"/>
    <x v="6"/>
    <n v="5126"/>
  </r>
  <r>
    <x v="8"/>
    <s v="Endenergieverbrauch - Industriesektor - Maschinen - energetischer Verbrauch"/>
    <s v="Elektrizität"/>
    <s v="Gigawattstunde"/>
    <x v="8"/>
    <x v="6"/>
    <n v="3826"/>
  </r>
  <r>
    <x v="8"/>
    <s v="Endenergieverbrauch - Industriesektor - Maschinen - energetischer Verbrauch"/>
    <s v="Elektrizität"/>
    <s v="Gigawattstunde"/>
    <x v="9"/>
    <x v="6"/>
    <n v="3797"/>
  </r>
  <r>
    <x v="8"/>
    <s v="Endenergieverbrauch - Industriesektor - Maschinen - energetischer Verbrauch"/>
    <s v="Elektrizität"/>
    <s v="Gigawattstunde"/>
    <x v="10"/>
    <x v="6"/>
    <n v="3746"/>
  </r>
  <r>
    <x v="8"/>
    <s v="Endenergieverbrauch - Industriesektor - Maschinen - energetischer Verbrauch"/>
    <s v="Elektrizität"/>
    <s v="Gigawattstunde"/>
    <x v="11"/>
    <x v="6"/>
    <n v="5241"/>
  </r>
  <r>
    <x v="8"/>
    <s v="Endenergieverbrauch - Industriesektor - Maschinen - energetischer Verbrauch"/>
    <s v="Elektrizität"/>
    <s v="Gigawattstunde"/>
    <x v="12"/>
    <x v="6"/>
    <n v="4799"/>
  </r>
  <r>
    <x v="8"/>
    <s v="Endenergieverbrauch - Industriesektor - Maschinen - energetischer Verbrauch"/>
    <s v="Elektrizität"/>
    <s v="Gigawattstunde"/>
    <x v="13"/>
    <x v="6"/>
    <n v="4821"/>
  </r>
  <r>
    <x v="8"/>
    <s v="Endenergieverbrauch - Industriesektor - Maschinen - energetischer Verbrauch"/>
    <s v="Elektrizität"/>
    <s v="Gigawattstunde"/>
    <x v="14"/>
    <x v="6"/>
    <n v="4768"/>
  </r>
  <r>
    <x v="8"/>
    <s v="Endenergieverbrauch - Industriesektor - Maschinen - energetischer Verbrauch"/>
    <s v="Elektrizität"/>
    <s v="Gigawattstunde"/>
    <x v="15"/>
    <x v="6"/>
    <n v="4936"/>
  </r>
  <r>
    <x v="8"/>
    <s v="Endenergieverbrauch - Industriesektor - Maschinen - energetischer Verbrauch"/>
    <s v="Elektrizität"/>
    <s v="Gigawattstunde"/>
    <x v="16"/>
    <x v="6"/>
    <n v="5015"/>
  </r>
  <r>
    <x v="9"/>
    <s v="Endenergieverbrauch - Industriesektor - Maschinen - energetischer Verbrauch"/>
    <s v="Elektrizität"/>
    <s v="Gigawattstunde"/>
    <x v="0"/>
    <x v="6"/>
    <n v="14497"/>
  </r>
  <r>
    <x v="9"/>
    <s v="Endenergieverbrauch - Industriesektor - Maschinen - energetischer Verbrauch"/>
    <s v="Elektrizität"/>
    <s v="Gigawattstunde"/>
    <x v="1"/>
    <x v="6"/>
    <n v="13826"/>
  </r>
  <r>
    <x v="9"/>
    <s v="Endenergieverbrauch - Industriesektor - Maschinen - energetischer Verbrauch"/>
    <s v="Elektrizität"/>
    <s v="Gigawattstunde"/>
    <x v="2"/>
    <x v="6"/>
    <n v="13815"/>
  </r>
  <r>
    <x v="9"/>
    <s v="Endenergieverbrauch - Industriesektor - Maschinen - energetischer Verbrauch"/>
    <s v="Elektrizität"/>
    <s v="Gigawattstunde"/>
    <x v="3"/>
    <x v="6"/>
    <n v="11917"/>
  </r>
  <r>
    <x v="9"/>
    <s v="Endenergieverbrauch - Industriesektor - Maschinen - energetischer Verbrauch"/>
    <s v="Elektrizität"/>
    <s v="Gigawattstunde"/>
    <x v="4"/>
    <x v="6"/>
    <n v="13587"/>
  </r>
  <r>
    <x v="9"/>
    <s v="Endenergieverbrauch - Industriesektor - Maschinen - energetischer Verbrauch"/>
    <s v="Elektrizität"/>
    <s v="Gigawattstunde"/>
    <x v="5"/>
    <x v="6"/>
    <n v="13572"/>
  </r>
  <r>
    <x v="9"/>
    <s v="Endenergieverbrauch - Industriesektor - Maschinen - energetischer Verbrauch"/>
    <s v="Elektrizität"/>
    <s v="Gigawattstunde"/>
    <x v="6"/>
    <x v="6"/>
    <n v="17299"/>
  </r>
  <r>
    <x v="9"/>
    <s v="Endenergieverbrauch - Industriesektor - Maschinen - energetischer Verbrauch"/>
    <s v="Elektrizität"/>
    <s v="Gigawattstunde"/>
    <x v="7"/>
    <x v="6"/>
    <n v="14662"/>
  </r>
  <r>
    <x v="9"/>
    <s v="Endenergieverbrauch - Industriesektor - Maschinen - energetischer Verbrauch"/>
    <s v="Elektrizität"/>
    <s v="Gigawattstunde"/>
    <x v="8"/>
    <x v="6"/>
    <n v="15936"/>
  </r>
  <r>
    <x v="9"/>
    <s v="Endenergieverbrauch - Industriesektor - Maschinen - energetischer Verbrauch"/>
    <s v="Elektrizität"/>
    <s v="Gigawattstunde"/>
    <x v="9"/>
    <x v="6"/>
    <n v="13733.833000000001"/>
  </r>
  <r>
    <x v="9"/>
    <s v="Endenergieverbrauch - Industriesektor - Maschinen - energetischer Verbrauch"/>
    <s v="Elektrizität"/>
    <s v="Gigawattstunde"/>
    <x v="10"/>
    <x v="6"/>
    <n v="13652.545"/>
  </r>
  <r>
    <x v="9"/>
    <s v="Endenergieverbrauch - Industriesektor - Maschinen - energetischer Verbrauch"/>
    <s v="Elektrizität"/>
    <s v="Gigawattstunde"/>
    <x v="11"/>
    <x v="6"/>
    <n v="13595.088"/>
  </r>
  <r>
    <x v="9"/>
    <s v="Endenergieverbrauch - Industriesektor - Maschinen - energetischer Verbrauch"/>
    <s v="Elektrizität"/>
    <s v="Gigawattstunde"/>
    <x v="12"/>
    <x v="6"/>
    <n v="13024.382"/>
  </r>
  <r>
    <x v="9"/>
    <s v="Endenergieverbrauch - Industriesektor - Maschinen - energetischer Verbrauch"/>
    <s v="Elektrizität"/>
    <s v="Gigawattstunde"/>
    <x v="13"/>
    <x v="6"/>
    <n v="12974.174999999999"/>
  </r>
  <r>
    <x v="9"/>
    <s v="Endenergieverbrauch - Industriesektor - Maschinen - energetischer Verbrauch"/>
    <s v="Elektrizität"/>
    <s v="Gigawattstunde"/>
    <x v="14"/>
    <x v="6"/>
    <n v="13020.529"/>
  </r>
  <r>
    <x v="9"/>
    <s v="Endenergieverbrauch - Industriesektor - Maschinen - energetischer Verbrauch"/>
    <s v="Elektrizität"/>
    <s v="Gigawattstunde"/>
    <x v="15"/>
    <x v="6"/>
    <n v="13001.168"/>
  </r>
  <r>
    <x v="9"/>
    <s v="Endenergieverbrauch - Industriesektor - Maschinen - energetischer Verbrauch"/>
    <s v="Elektrizität"/>
    <s v="Gigawattstunde"/>
    <x v="16"/>
    <x v="6"/>
    <n v="12912.174999999999"/>
  </r>
  <r>
    <x v="10"/>
    <s v="Endenergieverbrauch - Industriesektor - Maschinen - energetischer Verbrauch"/>
    <s v="Elektrizität"/>
    <s v="Gigawattstunde"/>
    <x v="0"/>
    <x v="6"/>
    <n v="165"/>
  </r>
  <r>
    <x v="10"/>
    <s v="Endenergieverbrauch - Industriesektor - Maschinen - energetischer Verbrauch"/>
    <s v="Elektrizität"/>
    <s v="Gigawattstunde"/>
    <x v="1"/>
    <x v="6"/>
    <n v="189"/>
  </r>
  <r>
    <x v="10"/>
    <s v="Endenergieverbrauch - Industriesektor - Maschinen - energetischer Verbrauch"/>
    <s v="Elektrizität"/>
    <s v="Gigawattstunde"/>
    <x v="2"/>
    <x v="6"/>
    <n v="219"/>
  </r>
  <r>
    <x v="10"/>
    <s v="Endenergieverbrauch - Industriesektor - Maschinen - energetischer Verbrauch"/>
    <s v="Elektrizität"/>
    <s v="Gigawattstunde"/>
    <x v="3"/>
    <x v="6"/>
    <n v="241"/>
  </r>
  <r>
    <x v="10"/>
    <s v="Endenergieverbrauch - Industriesektor - Maschinen - energetischer Verbrauch"/>
    <s v="Elektrizität"/>
    <s v="Gigawattstunde"/>
    <x v="4"/>
    <x v="6"/>
    <n v="276"/>
  </r>
  <r>
    <x v="10"/>
    <s v="Endenergieverbrauch - Industriesektor - Maschinen - energetischer Verbrauch"/>
    <s v="Elektrizität"/>
    <s v="Gigawattstunde"/>
    <x v="5"/>
    <x v="6"/>
    <n v="311"/>
  </r>
  <r>
    <x v="10"/>
    <s v="Endenergieverbrauch - Industriesektor - Maschinen - energetischer Verbrauch"/>
    <s v="Elektrizität"/>
    <s v="Gigawattstunde"/>
    <x v="6"/>
    <x v="6"/>
    <n v="360"/>
  </r>
  <r>
    <x v="10"/>
    <s v="Endenergieverbrauch - Industriesektor - Maschinen - energetischer Verbrauch"/>
    <s v="Elektrizität"/>
    <s v="Gigawattstunde"/>
    <x v="7"/>
    <x v="6"/>
    <n v="301"/>
  </r>
  <r>
    <x v="10"/>
    <s v="Endenergieverbrauch - Industriesektor - Maschinen - energetischer Verbrauch"/>
    <s v="Elektrizität"/>
    <s v="Gigawattstunde"/>
    <x v="8"/>
    <x v="6"/>
    <n v="313"/>
  </r>
  <r>
    <x v="10"/>
    <s v="Endenergieverbrauch - Industriesektor - Maschinen - energetischer Verbrauch"/>
    <s v="Elektrizität"/>
    <s v="Gigawattstunde"/>
    <x v="9"/>
    <x v="6"/>
    <n v="321"/>
  </r>
  <r>
    <x v="10"/>
    <s v="Endenergieverbrauch - Industriesektor - Maschinen - energetischer Verbrauch"/>
    <s v="Elektrizität"/>
    <s v="Gigawattstunde"/>
    <x v="10"/>
    <x v="6"/>
    <n v="319"/>
  </r>
  <r>
    <x v="10"/>
    <s v="Endenergieverbrauch - Industriesektor - Maschinen - energetischer Verbrauch"/>
    <s v="Elektrizität"/>
    <s v="Gigawattstunde"/>
    <x v="11"/>
    <x v="6"/>
    <n v="330"/>
  </r>
  <r>
    <x v="10"/>
    <s v="Endenergieverbrauch - Industriesektor - Maschinen - energetischer Verbrauch"/>
    <s v="Elektrizität"/>
    <s v="Gigawattstunde"/>
    <x v="12"/>
    <x v="6"/>
    <n v="400"/>
  </r>
  <r>
    <x v="10"/>
    <s v="Endenergieverbrauch - Industriesektor - Maschinen - energetischer Verbrauch"/>
    <s v="Elektrizität"/>
    <s v="Gigawattstunde"/>
    <x v="13"/>
    <x v="6"/>
    <n v="428"/>
  </r>
  <r>
    <x v="10"/>
    <s v="Endenergieverbrauch - Industriesektor - Maschinen - energetischer Verbrauch"/>
    <s v="Elektrizität"/>
    <s v="Gigawattstunde"/>
    <x v="14"/>
    <x v="6"/>
    <n v="466"/>
  </r>
  <r>
    <x v="10"/>
    <s v="Endenergieverbrauch - Industriesektor - Maschinen - energetischer Verbrauch"/>
    <s v="Elektrizität"/>
    <s v="Gigawattstunde"/>
    <x v="15"/>
    <x v="6"/>
    <n v="456.6"/>
  </r>
  <r>
    <x v="10"/>
    <s v="Endenergieverbrauch - Industriesektor - Maschinen - energetischer Verbrauch"/>
    <s v="Elektrizität"/>
    <s v="Gigawattstunde"/>
    <x v="16"/>
    <x v="6"/>
    <n v="413.7"/>
  </r>
  <r>
    <x v="11"/>
    <s v="Endenergieverbrauch - Industriesektor - Maschinen - energetischer Verbrauch"/>
    <s v="Elektrizität"/>
    <s v="Gigawattstunde"/>
    <x v="0"/>
    <x v="6"/>
    <n v="21631"/>
  </r>
  <r>
    <x v="11"/>
    <s v="Endenergieverbrauch - Industriesektor - Maschinen - energetischer Verbrauch"/>
    <s v="Elektrizität"/>
    <s v="Gigawattstunde"/>
    <x v="1"/>
    <x v="6"/>
    <n v="22328"/>
  </r>
  <r>
    <x v="11"/>
    <s v="Endenergieverbrauch - Industriesektor - Maschinen - energetischer Verbrauch"/>
    <s v="Elektrizität"/>
    <s v="Gigawattstunde"/>
    <x v="2"/>
    <x v="6"/>
    <n v="23037"/>
  </r>
  <r>
    <x v="11"/>
    <s v="Endenergieverbrauch - Industriesektor - Maschinen - energetischer Verbrauch"/>
    <s v="Elektrizität"/>
    <s v="Gigawattstunde"/>
    <x v="3"/>
    <x v="6"/>
    <n v="23550"/>
  </r>
  <r>
    <x v="11"/>
    <s v="Endenergieverbrauch - Industriesektor - Maschinen - energetischer Verbrauch"/>
    <s v="Elektrizität"/>
    <s v="Gigawattstunde"/>
    <x v="4"/>
    <x v="6"/>
    <n v="24076"/>
  </r>
  <r>
    <x v="11"/>
    <s v="Endenergieverbrauch - Industriesektor - Maschinen - energetischer Verbrauch"/>
    <s v="Elektrizität"/>
    <s v="Gigawattstunde"/>
    <x v="5"/>
    <x v="6"/>
    <n v="23802"/>
  </r>
  <r>
    <x v="11"/>
    <s v="Endenergieverbrauch - Industriesektor - Maschinen - energetischer Verbrauch"/>
    <s v="Elektrizität"/>
    <s v="Gigawattstunde"/>
    <x v="6"/>
    <x v="6"/>
    <n v="23129"/>
  </r>
  <r>
    <x v="11"/>
    <s v="Endenergieverbrauch - Industriesektor - Maschinen - energetischer Verbrauch"/>
    <s v="Elektrizität"/>
    <s v="Gigawattstunde"/>
    <x v="7"/>
    <x v="6"/>
    <n v="19105"/>
  </r>
  <r>
    <x v="11"/>
    <s v="Endenergieverbrauch - Industriesektor - Maschinen - energetischer Verbrauch"/>
    <s v="Elektrizität"/>
    <s v="Gigawattstunde"/>
    <x v="8"/>
    <x v="6"/>
    <n v="21336"/>
  </r>
  <r>
    <x v="11"/>
    <s v="Endenergieverbrauch - Industriesektor - Maschinen - energetischer Verbrauch"/>
    <s v="Elektrizität"/>
    <s v="Gigawattstunde"/>
    <x v="9"/>
    <x v="6"/>
    <n v="21590"/>
  </r>
  <r>
    <x v="11"/>
    <s v="Endenergieverbrauch - Industriesektor - Maschinen - energetischer Verbrauch"/>
    <s v="Elektrizität"/>
    <s v="Gigawattstunde"/>
    <x v="10"/>
    <x v="6"/>
    <n v="20241"/>
  </r>
  <r>
    <x v="11"/>
    <s v="Endenergieverbrauch - Industriesektor - Maschinen - energetischer Verbrauch"/>
    <s v="Elektrizität"/>
    <s v="Gigawattstunde"/>
    <x v="11"/>
    <x v="6"/>
    <n v="19787"/>
  </r>
  <r>
    <x v="11"/>
    <s v="Endenergieverbrauch - Industriesektor - Maschinen - energetischer Verbrauch"/>
    <s v="Elektrizität"/>
    <s v="Gigawattstunde"/>
    <x v="12"/>
    <x v="6"/>
    <n v="19531"/>
  </r>
  <r>
    <x v="11"/>
    <s v="Endenergieverbrauch - Industriesektor - Maschinen - energetischer Verbrauch"/>
    <s v="Elektrizität"/>
    <s v="Gigawattstunde"/>
    <x v="13"/>
    <x v="6"/>
    <n v="19944"/>
  </r>
  <r>
    <x v="11"/>
    <s v="Endenergieverbrauch - Industriesektor - Maschinen - energetischer Verbrauch"/>
    <s v="Elektrizität"/>
    <s v="Gigawattstunde"/>
    <x v="14"/>
    <x v="6"/>
    <n v="20128"/>
  </r>
  <r>
    <x v="11"/>
    <s v="Endenergieverbrauch - Industriesektor - Maschinen - energetischer Verbrauch"/>
    <s v="Elektrizität"/>
    <s v="Gigawattstunde"/>
    <x v="15"/>
    <x v="6"/>
    <n v="20888.474999999999"/>
  </r>
  <r>
    <x v="11"/>
    <s v="Endenergieverbrauch - Industriesektor - Maschinen - energetischer Verbrauch"/>
    <s v="Elektrizität"/>
    <s v="Gigawattstunde"/>
    <x v="16"/>
    <x v="6"/>
    <n v="21138.065999999999"/>
  </r>
  <r>
    <x v="12"/>
    <s v="Endenergieverbrauch - Industriesektor - Maschinen - energetischer Verbrauch"/>
    <s v="Elektrizität"/>
    <s v="Gigawattstunde"/>
    <x v="0"/>
    <x v="6"/>
    <n v="24"/>
  </r>
  <r>
    <x v="12"/>
    <s v="Endenergieverbrauch - Industriesektor - Maschinen - energetischer Verbrauch"/>
    <s v="Elektrizität"/>
    <s v="Gigawattstunde"/>
    <x v="1"/>
    <x v="6"/>
    <n v="23"/>
  </r>
  <r>
    <x v="12"/>
    <s v="Endenergieverbrauch - Industriesektor - Maschinen - energetischer Verbrauch"/>
    <s v="Elektrizität"/>
    <s v="Gigawattstunde"/>
    <x v="2"/>
    <x v="6"/>
    <n v="27"/>
  </r>
  <r>
    <x v="12"/>
    <s v="Endenergieverbrauch - Industriesektor - Maschinen - energetischer Verbrauch"/>
    <s v="Elektrizität"/>
    <s v="Gigawattstunde"/>
    <x v="3"/>
    <x v="6"/>
    <n v="29"/>
  </r>
  <r>
    <x v="12"/>
    <s v="Endenergieverbrauch - Industriesektor - Maschinen - energetischer Verbrauch"/>
    <s v="Elektrizität"/>
    <s v="Gigawattstunde"/>
    <x v="4"/>
    <x v="6"/>
    <n v="31"/>
  </r>
  <r>
    <x v="12"/>
    <s v="Endenergieverbrauch - Industriesektor - Maschinen - energetischer Verbrauch"/>
    <s v="Elektrizität"/>
    <s v="Gigawattstunde"/>
    <x v="5"/>
    <x v="6"/>
    <n v="33"/>
  </r>
  <r>
    <x v="12"/>
    <s v="Endenergieverbrauch - Industriesektor - Maschinen - energetischer Verbrauch"/>
    <s v="Elektrizität"/>
    <s v="Gigawattstunde"/>
    <x v="6"/>
    <x v="6"/>
    <n v="34"/>
  </r>
  <r>
    <x v="12"/>
    <s v="Endenergieverbrauch - Industriesektor - Maschinen - energetischer Verbrauch"/>
    <s v="Elektrizität"/>
    <s v="Gigawattstunde"/>
    <x v="7"/>
    <x v="6"/>
    <n v="30"/>
  </r>
  <r>
    <x v="12"/>
    <s v="Endenergieverbrauch - Industriesektor - Maschinen - energetischer Verbrauch"/>
    <s v="Elektrizität"/>
    <s v="Gigawattstunde"/>
    <x v="8"/>
    <x v="6"/>
    <n v="29"/>
  </r>
  <r>
    <x v="12"/>
    <s v="Endenergieverbrauch - Industriesektor - Maschinen - energetischer Verbrauch"/>
    <s v="Elektrizität"/>
    <s v="Gigawattstunde"/>
    <x v="9"/>
    <x v="6"/>
    <n v="26"/>
  </r>
  <r>
    <x v="12"/>
    <s v="Endenergieverbrauch - Industriesektor - Maschinen - energetischer Verbrauch"/>
    <s v="Elektrizität"/>
    <s v="Gigawattstunde"/>
    <x v="10"/>
    <x v="6"/>
    <n v="24"/>
  </r>
  <r>
    <x v="12"/>
    <s v="Endenergieverbrauch - Industriesektor - Maschinen - energetischer Verbrauch"/>
    <s v="Elektrizität"/>
    <s v="Gigawattstunde"/>
    <x v="11"/>
    <x v="6"/>
    <n v="20"/>
  </r>
  <r>
    <x v="12"/>
    <s v="Endenergieverbrauch - Industriesektor - Maschinen - energetischer Verbrauch"/>
    <s v="Elektrizität"/>
    <s v="Gigawattstunde"/>
    <x v="12"/>
    <x v="6"/>
    <n v="17"/>
  </r>
  <r>
    <x v="12"/>
    <s v="Endenergieverbrauch - Industriesektor - Maschinen - energetischer Verbrauch"/>
    <s v="Elektrizität"/>
    <s v="Gigawattstunde"/>
    <x v="13"/>
    <x v="6"/>
    <n v="17"/>
  </r>
  <r>
    <x v="12"/>
    <s v="Endenergieverbrauch - Industriesektor - Maschinen - energetischer Verbrauch"/>
    <s v="Elektrizität"/>
    <s v="Gigawattstunde"/>
    <x v="14"/>
    <x v="6"/>
    <n v="20"/>
  </r>
  <r>
    <x v="12"/>
    <s v="Endenergieverbrauch - Industriesektor - Maschinen - energetischer Verbrauch"/>
    <s v="Elektrizität"/>
    <s v="Gigawattstunde"/>
    <x v="15"/>
    <x v="6"/>
    <n v="20.681999999999999"/>
  </r>
  <r>
    <x v="12"/>
    <s v="Endenergieverbrauch - Industriesektor - Maschinen - energetischer Verbrauch"/>
    <s v="Elektrizität"/>
    <s v="Gigawattstunde"/>
    <x v="16"/>
    <x v="6"/>
    <n v="24.297000000000001"/>
  </r>
  <r>
    <x v="13"/>
    <s v="Endenergieverbrauch - Industriesektor - Maschinen - energetischer Verbrauch"/>
    <s v="Elektrizität"/>
    <s v="Gigawattstunde"/>
    <x v="0"/>
    <x v="6"/>
    <n v="139"/>
  </r>
  <r>
    <x v="13"/>
    <s v="Endenergieverbrauch - Industriesektor - Maschinen - energetischer Verbrauch"/>
    <s v="Elektrizität"/>
    <s v="Gigawattstunde"/>
    <x v="1"/>
    <x v="6"/>
    <n v="145"/>
  </r>
  <r>
    <x v="13"/>
    <s v="Endenergieverbrauch - Industriesektor - Maschinen - energetischer Verbrauch"/>
    <s v="Elektrizität"/>
    <s v="Gigawattstunde"/>
    <x v="2"/>
    <x v="6"/>
    <n v="153"/>
  </r>
  <r>
    <x v="13"/>
    <s v="Endenergieverbrauch - Industriesektor - Maschinen - energetischer Verbrauch"/>
    <s v="Elektrizität"/>
    <s v="Gigawattstunde"/>
    <x v="3"/>
    <x v="6"/>
    <n v="157"/>
  </r>
  <r>
    <x v="13"/>
    <s v="Endenergieverbrauch - Industriesektor - Maschinen - energetischer Verbrauch"/>
    <s v="Elektrizität"/>
    <s v="Gigawattstunde"/>
    <x v="4"/>
    <x v="6"/>
    <n v="161"/>
  </r>
  <r>
    <x v="13"/>
    <s v="Endenergieverbrauch - Industriesektor - Maschinen - energetischer Verbrauch"/>
    <s v="Elektrizität"/>
    <s v="Gigawattstunde"/>
    <x v="5"/>
    <x v="6"/>
    <n v="140"/>
  </r>
  <r>
    <x v="13"/>
    <s v="Endenergieverbrauch - Industriesektor - Maschinen - energetischer Verbrauch"/>
    <s v="Elektrizität"/>
    <s v="Gigawattstunde"/>
    <x v="6"/>
    <x v="6"/>
    <n v="136"/>
  </r>
  <r>
    <x v="13"/>
    <s v="Endenergieverbrauch - Industriesektor - Maschinen - energetischer Verbrauch"/>
    <s v="Elektrizität"/>
    <s v="Gigawattstunde"/>
    <x v="7"/>
    <x v="6"/>
    <n v="86"/>
  </r>
  <r>
    <x v="13"/>
    <s v="Endenergieverbrauch - Industriesektor - Maschinen - energetischer Verbrauch"/>
    <s v="Elektrizität"/>
    <s v="Gigawattstunde"/>
    <x v="8"/>
    <x v="6"/>
    <n v="96"/>
  </r>
  <r>
    <x v="13"/>
    <s v="Endenergieverbrauch - Industriesektor - Maschinen - energetischer Verbrauch"/>
    <s v="Elektrizität"/>
    <s v="Gigawattstunde"/>
    <x v="9"/>
    <x v="6"/>
    <n v="108"/>
  </r>
  <r>
    <x v="13"/>
    <s v="Endenergieverbrauch - Industriesektor - Maschinen - energetischer Verbrauch"/>
    <s v="Elektrizität"/>
    <s v="Gigawattstunde"/>
    <x v="10"/>
    <x v="6"/>
    <n v="110"/>
  </r>
  <r>
    <x v="13"/>
    <s v="Endenergieverbrauch - Industriesektor - Maschinen - energetischer Verbrauch"/>
    <s v="Elektrizität"/>
    <s v="Gigawattstunde"/>
    <x v="11"/>
    <x v="6"/>
    <n v="116"/>
  </r>
  <r>
    <x v="13"/>
    <s v="Endenergieverbrauch - Industriesektor - Maschinen - energetischer Verbrauch"/>
    <s v="Elektrizität"/>
    <s v="Gigawattstunde"/>
    <x v="12"/>
    <x v="6"/>
    <n v="108"/>
  </r>
  <r>
    <x v="13"/>
    <s v="Endenergieverbrauch - Industriesektor - Maschinen - energetischer Verbrauch"/>
    <s v="Elektrizität"/>
    <s v="Gigawattstunde"/>
    <x v="13"/>
    <x v="6"/>
    <n v="93"/>
  </r>
  <r>
    <x v="13"/>
    <s v="Endenergieverbrauch - Industriesektor - Maschinen - energetischer Verbrauch"/>
    <s v="Elektrizität"/>
    <s v="Gigawattstunde"/>
    <x v="14"/>
    <x v="6"/>
    <n v="97"/>
  </r>
  <r>
    <x v="13"/>
    <s v="Endenergieverbrauch - Industriesektor - Maschinen - energetischer Verbrauch"/>
    <s v="Elektrizität"/>
    <s v="Gigawattstunde"/>
    <x v="15"/>
    <x v="6"/>
    <n v="89.174000000000007"/>
  </r>
  <r>
    <x v="13"/>
    <s v="Endenergieverbrauch - Industriesektor - Maschinen - energetischer Verbrauch"/>
    <s v="Elektrizität"/>
    <s v="Gigawattstunde"/>
    <x v="16"/>
    <x v="6"/>
    <n v="91.846999999999994"/>
  </r>
  <r>
    <x v="14"/>
    <s v="Endenergieverbrauch - Industriesektor - Maschinen - energetischer Verbrauch"/>
    <s v="Elektrizität"/>
    <s v="Gigawattstunde"/>
    <x v="0"/>
    <x v="6"/>
    <n v="325"/>
  </r>
  <r>
    <x v="14"/>
    <s v="Endenergieverbrauch - Industriesektor - Maschinen - energetischer Verbrauch"/>
    <s v="Elektrizität"/>
    <s v="Gigawattstunde"/>
    <x v="1"/>
    <x v="6"/>
    <n v="336"/>
  </r>
  <r>
    <x v="14"/>
    <s v="Endenergieverbrauch - Industriesektor - Maschinen - energetischer Verbrauch"/>
    <s v="Elektrizität"/>
    <s v="Gigawattstunde"/>
    <x v="2"/>
    <x v="6"/>
    <n v="374"/>
  </r>
  <r>
    <x v="14"/>
    <s v="Endenergieverbrauch - Industriesektor - Maschinen - energetischer Verbrauch"/>
    <s v="Elektrizität"/>
    <s v="Gigawattstunde"/>
    <x v="3"/>
    <x v="6"/>
    <n v="335"/>
  </r>
  <r>
    <x v="14"/>
    <s v="Endenergieverbrauch - Industriesektor - Maschinen - energetischer Verbrauch"/>
    <s v="Elektrizität"/>
    <s v="Gigawattstunde"/>
    <x v="4"/>
    <x v="6"/>
    <n v="234"/>
  </r>
  <r>
    <x v="14"/>
    <s v="Endenergieverbrauch - Industriesektor - Maschinen - energetischer Verbrauch"/>
    <s v="Elektrizität"/>
    <s v="Gigawattstunde"/>
    <x v="5"/>
    <x v="6"/>
    <n v="173"/>
  </r>
  <r>
    <x v="14"/>
    <s v="Endenergieverbrauch - Industriesektor - Maschinen - energetischer Verbrauch"/>
    <s v="Elektrizität"/>
    <s v="Gigawattstunde"/>
    <x v="6"/>
    <x v="6"/>
    <n v="136"/>
  </r>
  <r>
    <x v="14"/>
    <s v="Endenergieverbrauch - Industriesektor - Maschinen - energetischer Verbrauch"/>
    <s v="Elektrizität"/>
    <s v="Gigawattstunde"/>
    <x v="7"/>
    <x v="6"/>
    <n v="92"/>
  </r>
  <r>
    <x v="14"/>
    <s v="Endenergieverbrauch - Industriesektor - Maschinen - energetischer Verbrauch"/>
    <s v="Elektrizität"/>
    <s v="Gigawattstunde"/>
    <x v="8"/>
    <x v="6"/>
    <n v="108"/>
  </r>
  <r>
    <x v="14"/>
    <s v="Endenergieverbrauch - Industriesektor - Maschinen - energetischer Verbrauch"/>
    <s v="Elektrizität"/>
    <s v="Gigawattstunde"/>
    <x v="9"/>
    <x v="6"/>
    <n v="125"/>
  </r>
  <r>
    <x v="14"/>
    <s v="Endenergieverbrauch - Industriesektor - Maschinen - energetischer Verbrauch"/>
    <s v="Elektrizität"/>
    <s v="Gigawattstunde"/>
    <x v="10"/>
    <x v="6"/>
    <n v="173"/>
  </r>
  <r>
    <x v="14"/>
    <s v="Endenergieverbrauch - Industriesektor - Maschinen - energetischer Verbrauch"/>
    <s v="Elektrizität"/>
    <s v="Gigawattstunde"/>
    <x v="11"/>
    <x v="6"/>
    <n v="167"/>
  </r>
  <r>
    <x v="14"/>
    <s v="Endenergieverbrauch - Industriesektor - Maschinen - energetischer Verbrauch"/>
    <s v="Elektrizität"/>
    <s v="Gigawattstunde"/>
    <x v="12"/>
    <x v="6"/>
    <n v="165"/>
  </r>
  <r>
    <x v="14"/>
    <s v="Endenergieverbrauch - Industriesektor - Maschinen - energetischer Verbrauch"/>
    <s v="Elektrizität"/>
    <s v="Gigawattstunde"/>
    <x v="13"/>
    <x v="6"/>
    <n v="171"/>
  </r>
  <r>
    <x v="14"/>
    <s v="Endenergieverbrauch - Industriesektor - Maschinen - energetischer Verbrauch"/>
    <s v="Elektrizität"/>
    <s v="Gigawattstunde"/>
    <x v="14"/>
    <x v="6"/>
    <n v="185"/>
  </r>
  <r>
    <x v="14"/>
    <s v="Endenergieverbrauch - Industriesektor - Maschinen - energetischer Verbrauch"/>
    <s v="Elektrizität"/>
    <s v="Gigawattstunde"/>
    <x v="15"/>
    <x v="6"/>
    <n v="244.3"/>
  </r>
  <r>
    <x v="14"/>
    <s v="Endenergieverbrauch - Industriesektor - Maschinen - energetischer Verbrauch"/>
    <s v="Elektrizität"/>
    <s v="Gigawattstunde"/>
    <x v="16"/>
    <x v="6"/>
    <n v="219"/>
  </r>
  <r>
    <x v="15"/>
    <s v="Endenergieverbrauch - Industriesektor - Maschinen - energetischer Verbrauch"/>
    <s v="Elektrizität"/>
    <s v="Gigawattstunde"/>
    <x v="0"/>
    <x v="6"/>
    <n v="112.23699999999999"/>
  </r>
  <r>
    <x v="15"/>
    <s v="Endenergieverbrauch - Industriesektor - Maschinen - energetischer Verbrauch"/>
    <s v="Elektrizität"/>
    <s v="Gigawattstunde"/>
    <x v="1"/>
    <x v="6"/>
    <n v="159.494"/>
  </r>
  <r>
    <x v="15"/>
    <s v="Endenergieverbrauch - Industriesektor - Maschinen - energetischer Verbrauch"/>
    <s v="Elektrizität"/>
    <s v="Gigawattstunde"/>
    <x v="2"/>
    <x v="6"/>
    <n v="148.596"/>
  </r>
  <r>
    <x v="15"/>
    <s v="Endenergieverbrauch - Industriesektor - Maschinen - energetischer Verbrauch"/>
    <s v="Elektrizität"/>
    <s v="Gigawattstunde"/>
    <x v="3"/>
    <x v="6"/>
    <n v="137.38900000000001"/>
  </r>
  <r>
    <x v="15"/>
    <s v="Endenergieverbrauch - Industriesektor - Maschinen - energetischer Verbrauch"/>
    <s v="Elektrizität"/>
    <s v="Gigawattstunde"/>
    <x v="4"/>
    <x v="6"/>
    <n v="132.92099999999999"/>
  </r>
  <r>
    <x v="15"/>
    <s v="Endenergieverbrauch - Industriesektor - Maschinen - energetischer Verbrauch"/>
    <s v="Elektrizität"/>
    <s v="Gigawattstunde"/>
    <x v="5"/>
    <x v="6"/>
    <n v="140.46700000000001"/>
  </r>
  <r>
    <x v="15"/>
    <s v="Endenergieverbrauch - Industriesektor - Maschinen - energetischer Verbrauch"/>
    <s v="Elektrizität"/>
    <s v="Gigawattstunde"/>
    <x v="6"/>
    <x v="6"/>
    <n v="143.601"/>
  </r>
  <r>
    <x v="15"/>
    <s v="Endenergieverbrauch - Industriesektor - Maschinen - energetischer Verbrauch"/>
    <s v="Elektrizität"/>
    <s v="Gigawattstunde"/>
    <x v="7"/>
    <x v="6"/>
    <n v="131.68"/>
  </r>
  <r>
    <x v="15"/>
    <s v="Endenergieverbrauch - Industriesektor - Maschinen - energetischer Verbrauch"/>
    <s v="Elektrizität"/>
    <s v="Gigawattstunde"/>
    <x v="8"/>
    <x v="6"/>
    <n v="150.88499999999999"/>
  </r>
  <r>
    <x v="15"/>
    <s v="Endenergieverbrauch - Industriesektor - Maschinen - energetischer Verbrauch"/>
    <s v="Elektrizität"/>
    <s v="Gigawattstunde"/>
    <x v="9"/>
    <x v="6"/>
    <n v="99.28"/>
  </r>
  <r>
    <x v="15"/>
    <s v="Endenergieverbrauch - Industriesektor - Maschinen - energetischer Verbrauch"/>
    <s v="Elektrizität"/>
    <s v="Gigawattstunde"/>
    <x v="10"/>
    <x v="6"/>
    <n v="94.769000000000005"/>
  </r>
  <r>
    <x v="15"/>
    <s v="Endenergieverbrauch - Industriesektor - Maschinen - energetischer Verbrauch"/>
    <s v="Elektrizität"/>
    <s v="Gigawattstunde"/>
    <x v="11"/>
    <x v="6"/>
    <n v="91.099000000000004"/>
  </r>
  <r>
    <x v="15"/>
    <s v="Endenergieverbrauch - Industriesektor - Maschinen - energetischer Verbrauch"/>
    <s v="Elektrizität"/>
    <s v="Gigawattstunde"/>
    <x v="12"/>
    <x v="6"/>
    <n v="82.635000000000005"/>
  </r>
  <r>
    <x v="15"/>
    <s v="Endenergieverbrauch - Industriesektor - Maschinen - energetischer Verbrauch"/>
    <s v="Elektrizität"/>
    <s v="Gigawattstunde"/>
    <x v="13"/>
    <x v="6"/>
    <n v="83.316999999999993"/>
  </r>
  <r>
    <x v="15"/>
    <s v="Endenergieverbrauch - Industriesektor - Maschinen - energetischer Verbrauch"/>
    <s v="Elektrizität"/>
    <s v="Gigawattstunde"/>
    <x v="14"/>
    <x v="6"/>
    <n v="90.113"/>
  </r>
  <r>
    <x v="15"/>
    <s v="Endenergieverbrauch - Industriesektor - Maschinen - energetischer Verbrauch"/>
    <s v="Elektrizität"/>
    <s v="Gigawattstunde"/>
    <x v="15"/>
    <x v="6"/>
    <n v="74.468999999999994"/>
  </r>
  <r>
    <x v="15"/>
    <s v="Endenergieverbrauch - Industriesektor - Maschinen - energetischer Verbrauch"/>
    <s v="Elektrizität"/>
    <s v="Gigawattstunde"/>
    <x v="16"/>
    <x v="6"/>
    <n v="79.203999999999994"/>
  </r>
  <r>
    <x v="16"/>
    <s v="Endenergieverbrauch - Industriesektor - Maschinen - energetischer Verbrauch"/>
    <s v="Elektrizität"/>
    <s v="Gigawattstunde"/>
    <x v="0"/>
    <x v="6"/>
    <n v="837"/>
  </r>
  <r>
    <x v="16"/>
    <s v="Endenergieverbrauch - Industriesektor - Maschinen - energetischer Verbrauch"/>
    <s v="Elektrizität"/>
    <s v="Gigawattstunde"/>
    <x v="1"/>
    <x v="6"/>
    <n v="881"/>
  </r>
  <r>
    <x v="16"/>
    <s v="Endenergieverbrauch - Industriesektor - Maschinen - energetischer Verbrauch"/>
    <s v="Elektrizität"/>
    <s v="Gigawattstunde"/>
    <x v="2"/>
    <x v="6"/>
    <n v="1016"/>
  </r>
  <r>
    <x v="16"/>
    <s v="Endenergieverbrauch - Industriesektor - Maschinen - energetischer Verbrauch"/>
    <s v="Elektrizität"/>
    <s v="Gigawattstunde"/>
    <x v="3"/>
    <x v="6"/>
    <n v="1254"/>
  </r>
  <r>
    <x v="16"/>
    <s v="Endenergieverbrauch - Industriesektor - Maschinen - energetischer Verbrauch"/>
    <s v="Elektrizität"/>
    <s v="Gigawattstunde"/>
    <x v="4"/>
    <x v="6"/>
    <n v="1235"/>
  </r>
  <r>
    <x v="16"/>
    <s v="Endenergieverbrauch - Industriesektor - Maschinen - energetischer Verbrauch"/>
    <s v="Elektrizität"/>
    <s v="Gigawattstunde"/>
    <x v="5"/>
    <x v="6"/>
    <n v="1257"/>
  </r>
  <r>
    <x v="16"/>
    <s v="Endenergieverbrauch - Industriesektor - Maschinen - energetischer Verbrauch"/>
    <s v="Elektrizität"/>
    <s v="Gigawattstunde"/>
    <x v="6"/>
    <x v="6"/>
    <n v="1309"/>
  </r>
  <r>
    <x v="16"/>
    <s v="Endenergieverbrauch - Industriesektor - Maschinen - energetischer Verbrauch"/>
    <s v="Elektrizität"/>
    <s v="Gigawattstunde"/>
    <x v="7"/>
    <x v="6"/>
    <n v="1292"/>
  </r>
  <r>
    <x v="16"/>
    <s v="Endenergieverbrauch - Industriesektor - Maschinen - energetischer Verbrauch"/>
    <s v="Elektrizität"/>
    <s v="Gigawattstunde"/>
    <x v="8"/>
    <x v="6"/>
    <n v="1544"/>
  </r>
  <r>
    <x v="16"/>
    <s v="Endenergieverbrauch - Industriesektor - Maschinen - energetischer Verbrauch"/>
    <s v="Elektrizität"/>
    <s v="Gigawattstunde"/>
    <x v="9"/>
    <x v="6"/>
    <n v="1559"/>
  </r>
  <r>
    <x v="16"/>
    <s v="Endenergieverbrauch - Industriesektor - Maschinen - energetischer Verbrauch"/>
    <s v="Elektrizität"/>
    <s v="Gigawattstunde"/>
    <x v="10"/>
    <x v="6"/>
    <n v="2506"/>
  </r>
  <r>
    <x v="16"/>
    <s v="Endenergieverbrauch - Industriesektor - Maschinen - energetischer Verbrauch"/>
    <s v="Elektrizität"/>
    <s v="Gigawattstunde"/>
    <x v="11"/>
    <x v="6"/>
    <n v="2410"/>
  </r>
  <r>
    <x v="16"/>
    <s v="Endenergieverbrauch - Industriesektor - Maschinen - energetischer Verbrauch"/>
    <s v="Elektrizität"/>
    <s v="Gigawattstunde"/>
    <x v="12"/>
    <x v="6"/>
    <n v="2469"/>
  </r>
  <r>
    <x v="16"/>
    <s v="Endenergieverbrauch - Industriesektor - Maschinen - energetischer Verbrauch"/>
    <s v="Elektrizität"/>
    <s v="Gigawattstunde"/>
    <x v="13"/>
    <x v="6"/>
    <n v="2478"/>
  </r>
  <r>
    <x v="16"/>
    <s v="Endenergieverbrauch - Industriesektor - Maschinen - energetischer Verbrauch"/>
    <s v="Elektrizität"/>
    <s v="Gigawattstunde"/>
    <x v="14"/>
    <x v="6"/>
    <n v="2574"/>
  </r>
  <r>
    <x v="16"/>
    <s v="Endenergieverbrauch - Industriesektor - Maschinen - energetischer Verbrauch"/>
    <s v="Elektrizität"/>
    <s v="Gigawattstunde"/>
    <x v="15"/>
    <x v="6"/>
    <n v="2751"/>
  </r>
  <r>
    <x v="16"/>
    <s v="Endenergieverbrauch - Industriesektor - Maschinen - energetischer Verbrauch"/>
    <s v="Elektrizität"/>
    <s v="Gigawattstunde"/>
    <x v="16"/>
    <x v="6"/>
    <n v="2827"/>
  </r>
  <r>
    <x v="17"/>
    <s v="Endenergieverbrauch - Industriesektor - Maschinen - energetischer Verbrauch"/>
    <s v="Elektrizität"/>
    <s v="Gigawattstunde"/>
    <x v="0"/>
    <x v="6"/>
    <n v="0"/>
  </r>
  <r>
    <x v="17"/>
    <s v="Endenergieverbrauch - Industriesektor - Maschinen - energetischer Verbrauch"/>
    <s v="Elektrizität"/>
    <s v="Gigawattstunde"/>
    <x v="1"/>
    <x v="6"/>
    <n v="0"/>
  </r>
  <r>
    <x v="17"/>
    <s v="Endenergieverbrauch - Industriesektor - Maschinen - energetischer Verbrauch"/>
    <s v="Elektrizität"/>
    <s v="Gigawattstunde"/>
    <x v="2"/>
    <x v="6"/>
    <n v="0"/>
  </r>
  <r>
    <x v="17"/>
    <s v="Endenergieverbrauch - Industriesektor - Maschinen - energetischer Verbrauch"/>
    <s v="Elektrizität"/>
    <s v="Gigawattstunde"/>
    <x v="3"/>
    <x v="6"/>
    <n v="0"/>
  </r>
  <r>
    <x v="17"/>
    <s v="Endenergieverbrauch - Industriesektor - Maschinen - energetischer Verbrauch"/>
    <s v="Elektrizität"/>
    <s v="Gigawattstunde"/>
    <x v="4"/>
    <x v="6"/>
    <n v="0"/>
  </r>
  <r>
    <x v="17"/>
    <s v="Endenergieverbrauch - Industriesektor - Maschinen - energetischer Verbrauch"/>
    <s v="Elektrizität"/>
    <s v="Gigawattstunde"/>
    <x v="5"/>
    <x v="6"/>
    <n v="0"/>
  </r>
  <r>
    <x v="17"/>
    <s v="Endenergieverbrauch - Industriesektor - Maschinen - energetischer Verbrauch"/>
    <s v="Elektrizität"/>
    <s v="Gigawattstunde"/>
    <x v="6"/>
    <x v="6"/>
    <n v="0"/>
  </r>
  <r>
    <x v="17"/>
    <s v="Endenergieverbrauch - Industriesektor - Maschinen - energetischer Verbrauch"/>
    <s v="Elektrizität"/>
    <s v="Gigawattstunde"/>
    <x v="7"/>
    <x v="6"/>
    <n v="0"/>
  </r>
  <r>
    <x v="17"/>
    <s v="Endenergieverbrauch - Industriesektor - Maschinen - energetischer Verbrauch"/>
    <s v="Elektrizität"/>
    <s v="Gigawattstunde"/>
    <x v="8"/>
    <x v="6"/>
    <n v="110"/>
  </r>
  <r>
    <x v="17"/>
    <s v="Endenergieverbrauch - Industriesektor - Maschinen - energetischer Verbrauch"/>
    <s v="Elektrizität"/>
    <s v="Gigawattstunde"/>
    <x v="9"/>
    <x v="6"/>
    <n v="109"/>
  </r>
  <r>
    <x v="17"/>
    <s v="Endenergieverbrauch - Industriesektor - Maschinen - energetischer Verbrauch"/>
    <s v="Elektrizität"/>
    <s v="Gigawattstunde"/>
    <x v="10"/>
    <x v="6"/>
    <n v="108"/>
  </r>
  <r>
    <x v="17"/>
    <s v="Endenergieverbrauch - Industriesektor - Maschinen - energetischer Verbrauch"/>
    <s v="Elektrizität"/>
    <s v="Gigawattstunde"/>
    <x v="11"/>
    <x v="6"/>
    <n v="114"/>
  </r>
  <r>
    <x v="17"/>
    <s v="Endenergieverbrauch - Industriesektor - Maschinen - energetischer Verbrauch"/>
    <s v="Elektrizität"/>
    <s v="Gigawattstunde"/>
    <x v="12"/>
    <x v="6"/>
    <n v="116"/>
  </r>
  <r>
    <x v="17"/>
    <s v="Endenergieverbrauch - Industriesektor - Maschinen - energetischer Verbrauch"/>
    <s v="Elektrizität"/>
    <s v="Gigawattstunde"/>
    <x v="13"/>
    <x v="6"/>
    <n v="115"/>
  </r>
  <r>
    <x v="17"/>
    <s v="Endenergieverbrauch - Industriesektor - Maschinen - energetischer Verbrauch"/>
    <s v="Elektrizität"/>
    <s v="Gigawattstunde"/>
    <x v="14"/>
    <x v="6"/>
    <n v="109"/>
  </r>
  <r>
    <x v="17"/>
    <s v="Endenergieverbrauch - Industriesektor - Maschinen - energetischer Verbrauch"/>
    <s v="Elektrizität"/>
    <s v="Gigawattstunde"/>
    <x v="15"/>
    <x v="6"/>
    <n v="116.47199999999999"/>
  </r>
  <r>
    <x v="17"/>
    <s v="Endenergieverbrauch - Industriesektor - Maschinen - energetischer Verbrauch"/>
    <s v="Elektrizität"/>
    <s v="Gigawattstunde"/>
    <x v="16"/>
    <x v="6"/>
    <n v="119.71899999999999"/>
  </r>
  <r>
    <x v="18"/>
    <s v="Endenergieverbrauch - Industriesektor - Maschinen - energetischer Verbrauch"/>
    <s v="Elektrizität"/>
    <s v="Gigawattstunde"/>
    <x v="0"/>
    <x v="6"/>
    <n v="3645"/>
  </r>
  <r>
    <x v="18"/>
    <s v="Endenergieverbrauch - Industriesektor - Maschinen - energetischer Verbrauch"/>
    <s v="Elektrizität"/>
    <s v="Gigawattstunde"/>
    <x v="1"/>
    <x v="6"/>
    <n v="3358"/>
  </r>
  <r>
    <x v="18"/>
    <s v="Endenergieverbrauch - Industriesektor - Maschinen - energetischer Verbrauch"/>
    <s v="Elektrizität"/>
    <s v="Gigawattstunde"/>
    <x v="2"/>
    <x v="6"/>
    <n v="3450"/>
  </r>
  <r>
    <x v="18"/>
    <s v="Endenergieverbrauch - Industriesektor - Maschinen - energetischer Verbrauch"/>
    <s v="Elektrizität"/>
    <s v="Gigawattstunde"/>
    <x v="3"/>
    <x v="6"/>
    <n v="3573"/>
  </r>
  <r>
    <x v="18"/>
    <s v="Endenergieverbrauch - Industriesektor - Maschinen - energetischer Verbrauch"/>
    <s v="Elektrizität"/>
    <s v="Gigawattstunde"/>
    <x v="4"/>
    <x v="6"/>
    <n v="3537"/>
  </r>
  <r>
    <x v="18"/>
    <s v="Endenergieverbrauch - Industriesektor - Maschinen - energetischer Verbrauch"/>
    <s v="Elektrizität"/>
    <s v="Gigawattstunde"/>
    <x v="5"/>
    <x v="6"/>
    <n v="3265"/>
  </r>
  <r>
    <x v="18"/>
    <s v="Endenergieverbrauch - Industriesektor - Maschinen - energetischer Verbrauch"/>
    <s v="Elektrizität"/>
    <s v="Gigawattstunde"/>
    <x v="6"/>
    <x v="6"/>
    <n v="3549"/>
  </r>
  <r>
    <x v="18"/>
    <s v="Endenergieverbrauch - Industriesektor - Maschinen - energetischer Verbrauch"/>
    <s v="Elektrizität"/>
    <s v="Gigawattstunde"/>
    <x v="7"/>
    <x v="6"/>
    <n v="3460"/>
  </r>
  <r>
    <x v="18"/>
    <s v="Endenergieverbrauch - Industriesektor - Maschinen - energetischer Verbrauch"/>
    <s v="Elektrizität"/>
    <s v="Gigawattstunde"/>
    <x v="8"/>
    <x v="6"/>
    <n v="3416"/>
  </r>
  <r>
    <x v="18"/>
    <s v="Endenergieverbrauch - Industriesektor - Maschinen - energetischer Verbrauch"/>
    <s v="Elektrizität"/>
    <s v="Gigawattstunde"/>
    <x v="9"/>
    <x v="6"/>
    <n v="2850"/>
  </r>
  <r>
    <x v="18"/>
    <s v="Endenergieverbrauch - Industriesektor - Maschinen - energetischer Verbrauch"/>
    <s v="Elektrizität"/>
    <s v="Gigawattstunde"/>
    <x v="10"/>
    <x v="6"/>
    <n v="2848"/>
  </r>
  <r>
    <x v="18"/>
    <s v="Endenergieverbrauch - Industriesektor - Maschinen - energetischer Verbrauch"/>
    <s v="Elektrizität"/>
    <s v="Gigawattstunde"/>
    <x v="11"/>
    <x v="6"/>
    <n v="2688"/>
  </r>
  <r>
    <x v="18"/>
    <s v="Endenergieverbrauch - Industriesektor - Maschinen - energetischer Verbrauch"/>
    <s v="Elektrizität"/>
    <s v="Gigawattstunde"/>
    <x v="12"/>
    <x v="6"/>
    <n v="2853"/>
  </r>
  <r>
    <x v="18"/>
    <s v="Endenergieverbrauch - Industriesektor - Maschinen - energetischer Verbrauch"/>
    <s v="Elektrizität"/>
    <s v="Gigawattstunde"/>
    <x v="13"/>
    <x v="6"/>
    <n v="2809.09"/>
  </r>
  <r>
    <x v="18"/>
    <s v="Endenergieverbrauch - Industriesektor - Maschinen - energetischer Verbrauch"/>
    <s v="Elektrizität"/>
    <s v="Gigawattstunde"/>
    <x v="14"/>
    <x v="6"/>
    <n v="3003.8910000000001"/>
  </r>
  <r>
    <x v="18"/>
    <s v="Endenergieverbrauch - Industriesektor - Maschinen - energetischer Verbrauch"/>
    <s v="Elektrizität"/>
    <s v="Gigawattstunde"/>
    <x v="15"/>
    <x v="6"/>
    <n v="3250.57"/>
  </r>
  <r>
    <x v="18"/>
    <s v="Endenergieverbrauch - Industriesektor - Maschinen - energetischer Verbrauch"/>
    <s v="Elektrizität"/>
    <s v="Gigawattstunde"/>
    <x v="16"/>
    <x v="6"/>
    <n v="3145.5630000000001"/>
  </r>
  <r>
    <x v="19"/>
    <s v="Endenergieverbrauch - Industriesektor - Maschinen - energetischer Verbrauch"/>
    <s v="Elektrizität"/>
    <s v="Gigawattstunde"/>
    <x v="0"/>
    <x v="6"/>
    <n v="2312"/>
  </r>
  <r>
    <x v="19"/>
    <s v="Endenergieverbrauch - Industriesektor - Maschinen - energetischer Verbrauch"/>
    <s v="Elektrizität"/>
    <s v="Gigawattstunde"/>
    <x v="1"/>
    <x v="6"/>
    <n v="2402"/>
  </r>
  <r>
    <x v="19"/>
    <s v="Endenergieverbrauch - Industriesektor - Maschinen - energetischer Verbrauch"/>
    <s v="Elektrizität"/>
    <s v="Gigawattstunde"/>
    <x v="2"/>
    <x v="6"/>
    <n v="2800"/>
  </r>
  <r>
    <x v="19"/>
    <s v="Endenergieverbrauch - Industriesektor - Maschinen - energetischer Verbrauch"/>
    <s v="Elektrizität"/>
    <s v="Gigawattstunde"/>
    <x v="3"/>
    <x v="6"/>
    <n v="2934.3069999999998"/>
  </r>
  <r>
    <x v="19"/>
    <s v="Endenergieverbrauch - Industriesektor - Maschinen - energetischer Verbrauch"/>
    <s v="Elektrizität"/>
    <s v="Gigawattstunde"/>
    <x v="4"/>
    <x v="6"/>
    <n v="3134.5120000000002"/>
  </r>
  <r>
    <x v="19"/>
    <s v="Endenergieverbrauch - Industriesektor - Maschinen - energetischer Verbrauch"/>
    <s v="Elektrizität"/>
    <s v="Gigawattstunde"/>
    <x v="5"/>
    <x v="6"/>
    <n v="3272.09"/>
  </r>
  <r>
    <x v="19"/>
    <s v="Endenergieverbrauch - Industriesektor - Maschinen - energetischer Verbrauch"/>
    <s v="Elektrizität"/>
    <s v="Gigawattstunde"/>
    <x v="6"/>
    <x v="6"/>
    <n v="3298.7080000000001"/>
  </r>
  <r>
    <x v="19"/>
    <s v="Endenergieverbrauch - Industriesektor - Maschinen - energetischer Verbrauch"/>
    <s v="Elektrizität"/>
    <s v="Gigawattstunde"/>
    <x v="7"/>
    <x v="6"/>
    <n v="3228.45"/>
  </r>
  <r>
    <x v="19"/>
    <s v="Endenergieverbrauch - Industriesektor - Maschinen - energetischer Verbrauch"/>
    <s v="Elektrizität"/>
    <s v="Gigawattstunde"/>
    <x v="8"/>
    <x v="6"/>
    <n v="3556.623"/>
  </r>
  <r>
    <x v="19"/>
    <s v="Endenergieverbrauch - Industriesektor - Maschinen - energetischer Verbrauch"/>
    <s v="Elektrizität"/>
    <s v="Gigawattstunde"/>
    <x v="9"/>
    <x v="6"/>
    <n v="3750.3359999999998"/>
  </r>
  <r>
    <x v="19"/>
    <s v="Endenergieverbrauch - Industriesektor - Maschinen - energetischer Verbrauch"/>
    <s v="Elektrizität"/>
    <s v="Gigawattstunde"/>
    <x v="10"/>
    <x v="6"/>
    <n v="3807.33"/>
  </r>
  <r>
    <x v="19"/>
    <s v="Endenergieverbrauch - Industriesektor - Maschinen - energetischer Verbrauch"/>
    <s v="Elektrizität"/>
    <s v="Gigawattstunde"/>
    <x v="11"/>
    <x v="6"/>
    <n v="3419.3009999999999"/>
  </r>
  <r>
    <x v="19"/>
    <s v="Endenergieverbrauch - Industriesektor - Maschinen - energetischer Verbrauch"/>
    <s v="Elektrizität"/>
    <s v="Gigawattstunde"/>
    <x v="12"/>
    <x v="6"/>
    <n v="3315.3969999999999"/>
  </r>
  <r>
    <x v="19"/>
    <s v="Endenergieverbrauch - Industriesektor - Maschinen - energetischer Verbrauch"/>
    <s v="Elektrizität"/>
    <s v="Gigawattstunde"/>
    <x v="13"/>
    <x v="6"/>
    <n v="3497.8240000000001"/>
  </r>
  <r>
    <x v="19"/>
    <s v="Endenergieverbrauch - Industriesektor - Maschinen - energetischer Verbrauch"/>
    <s v="Elektrizität"/>
    <s v="Gigawattstunde"/>
    <x v="14"/>
    <x v="6"/>
    <n v="3723.7170000000001"/>
  </r>
  <r>
    <x v="19"/>
    <s v="Endenergieverbrauch - Industriesektor - Maschinen - energetischer Verbrauch"/>
    <s v="Elektrizität"/>
    <s v="Gigawattstunde"/>
    <x v="15"/>
    <x v="6"/>
    <n v="3686.375"/>
  </r>
  <r>
    <x v="19"/>
    <s v="Endenergieverbrauch - Industriesektor - Maschinen - energetischer Verbrauch"/>
    <s v="Elektrizität"/>
    <s v="Gigawattstunde"/>
    <x v="16"/>
    <x v="6"/>
    <n v="4129.4470000000001"/>
  </r>
  <r>
    <x v="20"/>
    <s v="Endenergieverbrauch - Industriesektor - Maschinen - energetischer Verbrauch"/>
    <s v="Elektrizität"/>
    <s v="Gigawattstunde"/>
    <x v="0"/>
    <x v="6"/>
    <n v="3354"/>
  </r>
  <r>
    <x v="20"/>
    <s v="Endenergieverbrauch - Industriesektor - Maschinen - energetischer Verbrauch"/>
    <s v="Elektrizität"/>
    <s v="Gigawattstunde"/>
    <x v="1"/>
    <x v="6"/>
    <n v="3384"/>
  </r>
  <r>
    <x v="20"/>
    <s v="Endenergieverbrauch - Industriesektor - Maschinen - energetischer Verbrauch"/>
    <s v="Elektrizität"/>
    <s v="Gigawattstunde"/>
    <x v="2"/>
    <x v="6"/>
    <n v="3370"/>
  </r>
  <r>
    <x v="20"/>
    <s v="Endenergieverbrauch - Industriesektor - Maschinen - energetischer Verbrauch"/>
    <s v="Elektrizität"/>
    <s v="Gigawattstunde"/>
    <x v="3"/>
    <x v="6"/>
    <n v="3533"/>
  </r>
  <r>
    <x v="20"/>
    <s v="Endenergieverbrauch - Industriesektor - Maschinen - energetischer Verbrauch"/>
    <s v="Elektrizität"/>
    <s v="Gigawattstunde"/>
    <x v="4"/>
    <x v="6"/>
    <n v="3755"/>
  </r>
  <r>
    <x v="20"/>
    <s v="Endenergieverbrauch - Industriesektor - Maschinen - energetischer Verbrauch"/>
    <s v="Elektrizität"/>
    <s v="Gigawattstunde"/>
    <x v="5"/>
    <x v="6"/>
    <n v="3992"/>
  </r>
  <r>
    <x v="20"/>
    <s v="Endenergieverbrauch - Industriesektor - Maschinen - energetischer Verbrauch"/>
    <s v="Elektrizität"/>
    <s v="Gigawattstunde"/>
    <x v="6"/>
    <x v="6"/>
    <n v="3847"/>
  </r>
  <r>
    <x v="20"/>
    <s v="Endenergieverbrauch - Industriesektor - Maschinen - energetischer Verbrauch"/>
    <s v="Elektrizität"/>
    <s v="Gigawattstunde"/>
    <x v="7"/>
    <x v="6"/>
    <n v="3255"/>
  </r>
  <r>
    <x v="20"/>
    <s v="Endenergieverbrauch - Industriesektor - Maschinen - energetischer Verbrauch"/>
    <s v="Elektrizität"/>
    <s v="Gigawattstunde"/>
    <x v="8"/>
    <x v="6"/>
    <n v="3630"/>
  </r>
  <r>
    <x v="20"/>
    <s v="Endenergieverbrauch - Industriesektor - Maschinen - energetischer Verbrauch"/>
    <s v="Elektrizität"/>
    <s v="Gigawattstunde"/>
    <x v="9"/>
    <x v="6"/>
    <n v="3974"/>
  </r>
  <r>
    <x v="20"/>
    <s v="Endenergieverbrauch - Industriesektor - Maschinen - energetischer Verbrauch"/>
    <s v="Elektrizität"/>
    <s v="Gigawattstunde"/>
    <x v="10"/>
    <x v="6"/>
    <n v="3918"/>
  </r>
  <r>
    <x v="20"/>
    <s v="Endenergieverbrauch - Industriesektor - Maschinen - energetischer Verbrauch"/>
    <s v="Elektrizität"/>
    <s v="Gigawattstunde"/>
    <x v="11"/>
    <x v="6"/>
    <n v="4251"/>
  </r>
  <r>
    <x v="20"/>
    <s v="Endenergieverbrauch - Industriesektor - Maschinen - energetischer Verbrauch"/>
    <s v="Elektrizität"/>
    <s v="Gigawattstunde"/>
    <x v="12"/>
    <x v="6"/>
    <n v="4397"/>
  </r>
  <r>
    <x v="20"/>
    <s v="Endenergieverbrauch - Industriesektor - Maschinen - energetischer Verbrauch"/>
    <s v="Elektrizität"/>
    <s v="Gigawattstunde"/>
    <x v="13"/>
    <x v="6"/>
    <n v="4543"/>
  </r>
  <r>
    <x v="20"/>
    <s v="Endenergieverbrauch - Industriesektor - Maschinen - energetischer Verbrauch"/>
    <s v="Elektrizität"/>
    <s v="Gigawattstunde"/>
    <x v="14"/>
    <x v="6"/>
    <n v="4581"/>
  </r>
  <r>
    <x v="20"/>
    <s v="Endenergieverbrauch - Industriesektor - Maschinen - energetischer Verbrauch"/>
    <s v="Elektrizität"/>
    <s v="Gigawattstunde"/>
    <x v="15"/>
    <x v="6"/>
    <n v="4804.0309999999999"/>
  </r>
  <r>
    <x v="20"/>
    <s v="Endenergieverbrauch - Industriesektor - Maschinen - energetischer Verbrauch"/>
    <s v="Elektrizität"/>
    <s v="Gigawattstunde"/>
    <x v="16"/>
    <x v="6"/>
    <n v="5125.9539999999997"/>
  </r>
  <r>
    <x v="21"/>
    <s v="Endenergieverbrauch - Industriesektor - Maschinen - energetischer Verbrauch"/>
    <s v="Elektrizität"/>
    <s v="Gigawattstunde"/>
    <x v="0"/>
    <x v="6"/>
    <n v="1071"/>
  </r>
  <r>
    <x v="21"/>
    <s v="Endenergieverbrauch - Industriesektor - Maschinen - energetischer Verbrauch"/>
    <s v="Elektrizität"/>
    <s v="Gigawattstunde"/>
    <x v="1"/>
    <x v="6"/>
    <n v="1132"/>
  </r>
  <r>
    <x v="21"/>
    <s v="Endenergieverbrauch - Industriesektor - Maschinen - energetischer Verbrauch"/>
    <s v="Elektrizität"/>
    <s v="Gigawattstunde"/>
    <x v="2"/>
    <x v="6"/>
    <n v="1185"/>
  </r>
  <r>
    <x v="21"/>
    <s v="Endenergieverbrauch - Industriesektor - Maschinen - energetischer Verbrauch"/>
    <s v="Elektrizität"/>
    <s v="Gigawattstunde"/>
    <x v="3"/>
    <x v="6"/>
    <n v="1196"/>
  </r>
  <r>
    <x v="21"/>
    <s v="Endenergieverbrauch - Industriesektor - Maschinen - energetischer Verbrauch"/>
    <s v="Elektrizität"/>
    <s v="Gigawattstunde"/>
    <x v="4"/>
    <x v="6"/>
    <n v="1250"/>
  </r>
  <r>
    <x v="21"/>
    <s v="Endenergieverbrauch - Industriesektor - Maschinen - energetischer Verbrauch"/>
    <s v="Elektrizität"/>
    <s v="Gigawattstunde"/>
    <x v="5"/>
    <x v="6"/>
    <n v="1272"/>
  </r>
  <r>
    <x v="21"/>
    <s v="Endenergieverbrauch - Industriesektor - Maschinen - energetischer Verbrauch"/>
    <s v="Elektrizität"/>
    <s v="Gigawattstunde"/>
    <x v="6"/>
    <x v="6"/>
    <n v="1272"/>
  </r>
  <r>
    <x v="21"/>
    <s v="Endenergieverbrauch - Industriesektor - Maschinen - energetischer Verbrauch"/>
    <s v="Elektrizität"/>
    <s v="Gigawattstunde"/>
    <x v="7"/>
    <x v="6"/>
    <n v="1240"/>
  </r>
  <r>
    <x v="21"/>
    <s v="Endenergieverbrauch - Industriesektor - Maschinen - energetischer Verbrauch"/>
    <s v="Elektrizität"/>
    <s v="Gigawattstunde"/>
    <x v="8"/>
    <x v="6"/>
    <n v="1346"/>
  </r>
  <r>
    <x v="21"/>
    <s v="Endenergieverbrauch - Industriesektor - Maschinen - energetischer Verbrauch"/>
    <s v="Elektrizität"/>
    <s v="Gigawattstunde"/>
    <x v="9"/>
    <x v="6"/>
    <n v="1316"/>
  </r>
  <r>
    <x v="21"/>
    <s v="Endenergieverbrauch - Industriesektor - Maschinen - energetischer Verbrauch"/>
    <s v="Elektrizität"/>
    <s v="Gigawattstunde"/>
    <x v="10"/>
    <x v="6"/>
    <n v="1274"/>
  </r>
  <r>
    <x v="21"/>
    <s v="Endenergieverbrauch - Industriesektor - Maschinen - energetischer Verbrauch"/>
    <s v="Elektrizität"/>
    <s v="Gigawattstunde"/>
    <x v="11"/>
    <x v="6"/>
    <n v="1272"/>
  </r>
  <r>
    <x v="21"/>
    <s v="Endenergieverbrauch - Industriesektor - Maschinen - energetischer Verbrauch"/>
    <s v="Elektrizität"/>
    <s v="Gigawattstunde"/>
    <x v="12"/>
    <x v="6"/>
    <n v="1307"/>
  </r>
  <r>
    <x v="21"/>
    <s v="Endenergieverbrauch - Industriesektor - Maschinen - energetischer Verbrauch"/>
    <s v="Elektrizität"/>
    <s v="Gigawattstunde"/>
    <x v="13"/>
    <x v="6"/>
    <n v="1330"/>
  </r>
  <r>
    <x v="21"/>
    <s v="Endenergieverbrauch - Industriesektor - Maschinen - energetischer Verbrauch"/>
    <s v="Elektrizität"/>
    <s v="Gigawattstunde"/>
    <x v="14"/>
    <x v="6"/>
    <n v="1076.6220000000001"/>
  </r>
  <r>
    <x v="21"/>
    <s v="Endenergieverbrauch - Industriesektor - Maschinen - energetischer Verbrauch"/>
    <s v="Elektrizität"/>
    <s v="Gigawattstunde"/>
    <x v="15"/>
    <x v="6"/>
    <n v="1085.038"/>
  </r>
  <r>
    <x v="21"/>
    <s v="Endenergieverbrauch - Industriesektor - Maschinen - energetischer Verbrauch"/>
    <s v="Elektrizität"/>
    <s v="Gigawattstunde"/>
    <x v="16"/>
    <x v="6"/>
    <n v="1162.7070000000001"/>
  </r>
  <r>
    <x v="22"/>
    <s v="Endenergieverbrauch - Industriesektor - Maschinen - energetischer Verbrauch"/>
    <s v="Elektrizität"/>
    <s v="Gigawattstunde"/>
    <x v="0"/>
    <x v="6"/>
    <n v="2681"/>
  </r>
  <r>
    <x v="22"/>
    <s v="Endenergieverbrauch - Industriesektor - Maschinen - energetischer Verbrauch"/>
    <s v="Elektrizität"/>
    <s v="Gigawattstunde"/>
    <x v="1"/>
    <x v="6"/>
    <n v="2428"/>
  </r>
  <r>
    <x v="22"/>
    <s v="Endenergieverbrauch - Industriesektor - Maschinen - energetischer Verbrauch"/>
    <s v="Elektrizität"/>
    <s v="Gigawattstunde"/>
    <x v="2"/>
    <x v="6"/>
    <n v="2101"/>
  </r>
  <r>
    <x v="22"/>
    <s v="Endenergieverbrauch - Industriesektor - Maschinen - energetischer Verbrauch"/>
    <s v="Elektrizität"/>
    <s v="Gigawattstunde"/>
    <x v="3"/>
    <x v="6"/>
    <n v="1859"/>
  </r>
  <r>
    <x v="22"/>
    <s v="Endenergieverbrauch - Industriesektor - Maschinen - energetischer Verbrauch"/>
    <s v="Elektrizität"/>
    <s v="Gigawattstunde"/>
    <x v="4"/>
    <x v="6"/>
    <n v="1691"/>
  </r>
  <r>
    <x v="22"/>
    <s v="Endenergieverbrauch - Industriesektor - Maschinen - energetischer Verbrauch"/>
    <s v="Elektrizität"/>
    <s v="Gigawattstunde"/>
    <x v="5"/>
    <x v="6"/>
    <n v="1789"/>
  </r>
  <r>
    <x v="22"/>
    <s v="Endenergieverbrauch - Industriesektor - Maschinen - energetischer Verbrauch"/>
    <s v="Elektrizität"/>
    <s v="Gigawattstunde"/>
    <x v="6"/>
    <x v="6"/>
    <n v="2108"/>
  </r>
  <r>
    <x v="22"/>
    <s v="Endenergieverbrauch - Industriesektor - Maschinen - energetischer Verbrauch"/>
    <s v="Elektrizität"/>
    <s v="Gigawattstunde"/>
    <x v="7"/>
    <x v="6"/>
    <n v="1623"/>
  </r>
  <r>
    <x v="22"/>
    <s v="Endenergieverbrauch - Industriesektor - Maschinen - energetischer Verbrauch"/>
    <s v="Elektrizität"/>
    <s v="Gigawattstunde"/>
    <x v="8"/>
    <x v="6"/>
    <n v="2265"/>
  </r>
  <r>
    <x v="22"/>
    <s v="Endenergieverbrauch - Industriesektor - Maschinen - energetischer Verbrauch"/>
    <s v="Elektrizität"/>
    <s v="Gigawattstunde"/>
    <x v="9"/>
    <x v="6"/>
    <n v="1823"/>
  </r>
  <r>
    <x v="22"/>
    <s v="Endenergieverbrauch - Industriesektor - Maschinen - energetischer Verbrauch"/>
    <s v="Elektrizität"/>
    <s v="Gigawattstunde"/>
    <x v="10"/>
    <x v="6"/>
    <n v="1937"/>
  </r>
  <r>
    <x v="22"/>
    <s v="Endenergieverbrauch - Industriesektor - Maschinen - energetischer Verbrauch"/>
    <s v="Elektrizität"/>
    <s v="Gigawattstunde"/>
    <x v="11"/>
    <x v="6"/>
    <n v="1835"/>
  </r>
  <r>
    <x v="22"/>
    <s v="Endenergieverbrauch - Industriesektor - Maschinen - energetischer Verbrauch"/>
    <s v="Elektrizität"/>
    <s v="Gigawattstunde"/>
    <x v="12"/>
    <x v="6"/>
    <n v="2024"/>
  </r>
  <r>
    <x v="22"/>
    <s v="Endenergieverbrauch - Industriesektor - Maschinen - energetischer Verbrauch"/>
    <s v="Elektrizität"/>
    <s v="Gigawattstunde"/>
    <x v="13"/>
    <x v="6"/>
    <n v="2037"/>
  </r>
  <r>
    <x v="22"/>
    <s v="Endenergieverbrauch - Industriesektor - Maschinen - energetischer Verbrauch"/>
    <s v="Elektrizität"/>
    <s v="Gigawattstunde"/>
    <x v="14"/>
    <x v="6"/>
    <n v="2190"/>
  </r>
  <r>
    <x v="22"/>
    <s v="Endenergieverbrauch - Industriesektor - Maschinen - energetischer Verbrauch"/>
    <s v="Elektrizität"/>
    <s v="Gigawattstunde"/>
    <x v="15"/>
    <x v="6"/>
    <n v="2456.3519999999999"/>
  </r>
  <r>
    <x v="22"/>
    <s v="Endenergieverbrauch - Industriesektor - Maschinen - energetischer Verbrauch"/>
    <s v="Elektrizität"/>
    <s v="Gigawattstunde"/>
    <x v="16"/>
    <x v="6"/>
    <n v="2758.6610000000001"/>
  </r>
  <r>
    <x v="23"/>
    <s v="Endenergieverbrauch - Industriesektor - Maschinen - energetischer Verbrauch"/>
    <s v="Elektrizität"/>
    <s v="Gigawattstunde"/>
    <x v="0"/>
    <x v="6"/>
    <n v="646"/>
  </r>
  <r>
    <x v="23"/>
    <s v="Endenergieverbrauch - Industriesektor - Maschinen - energetischer Verbrauch"/>
    <s v="Elektrizität"/>
    <s v="Gigawattstunde"/>
    <x v="1"/>
    <x v="6"/>
    <n v="757"/>
  </r>
  <r>
    <x v="23"/>
    <s v="Endenergieverbrauch - Industriesektor - Maschinen - energetischer Verbrauch"/>
    <s v="Elektrizität"/>
    <s v="Gigawattstunde"/>
    <x v="2"/>
    <x v="6"/>
    <n v="810"/>
  </r>
  <r>
    <x v="23"/>
    <s v="Endenergieverbrauch - Industriesektor - Maschinen - energetischer Verbrauch"/>
    <s v="Elektrizität"/>
    <s v="Gigawattstunde"/>
    <x v="3"/>
    <x v="6"/>
    <n v="880"/>
  </r>
  <r>
    <x v="23"/>
    <s v="Endenergieverbrauch - Industriesektor - Maschinen - energetischer Verbrauch"/>
    <s v="Elektrizität"/>
    <s v="Gigawattstunde"/>
    <x v="4"/>
    <x v="6"/>
    <n v="997"/>
  </r>
  <r>
    <x v="23"/>
    <s v="Endenergieverbrauch - Industriesektor - Maschinen - energetischer Verbrauch"/>
    <s v="Elektrizität"/>
    <s v="Gigawattstunde"/>
    <x v="5"/>
    <x v="6"/>
    <n v="1091"/>
  </r>
  <r>
    <x v="23"/>
    <s v="Endenergieverbrauch - Industriesektor - Maschinen - energetischer Verbrauch"/>
    <s v="Elektrizität"/>
    <s v="Gigawattstunde"/>
    <x v="6"/>
    <x v="6"/>
    <n v="951"/>
  </r>
  <r>
    <x v="23"/>
    <s v="Endenergieverbrauch - Industriesektor - Maschinen - energetischer Verbrauch"/>
    <s v="Elektrizität"/>
    <s v="Gigawattstunde"/>
    <x v="7"/>
    <x v="6"/>
    <n v="779"/>
  </r>
  <r>
    <x v="23"/>
    <s v="Endenergieverbrauch - Industriesektor - Maschinen - energetischer Verbrauch"/>
    <s v="Elektrizität"/>
    <s v="Gigawattstunde"/>
    <x v="8"/>
    <x v="6"/>
    <n v="931"/>
  </r>
  <r>
    <x v="23"/>
    <s v="Endenergieverbrauch - Industriesektor - Maschinen - energetischer Verbrauch"/>
    <s v="Elektrizität"/>
    <s v="Gigawattstunde"/>
    <x v="9"/>
    <x v="6"/>
    <n v="914"/>
  </r>
  <r>
    <x v="23"/>
    <s v="Endenergieverbrauch - Industriesektor - Maschinen - energetischer Verbrauch"/>
    <s v="Elektrizität"/>
    <s v="Gigawattstunde"/>
    <x v="10"/>
    <x v="6"/>
    <n v="862"/>
  </r>
  <r>
    <x v="23"/>
    <s v="Endenergieverbrauch - Industriesektor - Maschinen - energetischer Verbrauch"/>
    <s v="Elektrizität"/>
    <s v="Gigawattstunde"/>
    <x v="11"/>
    <x v="6"/>
    <n v="887"/>
  </r>
  <r>
    <x v="23"/>
    <s v="Endenergieverbrauch - Industriesektor - Maschinen - energetischer Verbrauch"/>
    <s v="Elektrizität"/>
    <s v="Gigawattstunde"/>
    <x v="12"/>
    <x v="6"/>
    <n v="905"/>
  </r>
  <r>
    <x v="23"/>
    <s v="Endenergieverbrauch - Industriesektor - Maschinen - energetischer Verbrauch"/>
    <s v="Elektrizität"/>
    <s v="Gigawattstunde"/>
    <x v="13"/>
    <x v="6"/>
    <n v="937"/>
  </r>
  <r>
    <x v="23"/>
    <s v="Endenergieverbrauch - Industriesektor - Maschinen - energetischer Verbrauch"/>
    <s v="Elektrizität"/>
    <s v="Gigawattstunde"/>
    <x v="14"/>
    <x v="6"/>
    <n v="984"/>
  </r>
  <r>
    <x v="23"/>
    <s v="Endenergieverbrauch - Industriesektor - Maschinen - energetischer Verbrauch"/>
    <s v="Elektrizität"/>
    <s v="Gigawattstunde"/>
    <x v="15"/>
    <x v="6"/>
    <n v="1005.197"/>
  </r>
  <r>
    <x v="23"/>
    <s v="Endenergieverbrauch - Industriesektor - Maschinen - energetischer Verbrauch"/>
    <s v="Elektrizität"/>
    <s v="Gigawattstunde"/>
    <x v="16"/>
    <x v="6"/>
    <n v="1345.384"/>
  </r>
  <r>
    <x v="24"/>
    <s v="Endenergieverbrauch - Industriesektor - Maschinen - energetischer Verbrauch"/>
    <s v="Elektrizität"/>
    <s v="Gigawattstunde"/>
    <x v="0"/>
    <x v="6"/>
    <n v="496"/>
  </r>
  <r>
    <x v="24"/>
    <s v="Endenergieverbrauch - Industriesektor - Maschinen - energetischer Verbrauch"/>
    <s v="Elektrizität"/>
    <s v="Gigawattstunde"/>
    <x v="1"/>
    <x v="6"/>
    <n v="742"/>
  </r>
  <r>
    <x v="24"/>
    <s v="Endenergieverbrauch - Industriesektor - Maschinen - energetischer Verbrauch"/>
    <s v="Elektrizität"/>
    <s v="Gigawattstunde"/>
    <x v="2"/>
    <x v="6"/>
    <n v="805"/>
  </r>
  <r>
    <x v="24"/>
    <s v="Endenergieverbrauch - Industriesektor - Maschinen - energetischer Verbrauch"/>
    <s v="Elektrizität"/>
    <s v="Gigawattstunde"/>
    <x v="3"/>
    <x v="6"/>
    <n v="766"/>
  </r>
  <r>
    <x v="24"/>
    <s v="Endenergieverbrauch - Industriesektor - Maschinen - energetischer Verbrauch"/>
    <s v="Elektrizität"/>
    <s v="Gigawattstunde"/>
    <x v="4"/>
    <x v="6"/>
    <n v="882"/>
  </r>
  <r>
    <x v="24"/>
    <s v="Endenergieverbrauch - Industriesektor - Maschinen - energetischer Verbrauch"/>
    <s v="Elektrizität"/>
    <s v="Gigawattstunde"/>
    <x v="5"/>
    <x v="6"/>
    <n v="1062"/>
  </r>
  <r>
    <x v="24"/>
    <s v="Endenergieverbrauch - Industriesektor - Maschinen - energetischer Verbrauch"/>
    <s v="Elektrizität"/>
    <s v="Gigawattstunde"/>
    <x v="6"/>
    <x v="6"/>
    <n v="1390"/>
  </r>
  <r>
    <x v="24"/>
    <s v="Endenergieverbrauch - Industriesektor - Maschinen - energetischer Verbrauch"/>
    <s v="Elektrizität"/>
    <s v="Gigawattstunde"/>
    <x v="7"/>
    <x v="6"/>
    <n v="961"/>
  </r>
  <r>
    <x v="24"/>
    <s v="Endenergieverbrauch - Industriesektor - Maschinen - energetischer Verbrauch"/>
    <s v="Elektrizität"/>
    <s v="Gigawattstunde"/>
    <x v="8"/>
    <x v="6"/>
    <n v="1081"/>
  </r>
  <r>
    <x v="24"/>
    <s v="Endenergieverbrauch - Industriesektor - Maschinen - energetischer Verbrauch"/>
    <s v="Elektrizität"/>
    <s v="Gigawattstunde"/>
    <x v="9"/>
    <x v="6"/>
    <n v="1074"/>
  </r>
  <r>
    <x v="24"/>
    <s v="Endenergieverbrauch - Industriesektor - Maschinen - energetischer Verbrauch"/>
    <s v="Elektrizität"/>
    <s v="Gigawattstunde"/>
    <x v="10"/>
    <x v="6"/>
    <n v="1124"/>
  </r>
  <r>
    <x v="24"/>
    <s v="Endenergieverbrauch - Industriesektor - Maschinen - energetischer Verbrauch"/>
    <s v="Elektrizität"/>
    <s v="Gigawattstunde"/>
    <x v="11"/>
    <x v="6"/>
    <n v="1156"/>
  </r>
  <r>
    <x v="24"/>
    <s v="Endenergieverbrauch - Industriesektor - Maschinen - energetischer Verbrauch"/>
    <s v="Elektrizität"/>
    <s v="Gigawattstunde"/>
    <x v="12"/>
    <x v="6"/>
    <n v="1301"/>
  </r>
  <r>
    <x v="24"/>
    <s v="Endenergieverbrauch - Industriesektor - Maschinen - energetischer Verbrauch"/>
    <s v="Elektrizität"/>
    <s v="Gigawattstunde"/>
    <x v="13"/>
    <x v="6"/>
    <n v="1329"/>
  </r>
  <r>
    <x v="24"/>
    <s v="Endenergieverbrauch - Industriesektor - Maschinen - energetischer Verbrauch"/>
    <s v="Elektrizität"/>
    <s v="Gigawattstunde"/>
    <x v="14"/>
    <x v="6"/>
    <n v="1449"/>
  </r>
  <r>
    <x v="24"/>
    <s v="Endenergieverbrauch - Industriesektor - Maschinen - energetischer Verbrauch"/>
    <s v="Elektrizität"/>
    <s v="Gigawattstunde"/>
    <x v="15"/>
    <x v="6"/>
    <n v="1693"/>
  </r>
  <r>
    <x v="24"/>
    <s v="Endenergieverbrauch - Industriesektor - Maschinen - energetischer Verbrauch"/>
    <s v="Elektrizität"/>
    <s v="Gigawattstunde"/>
    <x v="16"/>
    <x v="6"/>
    <n v="1818"/>
  </r>
  <r>
    <x v="25"/>
    <s v="Endenergieverbrauch - Industriesektor - Maschinen - energetischer Verbrauch"/>
    <s v="Elektrizität"/>
    <s v="Gigawattstunde"/>
    <x v="0"/>
    <x v="6"/>
    <n v="2077"/>
  </r>
  <r>
    <x v="25"/>
    <s v="Endenergieverbrauch - Industriesektor - Maschinen - energetischer Verbrauch"/>
    <s v="Elektrizität"/>
    <s v="Gigawattstunde"/>
    <x v="1"/>
    <x v="6"/>
    <n v="2165"/>
  </r>
  <r>
    <x v="25"/>
    <s v="Endenergieverbrauch - Industriesektor - Maschinen - energetischer Verbrauch"/>
    <s v="Elektrizität"/>
    <s v="Gigawattstunde"/>
    <x v="2"/>
    <x v="6"/>
    <n v="2208"/>
  </r>
  <r>
    <x v="25"/>
    <s v="Endenergieverbrauch - Industriesektor - Maschinen - energetischer Verbrauch"/>
    <s v="Elektrizität"/>
    <s v="Gigawattstunde"/>
    <x v="3"/>
    <x v="6"/>
    <n v="2097"/>
  </r>
  <r>
    <x v="25"/>
    <s v="Endenergieverbrauch - Industriesektor - Maschinen - energetischer Verbrauch"/>
    <s v="Elektrizität"/>
    <s v="Gigawattstunde"/>
    <x v="4"/>
    <x v="6"/>
    <n v="2145"/>
  </r>
  <r>
    <x v="25"/>
    <s v="Endenergieverbrauch - Industriesektor - Maschinen - energetischer Verbrauch"/>
    <s v="Elektrizität"/>
    <s v="Gigawattstunde"/>
    <x v="5"/>
    <x v="6"/>
    <n v="2252"/>
  </r>
  <r>
    <x v="25"/>
    <s v="Endenergieverbrauch - Industriesektor - Maschinen - energetischer Verbrauch"/>
    <s v="Elektrizität"/>
    <s v="Gigawattstunde"/>
    <x v="6"/>
    <x v="6"/>
    <n v="2530"/>
  </r>
  <r>
    <x v="25"/>
    <s v="Endenergieverbrauch - Industriesektor - Maschinen - energetischer Verbrauch"/>
    <s v="Elektrizität"/>
    <s v="Gigawattstunde"/>
    <x v="7"/>
    <x v="6"/>
    <n v="2397"/>
  </r>
  <r>
    <x v="25"/>
    <s v="Endenergieverbrauch - Industriesektor - Maschinen - energetischer Verbrauch"/>
    <s v="Elektrizität"/>
    <s v="Gigawattstunde"/>
    <x v="8"/>
    <x v="6"/>
    <n v="2446"/>
  </r>
  <r>
    <x v="25"/>
    <s v="Endenergieverbrauch - Industriesektor - Maschinen - energetischer Verbrauch"/>
    <s v="Elektrizität"/>
    <s v="Gigawattstunde"/>
    <x v="9"/>
    <x v="6"/>
    <n v="2373"/>
  </r>
  <r>
    <x v="25"/>
    <s v="Endenergieverbrauch - Industriesektor - Maschinen - energetischer Verbrauch"/>
    <s v="Elektrizität"/>
    <s v="Gigawattstunde"/>
    <x v="10"/>
    <x v="6"/>
    <n v="2145"/>
  </r>
  <r>
    <x v="25"/>
    <s v="Endenergieverbrauch - Industriesektor - Maschinen - energetischer Verbrauch"/>
    <s v="Elektrizität"/>
    <s v="Gigawattstunde"/>
    <x v="11"/>
    <x v="6"/>
    <n v="2196"/>
  </r>
  <r>
    <x v="25"/>
    <s v="Endenergieverbrauch - Industriesektor - Maschinen - energetischer Verbrauch"/>
    <s v="Elektrizität"/>
    <s v="Gigawattstunde"/>
    <x v="12"/>
    <x v="6"/>
    <n v="2163"/>
  </r>
  <r>
    <x v="25"/>
    <s v="Endenergieverbrauch - Industriesektor - Maschinen - energetischer Verbrauch"/>
    <s v="Elektrizität"/>
    <s v="Gigawattstunde"/>
    <x v="13"/>
    <x v="6"/>
    <n v="1994"/>
  </r>
  <r>
    <x v="25"/>
    <s v="Endenergieverbrauch - Industriesektor - Maschinen - energetischer Verbrauch"/>
    <s v="Elektrizität"/>
    <s v="Gigawattstunde"/>
    <x v="14"/>
    <x v="6"/>
    <n v="2029"/>
  </r>
  <r>
    <x v="25"/>
    <s v="Endenergieverbrauch - Industriesektor - Maschinen - energetischer Verbrauch"/>
    <s v="Elektrizität"/>
    <s v="Gigawattstunde"/>
    <x v="15"/>
    <x v="6"/>
    <n v="2158"/>
  </r>
  <r>
    <x v="25"/>
    <s v="Endenergieverbrauch - Industriesektor - Maschinen - energetischer Verbrauch"/>
    <s v="Elektrizität"/>
    <s v="Gigawattstunde"/>
    <x v="16"/>
    <x v="6"/>
    <n v="2338"/>
  </r>
  <r>
    <x v="26"/>
    <s v="Endenergieverbrauch - Industriesektor - Maschinen - energetischer Verbrauch"/>
    <s v="Elektrizität"/>
    <s v="Gigawattstunde"/>
    <x v="0"/>
    <x v="6"/>
    <n v="1803"/>
  </r>
  <r>
    <x v="26"/>
    <s v="Endenergieverbrauch - Industriesektor - Maschinen - energetischer Verbrauch"/>
    <s v="Elektrizität"/>
    <s v="Gigawattstunde"/>
    <x v="1"/>
    <x v="6"/>
    <n v="1781"/>
  </r>
  <r>
    <x v="26"/>
    <s v="Endenergieverbrauch - Industriesektor - Maschinen - energetischer Verbrauch"/>
    <s v="Elektrizität"/>
    <s v="Gigawattstunde"/>
    <x v="2"/>
    <x v="6"/>
    <n v="1817"/>
  </r>
  <r>
    <x v="26"/>
    <s v="Endenergieverbrauch - Industriesektor - Maschinen - energetischer Verbrauch"/>
    <s v="Elektrizität"/>
    <s v="Gigawattstunde"/>
    <x v="3"/>
    <x v="6"/>
    <n v="1746"/>
  </r>
  <r>
    <x v="26"/>
    <s v="Endenergieverbrauch - Industriesektor - Maschinen - energetischer Verbrauch"/>
    <s v="Elektrizität"/>
    <s v="Gigawattstunde"/>
    <x v="4"/>
    <x v="6"/>
    <n v="1851"/>
  </r>
  <r>
    <x v="26"/>
    <s v="Endenergieverbrauch - Industriesektor - Maschinen - energetischer Verbrauch"/>
    <s v="Elektrizität"/>
    <s v="Gigawattstunde"/>
    <x v="5"/>
    <x v="6"/>
    <n v="1730"/>
  </r>
  <r>
    <x v="26"/>
    <s v="Endenergieverbrauch - Industriesektor - Maschinen - energetischer Verbrauch"/>
    <s v="Elektrizität"/>
    <s v="Gigawattstunde"/>
    <x v="6"/>
    <x v="6"/>
    <n v="1495"/>
  </r>
  <r>
    <x v="26"/>
    <s v="Endenergieverbrauch - Industriesektor - Maschinen - energetischer Verbrauch"/>
    <s v="Elektrizität"/>
    <s v="Gigawattstunde"/>
    <x v="7"/>
    <x v="6"/>
    <n v="2035"/>
  </r>
  <r>
    <x v="26"/>
    <s v="Endenergieverbrauch - Industriesektor - Maschinen - energetischer Verbrauch"/>
    <s v="Elektrizität"/>
    <s v="Gigawattstunde"/>
    <x v="8"/>
    <x v="6"/>
    <n v="3997"/>
  </r>
  <r>
    <x v="26"/>
    <s v="Endenergieverbrauch - Industriesektor - Maschinen - energetischer Verbrauch"/>
    <s v="Elektrizität"/>
    <s v="Gigawattstunde"/>
    <x v="9"/>
    <x v="6"/>
    <n v="3739"/>
  </r>
  <r>
    <x v="26"/>
    <s v="Endenergieverbrauch - Industriesektor - Maschinen - energetischer Verbrauch"/>
    <s v="Elektrizität"/>
    <s v="Gigawattstunde"/>
    <x v="10"/>
    <x v="6"/>
    <n v="3628"/>
  </r>
  <r>
    <x v="26"/>
    <s v="Endenergieverbrauch - Industriesektor - Maschinen - energetischer Verbrauch"/>
    <s v="Elektrizität"/>
    <s v="Gigawattstunde"/>
    <x v="11"/>
    <x v="6"/>
    <n v="3483"/>
  </r>
  <r>
    <x v="26"/>
    <s v="Endenergieverbrauch - Industriesektor - Maschinen - energetischer Verbrauch"/>
    <s v="Elektrizität"/>
    <s v="Gigawattstunde"/>
    <x v="12"/>
    <x v="6"/>
    <n v="3654"/>
  </r>
  <r>
    <x v="26"/>
    <s v="Endenergieverbrauch - Industriesektor - Maschinen - energetischer Verbrauch"/>
    <s v="Elektrizität"/>
    <s v="Gigawattstunde"/>
    <x v="13"/>
    <x v="6"/>
    <n v="3381"/>
  </r>
  <r>
    <x v="26"/>
    <s v="Endenergieverbrauch - Industriesektor - Maschinen - energetischer Verbrauch"/>
    <s v="Elektrizität"/>
    <s v="Gigawattstunde"/>
    <x v="14"/>
    <x v="6"/>
    <n v="3276"/>
  </r>
  <r>
    <x v="26"/>
    <s v="Endenergieverbrauch - Industriesektor - Maschinen - energetischer Verbrauch"/>
    <s v="Elektrizität"/>
    <s v="Gigawattstunde"/>
    <x v="15"/>
    <x v="6"/>
    <n v="3330"/>
  </r>
  <r>
    <x v="26"/>
    <s v="Endenergieverbrauch - Industriesektor - Maschinen - energetischer Verbrauch"/>
    <s v="Elektrizität"/>
    <s v="Gigawattstunde"/>
    <x v="16"/>
    <x v="6"/>
    <n v="3399"/>
  </r>
  <r>
    <x v="27"/>
    <s v="Endenergieverbrauch - Industriesektor - Maschinen - energetischer Verbrauch"/>
    <s v="Elektrizität"/>
    <s v="Gigawattstunde"/>
    <x v="0"/>
    <x v="6"/>
    <n v="14674"/>
  </r>
  <r>
    <x v="27"/>
    <s v="Endenergieverbrauch - Industriesektor - Maschinen - energetischer Verbrauch"/>
    <s v="Elektrizität"/>
    <s v="Gigawattstunde"/>
    <x v="1"/>
    <x v="6"/>
    <n v="14509"/>
  </r>
  <r>
    <x v="27"/>
    <s v="Endenergieverbrauch - Industriesektor - Maschinen - energetischer Verbrauch"/>
    <s v="Elektrizität"/>
    <s v="Gigawattstunde"/>
    <x v="2"/>
    <x v="6"/>
    <n v="15019"/>
  </r>
  <r>
    <x v="27"/>
    <s v="Endenergieverbrauch - Industriesektor - Maschinen - energetischer Verbrauch"/>
    <s v="Elektrizität"/>
    <s v="Gigawattstunde"/>
    <x v="3"/>
    <x v="6"/>
    <n v="16053"/>
  </r>
  <r>
    <x v="27"/>
    <s v="Endenergieverbrauch - Industriesektor - Maschinen - energetischer Verbrauch"/>
    <s v="Elektrizität"/>
    <s v="Gigawattstunde"/>
    <x v="4"/>
    <x v="6"/>
    <n v="15832"/>
  </r>
  <r>
    <x v="27"/>
    <s v="Endenergieverbrauch - Industriesektor - Maschinen - energetischer Verbrauch"/>
    <s v="Elektrizität"/>
    <s v="Gigawattstunde"/>
    <x v="5"/>
    <x v="6"/>
    <n v="15748"/>
  </r>
  <r>
    <x v="27"/>
    <s v="Endenergieverbrauch - Industriesektor - Maschinen - energetischer Verbrauch"/>
    <s v="Elektrizität"/>
    <s v="Gigawattstunde"/>
    <x v="6"/>
    <x v="6"/>
    <n v="16010"/>
  </r>
  <r>
    <x v="27"/>
    <s v="Endenergieverbrauch - Industriesektor - Maschinen - energetischer Verbrauch"/>
    <s v="Elektrizität"/>
    <s v="Gigawattstunde"/>
    <x v="7"/>
    <x v="6"/>
    <n v="14143"/>
  </r>
  <r>
    <x v="27"/>
    <s v="Endenergieverbrauch - Industriesektor - Maschinen - energetischer Verbrauch"/>
    <s v="Elektrizität"/>
    <s v="Gigawattstunde"/>
    <x v="8"/>
    <x v="6"/>
    <n v="14309"/>
  </r>
  <r>
    <x v="27"/>
    <s v="Endenergieverbrauch - Industriesektor - Maschinen - energetischer Verbrauch"/>
    <s v="Elektrizität"/>
    <s v="Gigawattstunde"/>
    <x v="9"/>
    <x v="6"/>
    <n v="13645"/>
  </r>
  <r>
    <x v="27"/>
    <s v="Endenergieverbrauch - Industriesektor - Maschinen - energetischer Verbrauch"/>
    <s v="Elektrizität"/>
    <s v="Gigawattstunde"/>
    <x v="10"/>
    <x v="6"/>
    <n v="13261"/>
  </r>
  <r>
    <x v="27"/>
    <s v="Endenergieverbrauch - Industriesektor - Maschinen - energetischer Verbrauch"/>
    <s v="Elektrizität"/>
    <s v="Gigawattstunde"/>
    <x v="11"/>
    <x v="6"/>
    <n v="13235"/>
  </r>
  <r>
    <x v="27"/>
    <s v="Endenergieverbrauch - Industriesektor - Maschinen - energetischer Verbrauch"/>
    <s v="Elektrizität"/>
    <s v="Gigawattstunde"/>
    <x v="12"/>
    <x v="6"/>
    <n v="12627"/>
  </r>
  <r>
    <x v="27"/>
    <s v="Endenergieverbrauch - Industriesektor - Maschinen - energetischer Verbrauch"/>
    <s v="Elektrizität"/>
    <s v="Gigawattstunde"/>
    <x v="13"/>
    <x v="6"/>
    <n v="12225.583000000001"/>
  </r>
  <r>
    <x v="27"/>
    <s v="Endenergieverbrauch - Industriesektor - Maschinen - energetischer Verbrauch"/>
    <s v="Elektrizität"/>
    <s v="Gigawattstunde"/>
    <x v="14"/>
    <x v="6"/>
    <n v="12268.34"/>
  </r>
  <r>
    <x v="27"/>
    <s v="Endenergieverbrauch - Industriesektor - Maschinen - energetischer Verbrauch"/>
    <s v="Elektrizität"/>
    <s v="Gigawattstunde"/>
    <x v="15"/>
    <x v="6"/>
    <n v="12456.5"/>
  </r>
  <r>
    <x v="27"/>
    <s v="Endenergieverbrauch - Industriesektor - Maschinen - energetischer Verbrauch"/>
    <s v="Elektrizität"/>
    <s v="Gigawattstunde"/>
    <x v="16"/>
    <x v="6"/>
    <n v="12601.316999999999"/>
  </r>
  <r>
    <x v="28"/>
    <s v="Endenergieverbrauch - Industriesektor - Maschinen - energetischer Verbrauch"/>
    <s v="Elektrizität"/>
    <s v="Gigawattstunde"/>
    <x v="0"/>
    <x v="6"/>
    <n v="9"/>
  </r>
  <r>
    <x v="28"/>
    <s v="Endenergieverbrauch - Industriesektor - Maschinen - energetischer Verbrauch"/>
    <s v="Elektrizität"/>
    <s v="Gigawattstunde"/>
    <x v="1"/>
    <x v="6"/>
    <n v="8"/>
  </r>
  <r>
    <x v="28"/>
    <s v="Endenergieverbrauch - Industriesektor - Maschinen - energetischer Verbrauch"/>
    <s v="Elektrizität"/>
    <s v="Gigawattstunde"/>
    <x v="2"/>
    <x v="6"/>
    <n v="9"/>
  </r>
  <r>
    <x v="28"/>
    <s v="Endenergieverbrauch - Industriesektor - Maschinen - energetischer Verbrauch"/>
    <s v="Elektrizität"/>
    <s v="Gigawattstunde"/>
    <x v="3"/>
    <x v="6"/>
    <n v="11"/>
  </r>
  <r>
    <x v="28"/>
    <s v="Endenergieverbrauch - Industriesektor - Maschinen - energetischer Verbrauch"/>
    <s v="Elektrizität"/>
    <s v="Gigawattstunde"/>
    <x v="4"/>
    <x v="6"/>
    <n v="10"/>
  </r>
  <r>
    <x v="28"/>
    <s v="Endenergieverbrauch - Industriesektor - Maschinen - energetischer Verbrauch"/>
    <s v="Elektrizität"/>
    <s v="Gigawattstunde"/>
    <x v="5"/>
    <x v="6"/>
    <n v="11"/>
  </r>
  <r>
    <x v="28"/>
    <s v="Endenergieverbrauch - Industriesektor - Maschinen - energetischer Verbrauch"/>
    <s v="Elektrizität"/>
    <s v="Gigawattstunde"/>
    <x v="6"/>
    <x v="6"/>
    <n v="11"/>
  </r>
  <r>
    <x v="28"/>
    <s v="Endenergieverbrauch - Industriesektor - Maschinen - energetischer Verbrauch"/>
    <s v="Elektrizität"/>
    <s v="Gigawattstunde"/>
    <x v="7"/>
    <x v="6"/>
    <n v="9"/>
  </r>
  <r>
    <x v="28"/>
    <s v="Endenergieverbrauch - Industriesektor - Maschinen - energetischer Verbrauch"/>
    <s v="Elektrizität"/>
    <s v="Gigawattstunde"/>
    <x v="8"/>
    <x v="6"/>
    <n v="10"/>
  </r>
  <r>
    <x v="28"/>
    <s v="Endenergieverbrauch - Industriesektor - Maschinen - energetischer Verbrauch"/>
    <s v="Elektrizität"/>
    <s v="Gigawattstunde"/>
    <x v="9"/>
    <x v="6"/>
    <n v="10"/>
  </r>
  <r>
    <x v="28"/>
    <s v="Endenergieverbrauch - Industriesektor - Maschinen - energetischer Verbrauch"/>
    <s v="Elektrizität"/>
    <s v="Gigawattstunde"/>
    <x v="10"/>
    <x v="6"/>
    <n v="11"/>
  </r>
  <r>
    <x v="28"/>
    <s v="Endenergieverbrauch - Industriesektor - Maschinen - energetischer Verbrauch"/>
    <s v="Elektrizität"/>
    <s v="Gigawattstunde"/>
    <x v="11"/>
    <x v="6"/>
    <n v="11"/>
  </r>
  <r>
    <x v="28"/>
    <s v="Endenergieverbrauch - Industriesektor - Maschinen - energetischer Verbrauch"/>
    <s v="Elektrizität"/>
    <s v="Gigawattstunde"/>
    <x v="12"/>
    <x v="6"/>
    <n v="10"/>
  </r>
  <r>
    <x v="28"/>
    <s v="Endenergieverbrauch - Industriesektor - Maschinen - energetischer Verbrauch"/>
    <s v="Elektrizität"/>
    <s v="Gigawattstunde"/>
    <x v="13"/>
    <x v="6"/>
    <n v="10"/>
  </r>
  <r>
    <x v="28"/>
    <s v="Endenergieverbrauch - Industriesektor - Maschinen - energetischer Verbrauch"/>
    <s v="Elektrizität"/>
    <s v="Gigawattstunde"/>
    <x v="14"/>
    <x v="6"/>
    <n v="11"/>
  </r>
  <r>
    <x v="28"/>
    <s v="Endenergieverbrauch - Industriesektor - Maschinen - energetischer Verbrauch"/>
    <s v="Elektrizität"/>
    <s v="Gigawattstunde"/>
    <x v="15"/>
    <x v="6"/>
    <n v="10.872"/>
  </r>
  <r>
    <x v="28"/>
    <s v="Endenergieverbrauch - Industriesektor - Maschinen - energetischer Verbrauch"/>
    <s v="Elektrizität"/>
    <s v="Gigawattstunde"/>
    <x v="16"/>
    <x v="6"/>
    <n v="10.853999999999999"/>
  </r>
  <r>
    <x v="29"/>
    <s v="Endenergieverbrauch - Industriesektor - Maschinen - energetischer Verbrauch"/>
    <s v="Elektrizität"/>
    <s v="Gigawattstunde"/>
    <x v="0"/>
    <x v="6"/>
    <n v="1324"/>
  </r>
  <r>
    <x v="29"/>
    <s v="Endenergieverbrauch - Industriesektor - Maschinen - energetischer Verbrauch"/>
    <s v="Elektrizität"/>
    <s v="Gigawattstunde"/>
    <x v="1"/>
    <x v="6"/>
    <n v="1178"/>
  </r>
  <r>
    <x v="29"/>
    <s v="Endenergieverbrauch - Industriesektor - Maschinen - energetischer Verbrauch"/>
    <s v="Elektrizität"/>
    <s v="Gigawattstunde"/>
    <x v="2"/>
    <x v="6"/>
    <n v="1208"/>
  </r>
  <r>
    <x v="29"/>
    <s v="Endenergieverbrauch - Industriesektor - Maschinen - energetischer Verbrauch"/>
    <s v="Elektrizität"/>
    <s v="Gigawattstunde"/>
    <x v="3"/>
    <x v="6"/>
    <n v="1224"/>
  </r>
  <r>
    <x v="29"/>
    <s v="Endenergieverbrauch - Industriesektor - Maschinen - energetischer Verbrauch"/>
    <s v="Elektrizität"/>
    <s v="Gigawattstunde"/>
    <x v="4"/>
    <x v="6"/>
    <n v="1246"/>
  </r>
  <r>
    <x v="29"/>
    <s v="Endenergieverbrauch - Industriesektor - Maschinen - energetischer Verbrauch"/>
    <s v="Elektrizität"/>
    <s v="Gigawattstunde"/>
    <x v="5"/>
    <x v="6"/>
    <n v="1317"/>
  </r>
  <r>
    <x v="29"/>
    <s v="Endenergieverbrauch - Industriesektor - Maschinen - energetischer Verbrauch"/>
    <s v="Elektrizität"/>
    <s v="Gigawattstunde"/>
    <x v="6"/>
    <x v="6"/>
    <n v="1317"/>
  </r>
  <r>
    <x v="29"/>
    <s v="Endenergieverbrauch - Industriesektor - Maschinen - energetischer Verbrauch"/>
    <s v="Elektrizität"/>
    <s v="Gigawattstunde"/>
    <x v="7"/>
    <x v="6"/>
    <n v="963"/>
  </r>
  <r>
    <x v="29"/>
    <s v="Endenergieverbrauch - Industriesektor - Maschinen - energetischer Verbrauch"/>
    <s v="Elektrizität"/>
    <s v="Gigawattstunde"/>
    <x v="8"/>
    <x v="6"/>
    <n v="1171"/>
  </r>
  <r>
    <x v="29"/>
    <s v="Endenergieverbrauch - Industriesektor - Maschinen - energetischer Verbrauch"/>
    <s v="Elektrizität"/>
    <s v="Gigawattstunde"/>
    <x v="9"/>
    <x v="6"/>
    <n v="1117"/>
  </r>
  <r>
    <x v="29"/>
    <s v="Endenergieverbrauch - Industriesektor - Maschinen - energetischer Verbrauch"/>
    <s v="Elektrizität"/>
    <s v="Gigawattstunde"/>
    <x v="10"/>
    <x v="6"/>
    <n v="1109"/>
  </r>
  <r>
    <x v="29"/>
    <s v="Endenergieverbrauch - Industriesektor - Maschinen - energetischer Verbrauch"/>
    <s v="Elektrizität"/>
    <s v="Gigawattstunde"/>
    <x v="11"/>
    <x v="6"/>
    <n v="1164"/>
  </r>
  <r>
    <x v="29"/>
    <s v="Endenergieverbrauch - Industriesektor - Maschinen - energetischer Verbrauch"/>
    <s v="Elektrizität"/>
    <s v="Gigawattstunde"/>
    <x v="12"/>
    <x v="6"/>
    <n v="1195"/>
  </r>
  <r>
    <x v="29"/>
    <s v="Endenergieverbrauch - Industriesektor - Maschinen - energetischer Verbrauch"/>
    <s v="Elektrizität"/>
    <s v="Gigawattstunde"/>
    <x v="13"/>
    <x v="6"/>
    <n v="1241"/>
  </r>
  <r>
    <x v="29"/>
    <s v="Endenergieverbrauch - Industriesektor - Maschinen - energetischer Verbrauch"/>
    <s v="Elektrizität"/>
    <s v="Gigawattstunde"/>
    <x v="14"/>
    <x v="6"/>
    <n v="1148"/>
  </r>
  <r>
    <x v="29"/>
    <s v="Endenergieverbrauch - Industriesektor - Maschinen - energetischer Verbrauch"/>
    <s v="Elektrizität"/>
    <s v="Gigawattstunde"/>
    <x v="15"/>
    <x v="6"/>
    <n v="1060"/>
  </r>
  <r>
    <x v="29"/>
    <s v="Endenergieverbrauch - Industriesektor - Maschinen - energetischer Verbrauch"/>
    <s v="Elektrizität"/>
    <s v="Gigawattstunde"/>
    <x v="16"/>
    <x v="6"/>
    <n v="1010.635"/>
  </r>
  <r>
    <x v="30"/>
    <s v="Endenergieverbrauch - Industriesektor - Maschinen - energetischer Verbrauch"/>
    <s v="Elektrizität"/>
    <s v="Gigawattstunde"/>
    <x v="0"/>
    <x v="6"/>
    <n v="0"/>
  </r>
  <r>
    <x v="30"/>
    <s v="Endenergieverbrauch - Industriesektor - Maschinen - energetischer Verbrauch"/>
    <s v="Elektrizität"/>
    <s v="Gigawattstunde"/>
    <x v="1"/>
    <x v="6"/>
    <n v="0"/>
  </r>
  <r>
    <x v="30"/>
    <s v="Endenergieverbrauch - Industriesektor - Maschinen - energetischer Verbrauch"/>
    <s v="Elektrizität"/>
    <s v="Gigawattstunde"/>
    <x v="2"/>
    <x v="6"/>
    <n v="408"/>
  </r>
  <r>
    <x v="30"/>
    <s v="Endenergieverbrauch - Industriesektor - Maschinen - energetischer Verbrauch"/>
    <s v="Elektrizität"/>
    <s v="Gigawattstunde"/>
    <x v="3"/>
    <x v="6"/>
    <n v="434"/>
  </r>
  <r>
    <x v="30"/>
    <s v="Endenergieverbrauch - Industriesektor - Maschinen - energetischer Verbrauch"/>
    <s v="Elektrizität"/>
    <s v="Gigawattstunde"/>
    <x v="4"/>
    <x v="6"/>
    <n v="475"/>
  </r>
  <r>
    <x v="30"/>
    <s v="Endenergieverbrauch - Industriesektor - Maschinen - energetischer Verbrauch"/>
    <s v="Elektrizität"/>
    <s v="Gigawattstunde"/>
    <x v="5"/>
    <x v="6"/>
    <n v="876"/>
  </r>
  <r>
    <x v="30"/>
    <s v="Endenergieverbrauch - Industriesektor - Maschinen - energetischer Verbrauch"/>
    <s v="Elektrizität"/>
    <s v="Gigawattstunde"/>
    <x v="6"/>
    <x v="6"/>
    <n v="1185"/>
  </r>
  <r>
    <x v="30"/>
    <s v="Endenergieverbrauch - Industriesektor - Maschinen - energetischer Verbrauch"/>
    <s v="Elektrizität"/>
    <s v="Gigawattstunde"/>
    <x v="7"/>
    <x v="6"/>
    <n v="551"/>
  </r>
  <r>
    <x v="30"/>
    <s v="Endenergieverbrauch - Industriesektor - Maschinen - energetischer Verbrauch"/>
    <s v="Elektrizität"/>
    <s v="Gigawattstunde"/>
    <x v="8"/>
    <x v="6"/>
    <n v="660"/>
  </r>
  <r>
    <x v="30"/>
    <s v="Endenergieverbrauch - Industriesektor - Maschinen - energetischer Verbrauch"/>
    <s v="Elektrizität"/>
    <s v="Gigawattstunde"/>
    <x v="9"/>
    <x v="6"/>
    <n v="2062"/>
  </r>
  <r>
    <x v="30"/>
    <s v="Endenergieverbrauch - Industriesektor - Maschinen - energetischer Verbrauch"/>
    <s v="Elektrizität"/>
    <s v="Gigawattstunde"/>
    <x v="10"/>
    <x v="6"/>
    <n v="816"/>
  </r>
  <r>
    <x v="30"/>
    <s v="Endenergieverbrauch - Industriesektor - Maschinen - energetischer Verbrauch"/>
    <s v="Elektrizität"/>
    <s v="Gigawattstunde"/>
    <x v="11"/>
    <x v="6"/>
    <n v="788"/>
  </r>
  <r>
    <x v="30"/>
    <s v="Endenergieverbrauch - Industriesektor - Maschinen - energetischer Verbrauch"/>
    <s v="Elektrizität"/>
    <s v="Gigawattstunde"/>
    <x v="12"/>
    <x v="6"/>
    <n v="715"/>
  </r>
  <r>
    <x v="30"/>
    <s v="Endenergieverbrauch - Industriesektor - Maschinen - energetischer Verbrauch"/>
    <s v="Elektrizität"/>
    <s v="Gigawattstunde"/>
    <x v="13"/>
    <x v="6"/>
    <n v="686"/>
  </r>
  <r>
    <x v="30"/>
    <s v="Endenergieverbrauch - Industriesektor - Maschinen - energetischer Verbrauch"/>
    <s v="Elektrizität"/>
    <s v="Gigawattstunde"/>
    <x v="14"/>
    <x v="6"/>
    <n v="626"/>
  </r>
  <r>
    <x v="30"/>
    <s v="Endenergieverbrauch - Industriesektor - Maschinen - energetischer Verbrauch"/>
    <s v="Elektrizität"/>
    <s v="Gigawattstunde"/>
    <x v="15"/>
    <x v="6"/>
    <n v="657.06399999999996"/>
  </r>
  <r>
    <x v="30"/>
    <s v="Endenergieverbrauch - Industriesektor - Maschinen - energetischer Verbrauch"/>
    <s v="Elektrizität"/>
    <s v="Gigawattstunde"/>
    <x v="16"/>
    <x v="6"/>
    <n v="654.90200000000004"/>
  </r>
  <r>
    <x v="0"/>
    <s v="Endenergieverbrauch - Industriesektor - Nahrungsmittel, Getränke und Tabak - energetischer Verbrauch"/>
    <s v="Elektrizität"/>
    <s v="Gigawattstunde"/>
    <x v="0"/>
    <x v="7"/>
    <n v="3907"/>
  </r>
  <r>
    <x v="0"/>
    <s v="Endenergieverbrauch - Industriesektor - Nahrungsmittel, Getränke und Tabak - energetischer Verbrauch"/>
    <s v="Elektrizität"/>
    <s v="Gigawattstunde"/>
    <x v="1"/>
    <x v="7"/>
    <n v="4005"/>
  </r>
  <r>
    <x v="0"/>
    <s v="Endenergieverbrauch - Industriesektor - Nahrungsmittel, Getränke und Tabak - energetischer Verbrauch"/>
    <s v="Elektrizität"/>
    <s v="Gigawattstunde"/>
    <x v="2"/>
    <x v="7"/>
    <n v="4083"/>
  </r>
  <r>
    <x v="0"/>
    <s v="Endenergieverbrauch - Industriesektor - Nahrungsmittel, Getränke und Tabak - energetischer Verbrauch"/>
    <s v="Elektrizität"/>
    <s v="Gigawattstunde"/>
    <x v="3"/>
    <x v="7"/>
    <n v="3991"/>
  </r>
  <r>
    <x v="0"/>
    <s v="Endenergieverbrauch - Industriesektor - Nahrungsmittel, Getränke und Tabak - energetischer Verbrauch"/>
    <s v="Elektrizität"/>
    <s v="Gigawattstunde"/>
    <x v="4"/>
    <x v="7"/>
    <n v="4427"/>
  </r>
  <r>
    <x v="0"/>
    <s v="Endenergieverbrauch - Industriesektor - Nahrungsmittel, Getränke und Tabak - energetischer Verbrauch"/>
    <s v="Elektrizität"/>
    <s v="Gigawattstunde"/>
    <x v="5"/>
    <x v="7"/>
    <n v="4574"/>
  </r>
  <r>
    <x v="0"/>
    <s v="Endenergieverbrauch - Industriesektor - Nahrungsmittel, Getränke und Tabak - energetischer Verbrauch"/>
    <s v="Elektrizität"/>
    <s v="Gigawattstunde"/>
    <x v="6"/>
    <x v="7"/>
    <n v="4448"/>
  </r>
  <r>
    <x v="0"/>
    <s v="Endenergieverbrauch - Industriesektor - Nahrungsmittel, Getränke und Tabak - energetischer Verbrauch"/>
    <s v="Elektrizität"/>
    <s v="Gigawattstunde"/>
    <x v="7"/>
    <x v="7"/>
    <n v="4650"/>
  </r>
  <r>
    <x v="0"/>
    <s v="Endenergieverbrauch - Industriesektor - Nahrungsmittel, Getränke und Tabak - energetischer Verbrauch"/>
    <s v="Elektrizität"/>
    <s v="Gigawattstunde"/>
    <x v="8"/>
    <x v="7"/>
    <n v="4720"/>
  </r>
  <r>
    <x v="0"/>
    <s v="Endenergieverbrauch - Industriesektor - Nahrungsmittel, Getränke und Tabak - energetischer Verbrauch"/>
    <s v="Elektrizität"/>
    <s v="Gigawattstunde"/>
    <x v="9"/>
    <x v="7"/>
    <n v="4817"/>
  </r>
  <r>
    <x v="0"/>
    <s v="Endenergieverbrauch - Industriesektor - Nahrungsmittel, Getränke und Tabak - energetischer Verbrauch"/>
    <s v="Elektrizität"/>
    <s v="Gigawattstunde"/>
    <x v="10"/>
    <x v="7"/>
    <n v="4925"/>
  </r>
  <r>
    <x v="0"/>
    <s v="Endenergieverbrauch - Industriesektor - Nahrungsmittel, Getränke und Tabak - energetischer Verbrauch"/>
    <s v="Elektrizität"/>
    <s v="Gigawattstunde"/>
    <x v="11"/>
    <x v="7"/>
    <n v="5398"/>
  </r>
  <r>
    <x v="0"/>
    <s v="Endenergieverbrauch - Industriesektor - Nahrungsmittel, Getränke und Tabak - energetischer Verbrauch"/>
    <s v="Elektrizität"/>
    <s v="Gigawattstunde"/>
    <x v="12"/>
    <x v="7"/>
    <n v="5562.1"/>
  </r>
  <r>
    <x v="0"/>
    <s v="Endenergieverbrauch - Industriesektor - Nahrungsmittel, Getränke und Tabak - energetischer Verbrauch"/>
    <s v="Elektrizität"/>
    <s v="Gigawattstunde"/>
    <x v="13"/>
    <x v="7"/>
    <n v="5560.6"/>
  </r>
  <r>
    <x v="0"/>
    <s v="Endenergieverbrauch - Industriesektor - Nahrungsmittel, Getränke und Tabak - energetischer Verbrauch"/>
    <s v="Elektrizität"/>
    <s v="Gigawattstunde"/>
    <x v="14"/>
    <x v="7"/>
    <n v="5740.4"/>
  </r>
  <r>
    <x v="0"/>
    <s v="Endenergieverbrauch - Industriesektor - Nahrungsmittel, Getränke und Tabak - energetischer Verbrauch"/>
    <s v="Elektrizität"/>
    <s v="Gigawattstunde"/>
    <x v="15"/>
    <x v="7"/>
    <n v="5950.3"/>
  </r>
  <r>
    <x v="0"/>
    <s v="Endenergieverbrauch - Industriesektor - Nahrungsmittel, Getränke und Tabak - energetischer Verbrauch"/>
    <s v="Elektrizität"/>
    <s v="Gigawattstunde"/>
    <x v="16"/>
    <x v="7"/>
    <n v="6040.1"/>
  </r>
  <r>
    <x v="1"/>
    <s v="Endenergieverbrauch - Industriesektor - Nahrungsmittel, Getränke und Tabak - energetischer Verbrauch"/>
    <s v="Elektrizität"/>
    <s v="Gigawattstunde"/>
    <x v="0"/>
    <x v="7"/>
    <n v="854"/>
  </r>
  <r>
    <x v="1"/>
    <s v="Endenergieverbrauch - Industriesektor - Nahrungsmittel, Getränke und Tabak - energetischer Verbrauch"/>
    <s v="Elektrizität"/>
    <s v="Gigawattstunde"/>
    <x v="1"/>
    <x v="7"/>
    <n v="869"/>
  </r>
  <r>
    <x v="1"/>
    <s v="Endenergieverbrauch - Industriesektor - Nahrungsmittel, Getränke und Tabak - energetischer Verbrauch"/>
    <s v="Elektrizität"/>
    <s v="Gigawattstunde"/>
    <x v="2"/>
    <x v="7"/>
    <n v="1117"/>
  </r>
  <r>
    <x v="1"/>
    <s v="Endenergieverbrauch - Industriesektor - Nahrungsmittel, Getränke und Tabak - energetischer Verbrauch"/>
    <s v="Elektrizität"/>
    <s v="Gigawattstunde"/>
    <x v="3"/>
    <x v="7"/>
    <n v="1240"/>
  </r>
  <r>
    <x v="1"/>
    <s v="Endenergieverbrauch - Industriesektor - Nahrungsmittel, Getränke und Tabak - energetischer Verbrauch"/>
    <s v="Elektrizität"/>
    <s v="Gigawattstunde"/>
    <x v="4"/>
    <x v="7"/>
    <n v="1068"/>
  </r>
  <r>
    <x v="1"/>
    <s v="Endenergieverbrauch - Industriesektor - Nahrungsmittel, Getränke und Tabak - energetischer Verbrauch"/>
    <s v="Elektrizität"/>
    <s v="Gigawattstunde"/>
    <x v="5"/>
    <x v="7"/>
    <n v="1057"/>
  </r>
  <r>
    <x v="1"/>
    <s v="Endenergieverbrauch - Industriesektor - Nahrungsmittel, Getränke und Tabak - energetischer Verbrauch"/>
    <s v="Elektrizität"/>
    <s v="Gigawattstunde"/>
    <x v="6"/>
    <x v="7"/>
    <n v="1281"/>
  </r>
  <r>
    <x v="1"/>
    <s v="Endenergieverbrauch - Industriesektor - Nahrungsmittel, Getränke und Tabak - energetischer Verbrauch"/>
    <s v="Elektrizität"/>
    <s v="Gigawattstunde"/>
    <x v="7"/>
    <x v="7"/>
    <n v="1120"/>
  </r>
  <r>
    <x v="1"/>
    <s v="Endenergieverbrauch - Industriesektor - Nahrungsmittel, Getränke und Tabak - energetischer Verbrauch"/>
    <s v="Elektrizität"/>
    <s v="Gigawattstunde"/>
    <x v="8"/>
    <x v="7"/>
    <n v="1098"/>
  </r>
  <r>
    <x v="1"/>
    <s v="Endenergieverbrauch - Industriesektor - Nahrungsmittel, Getränke und Tabak - energetischer Verbrauch"/>
    <s v="Elektrizität"/>
    <s v="Gigawattstunde"/>
    <x v="9"/>
    <x v="7"/>
    <n v="1121"/>
  </r>
  <r>
    <x v="1"/>
    <s v="Endenergieverbrauch - Industriesektor - Nahrungsmittel, Getränke und Tabak - energetischer Verbrauch"/>
    <s v="Elektrizität"/>
    <s v="Gigawattstunde"/>
    <x v="10"/>
    <x v="7"/>
    <n v="1096"/>
  </r>
  <r>
    <x v="1"/>
    <s v="Endenergieverbrauch - Industriesektor - Nahrungsmittel, Getränke und Tabak - energetischer Verbrauch"/>
    <s v="Elektrizität"/>
    <s v="Gigawattstunde"/>
    <x v="11"/>
    <x v="7"/>
    <n v="1139"/>
  </r>
  <r>
    <x v="1"/>
    <s v="Endenergieverbrauch - Industriesektor - Nahrungsmittel, Getränke und Tabak - energetischer Verbrauch"/>
    <s v="Elektrizität"/>
    <s v="Gigawattstunde"/>
    <x v="12"/>
    <x v="7"/>
    <n v="1173"/>
  </r>
  <r>
    <x v="1"/>
    <s v="Endenergieverbrauch - Industriesektor - Nahrungsmittel, Getränke und Tabak - energetischer Verbrauch"/>
    <s v="Elektrizität"/>
    <s v="Gigawattstunde"/>
    <x v="13"/>
    <x v="7"/>
    <n v="1202"/>
  </r>
  <r>
    <x v="1"/>
    <s v="Endenergieverbrauch - Industriesektor - Nahrungsmittel, Getränke und Tabak - energetischer Verbrauch"/>
    <s v="Elektrizität"/>
    <s v="Gigawattstunde"/>
    <x v="14"/>
    <x v="7"/>
    <n v="1218"/>
  </r>
  <r>
    <x v="1"/>
    <s v="Endenergieverbrauch - Industriesektor - Nahrungsmittel, Getränke und Tabak - energetischer Verbrauch"/>
    <s v="Elektrizität"/>
    <s v="Gigawattstunde"/>
    <x v="15"/>
    <x v="7"/>
    <n v="1254.4870000000001"/>
  </r>
  <r>
    <x v="1"/>
    <s v="Endenergieverbrauch - Industriesektor - Nahrungsmittel, Getränke und Tabak - energetischer Verbrauch"/>
    <s v="Elektrizität"/>
    <s v="Gigawattstunde"/>
    <x v="16"/>
    <x v="7"/>
    <n v="1329.0050000000001"/>
  </r>
  <r>
    <x v="2"/>
    <s v="Endenergieverbrauch - Industriesektor - Nahrungsmittel, Getränke und Tabak - energetischer Verbrauch"/>
    <s v="Elektrizität"/>
    <s v="Gigawattstunde"/>
    <x v="0"/>
    <x v="7"/>
    <n v="1534"/>
  </r>
  <r>
    <x v="2"/>
    <s v="Endenergieverbrauch - Industriesektor - Nahrungsmittel, Getränke und Tabak - energetischer Verbrauch"/>
    <s v="Elektrizität"/>
    <s v="Gigawattstunde"/>
    <x v="1"/>
    <x v="7"/>
    <n v="1557"/>
  </r>
  <r>
    <x v="2"/>
    <s v="Endenergieverbrauch - Industriesektor - Nahrungsmittel, Getränke und Tabak - energetischer Verbrauch"/>
    <s v="Elektrizität"/>
    <s v="Gigawattstunde"/>
    <x v="2"/>
    <x v="7"/>
    <n v="1594"/>
  </r>
  <r>
    <x v="2"/>
    <s v="Endenergieverbrauch - Industriesektor - Nahrungsmittel, Getränke und Tabak - energetischer Verbrauch"/>
    <s v="Elektrizität"/>
    <s v="Gigawattstunde"/>
    <x v="3"/>
    <x v="7"/>
    <n v="1590"/>
  </r>
  <r>
    <x v="2"/>
    <s v="Endenergieverbrauch - Industriesektor - Nahrungsmittel, Getränke und Tabak - energetischer Verbrauch"/>
    <s v="Elektrizität"/>
    <s v="Gigawattstunde"/>
    <x v="4"/>
    <x v="7"/>
    <n v="1603"/>
  </r>
  <r>
    <x v="2"/>
    <s v="Endenergieverbrauch - Industriesektor - Nahrungsmittel, Getränke und Tabak - energetischer Verbrauch"/>
    <s v="Elektrizität"/>
    <s v="Gigawattstunde"/>
    <x v="5"/>
    <x v="7"/>
    <n v="1572"/>
  </r>
  <r>
    <x v="2"/>
    <s v="Endenergieverbrauch - Industriesektor - Nahrungsmittel, Getränke und Tabak - energetischer Verbrauch"/>
    <s v="Elektrizität"/>
    <s v="Gigawattstunde"/>
    <x v="6"/>
    <x v="7"/>
    <n v="1722"/>
  </r>
  <r>
    <x v="2"/>
    <s v="Endenergieverbrauch - Industriesektor - Nahrungsmittel, Getränke und Tabak - energetischer Verbrauch"/>
    <s v="Elektrizität"/>
    <s v="Gigawattstunde"/>
    <x v="7"/>
    <x v="7"/>
    <n v="1632"/>
  </r>
  <r>
    <x v="2"/>
    <s v="Endenergieverbrauch - Industriesektor - Nahrungsmittel, Getränke und Tabak - energetischer Verbrauch"/>
    <s v="Elektrizität"/>
    <s v="Gigawattstunde"/>
    <x v="8"/>
    <x v="7"/>
    <n v="1593"/>
  </r>
  <r>
    <x v="2"/>
    <s v="Endenergieverbrauch - Industriesektor - Nahrungsmittel, Getränke und Tabak - energetischer Verbrauch"/>
    <s v="Elektrizität"/>
    <s v="Gigawattstunde"/>
    <x v="9"/>
    <x v="7"/>
    <n v="1625"/>
  </r>
  <r>
    <x v="2"/>
    <s v="Endenergieverbrauch - Industriesektor - Nahrungsmittel, Getränke und Tabak - energetischer Verbrauch"/>
    <s v="Elektrizität"/>
    <s v="Gigawattstunde"/>
    <x v="10"/>
    <x v="7"/>
    <n v="1620"/>
  </r>
  <r>
    <x v="2"/>
    <s v="Endenergieverbrauch - Industriesektor - Nahrungsmittel, Getränke und Tabak - energetischer Verbrauch"/>
    <s v="Elektrizität"/>
    <s v="Gigawattstunde"/>
    <x v="11"/>
    <x v="7"/>
    <n v="1468"/>
  </r>
  <r>
    <x v="2"/>
    <s v="Endenergieverbrauch - Industriesektor - Nahrungsmittel, Getränke und Tabak - energetischer Verbrauch"/>
    <s v="Elektrizität"/>
    <s v="Gigawattstunde"/>
    <x v="12"/>
    <x v="7"/>
    <n v="1483"/>
  </r>
  <r>
    <x v="2"/>
    <s v="Endenergieverbrauch - Industriesektor - Nahrungsmittel, Getränke und Tabak - energetischer Verbrauch"/>
    <s v="Elektrizität"/>
    <s v="Gigawattstunde"/>
    <x v="13"/>
    <x v="7"/>
    <n v="1585"/>
  </r>
  <r>
    <x v="2"/>
    <s v="Endenergieverbrauch - Industriesektor - Nahrungsmittel, Getränke und Tabak - energetischer Verbrauch"/>
    <s v="Elektrizität"/>
    <s v="Gigawattstunde"/>
    <x v="14"/>
    <x v="7"/>
    <n v="1589"/>
  </r>
  <r>
    <x v="2"/>
    <s v="Endenergieverbrauch - Industriesektor - Nahrungsmittel, Getränke und Tabak - energetischer Verbrauch"/>
    <s v="Elektrizität"/>
    <s v="Gigawattstunde"/>
    <x v="15"/>
    <x v="7"/>
    <n v="1651.2339999999999"/>
  </r>
  <r>
    <x v="2"/>
    <s v="Endenergieverbrauch - Industriesektor - Nahrungsmittel, Getränke und Tabak - energetischer Verbrauch"/>
    <s v="Elektrizität"/>
    <s v="Gigawattstunde"/>
    <x v="16"/>
    <x v="7"/>
    <n v="1667.5170000000001"/>
  </r>
  <r>
    <x v="3"/>
    <s v="Endenergieverbrauch - Industriesektor - Nahrungsmittel, Getränke und Tabak - energetischer Verbrauch"/>
    <s v="Elektrizität"/>
    <s v="Gigawattstunde"/>
    <x v="0"/>
    <x v="7"/>
    <n v="2368"/>
  </r>
  <r>
    <x v="3"/>
    <s v="Endenergieverbrauch - Industriesektor - Nahrungsmittel, Getränke und Tabak - energetischer Verbrauch"/>
    <s v="Elektrizität"/>
    <s v="Gigawattstunde"/>
    <x v="1"/>
    <x v="7"/>
    <n v="2345"/>
  </r>
  <r>
    <x v="3"/>
    <s v="Endenergieverbrauch - Industriesektor - Nahrungsmittel, Getränke und Tabak - energetischer Verbrauch"/>
    <s v="Elektrizität"/>
    <s v="Gigawattstunde"/>
    <x v="2"/>
    <x v="7"/>
    <n v="2430"/>
  </r>
  <r>
    <x v="3"/>
    <s v="Endenergieverbrauch - Industriesektor - Nahrungsmittel, Getränke und Tabak - energetischer Verbrauch"/>
    <s v="Elektrizität"/>
    <s v="Gigawattstunde"/>
    <x v="3"/>
    <x v="7"/>
    <n v="2559"/>
  </r>
  <r>
    <x v="3"/>
    <s v="Endenergieverbrauch - Industriesektor - Nahrungsmittel, Getränke und Tabak - energetischer Verbrauch"/>
    <s v="Elektrizität"/>
    <s v="Gigawattstunde"/>
    <x v="4"/>
    <x v="7"/>
    <n v="2493"/>
  </r>
  <r>
    <x v="3"/>
    <s v="Endenergieverbrauch - Industriesektor - Nahrungsmittel, Getränke und Tabak - energetischer Verbrauch"/>
    <s v="Elektrizität"/>
    <s v="Gigawattstunde"/>
    <x v="5"/>
    <x v="7"/>
    <n v="2431"/>
  </r>
  <r>
    <x v="3"/>
    <s v="Endenergieverbrauch - Industriesektor - Nahrungsmittel, Getränke und Tabak - energetischer Verbrauch"/>
    <s v="Elektrizität"/>
    <s v="Gigawattstunde"/>
    <x v="6"/>
    <x v="7"/>
    <n v="2470"/>
  </r>
  <r>
    <x v="3"/>
    <s v="Endenergieverbrauch - Industriesektor - Nahrungsmittel, Getränke und Tabak - energetischer Verbrauch"/>
    <s v="Elektrizität"/>
    <s v="Gigawattstunde"/>
    <x v="7"/>
    <x v="7"/>
    <n v="2251"/>
  </r>
  <r>
    <x v="3"/>
    <s v="Endenergieverbrauch - Industriesektor - Nahrungsmittel, Getränke und Tabak - energetischer Verbrauch"/>
    <s v="Elektrizität"/>
    <s v="Gigawattstunde"/>
    <x v="8"/>
    <x v="7"/>
    <n v="2315"/>
  </r>
  <r>
    <x v="3"/>
    <s v="Endenergieverbrauch - Industriesektor - Nahrungsmittel, Getränke und Tabak - energetischer Verbrauch"/>
    <s v="Elektrizität"/>
    <s v="Gigawattstunde"/>
    <x v="9"/>
    <x v="7"/>
    <n v="2389"/>
  </r>
  <r>
    <x v="3"/>
    <s v="Endenergieverbrauch - Industriesektor - Nahrungsmittel, Getränke und Tabak - energetischer Verbrauch"/>
    <s v="Elektrizität"/>
    <s v="Gigawattstunde"/>
    <x v="10"/>
    <x v="7"/>
    <n v="2350"/>
  </r>
  <r>
    <x v="3"/>
    <s v="Endenergieverbrauch - Industriesektor - Nahrungsmittel, Getränke und Tabak - energetischer Verbrauch"/>
    <s v="Elektrizität"/>
    <s v="Gigawattstunde"/>
    <x v="11"/>
    <x v="7"/>
    <n v="2273"/>
  </r>
  <r>
    <x v="3"/>
    <s v="Endenergieverbrauch - Industriesektor - Nahrungsmittel, Getränke und Tabak - energetischer Verbrauch"/>
    <s v="Elektrizität"/>
    <s v="Gigawattstunde"/>
    <x v="12"/>
    <x v="7"/>
    <n v="2329"/>
  </r>
  <r>
    <x v="3"/>
    <s v="Endenergieverbrauch - Industriesektor - Nahrungsmittel, Getränke und Tabak - energetischer Verbrauch"/>
    <s v="Elektrizität"/>
    <s v="Gigawattstunde"/>
    <x v="13"/>
    <x v="7"/>
    <n v="2381.384"/>
  </r>
  <r>
    <x v="3"/>
    <s v="Endenergieverbrauch - Industriesektor - Nahrungsmittel, Getränke und Tabak - energetischer Verbrauch"/>
    <s v="Elektrizität"/>
    <s v="Gigawattstunde"/>
    <x v="14"/>
    <x v="7"/>
    <n v="2374.9749999999999"/>
  </r>
  <r>
    <x v="3"/>
    <s v="Endenergieverbrauch - Industriesektor - Nahrungsmittel, Getränke und Tabak - energetischer Verbrauch"/>
    <s v="Elektrizität"/>
    <s v="Gigawattstunde"/>
    <x v="15"/>
    <x v="7"/>
    <n v="2411.413"/>
  </r>
  <r>
    <x v="3"/>
    <s v="Endenergieverbrauch - Industriesektor - Nahrungsmittel, Getränke und Tabak - energetischer Verbrauch"/>
    <s v="Elektrizität"/>
    <s v="Gigawattstunde"/>
    <x v="16"/>
    <x v="7"/>
    <n v="2409.0720000000001"/>
  </r>
  <r>
    <x v="4"/>
    <s v="Endenergieverbrauch - Industriesektor - Nahrungsmittel, Getränke und Tabak - energetischer Verbrauch"/>
    <s v="Elektrizität"/>
    <s v="Gigawattstunde"/>
    <x v="0"/>
    <x v="7"/>
    <n v="15957"/>
  </r>
  <r>
    <x v="4"/>
    <s v="Endenergieverbrauch - Industriesektor - Nahrungsmittel, Getränke und Tabak - energetischer Verbrauch"/>
    <s v="Elektrizität"/>
    <s v="Gigawattstunde"/>
    <x v="1"/>
    <x v="7"/>
    <n v="16582"/>
  </r>
  <r>
    <x v="4"/>
    <s v="Endenergieverbrauch - Industriesektor - Nahrungsmittel, Getränke und Tabak - energetischer Verbrauch"/>
    <s v="Elektrizität"/>
    <s v="Gigawattstunde"/>
    <x v="2"/>
    <x v="7"/>
    <n v="16405"/>
  </r>
  <r>
    <x v="4"/>
    <s v="Endenergieverbrauch - Industriesektor - Nahrungsmittel, Getränke und Tabak - energetischer Verbrauch"/>
    <s v="Elektrizität"/>
    <s v="Gigawattstunde"/>
    <x v="3"/>
    <x v="7"/>
    <n v="16906"/>
  </r>
  <r>
    <x v="4"/>
    <s v="Endenergieverbrauch - Industriesektor - Nahrungsmittel, Getränke und Tabak - energetischer Verbrauch"/>
    <s v="Elektrizität"/>
    <s v="Gigawattstunde"/>
    <x v="4"/>
    <x v="7"/>
    <n v="17266"/>
  </r>
  <r>
    <x v="4"/>
    <s v="Endenergieverbrauch - Industriesektor - Nahrungsmittel, Getränke und Tabak - energetischer Verbrauch"/>
    <s v="Elektrizität"/>
    <s v="Gigawattstunde"/>
    <x v="5"/>
    <x v="7"/>
    <n v="17213"/>
  </r>
  <r>
    <x v="4"/>
    <s v="Endenergieverbrauch - Industriesektor - Nahrungsmittel, Getränke und Tabak - energetischer Verbrauch"/>
    <s v="Elektrizität"/>
    <s v="Gigawattstunde"/>
    <x v="6"/>
    <x v="7"/>
    <n v="18015"/>
  </r>
  <r>
    <x v="4"/>
    <s v="Endenergieverbrauch - Industriesektor - Nahrungsmittel, Getränke und Tabak - energetischer Verbrauch"/>
    <s v="Elektrizität"/>
    <s v="Gigawattstunde"/>
    <x v="7"/>
    <x v="7"/>
    <n v="17832"/>
  </r>
  <r>
    <x v="4"/>
    <s v="Endenergieverbrauch - Industriesektor - Nahrungsmittel, Getränke und Tabak - energetischer Verbrauch"/>
    <s v="Elektrizität"/>
    <s v="Gigawattstunde"/>
    <x v="8"/>
    <x v="7"/>
    <n v="17525"/>
  </r>
  <r>
    <x v="4"/>
    <s v="Endenergieverbrauch - Industriesektor - Nahrungsmittel, Getränke und Tabak - energetischer Verbrauch"/>
    <s v="Elektrizität"/>
    <s v="Gigawattstunde"/>
    <x v="9"/>
    <x v="7"/>
    <n v="17770"/>
  </r>
  <r>
    <x v="4"/>
    <s v="Endenergieverbrauch - Industriesektor - Nahrungsmittel, Getränke und Tabak - energetischer Verbrauch"/>
    <s v="Elektrizität"/>
    <s v="Gigawattstunde"/>
    <x v="10"/>
    <x v="7"/>
    <n v="17981"/>
  </r>
  <r>
    <x v="4"/>
    <s v="Endenergieverbrauch - Industriesektor - Nahrungsmittel, Getränke und Tabak - energetischer Verbrauch"/>
    <s v="Elektrizität"/>
    <s v="Gigawattstunde"/>
    <x v="11"/>
    <x v="7"/>
    <n v="17821"/>
  </r>
  <r>
    <x v="4"/>
    <s v="Endenergieverbrauch - Industriesektor - Nahrungsmittel, Getränke und Tabak - energetischer Verbrauch"/>
    <s v="Elektrizität"/>
    <s v="Gigawattstunde"/>
    <x v="12"/>
    <x v="7"/>
    <n v="18074"/>
  </r>
  <r>
    <x v="4"/>
    <s v="Endenergieverbrauch - Industriesektor - Nahrungsmittel, Getränke und Tabak - energetischer Verbrauch"/>
    <s v="Elektrizität"/>
    <s v="Gigawattstunde"/>
    <x v="13"/>
    <x v="7"/>
    <n v="18194"/>
  </r>
  <r>
    <x v="4"/>
    <s v="Endenergieverbrauch - Industriesektor - Nahrungsmittel, Getränke und Tabak - energetischer Verbrauch"/>
    <s v="Elektrizität"/>
    <s v="Gigawattstunde"/>
    <x v="14"/>
    <x v="7"/>
    <n v="18522"/>
  </r>
  <r>
    <x v="4"/>
    <s v="Endenergieverbrauch - Industriesektor - Nahrungsmittel, Getränke und Tabak - energetischer Verbrauch"/>
    <s v="Elektrizität"/>
    <s v="Gigawattstunde"/>
    <x v="15"/>
    <x v="7"/>
    <n v="18639"/>
  </r>
  <r>
    <x v="4"/>
    <s v="Endenergieverbrauch - Industriesektor - Nahrungsmittel, Getränke und Tabak - energetischer Verbrauch"/>
    <s v="Elektrizität"/>
    <s v="Gigawattstunde"/>
    <x v="16"/>
    <x v="7"/>
    <n v="18962"/>
  </r>
  <r>
    <x v="5"/>
    <s v="Endenergieverbrauch - Industriesektor - Nahrungsmittel, Getränke und Tabak - energetischer Verbrauch"/>
    <s v="Elektrizität"/>
    <s v="Gigawattstunde"/>
    <x v="0"/>
    <x v="7"/>
    <n v="292"/>
  </r>
  <r>
    <x v="5"/>
    <s v="Endenergieverbrauch - Industriesektor - Nahrungsmittel, Getränke und Tabak - energetischer Verbrauch"/>
    <s v="Elektrizität"/>
    <s v="Gigawattstunde"/>
    <x v="1"/>
    <x v="7"/>
    <n v="289"/>
  </r>
  <r>
    <x v="5"/>
    <s v="Endenergieverbrauch - Industriesektor - Nahrungsmittel, Getränke und Tabak - energetischer Verbrauch"/>
    <s v="Elektrizität"/>
    <s v="Gigawattstunde"/>
    <x v="2"/>
    <x v="7"/>
    <n v="300"/>
  </r>
  <r>
    <x v="5"/>
    <s v="Endenergieverbrauch - Industriesektor - Nahrungsmittel, Getränke und Tabak - energetischer Verbrauch"/>
    <s v="Elektrizität"/>
    <s v="Gigawattstunde"/>
    <x v="3"/>
    <x v="7"/>
    <n v="304"/>
  </r>
  <r>
    <x v="5"/>
    <s v="Endenergieverbrauch - Industriesektor - Nahrungsmittel, Getränke und Tabak - energetischer Verbrauch"/>
    <s v="Elektrizität"/>
    <s v="Gigawattstunde"/>
    <x v="4"/>
    <x v="7"/>
    <n v="294"/>
  </r>
  <r>
    <x v="5"/>
    <s v="Endenergieverbrauch - Industriesektor - Nahrungsmittel, Getränke und Tabak - energetischer Verbrauch"/>
    <s v="Elektrizität"/>
    <s v="Gigawattstunde"/>
    <x v="5"/>
    <x v="7"/>
    <n v="315"/>
  </r>
  <r>
    <x v="5"/>
    <s v="Endenergieverbrauch - Industriesektor - Nahrungsmittel, Getränke und Tabak - energetischer Verbrauch"/>
    <s v="Elektrizität"/>
    <s v="Gigawattstunde"/>
    <x v="6"/>
    <x v="7"/>
    <n v="310"/>
  </r>
  <r>
    <x v="5"/>
    <s v="Endenergieverbrauch - Industriesektor - Nahrungsmittel, Getränke und Tabak - energetischer Verbrauch"/>
    <s v="Elektrizität"/>
    <s v="Gigawattstunde"/>
    <x v="7"/>
    <x v="7"/>
    <n v="249"/>
  </r>
  <r>
    <x v="5"/>
    <s v="Endenergieverbrauch - Industriesektor - Nahrungsmittel, Getränke und Tabak - energetischer Verbrauch"/>
    <s v="Elektrizität"/>
    <s v="Gigawattstunde"/>
    <x v="8"/>
    <x v="7"/>
    <n v="278"/>
  </r>
  <r>
    <x v="5"/>
    <s v="Endenergieverbrauch - Industriesektor - Nahrungsmittel, Getränke und Tabak - energetischer Verbrauch"/>
    <s v="Elektrizität"/>
    <s v="Gigawattstunde"/>
    <x v="9"/>
    <x v="7"/>
    <n v="265"/>
  </r>
  <r>
    <x v="5"/>
    <s v="Endenergieverbrauch - Industriesektor - Nahrungsmittel, Getränke und Tabak - energetischer Verbrauch"/>
    <s v="Elektrizität"/>
    <s v="Gigawattstunde"/>
    <x v="10"/>
    <x v="7"/>
    <n v="321"/>
  </r>
  <r>
    <x v="5"/>
    <s v="Endenergieverbrauch - Industriesektor - Nahrungsmittel, Getränke und Tabak - energetischer Verbrauch"/>
    <s v="Elektrizität"/>
    <s v="Gigawattstunde"/>
    <x v="11"/>
    <x v="7"/>
    <n v="288"/>
  </r>
  <r>
    <x v="5"/>
    <s v="Endenergieverbrauch - Industriesektor - Nahrungsmittel, Getränke und Tabak - energetischer Verbrauch"/>
    <s v="Elektrizität"/>
    <s v="Gigawattstunde"/>
    <x v="12"/>
    <x v="7"/>
    <n v="318"/>
  </r>
  <r>
    <x v="5"/>
    <s v="Endenergieverbrauch - Industriesektor - Nahrungsmittel, Getränke und Tabak - energetischer Verbrauch"/>
    <s v="Elektrizität"/>
    <s v="Gigawattstunde"/>
    <x v="13"/>
    <x v="7"/>
    <n v="321"/>
  </r>
  <r>
    <x v="5"/>
    <s v="Endenergieverbrauch - Industriesektor - Nahrungsmittel, Getränke und Tabak - energetischer Verbrauch"/>
    <s v="Elektrizität"/>
    <s v="Gigawattstunde"/>
    <x v="14"/>
    <x v="7"/>
    <n v="320"/>
  </r>
  <r>
    <x v="5"/>
    <s v="Endenergieverbrauch - Industriesektor - Nahrungsmittel, Getränke und Tabak - energetischer Verbrauch"/>
    <s v="Elektrizität"/>
    <s v="Gigawattstunde"/>
    <x v="15"/>
    <x v="7"/>
    <n v="309"/>
  </r>
  <r>
    <x v="5"/>
    <s v="Endenergieverbrauch - Industriesektor - Nahrungsmittel, Getränke und Tabak - energetischer Verbrauch"/>
    <s v="Elektrizität"/>
    <s v="Gigawattstunde"/>
    <x v="16"/>
    <x v="7"/>
    <n v="290"/>
  </r>
  <r>
    <x v="6"/>
    <s v="Endenergieverbrauch - Industriesektor - Nahrungsmittel, Getränke und Tabak - energetischer Verbrauch"/>
    <s v="Elektrizität"/>
    <s v="Gigawattstunde"/>
    <x v="0"/>
    <x v="7"/>
    <n v="1888.9739999999999"/>
  </r>
  <r>
    <x v="6"/>
    <s v="Endenergieverbrauch - Industriesektor - Nahrungsmittel, Getränke und Tabak - energetischer Verbrauch"/>
    <s v="Elektrizität"/>
    <s v="Gigawattstunde"/>
    <x v="1"/>
    <x v="7"/>
    <n v="1758.9"/>
  </r>
  <r>
    <x v="6"/>
    <s v="Endenergieverbrauch - Industriesektor - Nahrungsmittel, Getränke und Tabak - energetischer Verbrauch"/>
    <s v="Elektrizität"/>
    <s v="Gigawattstunde"/>
    <x v="2"/>
    <x v="7"/>
    <n v="1664.6079999999999"/>
  </r>
  <r>
    <x v="6"/>
    <s v="Endenergieverbrauch - Industriesektor - Nahrungsmittel, Getränke und Tabak - energetischer Verbrauch"/>
    <s v="Elektrizität"/>
    <s v="Gigawattstunde"/>
    <x v="3"/>
    <x v="7"/>
    <n v="1855.13"/>
  </r>
  <r>
    <x v="6"/>
    <s v="Endenergieverbrauch - Industriesektor - Nahrungsmittel, Getränke und Tabak - energetischer Verbrauch"/>
    <s v="Elektrizität"/>
    <s v="Gigawattstunde"/>
    <x v="4"/>
    <x v="7"/>
    <n v="1807.55"/>
  </r>
  <r>
    <x v="6"/>
    <s v="Endenergieverbrauch - Industriesektor - Nahrungsmittel, Getränke und Tabak - energetischer Verbrauch"/>
    <s v="Elektrizität"/>
    <s v="Gigawattstunde"/>
    <x v="5"/>
    <x v="7"/>
    <n v="1664.0440000000001"/>
  </r>
  <r>
    <x v="6"/>
    <s v="Endenergieverbrauch - Industriesektor - Nahrungsmittel, Getränke und Tabak - energetischer Verbrauch"/>
    <s v="Elektrizität"/>
    <s v="Gigawattstunde"/>
    <x v="6"/>
    <x v="7"/>
    <n v="1545.152"/>
  </r>
  <r>
    <x v="6"/>
    <s v="Endenergieverbrauch - Industriesektor - Nahrungsmittel, Getränke und Tabak - energetischer Verbrauch"/>
    <s v="Elektrizität"/>
    <s v="Gigawattstunde"/>
    <x v="7"/>
    <x v="7"/>
    <n v="1690.223"/>
  </r>
  <r>
    <x v="6"/>
    <s v="Endenergieverbrauch - Industriesektor - Nahrungsmittel, Getränke und Tabak - energetischer Verbrauch"/>
    <s v="Elektrizität"/>
    <s v="Gigawattstunde"/>
    <x v="8"/>
    <x v="7"/>
    <n v="1940.329"/>
  </r>
  <r>
    <x v="6"/>
    <s v="Endenergieverbrauch - Industriesektor - Nahrungsmittel, Getränke und Tabak - energetischer Verbrauch"/>
    <s v="Elektrizität"/>
    <s v="Gigawattstunde"/>
    <x v="9"/>
    <x v="7"/>
    <n v="2025.6569999999999"/>
  </r>
  <r>
    <x v="6"/>
    <s v="Endenergieverbrauch - Industriesektor - Nahrungsmittel, Getränke und Tabak - energetischer Verbrauch"/>
    <s v="Elektrizität"/>
    <s v="Gigawattstunde"/>
    <x v="10"/>
    <x v="7"/>
    <n v="1949.6410000000001"/>
  </r>
  <r>
    <x v="6"/>
    <s v="Endenergieverbrauch - Industriesektor - Nahrungsmittel, Getränke und Tabak - energetischer Verbrauch"/>
    <s v="Elektrizität"/>
    <s v="Gigawattstunde"/>
    <x v="11"/>
    <x v="7"/>
    <n v="1979.876"/>
  </r>
  <r>
    <x v="6"/>
    <s v="Endenergieverbrauch - Industriesektor - Nahrungsmittel, Getränke und Tabak - energetischer Verbrauch"/>
    <s v="Elektrizität"/>
    <s v="Gigawattstunde"/>
    <x v="12"/>
    <x v="7"/>
    <n v="2003.521"/>
  </r>
  <r>
    <x v="6"/>
    <s v="Endenergieverbrauch - Industriesektor - Nahrungsmittel, Getränke und Tabak - energetischer Verbrauch"/>
    <s v="Elektrizität"/>
    <s v="Gigawattstunde"/>
    <x v="13"/>
    <x v="7"/>
    <n v="2098.5700000000002"/>
  </r>
  <r>
    <x v="6"/>
    <s v="Endenergieverbrauch - Industriesektor - Nahrungsmittel, Getränke und Tabak - energetischer Verbrauch"/>
    <s v="Elektrizität"/>
    <s v="Gigawattstunde"/>
    <x v="14"/>
    <x v="7"/>
    <n v="2166.86"/>
  </r>
  <r>
    <x v="6"/>
    <s v="Endenergieverbrauch - Industriesektor - Nahrungsmittel, Getränke und Tabak - energetischer Verbrauch"/>
    <s v="Elektrizität"/>
    <s v="Gigawattstunde"/>
    <x v="15"/>
    <x v="7"/>
    <n v="2190.962"/>
  </r>
  <r>
    <x v="6"/>
    <s v="Endenergieverbrauch - Industriesektor - Nahrungsmittel, Getränke und Tabak - energetischer Verbrauch"/>
    <s v="Elektrizität"/>
    <s v="Gigawattstunde"/>
    <x v="16"/>
    <x v="7"/>
    <n v="2331.6779999999999"/>
  </r>
  <r>
    <x v="7"/>
    <s v="Endenergieverbrauch - Industriesektor - Nahrungsmittel, Getränke und Tabak - energetischer Verbrauch"/>
    <s v="Elektrizität"/>
    <s v="Gigawattstunde"/>
    <x v="0"/>
    <x v="7"/>
    <n v="1285"/>
  </r>
  <r>
    <x v="7"/>
    <s v="Endenergieverbrauch - Industriesektor - Nahrungsmittel, Getränke und Tabak - energetischer Verbrauch"/>
    <s v="Elektrizität"/>
    <s v="Gigawattstunde"/>
    <x v="1"/>
    <x v="7"/>
    <n v="1875"/>
  </r>
  <r>
    <x v="7"/>
    <s v="Endenergieverbrauch - Industriesektor - Nahrungsmittel, Getränke und Tabak - energetischer Verbrauch"/>
    <s v="Elektrizität"/>
    <s v="Gigawattstunde"/>
    <x v="2"/>
    <x v="7"/>
    <n v="1899"/>
  </r>
  <r>
    <x v="7"/>
    <s v="Endenergieverbrauch - Industriesektor - Nahrungsmittel, Getränke und Tabak - energetischer Verbrauch"/>
    <s v="Elektrizität"/>
    <s v="Gigawattstunde"/>
    <x v="3"/>
    <x v="7"/>
    <n v="1896"/>
  </r>
  <r>
    <x v="7"/>
    <s v="Endenergieverbrauch - Industriesektor - Nahrungsmittel, Getränke und Tabak - energetischer Verbrauch"/>
    <s v="Elektrizität"/>
    <s v="Gigawattstunde"/>
    <x v="4"/>
    <x v="7"/>
    <n v="2006"/>
  </r>
  <r>
    <x v="7"/>
    <s v="Endenergieverbrauch - Industriesektor - Nahrungsmittel, Getränke und Tabak - energetischer Verbrauch"/>
    <s v="Elektrizität"/>
    <s v="Gigawattstunde"/>
    <x v="5"/>
    <x v="7"/>
    <n v="2242"/>
  </r>
  <r>
    <x v="7"/>
    <s v="Endenergieverbrauch - Industriesektor - Nahrungsmittel, Getränke und Tabak - energetischer Verbrauch"/>
    <s v="Elektrizität"/>
    <s v="Gigawattstunde"/>
    <x v="6"/>
    <x v="7"/>
    <n v="2230"/>
  </r>
  <r>
    <x v="7"/>
    <s v="Endenergieverbrauch - Industriesektor - Nahrungsmittel, Getränke und Tabak - energetischer Verbrauch"/>
    <s v="Elektrizität"/>
    <s v="Gigawattstunde"/>
    <x v="7"/>
    <x v="7"/>
    <n v="2184"/>
  </r>
  <r>
    <x v="7"/>
    <s v="Endenergieverbrauch - Industriesektor - Nahrungsmittel, Getränke und Tabak - energetischer Verbrauch"/>
    <s v="Elektrizität"/>
    <s v="Gigawattstunde"/>
    <x v="8"/>
    <x v="7"/>
    <n v="2155"/>
  </r>
  <r>
    <x v="7"/>
    <s v="Endenergieverbrauch - Industriesektor - Nahrungsmittel, Getränke und Tabak - energetischer Verbrauch"/>
    <s v="Elektrizität"/>
    <s v="Gigawattstunde"/>
    <x v="9"/>
    <x v="7"/>
    <n v="2676"/>
  </r>
  <r>
    <x v="7"/>
    <s v="Endenergieverbrauch - Industriesektor - Nahrungsmittel, Getränke und Tabak - energetischer Verbrauch"/>
    <s v="Elektrizität"/>
    <s v="Gigawattstunde"/>
    <x v="10"/>
    <x v="7"/>
    <n v="2210"/>
  </r>
  <r>
    <x v="7"/>
    <s v="Endenergieverbrauch - Industriesektor - Nahrungsmittel, Getränke und Tabak - energetischer Verbrauch"/>
    <s v="Elektrizität"/>
    <s v="Gigawattstunde"/>
    <x v="11"/>
    <x v="7"/>
    <n v="2113"/>
  </r>
  <r>
    <x v="7"/>
    <s v="Endenergieverbrauch - Industriesektor - Nahrungsmittel, Getränke und Tabak - energetischer Verbrauch"/>
    <s v="Elektrizität"/>
    <s v="Gigawattstunde"/>
    <x v="12"/>
    <x v="7"/>
    <n v="2175"/>
  </r>
  <r>
    <x v="7"/>
    <s v="Endenergieverbrauch - Industriesektor - Nahrungsmittel, Getränke und Tabak - energetischer Verbrauch"/>
    <s v="Elektrizität"/>
    <s v="Gigawattstunde"/>
    <x v="13"/>
    <x v="7"/>
    <n v="1852"/>
  </r>
  <r>
    <x v="7"/>
    <s v="Endenergieverbrauch - Industriesektor - Nahrungsmittel, Getränke und Tabak - energetischer Verbrauch"/>
    <s v="Elektrizität"/>
    <s v="Gigawattstunde"/>
    <x v="14"/>
    <x v="7"/>
    <n v="1401"/>
  </r>
  <r>
    <x v="7"/>
    <s v="Endenergieverbrauch - Industriesektor - Nahrungsmittel, Getränke und Tabak - energetischer Verbrauch"/>
    <s v="Elektrizität"/>
    <s v="Gigawattstunde"/>
    <x v="15"/>
    <x v="7"/>
    <n v="1037.8610000000001"/>
  </r>
  <r>
    <x v="7"/>
    <s v="Endenergieverbrauch - Industriesektor - Nahrungsmittel, Getränke und Tabak - energetischer Verbrauch"/>
    <s v="Elektrizität"/>
    <s v="Gigawattstunde"/>
    <x v="16"/>
    <x v="7"/>
    <n v="1523.18"/>
  </r>
  <r>
    <x v="8"/>
    <s v="Endenergieverbrauch - Industriesektor - Nahrungsmittel, Getränke und Tabak - energetischer Verbrauch"/>
    <s v="Elektrizität"/>
    <s v="Gigawattstunde"/>
    <x v="0"/>
    <x v="7"/>
    <n v="9183"/>
  </r>
  <r>
    <x v="8"/>
    <s v="Endenergieverbrauch - Industriesektor - Nahrungsmittel, Getränke und Tabak - energetischer Verbrauch"/>
    <s v="Elektrizität"/>
    <s v="Gigawattstunde"/>
    <x v="1"/>
    <x v="7"/>
    <n v="10051"/>
  </r>
  <r>
    <x v="8"/>
    <s v="Endenergieverbrauch - Industriesektor - Nahrungsmittel, Getränke und Tabak - energetischer Verbrauch"/>
    <s v="Elektrizität"/>
    <s v="Gigawattstunde"/>
    <x v="2"/>
    <x v="7"/>
    <n v="10641"/>
  </r>
  <r>
    <x v="8"/>
    <s v="Endenergieverbrauch - Industriesektor - Nahrungsmittel, Getränke und Tabak - energetischer Verbrauch"/>
    <s v="Elektrizität"/>
    <s v="Gigawattstunde"/>
    <x v="3"/>
    <x v="7"/>
    <n v="11512"/>
  </r>
  <r>
    <x v="8"/>
    <s v="Endenergieverbrauch - Industriesektor - Nahrungsmittel, Getränke und Tabak - energetischer Verbrauch"/>
    <s v="Elektrizität"/>
    <s v="Gigawattstunde"/>
    <x v="4"/>
    <x v="7"/>
    <n v="10102"/>
  </r>
  <r>
    <x v="8"/>
    <s v="Endenergieverbrauch - Industriesektor - Nahrungsmittel, Getränke und Tabak - energetischer Verbrauch"/>
    <s v="Elektrizität"/>
    <s v="Gigawattstunde"/>
    <x v="5"/>
    <x v="7"/>
    <n v="10540"/>
  </r>
  <r>
    <x v="8"/>
    <s v="Endenergieverbrauch - Industriesektor - Nahrungsmittel, Getränke und Tabak - energetischer Verbrauch"/>
    <s v="Elektrizität"/>
    <s v="Gigawattstunde"/>
    <x v="6"/>
    <x v="7"/>
    <n v="10416"/>
  </r>
  <r>
    <x v="8"/>
    <s v="Endenergieverbrauch - Industriesektor - Nahrungsmittel, Getränke und Tabak - energetischer Verbrauch"/>
    <s v="Elektrizität"/>
    <s v="Gigawattstunde"/>
    <x v="7"/>
    <x v="7"/>
    <n v="10158"/>
  </r>
  <r>
    <x v="8"/>
    <s v="Endenergieverbrauch - Industriesektor - Nahrungsmittel, Getränke und Tabak - energetischer Verbrauch"/>
    <s v="Elektrizität"/>
    <s v="Gigawattstunde"/>
    <x v="8"/>
    <x v="7"/>
    <n v="10472"/>
  </r>
  <r>
    <x v="8"/>
    <s v="Endenergieverbrauch - Industriesektor - Nahrungsmittel, Getränke und Tabak - energetischer Verbrauch"/>
    <s v="Elektrizität"/>
    <s v="Gigawattstunde"/>
    <x v="9"/>
    <x v="7"/>
    <n v="9601"/>
  </r>
  <r>
    <x v="8"/>
    <s v="Endenergieverbrauch - Industriesektor - Nahrungsmittel, Getränke und Tabak - energetischer Verbrauch"/>
    <s v="Elektrizität"/>
    <s v="Gigawattstunde"/>
    <x v="10"/>
    <x v="7"/>
    <n v="9472"/>
  </r>
  <r>
    <x v="8"/>
    <s v="Endenergieverbrauch - Industriesektor - Nahrungsmittel, Getränke und Tabak - energetischer Verbrauch"/>
    <s v="Elektrizität"/>
    <s v="Gigawattstunde"/>
    <x v="11"/>
    <x v="7"/>
    <n v="9322"/>
  </r>
  <r>
    <x v="8"/>
    <s v="Endenergieverbrauch - Industriesektor - Nahrungsmittel, Getränke und Tabak - energetischer Verbrauch"/>
    <s v="Elektrizität"/>
    <s v="Gigawattstunde"/>
    <x v="12"/>
    <x v="7"/>
    <n v="10903"/>
  </r>
  <r>
    <x v="8"/>
    <s v="Endenergieverbrauch - Industriesektor - Nahrungsmittel, Getränke und Tabak - energetischer Verbrauch"/>
    <s v="Elektrizität"/>
    <s v="Gigawattstunde"/>
    <x v="13"/>
    <x v="7"/>
    <n v="10963"/>
  </r>
  <r>
    <x v="8"/>
    <s v="Endenergieverbrauch - Industriesektor - Nahrungsmittel, Getränke und Tabak - energetischer Verbrauch"/>
    <s v="Elektrizität"/>
    <s v="Gigawattstunde"/>
    <x v="14"/>
    <x v="7"/>
    <n v="11128"/>
  </r>
  <r>
    <x v="8"/>
    <s v="Endenergieverbrauch - Industriesektor - Nahrungsmittel, Getränke und Tabak - energetischer Verbrauch"/>
    <s v="Elektrizität"/>
    <s v="Gigawattstunde"/>
    <x v="15"/>
    <x v="7"/>
    <n v="10541"/>
  </r>
  <r>
    <x v="8"/>
    <s v="Endenergieverbrauch - Industriesektor - Nahrungsmittel, Getränke und Tabak - energetischer Verbrauch"/>
    <s v="Elektrizität"/>
    <s v="Gigawattstunde"/>
    <x v="16"/>
    <x v="7"/>
    <n v="9994"/>
  </r>
  <r>
    <x v="9"/>
    <s v="Endenergieverbrauch - Industriesektor - Nahrungsmittel, Getränke und Tabak - energetischer Verbrauch"/>
    <s v="Elektrizität"/>
    <s v="Gigawattstunde"/>
    <x v="0"/>
    <x v="7"/>
    <n v="18931"/>
  </r>
  <r>
    <x v="9"/>
    <s v="Endenergieverbrauch - Industriesektor - Nahrungsmittel, Getränke und Tabak - energetischer Verbrauch"/>
    <s v="Elektrizität"/>
    <s v="Gigawattstunde"/>
    <x v="1"/>
    <x v="7"/>
    <n v="19595"/>
  </r>
  <r>
    <x v="9"/>
    <s v="Endenergieverbrauch - Industriesektor - Nahrungsmittel, Getränke und Tabak - energetischer Verbrauch"/>
    <s v="Elektrizität"/>
    <s v="Gigawattstunde"/>
    <x v="2"/>
    <x v="7"/>
    <n v="19259"/>
  </r>
  <r>
    <x v="9"/>
    <s v="Endenergieverbrauch - Industriesektor - Nahrungsmittel, Getränke und Tabak - energetischer Verbrauch"/>
    <s v="Elektrizität"/>
    <s v="Gigawattstunde"/>
    <x v="3"/>
    <x v="7"/>
    <n v="19748"/>
  </r>
  <r>
    <x v="9"/>
    <s v="Endenergieverbrauch - Industriesektor - Nahrungsmittel, Getränke und Tabak - energetischer Verbrauch"/>
    <s v="Elektrizität"/>
    <s v="Gigawattstunde"/>
    <x v="4"/>
    <x v="7"/>
    <n v="20100"/>
  </r>
  <r>
    <x v="9"/>
    <s v="Endenergieverbrauch - Industriesektor - Nahrungsmittel, Getränke und Tabak - energetischer Verbrauch"/>
    <s v="Elektrizität"/>
    <s v="Gigawattstunde"/>
    <x v="5"/>
    <x v="7"/>
    <n v="20294"/>
  </r>
  <r>
    <x v="9"/>
    <s v="Endenergieverbrauch - Industriesektor - Nahrungsmittel, Getränke und Tabak - energetischer Verbrauch"/>
    <s v="Elektrizität"/>
    <s v="Gigawattstunde"/>
    <x v="6"/>
    <x v="7"/>
    <n v="20380"/>
  </r>
  <r>
    <x v="9"/>
    <s v="Endenergieverbrauch - Industriesektor - Nahrungsmittel, Getränke und Tabak - energetischer Verbrauch"/>
    <s v="Elektrizität"/>
    <s v="Gigawattstunde"/>
    <x v="7"/>
    <x v="7"/>
    <n v="20087"/>
  </r>
  <r>
    <x v="9"/>
    <s v="Endenergieverbrauch - Industriesektor - Nahrungsmittel, Getränke und Tabak - energetischer Verbrauch"/>
    <s v="Elektrizität"/>
    <s v="Gigawattstunde"/>
    <x v="8"/>
    <x v="7"/>
    <n v="20102"/>
  </r>
  <r>
    <x v="9"/>
    <s v="Endenergieverbrauch - Industriesektor - Nahrungsmittel, Getränke und Tabak - energetischer Verbrauch"/>
    <s v="Elektrizität"/>
    <s v="Gigawattstunde"/>
    <x v="9"/>
    <x v="7"/>
    <n v="21147.565999999999"/>
  </r>
  <r>
    <x v="9"/>
    <s v="Endenergieverbrauch - Industriesektor - Nahrungsmittel, Getränke und Tabak - energetischer Verbrauch"/>
    <s v="Elektrizität"/>
    <s v="Gigawattstunde"/>
    <x v="10"/>
    <x v="7"/>
    <n v="22130.891"/>
  </r>
  <r>
    <x v="9"/>
    <s v="Endenergieverbrauch - Industriesektor - Nahrungsmittel, Getränke und Tabak - energetischer Verbrauch"/>
    <s v="Elektrizität"/>
    <s v="Gigawattstunde"/>
    <x v="11"/>
    <x v="7"/>
    <n v="22041.330999999998"/>
  </r>
  <r>
    <x v="9"/>
    <s v="Endenergieverbrauch - Industriesektor - Nahrungsmittel, Getränke und Tabak - energetischer Verbrauch"/>
    <s v="Elektrizität"/>
    <s v="Gigawattstunde"/>
    <x v="12"/>
    <x v="7"/>
    <n v="21951.3"/>
  </r>
  <r>
    <x v="9"/>
    <s v="Endenergieverbrauch - Industriesektor - Nahrungsmittel, Getränke und Tabak - energetischer Verbrauch"/>
    <s v="Elektrizität"/>
    <s v="Gigawattstunde"/>
    <x v="13"/>
    <x v="7"/>
    <n v="21960.723999999998"/>
  </r>
  <r>
    <x v="9"/>
    <s v="Endenergieverbrauch - Industriesektor - Nahrungsmittel, Getränke und Tabak - energetischer Verbrauch"/>
    <s v="Elektrizität"/>
    <s v="Gigawattstunde"/>
    <x v="14"/>
    <x v="7"/>
    <n v="22335.911"/>
  </r>
  <r>
    <x v="9"/>
    <s v="Endenergieverbrauch - Industriesektor - Nahrungsmittel, Getränke und Tabak - energetischer Verbrauch"/>
    <s v="Elektrizität"/>
    <s v="Gigawattstunde"/>
    <x v="15"/>
    <x v="7"/>
    <n v="21649.350999999999"/>
  </r>
  <r>
    <x v="9"/>
    <s v="Endenergieverbrauch - Industriesektor - Nahrungsmittel, Getränke und Tabak - energetischer Verbrauch"/>
    <s v="Elektrizität"/>
    <s v="Gigawattstunde"/>
    <x v="16"/>
    <x v="7"/>
    <n v="22780.812000000002"/>
  </r>
  <r>
    <x v="10"/>
    <s v="Endenergieverbrauch - Industriesektor - Nahrungsmittel, Getränke und Tabak - energetischer Verbrauch"/>
    <s v="Elektrizität"/>
    <s v="Gigawattstunde"/>
    <x v="0"/>
    <x v="7"/>
    <n v="455"/>
  </r>
  <r>
    <x v="10"/>
    <s v="Endenergieverbrauch - Industriesektor - Nahrungsmittel, Getränke und Tabak - energetischer Verbrauch"/>
    <s v="Elektrizität"/>
    <s v="Gigawattstunde"/>
    <x v="1"/>
    <x v="7"/>
    <n v="528"/>
  </r>
  <r>
    <x v="10"/>
    <s v="Endenergieverbrauch - Industriesektor - Nahrungsmittel, Getränke und Tabak - energetischer Verbrauch"/>
    <s v="Elektrizität"/>
    <s v="Gigawattstunde"/>
    <x v="2"/>
    <x v="7"/>
    <n v="583"/>
  </r>
  <r>
    <x v="10"/>
    <s v="Endenergieverbrauch - Industriesektor - Nahrungsmittel, Getränke und Tabak - energetischer Verbrauch"/>
    <s v="Elektrizität"/>
    <s v="Gigawattstunde"/>
    <x v="3"/>
    <x v="7"/>
    <n v="530"/>
  </r>
  <r>
    <x v="10"/>
    <s v="Endenergieverbrauch - Industriesektor - Nahrungsmittel, Getränke und Tabak - energetischer Verbrauch"/>
    <s v="Elektrizität"/>
    <s v="Gigawattstunde"/>
    <x v="4"/>
    <x v="7"/>
    <n v="566"/>
  </r>
  <r>
    <x v="10"/>
    <s v="Endenergieverbrauch - Industriesektor - Nahrungsmittel, Getränke und Tabak - energetischer Verbrauch"/>
    <s v="Elektrizität"/>
    <s v="Gigawattstunde"/>
    <x v="5"/>
    <x v="7"/>
    <n v="588"/>
  </r>
  <r>
    <x v="10"/>
    <s v="Endenergieverbrauch - Industriesektor - Nahrungsmittel, Getränke und Tabak - energetischer Verbrauch"/>
    <s v="Elektrizität"/>
    <s v="Gigawattstunde"/>
    <x v="6"/>
    <x v="7"/>
    <n v="651"/>
  </r>
  <r>
    <x v="10"/>
    <s v="Endenergieverbrauch - Industriesektor - Nahrungsmittel, Getränke und Tabak - energetischer Verbrauch"/>
    <s v="Elektrizität"/>
    <s v="Gigawattstunde"/>
    <x v="7"/>
    <x v="7"/>
    <n v="629"/>
  </r>
  <r>
    <x v="10"/>
    <s v="Endenergieverbrauch - Industriesektor - Nahrungsmittel, Getränke und Tabak - energetischer Verbrauch"/>
    <s v="Elektrizität"/>
    <s v="Gigawattstunde"/>
    <x v="8"/>
    <x v="7"/>
    <n v="656"/>
  </r>
  <r>
    <x v="10"/>
    <s v="Endenergieverbrauch - Industriesektor - Nahrungsmittel, Getränke und Tabak - energetischer Verbrauch"/>
    <s v="Elektrizität"/>
    <s v="Gigawattstunde"/>
    <x v="9"/>
    <x v="7"/>
    <n v="659"/>
  </r>
  <r>
    <x v="10"/>
    <s v="Endenergieverbrauch - Industriesektor - Nahrungsmittel, Getränke und Tabak - energetischer Verbrauch"/>
    <s v="Elektrizität"/>
    <s v="Gigawattstunde"/>
    <x v="10"/>
    <x v="7"/>
    <n v="658"/>
  </r>
  <r>
    <x v="10"/>
    <s v="Endenergieverbrauch - Industriesektor - Nahrungsmittel, Getränke und Tabak - energetischer Verbrauch"/>
    <s v="Elektrizität"/>
    <s v="Gigawattstunde"/>
    <x v="11"/>
    <x v="7"/>
    <n v="676"/>
  </r>
  <r>
    <x v="10"/>
    <s v="Endenergieverbrauch - Industriesektor - Nahrungsmittel, Getränke und Tabak - energetischer Verbrauch"/>
    <s v="Elektrizität"/>
    <s v="Gigawattstunde"/>
    <x v="12"/>
    <x v="7"/>
    <n v="699"/>
  </r>
  <r>
    <x v="10"/>
    <s v="Endenergieverbrauch - Industriesektor - Nahrungsmittel, Getränke und Tabak - energetischer Verbrauch"/>
    <s v="Elektrizität"/>
    <s v="Gigawattstunde"/>
    <x v="13"/>
    <x v="7"/>
    <n v="710"/>
  </r>
  <r>
    <x v="10"/>
    <s v="Endenergieverbrauch - Industriesektor - Nahrungsmittel, Getränke und Tabak - energetischer Verbrauch"/>
    <s v="Elektrizität"/>
    <s v="Gigawattstunde"/>
    <x v="14"/>
    <x v="7"/>
    <n v="713"/>
  </r>
  <r>
    <x v="10"/>
    <s v="Endenergieverbrauch - Industriesektor - Nahrungsmittel, Getränke und Tabak - energetischer Verbrauch"/>
    <s v="Elektrizität"/>
    <s v="Gigawattstunde"/>
    <x v="15"/>
    <x v="7"/>
    <n v="695.6"/>
  </r>
  <r>
    <x v="10"/>
    <s v="Endenergieverbrauch - Industriesektor - Nahrungsmittel, Getränke und Tabak - energetischer Verbrauch"/>
    <s v="Elektrizität"/>
    <s v="Gigawattstunde"/>
    <x v="16"/>
    <x v="7"/>
    <n v="679.1"/>
  </r>
  <r>
    <x v="11"/>
    <s v="Endenergieverbrauch - Industriesektor - Nahrungsmittel, Getränke und Tabak - energetischer Verbrauch"/>
    <s v="Elektrizität"/>
    <s v="Gigawattstunde"/>
    <x v="0"/>
    <x v="7"/>
    <n v="12360"/>
  </r>
  <r>
    <x v="11"/>
    <s v="Endenergieverbrauch - Industriesektor - Nahrungsmittel, Getränke und Tabak - energetischer Verbrauch"/>
    <s v="Elektrizität"/>
    <s v="Gigawattstunde"/>
    <x v="1"/>
    <x v="7"/>
    <n v="12535"/>
  </r>
  <r>
    <x v="11"/>
    <s v="Endenergieverbrauch - Industriesektor - Nahrungsmittel, Getränke und Tabak - energetischer Verbrauch"/>
    <s v="Elektrizität"/>
    <s v="Gigawattstunde"/>
    <x v="2"/>
    <x v="7"/>
    <n v="12702"/>
  </r>
  <r>
    <x v="11"/>
    <s v="Endenergieverbrauch - Industriesektor - Nahrungsmittel, Getränke und Tabak - energetischer Verbrauch"/>
    <s v="Elektrizität"/>
    <s v="Gigawattstunde"/>
    <x v="3"/>
    <x v="7"/>
    <n v="13004"/>
  </r>
  <r>
    <x v="11"/>
    <s v="Endenergieverbrauch - Industriesektor - Nahrungsmittel, Getränke und Tabak - energetischer Verbrauch"/>
    <s v="Elektrizität"/>
    <s v="Gigawattstunde"/>
    <x v="4"/>
    <x v="7"/>
    <n v="12843"/>
  </r>
  <r>
    <x v="11"/>
    <s v="Endenergieverbrauch - Industriesektor - Nahrungsmittel, Getränke und Tabak - energetischer Verbrauch"/>
    <s v="Elektrizität"/>
    <s v="Gigawattstunde"/>
    <x v="5"/>
    <x v="7"/>
    <n v="12855"/>
  </r>
  <r>
    <x v="11"/>
    <s v="Endenergieverbrauch - Industriesektor - Nahrungsmittel, Getränke und Tabak - energetischer Verbrauch"/>
    <s v="Elektrizität"/>
    <s v="Gigawattstunde"/>
    <x v="6"/>
    <x v="7"/>
    <n v="12826"/>
  </r>
  <r>
    <x v="11"/>
    <s v="Endenergieverbrauch - Industriesektor - Nahrungsmittel, Getränke und Tabak - energetischer Verbrauch"/>
    <s v="Elektrizität"/>
    <s v="Gigawattstunde"/>
    <x v="7"/>
    <x v="7"/>
    <n v="12558"/>
  </r>
  <r>
    <x v="11"/>
    <s v="Endenergieverbrauch - Industriesektor - Nahrungsmittel, Getränke und Tabak - energetischer Verbrauch"/>
    <s v="Elektrizität"/>
    <s v="Gigawattstunde"/>
    <x v="8"/>
    <x v="7"/>
    <n v="12788"/>
  </r>
  <r>
    <x v="11"/>
    <s v="Endenergieverbrauch - Industriesektor - Nahrungsmittel, Getränke und Tabak - energetischer Verbrauch"/>
    <s v="Elektrizität"/>
    <s v="Gigawattstunde"/>
    <x v="9"/>
    <x v="7"/>
    <n v="12617"/>
  </r>
  <r>
    <x v="11"/>
    <s v="Endenergieverbrauch - Industriesektor - Nahrungsmittel, Getränke und Tabak - energetischer Verbrauch"/>
    <s v="Elektrizität"/>
    <s v="Gigawattstunde"/>
    <x v="10"/>
    <x v="7"/>
    <n v="12060"/>
  </r>
  <r>
    <x v="11"/>
    <s v="Endenergieverbrauch - Industriesektor - Nahrungsmittel, Getränke und Tabak - energetischer Verbrauch"/>
    <s v="Elektrizität"/>
    <s v="Gigawattstunde"/>
    <x v="11"/>
    <x v="7"/>
    <n v="11953"/>
  </r>
  <r>
    <x v="11"/>
    <s v="Endenergieverbrauch - Industriesektor - Nahrungsmittel, Getränke und Tabak - energetischer Verbrauch"/>
    <s v="Elektrizität"/>
    <s v="Gigawattstunde"/>
    <x v="12"/>
    <x v="7"/>
    <n v="11972"/>
  </r>
  <r>
    <x v="11"/>
    <s v="Endenergieverbrauch - Industriesektor - Nahrungsmittel, Getränke und Tabak - energetischer Verbrauch"/>
    <s v="Elektrizität"/>
    <s v="Gigawattstunde"/>
    <x v="13"/>
    <x v="7"/>
    <n v="12148"/>
  </r>
  <r>
    <x v="11"/>
    <s v="Endenergieverbrauch - Industriesektor - Nahrungsmittel, Getränke und Tabak - energetischer Verbrauch"/>
    <s v="Elektrizität"/>
    <s v="Gigawattstunde"/>
    <x v="14"/>
    <x v="7"/>
    <n v="12170"/>
  </r>
  <r>
    <x v="11"/>
    <s v="Endenergieverbrauch - Industriesektor - Nahrungsmittel, Getränke und Tabak - energetischer Verbrauch"/>
    <s v="Elektrizität"/>
    <s v="Gigawattstunde"/>
    <x v="15"/>
    <x v="7"/>
    <n v="12412.668"/>
  </r>
  <r>
    <x v="11"/>
    <s v="Endenergieverbrauch - Industriesektor - Nahrungsmittel, Getränke und Tabak - energetischer Verbrauch"/>
    <s v="Elektrizität"/>
    <s v="Gigawattstunde"/>
    <x v="16"/>
    <x v="7"/>
    <n v="12532.748"/>
  </r>
  <r>
    <x v="12"/>
    <s v="Endenergieverbrauch - Industriesektor - Nahrungsmittel, Getränke und Tabak - energetischer Verbrauch"/>
    <s v="Elektrizität"/>
    <s v="Gigawattstunde"/>
    <x v="0"/>
    <x v="7"/>
    <n v="147"/>
  </r>
  <r>
    <x v="12"/>
    <s v="Endenergieverbrauch - Industriesektor - Nahrungsmittel, Getränke und Tabak - energetischer Verbrauch"/>
    <s v="Elektrizität"/>
    <s v="Gigawattstunde"/>
    <x v="1"/>
    <x v="7"/>
    <n v="159"/>
  </r>
  <r>
    <x v="12"/>
    <s v="Endenergieverbrauch - Industriesektor - Nahrungsmittel, Getränke und Tabak - energetischer Verbrauch"/>
    <s v="Elektrizität"/>
    <s v="Gigawattstunde"/>
    <x v="2"/>
    <x v="7"/>
    <n v="162"/>
  </r>
  <r>
    <x v="12"/>
    <s v="Endenergieverbrauch - Industriesektor - Nahrungsmittel, Getränke und Tabak - energetischer Verbrauch"/>
    <s v="Elektrizität"/>
    <s v="Gigawattstunde"/>
    <x v="3"/>
    <x v="7"/>
    <n v="166"/>
  </r>
  <r>
    <x v="12"/>
    <s v="Endenergieverbrauch - Industriesektor - Nahrungsmittel, Getränke und Tabak - energetischer Verbrauch"/>
    <s v="Elektrizität"/>
    <s v="Gigawattstunde"/>
    <x v="4"/>
    <x v="7"/>
    <n v="171"/>
  </r>
  <r>
    <x v="12"/>
    <s v="Endenergieverbrauch - Industriesektor - Nahrungsmittel, Getränke und Tabak - energetischer Verbrauch"/>
    <s v="Elektrizität"/>
    <s v="Gigawattstunde"/>
    <x v="5"/>
    <x v="7"/>
    <n v="183"/>
  </r>
  <r>
    <x v="12"/>
    <s v="Endenergieverbrauch - Industriesektor - Nahrungsmittel, Getränke und Tabak - energetischer Verbrauch"/>
    <s v="Elektrizität"/>
    <s v="Gigawattstunde"/>
    <x v="6"/>
    <x v="7"/>
    <n v="195"/>
  </r>
  <r>
    <x v="12"/>
    <s v="Endenergieverbrauch - Industriesektor - Nahrungsmittel, Getränke und Tabak - energetischer Verbrauch"/>
    <s v="Elektrizität"/>
    <s v="Gigawattstunde"/>
    <x v="7"/>
    <x v="7"/>
    <n v="193"/>
  </r>
  <r>
    <x v="12"/>
    <s v="Endenergieverbrauch - Industriesektor - Nahrungsmittel, Getränke und Tabak - energetischer Verbrauch"/>
    <s v="Elektrizität"/>
    <s v="Gigawattstunde"/>
    <x v="8"/>
    <x v="7"/>
    <n v="197"/>
  </r>
  <r>
    <x v="12"/>
    <s v="Endenergieverbrauch - Industriesektor - Nahrungsmittel, Getränke und Tabak - energetischer Verbrauch"/>
    <s v="Elektrizität"/>
    <s v="Gigawattstunde"/>
    <x v="9"/>
    <x v="7"/>
    <n v="185"/>
  </r>
  <r>
    <x v="12"/>
    <s v="Endenergieverbrauch - Industriesektor - Nahrungsmittel, Getränke und Tabak - energetischer Verbrauch"/>
    <s v="Elektrizität"/>
    <s v="Gigawattstunde"/>
    <x v="10"/>
    <x v="7"/>
    <n v="184"/>
  </r>
  <r>
    <x v="12"/>
    <s v="Endenergieverbrauch - Industriesektor - Nahrungsmittel, Getränke und Tabak - energetischer Verbrauch"/>
    <s v="Elektrizität"/>
    <s v="Gigawattstunde"/>
    <x v="11"/>
    <x v="7"/>
    <n v="170"/>
  </r>
  <r>
    <x v="12"/>
    <s v="Endenergieverbrauch - Industriesektor - Nahrungsmittel, Getränke und Tabak - energetischer Verbrauch"/>
    <s v="Elektrizität"/>
    <s v="Gigawattstunde"/>
    <x v="12"/>
    <x v="7"/>
    <n v="161"/>
  </r>
  <r>
    <x v="12"/>
    <s v="Endenergieverbrauch - Industriesektor - Nahrungsmittel, Getränke und Tabak - energetischer Verbrauch"/>
    <s v="Elektrizität"/>
    <s v="Gigawattstunde"/>
    <x v="13"/>
    <x v="7"/>
    <n v="162"/>
  </r>
  <r>
    <x v="12"/>
    <s v="Endenergieverbrauch - Industriesektor - Nahrungsmittel, Getränke und Tabak - energetischer Verbrauch"/>
    <s v="Elektrizität"/>
    <s v="Gigawattstunde"/>
    <x v="14"/>
    <x v="7"/>
    <n v="170"/>
  </r>
  <r>
    <x v="12"/>
    <s v="Endenergieverbrauch - Industriesektor - Nahrungsmittel, Getränke und Tabak - energetischer Verbrauch"/>
    <s v="Elektrizität"/>
    <s v="Gigawattstunde"/>
    <x v="15"/>
    <x v="7"/>
    <n v="176.16900000000001"/>
  </r>
  <r>
    <x v="12"/>
    <s v="Endenergieverbrauch - Industriesektor - Nahrungsmittel, Getränke und Tabak - energetischer Verbrauch"/>
    <s v="Elektrizität"/>
    <s v="Gigawattstunde"/>
    <x v="16"/>
    <x v="7"/>
    <n v="182.05600000000001"/>
  </r>
  <r>
    <x v="13"/>
    <s v="Endenergieverbrauch - Industriesektor - Nahrungsmittel, Getränke und Tabak - energetischer Verbrauch"/>
    <s v="Elektrizität"/>
    <s v="Gigawattstunde"/>
    <x v="0"/>
    <x v="7"/>
    <n v="308"/>
  </r>
  <r>
    <x v="13"/>
    <s v="Endenergieverbrauch - Industriesektor - Nahrungsmittel, Getränke und Tabak - energetischer Verbrauch"/>
    <s v="Elektrizität"/>
    <s v="Gigawattstunde"/>
    <x v="1"/>
    <x v="7"/>
    <n v="313"/>
  </r>
  <r>
    <x v="13"/>
    <s v="Endenergieverbrauch - Industriesektor - Nahrungsmittel, Getränke und Tabak - energetischer Verbrauch"/>
    <s v="Elektrizität"/>
    <s v="Gigawattstunde"/>
    <x v="2"/>
    <x v="7"/>
    <n v="298"/>
  </r>
  <r>
    <x v="13"/>
    <s v="Endenergieverbrauch - Industriesektor - Nahrungsmittel, Getränke und Tabak - energetischer Verbrauch"/>
    <s v="Elektrizität"/>
    <s v="Gigawattstunde"/>
    <x v="3"/>
    <x v="7"/>
    <n v="318"/>
  </r>
  <r>
    <x v="13"/>
    <s v="Endenergieverbrauch - Industriesektor - Nahrungsmittel, Getränke und Tabak - energetischer Verbrauch"/>
    <s v="Elektrizität"/>
    <s v="Gigawattstunde"/>
    <x v="4"/>
    <x v="7"/>
    <n v="323"/>
  </r>
  <r>
    <x v="13"/>
    <s v="Endenergieverbrauch - Industriesektor - Nahrungsmittel, Getränke und Tabak - energetischer Verbrauch"/>
    <s v="Elektrizität"/>
    <s v="Gigawattstunde"/>
    <x v="5"/>
    <x v="7"/>
    <n v="351"/>
  </r>
  <r>
    <x v="13"/>
    <s v="Endenergieverbrauch - Industriesektor - Nahrungsmittel, Getränke und Tabak - energetischer Verbrauch"/>
    <s v="Elektrizität"/>
    <s v="Gigawattstunde"/>
    <x v="6"/>
    <x v="7"/>
    <n v="346"/>
  </r>
  <r>
    <x v="13"/>
    <s v="Endenergieverbrauch - Industriesektor - Nahrungsmittel, Getränke und Tabak - energetischer Verbrauch"/>
    <s v="Elektrizität"/>
    <s v="Gigawattstunde"/>
    <x v="7"/>
    <x v="7"/>
    <n v="282"/>
  </r>
  <r>
    <x v="13"/>
    <s v="Endenergieverbrauch - Industriesektor - Nahrungsmittel, Getränke und Tabak - energetischer Verbrauch"/>
    <s v="Elektrizität"/>
    <s v="Gigawattstunde"/>
    <x v="8"/>
    <x v="7"/>
    <n v="292"/>
  </r>
  <r>
    <x v="13"/>
    <s v="Endenergieverbrauch - Industriesektor - Nahrungsmittel, Getränke und Tabak - energetischer Verbrauch"/>
    <s v="Elektrizität"/>
    <s v="Gigawattstunde"/>
    <x v="9"/>
    <x v="7"/>
    <n v="293"/>
  </r>
  <r>
    <x v="13"/>
    <s v="Endenergieverbrauch - Industriesektor - Nahrungsmittel, Getränke und Tabak - energetischer Verbrauch"/>
    <s v="Elektrizität"/>
    <s v="Gigawattstunde"/>
    <x v="10"/>
    <x v="7"/>
    <n v="258"/>
  </r>
  <r>
    <x v="13"/>
    <s v="Endenergieverbrauch - Industriesektor - Nahrungsmittel, Getränke und Tabak - energetischer Verbrauch"/>
    <s v="Elektrizität"/>
    <s v="Gigawattstunde"/>
    <x v="11"/>
    <x v="7"/>
    <n v="320"/>
  </r>
  <r>
    <x v="13"/>
    <s v="Endenergieverbrauch - Industriesektor - Nahrungsmittel, Getränke und Tabak - energetischer Verbrauch"/>
    <s v="Elektrizität"/>
    <s v="Gigawattstunde"/>
    <x v="12"/>
    <x v="7"/>
    <n v="280"/>
  </r>
  <r>
    <x v="13"/>
    <s v="Endenergieverbrauch - Industriesektor - Nahrungsmittel, Getränke und Tabak - energetischer Verbrauch"/>
    <s v="Elektrizität"/>
    <s v="Gigawattstunde"/>
    <x v="13"/>
    <x v="7"/>
    <n v="278"/>
  </r>
  <r>
    <x v="13"/>
    <s v="Endenergieverbrauch - Industriesektor - Nahrungsmittel, Getränke und Tabak - energetischer Verbrauch"/>
    <s v="Elektrizität"/>
    <s v="Gigawattstunde"/>
    <x v="14"/>
    <x v="7"/>
    <n v="277"/>
  </r>
  <r>
    <x v="13"/>
    <s v="Endenergieverbrauch - Industriesektor - Nahrungsmittel, Getränke und Tabak - energetischer Verbrauch"/>
    <s v="Elektrizität"/>
    <s v="Gigawattstunde"/>
    <x v="15"/>
    <x v="7"/>
    <n v="288.18799999999999"/>
  </r>
  <r>
    <x v="13"/>
    <s v="Endenergieverbrauch - Industriesektor - Nahrungsmittel, Getränke und Tabak - energetischer Verbrauch"/>
    <s v="Elektrizität"/>
    <s v="Gigawattstunde"/>
    <x v="16"/>
    <x v="7"/>
    <n v="284.16000000000003"/>
  </r>
  <r>
    <x v="14"/>
    <s v="Endenergieverbrauch - Industriesektor - Nahrungsmittel, Getränke und Tabak - energetischer Verbrauch"/>
    <s v="Elektrizität"/>
    <s v="Gigawattstunde"/>
    <x v="0"/>
    <x v="7"/>
    <n v="454"/>
  </r>
  <r>
    <x v="14"/>
    <s v="Endenergieverbrauch - Industriesektor - Nahrungsmittel, Getränke und Tabak - energetischer Verbrauch"/>
    <s v="Elektrizität"/>
    <s v="Gigawattstunde"/>
    <x v="1"/>
    <x v="7"/>
    <n v="451"/>
  </r>
  <r>
    <x v="14"/>
    <s v="Endenergieverbrauch - Industriesektor - Nahrungsmittel, Getränke und Tabak - energetischer Verbrauch"/>
    <s v="Elektrizität"/>
    <s v="Gigawattstunde"/>
    <x v="2"/>
    <x v="7"/>
    <n v="453"/>
  </r>
  <r>
    <x v="14"/>
    <s v="Endenergieverbrauch - Industriesektor - Nahrungsmittel, Getränke und Tabak - energetischer Verbrauch"/>
    <s v="Elektrizität"/>
    <s v="Gigawattstunde"/>
    <x v="3"/>
    <x v="7"/>
    <n v="496"/>
  </r>
  <r>
    <x v="14"/>
    <s v="Endenergieverbrauch - Industriesektor - Nahrungsmittel, Getränke und Tabak - energetischer Verbrauch"/>
    <s v="Elektrizität"/>
    <s v="Gigawattstunde"/>
    <x v="4"/>
    <x v="7"/>
    <n v="513"/>
  </r>
  <r>
    <x v="14"/>
    <s v="Endenergieverbrauch - Industriesektor - Nahrungsmittel, Getränke und Tabak - energetischer Verbrauch"/>
    <s v="Elektrizität"/>
    <s v="Gigawattstunde"/>
    <x v="5"/>
    <x v="7"/>
    <n v="567"/>
  </r>
  <r>
    <x v="14"/>
    <s v="Endenergieverbrauch - Industriesektor - Nahrungsmittel, Getränke und Tabak - energetischer Verbrauch"/>
    <s v="Elektrizität"/>
    <s v="Gigawattstunde"/>
    <x v="6"/>
    <x v="7"/>
    <n v="540"/>
  </r>
  <r>
    <x v="14"/>
    <s v="Endenergieverbrauch - Industriesektor - Nahrungsmittel, Getränke und Tabak - energetischer Verbrauch"/>
    <s v="Elektrizität"/>
    <s v="Gigawattstunde"/>
    <x v="7"/>
    <x v="7"/>
    <n v="531"/>
  </r>
  <r>
    <x v="14"/>
    <s v="Endenergieverbrauch - Industriesektor - Nahrungsmittel, Getränke und Tabak - energetischer Verbrauch"/>
    <s v="Elektrizität"/>
    <s v="Gigawattstunde"/>
    <x v="8"/>
    <x v="7"/>
    <n v="545"/>
  </r>
  <r>
    <x v="14"/>
    <s v="Endenergieverbrauch - Industriesektor - Nahrungsmittel, Getränke und Tabak - energetischer Verbrauch"/>
    <s v="Elektrizität"/>
    <s v="Gigawattstunde"/>
    <x v="9"/>
    <x v="7"/>
    <n v="604"/>
  </r>
  <r>
    <x v="14"/>
    <s v="Endenergieverbrauch - Industriesektor - Nahrungsmittel, Getränke und Tabak - energetischer Verbrauch"/>
    <s v="Elektrizität"/>
    <s v="Gigawattstunde"/>
    <x v="10"/>
    <x v="7"/>
    <n v="605"/>
  </r>
  <r>
    <x v="14"/>
    <s v="Endenergieverbrauch - Industriesektor - Nahrungsmittel, Getränke und Tabak - energetischer Verbrauch"/>
    <s v="Elektrizität"/>
    <s v="Gigawattstunde"/>
    <x v="11"/>
    <x v="7"/>
    <n v="657"/>
  </r>
  <r>
    <x v="14"/>
    <s v="Endenergieverbrauch - Industriesektor - Nahrungsmittel, Getränke und Tabak - energetischer Verbrauch"/>
    <s v="Elektrizität"/>
    <s v="Gigawattstunde"/>
    <x v="12"/>
    <x v="7"/>
    <n v="683"/>
  </r>
  <r>
    <x v="14"/>
    <s v="Endenergieverbrauch - Industriesektor - Nahrungsmittel, Getränke und Tabak - energetischer Verbrauch"/>
    <s v="Elektrizität"/>
    <s v="Gigawattstunde"/>
    <x v="13"/>
    <x v="7"/>
    <n v="698"/>
  </r>
  <r>
    <x v="14"/>
    <s v="Endenergieverbrauch - Industriesektor - Nahrungsmittel, Getränke und Tabak - energetischer Verbrauch"/>
    <s v="Elektrizität"/>
    <s v="Gigawattstunde"/>
    <x v="14"/>
    <x v="7"/>
    <n v="729"/>
  </r>
  <r>
    <x v="14"/>
    <s v="Endenergieverbrauch - Industriesektor - Nahrungsmittel, Getränke und Tabak - energetischer Verbrauch"/>
    <s v="Elektrizität"/>
    <s v="Gigawattstunde"/>
    <x v="15"/>
    <x v="7"/>
    <n v="786.2"/>
  </r>
  <r>
    <x v="14"/>
    <s v="Endenergieverbrauch - Industriesektor - Nahrungsmittel, Getränke und Tabak - energetischer Verbrauch"/>
    <s v="Elektrizität"/>
    <s v="Gigawattstunde"/>
    <x v="16"/>
    <x v="7"/>
    <n v="763.7"/>
  </r>
  <r>
    <x v="15"/>
    <s v="Endenergieverbrauch - Industriesektor - Nahrungsmittel, Getränke und Tabak - energetischer Verbrauch"/>
    <s v="Elektrizität"/>
    <s v="Gigawattstunde"/>
    <x v="0"/>
    <x v="7"/>
    <n v="191.434"/>
  </r>
  <r>
    <x v="15"/>
    <s v="Endenergieverbrauch - Industriesektor - Nahrungsmittel, Getränke und Tabak - energetischer Verbrauch"/>
    <s v="Elektrizität"/>
    <s v="Gigawattstunde"/>
    <x v="1"/>
    <x v="7"/>
    <n v="188.46700000000001"/>
  </r>
  <r>
    <x v="15"/>
    <s v="Endenergieverbrauch - Industriesektor - Nahrungsmittel, Getränke und Tabak - energetischer Verbrauch"/>
    <s v="Elektrizität"/>
    <s v="Gigawattstunde"/>
    <x v="2"/>
    <x v="7"/>
    <n v="164.815"/>
  </r>
  <r>
    <x v="15"/>
    <s v="Endenergieverbrauch - Industriesektor - Nahrungsmittel, Getränke und Tabak - energetischer Verbrauch"/>
    <s v="Elektrizität"/>
    <s v="Gigawattstunde"/>
    <x v="3"/>
    <x v="7"/>
    <n v="167.11099999999999"/>
  </r>
  <r>
    <x v="15"/>
    <s v="Endenergieverbrauch - Industriesektor - Nahrungsmittel, Getränke und Tabak - energetischer Verbrauch"/>
    <s v="Elektrizität"/>
    <s v="Gigawattstunde"/>
    <x v="4"/>
    <x v="7"/>
    <n v="149.24"/>
  </r>
  <r>
    <x v="15"/>
    <s v="Endenergieverbrauch - Industriesektor - Nahrungsmittel, Getränke und Tabak - energetischer Verbrauch"/>
    <s v="Elektrizität"/>
    <s v="Gigawattstunde"/>
    <x v="5"/>
    <x v="7"/>
    <n v="129.387"/>
  </r>
  <r>
    <x v="15"/>
    <s v="Endenergieverbrauch - Industriesektor - Nahrungsmittel, Getränke und Tabak - energetischer Verbrauch"/>
    <s v="Elektrizität"/>
    <s v="Gigawattstunde"/>
    <x v="6"/>
    <x v="7"/>
    <n v="133.624"/>
  </r>
  <r>
    <x v="15"/>
    <s v="Endenergieverbrauch - Industriesektor - Nahrungsmittel, Getränke und Tabak - energetischer Verbrauch"/>
    <s v="Elektrizität"/>
    <s v="Gigawattstunde"/>
    <x v="7"/>
    <x v="7"/>
    <n v="145.78"/>
  </r>
  <r>
    <x v="15"/>
    <s v="Endenergieverbrauch - Industriesektor - Nahrungsmittel, Getränke und Tabak - energetischer Verbrauch"/>
    <s v="Elektrizität"/>
    <s v="Gigawattstunde"/>
    <x v="8"/>
    <x v="7"/>
    <n v="145.37899999999999"/>
  </r>
  <r>
    <x v="15"/>
    <s v="Endenergieverbrauch - Industriesektor - Nahrungsmittel, Getränke und Tabak - energetischer Verbrauch"/>
    <s v="Elektrizität"/>
    <s v="Gigawattstunde"/>
    <x v="9"/>
    <x v="7"/>
    <n v="167.08699999999999"/>
  </r>
  <r>
    <x v="15"/>
    <s v="Endenergieverbrauch - Industriesektor - Nahrungsmittel, Getränke und Tabak - energetischer Verbrauch"/>
    <s v="Elektrizität"/>
    <s v="Gigawattstunde"/>
    <x v="10"/>
    <x v="7"/>
    <n v="155.04"/>
  </r>
  <r>
    <x v="15"/>
    <s v="Endenergieverbrauch - Industriesektor - Nahrungsmittel, Getränke und Tabak - energetischer Verbrauch"/>
    <s v="Elektrizität"/>
    <s v="Gigawattstunde"/>
    <x v="11"/>
    <x v="7"/>
    <n v="143.071"/>
  </r>
  <r>
    <x v="15"/>
    <s v="Endenergieverbrauch - Industriesektor - Nahrungsmittel, Getränke und Tabak - energetischer Verbrauch"/>
    <s v="Elektrizität"/>
    <s v="Gigawattstunde"/>
    <x v="12"/>
    <x v="7"/>
    <n v="214.81200000000001"/>
  </r>
  <r>
    <x v="15"/>
    <s v="Endenergieverbrauch - Industriesektor - Nahrungsmittel, Getränke und Tabak - energetischer Verbrauch"/>
    <s v="Elektrizität"/>
    <s v="Gigawattstunde"/>
    <x v="13"/>
    <x v="7"/>
    <n v="157.751"/>
  </r>
  <r>
    <x v="15"/>
    <s v="Endenergieverbrauch - Industriesektor - Nahrungsmittel, Getränke und Tabak - energetischer Verbrauch"/>
    <s v="Elektrizität"/>
    <s v="Gigawattstunde"/>
    <x v="14"/>
    <x v="7"/>
    <n v="176.45500000000001"/>
  </r>
  <r>
    <x v="15"/>
    <s v="Endenergieverbrauch - Industriesektor - Nahrungsmittel, Getränke und Tabak - energetischer Verbrauch"/>
    <s v="Elektrizität"/>
    <s v="Gigawattstunde"/>
    <x v="15"/>
    <x v="7"/>
    <n v="139.119"/>
  </r>
  <r>
    <x v="15"/>
    <s v="Endenergieverbrauch - Industriesektor - Nahrungsmittel, Getränke und Tabak - energetischer Verbrauch"/>
    <s v="Elektrizität"/>
    <s v="Gigawattstunde"/>
    <x v="16"/>
    <x v="7"/>
    <n v="147.965"/>
  </r>
  <r>
    <x v="16"/>
    <s v="Endenergieverbrauch - Industriesektor - Nahrungsmittel, Getränke und Tabak - energetischer Verbrauch"/>
    <s v="Elektrizität"/>
    <s v="Gigawattstunde"/>
    <x v="0"/>
    <x v="7"/>
    <n v="1403"/>
  </r>
  <r>
    <x v="16"/>
    <s v="Endenergieverbrauch - Industriesektor - Nahrungsmittel, Getränke und Tabak - energetischer Verbrauch"/>
    <s v="Elektrizität"/>
    <s v="Gigawattstunde"/>
    <x v="1"/>
    <x v="7"/>
    <n v="1538"/>
  </r>
  <r>
    <x v="16"/>
    <s v="Endenergieverbrauch - Industriesektor - Nahrungsmittel, Getränke und Tabak - energetischer Verbrauch"/>
    <s v="Elektrizität"/>
    <s v="Gigawattstunde"/>
    <x v="2"/>
    <x v="7"/>
    <n v="1362"/>
  </r>
  <r>
    <x v="16"/>
    <s v="Endenergieverbrauch - Industriesektor - Nahrungsmittel, Getränke und Tabak - energetischer Verbrauch"/>
    <s v="Elektrizität"/>
    <s v="Gigawattstunde"/>
    <x v="3"/>
    <x v="7"/>
    <n v="1233"/>
  </r>
  <r>
    <x v="16"/>
    <s v="Endenergieverbrauch - Industriesektor - Nahrungsmittel, Getränke und Tabak - energetischer Verbrauch"/>
    <s v="Elektrizität"/>
    <s v="Gigawattstunde"/>
    <x v="4"/>
    <x v="7"/>
    <n v="1247"/>
  </r>
  <r>
    <x v="16"/>
    <s v="Endenergieverbrauch - Industriesektor - Nahrungsmittel, Getränke und Tabak - energetischer Verbrauch"/>
    <s v="Elektrizität"/>
    <s v="Gigawattstunde"/>
    <x v="5"/>
    <x v="7"/>
    <n v="1189"/>
  </r>
  <r>
    <x v="16"/>
    <s v="Endenergieverbrauch - Industriesektor - Nahrungsmittel, Getränke und Tabak - energetischer Verbrauch"/>
    <s v="Elektrizität"/>
    <s v="Gigawattstunde"/>
    <x v="6"/>
    <x v="7"/>
    <n v="1252"/>
  </r>
  <r>
    <x v="16"/>
    <s v="Endenergieverbrauch - Industriesektor - Nahrungsmittel, Getränke und Tabak - energetischer Verbrauch"/>
    <s v="Elektrizität"/>
    <s v="Gigawattstunde"/>
    <x v="7"/>
    <x v="7"/>
    <n v="1222"/>
  </r>
  <r>
    <x v="16"/>
    <s v="Endenergieverbrauch - Industriesektor - Nahrungsmittel, Getränke und Tabak - energetischer Verbrauch"/>
    <s v="Elektrizität"/>
    <s v="Gigawattstunde"/>
    <x v="8"/>
    <x v="7"/>
    <n v="1360"/>
  </r>
  <r>
    <x v="16"/>
    <s v="Endenergieverbrauch - Industriesektor - Nahrungsmittel, Getränke und Tabak - energetischer Verbrauch"/>
    <s v="Elektrizität"/>
    <s v="Gigawattstunde"/>
    <x v="9"/>
    <x v="7"/>
    <n v="1373"/>
  </r>
  <r>
    <x v="16"/>
    <s v="Endenergieverbrauch - Industriesektor - Nahrungsmittel, Getränke und Tabak - energetischer Verbrauch"/>
    <s v="Elektrizität"/>
    <s v="Gigawattstunde"/>
    <x v="10"/>
    <x v="7"/>
    <n v="2384"/>
  </r>
  <r>
    <x v="16"/>
    <s v="Endenergieverbrauch - Industriesektor - Nahrungsmittel, Getränke und Tabak - energetischer Verbrauch"/>
    <s v="Elektrizität"/>
    <s v="Gigawattstunde"/>
    <x v="11"/>
    <x v="7"/>
    <n v="2255"/>
  </r>
  <r>
    <x v="16"/>
    <s v="Endenergieverbrauch - Industriesektor - Nahrungsmittel, Getränke und Tabak - energetischer Verbrauch"/>
    <s v="Elektrizität"/>
    <s v="Gigawattstunde"/>
    <x v="12"/>
    <x v="7"/>
    <n v="2086"/>
  </r>
  <r>
    <x v="16"/>
    <s v="Endenergieverbrauch - Industriesektor - Nahrungsmittel, Getränke und Tabak - energetischer Verbrauch"/>
    <s v="Elektrizität"/>
    <s v="Gigawattstunde"/>
    <x v="13"/>
    <x v="7"/>
    <n v="2241"/>
  </r>
  <r>
    <x v="16"/>
    <s v="Endenergieverbrauch - Industriesektor - Nahrungsmittel, Getränke und Tabak - energetischer Verbrauch"/>
    <s v="Elektrizität"/>
    <s v="Gigawattstunde"/>
    <x v="14"/>
    <x v="7"/>
    <n v="2374"/>
  </r>
  <r>
    <x v="16"/>
    <s v="Endenergieverbrauch - Industriesektor - Nahrungsmittel, Getränke und Tabak - energetischer Verbrauch"/>
    <s v="Elektrizität"/>
    <s v="Gigawattstunde"/>
    <x v="15"/>
    <x v="7"/>
    <n v="2453"/>
  </r>
  <r>
    <x v="16"/>
    <s v="Endenergieverbrauch - Industriesektor - Nahrungsmittel, Getränke und Tabak - energetischer Verbrauch"/>
    <s v="Elektrizität"/>
    <s v="Gigawattstunde"/>
    <x v="16"/>
    <x v="7"/>
    <n v="2526"/>
  </r>
  <r>
    <x v="17"/>
    <s v="Endenergieverbrauch - Industriesektor - Nahrungsmittel, Getränke und Tabak - energetischer Verbrauch"/>
    <s v="Elektrizität"/>
    <s v="Gigawattstunde"/>
    <x v="0"/>
    <x v="7"/>
    <n v="0"/>
  </r>
  <r>
    <x v="17"/>
    <s v="Endenergieverbrauch - Industriesektor - Nahrungsmittel, Getränke und Tabak - energetischer Verbrauch"/>
    <s v="Elektrizität"/>
    <s v="Gigawattstunde"/>
    <x v="1"/>
    <x v="7"/>
    <n v="0"/>
  </r>
  <r>
    <x v="17"/>
    <s v="Endenergieverbrauch - Industriesektor - Nahrungsmittel, Getränke und Tabak - energetischer Verbrauch"/>
    <s v="Elektrizität"/>
    <s v="Gigawattstunde"/>
    <x v="2"/>
    <x v="7"/>
    <n v="0"/>
  </r>
  <r>
    <x v="17"/>
    <s v="Endenergieverbrauch - Industriesektor - Nahrungsmittel, Getränke und Tabak - energetischer Verbrauch"/>
    <s v="Elektrizität"/>
    <s v="Gigawattstunde"/>
    <x v="3"/>
    <x v="7"/>
    <n v="0"/>
  </r>
  <r>
    <x v="17"/>
    <s v="Endenergieverbrauch - Industriesektor - Nahrungsmittel, Getränke und Tabak - energetischer Verbrauch"/>
    <s v="Elektrizität"/>
    <s v="Gigawattstunde"/>
    <x v="4"/>
    <x v="7"/>
    <n v="0"/>
  </r>
  <r>
    <x v="17"/>
    <s v="Endenergieverbrauch - Industriesektor - Nahrungsmittel, Getränke und Tabak - energetischer Verbrauch"/>
    <s v="Elektrizität"/>
    <s v="Gigawattstunde"/>
    <x v="5"/>
    <x v="7"/>
    <n v="0"/>
  </r>
  <r>
    <x v="17"/>
    <s v="Endenergieverbrauch - Industriesektor - Nahrungsmittel, Getränke und Tabak - energetischer Verbrauch"/>
    <s v="Elektrizität"/>
    <s v="Gigawattstunde"/>
    <x v="6"/>
    <x v="7"/>
    <n v="0"/>
  </r>
  <r>
    <x v="17"/>
    <s v="Endenergieverbrauch - Industriesektor - Nahrungsmittel, Getränke und Tabak - energetischer Verbrauch"/>
    <s v="Elektrizität"/>
    <s v="Gigawattstunde"/>
    <x v="7"/>
    <x v="7"/>
    <n v="0"/>
  </r>
  <r>
    <x v="17"/>
    <s v="Endenergieverbrauch - Industriesektor - Nahrungsmittel, Getränke und Tabak - energetischer Verbrauch"/>
    <s v="Elektrizität"/>
    <s v="Gigawattstunde"/>
    <x v="8"/>
    <x v="7"/>
    <n v="59"/>
  </r>
  <r>
    <x v="17"/>
    <s v="Endenergieverbrauch - Industriesektor - Nahrungsmittel, Getränke und Tabak - energetischer Verbrauch"/>
    <s v="Elektrizität"/>
    <s v="Gigawattstunde"/>
    <x v="9"/>
    <x v="7"/>
    <n v="59"/>
  </r>
  <r>
    <x v="17"/>
    <s v="Endenergieverbrauch - Industriesektor - Nahrungsmittel, Getränke und Tabak - energetischer Verbrauch"/>
    <s v="Elektrizität"/>
    <s v="Gigawattstunde"/>
    <x v="10"/>
    <x v="7"/>
    <n v="58"/>
  </r>
  <r>
    <x v="17"/>
    <s v="Endenergieverbrauch - Industriesektor - Nahrungsmittel, Getränke und Tabak - energetischer Verbrauch"/>
    <s v="Elektrizität"/>
    <s v="Gigawattstunde"/>
    <x v="11"/>
    <x v="7"/>
    <n v="57"/>
  </r>
  <r>
    <x v="17"/>
    <s v="Endenergieverbrauch - Industriesektor - Nahrungsmittel, Getränke und Tabak - energetischer Verbrauch"/>
    <s v="Elektrizität"/>
    <s v="Gigawattstunde"/>
    <x v="12"/>
    <x v="7"/>
    <n v="60"/>
  </r>
  <r>
    <x v="17"/>
    <s v="Endenergieverbrauch - Industriesektor - Nahrungsmittel, Getränke und Tabak - energetischer Verbrauch"/>
    <s v="Elektrizität"/>
    <s v="Gigawattstunde"/>
    <x v="13"/>
    <x v="7"/>
    <n v="62"/>
  </r>
  <r>
    <x v="17"/>
    <s v="Endenergieverbrauch - Industriesektor - Nahrungsmittel, Getränke und Tabak - energetischer Verbrauch"/>
    <s v="Elektrizität"/>
    <s v="Gigawattstunde"/>
    <x v="14"/>
    <x v="7"/>
    <n v="60"/>
  </r>
  <r>
    <x v="17"/>
    <s v="Endenergieverbrauch - Industriesektor - Nahrungsmittel, Getränke und Tabak - energetischer Verbrauch"/>
    <s v="Elektrizität"/>
    <s v="Gigawattstunde"/>
    <x v="15"/>
    <x v="7"/>
    <n v="68.572000000000003"/>
  </r>
  <r>
    <x v="17"/>
    <s v="Endenergieverbrauch - Industriesektor - Nahrungsmittel, Getränke und Tabak - energetischer Verbrauch"/>
    <s v="Elektrizität"/>
    <s v="Gigawattstunde"/>
    <x v="16"/>
    <x v="7"/>
    <n v="72.515000000000001"/>
  </r>
  <r>
    <x v="18"/>
    <s v="Endenergieverbrauch - Industriesektor - Nahrungsmittel, Getränke und Tabak - energetischer Verbrauch"/>
    <s v="Elektrizität"/>
    <s v="Gigawattstunde"/>
    <x v="0"/>
    <x v="7"/>
    <n v="6696"/>
  </r>
  <r>
    <x v="18"/>
    <s v="Endenergieverbrauch - Industriesektor - Nahrungsmittel, Getränke und Tabak - energetischer Verbrauch"/>
    <s v="Elektrizität"/>
    <s v="Gigawattstunde"/>
    <x v="1"/>
    <x v="7"/>
    <n v="6591"/>
  </r>
  <r>
    <x v="18"/>
    <s v="Endenergieverbrauch - Industriesektor - Nahrungsmittel, Getränke und Tabak - energetischer Verbrauch"/>
    <s v="Elektrizität"/>
    <s v="Gigawattstunde"/>
    <x v="2"/>
    <x v="7"/>
    <n v="6532"/>
  </r>
  <r>
    <x v="18"/>
    <s v="Endenergieverbrauch - Industriesektor - Nahrungsmittel, Getränke und Tabak - energetischer Verbrauch"/>
    <s v="Elektrizität"/>
    <s v="Gigawattstunde"/>
    <x v="3"/>
    <x v="7"/>
    <n v="6567"/>
  </r>
  <r>
    <x v="18"/>
    <s v="Endenergieverbrauch - Industriesektor - Nahrungsmittel, Getränke und Tabak - energetischer Verbrauch"/>
    <s v="Elektrizität"/>
    <s v="Gigawattstunde"/>
    <x v="4"/>
    <x v="7"/>
    <n v="6888"/>
  </r>
  <r>
    <x v="18"/>
    <s v="Endenergieverbrauch - Industriesektor - Nahrungsmittel, Getränke und Tabak - energetischer Verbrauch"/>
    <s v="Elektrizität"/>
    <s v="Gigawattstunde"/>
    <x v="5"/>
    <x v="7"/>
    <n v="7203"/>
  </r>
  <r>
    <x v="18"/>
    <s v="Endenergieverbrauch - Industriesektor - Nahrungsmittel, Getränke und Tabak - energetischer Verbrauch"/>
    <s v="Elektrizität"/>
    <s v="Gigawattstunde"/>
    <x v="6"/>
    <x v="7"/>
    <n v="6844"/>
  </r>
  <r>
    <x v="18"/>
    <s v="Endenergieverbrauch - Industriesektor - Nahrungsmittel, Getränke und Tabak - energetischer Verbrauch"/>
    <s v="Elektrizität"/>
    <s v="Gigawattstunde"/>
    <x v="7"/>
    <x v="7"/>
    <n v="6098"/>
  </r>
  <r>
    <x v="18"/>
    <s v="Endenergieverbrauch - Industriesektor - Nahrungsmittel, Getränke und Tabak - energetischer Verbrauch"/>
    <s v="Elektrizität"/>
    <s v="Gigawattstunde"/>
    <x v="8"/>
    <x v="7"/>
    <n v="6372"/>
  </r>
  <r>
    <x v="18"/>
    <s v="Endenergieverbrauch - Industriesektor - Nahrungsmittel, Getränke und Tabak - energetischer Verbrauch"/>
    <s v="Elektrizität"/>
    <s v="Gigawattstunde"/>
    <x v="9"/>
    <x v="7"/>
    <n v="6424"/>
  </r>
  <r>
    <x v="18"/>
    <s v="Endenergieverbrauch - Industriesektor - Nahrungsmittel, Getränke und Tabak - energetischer Verbrauch"/>
    <s v="Elektrizität"/>
    <s v="Gigawattstunde"/>
    <x v="10"/>
    <x v="7"/>
    <n v="6306"/>
  </r>
  <r>
    <x v="18"/>
    <s v="Endenergieverbrauch - Industriesektor - Nahrungsmittel, Getränke und Tabak - energetischer Verbrauch"/>
    <s v="Elektrizität"/>
    <s v="Gigawattstunde"/>
    <x v="11"/>
    <x v="7"/>
    <n v="6186"/>
  </r>
  <r>
    <x v="18"/>
    <s v="Endenergieverbrauch - Industriesektor - Nahrungsmittel, Getränke und Tabak - energetischer Verbrauch"/>
    <s v="Elektrizität"/>
    <s v="Gigawattstunde"/>
    <x v="12"/>
    <x v="7"/>
    <n v="6338"/>
  </r>
  <r>
    <x v="18"/>
    <s v="Endenergieverbrauch - Industriesektor - Nahrungsmittel, Getränke und Tabak - energetischer Verbrauch"/>
    <s v="Elektrizität"/>
    <s v="Gigawattstunde"/>
    <x v="13"/>
    <x v="7"/>
    <n v="6394.1769999999997"/>
  </r>
  <r>
    <x v="18"/>
    <s v="Endenergieverbrauch - Industriesektor - Nahrungsmittel, Getränke und Tabak - energetischer Verbrauch"/>
    <s v="Elektrizität"/>
    <s v="Gigawattstunde"/>
    <x v="14"/>
    <x v="7"/>
    <n v="6859.4549999999999"/>
  </r>
  <r>
    <x v="18"/>
    <s v="Endenergieverbrauch - Industriesektor - Nahrungsmittel, Getränke und Tabak - energetischer Verbrauch"/>
    <s v="Elektrizität"/>
    <s v="Gigawattstunde"/>
    <x v="15"/>
    <x v="7"/>
    <n v="7012.3059999999996"/>
  </r>
  <r>
    <x v="18"/>
    <s v="Endenergieverbrauch - Industriesektor - Nahrungsmittel, Getränke und Tabak - energetischer Verbrauch"/>
    <s v="Elektrizität"/>
    <s v="Gigawattstunde"/>
    <x v="16"/>
    <x v="7"/>
    <n v="6858.44"/>
  </r>
  <r>
    <x v="19"/>
    <s v="Endenergieverbrauch - Industriesektor - Nahrungsmittel, Getränke und Tabak - energetischer Verbrauch"/>
    <s v="Elektrizität"/>
    <s v="Gigawattstunde"/>
    <x v="0"/>
    <x v="7"/>
    <n v="1290"/>
  </r>
  <r>
    <x v="19"/>
    <s v="Endenergieverbrauch - Industriesektor - Nahrungsmittel, Getränke und Tabak - energetischer Verbrauch"/>
    <s v="Elektrizität"/>
    <s v="Gigawattstunde"/>
    <x v="1"/>
    <x v="7"/>
    <n v="1471"/>
  </r>
  <r>
    <x v="19"/>
    <s v="Endenergieverbrauch - Industriesektor - Nahrungsmittel, Getränke und Tabak - energetischer Verbrauch"/>
    <s v="Elektrizität"/>
    <s v="Gigawattstunde"/>
    <x v="2"/>
    <x v="7"/>
    <n v="1725"/>
  </r>
  <r>
    <x v="19"/>
    <s v="Endenergieverbrauch - Industriesektor - Nahrungsmittel, Getränke und Tabak - energetischer Verbrauch"/>
    <s v="Elektrizität"/>
    <s v="Gigawattstunde"/>
    <x v="3"/>
    <x v="7"/>
    <n v="1760.086"/>
  </r>
  <r>
    <x v="19"/>
    <s v="Endenergieverbrauch - Industriesektor - Nahrungsmittel, Getränke und Tabak - energetischer Verbrauch"/>
    <s v="Elektrizität"/>
    <s v="Gigawattstunde"/>
    <x v="4"/>
    <x v="7"/>
    <n v="1872.864"/>
  </r>
  <r>
    <x v="19"/>
    <s v="Endenergieverbrauch - Industriesektor - Nahrungsmittel, Getränke und Tabak - energetischer Verbrauch"/>
    <s v="Elektrizität"/>
    <s v="Gigawattstunde"/>
    <x v="5"/>
    <x v="7"/>
    <n v="1841.7260000000001"/>
  </r>
  <r>
    <x v="19"/>
    <s v="Endenergieverbrauch - Industriesektor - Nahrungsmittel, Getränke und Tabak - energetischer Verbrauch"/>
    <s v="Elektrizität"/>
    <s v="Gigawattstunde"/>
    <x v="6"/>
    <x v="7"/>
    <n v="1770.1569999999999"/>
  </r>
  <r>
    <x v="19"/>
    <s v="Endenergieverbrauch - Industriesektor - Nahrungsmittel, Getränke und Tabak - energetischer Verbrauch"/>
    <s v="Elektrizität"/>
    <s v="Gigawattstunde"/>
    <x v="7"/>
    <x v="7"/>
    <n v="1956.5419999999999"/>
  </r>
  <r>
    <x v="19"/>
    <s v="Endenergieverbrauch - Industriesektor - Nahrungsmittel, Getränke und Tabak - energetischer Verbrauch"/>
    <s v="Elektrizität"/>
    <s v="Gigawattstunde"/>
    <x v="8"/>
    <x v="7"/>
    <n v="2069.4940000000001"/>
  </r>
  <r>
    <x v="19"/>
    <s v="Endenergieverbrauch - Industriesektor - Nahrungsmittel, Getränke und Tabak - energetischer Verbrauch"/>
    <s v="Elektrizität"/>
    <s v="Gigawattstunde"/>
    <x v="9"/>
    <x v="7"/>
    <n v="2105.7359999999999"/>
  </r>
  <r>
    <x v="19"/>
    <s v="Endenergieverbrauch - Industriesektor - Nahrungsmittel, Getränke und Tabak - energetischer Verbrauch"/>
    <s v="Elektrizität"/>
    <s v="Gigawattstunde"/>
    <x v="10"/>
    <x v="7"/>
    <n v="2131.509"/>
  </r>
  <r>
    <x v="19"/>
    <s v="Endenergieverbrauch - Industriesektor - Nahrungsmittel, Getränke und Tabak - energetischer Verbrauch"/>
    <s v="Elektrizität"/>
    <s v="Gigawattstunde"/>
    <x v="11"/>
    <x v="7"/>
    <n v="1750.924"/>
  </r>
  <r>
    <x v="19"/>
    <s v="Endenergieverbrauch - Industriesektor - Nahrungsmittel, Getränke und Tabak - energetischer Verbrauch"/>
    <s v="Elektrizität"/>
    <s v="Gigawattstunde"/>
    <x v="12"/>
    <x v="7"/>
    <n v="2074.4540000000002"/>
  </r>
  <r>
    <x v="19"/>
    <s v="Endenergieverbrauch - Industriesektor - Nahrungsmittel, Getränke und Tabak - energetischer Verbrauch"/>
    <s v="Elektrizität"/>
    <s v="Gigawattstunde"/>
    <x v="13"/>
    <x v="7"/>
    <n v="1910.6610000000001"/>
  </r>
  <r>
    <x v="19"/>
    <s v="Endenergieverbrauch - Industriesektor - Nahrungsmittel, Getränke und Tabak - energetischer Verbrauch"/>
    <s v="Elektrizität"/>
    <s v="Gigawattstunde"/>
    <x v="14"/>
    <x v="7"/>
    <n v="1988.328"/>
  </r>
  <r>
    <x v="19"/>
    <s v="Endenergieverbrauch - Industriesektor - Nahrungsmittel, Getränke und Tabak - energetischer Verbrauch"/>
    <s v="Elektrizität"/>
    <s v="Gigawattstunde"/>
    <x v="15"/>
    <x v="7"/>
    <n v="2006.9169999999999"/>
  </r>
  <r>
    <x v="19"/>
    <s v="Endenergieverbrauch - Industriesektor - Nahrungsmittel, Getränke und Tabak - energetischer Verbrauch"/>
    <s v="Elektrizität"/>
    <s v="Gigawattstunde"/>
    <x v="16"/>
    <x v="7"/>
    <n v="2068.098"/>
  </r>
  <r>
    <x v="20"/>
    <s v="Endenergieverbrauch - Industriesektor - Nahrungsmittel, Getränke und Tabak - energetischer Verbrauch"/>
    <s v="Elektrizität"/>
    <s v="Gigawattstunde"/>
    <x v="0"/>
    <x v="7"/>
    <n v="3980"/>
  </r>
  <r>
    <x v="20"/>
    <s v="Endenergieverbrauch - Industriesektor - Nahrungsmittel, Getränke und Tabak - energetischer Verbrauch"/>
    <s v="Elektrizität"/>
    <s v="Gigawattstunde"/>
    <x v="1"/>
    <x v="7"/>
    <n v="4259"/>
  </r>
  <r>
    <x v="20"/>
    <s v="Endenergieverbrauch - Industriesektor - Nahrungsmittel, Getränke und Tabak - energetischer Verbrauch"/>
    <s v="Elektrizität"/>
    <s v="Gigawattstunde"/>
    <x v="2"/>
    <x v="7"/>
    <n v="4319"/>
  </r>
  <r>
    <x v="20"/>
    <s v="Endenergieverbrauch - Industriesektor - Nahrungsmittel, Getränke und Tabak - energetischer Verbrauch"/>
    <s v="Elektrizität"/>
    <s v="Gigawattstunde"/>
    <x v="3"/>
    <x v="7"/>
    <n v="4442"/>
  </r>
  <r>
    <x v="20"/>
    <s v="Endenergieverbrauch - Industriesektor - Nahrungsmittel, Getränke und Tabak - energetischer Verbrauch"/>
    <s v="Elektrizität"/>
    <s v="Gigawattstunde"/>
    <x v="4"/>
    <x v="7"/>
    <n v="4493"/>
  </r>
  <r>
    <x v="20"/>
    <s v="Endenergieverbrauch - Industriesektor - Nahrungsmittel, Getränke und Tabak - energetischer Verbrauch"/>
    <s v="Elektrizität"/>
    <s v="Gigawattstunde"/>
    <x v="5"/>
    <x v="7"/>
    <n v="5073"/>
  </r>
  <r>
    <x v="20"/>
    <s v="Endenergieverbrauch - Industriesektor - Nahrungsmittel, Getränke und Tabak - energetischer Verbrauch"/>
    <s v="Elektrizität"/>
    <s v="Gigawattstunde"/>
    <x v="6"/>
    <x v="7"/>
    <n v="5061"/>
  </r>
  <r>
    <x v="20"/>
    <s v="Endenergieverbrauch - Industriesektor - Nahrungsmittel, Getränke und Tabak - energetischer Verbrauch"/>
    <s v="Elektrizität"/>
    <s v="Gigawattstunde"/>
    <x v="7"/>
    <x v="7"/>
    <n v="4947"/>
  </r>
  <r>
    <x v="20"/>
    <s v="Endenergieverbrauch - Industriesektor - Nahrungsmittel, Getränke und Tabak - energetischer Verbrauch"/>
    <s v="Elektrizität"/>
    <s v="Gigawattstunde"/>
    <x v="8"/>
    <x v="7"/>
    <n v="5087"/>
  </r>
  <r>
    <x v="20"/>
    <s v="Endenergieverbrauch - Industriesektor - Nahrungsmittel, Getränke und Tabak - energetischer Verbrauch"/>
    <s v="Elektrizität"/>
    <s v="Gigawattstunde"/>
    <x v="9"/>
    <x v="7"/>
    <n v="5099"/>
  </r>
  <r>
    <x v="20"/>
    <s v="Endenergieverbrauch - Industriesektor - Nahrungsmittel, Getränke und Tabak - energetischer Verbrauch"/>
    <s v="Elektrizität"/>
    <s v="Gigawattstunde"/>
    <x v="10"/>
    <x v="7"/>
    <n v="5410"/>
  </r>
  <r>
    <x v="20"/>
    <s v="Endenergieverbrauch - Industriesektor - Nahrungsmittel, Getränke und Tabak - energetischer Verbrauch"/>
    <s v="Elektrizität"/>
    <s v="Gigawattstunde"/>
    <x v="11"/>
    <x v="7"/>
    <n v="5634"/>
  </r>
  <r>
    <x v="20"/>
    <s v="Endenergieverbrauch - Industriesektor - Nahrungsmittel, Getränke und Tabak - energetischer Verbrauch"/>
    <s v="Elektrizität"/>
    <s v="Gigawattstunde"/>
    <x v="12"/>
    <x v="7"/>
    <n v="5744"/>
  </r>
  <r>
    <x v="20"/>
    <s v="Endenergieverbrauch - Industriesektor - Nahrungsmittel, Getränke und Tabak - energetischer Verbrauch"/>
    <s v="Elektrizität"/>
    <s v="Gigawattstunde"/>
    <x v="13"/>
    <x v="7"/>
    <n v="6240"/>
  </r>
  <r>
    <x v="20"/>
    <s v="Endenergieverbrauch - Industriesektor - Nahrungsmittel, Getränke und Tabak - energetischer Verbrauch"/>
    <s v="Elektrizität"/>
    <s v="Gigawattstunde"/>
    <x v="14"/>
    <x v="7"/>
    <n v="6517"/>
  </r>
  <r>
    <x v="20"/>
    <s v="Endenergieverbrauch - Industriesektor - Nahrungsmittel, Getränke und Tabak - energetischer Verbrauch"/>
    <s v="Elektrizität"/>
    <s v="Gigawattstunde"/>
    <x v="15"/>
    <x v="7"/>
    <n v="6758.7790000000005"/>
  </r>
  <r>
    <x v="20"/>
    <s v="Endenergieverbrauch - Industriesektor - Nahrungsmittel, Getränke und Tabak - energetischer Verbrauch"/>
    <s v="Elektrizität"/>
    <s v="Gigawattstunde"/>
    <x v="16"/>
    <x v="7"/>
    <n v="7358.4530000000004"/>
  </r>
  <r>
    <x v="21"/>
    <s v="Endenergieverbrauch - Industriesektor - Nahrungsmittel, Getränke und Tabak - energetischer Verbrauch"/>
    <s v="Elektrizität"/>
    <s v="Gigawattstunde"/>
    <x v="0"/>
    <x v="7"/>
    <n v="1603"/>
  </r>
  <r>
    <x v="21"/>
    <s v="Endenergieverbrauch - Industriesektor - Nahrungsmittel, Getränke und Tabak - energetischer Verbrauch"/>
    <s v="Elektrizität"/>
    <s v="Gigawattstunde"/>
    <x v="1"/>
    <x v="7"/>
    <n v="1644"/>
  </r>
  <r>
    <x v="21"/>
    <s v="Endenergieverbrauch - Industriesektor - Nahrungsmittel, Getränke und Tabak - energetischer Verbrauch"/>
    <s v="Elektrizität"/>
    <s v="Gigawattstunde"/>
    <x v="2"/>
    <x v="7"/>
    <n v="1688"/>
  </r>
  <r>
    <x v="21"/>
    <s v="Endenergieverbrauch - Industriesektor - Nahrungsmittel, Getränke und Tabak - energetischer Verbrauch"/>
    <s v="Elektrizität"/>
    <s v="Gigawattstunde"/>
    <x v="3"/>
    <x v="7"/>
    <n v="1695"/>
  </r>
  <r>
    <x v="21"/>
    <s v="Endenergieverbrauch - Industriesektor - Nahrungsmittel, Getränke und Tabak - energetischer Verbrauch"/>
    <s v="Elektrizität"/>
    <s v="Gigawattstunde"/>
    <x v="4"/>
    <x v="7"/>
    <n v="1773"/>
  </r>
  <r>
    <x v="21"/>
    <s v="Endenergieverbrauch - Industriesektor - Nahrungsmittel, Getränke und Tabak - energetischer Verbrauch"/>
    <s v="Elektrizität"/>
    <s v="Gigawattstunde"/>
    <x v="5"/>
    <x v="7"/>
    <n v="1825"/>
  </r>
  <r>
    <x v="21"/>
    <s v="Endenergieverbrauch - Industriesektor - Nahrungsmittel, Getränke und Tabak - energetischer Verbrauch"/>
    <s v="Elektrizität"/>
    <s v="Gigawattstunde"/>
    <x v="6"/>
    <x v="7"/>
    <n v="1774"/>
  </r>
  <r>
    <x v="21"/>
    <s v="Endenergieverbrauch - Industriesektor - Nahrungsmittel, Getränke und Tabak - energetischer Verbrauch"/>
    <s v="Elektrizität"/>
    <s v="Gigawattstunde"/>
    <x v="7"/>
    <x v="7"/>
    <n v="1835"/>
  </r>
  <r>
    <x v="21"/>
    <s v="Endenergieverbrauch - Industriesektor - Nahrungsmittel, Getränke und Tabak - energetischer Verbrauch"/>
    <s v="Elektrizität"/>
    <s v="Gigawattstunde"/>
    <x v="8"/>
    <x v="7"/>
    <n v="1905"/>
  </r>
  <r>
    <x v="21"/>
    <s v="Endenergieverbrauch - Industriesektor - Nahrungsmittel, Getränke und Tabak - energetischer Verbrauch"/>
    <s v="Elektrizität"/>
    <s v="Gigawattstunde"/>
    <x v="9"/>
    <x v="7"/>
    <n v="1867"/>
  </r>
  <r>
    <x v="21"/>
    <s v="Endenergieverbrauch - Industriesektor - Nahrungsmittel, Getränke und Tabak - energetischer Verbrauch"/>
    <s v="Elektrizität"/>
    <s v="Gigawattstunde"/>
    <x v="10"/>
    <x v="7"/>
    <n v="1750"/>
  </r>
  <r>
    <x v="21"/>
    <s v="Endenergieverbrauch - Industriesektor - Nahrungsmittel, Getränke und Tabak - energetischer Verbrauch"/>
    <s v="Elektrizität"/>
    <s v="Gigawattstunde"/>
    <x v="11"/>
    <x v="7"/>
    <n v="1766"/>
  </r>
  <r>
    <x v="21"/>
    <s v="Endenergieverbrauch - Industriesektor - Nahrungsmittel, Getränke und Tabak - energetischer Verbrauch"/>
    <s v="Elektrizität"/>
    <s v="Gigawattstunde"/>
    <x v="12"/>
    <x v="7"/>
    <n v="1856"/>
  </r>
  <r>
    <x v="21"/>
    <s v="Endenergieverbrauch - Industriesektor - Nahrungsmittel, Getränke und Tabak - energetischer Verbrauch"/>
    <s v="Elektrizität"/>
    <s v="Gigawattstunde"/>
    <x v="13"/>
    <x v="7"/>
    <n v="1854"/>
  </r>
  <r>
    <x v="21"/>
    <s v="Endenergieverbrauch - Industriesektor - Nahrungsmittel, Getränke und Tabak - energetischer Verbrauch"/>
    <s v="Elektrizität"/>
    <s v="Gigawattstunde"/>
    <x v="14"/>
    <x v="7"/>
    <n v="1926.212"/>
  </r>
  <r>
    <x v="21"/>
    <s v="Endenergieverbrauch - Industriesektor - Nahrungsmittel, Getränke und Tabak - energetischer Verbrauch"/>
    <s v="Elektrizität"/>
    <s v="Gigawattstunde"/>
    <x v="15"/>
    <x v="7"/>
    <n v="1975.9359999999999"/>
  </r>
  <r>
    <x v="21"/>
    <s v="Endenergieverbrauch - Industriesektor - Nahrungsmittel, Getränke und Tabak - energetischer Verbrauch"/>
    <s v="Elektrizität"/>
    <s v="Gigawattstunde"/>
    <x v="16"/>
    <x v="7"/>
    <n v="2032.8869999999999"/>
  </r>
  <r>
    <x v="22"/>
    <s v="Endenergieverbrauch - Industriesektor - Nahrungsmittel, Getränke und Tabak - energetischer Verbrauch"/>
    <s v="Elektrizität"/>
    <s v="Gigawattstunde"/>
    <x v="0"/>
    <x v="7"/>
    <n v="1536"/>
  </r>
  <r>
    <x v="22"/>
    <s v="Endenergieverbrauch - Industriesektor - Nahrungsmittel, Getränke und Tabak - energetischer Verbrauch"/>
    <s v="Elektrizität"/>
    <s v="Gigawattstunde"/>
    <x v="1"/>
    <x v="7"/>
    <n v="2570"/>
  </r>
  <r>
    <x v="22"/>
    <s v="Endenergieverbrauch - Industriesektor - Nahrungsmittel, Getränke und Tabak - energetischer Verbrauch"/>
    <s v="Elektrizität"/>
    <s v="Gigawattstunde"/>
    <x v="2"/>
    <x v="7"/>
    <n v="3343"/>
  </r>
  <r>
    <x v="22"/>
    <s v="Endenergieverbrauch - Industriesektor - Nahrungsmittel, Getränke und Tabak - energetischer Verbrauch"/>
    <s v="Elektrizität"/>
    <s v="Gigawattstunde"/>
    <x v="3"/>
    <x v="7"/>
    <n v="2905"/>
  </r>
  <r>
    <x v="22"/>
    <s v="Endenergieverbrauch - Industriesektor - Nahrungsmittel, Getränke und Tabak - energetischer Verbrauch"/>
    <s v="Elektrizität"/>
    <s v="Gigawattstunde"/>
    <x v="4"/>
    <x v="7"/>
    <n v="1418"/>
  </r>
  <r>
    <x v="22"/>
    <s v="Endenergieverbrauch - Industriesektor - Nahrungsmittel, Getränke und Tabak - energetischer Verbrauch"/>
    <s v="Elektrizität"/>
    <s v="Gigawattstunde"/>
    <x v="5"/>
    <x v="7"/>
    <n v="1424"/>
  </r>
  <r>
    <x v="22"/>
    <s v="Endenergieverbrauch - Industriesektor - Nahrungsmittel, Getränke und Tabak - energetischer Verbrauch"/>
    <s v="Elektrizität"/>
    <s v="Gigawattstunde"/>
    <x v="6"/>
    <x v="7"/>
    <n v="1686"/>
  </r>
  <r>
    <x v="22"/>
    <s v="Endenergieverbrauch - Industriesektor - Nahrungsmittel, Getränke und Tabak - energetischer Verbrauch"/>
    <s v="Elektrizität"/>
    <s v="Gigawattstunde"/>
    <x v="7"/>
    <x v="7"/>
    <n v="1554"/>
  </r>
  <r>
    <x v="22"/>
    <s v="Endenergieverbrauch - Industriesektor - Nahrungsmittel, Getränke und Tabak - energetischer Verbrauch"/>
    <s v="Elektrizität"/>
    <s v="Gigawattstunde"/>
    <x v="8"/>
    <x v="7"/>
    <n v="1562"/>
  </r>
  <r>
    <x v="22"/>
    <s v="Endenergieverbrauch - Industriesektor - Nahrungsmittel, Getränke und Tabak - energetischer Verbrauch"/>
    <s v="Elektrizität"/>
    <s v="Gigawattstunde"/>
    <x v="9"/>
    <x v="7"/>
    <n v="1590"/>
  </r>
  <r>
    <x v="22"/>
    <s v="Endenergieverbrauch - Industriesektor - Nahrungsmittel, Getränke und Tabak - energetischer Verbrauch"/>
    <s v="Elektrizität"/>
    <s v="Gigawattstunde"/>
    <x v="10"/>
    <x v="7"/>
    <n v="1650"/>
  </r>
  <r>
    <x v="22"/>
    <s v="Endenergieverbrauch - Industriesektor - Nahrungsmittel, Getränke und Tabak - energetischer Verbrauch"/>
    <s v="Elektrizität"/>
    <s v="Gigawattstunde"/>
    <x v="11"/>
    <x v="7"/>
    <n v="1673"/>
  </r>
  <r>
    <x v="22"/>
    <s v="Endenergieverbrauch - Industriesektor - Nahrungsmittel, Getränke und Tabak - energetischer Verbrauch"/>
    <s v="Elektrizität"/>
    <s v="Gigawattstunde"/>
    <x v="12"/>
    <x v="7"/>
    <n v="1769"/>
  </r>
  <r>
    <x v="22"/>
    <s v="Endenergieverbrauch - Industriesektor - Nahrungsmittel, Getränke und Tabak - energetischer Verbrauch"/>
    <s v="Elektrizität"/>
    <s v="Gigawattstunde"/>
    <x v="13"/>
    <x v="7"/>
    <n v="1824"/>
  </r>
  <r>
    <x v="22"/>
    <s v="Endenergieverbrauch - Industriesektor - Nahrungsmittel, Getränke und Tabak - energetischer Verbrauch"/>
    <s v="Elektrizität"/>
    <s v="Gigawattstunde"/>
    <x v="14"/>
    <x v="7"/>
    <n v="1867"/>
  </r>
  <r>
    <x v="22"/>
    <s v="Endenergieverbrauch - Industriesektor - Nahrungsmittel, Getränke und Tabak - energetischer Verbrauch"/>
    <s v="Elektrizität"/>
    <s v="Gigawattstunde"/>
    <x v="15"/>
    <x v="7"/>
    <n v="1886.635"/>
  </r>
  <r>
    <x v="22"/>
    <s v="Endenergieverbrauch - Industriesektor - Nahrungsmittel, Getränke und Tabak - energetischer Verbrauch"/>
    <s v="Elektrizität"/>
    <s v="Gigawattstunde"/>
    <x v="16"/>
    <x v="7"/>
    <n v="1912.35"/>
  </r>
  <r>
    <x v="23"/>
    <s v="Endenergieverbrauch - Industriesektor - Nahrungsmittel, Getränke und Tabak - energetischer Verbrauch"/>
    <s v="Elektrizität"/>
    <s v="Gigawattstunde"/>
    <x v="0"/>
    <x v="7"/>
    <n v="254"/>
  </r>
  <r>
    <x v="23"/>
    <s v="Endenergieverbrauch - Industriesektor - Nahrungsmittel, Getränke und Tabak - energetischer Verbrauch"/>
    <s v="Elektrizität"/>
    <s v="Gigawattstunde"/>
    <x v="1"/>
    <x v="7"/>
    <n v="300"/>
  </r>
  <r>
    <x v="23"/>
    <s v="Endenergieverbrauch - Industriesektor - Nahrungsmittel, Getränke und Tabak - energetischer Verbrauch"/>
    <s v="Elektrizität"/>
    <s v="Gigawattstunde"/>
    <x v="2"/>
    <x v="7"/>
    <n v="284"/>
  </r>
  <r>
    <x v="23"/>
    <s v="Endenergieverbrauch - Industriesektor - Nahrungsmittel, Getränke und Tabak - energetischer Verbrauch"/>
    <s v="Elektrizität"/>
    <s v="Gigawattstunde"/>
    <x v="3"/>
    <x v="7"/>
    <n v="296"/>
  </r>
  <r>
    <x v="23"/>
    <s v="Endenergieverbrauch - Industriesektor - Nahrungsmittel, Getränke und Tabak - energetischer Verbrauch"/>
    <s v="Elektrizität"/>
    <s v="Gigawattstunde"/>
    <x v="4"/>
    <x v="7"/>
    <n v="352"/>
  </r>
  <r>
    <x v="23"/>
    <s v="Endenergieverbrauch - Industriesektor - Nahrungsmittel, Getränke und Tabak - energetischer Verbrauch"/>
    <s v="Elektrizität"/>
    <s v="Gigawattstunde"/>
    <x v="5"/>
    <x v="7"/>
    <n v="319"/>
  </r>
  <r>
    <x v="23"/>
    <s v="Endenergieverbrauch - Industriesektor - Nahrungsmittel, Getränke und Tabak - energetischer Verbrauch"/>
    <s v="Elektrizität"/>
    <s v="Gigawattstunde"/>
    <x v="6"/>
    <x v="7"/>
    <n v="296"/>
  </r>
  <r>
    <x v="23"/>
    <s v="Endenergieverbrauch - Industriesektor - Nahrungsmittel, Getränke und Tabak - energetischer Verbrauch"/>
    <s v="Elektrizität"/>
    <s v="Gigawattstunde"/>
    <x v="7"/>
    <x v="7"/>
    <n v="278"/>
  </r>
  <r>
    <x v="23"/>
    <s v="Endenergieverbrauch - Industriesektor - Nahrungsmittel, Getränke und Tabak - energetischer Verbrauch"/>
    <s v="Elektrizität"/>
    <s v="Gigawattstunde"/>
    <x v="8"/>
    <x v="7"/>
    <n v="276"/>
  </r>
  <r>
    <x v="23"/>
    <s v="Endenergieverbrauch - Industriesektor - Nahrungsmittel, Getränke und Tabak - energetischer Verbrauch"/>
    <s v="Elektrizität"/>
    <s v="Gigawattstunde"/>
    <x v="9"/>
    <x v="7"/>
    <n v="275"/>
  </r>
  <r>
    <x v="23"/>
    <s v="Endenergieverbrauch - Industriesektor - Nahrungsmittel, Getränke und Tabak - energetischer Verbrauch"/>
    <s v="Elektrizität"/>
    <s v="Gigawattstunde"/>
    <x v="10"/>
    <x v="7"/>
    <n v="274"/>
  </r>
  <r>
    <x v="23"/>
    <s v="Endenergieverbrauch - Industriesektor - Nahrungsmittel, Getränke und Tabak - energetischer Verbrauch"/>
    <s v="Elektrizität"/>
    <s v="Gigawattstunde"/>
    <x v="11"/>
    <x v="7"/>
    <n v="266"/>
  </r>
  <r>
    <x v="23"/>
    <s v="Endenergieverbrauch - Industriesektor - Nahrungsmittel, Getränke und Tabak - energetischer Verbrauch"/>
    <s v="Elektrizität"/>
    <s v="Gigawattstunde"/>
    <x v="12"/>
    <x v="7"/>
    <n v="281"/>
  </r>
  <r>
    <x v="23"/>
    <s v="Endenergieverbrauch - Industriesektor - Nahrungsmittel, Getränke und Tabak - energetischer Verbrauch"/>
    <s v="Elektrizität"/>
    <s v="Gigawattstunde"/>
    <x v="13"/>
    <x v="7"/>
    <n v="290"/>
  </r>
  <r>
    <x v="23"/>
    <s v="Endenergieverbrauch - Industriesektor - Nahrungsmittel, Getränke und Tabak - energetischer Verbrauch"/>
    <s v="Elektrizität"/>
    <s v="Gigawattstunde"/>
    <x v="14"/>
    <x v="7"/>
    <n v="286"/>
  </r>
  <r>
    <x v="23"/>
    <s v="Endenergieverbrauch - Industriesektor - Nahrungsmittel, Getränke und Tabak - energetischer Verbrauch"/>
    <s v="Elektrizität"/>
    <s v="Gigawattstunde"/>
    <x v="15"/>
    <x v="7"/>
    <n v="300.29000000000002"/>
  </r>
  <r>
    <x v="23"/>
    <s v="Endenergieverbrauch - Industriesektor - Nahrungsmittel, Getränke und Tabak - energetischer Verbrauch"/>
    <s v="Elektrizität"/>
    <s v="Gigawattstunde"/>
    <x v="16"/>
    <x v="7"/>
    <n v="326.589"/>
  </r>
  <r>
    <x v="24"/>
    <s v="Endenergieverbrauch - Industriesektor - Nahrungsmittel, Getränke und Tabak - energetischer Verbrauch"/>
    <s v="Elektrizität"/>
    <s v="Gigawattstunde"/>
    <x v="0"/>
    <x v="7"/>
    <n v="1080"/>
  </r>
  <r>
    <x v="24"/>
    <s v="Endenergieverbrauch - Industriesektor - Nahrungsmittel, Getränke und Tabak - energetischer Verbrauch"/>
    <s v="Elektrizität"/>
    <s v="Gigawattstunde"/>
    <x v="1"/>
    <x v="7"/>
    <n v="529"/>
  </r>
  <r>
    <x v="24"/>
    <s v="Endenergieverbrauch - Industriesektor - Nahrungsmittel, Getränke und Tabak - energetischer Verbrauch"/>
    <s v="Elektrizität"/>
    <s v="Gigawattstunde"/>
    <x v="2"/>
    <x v="7"/>
    <n v="506"/>
  </r>
  <r>
    <x v="24"/>
    <s v="Endenergieverbrauch - Industriesektor - Nahrungsmittel, Getränke und Tabak - energetischer Verbrauch"/>
    <s v="Elektrizität"/>
    <s v="Gigawattstunde"/>
    <x v="3"/>
    <x v="7"/>
    <n v="543"/>
  </r>
  <r>
    <x v="24"/>
    <s v="Endenergieverbrauch - Industriesektor - Nahrungsmittel, Getränke und Tabak - energetischer Verbrauch"/>
    <s v="Elektrizität"/>
    <s v="Gigawattstunde"/>
    <x v="4"/>
    <x v="7"/>
    <n v="508"/>
  </r>
  <r>
    <x v="24"/>
    <s v="Endenergieverbrauch - Industriesektor - Nahrungsmittel, Getränke und Tabak - energetischer Verbrauch"/>
    <s v="Elektrizität"/>
    <s v="Gigawattstunde"/>
    <x v="5"/>
    <x v="7"/>
    <n v="520"/>
  </r>
  <r>
    <x v="24"/>
    <s v="Endenergieverbrauch - Industriesektor - Nahrungsmittel, Getränke und Tabak - energetischer Verbrauch"/>
    <s v="Elektrizität"/>
    <s v="Gigawattstunde"/>
    <x v="6"/>
    <x v="7"/>
    <n v="541"/>
  </r>
  <r>
    <x v="24"/>
    <s v="Endenergieverbrauch - Industriesektor - Nahrungsmittel, Getränke und Tabak - energetischer Verbrauch"/>
    <s v="Elektrizität"/>
    <s v="Gigawattstunde"/>
    <x v="7"/>
    <x v="7"/>
    <n v="478"/>
  </r>
  <r>
    <x v="24"/>
    <s v="Endenergieverbrauch - Industriesektor - Nahrungsmittel, Getränke und Tabak - energetischer Verbrauch"/>
    <s v="Elektrizität"/>
    <s v="Gigawattstunde"/>
    <x v="8"/>
    <x v="7"/>
    <n v="477"/>
  </r>
  <r>
    <x v="24"/>
    <s v="Endenergieverbrauch - Industriesektor - Nahrungsmittel, Getränke und Tabak - energetischer Verbrauch"/>
    <s v="Elektrizität"/>
    <s v="Gigawattstunde"/>
    <x v="9"/>
    <x v="7"/>
    <n v="435"/>
  </r>
  <r>
    <x v="24"/>
    <s v="Endenergieverbrauch - Industriesektor - Nahrungsmittel, Getränke und Tabak - energetischer Verbrauch"/>
    <s v="Elektrizität"/>
    <s v="Gigawattstunde"/>
    <x v="10"/>
    <x v="7"/>
    <n v="518"/>
  </r>
  <r>
    <x v="24"/>
    <s v="Endenergieverbrauch - Industriesektor - Nahrungsmittel, Getränke und Tabak - energetischer Verbrauch"/>
    <s v="Elektrizität"/>
    <s v="Gigawattstunde"/>
    <x v="11"/>
    <x v="7"/>
    <n v="504"/>
  </r>
  <r>
    <x v="24"/>
    <s v="Endenergieverbrauch - Industriesektor - Nahrungsmittel, Getränke und Tabak - energetischer Verbrauch"/>
    <s v="Elektrizität"/>
    <s v="Gigawattstunde"/>
    <x v="12"/>
    <x v="7"/>
    <n v="567"/>
  </r>
  <r>
    <x v="24"/>
    <s v="Endenergieverbrauch - Industriesektor - Nahrungsmittel, Getränke und Tabak - energetischer Verbrauch"/>
    <s v="Elektrizität"/>
    <s v="Gigawattstunde"/>
    <x v="13"/>
    <x v="7"/>
    <n v="537"/>
  </r>
  <r>
    <x v="24"/>
    <s v="Endenergieverbrauch - Industriesektor - Nahrungsmittel, Getränke und Tabak - energetischer Verbrauch"/>
    <s v="Elektrizität"/>
    <s v="Gigawattstunde"/>
    <x v="14"/>
    <x v="7"/>
    <n v="536"/>
  </r>
  <r>
    <x v="24"/>
    <s v="Endenergieverbrauch - Industriesektor - Nahrungsmittel, Getränke und Tabak - energetischer Verbrauch"/>
    <s v="Elektrizität"/>
    <s v="Gigawattstunde"/>
    <x v="15"/>
    <x v="7"/>
    <n v="477"/>
  </r>
  <r>
    <x v="24"/>
    <s v="Endenergieverbrauch - Industriesektor - Nahrungsmittel, Getränke und Tabak - energetischer Verbrauch"/>
    <s v="Elektrizität"/>
    <s v="Gigawattstunde"/>
    <x v="16"/>
    <x v="7"/>
    <n v="490"/>
  </r>
  <r>
    <x v="25"/>
    <s v="Endenergieverbrauch - Industriesektor - Nahrungsmittel, Getränke und Tabak - energetischer Verbrauch"/>
    <s v="Elektrizität"/>
    <s v="Gigawattstunde"/>
    <x v="0"/>
    <x v="7"/>
    <n v="1564"/>
  </r>
  <r>
    <x v="25"/>
    <s v="Endenergieverbrauch - Industriesektor - Nahrungsmittel, Getränke und Tabak - energetischer Verbrauch"/>
    <s v="Elektrizität"/>
    <s v="Gigawattstunde"/>
    <x v="1"/>
    <x v="7"/>
    <n v="1547"/>
  </r>
  <r>
    <x v="25"/>
    <s v="Endenergieverbrauch - Industriesektor - Nahrungsmittel, Getränke und Tabak - energetischer Verbrauch"/>
    <s v="Elektrizität"/>
    <s v="Gigawattstunde"/>
    <x v="2"/>
    <x v="7"/>
    <n v="1493"/>
  </r>
  <r>
    <x v="25"/>
    <s v="Endenergieverbrauch - Industriesektor - Nahrungsmittel, Getränke und Tabak - energetischer Verbrauch"/>
    <s v="Elektrizität"/>
    <s v="Gigawattstunde"/>
    <x v="3"/>
    <x v="7"/>
    <n v="1462"/>
  </r>
  <r>
    <x v="25"/>
    <s v="Endenergieverbrauch - Industriesektor - Nahrungsmittel, Getränke und Tabak - energetischer Verbrauch"/>
    <s v="Elektrizität"/>
    <s v="Gigawattstunde"/>
    <x v="4"/>
    <x v="7"/>
    <n v="1583"/>
  </r>
  <r>
    <x v="25"/>
    <s v="Endenergieverbrauch - Industriesektor - Nahrungsmittel, Getränke und Tabak - energetischer Verbrauch"/>
    <s v="Elektrizität"/>
    <s v="Gigawattstunde"/>
    <x v="5"/>
    <x v="7"/>
    <n v="1468"/>
  </r>
  <r>
    <x v="25"/>
    <s v="Endenergieverbrauch - Industriesektor - Nahrungsmittel, Getränke und Tabak - energetischer Verbrauch"/>
    <s v="Elektrizität"/>
    <s v="Gigawattstunde"/>
    <x v="6"/>
    <x v="7"/>
    <n v="1233"/>
  </r>
  <r>
    <x v="25"/>
    <s v="Endenergieverbrauch - Industriesektor - Nahrungsmittel, Getränke und Tabak - energetischer Verbrauch"/>
    <s v="Elektrizität"/>
    <s v="Gigawattstunde"/>
    <x v="7"/>
    <x v="7"/>
    <n v="1844"/>
  </r>
  <r>
    <x v="25"/>
    <s v="Endenergieverbrauch - Industriesektor - Nahrungsmittel, Getränke und Tabak - energetischer Verbrauch"/>
    <s v="Elektrizität"/>
    <s v="Gigawattstunde"/>
    <x v="8"/>
    <x v="7"/>
    <n v="1646"/>
  </r>
  <r>
    <x v="25"/>
    <s v="Endenergieverbrauch - Industriesektor - Nahrungsmittel, Getränke und Tabak - energetischer Verbrauch"/>
    <s v="Elektrizität"/>
    <s v="Gigawattstunde"/>
    <x v="9"/>
    <x v="7"/>
    <n v="1634"/>
  </r>
  <r>
    <x v="25"/>
    <s v="Endenergieverbrauch - Industriesektor - Nahrungsmittel, Getränke und Tabak - energetischer Verbrauch"/>
    <s v="Elektrizität"/>
    <s v="Gigawattstunde"/>
    <x v="10"/>
    <x v="7"/>
    <n v="1572"/>
  </r>
  <r>
    <x v="25"/>
    <s v="Endenergieverbrauch - Industriesektor - Nahrungsmittel, Getränke und Tabak - energetischer Verbrauch"/>
    <s v="Elektrizität"/>
    <s v="Gigawattstunde"/>
    <x v="11"/>
    <x v="7"/>
    <n v="1666"/>
  </r>
  <r>
    <x v="25"/>
    <s v="Endenergieverbrauch - Industriesektor - Nahrungsmittel, Getränke und Tabak - energetischer Verbrauch"/>
    <s v="Elektrizität"/>
    <s v="Gigawattstunde"/>
    <x v="12"/>
    <x v="7"/>
    <n v="1774"/>
  </r>
  <r>
    <x v="25"/>
    <s v="Endenergieverbrauch - Industriesektor - Nahrungsmittel, Getränke und Tabak - energetischer Verbrauch"/>
    <s v="Elektrizität"/>
    <s v="Gigawattstunde"/>
    <x v="13"/>
    <x v="7"/>
    <n v="1683"/>
  </r>
  <r>
    <x v="25"/>
    <s v="Endenergieverbrauch - Industriesektor - Nahrungsmittel, Getränke und Tabak - energetischer Verbrauch"/>
    <s v="Elektrizität"/>
    <s v="Gigawattstunde"/>
    <x v="14"/>
    <x v="7"/>
    <n v="1705"/>
  </r>
  <r>
    <x v="25"/>
    <s v="Endenergieverbrauch - Industriesektor - Nahrungsmittel, Getränke und Tabak - energetischer Verbrauch"/>
    <s v="Elektrizität"/>
    <s v="Gigawattstunde"/>
    <x v="15"/>
    <x v="7"/>
    <n v="1932"/>
  </r>
  <r>
    <x v="25"/>
    <s v="Endenergieverbrauch - Industriesektor - Nahrungsmittel, Getränke und Tabak - energetischer Verbrauch"/>
    <s v="Elektrizität"/>
    <s v="Gigawattstunde"/>
    <x v="16"/>
    <x v="7"/>
    <n v="2048"/>
  </r>
  <r>
    <x v="26"/>
    <s v="Endenergieverbrauch - Industriesektor - Nahrungsmittel, Getränke und Tabak - energetischer Verbrauch"/>
    <s v="Elektrizität"/>
    <s v="Gigawattstunde"/>
    <x v="0"/>
    <x v="7"/>
    <n v="2683"/>
  </r>
  <r>
    <x v="26"/>
    <s v="Endenergieverbrauch - Industriesektor - Nahrungsmittel, Getränke und Tabak - energetischer Verbrauch"/>
    <s v="Elektrizität"/>
    <s v="Gigawattstunde"/>
    <x v="1"/>
    <x v="7"/>
    <n v="2470"/>
  </r>
  <r>
    <x v="26"/>
    <s v="Endenergieverbrauch - Industriesektor - Nahrungsmittel, Getränke und Tabak - energetischer Verbrauch"/>
    <s v="Elektrizität"/>
    <s v="Gigawattstunde"/>
    <x v="2"/>
    <x v="7"/>
    <n v="2519"/>
  </r>
  <r>
    <x v="26"/>
    <s v="Endenergieverbrauch - Industriesektor - Nahrungsmittel, Getränke und Tabak - energetischer Verbrauch"/>
    <s v="Elektrizität"/>
    <s v="Gigawattstunde"/>
    <x v="3"/>
    <x v="7"/>
    <n v="2433"/>
  </r>
  <r>
    <x v="26"/>
    <s v="Endenergieverbrauch - Industriesektor - Nahrungsmittel, Getränke und Tabak - energetischer Verbrauch"/>
    <s v="Elektrizität"/>
    <s v="Gigawattstunde"/>
    <x v="4"/>
    <x v="7"/>
    <n v="2437"/>
  </r>
  <r>
    <x v="26"/>
    <s v="Endenergieverbrauch - Industriesektor - Nahrungsmittel, Getränke und Tabak - energetischer Verbrauch"/>
    <s v="Elektrizität"/>
    <s v="Gigawattstunde"/>
    <x v="5"/>
    <x v="7"/>
    <n v="2464"/>
  </r>
  <r>
    <x v="26"/>
    <s v="Endenergieverbrauch - Industriesektor - Nahrungsmittel, Getränke und Tabak - energetischer Verbrauch"/>
    <s v="Elektrizität"/>
    <s v="Gigawattstunde"/>
    <x v="6"/>
    <x v="7"/>
    <n v="2495"/>
  </r>
  <r>
    <x v="26"/>
    <s v="Endenergieverbrauch - Industriesektor - Nahrungsmittel, Getränke und Tabak - energetischer Verbrauch"/>
    <s v="Elektrizität"/>
    <s v="Gigawattstunde"/>
    <x v="7"/>
    <x v="7"/>
    <n v="2384"/>
  </r>
  <r>
    <x v="26"/>
    <s v="Endenergieverbrauch - Industriesektor - Nahrungsmittel, Getränke und Tabak - energetischer Verbrauch"/>
    <s v="Elektrizität"/>
    <s v="Gigawattstunde"/>
    <x v="8"/>
    <x v="7"/>
    <n v="2575"/>
  </r>
  <r>
    <x v="26"/>
    <s v="Endenergieverbrauch - Industriesektor - Nahrungsmittel, Getränke und Tabak - energetischer Verbrauch"/>
    <s v="Elektrizität"/>
    <s v="Gigawattstunde"/>
    <x v="9"/>
    <x v="7"/>
    <n v="2495"/>
  </r>
  <r>
    <x v="26"/>
    <s v="Endenergieverbrauch - Industriesektor - Nahrungsmittel, Getränke und Tabak - energetischer Verbrauch"/>
    <s v="Elektrizität"/>
    <s v="Gigawattstunde"/>
    <x v="10"/>
    <x v="7"/>
    <n v="2460"/>
  </r>
  <r>
    <x v="26"/>
    <s v="Endenergieverbrauch - Industriesektor - Nahrungsmittel, Getränke und Tabak - energetischer Verbrauch"/>
    <s v="Elektrizität"/>
    <s v="Gigawattstunde"/>
    <x v="11"/>
    <x v="7"/>
    <n v="2400"/>
  </r>
  <r>
    <x v="26"/>
    <s v="Endenergieverbrauch - Industriesektor - Nahrungsmittel, Getränke und Tabak - energetischer Verbrauch"/>
    <s v="Elektrizität"/>
    <s v="Gigawattstunde"/>
    <x v="12"/>
    <x v="7"/>
    <n v="2452"/>
  </r>
  <r>
    <x v="26"/>
    <s v="Endenergieverbrauch - Industriesektor - Nahrungsmittel, Getränke und Tabak - energetischer Verbrauch"/>
    <s v="Elektrizität"/>
    <s v="Gigawattstunde"/>
    <x v="13"/>
    <x v="7"/>
    <n v="2415"/>
  </r>
  <r>
    <x v="26"/>
    <s v="Endenergieverbrauch - Industriesektor - Nahrungsmittel, Getränke und Tabak - energetischer Verbrauch"/>
    <s v="Elektrizität"/>
    <s v="Gigawattstunde"/>
    <x v="14"/>
    <x v="7"/>
    <n v="2409"/>
  </r>
  <r>
    <x v="26"/>
    <s v="Endenergieverbrauch - Industriesektor - Nahrungsmittel, Getränke und Tabak - energetischer Verbrauch"/>
    <s v="Elektrizität"/>
    <s v="Gigawattstunde"/>
    <x v="15"/>
    <x v="7"/>
    <n v="2397"/>
  </r>
  <r>
    <x v="26"/>
    <s v="Endenergieverbrauch - Industriesektor - Nahrungsmittel, Getränke und Tabak - energetischer Verbrauch"/>
    <s v="Elektrizität"/>
    <s v="Gigawattstunde"/>
    <x v="16"/>
    <x v="7"/>
    <n v="2373"/>
  </r>
  <r>
    <x v="27"/>
    <s v="Endenergieverbrauch - Industriesektor - Nahrungsmittel, Getränke und Tabak - energetischer Verbrauch"/>
    <s v="Elektrizität"/>
    <s v="Gigawattstunde"/>
    <x v="0"/>
    <x v="7"/>
    <n v="12166"/>
  </r>
  <r>
    <x v="27"/>
    <s v="Endenergieverbrauch - Industriesektor - Nahrungsmittel, Getränke und Tabak - energetischer Verbrauch"/>
    <s v="Elektrizität"/>
    <s v="Gigawattstunde"/>
    <x v="1"/>
    <x v="7"/>
    <n v="11449"/>
  </r>
  <r>
    <x v="27"/>
    <s v="Endenergieverbrauch - Industriesektor - Nahrungsmittel, Getränke und Tabak - energetischer Verbrauch"/>
    <s v="Elektrizität"/>
    <s v="Gigawattstunde"/>
    <x v="2"/>
    <x v="7"/>
    <n v="12048"/>
  </r>
  <r>
    <x v="27"/>
    <s v="Endenergieverbrauch - Industriesektor - Nahrungsmittel, Getränke und Tabak - energetischer Verbrauch"/>
    <s v="Elektrizität"/>
    <s v="Gigawattstunde"/>
    <x v="3"/>
    <x v="7"/>
    <n v="12273"/>
  </r>
  <r>
    <x v="27"/>
    <s v="Endenergieverbrauch - Industriesektor - Nahrungsmittel, Getränke und Tabak - energetischer Verbrauch"/>
    <s v="Elektrizität"/>
    <s v="Gigawattstunde"/>
    <x v="4"/>
    <x v="7"/>
    <n v="12117"/>
  </r>
  <r>
    <x v="27"/>
    <s v="Endenergieverbrauch - Industriesektor - Nahrungsmittel, Getränke und Tabak - energetischer Verbrauch"/>
    <s v="Elektrizität"/>
    <s v="Gigawattstunde"/>
    <x v="5"/>
    <x v="7"/>
    <n v="12082"/>
  </r>
  <r>
    <x v="27"/>
    <s v="Endenergieverbrauch - Industriesektor - Nahrungsmittel, Getränke und Tabak - energetischer Verbrauch"/>
    <s v="Elektrizität"/>
    <s v="Gigawattstunde"/>
    <x v="6"/>
    <x v="7"/>
    <n v="12257"/>
  </r>
  <r>
    <x v="27"/>
    <s v="Endenergieverbrauch - Industriesektor - Nahrungsmittel, Getränke und Tabak - energetischer Verbrauch"/>
    <s v="Elektrizität"/>
    <s v="Gigawattstunde"/>
    <x v="7"/>
    <x v="7"/>
    <n v="10741"/>
  </r>
  <r>
    <x v="27"/>
    <s v="Endenergieverbrauch - Industriesektor - Nahrungsmittel, Getränke und Tabak - energetischer Verbrauch"/>
    <s v="Elektrizität"/>
    <s v="Gigawattstunde"/>
    <x v="8"/>
    <x v="7"/>
    <n v="11520"/>
  </r>
  <r>
    <x v="27"/>
    <s v="Endenergieverbrauch - Industriesektor - Nahrungsmittel, Getränke und Tabak - energetischer Verbrauch"/>
    <s v="Elektrizität"/>
    <s v="Gigawattstunde"/>
    <x v="9"/>
    <x v="7"/>
    <n v="11322"/>
  </r>
  <r>
    <x v="27"/>
    <s v="Endenergieverbrauch - Industriesektor - Nahrungsmittel, Getränke und Tabak - energetischer Verbrauch"/>
    <s v="Elektrizität"/>
    <s v="Gigawattstunde"/>
    <x v="10"/>
    <x v="7"/>
    <n v="11137"/>
  </r>
  <r>
    <x v="27"/>
    <s v="Endenergieverbrauch - Industriesektor - Nahrungsmittel, Getränke und Tabak - energetischer Verbrauch"/>
    <s v="Elektrizität"/>
    <s v="Gigawattstunde"/>
    <x v="11"/>
    <x v="7"/>
    <n v="11083"/>
  </r>
  <r>
    <x v="27"/>
    <s v="Endenergieverbrauch - Industriesektor - Nahrungsmittel, Getränke und Tabak - energetischer Verbrauch"/>
    <s v="Elektrizität"/>
    <s v="Gigawattstunde"/>
    <x v="12"/>
    <x v="7"/>
    <n v="10644"/>
  </r>
  <r>
    <x v="27"/>
    <s v="Endenergieverbrauch - Industriesektor - Nahrungsmittel, Getränke und Tabak - energetischer Verbrauch"/>
    <s v="Elektrizität"/>
    <s v="Gigawattstunde"/>
    <x v="13"/>
    <x v="7"/>
    <n v="10778.108"/>
  </r>
  <r>
    <x v="27"/>
    <s v="Endenergieverbrauch - Industriesektor - Nahrungsmittel, Getränke und Tabak - energetischer Verbrauch"/>
    <s v="Elektrizität"/>
    <s v="Gigawattstunde"/>
    <x v="14"/>
    <x v="7"/>
    <n v="10959.531000000001"/>
  </r>
  <r>
    <x v="27"/>
    <s v="Endenergieverbrauch - Industriesektor - Nahrungsmittel, Getränke und Tabak - energetischer Verbrauch"/>
    <s v="Elektrizität"/>
    <s v="Gigawattstunde"/>
    <x v="15"/>
    <x v="7"/>
    <n v="11056.885"/>
  </r>
  <r>
    <x v="27"/>
    <s v="Endenergieverbrauch - Industriesektor - Nahrungsmittel, Getränke und Tabak - energetischer Verbrauch"/>
    <s v="Elektrizität"/>
    <s v="Gigawattstunde"/>
    <x v="16"/>
    <x v="7"/>
    <n v="11818.438"/>
  </r>
  <r>
    <x v="28"/>
    <s v="Endenergieverbrauch - Industriesektor - Nahrungsmittel, Getränke und Tabak - energetischer Verbrauch"/>
    <s v="Elektrizität"/>
    <s v="Gigawattstunde"/>
    <x v="0"/>
    <x v="7"/>
    <n v="428"/>
  </r>
  <r>
    <x v="28"/>
    <s v="Endenergieverbrauch - Industriesektor - Nahrungsmittel, Getränke und Tabak - energetischer Verbrauch"/>
    <s v="Elektrizität"/>
    <s v="Gigawattstunde"/>
    <x v="1"/>
    <x v="7"/>
    <n v="478"/>
  </r>
  <r>
    <x v="28"/>
    <s v="Endenergieverbrauch - Industriesektor - Nahrungsmittel, Getränke und Tabak - energetischer Verbrauch"/>
    <s v="Elektrizität"/>
    <s v="Gigawattstunde"/>
    <x v="2"/>
    <x v="7"/>
    <n v="466"/>
  </r>
  <r>
    <x v="28"/>
    <s v="Endenergieverbrauch - Industriesektor - Nahrungsmittel, Getränke und Tabak - energetischer Verbrauch"/>
    <s v="Elektrizität"/>
    <s v="Gigawattstunde"/>
    <x v="3"/>
    <x v="7"/>
    <n v="442"/>
  </r>
  <r>
    <x v="28"/>
    <s v="Endenergieverbrauch - Industriesektor - Nahrungsmittel, Getränke und Tabak - energetischer Verbrauch"/>
    <s v="Elektrizität"/>
    <s v="Gigawattstunde"/>
    <x v="4"/>
    <x v="7"/>
    <n v="433"/>
  </r>
  <r>
    <x v="28"/>
    <s v="Endenergieverbrauch - Industriesektor - Nahrungsmittel, Getränke und Tabak - energetischer Verbrauch"/>
    <s v="Elektrizität"/>
    <s v="Gigawattstunde"/>
    <x v="5"/>
    <x v="7"/>
    <n v="393"/>
  </r>
  <r>
    <x v="28"/>
    <s v="Endenergieverbrauch - Industriesektor - Nahrungsmittel, Getränke und Tabak - energetischer Verbrauch"/>
    <s v="Elektrizität"/>
    <s v="Gigawattstunde"/>
    <x v="6"/>
    <x v="7"/>
    <n v="405"/>
  </r>
  <r>
    <x v="28"/>
    <s v="Endenergieverbrauch - Industriesektor - Nahrungsmittel, Getränke und Tabak - energetischer Verbrauch"/>
    <s v="Elektrizität"/>
    <s v="Gigawattstunde"/>
    <x v="7"/>
    <x v="7"/>
    <n v="410"/>
  </r>
  <r>
    <x v="28"/>
    <s v="Endenergieverbrauch - Industriesektor - Nahrungsmittel, Getränke und Tabak - energetischer Verbrauch"/>
    <s v="Elektrizität"/>
    <s v="Gigawattstunde"/>
    <x v="8"/>
    <x v="7"/>
    <n v="408"/>
  </r>
  <r>
    <x v="28"/>
    <s v="Endenergieverbrauch - Industriesektor - Nahrungsmittel, Getränke und Tabak - energetischer Verbrauch"/>
    <s v="Elektrizität"/>
    <s v="Gigawattstunde"/>
    <x v="9"/>
    <x v="7"/>
    <n v="433"/>
  </r>
  <r>
    <x v="28"/>
    <s v="Endenergieverbrauch - Industriesektor - Nahrungsmittel, Getränke und Tabak - energetischer Verbrauch"/>
    <s v="Elektrizität"/>
    <s v="Gigawattstunde"/>
    <x v="10"/>
    <x v="7"/>
    <n v="499"/>
  </r>
  <r>
    <x v="28"/>
    <s v="Endenergieverbrauch - Industriesektor - Nahrungsmittel, Getränke und Tabak - energetischer Verbrauch"/>
    <s v="Elektrizität"/>
    <s v="Gigawattstunde"/>
    <x v="11"/>
    <x v="7"/>
    <n v="532"/>
  </r>
  <r>
    <x v="28"/>
    <s v="Endenergieverbrauch - Industriesektor - Nahrungsmittel, Getränke und Tabak - energetischer Verbrauch"/>
    <s v="Elektrizität"/>
    <s v="Gigawattstunde"/>
    <x v="12"/>
    <x v="7"/>
    <n v="520"/>
  </r>
  <r>
    <x v="28"/>
    <s v="Endenergieverbrauch - Industriesektor - Nahrungsmittel, Getränke und Tabak - energetischer Verbrauch"/>
    <s v="Elektrizität"/>
    <s v="Gigawattstunde"/>
    <x v="13"/>
    <x v="7"/>
    <n v="622"/>
  </r>
  <r>
    <x v="28"/>
    <s v="Endenergieverbrauch - Industriesektor - Nahrungsmittel, Getränke und Tabak - energetischer Verbrauch"/>
    <s v="Elektrizität"/>
    <s v="Gigawattstunde"/>
    <x v="14"/>
    <x v="7"/>
    <n v="493"/>
  </r>
  <r>
    <x v="28"/>
    <s v="Endenergieverbrauch - Industriesektor - Nahrungsmittel, Getränke und Tabak - energetischer Verbrauch"/>
    <s v="Elektrizität"/>
    <s v="Gigawattstunde"/>
    <x v="15"/>
    <x v="7"/>
    <n v="574.86599999999999"/>
  </r>
  <r>
    <x v="28"/>
    <s v="Endenergieverbrauch - Industriesektor - Nahrungsmittel, Getränke und Tabak - energetischer Verbrauch"/>
    <s v="Elektrizität"/>
    <s v="Gigawattstunde"/>
    <x v="16"/>
    <x v="7"/>
    <n v="625.37199999999996"/>
  </r>
  <r>
    <x v="29"/>
    <s v="Endenergieverbrauch - Industriesektor - Nahrungsmittel, Getränke und Tabak - energetischer Verbrauch"/>
    <s v="Elektrizität"/>
    <s v="Gigawattstunde"/>
    <x v="0"/>
    <x v="7"/>
    <n v="2920"/>
  </r>
  <r>
    <x v="29"/>
    <s v="Endenergieverbrauch - Industriesektor - Nahrungsmittel, Getränke und Tabak - energetischer Verbrauch"/>
    <s v="Elektrizität"/>
    <s v="Gigawattstunde"/>
    <x v="1"/>
    <x v="7"/>
    <n v="2743"/>
  </r>
  <r>
    <x v="29"/>
    <s v="Endenergieverbrauch - Industriesektor - Nahrungsmittel, Getränke und Tabak - energetischer Verbrauch"/>
    <s v="Elektrizität"/>
    <s v="Gigawattstunde"/>
    <x v="2"/>
    <x v="7"/>
    <n v="2956"/>
  </r>
  <r>
    <x v="29"/>
    <s v="Endenergieverbrauch - Industriesektor - Nahrungsmittel, Getränke und Tabak - energetischer Verbrauch"/>
    <s v="Elektrizität"/>
    <s v="Gigawattstunde"/>
    <x v="3"/>
    <x v="7"/>
    <n v="2811"/>
  </r>
  <r>
    <x v="29"/>
    <s v="Endenergieverbrauch - Industriesektor - Nahrungsmittel, Getränke und Tabak - energetischer Verbrauch"/>
    <s v="Elektrizität"/>
    <s v="Gigawattstunde"/>
    <x v="4"/>
    <x v="7"/>
    <n v="2811"/>
  </r>
  <r>
    <x v="29"/>
    <s v="Endenergieverbrauch - Industriesektor - Nahrungsmittel, Getränke und Tabak - energetischer Verbrauch"/>
    <s v="Elektrizität"/>
    <s v="Gigawattstunde"/>
    <x v="5"/>
    <x v="7"/>
    <n v="2800"/>
  </r>
  <r>
    <x v="29"/>
    <s v="Endenergieverbrauch - Industriesektor - Nahrungsmittel, Getränke und Tabak - energetischer Verbrauch"/>
    <s v="Elektrizität"/>
    <s v="Gigawattstunde"/>
    <x v="6"/>
    <x v="7"/>
    <n v="2886"/>
  </r>
  <r>
    <x v="29"/>
    <s v="Endenergieverbrauch - Industriesektor - Nahrungsmittel, Getränke und Tabak - energetischer Verbrauch"/>
    <s v="Elektrizität"/>
    <s v="Gigawattstunde"/>
    <x v="7"/>
    <x v="7"/>
    <n v="2503"/>
  </r>
  <r>
    <x v="29"/>
    <s v="Endenergieverbrauch - Industriesektor - Nahrungsmittel, Getränke und Tabak - energetischer Verbrauch"/>
    <s v="Elektrizität"/>
    <s v="Gigawattstunde"/>
    <x v="8"/>
    <x v="7"/>
    <n v="2716"/>
  </r>
  <r>
    <x v="29"/>
    <s v="Endenergieverbrauch - Industriesektor - Nahrungsmittel, Getränke und Tabak - energetischer Verbrauch"/>
    <s v="Elektrizität"/>
    <s v="Gigawattstunde"/>
    <x v="9"/>
    <x v="7"/>
    <n v="2638"/>
  </r>
  <r>
    <x v="29"/>
    <s v="Endenergieverbrauch - Industriesektor - Nahrungsmittel, Getränke und Tabak - energetischer Verbrauch"/>
    <s v="Elektrizität"/>
    <s v="Gigawattstunde"/>
    <x v="10"/>
    <x v="7"/>
    <n v="2518"/>
  </r>
  <r>
    <x v="29"/>
    <s v="Endenergieverbrauch - Industriesektor - Nahrungsmittel, Getränke und Tabak - energetischer Verbrauch"/>
    <s v="Elektrizität"/>
    <s v="Gigawattstunde"/>
    <x v="11"/>
    <x v="7"/>
    <n v="2596"/>
  </r>
  <r>
    <x v="29"/>
    <s v="Endenergieverbrauch - Industriesektor - Nahrungsmittel, Getränke und Tabak - energetischer Verbrauch"/>
    <s v="Elektrizität"/>
    <s v="Gigawattstunde"/>
    <x v="12"/>
    <x v="7"/>
    <n v="2645"/>
  </r>
  <r>
    <x v="29"/>
    <s v="Endenergieverbrauch - Industriesektor - Nahrungsmittel, Getränke und Tabak - energetischer Verbrauch"/>
    <s v="Elektrizität"/>
    <s v="Gigawattstunde"/>
    <x v="13"/>
    <x v="7"/>
    <n v="2696"/>
  </r>
  <r>
    <x v="29"/>
    <s v="Endenergieverbrauch - Industriesektor - Nahrungsmittel, Getränke und Tabak - energetischer Verbrauch"/>
    <s v="Elektrizität"/>
    <s v="Gigawattstunde"/>
    <x v="14"/>
    <x v="7"/>
    <n v="2895"/>
  </r>
  <r>
    <x v="29"/>
    <s v="Endenergieverbrauch - Industriesektor - Nahrungsmittel, Getränke und Tabak - energetischer Verbrauch"/>
    <s v="Elektrizität"/>
    <s v="Gigawattstunde"/>
    <x v="15"/>
    <x v="7"/>
    <n v="2965"/>
  </r>
  <r>
    <x v="29"/>
    <s v="Endenergieverbrauch - Industriesektor - Nahrungsmittel, Getränke und Tabak - energetischer Verbrauch"/>
    <s v="Elektrizität"/>
    <s v="Gigawattstunde"/>
    <x v="16"/>
    <x v="7"/>
    <n v="2985.0650000000001"/>
  </r>
  <r>
    <x v="30"/>
    <s v="Endenergieverbrauch - Industriesektor - Nahrungsmittel, Getränke und Tabak - energetischer Verbrauch"/>
    <s v="Elektrizität"/>
    <s v="Gigawattstunde"/>
    <x v="0"/>
    <x v="7"/>
    <n v="0"/>
  </r>
  <r>
    <x v="30"/>
    <s v="Endenergieverbrauch - Industriesektor - Nahrungsmittel, Getränke und Tabak - energetischer Verbrauch"/>
    <s v="Elektrizität"/>
    <s v="Gigawattstunde"/>
    <x v="1"/>
    <x v="7"/>
    <n v="0"/>
  </r>
  <r>
    <x v="30"/>
    <s v="Endenergieverbrauch - Industriesektor - Nahrungsmittel, Getränke und Tabak - energetischer Verbrauch"/>
    <s v="Elektrizität"/>
    <s v="Gigawattstunde"/>
    <x v="2"/>
    <x v="7"/>
    <n v="835"/>
  </r>
  <r>
    <x v="30"/>
    <s v="Endenergieverbrauch - Industriesektor - Nahrungsmittel, Getränke und Tabak - energetischer Verbrauch"/>
    <s v="Elektrizität"/>
    <s v="Gigawattstunde"/>
    <x v="3"/>
    <x v="7"/>
    <n v="872"/>
  </r>
  <r>
    <x v="30"/>
    <s v="Endenergieverbrauch - Industriesektor - Nahrungsmittel, Getränke und Tabak - energetischer Verbrauch"/>
    <s v="Elektrizität"/>
    <s v="Gigawattstunde"/>
    <x v="4"/>
    <x v="7"/>
    <n v="1074"/>
  </r>
  <r>
    <x v="30"/>
    <s v="Endenergieverbrauch - Industriesektor - Nahrungsmittel, Getränke und Tabak - energetischer Verbrauch"/>
    <s v="Elektrizität"/>
    <s v="Gigawattstunde"/>
    <x v="5"/>
    <x v="7"/>
    <n v="1274"/>
  </r>
  <r>
    <x v="30"/>
    <s v="Endenergieverbrauch - Industriesektor - Nahrungsmittel, Getränke und Tabak - energetischer Verbrauch"/>
    <s v="Elektrizität"/>
    <s v="Gigawattstunde"/>
    <x v="6"/>
    <x v="7"/>
    <n v="1039"/>
  </r>
  <r>
    <x v="30"/>
    <s v="Endenergieverbrauch - Industriesektor - Nahrungsmittel, Getränke und Tabak - energetischer Verbrauch"/>
    <s v="Elektrizität"/>
    <s v="Gigawattstunde"/>
    <x v="7"/>
    <x v="7"/>
    <n v="845"/>
  </r>
  <r>
    <x v="30"/>
    <s v="Endenergieverbrauch - Industriesektor - Nahrungsmittel, Getränke und Tabak - energetischer Verbrauch"/>
    <s v="Elektrizität"/>
    <s v="Gigawattstunde"/>
    <x v="8"/>
    <x v="7"/>
    <n v="1099"/>
  </r>
  <r>
    <x v="30"/>
    <s v="Endenergieverbrauch - Industriesektor - Nahrungsmittel, Getränke und Tabak - energetischer Verbrauch"/>
    <s v="Elektrizität"/>
    <s v="Gigawattstunde"/>
    <x v="9"/>
    <x v="7"/>
    <n v="1199"/>
  </r>
  <r>
    <x v="30"/>
    <s v="Endenergieverbrauch - Industriesektor - Nahrungsmittel, Getränke und Tabak - energetischer Verbrauch"/>
    <s v="Elektrizität"/>
    <s v="Gigawattstunde"/>
    <x v="10"/>
    <x v="7"/>
    <n v="1303"/>
  </r>
  <r>
    <x v="30"/>
    <s v="Endenergieverbrauch - Industriesektor - Nahrungsmittel, Getränke und Tabak - energetischer Verbrauch"/>
    <s v="Elektrizität"/>
    <s v="Gigawattstunde"/>
    <x v="11"/>
    <x v="7"/>
    <n v="1461"/>
  </r>
  <r>
    <x v="30"/>
    <s v="Endenergieverbrauch - Industriesektor - Nahrungsmittel, Getränke und Tabak - energetischer Verbrauch"/>
    <s v="Elektrizität"/>
    <s v="Gigawattstunde"/>
    <x v="12"/>
    <x v="7"/>
    <n v="1431"/>
  </r>
  <r>
    <x v="30"/>
    <s v="Endenergieverbrauch - Industriesektor - Nahrungsmittel, Getränke und Tabak - energetischer Verbrauch"/>
    <s v="Elektrizität"/>
    <s v="Gigawattstunde"/>
    <x v="13"/>
    <x v="7"/>
    <n v="1522"/>
  </r>
  <r>
    <x v="30"/>
    <s v="Endenergieverbrauch - Industriesektor - Nahrungsmittel, Getränke und Tabak - energetischer Verbrauch"/>
    <s v="Elektrizität"/>
    <s v="Gigawattstunde"/>
    <x v="14"/>
    <x v="7"/>
    <n v="1548"/>
  </r>
  <r>
    <x v="30"/>
    <s v="Endenergieverbrauch - Industriesektor - Nahrungsmittel, Getränke und Tabak - energetischer Verbrauch"/>
    <s v="Elektrizität"/>
    <s v="Gigawattstunde"/>
    <x v="15"/>
    <x v="7"/>
    <n v="1625.327"/>
  </r>
  <r>
    <x v="30"/>
    <s v="Endenergieverbrauch - Industriesektor - Nahrungsmittel, Getränke und Tabak - energetischer Verbrauch"/>
    <s v="Elektrizität"/>
    <s v="Gigawattstunde"/>
    <x v="16"/>
    <x v="7"/>
    <n v="1596.953"/>
  </r>
  <r>
    <x v="0"/>
    <s v="Endenergieverbrauch - Industriesektor - nicht anders angegeben - energetischer Verbrauch"/>
    <s v="Elektrizität"/>
    <s v="Gigawattstunde"/>
    <x v="0"/>
    <x v="8"/>
    <n v="1842"/>
  </r>
  <r>
    <x v="0"/>
    <s v="Endenergieverbrauch - Industriesektor - nicht anders angegeben - energetischer Verbrauch"/>
    <s v="Elektrizität"/>
    <s v="Gigawattstunde"/>
    <x v="1"/>
    <x v="8"/>
    <n v="1933"/>
  </r>
  <r>
    <x v="0"/>
    <s v="Endenergieverbrauch - Industriesektor - nicht anders angegeben - energetischer Verbrauch"/>
    <s v="Elektrizität"/>
    <s v="Gigawattstunde"/>
    <x v="2"/>
    <x v="8"/>
    <n v="1807"/>
  </r>
  <r>
    <x v="0"/>
    <s v="Endenergieverbrauch - Industriesektor - nicht anders angegeben - energetischer Verbrauch"/>
    <s v="Elektrizität"/>
    <s v="Gigawattstunde"/>
    <x v="3"/>
    <x v="8"/>
    <n v="1801"/>
  </r>
  <r>
    <x v="0"/>
    <s v="Endenergieverbrauch - Industriesektor - nicht anders angegeben - energetischer Verbrauch"/>
    <s v="Elektrizität"/>
    <s v="Gigawattstunde"/>
    <x v="4"/>
    <x v="8"/>
    <n v="1543"/>
  </r>
  <r>
    <x v="0"/>
    <s v="Endenergieverbrauch - Industriesektor - nicht anders angegeben - energetischer Verbrauch"/>
    <s v="Elektrizität"/>
    <s v="Gigawattstunde"/>
    <x v="5"/>
    <x v="8"/>
    <n v="288"/>
  </r>
  <r>
    <x v="0"/>
    <s v="Endenergieverbrauch - Industriesektor - nicht anders angegeben - energetischer Verbrauch"/>
    <s v="Elektrizität"/>
    <s v="Gigawattstunde"/>
    <x v="6"/>
    <x v="8"/>
    <n v="843"/>
  </r>
  <r>
    <x v="0"/>
    <s v="Endenergieverbrauch - Industriesektor - nicht anders angegeben - energetischer Verbrauch"/>
    <s v="Elektrizität"/>
    <s v="Gigawattstunde"/>
    <x v="7"/>
    <x v="8"/>
    <n v="1766"/>
  </r>
  <r>
    <x v="0"/>
    <s v="Endenergieverbrauch - Industriesektor - nicht anders angegeben - energetischer Verbrauch"/>
    <s v="Elektrizität"/>
    <s v="Gigawattstunde"/>
    <x v="8"/>
    <x v="8"/>
    <n v="1026"/>
  </r>
  <r>
    <x v="0"/>
    <s v="Endenergieverbrauch - Industriesektor - nicht anders angegeben - energetischer Verbrauch"/>
    <s v="Elektrizität"/>
    <s v="Gigawattstunde"/>
    <x v="9"/>
    <x v="8"/>
    <n v="1709"/>
  </r>
  <r>
    <x v="0"/>
    <s v="Endenergieverbrauch - Industriesektor - nicht anders angegeben - energetischer Verbrauch"/>
    <s v="Elektrizität"/>
    <s v="Gigawattstunde"/>
    <x v="10"/>
    <x v="8"/>
    <n v="1581"/>
  </r>
  <r>
    <x v="0"/>
    <s v="Endenergieverbrauch - Industriesektor - nicht anders angegeben - energetischer Verbrauch"/>
    <s v="Elektrizität"/>
    <s v="Gigawattstunde"/>
    <x v="11"/>
    <x v="8"/>
    <n v="2059"/>
  </r>
  <r>
    <x v="0"/>
    <s v="Endenergieverbrauch - Industriesektor - nicht anders angegeben - energetischer Verbrauch"/>
    <s v="Elektrizität"/>
    <s v="Gigawattstunde"/>
    <x v="12"/>
    <x v="8"/>
    <n v="2026.3"/>
  </r>
  <r>
    <x v="0"/>
    <s v="Endenergieverbrauch - Industriesektor - nicht anders angegeben - energetischer Verbrauch"/>
    <s v="Elektrizität"/>
    <s v="Gigawattstunde"/>
    <x v="13"/>
    <x v="8"/>
    <n v="2093.1"/>
  </r>
  <r>
    <x v="0"/>
    <s v="Endenergieverbrauch - Industriesektor - nicht anders angegeben - energetischer Verbrauch"/>
    <s v="Elektrizität"/>
    <s v="Gigawattstunde"/>
    <x v="14"/>
    <x v="8"/>
    <n v="2109.6999999999998"/>
  </r>
  <r>
    <x v="0"/>
    <s v="Endenergieverbrauch - Industriesektor - nicht anders angegeben - energetischer Verbrauch"/>
    <s v="Elektrizität"/>
    <s v="Gigawattstunde"/>
    <x v="15"/>
    <x v="8"/>
    <n v="1760.7"/>
  </r>
  <r>
    <x v="0"/>
    <s v="Endenergieverbrauch - Industriesektor - nicht anders angegeben - energetischer Verbrauch"/>
    <s v="Elektrizität"/>
    <s v="Gigawattstunde"/>
    <x v="16"/>
    <x v="8"/>
    <n v="1866.9"/>
  </r>
  <r>
    <x v="1"/>
    <s v="Endenergieverbrauch - Industriesektor - nicht anders angegeben - energetischer Verbrauch"/>
    <s v="Elektrizität"/>
    <s v="Gigawattstunde"/>
    <x v="0"/>
    <x v="8"/>
    <n v="240"/>
  </r>
  <r>
    <x v="1"/>
    <s v="Endenergieverbrauch - Industriesektor - nicht anders angegeben - energetischer Verbrauch"/>
    <s v="Elektrizität"/>
    <s v="Gigawattstunde"/>
    <x v="1"/>
    <x v="8"/>
    <n v="359"/>
  </r>
  <r>
    <x v="1"/>
    <s v="Endenergieverbrauch - Industriesektor - nicht anders angegeben - energetischer Verbrauch"/>
    <s v="Elektrizität"/>
    <s v="Gigawattstunde"/>
    <x v="2"/>
    <x v="8"/>
    <n v="412"/>
  </r>
  <r>
    <x v="1"/>
    <s v="Endenergieverbrauch - Industriesektor - nicht anders angegeben - energetischer Verbrauch"/>
    <s v="Elektrizität"/>
    <s v="Gigawattstunde"/>
    <x v="3"/>
    <x v="8"/>
    <n v="406"/>
  </r>
  <r>
    <x v="1"/>
    <s v="Endenergieverbrauch - Industriesektor - nicht anders angegeben - energetischer Verbrauch"/>
    <s v="Elektrizität"/>
    <s v="Gigawattstunde"/>
    <x v="4"/>
    <x v="8"/>
    <n v="417"/>
  </r>
  <r>
    <x v="1"/>
    <s v="Endenergieverbrauch - Industriesektor - nicht anders angegeben - energetischer Verbrauch"/>
    <s v="Elektrizität"/>
    <s v="Gigawattstunde"/>
    <x v="5"/>
    <x v="8"/>
    <n v="423"/>
  </r>
  <r>
    <x v="1"/>
    <s v="Endenergieverbrauch - Industriesektor - nicht anders angegeben - energetischer Verbrauch"/>
    <s v="Elektrizität"/>
    <s v="Gigawattstunde"/>
    <x v="6"/>
    <x v="8"/>
    <n v="524"/>
  </r>
  <r>
    <x v="1"/>
    <s v="Endenergieverbrauch - Industriesektor - nicht anders angegeben - energetischer Verbrauch"/>
    <s v="Elektrizität"/>
    <s v="Gigawattstunde"/>
    <x v="7"/>
    <x v="8"/>
    <n v="431"/>
  </r>
  <r>
    <x v="1"/>
    <s v="Endenergieverbrauch - Industriesektor - nicht anders angegeben - energetischer Verbrauch"/>
    <s v="Elektrizität"/>
    <s v="Gigawattstunde"/>
    <x v="8"/>
    <x v="8"/>
    <n v="409"/>
  </r>
  <r>
    <x v="1"/>
    <s v="Endenergieverbrauch - Industriesektor - nicht anders angegeben - energetischer Verbrauch"/>
    <s v="Elektrizität"/>
    <s v="Gigawattstunde"/>
    <x v="9"/>
    <x v="8"/>
    <n v="477"/>
  </r>
  <r>
    <x v="1"/>
    <s v="Endenergieverbrauch - Industriesektor - nicht anders angegeben - energetischer Verbrauch"/>
    <s v="Elektrizität"/>
    <s v="Gigawattstunde"/>
    <x v="10"/>
    <x v="8"/>
    <n v="523"/>
  </r>
  <r>
    <x v="1"/>
    <s v="Endenergieverbrauch - Industriesektor - nicht anders angegeben - energetischer Verbrauch"/>
    <s v="Elektrizität"/>
    <s v="Gigawattstunde"/>
    <x v="11"/>
    <x v="8"/>
    <n v="512"/>
  </r>
  <r>
    <x v="1"/>
    <s v="Endenergieverbrauch - Industriesektor - nicht anders angegeben - energetischer Verbrauch"/>
    <s v="Elektrizität"/>
    <s v="Gigawattstunde"/>
    <x v="12"/>
    <x v="8"/>
    <n v="555"/>
  </r>
  <r>
    <x v="1"/>
    <s v="Endenergieverbrauch - Industriesektor - nicht anders angegeben - energetischer Verbrauch"/>
    <s v="Elektrizität"/>
    <s v="Gigawattstunde"/>
    <x v="13"/>
    <x v="8"/>
    <n v="595"/>
  </r>
  <r>
    <x v="1"/>
    <s v="Endenergieverbrauch - Industriesektor - nicht anders angegeben - energetischer Verbrauch"/>
    <s v="Elektrizität"/>
    <s v="Gigawattstunde"/>
    <x v="14"/>
    <x v="8"/>
    <n v="609"/>
  </r>
  <r>
    <x v="1"/>
    <s v="Endenergieverbrauch - Industriesektor - nicht anders angegeben - energetischer Verbrauch"/>
    <s v="Elektrizität"/>
    <s v="Gigawattstunde"/>
    <x v="15"/>
    <x v="8"/>
    <n v="686.31299999999999"/>
  </r>
  <r>
    <x v="1"/>
    <s v="Endenergieverbrauch - Industriesektor - nicht anders angegeben - energetischer Verbrauch"/>
    <s v="Elektrizität"/>
    <s v="Gigawattstunde"/>
    <x v="16"/>
    <x v="8"/>
    <n v="715.28200000000004"/>
  </r>
  <r>
    <x v="2"/>
    <s v="Endenergieverbrauch - Industriesektor - nicht anders angegeben - energetischer Verbrauch"/>
    <s v="Elektrizität"/>
    <s v="Gigawattstunde"/>
    <x v="0"/>
    <x v="8"/>
    <n v="1944"/>
  </r>
  <r>
    <x v="2"/>
    <s v="Endenergieverbrauch - Industriesektor - nicht anders angegeben - energetischer Verbrauch"/>
    <s v="Elektrizität"/>
    <s v="Gigawattstunde"/>
    <x v="1"/>
    <x v="8"/>
    <n v="2014"/>
  </r>
  <r>
    <x v="2"/>
    <s v="Endenergieverbrauch - Industriesektor - nicht anders angegeben - energetischer Verbrauch"/>
    <s v="Elektrizität"/>
    <s v="Gigawattstunde"/>
    <x v="2"/>
    <x v="8"/>
    <n v="2079"/>
  </r>
  <r>
    <x v="2"/>
    <s v="Endenergieverbrauch - Industriesektor - nicht anders angegeben - energetischer Verbrauch"/>
    <s v="Elektrizität"/>
    <s v="Gigawattstunde"/>
    <x v="3"/>
    <x v="8"/>
    <n v="2206"/>
  </r>
  <r>
    <x v="2"/>
    <s v="Endenergieverbrauch - Industriesektor - nicht anders angegeben - energetischer Verbrauch"/>
    <s v="Elektrizität"/>
    <s v="Gigawattstunde"/>
    <x v="4"/>
    <x v="8"/>
    <n v="2453"/>
  </r>
  <r>
    <x v="2"/>
    <s v="Endenergieverbrauch - Industriesektor - nicht anders angegeben - energetischer Verbrauch"/>
    <s v="Elektrizität"/>
    <s v="Gigawattstunde"/>
    <x v="5"/>
    <x v="8"/>
    <n v="2658"/>
  </r>
  <r>
    <x v="2"/>
    <s v="Endenergieverbrauch - Industriesektor - nicht anders angegeben - energetischer Verbrauch"/>
    <s v="Elektrizität"/>
    <s v="Gigawattstunde"/>
    <x v="6"/>
    <x v="8"/>
    <n v="2467"/>
  </r>
  <r>
    <x v="2"/>
    <s v="Endenergieverbrauch - Industriesektor - nicht anders angegeben - energetischer Verbrauch"/>
    <s v="Elektrizität"/>
    <s v="Gigawattstunde"/>
    <x v="7"/>
    <x v="8"/>
    <n v="2432"/>
  </r>
  <r>
    <x v="2"/>
    <s v="Endenergieverbrauch - Industriesektor - nicht anders angegeben - energetischer Verbrauch"/>
    <s v="Elektrizität"/>
    <s v="Gigawattstunde"/>
    <x v="8"/>
    <x v="8"/>
    <n v="1918"/>
  </r>
  <r>
    <x v="2"/>
    <s v="Endenergieverbrauch - Industriesektor - nicht anders angegeben - energetischer Verbrauch"/>
    <s v="Elektrizität"/>
    <s v="Gigawattstunde"/>
    <x v="9"/>
    <x v="8"/>
    <n v="1911"/>
  </r>
  <r>
    <x v="2"/>
    <s v="Endenergieverbrauch - Industriesektor - nicht anders angegeben - energetischer Verbrauch"/>
    <s v="Elektrizität"/>
    <s v="Gigawattstunde"/>
    <x v="10"/>
    <x v="8"/>
    <n v="1998"/>
  </r>
  <r>
    <x v="2"/>
    <s v="Endenergieverbrauch - Industriesektor - nicht anders angegeben - energetischer Verbrauch"/>
    <s v="Elektrizität"/>
    <s v="Gigawattstunde"/>
    <x v="11"/>
    <x v="8"/>
    <n v="1918"/>
  </r>
  <r>
    <x v="2"/>
    <s v="Endenergieverbrauch - Industriesektor - nicht anders angegeben - energetischer Verbrauch"/>
    <s v="Elektrizität"/>
    <s v="Gigawattstunde"/>
    <x v="12"/>
    <x v="8"/>
    <n v="1972"/>
  </r>
  <r>
    <x v="2"/>
    <s v="Endenergieverbrauch - Industriesektor - nicht anders angegeben - energetischer Verbrauch"/>
    <s v="Elektrizität"/>
    <s v="Gigawattstunde"/>
    <x v="13"/>
    <x v="8"/>
    <n v="2031"/>
  </r>
  <r>
    <x v="2"/>
    <s v="Endenergieverbrauch - Industriesektor - nicht anders angegeben - energetischer Verbrauch"/>
    <s v="Elektrizität"/>
    <s v="Gigawattstunde"/>
    <x v="14"/>
    <x v="8"/>
    <n v="2217"/>
  </r>
  <r>
    <x v="2"/>
    <s v="Endenergieverbrauch - Industriesektor - nicht anders angegeben - energetischer Verbrauch"/>
    <s v="Elektrizität"/>
    <s v="Gigawattstunde"/>
    <x v="15"/>
    <x v="8"/>
    <n v="2297.6320000000001"/>
  </r>
  <r>
    <x v="2"/>
    <s v="Endenergieverbrauch - Industriesektor - nicht anders angegeben - energetischer Verbrauch"/>
    <s v="Elektrizität"/>
    <s v="Gigawattstunde"/>
    <x v="16"/>
    <x v="8"/>
    <n v="2371.5520000000001"/>
  </r>
  <r>
    <x v="3"/>
    <s v="Endenergieverbrauch - Industriesektor - nicht anders angegeben - energetischer Verbrauch"/>
    <s v="Elektrizität"/>
    <s v="Gigawattstunde"/>
    <x v="0"/>
    <x v="8"/>
    <n v="1225"/>
  </r>
  <r>
    <x v="3"/>
    <s v="Endenergieverbrauch - Industriesektor - nicht anders angegeben - energetischer Verbrauch"/>
    <s v="Elektrizität"/>
    <s v="Gigawattstunde"/>
    <x v="1"/>
    <x v="8"/>
    <n v="1339"/>
  </r>
  <r>
    <x v="3"/>
    <s v="Endenergieverbrauch - Industriesektor - nicht anders angegeben - energetischer Verbrauch"/>
    <s v="Elektrizität"/>
    <s v="Gigawattstunde"/>
    <x v="2"/>
    <x v="8"/>
    <n v="1392"/>
  </r>
  <r>
    <x v="3"/>
    <s v="Endenergieverbrauch - Industriesektor - nicht anders angegeben - energetischer Verbrauch"/>
    <s v="Elektrizität"/>
    <s v="Gigawattstunde"/>
    <x v="3"/>
    <x v="8"/>
    <n v="1431"/>
  </r>
  <r>
    <x v="3"/>
    <s v="Endenergieverbrauch - Industriesektor - nicht anders angegeben - energetischer Verbrauch"/>
    <s v="Elektrizität"/>
    <s v="Gigawattstunde"/>
    <x v="4"/>
    <x v="8"/>
    <n v="1353"/>
  </r>
  <r>
    <x v="3"/>
    <s v="Endenergieverbrauch - Industriesektor - nicht anders angegeben - energetischer Verbrauch"/>
    <s v="Elektrizität"/>
    <s v="Gigawattstunde"/>
    <x v="5"/>
    <x v="8"/>
    <n v="1216"/>
  </r>
  <r>
    <x v="3"/>
    <s v="Endenergieverbrauch - Industriesektor - nicht anders angegeben - energetischer Verbrauch"/>
    <s v="Elektrizität"/>
    <s v="Gigawattstunde"/>
    <x v="6"/>
    <x v="8"/>
    <n v="1111"/>
  </r>
  <r>
    <x v="3"/>
    <s v="Endenergieverbrauch - Industriesektor - nicht anders angegeben - energetischer Verbrauch"/>
    <s v="Elektrizität"/>
    <s v="Gigawattstunde"/>
    <x v="7"/>
    <x v="8"/>
    <n v="939"/>
  </r>
  <r>
    <x v="3"/>
    <s v="Endenergieverbrauch - Industriesektor - nicht anders angegeben - energetischer Verbrauch"/>
    <s v="Elektrizität"/>
    <s v="Gigawattstunde"/>
    <x v="8"/>
    <x v="8"/>
    <n v="956"/>
  </r>
  <r>
    <x v="3"/>
    <s v="Endenergieverbrauch - Industriesektor - nicht anders angegeben - energetischer Verbrauch"/>
    <s v="Elektrizität"/>
    <s v="Gigawattstunde"/>
    <x v="9"/>
    <x v="8"/>
    <n v="946"/>
  </r>
  <r>
    <x v="3"/>
    <s v="Endenergieverbrauch - Industriesektor - nicht anders angegeben - energetischer Verbrauch"/>
    <s v="Elektrizität"/>
    <s v="Gigawattstunde"/>
    <x v="10"/>
    <x v="8"/>
    <n v="853"/>
  </r>
  <r>
    <x v="3"/>
    <s v="Endenergieverbrauch - Industriesektor - nicht anders angegeben - energetischer Verbrauch"/>
    <s v="Elektrizität"/>
    <s v="Gigawattstunde"/>
    <x v="11"/>
    <x v="8"/>
    <n v="835"/>
  </r>
  <r>
    <x v="3"/>
    <s v="Endenergieverbrauch - Industriesektor - nicht anders angegeben - energetischer Verbrauch"/>
    <s v="Elektrizität"/>
    <s v="Gigawattstunde"/>
    <x v="12"/>
    <x v="8"/>
    <n v="810"/>
  </r>
  <r>
    <x v="3"/>
    <s v="Endenergieverbrauch - Industriesektor - nicht anders angegeben - energetischer Verbrauch"/>
    <s v="Elektrizität"/>
    <s v="Gigawattstunde"/>
    <x v="13"/>
    <x v="8"/>
    <n v="835.81299999999999"/>
  </r>
  <r>
    <x v="3"/>
    <s v="Endenergieverbrauch - Industriesektor - nicht anders angegeben - energetischer Verbrauch"/>
    <s v="Elektrizität"/>
    <s v="Gigawattstunde"/>
    <x v="14"/>
    <x v="8"/>
    <n v="825.5"/>
  </r>
  <r>
    <x v="3"/>
    <s v="Endenergieverbrauch - Industriesektor - nicht anders angegeben - energetischer Verbrauch"/>
    <s v="Elektrizität"/>
    <s v="Gigawattstunde"/>
    <x v="15"/>
    <x v="8"/>
    <n v="838.16499999999996"/>
  </r>
  <r>
    <x v="3"/>
    <s v="Endenergieverbrauch - Industriesektor - nicht anders angegeben - energetischer Verbrauch"/>
    <s v="Elektrizität"/>
    <s v="Gigawattstunde"/>
    <x v="16"/>
    <x v="8"/>
    <n v="837.351"/>
  </r>
  <r>
    <x v="4"/>
    <s v="Endenergieverbrauch - Industriesektor - nicht anders angegeben - energetischer Verbrauch"/>
    <s v="Elektrizität"/>
    <s v="Gigawattstunde"/>
    <x v="0"/>
    <x v="8"/>
    <n v="32199"/>
  </r>
  <r>
    <x v="4"/>
    <s v="Endenergieverbrauch - Industriesektor - nicht anders angegeben - energetischer Verbrauch"/>
    <s v="Elektrizität"/>
    <s v="Gigawattstunde"/>
    <x v="1"/>
    <x v="8"/>
    <n v="21730"/>
  </r>
  <r>
    <x v="4"/>
    <s v="Endenergieverbrauch - Industriesektor - nicht anders angegeben - energetischer Verbrauch"/>
    <s v="Elektrizität"/>
    <s v="Gigawattstunde"/>
    <x v="2"/>
    <x v="8"/>
    <n v="23036"/>
  </r>
  <r>
    <x v="4"/>
    <s v="Endenergieverbrauch - Industriesektor - nicht anders angegeben - energetischer Verbrauch"/>
    <s v="Elektrizität"/>
    <s v="Gigawattstunde"/>
    <x v="3"/>
    <x v="8"/>
    <n v="22295"/>
  </r>
  <r>
    <x v="4"/>
    <s v="Endenergieverbrauch - Industriesektor - nicht anders angegeben - energetischer Verbrauch"/>
    <s v="Elektrizität"/>
    <s v="Gigawattstunde"/>
    <x v="4"/>
    <x v="8"/>
    <n v="23985"/>
  </r>
  <r>
    <x v="4"/>
    <s v="Endenergieverbrauch - Industriesektor - nicht anders angegeben - energetischer Verbrauch"/>
    <s v="Elektrizität"/>
    <s v="Gigawattstunde"/>
    <x v="5"/>
    <x v="8"/>
    <n v="26827"/>
  </r>
  <r>
    <x v="4"/>
    <s v="Endenergieverbrauch - Industriesektor - nicht anders angegeben - energetischer Verbrauch"/>
    <s v="Elektrizität"/>
    <s v="Gigawattstunde"/>
    <x v="6"/>
    <x v="8"/>
    <n v="17750"/>
  </r>
  <r>
    <x v="4"/>
    <s v="Endenergieverbrauch - Industriesektor - nicht anders angegeben - energetischer Verbrauch"/>
    <s v="Elektrizität"/>
    <s v="Gigawattstunde"/>
    <x v="7"/>
    <x v="8"/>
    <n v="16315"/>
  </r>
  <r>
    <x v="4"/>
    <s v="Endenergieverbrauch - Industriesektor - nicht anders angegeben - energetischer Verbrauch"/>
    <s v="Elektrizität"/>
    <s v="Gigawattstunde"/>
    <x v="8"/>
    <x v="8"/>
    <n v="17501"/>
  </r>
  <r>
    <x v="4"/>
    <s v="Endenergieverbrauch - Industriesektor - nicht anders angegeben - energetischer Verbrauch"/>
    <s v="Elektrizität"/>
    <s v="Gigawattstunde"/>
    <x v="9"/>
    <x v="8"/>
    <n v="17719"/>
  </r>
  <r>
    <x v="4"/>
    <s v="Endenergieverbrauch - Industriesektor - nicht anders angegeben - energetischer Verbrauch"/>
    <s v="Elektrizität"/>
    <s v="Gigawattstunde"/>
    <x v="10"/>
    <x v="8"/>
    <n v="17578"/>
  </r>
  <r>
    <x v="4"/>
    <s v="Endenergieverbrauch - Industriesektor - nicht anders angegeben - energetischer Verbrauch"/>
    <s v="Elektrizität"/>
    <s v="Gigawattstunde"/>
    <x v="11"/>
    <x v="8"/>
    <n v="17313"/>
  </r>
  <r>
    <x v="4"/>
    <s v="Endenergieverbrauch - Industriesektor - nicht anders angegeben - energetischer Verbrauch"/>
    <s v="Elektrizität"/>
    <s v="Gigawattstunde"/>
    <x v="12"/>
    <x v="8"/>
    <n v="17342"/>
  </r>
  <r>
    <x v="4"/>
    <s v="Endenergieverbrauch - Industriesektor - nicht anders angegeben - energetischer Verbrauch"/>
    <s v="Elektrizität"/>
    <s v="Gigawattstunde"/>
    <x v="13"/>
    <x v="8"/>
    <n v="17241"/>
  </r>
  <r>
    <x v="4"/>
    <s v="Endenergieverbrauch - Industriesektor - nicht anders angegeben - energetischer Verbrauch"/>
    <s v="Elektrizität"/>
    <s v="Gigawattstunde"/>
    <x v="14"/>
    <x v="8"/>
    <n v="17624"/>
  </r>
  <r>
    <x v="4"/>
    <s v="Endenergieverbrauch - Industriesektor - nicht anders angegeben - energetischer Verbrauch"/>
    <s v="Elektrizität"/>
    <s v="Gigawattstunde"/>
    <x v="15"/>
    <x v="8"/>
    <n v="17653"/>
  </r>
  <r>
    <x v="4"/>
    <s v="Endenergieverbrauch - Industriesektor - nicht anders angegeben - energetischer Verbrauch"/>
    <s v="Elektrizität"/>
    <s v="Gigawattstunde"/>
    <x v="16"/>
    <x v="8"/>
    <n v="17515"/>
  </r>
  <r>
    <x v="5"/>
    <s v="Endenergieverbrauch - Industriesektor - nicht anders angegeben - energetischer Verbrauch"/>
    <s v="Elektrizität"/>
    <s v="Gigawattstunde"/>
    <x v="0"/>
    <x v="8"/>
    <n v="214"/>
  </r>
  <r>
    <x v="5"/>
    <s v="Endenergieverbrauch - Industriesektor - nicht anders angegeben - energetischer Verbrauch"/>
    <s v="Elektrizität"/>
    <s v="Gigawattstunde"/>
    <x v="1"/>
    <x v="8"/>
    <n v="215"/>
  </r>
  <r>
    <x v="5"/>
    <s v="Endenergieverbrauch - Industriesektor - nicht anders angegeben - energetischer Verbrauch"/>
    <s v="Elektrizität"/>
    <s v="Gigawattstunde"/>
    <x v="2"/>
    <x v="8"/>
    <n v="210"/>
  </r>
  <r>
    <x v="5"/>
    <s v="Endenergieverbrauch - Industriesektor - nicht anders angegeben - energetischer Verbrauch"/>
    <s v="Elektrizität"/>
    <s v="Gigawattstunde"/>
    <x v="3"/>
    <x v="8"/>
    <n v="224"/>
  </r>
  <r>
    <x v="5"/>
    <s v="Endenergieverbrauch - Industriesektor - nicht anders angegeben - energetischer Verbrauch"/>
    <s v="Elektrizität"/>
    <s v="Gigawattstunde"/>
    <x v="4"/>
    <x v="8"/>
    <n v="229"/>
  </r>
  <r>
    <x v="5"/>
    <s v="Endenergieverbrauch - Industriesektor - nicht anders angegeben - energetischer Verbrauch"/>
    <s v="Elektrizität"/>
    <s v="Gigawattstunde"/>
    <x v="5"/>
    <x v="8"/>
    <n v="240"/>
  </r>
  <r>
    <x v="5"/>
    <s v="Endenergieverbrauch - Industriesektor - nicht anders angegeben - energetischer Verbrauch"/>
    <s v="Elektrizität"/>
    <s v="Gigawattstunde"/>
    <x v="6"/>
    <x v="8"/>
    <n v="246"/>
  </r>
  <r>
    <x v="5"/>
    <s v="Endenergieverbrauch - Industriesektor - nicht anders angegeben - energetischer Verbrauch"/>
    <s v="Elektrizität"/>
    <s v="Gigawattstunde"/>
    <x v="7"/>
    <x v="8"/>
    <n v="167"/>
  </r>
  <r>
    <x v="5"/>
    <s v="Endenergieverbrauch - Industriesektor - nicht anders angegeben - energetischer Verbrauch"/>
    <s v="Elektrizität"/>
    <s v="Gigawattstunde"/>
    <x v="8"/>
    <x v="8"/>
    <n v="179"/>
  </r>
  <r>
    <x v="5"/>
    <s v="Endenergieverbrauch - Industriesektor - nicht anders angegeben - energetischer Verbrauch"/>
    <s v="Elektrizität"/>
    <s v="Gigawattstunde"/>
    <x v="9"/>
    <x v="8"/>
    <n v="195"/>
  </r>
  <r>
    <x v="5"/>
    <s v="Endenergieverbrauch - Industriesektor - nicht anders angegeben - energetischer Verbrauch"/>
    <s v="Elektrizität"/>
    <s v="Gigawattstunde"/>
    <x v="10"/>
    <x v="8"/>
    <n v="209"/>
  </r>
  <r>
    <x v="5"/>
    <s v="Endenergieverbrauch - Industriesektor - nicht anders angegeben - energetischer Verbrauch"/>
    <s v="Elektrizität"/>
    <s v="Gigawattstunde"/>
    <x v="11"/>
    <x v="8"/>
    <n v="177"/>
  </r>
  <r>
    <x v="5"/>
    <s v="Endenergieverbrauch - Industriesektor - nicht anders angegeben - energetischer Verbrauch"/>
    <s v="Elektrizität"/>
    <s v="Gigawattstunde"/>
    <x v="12"/>
    <x v="8"/>
    <n v="181"/>
  </r>
  <r>
    <x v="5"/>
    <s v="Endenergieverbrauch - Industriesektor - nicht anders angegeben - energetischer Verbrauch"/>
    <s v="Elektrizität"/>
    <s v="Gigawattstunde"/>
    <x v="13"/>
    <x v="8"/>
    <n v="185"/>
  </r>
  <r>
    <x v="5"/>
    <s v="Endenergieverbrauch - Industriesektor - nicht anders angegeben - energetischer Verbrauch"/>
    <s v="Elektrizität"/>
    <s v="Gigawattstunde"/>
    <x v="14"/>
    <x v="8"/>
    <n v="200"/>
  </r>
  <r>
    <x v="5"/>
    <s v="Endenergieverbrauch - Industriesektor - nicht anders angegeben - energetischer Verbrauch"/>
    <s v="Elektrizität"/>
    <s v="Gigawattstunde"/>
    <x v="15"/>
    <x v="8"/>
    <n v="192"/>
  </r>
  <r>
    <x v="5"/>
    <s v="Endenergieverbrauch - Industriesektor - nicht anders angegeben - energetischer Verbrauch"/>
    <s v="Elektrizität"/>
    <s v="Gigawattstunde"/>
    <x v="16"/>
    <x v="8"/>
    <n v="179"/>
  </r>
  <r>
    <x v="6"/>
    <s v="Endenergieverbrauch - Industriesektor - nicht anders angegeben - energetischer Verbrauch"/>
    <s v="Elektrizität"/>
    <s v="Gigawattstunde"/>
    <x v="0"/>
    <x v="8"/>
    <n v="540.62900000000002"/>
  </r>
  <r>
    <x v="6"/>
    <s v="Endenergieverbrauch - Industriesektor - nicht anders angegeben - energetischer Verbrauch"/>
    <s v="Elektrizität"/>
    <s v="Gigawattstunde"/>
    <x v="1"/>
    <x v="8"/>
    <n v="508.61700000000002"/>
  </r>
  <r>
    <x v="6"/>
    <s v="Endenergieverbrauch - Industriesektor - nicht anders angegeben - energetischer Verbrauch"/>
    <s v="Elektrizität"/>
    <s v="Gigawattstunde"/>
    <x v="2"/>
    <x v="8"/>
    <n v="477.43700000000001"/>
  </r>
  <r>
    <x v="6"/>
    <s v="Endenergieverbrauch - Industriesektor - nicht anders angegeben - energetischer Verbrauch"/>
    <s v="Elektrizität"/>
    <s v="Gigawattstunde"/>
    <x v="3"/>
    <x v="8"/>
    <n v="540.43799999999999"/>
  </r>
  <r>
    <x v="6"/>
    <s v="Endenergieverbrauch - Industriesektor - nicht anders angegeben - energetischer Verbrauch"/>
    <s v="Elektrizität"/>
    <s v="Gigawattstunde"/>
    <x v="4"/>
    <x v="8"/>
    <n v="740.81799999999998"/>
  </r>
  <r>
    <x v="6"/>
    <s v="Endenergieverbrauch - Industriesektor - nicht anders angegeben - energetischer Verbrauch"/>
    <s v="Elektrizität"/>
    <s v="Gigawattstunde"/>
    <x v="5"/>
    <x v="8"/>
    <n v="1004.086"/>
  </r>
  <r>
    <x v="6"/>
    <s v="Endenergieverbrauch - Industriesektor - nicht anders angegeben - energetischer Verbrauch"/>
    <s v="Elektrizität"/>
    <s v="Gigawattstunde"/>
    <x v="6"/>
    <x v="8"/>
    <n v="999.26700000000005"/>
  </r>
  <r>
    <x v="6"/>
    <s v="Endenergieverbrauch - Industriesektor - nicht anders angegeben - energetischer Verbrauch"/>
    <s v="Elektrizität"/>
    <s v="Gigawattstunde"/>
    <x v="7"/>
    <x v="8"/>
    <n v="1099.94"/>
  </r>
  <r>
    <x v="6"/>
    <s v="Endenergieverbrauch - Industriesektor - nicht anders angegeben - energetischer Verbrauch"/>
    <s v="Elektrizität"/>
    <s v="Gigawattstunde"/>
    <x v="8"/>
    <x v="8"/>
    <n v="1210.509"/>
  </r>
  <r>
    <x v="6"/>
    <s v="Endenergieverbrauch - Industriesektor - nicht anders angegeben - energetischer Verbrauch"/>
    <s v="Elektrizität"/>
    <s v="Gigawattstunde"/>
    <x v="9"/>
    <x v="8"/>
    <n v="1266.953"/>
  </r>
  <r>
    <x v="6"/>
    <s v="Endenergieverbrauch - Industriesektor - nicht anders angegeben - energetischer Verbrauch"/>
    <s v="Elektrizität"/>
    <s v="Gigawattstunde"/>
    <x v="10"/>
    <x v="8"/>
    <n v="1216.6690000000001"/>
  </r>
  <r>
    <x v="6"/>
    <s v="Endenergieverbrauch - Industriesektor - nicht anders angegeben - energetischer Verbrauch"/>
    <s v="Elektrizität"/>
    <s v="Gigawattstunde"/>
    <x v="11"/>
    <x v="8"/>
    <n v="1236.6690000000001"/>
  </r>
  <r>
    <x v="6"/>
    <s v="Endenergieverbrauch - Industriesektor - nicht anders angegeben - energetischer Verbrauch"/>
    <s v="Elektrizität"/>
    <s v="Gigawattstunde"/>
    <x v="12"/>
    <x v="8"/>
    <n v="1252.31"/>
  </r>
  <r>
    <x v="6"/>
    <s v="Endenergieverbrauch - Industriesektor - nicht anders angegeben - energetischer Verbrauch"/>
    <s v="Elektrizität"/>
    <s v="Gigawattstunde"/>
    <x v="13"/>
    <x v="8"/>
    <n v="1315.184"/>
  </r>
  <r>
    <x v="6"/>
    <s v="Endenergieverbrauch - Industriesektor - nicht anders angegeben - energetischer Verbrauch"/>
    <s v="Elektrizität"/>
    <s v="Gigawattstunde"/>
    <x v="14"/>
    <x v="8"/>
    <n v="1360.357"/>
  </r>
  <r>
    <x v="6"/>
    <s v="Endenergieverbrauch - Industriesektor - nicht anders angegeben - energetischer Verbrauch"/>
    <s v="Elektrizität"/>
    <s v="Gigawattstunde"/>
    <x v="15"/>
    <x v="8"/>
    <n v="1376.3"/>
  </r>
  <r>
    <x v="6"/>
    <s v="Endenergieverbrauch - Industriesektor - nicht anders angegeben - energetischer Verbrauch"/>
    <s v="Elektrizität"/>
    <s v="Gigawattstunde"/>
    <x v="16"/>
    <x v="8"/>
    <n v="1469.383"/>
  </r>
  <r>
    <x v="7"/>
    <s v="Endenergieverbrauch - Industriesektor - nicht anders angegeben - energetischer Verbrauch"/>
    <s v="Elektrizität"/>
    <s v="Gigawattstunde"/>
    <x v="0"/>
    <x v="8"/>
    <n v="1527"/>
  </r>
  <r>
    <x v="7"/>
    <s v="Endenergieverbrauch - Industriesektor - nicht anders angegeben - energetischer Verbrauch"/>
    <s v="Elektrizität"/>
    <s v="Gigawattstunde"/>
    <x v="1"/>
    <x v="8"/>
    <n v="1269"/>
  </r>
  <r>
    <x v="7"/>
    <s v="Endenergieverbrauch - Industriesektor - nicht anders angegeben - energetischer Verbrauch"/>
    <s v="Elektrizität"/>
    <s v="Gigawattstunde"/>
    <x v="2"/>
    <x v="8"/>
    <n v="767"/>
  </r>
  <r>
    <x v="7"/>
    <s v="Endenergieverbrauch - Industriesektor - nicht anders angegeben - energetischer Verbrauch"/>
    <s v="Elektrizität"/>
    <s v="Gigawattstunde"/>
    <x v="3"/>
    <x v="8"/>
    <n v="766"/>
  </r>
  <r>
    <x v="7"/>
    <s v="Endenergieverbrauch - Industriesektor - nicht anders angegeben - energetischer Verbrauch"/>
    <s v="Elektrizität"/>
    <s v="Gigawattstunde"/>
    <x v="4"/>
    <x v="8"/>
    <n v="818"/>
  </r>
  <r>
    <x v="7"/>
    <s v="Endenergieverbrauch - Industriesektor - nicht anders angegeben - energetischer Verbrauch"/>
    <s v="Elektrizität"/>
    <s v="Gigawattstunde"/>
    <x v="5"/>
    <x v="8"/>
    <n v="914"/>
  </r>
  <r>
    <x v="7"/>
    <s v="Endenergieverbrauch - Industriesektor - nicht anders angegeben - energetischer Verbrauch"/>
    <s v="Elektrizität"/>
    <s v="Gigawattstunde"/>
    <x v="6"/>
    <x v="8"/>
    <n v="1669"/>
  </r>
  <r>
    <x v="7"/>
    <s v="Endenergieverbrauch - Industriesektor - nicht anders angegeben - energetischer Verbrauch"/>
    <s v="Elektrizität"/>
    <s v="Gigawattstunde"/>
    <x v="7"/>
    <x v="8"/>
    <n v="2003"/>
  </r>
  <r>
    <x v="7"/>
    <s v="Endenergieverbrauch - Industriesektor - nicht anders angegeben - energetischer Verbrauch"/>
    <s v="Elektrizität"/>
    <s v="Gigawattstunde"/>
    <x v="8"/>
    <x v="8"/>
    <n v="1191"/>
  </r>
  <r>
    <x v="7"/>
    <s v="Endenergieverbrauch - Industriesektor - nicht anders angegeben - energetischer Verbrauch"/>
    <s v="Elektrizität"/>
    <s v="Gigawattstunde"/>
    <x v="9"/>
    <x v="8"/>
    <n v="2669"/>
  </r>
  <r>
    <x v="7"/>
    <s v="Endenergieverbrauch - Industriesektor - nicht anders angegeben - energetischer Verbrauch"/>
    <s v="Elektrizität"/>
    <s v="Gigawattstunde"/>
    <x v="10"/>
    <x v="8"/>
    <n v="799"/>
  </r>
  <r>
    <x v="7"/>
    <s v="Endenergieverbrauch - Industriesektor - nicht anders angegeben - energetischer Verbrauch"/>
    <s v="Elektrizität"/>
    <s v="Gigawattstunde"/>
    <x v="11"/>
    <x v="8"/>
    <n v="768"/>
  </r>
  <r>
    <x v="7"/>
    <s v="Endenergieverbrauch - Industriesektor - nicht anders angegeben - energetischer Verbrauch"/>
    <s v="Elektrizität"/>
    <s v="Gigawattstunde"/>
    <x v="12"/>
    <x v="8"/>
    <n v="2230"/>
  </r>
  <r>
    <x v="7"/>
    <s v="Endenergieverbrauch - Industriesektor - nicht anders angegeben - energetischer Verbrauch"/>
    <s v="Elektrizität"/>
    <s v="Gigawattstunde"/>
    <x v="13"/>
    <x v="8"/>
    <n v="2567"/>
  </r>
  <r>
    <x v="7"/>
    <s v="Endenergieverbrauch - Industriesektor - nicht anders angegeben - energetischer Verbrauch"/>
    <s v="Elektrizität"/>
    <s v="Gigawattstunde"/>
    <x v="14"/>
    <x v="8"/>
    <n v="2780"/>
  </r>
  <r>
    <x v="7"/>
    <s v="Endenergieverbrauch - Industriesektor - nicht anders angegeben - energetischer Verbrauch"/>
    <s v="Elektrizität"/>
    <s v="Gigawattstunde"/>
    <x v="15"/>
    <x v="8"/>
    <n v="2448.87"/>
  </r>
  <r>
    <x v="7"/>
    <s v="Endenergieverbrauch - Industriesektor - nicht anders angegeben - energetischer Verbrauch"/>
    <s v="Elektrizität"/>
    <s v="Gigawattstunde"/>
    <x v="16"/>
    <x v="8"/>
    <n v="218.85"/>
  </r>
  <r>
    <x v="8"/>
    <s v="Endenergieverbrauch - Industriesektor - nicht anders angegeben - energetischer Verbrauch"/>
    <s v="Elektrizität"/>
    <s v="Gigawattstunde"/>
    <x v="0"/>
    <x v="8"/>
    <n v="5202"/>
  </r>
  <r>
    <x v="8"/>
    <s v="Endenergieverbrauch - Industriesektor - nicht anders angegeben - energetischer Verbrauch"/>
    <s v="Elektrizität"/>
    <s v="Gigawattstunde"/>
    <x v="1"/>
    <x v="8"/>
    <n v="4591"/>
  </r>
  <r>
    <x v="8"/>
    <s v="Endenergieverbrauch - Industriesektor - nicht anders angegeben - energetischer Verbrauch"/>
    <s v="Elektrizität"/>
    <s v="Gigawattstunde"/>
    <x v="2"/>
    <x v="8"/>
    <n v="6999"/>
  </r>
  <r>
    <x v="8"/>
    <s v="Endenergieverbrauch - Industriesektor - nicht anders angegeben - energetischer Verbrauch"/>
    <s v="Elektrizität"/>
    <s v="Gigawattstunde"/>
    <x v="3"/>
    <x v="8"/>
    <n v="7506"/>
  </r>
  <r>
    <x v="8"/>
    <s v="Endenergieverbrauch - Industriesektor - nicht anders angegeben - energetischer Verbrauch"/>
    <s v="Elektrizität"/>
    <s v="Gigawattstunde"/>
    <x v="4"/>
    <x v="8"/>
    <n v="6388"/>
  </r>
  <r>
    <x v="8"/>
    <s v="Endenergieverbrauch - Industriesektor - nicht anders angegeben - energetischer Verbrauch"/>
    <s v="Elektrizität"/>
    <s v="Gigawattstunde"/>
    <x v="5"/>
    <x v="8"/>
    <n v="7499"/>
  </r>
  <r>
    <x v="8"/>
    <s v="Endenergieverbrauch - Industriesektor - nicht anders angegeben - energetischer Verbrauch"/>
    <s v="Elektrizität"/>
    <s v="Gigawattstunde"/>
    <x v="6"/>
    <x v="8"/>
    <n v="8044"/>
  </r>
  <r>
    <x v="8"/>
    <s v="Endenergieverbrauch - Industriesektor - nicht anders angegeben - energetischer Verbrauch"/>
    <s v="Elektrizität"/>
    <s v="Gigawattstunde"/>
    <x v="7"/>
    <x v="8"/>
    <n v="5715"/>
  </r>
  <r>
    <x v="8"/>
    <s v="Endenergieverbrauch - Industriesektor - nicht anders angegeben - energetischer Verbrauch"/>
    <s v="Elektrizität"/>
    <s v="Gigawattstunde"/>
    <x v="8"/>
    <x v="8"/>
    <n v="5521"/>
  </r>
  <r>
    <x v="8"/>
    <s v="Endenergieverbrauch - Industriesektor - nicht anders angegeben - energetischer Verbrauch"/>
    <s v="Elektrizität"/>
    <s v="Gigawattstunde"/>
    <x v="9"/>
    <x v="8"/>
    <n v="5592"/>
  </r>
  <r>
    <x v="8"/>
    <s v="Endenergieverbrauch - Industriesektor - nicht anders angegeben - energetischer Verbrauch"/>
    <s v="Elektrizität"/>
    <s v="Gigawattstunde"/>
    <x v="10"/>
    <x v="8"/>
    <n v="5517"/>
  </r>
  <r>
    <x v="8"/>
    <s v="Endenergieverbrauch - Industriesektor - nicht anders angegeben - energetischer Verbrauch"/>
    <s v="Elektrizität"/>
    <s v="Gigawattstunde"/>
    <x v="11"/>
    <x v="8"/>
    <n v="4212"/>
  </r>
  <r>
    <x v="8"/>
    <s v="Endenergieverbrauch - Industriesektor - nicht anders angegeben - energetischer Verbrauch"/>
    <s v="Elektrizität"/>
    <s v="Gigawattstunde"/>
    <x v="12"/>
    <x v="8"/>
    <n v="3562"/>
  </r>
  <r>
    <x v="8"/>
    <s v="Endenergieverbrauch - Industriesektor - nicht anders angegeben - energetischer Verbrauch"/>
    <s v="Elektrizität"/>
    <s v="Gigawattstunde"/>
    <x v="13"/>
    <x v="8"/>
    <n v="6807"/>
  </r>
  <r>
    <x v="8"/>
    <s v="Endenergieverbrauch - Industriesektor - nicht anders angegeben - energetischer Verbrauch"/>
    <s v="Elektrizität"/>
    <s v="Gigawattstunde"/>
    <x v="14"/>
    <x v="8"/>
    <n v="6788"/>
  </r>
  <r>
    <x v="8"/>
    <s v="Endenergieverbrauch - Industriesektor - nicht anders angegeben - energetischer Verbrauch"/>
    <s v="Elektrizität"/>
    <s v="Gigawattstunde"/>
    <x v="15"/>
    <x v="8"/>
    <n v="7026"/>
  </r>
  <r>
    <x v="8"/>
    <s v="Endenergieverbrauch - Industriesektor - nicht anders angegeben - energetischer Verbrauch"/>
    <s v="Elektrizität"/>
    <s v="Gigawattstunde"/>
    <x v="16"/>
    <x v="8"/>
    <n v="6179"/>
  </r>
  <r>
    <x v="9"/>
    <s v="Endenergieverbrauch - Industriesektor - nicht anders angegeben - energetischer Verbrauch"/>
    <s v="Elektrizität"/>
    <s v="Gigawattstunde"/>
    <x v="0"/>
    <x v="8"/>
    <n v="9748"/>
  </r>
  <r>
    <x v="9"/>
    <s v="Endenergieverbrauch - Industriesektor - nicht anders angegeben - energetischer Verbrauch"/>
    <s v="Elektrizität"/>
    <s v="Gigawattstunde"/>
    <x v="1"/>
    <x v="8"/>
    <n v="12714"/>
  </r>
  <r>
    <x v="9"/>
    <s v="Endenergieverbrauch - Industriesektor - nicht anders angegeben - energetischer Verbrauch"/>
    <s v="Elektrizität"/>
    <s v="Gigawattstunde"/>
    <x v="2"/>
    <x v="8"/>
    <n v="13683"/>
  </r>
  <r>
    <x v="9"/>
    <s v="Endenergieverbrauch - Industriesektor - nicht anders angegeben - energetischer Verbrauch"/>
    <s v="Elektrizität"/>
    <s v="Gigawattstunde"/>
    <x v="3"/>
    <x v="8"/>
    <n v="18689"/>
  </r>
  <r>
    <x v="9"/>
    <s v="Endenergieverbrauch - Industriesektor - nicht anders angegeben - energetischer Verbrauch"/>
    <s v="Elektrizität"/>
    <s v="Gigawattstunde"/>
    <x v="4"/>
    <x v="8"/>
    <n v="12163"/>
  </r>
  <r>
    <x v="9"/>
    <s v="Endenergieverbrauch - Industriesektor - nicht anders angegeben - energetischer Verbrauch"/>
    <s v="Elektrizität"/>
    <s v="Gigawattstunde"/>
    <x v="5"/>
    <x v="8"/>
    <n v="10942"/>
  </r>
  <r>
    <x v="9"/>
    <s v="Endenergieverbrauch - Industriesektor - nicht anders angegeben - energetischer Verbrauch"/>
    <s v="Elektrizität"/>
    <s v="Gigawattstunde"/>
    <x v="6"/>
    <x v="8"/>
    <n v="3471"/>
  </r>
  <r>
    <x v="9"/>
    <s v="Endenergieverbrauch - Industriesektor - nicht anders angegeben - energetischer Verbrauch"/>
    <s v="Elektrizität"/>
    <s v="Gigawattstunde"/>
    <x v="7"/>
    <x v="8"/>
    <n v="3116"/>
  </r>
  <r>
    <x v="9"/>
    <s v="Endenergieverbrauch - Industriesektor - nicht anders angegeben - energetischer Verbrauch"/>
    <s v="Elektrizität"/>
    <s v="Gigawattstunde"/>
    <x v="8"/>
    <x v="8"/>
    <n v="3393"/>
  </r>
  <r>
    <x v="9"/>
    <s v="Endenergieverbrauch - Industriesektor - nicht anders angegeben - energetischer Verbrauch"/>
    <s v="Elektrizität"/>
    <s v="Gigawattstunde"/>
    <x v="9"/>
    <x v="8"/>
    <n v="11279.714"/>
  </r>
  <r>
    <x v="9"/>
    <s v="Endenergieverbrauch - Industriesektor - nicht anders angegeben - energetischer Verbrauch"/>
    <s v="Elektrizität"/>
    <s v="Gigawattstunde"/>
    <x v="10"/>
    <x v="8"/>
    <n v="12373.695"/>
  </r>
  <r>
    <x v="9"/>
    <s v="Endenergieverbrauch - Industriesektor - nicht anders angegeben - energetischer Verbrauch"/>
    <s v="Elektrizität"/>
    <s v="Gigawattstunde"/>
    <x v="11"/>
    <x v="8"/>
    <n v="12330.442999999999"/>
  </r>
  <r>
    <x v="9"/>
    <s v="Endenergieverbrauch - Industriesektor - nicht anders angegeben - energetischer Verbrauch"/>
    <s v="Elektrizität"/>
    <s v="Gigawattstunde"/>
    <x v="12"/>
    <x v="8"/>
    <n v="11707.764999999999"/>
  </r>
  <r>
    <x v="9"/>
    <s v="Endenergieverbrauch - Industriesektor - nicht anders angegeben - energetischer Verbrauch"/>
    <s v="Elektrizität"/>
    <s v="Gigawattstunde"/>
    <x v="13"/>
    <x v="8"/>
    <n v="11893.432000000001"/>
  </r>
  <r>
    <x v="9"/>
    <s v="Endenergieverbrauch - Industriesektor - nicht anders angegeben - energetischer Verbrauch"/>
    <s v="Elektrizität"/>
    <s v="Gigawattstunde"/>
    <x v="14"/>
    <x v="8"/>
    <n v="12265.981"/>
  </r>
  <r>
    <x v="9"/>
    <s v="Endenergieverbrauch - Industriesektor - nicht anders angegeben - energetischer Verbrauch"/>
    <s v="Elektrizität"/>
    <s v="Gigawattstunde"/>
    <x v="15"/>
    <x v="8"/>
    <n v="12275.835999999999"/>
  </r>
  <r>
    <x v="9"/>
    <s v="Endenergieverbrauch - Industriesektor - nicht anders angegeben - energetischer Verbrauch"/>
    <s v="Elektrizität"/>
    <s v="Gigawattstunde"/>
    <x v="16"/>
    <x v="8"/>
    <n v="11760.182000000001"/>
  </r>
  <r>
    <x v="10"/>
    <s v="Endenergieverbrauch - Industriesektor - nicht anders angegeben - energetischer Verbrauch"/>
    <s v="Elektrizität"/>
    <s v="Gigawattstunde"/>
    <x v="0"/>
    <x v="8"/>
    <n v="127"/>
  </r>
  <r>
    <x v="10"/>
    <s v="Endenergieverbrauch - Industriesektor - nicht anders angegeben - energetischer Verbrauch"/>
    <s v="Elektrizität"/>
    <s v="Gigawattstunde"/>
    <x v="1"/>
    <x v="8"/>
    <n v="142"/>
  </r>
  <r>
    <x v="10"/>
    <s v="Endenergieverbrauch - Industriesektor - nicht anders angegeben - energetischer Verbrauch"/>
    <s v="Elektrizität"/>
    <s v="Gigawattstunde"/>
    <x v="2"/>
    <x v="8"/>
    <n v="162"/>
  </r>
  <r>
    <x v="10"/>
    <s v="Endenergieverbrauch - Industriesektor - nicht anders angegeben - energetischer Verbrauch"/>
    <s v="Elektrizität"/>
    <s v="Gigawattstunde"/>
    <x v="3"/>
    <x v="8"/>
    <n v="181"/>
  </r>
  <r>
    <x v="10"/>
    <s v="Endenergieverbrauch - Industriesektor - nicht anders angegeben - energetischer Verbrauch"/>
    <s v="Elektrizität"/>
    <s v="Gigawattstunde"/>
    <x v="4"/>
    <x v="8"/>
    <n v="211"/>
  </r>
  <r>
    <x v="10"/>
    <s v="Endenergieverbrauch - Industriesektor - nicht anders angegeben - energetischer Verbrauch"/>
    <s v="Elektrizität"/>
    <s v="Gigawattstunde"/>
    <x v="5"/>
    <x v="8"/>
    <n v="248"/>
  </r>
  <r>
    <x v="10"/>
    <s v="Endenergieverbrauch - Industriesektor - nicht anders angegeben - energetischer Verbrauch"/>
    <s v="Elektrizität"/>
    <s v="Gigawattstunde"/>
    <x v="6"/>
    <x v="8"/>
    <n v="246"/>
  </r>
  <r>
    <x v="10"/>
    <s v="Endenergieverbrauch - Industriesektor - nicht anders angegeben - energetischer Verbrauch"/>
    <s v="Elektrizität"/>
    <s v="Gigawattstunde"/>
    <x v="7"/>
    <x v="8"/>
    <n v="236"/>
  </r>
  <r>
    <x v="10"/>
    <s v="Endenergieverbrauch - Industriesektor - nicht anders angegeben - energetischer Verbrauch"/>
    <s v="Elektrizität"/>
    <s v="Gigawattstunde"/>
    <x v="8"/>
    <x v="8"/>
    <n v="224"/>
  </r>
  <r>
    <x v="10"/>
    <s v="Endenergieverbrauch - Industriesektor - nicht anders angegeben - energetischer Verbrauch"/>
    <s v="Elektrizität"/>
    <s v="Gigawattstunde"/>
    <x v="9"/>
    <x v="8"/>
    <n v="215"/>
  </r>
  <r>
    <x v="10"/>
    <s v="Endenergieverbrauch - Industriesektor - nicht anders angegeben - energetischer Verbrauch"/>
    <s v="Elektrizität"/>
    <s v="Gigawattstunde"/>
    <x v="10"/>
    <x v="8"/>
    <n v="233"/>
  </r>
  <r>
    <x v="10"/>
    <s v="Endenergieverbrauch - Industriesektor - nicht anders angegeben - energetischer Verbrauch"/>
    <s v="Elektrizität"/>
    <s v="Gigawattstunde"/>
    <x v="11"/>
    <x v="8"/>
    <n v="244"/>
  </r>
  <r>
    <x v="10"/>
    <s v="Endenergieverbrauch - Industriesektor - nicht anders angegeben - energetischer Verbrauch"/>
    <s v="Elektrizität"/>
    <s v="Gigawattstunde"/>
    <x v="12"/>
    <x v="8"/>
    <n v="268"/>
  </r>
  <r>
    <x v="10"/>
    <s v="Endenergieverbrauch - Industriesektor - nicht anders angegeben - energetischer Verbrauch"/>
    <s v="Elektrizität"/>
    <s v="Gigawattstunde"/>
    <x v="13"/>
    <x v="8"/>
    <n v="289"/>
  </r>
  <r>
    <x v="10"/>
    <s v="Endenergieverbrauch - Industriesektor - nicht anders angegeben - energetischer Verbrauch"/>
    <s v="Elektrizität"/>
    <s v="Gigawattstunde"/>
    <x v="14"/>
    <x v="8"/>
    <n v="330"/>
  </r>
  <r>
    <x v="10"/>
    <s v="Endenergieverbrauch - Industriesektor - nicht anders angegeben - energetischer Verbrauch"/>
    <s v="Elektrizität"/>
    <s v="Gigawattstunde"/>
    <x v="15"/>
    <x v="8"/>
    <n v="334.9"/>
  </r>
  <r>
    <x v="10"/>
    <s v="Endenergieverbrauch - Industriesektor - nicht anders angegeben - energetischer Verbrauch"/>
    <s v="Elektrizität"/>
    <s v="Gigawattstunde"/>
    <x v="16"/>
    <x v="8"/>
    <n v="338.4"/>
  </r>
  <r>
    <x v="11"/>
    <s v="Endenergieverbrauch - Industriesektor - nicht anders angegeben - energetischer Verbrauch"/>
    <s v="Elektrizität"/>
    <s v="Gigawattstunde"/>
    <x v="0"/>
    <x v="8"/>
    <n v="16390"/>
  </r>
  <r>
    <x v="11"/>
    <s v="Endenergieverbrauch - Industriesektor - nicht anders angegeben - energetischer Verbrauch"/>
    <s v="Elektrizität"/>
    <s v="Gigawattstunde"/>
    <x v="1"/>
    <x v="8"/>
    <n v="16950"/>
  </r>
  <r>
    <x v="11"/>
    <s v="Endenergieverbrauch - Industriesektor - nicht anders angegeben - energetischer Verbrauch"/>
    <s v="Elektrizität"/>
    <s v="Gigawattstunde"/>
    <x v="2"/>
    <x v="8"/>
    <n v="16965"/>
  </r>
  <r>
    <x v="11"/>
    <s v="Endenergieverbrauch - Industriesektor - nicht anders angegeben - energetischer Verbrauch"/>
    <s v="Elektrizität"/>
    <s v="Gigawattstunde"/>
    <x v="3"/>
    <x v="8"/>
    <n v="17045"/>
  </r>
  <r>
    <x v="11"/>
    <s v="Endenergieverbrauch - Industriesektor - nicht anders angegeben - energetischer Verbrauch"/>
    <s v="Elektrizität"/>
    <s v="Gigawattstunde"/>
    <x v="4"/>
    <x v="8"/>
    <n v="17648"/>
  </r>
  <r>
    <x v="11"/>
    <s v="Endenergieverbrauch - Industriesektor - nicht anders angegeben - energetischer Verbrauch"/>
    <s v="Elektrizität"/>
    <s v="Gigawattstunde"/>
    <x v="5"/>
    <x v="8"/>
    <n v="18446"/>
  </r>
  <r>
    <x v="11"/>
    <s v="Endenergieverbrauch - Industriesektor - nicht anders angegeben - energetischer Verbrauch"/>
    <s v="Elektrizität"/>
    <s v="Gigawattstunde"/>
    <x v="6"/>
    <x v="8"/>
    <n v="17627"/>
  </r>
  <r>
    <x v="11"/>
    <s v="Endenergieverbrauch - Industriesektor - nicht anders angegeben - energetischer Verbrauch"/>
    <s v="Elektrizität"/>
    <s v="Gigawattstunde"/>
    <x v="7"/>
    <x v="8"/>
    <n v="16084"/>
  </r>
  <r>
    <x v="11"/>
    <s v="Endenergieverbrauch - Industriesektor - nicht anders angegeben - energetischer Verbrauch"/>
    <s v="Elektrizität"/>
    <s v="Gigawattstunde"/>
    <x v="8"/>
    <x v="8"/>
    <n v="16658"/>
  </r>
  <r>
    <x v="11"/>
    <s v="Endenergieverbrauch - Industriesektor - nicht anders angegeben - energetischer Verbrauch"/>
    <s v="Elektrizität"/>
    <s v="Gigawattstunde"/>
    <x v="9"/>
    <x v="8"/>
    <n v="16628"/>
  </r>
  <r>
    <x v="11"/>
    <s v="Endenergieverbrauch - Industriesektor - nicht anders angegeben - energetischer Verbrauch"/>
    <s v="Elektrizität"/>
    <s v="Gigawattstunde"/>
    <x v="10"/>
    <x v="8"/>
    <n v="16245"/>
  </r>
  <r>
    <x v="11"/>
    <s v="Endenergieverbrauch - Industriesektor - nicht anders angegeben - energetischer Verbrauch"/>
    <s v="Elektrizität"/>
    <s v="Gigawattstunde"/>
    <x v="11"/>
    <x v="8"/>
    <n v="15523"/>
  </r>
  <r>
    <x v="11"/>
    <s v="Endenergieverbrauch - Industriesektor - nicht anders angegeben - energetischer Verbrauch"/>
    <s v="Elektrizität"/>
    <s v="Gigawattstunde"/>
    <x v="12"/>
    <x v="8"/>
    <n v="15123"/>
  </r>
  <r>
    <x v="11"/>
    <s v="Endenergieverbrauch - Industriesektor - nicht anders angegeben - energetischer Verbrauch"/>
    <s v="Elektrizität"/>
    <s v="Gigawattstunde"/>
    <x v="13"/>
    <x v="8"/>
    <n v="15225"/>
  </r>
  <r>
    <x v="11"/>
    <s v="Endenergieverbrauch - Industriesektor - nicht anders angegeben - energetischer Verbrauch"/>
    <s v="Elektrizität"/>
    <s v="Gigawattstunde"/>
    <x v="14"/>
    <x v="8"/>
    <n v="15146"/>
  </r>
  <r>
    <x v="11"/>
    <s v="Endenergieverbrauch - Industriesektor - nicht anders angegeben - energetischer Verbrauch"/>
    <s v="Elektrizität"/>
    <s v="Gigawattstunde"/>
    <x v="15"/>
    <x v="8"/>
    <n v="15509.521000000001"/>
  </r>
  <r>
    <x v="11"/>
    <s v="Endenergieverbrauch - Industriesektor - nicht anders angegeben - energetischer Verbrauch"/>
    <s v="Elektrizität"/>
    <s v="Gigawattstunde"/>
    <x v="16"/>
    <x v="8"/>
    <n v="15383.273999999999"/>
  </r>
  <r>
    <x v="12"/>
    <s v="Endenergieverbrauch - Industriesektor - nicht anders angegeben - energetischer Verbrauch"/>
    <s v="Elektrizität"/>
    <s v="Gigawattstunde"/>
    <x v="0"/>
    <x v="8"/>
    <n v="45"/>
  </r>
  <r>
    <x v="12"/>
    <s v="Endenergieverbrauch - Industriesektor - nicht anders angegeben - energetischer Verbrauch"/>
    <s v="Elektrizität"/>
    <s v="Gigawattstunde"/>
    <x v="1"/>
    <x v="8"/>
    <n v="47"/>
  </r>
  <r>
    <x v="12"/>
    <s v="Endenergieverbrauch - Industriesektor - nicht anders angegeben - energetischer Verbrauch"/>
    <s v="Elektrizität"/>
    <s v="Gigawattstunde"/>
    <x v="2"/>
    <x v="8"/>
    <n v="46"/>
  </r>
  <r>
    <x v="12"/>
    <s v="Endenergieverbrauch - Industriesektor - nicht anders angegeben - energetischer Verbrauch"/>
    <s v="Elektrizität"/>
    <s v="Gigawattstunde"/>
    <x v="3"/>
    <x v="8"/>
    <n v="45"/>
  </r>
  <r>
    <x v="12"/>
    <s v="Endenergieverbrauch - Industriesektor - nicht anders angegeben - energetischer Verbrauch"/>
    <s v="Elektrizität"/>
    <s v="Gigawattstunde"/>
    <x v="4"/>
    <x v="8"/>
    <n v="47"/>
  </r>
  <r>
    <x v="12"/>
    <s v="Endenergieverbrauch - Industriesektor - nicht anders angegeben - energetischer Verbrauch"/>
    <s v="Elektrizität"/>
    <s v="Gigawattstunde"/>
    <x v="5"/>
    <x v="8"/>
    <n v="48"/>
  </r>
  <r>
    <x v="12"/>
    <s v="Endenergieverbrauch - Industriesektor - nicht anders angegeben - energetischer Verbrauch"/>
    <s v="Elektrizität"/>
    <s v="Gigawattstunde"/>
    <x v="6"/>
    <x v="8"/>
    <n v="53"/>
  </r>
  <r>
    <x v="12"/>
    <s v="Endenergieverbrauch - Industriesektor - nicht anders angegeben - energetischer Verbrauch"/>
    <s v="Elektrizität"/>
    <s v="Gigawattstunde"/>
    <x v="7"/>
    <x v="8"/>
    <n v="52"/>
  </r>
  <r>
    <x v="12"/>
    <s v="Endenergieverbrauch - Industriesektor - nicht anders angegeben - energetischer Verbrauch"/>
    <s v="Elektrizität"/>
    <s v="Gigawattstunde"/>
    <x v="8"/>
    <x v="8"/>
    <n v="52"/>
  </r>
  <r>
    <x v="12"/>
    <s v="Endenergieverbrauch - Industriesektor - nicht anders angegeben - energetischer Verbrauch"/>
    <s v="Elektrizität"/>
    <s v="Gigawattstunde"/>
    <x v="9"/>
    <x v="8"/>
    <n v="45"/>
  </r>
  <r>
    <x v="12"/>
    <s v="Endenergieverbrauch - Industriesektor - nicht anders angegeben - energetischer Verbrauch"/>
    <s v="Elektrizität"/>
    <s v="Gigawattstunde"/>
    <x v="10"/>
    <x v="8"/>
    <n v="36"/>
  </r>
  <r>
    <x v="12"/>
    <s v="Endenergieverbrauch - Industriesektor - nicht anders angegeben - energetischer Verbrauch"/>
    <s v="Elektrizität"/>
    <s v="Gigawattstunde"/>
    <x v="11"/>
    <x v="8"/>
    <n v="32"/>
  </r>
  <r>
    <x v="12"/>
    <s v="Endenergieverbrauch - Industriesektor - nicht anders angegeben - energetischer Verbrauch"/>
    <s v="Elektrizität"/>
    <s v="Gigawattstunde"/>
    <x v="12"/>
    <x v="8"/>
    <n v="33"/>
  </r>
  <r>
    <x v="12"/>
    <s v="Endenergieverbrauch - Industriesektor - nicht anders angegeben - energetischer Verbrauch"/>
    <s v="Elektrizität"/>
    <s v="Gigawattstunde"/>
    <x v="13"/>
    <x v="8"/>
    <n v="33"/>
  </r>
  <r>
    <x v="12"/>
    <s v="Endenergieverbrauch - Industriesektor - nicht anders angegeben - energetischer Verbrauch"/>
    <s v="Elektrizität"/>
    <s v="Gigawattstunde"/>
    <x v="14"/>
    <x v="8"/>
    <n v="35"/>
  </r>
  <r>
    <x v="12"/>
    <s v="Endenergieverbrauch - Industriesektor - nicht anders angegeben - energetischer Verbrauch"/>
    <s v="Elektrizität"/>
    <s v="Gigawattstunde"/>
    <x v="15"/>
    <x v="8"/>
    <n v="37.417999999999999"/>
  </r>
  <r>
    <x v="12"/>
    <s v="Endenergieverbrauch - Industriesektor - nicht anders angegeben - energetischer Verbrauch"/>
    <s v="Elektrizität"/>
    <s v="Gigawattstunde"/>
    <x v="16"/>
    <x v="8"/>
    <n v="39.155999999999999"/>
  </r>
  <r>
    <x v="13"/>
    <s v="Endenergieverbrauch - Industriesektor - nicht anders angegeben - energetischer Verbrauch"/>
    <s v="Elektrizität"/>
    <s v="Gigawattstunde"/>
    <x v="0"/>
    <x v="8"/>
    <n v="91"/>
  </r>
  <r>
    <x v="13"/>
    <s v="Endenergieverbrauch - Industriesektor - nicht anders angegeben - energetischer Verbrauch"/>
    <s v="Elektrizität"/>
    <s v="Gigawattstunde"/>
    <x v="1"/>
    <x v="8"/>
    <n v="103"/>
  </r>
  <r>
    <x v="13"/>
    <s v="Endenergieverbrauch - Industriesektor - nicht anders angegeben - energetischer Verbrauch"/>
    <s v="Elektrizität"/>
    <s v="Gigawattstunde"/>
    <x v="2"/>
    <x v="8"/>
    <n v="110"/>
  </r>
  <r>
    <x v="13"/>
    <s v="Endenergieverbrauch - Industriesektor - nicht anders angegeben - energetischer Verbrauch"/>
    <s v="Elektrizität"/>
    <s v="Gigawattstunde"/>
    <x v="3"/>
    <x v="8"/>
    <n v="114"/>
  </r>
  <r>
    <x v="13"/>
    <s v="Endenergieverbrauch - Industriesektor - nicht anders angegeben - energetischer Verbrauch"/>
    <s v="Elektrizität"/>
    <s v="Gigawattstunde"/>
    <x v="4"/>
    <x v="8"/>
    <n v="125"/>
  </r>
  <r>
    <x v="13"/>
    <s v="Endenergieverbrauch - Industriesektor - nicht anders angegeben - energetischer Verbrauch"/>
    <s v="Elektrizität"/>
    <s v="Gigawattstunde"/>
    <x v="5"/>
    <x v="8"/>
    <n v="138"/>
  </r>
  <r>
    <x v="13"/>
    <s v="Endenergieverbrauch - Industriesektor - nicht anders angegeben - energetischer Verbrauch"/>
    <s v="Elektrizität"/>
    <s v="Gigawattstunde"/>
    <x v="6"/>
    <x v="8"/>
    <n v="70"/>
  </r>
  <r>
    <x v="13"/>
    <s v="Endenergieverbrauch - Industriesektor - nicht anders angegeben - energetischer Verbrauch"/>
    <s v="Elektrizität"/>
    <s v="Gigawattstunde"/>
    <x v="7"/>
    <x v="8"/>
    <n v="48"/>
  </r>
  <r>
    <x v="13"/>
    <s v="Endenergieverbrauch - Industriesektor - nicht anders angegeben - energetischer Verbrauch"/>
    <s v="Elektrizität"/>
    <s v="Gigawattstunde"/>
    <x v="8"/>
    <x v="8"/>
    <n v="64"/>
  </r>
  <r>
    <x v="13"/>
    <s v="Endenergieverbrauch - Industriesektor - nicht anders angegeben - energetischer Verbrauch"/>
    <s v="Elektrizität"/>
    <s v="Gigawattstunde"/>
    <x v="9"/>
    <x v="8"/>
    <n v="60"/>
  </r>
  <r>
    <x v="13"/>
    <s v="Endenergieverbrauch - Industriesektor - nicht anders angegeben - energetischer Verbrauch"/>
    <s v="Elektrizität"/>
    <s v="Gigawattstunde"/>
    <x v="10"/>
    <x v="8"/>
    <n v="60"/>
  </r>
  <r>
    <x v="13"/>
    <s v="Endenergieverbrauch - Industriesektor - nicht anders angegeben - energetischer Verbrauch"/>
    <s v="Elektrizität"/>
    <s v="Gigawattstunde"/>
    <x v="11"/>
    <x v="8"/>
    <n v="63"/>
  </r>
  <r>
    <x v="13"/>
    <s v="Endenergieverbrauch - Industriesektor - nicht anders angegeben - energetischer Verbrauch"/>
    <s v="Elektrizität"/>
    <s v="Gigawattstunde"/>
    <x v="12"/>
    <x v="8"/>
    <n v="66"/>
  </r>
  <r>
    <x v="13"/>
    <s v="Endenergieverbrauch - Industriesektor - nicht anders angegeben - energetischer Verbrauch"/>
    <s v="Elektrizität"/>
    <s v="Gigawattstunde"/>
    <x v="13"/>
    <x v="8"/>
    <n v="68"/>
  </r>
  <r>
    <x v="13"/>
    <s v="Endenergieverbrauch - Industriesektor - nicht anders angegeben - energetischer Verbrauch"/>
    <s v="Elektrizität"/>
    <s v="Gigawattstunde"/>
    <x v="14"/>
    <x v="8"/>
    <n v="75"/>
  </r>
  <r>
    <x v="13"/>
    <s v="Endenergieverbrauch - Industriesektor - nicht anders angegeben - energetischer Verbrauch"/>
    <s v="Elektrizität"/>
    <s v="Gigawattstunde"/>
    <x v="15"/>
    <x v="8"/>
    <n v="78.194000000000003"/>
  </r>
  <r>
    <x v="13"/>
    <s v="Endenergieverbrauch - Industriesektor - nicht anders angegeben - energetischer Verbrauch"/>
    <s v="Elektrizität"/>
    <s v="Gigawattstunde"/>
    <x v="16"/>
    <x v="8"/>
    <n v="90.111000000000004"/>
  </r>
  <r>
    <x v="14"/>
    <s v="Endenergieverbrauch - Industriesektor - nicht anders angegeben - energetischer Verbrauch"/>
    <s v="Elektrizität"/>
    <s v="Gigawattstunde"/>
    <x v="0"/>
    <x v="8"/>
    <n v="172"/>
  </r>
  <r>
    <x v="14"/>
    <s v="Endenergieverbrauch - Industriesektor - nicht anders angegeben - energetischer Verbrauch"/>
    <s v="Elektrizität"/>
    <s v="Gigawattstunde"/>
    <x v="1"/>
    <x v="8"/>
    <n v="206"/>
  </r>
  <r>
    <x v="14"/>
    <s v="Endenergieverbrauch - Industriesektor - nicht anders angegeben - energetischer Verbrauch"/>
    <s v="Elektrizität"/>
    <s v="Gigawattstunde"/>
    <x v="2"/>
    <x v="8"/>
    <n v="285"/>
  </r>
  <r>
    <x v="14"/>
    <s v="Endenergieverbrauch - Industriesektor - nicht anders angegeben - energetischer Verbrauch"/>
    <s v="Elektrizität"/>
    <s v="Gigawattstunde"/>
    <x v="3"/>
    <x v="8"/>
    <n v="317"/>
  </r>
  <r>
    <x v="14"/>
    <s v="Endenergieverbrauch - Industriesektor - nicht anders angegeben - energetischer Verbrauch"/>
    <s v="Elektrizität"/>
    <s v="Gigawattstunde"/>
    <x v="4"/>
    <x v="8"/>
    <n v="347"/>
  </r>
  <r>
    <x v="14"/>
    <s v="Endenergieverbrauch - Industriesektor - nicht anders angegeben - energetischer Verbrauch"/>
    <s v="Elektrizität"/>
    <s v="Gigawattstunde"/>
    <x v="5"/>
    <x v="8"/>
    <n v="366"/>
  </r>
  <r>
    <x v="14"/>
    <s v="Endenergieverbrauch - Industriesektor - nicht anders angegeben - energetischer Verbrauch"/>
    <s v="Elektrizität"/>
    <s v="Gigawattstunde"/>
    <x v="6"/>
    <x v="8"/>
    <n v="358"/>
  </r>
  <r>
    <x v="14"/>
    <s v="Endenergieverbrauch - Industriesektor - nicht anders angegeben - energetischer Verbrauch"/>
    <s v="Elektrizität"/>
    <s v="Gigawattstunde"/>
    <x v="7"/>
    <x v="8"/>
    <n v="291"/>
  </r>
  <r>
    <x v="14"/>
    <s v="Endenergieverbrauch - Industriesektor - nicht anders angegeben - energetischer Verbrauch"/>
    <s v="Elektrizität"/>
    <s v="Gigawattstunde"/>
    <x v="8"/>
    <x v="8"/>
    <n v="309"/>
  </r>
  <r>
    <x v="14"/>
    <s v="Endenergieverbrauch - Industriesektor - nicht anders angegeben - energetischer Verbrauch"/>
    <s v="Elektrizität"/>
    <s v="Gigawattstunde"/>
    <x v="9"/>
    <x v="8"/>
    <n v="363"/>
  </r>
  <r>
    <x v="14"/>
    <s v="Endenergieverbrauch - Industriesektor - nicht anders angegeben - energetischer Verbrauch"/>
    <s v="Elektrizität"/>
    <s v="Gigawattstunde"/>
    <x v="10"/>
    <x v="8"/>
    <n v="397"/>
  </r>
  <r>
    <x v="14"/>
    <s v="Endenergieverbrauch - Industriesektor - nicht anders angegeben - energetischer Verbrauch"/>
    <s v="Elektrizität"/>
    <s v="Gigawattstunde"/>
    <x v="11"/>
    <x v="8"/>
    <n v="448"/>
  </r>
  <r>
    <x v="14"/>
    <s v="Endenergieverbrauch - Industriesektor - nicht anders angegeben - energetischer Verbrauch"/>
    <s v="Elektrizität"/>
    <s v="Gigawattstunde"/>
    <x v="12"/>
    <x v="8"/>
    <n v="490"/>
  </r>
  <r>
    <x v="14"/>
    <s v="Endenergieverbrauch - Industriesektor - nicht anders angegeben - energetischer Verbrauch"/>
    <s v="Elektrizität"/>
    <s v="Gigawattstunde"/>
    <x v="13"/>
    <x v="8"/>
    <n v="606"/>
  </r>
  <r>
    <x v="14"/>
    <s v="Endenergieverbrauch - Industriesektor - nicht anders angegeben - energetischer Verbrauch"/>
    <s v="Elektrizität"/>
    <s v="Gigawattstunde"/>
    <x v="14"/>
    <x v="8"/>
    <n v="594"/>
  </r>
  <r>
    <x v="14"/>
    <s v="Endenergieverbrauch - Industriesektor - nicht anders angegeben - energetischer Verbrauch"/>
    <s v="Elektrizität"/>
    <s v="Gigawattstunde"/>
    <x v="15"/>
    <x v="8"/>
    <n v="598.1"/>
  </r>
  <r>
    <x v="14"/>
    <s v="Endenergieverbrauch - Industriesektor - nicht anders angegeben - energetischer Verbrauch"/>
    <s v="Elektrizität"/>
    <s v="Gigawattstunde"/>
    <x v="16"/>
    <x v="8"/>
    <n v="686.8"/>
  </r>
  <r>
    <x v="15"/>
    <s v="Endenergieverbrauch - Industriesektor - nicht anders angegeben - energetischer Verbrauch"/>
    <s v="Elektrizität"/>
    <s v="Gigawattstunde"/>
    <x v="0"/>
    <x v="8"/>
    <n v="51.607999999999997"/>
  </r>
  <r>
    <x v="15"/>
    <s v="Endenergieverbrauch - Industriesektor - nicht anders angegeben - energetischer Verbrauch"/>
    <s v="Elektrizität"/>
    <s v="Gigawattstunde"/>
    <x v="1"/>
    <x v="8"/>
    <n v="88.611000000000004"/>
  </r>
  <r>
    <x v="15"/>
    <s v="Endenergieverbrauch - Industriesektor - nicht anders angegeben - energetischer Verbrauch"/>
    <s v="Elektrizität"/>
    <s v="Gigawattstunde"/>
    <x v="2"/>
    <x v="8"/>
    <n v="76.450999999999993"/>
  </r>
  <r>
    <x v="15"/>
    <s v="Endenergieverbrauch - Industriesektor - nicht anders angegeben - energetischer Verbrauch"/>
    <s v="Elektrizität"/>
    <s v="Gigawattstunde"/>
    <x v="3"/>
    <x v="8"/>
    <n v="77.16"/>
  </r>
  <r>
    <x v="15"/>
    <s v="Endenergieverbrauch - Industriesektor - nicht anders angegeben - energetischer Verbrauch"/>
    <s v="Elektrizität"/>
    <s v="Gigawattstunde"/>
    <x v="4"/>
    <x v="8"/>
    <n v="70.364999999999995"/>
  </r>
  <r>
    <x v="15"/>
    <s v="Endenergieverbrauch - Industriesektor - nicht anders angegeben - energetischer Verbrauch"/>
    <s v="Elektrizität"/>
    <s v="Gigawattstunde"/>
    <x v="5"/>
    <x v="8"/>
    <n v="78.629000000000005"/>
  </r>
  <r>
    <x v="15"/>
    <s v="Endenergieverbrauch - Industriesektor - nicht anders angegeben - energetischer Verbrauch"/>
    <s v="Elektrizität"/>
    <s v="Gigawattstunde"/>
    <x v="6"/>
    <x v="8"/>
    <n v="95.603999999999999"/>
  </r>
  <r>
    <x v="15"/>
    <s v="Endenergieverbrauch - Industriesektor - nicht anders angegeben - energetischer Verbrauch"/>
    <s v="Elektrizität"/>
    <s v="Gigawattstunde"/>
    <x v="7"/>
    <x v="8"/>
    <n v="94.713999999999999"/>
  </r>
  <r>
    <x v="15"/>
    <s v="Endenergieverbrauch - Industriesektor - nicht anders angegeben - energetischer Verbrauch"/>
    <s v="Elektrizität"/>
    <s v="Gigawattstunde"/>
    <x v="8"/>
    <x v="8"/>
    <n v="115.428"/>
  </r>
  <r>
    <x v="15"/>
    <s v="Endenergieverbrauch - Industriesektor - nicht anders angegeben - energetischer Verbrauch"/>
    <s v="Elektrizität"/>
    <s v="Gigawattstunde"/>
    <x v="9"/>
    <x v="8"/>
    <n v="265.17200000000003"/>
  </r>
  <r>
    <x v="15"/>
    <s v="Endenergieverbrauch - Industriesektor - nicht anders angegeben - energetischer Verbrauch"/>
    <s v="Elektrizität"/>
    <s v="Gigawattstunde"/>
    <x v="10"/>
    <x v="8"/>
    <n v="264.64999999999998"/>
  </r>
  <r>
    <x v="15"/>
    <s v="Endenergieverbrauch - Industriesektor - nicht anders angegeben - energetischer Verbrauch"/>
    <s v="Elektrizität"/>
    <s v="Gigawattstunde"/>
    <x v="11"/>
    <x v="8"/>
    <n v="288.55500000000001"/>
  </r>
  <r>
    <x v="15"/>
    <s v="Endenergieverbrauch - Industriesektor - nicht anders angegeben - energetischer Verbrauch"/>
    <s v="Elektrizität"/>
    <s v="Gigawattstunde"/>
    <x v="12"/>
    <x v="8"/>
    <n v="316.98599999999999"/>
  </r>
  <r>
    <x v="15"/>
    <s v="Endenergieverbrauch - Industriesektor - nicht anders angegeben - energetischer Verbrauch"/>
    <s v="Elektrizität"/>
    <s v="Gigawattstunde"/>
    <x v="13"/>
    <x v="8"/>
    <n v="341.92200000000003"/>
  </r>
  <r>
    <x v="15"/>
    <s v="Endenergieverbrauch - Industriesektor - nicht anders angegeben - energetischer Verbrauch"/>
    <s v="Elektrizität"/>
    <s v="Gigawattstunde"/>
    <x v="14"/>
    <x v="8"/>
    <n v="366.10300000000001"/>
  </r>
  <r>
    <x v="15"/>
    <s v="Endenergieverbrauch - Industriesektor - nicht anders angegeben - energetischer Verbrauch"/>
    <s v="Elektrizität"/>
    <s v="Gigawattstunde"/>
    <x v="15"/>
    <x v="8"/>
    <n v="291.98899999999998"/>
  </r>
  <r>
    <x v="15"/>
    <s v="Endenergieverbrauch - Industriesektor - nicht anders angegeben - energetischer Verbrauch"/>
    <s v="Elektrizität"/>
    <s v="Gigawattstunde"/>
    <x v="16"/>
    <x v="8"/>
    <n v="277.48500000000001"/>
  </r>
  <r>
    <x v="16"/>
    <s v="Endenergieverbrauch - Industriesektor - nicht anders angegeben - energetischer Verbrauch"/>
    <s v="Elektrizität"/>
    <s v="Gigawattstunde"/>
    <x v="0"/>
    <x v="8"/>
    <n v="690"/>
  </r>
  <r>
    <x v="16"/>
    <s v="Endenergieverbrauch - Industriesektor - nicht anders angegeben - energetischer Verbrauch"/>
    <s v="Elektrizität"/>
    <s v="Gigawattstunde"/>
    <x v="1"/>
    <x v="8"/>
    <n v="737"/>
  </r>
  <r>
    <x v="16"/>
    <s v="Endenergieverbrauch - Industriesektor - nicht anders angegeben - energetischer Verbrauch"/>
    <s v="Elektrizität"/>
    <s v="Gigawattstunde"/>
    <x v="2"/>
    <x v="8"/>
    <n v="648"/>
  </r>
  <r>
    <x v="16"/>
    <s v="Endenergieverbrauch - Industriesektor - nicht anders angegeben - energetischer Verbrauch"/>
    <s v="Elektrizität"/>
    <s v="Gigawattstunde"/>
    <x v="3"/>
    <x v="8"/>
    <n v="261"/>
  </r>
  <r>
    <x v="16"/>
    <s v="Endenergieverbrauch - Industriesektor - nicht anders angegeben - energetischer Verbrauch"/>
    <s v="Elektrizität"/>
    <s v="Gigawattstunde"/>
    <x v="4"/>
    <x v="8"/>
    <n v="395"/>
  </r>
  <r>
    <x v="16"/>
    <s v="Endenergieverbrauch - Industriesektor - nicht anders angegeben - energetischer Verbrauch"/>
    <s v="Elektrizität"/>
    <s v="Gigawattstunde"/>
    <x v="5"/>
    <x v="8"/>
    <n v="395"/>
  </r>
  <r>
    <x v="16"/>
    <s v="Endenergieverbrauch - Industriesektor - nicht anders angegeben - energetischer Verbrauch"/>
    <s v="Elektrizität"/>
    <s v="Gigawattstunde"/>
    <x v="6"/>
    <x v="8"/>
    <n v="450"/>
  </r>
  <r>
    <x v="16"/>
    <s v="Endenergieverbrauch - Industriesektor - nicht anders angegeben - energetischer Verbrauch"/>
    <s v="Elektrizität"/>
    <s v="Gigawattstunde"/>
    <x v="7"/>
    <x v="8"/>
    <n v="638"/>
  </r>
  <r>
    <x v="16"/>
    <s v="Endenergieverbrauch - Industriesektor - nicht anders angegeben - energetischer Verbrauch"/>
    <s v="Elektrizität"/>
    <s v="Gigawattstunde"/>
    <x v="8"/>
    <x v="8"/>
    <n v="741"/>
  </r>
  <r>
    <x v="16"/>
    <s v="Endenergieverbrauch - Industriesektor - nicht anders angegeben - energetischer Verbrauch"/>
    <s v="Elektrizität"/>
    <s v="Gigawattstunde"/>
    <x v="9"/>
    <x v="8"/>
    <n v="748"/>
  </r>
  <r>
    <x v="16"/>
    <s v="Endenergieverbrauch - Industriesektor - nicht anders angegeben - energetischer Verbrauch"/>
    <s v="Elektrizität"/>
    <s v="Gigawattstunde"/>
    <x v="10"/>
    <x v="8"/>
    <n v="1670"/>
  </r>
  <r>
    <x v="16"/>
    <s v="Endenergieverbrauch - Industriesektor - nicht anders angegeben - energetischer Verbrauch"/>
    <s v="Elektrizität"/>
    <s v="Gigawattstunde"/>
    <x v="11"/>
    <x v="8"/>
    <n v="1757"/>
  </r>
  <r>
    <x v="16"/>
    <s v="Endenergieverbrauch - Industriesektor - nicht anders angegeben - energetischer Verbrauch"/>
    <s v="Elektrizität"/>
    <s v="Gigawattstunde"/>
    <x v="12"/>
    <x v="8"/>
    <n v="1707"/>
  </r>
  <r>
    <x v="16"/>
    <s v="Endenergieverbrauch - Industriesektor - nicht anders angegeben - energetischer Verbrauch"/>
    <s v="Elektrizität"/>
    <s v="Gigawattstunde"/>
    <x v="13"/>
    <x v="8"/>
    <n v="1820"/>
  </r>
  <r>
    <x v="16"/>
    <s v="Endenergieverbrauch - Industriesektor - nicht anders angegeben - energetischer Verbrauch"/>
    <s v="Elektrizität"/>
    <s v="Gigawattstunde"/>
    <x v="14"/>
    <x v="8"/>
    <n v="1884"/>
  </r>
  <r>
    <x v="16"/>
    <s v="Endenergieverbrauch - Industriesektor - nicht anders angegeben - energetischer Verbrauch"/>
    <s v="Elektrizität"/>
    <s v="Gigawattstunde"/>
    <x v="15"/>
    <x v="8"/>
    <n v="2036"/>
  </r>
  <r>
    <x v="16"/>
    <s v="Endenergieverbrauch - Industriesektor - nicht anders angegeben - energetischer Verbrauch"/>
    <s v="Elektrizität"/>
    <s v="Gigawattstunde"/>
    <x v="16"/>
    <x v="8"/>
    <n v="2122"/>
  </r>
  <r>
    <x v="17"/>
    <s v="Endenergieverbrauch - Industriesektor - nicht anders angegeben - energetischer Verbrauch"/>
    <s v="Elektrizität"/>
    <s v="Gigawattstunde"/>
    <x v="0"/>
    <x v="8"/>
    <n v="510"/>
  </r>
  <r>
    <x v="17"/>
    <s v="Endenergieverbrauch - Industriesektor - nicht anders angegeben - energetischer Verbrauch"/>
    <s v="Elektrizität"/>
    <s v="Gigawattstunde"/>
    <x v="1"/>
    <x v="8"/>
    <n v="556"/>
  </r>
  <r>
    <x v="17"/>
    <s v="Endenergieverbrauch - Industriesektor - nicht anders angegeben - energetischer Verbrauch"/>
    <s v="Elektrizität"/>
    <s v="Gigawattstunde"/>
    <x v="2"/>
    <x v="8"/>
    <n v="551"/>
  </r>
  <r>
    <x v="17"/>
    <s v="Endenergieverbrauch - Industriesektor - nicht anders angegeben - energetischer Verbrauch"/>
    <s v="Elektrizität"/>
    <s v="Gigawattstunde"/>
    <x v="3"/>
    <x v="8"/>
    <n v="483"/>
  </r>
  <r>
    <x v="17"/>
    <s v="Endenergieverbrauch - Industriesektor - nicht anders angegeben - energetischer Verbrauch"/>
    <s v="Elektrizität"/>
    <s v="Gigawattstunde"/>
    <x v="4"/>
    <x v="8"/>
    <n v="530"/>
  </r>
  <r>
    <x v="17"/>
    <s v="Endenergieverbrauch - Industriesektor - nicht anders angegeben - energetischer Verbrauch"/>
    <s v="Elektrizität"/>
    <s v="Gigawattstunde"/>
    <x v="5"/>
    <x v="8"/>
    <n v="530"/>
  </r>
  <r>
    <x v="17"/>
    <s v="Endenergieverbrauch - Industriesektor - nicht anders angegeben - energetischer Verbrauch"/>
    <s v="Elektrizität"/>
    <s v="Gigawattstunde"/>
    <x v="6"/>
    <x v="8"/>
    <n v="558"/>
  </r>
  <r>
    <x v="17"/>
    <s v="Endenergieverbrauch - Industriesektor - nicht anders angegeben - energetischer Verbrauch"/>
    <s v="Elektrizität"/>
    <s v="Gigawattstunde"/>
    <x v="7"/>
    <x v="8"/>
    <n v="509"/>
  </r>
  <r>
    <x v="17"/>
    <s v="Endenergieverbrauch - Industriesektor - nicht anders angegeben - energetischer Verbrauch"/>
    <s v="Elektrizität"/>
    <s v="Gigawattstunde"/>
    <x v="8"/>
    <x v="8"/>
    <n v="85"/>
  </r>
  <r>
    <x v="17"/>
    <s v="Endenergieverbrauch - Industriesektor - nicht anders angegeben - energetischer Verbrauch"/>
    <s v="Elektrizität"/>
    <s v="Gigawattstunde"/>
    <x v="9"/>
    <x v="8"/>
    <n v="89"/>
  </r>
  <r>
    <x v="17"/>
    <s v="Endenergieverbrauch - Industriesektor - nicht anders angegeben - energetischer Verbrauch"/>
    <s v="Elektrizität"/>
    <s v="Gigawattstunde"/>
    <x v="10"/>
    <x v="8"/>
    <n v="87"/>
  </r>
  <r>
    <x v="17"/>
    <s v="Endenergieverbrauch - Industriesektor - nicht anders angegeben - energetischer Verbrauch"/>
    <s v="Elektrizität"/>
    <s v="Gigawattstunde"/>
    <x v="11"/>
    <x v="8"/>
    <n v="87"/>
  </r>
  <r>
    <x v="17"/>
    <s v="Endenergieverbrauch - Industriesektor - nicht anders angegeben - energetischer Verbrauch"/>
    <s v="Elektrizität"/>
    <s v="Gigawattstunde"/>
    <x v="12"/>
    <x v="8"/>
    <n v="81"/>
  </r>
  <r>
    <x v="17"/>
    <s v="Endenergieverbrauch - Industriesektor - nicht anders angegeben - energetischer Verbrauch"/>
    <s v="Elektrizität"/>
    <s v="Gigawattstunde"/>
    <x v="13"/>
    <x v="8"/>
    <n v="83"/>
  </r>
  <r>
    <x v="17"/>
    <s v="Endenergieverbrauch - Industriesektor - nicht anders angegeben - energetischer Verbrauch"/>
    <s v="Elektrizität"/>
    <s v="Gigawattstunde"/>
    <x v="14"/>
    <x v="8"/>
    <n v="93"/>
  </r>
  <r>
    <x v="17"/>
    <s v="Endenergieverbrauch - Industriesektor - nicht anders angegeben - energetischer Verbrauch"/>
    <s v="Elektrizität"/>
    <s v="Gigawattstunde"/>
    <x v="15"/>
    <x v="8"/>
    <n v="109.84"/>
  </r>
  <r>
    <x v="17"/>
    <s v="Endenergieverbrauch - Industriesektor - nicht anders angegeben - energetischer Verbrauch"/>
    <s v="Elektrizität"/>
    <s v="Gigawattstunde"/>
    <x v="16"/>
    <x v="8"/>
    <n v="123.111"/>
  </r>
  <r>
    <x v="18"/>
    <s v="Endenergieverbrauch - Industriesektor - nicht anders angegeben - energetischer Verbrauch"/>
    <s v="Elektrizität"/>
    <s v="Gigawattstunde"/>
    <x v="0"/>
    <x v="8"/>
    <n v="2355"/>
  </r>
  <r>
    <x v="18"/>
    <s v="Endenergieverbrauch - Industriesektor - nicht anders angegeben - energetischer Verbrauch"/>
    <s v="Elektrizität"/>
    <s v="Gigawattstunde"/>
    <x v="1"/>
    <x v="8"/>
    <n v="2169"/>
  </r>
  <r>
    <x v="18"/>
    <s v="Endenergieverbrauch - Industriesektor - nicht anders angegeben - energetischer Verbrauch"/>
    <s v="Elektrizität"/>
    <s v="Gigawattstunde"/>
    <x v="2"/>
    <x v="8"/>
    <n v="2311"/>
  </r>
  <r>
    <x v="18"/>
    <s v="Endenergieverbrauch - Industriesektor - nicht anders angegeben - energetischer Verbrauch"/>
    <s v="Elektrizität"/>
    <s v="Gigawattstunde"/>
    <x v="3"/>
    <x v="8"/>
    <n v="2273"/>
  </r>
  <r>
    <x v="18"/>
    <s v="Endenergieverbrauch - Industriesektor - nicht anders angegeben - energetischer Verbrauch"/>
    <s v="Elektrizität"/>
    <s v="Gigawattstunde"/>
    <x v="4"/>
    <x v="8"/>
    <n v="2289"/>
  </r>
  <r>
    <x v="18"/>
    <s v="Endenergieverbrauch - Industriesektor - nicht anders angegeben - energetischer Verbrauch"/>
    <s v="Elektrizität"/>
    <s v="Gigawattstunde"/>
    <x v="5"/>
    <x v="8"/>
    <n v="2165"/>
  </r>
  <r>
    <x v="18"/>
    <s v="Endenergieverbrauch - Industriesektor - nicht anders angegeben - energetischer Verbrauch"/>
    <s v="Elektrizität"/>
    <s v="Gigawattstunde"/>
    <x v="6"/>
    <x v="8"/>
    <n v="2164"/>
  </r>
  <r>
    <x v="18"/>
    <s v="Endenergieverbrauch - Industriesektor - nicht anders angegeben - energetischer Verbrauch"/>
    <s v="Elektrizität"/>
    <s v="Gigawattstunde"/>
    <x v="7"/>
    <x v="8"/>
    <n v="1819"/>
  </r>
  <r>
    <x v="18"/>
    <s v="Endenergieverbrauch - Industriesektor - nicht anders angegeben - energetischer Verbrauch"/>
    <s v="Elektrizität"/>
    <s v="Gigawattstunde"/>
    <x v="8"/>
    <x v="8"/>
    <n v="1864"/>
  </r>
  <r>
    <x v="18"/>
    <s v="Endenergieverbrauch - Industriesektor - nicht anders angegeben - energetischer Verbrauch"/>
    <s v="Elektrizität"/>
    <s v="Gigawattstunde"/>
    <x v="9"/>
    <x v="8"/>
    <n v="1919"/>
  </r>
  <r>
    <x v="18"/>
    <s v="Endenergieverbrauch - Industriesektor - nicht anders angegeben - energetischer Verbrauch"/>
    <s v="Elektrizität"/>
    <s v="Gigawattstunde"/>
    <x v="10"/>
    <x v="8"/>
    <n v="1974.413"/>
  </r>
  <r>
    <x v="18"/>
    <s v="Endenergieverbrauch - Industriesektor - nicht anders angegeben - energetischer Verbrauch"/>
    <s v="Elektrizität"/>
    <s v="Gigawattstunde"/>
    <x v="11"/>
    <x v="8"/>
    <n v="1930.528"/>
  </r>
  <r>
    <x v="18"/>
    <s v="Endenergieverbrauch - Industriesektor - nicht anders angegeben - energetischer Verbrauch"/>
    <s v="Elektrizität"/>
    <s v="Gigawattstunde"/>
    <x v="12"/>
    <x v="8"/>
    <n v="1937.712"/>
  </r>
  <r>
    <x v="18"/>
    <s v="Endenergieverbrauch - Industriesektor - nicht anders angegeben - energetischer Verbrauch"/>
    <s v="Elektrizität"/>
    <s v="Gigawattstunde"/>
    <x v="13"/>
    <x v="8"/>
    <n v="2162.6759999999999"/>
  </r>
  <r>
    <x v="18"/>
    <s v="Endenergieverbrauch - Industriesektor - nicht anders angegeben - energetischer Verbrauch"/>
    <s v="Elektrizität"/>
    <s v="Gigawattstunde"/>
    <x v="14"/>
    <x v="8"/>
    <n v="2203.0369999999998"/>
  </r>
  <r>
    <x v="18"/>
    <s v="Endenergieverbrauch - Industriesektor - nicht anders angegeben - energetischer Verbrauch"/>
    <s v="Elektrizität"/>
    <s v="Gigawattstunde"/>
    <x v="15"/>
    <x v="8"/>
    <n v="1978.91"/>
  </r>
  <r>
    <x v="18"/>
    <s v="Endenergieverbrauch - Industriesektor - nicht anders angegeben - energetischer Verbrauch"/>
    <s v="Elektrizität"/>
    <s v="Gigawattstunde"/>
    <x v="16"/>
    <x v="8"/>
    <n v="2236.4789999999998"/>
  </r>
  <r>
    <x v="19"/>
    <s v="Endenergieverbrauch - Industriesektor - nicht anders angegeben - energetischer Verbrauch"/>
    <s v="Elektrizität"/>
    <s v="Gigawattstunde"/>
    <x v="0"/>
    <x v="8"/>
    <n v="1140"/>
  </r>
  <r>
    <x v="19"/>
    <s v="Endenergieverbrauch - Industriesektor - nicht anders angegeben - energetischer Verbrauch"/>
    <s v="Elektrizität"/>
    <s v="Gigawattstunde"/>
    <x v="1"/>
    <x v="8"/>
    <n v="1424"/>
  </r>
  <r>
    <x v="19"/>
    <s v="Endenergieverbrauch - Industriesektor - nicht anders angegeben - energetischer Verbrauch"/>
    <s v="Elektrizität"/>
    <s v="Gigawattstunde"/>
    <x v="2"/>
    <x v="8"/>
    <n v="1713"/>
  </r>
  <r>
    <x v="19"/>
    <s v="Endenergieverbrauch - Industriesektor - nicht anders angegeben - energetischer Verbrauch"/>
    <s v="Elektrizität"/>
    <s v="Gigawattstunde"/>
    <x v="3"/>
    <x v="8"/>
    <n v="1637.835"/>
  </r>
  <r>
    <x v="19"/>
    <s v="Endenergieverbrauch - Industriesektor - nicht anders angegeben - energetischer Verbrauch"/>
    <s v="Elektrizität"/>
    <s v="Gigawattstunde"/>
    <x v="4"/>
    <x v="8"/>
    <n v="1677.0640000000001"/>
  </r>
  <r>
    <x v="19"/>
    <s v="Endenergieverbrauch - Industriesektor - nicht anders angegeben - energetischer Verbrauch"/>
    <s v="Elektrizität"/>
    <s v="Gigawattstunde"/>
    <x v="5"/>
    <x v="8"/>
    <n v="1772.54"/>
  </r>
  <r>
    <x v="19"/>
    <s v="Endenergieverbrauch - Industriesektor - nicht anders angegeben - energetischer Verbrauch"/>
    <s v="Elektrizität"/>
    <s v="Gigawattstunde"/>
    <x v="6"/>
    <x v="8"/>
    <n v="1672.6759999999999"/>
  </r>
  <r>
    <x v="19"/>
    <s v="Endenergieverbrauch - Industriesektor - nicht anders angegeben - energetischer Verbrauch"/>
    <s v="Elektrizität"/>
    <s v="Gigawattstunde"/>
    <x v="7"/>
    <x v="8"/>
    <n v="1543.934"/>
  </r>
  <r>
    <x v="19"/>
    <s v="Endenergieverbrauch - Industriesektor - nicht anders angegeben - energetischer Verbrauch"/>
    <s v="Elektrizität"/>
    <s v="Gigawattstunde"/>
    <x v="8"/>
    <x v="8"/>
    <n v="1629.7639999999999"/>
  </r>
  <r>
    <x v="19"/>
    <s v="Endenergieverbrauch - Industriesektor - nicht anders angegeben - energetischer Verbrauch"/>
    <s v="Elektrizität"/>
    <s v="Gigawattstunde"/>
    <x v="9"/>
    <x v="8"/>
    <n v="1691.5409999999999"/>
  </r>
  <r>
    <x v="19"/>
    <s v="Endenergieverbrauch - Industriesektor - nicht anders angegeben - energetischer Verbrauch"/>
    <s v="Elektrizität"/>
    <s v="Gigawattstunde"/>
    <x v="10"/>
    <x v="8"/>
    <n v="1667.7349999999999"/>
  </r>
  <r>
    <x v="19"/>
    <s v="Endenergieverbrauch - Industriesektor - nicht anders angegeben - energetischer Verbrauch"/>
    <s v="Elektrizität"/>
    <s v="Gigawattstunde"/>
    <x v="11"/>
    <x v="8"/>
    <n v="1262.443"/>
  </r>
  <r>
    <x v="19"/>
    <s v="Endenergieverbrauch - Industriesektor - nicht anders angegeben - energetischer Verbrauch"/>
    <s v="Elektrizität"/>
    <s v="Gigawattstunde"/>
    <x v="12"/>
    <x v="8"/>
    <n v="1183.6780000000001"/>
  </r>
  <r>
    <x v="19"/>
    <s v="Endenergieverbrauch - Industriesektor - nicht anders angegeben - energetischer Verbrauch"/>
    <s v="Elektrizität"/>
    <s v="Gigawattstunde"/>
    <x v="13"/>
    <x v="8"/>
    <n v="1265.9000000000001"/>
  </r>
  <r>
    <x v="19"/>
    <s v="Endenergieverbrauch - Industriesektor - nicht anders angegeben - energetischer Verbrauch"/>
    <s v="Elektrizität"/>
    <s v="Gigawattstunde"/>
    <x v="14"/>
    <x v="8"/>
    <n v="1290.8789999999999"/>
  </r>
  <r>
    <x v="19"/>
    <s v="Endenergieverbrauch - Industriesektor - nicht anders angegeben - energetischer Verbrauch"/>
    <s v="Elektrizität"/>
    <s v="Gigawattstunde"/>
    <x v="15"/>
    <x v="8"/>
    <n v="1314.5160000000001"/>
  </r>
  <r>
    <x v="19"/>
    <s v="Endenergieverbrauch - Industriesektor - nicht anders angegeben - energetischer Verbrauch"/>
    <s v="Elektrizität"/>
    <s v="Gigawattstunde"/>
    <x v="16"/>
    <x v="8"/>
    <n v="1372.5029999999999"/>
  </r>
  <r>
    <x v="20"/>
    <s v="Endenergieverbrauch - Industriesektor - nicht anders angegeben - energetischer Verbrauch"/>
    <s v="Elektrizität"/>
    <s v="Gigawattstunde"/>
    <x v="0"/>
    <x v="8"/>
    <n v="2003"/>
  </r>
  <r>
    <x v="20"/>
    <s v="Endenergieverbrauch - Industriesektor - nicht anders angegeben - energetischer Verbrauch"/>
    <s v="Elektrizität"/>
    <s v="Gigawattstunde"/>
    <x v="1"/>
    <x v="8"/>
    <n v="2278"/>
  </r>
  <r>
    <x v="20"/>
    <s v="Endenergieverbrauch - Industriesektor - nicht anders angegeben - energetischer Verbrauch"/>
    <s v="Elektrizität"/>
    <s v="Gigawattstunde"/>
    <x v="2"/>
    <x v="8"/>
    <n v="2519"/>
  </r>
  <r>
    <x v="20"/>
    <s v="Endenergieverbrauch - Industriesektor - nicht anders angegeben - energetischer Verbrauch"/>
    <s v="Elektrizität"/>
    <s v="Gigawattstunde"/>
    <x v="3"/>
    <x v="8"/>
    <n v="2640"/>
  </r>
  <r>
    <x v="20"/>
    <s v="Endenergieverbrauch - Industriesektor - nicht anders angegeben - energetischer Verbrauch"/>
    <s v="Elektrizität"/>
    <s v="Gigawattstunde"/>
    <x v="4"/>
    <x v="8"/>
    <n v="2702"/>
  </r>
  <r>
    <x v="20"/>
    <s v="Endenergieverbrauch - Industriesektor - nicht anders angegeben - energetischer Verbrauch"/>
    <s v="Elektrizität"/>
    <s v="Gigawattstunde"/>
    <x v="5"/>
    <x v="8"/>
    <n v="2850"/>
  </r>
  <r>
    <x v="20"/>
    <s v="Endenergieverbrauch - Industriesektor - nicht anders angegeben - energetischer Verbrauch"/>
    <s v="Elektrizität"/>
    <s v="Gigawattstunde"/>
    <x v="6"/>
    <x v="8"/>
    <n v="2800"/>
  </r>
  <r>
    <x v="20"/>
    <s v="Endenergieverbrauch - Industriesektor - nicht anders angegeben - energetischer Verbrauch"/>
    <s v="Elektrizität"/>
    <s v="Gigawattstunde"/>
    <x v="7"/>
    <x v="8"/>
    <n v="2481"/>
  </r>
  <r>
    <x v="20"/>
    <s v="Endenergieverbrauch - Industriesektor - nicht anders angegeben - energetischer Verbrauch"/>
    <s v="Elektrizität"/>
    <s v="Gigawattstunde"/>
    <x v="8"/>
    <x v="8"/>
    <n v="2811"/>
  </r>
  <r>
    <x v="20"/>
    <s v="Endenergieverbrauch - Industriesektor - nicht anders angegeben - energetischer Verbrauch"/>
    <s v="Elektrizität"/>
    <s v="Gigawattstunde"/>
    <x v="9"/>
    <x v="8"/>
    <n v="3325"/>
  </r>
  <r>
    <x v="20"/>
    <s v="Endenergieverbrauch - Industriesektor - nicht anders angegeben - energetischer Verbrauch"/>
    <s v="Elektrizität"/>
    <s v="Gigawattstunde"/>
    <x v="10"/>
    <x v="8"/>
    <n v="3231"/>
  </r>
  <r>
    <x v="20"/>
    <s v="Endenergieverbrauch - Industriesektor - nicht anders angegeben - energetischer Verbrauch"/>
    <s v="Elektrizität"/>
    <s v="Gigawattstunde"/>
    <x v="11"/>
    <x v="8"/>
    <n v="4073"/>
  </r>
  <r>
    <x v="20"/>
    <s v="Endenergieverbrauch - Industriesektor - nicht anders angegeben - energetischer Verbrauch"/>
    <s v="Elektrizität"/>
    <s v="Gigawattstunde"/>
    <x v="12"/>
    <x v="8"/>
    <n v="4260"/>
  </r>
  <r>
    <x v="20"/>
    <s v="Endenergieverbrauch - Industriesektor - nicht anders angegeben - energetischer Verbrauch"/>
    <s v="Elektrizität"/>
    <s v="Gigawattstunde"/>
    <x v="13"/>
    <x v="8"/>
    <n v="4397"/>
  </r>
  <r>
    <x v="20"/>
    <s v="Endenergieverbrauch - Industriesektor - nicht anders angegeben - energetischer Verbrauch"/>
    <s v="Elektrizität"/>
    <s v="Gigawattstunde"/>
    <x v="14"/>
    <x v="8"/>
    <n v="4779"/>
  </r>
  <r>
    <x v="20"/>
    <s v="Endenergieverbrauch - Industriesektor - nicht anders angegeben - energetischer Verbrauch"/>
    <s v="Elektrizität"/>
    <s v="Gigawattstunde"/>
    <x v="15"/>
    <x v="8"/>
    <n v="5348.7479999999996"/>
  </r>
  <r>
    <x v="20"/>
    <s v="Endenergieverbrauch - Industriesektor - nicht anders angegeben - energetischer Verbrauch"/>
    <s v="Elektrizität"/>
    <s v="Gigawattstunde"/>
    <x v="16"/>
    <x v="8"/>
    <n v="5301.0079999999998"/>
  </r>
  <r>
    <x v="21"/>
    <s v="Endenergieverbrauch - Industriesektor - nicht anders angegeben - energetischer Verbrauch"/>
    <s v="Elektrizität"/>
    <s v="Gigawattstunde"/>
    <x v="0"/>
    <x v="8"/>
    <n v="1274"/>
  </r>
  <r>
    <x v="21"/>
    <s v="Endenergieverbrauch - Industriesektor - nicht anders angegeben - energetischer Verbrauch"/>
    <s v="Elektrizität"/>
    <s v="Gigawattstunde"/>
    <x v="1"/>
    <x v="8"/>
    <n v="1526"/>
  </r>
  <r>
    <x v="21"/>
    <s v="Endenergieverbrauch - Industriesektor - nicht anders angegeben - energetischer Verbrauch"/>
    <s v="Elektrizität"/>
    <s v="Gigawattstunde"/>
    <x v="2"/>
    <x v="8"/>
    <n v="1517"/>
  </r>
  <r>
    <x v="21"/>
    <s v="Endenergieverbrauch - Industriesektor - nicht anders angegeben - energetischer Verbrauch"/>
    <s v="Elektrizität"/>
    <s v="Gigawattstunde"/>
    <x v="3"/>
    <x v="8"/>
    <n v="1395"/>
  </r>
  <r>
    <x v="21"/>
    <s v="Endenergieverbrauch - Industriesektor - nicht anders angegeben - energetischer Verbrauch"/>
    <s v="Elektrizität"/>
    <s v="Gigawattstunde"/>
    <x v="4"/>
    <x v="8"/>
    <n v="1448"/>
  </r>
  <r>
    <x v="21"/>
    <s v="Endenergieverbrauch - Industriesektor - nicht anders angegeben - energetischer Verbrauch"/>
    <s v="Elektrizität"/>
    <s v="Gigawattstunde"/>
    <x v="5"/>
    <x v="8"/>
    <n v="1375"/>
  </r>
  <r>
    <x v="21"/>
    <s v="Endenergieverbrauch - Industriesektor - nicht anders angegeben - energetischer Verbrauch"/>
    <s v="Elektrizität"/>
    <s v="Gigawattstunde"/>
    <x v="6"/>
    <x v="8"/>
    <n v="1545"/>
  </r>
  <r>
    <x v="21"/>
    <s v="Endenergieverbrauch - Industriesektor - nicht anders angegeben - energetischer Verbrauch"/>
    <s v="Elektrizität"/>
    <s v="Gigawattstunde"/>
    <x v="7"/>
    <x v="8"/>
    <n v="1492"/>
  </r>
  <r>
    <x v="21"/>
    <s v="Endenergieverbrauch - Industriesektor - nicht anders angegeben - energetischer Verbrauch"/>
    <s v="Elektrizität"/>
    <s v="Gigawattstunde"/>
    <x v="8"/>
    <x v="8"/>
    <n v="1590"/>
  </r>
  <r>
    <x v="21"/>
    <s v="Endenergieverbrauch - Industriesektor - nicht anders angegeben - energetischer Verbrauch"/>
    <s v="Elektrizität"/>
    <s v="Gigawattstunde"/>
    <x v="9"/>
    <x v="8"/>
    <n v="1528"/>
  </r>
  <r>
    <x v="21"/>
    <s v="Endenergieverbrauch - Industriesektor - nicht anders angegeben - energetischer Verbrauch"/>
    <s v="Elektrizität"/>
    <s v="Gigawattstunde"/>
    <x v="10"/>
    <x v="8"/>
    <n v="1340"/>
  </r>
  <r>
    <x v="21"/>
    <s v="Endenergieverbrauch - Industriesektor - nicht anders angegeben - energetischer Verbrauch"/>
    <s v="Elektrizität"/>
    <s v="Gigawattstunde"/>
    <x v="11"/>
    <x v="8"/>
    <n v="1271"/>
  </r>
  <r>
    <x v="21"/>
    <s v="Endenergieverbrauch - Industriesektor - nicht anders angegeben - energetischer Verbrauch"/>
    <s v="Elektrizität"/>
    <s v="Gigawattstunde"/>
    <x v="12"/>
    <x v="8"/>
    <n v="490"/>
  </r>
  <r>
    <x v="21"/>
    <s v="Endenergieverbrauch - Industriesektor - nicht anders angegeben - energetischer Verbrauch"/>
    <s v="Elektrizität"/>
    <s v="Gigawattstunde"/>
    <x v="13"/>
    <x v="8"/>
    <n v="503"/>
  </r>
  <r>
    <x v="21"/>
    <s v="Endenergieverbrauch - Industriesektor - nicht anders angegeben - energetischer Verbrauch"/>
    <s v="Elektrizität"/>
    <s v="Gigawattstunde"/>
    <x v="14"/>
    <x v="8"/>
    <n v="507.59300000000002"/>
  </r>
  <r>
    <x v="21"/>
    <s v="Endenergieverbrauch - Industriesektor - nicht anders angegeben - energetischer Verbrauch"/>
    <s v="Elektrizität"/>
    <s v="Gigawattstunde"/>
    <x v="15"/>
    <x v="8"/>
    <n v="516.82100000000003"/>
  </r>
  <r>
    <x v="21"/>
    <s v="Endenergieverbrauch - Industriesektor - nicht anders angegeben - energetischer Verbrauch"/>
    <s v="Elektrizität"/>
    <s v="Gigawattstunde"/>
    <x v="16"/>
    <x v="8"/>
    <n v="536.68100000000004"/>
  </r>
  <r>
    <x v="22"/>
    <s v="Endenergieverbrauch - Industriesektor - nicht anders angegeben - energetischer Verbrauch"/>
    <s v="Elektrizität"/>
    <s v="Gigawattstunde"/>
    <x v="0"/>
    <x v="8"/>
    <n v="1373"/>
  </r>
  <r>
    <x v="22"/>
    <s v="Endenergieverbrauch - Industriesektor - nicht anders angegeben - energetischer Verbrauch"/>
    <s v="Elektrizität"/>
    <s v="Gigawattstunde"/>
    <x v="1"/>
    <x v="8"/>
    <n v="1236"/>
  </r>
  <r>
    <x v="22"/>
    <s v="Endenergieverbrauch - Industriesektor - nicht anders angegeben - energetischer Verbrauch"/>
    <s v="Elektrizität"/>
    <s v="Gigawattstunde"/>
    <x v="2"/>
    <x v="8"/>
    <n v="1474"/>
  </r>
  <r>
    <x v="22"/>
    <s v="Endenergieverbrauch - Industriesektor - nicht anders angegeben - energetischer Verbrauch"/>
    <s v="Elektrizität"/>
    <s v="Gigawattstunde"/>
    <x v="3"/>
    <x v="8"/>
    <n v="1554"/>
  </r>
  <r>
    <x v="22"/>
    <s v="Endenergieverbrauch - Industriesektor - nicht anders angegeben - energetischer Verbrauch"/>
    <s v="Elektrizität"/>
    <s v="Gigawattstunde"/>
    <x v="4"/>
    <x v="8"/>
    <n v="1008"/>
  </r>
  <r>
    <x v="22"/>
    <s v="Endenergieverbrauch - Industriesektor - nicht anders angegeben - energetischer Verbrauch"/>
    <s v="Elektrizität"/>
    <s v="Gigawattstunde"/>
    <x v="5"/>
    <x v="8"/>
    <n v="1251"/>
  </r>
  <r>
    <x v="22"/>
    <s v="Endenergieverbrauch - Industriesektor - nicht anders angegeben - energetischer Verbrauch"/>
    <s v="Elektrizität"/>
    <s v="Gigawattstunde"/>
    <x v="6"/>
    <x v="8"/>
    <n v="1025"/>
  </r>
  <r>
    <x v="22"/>
    <s v="Endenergieverbrauch - Industriesektor - nicht anders angegeben - energetischer Verbrauch"/>
    <s v="Elektrizität"/>
    <s v="Gigawattstunde"/>
    <x v="7"/>
    <x v="8"/>
    <n v="896"/>
  </r>
  <r>
    <x v="22"/>
    <s v="Endenergieverbrauch - Industriesektor - nicht anders angegeben - energetischer Verbrauch"/>
    <s v="Elektrizität"/>
    <s v="Gigawattstunde"/>
    <x v="8"/>
    <x v="8"/>
    <n v="962"/>
  </r>
  <r>
    <x v="22"/>
    <s v="Endenergieverbrauch - Industriesektor - nicht anders angegeben - energetischer Verbrauch"/>
    <s v="Elektrizität"/>
    <s v="Gigawattstunde"/>
    <x v="9"/>
    <x v="8"/>
    <n v="1267"/>
  </r>
  <r>
    <x v="22"/>
    <s v="Endenergieverbrauch - Industriesektor - nicht anders angegeben - energetischer Verbrauch"/>
    <s v="Elektrizität"/>
    <s v="Gigawattstunde"/>
    <x v="10"/>
    <x v="8"/>
    <n v="979"/>
  </r>
  <r>
    <x v="22"/>
    <s v="Endenergieverbrauch - Industriesektor - nicht anders angegeben - energetischer Verbrauch"/>
    <s v="Elektrizität"/>
    <s v="Gigawattstunde"/>
    <x v="11"/>
    <x v="8"/>
    <n v="1144"/>
  </r>
  <r>
    <x v="22"/>
    <s v="Endenergieverbrauch - Industriesektor - nicht anders angegeben - energetischer Verbrauch"/>
    <s v="Elektrizität"/>
    <s v="Gigawattstunde"/>
    <x v="12"/>
    <x v="8"/>
    <n v="1074"/>
  </r>
  <r>
    <x v="22"/>
    <s v="Endenergieverbrauch - Industriesektor - nicht anders angegeben - energetischer Verbrauch"/>
    <s v="Elektrizität"/>
    <s v="Gigawattstunde"/>
    <x v="13"/>
    <x v="8"/>
    <n v="1080"/>
  </r>
  <r>
    <x v="22"/>
    <s v="Endenergieverbrauch - Industriesektor - nicht anders angegeben - energetischer Verbrauch"/>
    <s v="Elektrizität"/>
    <s v="Gigawattstunde"/>
    <x v="14"/>
    <x v="8"/>
    <n v="1157"/>
  </r>
  <r>
    <x v="22"/>
    <s v="Endenergieverbrauch - Industriesektor - nicht anders angegeben - energetischer Verbrauch"/>
    <s v="Elektrizität"/>
    <s v="Gigawattstunde"/>
    <x v="15"/>
    <x v="8"/>
    <n v="1157.864"/>
  </r>
  <r>
    <x v="22"/>
    <s v="Endenergieverbrauch - Industriesektor - nicht anders angegeben - energetischer Verbrauch"/>
    <s v="Elektrizität"/>
    <s v="Gigawattstunde"/>
    <x v="16"/>
    <x v="8"/>
    <n v="1140.7190000000001"/>
  </r>
  <r>
    <x v="23"/>
    <s v="Endenergieverbrauch - Industriesektor - nicht anders angegeben - energetischer Verbrauch"/>
    <s v="Elektrizität"/>
    <s v="Gigawattstunde"/>
    <x v="0"/>
    <x v="8"/>
    <n v="336"/>
  </r>
  <r>
    <x v="23"/>
    <s v="Endenergieverbrauch - Industriesektor - nicht anders angegeben - energetischer Verbrauch"/>
    <s v="Elektrizität"/>
    <s v="Gigawattstunde"/>
    <x v="1"/>
    <x v="8"/>
    <n v="411"/>
  </r>
  <r>
    <x v="23"/>
    <s v="Endenergieverbrauch - Industriesektor - nicht anders angegeben - energetischer Verbrauch"/>
    <s v="Elektrizität"/>
    <s v="Gigawattstunde"/>
    <x v="2"/>
    <x v="8"/>
    <n v="429"/>
  </r>
  <r>
    <x v="23"/>
    <s v="Endenergieverbrauch - Industriesektor - nicht anders angegeben - energetischer Verbrauch"/>
    <s v="Elektrizität"/>
    <s v="Gigawattstunde"/>
    <x v="3"/>
    <x v="8"/>
    <n v="457"/>
  </r>
  <r>
    <x v="23"/>
    <s v="Endenergieverbrauch - Industriesektor - nicht anders angegeben - energetischer Verbrauch"/>
    <s v="Elektrizität"/>
    <s v="Gigawattstunde"/>
    <x v="4"/>
    <x v="8"/>
    <n v="548"/>
  </r>
  <r>
    <x v="23"/>
    <s v="Endenergieverbrauch - Industriesektor - nicht anders angegeben - energetischer Verbrauch"/>
    <s v="Elektrizität"/>
    <s v="Gigawattstunde"/>
    <x v="5"/>
    <x v="8"/>
    <n v="533"/>
  </r>
  <r>
    <x v="23"/>
    <s v="Endenergieverbrauch - Industriesektor - nicht anders angegeben - energetischer Verbrauch"/>
    <s v="Elektrizität"/>
    <s v="Gigawattstunde"/>
    <x v="6"/>
    <x v="8"/>
    <n v="455"/>
  </r>
  <r>
    <x v="23"/>
    <s v="Endenergieverbrauch - Industriesektor - nicht anders angegeben - energetischer Verbrauch"/>
    <s v="Elektrizität"/>
    <s v="Gigawattstunde"/>
    <x v="7"/>
    <x v="8"/>
    <n v="400"/>
  </r>
  <r>
    <x v="23"/>
    <s v="Endenergieverbrauch - Industriesektor - nicht anders angegeben - energetischer Verbrauch"/>
    <s v="Elektrizität"/>
    <s v="Gigawattstunde"/>
    <x v="8"/>
    <x v="8"/>
    <n v="433"/>
  </r>
  <r>
    <x v="23"/>
    <s v="Endenergieverbrauch - Industriesektor - nicht anders angegeben - energetischer Verbrauch"/>
    <s v="Elektrizität"/>
    <s v="Gigawattstunde"/>
    <x v="9"/>
    <x v="8"/>
    <n v="417"/>
  </r>
  <r>
    <x v="23"/>
    <s v="Endenergieverbrauch - Industriesektor - nicht anders angegeben - energetischer Verbrauch"/>
    <s v="Elektrizität"/>
    <s v="Gigawattstunde"/>
    <x v="10"/>
    <x v="8"/>
    <n v="392"/>
  </r>
  <r>
    <x v="23"/>
    <s v="Endenergieverbrauch - Industriesektor - nicht anders angegeben - energetischer Verbrauch"/>
    <s v="Elektrizität"/>
    <s v="Gigawattstunde"/>
    <x v="11"/>
    <x v="8"/>
    <n v="408"/>
  </r>
  <r>
    <x v="23"/>
    <s v="Endenergieverbrauch - Industriesektor - nicht anders angegeben - energetischer Verbrauch"/>
    <s v="Elektrizität"/>
    <s v="Gigawattstunde"/>
    <x v="12"/>
    <x v="8"/>
    <n v="422"/>
  </r>
  <r>
    <x v="23"/>
    <s v="Endenergieverbrauch - Industriesektor - nicht anders angegeben - energetischer Verbrauch"/>
    <s v="Elektrizität"/>
    <s v="Gigawattstunde"/>
    <x v="13"/>
    <x v="8"/>
    <n v="428"/>
  </r>
  <r>
    <x v="23"/>
    <s v="Endenergieverbrauch - Industriesektor - nicht anders angegeben - energetischer Verbrauch"/>
    <s v="Elektrizität"/>
    <s v="Gigawattstunde"/>
    <x v="14"/>
    <x v="8"/>
    <n v="465"/>
  </r>
  <r>
    <x v="23"/>
    <s v="Endenergieverbrauch - Industriesektor - nicht anders angegeben - energetischer Verbrauch"/>
    <s v="Elektrizität"/>
    <s v="Gigawattstunde"/>
    <x v="15"/>
    <x v="8"/>
    <n v="494.25"/>
  </r>
  <r>
    <x v="23"/>
    <s v="Endenergieverbrauch - Industriesektor - nicht anders angegeben - energetischer Verbrauch"/>
    <s v="Elektrizität"/>
    <s v="Gigawattstunde"/>
    <x v="16"/>
    <x v="8"/>
    <n v="537.428"/>
  </r>
  <r>
    <x v="24"/>
    <s v="Endenergieverbrauch - Industriesektor - nicht anders angegeben - energetischer Verbrauch"/>
    <s v="Elektrizität"/>
    <s v="Gigawattstunde"/>
    <x v="0"/>
    <x v="8"/>
    <n v="384"/>
  </r>
  <r>
    <x v="24"/>
    <s v="Endenergieverbrauch - Industriesektor - nicht anders angegeben - energetischer Verbrauch"/>
    <s v="Elektrizität"/>
    <s v="Gigawattstunde"/>
    <x v="1"/>
    <x v="8"/>
    <n v="468"/>
  </r>
  <r>
    <x v="24"/>
    <s v="Endenergieverbrauch - Industriesektor - nicht anders angegeben - energetischer Verbrauch"/>
    <s v="Elektrizität"/>
    <s v="Gigawattstunde"/>
    <x v="2"/>
    <x v="8"/>
    <n v="480"/>
  </r>
  <r>
    <x v="24"/>
    <s v="Endenergieverbrauch - Industriesektor - nicht anders angegeben - energetischer Verbrauch"/>
    <s v="Elektrizität"/>
    <s v="Gigawattstunde"/>
    <x v="3"/>
    <x v="8"/>
    <n v="728"/>
  </r>
  <r>
    <x v="24"/>
    <s v="Endenergieverbrauch - Industriesektor - nicht anders angegeben - energetischer Verbrauch"/>
    <s v="Elektrizität"/>
    <s v="Gigawattstunde"/>
    <x v="4"/>
    <x v="8"/>
    <n v="556"/>
  </r>
  <r>
    <x v="24"/>
    <s v="Endenergieverbrauch - Industriesektor - nicht anders angegeben - energetischer Verbrauch"/>
    <s v="Elektrizität"/>
    <s v="Gigawattstunde"/>
    <x v="5"/>
    <x v="8"/>
    <n v="580"/>
  </r>
  <r>
    <x v="24"/>
    <s v="Endenergieverbrauch - Industriesektor - nicht anders angegeben - energetischer Verbrauch"/>
    <s v="Elektrizität"/>
    <s v="Gigawattstunde"/>
    <x v="6"/>
    <x v="8"/>
    <n v="720"/>
  </r>
  <r>
    <x v="24"/>
    <s v="Endenergieverbrauch - Industriesektor - nicht anders angegeben - energetischer Verbrauch"/>
    <s v="Elektrizität"/>
    <s v="Gigawattstunde"/>
    <x v="7"/>
    <x v="8"/>
    <n v="690"/>
  </r>
  <r>
    <x v="24"/>
    <s v="Endenergieverbrauch - Industriesektor - nicht anders angegeben - energetischer Verbrauch"/>
    <s v="Elektrizität"/>
    <s v="Gigawattstunde"/>
    <x v="8"/>
    <x v="8"/>
    <n v="778"/>
  </r>
  <r>
    <x v="24"/>
    <s v="Endenergieverbrauch - Industriesektor - nicht anders angegeben - energetischer Verbrauch"/>
    <s v="Elektrizität"/>
    <s v="Gigawattstunde"/>
    <x v="9"/>
    <x v="8"/>
    <n v="777"/>
  </r>
  <r>
    <x v="24"/>
    <s v="Endenergieverbrauch - Industriesektor - nicht anders angegeben - energetischer Verbrauch"/>
    <s v="Elektrizität"/>
    <s v="Gigawattstunde"/>
    <x v="10"/>
    <x v="8"/>
    <n v="808"/>
  </r>
  <r>
    <x v="24"/>
    <s v="Endenergieverbrauch - Industriesektor - nicht anders angegeben - energetischer Verbrauch"/>
    <s v="Elektrizität"/>
    <s v="Gigawattstunde"/>
    <x v="11"/>
    <x v="8"/>
    <n v="686"/>
  </r>
  <r>
    <x v="24"/>
    <s v="Endenergieverbrauch - Industriesektor - nicht anders angegeben - energetischer Verbrauch"/>
    <s v="Elektrizität"/>
    <s v="Gigawattstunde"/>
    <x v="12"/>
    <x v="8"/>
    <n v="898"/>
  </r>
  <r>
    <x v="24"/>
    <s v="Endenergieverbrauch - Industriesektor - nicht anders angegeben - energetischer Verbrauch"/>
    <s v="Elektrizität"/>
    <s v="Gigawattstunde"/>
    <x v="13"/>
    <x v="8"/>
    <n v="900"/>
  </r>
  <r>
    <x v="24"/>
    <s v="Endenergieverbrauch - Industriesektor - nicht anders angegeben - energetischer Verbrauch"/>
    <s v="Elektrizität"/>
    <s v="Gigawattstunde"/>
    <x v="14"/>
    <x v="8"/>
    <n v="982"/>
  </r>
  <r>
    <x v="24"/>
    <s v="Endenergieverbrauch - Industriesektor - nicht anders angegeben - energetischer Verbrauch"/>
    <s v="Elektrizität"/>
    <s v="Gigawattstunde"/>
    <x v="15"/>
    <x v="8"/>
    <n v="1044"/>
  </r>
  <r>
    <x v="24"/>
    <s v="Endenergieverbrauch - Industriesektor - nicht anders angegeben - energetischer Verbrauch"/>
    <s v="Elektrizität"/>
    <s v="Gigawattstunde"/>
    <x v="16"/>
    <x v="8"/>
    <n v="1033"/>
  </r>
  <r>
    <x v="25"/>
    <s v="Endenergieverbrauch - Industriesektor - nicht anders angegeben - energetischer Verbrauch"/>
    <s v="Elektrizität"/>
    <s v="Gigawattstunde"/>
    <x v="0"/>
    <x v="8"/>
    <n v="1893"/>
  </r>
  <r>
    <x v="25"/>
    <s v="Endenergieverbrauch - Industriesektor - nicht anders angegeben - energetischer Verbrauch"/>
    <s v="Elektrizität"/>
    <s v="Gigawattstunde"/>
    <x v="1"/>
    <x v="8"/>
    <n v="1796"/>
  </r>
  <r>
    <x v="25"/>
    <s v="Endenergieverbrauch - Industriesektor - nicht anders angegeben - energetischer Verbrauch"/>
    <s v="Elektrizität"/>
    <s v="Gigawattstunde"/>
    <x v="2"/>
    <x v="8"/>
    <n v="1907"/>
  </r>
  <r>
    <x v="25"/>
    <s v="Endenergieverbrauch - Industriesektor - nicht anders angegeben - energetischer Verbrauch"/>
    <s v="Elektrizität"/>
    <s v="Gigawattstunde"/>
    <x v="3"/>
    <x v="8"/>
    <n v="1912"/>
  </r>
  <r>
    <x v="25"/>
    <s v="Endenergieverbrauch - Industriesektor - nicht anders angegeben - energetischer Verbrauch"/>
    <s v="Elektrizität"/>
    <s v="Gigawattstunde"/>
    <x v="4"/>
    <x v="8"/>
    <n v="1900"/>
  </r>
  <r>
    <x v="25"/>
    <s v="Endenergieverbrauch - Industriesektor - nicht anders angegeben - energetischer Verbrauch"/>
    <s v="Elektrizität"/>
    <s v="Gigawattstunde"/>
    <x v="5"/>
    <x v="8"/>
    <n v="1460"/>
  </r>
  <r>
    <x v="25"/>
    <s v="Endenergieverbrauch - Industriesektor - nicht anders angegeben - energetischer Verbrauch"/>
    <s v="Elektrizität"/>
    <s v="Gigawattstunde"/>
    <x v="6"/>
    <x v="8"/>
    <n v="1706"/>
  </r>
  <r>
    <x v="25"/>
    <s v="Endenergieverbrauch - Industriesektor - nicht anders angegeben - energetischer Verbrauch"/>
    <s v="Elektrizität"/>
    <s v="Gigawattstunde"/>
    <x v="7"/>
    <x v="8"/>
    <n v="491"/>
  </r>
  <r>
    <x v="25"/>
    <s v="Endenergieverbrauch - Industriesektor - nicht anders angegeben - energetischer Verbrauch"/>
    <s v="Elektrizität"/>
    <s v="Gigawattstunde"/>
    <x v="8"/>
    <x v="8"/>
    <n v="1550"/>
  </r>
  <r>
    <x v="25"/>
    <s v="Endenergieverbrauch - Industriesektor - nicht anders angegeben - energetischer Verbrauch"/>
    <s v="Elektrizität"/>
    <s v="Gigawattstunde"/>
    <x v="9"/>
    <x v="8"/>
    <n v="629"/>
  </r>
  <r>
    <x v="25"/>
    <s v="Endenergieverbrauch - Industriesektor - nicht anders angegeben - energetischer Verbrauch"/>
    <s v="Elektrizität"/>
    <s v="Gigawattstunde"/>
    <x v="10"/>
    <x v="8"/>
    <n v="963"/>
  </r>
  <r>
    <x v="25"/>
    <s v="Endenergieverbrauch - Industriesektor - nicht anders angegeben - energetischer Verbrauch"/>
    <s v="Elektrizität"/>
    <s v="Gigawattstunde"/>
    <x v="11"/>
    <x v="8"/>
    <n v="761"/>
  </r>
  <r>
    <x v="25"/>
    <s v="Endenergieverbrauch - Industriesektor - nicht anders angegeben - energetischer Verbrauch"/>
    <s v="Elektrizität"/>
    <s v="Gigawattstunde"/>
    <x v="12"/>
    <x v="8"/>
    <n v="767"/>
  </r>
  <r>
    <x v="25"/>
    <s v="Endenergieverbrauch - Industriesektor - nicht anders angegeben - energetischer Verbrauch"/>
    <s v="Elektrizität"/>
    <s v="Gigawattstunde"/>
    <x v="13"/>
    <x v="8"/>
    <n v="749"/>
  </r>
  <r>
    <x v="25"/>
    <s v="Endenergieverbrauch - Industriesektor - nicht anders angegeben - energetischer Verbrauch"/>
    <s v="Elektrizität"/>
    <s v="Gigawattstunde"/>
    <x v="14"/>
    <x v="8"/>
    <n v="780"/>
  </r>
  <r>
    <x v="25"/>
    <s v="Endenergieverbrauch - Industriesektor - nicht anders angegeben - energetischer Verbrauch"/>
    <s v="Elektrizität"/>
    <s v="Gigawattstunde"/>
    <x v="15"/>
    <x v="8"/>
    <n v="1001"/>
  </r>
  <r>
    <x v="25"/>
    <s v="Endenergieverbrauch - Industriesektor - nicht anders angegeben - energetischer Verbrauch"/>
    <s v="Elektrizität"/>
    <s v="Gigawattstunde"/>
    <x v="16"/>
    <x v="8"/>
    <n v="951"/>
  </r>
  <r>
    <x v="26"/>
    <s v="Endenergieverbrauch - Industriesektor - nicht anders angegeben - energetischer Verbrauch"/>
    <s v="Elektrizität"/>
    <s v="Gigawattstunde"/>
    <x v="0"/>
    <x v="8"/>
    <n v="6786"/>
  </r>
  <r>
    <x v="26"/>
    <s v="Endenergieverbrauch - Industriesektor - nicht anders angegeben - energetischer Verbrauch"/>
    <s v="Elektrizität"/>
    <s v="Gigawattstunde"/>
    <x v="1"/>
    <x v="8"/>
    <n v="5328"/>
  </r>
  <r>
    <x v="26"/>
    <s v="Endenergieverbrauch - Industriesektor - nicht anders angegeben - energetischer Verbrauch"/>
    <s v="Elektrizität"/>
    <s v="Gigawattstunde"/>
    <x v="2"/>
    <x v="8"/>
    <n v="5399"/>
  </r>
  <r>
    <x v="26"/>
    <s v="Endenergieverbrauch - Industriesektor - nicht anders angegeben - energetischer Verbrauch"/>
    <s v="Elektrizität"/>
    <s v="Gigawattstunde"/>
    <x v="3"/>
    <x v="8"/>
    <n v="5587"/>
  </r>
  <r>
    <x v="26"/>
    <s v="Endenergieverbrauch - Industriesektor - nicht anders angegeben - energetischer Verbrauch"/>
    <s v="Elektrizität"/>
    <s v="Gigawattstunde"/>
    <x v="4"/>
    <x v="8"/>
    <n v="4639"/>
  </r>
  <r>
    <x v="26"/>
    <s v="Endenergieverbrauch - Industriesektor - nicht anders angegeben - energetischer Verbrauch"/>
    <s v="Elektrizität"/>
    <s v="Gigawattstunde"/>
    <x v="5"/>
    <x v="8"/>
    <n v="4847"/>
  </r>
  <r>
    <x v="26"/>
    <s v="Endenergieverbrauch - Industriesektor - nicht anders angegeben - energetischer Verbrauch"/>
    <s v="Elektrizität"/>
    <s v="Gigawattstunde"/>
    <x v="6"/>
    <x v="8"/>
    <n v="5256"/>
  </r>
  <r>
    <x v="26"/>
    <s v="Endenergieverbrauch - Industriesektor - nicht anders angegeben - energetischer Verbrauch"/>
    <s v="Elektrizität"/>
    <s v="Gigawattstunde"/>
    <x v="7"/>
    <x v="8"/>
    <n v="5837"/>
  </r>
  <r>
    <x v="26"/>
    <s v="Endenergieverbrauch - Industriesektor - nicht anders angegeben - energetischer Verbrauch"/>
    <s v="Elektrizität"/>
    <s v="Gigawattstunde"/>
    <x v="8"/>
    <x v="8"/>
    <n v="3302"/>
  </r>
  <r>
    <x v="26"/>
    <s v="Endenergieverbrauch - Industriesektor - nicht anders angegeben - energetischer Verbrauch"/>
    <s v="Elektrizität"/>
    <s v="Gigawattstunde"/>
    <x v="9"/>
    <x v="8"/>
    <n v="2464"/>
  </r>
  <r>
    <x v="26"/>
    <s v="Endenergieverbrauch - Industriesektor - nicht anders angegeben - energetischer Verbrauch"/>
    <s v="Elektrizität"/>
    <s v="Gigawattstunde"/>
    <x v="10"/>
    <x v="8"/>
    <n v="3296"/>
  </r>
  <r>
    <x v="26"/>
    <s v="Endenergieverbrauch - Industriesektor - nicht anders angegeben - energetischer Verbrauch"/>
    <s v="Elektrizität"/>
    <s v="Gigawattstunde"/>
    <x v="11"/>
    <x v="8"/>
    <n v="2617"/>
  </r>
  <r>
    <x v="26"/>
    <s v="Endenergieverbrauch - Industriesektor - nicht anders angegeben - energetischer Verbrauch"/>
    <s v="Elektrizität"/>
    <s v="Gigawattstunde"/>
    <x v="12"/>
    <x v="8"/>
    <n v="26842"/>
  </r>
  <r>
    <x v="26"/>
    <s v="Endenergieverbrauch - Industriesektor - nicht anders angegeben - energetischer Verbrauch"/>
    <s v="Elektrizität"/>
    <s v="Gigawattstunde"/>
    <x v="13"/>
    <x v="8"/>
    <n v="2624"/>
  </r>
  <r>
    <x v="26"/>
    <s v="Endenergieverbrauch - Industriesektor - nicht anders angegeben - energetischer Verbrauch"/>
    <s v="Elektrizität"/>
    <s v="Gigawattstunde"/>
    <x v="14"/>
    <x v="8"/>
    <n v="2587"/>
  </r>
  <r>
    <x v="26"/>
    <s v="Endenergieverbrauch - Industriesektor - nicht anders angegeben - energetischer Verbrauch"/>
    <s v="Elektrizität"/>
    <s v="Gigawattstunde"/>
    <x v="15"/>
    <x v="8"/>
    <n v="2584"/>
  </r>
  <r>
    <x v="26"/>
    <s v="Endenergieverbrauch - Industriesektor - nicht anders angegeben - energetischer Verbrauch"/>
    <s v="Elektrizität"/>
    <s v="Gigawattstunde"/>
    <x v="16"/>
    <x v="8"/>
    <n v="2678"/>
  </r>
  <r>
    <x v="27"/>
    <s v="Endenergieverbrauch - Industriesektor - nicht anders angegeben - energetischer Verbrauch"/>
    <s v="Elektrizität"/>
    <s v="Gigawattstunde"/>
    <x v="0"/>
    <x v="8"/>
    <n v="21599"/>
  </r>
  <r>
    <x v="27"/>
    <s v="Endenergieverbrauch - Industriesektor - nicht anders angegeben - energetischer Verbrauch"/>
    <s v="Elektrizität"/>
    <s v="Gigawattstunde"/>
    <x v="1"/>
    <x v="8"/>
    <n v="20186"/>
  </r>
  <r>
    <x v="27"/>
    <s v="Endenergieverbrauch - Industriesektor - nicht anders angegeben - energetischer Verbrauch"/>
    <s v="Elektrizität"/>
    <s v="Gigawattstunde"/>
    <x v="2"/>
    <x v="8"/>
    <n v="20166"/>
  </r>
  <r>
    <x v="27"/>
    <s v="Endenergieverbrauch - Industriesektor - nicht anders angegeben - energetischer Verbrauch"/>
    <s v="Elektrizität"/>
    <s v="Gigawattstunde"/>
    <x v="3"/>
    <x v="8"/>
    <n v="21495"/>
  </r>
  <r>
    <x v="27"/>
    <s v="Endenergieverbrauch - Industriesektor - nicht anders angegeben - energetischer Verbrauch"/>
    <s v="Elektrizität"/>
    <s v="Gigawattstunde"/>
    <x v="4"/>
    <x v="8"/>
    <n v="21449"/>
  </r>
  <r>
    <x v="27"/>
    <s v="Endenergieverbrauch - Industriesektor - nicht anders angegeben - energetischer Verbrauch"/>
    <s v="Elektrizität"/>
    <s v="Gigawattstunde"/>
    <x v="5"/>
    <x v="8"/>
    <n v="21028"/>
  </r>
  <r>
    <x v="27"/>
    <s v="Endenergieverbrauch - Industriesektor - nicht anders angegeben - energetischer Verbrauch"/>
    <s v="Elektrizität"/>
    <s v="Gigawattstunde"/>
    <x v="6"/>
    <x v="8"/>
    <n v="21729"/>
  </r>
  <r>
    <x v="27"/>
    <s v="Endenergieverbrauch - Industriesektor - nicht anders angegeben - energetischer Verbrauch"/>
    <s v="Elektrizität"/>
    <s v="Gigawattstunde"/>
    <x v="7"/>
    <x v="8"/>
    <n v="19771"/>
  </r>
  <r>
    <x v="27"/>
    <s v="Endenergieverbrauch - Industriesektor - nicht anders angegeben - energetischer Verbrauch"/>
    <s v="Elektrizität"/>
    <s v="Gigawattstunde"/>
    <x v="8"/>
    <x v="8"/>
    <n v="20959"/>
  </r>
  <r>
    <x v="27"/>
    <s v="Endenergieverbrauch - Industriesektor - nicht anders angegeben - energetischer Verbrauch"/>
    <s v="Elektrizität"/>
    <s v="Gigawattstunde"/>
    <x v="9"/>
    <x v="8"/>
    <n v="20784"/>
  </r>
  <r>
    <x v="27"/>
    <s v="Endenergieverbrauch - Industriesektor - nicht anders angegeben - energetischer Verbrauch"/>
    <s v="Elektrizität"/>
    <s v="Gigawattstunde"/>
    <x v="10"/>
    <x v="8"/>
    <n v="20327"/>
  </r>
  <r>
    <x v="27"/>
    <s v="Endenergieverbrauch - Industriesektor - nicht anders angegeben - energetischer Verbrauch"/>
    <s v="Elektrizität"/>
    <s v="Gigawattstunde"/>
    <x v="11"/>
    <x v="8"/>
    <n v="20366"/>
  </r>
  <r>
    <x v="27"/>
    <s v="Endenergieverbrauch - Industriesektor - nicht anders angegeben - energetischer Verbrauch"/>
    <s v="Elektrizität"/>
    <s v="Gigawattstunde"/>
    <x v="12"/>
    <x v="8"/>
    <n v="19559"/>
  </r>
  <r>
    <x v="27"/>
    <s v="Endenergieverbrauch - Industriesektor - nicht anders angegeben - energetischer Verbrauch"/>
    <s v="Elektrizität"/>
    <s v="Gigawattstunde"/>
    <x v="13"/>
    <x v="8"/>
    <n v="20571.917000000001"/>
  </r>
  <r>
    <x v="27"/>
    <s v="Endenergieverbrauch - Industriesektor - nicht anders angegeben - energetischer Verbrauch"/>
    <s v="Elektrizität"/>
    <s v="Gigawattstunde"/>
    <x v="14"/>
    <x v="8"/>
    <n v="22009.074000000001"/>
  </r>
  <r>
    <x v="27"/>
    <s v="Endenergieverbrauch - Industriesektor - nicht anders angegeben - energetischer Verbrauch"/>
    <s v="Elektrizität"/>
    <s v="Gigawattstunde"/>
    <x v="15"/>
    <x v="8"/>
    <n v="20893.605"/>
  </r>
  <r>
    <x v="27"/>
    <s v="Endenergieverbrauch - Industriesektor - nicht anders angegeben - energetischer Verbrauch"/>
    <s v="Elektrizität"/>
    <s v="Gigawattstunde"/>
    <x v="16"/>
    <x v="8"/>
    <n v="21107.757000000001"/>
  </r>
  <r>
    <x v="28"/>
    <s v="Endenergieverbrauch - Industriesektor - nicht anders angegeben - energetischer Verbrauch"/>
    <s v="Elektrizität"/>
    <s v="Gigawattstunde"/>
    <x v="0"/>
    <x v="8"/>
    <n v="24"/>
  </r>
  <r>
    <x v="28"/>
    <s v="Endenergieverbrauch - Industriesektor - nicht anders angegeben - energetischer Verbrauch"/>
    <s v="Elektrizität"/>
    <s v="Gigawattstunde"/>
    <x v="1"/>
    <x v="8"/>
    <n v="24"/>
  </r>
  <r>
    <x v="28"/>
    <s v="Endenergieverbrauch - Industriesektor - nicht anders angegeben - energetischer Verbrauch"/>
    <s v="Elektrizität"/>
    <s v="Gigawattstunde"/>
    <x v="2"/>
    <x v="8"/>
    <n v="25"/>
  </r>
  <r>
    <x v="28"/>
    <s v="Endenergieverbrauch - Industriesektor - nicht anders angegeben - energetischer Verbrauch"/>
    <s v="Elektrizität"/>
    <s v="Gigawattstunde"/>
    <x v="3"/>
    <x v="8"/>
    <n v="26"/>
  </r>
  <r>
    <x v="28"/>
    <s v="Endenergieverbrauch - Industriesektor - nicht anders angegeben - energetischer Verbrauch"/>
    <s v="Elektrizität"/>
    <s v="Gigawattstunde"/>
    <x v="4"/>
    <x v="8"/>
    <n v="25"/>
  </r>
  <r>
    <x v="28"/>
    <s v="Endenergieverbrauch - Industriesektor - nicht anders angegeben - energetischer Verbrauch"/>
    <s v="Elektrizität"/>
    <s v="Gigawattstunde"/>
    <x v="5"/>
    <x v="8"/>
    <n v="15"/>
  </r>
  <r>
    <x v="28"/>
    <s v="Endenergieverbrauch - Industriesektor - nicht anders angegeben - energetischer Verbrauch"/>
    <s v="Elektrizität"/>
    <s v="Gigawattstunde"/>
    <x v="6"/>
    <x v="8"/>
    <n v="13"/>
  </r>
  <r>
    <x v="28"/>
    <s v="Endenergieverbrauch - Industriesektor - nicht anders angegeben - energetischer Verbrauch"/>
    <s v="Elektrizität"/>
    <s v="Gigawattstunde"/>
    <x v="7"/>
    <x v="8"/>
    <n v="13"/>
  </r>
  <r>
    <x v="28"/>
    <s v="Endenergieverbrauch - Industriesektor - nicht anders angegeben - energetischer Verbrauch"/>
    <s v="Elektrizität"/>
    <s v="Gigawattstunde"/>
    <x v="8"/>
    <x v="8"/>
    <n v="12"/>
  </r>
  <r>
    <x v="28"/>
    <s v="Endenergieverbrauch - Industriesektor - nicht anders angegeben - energetischer Verbrauch"/>
    <s v="Elektrizität"/>
    <s v="Gigawattstunde"/>
    <x v="9"/>
    <x v="8"/>
    <n v="11"/>
  </r>
  <r>
    <x v="28"/>
    <s v="Endenergieverbrauch - Industriesektor - nicht anders angegeben - energetischer Verbrauch"/>
    <s v="Elektrizität"/>
    <s v="Gigawattstunde"/>
    <x v="10"/>
    <x v="8"/>
    <n v="10"/>
  </r>
  <r>
    <x v="28"/>
    <s v="Endenergieverbrauch - Industriesektor - nicht anders angegeben - energetischer Verbrauch"/>
    <s v="Elektrizität"/>
    <s v="Gigawattstunde"/>
    <x v="11"/>
    <x v="8"/>
    <n v="31"/>
  </r>
  <r>
    <x v="28"/>
    <s v="Endenergieverbrauch - Industriesektor - nicht anders angegeben - energetischer Verbrauch"/>
    <s v="Elektrizität"/>
    <s v="Gigawattstunde"/>
    <x v="12"/>
    <x v="8"/>
    <n v="43"/>
  </r>
  <r>
    <x v="28"/>
    <s v="Endenergieverbrauch - Industriesektor - nicht anders angegeben - energetischer Verbrauch"/>
    <s v="Elektrizität"/>
    <s v="Gigawattstunde"/>
    <x v="13"/>
    <x v="8"/>
    <n v="16"/>
  </r>
  <r>
    <x v="28"/>
    <s v="Endenergieverbrauch - Industriesektor - nicht anders angegeben - energetischer Verbrauch"/>
    <s v="Elektrizität"/>
    <s v="Gigawattstunde"/>
    <x v="14"/>
    <x v="8"/>
    <n v="18"/>
  </r>
  <r>
    <x v="28"/>
    <s v="Endenergieverbrauch - Industriesektor - nicht anders angegeben - energetischer Verbrauch"/>
    <s v="Elektrizität"/>
    <s v="Gigawattstunde"/>
    <x v="15"/>
    <x v="8"/>
    <n v="23.573"/>
  </r>
  <r>
    <x v="28"/>
    <s v="Endenergieverbrauch - Industriesektor - nicht anders angegeben - energetischer Verbrauch"/>
    <s v="Elektrizität"/>
    <s v="Gigawattstunde"/>
    <x v="16"/>
    <x v="8"/>
    <n v="12.161"/>
  </r>
  <r>
    <x v="29"/>
    <s v="Endenergieverbrauch - Industriesektor - nicht anders angegeben - energetischer Verbrauch"/>
    <s v="Elektrizität"/>
    <s v="Gigawattstunde"/>
    <x v="0"/>
    <x v="8"/>
    <n v="499"/>
  </r>
  <r>
    <x v="29"/>
    <s v="Endenergieverbrauch - Industriesektor - nicht anders angegeben - energetischer Verbrauch"/>
    <s v="Elektrizität"/>
    <s v="Gigawattstunde"/>
    <x v="1"/>
    <x v="8"/>
    <n v="484"/>
  </r>
  <r>
    <x v="29"/>
    <s v="Endenergieverbrauch - Industriesektor - nicht anders angegeben - energetischer Verbrauch"/>
    <s v="Elektrizität"/>
    <s v="Gigawattstunde"/>
    <x v="2"/>
    <x v="8"/>
    <n v="494"/>
  </r>
  <r>
    <x v="29"/>
    <s v="Endenergieverbrauch - Industriesektor - nicht anders angegeben - energetischer Verbrauch"/>
    <s v="Elektrizität"/>
    <s v="Gigawattstunde"/>
    <x v="3"/>
    <x v="8"/>
    <n v="558"/>
  </r>
  <r>
    <x v="29"/>
    <s v="Endenergieverbrauch - Industriesektor - nicht anders angegeben - energetischer Verbrauch"/>
    <s v="Elektrizität"/>
    <s v="Gigawattstunde"/>
    <x v="4"/>
    <x v="8"/>
    <n v="536"/>
  </r>
  <r>
    <x v="29"/>
    <s v="Endenergieverbrauch - Industriesektor - nicht anders angegeben - energetischer Verbrauch"/>
    <s v="Elektrizität"/>
    <s v="Gigawattstunde"/>
    <x v="5"/>
    <x v="8"/>
    <n v="635"/>
  </r>
  <r>
    <x v="29"/>
    <s v="Endenergieverbrauch - Industriesektor - nicht anders angegeben - energetischer Verbrauch"/>
    <s v="Elektrizität"/>
    <s v="Gigawattstunde"/>
    <x v="6"/>
    <x v="8"/>
    <n v="635"/>
  </r>
  <r>
    <x v="29"/>
    <s v="Endenergieverbrauch - Industriesektor - nicht anders angegeben - energetischer Verbrauch"/>
    <s v="Elektrizität"/>
    <s v="Gigawattstunde"/>
    <x v="7"/>
    <x v="8"/>
    <n v="410"/>
  </r>
  <r>
    <x v="29"/>
    <s v="Endenergieverbrauch - Industriesektor - nicht anders angegeben - energetischer Verbrauch"/>
    <s v="Elektrizität"/>
    <s v="Gigawattstunde"/>
    <x v="8"/>
    <x v="8"/>
    <n v="497"/>
  </r>
  <r>
    <x v="29"/>
    <s v="Endenergieverbrauch - Industriesektor - nicht anders angegeben - energetischer Verbrauch"/>
    <s v="Elektrizität"/>
    <s v="Gigawattstunde"/>
    <x v="9"/>
    <x v="8"/>
    <n v="451"/>
  </r>
  <r>
    <x v="29"/>
    <s v="Endenergieverbrauch - Industriesektor - nicht anders angegeben - energetischer Verbrauch"/>
    <s v="Elektrizität"/>
    <s v="Gigawattstunde"/>
    <x v="10"/>
    <x v="8"/>
    <n v="486"/>
  </r>
  <r>
    <x v="29"/>
    <s v="Endenergieverbrauch - Industriesektor - nicht anders angegeben - energetischer Verbrauch"/>
    <s v="Elektrizität"/>
    <s v="Gigawattstunde"/>
    <x v="11"/>
    <x v="8"/>
    <n v="468"/>
  </r>
  <r>
    <x v="29"/>
    <s v="Endenergieverbrauch - Industriesektor - nicht anders angegeben - energetischer Verbrauch"/>
    <s v="Elektrizität"/>
    <s v="Gigawattstunde"/>
    <x v="12"/>
    <x v="8"/>
    <n v="394"/>
  </r>
  <r>
    <x v="29"/>
    <s v="Endenergieverbrauch - Industriesektor - nicht anders angegeben - energetischer Verbrauch"/>
    <s v="Elektrizität"/>
    <s v="Gigawattstunde"/>
    <x v="13"/>
    <x v="8"/>
    <n v="408"/>
  </r>
  <r>
    <x v="29"/>
    <s v="Endenergieverbrauch - Industriesektor - nicht anders angegeben - energetischer Verbrauch"/>
    <s v="Elektrizität"/>
    <s v="Gigawattstunde"/>
    <x v="14"/>
    <x v="8"/>
    <n v="396"/>
  </r>
  <r>
    <x v="29"/>
    <s v="Endenergieverbrauch - Industriesektor - nicht anders angegeben - energetischer Verbrauch"/>
    <s v="Elektrizität"/>
    <s v="Gigawattstunde"/>
    <x v="15"/>
    <x v="8"/>
    <n v="432"/>
  </r>
  <r>
    <x v="29"/>
    <s v="Endenergieverbrauch - Industriesektor - nicht anders angegeben - energetischer Verbrauch"/>
    <s v="Elektrizität"/>
    <s v="Gigawattstunde"/>
    <x v="16"/>
    <x v="8"/>
    <n v="492.14100000000002"/>
  </r>
  <r>
    <x v="30"/>
    <s v="Endenergieverbrauch - Industriesektor - nicht anders angegeben - energetischer Verbrauch"/>
    <s v="Elektrizität"/>
    <s v="Gigawattstunde"/>
    <x v="0"/>
    <x v="8"/>
    <n v="6299"/>
  </r>
  <r>
    <x v="30"/>
    <s v="Endenergieverbrauch - Industriesektor - nicht anders angegeben - energetischer Verbrauch"/>
    <s v="Elektrizität"/>
    <s v="Gigawattstunde"/>
    <x v="1"/>
    <x v="8"/>
    <n v="5887"/>
  </r>
  <r>
    <x v="30"/>
    <s v="Endenergieverbrauch - Industriesektor - nicht anders angegeben - energetischer Verbrauch"/>
    <s v="Elektrizität"/>
    <s v="Gigawattstunde"/>
    <x v="2"/>
    <x v="8"/>
    <n v="369"/>
  </r>
  <r>
    <x v="30"/>
    <s v="Endenergieverbrauch - Industriesektor - nicht anders angegeben - energetischer Verbrauch"/>
    <s v="Elektrizität"/>
    <s v="Gigawattstunde"/>
    <x v="3"/>
    <x v="8"/>
    <n v="356"/>
  </r>
  <r>
    <x v="30"/>
    <s v="Endenergieverbrauch - Industriesektor - nicht anders angegeben - energetischer Verbrauch"/>
    <s v="Elektrizität"/>
    <s v="Gigawattstunde"/>
    <x v="4"/>
    <x v="8"/>
    <n v="379"/>
  </r>
  <r>
    <x v="30"/>
    <s v="Endenergieverbrauch - Industriesektor - nicht anders angegeben - energetischer Verbrauch"/>
    <s v="Elektrizität"/>
    <s v="Gigawattstunde"/>
    <x v="5"/>
    <x v="8"/>
    <n v="346"/>
  </r>
  <r>
    <x v="30"/>
    <s v="Endenergieverbrauch - Industriesektor - nicht anders angegeben - energetischer Verbrauch"/>
    <s v="Elektrizität"/>
    <s v="Gigawattstunde"/>
    <x v="6"/>
    <x v="8"/>
    <n v="398"/>
  </r>
  <r>
    <x v="30"/>
    <s v="Endenergieverbrauch - Industriesektor - nicht anders angegeben - energetischer Verbrauch"/>
    <s v="Elektrizität"/>
    <s v="Gigawattstunde"/>
    <x v="7"/>
    <x v="8"/>
    <n v="262"/>
  </r>
  <r>
    <x v="30"/>
    <s v="Endenergieverbrauch - Industriesektor - nicht anders angegeben - energetischer Verbrauch"/>
    <s v="Elektrizität"/>
    <s v="Gigawattstunde"/>
    <x v="8"/>
    <x v="8"/>
    <n v="1963"/>
  </r>
  <r>
    <x v="30"/>
    <s v="Endenergieverbrauch - Industriesektor - nicht anders angegeben - energetischer Verbrauch"/>
    <s v="Elektrizität"/>
    <s v="Gigawattstunde"/>
    <x v="9"/>
    <x v="8"/>
    <n v="373"/>
  </r>
  <r>
    <x v="30"/>
    <s v="Endenergieverbrauch - Industriesektor - nicht anders angegeben - energetischer Verbrauch"/>
    <s v="Elektrizität"/>
    <s v="Gigawattstunde"/>
    <x v="10"/>
    <x v="8"/>
    <n v="415"/>
  </r>
  <r>
    <x v="30"/>
    <s v="Endenergieverbrauch - Industriesektor - nicht anders angegeben - energetischer Verbrauch"/>
    <s v="Elektrizität"/>
    <s v="Gigawattstunde"/>
    <x v="11"/>
    <x v="8"/>
    <n v="464"/>
  </r>
  <r>
    <x v="30"/>
    <s v="Endenergieverbrauch - Industriesektor - nicht anders angegeben - energetischer Verbrauch"/>
    <s v="Elektrizität"/>
    <s v="Gigawattstunde"/>
    <x v="12"/>
    <x v="8"/>
    <n v="437"/>
  </r>
  <r>
    <x v="30"/>
    <s v="Endenergieverbrauch - Industriesektor - nicht anders angegeben - energetischer Verbrauch"/>
    <s v="Elektrizität"/>
    <s v="Gigawattstunde"/>
    <x v="13"/>
    <x v="8"/>
    <n v="521"/>
  </r>
  <r>
    <x v="30"/>
    <s v="Endenergieverbrauch - Industriesektor - nicht anders angegeben - energetischer Verbrauch"/>
    <s v="Elektrizität"/>
    <s v="Gigawattstunde"/>
    <x v="14"/>
    <x v="8"/>
    <n v="647"/>
  </r>
  <r>
    <x v="30"/>
    <s v="Endenergieverbrauch - Industriesektor - nicht anders angegeben - energetischer Verbrauch"/>
    <s v="Elektrizität"/>
    <s v="Gigawattstunde"/>
    <x v="15"/>
    <x v="8"/>
    <n v="678.83199999999999"/>
  </r>
  <r>
    <x v="30"/>
    <s v="Endenergieverbrauch - Industriesektor - nicht anders angegeben - energetischer Verbrauch"/>
    <s v="Elektrizität"/>
    <s v="Gigawattstunde"/>
    <x v="16"/>
    <x v="8"/>
    <n v="789.24099999999999"/>
  </r>
  <r>
    <x v="0"/>
    <s v="Endenergieverbrauch - Industriesektor - Nichteisenmetalle - energetischer Verbrauch"/>
    <s v="Elektrizität"/>
    <s v="Gigawattstunde"/>
    <x v="0"/>
    <x v="9"/>
    <n v="1997"/>
  </r>
  <r>
    <x v="0"/>
    <s v="Endenergieverbrauch - Industriesektor - Nichteisenmetalle - energetischer Verbrauch"/>
    <s v="Elektrizität"/>
    <s v="Gigawattstunde"/>
    <x v="1"/>
    <x v="9"/>
    <n v="2083"/>
  </r>
  <r>
    <x v="0"/>
    <s v="Endenergieverbrauch - Industriesektor - Nichteisenmetalle - energetischer Verbrauch"/>
    <s v="Elektrizität"/>
    <s v="Gigawattstunde"/>
    <x v="2"/>
    <x v="9"/>
    <n v="2123"/>
  </r>
  <r>
    <x v="0"/>
    <s v="Endenergieverbrauch - Industriesektor - Nichteisenmetalle - energetischer Verbrauch"/>
    <s v="Elektrizität"/>
    <s v="Gigawattstunde"/>
    <x v="3"/>
    <x v="9"/>
    <n v="1729"/>
  </r>
  <r>
    <x v="0"/>
    <s v="Endenergieverbrauch - Industriesektor - Nichteisenmetalle - energetischer Verbrauch"/>
    <s v="Elektrizität"/>
    <s v="Gigawattstunde"/>
    <x v="4"/>
    <x v="9"/>
    <n v="2468"/>
  </r>
  <r>
    <x v="0"/>
    <s v="Endenergieverbrauch - Industriesektor - Nichteisenmetalle - energetischer Verbrauch"/>
    <s v="Elektrizität"/>
    <s v="Gigawattstunde"/>
    <x v="5"/>
    <x v="9"/>
    <n v="2298"/>
  </r>
  <r>
    <x v="0"/>
    <s v="Endenergieverbrauch - Industriesektor - Nichteisenmetalle - energetischer Verbrauch"/>
    <s v="Elektrizität"/>
    <s v="Gigawattstunde"/>
    <x v="6"/>
    <x v="9"/>
    <n v="2207"/>
  </r>
  <r>
    <x v="0"/>
    <s v="Endenergieverbrauch - Industriesektor - Nichteisenmetalle - energetischer Verbrauch"/>
    <s v="Elektrizität"/>
    <s v="Gigawattstunde"/>
    <x v="7"/>
    <x v="9"/>
    <n v="1328"/>
  </r>
  <r>
    <x v="0"/>
    <s v="Endenergieverbrauch - Industriesektor - Nichteisenmetalle - energetischer Verbrauch"/>
    <s v="Elektrizität"/>
    <s v="Gigawattstunde"/>
    <x v="8"/>
    <x v="9"/>
    <n v="1775"/>
  </r>
  <r>
    <x v="0"/>
    <s v="Endenergieverbrauch - Industriesektor - Nichteisenmetalle - energetischer Verbrauch"/>
    <s v="Elektrizität"/>
    <s v="Gigawattstunde"/>
    <x v="9"/>
    <x v="9"/>
    <n v="1859"/>
  </r>
  <r>
    <x v="0"/>
    <s v="Endenergieverbrauch - Industriesektor - Nichteisenmetalle - energetischer Verbrauch"/>
    <s v="Elektrizität"/>
    <s v="Gigawattstunde"/>
    <x v="10"/>
    <x v="9"/>
    <n v="1911"/>
  </r>
  <r>
    <x v="0"/>
    <s v="Endenergieverbrauch - Industriesektor - Nichteisenmetalle - energetischer Verbrauch"/>
    <s v="Elektrizität"/>
    <s v="Gigawattstunde"/>
    <x v="11"/>
    <x v="9"/>
    <n v="1882"/>
  </r>
  <r>
    <x v="0"/>
    <s v="Endenergieverbrauch - Industriesektor - Nichteisenmetalle - energetischer Verbrauch"/>
    <s v="Elektrizität"/>
    <s v="Gigawattstunde"/>
    <x v="12"/>
    <x v="9"/>
    <n v="1936.6"/>
  </r>
  <r>
    <x v="0"/>
    <s v="Endenergieverbrauch - Industriesektor - Nichteisenmetalle - energetischer Verbrauch"/>
    <s v="Elektrizität"/>
    <s v="Gigawattstunde"/>
    <x v="13"/>
    <x v="9"/>
    <n v="1922.2"/>
  </r>
  <r>
    <x v="0"/>
    <s v="Endenergieverbrauch - Industriesektor - Nichteisenmetalle - energetischer Verbrauch"/>
    <s v="Elektrizität"/>
    <s v="Gigawattstunde"/>
    <x v="14"/>
    <x v="9"/>
    <n v="1862"/>
  </r>
  <r>
    <x v="0"/>
    <s v="Endenergieverbrauch - Industriesektor - Nichteisenmetalle - energetischer Verbrauch"/>
    <s v="Elektrizität"/>
    <s v="Gigawattstunde"/>
    <x v="15"/>
    <x v="9"/>
    <n v="1994"/>
  </r>
  <r>
    <x v="0"/>
    <s v="Endenergieverbrauch - Industriesektor - Nichteisenmetalle - energetischer Verbrauch"/>
    <s v="Elektrizität"/>
    <s v="Gigawattstunde"/>
    <x v="16"/>
    <x v="9"/>
    <n v="2121"/>
  </r>
  <r>
    <x v="1"/>
    <s v="Endenergieverbrauch - Industriesektor - Nichteisenmetalle - energetischer Verbrauch"/>
    <s v="Elektrizität"/>
    <s v="Gigawattstunde"/>
    <x v="0"/>
    <x v="9"/>
    <n v="608"/>
  </r>
  <r>
    <x v="1"/>
    <s v="Endenergieverbrauch - Industriesektor - Nichteisenmetalle - energetischer Verbrauch"/>
    <s v="Elektrizität"/>
    <s v="Gigawattstunde"/>
    <x v="1"/>
    <x v="9"/>
    <n v="753"/>
  </r>
  <r>
    <x v="1"/>
    <s v="Endenergieverbrauch - Industriesektor - Nichteisenmetalle - energetischer Verbrauch"/>
    <s v="Elektrizität"/>
    <s v="Gigawattstunde"/>
    <x v="2"/>
    <x v="9"/>
    <n v="820"/>
  </r>
  <r>
    <x v="1"/>
    <s v="Endenergieverbrauch - Industriesektor - Nichteisenmetalle - energetischer Verbrauch"/>
    <s v="Elektrizität"/>
    <s v="Gigawattstunde"/>
    <x v="3"/>
    <x v="9"/>
    <n v="816"/>
  </r>
  <r>
    <x v="1"/>
    <s v="Endenergieverbrauch - Industriesektor - Nichteisenmetalle - energetischer Verbrauch"/>
    <s v="Elektrizität"/>
    <s v="Gigawattstunde"/>
    <x v="4"/>
    <x v="9"/>
    <n v="833"/>
  </r>
  <r>
    <x v="1"/>
    <s v="Endenergieverbrauch - Industriesektor - Nichteisenmetalle - energetischer Verbrauch"/>
    <s v="Elektrizität"/>
    <s v="Gigawattstunde"/>
    <x v="5"/>
    <x v="9"/>
    <n v="849"/>
  </r>
  <r>
    <x v="1"/>
    <s v="Endenergieverbrauch - Industriesektor - Nichteisenmetalle - energetischer Verbrauch"/>
    <s v="Elektrizität"/>
    <s v="Gigawattstunde"/>
    <x v="6"/>
    <x v="9"/>
    <n v="929"/>
  </r>
  <r>
    <x v="1"/>
    <s v="Endenergieverbrauch - Industriesektor - Nichteisenmetalle - energetischer Verbrauch"/>
    <s v="Elektrizität"/>
    <s v="Gigawattstunde"/>
    <x v="7"/>
    <x v="9"/>
    <n v="880"/>
  </r>
  <r>
    <x v="1"/>
    <s v="Endenergieverbrauch - Industriesektor - Nichteisenmetalle - energetischer Verbrauch"/>
    <s v="Elektrizität"/>
    <s v="Gigawattstunde"/>
    <x v="8"/>
    <x v="9"/>
    <n v="917"/>
  </r>
  <r>
    <x v="1"/>
    <s v="Endenergieverbrauch - Industriesektor - Nichteisenmetalle - energetischer Verbrauch"/>
    <s v="Elektrizität"/>
    <s v="Gigawattstunde"/>
    <x v="9"/>
    <x v="9"/>
    <n v="952"/>
  </r>
  <r>
    <x v="1"/>
    <s v="Endenergieverbrauch - Industriesektor - Nichteisenmetalle - energetischer Verbrauch"/>
    <s v="Elektrizität"/>
    <s v="Gigawattstunde"/>
    <x v="10"/>
    <x v="9"/>
    <n v="862"/>
  </r>
  <r>
    <x v="1"/>
    <s v="Endenergieverbrauch - Industriesektor - Nichteisenmetalle - energetischer Verbrauch"/>
    <s v="Elektrizität"/>
    <s v="Gigawattstunde"/>
    <x v="11"/>
    <x v="9"/>
    <n v="1003"/>
  </r>
  <r>
    <x v="1"/>
    <s v="Endenergieverbrauch - Industriesektor - Nichteisenmetalle - energetischer Verbrauch"/>
    <s v="Elektrizität"/>
    <s v="Gigawattstunde"/>
    <x v="12"/>
    <x v="9"/>
    <n v="1004"/>
  </r>
  <r>
    <x v="1"/>
    <s v="Endenergieverbrauch - Industriesektor - Nichteisenmetalle - energetischer Verbrauch"/>
    <s v="Elektrizität"/>
    <s v="Gigawattstunde"/>
    <x v="13"/>
    <x v="9"/>
    <n v="863"/>
  </r>
  <r>
    <x v="1"/>
    <s v="Endenergieverbrauch - Industriesektor - Nichteisenmetalle - energetischer Verbrauch"/>
    <s v="Elektrizität"/>
    <s v="Gigawattstunde"/>
    <x v="14"/>
    <x v="9"/>
    <n v="770"/>
  </r>
  <r>
    <x v="1"/>
    <s v="Endenergieverbrauch - Industriesektor - Nichteisenmetalle - energetischer Verbrauch"/>
    <s v="Elektrizität"/>
    <s v="Gigawattstunde"/>
    <x v="15"/>
    <x v="9"/>
    <n v="1049.3510000000001"/>
  </r>
  <r>
    <x v="1"/>
    <s v="Endenergieverbrauch - Industriesektor - Nichteisenmetalle - energetischer Verbrauch"/>
    <s v="Elektrizität"/>
    <s v="Gigawattstunde"/>
    <x v="16"/>
    <x v="9"/>
    <n v="1081.7370000000001"/>
  </r>
  <r>
    <x v="2"/>
    <s v="Endenergieverbrauch - Industriesektor - Nichteisenmetalle - energetischer Verbrauch"/>
    <s v="Elektrizität"/>
    <s v="Gigawattstunde"/>
    <x v="0"/>
    <x v="9"/>
    <n v="104"/>
  </r>
  <r>
    <x v="2"/>
    <s v="Endenergieverbrauch - Industriesektor - Nichteisenmetalle - energetischer Verbrauch"/>
    <s v="Elektrizität"/>
    <s v="Gigawattstunde"/>
    <x v="1"/>
    <x v="9"/>
    <n v="280"/>
  </r>
  <r>
    <x v="2"/>
    <s v="Endenergieverbrauch - Industriesektor - Nichteisenmetalle - energetischer Verbrauch"/>
    <s v="Elektrizität"/>
    <s v="Gigawattstunde"/>
    <x v="2"/>
    <x v="9"/>
    <n v="291"/>
  </r>
  <r>
    <x v="2"/>
    <s v="Endenergieverbrauch - Industriesektor - Nichteisenmetalle - energetischer Verbrauch"/>
    <s v="Elektrizität"/>
    <s v="Gigawattstunde"/>
    <x v="3"/>
    <x v="9"/>
    <n v="329"/>
  </r>
  <r>
    <x v="2"/>
    <s v="Endenergieverbrauch - Industriesektor - Nichteisenmetalle - energetischer Verbrauch"/>
    <s v="Elektrizität"/>
    <s v="Gigawattstunde"/>
    <x v="4"/>
    <x v="9"/>
    <n v="336"/>
  </r>
  <r>
    <x v="2"/>
    <s v="Endenergieverbrauch - Industriesektor - Nichteisenmetalle - energetischer Verbrauch"/>
    <s v="Elektrizität"/>
    <s v="Gigawattstunde"/>
    <x v="5"/>
    <x v="9"/>
    <n v="306"/>
  </r>
  <r>
    <x v="2"/>
    <s v="Endenergieverbrauch - Industriesektor - Nichteisenmetalle - energetischer Verbrauch"/>
    <s v="Elektrizität"/>
    <s v="Gigawattstunde"/>
    <x v="6"/>
    <x v="9"/>
    <n v="309"/>
  </r>
  <r>
    <x v="2"/>
    <s v="Endenergieverbrauch - Industriesektor - Nichteisenmetalle - energetischer Verbrauch"/>
    <s v="Elektrizität"/>
    <s v="Gigawattstunde"/>
    <x v="7"/>
    <x v="9"/>
    <n v="262"/>
  </r>
  <r>
    <x v="2"/>
    <s v="Endenergieverbrauch - Industriesektor - Nichteisenmetalle - energetischer Verbrauch"/>
    <s v="Elektrizität"/>
    <s v="Gigawattstunde"/>
    <x v="8"/>
    <x v="9"/>
    <n v="215"/>
  </r>
  <r>
    <x v="2"/>
    <s v="Endenergieverbrauch - Industriesektor - Nichteisenmetalle - energetischer Verbrauch"/>
    <s v="Elektrizität"/>
    <s v="Gigawattstunde"/>
    <x v="9"/>
    <x v="9"/>
    <n v="262"/>
  </r>
  <r>
    <x v="2"/>
    <s v="Endenergieverbrauch - Industriesektor - Nichteisenmetalle - energetischer Verbrauch"/>
    <s v="Elektrizität"/>
    <s v="Gigawattstunde"/>
    <x v="10"/>
    <x v="9"/>
    <n v="354"/>
  </r>
  <r>
    <x v="2"/>
    <s v="Endenergieverbrauch - Industriesektor - Nichteisenmetalle - energetischer Verbrauch"/>
    <s v="Elektrizität"/>
    <s v="Gigawattstunde"/>
    <x v="11"/>
    <x v="9"/>
    <n v="349"/>
  </r>
  <r>
    <x v="2"/>
    <s v="Endenergieverbrauch - Industriesektor - Nichteisenmetalle - energetischer Verbrauch"/>
    <s v="Elektrizität"/>
    <s v="Gigawattstunde"/>
    <x v="12"/>
    <x v="9"/>
    <n v="366"/>
  </r>
  <r>
    <x v="2"/>
    <s v="Endenergieverbrauch - Industriesektor - Nichteisenmetalle - energetischer Verbrauch"/>
    <s v="Elektrizität"/>
    <s v="Gigawattstunde"/>
    <x v="13"/>
    <x v="9"/>
    <n v="365"/>
  </r>
  <r>
    <x v="2"/>
    <s v="Endenergieverbrauch - Industriesektor - Nichteisenmetalle - energetischer Verbrauch"/>
    <s v="Elektrizität"/>
    <s v="Gigawattstunde"/>
    <x v="14"/>
    <x v="9"/>
    <n v="405"/>
  </r>
  <r>
    <x v="2"/>
    <s v="Endenergieverbrauch - Industriesektor - Nichteisenmetalle - energetischer Verbrauch"/>
    <s v="Elektrizität"/>
    <s v="Gigawattstunde"/>
    <x v="15"/>
    <x v="9"/>
    <n v="411.31299999999999"/>
  </r>
  <r>
    <x v="2"/>
    <s v="Endenergieverbrauch - Industriesektor - Nichteisenmetalle - energetischer Verbrauch"/>
    <s v="Elektrizität"/>
    <s v="Gigawattstunde"/>
    <x v="16"/>
    <x v="9"/>
    <n v="413.57"/>
  </r>
  <r>
    <x v="3"/>
    <s v="Endenergieverbrauch - Industriesektor - Nichteisenmetalle - energetischer Verbrauch"/>
    <s v="Elektrizität"/>
    <s v="Gigawattstunde"/>
    <x v="0"/>
    <x v="9"/>
    <n v="0"/>
  </r>
  <r>
    <x v="3"/>
    <s v="Endenergieverbrauch - Industriesektor - Nichteisenmetalle - energetischer Verbrauch"/>
    <s v="Elektrizität"/>
    <s v="Gigawattstunde"/>
    <x v="1"/>
    <x v="9"/>
    <n v="0"/>
  </r>
  <r>
    <x v="3"/>
    <s v="Endenergieverbrauch - Industriesektor - Nichteisenmetalle - energetischer Verbrauch"/>
    <s v="Elektrizität"/>
    <s v="Gigawattstunde"/>
    <x v="2"/>
    <x v="9"/>
    <n v="0"/>
  </r>
  <r>
    <x v="3"/>
    <s v="Endenergieverbrauch - Industriesektor - Nichteisenmetalle - energetischer Verbrauch"/>
    <s v="Elektrizität"/>
    <s v="Gigawattstunde"/>
    <x v="3"/>
    <x v="9"/>
    <n v="0"/>
  </r>
  <r>
    <x v="3"/>
    <s v="Endenergieverbrauch - Industriesektor - Nichteisenmetalle - energetischer Verbrauch"/>
    <s v="Elektrizität"/>
    <s v="Gigawattstunde"/>
    <x v="4"/>
    <x v="9"/>
    <n v="0"/>
  </r>
  <r>
    <x v="3"/>
    <s v="Endenergieverbrauch - Industriesektor - Nichteisenmetalle - energetischer Verbrauch"/>
    <s v="Elektrizität"/>
    <s v="Gigawattstunde"/>
    <x v="5"/>
    <x v="9"/>
    <n v="0"/>
  </r>
  <r>
    <x v="3"/>
    <s v="Endenergieverbrauch - Industriesektor - Nichteisenmetalle - energetischer Verbrauch"/>
    <s v="Elektrizität"/>
    <s v="Gigawattstunde"/>
    <x v="6"/>
    <x v="9"/>
    <n v="0"/>
  </r>
  <r>
    <x v="3"/>
    <s v="Endenergieverbrauch - Industriesektor - Nichteisenmetalle - energetischer Verbrauch"/>
    <s v="Elektrizität"/>
    <s v="Gigawattstunde"/>
    <x v="7"/>
    <x v="9"/>
    <n v="0"/>
  </r>
  <r>
    <x v="3"/>
    <s v="Endenergieverbrauch - Industriesektor - Nichteisenmetalle - energetischer Verbrauch"/>
    <s v="Elektrizität"/>
    <s v="Gigawattstunde"/>
    <x v="8"/>
    <x v="9"/>
    <n v="0"/>
  </r>
  <r>
    <x v="3"/>
    <s v="Endenergieverbrauch - Industriesektor - Nichteisenmetalle - energetischer Verbrauch"/>
    <s v="Elektrizität"/>
    <s v="Gigawattstunde"/>
    <x v="9"/>
    <x v="9"/>
    <n v="0"/>
  </r>
  <r>
    <x v="3"/>
    <s v="Endenergieverbrauch - Industriesektor - Nichteisenmetalle - energetischer Verbrauch"/>
    <s v="Elektrizität"/>
    <s v="Gigawattstunde"/>
    <x v="10"/>
    <x v="9"/>
    <n v="0"/>
  </r>
  <r>
    <x v="3"/>
    <s v="Endenergieverbrauch - Industriesektor - Nichteisenmetalle - energetischer Verbrauch"/>
    <s v="Elektrizität"/>
    <s v="Gigawattstunde"/>
    <x v="11"/>
    <x v="9"/>
    <n v="0"/>
  </r>
  <r>
    <x v="3"/>
    <s v="Endenergieverbrauch - Industriesektor - Nichteisenmetalle - energetischer Verbrauch"/>
    <s v="Elektrizität"/>
    <s v="Gigawattstunde"/>
    <x v="12"/>
    <x v="9"/>
    <n v="0"/>
  </r>
  <r>
    <x v="3"/>
    <s v="Endenergieverbrauch - Industriesektor - Nichteisenmetalle - energetischer Verbrauch"/>
    <s v="Elektrizität"/>
    <s v="Gigawattstunde"/>
    <x v="13"/>
    <x v="9"/>
    <n v="0"/>
  </r>
  <r>
    <x v="3"/>
    <s v="Endenergieverbrauch - Industriesektor - Nichteisenmetalle - energetischer Verbrauch"/>
    <s v="Elektrizität"/>
    <s v="Gigawattstunde"/>
    <x v="14"/>
    <x v="9"/>
    <n v="0"/>
  </r>
  <r>
    <x v="3"/>
    <s v="Endenergieverbrauch - Industriesektor - Nichteisenmetalle - energetischer Verbrauch"/>
    <s v="Elektrizität"/>
    <s v="Gigawattstunde"/>
    <x v="15"/>
    <x v="9"/>
    <n v="0"/>
  </r>
  <r>
    <x v="3"/>
    <s v="Endenergieverbrauch - Industriesektor - Nichteisenmetalle - energetischer Verbrauch"/>
    <s v="Elektrizität"/>
    <s v="Gigawattstunde"/>
    <x v="16"/>
    <x v="9"/>
    <n v="0"/>
  </r>
  <r>
    <x v="4"/>
    <s v="Endenergieverbrauch - Industriesektor - Nichteisenmetalle - energetischer Verbrauch"/>
    <s v="Elektrizität"/>
    <s v="Gigawattstunde"/>
    <x v="0"/>
    <x v="9"/>
    <n v="18827"/>
  </r>
  <r>
    <x v="4"/>
    <s v="Endenergieverbrauch - Industriesektor - Nichteisenmetalle - energetischer Verbrauch"/>
    <s v="Elektrizität"/>
    <s v="Gigawattstunde"/>
    <x v="1"/>
    <x v="9"/>
    <n v="17795"/>
  </r>
  <r>
    <x v="4"/>
    <s v="Endenergieverbrauch - Industriesektor - Nichteisenmetalle - energetischer Verbrauch"/>
    <s v="Elektrizität"/>
    <s v="Gigawattstunde"/>
    <x v="2"/>
    <x v="9"/>
    <n v="18163"/>
  </r>
  <r>
    <x v="4"/>
    <s v="Endenergieverbrauch - Industriesektor - Nichteisenmetalle - energetischer Verbrauch"/>
    <s v="Elektrizität"/>
    <s v="Gigawattstunde"/>
    <x v="3"/>
    <x v="9"/>
    <n v="17897"/>
  </r>
  <r>
    <x v="4"/>
    <s v="Endenergieverbrauch - Industriesektor - Nichteisenmetalle - energetischer Verbrauch"/>
    <s v="Elektrizität"/>
    <s v="Gigawattstunde"/>
    <x v="4"/>
    <x v="9"/>
    <n v="15920"/>
  </r>
  <r>
    <x v="4"/>
    <s v="Endenergieverbrauch - Industriesektor - Nichteisenmetalle - energetischer Verbrauch"/>
    <s v="Elektrizität"/>
    <s v="Gigawattstunde"/>
    <x v="5"/>
    <x v="9"/>
    <n v="16563"/>
  </r>
  <r>
    <x v="4"/>
    <s v="Endenergieverbrauch - Industriesektor - Nichteisenmetalle - energetischer Verbrauch"/>
    <s v="Elektrizität"/>
    <s v="Gigawattstunde"/>
    <x v="6"/>
    <x v="9"/>
    <n v="17299"/>
  </r>
  <r>
    <x v="4"/>
    <s v="Endenergieverbrauch - Industriesektor - Nichteisenmetalle - energetischer Verbrauch"/>
    <s v="Elektrizität"/>
    <s v="Gigawattstunde"/>
    <x v="7"/>
    <x v="9"/>
    <n v="11080"/>
  </r>
  <r>
    <x v="4"/>
    <s v="Endenergieverbrauch - Industriesektor - Nichteisenmetalle - energetischer Verbrauch"/>
    <s v="Elektrizität"/>
    <s v="Gigawattstunde"/>
    <x v="8"/>
    <x v="9"/>
    <n v="13645"/>
  </r>
  <r>
    <x v="4"/>
    <s v="Endenergieverbrauch - Industriesektor - Nichteisenmetalle - energetischer Verbrauch"/>
    <s v="Elektrizität"/>
    <s v="Gigawattstunde"/>
    <x v="9"/>
    <x v="9"/>
    <n v="13255"/>
  </r>
  <r>
    <x v="4"/>
    <s v="Endenergieverbrauch - Industriesektor - Nichteisenmetalle - energetischer Verbrauch"/>
    <s v="Elektrizität"/>
    <s v="Gigawattstunde"/>
    <x v="10"/>
    <x v="9"/>
    <n v="12745"/>
  </r>
  <r>
    <x v="4"/>
    <s v="Endenergieverbrauch - Industriesektor - Nichteisenmetalle - energetischer Verbrauch"/>
    <s v="Elektrizität"/>
    <s v="Gigawattstunde"/>
    <x v="11"/>
    <x v="9"/>
    <n v="12864"/>
  </r>
  <r>
    <x v="4"/>
    <s v="Endenergieverbrauch - Industriesektor - Nichteisenmetalle - energetischer Verbrauch"/>
    <s v="Elektrizität"/>
    <s v="Gigawattstunde"/>
    <x v="12"/>
    <x v="9"/>
    <n v="13418"/>
  </r>
  <r>
    <x v="4"/>
    <s v="Endenergieverbrauch - Industriesektor - Nichteisenmetalle - energetischer Verbrauch"/>
    <s v="Elektrizität"/>
    <s v="Gigawattstunde"/>
    <x v="13"/>
    <x v="9"/>
    <n v="15871"/>
  </r>
  <r>
    <x v="4"/>
    <s v="Endenergieverbrauch - Industriesektor - Nichteisenmetalle - energetischer Verbrauch"/>
    <s v="Elektrizität"/>
    <s v="Gigawattstunde"/>
    <x v="14"/>
    <x v="9"/>
    <n v="15979"/>
  </r>
  <r>
    <x v="4"/>
    <s v="Endenergieverbrauch - Industriesektor - Nichteisenmetalle - energetischer Verbrauch"/>
    <s v="Elektrizität"/>
    <s v="Gigawattstunde"/>
    <x v="15"/>
    <x v="9"/>
    <n v="16276"/>
  </r>
  <r>
    <x v="4"/>
    <s v="Endenergieverbrauch - Industriesektor - Nichteisenmetalle - energetischer Verbrauch"/>
    <s v="Elektrizität"/>
    <s v="Gigawattstunde"/>
    <x v="16"/>
    <x v="9"/>
    <n v="15785"/>
  </r>
  <r>
    <x v="5"/>
    <s v="Endenergieverbrauch - Industriesektor - Nichteisenmetalle - energetischer Verbrauch"/>
    <s v="Elektrizität"/>
    <s v="Gigawattstunde"/>
    <x v="0"/>
    <x v="9"/>
    <n v="3"/>
  </r>
  <r>
    <x v="5"/>
    <s v="Endenergieverbrauch - Industriesektor - Nichteisenmetalle - energetischer Verbrauch"/>
    <s v="Elektrizität"/>
    <s v="Gigawattstunde"/>
    <x v="1"/>
    <x v="9"/>
    <n v="4"/>
  </r>
  <r>
    <x v="5"/>
    <s v="Endenergieverbrauch - Industriesektor - Nichteisenmetalle - energetischer Verbrauch"/>
    <s v="Elektrizität"/>
    <s v="Gigawattstunde"/>
    <x v="2"/>
    <x v="9"/>
    <n v="3"/>
  </r>
  <r>
    <x v="5"/>
    <s v="Endenergieverbrauch - Industriesektor - Nichteisenmetalle - energetischer Verbrauch"/>
    <s v="Elektrizität"/>
    <s v="Gigawattstunde"/>
    <x v="3"/>
    <x v="9"/>
    <n v="7"/>
  </r>
  <r>
    <x v="5"/>
    <s v="Endenergieverbrauch - Industriesektor - Nichteisenmetalle - energetischer Verbrauch"/>
    <s v="Elektrizität"/>
    <s v="Gigawattstunde"/>
    <x v="4"/>
    <x v="9"/>
    <n v="7"/>
  </r>
  <r>
    <x v="5"/>
    <s v="Endenergieverbrauch - Industriesektor - Nichteisenmetalle - energetischer Verbrauch"/>
    <s v="Elektrizität"/>
    <s v="Gigawattstunde"/>
    <x v="5"/>
    <x v="9"/>
    <n v="9"/>
  </r>
  <r>
    <x v="5"/>
    <s v="Endenergieverbrauch - Industriesektor - Nichteisenmetalle - energetischer Verbrauch"/>
    <s v="Elektrizität"/>
    <s v="Gigawattstunde"/>
    <x v="6"/>
    <x v="9"/>
    <n v="9"/>
  </r>
  <r>
    <x v="5"/>
    <s v="Endenergieverbrauch - Industriesektor - Nichteisenmetalle - energetischer Verbrauch"/>
    <s v="Elektrizität"/>
    <s v="Gigawattstunde"/>
    <x v="7"/>
    <x v="9"/>
    <n v="6"/>
  </r>
  <r>
    <x v="5"/>
    <s v="Endenergieverbrauch - Industriesektor - Nichteisenmetalle - energetischer Verbrauch"/>
    <s v="Elektrizität"/>
    <s v="Gigawattstunde"/>
    <x v="8"/>
    <x v="9"/>
    <n v="10"/>
  </r>
  <r>
    <x v="5"/>
    <s v="Endenergieverbrauch - Industriesektor - Nichteisenmetalle - energetischer Verbrauch"/>
    <s v="Elektrizität"/>
    <s v="Gigawattstunde"/>
    <x v="9"/>
    <x v="9"/>
    <n v="7"/>
  </r>
  <r>
    <x v="5"/>
    <s v="Endenergieverbrauch - Industriesektor - Nichteisenmetalle - energetischer Verbrauch"/>
    <s v="Elektrizität"/>
    <s v="Gigawattstunde"/>
    <x v="10"/>
    <x v="9"/>
    <n v="9"/>
  </r>
  <r>
    <x v="5"/>
    <s v="Endenergieverbrauch - Industriesektor - Nichteisenmetalle - energetischer Verbrauch"/>
    <s v="Elektrizität"/>
    <s v="Gigawattstunde"/>
    <x v="11"/>
    <x v="9"/>
    <n v="5"/>
  </r>
  <r>
    <x v="5"/>
    <s v="Endenergieverbrauch - Industriesektor - Nichteisenmetalle - energetischer Verbrauch"/>
    <s v="Elektrizität"/>
    <s v="Gigawattstunde"/>
    <x v="12"/>
    <x v="9"/>
    <n v="5"/>
  </r>
  <r>
    <x v="5"/>
    <s v="Endenergieverbrauch - Industriesektor - Nichteisenmetalle - energetischer Verbrauch"/>
    <s v="Elektrizität"/>
    <s v="Gigawattstunde"/>
    <x v="13"/>
    <x v="9"/>
    <n v="4"/>
  </r>
  <r>
    <x v="5"/>
    <s v="Endenergieverbrauch - Industriesektor - Nichteisenmetalle - energetischer Verbrauch"/>
    <s v="Elektrizität"/>
    <s v="Gigawattstunde"/>
    <x v="14"/>
    <x v="9"/>
    <n v="5"/>
  </r>
  <r>
    <x v="5"/>
    <s v="Endenergieverbrauch - Industriesektor - Nichteisenmetalle - energetischer Verbrauch"/>
    <s v="Elektrizität"/>
    <s v="Gigawattstunde"/>
    <x v="15"/>
    <x v="9"/>
    <n v="0"/>
  </r>
  <r>
    <x v="5"/>
    <s v="Endenergieverbrauch - Industriesektor - Nichteisenmetalle - energetischer Verbrauch"/>
    <s v="Elektrizität"/>
    <s v="Gigawattstunde"/>
    <x v="16"/>
    <x v="9"/>
    <n v="3"/>
  </r>
  <r>
    <x v="6"/>
    <s v="Endenergieverbrauch - Industriesektor - Nichteisenmetalle - energetischer Verbrauch"/>
    <s v="Elektrizität"/>
    <s v="Gigawattstunde"/>
    <x v="0"/>
    <x v="9"/>
    <n v="459.13"/>
  </r>
  <r>
    <x v="6"/>
    <s v="Endenergieverbrauch - Industriesektor - Nichteisenmetalle - energetischer Verbrauch"/>
    <s v="Elektrizität"/>
    <s v="Gigawattstunde"/>
    <x v="1"/>
    <x v="9"/>
    <n v="427.51400000000001"/>
  </r>
  <r>
    <x v="6"/>
    <s v="Endenergieverbrauch - Industriesektor - Nichteisenmetalle - energetischer Verbrauch"/>
    <s v="Elektrizität"/>
    <s v="Gigawattstunde"/>
    <x v="2"/>
    <x v="9"/>
    <n v="404.596"/>
  </r>
  <r>
    <x v="6"/>
    <s v="Endenergieverbrauch - Industriesektor - Nichteisenmetalle - energetischer Verbrauch"/>
    <s v="Elektrizität"/>
    <s v="Gigawattstunde"/>
    <x v="3"/>
    <x v="9"/>
    <n v="450.904"/>
  </r>
  <r>
    <x v="6"/>
    <s v="Endenergieverbrauch - Industriesektor - Nichteisenmetalle - energetischer Verbrauch"/>
    <s v="Elektrizität"/>
    <s v="Gigawattstunde"/>
    <x v="4"/>
    <x v="9"/>
    <n v="568.25400000000002"/>
  </r>
  <r>
    <x v="6"/>
    <s v="Endenergieverbrauch - Industriesektor - Nichteisenmetalle - energetischer Verbrauch"/>
    <s v="Elektrizität"/>
    <s v="Gigawattstunde"/>
    <x v="5"/>
    <x v="9"/>
    <n v="582.78700000000003"/>
  </r>
  <r>
    <x v="6"/>
    <s v="Endenergieverbrauch - Industriesektor - Nichteisenmetalle - energetischer Verbrauch"/>
    <s v="Elektrizität"/>
    <s v="Gigawattstunde"/>
    <x v="6"/>
    <x v="9"/>
    <n v="584.05200000000002"/>
  </r>
  <r>
    <x v="6"/>
    <s v="Endenergieverbrauch - Industriesektor - Nichteisenmetalle - energetischer Verbrauch"/>
    <s v="Elektrizität"/>
    <s v="Gigawattstunde"/>
    <x v="7"/>
    <x v="9"/>
    <n v="510.471"/>
  </r>
  <r>
    <x v="6"/>
    <s v="Endenergieverbrauch - Industriesektor - Nichteisenmetalle - energetischer Verbrauch"/>
    <s v="Elektrizität"/>
    <s v="Gigawattstunde"/>
    <x v="8"/>
    <x v="9"/>
    <n v="729.15099999999995"/>
  </r>
  <r>
    <x v="6"/>
    <s v="Endenergieverbrauch - Industriesektor - Nichteisenmetalle - energetischer Verbrauch"/>
    <s v="Elektrizität"/>
    <s v="Gigawattstunde"/>
    <x v="9"/>
    <x v="9"/>
    <n v="740.82899999999995"/>
  </r>
  <r>
    <x v="6"/>
    <s v="Endenergieverbrauch - Industriesektor - Nichteisenmetalle - energetischer Verbrauch"/>
    <s v="Elektrizität"/>
    <s v="Gigawattstunde"/>
    <x v="10"/>
    <x v="9"/>
    <n v="744.22400000000005"/>
  </r>
  <r>
    <x v="6"/>
    <s v="Endenergieverbrauch - Industriesektor - Nichteisenmetalle - energetischer Verbrauch"/>
    <s v="Elektrizität"/>
    <s v="Gigawattstunde"/>
    <x v="11"/>
    <x v="9"/>
    <n v="741.20600000000002"/>
  </r>
  <r>
    <x v="6"/>
    <s v="Endenergieverbrauch - Industriesektor - Nichteisenmetalle - energetischer Verbrauch"/>
    <s v="Elektrizität"/>
    <s v="Gigawattstunde"/>
    <x v="12"/>
    <x v="9"/>
    <n v="747.03300000000002"/>
  </r>
  <r>
    <x v="6"/>
    <s v="Endenergieverbrauch - Industriesektor - Nichteisenmetalle - energetischer Verbrauch"/>
    <s v="Elektrizität"/>
    <s v="Gigawattstunde"/>
    <x v="13"/>
    <x v="9"/>
    <n v="784.66600000000005"/>
  </r>
  <r>
    <x v="6"/>
    <s v="Endenergieverbrauch - Industriesektor - Nichteisenmetalle - energetischer Verbrauch"/>
    <s v="Elektrizität"/>
    <s v="Gigawattstunde"/>
    <x v="14"/>
    <x v="9"/>
    <n v="789.38499999999999"/>
  </r>
  <r>
    <x v="6"/>
    <s v="Endenergieverbrauch - Industriesektor - Nichteisenmetalle - energetischer Verbrauch"/>
    <s v="Elektrizität"/>
    <s v="Gigawattstunde"/>
    <x v="15"/>
    <x v="9"/>
    <n v="796.12400000000002"/>
  </r>
  <r>
    <x v="6"/>
    <s v="Endenergieverbrauch - Industriesektor - Nichteisenmetalle - energetischer Verbrauch"/>
    <s v="Elektrizität"/>
    <s v="Gigawattstunde"/>
    <x v="16"/>
    <x v="9"/>
    <n v="823.72900000000004"/>
  </r>
  <r>
    <x v="7"/>
    <s v="Endenergieverbrauch - Industriesektor - Nichteisenmetalle - energetischer Verbrauch"/>
    <s v="Elektrizität"/>
    <s v="Gigawattstunde"/>
    <x v="0"/>
    <x v="9"/>
    <n v="3929"/>
  </r>
  <r>
    <x v="7"/>
    <s v="Endenergieverbrauch - Industriesektor - Nichteisenmetalle - energetischer Verbrauch"/>
    <s v="Elektrizität"/>
    <s v="Gigawattstunde"/>
    <x v="1"/>
    <x v="9"/>
    <n v="3752"/>
  </r>
  <r>
    <x v="7"/>
    <s v="Endenergieverbrauch - Industriesektor - Nichteisenmetalle - energetischer Verbrauch"/>
    <s v="Elektrizität"/>
    <s v="Gigawattstunde"/>
    <x v="2"/>
    <x v="9"/>
    <n v="4237"/>
  </r>
  <r>
    <x v="7"/>
    <s v="Endenergieverbrauch - Industriesektor - Nichteisenmetalle - energetischer Verbrauch"/>
    <s v="Elektrizität"/>
    <s v="Gigawattstunde"/>
    <x v="3"/>
    <x v="9"/>
    <n v="4615"/>
  </r>
  <r>
    <x v="7"/>
    <s v="Endenergieverbrauch - Industriesektor - Nichteisenmetalle - energetischer Verbrauch"/>
    <s v="Elektrizität"/>
    <s v="Gigawattstunde"/>
    <x v="4"/>
    <x v="9"/>
    <n v="4111"/>
  </r>
  <r>
    <x v="7"/>
    <s v="Endenergieverbrauch - Industriesektor - Nichteisenmetalle - energetischer Verbrauch"/>
    <s v="Elektrizität"/>
    <s v="Gigawattstunde"/>
    <x v="5"/>
    <x v="9"/>
    <n v="4594"/>
  </r>
  <r>
    <x v="7"/>
    <s v="Endenergieverbrauch - Industriesektor - Nichteisenmetalle - energetischer Verbrauch"/>
    <s v="Elektrizität"/>
    <s v="Gigawattstunde"/>
    <x v="6"/>
    <x v="9"/>
    <n v="3956"/>
  </r>
  <r>
    <x v="7"/>
    <s v="Endenergieverbrauch - Industriesektor - Nichteisenmetalle - energetischer Verbrauch"/>
    <s v="Elektrizität"/>
    <s v="Gigawattstunde"/>
    <x v="7"/>
    <x v="9"/>
    <n v="4051"/>
  </r>
  <r>
    <x v="7"/>
    <s v="Endenergieverbrauch - Industriesektor - Nichteisenmetalle - energetischer Verbrauch"/>
    <s v="Elektrizität"/>
    <s v="Gigawattstunde"/>
    <x v="8"/>
    <x v="9"/>
    <n v="5396"/>
  </r>
  <r>
    <x v="7"/>
    <s v="Endenergieverbrauch - Industriesektor - Nichteisenmetalle - energetischer Verbrauch"/>
    <s v="Elektrizität"/>
    <s v="Gigawattstunde"/>
    <x v="9"/>
    <x v="9"/>
    <n v="4262"/>
  </r>
  <r>
    <x v="7"/>
    <s v="Endenergieverbrauch - Industriesektor - Nichteisenmetalle - energetischer Verbrauch"/>
    <s v="Elektrizität"/>
    <s v="Gigawattstunde"/>
    <x v="10"/>
    <x v="9"/>
    <n v="4644"/>
  </r>
  <r>
    <x v="7"/>
    <s v="Endenergieverbrauch - Industriesektor - Nichteisenmetalle - energetischer Verbrauch"/>
    <s v="Elektrizität"/>
    <s v="Gigawattstunde"/>
    <x v="11"/>
    <x v="9"/>
    <n v="4710"/>
  </r>
  <r>
    <x v="7"/>
    <s v="Endenergieverbrauch - Industriesektor - Nichteisenmetalle - energetischer Verbrauch"/>
    <s v="Elektrizität"/>
    <s v="Gigawattstunde"/>
    <x v="12"/>
    <x v="9"/>
    <n v="4710"/>
  </r>
  <r>
    <x v="7"/>
    <s v="Endenergieverbrauch - Industriesektor - Nichteisenmetalle - energetischer Verbrauch"/>
    <s v="Elektrizität"/>
    <s v="Gigawattstunde"/>
    <x v="13"/>
    <x v="9"/>
    <n v="4770"/>
  </r>
  <r>
    <x v="7"/>
    <s v="Endenergieverbrauch - Industriesektor - Nichteisenmetalle - energetischer Verbrauch"/>
    <s v="Elektrizität"/>
    <s v="Gigawattstunde"/>
    <x v="14"/>
    <x v="9"/>
    <n v="4366"/>
  </r>
  <r>
    <x v="7"/>
    <s v="Endenergieverbrauch - Industriesektor - Nichteisenmetalle - energetischer Verbrauch"/>
    <s v="Elektrizität"/>
    <s v="Gigawattstunde"/>
    <x v="15"/>
    <x v="9"/>
    <n v="4570.5370000000003"/>
  </r>
  <r>
    <x v="7"/>
    <s v="Endenergieverbrauch - Industriesektor - Nichteisenmetalle - energetischer Verbrauch"/>
    <s v="Elektrizität"/>
    <s v="Gigawattstunde"/>
    <x v="16"/>
    <x v="9"/>
    <n v="4867.25"/>
  </r>
  <r>
    <x v="8"/>
    <s v="Endenergieverbrauch - Industriesektor - Nichteisenmetalle - energetischer Verbrauch"/>
    <s v="Elektrizität"/>
    <s v="Gigawattstunde"/>
    <x v="0"/>
    <x v="9"/>
    <n v="10484"/>
  </r>
  <r>
    <x v="8"/>
    <s v="Endenergieverbrauch - Industriesektor - Nichteisenmetalle - energetischer Verbrauch"/>
    <s v="Elektrizität"/>
    <s v="Gigawattstunde"/>
    <x v="1"/>
    <x v="9"/>
    <n v="10884"/>
  </r>
  <r>
    <x v="8"/>
    <s v="Endenergieverbrauch - Industriesektor - Nichteisenmetalle - energetischer Verbrauch"/>
    <s v="Elektrizität"/>
    <s v="Gigawattstunde"/>
    <x v="2"/>
    <x v="9"/>
    <n v="11572"/>
  </r>
  <r>
    <x v="8"/>
    <s v="Endenergieverbrauch - Industriesektor - Nichteisenmetalle - energetischer Verbrauch"/>
    <s v="Elektrizität"/>
    <s v="Gigawattstunde"/>
    <x v="3"/>
    <x v="9"/>
    <n v="10271"/>
  </r>
  <r>
    <x v="8"/>
    <s v="Endenergieverbrauch - Industriesektor - Nichteisenmetalle - energetischer Verbrauch"/>
    <s v="Elektrizität"/>
    <s v="Gigawattstunde"/>
    <x v="4"/>
    <x v="9"/>
    <n v="10112"/>
  </r>
  <r>
    <x v="8"/>
    <s v="Endenergieverbrauch - Industriesektor - Nichteisenmetalle - energetischer Verbrauch"/>
    <s v="Elektrizität"/>
    <s v="Gigawattstunde"/>
    <x v="5"/>
    <x v="9"/>
    <n v="10744"/>
  </r>
  <r>
    <x v="8"/>
    <s v="Endenergieverbrauch - Industriesektor - Nichteisenmetalle - energetischer Verbrauch"/>
    <s v="Elektrizität"/>
    <s v="Gigawattstunde"/>
    <x v="6"/>
    <x v="9"/>
    <n v="10071"/>
  </r>
  <r>
    <x v="8"/>
    <s v="Endenergieverbrauch - Industriesektor - Nichteisenmetalle - energetischer Verbrauch"/>
    <s v="Elektrizität"/>
    <s v="Gigawattstunde"/>
    <x v="7"/>
    <x v="9"/>
    <n v="9512"/>
  </r>
  <r>
    <x v="8"/>
    <s v="Endenergieverbrauch - Industriesektor - Nichteisenmetalle - energetischer Verbrauch"/>
    <s v="Elektrizität"/>
    <s v="Gigawattstunde"/>
    <x v="8"/>
    <x v="9"/>
    <n v="8651"/>
  </r>
  <r>
    <x v="8"/>
    <s v="Endenergieverbrauch - Industriesektor - Nichteisenmetalle - energetischer Verbrauch"/>
    <s v="Elektrizität"/>
    <s v="Gigawattstunde"/>
    <x v="9"/>
    <x v="9"/>
    <n v="10728"/>
  </r>
  <r>
    <x v="8"/>
    <s v="Endenergieverbrauch - Industriesektor - Nichteisenmetalle - energetischer Verbrauch"/>
    <s v="Elektrizität"/>
    <s v="Gigawattstunde"/>
    <x v="10"/>
    <x v="9"/>
    <n v="10584"/>
  </r>
  <r>
    <x v="8"/>
    <s v="Endenergieverbrauch - Industriesektor - Nichteisenmetalle - energetischer Verbrauch"/>
    <s v="Elektrizität"/>
    <s v="Gigawattstunde"/>
    <x v="11"/>
    <x v="9"/>
    <n v="9012"/>
  </r>
  <r>
    <x v="8"/>
    <s v="Endenergieverbrauch - Industriesektor - Nichteisenmetalle - energetischer Verbrauch"/>
    <s v="Elektrizität"/>
    <s v="Gigawattstunde"/>
    <x v="12"/>
    <x v="9"/>
    <n v="9362"/>
  </r>
  <r>
    <x v="8"/>
    <s v="Endenergieverbrauch - Industriesektor - Nichteisenmetalle - energetischer Verbrauch"/>
    <s v="Elektrizität"/>
    <s v="Gigawattstunde"/>
    <x v="13"/>
    <x v="9"/>
    <n v="9544"/>
  </r>
  <r>
    <x v="8"/>
    <s v="Endenergieverbrauch - Industriesektor - Nichteisenmetalle - energetischer Verbrauch"/>
    <s v="Elektrizität"/>
    <s v="Gigawattstunde"/>
    <x v="14"/>
    <x v="9"/>
    <n v="9333"/>
  </r>
  <r>
    <x v="8"/>
    <s v="Endenergieverbrauch - Industriesektor - Nichteisenmetalle - energetischer Verbrauch"/>
    <s v="Elektrizität"/>
    <s v="Gigawattstunde"/>
    <x v="15"/>
    <x v="9"/>
    <n v="10070"/>
  </r>
  <r>
    <x v="8"/>
    <s v="Endenergieverbrauch - Industriesektor - Nichteisenmetalle - energetischer Verbrauch"/>
    <s v="Elektrizität"/>
    <s v="Gigawattstunde"/>
    <x v="16"/>
    <x v="9"/>
    <n v="9137"/>
  </r>
  <r>
    <x v="9"/>
    <s v="Endenergieverbrauch - Industriesektor - Nichteisenmetalle - energetischer Verbrauch"/>
    <s v="Elektrizität"/>
    <s v="Gigawattstunde"/>
    <x v="0"/>
    <x v="9"/>
    <n v="10211"/>
  </r>
  <r>
    <x v="9"/>
    <s v="Endenergieverbrauch - Industriesektor - Nichteisenmetalle - energetischer Verbrauch"/>
    <s v="Elektrizität"/>
    <s v="Gigawattstunde"/>
    <x v="1"/>
    <x v="9"/>
    <n v="9919"/>
  </r>
  <r>
    <x v="9"/>
    <s v="Endenergieverbrauch - Industriesektor - Nichteisenmetalle - energetischer Verbrauch"/>
    <s v="Elektrizität"/>
    <s v="Gigawattstunde"/>
    <x v="2"/>
    <x v="9"/>
    <n v="10197"/>
  </r>
  <r>
    <x v="9"/>
    <s v="Endenergieverbrauch - Industriesektor - Nichteisenmetalle - energetischer Verbrauch"/>
    <s v="Elektrizität"/>
    <s v="Gigawattstunde"/>
    <x v="3"/>
    <x v="9"/>
    <n v="9833"/>
  </r>
  <r>
    <x v="9"/>
    <s v="Endenergieverbrauch - Industriesektor - Nichteisenmetalle - energetischer Verbrauch"/>
    <s v="Elektrizität"/>
    <s v="Gigawattstunde"/>
    <x v="4"/>
    <x v="9"/>
    <n v="9548"/>
  </r>
  <r>
    <x v="9"/>
    <s v="Endenergieverbrauch - Industriesektor - Nichteisenmetalle - energetischer Verbrauch"/>
    <s v="Elektrizität"/>
    <s v="Gigawattstunde"/>
    <x v="5"/>
    <x v="9"/>
    <n v="9287"/>
  </r>
  <r>
    <x v="9"/>
    <s v="Endenergieverbrauch - Industriesektor - Nichteisenmetalle - energetischer Verbrauch"/>
    <s v="Elektrizität"/>
    <s v="Gigawattstunde"/>
    <x v="6"/>
    <x v="9"/>
    <n v="7902"/>
  </r>
  <r>
    <x v="9"/>
    <s v="Endenergieverbrauch - Industriesektor - Nichteisenmetalle - energetischer Verbrauch"/>
    <s v="Elektrizität"/>
    <s v="Gigawattstunde"/>
    <x v="7"/>
    <x v="9"/>
    <n v="7152"/>
  </r>
  <r>
    <x v="9"/>
    <s v="Endenergieverbrauch - Industriesektor - Nichteisenmetalle - energetischer Verbrauch"/>
    <s v="Elektrizität"/>
    <s v="Gigawattstunde"/>
    <x v="8"/>
    <x v="9"/>
    <n v="7468"/>
  </r>
  <r>
    <x v="9"/>
    <s v="Endenergieverbrauch - Industriesektor - Nichteisenmetalle - energetischer Verbrauch"/>
    <s v="Elektrizität"/>
    <s v="Gigawattstunde"/>
    <x v="9"/>
    <x v="9"/>
    <n v="8126.527"/>
  </r>
  <r>
    <x v="9"/>
    <s v="Endenergieverbrauch - Industriesektor - Nichteisenmetalle - energetischer Verbrauch"/>
    <s v="Elektrizität"/>
    <s v="Gigawattstunde"/>
    <x v="10"/>
    <x v="9"/>
    <n v="7963.1180000000004"/>
  </r>
  <r>
    <x v="9"/>
    <s v="Endenergieverbrauch - Industriesektor - Nichteisenmetalle - energetischer Verbrauch"/>
    <s v="Elektrizität"/>
    <s v="Gigawattstunde"/>
    <x v="11"/>
    <x v="9"/>
    <n v="7848.4709999999995"/>
  </r>
  <r>
    <x v="9"/>
    <s v="Endenergieverbrauch - Industriesektor - Nichteisenmetalle - energetischer Verbrauch"/>
    <s v="Elektrizität"/>
    <s v="Gigawattstunde"/>
    <x v="12"/>
    <x v="9"/>
    <n v="8287.5779999999995"/>
  </r>
  <r>
    <x v="9"/>
    <s v="Endenergieverbrauch - Industriesektor - Nichteisenmetalle - energetischer Verbrauch"/>
    <s v="Elektrizität"/>
    <s v="Gigawattstunde"/>
    <x v="13"/>
    <x v="9"/>
    <n v="8734.6119999999992"/>
  </r>
  <r>
    <x v="9"/>
    <s v="Endenergieverbrauch - Industriesektor - Nichteisenmetalle - energetischer Verbrauch"/>
    <s v="Elektrizität"/>
    <s v="Gigawattstunde"/>
    <x v="14"/>
    <x v="9"/>
    <n v="8838.5040000000008"/>
  </r>
  <r>
    <x v="9"/>
    <s v="Endenergieverbrauch - Industriesektor - Nichteisenmetalle - energetischer Verbrauch"/>
    <s v="Elektrizität"/>
    <s v="Gigawattstunde"/>
    <x v="15"/>
    <x v="9"/>
    <n v="8933.1149999999998"/>
  </r>
  <r>
    <x v="9"/>
    <s v="Endenergieverbrauch - Industriesektor - Nichteisenmetalle - energetischer Verbrauch"/>
    <s v="Elektrizität"/>
    <s v="Gigawattstunde"/>
    <x v="16"/>
    <x v="9"/>
    <n v="8235.6280000000006"/>
  </r>
  <r>
    <x v="10"/>
    <s v="Endenergieverbrauch - Industriesektor - Nichteisenmetalle - energetischer Verbrauch"/>
    <s v="Elektrizität"/>
    <s v="Gigawattstunde"/>
    <x v="0"/>
    <x v="9"/>
    <n v="92"/>
  </r>
  <r>
    <x v="10"/>
    <s v="Endenergieverbrauch - Industriesektor - Nichteisenmetalle - energetischer Verbrauch"/>
    <s v="Elektrizität"/>
    <s v="Gigawattstunde"/>
    <x v="1"/>
    <x v="9"/>
    <n v="80"/>
  </r>
  <r>
    <x v="10"/>
    <s v="Endenergieverbrauch - Industriesektor - Nichteisenmetalle - energetischer Verbrauch"/>
    <s v="Elektrizität"/>
    <s v="Gigawattstunde"/>
    <x v="2"/>
    <x v="9"/>
    <n v="80"/>
  </r>
  <r>
    <x v="10"/>
    <s v="Endenergieverbrauch - Industriesektor - Nichteisenmetalle - energetischer Verbrauch"/>
    <s v="Elektrizität"/>
    <s v="Gigawattstunde"/>
    <x v="3"/>
    <x v="9"/>
    <n v="93"/>
  </r>
  <r>
    <x v="10"/>
    <s v="Endenergieverbrauch - Industriesektor - Nichteisenmetalle - energetischer Verbrauch"/>
    <s v="Elektrizität"/>
    <s v="Gigawattstunde"/>
    <x v="4"/>
    <x v="9"/>
    <n v="91"/>
  </r>
  <r>
    <x v="10"/>
    <s v="Endenergieverbrauch - Industriesektor - Nichteisenmetalle - energetischer Verbrauch"/>
    <s v="Elektrizität"/>
    <s v="Gigawattstunde"/>
    <x v="5"/>
    <x v="9"/>
    <n v="96"/>
  </r>
  <r>
    <x v="10"/>
    <s v="Endenergieverbrauch - Industriesektor - Nichteisenmetalle - energetischer Verbrauch"/>
    <s v="Elektrizität"/>
    <s v="Gigawattstunde"/>
    <x v="6"/>
    <x v="9"/>
    <n v="78"/>
  </r>
  <r>
    <x v="10"/>
    <s v="Endenergieverbrauch - Industriesektor - Nichteisenmetalle - energetischer Verbrauch"/>
    <s v="Elektrizität"/>
    <s v="Gigawattstunde"/>
    <x v="7"/>
    <x v="9"/>
    <n v="77"/>
  </r>
  <r>
    <x v="10"/>
    <s v="Endenergieverbrauch - Industriesektor - Nichteisenmetalle - energetischer Verbrauch"/>
    <s v="Elektrizität"/>
    <s v="Gigawattstunde"/>
    <x v="8"/>
    <x v="9"/>
    <n v="71"/>
  </r>
  <r>
    <x v="10"/>
    <s v="Endenergieverbrauch - Industriesektor - Nichteisenmetalle - energetischer Verbrauch"/>
    <s v="Elektrizität"/>
    <s v="Gigawattstunde"/>
    <x v="9"/>
    <x v="9"/>
    <n v="82"/>
  </r>
  <r>
    <x v="10"/>
    <s v="Endenergieverbrauch - Industriesektor - Nichteisenmetalle - energetischer Verbrauch"/>
    <s v="Elektrizität"/>
    <s v="Gigawattstunde"/>
    <x v="10"/>
    <x v="9"/>
    <n v="86"/>
  </r>
  <r>
    <x v="10"/>
    <s v="Endenergieverbrauch - Industriesektor - Nichteisenmetalle - energetischer Verbrauch"/>
    <s v="Elektrizität"/>
    <s v="Gigawattstunde"/>
    <x v="11"/>
    <x v="9"/>
    <n v="86"/>
  </r>
  <r>
    <x v="10"/>
    <s v="Endenergieverbrauch - Industriesektor - Nichteisenmetalle - energetischer Verbrauch"/>
    <s v="Elektrizität"/>
    <s v="Gigawattstunde"/>
    <x v="12"/>
    <x v="9"/>
    <n v="79"/>
  </r>
  <r>
    <x v="10"/>
    <s v="Endenergieverbrauch - Industriesektor - Nichteisenmetalle - energetischer Verbrauch"/>
    <s v="Elektrizität"/>
    <s v="Gigawattstunde"/>
    <x v="13"/>
    <x v="9"/>
    <n v="36"/>
  </r>
  <r>
    <x v="10"/>
    <s v="Endenergieverbrauch - Industriesektor - Nichteisenmetalle - energetischer Verbrauch"/>
    <s v="Elektrizität"/>
    <s v="Gigawattstunde"/>
    <x v="14"/>
    <x v="9"/>
    <n v="32"/>
  </r>
  <r>
    <x v="10"/>
    <s v="Endenergieverbrauch - Industriesektor - Nichteisenmetalle - energetischer Verbrauch"/>
    <s v="Elektrizität"/>
    <s v="Gigawattstunde"/>
    <x v="15"/>
    <x v="9"/>
    <n v="86.2"/>
  </r>
  <r>
    <x v="10"/>
    <s v="Endenergieverbrauch - Industriesektor - Nichteisenmetalle - energetischer Verbrauch"/>
    <s v="Elektrizität"/>
    <s v="Gigawattstunde"/>
    <x v="16"/>
    <x v="9"/>
    <n v="98.7"/>
  </r>
  <r>
    <x v="11"/>
    <s v="Endenergieverbrauch - Industriesektor - Nichteisenmetalle - energetischer Verbrauch"/>
    <s v="Elektrizität"/>
    <s v="Gigawattstunde"/>
    <x v="0"/>
    <x v="9"/>
    <n v="5619"/>
  </r>
  <r>
    <x v="11"/>
    <s v="Endenergieverbrauch - Industriesektor - Nichteisenmetalle - energetischer Verbrauch"/>
    <s v="Elektrizität"/>
    <s v="Gigawattstunde"/>
    <x v="1"/>
    <x v="9"/>
    <n v="5464"/>
  </r>
  <r>
    <x v="11"/>
    <s v="Endenergieverbrauch - Industriesektor - Nichteisenmetalle - energetischer Verbrauch"/>
    <s v="Elektrizität"/>
    <s v="Gigawattstunde"/>
    <x v="2"/>
    <x v="9"/>
    <n v="5538"/>
  </r>
  <r>
    <x v="11"/>
    <s v="Endenergieverbrauch - Industriesektor - Nichteisenmetalle - energetischer Verbrauch"/>
    <s v="Elektrizität"/>
    <s v="Gigawattstunde"/>
    <x v="3"/>
    <x v="9"/>
    <n v="5635"/>
  </r>
  <r>
    <x v="11"/>
    <s v="Endenergieverbrauch - Industriesektor - Nichteisenmetalle - energetischer Verbrauch"/>
    <s v="Elektrizität"/>
    <s v="Gigawattstunde"/>
    <x v="4"/>
    <x v="9"/>
    <n v="5753"/>
  </r>
  <r>
    <x v="11"/>
    <s v="Endenergieverbrauch - Industriesektor - Nichteisenmetalle - energetischer Verbrauch"/>
    <s v="Elektrizität"/>
    <s v="Gigawattstunde"/>
    <x v="5"/>
    <x v="9"/>
    <n v="5553"/>
  </r>
  <r>
    <x v="11"/>
    <s v="Endenergieverbrauch - Industriesektor - Nichteisenmetalle - energetischer Verbrauch"/>
    <s v="Elektrizität"/>
    <s v="Gigawattstunde"/>
    <x v="6"/>
    <x v="9"/>
    <n v="5598"/>
  </r>
  <r>
    <x v="11"/>
    <s v="Endenergieverbrauch - Industriesektor - Nichteisenmetalle - energetischer Verbrauch"/>
    <s v="Elektrizität"/>
    <s v="Gigawattstunde"/>
    <x v="7"/>
    <x v="9"/>
    <n v="5092"/>
  </r>
  <r>
    <x v="11"/>
    <s v="Endenergieverbrauch - Industriesektor - Nichteisenmetalle - energetischer Verbrauch"/>
    <s v="Elektrizität"/>
    <s v="Gigawattstunde"/>
    <x v="8"/>
    <x v="9"/>
    <n v="4573"/>
  </r>
  <r>
    <x v="11"/>
    <s v="Endenergieverbrauch - Industriesektor - Nichteisenmetalle - energetischer Verbrauch"/>
    <s v="Elektrizität"/>
    <s v="Gigawattstunde"/>
    <x v="9"/>
    <x v="9"/>
    <n v="4628"/>
  </r>
  <r>
    <x v="11"/>
    <s v="Endenergieverbrauch - Industriesektor - Nichteisenmetalle - energetischer Verbrauch"/>
    <s v="Elektrizität"/>
    <s v="Gigawattstunde"/>
    <x v="10"/>
    <x v="9"/>
    <n v="3825"/>
  </r>
  <r>
    <x v="11"/>
    <s v="Endenergieverbrauch - Industriesektor - Nichteisenmetalle - energetischer Verbrauch"/>
    <s v="Elektrizität"/>
    <s v="Gigawattstunde"/>
    <x v="11"/>
    <x v="9"/>
    <n v="2416"/>
  </r>
  <r>
    <x v="11"/>
    <s v="Endenergieverbrauch - Industriesektor - Nichteisenmetalle - energetischer Verbrauch"/>
    <s v="Elektrizität"/>
    <s v="Gigawattstunde"/>
    <x v="12"/>
    <x v="9"/>
    <n v="2522"/>
  </r>
  <r>
    <x v="11"/>
    <s v="Endenergieverbrauch - Industriesektor - Nichteisenmetalle - energetischer Verbrauch"/>
    <s v="Elektrizität"/>
    <s v="Gigawattstunde"/>
    <x v="13"/>
    <x v="9"/>
    <n v="2483"/>
  </r>
  <r>
    <x v="11"/>
    <s v="Endenergieverbrauch - Industriesektor - Nichteisenmetalle - energetischer Verbrauch"/>
    <s v="Elektrizität"/>
    <s v="Gigawattstunde"/>
    <x v="14"/>
    <x v="9"/>
    <n v="2477"/>
  </r>
  <r>
    <x v="11"/>
    <s v="Endenergieverbrauch - Industriesektor - Nichteisenmetalle - energetischer Verbrauch"/>
    <s v="Elektrizität"/>
    <s v="Gigawattstunde"/>
    <x v="15"/>
    <x v="9"/>
    <n v="2556.2249999999999"/>
  </r>
  <r>
    <x v="11"/>
    <s v="Endenergieverbrauch - Industriesektor - Nichteisenmetalle - energetischer Verbrauch"/>
    <s v="Elektrizität"/>
    <s v="Gigawattstunde"/>
    <x v="16"/>
    <x v="9"/>
    <n v="2528.1849999999999"/>
  </r>
  <r>
    <x v="12"/>
    <s v="Endenergieverbrauch - Industriesektor - Nichteisenmetalle - energetischer Verbrauch"/>
    <s v="Elektrizität"/>
    <s v="Gigawattstunde"/>
    <x v="0"/>
    <x v="9"/>
    <n v="0"/>
  </r>
  <r>
    <x v="12"/>
    <s v="Endenergieverbrauch - Industriesektor - Nichteisenmetalle - energetischer Verbrauch"/>
    <s v="Elektrizität"/>
    <s v="Gigawattstunde"/>
    <x v="1"/>
    <x v="9"/>
    <n v="0"/>
  </r>
  <r>
    <x v="12"/>
    <s v="Endenergieverbrauch - Industriesektor - Nichteisenmetalle - energetischer Verbrauch"/>
    <s v="Elektrizität"/>
    <s v="Gigawattstunde"/>
    <x v="2"/>
    <x v="9"/>
    <n v="0"/>
  </r>
  <r>
    <x v="12"/>
    <s v="Endenergieverbrauch - Industriesektor - Nichteisenmetalle - energetischer Verbrauch"/>
    <s v="Elektrizität"/>
    <s v="Gigawattstunde"/>
    <x v="3"/>
    <x v="9"/>
    <n v="0"/>
  </r>
  <r>
    <x v="12"/>
    <s v="Endenergieverbrauch - Industriesektor - Nichteisenmetalle - energetischer Verbrauch"/>
    <s v="Elektrizität"/>
    <s v="Gigawattstunde"/>
    <x v="4"/>
    <x v="9"/>
    <n v="0"/>
  </r>
  <r>
    <x v="12"/>
    <s v="Endenergieverbrauch - Industriesektor - Nichteisenmetalle - energetischer Verbrauch"/>
    <s v="Elektrizität"/>
    <s v="Gigawattstunde"/>
    <x v="5"/>
    <x v="9"/>
    <n v="0"/>
  </r>
  <r>
    <x v="12"/>
    <s v="Endenergieverbrauch - Industriesektor - Nichteisenmetalle - energetischer Verbrauch"/>
    <s v="Elektrizität"/>
    <s v="Gigawattstunde"/>
    <x v="6"/>
    <x v="9"/>
    <n v="0"/>
  </r>
  <r>
    <x v="12"/>
    <s v="Endenergieverbrauch - Industriesektor - Nichteisenmetalle - energetischer Verbrauch"/>
    <s v="Elektrizität"/>
    <s v="Gigawattstunde"/>
    <x v="7"/>
    <x v="9"/>
    <n v="0"/>
  </r>
  <r>
    <x v="12"/>
    <s v="Endenergieverbrauch - Industriesektor - Nichteisenmetalle - energetischer Verbrauch"/>
    <s v="Elektrizität"/>
    <s v="Gigawattstunde"/>
    <x v="8"/>
    <x v="9"/>
    <n v="0"/>
  </r>
  <r>
    <x v="12"/>
    <s v="Endenergieverbrauch - Industriesektor - Nichteisenmetalle - energetischer Verbrauch"/>
    <s v="Elektrizität"/>
    <s v="Gigawattstunde"/>
    <x v="9"/>
    <x v="9"/>
    <n v="0"/>
  </r>
  <r>
    <x v="12"/>
    <s v="Endenergieverbrauch - Industriesektor - Nichteisenmetalle - energetischer Verbrauch"/>
    <s v="Elektrizität"/>
    <s v="Gigawattstunde"/>
    <x v="10"/>
    <x v="9"/>
    <n v="0"/>
  </r>
  <r>
    <x v="12"/>
    <s v="Endenergieverbrauch - Industriesektor - Nichteisenmetalle - energetischer Verbrauch"/>
    <s v="Elektrizität"/>
    <s v="Gigawattstunde"/>
    <x v="11"/>
    <x v="9"/>
    <n v="0"/>
  </r>
  <r>
    <x v="12"/>
    <s v="Endenergieverbrauch - Industriesektor - Nichteisenmetalle - energetischer Verbrauch"/>
    <s v="Elektrizität"/>
    <s v="Gigawattstunde"/>
    <x v="12"/>
    <x v="9"/>
    <n v="0"/>
  </r>
  <r>
    <x v="12"/>
    <s v="Endenergieverbrauch - Industriesektor - Nichteisenmetalle - energetischer Verbrauch"/>
    <s v="Elektrizität"/>
    <s v="Gigawattstunde"/>
    <x v="13"/>
    <x v="9"/>
    <n v="0"/>
  </r>
  <r>
    <x v="12"/>
    <s v="Endenergieverbrauch - Industriesektor - Nichteisenmetalle - energetischer Verbrauch"/>
    <s v="Elektrizität"/>
    <s v="Gigawattstunde"/>
    <x v="14"/>
    <x v="9"/>
    <n v="0"/>
  </r>
  <r>
    <x v="12"/>
    <s v="Endenergieverbrauch - Industriesektor - Nichteisenmetalle - energetischer Verbrauch"/>
    <s v="Elektrizität"/>
    <s v="Gigawattstunde"/>
    <x v="15"/>
    <x v="9"/>
    <n v="0"/>
  </r>
  <r>
    <x v="12"/>
    <s v="Endenergieverbrauch - Industriesektor - Nichteisenmetalle - energetischer Verbrauch"/>
    <s v="Elektrizität"/>
    <s v="Gigawattstunde"/>
    <x v="16"/>
    <x v="9"/>
    <n v="0"/>
  </r>
  <r>
    <x v="13"/>
    <s v="Endenergieverbrauch - Industriesektor - Nichteisenmetalle - energetischer Verbrauch"/>
    <s v="Elektrizität"/>
    <s v="Gigawattstunde"/>
    <x v="0"/>
    <x v="9"/>
    <n v="3"/>
  </r>
  <r>
    <x v="13"/>
    <s v="Endenergieverbrauch - Industriesektor - Nichteisenmetalle - energetischer Verbrauch"/>
    <s v="Elektrizität"/>
    <s v="Gigawattstunde"/>
    <x v="1"/>
    <x v="9"/>
    <n v="3"/>
  </r>
  <r>
    <x v="13"/>
    <s v="Endenergieverbrauch - Industriesektor - Nichteisenmetalle - energetischer Verbrauch"/>
    <s v="Elektrizität"/>
    <s v="Gigawattstunde"/>
    <x v="2"/>
    <x v="9"/>
    <n v="3"/>
  </r>
  <r>
    <x v="13"/>
    <s v="Endenergieverbrauch - Industriesektor - Nichteisenmetalle - energetischer Verbrauch"/>
    <s v="Elektrizität"/>
    <s v="Gigawattstunde"/>
    <x v="3"/>
    <x v="9"/>
    <n v="3"/>
  </r>
  <r>
    <x v="13"/>
    <s v="Endenergieverbrauch - Industriesektor - Nichteisenmetalle - energetischer Verbrauch"/>
    <s v="Elektrizität"/>
    <s v="Gigawattstunde"/>
    <x v="4"/>
    <x v="9"/>
    <n v="2"/>
  </r>
  <r>
    <x v="13"/>
    <s v="Endenergieverbrauch - Industriesektor - Nichteisenmetalle - energetischer Verbrauch"/>
    <s v="Elektrizität"/>
    <s v="Gigawattstunde"/>
    <x v="5"/>
    <x v="9"/>
    <n v="2"/>
  </r>
  <r>
    <x v="13"/>
    <s v="Endenergieverbrauch - Industriesektor - Nichteisenmetalle - energetischer Verbrauch"/>
    <s v="Elektrizität"/>
    <s v="Gigawattstunde"/>
    <x v="6"/>
    <x v="9"/>
    <n v="1"/>
  </r>
  <r>
    <x v="13"/>
    <s v="Endenergieverbrauch - Industriesektor - Nichteisenmetalle - energetischer Verbrauch"/>
    <s v="Elektrizität"/>
    <s v="Gigawattstunde"/>
    <x v="7"/>
    <x v="9"/>
    <n v="1"/>
  </r>
  <r>
    <x v="13"/>
    <s v="Endenergieverbrauch - Industriesektor - Nichteisenmetalle - energetischer Verbrauch"/>
    <s v="Elektrizität"/>
    <s v="Gigawattstunde"/>
    <x v="8"/>
    <x v="9"/>
    <n v="1"/>
  </r>
  <r>
    <x v="13"/>
    <s v="Endenergieverbrauch - Industriesektor - Nichteisenmetalle - energetischer Verbrauch"/>
    <s v="Elektrizität"/>
    <s v="Gigawattstunde"/>
    <x v="9"/>
    <x v="9"/>
    <n v="2"/>
  </r>
  <r>
    <x v="13"/>
    <s v="Endenergieverbrauch - Industriesektor - Nichteisenmetalle - energetischer Verbrauch"/>
    <s v="Elektrizität"/>
    <s v="Gigawattstunde"/>
    <x v="10"/>
    <x v="9"/>
    <n v="2"/>
  </r>
  <r>
    <x v="13"/>
    <s v="Endenergieverbrauch - Industriesektor - Nichteisenmetalle - energetischer Verbrauch"/>
    <s v="Elektrizität"/>
    <s v="Gigawattstunde"/>
    <x v="11"/>
    <x v="9"/>
    <n v="1"/>
  </r>
  <r>
    <x v="13"/>
    <s v="Endenergieverbrauch - Industriesektor - Nichteisenmetalle - energetischer Verbrauch"/>
    <s v="Elektrizität"/>
    <s v="Gigawattstunde"/>
    <x v="12"/>
    <x v="9"/>
    <n v="1"/>
  </r>
  <r>
    <x v="13"/>
    <s v="Endenergieverbrauch - Industriesektor - Nichteisenmetalle - energetischer Verbrauch"/>
    <s v="Elektrizität"/>
    <s v="Gigawattstunde"/>
    <x v="13"/>
    <x v="9"/>
    <n v="0"/>
  </r>
  <r>
    <x v="13"/>
    <s v="Endenergieverbrauch - Industriesektor - Nichteisenmetalle - energetischer Verbrauch"/>
    <s v="Elektrizität"/>
    <s v="Gigawattstunde"/>
    <x v="14"/>
    <x v="9"/>
    <n v="0"/>
  </r>
  <r>
    <x v="13"/>
    <s v="Endenergieverbrauch - Industriesektor - Nichteisenmetalle - energetischer Verbrauch"/>
    <s v="Elektrizität"/>
    <s v="Gigawattstunde"/>
    <x v="15"/>
    <x v="9"/>
    <n v="4.867"/>
  </r>
  <r>
    <x v="13"/>
    <s v="Endenergieverbrauch - Industriesektor - Nichteisenmetalle - energetischer Verbrauch"/>
    <s v="Elektrizität"/>
    <s v="Gigawattstunde"/>
    <x v="16"/>
    <x v="9"/>
    <n v="5.0039999999999996"/>
  </r>
  <r>
    <x v="14"/>
    <s v="Endenergieverbrauch - Industriesektor - Nichteisenmetalle - energetischer Verbrauch"/>
    <s v="Elektrizität"/>
    <s v="Gigawattstunde"/>
    <x v="0"/>
    <x v="9"/>
    <n v="0"/>
  </r>
  <r>
    <x v="14"/>
    <s v="Endenergieverbrauch - Industriesektor - Nichteisenmetalle - energetischer Verbrauch"/>
    <s v="Elektrizität"/>
    <s v="Gigawattstunde"/>
    <x v="1"/>
    <x v="9"/>
    <n v="0"/>
  </r>
  <r>
    <x v="14"/>
    <s v="Endenergieverbrauch - Industriesektor - Nichteisenmetalle - energetischer Verbrauch"/>
    <s v="Elektrizität"/>
    <s v="Gigawattstunde"/>
    <x v="2"/>
    <x v="9"/>
    <n v="0"/>
  </r>
  <r>
    <x v="14"/>
    <s v="Endenergieverbrauch - Industriesektor - Nichteisenmetalle - energetischer Verbrauch"/>
    <s v="Elektrizität"/>
    <s v="Gigawattstunde"/>
    <x v="3"/>
    <x v="9"/>
    <n v="0"/>
  </r>
  <r>
    <x v="14"/>
    <s v="Endenergieverbrauch - Industriesektor - Nichteisenmetalle - energetischer Verbrauch"/>
    <s v="Elektrizität"/>
    <s v="Gigawattstunde"/>
    <x v="4"/>
    <x v="9"/>
    <n v="0"/>
  </r>
  <r>
    <x v="14"/>
    <s v="Endenergieverbrauch - Industriesektor - Nichteisenmetalle - energetischer Verbrauch"/>
    <s v="Elektrizität"/>
    <s v="Gigawattstunde"/>
    <x v="5"/>
    <x v="9"/>
    <n v="0"/>
  </r>
  <r>
    <x v="14"/>
    <s v="Endenergieverbrauch - Industriesektor - Nichteisenmetalle - energetischer Verbrauch"/>
    <s v="Elektrizität"/>
    <s v="Gigawattstunde"/>
    <x v="6"/>
    <x v="9"/>
    <n v="0"/>
  </r>
  <r>
    <x v="14"/>
    <s v="Endenergieverbrauch - Industriesektor - Nichteisenmetalle - energetischer Verbrauch"/>
    <s v="Elektrizität"/>
    <s v="Gigawattstunde"/>
    <x v="7"/>
    <x v="9"/>
    <n v="0"/>
  </r>
  <r>
    <x v="14"/>
    <s v="Endenergieverbrauch - Industriesektor - Nichteisenmetalle - energetischer Verbrauch"/>
    <s v="Elektrizität"/>
    <s v="Gigawattstunde"/>
    <x v="8"/>
    <x v="9"/>
    <n v="0"/>
  </r>
  <r>
    <x v="14"/>
    <s v="Endenergieverbrauch - Industriesektor - Nichteisenmetalle - energetischer Verbrauch"/>
    <s v="Elektrizität"/>
    <s v="Gigawattstunde"/>
    <x v="9"/>
    <x v="9"/>
    <n v="0"/>
  </r>
  <r>
    <x v="14"/>
    <s v="Endenergieverbrauch - Industriesektor - Nichteisenmetalle - energetischer Verbrauch"/>
    <s v="Elektrizität"/>
    <s v="Gigawattstunde"/>
    <x v="10"/>
    <x v="9"/>
    <n v="0"/>
  </r>
  <r>
    <x v="14"/>
    <s v="Endenergieverbrauch - Industriesektor - Nichteisenmetalle - energetischer Verbrauch"/>
    <s v="Elektrizität"/>
    <s v="Gigawattstunde"/>
    <x v="11"/>
    <x v="9"/>
    <n v="0"/>
  </r>
  <r>
    <x v="14"/>
    <s v="Endenergieverbrauch - Industriesektor - Nichteisenmetalle - energetischer Verbrauch"/>
    <s v="Elektrizität"/>
    <s v="Gigawattstunde"/>
    <x v="12"/>
    <x v="9"/>
    <n v="0"/>
  </r>
  <r>
    <x v="14"/>
    <s v="Endenergieverbrauch - Industriesektor - Nichteisenmetalle - energetischer Verbrauch"/>
    <s v="Elektrizität"/>
    <s v="Gigawattstunde"/>
    <x v="13"/>
    <x v="9"/>
    <n v="0"/>
  </r>
  <r>
    <x v="14"/>
    <s v="Endenergieverbrauch - Industriesektor - Nichteisenmetalle - energetischer Verbrauch"/>
    <s v="Elektrizität"/>
    <s v="Gigawattstunde"/>
    <x v="14"/>
    <x v="9"/>
    <n v="0"/>
  </r>
  <r>
    <x v="14"/>
    <s v="Endenergieverbrauch - Industriesektor - Nichteisenmetalle - energetischer Verbrauch"/>
    <s v="Elektrizität"/>
    <s v="Gigawattstunde"/>
    <x v="15"/>
    <x v="9"/>
    <n v="0"/>
  </r>
  <r>
    <x v="14"/>
    <s v="Endenergieverbrauch - Industriesektor - Nichteisenmetalle - energetischer Verbrauch"/>
    <s v="Elektrizität"/>
    <s v="Gigawattstunde"/>
    <x v="16"/>
    <x v="9"/>
    <n v="0"/>
  </r>
  <r>
    <x v="15"/>
    <s v="Endenergieverbrauch - Industriesektor - Nichteisenmetalle - energetischer Verbrauch"/>
    <s v="Elektrizität"/>
    <s v="Gigawattstunde"/>
    <x v="0"/>
    <x v="9"/>
    <n v="0"/>
  </r>
  <r>
    <x v="15"/>
    <s v="Endenergieverbrauch - Industriesektor - Nichteisenmetalle - energetischer Verbrauch"/>
    <s v="Elektrizität"/>
    <s v="Gigawattstunde"/>
    <x v="1"/>
    <x v="9"/>
    <n v="0"/>
  </r>
  <r>
    <x v="15"/>
    <s v="Endenergieverbrauch - Industriesektor - Nichteisenmetalle - energetischer Verbrauch"/>
    <s v="Elektrizität"/>
    <s v="Gigawattstunde"/>
    <x v="2"/>
    <x v="9"/>
    <n v="0"/>
  </r>
  <r>
    <x v="15"/>
    <s v="Endenergieverbrauch - Industriesektor - Nichteisenmetalle - energetischer Verbrauch"/>
    <s v="Elektrizität"/>
    <s v="Gigawattstunde"/>
    <x v="3"/>
    <x v="9"/>
    <n v="0"/>
  </r>
  <r>
    <x v="15"/>
    <s v="Endenergieverbrauch - Industriesektor - Nichteisenmetalle - energetischer Verbrauch"/>
    <s v="Elektrizität"/>
    <s v="Gigawattstunde"/>
    <x v="4"/>
    <x v="9"/>
    <n v="0"/>
  </r>
  <r>
    <x v="15"/>
    <s v="Endenergieverbrauch - Industriesektor - Nichteisenmetalle - energetischer Verbrauch"/>
    <s v="Elektrizität"/>
    <s v="Gigawattstunde"/>
    <x v="5"/>
    <x v="9"/>
    <n v="0"/>
  </r>
  <r>
    <x v="15"/>
    <s v="Endenergieverbrauch - Industriesektor - Nichteisenmetalle - energetischer Verbrauch"/>
    <s v="Elektrizität"/>
    <s v="Gigawattstunde"/>
    <x v="6"/>
    <x v="9"/>
    <n v="0"/>
  </r>
  <r>
    <x v="15"/>
    <s v="Endenergieverbrauch - Industriesektor - Nichteisenmetalle - energetischer Verbrauch"/>
    <s v="Elektrizität"/>
    <s v="Gigawattstunde"/>
    <x v="7"/>
    <x v="9"/>
    <n v="0"/>
  </r>
  <r>
    <x v="15"/>
    <s v="Endenergieverbrauch - Industriesektor - Nichteisenmetalle - energetischer Verbrauch"/>
    <s v="Elektrizität"/>
    <s v="Gigawattstunde"/>
    <x v="8"/>
    <x v="9"/>
    <n v="0"/>
  </r>
  <r>
    <x v="15"/>
    <s v="Endenergieverbrauch - Industriesektor - Nichteisenmetalle - energetischer Verbrauch"/>
    <s v="Elektrizität"/>
    <s v="Gigawattstunde"/>
    <x v="9"/>
    <x v="9"/>
    <n v="0"/>
  </r>
  <r>
    <x v="15"/>
    <s v="Endenergieverbrauch - Industriesektor - Nichteisenmetalle - energetischer Verbrauch"/>
    <s v="Elektrizität"/>
    <s v="Gigawattstunde"/>
    <x v="10"/>
    <x v="9"/>
    <n v="0"/>
  </r>
  <r>
    <x v="15"/>
    <s v="Endenergieverbrauch - Industriesektor - Nichteisenmetalle - energetischer Verbrauch"/>
    <s v="Elektrizität"/>
    <s v="Gigawattstunde"/>
    <x v="11"/>
    <x v="9"/>
    <n v="0"/>
  </r>
  <r>
    <x v="15"/>
    <s v="Endenergieverbrauch - Industriesektor - Nichteisenmetalle - energetischer Verbrauch"/>
    <s v="Elektrizität"/>
    <s v="Gigawattstunde"/>
    <x v="12"/>
    <x v="9"/>
    <n v="0"/>
  </r>
  <r>
    <x v="15"/>
    <s v="Endenergieverbrauch - Industriesektor - Nichteisenmetalle - energetischer Verbrauch"/>
    <s v="Elektrizität"/>
    <s v="Gigawattstunde"/>
    <x v="13"/>
    <x v="9"/>
    <n v="0"/>
  </r>
  <r>
    <x v="15"/>
    <s v="Endenergieverbrauch - Industriesektor - Nichteisenmetalle - energetischer Verbrauch"/>
    <s v="Elektrizität"/>
    <s v="Gigawattstunde"/>
    <x v="14"/>
    <x v="9"/>
    <n v="0"/>
  </r>
  <r>
    <x v="15"/>
    <s v="Endenergieverbrauch - Industriesektor - Nichteisenmetalle - energetischer Verbrauch"/>
    <s v="Elektrizität"/>
    <s v="Gigawattstunde"/>
    <x v="15"/>
    <x v="9"/>
    <n v="0"/>
  </r>
  <r>
    <x v="15"/>
    <s v="Endenergieverbrauch - Industriesektor - Nichteisenmetalle - energetischer Verbrauch"/>
    <s v="Elektrizität"/>
    <s v="Gigawattstunde"/>
    <x v="16"/>
    <x v="9"/>
    <n v="0"/>
  </r>
  <r>
    <x v="16"/>
    <s v="Endenergieverbrauch - Industriesektor - Nichteisenmetalle - energetischer Verbrauch"/>
    <s v="Elektrizität"/>
    <s v="Gigawattstunde"/>
    <x v="0"/>
    <x v="9"/>
    <n v="1085"/>
  </r>
  <r>
    <x v="16"/>
    <s v="Endenergieverbrauch - Industriesektor - Nichteisenmetalle - energetischer Verbrauch"/>
    <s v="Elektrizität"/>
    <s v="Gigawattstunde"/>
    <x v="1"/>
    <x v="9"/>
    <n v="1053"/>
  </r>
  <r>
    <x v="16"/>
    <s v="Endenergieverbrauch - Industriesektor - Nichteisenmetalle - energetischer Verbrauch"/>
    <s v="Elektrizität"/>
    <s v="Gigawattstunde"/>
    <x v="2"/>
    <x v="9"/>
    <n v="1058"/>
  </r>
  <r>
    <x v="16"/>
    <s v="Endenergieverbrauch - Industriesektor - Nichteisenmetalle - energetischer Verbrauch"/>
    <s v="Elektrizität"/>
    <s v="Gigawattstunde"/>
    <x v="3"/>
    <x v="9"/>
    <n v="906"/>
  </r>
  <r>
    <x v="16"/>
    <s v="Endenergieverbrauch - Industriesektor - Nichteisenmetalle - energetischer Verbrauch"/>
    <s v="Elektrizität"/>
    <s v="Gigawattstunde"/>
    <x v="4"/>
    <x v="9"/>
    <n v="508"/>
  </r>
  <r>
    <x v="16"/>
    <s v="Endenergieverbrauch - Industriesektor - Nichteisenmetalle - energetischer Verbrauch"/>
    <s v="Elektrizität"/>
    <s v="Gigawattstunde"/>
    <x v="5"/>
    <x v="9"/>
    <n v="470"/>
  </r>
  <r>
    <x v="16"/>
    <s v="Endenergieverbrauch - Industriesektor - Nichteisenmetalle - energetischer Verbrauch"/>
    <s v="Elektrizität"/>
    <s v="Gigawattstunde"/>
    <x v="6"/>
    <x v="9"/>
    <n v="466"/>
  </r>
  <r>
    <x v="16"/>
    <s v="Endenergieverbrauch - Industriesektor - Nichteisenmetalle - energetischer Verbrauch"/>
    <s v="Elektrizität"/>
    <s v="Gigawattstunde"/>
    <x v="7"/>
    <x v="9"/>
    <n v="362"/>
  </r>
  <r>
    <x v="16"/>
    <s v="Endenergieverbrauch - Industriesektor - Nichteisenmetalle - energetischer Verbrauch"/>
    <s v="Elektrizität"/>
    <s v="Gigawattstunde"/>
    <x v="8"/>
    <x v="9"/>
    <n v="431"/>
  </r>
  <r>
    <x v="16"/>
    <s v="Endenergieverbrauch - Industriesektor - Nichteisenmetalle - energetischer Verbrauch"/>
    <s v="Elektrizität"/>
    <s v="Gigawattstunde"/>
    <x v="9"/>
    <x v="9"/>
    <n v="435"/>
  </r>
  <r>
    <x v="16"/>
    <s v="Endenergieverbrauch - Industriesektor - Nichteisenmetalle - energetischer Verbrauch"/>
    <s v="Elektrizität"/>
    <s v="Gigawattstunde"/>
    <x v="10"/>
    <x v="9"/>
    <n v="506"/>
  </r>
  <r>
    <x v="16"/>
    <s v="Endenergieverbrauch - Industriesektor - Nichteisenmetalle - energetischer Verbrauch"/>
    <s v="Elektrizität"/>
    <s v="Gigawattstunde"/>
    <x v="11"/>
    <x v="9"/>
    <n v="470"/>
  </r>
  <r>
    <x v="16"/>
    <s v="Endenergieverbrauch - Industriesektor - Nichteisenmetalle - energetischer Verbrauch"/>
    <s v="Elektrizität"/>
    <s v="Gigawattstunde"/>
    <x v="12"/>
    <x v="9"/>
    <n v="389"/>
  </r>
  <r>
    <x v="16"/>
    <s v="Endenergieverbrauch - Industriesektor - Nichteisenmetalle - energetischer Verbrauch"/>
    <s v="Elektrizität"/>
    <s v="Gigawattstunde"/>
    <x v="13"/>
    <x v="9"/>
    <n v="385"/>
  </r>
  <r>
    <x v="16"/>
    <s v="Endenergieverbrauch - Industriesektor - Nichteisenmetalle - energetischer Verbrauch"/>
    <s v="Elektrizität"/>
    <s v="Gigawattstunde"/>
    <x v="14"/>
    <x v="9"/>
    <n v="401"/>
  </r>
  <r>
    <x v="16"/>
    <s v="Endenergieverbrauch - Industriesektor - Nichteisenmetalle - energetischer Verbrauch"/>
    <s v="Elektrizität"/>
    <s v="Gigawattstunde"/>
    <x v="15"/>
    <x v="9"/>
    <n v="429"/>
  </r>
  <r>
    <x v="16"/>
    <s v="Endenergieverbrauch - Industriesektor - Nichteisenmetalle - energetischer Verbrauch"/>
    <s v="Elektrizität"/>
    <s v="Gigawattstunde"/>
    <x v="16"/>
    <x v="9"/>
    <n v="438"/>
  </r>
  <r>
    <x v="17"/>
    <s v="Endenergieverbrauch - Industriesektor - Nichteisenmetalle - energetischer Verbrauch"/>
    <s v="Elektrizität"/>
    <s v="Gigawattstunde"/>
    <x v="0"/>
    <x v="9"/>
    <n v="0"/>
  </r>
  <r>
    <x v="17"/>
    <s v="Endenergieverbrauch - Industriesektor - Nichteisenmetalle - energetischer Verbrauch"/>
    <s v="Elektrizität"/>
    <s v="Gigawattstunde"/>
    <x v="1"/>
    <x v="9"/>
    <n v="0"/>
  </r>
  <r>
    <x v="17"/>
    <s v="Endenergieverbrauch - Industriesektor - Nichteisenmetalle - energetischer Verbrauch"/>
    <s v="Elektrizität"/>
    <s v="Gigawattstunde"/>
    <x v="2"/>
    <x v="9"/>
    <n v="0"/>
  </r>
  <r>
    <x v="17"/>
    <s v="Endenergieverbrauch - Industriesektor - Nichteisenmetalle - energetischer Verbrauch"/>
    <s v="Elektrizität"/>
    <s v="Gigawattstunde"/>
    <x v="3"/>
    <x v="9"/>
    <n v="0"/>
  </r>
  <r>
    <x v="17"/>
    <s v="Endenergieverbrauch - Industriesektor - Nichteisenmetalle - energetischer Verbrauch"/>
    <s v="Elektrizität"/>
    <s v="Gigawattstunde"/>
    <x v="4"/>
    <x v="9"/>
    <n v="0"/>
  </r>
  <r>
    <x v="17"/>
    <s v="Endenergieverbrauch - Industriesektor - Nichteisenmetalle - energetischer Verbrauch"/>
    <s v="Elektrizität"/>
    <s v="Gigawattstunde"/>
    <x v="5"/>
    <x v="9"/>
    <n v="0"/>
  </r>
  <r>
    <x v="17"/>
    <s v="Endenergieverbrauch - Industriesektor - Nichteisenmetalle - energetischer Verbrauch"/>
    <s v="Elektrizität"/>
    <s v="Gigawattstunde"/>
    <x v="6"/>
    <x v="9"/>
    <n v="0"/>
  </r>
  <r>
    <x v="17"/>
    <s v="Endenergieverbrauch - Industriesektor - Nichteisenmetalle - energetischer Verbrauch"/>
    <s v="Elektrizität"/>
    <s v="Gigawattstunde"/>
    <x v="7"/>
    <x v="9"/>
    <n v="0"/>
  </r>
  <r>
    <x v="17"/>
    <s v="Endenergieverbrauch - Industriesektor - Nichteisenmetalle - energetischer Verbrauch"/>
    <s v="Elektrizität"/>
    <s v="Gigawattstunde"/>
    <x v="8"/>
    <x v="9"/>
    <n v="0"/>
  </r>
  <r>
    <x v="17"/>
    <s v="Endenergieverbrauch - Industriesektor - Nichteisenmetalle - energetischer Verbrauch"/>
    <s v="Elektrizität"/>
    <s v="Gigawattstunde"/>
    <x v="9"/>
    <x v="9"/>
    <n v="0"/>
  </r>
  <r>
    <x v="17"/>
    <s v="Endenergieverbrauch - Industriesektor - Nichteisenmetalle - energetischer Verbrauch"/>
    <s v="Elektrizität"/>
    <s v="Gigawattstunde"/>
    <x v="10"/>
    <x v="9"/>
    <n v="0"/>
  </r>
  <r>
    <x v="17"/>
    <s v="Endenergieverbrauch - Industriesektor - Nichteisenmetalle - energetischer Verbrauch"/>
    <s v="Elektrizität"/>
    <s v="Gigawattstunde"/>
    <x v="11"/>
    <x v="9"/>
    <n v="0"/>
  </r>
  <r>
    <x v="17"/>
    <s v="Endenergieverbrauch - Industriesektor - Nichteisenmetalle - energetischer Verbrauch"/>
    <s v="Elektrizität"/>
    <s v="Gigawattstunde"/>
    <x v="12"/>
    <x v="9"/>
    <n v="0"/>
  </r>
  <r>
    <x v="17"/>
    <s v="Endenergieverbrauch - Industriesektor - Nichteisenmetalle - energetischer Verbrauch"/>
    <s v="Elektrizität"/>
    <s v="Gigawattstunde"/>
    <x v="13"/>
    <x v="9"/>
    <n v="0"/>
  </r>
  <r>
    <x v="17"/>
    <s v="Endenergieverbrauch - Industriesektor - Nichteisenmetalle - energetischer Verbrauch"/>
    <s v="Elektrizität"/>
    <s v="Gigawattstunde"/>
    <x v="14"/>
    <x v="9"/>
    <n v="0"/>
  </r>
  <r>
    <x v="17"/>
    <s v="Endenergieverbrauch - Industriesektor - Nichteisenmetalle - energetischer Verbrauch"/>
    <s v="Elektrizität"/>
    <s v="Gigawattstunde"/>
    <x v="15"/>
    <x v="9"/>
    <n v="0"/>
  </r>
  <r>
    <x v="17"/>
    <s v="Endenergieverbrauch - Industriesektor - Nichteisenmetalle - energetischer Verbrauch"/>
    <s v="Elektrizität"/>
    <s v="Gigawattstunde"/>
    <x v="16"/>
    <x v="9"/>
    <n v="0"/>
  </r>
  <r>
    <x v="18"/>
    <s v="Endenergieverbrauch - Industriesektor - Nichteisenmetalle - energetischer Verbrauch"/>
    <s v="Elektrizität"/>
    <s v="Gigawattstunde"/>
    <x v="0"/>
    <x v="9"/>
    <n v="5747"/>
  </r>
  <r>
    <x v="18"/>
    <s v="Endenergieverbrauch - Industriesektor - Nichteisenmetalle - energetischer Verbrauch"/>
    <s v="Elektrizität"/>
    <s v="Gigawattstunde"/>
    <x v="1"/>
    <x v="9"/>
    <n v="5828"/>
  </r>
  <r>
    <x v="18"/>
    <s v="Endenergieverbrauch - Industriesektor - Nichteisenmetalle - energetischer Verbrauch"/>
    <s v="Elektrizität"/>
    <s v="Gigawattstunde"/>
    <x v="2"/>
    <x v="9"/>
    <n v="6328"/>
  </r>
  <r>
    <x v="18"/>
    <s v="Endenergieverbrauch - Industriesektor - Nichteisenmetalle - energetischer Verbrauch"/>
    <s v="Elektrizität"/>
    <s v="Gigawattstunde"/>
    <x v="3"/>
    <x v="9"/>
    <n v="6332"/>
  </r>
  <r>
    <x v="18"/>
    <s v="Endenergieverbrauch - Industriesektor - Nichteisenmetalle - energetischer Verbrauch"/>
    <s v="Elektrizität"/>
    <s v="Gigawattstunde"/>
    <x v="4"/>
    <x v="9"/>
    <n v="5722"/>
  </r>
  <r>
    <x v="18"/>
    <s v="Endenergieverbrauch - Industriesektor - Nichteisenmetalle - energetischer Verbrauch"/>
    <s v="Elektrizität"/>
    <s v="Gigawattstunde"/>
    <x v="5"/>
    <x v="9"/>
    <n v="6005"/>
  </r>
  <r>
    <x v="18"/>
    <s v="Endenergieverbrauch - Industriesektor - Nichteisenmetalle - energetischer Verbrauch"/>
    <s v="Elektrizität"/>
    <s v="Gigawattstunde"/>
    <x v="6"/>
    <x v="9"/>
    <n v="6390"/>
  </r>
  <r>
    <x v="18"/>
    <s v="Endenergieverbrauch - Industriesektor - Nichteisenmetalle - energetischer Verbrauch"/>
    <s v="Elektrizität"/>
    <s v="Gigawattstunde"/>
    <x v="7"/>
    <x v="9"/>
    <n v="3838"/>
  </r>
  <r>
    <x v="18"/>
    <s v="Endenergieverbrauch - Industriesektor - Nichteisenmetalle - energetischer Verbrauch"/>
    <s v="Elektrizität"/>
    <s v="Gigawattstunde"/>
    <x v="8"/>
    <x v="9"/>
    <n v="4777"/>
  </r>
  <r>
    <x v="18"/>
    <s v="Endenergieverbrauch - Industriesektor - Nichteisenmetalle - energetischer Verbrauch"/>
    <s v="Elektrizität"/>
    <s v="Gigawattstunde"/>
    <x v="9"/>
    <x v="9"/>
    <n v="6114"/>
  </r>
  <r>
    <x v="18"/>
    <s v="Endenergieverbrauch - Industriesektor - Nichteisenmetalle - energetischer Verbrauch"/>
    <s v="Elektrizität"/>
    <s v="Gigawattstunde"/>
    <x v="10"/>
    <x v="9"/>
    <n v="2774"/>
  </r>
  <r>
    <x v="18"/>
    <s v="Endenergieverbrauch - Industriesektor - Nichteisenmetalle - energetischer Verbrauch"/>
    <s v="Elektrizität"/>
    <s v="Gigawattstunde"/>
    <x v="11"/>
    <x v="9"/>
    <n v="2838"/>
  </r>
  <r>
    <x v="18"/>
    <s v="Endenergieverbrauch - Industriesektor - Nichteisenmetalle - energetischer Verbrauch"/>
    <s v="Elektrizität"/>
    <s v="Gigawattstunde"/>
    <x v="12"/>
    <x v="9"/>
    <n v="1630"/>
  </r>
  <r>
    <x v="18"/>
    <s v="Endenergieverbrauch - Industriesektor - Nichteisenmetalle - energetischer Verbrauch"/>
    <s v="Elektrizität"/>
    <s v="Gigawattstunde"/>
    <x v="13"/>
    <x v="9"/>
    <n v="2037.0830000000001"/>
  </r>
  <r>
    <x v="18"/>
    <s v="Endenergieverbrauch - Industriesektor - Nichteisenmetalle - energetischer Verbrauch"/>
    <s v="Elektrizität"/>
    <s v="Gigawattstunde"/>
    <x v="14"/>
    <x v="9"/>
    <n v="2222.39"/>
  </r>
  <r>
    <x v="18"/>
    <s v="Endenergieverbrauch - Industriesektor - Nichteisenmetalle - energetischer Verbrauch"/>
    <s v="Elektrizität"/>
    <s v="Gigawattstunde"/>
    <x v="15"/>
    <x v="9"/>
    <n v="1994.8209999999999"/>
  </r>
  <r>
    <x v="18"/>
    <s v="Endenergieverbrauch - Industriesektor - Nichteisenmetalle - energetischer Verbrauch"/>
    <s v="Elektrizität"/>
    <s v="Gigawattstunde"/>
    <x v="16"/>
    <x v="9"/>
    <n v="2237.9940000000001"/>
  </r>
  <r>
    <x v="19"/>
    <s v="Endenergieverbrauch - Industriesektor - Nichteisenmetalle - energetischer Verbrauch"/>
    <s v="Elektrizität"/>
    <s v="Gigawattstunde"/>
    <x v="0"/>
    <x v="9"/>
    <n v="662"/>
  </r>
  <r>
    <x v="19"/>
    <s v="Endenergieverbrauch - Industriesektor - Nichteisenmetalle - energetischer Verbrauch"/>
    <s v="Elektrizität"/>
    <s v="Gigawattstunde"/>
    <x v="1"/>
    <x v="9"/>
    <n v="704"/>
  </r>
  <r>
    <x v="19"/>
    <s v="Endenergieverbrauch - Industriesektor - Nichteisenmetalle - energetischer Verbrauch"/>
    <s v="Elektrizität"/>
    <s v="Gigawattstunde"/>
    <x v="2"/>
    <x v="9"/>
    <n v="776"/>
  </r>
  <r>
    <x v="19"/>
    <s v="Endenergieverbrauch - Industriesektor - Nichteisenmetalle - energetischer Verbrauch"/>
    <s v="Elektrizität"/>
    <s v="Gigawattstunde"/>
    <x v="3"/>
    <x v="9"/>
    <n v="798.08500000000004"/>
  </r>
  <r>
    <x v="19"/>
    <s v="Endenergieverbrauch - Industriesektor - Nichteisenmetalle - energetischer Verbrauch"/>
    <s v="Elektrizität"/>
    <s v="Gigawattstunde"/>
    <x v="4"/>
    <x v="9"/>
    <n v="829.12199999999996"/>
  </r>
  <r>
    <x v="19"/>
    <s v="Endenergieverbrauch - Industriesektor - Nichteisenmetalle - energetischer Verbrauch"/>
    <s v="Elektrizität"/>
    <s v="Gigawattstunde"/>
    <x v="5"/>
    <x v="9"/>
    <n v="882.66300000000001"/>
  </r>
  <r>
    <x v="19"/>
    <s v="Endenergieverbrauch - Industriesektor - Nichteisenmetalle - energetischer Verbrauch"/>
    <s v="Elektrizität"/>
    <s v="Gigawattstunde"/>
    <x v="6"/>
    <x v="9"/>
    <n v="860.91899999999998"/>
  </r>
  <r>
    <x v="19"/>
    <s v="Endenergieverbrauch - Industriesektor - Nichteisenmetalle - energetischer Verbrauch"/>
    <s v="Elektrizität"/>
    <s v="Gigawattstunde"/>
    <x v="7"/>
    <x v="9"/>
    <n v="782.13900000000001"/>
  </r>
  <r>
    <x v="19"/>
    <s v="Endenergieverbrauch - Industriesektor - Nichteisenmetalle - energetischer Verbrauch"/>
    <s v="Elektrizität"/>
    <s v="Gigawattstunde"/>
    <x v="8"/>
    <x v="9"/>
    <n v="852.12300000000005"/>
  </r>
  <r>
    <x v="19"/>
    <s v="Endenergieverbrauch - Industriesektor - Nichteisenmetalle - energetischer Verbrauch"/>
    <s v="Elektrizität"/>
    <s v="Gigawattstunde"/>
    <x v="9"/>
    <x v="9"/>
    <n v="966.35599999999999"/>
  </r>
  <r>
    <x v="19"/>
    <s v="Endenergieverbrauch - Industriesektor - Nichteisenmetalle - energetischer Verbrauch"/>
    <s v="Elektrizität"/>
    <s v="Gigawattstunde"/>
    <x v="10"/>
    <x v="9"/>
    <n v="986.80399999999997"/>
  </r>
  <r>
    <x v="19"/>
    <s v="Endenergieverbrauch - Industriesektor - Nichteisenmetalle - energetischer Verbrauch"/>
    <s v="Elektrizität"/>
    <s v="Gigawattstunde"/>
    <x v="11"/>
    <x v="9"/>
    <n v="952.995"/>
  </r>
  <r>
    <x v="19"/>
    <s v="Endenergieverbrauch - Industriesektor - Nichteisenmetalle - energetischer Verbrauch"/>
    <s v="Elektrizität"/>
    <s v="Gigawattstunde"/>
    <x v="12"/>
    <x v="9"/>
    <n v="992.66"/>
  </r>
  <r>
    <x v="19"/>
    <s v="Endenergieverbrauch - Industriesektor - Nichteisenmetalle - energetischer Verbrauch"/>
    <s v="Elektrizität"/>
    <s v="Gigawattstunde"/>
    <x v="13"/>
    <x v="9"/>
    <n v="962.60500000000002"/>
  </r>
  <r>
    <x v="19"/>
    <s v="Endenergieverbrauch - Industriesektor - Nichteisenmetalle - energetischer Verbrauch"/>
    <s v="Elektrizität"/>
    <s v="Gigawattstunde"/>
    <x v="14"/>
    <x v="9"/>
    <n v="1034.4570000000001"/>
  </r>
  <r>
    <x v="19"/>
    <s v="Endenergieverbrauch - Industriesektor - Nichteisenmetalle - energetischer Verbrauch"/>
    <s v="Elektrizität"/>
    <s v="Gigawattstunde"/>
    <x v="15"/>
    <x v="9"/>
    <n v="1045.556"/>
  </r>
  <r>
    <x v="19"/>
    <s v="Endenergieverbrauch - Industriesektor - Nichteisenmetalle - energetischer Verbrauch"/>
    <s v="Elektrizität"/>
    <s v="Gigawattstunde"/>
    <x v="16"/>
    <x v="9"/>
    <n v="1060.201"/>
  </r>
  <r>
    <x v="20"/>
    <s v="Endenergieverbrauch - Industriesektor - Nichteisenmetalle - energetischer Verbrauch"/>
    <s v="Elektrizität"/>
    <s v="Gigawattstunde"/>
    <x v="0"/>
    <x v="9"/>
    <n v="3523"/>
  </r>
  <r>
    <x v="20"/>
    <s v="Endenergieverbrauch - Industriesektor - Nichteisenmetalle - energetischer Verbrauch"/>
    <s v="Elektrizität"/>
    <s v="Gigawattstunde"/>
    <x v="1"/>
    <x v="9"/>
    <n v="3511"/>
  </r>
  <r>
    <x v="20"/>
    <s v="Endenergieverbrauch - Industriesektor - Nichteisenmetalle - energetischer Verbrauch"/>
    <s v="Elektrizität"/>
    <s v="Gigawattstunde"/>
    <x v="2"/>
    <x v="9"/>
    <n v="3559"/>
  </r>
  <r>
    <x v="20"/>
    <s v="Endenergieverbrauch - Industriesektor - Nichteisenmetalle - energetischer Verbrauch"/>
    <s v="Elektrizität"/>
    <s v="Gigawattstunde"/>
    <x v="3"/>
    <x v="9"/>
    <n v="3483"/>
  </r>
  <r>
    <x v="20"/>
    <s v="Endenergieverbrauch - Industriesektor - Nichteisenmetalle - energetischer Verbrauch"/>
    <s v="Elektrizität"/>
    <s v="Gigawattstunde"/>
    <x v="4"/>
    <x v="9"/>
    <n v="3565"/>
  </r>
  <r>
    <x v="20"/>
    <s v="Endenergieverbrauch - Industriesektor - Nichteisenmetalle - energetischer Verbrauch"/>
    <s v="Elektrizität"/>
    <s v="Gigawattstunde"/>
    <x v="5"/>
    <x v="9"/>
    <n v="3526"/>
  </r>
  <r>
    <x v="20"/>
    <s v="Endenergieverbrauch - Industriesektor - Nichteisenmetalle - energetischer Verbrauch"/>
    <s v="Elektrizität"/>
    <s v="Gigawattstunde"/>
    <x v="6"/>
    <x v="9"/>
    <n v="2962"/>
  </r>
  <r>
    <x v="20"/>
    <s v="Endenergieverbrauch - Industriesektor - Nichteisenmetalle - energetischer Verbrauch"/>
    <s v="Elektrizität"/>
    <s v="Gigawattstunde"/>
    <x v="7"/>
    <x v="9"/>
    <n v="2316"/>
  </r>
  <r>
    <x v="20"/>
    <s v="Endenergieverbrauch - Industriesektor - Nichteisenmetalle - energetischer Verbrauch"/>
    <s v="Elektrizität"/>
    <s v="Gigawattstunde"/>
    <x v="8"/>
    <x v="9"/>
    <n v="1713"/>
  </r>
  <r>
    <x v="20"/>
    <s v="Endenergieverbrauch - Industriesektor - Nichteisenmetalle - energetischer Verbrauch"/>
    <s v="Elektrizität"/>
    <s v="Gigawattstunde"/>
    <x v="9"/>
    <x v="9"/>
    <n v="1944"/>
  </r>
  <r>
    <x v="20"/>
    <s v="Endenergieverbrauch - Industriesektor - Nichteisenmetalle - energetischer Verbrauch"/>
    <s v="Elektrizität"/>
    <s v="Gigawattstunde"/>
    <x v="10"/>
    <x v="9"/>
    <n v="1973"/>
  </r>
  <r>
    <x v="20"/>
    <s v="Endenergieverbrauch - Industriesektor - Nichteisenmetalle - energetischer Verbrauch"/>
    <s v="Elektrizität"/>
    <s v="Gigawattstunde"/>
    <x v="11"/>
    <x v="9"/>
    <n v="1972"/>
  </r>
  <r>
    <x v="20"/>
    <s v="Endenergieverbrauch - Industriesektor - Nichteisenmetalle - energetischer Verbrauch"/>
    <s v="Elektrizität"/>
    <s v="Gigawattstunde"/>
    <x v="12"/>
    <x v="9"/>
    <n v="2088"/>
  </r>
  <r>
    <x v="20"/>
    <s v="Endenergieverbrauch - Industriesektor - Nichteisenmetalle - energetischer Verbrauch"/>
    <s v="Elektrizität"/>
    <s v="Gigawattstunde"/>
    <x v="13"/>
    <x v="9"/>
    <n v="2115"/>
  </r>
  <r>
    <x v="20"/>
    <s v="Endenergieverbrauch - Industriesektor - Nichteisenmetalle - energetischer Verbrauch"/>
    <s v="Elektrizität"/>
    <s v="Gigawattstunde"/>
    <x v="14"/>
    <x v="9"/>
    <n v="2145"/>
  </r>
  <r>
    <x v="20"/>
    <s v="Endenergieverbrauch - Industriesektor - Nichteisenmetalle - energetischer Verbrauch"/>
    <s v="Elektrizität"/>
    <s v="Gigawattstunde"/>
    <x v="15"/>
    <x v="9"/>
    <n v="2339.7489999999998"/>
  </r>
  <r>
    <x v="20"/>
    <s v="Endenergieverbrauch - Industriesektor - Nichteisenmetalle - energetischer Verbrauch"/>
    <s v="Elektrizität"/>
    <s v="Gigawattstunde"/>
    <x v="16"/>
    <x v="9"/>
    <n v="2389.3789999999999"/>
  </r>
  <r>
    <x v="21"/>
    <s v="Endenergieverbrauch - Industriesektor - Nichteisenmetalle - energetischer Verbrauch"/>
    <s v="Elektrizität"/>
    <s v="Gigawattstunde"/>
    <x v="0"/>
    <x v="9"/>
    <n v="117"/>
  </r>
  <r>
    <x v="21"/>
    <s v="Endenergieverbrauch - Industriesektor - Nichteisenmetalle - energetischer Verbrauch"/>
    <s v="Elektrizität"/>
    <s v="Gigawattstunde"/>
    <x v="1"/>
    <x v="9"/>
    <n v="116"/>
  </r>
  <r>
    <x v="21"/>
    <s v="Endenergieverbrauch - Industriesektor - Nichteisenmetalle - energetischer Verbrauch"/>
    <s v="Elektrizität"/>
    <s v="Gigawattstunde"/>
    <x v="2"/>
    <x v="9"/>
    <n v="121"/>
  </r>
  <r>
    <x v="21"/>
    <s v="Endenergieverbrauch - Industriesektor - Nichteisenmetalle - energetischer Verbrauch"/>
    <s v="Elektrizität"/>
    <s v="Gigawattstunde"/>
    <x v="3"/>
    <x v="9"/>
    <n v="122"/>
  </r>
  <r>
    <x v="21"/>
    <s v="Endenergieverbrauch - Industriesektor - Nichteisenmetalle - energetischer Verbrauch"/>
    <s v="Elektrizität"/>
    <s v="Gigawattstunde"/>
    <x v="4"/>
    <x v="9"/>
    <n v="127"/>
  </r>
  <r>
    <x v="21"/>
    <s v="Endenergieverbrauch - Industriesektor - Nichteisenmetalle - energetischer Verbrauch"/>
    <s v="Elektrizität"/>
    <s v="Gigawattstunde"/>
    <x v="5"/>
    <x v="9"/>
    <n v="141"/>
  </r>
  <r>
    <x v="21"/>
    <s v="Endenergieverbrauch - Industriesektor - Nichteisenmetalle - energetischer Verbrauch"/>
    <s v="Elektrizität"/>
    <s v="Gigawattstunde"/>
    <x v="6"/>
    <x v="9"/>
    <n v="139"/>
  </r>
  <r>
    <x v="21"/>
    <s v="Endenergieverbrauch - Industriesektor - Nichteisenmetalle - energetischer Verbrauch"/>
    <s v="Elektrizität"/>
    <s v="Gigawattstunde"/>
    <x v="7"/>
    <x v="9"/>
    <n v="116"/>
  </r>
  <r>
    <x v="21"/>
    <s v="Endenergieverbrauch - Industriesektor - Nichteisenmetalle - energetischer Verbrauch"/>
    <s v="Elektrizität"/>
    <s v="Gigawattstunde"/>
    <x v="8"/>
    <x v="9"/>
    <n v="136"/>
  </r>
  <r>
    <x v="21"/>
    <s v="Endenergieverbrauch - Industriesektor - Nichteisenmetalle - energetischer Verbrauch"/>
    <s v="Elektrizität"/>
    <s v="Gigawattstunde"/>
    <x v="9"/>
    <x v="9"/>
    <n v="118"/>
  </r>
  <r>
    <x v="21"/>
    <s v="Endenergieverbrauch - Industriesektor - Nichteisenmetalle - energetischer Verbrauch"/>
    <s v="Elektrizität"/>
    <s v="Gigawattstunde"/>
    <x v="10"/>
    <x v="9"/>
    <n v="115"/>
  </r>
  <r>
    <x v="21"/>
    <s v="Endenergieverbrauch - Industriesektor - Nichteisenmetalle - energetischer Verbrauch"/>
    <s v="Elektrizität"/>
    <s v="Gigawattstunde"/>
    <x v="11"/>
    <x v="9"/>
    <n v="118"/>
  </r>
  <r>
    <x v="21"/>
    <s v="Endenergieverbrauch - Industriesektor - Nichteisenmetalle - energetischer Verbrauch"/>
    <s v="Elektrizität"/>
    <s v="Gigawattstunde"/>
    <x v="12"/>
    <x v="9"/>
    <n v="122"/>
  </r>
  <r>
    <x v="21"/>
    <s v="Endenergieverbrauch - Industriesektor - Nichteisenmetalle - energetischer Verbrauch"/>
    <s v="Elektrizität"/>
    <s v="Gigawattstunde"/>
    <x v="13"/>
    <x v="9"/>
    <n v="126"/>
  </r>
  <r>
    <x v="21"/>
    <s v="Endenergieverbrauch - Industriesektor - Nichteisenmetalle - energetischer Verbrauch"/>
    <s v="Elektrizität"/>
    <s v="Gigawattstunde"/>
    <x v="14"/>
    <x v="9"/>
    <n v="109.595"/>
  </r>
  <r>
    <x v="21"/>
    <s v="Endenergieverbrauch - Industriesektor - Nichteisenmetalle - energetischer Verbrauch"/>
    <s v="Elektrizität"/>
    <s v="Gigawattstunde"/>
    <x v="15"/>
    <x v="9"/>
    <n v="114.92400000000001"/>
  </r>
  <r>
    <x v="21"/>
    <s v="Endenergieverbrauch - Industriesektor - Nichteisenmetalle - energetischer Verbrauch"/>
    <s v="Elektrizität"/>
    <s v="Gigawattstunde"/>
    <x v="16"/>
    <x v="9"/>
    <n v="111.753"/>
  </r>
  <r>
    <x v="22"/>
    <s v="Endenergieverbrauch - Industriesektor - Nichteisenmetalle - energetischer Verbrauch"/>
    <s v="Elektrizität"/>
    <s v="Gigawattstunde"/>
    <x v="0"/>
    <x v="9"/>
    <n v="0"/>
  </r>
  <r>
    <x v="22"/>
    <s v="Endenergieverbrauch - Industriesektor - Nichteisenmetalle - energetischer Verbrauch"/>
    <s v="Elektrizität"/>
    <s v="Gigawattstunde"/>
    <x v="1"/>
    <x v="9"/>
    <n v="0"/>
  </r>
  <r>
    <x v="22"/>
    <s v="Endenergieverbrauch - Industriesektor - Nichteisenmetalle - energetischer Verbrauch"/>
    <s v="Elektrizität"/>
    <s v="Gigawattstunde"/>
    <x v="2"/>
    <x v="9"/>
    <n v="0"/>
  </r>
  <r>
    <x v="22"/>
    <s v="Endenergieverbrauch - Industriesektor - Nichteisenmetalle - energetischer Verbrauch"/>
    <s v="Elektrizität"/>
    <s v="Gigawattstunde"/>
    <x v="3"/>
    <x v="9"/>
    <n v="0"/>
  </r>
  <r>
    <x v="22"/>
    <s v="Endenergieverbrauch - Industriesektor - Nichteisenmetalle - energetischer Verbrauch"/>
    <s v="Elektrizität"/>
    <s v="Gigawattstunde"/>
    <x v="4"/>
    <x v="9"/>
    <n v="0"/>
  </r>
  <r>
    <x v="22"/>
    <s v="Endenergieverbrauch - Industriesektor - Nichteisenmetalle - energetischer Verbrauch"/>
    <s v="Elektrizität"/>
    <s v="Gigawattstunde"/>
    <x v="5"/>
    <x v="9"/>
    <n v="0"/>
  </r>
  <r>
    <x v="22"/>
    <s v="Endenergieverbrauch - Industriesektor - Nichteisenmetalle - energetischer Verbrauch"/>
    <s v="Elektrizität"/>
    <s v="Gigawattstunde"/>
    <x v="6"/>
    <x v="9"/>
    <n v="0"/>
  </r>
  <r>
    <x v="22"/>
    <s v="Endenergieverbrauch - Industriesektor - Nichteisenmetalle - energetischer Verbrauch"/>
    <s v="Elektrizität"/>
    <s v="Gigawattstunde"/>
    <x v="7"/>
    <x v="9"/>
    <n v="0"/>
  </r>
  <r>
    <x v="22"/>
    <s v="Endenergieverbrauch - Industriesektor - Nichteisenmetalle - energetischer Verbrauch"/>
    <s v="Elektrizität"/>
    <s v="Gigawattstunde"/>
    <x v="8"/>
    <x v="9"/>
    <n v="0"/>
  </r>
  <r>
    <x v="22"/>
    <s v="Endenergieverbrauch - Industriesektor - Nichteisenmetalle - energetischer Verbrauch"/>
    <s v="Elektrizität"/>
    <s v="Gigawattstunde"/>
    <x v="9"/>
    <x v="9"/>
    <n v="0"/>
  </r>
  <r>
    <x v="22"/>
    <s v="Endenergieverbrauch - Industriesektor - Nichteisenmetalle - energetischer Verbrauch"/>
    <s v="Elektrizität"/>
    <s v="Gigawattstunde"/>
    <x v="10"/>
    <x v="9"/>
    <n v="0"/>
  </r>
  <r>
    <x v="22"/>
    <s v="Endenergieverbrauch - Industriesektor - Nichteisenmetalle - energetischer Verbrauch"/>
    <s v="Elektrizität"/>
    <s v="Gigawattstunde"/>
    <x v="11"/>
    <x v="9"/>
    <n v="0"/>
  </r>
  <r>
    <x v="22"/>
    <s v="Endenergieverbrauch - Industriesektor - Nichteisenmetalle - energetischer Verbrauch"/>
    <s v="Elektrizität"/>
    <s v="Gigawattstunde"/>
    <x v="12"/>
    <x v="9"/>
    <n v="0"/>
  </r>
  <r>
    <x v="22"/>
    <s v="Endenergieverbrauch - Industriesektor - Nichteisenmetalle - energetischer Verbrauch"/>
    <s v="Elektrizität"/>
    <s v="Gigawattstunde"/>
    <x v="13"/>
    <x v="9"/>
    <n v="0"/>
  </r>
  <r>
    <x v="22"/>
    <s v="Endenergieverbrauch - Industriesektor - Nichteisenmetalle - energetischer Verbrauch"/>
    <s v="Elektrizität"/>
    <s v="Gigawattstunde"/>
    <x v="14"/>
    <x v="9"/>
    <n v="0"/>
  </r>
  <r>
    <x v="22"/>
    <s v="Endenergieverbrauch - Industriesektor - Nichteisenmetalle - energetischer Verbrauch"/>
    <s v="Elektrizität"/>
    <s v="Gigawattstunde"/>
    <x v="15"/>
    <x v="9"/>
    <n v="3358.1179999999999"/>
  </r>
  <r>
    <x v="22"/>
    <s v="Endenergieverbrauch - Industriesektor - Nichteisenmetalle - energetischer Verbrauch"/>
    <s v="Elektrizität"/>
    <s v="Gigawattstunde"/>
    <x v="16"/>
    <x v="9"/>
    <n v="3485.1869999999999"/>
  </r>
  <r>
    <x v="23"/>
    <s v="Endenergieverbrauch - Industriesektor - Nichteisenmetalle - energetischer Verbrauch"/>
    <s v="Elektrizität"/>
    <s v="Gigawattstunde"/>
    <x v="0"/>
    <x v="9"/>
    <n v="1494"/>
  </r>
  <r>
    <x v="23"/>
    <s v="Endenergieverbrauch - Industriesektor - Nichteisenmetalle - energetischer Verbrauch"/>
    <s v="Elektrizität"/>
    <s v="Gigawattstunde"/>
    <x v="1"/>
    <x v="9"/>
    <n v="1757"/>
  </r>
  <r>
    <x v="23"/>
    <s v="Endenergieverbrauch - Industriesektor - Nichteisenmetalle - energetischer Verbrauch"/>
    <s v="Elektrizität"/>
    <s v="Gigawattstunde"/>
    <x v="2"/>
    <x v="9"/>
    <n v="1798"/>
  </r>
  <r>
    <x v="23"/>
    <s v="Endenergieverbrauch - Industriesektor - Nichteisenmetalle - energetischer Verbrauch"/>
    <s v="Elektrizität"/>
    <s v="Gigawattstunde"/>
    <x v="3"/>
    <x v="9"/>
    <n v="1911"/>
  </r>
  <r>
    <x v="23"/>
    <s v="Endenergieverbrauch - Industriesektor - Nichteisenmetalle - energetischer Verbrauch"/>
    <s v="Elektrizität"/>
    <s v="Gigawattstunde"/>
    <x v="4"/>
    <x v="9"/>
    <n v="1838"/>
  </r>
  <r>
    <x v="23"/>
    <s v="Endenergieverbrauch - Industriesektor - Nichteisenmetalle - energetischer Verbrauch"/>
    <s v="Elektrizität"/>
    <s v="Gigawattstunde"/>
    <x v="5"/>
    <x v="9"/>
    <n v="1963"/>
  </r>
  <r>
    <x v="23"/>
    <s v="Endenergieverbrauch - Industriesektor - Nichteisenmetalle - energetischer Verbrauch"/>
    <s v="Elektrizität"/>
    <s v="Gigawattstunde"/>
    <x v="6"/>
    <x v="9"/>
    <n v="1284"/>
  </r>
  <r>
    <x v="23"/>
    <s v="Endenergieverbrauch - Industriesektor - Nichteisenmetalle - energetischer Verbrauch"/>
    <s v="Elektrizität"/>
    <s v="Gigawattstunde"/>
    <x v="7"/>
    <x v="9"/>
    <n v="666"/>
  </r>
  <r>
    <x v="23"/>
    <s v="Endenergieverbrauch - Industriesektor - Nichteisenmetalle - energetischer Verbrauch"/>
    <s v="Elektrizität"/>
    <s v="Gigawattstunde"/>
    <x v="8"/>
    <x v="9"/>
    <n v="707"/>
  </r>
  <r>
    <x v="23"/>
    <s v="Endenergieverbrauch - Industriesektor - Nichteisenmetalle - energetischer Verbrauch"/>
    <s v="Elektrizität"/>
    <s v="Gigawattstunde"/>
    <x v="9"/>
    <x v="9"/>
    <n v="1201"/>
  </r>
  <r>
    <x v="23"/>
    <s v="Endenergieverbrauch - Industriesektor - Nichteisenmetalle - energetischer Verbrauch"/>
    <s v="Elektrizität"/>
    <s v="Gigawattstunde"/>
    <x v="10"/>
    <x v="9"/>
    <n v="1302"/>
  </r>
  <r>
    <x v="23"/>
    <s v="Endenergieverbrauch - Industriesektor - Nichteisenmetalle - energetischer Verbrauch"/>
    <s v="Elektrizität"/>
    <s v="Gigawattstunde"/>
    <x v="11"/>
    <x v="9"/>
    <n v="1302"/>
  </r>
  <r>
    <x v="23"/>
    <s v="Endenergieverbrauch - Industriesektor - Nichteisenmetalle - energetischer Verbrauch"/>
    <s v="Elektrizität"/>
    <s v="Gigawattstunde"/>
    <x v="12"/>
    <x v="9"/>
    <n v="1312"/>
  </r>
  <r>
    <x v="23"/>
    <s v="Endenergieverbrauch - Industriesektor - Nichteisenmetalle - energetischer Verbrauch"/>
    <s v="Elektrizität"/>
    <s v="Gigawattstunde"/>
    <x v="13"/>
    <x v="9"/>
    <n v="1331"/>
  </r>
  <r>
    <x v="23"/>
    <s v="Endenergieverbrauch - Industriesektor - Nichteisenmetalle - energetischer Verbrauch"/>
    <s v="Elektrizität"/>
    <s v="Gigawattstunde"/>
    <x v="14"/>
    <x v="9"/>
    <n v="1351"/>
  </r>
  <r>
    <x v="23"/>
    <s v="Endenergieverbrauch - Industriesektor - Nichteisenmetalle - energetischer Verbrauch"/>
    <s v="Elektrizität"/>
    <s v="Gigawattstunde"/>
    <x v="15"/>
    <x v="9"/>
    <n v="1351.443"/>
  </r>
  <r>
    <x v="23"/>
    <s v="Endenergieverbrauch - Industriesektor - Nichteisenmetalle - energetischer Verbrauch"/>
    <s v="Elektrizität"/>
    <s v="Gigawattstunde"/>
    <x v="16"/>
    <x v="9"/>
    <n v="1324.769"/>
  </r>
  <r>
    <x v="24"/>
    <s v="Endenergieverbrauch - Industriesektor - Nichteisenmetalle - energetischer Verbrauch"/>
    <s v="Elektrizität"/>
    <s v="Gigawattstunde"/>
    <x v="0"/>
    <x v="9"/>
    <n v="1683"/>
  </r>
  <r>
    <x v="24"/>
    <s v="Endenergieverbrauch - Industriesektor - Nichteisenmetalle - energetischer Verbrauch"/>
    <s v="Elektrizität"/>
    <s v="Gigawattstunde"/>
    <x v="1"/>
    <x v="9"/>
    <n v="2022"/>
  </r>
  <r>
    <x v="24"/>
    <s v="Endenergieverbrauch - Industriesektor - Nichteisenmetalle - energetischer Verbrauch"/>
    <s v="Elektrizität"/>
    <s v="Gigawattstunde"/>
    <x v="2"/>
    <x v="9"/>
    <n v="2352"/>
  </r>
  <r>
    <x v="24"/>
    <s v="Endenergieverbrauch - Industriesektor - Nichteisenmetalle - energetischer Verbrauch"/>
    <s v="Elektrizität"/>
    <s v="Gigawattstunde"/>
    <x v="3"/>
    <x v="9"/>
    <n v="2376"/>
  </r>
  <r>
    <x v="24"/>
    <s v="Endenergieverbrauch - Industriesektor - Nichteisenmetalle - energetischer Verbrauch"/>
    <s v="Elektrizität"/>
    <s v="Gigawattstunde"/>
    <x v="4"/>
    <x v="9"/>
    <n v="2400"/>
  </r>
  <r>
    <x v="24"/>
    <s v="Endenergieverbrauch - Industriesektor - Nichteisenmetalle - energetischer Verbrauch"/>
    <s v="Elektrizität"/>
    <s v="Gigawattstunde"/>
    <x v="5"/>
    <x v="9"/>
    <n v="2120"/>
  </r>
  <r>
    <x v="24"/>
    <s v="Endenergieverbrauch - Industriesektor - Nichteisenmetalle - energetischer Verbrauch"/>
    <s v="Elektrizität"/>
    <s v="Gigawattstunde"/>
    <x v="6"/>
    <x v="9"/>
    <n v="2502"/>
  </r>
  <r>
    <x v="24"/>
    <s v="Endenergieverbrauch - Industriesektor - Nichteisenmetalle - energetischer Verbrauch"/>
    <s v="Elektrizität"/>
    <s v="Gigawattstunde"/>
    <x v="7"/>
    <x v="9"/>
    <n v="2249"/>
  </r>
  <r>
    <x v="24"/>
    <s v="Endenergieverbrauch - Industriesektor - Nichteisenmetalle - energetischer Verbrauch"/>
    <s v="Elektrizität"/>
    <s v="Gigawattstunde"/>
    <x v="8"/>
    <x v="9"/>
    <n v="2455"/>
  </r>
  <r>
    <x v="24"/>
    <s v="Endenergieverbrauch - Industriesektor - Nichteisenmetalle - energetischer Verbrauch"/>
    <s v="Elektrizität"/>
    <s v="Gigawattstunde"/>
    <x v="9"/>
    <x v="9"/>
    <n v="2454"/>
  </r>
  <r>
    <x v="24"/>
    <s v="Endenergieverbrauch - Industriesektor - Nichteisenmetalle - energetischer Verbrauch"/>
    <s v="Elektrizität"/>
    <s v="Gigawattstunde"/>
    <x v="10"/>
    <x v="9"/>
    <n v="2476"/>
  </r>
  <r>
    <x v="24"/>
    <s v="Endenergieverbrauch - Industriesektor - Nichteisenmetalle - energetischer Verbrauch"/>
    <s v="Elektrizität"/>
    <s v="Gigawattstunde"/>
    <x v="11"/>
    <x v="9"/>
    <n v="2478"/>
  </r>
  <r>
    <x v="24"/>
    <s v="Endenergieverbrauch - Industriesektor - Nichteisenmetalle - energetischer Verbrauch"/>
    <s v="Elektrizität"/>
    <s v="Gigawattstunde"/>
    <x v="12"/>
    <x v="9"/>
    <n v="2523"/>
  </r>
  <r>
    <x v="24"/>
    <s v="Endenergieverbrauch - Industriesektor - Nichteisenmetalle - energetischer Verbrauch"/>
    <s v="Elektrizität"/>
    <s v="Gigawattstunde"/>
    <x v="13"/>
    <x v="9"/>
    <n v="2563"/>
  </r>
  <r>
    <x v="24"/>
    <s v="Endenergieverbrauch - Industriesektor - Nichteisenmetalle - energetischer Verbrauch"/>
    <s v="Elektrizität"/>
    <s v="Gigawattstunde"/>
    <x v="14"/>
    <x v="9"/>
    <n v="2586"/>
  </r>
  <r>
    <x v="24"/>
    <s v="Endenergieverbrauch - Industriesektor - Nichteisenmetalle - energetischer Verbrauch"/>
    <s v="Elektrizität"/>
    <s v="Gigawattstunde"/>
    <x v="15"/>
    <x v="9"/>
    <n v="2615"/>
  </r>
  <r>
    <x v="24"/>
    <s v="Endenergieverbrauch - Industriesektor - Nichteisenmetalle - energetischer Verbrauch"/>
    <s v="Elektrizität"/>
    <s v="Gigawattstunde"/>
    <x v="16"/>
    <x v="9"/>
    <n v="2530"/>
  </r>
  <r>
    <x v="25"/>
    <s v="Endenergieverbrauch - Industriesektor - Nichteisenmetalle - energetischer Verbrauch"/>
    <s v="Elektrizität"/>
    <s v="Gigawattstunde"/>
    <x v="0"/>
    <x v="9"/>
    <n v="1659"/>
  </r>
  <r>
    <x v="25"/>
    <s v="Endenergieverbrauch - Industriesektor - Nichteisenmetalle - energetischer Verbrauch"/>
    <s v="Elektrizität"/>
    <s v="Gigawattstunde"/>
    <x v="1"/>
    <x v="9"/>
    <n v="1888"/>
  </r>
  <r>
    <x v="25"/>
    <s v="Endenergieverbrauch - Industriesektor - Nichteisenmetalle - energetischer Verbrauch"/>
    <s v="Elektrizität"/>
    <s v="Gigawattstunde"/>
    <x v="2"/>
    <x v="9"/>
    <n v="2063"/>
  </r>
  <r>
    <x v="25"/>
    <s v="Endenergieverbrauch - Industriesektor - Nichteisenmetalle - energetischer Verbrauch"/>
    <s v="Elektrizität"/>
    <s v="Gigawattstunde"/>
    <x v="3"/>
    <x v="9"/>
    <n v="1874"/>
  </r>
  <r>
    <x v="25"/>
    <s v="Endenergieverbrauch - Industriesektor - Nichteisenmetalle - energetischer Verbrauch"/>
    <s v="Elektrizität"/>
    <s v="Gigawattstunde"/>
    <x v="4"/>
    <x v="9"/>
    <n v="2004"/>
  </r>
  <r>
    <x v="25"/>
    <s v="Endenergieverbrauch - Industriesektor - Nichteisenmetalle - energetischer Verbrauch"/>
    <s v="Elektrizität"/>
    <s v="Gigawattstunde"/>
    <x v="5"/>
    <x v="9"/>
    <n v="2026"/>
  </r>
  <r>
    <x v="25"/>
    <s v="Endenergieverbrauch - Industriesektor - Nichteisenmetalle - energetischer Verbrauch"/>
    <s v="Elektrizität"/>
    <s v="Gigawattstunde"/>
    <x v="6"/>
    <x v="9"/>
    <n v="1909"/>
  </r>
  <r>
    <x v="25"/>
    <s v="Endenergieverbrauch - Industriesektor - Nichteisenmetalle - energetischer Verbrauch"/>
    <s v="Elektrizität"/>
    <s v="Gigawattstunde"/>
    <x v="7"/>
    <x v="9"/>
    <n v="1667"/>
  </r>
  <r>
    <x v="25"/>
    <s v="Endenergieverbrauch - Industriesektor - Nichteisenmetalle - energetischer Verbrauch"/>
    <s v="Elektrizität"/>
    <s v="Gigawattstunde"/>
    <x v="8"/>
    <x v="9"/>
    <n v="1908"/>
  </r>
  <r>
    <x v="25"/>
    <s v="Endenergieverbrauch - Industriesektor - Nichteisenmetalle - energetischer Verbrauch"/>
    <s v="Elektrizität"/>
    <s v="Gigawattstunde"/>
    <x v="9"/>
    <x v="9"/>
    <n v="1779"/>
  </r>
  <r>
    <x v="25"/>
    <s v="Endenergieverbrauch - Industriesektor - Nichteisenmetalle - energetischer Verbrauch"/>
    <s v="Elektrizität"/>
    <s v="Gigawattstunde"/>
    <x v="10"/>
    <x v="9"/>
    <n v="1856"/>
  </r>
  <r>
    <x v="25"/>
    <s v="Endenergieverbrauch - Industriesektor - Nichteisenmetalle - energetischer Verbrauch"/>
    <s v="Elektrizität"/>
    <s v="Gigawattstunde"/>
    <x v="11"/>
    <x v="9"/>
    <n v="1913"/>
  </r>
  <r>
    <x v="25"/>
    <s v="Endenergieverbrauch - Industriesektor - Nichteisenmetalle - energetischer Verbrauch"/>
    <s v="Elektrizität"/>
    <s v="Gigawattstunde"/>
    <x v="12"/>
    <x v="9"/>
    <n v="1910"/>
  </r>
  <r>
    <x v="25"/>
    <s v="Endenergieverbrauch - Industriesektor - Nichteisenmetalle - energetischer Verbrauch"/>
    <s v="Elektrizität"/>
    <s v="Gigawattstunde"/>
    <x v="13"/>
    <x v="9"/>
    <n v="1851"/>
  </r>
  <r>
    <x v="25"/>
    <s v="Endenergieverbrauch - Industriesektor - Nichteisenmetalle - energetischer Verbrauch"/>
    <s v="Elektrizität"/>
    <s v="Gigawattstunde"/>
    <x v="14"/>
    <x v="9"/>
    <n v="1850"/>
  </r>
  <r>
    <x v="25"/>
    <s v="Endenergieverbrauch - Industriesektor - Nichteisenmetalle - energetischer Verbrauch"/>
    <s v="Elektrizität"/>
    <s v="Gigawattstunde"/>
    <x v="15"/>
    <x v="9"/>
    <n v="1895"/>
  </r>
  <r>
    <x v="25"/>
    <s v="Endenergieverbrauch - Industriesektor - Nichteisenmetalle - energetischer Verbrauch"/>
    <s v="Elektrizität"/>
    <s v="Gigawattstunde"/>
    <x v="16"/>
    <x v="9"/>
    <n v="1933"/>
  </r>
  <r>
    <x v="26"/>
    <s v="Endenergieverbrauch - Industriesektor - Nichteisenmetalle - energetischer Verbrauch"/>
    <s v="Elektrizität"/>
    <s v="Gigawattstunde"/>
    <x v="0"/>
    <x v="9"/>
    <n v="2972"/>
  </r>
  <r>
    <x v="26"/>
    <s v="Endenergieverbrauch - Industriesektor - Nichteisenmetalle - energetischer Verbrauch"/>
    <s v="Elektrizität"/>
    <s v="Gigawattstunde"/>
    <x v="1"/>
    <x v="9"/>
    <n v="2943"/>
  </r>
  <r>
    <x v="26"/>
    <s v="Endenergieverbrauch - Industriesektor - Nichteisenmetalle - energetischer Verbrauch"/>
    <s v="Elektrizität"/>
    <s v="Gigawattstunde"/>
    <x v="2"/>
    <x v="9"/>
    <n v="3002"/>
  </r>
  <r>
    <x v="26"/>
    <s v="Endenergieverbrauch - Industriesektor - Nichteisenmetalle - energetischer Verbrauch"/>
    <s v="Elektrizität"/>
    <s v="Gigawattstunde"/>
    <x v="3"/>
    <x v="9"/>
    <n v="3268"/>
  </r>
  <r>
    <x v="26"/>
    <s v="Endenergieverbrauch - Industriesektor - Nichteisenmetalle - energetischer Verbrauch"/>
    <s v="Elektrizität"/>
    <s v="Gigawattstunde"/>
    <x v="4"/>
    <x v="9"/>
    <n v="3225"/>
  </r>
  <r>
    <x v="26"/>
    <s v="Endenergieverbrauch - Industriesektor - Nichteisenmetalle - energetischer Verbrauch"/>
    <s v="Elektrizität"/>
    <s v="Gigawattstunde"/>
    <x v="5"/>
    <x v="9"/>
    <n v="3275"/>
  </r>
  <r>
    <x v="26"/>
    <s v="Endenergieverbrauch - Industriesektor - Nichteisenmetalle - energetischer Verbrauch"/>
    <s v="Elektrizität"/>
    <s v="Gigawattstunde"/>
    <x v="6"/>
    <x v="9"/>
    <n v="3034"/>
  </r>
  <r>
    <x v="26"/>
    <s v="Endenergieverbrauch - Industriesektor - Nichteisenmetalle - energetischer Verbrauch"/>
    <s v="Elektrizität"/>
    <s v="Gigawattstunde"/>
    <x v="7"/>
    <x v="9"/>
    <n v="2300"/>
  </r>
  <r>
    <x v="26"/>
    <s v="Endenergieverbrauch - Industriesektor - Nichteisenmetalle - energetischer Verbrauch"/>
    <s v="Elektrizität"/>
    <s v="Gigawattstunde"/>
    <x v="8"/>
    <x v="9"/>
    <n v="2395"/>
  </r>
  <r>
    <x v="26"/>
    <s v="Endenergieverbrauch - Industriesektor - Nichteisenmetalle - energetischer Verbrauch"/>
    <s v="Elektrizität"/>
    <s v="Gigawattstunde"/>
    <x v="9"/>
    <x v="9"/>
    <n v="3005"/>
  </r>
  <r>
    <x v="26"/>
    <s v="Endenergieverbrauch - Industriesektor - Nichteisenmetalle - energetischer Verbrauch"/>
    <s v="Elektrizität"/>
    <s v="Gigawattstunde"/>
    <x v="10"/>
    <x v="9"/>
    <n v="3200"/>
  </r>
  <r>
    <x v="26"/>
    <s v="Endenergieverbrauch - Industriesektor - Nichteisenmetalle - energetischer Verbrauch"/>
    <s v="Elektrizität"/>
    <s v="Gigawattstunde"/>
    <x v="11"/>
    <x v="9"/>
    <n v="3106"/>
  </r>
  <r>
    <x v="26"/>
    <s v="Endenergieverbrauch - Industriesektor - Nichteisenmetalle - energetischer Verbrauch"/>
    <s v="Elektrizität"/>
    <s v="Gigawattstunde"/>
    <x v="12"/>
    <x v="9"/>
    <n v="2907"/>
  </r>
  <r>
    <x v="26"/>
    <s v="Endenergieverbrauch - Industriesektor - Nichteisenmetalle - energetischer Verbrauch"/>
    <s v="Elektrizität"/>
    <s v="Gigawattstunde"/>
    <x v="13"/>
    <x v="9"/>
    <n v="2890"/>
  </r>
  <r>
    <x v="26"/>
    <s v="Endenergieverbrauch - Industriesektor - Nichteisenmetalle - energetischer Verbrauch"/>
    <s v="Elektrizität"/>
    <s v="Gigawattstunde"/>
    <x v="14"/>
    <x v="9"/>
    <n v="2935"/>
  </r>
  <r>
    <x v="26"/>
    <s v="Endenergieverbrauch - Industriesektor - Nichteisenmetalle - energetischer Verbrauch"/>
    <s v="Elektrizität"/>
    <s v="Gigawattstunde"/>
    <x v="15"/>
    <x v="9"/>
    <n v="2972"/>
  </r>
  <r>
    <x v="26"/>
    <s v="Endenergieverbrauch - Industriesektor - Nichteisenmetalle - energetischer Verbrauch"/>
    <s v="Elektrizität"/>
    <s v="Gigawattstunde"/>
    <x v="16"/>
    <x v="9"/>
    <n v="3003"/>
  </r>
  <r>
    <x v="27"/>
    <s v="Endenergieverbrauch - Industriesektor - Nichteisenmetalle - energetischer Verbrauch"/>
    <s v="Elektrizität"/>
    <s v="Gigawattstunde"/>
    <x v="0"/>
    <x v="9"/>
    <n v="6365"/>
  </r>
  <r>
    <x v="27"/>
    <s v="Endenergieverbrauch - Industriesektor - Nichteisenmetalle - energetischer Verbrauch"/>
    <s v="Elektrizität"/>
    <s v="Gigawattstunde"/>
    <x v="1"/>
    <x v="9"/>
    <n v="7244"/>
  </r>
  <r>
    <x v="27"/>
    <s v="Endenergieverbrauch - Industriesektor - Nichteisenmetalle - energetischer Verbrauch"/>
    <s v="Elektrizität"/>
    <s v="Gigawattstunde"/>
    <x v="2"/>
    <x v="9"/>
    <n v="7468"/>
  </r>
  <r>
    <x v="27"/>
    <s v="Endenergieverbrauch - Industriesektor - Nichteisenmetalle - energetischer Verbrauch"/>
    <s v="Elektrizität"/>
    <s v="Gigawattstunde"/>
    <x v="3"/>
    <x v="9"/>
    <n v="7693"/>
  </r>
  <r>
    <x v="27"/>
    <s v="Endenergieverbrauch - Industriesektor - Nichteisenmetalle - energetischer Verbrauch"/>
    <s v="Elektrizität"/>
    <s v="Gigawattstunde"/>
    <x v="4"/>
    <x v="9"/>
    <n v="7524"/>
  </r>
  <r>
    <x v="27"/>
    <s v="Endenergieverbrauch - Industriesektor - Nichteisenmetalle - energetischer Verbrauch"/>
    <s v="Elektrizität"/>
    <s v="Gigawattstunde"/>
    <x v="5"/>
    <x v="9"/>
    <n v="7386"/>
  </r>
  <r>
    <x v="27"/>
    <s v="Endenergieverbrauch - Industriesektor - Nichteisenmetalle - energetischer Verbrauch"/>
    <s v="Elektrizität"/>
    <s v="Gigawattstunde"/>
    <x v="6"/>
    <x v="9"/>
    <n v="7391"/>
  </r>
  <r>
    <x v="27"/>
    <s v="Endenergieverbrauch - Industriesektor - Nichteisenmetalle - energetischer Verbrauch"/>
    <s v="Elektrizität"/>
    <s v="Gigawattstunde"/>
    <x v="7"/>
    <x v="9"/>
    <n v="6075"/>
  </r>
  <r>
    <x v="27"/>
    <s v="Endenergieverbrauch - Industriesektor - Nichteisenmetalle - energetischer Verbrauch"/>
    <s v="Elektrizität"/>
    <s v="Gigawattstunde"/>
    <x v="8"/>
    <x v="9"/>
    <n v="6726"/>
  </r>
  <r>
    <x v="27"/>
    <s v="Endenergieverbrauch - Industriesektor - Nichteisenmetalle - energetischer Verbrauch"/>
    <s v="Elektrizität"/>
    <s v="Gigawattstunde"/>
    <x v="9"/>
    <x v="9"/>
    <n v="6971"/>
  </r>
  <r>
    <x v="27"/>
    <s v="Endenergieverbrauch - Industriesektor - Nichteisenmetalle - energetischer Verbrauch"/>
    <s v="Elektrizität"/>
    <s v="Gigawattstunde"/>
    <x v="10"/>
    <x v="9"/>
    <n v="5028"/>
  </r>
  <r>
    <x v="27"/>
    <s v="Endenergieverbrauch - Industriesektor - Nichteisenmetalle - energetischer Verbrauch"/>
    <s v="Elektrizität"/>
    <s v="Gigawattstunde"/>
    <x v="11"/>
    <x v="9"/>
    <n v="4430"/>
  </r>
  <r>
    <x v="27"/>
    <s v="Endenergieverbrauch - Industriesektor - Nichteisenmetalle - energetischer Verbrauch"/>
    <s v="Elektrizität"/>
    <s v="Gigawattstunde"/>
    <x v="12"/>
    <x v="9"/>
    <n v="4475"/>
  </r>
  <r>
    <x v="27"/>
    <s v="Endenergieverbrauch - Industriesektor - Nichteisenmetalle - energetischer Verbrauch"/>
    <s v="Elektrizität"/>
    <s v="Gigawattstunde"/>
    <x v="13"/>
    <x v="9"/>
    <n v="4424.2370000000001"/>
  </r>
  <r>
    <x v="27"/>
    <s v="Endenergieverbrauch - Industriesektor - Nichteisenmetalle - energetischer Verbrauch"/>
    <s v="Elektrizität"/>
    <s v="Gigawattstunde"/>
    <x v="14"/>
    <x v="9"/>
    <n v="4506.9049999999997"/>
  </r>
  <r>
    <x v="27"/>
    <s v="Endenergieverbrauch - Industriesektor - Nichteisenmetalle - energetischer Verbrauch"/>
    <s v="Elektrizität"/>
    <s v="Gigawattstunde"/>
    <x v="15"/>
    <x v="9"/>
    <n v="4305.8860000000004"/>
  </r>
  <r>
    <x v="27"/>
    <s v="Endenergieverbrauch - Industriesektor - Nichteisenmetalle - energetischer Verbrauch"/>
    <s v="Elektrizität"/>
    <s v="Gigawattstunde"/>
    <x v="16"/>
    <x v="9"/>
    <n v="4087.9450000000002"/>
  </r>
  <r>
    <x v="28"/>
    <s v="Endenergieverbrauch - Industriesektor - Nichteisenmetalle - energetischer Verbrauch"/>
    <s v="Elektrizität"/>
    <s v="Gigawattstunde"/>
    <x v="0"/>
    <x v="9"/>
    <n v="4170"/>
  </r>
  <r>
    <x v="28"/>
    <s v="Endenergieverbrauch - Industriesektor - Nichteisenmetalle - energetischer Verbrauch"/>
    <s v="Elektrizität"/>
    <s v="Gigawattstunde"/>
    <x v="1"/>
    <x v="9"/>
    <n v="4180"/>
  </r>
  <r>
    <x v="28"/>
    <s v="Endenergieverbrauch - Industriesektor - Nichteisenmetalle - energetischer Verbrauch"/>
    <s v="Elektrizität"/>
    <s v="Gigawattstunde"/>
    <x v="2"/>
    <x v="9"/>
    <n v="4202"/>
  </r>
  <r>
    <x v="28"/>
    <s v="Endenergieverbrauch - Industriesektor - Nichteisenmetalle - energetischer Verbrauch"/>
    <s v="Elektrizität"/>
    <s v="Gigawattstunde"/>
    <x v="3"/>
    <x v="9"/>
    <n v="4211"/>
  </r>
  <r>
    <x v="28"/>
    <s v="Endenergieverbrauch - Industriesektor - Nichteisenmetalle - energetischer Verbrauch"/>
    <s v="Elektrizität"/>
    <s v="Gigawattstunde"/>
    <x v="4"/>
    <x v="9"/>
    <n v="5287"/>
  </r>
  <r>
    <x v="28"/>
    <s v="Endenergieverbrauch - Industriesektor - Nichteisenmetalle - energetischer Verbrauch"/>
    <s v="Elektrizität"/>
    <s v="Gigawattstunde"/>
    <x v="5"/>
    <x v="9"/>
    <n v="7112"/>
  </r>
  <r>
    <x v="28"/>
    <s v="Endenergieverbrauch - Industriesektor - Nichteisenmetalle - energetischer Verbrauch"/>
    <s v="Elektrizität"/>
    <s v="Gigawattstunde"/>
    <x v="6"/>
    <x v="9"/>
    <n v="11551"/>
  </r>
  <r>
    <x v="28"/>
    <s v="Endenergieverbrauch - Industriesektor - Nichteisenmetalle - energetischer Verbrauch"/>
    <s v="Elektrizität"/>
    <s v="Gigawattstunde"/>
    <x v="7"/>
    <x v="9"/>
    <n v="12031"/>
  </r>
  <r>
    <x v="28"/>
    <s v="Endenergieverbrauch - Industriesektor - Nichteisenmetalle - energetischer Verbrauch"/>
    <s v="Elektrizität"/>
    <s v="Gigawattstunde"/>
    <x v="8"/>
    <x v="9"/>
    <n v="12021"/>
  </r>
  <r>
    <x v="28"/>
    <s v="Endenergieverbrauch - Industriesektor - Nichteisenmetalle - energetischer Verbrauch"/>
    <s v="Elektrizität"/>
    <s v="Gigawattstunde"/>
    <x v="9"/>
    <x v="9"/>
    <n v="12343"/>
  </r>
  <r>
    <x v="28"/>
    <s v="Endenergieverbrauch - Industriesektor - Nichteisenmetalle - energetischer Verbrauch"/>
    <s v="Elektrizität"/>
    <s v="Gigawattstunde"/>
    <x v="10"/>
    <x v="9"/>
    <n v="12508"/>
  </r>
  <r>
    <x v="28"/>
    <s v="Endenergieverbrauch - Industriesektor - Nichteisenmetalle - energetischer Verbrauch"/>
    <s v="Elektrizität"/>
    <s v="Gigawattstunde"/>
    <x v="11"/>
    <x v="9"/>
    <n v="12918"/>
  </r>
  <r>
    <x v="28"/>
    <s v="Endenergieverbrauch - Industriesektor - Nichteisenmetalle - energetischer Verbrauch"/>
    <s v="Elektrizität"/>
    <s v="Gigawattstunde"/>
    <x v="12"/>
    <x v="9"/>
    <n v="12981"/>
  </r>
  <r>
    <x v="28"/>
    <s v="Endenergieverbrauch - Industriesektor - Nichteisenmetalle - energetischer Verbrauch"/>
    <s v="Elektrizität"/>
    <s v="Gigawattstunde"/>
    <x v="13"/>
    <x v="9"/>
    <n v="13263"/>
  </r>
  <r>
    <x v="28"/>
    <s v="Endenergieverbrauch - Industriesektor - Nichteisenmetalle - energetischer Verbrauch"/>
    <s v="Elektrizität"/>
    <s v="Gigawattstunde"/>
    <x v="14"/>
    <x v="9"/>
    <n v="13072"/>
  </r>
  <r>
    <x v="28"/>
    <s v="Endenergieverbrauch - Industriesektor - Nichteisenmetalle - energetischer Verbrauch"/>
    <s v="Elektrizität"/>
    <s v="Gigawattstunde"/>
    <x v="15"/>
    <x v="9"/>
    <n v="13491.017"/>
  </r>
  <r>
    <x v="28"/>
    <s v="Endenergieverbrauch - Industriesektor - Nichteisenmetalle - energetischer Verbrauch"/>
    <s v="Elektrizität"/>
    <s v="Gigawattstunde"/>
    <x v="16"/>
    <x v="9"/>
    <n v="13525.048000000001"/>
  </r>
  <r>
    <x v="29"/>
    <s v="Endenergieverbrauch - Industriesektor - Nichteisenmetalle - energetischer Verbrauch"/>
    <s v="Elektrizität"/>
    <s v="Gigawattstunde"/>
    <x v="0"/>
    <x v="9"/>
    <n v="18809"/>
  </r>
  <r>
    <x v="29"/>
    <s v="Endenergieverbrauch - Industriesektor - Nichteisenmetalle - energetischer Verbrauch"/>
    <s v="Elektrizität"/>
    <s v="Gigawattstunde"/>
    <x v="1"/>
    <x v="9"/>
    <n v="20599"/>
  </r>
  <r>
    <x v="29"/>
    <s v="Endenergieverbrauch - Industriesektor - Nichteisenmetalle - energetischer Verbrauch"/>
    <s v="Elektrizität"/>
    <s v="Gigawattstunde"/>
    <x v="2"/>
    <x v="9"/>
    <n v="22418"/>
  </r>
  <r>
    <x v="29"/>
    <s v="Endenergieverbrauch - Industriesektor - Nichteisenmetalle - energetischer Verbrauch"/>
    <s v="Elektrizität"/>
    <s v="Gigawattstunde"/>
    <x v="3"/>
    <x v="9"/>
    <n v="23757"/>
  </r>
  <r>
    <x v="29"/>
    <s v="Endenergieverbrauch - Industriesektor - Nichteisenmetalle - energetischer Verbrauch"/>
    <s v="Elektrizität"/>
    <s v="Gigawattstunde"/>
    <x v="4"/>
    <x v="9"/>
    <n v="23590"/>
  </r>
  <r>
    <x v="29"/>
    <s v="Endenergieverbrauch - Industriesektor - Nichteisenmetalle - energetischer Verbrauch"/>
    <s v="Elektrizität"/>
    <s v="Gigawattstunde"/>
    <x v="5"/>
    <x v="9"/>
    <n v="22869"/>
  </r>
  <r>
    <x v="29"/>
    <s v="Endenergieverbrauch - Industriesektor - Nichteisenmetalle - energetischer Verbrauch"/>
    <s v="Elektrizität"/>
    <s v="Gigawattstunde"/>
    <x v="6"/>
    <x v="9"/>
    <n v="22982"/>
  </r>
  <r>
    <x v="29"/>
    <s v="Endenergieverbrauch - Industriesektor - Nichteisenmetalle - energetischer Verbrauch"/>
    <s v="Elektrizität"/>
    <s v="Gigawattstunde"/>
    <x v="7"/>
    <x v="9"/>
    <n v="19115"/>
  </r>
  <r>
    <x v="29"/>
    <s v="Endenergieverbrauch - Industriesektor - Nichteisenmetalle - energetischer Verbrauch"/>
    <s v="Elektrizität"/>
    <s v="Gigawattstunde"/>
    <x v="8"/>
    <x v="9"/>
    <n v="18675"/>
  </r>
  <r>
    <x v="29"/>
    <s v="Endenergieverbrauch - Industriesektor - Nichteisenmetalle - energetischer Verbrauch"/>
    <s v="Elektrizität"/>
    <s v="Gigawattstunde"/>
    <x v="9"/>
    <x v="9"/>
    <n v="18785"/>
  </r>
  <r>
    <x v="29"/>
    <s v="Endenergieverbrauch - Industriesektor - Nichteisenmetalle - energetischer Verbrauch"/>
    <s v="Elektrizität"/>
    <s v="Gigawattstunde"/>
    <x v="10"/>
    <x v="9"/>
    <n v="19029"/>
  </r>
  <r>
    <x v="29"/>
    <s v="Endenergieverbrauch - Industriesektor - Nichteisenmetalle - energetischer Verbrauch"/>
    <s v="Elektrizität"/>
    <s v="Gigawattstunde"/>
    <x v="11"/>
    <x v="9"/>
    <n v="19237"/>
  </r>
  <r>
    <x v="29"/>
    <s v="Endenergieverbrauch - Industriesektor - Nichteisenmetalle - energetischer Verbrauch"/>
    <s v="Elektrizität"/>
    <s v="Gigawattstunde"/>
    <x v="12"/>
    <x v="9"/>
    <n v="19662"/>
  </r>
  <r>
    <x v="29"/>
    <s v="Endenergieverbrauch - Industriesektor - Nichteisenmetalle - energetischer Verbrauch"/>
    <s v="Elektrizität"/>
    <s v="Gigawattstunde"/>
    <x v="13"/>
    <x v="9"/>
    <n v="20386"/>
  </r>
  <r>
    <x v="29"/>
    <s v="Endenergieverbrauch - Industriesektor - Nichteisenmetalle - energetischer Verbrauch"/>
    <s v="Elektrizität"/>
    <s v="Gigawattstunde"/>
    <x v="14"/>
    <x v="9"/>
    <n v="20764"/>
  </r>
  <r>
    <x v="29"/>
    <s v="Endenergieverbrauch - Industriesektor - Nichteisenmetalle - energetischer Verbrauch"/>
    <s v="Elektrizität"/>
    <s v="Gigawattstunde"/>
    <x v="15"/>
    <x v="9"/>
    <n v="20828"/>
  </r>
  <r>
    <x v="29"/>
    <s v="Endenergieverbrauch - Industriesektor - Nichteisenmetalle - energetischer Verbrauch"/>
    <s v="Elektrizität"/>
    <s v="Gigawattstunde"/>
    <x v="16"/>
    <x v="9"/>
    <n v="21651.188999999998"/>
  </r>
  <r>
    <x v="30"/>
    <s v="Endenergieverbrauch - Industriesektor - Nichteisenmetalle - energetischer Verbrauch"/>
    <s v="Elektrizität"/>
    <s v="Gigawattstunde"/>
    <x v="0"/>
    <x v="9"/>
    <n v="0"/>
  </r>
  <r>
    <x v="30"/>
    <s v="Endenergieverbrauch - Industriesektor - Nichteisenmetalle - energetischer Verbrauch"/>
    <s v="Elektrizität"/>
    <s v="Gigawattstunde"/>
    <x v="1"/>
    <x v="9"/>
    <n v="0"/>
  </r>
  <r>
    <x v="30"/>
    <s v="Endenergieverbrauch - Industriesektor - Nichteisenmetalle - energetischer Verbrauch"/>
    <s v="Elektrizität"/>
    <s v="Gigawattstunde"/>
    <x v="2"/>
    <x v="9"/>
    <n v="301"/>
  </r>
  <r>
    <x v="30"/>
    <s v="Endenergieverbrauch - Industriesektor - Nichteisenmetalle - energetischer Verbrauch"/>
    <s v="Elektrizität"/>
    <s v="Gigawattstunde"/>
    <x v="3"/>
    <x v="9"/>
    <n v="350"/>
  </r>
  <r>
    <x v="30"/>
    <s v="Endenergieverbrauch - Industriesektor - Nichteisenmetalle - energetischer Verbrauch"/>
    <s v="Elektrizität"/>
    <s v="Gigawattstunde"/>
    <x v="4"/>
    <x v="9"/>
    <n v="379"/>
  </r>
  <r>
    <x v="30"/>
    <s v="Endenergieverbrauch - Industriesektor - Nichteisenmetalle - energetischer Verbrauch"/>
    <s v="Elektrizität"/>
    <s v="Gigawattstunde"/>
    <x v="5"/>
    <x v="9"/>
    <n v="290"/>
  </r>
  <r>
    <x v="30"/>
    <s v="Endenergieverbrauch - Industriesektor - Nichteisenmetalle - energetischer Verbrauch"/>
    <s v="Elektrizität"/>
    <s v="Gigawattstunde"/>
    <x v="6"/>
    <x v="9"/>
    <n v="373"/>
  </r>
  <r>
    <x v="30"/>
    <s v="Endenergieverbrauch - Industriesektor - Nichteisenmetalle - energetischer Verbrauch"/>
    <s v="Elektrizität"/>
    <s v="Gigawattstunde"/>
    <x v="7"/>
    <x v="9"/>
    <n v="193"/>
  </r>
  <r>
    <x v="30"/>
    <s v="Endenergieverbrauch - Industriesektor - Nichteisenmetalle - energetischer Verbrauch"/>
    <s v="Elektrizität"/>
    <s v="Gigawattstunde"/>
    <x v="8"/>
    <x v="9"/>
    <n v="263"/>
  </r>
  <r>
    <x v="30"/>
    <s v="Endenergieverbrauch - Industriesektor - Nichteisenmetalle - energetischer Verbrauch"/>
    <s v="Elektrizität"/>
    <s v="Gigawattstunde"/>
    <x v="9"/>
    <x v="9"/>
    <n v="316"/>
  </r>
  <r>
    <x v="30"/>
    <s v="Endenergieverbrauch - Industriesektor - Nichteisenmetalle - energetischer Verbrauch"/>
    <s v="Elektrizität"/>
    <s v="Gigawattstunde"/>
    <x v="10"/>
    <x v="9"/>
    <n v="388"/>
  </r>
  <r>
    <x v="30"/>
    <s v="Endenergieverbrauch - Industriesektor - Nichteisenmetalle - energetischer Verbrauch"/>
    <s v="Elektrizität"/>
    <s v="Gigawattstunde"/>
    <x v="11"/>
    <x v="9"/>
    <n v="400"/>
  </r>
  <r>
    <x v="30"/>
    <s v="Endenergieverbrauch - Industriesektor - Nichteisenmetalle - energetischer Verbrauch"/>
    <s v="Elektrizität"/>
    <s v="Gigawattstunde"/>
    <x v="12"/>
    <x v="9"/>
    <n v="340"/>
  </r>
  <r>
    <x v="30"/>
    <s v="Endenergieverbrauch - Industriesektor - Nichteisenmetalle - energetischer Verbrauch"/>
    <s v="Elektrizität"/>
    <s v="Gigawattstunde"/>
    <x v="13"/>
    <x v="9"/>
    <n v="369"/>
  </r>
  <r>
    <x v="30"/>
    <s v="Endenergieverbrauch - Industriesektor - Nichteisenmetalle - energetischer Verbrauch"/>
    <s v="Elektrizität"/>
    <s v="Gigawattstunde"/>
    <x v="14"/>
    <x v="9"/>
    <n v="424"/>
  </r>
  <r>
    <x v="30"/>
    <s v="Endenergieverbrauch - Industriesektor - Nichteisenmetalle - energetischer Verbrauch"/>
    <s v="Elektrizität"/>
    <s v="Gigawattstunde"/>
    <x v="15"/>
    <x v="9"/>
    <n v="445.03"/>
  </r>
  <r>
    <x v="30"/>
    <s v="Endenergieverbrauch - Industriesektor - Nichteisenmetalle - energetischer Verbrauch"/>
    <s v="Elektrizität"/>
    <s v="Gigawattstunde"/>
    <x v="16"/>
    <x v="9"/>
    <n v="439.96"/>
  </r>
  <r>
    <x v="0"/>
    <s v="Endenergieverbrauch - Industriesektor - Nichtmetallische mineralische Rohstoffe - energetischer Verbrauch"/>
    <s v="Elektrizität"/>
    <s v="Gigawattstunde"/>
    <x v="0"/>
    <x v="10"/>
    <n v="2515"/>
  </r>
  <r>
    <x v="0"/>
    <s v="Endenergieverbrauch - Industriesektor - Nichtmetallische mineralische Rohstoffe - energetischer Verbrauch"/>
    <s v="Elektrizität"/>
    <s v="Gigawattstunde"/>
    <x v="1"/>
    <x v="10"/>
    <n v="2563"/>
  </r>
  <r>
    <x v="0"/>
    <s v="Endenergieverbrauch - Industriesektor - Nichtmetallische mineralische Rohstoffe - energetischer Verbrauch"/>
    <s v="Elektrizität"/>
    <s v="Gigawattstunde"/>
    <x v="2"/>
    <x v="10"/>
    <n v="2613"/>
  </r>
  <r>
    <x v="0"/>
    <s v="Endenergieverbrauch - Industriesektor - Nichtmetallische mineralische Rohstoffe - energetischer Verbrauch"/>
    <s v="Elektrizität"/>
    <s v="Gigawattstunde"/>
    <x v="3"/>
    <x v="10"/>
    <n v="2325"/>
  </r>
  <r>
    <x v="0"/>
    <s v="Endenergieverbrauch - Industriesektor - Nichtmetallische mineralische Rohstoffe - energetischer Verbrauch"/>
    <s v="Elektrizität"/>
    <s v="Gigawattstunde"/>
    <x v="4"/>
    <x v="10"/>
    <n v="2411"/>
  </r>
  <r>
    <x v="0"/>
    <s v="Endenergieverbrauch - Industriesektor - Nichtmetallische mineralische Rohstoffe - energetischer Verbrauch"/>
    <s v="Elektrizität"/>
    <s v="Gigawattstunde"/>
    <x v="5"/>
    <x v="10"/>
    <n v="2370"/>
  </r>
  <r>
    <x v="0"/>
    <s v="Endenergieverbrauch - Industriesektor - Nichtmetallische mineralische Rohstoffe - energetischer Verbrauch"/>
    <s v="Elektrizität"/>
    <s v="Gigawattstunde"/>
    <x v="6"/>
    <x v="10"/>
    <n v="2449"/>
  </r>
  <r>
    <x v="0"/>
    <s v="Endenergieverbrauch - Industriesektor - Nichtmetallische mineralische Rohstoffe - energetischer Verbrauch"/>
    <s v="Elektrizität"/>
    <s v="Gigawattstunde"/>
    <x v="7"/>
    <x v="10"/>
    <n v="1959"/>
  </r>
  <r>
    <x v="0"/>
    <s v="Endenergieverbrauch - Industriesektor - Nichtmetallische mineralische Rohstoffe - energetischer Verbrauch"/>
    <s v="Elektrizität"/>
    <s v="Gigawattstunde"/>
    <x v="8"/>
    <x v="10"/>
    <n v="1059"/>
  </r>
  <r>
    <x v="0"/>
    <s v="Endenergieverbrauch - Industriesektor - Nichtmetallische mineralische Rohstoffe - energetischer Verbrauch"/>
    <s v="Elektrizität"/>
    <s v="Gigawattstunde"/>
    <x v="9"/>
    <x v="10"/>
    <n v="2967"/>
  </r>
  <r>
    <x v="0"/>
    <s v="Endenergieverbrauch - Industriesektor - Nichtmetallische mineralische Rohstoffe - energetischer Verbrauch"/>
    <s v="Elektrizität"/>
    <s v="Gigawattstunde"/>
    <x v="10"/>
    <x v="10"/>
    <n v="3699"/>
  </r>
  <r>
    <x v="0"/>
    <s v="Endenergieverbrauch - Industriesektor - Nichtmetallische mineralische Rohstoffe - energetischer Verbrauch"/>
    <s v="Elektrizität"/>
    <s v="Gigawattstunde"/>
    <x v="11"/>
    <x v="10"/>
    <n v="2829"/>
  </r>
  <r>
    <x v="0"/>
    <s v="Endenergieverbrauch - Industriesektor - Nichtmetallische mineralische Rohstoffe - energetischer Verbrauch"/>
    <s v="Elektrizität"/>
    <s v="Gigawattstunde"/>
    <x v="12"/>
    <x v="10"/>
    <n v="2865.4"/>
  </r>
  <r>
    <x v="0"/>
    <s v="Endenergieverbrauch - Industriesektor - Nichtmetallische mineralische Rohstoffe - energetischer Verbrauch"/>
    <s v="Elektrizität"/>
    <s v="Gigawattstunde"/>
    <x v="13"/>
    <x v="10"/>
    <n v="2791.9"/>
  </r>
  <r>
    <x v="0"/>
    <s v="Endenergieverbrauch - Industriesektor - Nichtmetallische mineralische Rohstoffe - energetischer Verbrauch"/>
    <s v="Elektrizität"/>
    <s v="Gigawattstunde"/>
    <x v="14"/>
    <x v="10"/>
    <n v="2766.8"/>
  </r>
  <r>
    <x v="0"/>
    <s v="Endenergieverbrauch - Industriesektor - Nichtmetallische mineralische Rohstoffe - energetischer Verbrauch"/>
    <s v="Elektrizität"/>
    <s v="Gigawattstunde"/>
    <x v="15"/>
    <x v="10"/>
    <n v="2422.1999999999998"/>
  </r>
  <r>
    <x v="0"/>
    <s v="Endenergieverbrauch - Industriesektor - Nichtmetallische mineralische Rohstoffe - energetischer Verbrauch"/>
    <s v="Elektrizität"/>
    <s v="Gigawattstunde"/>
    <x v="16"/>
    <x v="10"/>
    <n v="2437.6999999999998"/>
  </r>
  <r>
    <x v="1"/>
    <s v="Endenergieverbrauch - Industriesektor - Nichtmetallische mineralische Rohstoffe - energetischer Verbrauch"/>
    <s v="Elektrizität"/>
    <s v="Gigawattstunde"/>
    <x v="0"/>
    <x v="10"/>
    <n v="606"/>
  </r>
  <r>
    <x v="1"/>
    <s v="Endenergieverbrauch - Industriesektor - Nichtmetallische mineralische Rohstoffe - energetischer Verbrauch"/>
    <s v="Elektrizität"/>
    <s v="Gigawattstunde"/>
    <x v="1"/>
    <x v="10"/>
    <n v="638"/>
  </r>
  <r>
    <x v="1"/>
    <s v="Endenergieverbrauch - Industriesektor - Nichtmetallische mineralische Rohstoffe - energetischer Verbrauch"/>
    <s v="Elektrizität"/>
    <s v="Gigawattstunde"/>
    <x v="2"/>
    <x v="10"/>
    <n v="698"/>
  </r>
  <r>
    <x v="1"/>
    <s v="Endenergieverbrauch - Industriesektor - Nichtmetallische mineralische Rohstoffe - energetischer Verbrauch"/>
    <s v="Elektrizität"/>
    <s v="Gigawattstunde"/>
    <x v="3"/>
    <x v="10"/>
    <n v="790"/>
  </r>
  <r>
    <x v="1"/>
    <s v="Endenergieverbrauch - Industriesektor - Nichtmetallische mineralische Rohstoffe - energetischer Verbrauch"/>
    <s v="Elektrizität"/>
    <s v="Gigawattstunde"/>
    <x v="4"/>
    <x v="10"/>
    <n v="877"/>
  </r>
  <r>
    <x v="1"/>
    <s v="Endenergieverbrauch - Industriesektor - Nichtmetallische mineralische Rohstoffe - energetischer Verbrauch"/>
    <s v="Elektrizität"/>
    <s v="Gigawattstunde"/>
    <x v="5"/>
    <x v="10"/>
    <n v="983"/>
  </r>
  <r>
    <x v="1"/>
    <s v="Endenergieverbrauch - Industriesektor - Nichtmetallische mineralische Rohstoffe - energetischer Verbrauch"/>
    <s v="Elektrizität"/>
    <s v="Gigawattstunde"/>
    <x v="6"/>
    <x v="10"/>
    <n v="977"/>
  </r>
  <r>
    <x v="1"/>
    <s v="Endenergieverbrauch - Industriesektor - Nichtmetallische mineralische Rohstoffe - energetischer Verbrauch"/>
    <s v="Elektrizität"/>
    <s v="Gigawattstunde"/>
    <x v="7"/>
    <x v="10"/>
    <n v="728"/>
  </r>
  <r>
    <x v="1"/>
    <s v="Endenergieverbrauch - Industriesektor - Nichtmetallische mineralische Rohstoffe - energetischer Verbrauch"/>
    <s v="Elektrizität"/>
    <s v="Gigawattstunde"/>
    <x v="8"/>
    <x v="10"/>
    <n v="755"/>
  </r>
  <r>
    <x v="1"/>
    <s v="Endenergieverbrauch - Industriesektor - Nichtmetallische mineralische Rohstoffe - energetischer Verbrauch"/>
    <s v="Elektrizität"/>
    <s v="Gigawattstunde"/>
    <x v="9"/>
    <x v="10"/>
    <n v="755"/>
  </r>
  <r>
    <x v="1"/>
    <s v="Endenergieverbrauch - Industriesektor - Nichtmetallische mineralische Rohstoffe - energetischer Verbrauch"/>
    <s v="Elektrizität"/>
    <s v="Gigawattstunde"/>
    <x v="10"/>
    <x v="10"/>
    <n v="750"/>
  </r>
  <r>
    <x v="1"/>
    <s v="Endenergieverbrauch - Industriesektor - Nichtmetallische mineralische Rohstoffe - energetischer Verbrauch"/>
    <s v="Elektrizität"/>
    <s v="Gigawattstunde"/>
    <x v="11"/>
    <x v="10"/>
    <n v="738"/>
  </r>
  <r>
    <x v="1"/>
    <s v="Endenergieverbrauch - Industriesektor - Nichtmetallische mineralische Rohstoffe - energetischer Verbrauch"/>
    <s v="Elektrizität"/>
    <s v="Gigawattstunde"/>
    <x v="12"/>
    <x v="10"/>
    <n v="845"/>
  </r>
  <r>
    <x v="1"/>
    <s v="Endenergieverbrauch - Industriesektor - Nichtmetallische mineralische Rohstoffe - energetischer Verbrauch"/>
    <s v="Elektrizität"/>
    <s v="Gigawattstunde"/>
    <x v="13"/>
    <x v="10"/>
    <n v="886"/>
  </r>
  <r>
    <x v="1"/>
    <s v="Endenergieverbrauch - Industriesektor - Nichtmetallische mineralische Rohstoffe - energetischer Verbrauch"/>
    <s v="Elektrizität"/>
    <s v="Gigawattstunde"/>
    <x v="14"/>
    <x v="10"/>
    <n v="892"/>
  </r>
  <r>
    <x v="1"/>
    <s v="Endenergieverbrauch - Industriesektor - Nichtmetallische mineralische Rohstoffe - energetischer Verbrauch"/>
    <s v="Elektrizität"/>
    <s v="Gigawattstunde"/>
    <x v="15"/>
    <x v="10"/>
    <n v="934.13900000000001"/>
  </r>
  <r>
    <x v="1"/>
    <s v="Endenergieverbrauch - Industriesektor - Nichtmetallische mineralische Rohstoffe - energetischer Verbrauch"/>
    <s v="Elektrizität"/>
    <s v="Gigawattstunde"/>
    <x v="16"/>
    <x v="10"/>
    <n v="944.58699999999999"/>
  </r>
  <r>
    <x v="2"/>
    <s v="Endenergieverbrauch - Industriesektor - Nichtmetallische mineralische Rohstoffe - energetischer Verbrauch"/>
    <s v="Elektrizität"/>
    <s v="Gigawattstunde"/>
    <x v="0"/>
    <x v="10"/>
    <n v="2162"/>
  </r>
  <r>
    <x v="2"/>
    <s v="Endenergieverbrauch - Industriesektor - Nichtmetallische mineralische Rohstoffe - energetischer Verbrauch"/>
    <s v="Elektrizität"/>
    <s v="Gigawattstunde"/>
    <x v="1"/>
    <x v="10"/>
    <n v="2381"/>
  </r>
  <r>
    <x v="2"/>
    <s v="Endenergieverbrauch - Industriesektor - Nichtmetallische mineralische Rohstoffe - energetischer Verbrauch"/>
    <s v="Elektrizität"/>
    <s v="Gigawattstunde"/>
    <x v="2"/>
    <x v="10"/>
    <n v="2432"/>
  </r>
  <r>
    <x v="2"/>
    <s v="Endenergieverbrauch - Industriesektor - Nichtmetallische mineralische Rohstoffe - energetischer Verbrauch"/>
    <s v="Elektrizität"/>
    <s v="Gigawattstunde"/>
    <x v="3"/>
    <x v="10"/>
    <n v="2537"/>
  </r>
  <r>
    <x v="2"/>
    <s v="Endenergieverbrauch - Industriesektor - Nichtmetallische mineralische Rohstoffe - energetischer Verbrauch"/>
    <s v="Elektrizität"/>
    <s v="Gigawattstunde"/>
    <x v="4"/>
    <x v="10"/>
    <n v="2489"/>
  </r>
  <r>
    <x v="2"/>
    <s v="Endenergieverbrauch - Industriesektor - Nichtmetallische mineralische Rohstoffe - energetischer Verbrauch"/>
    <s v="Elektrizität"/>
    <s v="Gigawattstunde"/>
    <x v="5"/>
    <x v="10"/>
    <n v="2701"/>
  </r>
  <r>
    <x v="2"/>
    <s v="Endenergieverbrauch - Industriesektor - Nichtmetallische mineralische Rohstoffe - energetischer Verbrauch"/>
    <s v="Elektrizität"/>
    <s v="Gigawattstunde"/>
    <x v="6"/>
    <x v="10"/>
    <n v="2655"/>
  </r>
  <r>
    <x v="2"/>
    <s v="Endenergieverbrauch - Industriesektor - Nichtmetallische mineralische Rohstoffe - energetischer Verbrauch"/>
    <s v="Elektrizität"/>
    <s v="Gigawattstunde"/>
    <x v="7"/>
    <x v="10"/>
    <n v="1996"/>
  </r>
  <r>
    <x v="2"/>
    <s v="Endenergieverbrauch - Industriesektor - Nichtmetallische mineralische Rohstoffe - energetischer Verbrauch"/>
    <s v="Elektrizität"/>
    <s v="Gigawattstunde"/>
    <x v="8"/>
    <x v="10"/>
    <n v="2115"/>
  </r>
  <r>
    <x v="2"/>
    <s v="Endenergieverbrauch - Industriesektor - Nichtmetallische mineralische Rohstoffe - energetischer Verbrauch"/>
    <s v="Elektrizität"/>
    <s v="Gigawattstunde"/>
    <x v="9"/>
    <x v="10"/>
    <n v="2234"/>
  </r>
  <r>
    <x v="2"/>
    <s v="Endenergieverbrauch - Industriesektor - Nichtmetallische mineralische Rohstoffe - energetischer Verbrauch"/>
    <s v="Elektrizität"/>
    <s v="Gigawattstunde"/>
    <x v="10"/>
    <x v="10"/>
    <n v="2197"/>
  </r>
  <r>
    <x v="2"/>
    <s v="Endenergieverbrauch - Industriesektor - Nichtmetallische mineralische Rohstoffe - energetischer Verbrauch"/>
    <s v="Elektrizität"/>
    <s v="Gigawattstunde"/>
    <x v="11"/>
    <x v="10"/>
    <n v="2008"/>
  </r>
  <r>
    <x v="2"/>
    <s v="Endenergieverbrauch - Industriesektor - Nichtmetallische mineralische Rohstoffe - energetischer Verbrauch"/>
    <s v="Elektrizität"/>
    <s v="Gigawattstunde"/>
    <x v="12"/>
    <x v="10"/>
    <n v="2188"/>
  </r>
  <r>
    <x v="2"/>
    <s v="Endenergieverbrauch - Industriesektor - Nichtmetallische mineralische Rohstoffe - energetischer Verbrauch"/>
    <s v="Elektrizität"/>
    <s v="Gigawattstunde"/>
    <x v="13"/>
    <x v="10"/>
    <n v="2279"/>
  </r>
  <r>
    <x v="2"/>
    <s v="Endenergieverbrauch - Industriesektor - Nichtmetallische mineralische Rohstoffe - energetischer Verbrauch"/>
    <s v="Elektrizität"/>
    <s v="Gigawattstunde"/>
    <x v="14"/>
    <x v="10"/>
    <n v="2382"/>
  </r>
  <r>
    <x v="2"/>
    <s v="Endenergieverbrauch - Industriesektor - Nichtmetallische mineralische Rohstoffe - energetischer Verbrauch"/>
    <s v="Elektrizität"/>
    <s v="Gigawattstunde"/>
    <x v="15"/>
    <x v="10"/>
    <n v="2431.2089999999998"/>
  </r>
  <r>
    <x v="2"/>
    <s v="Endenergieverbrauch - Industriesektor - Nichtmetallische mineralische Rohstoffe - energetischer Verbrauch"/>
    <s v="Elektrizität"/>
    <s v="Gigawattstunde"/>
    <x v="16"/>
    <x v="10"/>
    <n v="2474.0619999999999"/>
  </r>
  <r>
    <x v="3"/>
    <s v="Endenergieverbrauch - Industriesektor - Nichtmetallische mineralische Rohstoffe - energetischer Verbrauch"/>
    <s v="Elektrizität"/>
    <s v="Gigawattstunde"/>
    <x v="0"/>
    <x v="10"/>
    <n v="881"/>
  </r>
  <r>
    <x v="3"/>
    <s v="Endenergieverbrauch - Industriesektor - Nichtmetallische mineralische Rohstoffe - energetischer Verbrauch"/>
    <s v="Elektrizität"/>
    <s v="Gigawattstunde"/>
    <x v="1"/>
    <x v="10"/>
    <n v="870"/>
  </r>
  <r>
    <x v="3"/>
    <s v="Endenergieverbrauch - Industriesektor - Nichtmetallische mineralische Rohstoffe - energetischer Verbrauch"/>
    <s v="Elektrizität"/>
    <s v="Gigawattstunde"/>
    <x v="2"/>
    <x v="10"/>
    <n v="904"/>
  </r>
  <r>
    <x v="3"/>
    <s v="Endenergieverbrauch - Industriesektor - Nichtmetallische mineralische Rohstoffe - energetischer Verbrauch"/>
    <s v="Elektrizität"/>
    <s v="Gigawattstunde"/>
    <x v="3"/>
    <x v="10"/>
    <n v="946"/>
  </r>
  <r>
    <x v="3"/>
    <s v="Endenergieverbrauch - Industriesektor - Nichtmetallische mineralische Rohstoffe - energetischer Verbrauch"/>
    <s v="Elektrizität"/>
    <s v="Gigawattstunde"/>
    <x v="4"/>
    <x v="10"/>
    <n v="963"/>
  </r>
  <r>
    <x v="3"/>
    <s v="Endenergieverbrauch - Industriesektor - Nichtmetallische mineralische Rohstoffe - energetischer Verbrauch"/>
    <s v="Elektrizität"/>
    <s v="Gigawattstunde"/>
    <x v="5"/>
    <x v="10"/>
    <n v="974"/>
  </r>
  <r>
    <x v="3"/>
    <s v="Endenergieverbrauch - Industriesektor - Nichtmetallische mineralische Rohstoffe - energetischer Verbrauch"/>
    <s v="Elektrizität"/>
    <s v="Gigawattstunde"/>
    <x v="6"/>
    <x v="10"/>
    <n v="806"/>
  </r>
  <r>
    <x v="3"/>
    <s v="Endenergieverbrauch - Industriesektor - Nichtmetallische mineralische Rohstoffe - energetischer Verbrauch"/>
    <s v="Elektrizität"/>
    <s v="Gigawattstunde"/>
    <x v="7"/>
    <x v="10"/>
    <n v="664"/>
  </r>
  <r>
    <x v="3"/>
    <s v="Endenergieverbrauch - Industriesektor - Nichtmetallische mineralische Rohstoffe - energetischer Verbrauch"/>
    <s v="Elektrizität"/>
    <s v="Gigawattstunde"/>
    <x v="8"/>
    <x v="10"/>
    <n v="659"/>
  </r>
  <r>
    <x v="3"/>
    <s v="Endenergieverbrauch - Industriesektor - Nichtmetallische mineralische Rohstoffe - energetischer Verbrauch"/>
    <s v="Elektrizität"/>
    <s v="Gigawattstunde"/>
    <x v="9"/>
    <x v="10"/>
    <n v="688"/>
  </r>
  <r>
    <x v="3"/>
    <s v="Endenergieverbrauch - Industriesektor - Nichtmetallische mineralische Rohstoffe - energetischer Verbrauch"/>
    <s v="Elektrizität"/>
    <s v="Gigawattstunde"/>
    <x v="10"/>
    <x v="10"/>
    <n v="758"/>
  </r>
  <r>
    <x v="3"/>
    <s v="Endenergieverbrauch - Industriesektor - Nichtmetallische mineralische Rohstoffe - energetischer Verbrauch"/>
    <s v="Elektrizität"/>
    <s v="Gigawattstunde"/>
    <x v="11"/>
    <x v="10"/>
    <n v="736"/>
  </r>
  <r>
    <x v="3"/>
    <s v="Endenergieverbrauch - Industriesektor - Nichtmetallische mineralische Rohstoffe - energetischer Verbrauch"/>
    <s v="Elektrizität"/>
    <s v="Gigawattstunde"/>
    <x v="12"/>
    <x v="10"/>
    <n v="731"/>
  </r>
  <r>
    <x v="3"/>
    <s v="Endenergieverbrauch - Industriesektor - Nichtmetallische mineralische Rohstoffe - energetischer Verbrauch"/>
    <s v="Elektrizität"/>
    <s v="Gigawattstunde"/>
    <x v="13"/>
    <x v="10"/>
    <n v="744.21699999999998"/>
  </r>
  <r>
    <x v="3"/>
    <s v="Endenergieverbrauch - Industriesektor - Nichtmetallische mineralische Rohstoffe - energetischer Verbrauch"/>
    <s v="Elektrizität"/>
    <s v="Gigawattstunde"/>
    <x v="14"/>
    <x v="10"/>
    <n v="789.24099999999999"/>
  </r>
  <r>
    <x v="3"/>
    <s v="Endenergieverbrauch - Industriesektor - Nichtmetallische mineralische Rohstoffe - energetischer Verbrauch"/>
    <s v="Elektrizität"/>
    <s v="Gigawattstunde"/>
    <x v="15"/>
    <x v="10"/>
    <n v="801.35"/>
  </r>
  <r>
    <x v="3"/>
    <s v="Endenergieverbrauch - Industriesektor - Nichtmetallische mineralische Rohstoffe - energetischer Verbrauch"/>
    <s v="Elektrizität"/>
    <s v="Gigawattstunde"/>
    <x v="16"/>
    <x v="10"/>
    <n v="800.572"/>
  </r>
  <r>
    <x v="4"/>
    <s v="Endenergieverbrauch - Industriesektor - Nichtmetallische mineralische Rohstoffe - energetischer Verbrauch"/>
    <s v="Elektrizität"/>
    <s v="Gigawattstunde"/>
    <x v="0"/>
    <x v="10"/>
    <n v="15087"/>
  </r>
  <r>
    <x v="4"/>
    <s v="Endenergieverbrauch - Industriesektor - Nichtmetallische mineralische Rohstoffe - energetischer Verbrauch"/>
    <s v="Elektrizität"/>
    <s v="Gigawattstunde"/>
    <x v="1"/>
    <x v="10"/>
    <n v="12515"/>
  </r>
  <r>
    <x v="4"/>
    <s v="Endenergieverbrauch - Industriesektor - Nichtmetallische mineralische Rohstoffe - energetischer Verbrauch"/>
    <s v="Elektrizität"/>
    <s v="Gigawattstunde"/>
    <x v="2"/>
    <x v="10"/>
    <n v="12743"/>
  </r>
  <r>
    <x v="4"/>
    <s v="Endenergieverbrauch - Industriesektor - Nichtmetallische mineralische Rohstoffe - energetischer Verbrauch"/>
    <s v="Elektrizität"/>
    <s v="Gigawattstunde"/>
    <x v="3"/>
    <x v="10"/>
    <n v="12459"/>
  </r>
  <r>
    <x v="4"/>
    <s v="Endenergieverbrauch - Industriesektor - Nichtmetallische mineralische Rohstoffe - energetischer Verbrauch"/>
    <s v="Elektrizität"/>
    <s v="Gigawattstunde"/>
    <x v="4"/>
    <x v="10"/>
    <n v="12791"/>
  </r>
  <r>
    <x v="4"/>
    <s v="Endenergieverbrauch - Industriesektor - Nichtmetallische mineralische Rohstoffe - energetischer Verbrauch"/>
    <s v="Elektrizität"/>
    <s v="Gigawattstunde"/>
    <x v="5"/>
    <x v="10"/>
    <n v="14168"/>
  </r>
  <r>
    <x v="4"/>
    <s v="Endenergieverbrauch - Industriesektor - Nichtmetallische mineralische Rohstoffe - energetischer Verbrauch"/>
    <s v="Elektrizität"/>
    <s v="Gigawattstunde"/>
    <x v="6"/>
    <x v="10"/>
    <n v="12803"/>
  </r>
  <r>
    <x v="4"/>
    <s v="Endenergieverbrauch - Industriesektor - Nichtmetallische mineralische Rohstoffe - energetischer Verbrauch"/>
    <s v="Elektrizität"/>
    <s v="Gigawattstunde"/>
    <x v="7"/>
    <x v="10"/>
    <n v="11628"/>
  </r>
  <r>
    <x v="4"/>
    <s v="Endenergieverbrauch - Industriesektor - Nichtmetallische mineralische Rohstoffe - energetischer Verbrauch"/>
    <s v="Elektrizität"/>
    <s v="Gigawattstunde"/>
    <x v="8"/>
    <x v="10"/>
    <n v="12234"/>
  </r>
  <r>
    <x v="4"/>
    <s v="Endenergieverbrauch - Industriesektor - Nichtmetallische mineralische Rohstoffe - energetischer Verbrauch"/>
    <s v="Elektrizität"/>
    <s v="Gigawattstunde"/>
    <x v="9"/>
    <x v="10"/>
    <n v="12918"/>
  </r>
  <r>
    <x v="4"/>
    <s v="Endenergieverbrauch - Industriesektor - Nichtmetallische mineralische Rohstoffe - energetischer Verbrauch"/>
    <s v="Elektrizität"/>
    <s v="Gigawattstunde"/>
    <x v="10"/>
    <x v="10"/>
    <n v="12275"/>
  </r>
  <r>
    <x v="4"/>
    <s v="Endenergieverbrauch - Industriesektor - Nichtmetallische mineralische Rohstoffe - energetischer Verbrauch"/>
    <s v="Elektrizität"/>
    <s v="Gigawattstunde"/>
    <x v="11"/>
    <x v="10"/>
    <n v="12230"/>
  </r>
  <r>
    <x v="4"/>
    <s v="Endenergieverbrauch - Industriesektor - Nichtmetallische mineralische Rohstoffe - energetischer Verbrauch"/>
    <s v="Elektrizität"/>
    <s v="Gigawattstunde"/>
    <x v="12"/>
    <x v="10"/>
    <n v="12120"/>
  </r>
  <r>
    <x v="4"/>
    <s v="Endenergieverbrauch - Industriesektor - Nichtmetallische mineralische Rohstoffe - energetischer Verbrauch"/>
    <s v="Elektrizität"/>
    <s v="Gigawattstunde"/>
    <x v="13"/>
    <x v="10"/>
    <n v="12296"/>
  </r>
  <r>
    <x v="4"/>
    <s v="Endenergieverbrauch - Industriesektor - Nichtmetallische mineralische Rohstoffe - energetischer Verbrauch"/>
    <s v="Elektrizität"/>
    <s v="Gigawattstunde"/>
    <x v="14"/>
    <x v="10"/>
    <n v="12318"/>
  </r>
  <r>
    <x v="4"/>
    <s v="Endenergieverbrauch - Industriesektor - Nichtmetallische mineralische Rohstoffe - energetischer Verbrauch"/>
    <s v="Elektrizität"/>
    <s v="Gigawattstunde"/>
    <x v="15"/>
    <x v="10"/>
    <n v="12751"/>
  </r>
  <r>
    <x v="4"/>
    <s v="Endenergieverbrauch - Industriesektor - Nichtmetallische mineralische Rohstoffe - energetischer Verbrauch"/>
    <s v="Elektrizität"/>
    <s v="Gigawattstunde"/>
    <x v="16"/>
    <x v="10"/>
    <n v="12701"/>
  </r>
  <r>
    <x v="5"/>
    <s v="Endenergieverbrauch - Industriesektor - Nichtmetallische mineralische Rohstoffe - energetischer Verbrauch"/>
    <s v="Elektrizität"/>
    <s v="Gigawattstunde"/>
    <x v="0"/>
    <x v="10"/>
    <n v="172"/>
  </r>
  <r>
    <x v="5"/>
    <s v="Endenergieverbrauch - Industriesektor - Nichtmetallische mineralische Rohstoffe - energetischer Verbrauch"/>
    <s v="Elektrizität"/>
    <s v="Gigawattstunde"/>
    <x v="1"/>
    <x v="10"/>
    <n v="194"/>
  </r>
  <r>
    <x v="5"/>
    <s v="Endenergieverbrauch - Industriesektor - Nichtmetallische mineralische Rohstoffe - energetischer Verbrauch"/>
    <s v="Elektrizität"/>
    <s v="Gigawattstunde"/>
    <x v="2"/>
    <x v="10"/>
    <n v="200"/>
  </r>
  <r>
    <x v="5"/>
    <s v="Endenergieverbrauch - Industriesektor - Nichtmetallische mineralische Rohstoffe - energetischer Verbrauch"/>
    <s v="Elektrizität"/>
    <s v="Gigawattstunde"/>
    <x v="3"/>
    <x v="10"/>
    <n v="205"/>
  </r>
  <r>
    <x v="5"/>
    <s v="Endenergieverbrauch - Industriesektor - Nichtmetallische mineralische Rohstoffe - energetischer Verbrauch"/>
    <s v="Elektrizität"/>
    <s v="Gigawattstunde"/>
    <x v="4"/>
    <x v="10"/>
    <n v="218"/>
  </r>
  <r>
    <x v="5"/>
    <s v="Endenergieverbrauch - Industriesektor - Nichtmetallische mineralische Rohstoffe - energetischer Verbrauch"/>
    <s v="Elektrizität"/>
    <s v="Gigawattstunde"/>
    <x v="5"/>
    <x v="10"/>
    <n v="262"/>
  </r>
  <r>
    <x v="5"/>
    <s v="Endenergieverbrauch - Industriesektor - Nichtmetallische mineralische Rohstoffe - energetischer Verbrauch"/>
    <s v="Elektrizität"/>
    <s v="Gigawattstunde"/>
    <x v="6"/>
    <x v="10"/>
    <n v="245"/>
  </r>
  <r>
    <x v="5"/>
    <s v="Endenergieverbrauch - Industriesektor - Nichtmetallische mineralische Rohstoffe - energetischer Verbrauch"/>
    <s v="Elektrizität"/>
    <s v="Gigawattstunde"/>
    <x v="7"/>
    <x v="10"/>
    <n v="205"/>
  </r>
  <r>
    <x v="5"/>
    <s v="Endenergieverbrauch - Industriesektor - Nichtmetallische mineralische Rohstoffe - energetischer Verbrauch"/>
    <s v="Elektrizität"/>
    <s v="Gigawattstunde"/>
    <x v="8"/>
    <x v="10"/>
    <n v="210"/>
  </r>
  <r>
    <x v="5"/>
    <s v="Endenergieverbrauch - Industriesektor - Nichtmetallische mineralische Rohstoffe - energetischer Verbrauch"/>
    <s v="Elektrizität"/>
    <s v="Gigawattstunde"/>
    <x v="9"/>
    <x v="10"/>
    <n v="202"/>
  </r>
  <r>
    <x v="5"/>
    <s v="Endenergieverbrauch - Industriesektor - Nichtmetallische mineralische Rohstoffe - energetischer Verbrauch"/>
    <s v="Elektrizität"/>
    <s v="Gigawattstunde"/>
    <x v="10"/>
    <x v="10"/>
    <n v="206"/>
  </r>
  <r>
    <x v="5"/>
    <s v="Endenergieverbrauch - Industriesektor - Nichtmetallische mineralische Rohstoffe - energetischer Verbrauch"/>
    <s v="Elektrizität"/>
    <s v="Gigawattstunde"/>
    <x v="11"/>
    <x v="10"/>
    <n v="194"/>
  </r>
  <r>
    <x v="5"/>
    <s v="Endenergieverbrauch - Industriesektor - Nichtmetallische mineralische Rohstoffe - energetischer Verbrauch"/>
    <s v="Elektrizität"/>
    <s v="Gigawattstunde"/>
    <x v="12"/>
    <x v="10"/>
    <n v="209"/>
  </r>
  <r>
    <x v="5"/>
    <s v="Endenergieverbrauch - Industriesektor - Nichtmetallische mineralische Rohstoffe - energetischer Verbrauch"/>
    <s v="Elektrizität"/>
    <s v="Gigawattstunde"/>
    <x v="13"/>
    <x v="10"/>
    <n v="159"/>
  </r>
  <r>
    <x v="5"/>
    <s v="Endenergieverbrauch - Industriesektor - Nichtmetallische mineralische Rohstoffe - energetischer Verbrauch"/>
    <s v="Elektrizität"/>
    <s v="Gigawattstunde"/>
    <x v="14"/>
    <x v="10"/>
    <n v="161"/>
  </r>
  <r>
    <x v="5"/>
    <s v="Endenergieverbrauch - Industriesektor - Nichtmetallische mineralische Rohstoffe - energetischer Verbrauch"/>
    <s v="Elektrizität"/>
    <s v="Gigawattstunde"/>
    <x v="15"/>
    <x v="10"/>
    <n v="150"/>
  </r>
  <r>
    <x v="5"/>
    <s v="Endenergieverbrauch - Industriesektor - Nichtmetallische mineralische Rohstoffe - energetischer Verbrauch"/>
    <s v="Elektrizität"/>
    <s v="Gigawattstunde"/>
    <x v="16"/>
    <x v="10"/>
    <n v="194"/>
  </r>
  <r>
    <x v="6"/>
    <s v="Endenergieverbrauch - Industriesektor - Nichtmetallische mineralische Rohstoffe - energetischer Verbrauch"/>
    <s v="Elektrizität"/>
    <s v="Gigawattstunde"/>
    <x v="0"/>
    <x v="10"/>
    <n v="581.62599999999998"/>
  </r>
  <r>
    <x v="6"/>
    <s v="Endenergieverbrauch - Industriesektor - Nichtmetallische mineralische Rohstoffe - energetischer Verbrauch"/>
    <s v="Elektrizität"/>
    <s v="Gigawattstunde"/>
    <x v="1"/>
    <x v="10"/>
    <n v="541.57500000000005"/>
  </r>
  <r>
    <x v="6"/>
    <s v="Endenergieverbrauch - Industriesektor - Nichtmetallische mineralische Rohstoffe - energetischer Verbrauch"/>
    <s v="Elektrizität"/>
    <s v="Gigawattstunde"/>
    <x v="2"/>
    <x v="10"/>
    <n v="512.54200000000003"/>
  </r>
  <r>
    <x v="6"/>
    <s v="Endenergieverbrauch - Industriesektor - Nichtmetallische mineralische Rohstoffe - energetischer Verbrauch"/>
    <s v="Elektrizität"/>
    <s v="Gigawattstunde"/>
    <x v="3"/>
    <x v="10"/>
    <n v="571.20500000000004"/>
  </r>
  <r>
    <x v="6"/>
    <s v="Endenergieverbrauch - Industriesektor - Nichtmetallische mineralische Rohstoffe - energetischer Verbrauch"/>
    <s v="Elektrizität"/>
    <s v="Gigawattstunde"/>
    <x v="4"/>
    <x v="10"/>
    <n v="957.37400000000002"/>
  </r>
  <r>
    <x v="6"/>
    <s v="Endenergieverbrauch - Industriesektor - Nichtmetallische mineralische Rohstoffe - energetischer Verbrauch"/>
    <s v="Elektrizität"/>
    <s v="Gigawattstunde"/>
    <x v="5"/>
    <x v="10"/>
    <n v="946.42"/>
  </r>
  <r>
    <x v="6"/>
    <s v="Endenergieverbrauch - Industriesektor - Nichtmetallische mineralische Rohstoffe - energetischer Verbrauch"/>
    <s v="Elektrizität"/>
    <s v="Gigawattstunde"/>
    <x v="6"/>
    <x v="10"/>
    <n v="818.74400000000003"/>
  </r>
  <r>
    <x v="6"/>
    <s v="Endenergieverbrauch - Industriesektor - Nichtmetallische mineralische Rohstoffe - energetischer Verbrauch"/>
    <s v="Elektrizität"/>
    <s v="Gigawattstunde"/>
    <x v="7"/>
    <x v="10"/>
    <n v="895.61400000000003"/>
  </r>
  <r>
    <x v="6"/>
    <s v="Endenergieverbrauch - Industriesektor - Nichtmetallische mineralische Rohstoffe - energetischer Verbrauch"/>
    <s v="Elektrizität"/>
    <s v="Gigawattstunde"/>
    <x v="8"/>
    <x v="10"/>
    <n v="578.85199999999998"/>
  </r>
  <r>
    <x v="6"/>
    <s v="Endenergieverbrauch - Industriesektor - Nichtmetallische mineralische Rohstoffe - energetischer Verbrauch"/>
    <s v="Elektrizität"/>
    <s v="Gigawattstunde"/>
    <x v="9"/>
    <x v="10"/>
    <n v="604.30799999999999"/>
  </r>
  <r>
    <x v="6"/>
    <s v="Endenergieverbrauch - Industriesektor - Nichtmetallische mineralische Rohstoffe - energetischer Verbrauch"/>
    <s v="Elektrizität"/>
    <s v="Gigawattstunde"/>
    <x v="10"/>
    <x v="10"/>
    <n v="581.63"/>
  </r>
  <r>
    <x v="6"/>
    <s v="Endenergieverbrauch - Industriesektor - Nichtmetallische mineralische Rohstoffe - energetischer Verbrauch"/>
    <s v="Elektrizität"/>
    <s v="Gigawattstunde"/>
    <x v="11"/>
    <x v="10"/>
    <n v="590.65"/>
  </r>
  <r>
    <x v="6"/>
    <s v="Endenergieverbrauch - Industriesektor - Nichtmetallische mineralische Rohstoffe - energetischer Verbrauch"/>
    <s v="Elektrizität"/>
    <s v="Gigawattstunde"/>
    <x v="12"/>
    <x v="10"/>
    <n v="597.70399999999995"/>
  </r>
  <r>
    <x v="6"/>
    <s v="Endenergieverbrauch - Industriesektor - Nichtmetallische mineralische Rohstoffe - energetischer Verbrauch"/>
    <s v="Elektrizität"/>
    <s v="Gigawattstunde"/>
    <x v="13"/>
    <x v="10"/>
    <n v="626.05899999999997"/>
  </r>
  <r>
    <x v="6"/>
    <s v="Endenergieverbrauch - Industriesektor - Nichtmetallische mineralische Rohstoffe - energetischer Verbrauch"/>
    <s v="Elektrizität"/>
    <s v="Gigawattstunde"/>
    <x v="14"/>
    <x v="10"/>
    <n v="646.43200000000002"/>
  </r>
  <r>
    <x v="6"/>
    <s v="Endenergieverbrauch - Industriesektor - Nichtmetallische mineralische Rohstoffe - energetischer Verbrauch"/>
    <s v="Elektrizität"/>
    <s v="Gigawattstunde"/>
    <x v="15"/>
    <x v="10"/>
    <n v="653.62199999999996"/>
  </r>
  <r>
    <x v="6"/>
    <s v="Endenergieverbrauch - Industriesektor - Nichtmetallische mineralische Rohstoffe - energetischer Verbrauch"/>
    <s v="Elektrizität"/>
    <s v="Gigawattstunde"/>
    <x v="16"/>
    <x v="10"/>
    <n v="695.60199999999998"/>
  </r>
  <r>
    <x v="7"/>
    <s v="Endenergieverbrauch - Industriesektor - Nichtmetallische mineralische Rohstoffe - energetischer Verbrauch"/>
    <s v="Elektrizität"/>
    <s v="Gigawattstunde"/>
    <x v="0"/>
    <x v="10"/>
    <n v="2049"/>
  </r>
  <r>
    <x v="7"/>
    <s v="Endenergieverbrauch - Industriesektor - Nichtmetallische mineralische Rohstoffe - energetischer Verbrauch"/>
    <s v="Elektrizität"/>
    <s v="Gigawattstunde"/>
    <x v="1"/>
    <x v="10"/>
    <n v="2072"/>
  </r>
  <r>
    <x v="7"/>
    <s v="Endenergieverbrauch - Industriesektor - Nichtmetallische mineralische Rohstoffe - energetischer Verbrauch"/>
    <s v="Elektrizität"/>
    <s v="Gigawattstunde"/>
    <x v="2"/>
    <x v="10"/>
    <n v="2240"/>
  </r>
  <r>
    <x v="7"/>
    <s v="Endenergieverbrauch - Industriesektor - Nichtmetallische mineralische Rohstoffe - energetischer Verbrauch"/>
    <s v="Elektrizität"/>
    <s v="Gigawattstunde"/>
    <x v="3"/>
    <x v="10"/>
    <n v="2407"/>
  </r>
  <r>
    <x v="7"/>
    <s v="Endenergieverbrauch - Industriesektor - Nichtmetallische mineralische Rohstoffe - energetischer Verbrauch"/>
    <s v="Elektrizität"/>
    <s v="Gigawattstunde"/>
    <x v="4"/>
    <x v="10"/>
    <n v="2311"/>
  </r>
  <r>
    <x v="7"/>
    <s v="Endenergieverbrauch - Industriesektor - Nichtmetallische mineralische Rohstoffe - energetischer Verbrauch"/>
    <s v="Elektrizität"/>
    <s v="Gigawattstunde"/>
    <x v="5"/>
    <x v="10"/>
    <n v="2582"/>
  </r>
  <r>
    <x v="7"/>
    <s v="Endenergieverbrauch - Industriesektor - Nichtmetallische mineralische Rohstoffe - energetischer Verbrauch"/>
    <s v="Elektrizität"/>
    <s v="Gigawattstunde"/>
    <x v="6"/>
    <x v="10"/>
    <n v="2245"/>
  </r>
  <r>
    <x v="7"/>
    <s v="Endenergieverbrauch - Industriesektor - Nichtmetallische mineralische Rohstoffe - energetischer Verbrauch"/>
    <s v="Elektrizität"/>
    <s v="Gigawattstunde"/>
    <x v="7"/>
    <x v="10"/>
    <n v="1784"/>
  </r>
  <r>
    <x v="7"/>
    <s v="Endenergieverbrauch - Industriesektor - Nichtmetallische mineralische Rohstoffe - energetischer Verbrauch"/>
    <s v="Elektrizität"/>
    <s v="Gigawattstunde"/>
    <x v="8"/>
    <x v="10"/>
    <n v="1712"/>
  </r>
  <r>
    <x v="7"/>
    <s v="Endenergieverbrauch - Industriesektor - Nichtmetallische mineralische Rohstoffe - energetischer Verbrauch"/>
    <s v="Elektrizität"/>
    <s v="Gigawattstunde"/>
    <x v="9"/>
    <x v="10"/>
    <n v="1066"/>
  </r>
  <r>
    <x v="7"/>
    <s v="Endenergieverbrauch - Industriesektor - Nichtmetallische mineralische Rohstoffe - energetischer Verbrauch"/>
    <s v="Elektrizität"/>
    <s v="Gigawattstunde"/>
    <x v="10"/>
    <x v="10"/>
    <n v="952"/>
  </r>
  <r>
    <x v="7"/>
    <s v="Endenergieverbrauch - Industriesektor - Nichtmetallische mineralische Rohstoffe - energetischer Verbrauch"/>
    <s v="Elektrizität"/>
    <s v="Gigawattstunde"/>
    <x v="11"/>
    <x v="10"/>
    <n v="1091"/>
  </r>
  <r>
    <x v="7"/>
    <s v="Endenergieverbrauch - Industriesektor - Nichtmetallische mineralische Rohstoffe - energetischer Verbrauch"/>
    <s v="Elektrizität"/>
    <s v="Gigawattstunde"/>
    <x v="12"/>
    <x v="10"/>
    <n v="1098"/>
  </r>
  <r>
    <x v="7"/>
    <s v="Endenergieverbrauch - Industriesektor - Nichtmetallische mineralische Rohstoffe - energetischer Verbrauch"/>
    <s v="Elektrizität"/>
    <s v="Gigawattstunde"/>
    <x v="13"/>
    <x v="10"/>
    <n v="992"/>
  </r>
  <r>
    <x v="7"/>
    <s v="Endenergieverbrauch - Industriesektor - Nichtmetallische mineralische Rohstoffe - energetischer Verbrauch"/>
    <s v="Elektrizität"/>
    <s v="Gigawattstunde"/>
    <x v="14"/>
    <x v="10"/>
    <n v="898"/>
  </r>
  <r>
    <x v="7"/>
    <s v="Endenergieverbrauch - Industriesektor - Nichtmetallische mineralische Rohstoffe - energetischer Verbrauch"/>
    <s v="Elektrizität"/>
    <s v="Gigawattstunde"/>
    <x v="15"/>
    <x v="10"/>
    <n v="1011.638"/>
  </r>
  <r>
    <x v="7"/>
    <s v="Endenergieverbrauch - Industriesektor - Nichtmetallische mineralische Rohstoffe - energetischer Verbrauch"/>
    <s v="Elektrizität"/>
    <s v="Gigawattstunde"/>
    <x v="16"/>
    <x v="10"/>
    <n v="1163.05"/>
  </r>
  <r>
    <x v="8"/>
    <s v="Endenergieverbrauch - Industriesektor - Nichtmetallische mineralische Rohstoffe - energetischer Verbrauch"/>
    <s v="Elektrizität"/>
    <s v="Gigawattstunde"/>
    <x v="0"/>
    <x v="10"/>
    <n v="11026"/>
  </r>
  <r>
    <x v="8"/>
    <s v="Endenergieverbrauch - Industriesektor - Nichtmetallische mineralische Rohstoffe - energetischer Verbrauch"/>
    <s v="Elektrizität"/>
    <s v="Gigawattstunde"/>
    <x v="1"/>
    <x v="10"/>
    <n v="12059"/>
  </r>
  <r>
    <x v="8"/>
    <s v="Endenergieverbrauch - Industriesektor - Nichtmetallische mineralische Rohstoffe - energetischer Verbrauch"/>
    <s v="Elektrizität"/>
    <s v="Gigawattstunde"/>
    <x v="2"/>
    <x v="10"/>
    <n v="12256"/>
  </r>
  <r>
    <x v="8"/>
    <s v="Endenergieverbrauch - Industriesektor - Nichtmetallische mineralische Rohstoffe - energetischer Verbrauch"/>
    <s v="Elektrizität"/>
    <s v="Gigawattstunde"/>
    <x v="3"/>
    <x v="10"/>
    <n v="13298"/>
  </r>
  <r>
    <x v="8"/>
    <s v="Endenergieverbrauch - Industriesektor - Nichtmetallische mineralische Rohstoffe - energetischer Verbrauch"/>
    <s v="Elektrizität"/>
    <s v="Gigawattstunde"/>
    <x v="4"/>
    <x v="10"/>
    <n v="11602"/>
  </r>
  <r>
    <x v="8"/>
    <s v="Endenergieverbrauch - Industriesektor - Nichtmetallische mineralische Rohstoffe - energetischer Verbrauch"/>
    <s v="Elektrizität"/>
    <s v="Gigawattstunde"/>
    <x v="5"/>
    <x v="10"/>
    <n v="12029"/>
  </r>
  <r>
    <x v="8"/>
    <s v="Endenergieverbrauch - Industriesektor - Nichtmetallische mineralische Rohstoffe - energetischer Verbrauch"/>
    <s v="Elektrizität"/>
    <s v="Gigawattstunde"/>
    <x v="6"/>
    <x v="10"/>
    <n v="10581"/>
  </r>
  <r>
    <x v="8"/>
    <s v="Endenergieverbrauch - Industriesektor - Nichtmetallische mineralische Rohstoffe - energetischer Verbrauch"/>
    <s v="Elektrizität"/>
    <s v="Gigawattstunde"/>
    <x v="7"/>
    <x v="10"/>
    <n v="7836"/>
  </r>
  <r>
    <x v="8"/>
    <s v="Endenergieverbrauch - Industriesektor - Nichtmetallische mineralische Rohstoffe - energetischer Verbrauch"/>
    <s v="Elektrizität"/>
    <s v="Gigawattstunde"/>
    <x v="8"/>
    <x v="10"/>
    <n v="7699"/>
  </r>
  <r>
    <x v="8"/>
    <s v="Endenergieverbrauch - Industriesektor - Nichtmetallische mineralische Rohstoffe - energetischer Verbrauch"/>
    <s v="Elektrizität"/>
    <s v="Gigawattstunde"/>
    <x v="9"/>
    <x v="10"/>
    <n v="6539"/>
  </r>
  <r>
    <x v="8"/>
    <s v="Endenergieverbrauch - Industriesektor - Nichtmetallische mineralische Rohstoffe - energetischer Verbrauch"/>
    <s v="Elektrizität"/>
    <s v="Gigawattstunde"/>
    <x v="10"/>
    <x v="10"/>
    <n v="6451"/>
  </r>
  <r>
    <x v="8"/>
    <s v="Endenergieverbrauch - Industriesektor - Nichtmetallische mineralische Rohstoffe - energetischer Verbrauch"/>
    <s v="Elektrizität"/>
    <s v="Gigawattstunde"/>
    <x v="11"/>
    <x v="10"/>
    <n v="5494"/>
  </r>
  <r>
    <x v="8"/>
    <s v="Endenergieverbrauch - Industriesektor - Nichtmetallische mineralische Rohstoffe - energetischer Verbrauch"/>
    <s v="Elektrizität"/>
    <s v="Gigawattstunde"/>
    <x v="12"/>
    <x v="10"/>
    <n v="5608"/>
  </r>
  <r>
    <x v="8"/>
    <s v="Endenergieverbrauch - Industriesektor - Nichtmetallische mineralische Rohstoffe - energetischer Verbrauch"/>
    <s v="Elektrizität"/>
    <s v="Gigawattstunde"/>
    <x v="13"/>
    <x v="10"/>
    <n v="5893"/>
  </r>
  <r>
    <x v="8"/>
    <s v="Endenergieverbrauch - Industriesektor - Nichtmetallische mineralische Rohstoffe - energetischer Verbrauch"/>
    <s v="Elektrizität"/>
    <s v="Gigawattstunde"/>
    <x v="14"/>
    <x v="10"/>
    <n v="5924"/>
  </r>
  <r>
    <x v="8"/>
    <s v="Endenergieverbrauch - Industriesektor - Nichtmetallische mineralische Rohstoffe - energetischer Verbrauch"/>
    <s v="Elektrizität"/>
    <s v="Gigawattstunde"/>
    <x v="15"/>
    <x v="10"/>
    <n v="6245"/>
  </r>
  <r>
    <x v="8"/>
    <s v="Endenergieverbrauch - Industriesektor - Nichtmetallische mineralische Rohstoffe - energetischer Verbrauch"/>
    <s v="Elektrizität"/>
    <s v="Gigawattstunde"/>
    <x v="16"/>
    <x v="10"/>
    <n v="6290"/>
  </r>
  <r>
    <x v="9"/>
    <s v="Endenergieverbrauch - Industriesektor - Nichtmetallische mineralische Rohstoffe - energetischer Verbrauch"/>
    <s v="Elektrizität"/>
    <s v="Gigawattstunde"/>
    <x v="0"/>
    <x v="10"/>
    <n v="8550"/>
  </r>
  <r>
    <x v="9"/>
    <s v="Endenergieverbrauch - Industriesektor - Nichtmetallische mineralische Rohstoffe - energetischer Verbrauch"/>
    <s v="Elektrizität"/>
    <s v="Gigawattstunde"/>
    <x v="1"/>
    <x v="10"/>
    <n v="8582"/>
  </r>
  <r>
    <x v="9"/>
    <s v="Endenergieverbrauch - Industriesektor - Nichtmetallische mineralische Rohstoffe - energetischer Verbrauch"/>
    <s v="Elektrizität"/>
    <s v="Gigawattstunde"/>
    <x v="2"/>
    <x v="10"/>
    <n v="9013"/>
  </r>
  <r>
    <x v="9"/>
    <s v="Endenergieverbrauch - Industriesektor - Nichtmetallische mineralische Rohstoffe - energetischer Verbrauch"/>
    <s v="Elektrizität"/>
    <s v="Gigawattstunde"/>
    <x v="3"/>
    <x v="10"/>
    <n v="8832"/>
  </r>
  <r>
    <x v="9"/>
    <s v="Endenergieverbrauch - Industriesektor - Nichtmetallische mineralische Rohstoffe - energetischer Verbrauch"/>
    <s v="Elektrizität"/>
    <s v="Gigawattstunde"/>
    <x v="4"/>
    <x v="10"/>
    <n v="9005"/>
  </r>
  <r>
    <x v="9"/>
    <s v="Endenergieverbrauch - Industriesektor - Nichtmetallische mineralische Rohstoffe - energetischer Verbrauch"/>
    <s v="Elektrizität"/>
    <s v="Gigawattstunde"/>
    <x v="5"/>
    <x v="10"/>
    <n v="8918"/>
  </r>
  <r>
    <x v="9"/>
    <s v="Endenergieverbrauch - Industriesektor - Nichtmetallische mineralische Rohstoffe - energetischer Verbrauch"/>
    <s v="Elektrizität"/>
    <s v="Gigawattstunde"/>
    <x v="6"/>
    <x v="10"/>
    <n v="10010"/>
  </r>
  <r>
    <x v="9"/>
    <s v="Endenergieverbrauch - Industriesektor - Nichtmetallische mineralische Rohstoffe - energetischer Verbrauch"/>
    <s v="Elektrizität"/>
    <s v="Gigawattstunde"/>
    <x v="7"/>
    <x v="10"/>
    <n v="8664"/>
  </r>
  <r>
    <x v="9"/>
    <s v="Endenergieverbrauch - Industriesektor - Nichtmetallische mineralische Rohstoffe - energetischer Verbrauch"/>
    <s v="Elektrizität"/>
    <s v="Gigawattstunde"/>
    <x v="8"/>
    <x v="10"/>
    <n v="9174"/>
  </r>
  <r>
    <x v="9"/>
    <s v="Endenergieverbrauch - Industriesektor - Nichtmetallische mineralische Rohstoffe - energetischer Verbrauch"/>
    <s v="Elektrizität"/>
    <s v="Gigawattstunde"/>
    <x v="9"/>
    <x v="10"/>
    <n v="8659.8780000000006"/>
  </r>
  <r>
    <x v="9"/>
    <s v="Endenergieverbrauch - Industriesektor - Nichtmetallische mineralische Rohstoffe - energetischer Verbrauch"/>
    <s v="Elektrizität"/>
    <s v="Gigawattstunde"/>
    <x v="10"/>
    <x v="10"/>
    <n v="8480.2909999999993"/>
  </r>
  <r>
    <x v="9"/>
    <s v="Endenergieverbrauch - Industriesektor - Nichtmetallische mineralische Rohstoffe - energetischer Verbrauch"/>
    <s v="Elektrizität"/>
    <s v="Gigawattstunde"/>
    <x v="11"/>
    <x v="10"/>
    <n v="8341.3619999999992"/>
  </r>
  <r>
    <x v="9"/>
    <s v="Endenergieverbrauch - Industriesektor - Nichtmetallische mineralische Rohstoffe - energetischer Verbrauch"/>
    <s v="Elektrizität"/>
    <s v="Gigawattstunde"/>
    <x v="12"/>
    <x v="10"/>
    <n v="8122.6809999999996"/>
  </r>
  <r>
    <x v="9"/>
    <s v="Endenergieverbrauch - Industriesektor - Nichtmetallische mineralische Rohstoffe - energetischer Verbrauch"/>
    <s v="Elektrizität"/>
    <s v="Gigawattstunde"/>
    <x v="13"/>
    <x v="10"/>
    <n v="7949.47"/>
  </r>
  <r>
    <x v="9"/>
    <s v="Endenergieverbrauch - Industriesektor - Nichtmetallische mineralische Rohstoffe - energetischer Verbrauch"/>
    <s v="Elektrizität"/>
    <s v="Gigawattstunde"/>
    <x v="14"/>
    <x v="10"/>
    <n v="8174.7039999999997"/>
  </r>
  <r>
    <x v="9"/>
    <s v="Endenergieverbrauch - Industriesektor - Nichtmetallische mineralische Rohstoffe - energetischer Verbrauch"/>
    <s v="Elektrizität"/>
    <s v="Gigawattstunde"/>
    <x v="15"/>
    <x v="10"/>
    <n v="8228.7049999999999"/>
  </r>
  <r>
    <x v="9"/>
    <s v="Endenergieverbrauch - Industriesektor - Nichtmetallische mineralische Rohstoffe - energetischer Verbrauch"/>
    <s v="Elektrizität"/>
    <s v="Gigawattstunde"/>
    <x v="16"/>
    <x v="10"/>
    <n v="8249.7440000000006"/>
  </r>
  <r>
    <x v="10"/>
    <s v="Endenergieverbrauch - Industriesektor - Nichtmetallische mineralische Rohstoffe - energetischer Verbrauch"/>
    <s v="Elektrizität"/>
    <s v="Gigawattstunde"/>
    <x v="0"/>
    <x v="10"/>
    <n v="621"/>
  </r>
  <r>
    <x v="10"/>
    <s v="Endenergieverbrauch - Industriesektor - Nichtmetallische mineralische Rohstoffe - energetischer Verbrauch"/>
    <s v="Elektrizität"/>
    <s v="Gigawattstunde"/>
    <x v="1"/>
    <x v="10"/>
    <n v="698"/>
  </r>
  <r>
    <x v="10"/>
    <s v="Endenergieverbrauch - Industriesektor - Nichtmetallische mineralische Rohstoffe - energetischer Verbrauch"/>
    <s v="Elektrizität"/>
    <s v="Gigawattstunde"/>
    <x v="2"/>
    <x v="10"/>
    <n v="654"/>
  </r>
  <r>
    <x v="10"/>
    <s v="Endenergieverbrauch - Industriesektor - Nichtmetallische mineralische Rohstoffe - energetischer Verbrauch"/>
    <s v="Elektrizität"/>
    <s v="Gigawattstunde"/>
    <x v="3"/>
    <x v="10"/>
    <n v="685"/>
  </r>
  <r>
    <x v="10"/>
    <s v="Endenergieverbrauch - Industriesektor - Nichtmetallische mineralische Rohstoffe - energetischer Verbrauch"/>
    <s v="Elektrizität"/>
    <s v="Gigawattstunde"/>
    <x v="4"/>
    <x v="10"/>
    <n v="722"/>
  </r>
  <r>
    <x v="10"/>
    <s v="Endenergieverbrauch - Industriesektor - Nichtmetallische mineralische Rohstoffe - energetischer Verbrauch"/>
    <s v="Elektrizität"/>
    <s v="Gigawattstunde"/>
    <x v="5"/>
    <x v="10"/>
    <n v="733"/>
  </r>
  <r>
    <x v="10"/>
    <s v="Endenergieverbrauch - Industriesektor - Nichtmetallische mineralische Rohstoffe - energetischer Verbrauch"/>
    <s v="Elektrizität"/>
    <s v="Gigawattstunde"/>
    <x v="6"/>
    <x v="10"/>
    <n v="742"/>
  </r>
  <r>
    <x v="10"/>
    <s v="Endenergieverbrauch - Industriesektor - Nichtmetallische mineralische Rohstoffe - energetischer Verbrauch"/>
    <s v="Elektrizität"/>
    <s v="Gigawattstunde"/>
    <x v="7"/>
    <x v="10"/>
    <n v="622"/>
  </r>
  <r>
    <x v="10"/>
    <s v="Endenergieverbrauch - Industriesektor - Nichtmetallische mineralische Rohstoffe - energetischer Verbrauch"/>
    <s v="Elektrizität"/>
    <s v="Gigawattstunde"/>
    <x v="8"/>
    <x v="10"/>
    <n v="625"/>
  </r>
  <r>
    <x v="10"/>
    <s v="Endenergieverbrauch - Industriesektor - Nichtmetallische mineralische Rohstoffe - energetischer Verbrauch"/>
    <s v="Elektrizität"/>
    <s v="Gigawattstunde"/>
    <x v="9"/>
    <x v="10"/>
    <n v="547"/>
  </r>
  <r>
    <x v="10"/>
    <s v="Endenergieverbrauch - Industriesektor - Nichtmetallische mineralische Rohstoffe - energetischer Verbrauch"/>
    <s v="Elektrizität"/>
    <s v="Gigawattstunde"/>
    <x v="10"/>
    <x v="10"/>
    <n v="522"/>
  </r>
  <r>
    <x v="10"/>
    <s v="Endenergieverbrauch - Industriesektor - Nichtmetallische mineralische Rohstoffe - energetischer Verbrauch"/>
    <s v="Elektrizität"/>
    <s v="Gigawattstunde"/>
    <x v="11"/>
    <x v="10"/>
    <n v="534"/>
  </r>
  <r>
    <x v="10"/>
    <s v="Endenergieverbrauch - Industriesektor - Nichtmetallische mineralische Rohstoffe - energetischer Verbrauch"/>
    <s v="Elektrizität"/>
    <s v="Gigawattstunde"/>
    <x v="12"/>
    <x v="10"/>
    <n v="552"/>
  </r>
  <r>
    <x v="10"/>
    <s v="Endenergieverbrauch - Industriesektor - Nichtmetallische mineralische Rohstoffe - energetischer Verbrauch"/>
    <s v="Elektrizität"/>
    <s v="Gigawattstunde"/>
    <x v="13"/>
    <x v="10"/>
    <n v="578"/>
  </r>
  <r>
    <x v="10"/>
    <s v="Endenergieverbrauch - Industriesektor - Nichtmetallische mineralische Rohstoffe - energetischer Verbrauch"/>
    <s v="Elektrizität"/>
    <s v="Gigawattstunde"/>
    <x v="14"/>
    <x v="10"/>
    <n v="575"/>
  </r>
  <r>
    <x v="10"/>
    <s v="Endenergieverbrauch - Industriesektor - Nichtmetallische mineralische Rohstoffe - energetischer Verbrauch"/>
    <s v="Elektrizität"/>
    <s v="Gigawattstunde"/>
    <x v="15"/>
    <x v="10"/>
    <n v="677"/>
  </r>
  <r>
    <x v="10"/>
    <s v="Endenergieverbrauch - Industriesektor - Nichtmetallische mineralische Rohstoffe - energetischer Verbrauch"/>
    <s v="Elektrizität"/>
    <s v="Gigawattstunde"/>
    <x v="16"/>
    <x v="10"/>
    <n v="684.2"/>
  </r>
  <r>
    <x v="11"/>
    <s v="Endenergieverbrauch - Industriesektor - Nichtmetallische mineralische Rohstoffe - energetischer Verbrauch"/>
    <s v="Elektrizität"/>
    <s v="Gigawattstunde"/>
    <x v="0"/>
    <x v="10"/>
    <n v="14312"/>
  </r>
  <r>
    <x v="11"/>
    <s v="Endenergieverbrauch - Industriesektor - Nichtmetallische mineralische Rohstoffe - energetischer Verbrauch"/>
    <s v="Elektrizität"/>
    <s v="Gigawattstunde"/>
    <x v="1"/>
    <x v="10"/>
    <n v="14543"/>
  </r>
  <r>
    <x v="11"/>
    <s v="Endenergieverbrauch - Industriesektor - Nichtmetallische mineralische Rohstoffe - energetischer Verbrauch"/>
    <s v="Elektrizität"/>
    <s v="Gigawattstunde"/>
    <x v="2"/>
    <x v="10"/>
    <n v="14606"/>
  </r>
  <r>
    <x v="11"/>
    <s v="Endenergieverbrauch - Industriesektor - Nichtmetallische mineralische Rohstoffe - energetischer Verbrauch"/>
    <s v="Elektrizität"/>
    <s v="Gigawattstunde"/>
    <x v="3"/>
    <x v="10"/>
    <n v="14678"/>
  </r>
  <r>
    <x v="11"/>
    <s v="Endenergieverbrauch - Industriesektor - Nichtmetallische mineralische Rohstoffe - energetischer Verbrauch"/>
    <s v="Elektrizität"/>
    <s v="Gigawattstunde"/>
    <x v="4"/>
    <x v="10"/>
    <n v="14943"/>
  </r>
  <r>
    <x v="11"/>
    <s v="Endenergieverbrauch - Industriesektor - Nichtmetallische mineralische Rohstoffe - energetischer Verbrauch"/>
    <s v="Elektrizität"/>
    <s v="Gigawattstunde"/>
    <x v="5"/>
    <x v="10"/>
    <n v="14790"/>
  </r>
  <r>
    <x v="11"/>
    <s v="Endenergieverbrauch - Industriesektor - Nichtmetallische mineralische Rohstoffe - energetischer Verbrauch"/>
    <s v="Elektrizität"/>
    <s v="Gigawattstunde"/>
    <x v="6"/>
    <x v="10"/>
    <n v="13973"/>
  </r>
  <r>
    <x v="11"/>
    <s v="Endenergieverbrauch - Industriesektor - Nichtmetallische mineralische Rohstoffe - energetischer Verbrauch"/>
    <s v="Elektrizität"/>
    <s v="Gigawattstunde"/>
    <x v="7"/>
    <x v="10"/>
    <n v="11714"/>
  </r>
  <r>
    <x v="11"/>
    <s v="Endenergieverbrauch - Industriesektor - Nichtmetallische mineralische Rohstoffe - energetischer Verbrauch"/>
    <s v="Elektrizität"/>
    <s v="Gigawattstunde"/>
    <x v="8"/>
    <x v="10"/>
    <n v="11870"/>
  </r>
  <r>
    <x v="11"/>
    <s v="Endenergieverbrauch - Industriesektor - Nichtmetallische mineralische Rohstoffe - energetischer Verbrauch"/>
    <s v="Elektrizität"/>
    <s v="Gigawattstunde"/>
    <x v="9"/>
    <x v="10"/>
    <n v="11474"/>
  </r>
  <r>
    <x v="11"/>
    <s v="Endenergieverbrauch - Industriesektor - Nichtmetallische mineralische Rohstoffe - energetischer Verbrauch"/>
    <s v="Elektrizität"/>
    <s v="Gigawattstunde"/>
    <x v="10"/>
    <x v="10"/>
    <n v="9992"/>
  </r>
  <r>
    <x v="11"/>
    <s v="Endenergieverbrauch - Industriesektor - Nichtmetallische mineralische Rohstoffe - energetischer Verbrauch"/>
    <s v="Elektrizität"/>
    <s v="Gigawattstunde"/>
    <x v="11"/>
    <x v="10"/>
    <n v="9461"/>
  </r>
  <r>
    <x v="11"/>
    <s v="Endenergieverbrauch - Industriesektor - Nichtmetallische mineralische Rohstoffe - energetischer Verbrauch"/>
    <s v="Elektrizität"/>
    <s v="Gigawattstunde"/>
    <x v="12"/>
    <x v="10"/>
    <n v="9175"/>
  </r>
  <r>
    <x v="11"/>
    <s v="Endenergieverbrauch - Industriesektor - Nichtmetallische mineralische Rohstoffe - energetischer Verbrauch"/>
    <s v="Elektrizität"/>
    <s v="Gigawattstunde"/>
    <x v="13"/>
    <x v="10"/>
    <n v="8988"/>
  </r>
  <r>
    <x v="11"/>
    <s v="Endenergieverbrauch - Industriesektor - Nichtmetallische mineralische Rohstoffe - energetischer Verbrauch"/>
    <s v="Elektrizität"/>
    <s v="Gigawattstunde"/>
    <x v="14"/>
    <x v="10"/>
    <n v="8826"/>
  </r>
  <r>
    <x v="11"/>
    <s v="Endenergieverbrauch - Industriesektor - Nichtmetallische mineralische Rohstoffe - energetischer Verbrauch"/>
    <s v="Elektrizität"/>
    <s v="Gigawattstunde"/>
    <x v="15"/>
    <x v="10"/>
    <n v="8905.1450000000004"/>
  </r>
  <r>
    <x v="11"/>
    <s v="Endenergieverbrauch - Industriesektor - Nichtmetallische mineralische Rohstoffe - energetischer Verbrauch"/>
    <s v="Elektrizität"/>
    <s v="Gigawattstunde"/>
    <x v="16"/>
    <x v="10"/>
    <n v="8926.027"/>
  </r>
  <r>
    <x v="12"/>
    <s v="Endenergieverbrauch - Industriesektor - Nichtmetallische mineralische Rohstoffe - energetischer Verbrauch"/>
    <s v="Elektrizität"/>
    <s v="Gigawattstunde"/>
    <x v="0"/>
    <x v="10"/>
    <n v="186"/>
  </r>
  <r>
    <x v="12"/>
    <s v="Endenergieverbrauch - Industriesektor - Nichtmetallische mineralische Rohstoffe - energetischer Verbrauch"/>
    <s v="Elektrizität"/>
    <s v="Gigawattstunde"/>
    <x v="1"/>
    <x v="10"/>
    <n v="208"/>
  </r>
  <r>
    <x v="12"/>
    <s v="Endenergieverbrauch - Industriesektor - Nichtmetallische mineralische Rohstoffe - energetischer Verbrauch"/>
    <s v="Elektrizität"/>
    <s v="Gigawattstunde"/>
    <x v="2"/>
    <x v="10"/>
    <n v="216"/>
  </r>
  <r>
    <x v="12"/>
    <s v="Endenergieverbrauch - Industriesektor - Nichtmetallische mineralische Rohstoffe - energetischer Verbrauch"/>
    <s v="Elektrizität"/>
    <s v="Gigawattstunde"/>
    <x v="3"/>
    <x v="10"/>
    <n v="221"/>
  </r>
  <r>
    <x v="12"/>
    <s v="Endenergieverbrauch - Industriesektor - Nichtmetallische mineralische Rohstoffe - energetischer Verbrauch"/>
    <s v="Elektrizität"/>
    <s v="Gigawattstunde"/>
    <x v="4"/>
    <x v="10"/>
    <n v="225"/>
  </r>
  <r>
    <x v="12"/>
    <s v="Endenergieverbrauch - Industriesektor - Nichtmetallische mineralische Rohstoffe - energetischer Verbrauch"/>
    <s v="Elektrizität"/>
    <s v="Gigawattstunde"/>
    <x v="5"/>
    <x v="10"/>
    <n v="225"/>
  </r>
  <r>
    <x v="12"/>
    <s v="Endenergieverbrauch - Industriesektor - Nichtmetallische mineralische Rohstoffe - energetischer Verbrauch"/>
    <s v="Elektrizität"/>
    <s v="Gigawattstunde"/>
    <x v="6"/>
    <x v="10"/>
    <n v="231"/>
  </r>
  <r>
    <x v="12"/>
    <s v="Endenergieverbrauch - Industriesektor - Nichtmetallische mineralische Rohstoffe - energetischer Verbrauch"/>
    <s v="Elektrizität"/>
    <s v="Gigawattstunde"/>
    <x v="7"/>
    <x v="10"/>
    <n v="200"/>
  </r>
  <r>
    <x v="12"/>
    <s v="Endenergieverbrauch - Industriesektor - Nichtmetallische mineralische Rohstoffe - energetischer Verbrauch"/>
    <s v="Elektrizität"/>
    <s v="Gigawattstunde"/>
    <x v="8"/>
    <x v="10"/>
    <n v="184"/>
  </r>
  <r>
    <x v="12"/>
    <s v="Endenergieverbrauch - Industriesektor - Nichtmetallische mineralische Rohstoffe - energetischer Verbrauch"/>
    <s v="Elektrizität"/>
    <s v="Gigawattstunde"/>
    <x v="9"/>
    <x v="10"/>
    <n v="155"/>
  </r>
  <r>
    <x v="12"/>
    <s v="Endenergieverbrauch - Industriesektor - Nichtmetallische mineralische Rohstoffe - energetischer Verbrauch"/>
    <s v="Elektrizität"/>
    <s v="Gigawattstunde"/>
    <x v="10"/>
    <x v="10"/>
    <n v="127"/>
  </r>
  <r>
    <x v="12"/>
    <s v="Endenergieverbrauch - Industriesektor - Nichtmetallische mineralische Rohstoffe - energetischer Verbrauch"/>
    <s v="Elektrizität"/>
    <s v="Gigawattstunde"/>
    <x v="11"/>
    <x v="10"/>
    <n v="139"/>
  </r>
  <r>
    <x v="12"/>
    <s v="Endenergieverbrauch - Industriesektor - Nichtmetallische mineralische Rohstoffe - energetischer Verbrauch"/>
    <s v="Elektrizität"/>
    <s v="Gigawattstunde"/>
    <x v="12"/>
    <x v="10"/>
    <n v="150"/>
  </r>
  <r>
    <x v="12"/>
    <s v="Endenergieverbrauch - Industriesektor - Nichtmetallische mineralische Rohstoffe - energetischer Verbrauch"/>
    <s v="Elektrizität"/>
    <s v="Gigawattstunde"/>
    <x v="13"/>
    <x v="10"/>
    <n v="148"/>
  </r>
  <r>
    <x v="12"/>
    <s v="Endenergieverbrauch - Industriesektor - Nichtmetallische mineralische Rohstoffe - energetischer Verbrauch"/>
    <s v="Elektrizität"/>
    <s v="Gigawattstunde"/>
    <x v="14"/>
    <x v="10"/>
    <n v="154"/>
  </r>
  <r>
    <x v="12"/>
    <s v="Endenergieverbrauch - Industriesektor - Nichtmetallische mineralische Rohstoffe - energetischer Verbrauch"/>
    <s v="Elektrizität"/>
    <s v="Gigawattstunde"/>
    <x v="15"/>
    <x v="10"/>
    <n v="174.78700000000001"/>
  </r>
  <r>
    <x v="12"/>
    <s v="Endenergieverbrauch - Industriesektor - Nichtmetallische mineralische Rohstoffe - energetischer Verbrauch"/>
    <s v="Elektrizität"/>
    <s v="Gigawattstunde"/>
    <x v="16"/>
    <x v="10"/>
    <n v="172.285"/>
  </r>
  <r>
    <x v="13"/>
    <s v="Endenergieverbrauch - Industriesektor - Nichtmetallische mineralische Rohstoffe - energetischer Verbrauch"/>
    <s v="Elektrizität"/>
    <s v="Gigawattstunde"/>
    <x v="0"/>
    <x v="10"/>
    <n v="100"/>
  </r>
  <r>
    <x v="13"/>
    <s v="Endenergieverbrauch - Industriesektor - Nichtmetallische mineralische Rohstoffe - energetischer Verbrauch"/>
    <s v="Elektrizität"/>
    <s v="Gigawattstunde"/>
    <x v="1"/>
    <x v="10"/>
    <n v="105"/>
  </r>
  <r>
    <x v="13"/>
    <s v="Endenergieverbrauch - Industriesektor - Nichtmetallische mineralische Rohstoffe - energetischer Verbrauch"/>
    <s v="Elektrizität"/>
    <s v="Gigawattstunde"/>
    <x v="2"/>
    <x v="10"/>
    <n v="105"/>
  </r>
  <r>
    <x v="13"/>
    <s v="Endenergieverbrauch - Industriesektor - Nichtmetallische mineralische Rohstoffe - energetischer Verbrauch"/>
    <s v="Elektrizität"/>
    <s v="Gigawattstunde"/>
    <x v="3"/>
    <x v="10"/>
    <n v="164"/>
  </r>
  <r>
    <x v="13"/>
    <s v="Endenergieverbrauch - Industriesektor - Nichtmetallische mineralische Rohstoffe - energetischer Verbrauch"/>
    <s v="Elektrizität"/>
    <s v="Gigawattstunde"/>
    <x v="4"/>
    <x v="10"/>
    <n v="155"/>
  </r>
  <r>
    <x v="13"/>
    <s v="Endenergieverbrauch - Industriesektor - Nichtmetallische mineralische Rohstoffe - energetischer Verbrauch"/>
    <s v="Elektrizität"/>
    <s v="Gigawattstunde"/>
    <x v="5"/>
    <x v="10"/>
    <n v="184"/>
  </r>
  <r>
    <x v="13"/>
    <s v="Endenergieverbrauch - Industriesektor - Nichtmetallische mineralische Rohstoffe - energetischer Verbrauch"/>
    <s v="Elektrizität"/>
    <s v="Gigawattstunde"/>
    <x v="6"/>
    <x v="10"/>
    <n v="192"/>
  </r>
  <r>
    <x v="13"/>
    <s v="Endenergieverbrauch - Industriesektor - Nichtmetallische mineralische Rohstoffe - energetischer Verbrauch"/>
    <s v="Elektrizität"/>
    <s v="Gigawattstunde"/>
    <x v="7"/>
    <x v="10"/>
    <n v="176"/>
  </r>
  <r>
    <x v="13"/>
    <s v="Endenergieverbrauch - Industriesektor - Nichtmetallische mineralische Rohstoffe - energetischer Verbrauch"/>
    <s v="Elektrizität"/>
    <s v="Gigawattstunde"/>
    <x v="8"/>
    <x v="10"/>
    <n v="222"/>
  </r>
  <r>
    <x v="13"/>
    <s v="Endenergieverbrauch - Industriesektor - Nichtmetallische mineralische Rohstoffe - energetischer Verbrauch"/>
    <s v="Elektrizität"/>
    <s v="Gigawattstunde"/>
    <x v="9"/>
    <x v="10"/>
    <n v="239"/>
  </r>
  <r>
    <x v="13"/>
    <s v="Endenergieverbrauch - Industriesektor - Nichtmetallische mineralische Rohstoffe - energetischer Verbrauch"/>
    <s v="Elektrizität"/>
    <s v="Gigawattstunde"/>
    <x v="10"/>
    <x v="10"/>
    <n v="244"/>
  </r>
  <r>
    <x v="13"/>
    <s v="Endenergieverbrauch - Industriesektor - Nichtmetallische mineralische Rohstoffe - energetischer Verbrauch"/>
    <s v="Elektrizität"/>
    <s v="Gigawattstunde"/>
    <x v="11"/>
    <x v="10"/>
    <n v="256"/>
  </r>
  <r>
    <x v="13"/>
    <s v="Endenergieverbrauch - Industriesektor - Nichtmetallische mineralische Rohstoffe - energetischer Verbrauch"/>
    <s v="Elektrizität"/>
    <s v="Gigawattstunde"/>
    <x v="12"/>
    <x v="10"/>
    <n v="266"/>
  </r>
  <r>
    <x v="13"/>
    <s v="Endenergieverbrauch - Industriesektor - Nichtmetallische mineralische Rohstoffe - energetischer Verbrauch"/>
    <s v="Elektrizität"/>
    <s v="Gigawattstunde"/>
    <x v="13"/>
    <x v="10"/>
    <n v="239"/>
  </r>
  <r>
    <x v="13"/>
    <s v="Endenergieverbrauch - Industriesektor - Nichtmetallische mineralische Rohstoffe - energetischer Verbrauch"/>
    <s v="Elektrizität"/>
    <s v="Gigawattstunde"/>
    <x v="14"/>
    <x v="10"/>
    <n v="225"/>
  </r>
  <r>
    <x v="13"/>
    <s v="Endenergieverbrauch - Industriesektor - Nichtmetallische mineralische Rohstoffe - energetischer Verbrauch"/>
    <s v="Elektrizität"/>
    <s v="Gigawattstunde"/>
    <x v="15"/>
    <x v="10"/>
    <n v="261.18400000000003"/>
  </r>
  <r>
    <x v="13"/>
    <s v="Endenergieverbrauch - Industriesektor - Nichtmetallische mineralische Rohstoffe - energetischer Verbrauch"/>
    <s v="Elektrizität"/>
    <s v="Gigawattstunde"/>
    <x v="16"/>
    <x v="10"/>
    <n v="281.08600000000001"/>
  </r>
  <r>
    <x v="14"/>
    <s v="Endenergieverbrauch - Industriesektor - Nichtmetallische mineralische Rohstoffe - energetischer Verbrauch"/>
    <s v="Elektrizität"/>
    <s v="Gigawattstunde"/>
    <x v="0"/>
    <x v="10"/>
    <n v="232"/>
  </r>
  <r>
    <x v="14"/>
    <s v="Endenergieverbrauch - Industriesektor - Nichtmetallische mineralische Rohstoffe - energetischer Verbrauch"/>
    <s v="Elektrizität"/>
    <s v="Gigawattstunde"/>
    <x v="1"/>
    <x v="10"/>
    <n v="236"/>
  </r>
  <r>
    <x v="14"/>
    <s v="Endenergieverbrauch - Industriesektor - Nichtmetallische mineralische Rohstoffe - energetischer Verbrauch"/>
    <s v="Elektrizität"/>
    <s v="Gigawattstunde"/>
    <x v="2"/>
    <x v="10"/>
    <n v="211"/>
  </r>
  <r>
    <x v="14"/>
    <s v="Endenergieverbrauch - Industriesektor - Nichtmetallische mineralische Rohstoffe - energetischer Verbrauch"/>
    <s v="Elektrizität"/>
    <s v="Gigawattstunde"/>
    <x v="3"/>
    <x v="10"/>
    <n v="230"/>
  </r>
  <r>
    <x v="14"/>
    <s v="Endenergieverbrauch - Industriesektor - Nichtmetallische mineralische Rohstoffe - energetischer Verbrauch"/>
    <s v="Elektrizität"/>
    <s v="Gigawattstunde"/>
    <x v="4"/>
    <x v="10"/>
    <n v="272"/>
  </r>
  <r>
    <x v="14"/>
    <s v="Endenergieverbrauch - Industriesektor - Nichtmetallische mineralische Rohstoffe - energetischer Verbrauch"/>
    <s v="Elektrizität"/>
    <s v="Gigawattstunde"/>
    <x v="5"/>
    <x v="10"/>
    <n v="275"/>
  </r>
  <r>
    <x v="14"/>
    <s v="Endenergieverbrauch - Industriesektor - Nichtmetallische mineralische Rohstoffe - energetischer Verbrauch"/>
    <s v="Elektrizität"/>
    <s v="Gigawattstunde"/>
    <x v="6"/>
    <x v="10"/>
    <n v="251"/>
  </r>
  <r>
    <x v="14"/>
    <s v="Endenergieverbrauch - Industriesektor - Nichtmetallische mineralische Rohstoffe - energetischer Verbrauch"/>
    <s v="Elektrizität"/>
    <s v="Gigawattstunde"/>
    <x v="7"/>
    <x v="10"/>
    <n v="159"/>
  </r>
  <r>
    <x v="14"/>
    <s v="Endenergieverbrauch - Industriesektor - Nichtmetallische mineralische Rohstoffe - energetischer Verbrauch"/>
    <s v="Elektrizität"/>
    <s v="Gigawattstunde"/>
    <x v="8"/>
    <x v="10"/>
    <n v="185"/>
  </r>
  <r>
    <x v="14"/>
    <s v="Endenergieverbrauch - Industriesektor - Nichtmetallische mineralische Rohstoffe - energetischer Verbrauch"/>
    <s v="Elektrizität"/>
    <s v="Gigawattstunde"/>
    <x v="9"/>
    <x v="10"/>
    <n v="200"/>
  </r>
  <r>
    <x v="14"/>
    <s v="Endenergieverbrauch - Industriesektor - Nichtmetallische mineralische Rohstoffe - energetischer Verbrauch"/>
    <s v="Elektrizität"/>
    <s v="Gigawattstunde"/>
    <x v="10"/>
    <x v="10"/>
    <n v="222"/>
  </r>
  <r>
    <x v="14"/>
    <s v="Endenergieverbrauch - Industriesektor - Nichtmetallische mineralische Rohstoffe - energetischer Verbrauch"/>
    <s v="Elektrizität"/>
    <s v="Gigawattstunde"/>
    <x v="11"/>
    <x v="10"/>
    <n v="248"/>
  </r>
  <r>
    <x v="14"/>
    <s v="Endenergieverbrauch - Industriesektor - Nichtmetallische mineralische Rohstoffe - energetischer Verbrauch"/>
    <s v="Elektrizität"/>
    <s v="Gigawattstunde"/>
    <x v="12"/>
    <x v="10"/>
    <n v="258"/>
  </r>
  <r>
    <x v="14"/>
    <s v="Endenergieverbrauch - Industriesektor - Nichtmetallische mineralische Rohstoffe - energetischer Verbrauch"/>
    <s v="Elektrizität"/>
    <s v="Gigawattstunde"/>
    <x v="13"/>
    <x v="10"/>
    <n v="243"/>
  </r>
  <r>
    <x v="14"/>
    <s v="Endenergieverbrauch - Industriesektor - Nichtmetallische mineralische Rohstoffe - energetischer Verbrauch"/>
    <s v="Elektrizität"/>
    <s v="Gigawattstunde"/>
    <x v="14"/>
    <x v="10"/>
    <n v="252"/>
  </r>
  <r>
    <x v="14"/>
    <s v="Endenergieverbrauch - Industriesektor - Nichtmetallische mineralische Rohstoffe - energetischer Verbrauch"/>
    <s v="Elektrizität"/>
    <s v="Gigawattstunde"/>
    <x v="15"/>
    <x v="10"/>
    <n v="244"/>
  </r>
  <r>
    <x v="14"/>
    <s v="Endenergieverbrauch - Industriesektor - Nichtmetallische mineralische Rohstoffe - energetischer Verbrauch"/>
    <s v="Elektrizität"/>
    <s v="Gigawattstunde"/>
    <x v="16"/>
    <x v="10"/>
    <n v="283.8"/>
  </r>
  <r>
    <x v="15"/>
    <s v="Endenergieverbrauch - Industriesektor - Nichtmetallische mineralische Rohstoffe - energetischer Verbrauch"/>
    <s v="Elektrizität"/>
    <s v="Gigawattstunde"/>
    <x v="0"/>
    <x v="10"/>
    <n v="419.166"/>
  </r>
  <r>
    <x v="15"/>
    <s v="Endenergieverbrauch - Industriesektor - Nichtmetallische mineralische Rohstoffe - energetischer Verbrauch"/>
    <s v="Elektrizität"/>
    <s v="Gigawattstunde"/>
    <x v="1"/>
    <x v="10"/>
    <n v="266.93200000000002"/>
  </r>
  <r>
    <x v="15"/>
    <s v="Endenergieverbrauch - Industriesektor - Nichtmetallische mineralische Rohstoffe - energetischer Verbrauch"/>
    <s v="Elektrizität"/>
    <s v="Gigawattstunde"/>
    <x v="2"/>
    <x v="10"/>
    <n v="228.208"/>
  </r>
  <r>
    <x v="15"/>
    <s v="Endenergieverbrauch - Industriesektor - Nichtmetallische mineralische Rohstoffe - energetischer Verbrauch"/>
    <s v="Elektrizität"/>
    <s v="Gigawattstunde"/>
    <x v="3"/>
    <x v="10"/>
    <n v="205.625"/>
  </r>
  <r>
    <x v="15"/>
    <s v="Endenergieverbrauch - Industriesektor - Nichtmetallische mineralische Rohstoffe - energetischer Verbrauch"/>
    <s v="Elektrizität"/>
    <s v="Gigawattstunde"/>
    <x v="4"/>
    <x v="10"/>
    <n v="158.881"/>
  </r>
  <r>
    <x v="15"/>
    <s v="Endenergieverbrauch - Industriesektor - Nichtmetallische mineralische Rohstoffe - energetischer Verbrauch"/>
    <s v="Elektrizität"/>
    <s v="Gigawattstunde"/>
    <x v="5"/>
    <x v="10"/>
    <n v="142.63900000000001"/>
  </r>
  <r>
    <x v="15"/>
    <s v="Endenergieverbrauch - Industriesektor - Nichtmetallische mineralische Rohstoffe - energetischer Verbrauch"/>
    <s v="Elektrizität"/>
    <s v="Gigawattstunde"/>
    <x v="6"/>
    <x v="10"/>
    <n v="137.30699999999999"/>
  </r>
  <r>
    <x v="15"/>
    <s v="Endenergieverbrauch - Industriesektor - Nichtmetallische mineralische Rohstoffe - energetischer Verbrauch"/>
    <s v="Elektrizität"/>
    <s v="Gigawattstunde"/>
    <x v="7"/>
    <x v="10"/>
    <n v="133.059"/>
  </r>
  <r>
    <x v="15"/>
    <s v="Endenergieverbrauch - Industriesektor - Nichtmetallische mineralische Rohstoffe - energetischer Verbrauch"/>
    <s v="Elektrizität"/>
    <s v="Gigawattstunde"/>
    <x v="8"/>
    <x v="10"/>
    <n v="125.476"/>
  </r>
  <r>
    <x v="15"/>
    <s v="Endenergieverbrauch - Industriesektor - Nichtmetallische mineralische Rohstoffe - energetischer Verbrauch"/>
    <s v="Elektrizität"/>
    <s v="Gigawattstunde"/>
    <x v="9"/>
    <x v="10"/>
    <n v="290.95699999999999"/>
  </r>
  <r>
    <x v="15"/>
    <s v="Endenergieverbrauch - Industriesektor - Nichtmetallische mineralische Rohstoffe - energetischer Verbrauch"/>
    <s v="Elektrizität"/>
    <s v="Gigawattstunde"/>
    <x v="10"/>
    <x v="10"/>
    <n v="266.82799999999997"/>
  </r>
  <r>
    <x v="15"/>
    <s v="Endenergieverbrauch - Industriesektor - Nichtmetallische mineralische Rohstoffe - energetischer Verbrauch"/>
    <s v="Elektrizität"/>
    <s v="Gigawattstunde"/>
    <x v="11"/>
    <x v="10"/>
    <n v="229.881"/>
  </r>
  <r>
    <x v="15"/>
    <s v="Endenergieverbrauch - Industriesektor - Nichtmetallische mineralische Rohstoffe - energetischer Verbrauch"/>
    <s v="Elektrizität"/>
    <s v="Gigawattstunde"/>
    <x v="12"/>
    <x v="10"/>
    <n v="271.48599999999999"/>
  </r>
  <r>
    <x v="15"/>
    <s v="Endenergieverbrauch - Industriesektor - Nichtmetallische mineralische Rohstoffe - energetischer Verbrauch"/>
    <s v="Elektrizität"/>
    <s v="Gigawattstunde"/>
    <x v="13"/>
    <x v="10"/>
    <n v="243.94200000000001"/>
  </r>
  <r>
    <x v="15"/>
    <s v="Endenergieverbrauch - Industriesektor - Nichtmetallische mineralische Rohstoffe - energetischer Verbrauch"/>
    <s v="Elektrizität"/>
    <s v="Gigawattstunde"/>
    <x v="14"/>
    <x v="10"/>
    <n v="232.875"/>
  </r>
  <r>
    <x v="15"/>
    <s v="Endenergieverbrauch - Industriesektor - Nichtmetallische mineralische Rohstoffe - energetischer Verbrauch"/>
    <s v="Elektrizität"/>
    <s v="Gigawattstunde"/>
    <x v="15"/>
    <x v="10"/>
    <n v="210.91800000000001"/>
  </r>
  <r>
    <x v="15"/>
    <s v="Endenergieverbrauch - Industriesektor - Nichtmetallische mineralische Rohstoffe - energetischer Verbrauch"/>
    <s v="Elektrizität"/>
    <s v="Gigawattstunde"/>
    <x v="16"/>
    <x v="10"/>
    <n v="224.32900000000001"/>
  </r>
  <r>
    <x v="16"/>
    <s v="Endenergieverbrauch - Industriesektor - Nichtmetallische mineralische Rohstoffe - energetischer Verbrauch"/>
    <s v="Elektrizität"/>
    <s v="Gigawattstunde"/>
    <x v="0"/>
    <x v="10"/>
    <n v="977"/>
  </r>
  <r>
    <x v="16"/>
    <s v="Endenergieverbrauch - Industriesektor - Nichtmetallische mineralische Rohstoffe - energetischer Verbrauch"/>
    <s v="Elektrizität"/>
    <s v="Gigawattstunde"/>
    <x v="1"/>
    <x v="10"/>
    <n v="966"/>
  </r>
  <r>
    <x v="16"/>
    <s v="Endenergieverbrauch - Industriesektor - Nichtmetallische mineralische Rohstoffe - energetischer Verbrauch"/>
    <s v="Elektrizität"/>
    <s v="Gigawattstunde"/>
    <x v="2"/>
    <x v="10"/>
    <n v="971"/>
  </r>
  <r>
    <x v="16"/>
    <s v="Endenergieverbrauch - Industriesektor - Nichtmetallische mineralische Rohstoffe - energetischer Verbrauch"/>
    <s v="Elektrizität"/>
    <s v="Gigawattstunde"/>
    <x v="3"/>
    <x v="10"/>
    <n v="913"/>
  </r>
  <r>
    <x v="16"/>
    <s v="Endenergieverbrauch - Industriesektor - Nichtmetallische mineralische Rohstoffe - energetischer Verbrauch"/>
    <s v="Elektrizität"/>
    <s v="Gigawattstunde"/>
    <x v="4"/>
    <x v="10"/>
    <n v="938"/>
  </r>
  <r>
    <x v="16"/>
    <s v="Endenergieverbrauch - Industriesektor - Nichtmetallische mineralische Rohstoffe - energetischer Verbrauch"/>
    <s v="Elektrizität"/>
    <s v="Gigawattstunde"/>
    <x v="5"/>
    <x v="10"/>
    <n v="937"/>
  </r>
  <r>
    <x v="16"/>
    <s v="Endenergieverbrauch - Industriesektor - Nichtmetallische mineralische Rohstoffe - energetischer Verbrauch"/>
    <s v="Elektrizität"/>
    <s v="Gigawattstunde"/>
    <x v="6"/>
    <x v="10"/>
    <n v="1122"/>
  </r>
  <r>
    <x v="16"/>
    <s v="Endenergieverbrauch - Industriesektor - Nichtmetallische mineralische Rohstoffe - energetischer Verbrauch"/>
    <s v="Elektrizität"/>
    <s v="Gigawattstunde"/>
    <x v="7"/>
    <x v="10"/>
    <n v="919"/>
  </r>
  <r>
    <x v="16"/>
    <s v="Endenergieverbrauch - Industriesektor - Nichtmetallische mineralische Rohstoffe - energetischer Verbrauch"/>
    <s v="Elektrizität"/>
    <s v="Gigawattstunde"/>
    <x v="8"/>
    <x v="10"/>
    <n v="932"/>
  </r>
  <r>
    <x v="16"/>
    <s v="Endenergieverbrauch - Industriesektor - Nichtmetallische mineralische Rohstoffe - energetischer Verbrauch"/>
    <s v="Elektrizität"/>
    <s v="Gigawattstunde"/>
    <x v="9"/>
    <x v="10"/>
    <n v="941"/>
  </r>
  <r>
    <x v="16"/>
    <s v="Endenergieverbrauch - Industriesektor - Nichtmetallische mineralische Rohstoffe - energetischer Verbrauch"/>
    <s v="Elektrizität"/>
    <s v="Gigawattstunde"/>
    <x v="10"/>
    <x v="10"/>
    <n v="1184"/>
  </r>
  <r>
    <x v="16"/>
    <s v="Endenergieverbrauch - Industriesektor - Nichtmetallische mineralische Rohstoffe - energetischer Verbrauch"/>
    <s v="Elektrizität"/>
    <s v="Gigawattstunde"/>
    <x v="11"/>
    <x v="10"/>
    <n v="1043"/>
  </r>
  <r>
    <x v="16"/>
    <s v="Endenergieverbrauch - Industriesektor - Nichtmetallische mineralische Rohstoffe - energetischer Verbrauch"/>
    <s v="Elektrizität"/>
    <s v="Gigawattstunde"/>
    <x v="12"/>
    <x v="10"/>
    <n v="1203"/>
  </r>
  <r>
    <x v="16"/>
    <s v="Endenergieverbrauch - Industriesektor - Nichtmetallische mineralische Rohstoffe - energetischer Verbrauch"/>
    <s v="Elektrizität"/>
    <s v="Gigawattstunde"/>
    <x v="13"/>
    <x v="10"/>
    <n v="1338"/>
  </r>
  <r>
    <x v="16"/>
    <s v="Endenergieverbrauch - Industriesektor - Nichtmetallische mineralische Rohstoffe - energetischer Verbrauch"/>
    <s v="Elektrizität"/>
    <s v="Gigawattstunde"/>
    <x v="14"/>
    <x v="10"/>
    <n v="1449"/>
  </r>
  <r>
    <x v="16"/>
    <s v="Endenergieverbrauch - Industriesektor - Nichtmetallische mineralische Rohstoffe - energetischer Verbrauch"/>
    <s v="Elektrizität"/>
    <s v="Gigawattstunde"/>
    <x v="15"/>
    <x v="10"/>
    <n v="1406"/>
  </r>
  <r>
    <x v="16"/>
    <s v="Endenergieverbrauch - Industriesektor - Nichtmetallische mineralische Rohstoffe - energetischer Verbrauch"/>
    <s v="Elektrizität"/>
    <s v="Gigawattstunde"/>
    <x v="16"/>
    <x v="10"/>
    <n v="1426"/>
  </r>
  <r>
    <x v="17"/>
    <s v="Endenergieverbrauch - Industriesektor - Nichtmetallische mineralische Rohstoffe - energetischer Verbrauch"/>
    <s v="Elektrizität"/>
    <s v="Gigawattstunde"/>
    <x v="0"/>
    <x v="10"/>
    <n v="0"/>
  </r>
  <r>
    <x v="17"/>
    <s v="Endenergieverbrauch - Industriesektor - Nichtmetallische mineralische Rohstoffe - energetischer Verbrauch"/>
    <s v="Elektrizität"/>
    <s v="Gigawattstunde"/>
    <x v="1"/>
    <x v="10"/>
    <n v="0"/>
  </r>
  <r>
    <x v="17"/>
    <s v="Endenergieverbrauch - Industriesektor - Nichtmetallische mineralische Rohstoffe - energetischer Verbrauch"/>
    <s v="Elektrizität"/>
    <s v="Gigawattstunde"/>
    <x v="2"/>
    <x v="10"/>
    <n v="0"/>
  </r>
  <r>
    <x v="17"/>
    <s v="Endenergieverbrauch - Industriesektor - Nichtmetallische mineralische Rohstoffe - energetischer Verbrauch"/>
    <s v="Elektrizität"/>
    <s v="Gigawattstunde"/>
    <x v="3"/>
    <x v="10"/>
    <n v="0"/>
  </r>
  <r>
    <x v="17"/>
    <s v="Endenergieverbrauch - Industriesektor - Nichtmetallische mineralische Rohstoffe - energetischer Verbrauch"/>
    <s v="Elektrizität"/>
    <s v="Gigawattstunde"/>
    <x v="4"/>
    <x v="10"/>
    <n v="0"/>
  </r>
  <r>
    <x v="17"/>
    <s v="Endenergieverbrauch - Industriesektor - Nichtmetallische mineralische Rohstoffe - energetischer Verbrauch"/>
    <s v="Elektrizität"/>
    <s v="Gigawattstunde"/>
    <x v="5"/>
    <x v="10"/>
    <n v="0"/>
  </r>
  <r>
    <x v="17"/>
    <s v="Endenergieverbrauch - Industriesektor - Nichtmetallische mineralische Rohstoffe - energetischer Verbrauch"/>
    <s v="Elektrizität"/>
    <s v="Gigawattstunde"/>
    <x v="6"/>
    <x v="10"/>
    <n v="0"/>
  </r>
  <r>
    <x v="17"/>
    <s v="Endenergieverbrauch - Industriesektor - Nichtmetallische mineralische Rohstoffe - energetischer Verbrauch"/>
    <s v="Elektrizität"/>
    <s v="Gigawattstunde"/>
    <x v="7"/>
    <x v="10"/>
    <n v="0"/>
  </r>
  <r>
    <x v="17"/>
    <s v="Endenergieverbrauch - Industriesektor - Nichtmetallische mineralische Rohstoffe - energetischer Verbrauch"/>
    <s v="Elektrizität"/>
    <s v="Gigawattstunde"/>
    <x v="8"/>
    <x v="10"/>
    <n v="6"/>
  </r>
  <r>
    <x v="17"/>
    <s v="Endenergieverbrauch - Industriesektor - Nichtmetallische mineralische Rohstoffe - energetischer Verbrauch"/>
    <s v="Elektrizität"/>
    <s v="Gigawattstunde"/>
    <x v="9"/>
    <x v="10"/>
    <n v="6"/>
  </r>
  <r>
    <x v="17"/>
    <s v="Endenergieverbrauch - Industriesektor - Nichtmetallische mineralische Rohstoffe - energetischer Verbrauch"/>
    <s v="Elektrizität"/>
    <s v="Gigawattstunde"/>
    <x v="10"/>
    <x v="10"/>
    <n v="6"/>
  </r>
  <r>
    <x v="17"/>
    <s v="Endenergieverbrauch - Industriesektor - Nichtmetallische mineralische Rohstoffe - energetischer Verbrauch"/>
    <s v="Elektrizität"/>
    <s v="Gigawattstunde"/>
    <x v="11"/>
    <x v="10"/>
    <n v="6"/>
  </r>
  <r>
    <x v="17"/>
    <s v="Endenergieverbrauch - Industriesektor - Nichtmetallische mineralische Rohstoffe - energetischer Verbrauch"/>
    <s v="Elektrizität"/>
    <s v="Gigawattstunde"/>
    <x v="12"/>
    <x v="10"/>
    <n v="6"/>
  </r>
  <r>
    <x v="17"/>
    <s v="Endenergieverbrauch - Industriesektor - Nichtmetallische mineralische Rohstoffe - energetischer Verbrauch"/>
    <s v="Elektrizität"/>
    <s v="Gigawattstunde"/>
    <x v="13"/>
    <x v="10"/>
    <n v="7"/>
  </r>
  <r>
    <x v="17"/>
    <s v="Endenergieverbrauch - Industriesektor - Nichtmetallische mineralische Rohstoffe - energetischer Verbrauch"/>
    <s v="Elektrizität"/>
    <s v="Gigawattstunde"/>
    <x v="14"/>
    <x v="10"/>
    <n v="6"/>
  </r>
  <r>
    <x v="17"/>
    <s v="Endenergieverbrauch - Industriesektor - Nichtmetallische mineralische Rohstoffe - energetischer Verbrauch"/>
    <s v="Elektrizität"/>
    <s v="Gigawattstunde"/>
    <x v="15"/>
    <x v="10"/>
    <n v="5.6349999999999998"/>
  </r>
  <r>
    <x v="17"/>
    <s v="Endenergieverbrauch - Industriesektor - Nichtmetallische mineralische Rohstoffe - energetischer Verbrauch"/>
    <s v="Elektrizität"/>
    <s v="Gigawattstunde"/>
    <x v="16"/>
    <x v="10"/>
    <n v="5.8259999999999996"/>
  </r>
  <r>
    <x v="18"/>
    <s v="Endenergieverbrauch - Industriesektor - Nichtmetallische mineralische Rohstoffe - energetischer Verbrauch"/>
    <s v="Elektrizität"/>
    <s v="Gigawattstunde"/>
    <x v="0"/>
    <x v="10"/>
    <n v="1544"/>
  </r>
  <r>
    <x v="18"/>
    <s v="Endenergieverbrauch - Industriesektor - Nichtmetallische mineralische Rohstoffe - energetischer Verbrauch"/>
    <s v="Elektrizität"/>
    <s v="Gigawattstunde"/>
    <x v="1"/>
    <x v="10"/>
    <n v="1475"/>
  </r>
  <r>
    <x v="18"/>
    <s v="Endenergieverbrauch - Industriesektor - Nichtmetallische mineralische Rohstoffe - energetischer Verbrauch"/>
    <s v="Elektrizität"/>
    <s v="Gigawattstunde"/>
    <x v="2"/>
    <x v="10"/>
    <n v="1429"/>
  </r>
  <r>
    <x v="18"/>
    <s v="Endenergieverbrauch - Industriesektor - Nichtmetallische mineralische Rohstoffe - energetischer Verbrauch"/>
    <s v="Elektrizität"/>
    <s v="Gigawattstunde"/>
    <x v="3"/>
    <x v="10"/>
    <n v="1437"/>
  </r>
  <r>
    <x v="18"/>
    <s v="Endenergieverbrauch - Industriesektor - Nichtmetallische mineralische Rohstoffe - energetischer Verbrauch"/>
    <s v="Elektrizität"/>
    <s v="Gigawattstunde"/>
    <x v="4"/>
    <x v="10"/>
    <n v="1446"/>
  </r>
  <r>
    <x v="18"/>
    <s v="Endenergieverbrauch - Industriesektor - Nichtmetallische mineralische Rohstoffe - energetischer Verbrauch"/>
    <s v="Elektrizität"/>
    <s v="Gigawattstunde"/>
    <x v="5"/>
    <x v="10"/>
    <n v="1512"/>
  </r>
  <r>
    <x v="18"/>
    <s v="Endenergieverbrauch - Industriesektor - Nichtmetallische mineralische Rohstoffe - energetischer Verbrauch"/>
    <s v="Elektrizität"/>
    <s v="Gigawattstunde"/>
    <x v="6"/>
    <x v="10"/>
    <n v="1553"/>
  </r>
  <r>
    <x v="18"/>
    <s v="Endenergieverbrauch - Industriesektor - Nichtmetallische mineralische Rohstoffe - energetischer Verbrauch"/>
    <s v="Elektrizität"/>
    <s v="Gigawattstunde"/>
    <x v="7"/>
    <x v="10"/>
    <n v="1454"/>
  </r>
  <r>
    <x v="18"/>
    <s v="Endenergieverbrauch - Industriesektor - Nichtmetallische mineralische Rohstoffe - energetischer Verbrauch"/>
    <s v="Elektrizität"/>
    <s v="Gigawattstunde"/>
    <x v="8"/>
    <x v="10"/>
    <n v="1457"/>
  </r>
  <r>
    <x v="18"/>
    <s v="Endenergieverbrauch - Industriesektor - Nichtmetallische mineralische Rohstoffe - energetischer Verbrauch"/>
    <s v="Elektrizität"/>
    <s v="Gigawattstunde"/>
    <x v="9"/>
    <x v="10"/>
    <n v="1285"/>
  </r>
  <r>
    <x v="18"/>
    <s v="Endenergieverbrauch - Industriesektor - Nichtmetallische mineralische Rohstoffe - energetischer Verbrauch"/>
    <s v="Elektrizität"/>
    <s v="Gigawattstunde"/>
    <x v="10"/>
    <x v="10"/>
    <n v="1228"/>
  </r>
  <r>
    <x v="18"/>
    <s v="Endenergieverbrauch - Industriesektor - Nichtmetallische mineralische Rohstoffe - energetischer Verbrauch"/>
    <s v="Elektrizität"/>
    <s v="Gigawattstunde"/>
    <x v="11"/>
    <x v="10"/>
    <n v="1221"/>
  </r>
  <r>
    <x v="18"/>
    <s v="Endenergieverbrauch - Industriesektor - Nichtmetallische mineralische Rohstoffe - energetischer Verbrauch"/>
    <s v="Elektrizität"/>
    <s v="Gigawattstunde"/>
    <x v="12"/>
    <x v="10"/>
    <n v="1167"/>
  </r>
  <r>
    <x v="18"/>
    <s v="Endenergieverbrauch - Industriesektor - Nichtmetallische mineralische Rohstoffe - energetischer Verbrauch"/>
    <s v="Elektrizität"/>
    <s v="Gigawattstunde"/>
    <x v="13"/>
    <x v="10"/>
    <n v="1176.704"/>
  </r>
  <r>
    <x v="18"/>
    <s v="Endenergieverbrauch - Industriesektor - Nichtmetallische mineralische Rohstoffe - energetischer Verbrauch"/>
    <s v="Elektrizität"/>
    <s v="Gigawattstunde"/>
    <x v="14"/>
    <x v="10"/>
    <n v="1292.9290000000001"/>
  </r>
  <r>
    <x v="18"/>
    <s v="Endenergieverbrauch - Industriesektor - Nichtmetallische mineralische Rohstoffe - energetischer Verbrauch"/>
    <s v="Elektrizität"/>
    <s v="Gigawattstunde"/>
    <x v="15"/>
    <x v="10"/>
    <n v="1264.2049999999999"/>
  </r>
  <r>
    <x v="18"/>
    <s v="Endenergieverbrauch - Industriesektor - Nichtmetallische mineralische Rohstoffe - energetischer Verbrauch"/>
    <s v="Elektrizität"/>
    <s v="Gigawattstunde"/>
    <x v="16"/>
    <x v="10"/>
    <n v="1334.076"/>
  </r>
  <r>
    <x v="19"/>
    <s v="Endenergieverbrauch - Industriesektor - Nichtmetallische mineralische Rohstoffe - energetischer Verbrauch"/>
    <s v="Elektrizität"/>
    <s v="Gigawattstunde"/>
    <x v="0"/>
    <x v="10"/>
    <n v="2032"/>
  </r>
  <r>
    <x v="19"/>
    <s v="Endenergieverbrauch - Industriesektor - Nichtmetallische mineralische Rohstoffe - energetischer Verbrauch"/>
    <s v="Elektrizität"/>
    <s v="Gigawattstunde"/>
    <x v="1"/>
    <x v="10"/>
    <n v="1963"/>
  </r>
  <r>
    <x v="19"/>
    <s v="Endenergieverbrauch - Industriesektor - Nichtmetallische mineralische Rohstoffe - energetischer Verbrauch"/>
    <s v="Elektrizität"/>
    <s v="Gigawattstunde"/>
    <x v="2"/>
    <x v="10"/>
    <n v="1866"/>
  </r>
  <r>
    <x v="19"/>
    <s v="Endenergieverbrauch - Industriesektor - Nichtmetallische mineralische Rohstoffe - energetischer Verbrauch"/>
    <s v="Elektrizität"/>
    <s v="Gigawattstunde"/>
    <x v="3"/>
    <x v="10"/>
    <n v="1949.5229999999999"/>
  </r>
  <r>
    <x v="19"/>
    <s v="Endenergieverbrauch - Industriesektor - Nichtmetallische mineralische Rohstoffe - energetischer Verbrauch"/>
    <s v="Elektrizität"/>
    <s v="Gigawattstunde"/>
    <x v="4"/>
    <x v="10"/>
    <n v="1978.2149999999999"/>
  </r>
  <r>
    <x v="19"/>
    <s v="Endenergieverbrauch - Industriesektor - Nichtmetallische mineralische Rohstoffe - energetischer Verbrauch"/>
    <s v="Elektrizität"/>
    <s v="Gigawattstunde"/>
    <x v="5"/>
    <x v="10"/>
    <n v="2002.26"/>
  </r>
  <r>
    <x v="19"/>
    <s v="Endenergieverbrauch - Industriesektor - Nichtmetallische mineralische Rohstoffe - energetischer Verbrauch"/>
    <s v="Elektrizität"/>
    <s v="Gigawattstunde"/>
    <x v="6"/>
    <x v="10"/>
    <n v="2044.877"/>
  </r>
  <r>
    <x v="19"/>
    <s v="Endenergieverbrauch - Industriesektor - Nichtmetallische mineralische Rohstoffe - energetischer Verbrauch"/>
    <s v="Elektrizität"/>
    <s v="Gigawattstunde"/>
    <x v="7"/>
    <x v="10"/>
    <n v="1804.913"/>
  </r>
  <r>
    <x v="19"/>
    <s v="Endenergieverbrauch - Industriesektor - Nichtmetallische mineralische Rohstoffe - energetischer Verbrauch"/>
    <s v="Elektrizität"/>
    <s v="Gigawattstunde"/>
    <x v="8"/>
    <x v="10"/>
    <n v="1875.663"/>
  </r>
  <r>
    <x v="19"/>
    <s v="Endenergieverbrauch - Industriesektor - Nichtmetallische mineralische Rohstoffe - energetischer Verbrauch"/>
    <s v="Elektrizität"/>
    <s v="Gigawattstunde"/>
    <x v="9"/>
    <x v="10"/>
    <n v="1845.99"/>
  </r>
  <r>
    <x v="19"/>
    <s v="Endenergieverbrauch - Industriesektor - Nichtmetallische mineralische Rohstoffe - energetischer Verbrauch"/>
    <s v="Elektrizität"/>
    <s v="Gigawattstunde"/>
    <x v="10"/>
    <x v="10"/>
    <n v="1839.5830000000001"/>
  </r>
  <r>
    <x v="19"/>
    <s v="Endenergieverbrauch - Industriesektor - Nichtmetallische mineralische Rohstoffe - energetischer Verbrauch"/>
    <s v="Elektrizität"/>
    <s v="Gigawattstunde"/>
    <x v="11"/>
    <x v="10"/>
    <n v="2618.6390000000001"/>
  </r>
  <r>
    <x v="19"/>
    <s v="Endenergieverbrauch - Industriesektor - Nichtmetallische mineralische Rohstoffe - energetischer Verbrauch"/>
    <s v="Elektrizität"/>
    <s v="Gigawattstunde"/>
    <x v="12"/>
    <x v="10"/>
    <n v="2418.63"/>
  </r>
  <r>
    <x v="19"/>
    <s v="Endenergieverbrauch - Industriesektor - Nichtmetallische mineralische Rohstoffe - energetischer Verbrauch"/>
    <s v="Elektrizität"/>
    <s v="Gigawattstunde"/>
    <x v="13"/>
    <x v="10"/>
    <n v="2491.5300000000002"/>
  </r>
  <r>
    <x v="19"/>
    <s v="Endenergieverbrauch - Industriesektor - Nichtmetallische mineralische Rohstoffe - energetischer Verbrauch"/>
    <s v="Elektrizität"/>
    <s v="Gigawattstunde"/>
    <x v="14"/>
    <x v="10"/>
    <n v="2404.7860000000001"/>
  </r>
  <r>
    <x v="19"/>
    <s v="Endenergieverbrauch - Industriesektor - Nichtmetallische mineralische Rohstoffe - energetischer Verbrauch"/>
    <s v="Elektrizität"/>
    <s v="Gigawattstunde"/>
    <x v="15"/>
    <x v="10"/>
    <n v="2394.4430000000002"/>
  </r>
  <r>
    <x v="19"/>
    <s v="Endenergieverbrauch - Industriesektor - Nichtmetallische mineralische Rohstoffe - energetischer Verbrauch"/>
    <s v="Elektrizität"/>
    <s v="Gigawattstunde"/>
    <x v="16"/>
    <x v="10"/>
    <n v="2453.116"/>
  </r>
  <r>
    <x v="20"/>
    <s v="Endenergieverbrauch - Industriesektor - Nichtmetallische mineralische Rohstoffe - energetischer Verbrauch"/>
    <s v="Elektrizität"/>
    <s v="Gigawattstunde"/>
    <x v="0"/>
    <x v="10"/>
    <n v="3047"/>
  </r>
  <r>
    <x v="20"/>
    <s v="Endenergieverbrauch - Industriesektor - Nichtmetallische mineralische Rohstoffe - energetischer Verbrauch"/>
    <s v="Elektrizität"/>
    <s v="Gigawattstunde"/>
    <x v="1"/>
    <x v="10"/>
    <n v="3148"/>
  </r>
  <r>
    <x v="20"/>
    <s v="Endenergieverbrauch - Industriesektor - Nichtmetallische mineralische Rohstoffe - energetischer Verbrauch"/>
    <s v="Elektrizität"/>
    <s v="Gigawattstunde"/>
    <x v="2"/>
    <x v="10"/>
    <n v="3450"/>
  </r>
  <r>
    <x v="20"/>
    <s v="Endenergieverbrauch - Industriesektor - Nichtmetallische mineralische Rohstoffe - energetischer Verbrauch"/>
    <s v="Elektrizität"/>
    <s v="Gigawattstunde"/>
    <x v="3"/>
    <x v="10"/>
    <n v="3480"/>
  </r>
  <r>
    <x v="20"/>
    <s v="Endenergieverbrauch - Industriesektor - Nichtmetallische mineralische Rohstoffe - energetischer Verbrauch"/>
    <s v="Elektrizität"/>
    <s v="Gigawattstunde"/>
    <x v="4"/>
    <x v="10"/>
    <n v="3698"/>
  </r>
  <r>
    <x v="20"/>
    <s v="Endenergieverbrauch - Industriesektor - Nichtmetallische mineralische Rohstoffe - energetischer Verbrauch"/>
    <s v="Elektrizität"/>
    <s v="Gigawattstunde"/>
    <x v="5"/>
    <x v="10"/>
    <n v="4195"/>
  </r>
  <r>
    <x v="20"/>
    <s v="Endenergieverbrauch - Industriesektor - Nichtmetallische mineralische Rohstoffe - energetischer Verbrauch"/>
    <s v="Elektrizität"/>
    <s v="Gigawattstunde"/>
    <x v="6"/>
    <x v="10"/>
    <n v="4087"/>
  </r>
  <r>
    <x v="20"/>
    <s v="Endenergieverbrauch - Industriesektor - Nichtmetallische mineralische Rohstoffe - energetischer Verbrauch"/>
    <s v="Elektrizität"/>
    <s v="Gigawattstunde"/>
    <x v="7"/>
    <x v="10"/>
    <n v="4162"/>
  </r>
  <r>
    <x v="20"/>
    <s v="Endenergieverbrauch - Industriesektor - Nichtmetallische mineralische Rohstoffe - energetischer Verbrauch"/>
    <s v="Elektrizität"/>
    <s v="Gigawattstunde"/>
    <x v="8"/>
    <x v="10"/>
    <n v="4387"/>
  </r>
  <r>
    <x v="20"/>
    <s v="Endenergieverbrauch - Industriesektor - Nichtmetallische mineralische Rohstoffe - energetischer Verbrauch"/>
    <s v="Elektrizität"/>
    <s v="Gigawattstunde"/>
    <x v="9"/>
    <x v="10"/>
    <n v="4844"/>
  </r>
  <r>
    <x v="20"/>
    <s v="Endenergieverbrauch - Industriesektor - Nichtmetallische mineralische Rohstoffe - energetischer Verbrauch"/>
    <s v="Elektrizität"/>
    <s v="Gigawattstunde"/>
    <x v="10"/>
    <x v="10"/>
    <n v="4539"/>
  </r>
  <r>
    <x v="20"/>
    <s v="Endenergieverbrauch - Industriesektor - Nichtmetallische mineralische Rohstoffe - energetischer Verbrauch"/>
    <s v="Elektrizität"/>
    <s v="Gigawattstunde"/>
    <x v="11"/>
    <x v="10"/>
    <n v="4399"/>
  </r>
  <r>
    <x v="20"/>
    <s v="Endenergieverbrauch - Industriesektor - Nichtmetallische mineralische Rohstoffe - energetischer Verbrauch"/>
    <s v="Elektrizität"/>
    <s v="Gigawattstunde"/>
    <x v="12"/>
    <x v="10"/>
    <n v="4509"/>
  </r>
  <r>
    <x v="20"/>
    <s v="Endenergieverbrauch - Industriesektor - Nichtmetallische mineralische Rohstoffe - energetischer Verbrauch"/>
    <s v="Elektrizität"/>
    <s v="Gigawattstunde"/>
    <x v="13"/>
    <x v="10"/>
    <n v="4681"/>
  </r>
  <r>
    <x v="20"/>
    <s v="Endenergieverbrauch - Industriesektor - Nichtmetallische mineralische Rohstoffe - energetischer Verbrauch"/>
    <s v="Elektrizität"/>
    <s v="Gigawattstunde"/>
    <x v="14"/>
    <x v="10"/>
    <n v="5164"/>
  </r>
  <r>
    <x v="20"/>
    <s v="Endenergieverbrauch - Industriesektor - Nichtmetallische mineralische Rohstoffe - energetischer Verbrauch"/>
    <s v="Elektrizität"/>
    <s v="Gigawattstunde"/>
    <x v="15"/>
    <x v="10"/>
    <n v="5483.42"/>
  </r>
  <r>
    <x v="20"/>
    <s v="Endenergieverbrauch - Industriesektor - Nichtmetallische mineralische Rohstoffe - energetischer Verbrauch"/>
    <s v="Elektrizität"/>
    <s v="Gigawattstunde"/>
    <x v="16"/>
    <x v="10"/>
    <n v="5699.4769999999999"/>
  </r>
  <r>
    <x v="21"/>
    <s v="Endenergieverbrauch - Industriesektor - Nichtmetallische mineralische Rohstoffe - energetischer Verbrauch"/>
    <s v="Elektrizität"/>
    <s v="Gigawattstunde"/>
    <x v="0"/>
    <x v="10"/>
    <n v="2350"/>
  </r>
  <r>
    <x v="21"/>
    <s v="Endenergieverbrauch - Industriesektor - Nichtmetallische mineralische Rohstoffe - energetischer Verbrauch"/>
    <s v="Elektrizität"/>
    <s v="Gigawattstunde"/>
    <x v="1"/>
    <x v="10"/>
    <n v="2233"/>
  </r>
  <r>
    <x v="21"/>
    <s v="Endenergieverbrauch - Industriesektor - Nichtmetallische mineralische Rohstoffe - energetischer Verbrauch"/>
    <s v="Elektrizität"/>
    <s v="Gigawattstunde"/>
    <x v="2"/>
    <x v="10"/>
    <n v="2336"/>
  </r>
  <r>
    <x v="21"/>
    <s v="Endenergieverbrauch - Industriesektor - Nichtmetallische mineralische Rohstoffe - energetischer Verbrauch"/>
    <s v="Elektrizität"/>
    <s v="Gigawattstunde"/>
    <x v="3"/>
    <x v="10"/>
    <n v="2336"/>
  </r>
  <r>
    <x v="21"/>
    <s v="Endenergieverbrauch - Industriesektor - Nichtmetallische mineralische Rohstoffe - energetischer Verbrauch"/>
    <s v="Elektrizität"/>
    <s v="Gigawattstunde"/>
    <x v="4"/>
    <x v="10"/>
    <n v="2418"/>
  </r>
  <r>
    <x v="21"/>
    <s v="Endenergieverbrauch - Industriesektor - Nichtmetallische mineralische Rohstoffe - energetischer Verbrauch"/>
    <s v="Elektrizität"/>
    <s v="Gigawattstunde"/>
    <x v="5"/>
    <x v="10"/>
    <n v="2578"/>
  </r>
  <r>
    <x v="21"/>
    <s v="Endenergieverbrauch - Industriesektor - Nichtmetallische mineralische Rohstoffe - energetischer Verbrauch"/>
    <s v="Elektrizität"/>
    <s v="Gigawattstunde"/>
    <x v="6"/>
    <x v="10"/>
    <n v="2437"/>
  </r>
  <r>
    <x v="21"/>
    <s v="Endenergieverbrauch - Industriesektor - Nichtmetallische mineralische Rohstoffe - energetischer Verbrauch"/>
    <s v="Elektrizität"/>
    <s v="Gigawattstunde"/>
    <x v="7"/>
    <x v="10"/>
    <n v="2088"/>
  </r>
  <r>
    <x v="21"/>
    <s v="Endenergieverbrauch - Industriesektor - Nichtmetallische mineralische Rohstoffe - energetischer Verbrauch"/>
    <s v="Elektrizität"/>
    <s v="Gigawattstunde"/>
    <x v="8"/>
    <x v="10"/>
    <n v="2194"/>
  </r>
  <r>
    <x v="21"/>
    <s v="Endenergieverbrauch - Industriesektor - Nichtmetallische mineralische Rohstoffe - energetischer Verbrauch"/>
    <s v="Elektrizität"/>
    <s v="Gigawattstunde"/>
    <x v="9"/>
    <x v="10"/>
    <n v="1998"/>
  </r>
  <r>
    <x v="21"/>
    <s v="Endenergieverbrauch - Industriesektor - Nichtmetallische mineralische Rohstoffe - energetischer Verbrauch"/>
    <s v="Elektrizität"/>
    <s v="Gigawattstunde"/>
    <x v="10"/>
    <x v="10"/>
    <n v="1831"/>
  </r>
  <r>
    <x v="21"/>
    <s v="Endenergieverbrauch - Industriesektor - Nichtmetallische mineralische Rohstoffe - energetischer Verbrauch"/>
    <s v="Elektrizität"/>
    <s v="Gigawattstunde"/>
    <x v="11"/>
    <x v="10"/>
    <n v="1801"/>
  </r>
  <r>
    <x v="21"/>
    <s v="Endenergieverbrauch - Industriesektor - Nichtmetallische mineralische Rohstoffe - energetischer Verbrauch"/>
    <s v="Elektrizität"/>
    <s v="Gigawattstunde"/>
    <x v="12"/>
    <x v="10"/>
    <n v="1930"/>
  </r>
  <r>
    <x v="21"/>
    <s v="Endenergieverbrauch - Industriesektor - Nichtmetallische mineralische Rohstoffe - energetischer Verbrauch"/>
    <s v="Elektrizität"/>
    <s v="Gigawattstunde"/>
    <x v="13"/>
    <x v="10"/>
    <n v="1956"/>
  </r>
  <r>
    <x v="21"/>
    <s v="Endenergieverbrauch - Industriesektor - Nichtmetallische mineralische Rohstoffe - energetischer Verbrauch"/>
    <s v="Elektrizität"/>
    <s v="Gigawattstunde"/>
    <x v="14"/>
    <x v="10"/>
    <n v="1820.049"/>
  </r>
  <r>
    <x v="21"/>
    <s v="Endenergieverbrauch - Industriesektor - Nichtmetallische mineralische Rohstoffe - energetischer Verbrauch"/>
    <s v="Elektrizität"/>
    <s v="Gigawattstunde"/>
    <x v="15"/>
    <x v="10"/>
    <n v="1919.527"/>
  </r>
  <r>
    <x v="21"/>
    <s v="Endenergieverbrauch - Industriesektor - Nichtmetallische mineralische Rohstoffe - energetischer Verbrauch"/>
    <s v="Elektrizität"/>
    <s v="Gigawattstunde"/>
    <x v="16"/>
    <x v="10"/>
    <n v="1930.202"/>
  </r>
  <r>
    <x v="22"/>
    <s v="Endenergieverbrauch - Industriesektor - Nichtmetallische mineralische Rohstoffe - energetischer Verbrauch"/>
    <s v="Elektrizität"/>
    <s v="Gigawattstunde"/>
    <x v="0"/>
    <x v="10"/>
    <n v="1715"/>
  </r>
  <r>
    <x v="22"/>
    <s v="Endenergieverbrauch - Industriesektor - Nichtmetallische mineralische Rohstoffe - energetischer Verbrauch"/>
    <s v="Elektrizität"/>
    <s v="Gigawattstunde"/>
    <x v="1"/>
    <x v="10"/>
    <n v="1038"/>
  </r>
  <r>
    <x v="22"/>
    <s v="Endenergieverbrauch - Industriesektor - Nichtmetallische mineralische Rohstoffe - energetischer Verbrauch"/>
    <s v="Elektrizität"/>
    <s v="Gigawattstunde"/>
    <x v="2"/>
    <x v="10"/>
    <n v="2056"/>
  </r>
  <r>
    <x v="22"/>
    <s v="Endenergieverbrauch - Industriesektor - Nichtmetallische mineralische Rohstoffe - energetischer Verbrauch"/>
    <s v="Elektrizität"/>
    <s v="Gigawattstunde"/>
    <x v="3"/>
    <x v="10"/>
    <n v="2088"/>
  </r>
  <r>
    <x v="22"/>
    <s v="Endenergieverbrauch - Industriesektor - Nichtmetallische mineralische Rohstoffe - energetischer Verbrauch"/>
    <s v="Elektrizität"/>
    <s v="Gigawattstunde"/>
    <x v="4"/>
    <x v="10"/>
    <n v="3138"/>
  </r>
  <r>
    <x v="22"/>
    <s v="Endenergieverbrauch - Industriesektor - Nichtmetallische mineralische Rohstoffe - energetischer Verbrauch"/>
    <s v="Elektrizität"/>
    <s v="Gigawattstunde"/>
    <x v="5"/>
    <x v="10"/>
    <n v="2196"/>
  </r>
  <r>
    <x v="22"/>
    <s v="Endenergieverbrauch - Industriesektor - Nichtmetallische mineralische Rohstoffe - energetischer Verbrauch"/>
    <s v="Elektrizität"/>
    <s v="Gigawattstunde"/>
    <x v="6"/>
    <x v="10"/>
    <n v="2092"/>
  </r>
  <r>
    <x v="22"/>
    <s v="Endenergieverbrauch - Industriesektor - Nichtmetallische mineralische Rohstoffe - energetischer Verbrauch"/>
    <s v="Elektrizität"/>
    <s v="Gigawattstunde"/>
    <x v="7"/>
    <x v="10"/>
    <n v="1714"/>
  </r>
  <r>
    <x v="22"/>
    <s v="Endenergieverbrauch - Industriesektor - Nichtmetallische mineralische Rohstoffe - energetischer Verbrauch"/>
    <s v="Elektrizität"/>
    <s v="Gigawattstunde"/>
    <x v="8"/>
    <x v="10"/>
    <n v="1914"/>
  </r>
  <r>
    <x v="22"/>
    <s v="Endenergieverbrauch - Industriesektor - Nichtmetallische mineralische Rohstoffe - energetischer Verbrauch"/>
    <s v="Elektrizität"/>
    <s v="Gigawattstunde"/>
    <x v="9"/>
    <x v="10"/>
    <n v="1924"/>
  </r>
  <r>
    <x v="22"/>
    <s v="Endenergieverbrauch - Industriesektor - Nichtmetallische mineralische Rohstoffe - energetischer Verbrauch"/>
    <s v="Elektrizität"/>
    <s v="Gigawattstunde"/>
    <x v="10"/>
    <x v="10"/>
    <n v="1893"/>
  </r>
  <r>
    <x v="22"/>
    <s v="Endenergieverbrauch - Industriesektor - Nichtmetallische mineralische Rohstoffe - energetischer Verbrauch"/>
    <s v="Elektrizität"/>
    <s v="Gigawattstunde"/>
    <x v="11"/>
    <x v="10"/>
    <n v="1775"/>
  </r>
  <r>
    <x v="22"/>
    <s v="Endenergieverbrauch - Industriesektor - Nichtmetallische mineralische Rohstoffe - energetischer Verbrauch"/>
    <s v="Elektrizität"/>
    <s v="Gigawattstunde"/>
    <x v="12"/>
    <x v="10"/>
    <n v="1903"/>
  </r>
  <r>
    <x v="22"/>
    <s v="Endenergieverbrauch - Industriesektor - Nichtmetallische mineralische Rohstoffe - energetischer Verbrauch"/>
    <s v="Elektrizität"/>
    <s v="Gigawattstunde"/>
    <x v="13"/>
    <x v="10"/>
    <n v="2374"/>
  </r>
  <r>
    <x v="22"/>
    <s v="Endenergieverbrauch - Industriesektor - Nichtmetallische mineralische Rohstoffe - energetischer Verbrauch"/>
    <s v="Elektrizität"/>
    <s v="Gigawattstunde"/>
    <x v="14"/>
    <x v="10"/>
    <n v="2556"/>
  </r>
  <r>
    <x v="22"/>
    <s v="Endenergieverbrauch - Industriesektor - Nichtmetallische mineralische Rohstoffe - energetischer Verbrauch"/>
    <s v="Elektrizität"/>
    <s v="Gigawattstunde"/>
    <x v="15"/>
    <x v="10"/>
    <n v="2646.5450000000001"/>
  </r>
  <r>
    <x v="22"/>
    <s v="Endenergieverbrauch - Industriesektor - Nichtmetallische mineralische Rohstoffe - energetischer Verbrauch"/>
    <s v="Elektrizität"/>
    <s v="Gigawattstunde"/>
    <x v="16"/>
    <x v="10"/>
    <n v="2521.5590000000002"/>
  </r>
  <r>
    <x v="23"/>
    <s v="Endenergieverbrauch - Industriesektor - Nichtmetallische mineralische Rohstoffe - energetischer Verbrauch"/>
    <s v="Elektrizität"/>
    <s v="Gigawattstunde"/>
    <x v="0"/>
    <x v="10"/>
    <n v="412"/>
  </r>
  <r>
    <x v="23"/>
    <s v="Endenergieverbrauch - Industriesektor - Nichtmetallische mineralische Rohstoffe - energetischer Verbrauch"/>
    <s v="Elektrizität"/>
    <s v="Gigawattstunde"/>
    <x v="1"/>
    <x v="10"/>
    <n v="470"/>
  </r>
  <r>
    <x v="23"/>
    <s v="Endenergieverbrauch - Industriesektor - Nichtmetallische mineralische Rohstoffe - energetischer Verbrauch"/>
    <s v="Elektrizität"/>
    <s v="Gigawattstunde"/>
    <x v="2"/>
    <x v="10"/>
    <n v="443"/>
  </r>
  <r>
    <x v="23"/>
    <s v="Endenergieverbrauch - Industriesektor - Nichtmetallische mineralische Rohstoffe - energetischer Verbrauch"/>
    <s v="Elektrizität"/>
    <s v="Gigawattstunde"/>
    <x v="3"/>
    <x v="10"/>
    <n v="461"/>
  </r>
  <r>
    <x v="23"/>
    <s v="Endenergieverbrauch - Industriesektor - Nichtmetallische mineralische Rohstoffe - energetischer Verbrauch"/>
    <s v="Elektrizität"/>
    <s v="Gigawattstunde"/>
    <x v="4"/>
    <x v="10"/>
    <n v="492"/>
  </r>
  <r>
    <x v="23"/>
    <s v="Endenergieverbrauch - Industriesektor - Nichtmetallische mineralische Rohstoffe - energetischer Verbrauch"/>
    <s v="Elektrizität"/>
    <s v="Gigawattstunde"/>
    <x v="5"/>
    <x v="10"/>
    <n v="523"/>
  </r>
  <r>
    <x v="23"/>
    <s v="Endenergieverbrauch - Industriesektor - Nichtmetallische mineralische Rohstoffe - energetischer Verbrauch"/>
    <s v="Elektrizität"/>
    <s v="Gigawattstunde"/>
    <x v="6"/>
    <x v="10"/>
    <n v="514"/>
  </r>
  <r>
    <x v="23"/>
    <s v="Endenergieverbrauch - Industriesektor - Nichtmetallische mineralische Rohstoffe - energetischer Verbrauch"/>
    <s v="Elektrizität"/>
    <s v="Gigawattstunde"/>
    <x v="7"/>
    <x v="10"/>
    <n v="329"/>
  </r>
  <r>
    <x v="23"/>
    <s v="Endenergieverbrauch - Industriesektor - Nichtmetallische mineralische Rohstoffe - energetischer Verbrauch"/>
    <s v="Elektrizität"/>
    <s v="Gigawattstunde"/>
    <x v="8"/>
    <x v="10"/>
    <n v="409"/>
  </r>
  <r>
    <x v="23"/>
    <s v="Endenergieverbrauch - Industriesektor - Nichtmetallische mineralische Rohstoffe - energetischer Verbrauch"/>
    <s v="Elektrizität"/>
    <s v="Gigawattstunde"/>
    <x v="9"/>
    <x v="10"/>
    <n v="386"/>
  </r>
  <r>
    <x v="23"/>
    <s v="Endenergieverbrauch - Industriesektor - Nichtmetallische mineralische Rohstoffe - energetischer Verbrauch"/>
    <s v="Elektrizität"/>
    <s v="Gigawattstunde"/>
    <x v="10"/>
    <x v="10"/>
    <n v="356"/>
  </r>
  <r>
    <x v="23"/>
    <s v="Endenergieverbrauch - Industriesektor - Nichtmetallische mineralische Rohstoffe - energetischer Verbrauch"/>
    <s v="Elektrizität"/>
    <s v="Gigawattstunde"/>
    <x v="11"/>
    <x v="10"/>
    <n v="354"/>
  </r>
  <r>
    <x v="23"/>
    <s v="Endenergieverbrauch - Industriesektor - Nichtmetallische mineralische Rohstoffe - energetischer Verbrauch"/>
    <s v="Elektrizität"/>
    <s v="Gigawattstunde"/>
    <x v="12"/>
    <x v="10"/>
    <n v="369"/>
  </r>
  <r>
    <x v="23"/>
    <s v="Endenergieverbrauch - Industriesektor - Nichtmetallische mineralische Rohstoffe - energetischer Verbrauch"/>
    <s v="Elektrizität"/>
    <s v="Gigawattstunde"/>
    <x v="13"/>
    <x v="10"/>
    <n v="428"/>
  </r>
  <r>
    <x v="23"/>
    <s v="Endenergieverbrauch - Industriesektor - Nichtmetallische mineralische Rohstoffe - energetischer Verbrauch"/>
    <s v="Elektrizität"/>
    <s v="Gigawattstunde"/>
    <x v="14"/>
    <x v="10"/>
    <n v="347"/>
  </r>
  <r>
    <x v="23"/>
    <s v="Endenergieverbrauch - Industriesektor - Nichtmetallische mineralische Rohstoffe - energetischer Verbrauch"/>
    <s v="Elektrizität"/>
    <s v="Gigawattstunde"/>
    <x v="15"/>
    <x v="10"/>
    <n v="379.48200000000003"/>
  </r>
  <r>
    <x v="23"/>
    <s v="Endenergieverbrauch - Industriesektor - Nichtmetallische mineralische Rohstoffe - energetischer Verbrauch"/>
    <s v="Elektrizität"/>
    <s v="Gigawattstunde"/>
    <x v="16"/>
    <x v="10"/>
    <n v="399.46100000000001"/>
  </r>
  <r>
    <x v="24"/>
    <s v="Endenergieverbrauch - Industriesektor - Nichtmetallische mineralische Rohstoffe - energetischer Verbrauch"/>
    <s v="Elektrizität"/>
    <s v="Gigawattstunde"/>
    <x v="0"/>
    <x v="10"/>
    <n v="855"/>
  </r>
  <r>
    <x v="24"/>
    <s v="Endenergieverbrauch - Industriesektor - Nichtmetallische mineralische Rohstoffe - energetischer Verbrauch"/>
    <s v="Elektrizität"/>
    <s v="Gigawattstunde"/>
    <x v="1"/>
    <x v="10"/>
    <n v="1013"/>
  </r>
  <r>
    <x v="24"/>
    <s v="Endenergieverbrauch - Industriesektor - Nichtmetallische mineralische Rohstoffe - energetischer Verbrauch"/>
    <s v="Elektrizität"/>
    <s v="Gigawattstunde"/>
    <x v="2"/>
    <x v="10"/>
    <n v="788"/>
  </r>
  <r>
    <x v="24"/>
    <s v="Endenergieverbrauch - Industriesektor - Nichtmetallische mineralische Rohstoffe - energetischer Verbrauch"/>
    <s v="Elektrizität"/>
    <s v="Gigawattstunde"/>
    <x v="3"/>
    <x v="10"/>
    <n v="800"/>
  </r>
  <r>
    <x v="24"/>
    <s v="Endenergieverbrauch - Industriesektor - Nichtmetallische mineralische Rohstoffe - energetischer Verbrauch"/>
    <s v="Elektrizität"/>
    <s v="Gigawattstunde"/>
    <x v="4"/>
    <x v="10"/>
    <n v="787"/>
  </r>
  <r>
    <x v="24"/>
    <s v="Endenergieverbrauch - Industriesektor - Nichtmetallische mineralische Rohstoffe - energetischer Verbrauch"/>
    <s v="Elektrizität"/>
    <s v="Gigawattstunde"/>
    <x v="5"/>
    <x v="10"/>
    <n v="950"/>
  </r>
  <r>
    <x v="24"/>
    <s v="Endenergieverbrauch - Industriesektor - Nichtmetallische mineralische Rohstoffe - energetischer Verbrauch"/>
    <s v="Elektrizität"/>
    <s v="Gigawattstunde"/>
    <x v="6"/>
    <x v="10"/>
    <n v="831"/>
  </r>
  <r>
    <x v="24"/>
    <s v="Endenergieverbrauch - Industriesektor - Nichtmetallische mineralische Rohstoffe - energetischer Verbrauch"/>
    <s v="Elektrizität"/>
    <s v="Gigawattstunde"/>
    <x v="7"/>
    <x v="10"/>
    <n v="705"/>
  </r>
  <r>
    <x v="24"/>
    <s v="Endenergieverbrauch - Industriesektor - Nichtmetallische mineralische Rohstoffe - energetischer Verbrauch"/>
    <s v="Elektrizität"/>
    <s v="Gigawattstunde"/>
    <x v="8"/>
    <x v="10"/>
    <n v="671"/>
  </r>
  <r>
    <x v="24"/>
    <s v="Endenergieverbrauch - Industriesektor - Nichtmetallische mineralische Rohstoffe - energetischer Verbrauch"/>
    <s v="Elektrizität"/>
    <s v="Gigawattstunde"/>
    <x v="9"/>
    <x v="10"/>
    <n v="806"/>
  </r>
  <r>
    <x v="24"/>
    <s v="Endenergieverbrauch - Industriesektor - Nichtmetallische mineralische Rohstoffe - energetischer Verbrauch"/>
    <s v="Elektrizität"/>
    <s v="Gigawattstunde"/>
    <x v="10"/>
    <x v="10"/>
    <n v="662"/>
  </r>
  <r>
    <x v="24"/>
    <s v="Endenergieverbrauch - Industriesektor - Nichtmetallische mineralische Rohstoffe - energetischer Verbrauch"/>
    <s v="Elektrizität"/>
    <s v="Gigawattstunde"/>
    <x v="11"/>
    <x v="10"/>
    <n v="673"/>
  </r>
  <r>
    <x v="24"/>
    <s v="Endenergieverbrauch - Industriesektor - Nichtmetallische mineralische Rohstoffe - energetischer Verbrauch"/>
    <s v="Elektrizität"/>
    <s v="Gigawattstunde"/>
    <x v="12"/>
    <x v="10"/>
    <n v="675"/>
  </r>
  <r>
    <x v="24"/>
    <s v="Endenergieverbrauch - Industriesektor - Nichtmetallische mineralische Rohstoffe - energetischer Verbrauch"/>
    <s v="Elektrizität"/>
    <s v="Gigawattstunde"/>
    <x v="13"/>
    <x v="10"/>
    <n v="552"/>
  </r>
  <r>
    <x v="24"/>
    <s v="Endenergieverbrauch - Industriesektor - Nichtmetallische mineralische Rohstoffe - energetischer Verbrauch"/>
    <s v="Elektrizität"/>
    <s v="Gigawattstunde"/>
    <x v="14"/>
    <x v="10"/>
    <n v="759"/>
  </r>
  <r>
    <x v="24"/>
    <s v="Endenergieverbrauch - Industriesektor - Nichtmetallische mineralische Rohstoffe - energetischer Verbrauch"/>
    <s v="Elektrizität"/>
    <s v="Gigawattstunde"/>
    <x v="15"/>
    <x v="10"/>
    <n v="606"/>
  </r>
  <r>
    <x v="24"/>
    <s v="Endenergieverbrauch - Industriesektor - Nichtmetallische mineralische Rohstoffe - energetischer Verbrauch"/>
    <s v="Elektrizität"/>
    <s v="Gigawattstunde"/>
    <x v="16"/>
    <x v="10"/>
    <n v="773"/>
  </r>
  <r>
    <x v="25"/>
    <s v="Endenergieverbrauch - Industriesektor - Nichtmetallische mineralische Rohstoffe - energetischer Verbrauch"/>
    <s v="Elektrizität"/>
    <s v="Gigawattstunde"/>
    <x v="0"/>
    <x v="10"/>
    <n v="929"/>
  </r>
  <r>
    <x v="25"/>
    <s v="Endenergieverbrauch - Industriesektor - Nichtmetallische mineralische Rohstoffe - energetischer Verbrauch"/>
    <s v="Elektrizität"/>
    <s v="Gigawattstunde"/>
    <x v="1"/>
    <x v="10"/>
    <n v="942"/>
  </r>
  <r>
    <x v="25"/>
    <s v="Endenergieverbrauch - Industriesektor - Nichtmetallische mineralische Rohstoffe - energetischer Verbrauch"/>
    <s v="Elektrizität"/>
    <s v="Gigawattstunde"/>
    <x v="2"/>
    <x v="10"/>
    <n v="981"/>
  </r>
  <r>
    <x v="25"/>
    <s v="Endenergieverbrauch - Industriesektor - Nichtmetallische mineralische Rohstoffe - energetischer Verbrauch"/>
    <s v="Elektrizität"/>
    <s v="Gigawattstunde"/>
    <x v="3"/>
    <x v="10"/>
    <n v="981"/>
  </r>
  <r>
    <x v="25"/>
    <s v="Endenergieverbrauch - Industriesektor - Nichtmetallische mineralische Rohstoffe - energetischer Verbrauch"/>
    <s v="Elektrizität"/>
    <s v="Gigawattstunde"/>
    <x v="4"/>
    <x v="10"/>
    <n v="1043"/>
  </r>
  <r>
    <x v="25"/>
    <s v="Endenergieverbrauch - Industriesektor - Nichtmetallische mineralische Rohstoffe - energetischer Verbrauch"/>
    <s v="Elektrizität"/>
    <s v="Gigawattstunde"/>
    <x v="5"/>
    <x v="10"/>
    <n v="1019"/>
  </r>
  <r>
    <x v="25"/>
    <s v="Endenergieverbrauch - Industriesektor - Nichtmetallische mineralische Rohstoffe - energetischer Verbrauch"/>
    <s v="Elektrizität"/>
    <s v="Gigawattstunde"/>
    <x v="6"/>
    <x v="10"/>
    <n v="979"/>
  </r>
  <r>
    <x v="25"/>
    <s v="Endenergieverbrauch - Industriesektor - Nichtmetallische mineralische Rohstoffe - energetischer Verbrauch"/>
    <s v="Elektrizität"/>
    <s v="Gigawattstunde"/>
    <x v="7"/>
    <x v="10"/>
    <n v="734"/>
  </r>
  <r>
    <x v="25"/>
    <s v="Endenergieverbrauch - Industriesektor - Nichtmetallische mineralische Rohstoffe - energetischer Verbrauch"/>
    <s v="Elektrizität"/>
    <s v="Gigawattstunde"/>
    <x v="8"/>
    <x v="10"/>
    <n v="780"/>
  </r>
  <r>
    <x v="25"/>
    <s v="Endenergieverbrauch - Industriesektor - Nichtmetallische mineralische Rohstoffe - energetischer Verbrauch"/>
    <s v="Elektrizität"/>
    <s v="Gigawattstunde"/>
    <x v="9"/>
    <x v="10"/>
    <n v="855"/>
  </r>
  <r>
    <x v="25"/>
    <s v="Endenergieverbrauch - Industriesektor - Nichtmetallische mineralische Rohstoffe - energetischer Verbrauch"/>
    <s v="Elektrizität"/>
    <s v="Gigawattstunde"/>
    <x v="10"/>
    <x v="10"/>
    <n v="784"/>
  </r>
  <r>
    <x v="25"/>
    <s v="Endenergieverbrauch - Industriesektor - Nichtmetallische mineralische Rohstoffe - energetischer Verbrauch"/>
    <s v="Elektrizität"/>
    <s v="Gigawattstunde"/>
    <x v="11"/>
    <x v="10"/>
    <n v="767"/>
  </r>
  <r>
    <x v="25"/>
    <s v="Endenergieverbrauch - Industriesektor - Nichtmetallische mineralische Rohstoffe - energetischer Verbrauch"/>
    <s v="Elektrizität"/>
    <s v="Gigawattstunde"/>
    <x v="12"/>
    <x v="10"/>
    <n v="699"/>
  </r>
  <r>
    <x v="25"/>
    <s v="Endenergieverbrauch - Industriesektor - Nichtmetallische mineralische Rohstoffe - energetischer Verbrauch"/>
    <s v="Elektrizität"/>
    <s v="Gigawattstunde"/>
    <x v="13"/>
    <x v="10"/>
    <n v="660"/>
  </r>
  <r>
    <x v="25"/>
    <s v="Endenergieverbrauch - Industriesektor - Nichtmetallische mineralische Rohstoffe - energetischer Verbrauch"/>
    <s v="Elektrizität"/>
    <s v="Gigawattstunde"/>
    <x v="14"/>
    <x v="10"/>
    <n v="711"/>
  </r>
  <r>
    <x v="25"/>
    <s v="Endenergieverbrauch - Industriesektor - Nichtmetallische mineralische Rohstoffe - energetischer Verbrauch"/>
    <s v="Elektrizität"/>
    <s v="Gigawattstunde"/>
    <x v="15"/>
    <x v="10"/>
    <n v="820"/>
  </r>
  <r>
    <x v="25"/>
    <s v="Endenergieverbrauch - Industriesektor - Nichtmetallische mineralische Rohstoffe - energetischer Verbrauch"/>
    <s v="Elektrizität"/>
    <s v="Gigawattstunde"/>
    <x v="16"/>
    <x v="10"/>
    <n v="806"/>
  </r>
  <r>
    <x v="26"/>
    <s v="Endenergieverbrauch - Industriesektor - Nichtmetallische mineralische Rohstoffe - energetischer Verbrauch"/>
    <s v="Elektrizität"/>
    <s v="Gigawattstunde"/>
    <x v="0"/>
    <x v="10"/>
    <n v="1177"/>
  </r>
  <r>
    <x v="26"/>
    <s v="Endenergieverbrauch - Industriesektor - Nichtmetallische mineralische Rohstoffe - energetischer Verbrauch"/>
    <s v="Elektrizität"/>
    <s v="Gigawattstunde"/>
    <x v="1"/>
    <x v="10"/>
    <n v="1133"/>
  </r>
  <r>
    <x v="26"/>
    <s v="Endenergieverbrauch - Industriesektor - Nichtmetallische mineralische Rohstoffe - energetischer Verbrauch"/>
    <s v="Elektrizität"/>
    <s v="Gigawattstunde"/>
    <x v="2"/>
    <x v="10"/>
    <n v="1156"/>
  </r>
  <r>
    <x v="26"/>
    <s v="Endenergieverbrauch - Industriesektor - Nichtmetallische mineralische Rohstoffe - energetischer Verbrauch"/>
    <s v="Elektrizität"/>
    <s v="Gigawattstunde"/>
    <x v="3"/>
    <x v="10"/>
    <n v="1045"/>
  </r>
  <r>
    <x v="26"/>
    <s v="Endenergieverbrauch - Industriesektor - Nichtmetallische mineralische Rohstoffe - energetischer Verbrauch"/>
    <s v="Elektrizität"/>
    <s v="Gigawattstunde"/>
    <x v="4"/>
    <x v="10"/>
    <n v="1052"/>
  </r>
  <r>
    <x v="26"/>
    <s v="Endenergieverbrauch - Industriesektor - Nichtmetallische mineralische Rohstoffe - energetischer Verbrauch"/>
    <s v="Elektrizität"/>
    <s v="Gigawattstunde"/>
    <x v="5"/>
    <x v="10"/>
    <n v="1135"/>
  </r>
  <r>
    <x v="26"/>
    <s v="Endenergieverbrauch - Industriesektor - Nichtmetallische mineralische Rohstoffe - energetischer Verbrauch"/>
    <s v="Elektrizität"/>
    <s v="Gigawattstunde"/>
    <x v="6"/>
    <x v="10"/>
    <n v="1233"/>
  </r>
  <r>
    <x v="26"/>
    <s v="Endenergieverbrauch - Industriesektor - Nichtmetallische mineralische Rohstoffe - energetischer Verbrauch"/>
    <s v="Elektrizität"/>
    <s v="Gigawattstunde"/>
    <x v="7"/>
    <x v="10"/>
    <n v="961"/>
  </r>
  <r>
    <x v="26"/>
    <s v="Endenergieverbrauch - Industriesektor - Nichtmetallische mineralische Rohstoffe - energetischer Verbrauch"/>
    <s v="Elektrizität"/>
    <s v="Gigawattstunde"/>
    <x v="8"/>
    <x v="10"/>
    <n v="1049"/>
  </r>
  <r>
    <x v="26"/>
    <s v="Endenergieverbrauch - Industriesektor - Nichtmetallische mineralische Rohstoffe - energetischer Verbrauch"/>
    <s v="Elektrizität"/>
    <s v="Gigawattstunde"/>
    <x v="9"/>
    <x v="10"/>
    <n v="1021"/>
  </r>
  <r>
    <x v="26"/>
    <s v="Endenergieverbrauch - Industriesektor - Nichtmetallische mineralische Rohstoffe - energetischer Verbrauch"/>
    <s v="Elektrizität"/>
    <s v="Gigawattstunde"/>
    <x v="10"/>
    <x v="10"/>
    <n v="1009"/>
  </r>
  <r>
    <x v="26"/>
    <s v="Endenergieverbrauch - Industriesektor - Nichtmetallische mineralische Rohstoffe - energetischer Verbrauch"/>
    <s v="Elektrizität"/>
    <s v="Gigawattstunde"/>
    <x v="11"/>
    <x v="10"/>
    <n v="939"/>
  </r>
  <r>
    <x v="26"/>
    <s v="Endenergieverbrauch - Industriesektor - Nichtmetallische mineralische Rohstoffe - energetischer Verbrauch"/>
    <s v="Elektrizität"/>
    <s v="Gigawattstunde"/>
    <x v="12"/>
    <x v="10"/>
    <n v="958"/>
  </r>
  <r>
    <x v="26"/>
    <s v="Endenergieverbrauch - Industriesektor - Nichtmetallische mineralische Rohstoffe - energetischer Verbrauch"/>
    <s v="Elektrizität"/>
    <s v="Gigawattstunde"/>
    <x v="13"/>
    <x v="10"/>
    <n v="947"/>
  </r>
  <r>
    <x v="26"/>
    <s v="Endenergieverbrauch - Industriesektor - Nichtmetallische mineralische Rohstoffe - energetischer Verbrauch"/>
    <s v="Elektrizität"/>
    <s v="Gigawattstunde"/>
    <x v="14"/>
    <x v="10"/>
    <n v="986"/>
  </r>
  <r>
    <x v="26"/>
    <s v="Endenergieverbrauch - Industriesektor - Nichtmetallische mineralische Rohstoffe - energetischer Verbrauch"/>
    <s v="Elektrizität"/>
    <s v="Gigawattstunde"/>
    <x v="15"/>
    <x v="10"/>
    <n v="1031"/>
  </r>
  <r>
    <x v="26"/>
    <s v="Endenergieverbrauch - Industriesektor - Nichtmetallische mineralische Rohstoffe - energetischer Verbrauch"/>
    <s v="Elektrizität"/>
    <s v="Gigawattstunde"/>
    <x v="16"/>
    <x v="10"/>
    <n v="1020"/>
  </r>
  <r>
    <x v="27"/>
    <s v="Endenergieverbrauch - Industriesektor - Nichtmetallische mineralische Rohstoffe - energetischer Verbrauch"/>
    <s v="Elektrizität"/>
    <s v="Gigawattstunde"/>
    <x v="0"/>
    <x v="10"/>
    <n v="7115"/>
  </r>
  <r>
    <x v="27"/>
    <s v="Endenergieverbrauch - Industriesektor - Nichtmetallische mineralische Rohstoffe - energetischer Verbrauch"/>
    <s v="Elektrizität"/>
    <s v="Gigawattstunde"/>
    <x v="1"/>
    <x v="10"/>
    <n v="7451"/>
  </r>
  <r>
    <x v="27"/>
    <s v="Endenergieverbrauch - Industriesektor - Nichtmetallische mineralische Rohstoffe - energetischer Verbrauch"/>
    <s v="Elektrizität"/>
    <s v="Gigawattstunde"/>
    <x v="2"/>
    <x v="10"/>
    <n v="7535"/>
  </r>
  <r>
    <x v="27"/>
    <s v="Endenergieverbrauch - Industriesektor - Nichtmetallische mineralische Rohstoffe - energetischer Verbrauch"/>
    <s v="Elektrizität"/>
    <s v="Gigawattstunde"/>
    <x v="3"/>
    <x v="10"/>
    <n v="7978"/>
  </r>
  <r>
    <x v="27"/>
    <s v="Endenergieverbrauch - Industriesektor - Nichtmetallische mineralische Rohstoffe - energetischer Verbrauch"/>
    <s v="Elektrizität"/>
    <s v="Gigawattstunde"/>
    <x v="4"/>
    <x v="10"/>
    <n v="7869"/>
  </r>
  <r>
    <x v="27"/>
    <s v="Endenergieverbrauch - Industriesektor - Nichtmetallische mineralische Rohstoffe - energetischer Verbrauch"/>
    <s v="Elektrizität"/>
    <s v="Gigawattstunde"/>
    <x v="5"/>
    <x v="10"/>
    <n v="7811"/>
  </r>
  <r>
    <x v="27"/>
    <s v="Endenergieverbrauch - Industriesektor - Nichtmetallische mineralische Rohstoffe - energetischer Verbrauch"/>
    <s v="Elektrizität"/>
    <s v="Gigawattstunde"/>
    <x v="6"/>
    <x v="10"/>
    <n v="7931"/>
  </r>
  <r>
    <x v="27"/>
    <s v="Endenergieverbrauch - Industriesektor - Nichtmetallische mineralische Rohstoffe - energetischer Verbrauch"/>
    <s v="Elektrizität"/>
    <s v="Gigawattstunde"/>
    <x v="7"/>
    <x v="10"/>
    <n v="7010"/>
  </r>
  <r>
    <x v="27"/>
    <s v="Endenergieverbrauch - Industriesektor - Nichtmetallische mineralische Rohstoffe - energetischer Verbrauch"/>
    <s v="Elektrizität"/>
    <s v="Gigawattstunde"/>
    <x v="8"/>
    <x v="10"/>
    <n v="7266"/>
  </r>
  <r>
    <x v="27"/>
    <s v="Endenergieverbrauch - Industriesektor - Nichtmetallische mineralische Rohstoffe - energetischer Verbrauch"/>
    <s v="Elektrizität"/>
    <s v="Gigawattstunde"/>
    <x v="9"/>
    <x v="10"/>
    <n v="7010"/>
  </r>
  <r>
    <x v="27"/>
    <s v="Endenergieverbrauch - Industriesektor - Nichtmetallische mineralische Rohstoffe - energetischer Verbrauch"/>
    <s v="Elektrizität"/>
    <s v="Gigawattstunde"/>
    <x v="10"/>
    <x v="10"/>
    <n v="6747"/>
  </r>
  <r>
    <x v="27"/>
    <s v="Endenergieverbrauch - Industriesektor - Nichtmetallische mineralische Rohstoffe - energetischer Verbrauch"/>
    <s v="Elektrizität"/>
    <s v="Gigawattstunde"/>
    <x v="11"/>
    <x v="10"/>
    <n v="6726"/>
  </r>
  <r>
    <x v="27"/>
    <s v="Endenergieverbrauch - Industriesektor - Nichtmetallische mineralische Rohstoffe - energetischer Verbrauch"/>
    <s v="Elektrizität"/>
    <s v="Gigawattstunde"/>
    <x v="12"/>
    <x v="10"/>
    <n v="6267"/>
  </r>
  <r>
    <x v="27"/>
    <s v="Endenergieverbrauch - Industriesektor - Nichtmetallische mineralische Rohstoffe - energetischer Verbrauch"/>
    <s v="Elektrizität"/>
    <s v="Gigawattstunde"/>
    <x v="13"/>
    <x v="10"/>
    <n v="6101.85"/>
  </r>
  <r>
    <x v="27"/>
    <s v="Endenergieverbrauch - Industriesektor - Nichtmetallische mineralische Rohstoffe - energetischer Verbrauch"/>
    <s v="Elektrizität"/>
    <s v="Gigawattstunde"/>
    <x v="14"/>
    <x v="10"/>
    <n v="6239.6059999999998"/>
  </r>
  <r>
    <x v="27"/>
    <s v="Endenergieverbrauch - Industriesektor - Nichtmetallische mineralische Rohstoffe - energetischer Verbrauch"/>
    <s v="Elektrizität"/>
    <s v="Gigawattstunde"/>
    <x v="15"/>
    <x v="10"/>
    <n v="6169.9520000000002"/>
  </r>
  <r>
    <x v="27"/>
    <s v="Endenergieverbrauch - Industriesektor - Nichtmetallische mineralische Rohstoffe - energetischer Verbrauch"/>
    <s v="Elektrizität"/>
    <s v="Gigawattstunde"/>
    <x v="16"/>
    <x v="10"/>
    <n v="6309.9059999999999"/>
  </r>
  <r>
    <x v="28"/>
    <s v="Endenergieverbrauch - Industriesektor - Nichtmetallische mineralische Rohstoffe - energetischer Verbrauch"/>
    <s v="Elektrizität"/>
    <s v="Gigawattstunde"/>
    <x v="0"/>
    <x v="10"/>
    <n v="32"/>
  </r>
  <r>
    <x v="28"/>
    <s v="Endenergieverbrauch - Industriesektor - Nichtmetallische mineralische Rohstoffe - energetischer Verbrauch"/>
    <s v="Elektrizität"/>
    <s v="Gigawattstunde"/>
    <x v="1"/>
    <x v="10"/>
    <n v="31"/>
  </r>
  <r>
    <x v="28"/>
    <s v="Endenergieverbrauch - Industriesektor - Nichtmetallische mineralische Rohstoffe - energetischer Verbrauch"/>
    <s v="Elektrizität"/>
    <s v="Gigawattstunde"/>
    <x v="2"/>
    <x v="10"/>
    <n v="41"/>
  </r>
  <r>
    <x v="28"/>
    <s v="Endenergieverbrauch - Industriesektor - Nichtmetallische mineralische Rohstoffe - energetischer Verbrauch"/>
    <s v="Elektrizität"/>
    <s v="Gigawattstunde"/>
    <x v="3"/>
    <x v="10"/>
    <n v="45"/>
  </r>
  <r>
    <x v="28"/>
    <s v="Endenergieverbrauch - Industriesektor - Nichtmetallische mineralische Rohstoffe - energetischer Verbrauch"/>
    <s v="Elektrizität"/>
    <s v="Gigawattstunde"/>
    <x v="4"/>
    <x v="10"/>
    <n v="42"/>
  </r>
  <r>
    <x v="28"/>
    <s v="Endenergieverbrauch - Industriesektor - Nichtmetallische mineralische Rohstoffe - energetischer Verbrauch"/>
    <s v="Elektrizität"/>
    <s v="Gigawattstunde"/>
    <x v="5"/>
    <x v="10"/>
    <n v="51"/>
  </r>
  <r>
    <x v="28"/>
    <s v="Endenergieverbrauch - Industriesektor - Nichtmetallische mineralische Rohstoffe - energetischer Verbrauch"/>
    <s v="Elektrizität"/>
    <s v="Gigawattstunde"/>
    <x v="6"/>
    <x v="10"/>
    <n v="47"/>
  </r>
  <r>
    <x v="28"/>
    <s v="Endenergieverbrauch - Industriesektor - Nichtmetallische mineralische Rohstoffe - energetischer Verbrauch"/>
    <s v="Elektrizität"/>
    <s v="Gigawattstunde"/>
    <x v="7"/>
    <x v="10"/>
    <n v="31"/>
  </r>
  <r>
    <x v="28"/>
    <s v="Endenergieverbrauch - Industriesektor - Nichtmetallische mineralische Rohstoffe - energetischer Verbrauch"/>
    <s v="Elektrizität"/>
    <s v="Gigawattstunde"/>
    <x v="8"/>
    <x v="10"/>
    <n v="23"/>
  </r>
  <r>
    <x v="28"/>
    <s v="Endenergieverbrauch - Industriesektor - Nichtmetallische mineralische Rohstoffe - energetischer Verbrauch"/>
    <s v="Elektrizität"/>
    <s v="Gigawattstunde"/>
    <x v="9"/>
    <x v="10"/>
    <n v="26"/>
  </r>
  <r>
    <x v="28"/>
    <s v="Endenergieverbrauch - Industriesektor - Nichtmetallische mineralische Rohstoffe - energetischer Verbrauch"/>
    <s v="Elektrizität"/>
    <s v="Gigawattstunde"/>
    <x v="10"/>
    <x v="10"/>
    <n v="22"/>
  </r>
  <r>
    <x v="28"/>
    <s v="Endenergieverbrauch - Industriesektor - Nichtmetallische mineralische Rohstoffe - energetischer Verbrauch"/>
    <s v="Elektrizität"/>
    <s v="Gigawattstunde"/>
    <x v="11"/>
    <x v="10"/>
    <n v="24"/>
  </r>
  <r>
    <x v="28"/>
    <s v="Endenergieverbrauch - Industriesektor - Nichtmetallische mineralische Rohstoffe - energetischer Verbrauch"/>
    <s v="Elektrizität"/>
    <s v="Gigawattstunde"/>
    <x v="12"/>
    <x v="10"/>
    <n v="23"/>
  </r>
  <r>
    <x v="28"/>
    <s v="Endenergieverbrauch - Industriesektor - Nichtmetallische mineralische Rohstoffe - energetischer Verbrauch"/>
    <s v="Elektrizität"/>
    <s v="Gigawattstunde"/>
    <x v="13"/>
    <x v="10"/>
    <n v="28"/>
  </r>
  <r>
    <x v="28"/>
    <s v="Endenergieverbrauch - Industriesektor - Nichtmetallische mineralische Rohstoffe - energetischer Verbrauch"/>
    <s v="Elektrizität"/>
    <s v="Gigawattstunde"/>
    <x v="14"/>
    <x v="10"/>
    <n v="45"/>
  </r>
  <r>
    <x v="28"/>
    <s v="Endenergieverbrauch - Industriesektor - Nichtmetallische mineralische Rohstoffe - energetischer Verbrauch"/>
    <s v="Elektrizität"/>
    <s v="Gigawattstunde"/>
    <x v="15"/>
    <x v="10"/>
    <n v="123.994"/>
  </r>
  <r>
    <x v="28"/>
    <s v="Endenergieverbrauch - Industriesektor - Nichtmetallische mineralische Rohstoffe - energetischer Verbrauch"/>
    <s v="Elektrizität"/>
    <s v="Gigawattstunde"/>
    <x v="16"/>
    <x v="10"/>
    <n v="176.78"/>
  </r>
  <r>
    <x v="29"/>
    <s v="Endenergieverbrauch - Industriesektor - Nichtmetallische mineralische Rohstoffe - energetischer Verbrauch"/>
    <s v="Elektrizität"/>
    <s v="Gigawattstunde"/>
    <x v="0"/>
    <x v="10"/>
    <n v="843"/>
  </r>
  <r>
    <x v="29"/>
    <s v="Endenergieverbrauch - Industriesektor - Nichtmetallische mineralische Rohstoffe - energetischer Verbrauch"/>
    <s v="Elektrizität"/>
    <s v="Gigawattstunde"/>
    <x v="1"/>
    <x v="10"/>
    <n v="834"/>
  </r>
  <r>
    <x v="29"/>
    <s v="Endenergieverbrauch - Industriesektor - Nichtmetallische mineralische Rohstoffe - energetischer Verbrauch"/>
    <s v="Elektrizität"/>
    <s v="Gigawattstunde"/>
    <x v="2"/>
    <x v="10"/>
    <n v="853"/>
  </r>
  <r>
    <x v="29"/>
    <s v="Endenergieverbrauch - Industriesektor - Nichtmetallische mineralische Rohstoffe - energetischer Verbrauch"/>
    <s v="Elektrizität"/>
    <s v="Gigawattstunde"/>
    <x v="3"/>
    <x v="10"/>
    <n v="886"/>
  </r>
  <r>
    <x v="29"/>
    <s v="Endenergieverbrauch - Industriesektor - Nichtmetallische mineralische Rohstoffe - energetischer Verbrauch"/>
    <s v="Elektrizität"/>
    <s v="Gigawattstunde"/>
    <x v="4"/>
    <x v="10"/>
    <n v="928"/>
  </r>
  <r>
    <x v="29"/>
    <s v="Endenergieverbrauch - Industriesektor - Nichtmetallische mineralische Rohstoffe - energetischer Verbrauch"/>
    <s v="Elektrizität"/>
    <s v="Gigawattstunde"/>
    <x v="5"/>
    <x v="10"/>
    <n v="936"/>
  </r>
  <r>
    <x v="29"/>
    <s v="Endenergieverbrauch - Industriesektor - Nichtmetallische mineralische Rohstoffe - energetischer Verbrauch"/>
    <s v="Elektrizität"/>
    <s v="Gigawattstunde"/>
    <x v="6"/>
    <x v="10"/>
    <n v="980"/>
  </r>
  <r>
    <x v="29"/>
    <s v="Endenergieverbrauch - Industriesektor - Nichtmetallische mineralische Rohstoffe - energetischer Verbrauch"/>
    <s v="Elektrizität"/>
    <s v="Gigawattstunde"/>
    <x v="7"/>
    <x v="10"/>
    <n v="736"/>
  </r>
  <r>
    <x v="29"/>
    <s v="Endenergieverbrauch - Industriesektor - Nichtmetallische mineralische Rohstoffe - energetischer Verbrauch"/>
    <s v="Elektrizität"/>
    <s v="Gigawattstunde"/>
    <x v="8"/>
    <x v="10"/>
    <n v="857"/>
  </r>
  <r>
    <x v="29"/>
    <s v="Endenergieverbrauch - Industriesektor - Nichtmetallische mineralische Rohstoffe - energetischer Verbrauch"/>
    <s v="Elektrizität"/>
    <s v="Gigawattstunde"/>
    <x v="9"/>
    <x v="10"/>
    <n v="871"/>
  </r>
  <r>
    <x v="29"/>
    <s v="Endenergieverbrauch - Industriesektor - Nichtmetallische mineralische Rohstoffe - energetischer Verbrauch"/>
    <s v="Elektrizität"/>
    <s v="Gigawattstunde"/>
    <x v="10"/>
    <x v="10"/>
    <n v="836"/>
  </r>
  <r>
    <x v="29"/>
    <s v="Endenergieverbrauch - Industriesektor - Nichtmetallische mineralische Rohstoffe - energetischer Verbrauch"/>
    <s v="Elektrizität"/>
    <s v="Gigawattstunde"/>
    <x v="11"/>
    <x v="10"/>
    <n v="892"/>
  </r>
  <r>
    <x v="29"/>
    <s v="Endenergieverbrauch - Industriesektor - Nichtmetallische mineralische Rohstoffe - energetischer Verbrauch"/>
    <s v="Elektrizität"/>
    <s v="Gigawattstunde"/>
    <x v="12"/>
    <x v="10"/>
    <n v="913"/>
  </r>
  <r>
    <x v="29"/>
    <s v="Endenergieverbrauch - Industriesektor - Nichtmetallische mineralische Rohstoffe - energetischer Verbrauch"/>
    <s v="Elektrizität"/>
    <s v="Gigawattstunde"/>
    <x v="13"/>
    <x v="10"/>
    <n v="944"/>
  </r>
  <r>
    <x v="29"/>
    <s v="Endenergieverbrauch - Industriesektor - Nichtmetallische mineralische Rohstoffe - energetischer Verbrauch"/>
    <s v="Elektrizität"/>
    <s v="Gigawattstunde"/>
    <x v="14"/>
    <x v="10"/>
    <n v="868"/>
  </r>
  <r>
    <x v="29"/>
    <s v="Endenergieverbrauch - Industriesektor - Nichtmetallische mineralische Rohstoffe - energetischer Verbrauch"/>
    <s v="Elektrizität"/>
    <s v="Gigawattstunde"/>
    <x v="15"/>
    <x v="10"/>
    <n v="938"/>
  </r>
  <r>
    <x v="29"/>
    <s v="Endenergieverbrauch - Industriesektor - Nichtmetallische mineralische Rohstoffe - energetischer Verbrauch"/>
    <s v="Elektrizität"/>
    <s v="Gigawattstunde"/>
    <x v="16"/>
    <x v="10"/>
    <n v="981.33100000000002"/>
  </r>
  <r>
    <x v="30"/>
    <s v="Endenergieverbrauch - Industriesektor - Nichtmetallische mineralische Rohstoffe - energetischer Verbrauch"/>
    <s v="Elektrizität"/>
    <s v="Gigawattstunde"/>
    <x v="0"/>
    <x v="10"/>
    <n v="0"/>
  </r>
  <r>
    <x v="30"/>
    <s v="Endenergieverbrauch - Industriesektor - Nichtmetallische mineralische Rohstoffe - energetischer Verbrauch"/>
    <s v="Elektrizität"/>
    <s v="Gigawattstunde"/>
    <x v="1"/>
    <x v="10"/>
    <n v="0"/>
  </r>
  <r>
    <x v="30"/>
    <s v="Endenergieverbrauch - Industriesektor - Nichtmetallische mineralische Rohstoffe - energetischer Verbrauch"/>
    <s v="Elektrizität"/>
    <s v="Gigawattstunde"/>
    <x v="2"/>
    <x v="10"/>
    <n v="684"/>
  </r>
  <r>
    <x v="30"/>
    <s v="Endenergieverbrauch - Industriesektor - Nichtmetallische mineralische Rohstoffe - energetischer Verbrauch"/>
    <s v="Elektrizität"/>
    <s v="Gigawattstunde"/>
    <x v="3"/>
    <x v="10"/>
    <n v="670"/>
  </r>
  <r>
    <x v="30"/>
    <s v="Endenergieverbrauch - Industriesektor - Nichtmetallische mineralische Rohstoffe - energetischer Verbrauch"/>
    <s v="Elektrizität"/>
    <s v="Gigawattstunde"/>
    <x v="4"/>
    <x v="10"/>
    <n v="664"/>
  </r>
  <r>
    <x v="30"/>
    <s v="Endenergieverbrauch - Industriesektor - Nichtmetallische mineralische Rohstoffe - energetischer Verbrauch"/>
    <s v="Elektrizität"/>
    <s v="Gigawattstunde"/>
    <x v="5"/>
    <x v="10"/>
    <n v="939"/>
  </r>
  <r>
    <x v="30"/>
    <s v="Endenergieverbrauch - Industriesektor - Nichtmetallische mineralische Rohstoffe - energetischer Verbrauch"/>
    <s v="Elektrizität"/>
    <s v="Gigawattstunde"/>
    <x v="6"/>
    <x v="10"/>
    <n v="428"/>
  </r>
  <r>
    <x v="30"/>
    <s v="Endenergieverbrauch - Industriesektor - Nichtmetallische mineralische Rohstoffe - energetischer Verbrauch"/>
    <s v="Elektrizität"/>
    <s v="Gigawattstunde"/>
    <x v="7"/>
    <x v="10"/>
    <n v="351"/>
  </r>
  <r>
    <x v="30"/>
    <s v="Endenergieverbrauch - Industriesektor - Nichtmetallische mineralische Rohstoffe - energetischer Verbrauch"/>
    <s v="Elektrizität"/>
    <s v="Gigawattstunde"/>
    <x v="8"/>
    <x v="10"/>
    <n v="550"/>
  </r>
  <r>
    <x v="30"/>
    <s v="Endenergieverbrauch - Industriesektor - Nichtmetallische mineralische Rohstoffe - energetischer Verbrauch"/>
    <s v="Elektrizität"/>
    <s v="Gigawattstunde"/>
    <x v="9"/>
    <x v="10"/>
    <n v="569"/>
  </r>
  <r>
    <x v="30"/>
    <s v="Endenergieverbrauch - Industriesektor - Nichtmetallische mineralische Rohstoffe - energetischer Verbrauch"/>
    <s v="Elektrizität"/>
    <s v="Gigawattstunde"/>
    <x v="10"/>
    <x v="10"/>
    <n v="567"/>
  </r>
  <r>
    <x v="30"/>
    <s v="Endenergieverbrauch - Industriesektor - Nichtmetallische mineralische Rohstoffe - energetischer Verbrauch"/>
    <s v="Elektrizität"/>
    <s v="Gigawattstunde"/>
    <x v="11"/>
    <x v="10"/>
    <n v="700"/>
  </r>
  <r>
    <x v="30"/>
    <s v="Endenergieverbrauch - Industriesektor - Nichtmetallische mineralische Rohstoffe - energetischer Verbrauch"/>
    <s v="Elektrizität"/>
    <s v="Gigawattstunde"/>
    <x v="12"/>
    <x v="10"/>
    <n v="576"/>
  </r>
  <r>
    <x v="30"/>
    <s v="Endenergieverbrauch - Industriesektor - Nichtmetallische mineralische Rohstoffe - energetischer Verbrauch"/>
    <s v="Elektrizität"/>
    <s v="Gigawattstunde"/>
    <x v="13"/>
    <x v="10"/>
    <n v="654"/>
  </r>
  <r>
    <x v="30"/>
    <s v="Endenergieverbrauch - Industriesektor - Nichtmetallische mineralische Rohstoffe - energetischer Verbrauch"/>
    <s v="Elektrizität"/>
    <s v="Gigawattstunde"/>
    <x v="14"/>
    <x v="10"/>
    <n v="717"/>
  </r>
  <r>
    <x v="30"/>
    <s v="Endenergieverbrauch - Industriesektor - Nichtmetallische mineralische Rohstoffe - energetischer Verbrauch"/>
    <s v="Elektrizität"/>
    <s v="Gigawattstunde"/>
    <x v="15"/>
    <x v="10"/>
    <n v="752.197"/>
  </r>
  <r>
    <x v="30"/>
    <s v="Endenergieverbrauch - Industriesektor - Nichtmetallische mineralische Rohstoffe - energetischer Verbrauch"/>
    <s v="Elektrizität"/>
    <s v="Gigawattstunde"/>
    <x v="16"/>
    <x v="10"/>
    <n v="738.024"/>
  </r>
  <r>
    <x v="0"/>
    <s v="Endenergieverbrauch - Industriesektor - Papier, Zellstoff und Druckerzeugnisse - energetischer Verbrauch"/>
    <s v="Elektrizität"/>
    <s v="Gigawattstunde"/>
    <x v="0"/>
    <x v="11"/>
    <n v="2497"/>
  </r>
  <r>
    <x v="0"/>
    <s v="Endenergieverbrauch - Industriesektor - Papier, Zellstoff und Druckerzeugnisse - energetischer Verbrauch"/>
    <s v="Elektrizität"/>
    <s v="Gigawattstunde"/>
    <x v="1"/>
    <x v="11"/>
    <n v="2563"/>
  </r>
  <r>
    <x v="0"/>
    <s v="Endenergieverbrauch - Industriesektor - Papier, Zellstoff und Druckerzeugnisse - energetischer Verbrauch"/>
    <s v="Elektrizität"/>
    <s v="Gigawattstunde"/>
    <x v="2"/>
    <x v="11"/>
    <n v="2612"/>
  </r>
  <r>
    <x v="0"/>
    <s v="Endenergieverbrauch - Industriesektor - Papier, Zellstoff und Druckerzeugnisse - energetischer Verbrauch"/>
    <s v="Elektrizität"/>
    <s v="Gigawattstunde"/>
    <x v="3"/>
    <x v="11"/>
    <n v="2710"/>
  </r>
  <r>
    <x v="0"/>
    <s v="Endenergieverbrauch - Industriesektor - Papier, Zellstoff und Druckerzeugnisse - energetischer Verbrauch"/>
    <s v="Elektrizität"/>
    <s v="Gigawattstunde"/>
    <x v="4"/>
    <x v="11"/>
    <n v="2739"/>
  </r>
  <r>
    <x v="0"/>
    <s v="Endenergieverbrauch - Industriesektor - Papier, Zellstoff und Druckerzeugnisse - energetischer Verbrauch"/>
    <s v="Elektrizität"/>
    <s v="Gigawattstunde"/>
    <x v="5"/>
    <x v="11"/>
    <n v="2848"/>
  </r>
  <r>
    <x v="0"/>
    <s v="Endenergieverbrauch - Industriesektor - Papier, Zellstoff und Druckerzeugnisse - energetischer Verbrauch"/>
    <s v="Elektrizität"/>
    <s v="Gigawattstunde"/>
    <x v="6"/>
    <x v="11"/>
    <n v="2671"/>
  </r>
  <r>
    <x v="0"/>
    <s v="Endenergieverbrauch - Industriesektor - Papier, Zellstoff und Druckerzeugnisse - energetischer Verbrauch"/>
    <s v="Elektrizität"/>
    <s v="Gigawattstunde"/>
    <x v="7"/>
    <x v="11"/>
    <n v="2382"/>
  </r>
  <r>
    <x v="0"/>
    <s v="Endenergieverbrauch - Industriesektor - Papier, Zellstoff und Druckerzeugnisse - energetischer Verbrauch"/>
    <s v="Elektrizität"/>
    <s v="Gigawattstunde"/>
    <x v="8"/>
    <x v="11"/>
    <n v="2600"/>
  </r>
  <r>
    <x v="0"/>
    <s v="Endenergieverbrauch - Industriesektor - Papier, Zellstoff und Druckerzeugnisse - energetischer Verbrauch"/>
    <s v="Elektrizität"/>
    <s v="Gigawattstunde"/>
    <x v="9"/>
    <x v="11"/>
    <n v="2640"/>
  </r>
  <r>
    <x v="0"/>
    <s v="Endenergieverbrauch - Industriesektor - Papier, Zellstoff und Druckerzeugnisse - energetischer Verbrauch"/>
    <s v="Elektrizität"/>
    <s v="Gigawattstunde"/>
    <x v="10"/>
    <x v="11"/>
    <n v="2918"/>
  </r>
  <r>
    <x v="0"/>
    <s v="Endenergieverbrauch - Industriesektor - Papier, Zellstoff und Druckerzeugnisse - energetischer Verbrauch"/>
    <s v="Elektrizität"/>
    <s v="Gigawattstunde"/>
    <x v="11"/>
    <x v="11"/>
    <n v="2609"/>
  </r>
  <r>
    <x v="0"/>
    <s v="Endenergieverbrauch - Industriesektor - Papier, Zellstoff und Druckerzeugnisse - energetischer Verbrauch"/>
    <s v="Elektrizität"/>
    <s v="Gigawattstunde"/>
    <x v="12"/>
    <x v="11"/>
    <n v="2651.3"/>
  </r>
  <r>
    <x v="0"/>
    <s v="Endenergieverbrauch - Industriesektor - Papier, Zellstoff und Druckerzeugnisse - energetischer Verbrauch"/>
    <s v="Elektrizität"/>
    <s v="Gigawattstunde"/>
    <x v="13"/>
    <x v="11"/>
    <n v="2525.3000000000002"/>
  </r>
  <r>
    <x v="0"/>
    <s v="Endenergieverbrauch - Industriesektor - Papier, Zellstoff und Druckerzeugnisse - energetischer Verbrauch"/>
    <s v="Elektrizität"/>
    <s v="Gigawattstunde"/>
    <x v="14"/>
    <x v="11"/>
    <n v="2571.5"/>
  </r>
  <r>
    <x v="0"/>
    <s v="Endenergieverbrauch - Industriesektor - Papier, Zellstoff und Druckerzeugnisse - energetischer Verbrauch"/>
    <s v="Elektrizität"/>
    <s v="Gigawattstunde"/>
    <x v="15"/>
    <x v="11"/>
    <n v="1867.4"/>
  </r>
  <r>
    <x v="0"/>
    <s v="Endenergieverbrauch - Industriesektor - Papier, Zellstoff und Druckerzeugnisse - energetischer Verbrauch"/>
    <s v="Elektrizität"/>
    <s v="Gigawattstunde"/>
    <x v="16"/>
    <x v="11"/>
    <n v="1870.3"/>
  </r>
  <r>
    <x v="1"/>
    <s v="Endenergieverbrauch - Industriesektor - Papier, Zellstoff und Druckerzeugnisse - energetischer Verbrauch"/>
    <s v="Elektrizität"/>
    <s v="Gigawattstunde"/>
    <x v="0"/>
    <x v="11"/>
    <n v="392"/>
  </r>
  <r>
    <x v="1"/>
    <s v="Endenergieverbrauch - Industriesektor - Papier, Zellstoff und Druckerzeugnisse - energetischer Verbrauch"/>
    <s v="Elektrizität"/>
    <s v="Gigawattstunde"/>
    <x v="1"/>
    <x v="11"/>
    <n v="464"/>
  </r>
  <r>
    <x v="1"/>
    <s v="Endenergieverbrauch - Industriesektor - Papier, Zellstoff und Druckerzeugnisse - energetischer Verbrauch"/>
    <s v="Elektrizität"/>
    <s v="Gigawattstunde"/>
    <x v="2"/>
    <x v="11"/>
    <n v="651"/>
  </r>
  <r>
    <x v="1"/>
    <s v="Endenergieverbrauch - Industriesektor - Papier, Zellstoff und Druckerzeugnisse - energetischer Verbrauch"/>
    <s v="Elektrizität"/>
    <s v="Gigawattstunde"/>
    <x v="3"/>
    <x v="11"/>
    <n v="490"/>
  </r>
  <r>
    <x v="1"/>
    <s v="Endenergieverbrauch - Industriesektor - Papier, Zellstoff und Druckerzeugnisse - energetischer Verbrauch"/>
    <s v="Elektrizität"/>
    <s v="Gigawattstunde"/>
    <x v="4"/>
    <x v="11"/>
    <n v="393"/>
  </r>
  <r>
    <x v="1"/>
    <s v="Endenergieverbrauch - Industriesektor - Papier, Zellstoff und Druckerzeugnisse - energetischer Verbrauch"/>
    <s v="Elektrizität"/>
    <s v="Gigawattstunde"/>
    <x v="5"/>
    <x v="11"/>
    <n v="320"/>
  </r>
  <r>
    <x v="1"/>
    <s v="Endenergieverbrauch - Industriesektor - Papier, Zellstoff und Druckerzeugnisse - energetischer Verbrauch"/>
    <s v="Elektrizität"/>
    <s v="Gigawattstunde"/>
    <x v="6"/>
    <x v="11"/>
    <n v="397"/>
  </r>
  <r>
    <x v="1"/>
    <s v="Endenergieverbrauch - Industriesektor - Papier, Zellstoff und Druckerzeugnisse - energetischer Verbrauch"/>
    <s v="Elektrizität"/>
    <s v="Gigawattstunde"/>
    <x v="7"/>
    <x v="11"/>
    <n v="239"/>
  </r>
  <r>
    <x v="1"/>
    <s v="Endenergieverbrauch - Industriesektor - Papier, Zellstoff und Druckerzeugnisse - energetischer Verbrauch"/>
    <s v="Elektrizität"/>
    <s v="Gigawattstunde"/>
    <x v="8"/>
    <x v="11"/>
    <n v="331"/>
  </r>
  <r>
    <x v="1"/>
    <s v="Endenergieverbrauch - Industriesektor - Papier, Zellstoff und Druckerzeugnisse - energetischer Verbrauch"/>
    <s v="Elektrizität"/>
    <s v="Gigawattstunde"/>
    <x v="9"/>
    <x v="11"/>
    <n v="343"/>
  </r>
  <r>
    <x v="1"/>
    <s v="Endenergieverbrauch - Industriesektor - Papier, Zellstoff und Druckerzeugnisse - energetischer Verbrauch"/>
    <s v="Elektrizität"/>
    <s v="Gigawattstunde"/>
    <x v="10"/>
    <x v="11"/>
    <n v="359"/>
  </r>
  <r>
    <x v="1"/>
    <s v="Endenergieverbrauch - Industriesektor - Papier, Zellstoff und Druckerzeugnisse - energetischer Verbrauch"/>
    <s v="Elektrizität"/>
    <s v="Gigawattstunde"/>
    <x v="11"/>
    <x v="11"/>
    <n v="396"/>
  </r>
  <r>
    <x v="1"/>
    <s v="Endenergieverbrauch - Industriesektor - Papier, Zellstoff und Druckerzeugnisse - energetischer Verbrauch"/>
    <s v="Elektrizität"/>
    <s v="Gigawattstunde"/>
    <x v="12"/>
    <x v="11"/>
    <n v="405"/>
  </r>
  <r>
    <x v="1"/>
    <s v="Endenergieverbrauch - Industriesektor - Papier, Zellstoff und Druckerzeugnisse - energetischer Verbrauch"/>
    <s v="Elektrizität"/>
    <s v="Gigawattstunde"/>
    <x v="13"/>
    <x v="11"/>
    <n v="404"/>
  </r>
  <r>
    <x v="1"/>
    <s v="Endenergieverbrauch - Industriesektor - Papier, Zellstoff und Druckerzeugnisse - energetischer Verbrauch"/>
    <s v="Elektrizität"/>
    <s v="Gigawattstunde"/>
    <x v="14"/>
    <x v="11"/>
    <n v="436"/>
  </r>
  <r>
    <x v="1"/>
    <s v="Endenergieverbrauch - Industriesektor - Papier, Zellstoff und Druckerzeugnisse - energetischer Verbrauch"/>
    <s v="Elektrizität"/>
    <s v="Gigawattstunde"/>
    <x v="15"/>
    <x v="11"/>
    <n v="439.31299999999999"/>
  </r>
  <r>
    <x v="1"/>
    <s v="Endenergieverbrauch - Industriesektor - Papier, Zellstoff und Druckerzeugnisse - energetischer Verbrauch"/>
    <s v="Elektrizität"/>
    <s v="Gigawattstunde"/>
    <x v="16"/>
    <x v="11"/>
    <n v="448.62799999999999"/>
  </r>
  <r>
    <x v="2"/>
    <s v="Endenergieverbrauch - Industriesektor - Papier, Zellstoff und Druckerzeugnisse - energetischer Verbrauch"/>
    <s v="Elektrizität"/>
    <s v="Gigawattstunde"/>
    <x v="0"/>
    <x v="11"/>
    <n v="1877"/>
  </r>
  <r>
    <x v="2"/>
    <s v="Endenergieverbrauch - Industriesektor - Papier, Zellstoff und Druckerzeugnisse - energetischer Verbrauch"/>
    <s v="Elektrizität"/>
    <s v="Gigawattstunde"/>
    <x v="1"/>
    <x v="11"/>
    <n v="1239"/>
  </r>
  <r>
    <x v="2"/>
    <s v="Endenergieverbrauch - Industriesektor - Papier, Zellstoff und Druckerzeugnisse - energetischer Verbrauch"/>
    <s v="Elektrizität"/>
    <s v="Gigawattstunde"/>
    <x v="2"/>
    <x v="11"/>
    <n v="1766"/>
  </r>
  <r>
    <x v="2"/>
    <s v="Endenergieverbrauch - Industriesektor - Papier, Zellstoff und Druckerzeugnisse - energetischer Verbrauch"/>
    <s v="Elektrizität"/>
    <s v="Gigawattstunde"/>
    <x v="3"/>
    <x v="11"/>
    <n v="1888"/>
  </r>
  <r>
    <x v="2"/>
    <s v="Endenergieverbrauch - Industriesektor - Papier, Zellstoff und Druckerzeugnisse - energetischer Verbrauch"/>
    <s v="Elektrizität"/>
    <s v="Gigawattstunde"/>
    <x v="4"/>
    <x v="11"/>
    <n v="1904"/>
  </r>
  <r>
    <x v="2"/>
    <s v="Endenergieverbrauch - Industriesektor - Papier, Zellstoff und Druckerzeugnisse - energetischer Verbrauch"/>
    <s v="Elektrizität"/>
    <s v="Gigawattstunde"/>
    <x v="5"/>
    <x v="11"/>
    <n v="1917"/>
  </r>
  <r>
    <x v="2"/>
    <s v="Endenergieverbrauch - Industriesektor - Papier, Zellstoff und Druckerzeugnisse - energetischer Verbrauch"/>
    <s v="Elektrizität"/>
    <s v="Gigawattstunde"/>
    <x v="6"/>
    <x v="11"/>
    <n v="1826"/>
  </r>
  <r>
    <x v="2"/>
    <s v="Endenergieverbrauch - Industriesektor - Papier, Zellstoff und Druckerzeugnisse - energetischer Verbrauch"/>
    <s v="Elektrizität"/>
    <s v="Gigawattstunde"/>
    <x v="7"/>
    <x v="11"/>
    <n v="1722"/>
  </r>
  <r>
    <x v="2"/>
    <s v="Endenergieverbrauch - Industriesektor - Papier, Zellstoff und Druckerzeugnisse - energetischer Verbrauch"/>
    <s v="Elektrizität"/>
    <s v="Gigawattstunde"/>
    <x v="8"/>
    <x v="11"/>
    <n v="1648"/>
  </r>
  <r>
    <x v="2"/>
    <s v="Endenergieverbrauch - Industriesektor - Papier, Zellstoff und Druckerzeugnisse - energetischer Verbrauch"/>
    <s v="Elektrizität"/>
    <s v="Gigawattstunde"/>
    <x v="9"/>
    <x v="11"/>
    <n v="1607"/>
  </r>
  <r>
    <x v="2"/>
    <s v="Endenergieverbrauch - Industriesektor - Papier, Zellstoff und Druckerzeugnisse - energetischer Verbrauch"/>
    <s v="Elektrizität"/>
    <s v="Gigawattstunde"/>
    <x v="10"/>
    <x v="11"/>
    <n v="1656"/>
  </r>
  <r>
    <x v="2"/>
    <s v="Endenergieverbrauch - Industriesektor - Papier, Zellstoff und Druckerzeugnisse - energetischer Verbrauch"/>
    <s v="Elektrizität"/>
    <s v="Gigawattstunde"/>
    <x v="11"/>
    <x v="11"/>
    <n v="1525"/>
  </r>
  <r>
    <x v="2"/>
    <s v="Endenergieverbrauch - Industriesektor - Papier, Zellstoff und Druckerzeugnisse - energetischer Verbrauch"/>
    <s v="Elektrizität"/>
    <s v="Gigawattstunde"/>
    <x v="12"/>
    <x v="11"/>
    <n v="1713"/>
  </r>
  <r>
    <x v="2"/>
    <s v="Endenergieverbrauch - Industriesektor - Papier, Zellstoff und Druckerzeugnisse - energetischer Verbrauch"/>
    <s v="Elektrizität"/>
    <s v="Gigawattstunde"/>
    <x v="13"/>
    <x v="11"/>
    <n v="1696"/>
  </r>
  <r>
    <x v="2"/>
    <s v="Endenergieverbrauch - Industriesektor - Papier, Zellstoff und Druckerzeugnisse - energetischer Verbrauch"/>
    <s v="Elektrizität"/>
    <s v="Gigawattstunde"/>
    <x v="14"/>
    <x v="11"/>
    <n v="1741"/>
  </r>
  <r>
    <x v="2"/>
    <s v="Endenergieverbrauch - Industriesektor - Papier, Zellstoff und Druckerzeugnisse - energetischer Verbrauch"/>
    <s v="Elektrizität"/>
    <s v="Gigawattstunde"/>
    <x v="15"/>
    <x v="11"/>
    <n v="1805.0820000000001"/>
  </r>
  <r>
    <x v="2"/>
    <s v="Endenergieverbrauch - Industriesektor - Papier, Zellstoff und Druckerzeugnisse - energetischer Verbrauch"/>
    <s v="Elektrizität"/>
    <s v="Gigawattstunde"/>
    <x v="16"/>
    <x v="11"/>
    <n v="1810.1489999999999"/>
  </r>
  <r>
    <x v="3"/>
    <s v="Endenergieverbrauch - Industriesektor - Papier, Zellstoff und Druckerzeugnisse - energetischer Verbrauch"/>
    <s v="Elektrizität"/>
    <s v="Gigawattstunde"/>
    <x v="0"/>
    <x v="11"/>
    <n v="644"/>
  </r>
  <r>
    <x v="3"/>
    <s v="Endenergieverbrauch - Industriesektor - Papier, Zellstoff und Druckerzeugnisse - energetischer Verbrauch"/>
    <s v="Elektrizität"/>
    <s v="Gigawattstunde"/>
    <x v="1"/>
    <x v="11"/>
    <n v="660"/>
  </r>
  <r>
    <x v="3"/>
    <s v="Endenergieverbrauch - Industriesektor - Papier, Zellstoff und Druckerzeugnisse - energetischer Verbrauch"/>
    <s v="Elektrizität"/>
    <s v="Gigawattstunde"/>
    <x v="2"/>
    <x v="11"/>
    <n v="686"/>
  </r>
  <r>
    <x v="3"/>
    <s v="Endenergieverbrauch - Industriesektor - Papier, Zellstoff und Druckerzeugnisse - energetischer Verbrauch"/>
    <s v="Elektrizität"/>
    <s v="Gigawattstunde"/>
    <x v="3"/>
    <x v="11"/>
    <n v="576"/>
  </r>
  <r>
    <x v="3"/>
    <s v="Endenergieverbrauch - Industriesektor - Papier, Zellstoff und Druckerzeugnisse - energetischer Verbrauch"/>
    <s v="Elektrizität"/>
    <s v="Gigawattstunde"/>
    <x v="4"/>
    <x v="11"/>
    <n v="602"/>
  </r>
  <r>
    <x v="3"/>
    <s v="Endenergieverbrauch - Industriesektor - Papier, Zellstoff und Druckerzeugnisse - energetischer Verbrauch"/>
    <s v="Elektrizität"/>
    <s v="Gigawattstunde"/>
    <x v="5"/>
    <x v="11"/>
    <n v="616"/>
  </r>
  <r>
    <x v="3"/>
    <s v="Endenergieverbrauch - Industriesektor - Papier, Zellstoff und Druckerzeugnisse - energetischer Verbrauch"/>
    <s v="Elektrizität"/>
    <s v="Gigawattstunde"/>
    <x v="6"/>
    <x v="11"/>
    <n v="604"/>
  </r>
  <r>
    <x v="3"/>
    <s v="Endenergieverbrauch - Industriesektor - Papier, Zellstoff und Druckerzeugnisse - energetischer Verbrauch"/>
    <s v="Elektrizität"/>
    <s v="Gigawattstunde"/>
    <x v="7"/>
    <x v="11"/>
    <n v="508"/>
  </r>
  <r>
    <x v="3"/>
    <s v="Endenergieverbrauch - Industriesektor - Papier, Zellstoff und Druckerzeugnisse - energetischer Verbrauch"/>
    <s v="Elektrizität"/>
    <s v="Gigawattstunde"/>
    <x v="8"/>
    <x v="11"/>
    <n v="506"/>
  </r>
  <r>
    <x v="3"/>
    <s v="Endenergieverbrauch - Industriesektor - Papier, Zellstoff und Druckerzeugnisse - energetischer Verbrauch"/>
    <s v="Elektrizität"/>
    <s v="Gigawattstunde"/>
    <x v="9"/>
    <x v="11"/>
    <n v="501"/>
  </r>
  <r>
    <x v="3"/>
    <s v="Endenergieverbrauch - Industriesektor - Papier, Zellstoff und Druckerzeugnisse - energetischer Verbrauch"/>
    <s v="Elektrizität"/>
    <s v="Gigawattstunde"/>
    <x v="10"/>
    <x v="11"/>
    <n v="330"/>
  </r>
  <r>
    <x v="3"/>
    <s v="Endenergieverbrauch - Industriesektor - Papier, Zellstoff und Druckerzeugnisse - energetischer Verbrauch"/>
    <s v="Elektrizität"/>
    <s v="Gigawattstunde"/>
    <x v="11"/>
    <x v="11"/>
    <n v="399"/>
  </r>
  <r>
    <x v="3"/>
    <s v="Endenergieverbrauch - Industriesektor - Papier, Zellstoff und Druckerzeugnisse - energetischer Verbrauch"/>
    <s v="Elektrizität"/>
    <s v="Gigawattstunde"/>
    <x v="12"/>
    <x v="11"/>
    <n v="345"/>
  </r>
  <r>
    <x v="3"/>
    <s v="Endenergieverbrauch - Industriesektor - Papier, Zellstoff und Druckerzeugnisse - energetischer Verbrauch"/>
    <s v="Elektrizität"/>
    <s v="Gigawattstunde"/>
    <x v="13"/>
    <x v="11"/>
    <n v="354.99400000000003"/>
  </r>
  <r>
    <x v="3"/>
    <s v="Endenergieverbrauch - Industriesektor - Papier, Zellstoff und Druckerzeugnisse - energetischer Verbrauch"/>
    <s v="Elektrizität"/>
    <s v="Gigawattstunde"/>
    <x v="14"/>
    <x v="11"/>
    <n v="314.24599999999998"/>
  </r>
  <r>
    <x v="3"/>
    <s v="Endenergieverbrauch - Industriesektor - Papier, Zellstoff und Druckerzeugnisse - energetischer Verbrauch"/>
    <s v="Elektrizität"/>
    <s v="Gigawattstunde"/>
    <x v="15"/>
    <x v="11"/>
    <n v="319.06700000000001"/>
  </r>
  <r>
    <x v="3"/>
    <s v="Endenergieverbrauch - Industriesektor - Papier, Zellstoff und Druckerzeugnisse - energetischer Verbrauch"/>
    <s v="Elektrizität"/>
    <s v="Gigawattstunde"/>
    <x v="16"/>
    <x v="11"/>
    <n v="318.75700000000001"/>
  </r>
  <r>
    <x v="4"/>
    <s v="Endenergieverbrauch - Industriesektor - Papier, Zellstoff und Druckerzeugnisse - energetischer Verbrauch"/>
    <s v="Elektrizität"/>
    <s v="Gigawattstunde"/>
    <x v="0"/>
    <x v="11"/>
    <n v="22151"/>
  </r>
  <r>
    <x v="4"/>
    <s v="Endenergieverbrauch - Industriesektor - Papier, Zellstoff und Druckerzeugnisse - energetischer Verbrauch"/>
    <s v="Elektrizität"/>
    <s v="Gigawattstunde"/>
    <x v="1"/>
    <x v="11"/>
    <n v="22113"/>
  </r>
  <r>
    <x v="4"/>
    <s v="Endenergieverbrauch - Industriesektor - Papier, Zellstoff und Druckerzeugnisse - energetischer Verbrauch"/>
    <s v="Elektrizität"/>
    <s v="Gigawattstunde"/>
    <x v="2"/>
    <x v="11"/>
    <n v="25196"/>
  </r>
  <r>
    <x v="4"/>
    <s v="Endenergieverbrauch - Industriesektor - Papier, Zellstoff und Druckerzeugnisse - energetischer Verbrauch"/>
    <s v="Elektrizität"/>
    <s v="Gigawattstunde"/>
    <x v="3"/>
    <x v="11"/>
    <n v="26850"/>
  </r>
  <r>
    <x v="4"/>
    <s v="Endenergieverbrauch - Industriesektor - Papier, Zellstoff und Druckerzeugnisse - energetischer Verbrauch"/>
    <s v="Elektrizität"/>
    <s v="Gigawattstunde"/>
    <x v="4"/>
    <x v="11"/>
    <n v="25473"/>
  </r>
  <r>
    <x v="4"/>
    <s v="Endenergieverbrauch - Industriesektor - Papier, Zellstoff und Druckerzeugnisse - energetischer Verbrauch"/>
    <s v="Elektrizität"/>
    <s v="Gigawattstunde"/>
    <x v="5"/>
    <x v="11"/>
    <n v="26308"/>
  </r>
  <r>
    <x v="4"/>
    <s v="Endenergieverbrauch - Industriesektor - Papier, Zellstoff und Druckerzeugnisse - energetischer Verbrauch"/>
    <s v="Elektrizität"/>
    <s v="Gigawattstunde"/>
    <x v="6"/>
    <x v="11"/>
    <n v="24216"/>
  </r>
  <r>
    <x v="4"/>
    <s v="Endenergieverbrauch - Industriesektor - Papier, Zellstoff und Druckerzeugnisse - energetischer Verbrauch"/>
    <s v="Elektrizität"/>
    <s v="Gigawattstunde"/>
    <x v="7"/>
    <x v="11"/>
    <n v="23956"/>
  </r>
  <r>
    <x v="4"/>
    <s v="Endenergieverbrauch - Industriesektor - Papier, Zellstoff und Druckerzeugnisse - energetischer Verbrauch"/>
    <s v="Elektrizität"/>
    <s v="Gigawattstunde"/>
    <x v="8"/>
    <x v="11"/>
    <n v="24297"/>
  </r>
  <r>
    <x v="4"/>
    <s v="Endenergieverbrauch - Industriesektor - Papier, Zellstoff und Druckerzeugnisse - energetischer Verbrauch"/>
    <s v="Elektrizität"/>
    <s v="Gigawattstunde"/>
    <x v="9"/>
    <x v="11"/>
    <n v="23868"/>
  </r>
  <r>
    <x v="4"/>
    <s v="Endenergieverbrauch - Industriesektor - Papier, Zellstoff und Druckerzeugnisse - energetischer Verbrauch"/>
    <s v="Elektrizität"/>
    <s v="Gigawattstunde"/>
    <x v="10"/>
    <x v="11"/>
    <n v="23730"/>
  </r>
  <r>
    <x v="4"/>
    <s v="Endenergieverbrauch - Industriesektor - Papier, Zellstoff und Druckerzeugnisse - energetischer Verbrauch"/>
    <s v="Elektrizität"/>
    <s v="Gigawattstunde"/>
    <x v="11"/>
    <x v="11"/>
    <n v="22339"/>
  </r>
  <r>
    <x v="4"/>
    <s v="Endenergieverbrauch - Industriesektor - Papier, Zellstoff und Druckerzeugnisse - energetischer Verbrauch"/>
    <s v="Elektrizität"/>
    <s v="Gigawattstunde"/>
    <x v="12"/>
    <x v="11"/>
    <n v="21933"/>
  </r>
  <r>
    <x v="4"/>
    <s v="Endenergieverbrauch - Industriesektor - Papier, Zellstoff und Druckerzeugnisse - energetischer Verbrauch"/>
    <s v="Elektrizität"/>
    <s v="Gigawattstunde"/>
    <x v="13"/>
    <x v="11"/>
    <n v="21323"/>
  </r>
  <r>
    <x v="4"/>
    <s v="Endenergieverbrauch - Industriesektor - Papier, Zellstoff und Druckerzeugnisse - energetischer Verbrauch"/>
    <s v="Elektrizität"/>
    <s v="Gigawattstunde"/>
    <x v="14"/>
    <x v="11"/>
    <n v="21419"/>
  </r>
  <r>
    <x v="4"/>
    <s v="Endenergieverbrauch - Industriesektor - Papier, Zellstoff und Druckerzeugnisse - energetischer Verbrauch"/>
    <s v="Elektrizität"/>
    <s v="Gigawattstunde"/>
    <x v="15"/>
    <x v="11"/>
    <n v="21406"/>
  </r>
  <r>
    <x v="4"/>
    <s v="Endenergieverbrauch - Industriesektor - Papier, Zellstoff und Druckerzeugnisse - energetischer Verbrauch"/>
    <s v="Elektrizität"/>
    <s v="Gigawattstunde"/>
    <x v="16"/>
    <x v="11"/>
    <n v="20856"/>
  </r>
  <r>
    <x v="5"/>
    <s v="Endenergieverbrauch - Industriesektor - Papier, Zellstoff und Druckerzeugnisse - energetischer Verbrauch"/>
    <s v="Elektrizität"/>
    <s v="Gigawattstunde"/>
    <x v="0"/>
    <x v="11"/>
    <n v="130"/>
  </r>
  <r>
    <x v="5"/>
    <s v="Endenergieverbrauch - Industriesektor - Papier, Zellstoff und Druckerzeugnisse - energetischer Verbrauch"/>
    <s v="Elektrizität"/>
    <s v="Gigawattstunde"/>
    <x v="1"/>
    <x v="11"/>
    <n v="127"/>
  </r>
  <r>
    <x v="5"/>
    <s v="Endenergieverbrauch - Industriesektor - Papier, Zellstoff und Druckerzeugnisse - energetischer Verbrauch"/>
    <s v="Elektrizität"/>
    <s v="Gigawattstunde"/>
    <x v="2"/>
    <x v="11"/>
    <n v="136"/>
  </r>
  <r>
    <x v="5"/>
    <s v="Endenergieverbrauch - Industriesektor - Papier, Zellstoff und Druckerzeugnisse - energetischer Verbrauch"/>
    <s v="Elektrizität"/>
    <s v="Gigawattstunde"/>
    <x v="3"/>
    <x v="11"/>
    <n v="140"/>
  </r>
  <r>
    <x v="5"/>
    <s v="Endenergieverbrauch - Industriesektor - Papier, Zellstoff und Druckerzeugnisse - energetischer Verbrauch"/>
    <s v="Elektrizität"/>
    <s v="Gigawattstunde"/>
    <x v="4"/>
    <x v="11"/>
    <n v="267"/>
  </r>
  <r>
    <x v="5"/>
    <s v="Endenergieverbrauch - Industriesektor - Papier, Zellstoff und Druckerzeugnisse - energetischer Verbrauch"/>
    <s v="Elektrizität"/>
    <s v="Gigawattstunde"/>
    <x v="5"/>
    <x v="11"/>
    <n v="345"/>
  </r>
  <r>
    <x v="5"/>
    <s v="Endenergieverbrauch - Industriesektor - Papier, Zellstoff und Druckerzeugnisse - energetischer Verbrauch"/>
    <s v="Elektrizität"/>
    <s v="Gigawattstunde"/>
    <x v="6"/>
    <x v="11"/>
    <n v="335"/>
  </r>
  <r>
    <x v="5"/>
    <s v="Endenergieverbrauch - Industriesektor - Papier, Zellstoff und Druckerzeugnisse - energetischer Verbrauch"/>
    <s v="Elektrizität"/>
    <s v="Gigawattstunde"/>
    <x v="7"/>
    <x v="11"/>
    <n v="275"/>
  </r>
  <r>
    <x v="5"/>
    <s v="Endenergieverbrauch - Industriesektor - Papier, Zellstoff und Druckerzeugnisse - energetischer Verbrauch"/>
    <s v="Elektrizität"/>
    <s v="Gigawattstunde"/>
    <x v="8"/>
    <x v="11"/>
    <n v="351"/>
  </r>
  <r>
    <x v="5"/>
    <s v="Endenergieverbrauch - Industriesektor - Papier, Zellstoff und Druckerzeugnisse - energetischer Verbrauch"/>
    <s v="Elektrizität"/>
    <s v="Gigawattstunde"/>
    <x v="9"/>
    <x v="11"/>
    <n v="337"/>
  </r>
  <r>
    <x v="5"/>
    <s v="Endenergieverbrauch - Industriesektor - Papier, Zellstoff und Druckerzeugnisse - energetischer Verbrauch"/>
    <s v="Elektrizität"/>
    <s v="Gigawattstunde"/>
    <x v="10"/>
    <x v="11"/>
    <n v="364"/>
  </r>
  <r>
    <x v="5"/>
    <s v="Endenergieverbrauch - Industriesektor - Papier, Zellstoff und Druckerzeugnisse - energetischer Verbrauch"/>
    <s v="Elektrizität"/>
    <s v="Gigawattstunde"/>
    <x v="11"/>
    <x v="11"/>
    <n v="355"/>
  </r>
  <r>
    <x v="5"/>
    <s v="Endenergieverbrauch - Industriesektor - Papier, Zellstoff und Druckerzeugnisse - energetischer Verbrauch"/>
    <s v="Elektrizität"/>
    <s v="Gigawattstunde"/>
    <x v="12"/>
    <x v="11"/>
    <n v="367"/>
  </r>
  <r>
    <x v="5"/>
    <s v="Endenergieverbrauch - Industriesektor - Papier, Zellstoff und Druckerzeugnisse - energetischer Verbrauch"/>
    <s v="Elektrizität"/>
    <s v="Gigawattstunde"/>
    <x v="13"/>
    <x v="11"/>
    <n v="369"/>
  </r>
  <r>
    <x v="5"/>
    <s v="Endenergieverbrauch - Industriesektor - Papier, Zellstoff und Druckerzeugnisse - energetischer Verbrauch"/>
    <s v="Elektrizität"/>
    <s v="Gigawattstunde"/>
    <x v="14"/>
    <x v="11"/>
    <n v="403"/>
  </r>
  <r>
    <x v="5"/>
    <s v="Endenergieverbrauch - Industriesektor - Papier, Zellstoff und Druckerzeugnisse - energetischer Verbrauch"/>
    <s v="Elektrizität"/>
    <s v="Gigawattstunde"/>
    <x v="15"/>
    <x v="11"/>
    <n v="491"/>
  </r>
  <r>
    <x v="5"/>
    <s v="Endenergieverbrauch - Industriesektor - Papier, Zellstoff und Druckerzeugnisse - energetischer Verbrauch"/>
    <s v="Elektrizität"/>
    <s v="Gigawattstunde"/>
    <x v="16"/>
    <x v="11"/>
    <n v="482"/>
  </r>
  <r>
    <x v="6"/>
    <s v="Endenergieverbrauch - Industriesektor - Papier, Zellstoff und Druckerzeugnisse - energetischer Verbrauch"/>
    <s v="Elektrizität"/>
    <s v="Gigawattstunde"/>
    <x v="0"/>
    <x v="11"/>
    <n v="321.74900000000002"/>
  </r>
  <r>
    <x v="6"/>
    <s v="Endenergieverbrauch - Industriesektor - Papier, Zellstoff und Druckerzeugnisse - energetischer Verbrauch"/>
    <s v="Elektrizität"/>
    <s v="Gigawattstunde"/>
    <x v="1"/>
    <x v="11"/>
    <n v="299.59399999999999"/>
  </r>
  <r>
    <x v="6"/>
    <s v="Endenergieverbrauch - Industriesektor - Papier, Zellstoff und Druckerzeugnisse - energetischer Verbrauch"/>
    <s v="Elektrizität"/>
    <s v="Gigawattstunde"/>
    <x v="2"/>
    <x v="11"/>
    <n v="283.53300000000002"/>
  </r>
  <r>
    <x v="6"/>
    <s v="Endenergieverbrauch - Industriesektor - Papier, Zellstoff und Druckerzeugnisse - energetischer Verbrauch"/>
    <s v="Elektrizität"/>
    <s v="Gigawattstunde"/>
    <x v="3"/>
    <x v="11"/>
    <n v="315.98500000000001"/>
  </r>
  <r>
    <x v="6"/>
    <s v="Endenergieverbrauch - Industriesektor - Papier, Zellstoff und Druckerzeugnisse - energetischer Verbrauch"/>
    <s v="Elektrizität"/>
    <s v="Gigawattstunde"/>
    <x v="4"/>
    <x v="11"/>
    <n v="287.56900000000002"/>
  </r>
  <r>
    <x v="6"/>
    <s v="Endenergieverbrauch - Industriesektor - Papier, Zellstoff und Druckerzeugnisse - energetischer Verbrauch"/>
    <s v="Elektrizität"/>
    <s v="Gigawattstunde"/>
    <x v="5"/>
    <x v="11"/>
    <n v="190.59800000000001"/>
  </r>
  <r>
    <x v="6"/>
    <s v="Endenergieverbrauch - Industriesektor - Papier, Zellstoff und Druckerzeugnisse - energetischer Verbrauch"/>
    <s v="Elektrizität"/>
    <s v="Gigawattstunde"/>
    <x v="6"/>
    <x v="11"/>
    <n v="175.596"/>
  </r>
  <r>
    <x v="6"/>
    <s v="Endenergieverbrauch - Industriesektor - Papier, Zellstoff und Druckerzeugnisse - energetischer Verbrauch"/>
    <s v="Elektrizität"/>
    <s v="Gigawattstunde"/>
    <x v="7"/>
    <x v="11"/>
    <n v="192.08199999999999"/>
  </r>
  <r>
    <x v="6"/>
    <s v="Endenergieverbrauch - Industriesektor - Papier, Zellstoff und Druckerzeugnisse - energetischer Verbrauch"/>
    <s v="Elektrizität"/>
    <s v="Gigawattstunde"/>
    <x v="8"/>
    <x v="11"/>
    <n v="213.02500000000001"/>
  </r>
  <r>
    <x v="6"/>
    <s v="Endenergieverbrauch - Industriesektor - Papier, Zellstoff und Druckerzeugnisse - energetischer Verbrauch"/>
    <s v="Elektrizität"/>
    <s v="Gigawattstunde"/>
    <x v="9"/>
    <x v="11"/>
    <n v="222.393"/>
  </r>
  <r>
    <x v="6"/>
    <s v="Endenergieverbrauch - Industriesektor - Papier, Zellstoff und Druckerzeugnisse - energetischer Verbrauch"/>
    <s v="Elektrizität"/>
    <s v="Gigawattstunde"/>
    <x v="10"/>
    <x v="11"/>
    <n v="214.047"/>
  </r>
  <r>
    <x v="6"/>
    <s v="Endenergieverbrauch - Industriesektor - Papier, Zellstoff und Druckerzeugnisse - energetischer Verbrauch"/>
    <s v="Elektrizität"/>
    <s v="Gigawattstunde"/>
    <x v="11"/>
    <x v="11"/>
    <n v="217.36600000000001"/>
  </r>
  <r>
    <x v="6"/>
    <s v="Endenergieverbrauch - Industriesektor - Papier, Zellstoff und Druckerzeugnisse - energetischer Verbrauch"/>
    <s v="Elektrizität"/>
    <s v="Gigawattstunde"/>
    <x v="12"/>
    <x v="11"/>
    <n v="219.96199999999999"/>
  </r>
  <r>
    <x v="6"/>
    <s v="Endenergieverbrauch - Industriesektor - Papier, Zellstoff und Druckerzeugnisse - energetischer Verbrauch"/>
    <s v="Elektrizität"/>
    <s v="Gigawattstunde"/>
    <x v="13"/>
    <x v="11"/>
    <n v="230.39699999999999"/>
  </r>
  <r>
    <x v="6"/>
    <s v="Endenergieverbrauch - Industriesektor - Papier, Zellstoff und Druckerzeugnisse - energetischer Verbrauch"/>
    <s v="Elektrizität"/>
    <s v="Gigawattstunde"/>
    <x v="14"/>
    <x v="11"/>
    <n v="237.89500000000001"/>
  </r>
  <r>
    <x v="6"/>
    <s v="Endenergieverbrauch - Industriesektor - Papier, Zellstoff und Druckerzeugnisse - energetischer Verbrauch"/>
    <s v="Elektrizität"/>
    <s v="Gigawattstunde"/>
    <x v="15"/>
    <x v="11"/>
    <n v="240.541"/>
  </r>
  <r>
    <x v="6"/>
    <s v="Endenergieverbrauch - Industriesektor - Papier, Zellstoff und Druckerzeugnisse - energetischer Verbrauch"/>
    <s v="Elektrizität"/>
    <s v="Gigawattstunde"/>
    <x v="16"/>
    <x v="11"/>
    <n v="255.99"/>
  </r>
  <r>
    <x v="7"/>
    <s v="Endenergieverbrauch - Industriesektor - Papier, Zellstoff und Druckerzeugnisse - energetischer Verbrauch"/>
    <s v="Elektrizität"/>
    <s v="Gigawattstunde"/>
    <x v="0"/>
    <x v="11"/>
    <n v="473"/>
  </r>
  <r>
    <x v="7"/>
    <s v="Endenergieverbrauch - Industriesektor - Papier, Zellstoff und Druckerzeugnisse - energetischer Verbrauch"/>
    <s v="Elektrizität"/>
    <s v="Gigawattstunde"/>
    <x v="1"/>
    <x v="11"/>
    <n v="576"/>
  </r>
  <r>
    <x v="7"/>
    <s v="Endenergieverbrauch - Industriesektor - Papier, Zellstoff und Druckerzeugnisse - energetischer Verbrauch"/>
    <s v="Elektrizität"/>
    <s v="Gigawattstunde"/>
    <x v="2"/>
    <x v="11"/>
    <n v="584"/>
  </r>
  <r>
    <x v="7"/>
    <s v="Endenergieverbrauch - Industriesektor - Papier, Zellstoff und Druckerzeugnisse - energetischer Verbrauch"/>
    <s v="Elektrizität"/>
    <s v="Gigawattstunde"/>
    <x v="3"/>
    <x v="11"/>
    <n v="543"/>
  </r>
  <r>
    <x v="7"/>
    <s v="Endenergieverbrauch - Industriesektor - Papier, Zellstoff und Druckerzeugnisse - energetischer Verbrauch"/>
    <s v="Elektrizität"/>
    <s v="Gigawattstunde"/>
    <x v="4"/>
    <x v="11"/>
    <n v="583"/>
  </r>
  <r>
    <x v="7"/>
    <s v="Endenergieverbrauch - Industriesektor - Papier, Zellstoff und Druckerzeugnisse - energetischer Verbrauch"/>
    <s v="Elektrizität"/>
    <s v="Gigawattstunde"/>
    <x v="5"/>
    <x v="11"/>
    <n v="652"/>
  </r>
  <r>
    <x v="7"/>
    <s v="Endenergieverbrauch - Industriesektor - Papier, Zellstoff und Druckerzeugnisse - energetischer Verbrauch"/>
    <s v="Elektrizität"/>
    <s v="Gigawattstunde"/>
    <x v="6"/>
    <x v="11"/>
    <n v="613"/>
  </r>
  <r>
    <x v="7"/>
    <s v="Endenergieverbrauch - Industriesektor - Papier, Zellstoff und Druckerzeugnisse - energetischer Verbrauch"/>
    <s v="Elektrizität"/>
    <s v="Gigawattstunde"/>
    <x v="7"/>
    <x v="11"/>
    <n v="580"/>
  </r>
  <r>
    <x v="7"/>
    <s v="Endenergieverbrauch - Industriesektor - Papier, Zellstoff und Druckerzeugnisse - energetischer Verbrauch"/>
    <s v="Elektrizität"/>
    <s v="Gigawattstunde"/>
    <x v="8"/>
    <x v="11"/>
    <n v="641"/>
  </r>
  <r>
    <x v="7"/>
    <s v="Endenergieverbrauch - Industriesektor - Papier, Zellstoff und Druckerzeugnisse - energetischer Verbrauch"/>
    <s v="Elektrizität"/>
    <s v="Gigawattstunde"/>
    <x v="9"/>
    <x v="11"/>
    <n v="402"/>
  </r>
  <r>
    <x v="7"/>
    <s v="Endenergieverbrauch - Industriesektor - Papier, Zellstoff und Druckerzeugnisse - energetischer Verbrauch"/>
    <s v="Elektrizität"/>
    <s v="Gigawattstunde"/>
    <x v="10"/>
    <x v="11"/>
    <n v="537"/>
  </r>
  <r>
    <x v="7"/>
    <s v="Endenergieverbrauch - Industriesektor - Papier, Zellstoff und Druckerzeugnisse - energetischer Verbrauch"/>
    <s v="Elektrizität"/>
    <s v="Gigawattstunde"/>
    <x v="11"/>
    <x v="11"/>
    <n v="526"/>
  </r>
  <r>
    <x v="7"/>
    <s v="Endenergieverbrauch - Industriesektor - Papier, Zellstoff und Druckerzeugnisse - energetischer Verbrauch"/>
    <s v="Elektrizität"/>
    <s v="Gigawattstunde"/>
    <x v="12"/>
    <x v="11"/>
    <n v="548"/>
  </r>
  <r>
    <x v="7"/>
    <s v="Endenergieverbrauch - Industriesektor - Papier, Zellstoff und Druckerzeugnisse - energetischer Verbrauch"/>
    <s v="Elektrizität"/>
    <s v="Gigawattstunde"/>
    <x v="13"/>
    <x v="11"/>
    <n v="498"/>
  </r>
  <r>
    <x v="7"/>
    <s v="Endenergieverbrauch - Industriesektor - Papier, Zellstoff und Druckerzeugnisse - energetischer Verbrauch"/>
    <s v="Elektrizität"/>
    <s v="Gigawattstunde"/>
    <x v="14"/>
    <x v="11"/>
    <n v="207"/>
  </r>
  <r>
    <x v="7"/>
    <s v="Endenergieverbrauch - Industriesektor - Papier, Zellstoff und Druckerzeugnisse - energetischer Verbrauch"/>
    <s v="Elektrizität"/>
    <s v="Gigawattstunde"/>
    <x v="15"/>
    <x v="11"/>
    <n v="211.578"/>
  </r>
  <r>
    <x v="7"/>
    <s v="Endenergieverbrauch - Industriesektor - Papier, Zellstoff und Druckerzeugnisse - energetischer Verbrauch"/>
    <s v="Elektrizität"/>
    <s v="Gigawattstunde"/>
    <x v="16"/>
    <x v="11"/>
    <n v="203.76"/>
  </r>
  <r>
    <x v="8"/>
    <s v="Endenergieverbrauch - Industriesektor - Papier, Zellstoff und Druckerzeugnisse - energetischer Verbrauch"/>
    <s v="Elektrizität"/>
    <s v="Gigawattstunde"/>
    <x v="0"/>
    <x v="11"/>
    <n v="6898"/>
  </r>
  <r>
    <x v="8"/>
    <s v="Endenergieverbrauch - Industriesektor - Papier, Zellstoff und Druckerzeugnisse - energetischer Verbrauch"/>
    <s v="Elektrizität"/>
    <s v="Gigawattstunde"/>
    <x v="1"/>
    <x v="11"/>
    <n v="7307"/>
  </r>
  <r>
    <x v="8"/>
    <s v="Endenergieverbrauch - Industriesektor - Papier, Zellstoff und Druckerzeugnisse - energetischer Verbrauch"/>
    <s v="Elektrizität"/>
    <s v="Gigawattstunde"/>
    <x v="2"/>
    <x v="11"/>
    <n v="7663"/>
  </r>
  <r>
    <x v="8"/>
    <s v="Endenergieverbrauch - Industriesektor - Papier, Zellstoff und Druckerzeugnisse - energetischer Verbrauch"/>
    <s v="Elektrizität"/>
    <s v="Gigawattstunde"/>
    <x v="3"/>
    <x v="11"/>
    <n v="7873"/>
  </r>
  <r>
    <x v="8"/>
    <s v="Endenergieverbrauch - Industriesektor - Papier, Zellstoff und Druckerzeugnisse - energetischer Verbrauch"/>
    <s v="Elektrizität"/>
    <s v="Gigawattstunde"/>
    <x v="4"/>
    <x v="11"/>
    <n v="7268"/>
  </r>
  <r>
    <x v="8"/>
    <s v="Endenergieverbrauch - Industriesektor - Papier, Zellstoff und Druckerzeugnisse - energetischer Verbrauch"/>
    <s v="Elektrizität"/>
    <s v="Gigawattstunde"/>
    <x v="5"/>
    <x v="11"/>
    <n v="7779"/>
  </r>
  <r>
    <x v="8"/>
    <s v="Endenergieverbrauch - Industriesektor - Papier, Zellstoff und Druckerzeugnisse - energetischer Verbrauch"/>
    <s v="Elektrizität"/>
    <s v="Gigawattstunde"/>
    <x v="6"/>
    <x v="11"/>
    <n v="7649"/>
  </r>
  <r>
    <x v="8"/>
    <s v="Endenergieverbrauch - Industriesektor - Papier, Zellstoff und Druckerzeugnisse - energetischer Verbrauch"/>
    <s v="Elektrizität"/>
    <s v="Gigawattstunde"/>
    <x v="7"/>
    <x v="11"/>
    <n v="6551"/>
  </r>
  <r>
    <x v="8"/>
    <s v="Endenergieverbrauch - Industriesektor - Papier, Zellstoff und Druckerzeugnisse - energetischer Verbrauch"/>
    <s v="Elektrizität"/>
    <s v="Gigawattstunde"/>
    <x v="8"/>
    <x v="11"/>
    <n v="3959"/>
  </r>
  <r>
    <x v="8"/>
    <s v="Endenergieverbrauch - Industriesektor - Papier, Zellstoff und Druckerzeugnisse - energetischer Verbrauch"/>
    <s v="Elektrizität"/>
    <s v="Gigawattstunde"/>
    <x v="9"/>
    <x v="11"/>
    <n v="5250"/>
  </r>
  <r>
    <x v="8"/>
    <s v="Endenergieverbrauch - Industriesektor - Papier, Zellstoff und Druckerzeugnisse - energetischer Verbrauch"/>
    <s v="Elektrizität"/>
    <s v="Gigawattstunde"/>
    <x v="10"/>
    <x v="11"/>
    <n v="5180"/>
  </r>
  <r>
    <x v="8"/>
    <s v="Endenergieverbrauch - Industriesektor - Papier, Zellstoff und Druckerzeugnisse - energetischer Verbrauch"/>
    <s v="Elektrizität"/>
    <s v="Gigawattstunde"/>
    <x v="11"/>
    <x v="11"/>
    <n v="5753"/>
  </r>
  <r>
    <x v="8"/>
    <s v="Endenergieverbrauch - Industriesektor - Papier, Zellstoff und Druckerzeugnisse - energetischer Verbrauch"/>
    <s v="Elektrizität"/>
    <s v="Gigawattstunde"/>
    <x v="12"/>
    <x v="11"/>
    <n v="5821"/>
  </r>
  <r>
    <x v="8"/>
    <s v="Endenergieverbrauch - Industriesektor - Papier, Zellstoff und Druckerzeugnisse - energetischer Verbrauch"/>
    <s v="Elektrizität"/>
    <s v="Gigawattstunde"/>
    <x v="13"/>
    <x v="11"/>
    <n v="5880"/>
  </r>
  <r>
    <x v="8"/>
    <s v="Endenergieverbrauch - Industriesektor - Papier, Zellstoff und Druckerzeugnisse - energetischer Verbrauch"/>
    <s v="Elektrizität"/>
    <s v="Gigawattstunde"/>
    <x v="14"/>
    <x v="11"/>
    <n v="5803"/>
  </r>
  <r>
    <x v="8"/>
    <s v="Endenergieverbrauch - Industriesektor - Papier, Zellstoff und Druckerzeugnisse - energetischer Verbrauch"/>
    <s v="Elektrizität"/>
    <s v="Gigawattstunde"/>
    <x v="15"/>
    <x v="11"/>
    <n v="5976"/>
  </r>
  <r>
    <x v="8"/>
    <s v="Endenergieverbrauch - Industriesektor - Papier, Zellstoff und Druckerzeugnisse - energetischer Verbrauch"/>
    <s v="Elektrizität"/>
    <s v="Gigawattstunde"/>
    <x v="16"/>
    <x v="11"/>
    <n v="5539"/>
  </r>
  <r>
    <x v="9"/>
    <s v="Endenergieverbrauch - Industriesektor - Papier, Zellstoff und Druckerzeugnisse - energetischer Verbrauch"/>
    <s v="Elektrizität"/>
    <s v="Gigawattstunde"/>
    <x v="0"/>
    <x v="11"/>
    <n v="13617"/>
  </r>
  <r>
    <x v="9"/>
    <s v="Endenergieverbrauch - Industriesektor - Papier, Zellstoff und Druckerzeugnisse - energetischer Verbrauch"/>
    <s v="Elektrizität"/>
    <s v="Gigawattstunde"/>
    <x v="1"/>
    <x v="11"/>
    <n v="13288"/>
  </r>
  <r>
    <x v="9"/>
    <s v="Endenergieverbrauch - Industriesektor - Papier, Zellstoff und Druckerzeugnisse - energetischer Verbrauch"/>
    <s v="Elektrizität"/>
    <s v="Gigawattstunde"/>
    <x v="2"/>
    <x v="11"/>
    <n v="13368"/>
  </r>
  <r>
    <x v="9"/>
    <s v="Endenergieverbrauch - Industriesektor - Papier, Zellstoff und Druckerzeugnisse - energetischer Verbrauch"/>
    <s v="Elektrizität"/>
    <s v="Gigawattstunde"/>
    <x v="3"/>
    <x v="11"/>
    <n v="13490"/>
  </r>
  <r>
    <x v="9"/>
    <s v="Endenergieverbrauch - Industriesektor - Papier, Zellstoff und Druckerzeugnisse - energetischer Verbrauch"/>
    <s v="Elektrizität"/>
    <s v="Gigawattstunde"/>
    <x v="4"/>
    <x v="11"/>
    <n v="13076"/>
  </r>
  <r>
    <x v="9"/>
    <s v="Endenergieverbrauch - Industriesektor - Papier, Zellstoff und Druckerzeugnisse - energetischer Verbrauch"/>
    <s v="Elektrizität"/>
    <s v="Gigawattstunde"/>
    <x v="5"/>
    <x v="11"/>
    <n v="12822"/>
  </r>
  <r>
    <x v="9"/>
    <s v="Endenergieverbrauch - Industriesektor - Papier, Zellstoff und Druckerzeugnisse - energetischer Verbrauch"/>
    <s v="Elektrizität"/>
    <s v="Gigawattstunde"/>
    <x v="6"/>
    <x v="11"/>
    <n v="10580"/>
  </r>
  <r>
    <x v="9"/>
    <s v="Endenergieverbrauch - Industriesektor - Papier, Zellstoff und Druckerzeugnisse - energetischer Verbrauch"/>
    <s v="Elektrizität"/>
    <s v="Gigawattstunde"/>
    <x v="7"/>
    <x v="11"/>
    <n v="9053"/>
  </r>
  <r>
    <x v="9"/>
    <s v="Endenergieverbrauch - Industriesektor - Papier, Zellstoff und Druckerzeugnisse - energetischer Verbrauch"/>
    <s v="Elektrizität"/>
    <s v="Gigawattstunde"/>
    <x v="8"/>
    <x v="11"/>
    <n v="9204"/>
  </r>
  <r>
    <x v="9"/>
    <s v="Endenergieverbrauch - Industriesektor - Papier, Zellstoff und Druckerzeugnisse - energetischer Verbrauch"/>
    <s v="Elektrizität"/>
    <s v="Gigawattstunde"/>
    <x v="9"/>
    <x v="11"/>
    <n v="10052.061"/>
  </r>
  <r>
    <x v="9"/>
    <s v="Endenergieverbrauch - Industriesektor - Papier, Zellstoff und Druckerzeugnisse - energetischer Verbrauch"/>
    <s v="Elektrizität"/>
    <s v="Gigawattstunde"/>
    <x v="10"/>
    <x v="11"/>
    <n v="9651.5920000000006"/>
  </r>
  <r>
    <x v="9"/>
    <s v="Endenergieverbrauch - Industriesektor - Papier, Zellstoff und Druckerzeugnisse - energetischer Verbrauch"/>
    <s v="Elektrizität"/>
    <s v="Gigawattstunde"/>
    <x v="11"/>
    <x v="11"/>
    <n v="9049.5550000000003"/>
  </r>
  <r>
    <x v="9"/>
    <s v="Endenergieverbrauch - Industriesektor - Papier, Zellstoff und Druckerzeugnisse - energetischer Verbrauch"/>
    <s v="Elektrizität"/>
    <s v="Gigawattstunde"/>
    <x v="12"/>
    <x v="11"/>
    <n v="8699.9179999999997"/>
  </r>
  <r>
    <x v="9"/>
    <s v="Endenergieverbrauch - Industriesektor - Papier, Zellstoff und Druckerzeugnisse - energetischer Verbrauch"/>
    <s v="Elektrizität"/>
    <s v="Gigawattstunde"/>
    <x v="13"/>
    <x v="11"/>
    <n v="8261.9429999999993"/>
  </r>
  <r>
    <x v="9"/>
    <s v="Endenergieverbrauch - Industriesektor - Papier, Zellstoff und Druckerzeugnisse - energetischer Verbrauch"/>
    <s v="Elektrizität"/>
    <s v="Gigawattstunde"/>
    <x v="14"/>
    <x v="11"/>
    <n v="8218.3580000000002"/>
  </r>
  <r>
    <x v="9"/>
    <s v="Endenergieverbrauch - Industriesektor - Papier, Zellstoff und Druckerzeugnisse - energetischer Verbrauch"/>
    <s v="Elektrizität"/>
    <s v="Gigawattstunde"/>
    <x v="15"/>
    <x v="11"/>
    <n v="7991.0540000000001"/>
  </r>
  <r>
    <x v="9"/>
    <s v="Endenergieverbrauch - Industriesektor - Papier, Zellstoff und Druckerzeugnisse - energetischer Verbrauch"/>
    <s v="Elektrizität"/>
    <s v="Gigawattstunde"/>
    <x v="16"/>
    <x v="11"/>
    <n v="7937.3339999999998"/>
  </r>
  <r>
    <x v="10"/>
    <s v="Endenergieverbrauch - Industriesektor - Papier, Zellstoff und Druckerzeugnisse - energetischer Verbrauch"/>
    <s v="Elektrizität"/>
    <s v="Gigawattstunde"/>
    <x v="0"/>
    <x v="11"/>
    <n v="308"/>
  </r>
  <r>
    <x v="10"/>
    <s v="Endenergieverbrauch - Industriesektor - Papier, Zellstoff und Druckerzeugnisse - energetischer Verbrauch"/>
    <s v="Elektrizität"/>
    <s v="Gigawattstunde"/>
    <x v="1"/>
    <x v="11"/>
    <n v="322"/>
  </r>
  <r>
    <x v="10"/>
    <s v="Endenergieverbrauch - Industriesektor - Papier, Zellstoff und Druckerzeugnisse - energetischer Verbrauch"/>
    <s v="Elektrizität"/>
    <s v="Gigawattstunde"/>
    <x v="2"/>
    <x v="11"/>
    <n v="292"/>
  </r>
  <r>
    <x v="10"/>
    <s v="Endenergieverbrauch - Industriesektor - Papier, Zellstoff und Druckerzeugnisse - energetischer Verbrauch"/>
    <s v="Elektrizität"/>
    <s v="Gigawattstunde"/>
    <x v="3"/>
    <x v="11"/>
    <n v="312"/>
  </r>
  <r>
    <x v="10"/>
    <s v="Endenergieverbrauch - Industriesektor - Papier, Zellstoff und Druckerzeugnisse - energetischer Verbrauch"/>
    <s v="Elektrizität"/>
    <s v="Gigawattstunde"/>
    <x v="4"/>
    <x v="11"/>
    <n v="326"/>
  </r>
  <r>
    <x v="10"/>
    <s v="Endenergieverbrauch - Industriesektor - Papier, Zellstoff und Druckerzeugnisse - energetischer Verbrauch"/>
    <s v="Elektrizität"/>
    <s v="Gigawattstunde"/>
    <x v="5"/>
    <x v="11"/>
    <n v="332"/>
  </r>
  <r>
    <x v="10"/>
    <s v="Endenergieverbrauch - Industriesektor - Papier, Zellstoff und Druckerzeugnisse - energetischer Verbrauch"/>
    <s v="Elektrizität"/>
    <s v="Gigawattstunde"/>
    <x v="6"/>
    <x v="11"/>
    <n v="320"/>
  </r>
  <r>
    <x v="10"/>
    <s v="Endenergieverbrauch - Industriesektor - Papier, Zellstoff und Druckerzeugnisse - energetischer Verbrauch"/>
    <s v="Elektrizität"/>
    <s v="Gigawattstunde"/>
    <x v="7"/>
    <x v="11"/>
    <n v="317"/>
  </r>
  <r>
    <x v="10"/>
    <s v="Endenergieverbrauch - Industriesektor - Papier, Zellstoff und Druckerzeugnisse - energetischer Verbrauch"/>
    <s v="Elektrizität"/>
    <s v="Gigawattstunde"/>
    <x v="8"/>
    <x v="11"/>
    <n v="322"/>
  </r>
  <r>
    <x v="10"/>
    <s v="Endenergieverbrauch - Industriesektor - Papier, Zellstoff und Druckerzeugnisse - energetischer Verbrauch"/>
    <s v="Elektrizität"/>
    <s v="Gigawattstunde"/>
    <x v="9"/>
    <x v="11"/>
    <n v="323"/>
  </r>
  <r>
    <x v="10"/>
    <s v="Endenergieverbrauch - Industriesektor - Papier, Zellstoff und Druckerzeugnisse - energetischer Verbrauch"/>
    <s v="Elektrizität"/>
    <s v="Gigawattstunde"/>
    <x v="10"/>
    <x v="11"/>
    <n v="285"/>
  </r>
  <r>
    <x v="10"/>
    <s v="Endenergieverbrauch - Industriesektor - Papier, Zellstoff und Druckerzeugnisse - energetischer Verbrauch"/>
    <s v="Elektrizität"/>
    <s v="Gigawattstunde"/>
    <x v="11"/>
    <x v="11"/>
    <n v="250"/>
  </r>
  <r>
    <x v="10"/>
    <s v="Endenergieverbrauch - Industriesektor - Papier, Zellstoff und Druckerzeugnisse - energetischer Verbrauch"/>
    <s v="Elektrizität"/>
    <s v="Gigawattstunde"/>
    <x v="12"/>
    <x v="11"/>
    <n v="251"/>
  </r>
  <r>
    <x v="10"/>
    <s v="Endenergieverbrauch - Industriesektor - Papier, Zellstoff und Druckerzeugnisse - energetischer Verbrauch"/>
    <s v="Elektrizität"/>
    <s v="Gigawattstunde"/>
    <x v="13"/>
    <x v="11"/>
    <n v="279"/>
  </r>
  <r>
    <x v="10"/>
    <s v="Endenergieverbrauch - Industriesektor - Papier, Zellstoff und Druckerzeugnisse - energetischer Verbrauch"/>
    <s v="Elektrizität"/>
    <s v="Gigawattstunde"/>
    <x v="14"/>
    <x v="11"/>
    <n v="309"/>
  </r>
  <r>
    <x v="10"/>
    <s v="Endenergieverbrauch - Industriesektor - Papier, Zellstoff und Druckerzeugnisse - energetischer Verbrauch"/>
    <s v="Elektrizität"/>
    <s v="Gigawattstunde"/>
    <x v="15"/>
    <x v="11"/>
    <n v="324.39999999999998"/>
  </r>
  <r>
    <x v="10"/>
    <s v="Endenergieverbrauch - Industriesektor - Papier, Zellstoff und Druckerzeugnisse - energetischer Verbrauch"/>
    <s v="Elektrizität"/>
    <s v="Gigawattstunde"/>
    <x v="16"/>
    <x v="11"/>
    <n v="317.39999999999998"/>
  </r>
  <r>
    <x v="11"/>
    <s v="Endenergieverbrauch - Industriesektor - Papier, Zellstoff und Druckerzeugnisse - energetischer Verbrauch"/>
    <s v="Elektrizität"/>
    <s v="Gigawattstunde"/>
    <x v="0"/>
    <x v="11"/>
    <n v="10480"/>
  </r>
  <r>
    <x v="11"/>
    <s v="Endenergieverbrauch - Industriesektor - Papier, Zellstoff und Druckerzeugnisse - energetischer Verbrauch"/>
    <s v="Elektrizität"/>
    <s v="Gigawattstunde"/>
    <x v="1"/>
    <x v="11"/>
    <n v="10787"/>
  </r>
  <r>
    <x v="11"/>
    <s v="Endenergieverbrauch - Industriesektor - Papier, Zellstoff und Druckerzeugnisse - energetischer Verbrauch"/>
    <s v="Elektrizität"/>
    <s v="Gigawattstunde"/>
    <x v="2"/>
    <x v="11"/>
    <n v="10807"/>
  </r>
  <r>
    <x v="11"/>
    <s v="Endenergieverbrauch - Industriesektor - Papier, Zellstoff und Druckerzeugnisse - energetischer Verbrauch"/>
    <s v="Elektrizität"/>
    <s v="Gigawattstunde"/>
    <x v="3"/>
    <x v="11"/>
    <n v="10939"/>
  </r>
  <r>
    <x v="11"/>
    <s v="Endenergieverbrauch - Industriesektor - Papier, Zellstoff und Druckerzeugnisse - energetischer Verbrauch"/>
    <s v="Elektrizität"/>
    <s v="Gigawattstunde"/>
    <x v="4"/>
    <x v="11"/>
    <n v="10879"/>
  </r>
  <r>
    <x v="11"/>
    <s v="Endenergieverbrauch - Industriesektor - Papier, Zellstoff und Druckerzeugnisse - energetischer Verbrauch"/>
    <s v="Elektrizität"/>
    <s v="Gigawattstunde"/>
    <x v="5"/>
    <x v="11"/>
    <n v="10649"/>
  </r>
  <r>
    <x v="11"/>
    <s v="Endenergieverbrauch - Industriesektor - Papier, Zellstoff und Druckerzeugnisse - energetischer Verbrauch"/>
    <s v="Elektrizität"/>
    <s v="Gigawattstunde"/>
    <x v="6"/>
    <x v="11"/>
    <n v="10279"/>
  </r>
  <r>
    <x v="11"/>
    <s v="Endenergieverbrauch - Industriesektor - Papier, Zellstoff und Druckerzeugnisse - energetischer Verbrauch"/>
    <s v="Elektrizität"/>
    <s v="Gigawattstunde"/>
    <x v="7"/>
    <x v="11"/>
    <n v="9376"/>
  </r>
  <r>
    <x v="11"/>
    <s v="Endenergieverbrauch - Industriesektor - Papier, Zellstoff und Druckerzeugnisse - energetischer Verbrauch"/>
    <s v="Elektrizität"/>
    <s v="Gigawattstunde"/>
    <x v="8"/>
    <x v="11"/>
    <n v="9760"/>
  </r>
  <r>
    <x v="11"/>
    <s v="Endenergieverbrauch - Industriesektor - Papier, Zellstoff und Druckerzeugnisse - energetischer Verbrauch"/>
    <s v="Elektrizität"/>
    <s v="Gigawattstunde"/>
    <x v="9"/>
    <x v="11"/>
    <n v="9597"/>
  </r>
  <r>
    <x v="11"/>
    <s v="Endenergieverbrauch - Industriesektor - Papier, Zellstoff und Druckerzeugnisse - energetischer Verbrauch"/>
    <s v="Elektrizität"/>
    <s v="Gigawattstunde"/>
    <x v="10"/>
    <x v="11"/>
    <n v="9104"/>
  </r>
  <r>
    <x v="11"/>
    <s v="Endenergieverbrauch - Industriesektor - Papier, Zellstoff und Druckerzeugnisse - energetischer Verbrauch"/>
    <s v="Elektrizität"/>
    <s v="Gigawattstunde"/>
    <x v="11"/>
    <x v="11"/>
    <n v="9079"/>
  </r>
  <r>
    <x v="11"/>
    <s v="Endenergieverbrauch - Industriesektor - Papier, Zellstoff und Druckerzeugnisse - energetischer Verbrauch"/>
    <s v="Elektrizität"/>
    <s v="Gigawattstunde"/>
    <x v="12"/>
    <x v="11"/>
    <n v="8672"/>
  </r>
  <r>
    <x v="11"/>
    <s v="Endenergieverbrauch - Industriesektor - Papier, Zellstoff und Druckerzeugnisse - energetischer Verbrauch"/>
    <s v="Elektrizität"/>
    <s v="Gigawattstunde"/>
    <x v="13"/>
    <x v="11"/>
    <n v="8736"/>
  </r>
  <r>
    <x v="11"/>
    <s v="Endenergieverbrauch - Industriesektor - Papier, Zellstoff und Druckerzeugnisse - energetischer Verbrauch"/>
    <s v="Elektrizität"/>
    <s v="Gigawattstunde"/>
    <x v="14"/>
    <x v="11"/>
    <n v="8647"/>
  </r>
  <r>
    <x v="11"/>
    <s v="Endenergieverbrauch - Industriesektor - Papier, Zellstoff und Druckerzeugnisse - energetischer Verbrauch"/>
    <s v="Elektrizität"/>
    <s v="Gigawattstunde"/>
    <x v="15"/>
    <x v="11"/>
    <n v="8603.7549999999992"/>
  </r>
  <r>
    <x v="11"/>
    <s v="Endenergieverbrauch - Industriesektor - Papier, Zellstoff und Druckerzeugnisse - energetischer Verbrauch"/>
    <s v="Elektrizität"/>
    <s v="Gigawattstunde"/>
    <x v="16"/>
    <x v="11"/>
    <n v="8480.6059999999998"/>
  </r>
  <r>
    <x v="12"/>
    <s v="Endenergieverbrauch - Industriesektor - Papier, Zellstoff und Druckerzeugnisse - energetischer Verbrauch"/>
    <s v="Elektrizität"/>
    <s v="Gigawattstunde"/>
    <x v="0"/>
    <x v="11"/>
    <n v="16"/>
  </r>
  <r>
    <x v="12"/>
    <s v="Endenergieverbrauch - Industriesektor - Papier, Zellstoff und Druckerzeugnisse - energetischer Verbrauch"/>
    <s v="Elektrizität"/>
    <s v="Gigawattstunde"/>
    <x v="1"/>
    <x v="11"/>
    <n v="17"/>
  </r>
  <r>
    <x v="12"/>
    <s v="Endenergieverbrauch - Industriesektor - Papier, Zellstoff und Druckerzeugnisse - energetischer Verbrauch"/>
    <s v="Elektrizität"/>
    <s v="Gigawattstunde"/>
    <x v="2"/>
    <x v="11"/>
    <n v="18"/>
  </r>
  <r>
    <x v="12"/>
    <s v="Endenergieverbrauch - Industriesektor - Papier, Zellstoff und Druckerzeugnisse - energetischer Verbrauch"/>
    <s v="Elektrizität"/>
    <s v="Gigawattstunde"/>
    <x v="3"/>
    <x v="11"/>
    <n v="18"/>
  </r>
  <r>
    <x v="12"/>
    <s v="Endenergieverbrauch - Industriesektor - Papier, Zellstoff und Druckerzeugnisse - energetischer Verbrauch"/>
    <s v="Elektrizität"/>
    <s v="Gigawattstunde"/>
    <x v="4"/>
    <x v="11"/>
    <n v="20"/>
  </r>
  <r>
    <x v="12"/>
    <s v="Endenergieverbrauch - Industriesektor - Papier, Zellstoff und Druckerzeugnisse - energetischer Verbrauch"/>
    <s v="Elektrizität"/>
    <s v="Gigawattstunde"/>
    <x v="5"/>
    <x v="11"/>
    <n v="20"/>
  </r>
  <r>
    <x v="12"/>
    <s v="Endenergieverbrauch - Industriesektor - Papier, Zellstoff und Druckerzeugnisse - energetischer Verbrauch"/>
    <s v="Elektrizität"/>
    <s v="Gigawattstunde"/>
    <x v="6"/>
    <x v="11"/>
    <n v="22"/>
  </r>
  <r>
    <x v="12"/>
    <s v="Endenergieverbrauch - Industriesektor - Papier, Zellstoff und Druckerzeugnisse - energetischer Verbrauch"/>
    <s v="Elektrizität"/>
    <s v="Gigawattstunde"/>
    <x v="7"/>
    <x v="11"/>
    <n v="22"/>
  </r>
  <r>
    <x v="12"/>
    <s v="Endenergieverbrauch - Industriesektor - Papier, Zellstoff und Druckerzeugnisse - energetischer Verbrauch"/>
    <s v="Elektrizität"/>
    <s v="Gigawattstunde"/>
    <x v="8"/>
    <x v="11"/>
    <n v="21"/>
  </r>
  <r>
    <x v="12"/>
    <s v="Endenergieverbrauch - Industriesektor - Papier, Zellstoff und Druckerzeugnisse - energetischer Verbrauch"/>
    <s v="Elektrizität"/>
    <s v="Gigawattstunde"/>
    <x v="9"/>
    <x v="11"/>
    <n v="19"/>
  </r>
  <r>
    <x v="12"/>
    <s v="Endenergieverbrauch - Industriesektor - Papier, Zellstoff und Druckerzeugnisse - energetischer Verbrauch"/>
    <s v="Elektrizität"/>
    <s v="Gigawattstunde"/>
    <x v="10"/>
    <x v="11"/>
    <n v="20"/>
  </r>
  <r>
    <x v="12"/>
    <s v="Endenergieverbrauch - Industriesektor - Papier, Zellstoff und Druckerzeugnisse - energetischer Verbrauch"/>
    <s v="Elektrizität"/>
    <s v="Gigawattstunde"/>
    <x v="11"/>
    <x v="11"/>
    <n v="16"/>
  </r>
  <r>
    <x v="12"/>
    <s v="Endenergieverbrauch - Industriesektor - Papier, Zellstoff und Druckerzeugnisse - energetischer Verbrauch"/>
    <s v="Elektrizität"/>
    <s v="Gigawattstunde"/>
    <x v="12"/>
    <x v="11"/>
    <n v="16"/>
  </r>
  <r>
    <x v="12"/>
    <s v="Endenergieverbrauch - Industriesektor - Papier, Zellstoff und Druckerzeugnisse - energetischer Verbrauch"/>
    <s v="Elektrizität"/>
    <s v="Gigawattstunde"/>
    <x v="13"/>
    <x v="11"/>
    <n v="16"/>
  </r>
  <r>
    <x v="12"/>
    <s v="Endenergieverbrauch - Industriesektor - Papier, Zellstoff und Druckerzeugnisse - energetischer Verbrauch"/>
    <s v="Elektrizität"/>
    <s v="Gigawattstunde"/>
    <x v="14"/>
    <x v="11"/>
    <n v="16"/>
  </r>
  <r>
    <x v="12"/>
    <s v="Endenergieverbrauch - Industriesektor - Papier, Zellstoff und Druckerzeugnisse - energetischer Verbrauch"/>
    <s v="Elektrizität"/>
    <s v="Gigawattstunde"/>
    <x v="15"/>
    <x v="11"/>
    <n v="16.318999999999999"/>
  </r>
  <r>
    <x v="12"/>
    <s v="Endenergieverbrauch - Industriesektor - Papier, Zellstoff und Druckerzeugnisse - energetischer Verbrauch"/>
    <s v="Elektrizität"/>
    <s v="Gigawattstunde"/>
    <x v="16"/>
    <x v="11"/>
    <n v="16.065000000000001"/>
  </r>
  <r>
    <x v="13"/>
    <s v="Endenergieverbrauch - Industriesektor - Papier, Zellstoff und Druckerzeugnisse - energetischer Verbrauch"/>
    <s v="Elektrizität"/>
    <s v="Gigawattstunde"/>
    <x v="0"/>
    <x v="11"/>
    <n v="36"/>
  </r>
  <r>
    <x v="13"/>
    <s v="Endenergieverbrauch - Industriesektor - Papier, Zellstoff und Druckerzeugnisse - energetischer Verbrauch"/>
    <s v="Elektrizität"/>
    <s v="Gigawattstunde"/>
    <x v="1"/>
    <x v="11"/>
    <n v="39"/>
  </r>
  <r>
    <x v="13"/>
    <s v="Endenergieverbrauch - Industriesektor - Papier, Zellstoff und Druckerzeugnisse - energetischer Verbrauch"/>
    <s v="Elektrizität"/>
    <s v="Gigawattstunde"/>
    <x v="2"/>
    <x v="11"/>
    <n v="42"/>
  </r>
  <r>
    <x v="13"/>
    <s v="Endenergieverbrauch - Industriesektor - Papier, Zellstoff und Druckerzeugnisse - energetischer Verbrauch"/>
    <s v="Elektrizität"/>
    <s v="Gigawattstunde"/>
    <x v="3"/>
    <x v="11"/>
    <n v="43"/>
  </r>
  <r>
    <x v="13"/>
    <s v="Endenergieverbrauch - Industriesektor - Papier, Zellstoff und Druckerzeugnisse - energetischer Verbrauch"/>
    <s v="Elektrizität"/>
    <s v="Gigawattstunde"/>
    <x v="4"/>
    <x v="11"/>
    <n v="38"/>
  </r>
  <r>
    <x v="13"/>
    <s v="Endenergieverbrauch - Industriesektor - Papier, Zellstoff und Druckerzeugnisse - energetischer Verbrauch"/>
    <s v="Elektrizität"/>
    <s v="Gigawattstunde"/>
    <x v="5"/>
    <x v="11"/>
    <n v="42"/>
  </r>
  <r>
    <x v="13"/>
    <s v="Endenergieverbrauch - Industriesektor - Papier, Zellstoff und Druckerzeugnisse - energetischer Verbrauch"/>
    <s v="Elektrizität"/>
    <s v="Gigawattstunde"/>
    <x v="6"/>
    <x v="11"/>
    <n v="41"/>
  </r>
  <r>
    <x v="13"/>
    <s v="Endenergieverbrauch - Industriesektor - Papier, Zellstoff und Druckerzeugnisse - energetischer Verbrauch"/>
    <s v="Elektrizität"/>
    <s v="Gigawattstunde"/>
    <x v="7"/>
    <x v="11"/>
    <n v="47"/>
  </r>
  <r>
    <x v="13"/>
    <s v="Endenergieverbrauch - Industriesektor - Papier, Zellstoff und Druckerzeugnisse - energetischer Verbrauch"/>
    <s v="Elektrizität"/>
    <s v="Gigawattstunde"/>
    <x v="8"/>
    <x v="11"/>
    <n v="32"/>
  </r>
  <r>
    <x v="13"/>
    <s v="Endenergieverbrauch - Industriesektor - Papier, Zellstoff und Druckerzeugnisse - energetischer Verbrauch"/>
    <s v="Elektrizität"/>
    <s v="Gigawattstunde"/>
    <x v="9"/>
    <x v="11"/>
    <n v="31"/>
  </r>
  <r>
    <x v="13"/>
    <s v="Endenergieverbrauch - Industriesektor - Papier, Zellstoff und Druckerzeugnisse - energetischer Verbrauch"/>
    <s v="Elektrizität"/>
    <s v="Gigawattstunde"/>
    <x v="10"/>
    <x v="11"/>
    <n v="32"/>
  </r>
  <r>
    <x v="13"/>
    <s v="Endenergieverbrauch - Industriesektor - Papier, Zellstoff und Druckerzeugnisse - energetischer Verbrauch"/>
    <s v="Elektrizität"/>
    <s v="Gigawattstunde"/>
    <x v="11"/>
    <x v="11"/>
    <n v="29"/>
  </r>
  <r>
    <x v="13"/>
    <s v="Endenergieverbrauch - Industriesektor - Papier, Zellstoff und Druckerzeugnisse - energetischer Verbrauch"/>
    <s v="Elektrizität"/>
    <s v="Gigawattstunde"/>
    <x v="12"/>
    <x v="11"/>
    <n v="30"/>
  </r>
  <r>
    <x v="13"/>
    <s v="Endenergieverbrauch - Industriesektor - Papier, Zellstoff und Druckerzeugnisse - energetischer Verbrauch"/>
    <s v="Elektrizität"/>
    <s v="Gigawattstunde"/>
    <x v="13"/>
    <x v="11"/>
    <n v="28"/>
  </r>
  <r>
    <x v="13"/>
    <s v="Endenergieverbrauch - Industriesektor - Papier, Zellstoff und Druckerzeugnisse - energetischer Verbrauch"/>
    <s v="Elektrizität"/>
    <s v="Gigawattstunde"/>
    <x v="14"/>
    <x v="11"/>
    <n v="26"/>
  </r>
  <r>
    <x v="13"/>
    <s v="Endenergieverbrauch - Industriesektor - Papier, Zellstoff und Druckerzeugnisse - energetischer Verbrauch"/>
    <s v="Elektrizität"/>
    <s v="Gigawattstunde"/>
    <x v="15"/>
    <x v="11"/>
    <n v="27.765999999999998"/>
  </r>
  <r>
    <x v="13"/>
    <s v="Endenergieverbrauch - Industriesektor - Papier, Zellstoff und Druckerzeugnisse - energetischer Verbrauch"/>
    <s v="Elektrizität"/>
    <s v="Gigawattstunde"/>
    <x v="16"/>
    <x v="11"/>
    <n v="27.85"/>
  </r>
  <r>
    <x v="14"/>
    <s v="Endenergieverbrauch - Industriesektor - Papier, Zellstoff und Druckerzeugnisse - energetischer Verbrauch"/>
    <s v="Elektrizität"/>
    <s v="Gigawattstunde"/>
    <x v="0"/>
    <x v="11"/>
    <n v="99"/>
  </r>
  <r>
    <x v="14"/>
    <s v="Endenergieverbrauch - Industriesektor - Papier, Zellstoff und Druckerzeugnisse - energetischer Verbrauch"/>
    <s v="Elektrizität"/>
    <s v="Gigawattstunde"/>
    <x v="1"/>
    <x v="11"/>
    <n v="86"/>
  </r>
  <r>
    <x v="14"/>
    <s v="Endenergieverbrauch - Industriesektor - Papier, Zellstoff und Druckerzeugnisse - energetischer Verbrauch"/>
    <s v="Elektrizität"/>
    <s v="Gigawattstunde"/>
    <x v="2"/>
    <x v="11"/>
    <n v="86"/>
  </r>
  <r>
    <x v="14"/>
    <s v="Endenergieverbrauch - Industriesektor - Papier, Zellstoff und Druckerzeugnisse - energetischer Verbrauch"/>
    <s v="Elektrizität"/>
    <s v="Gigawattstunde"/>
    <x v="3"/>
    <x v="11"/>
    <n v="91"/>
  </r>
  <r>
    <x v="14"/>
    <s v="Endenergieverbrauch - Industriesektor - Papier, Zellstoff und Druckerzeugnisse - energetischer Verbrauch"/>
    <s v="Elektrizität"/>
    <s v="Gigawattstunde"/>
    <x v="4"/>
    <x v="11"/>
    <n v="97"/>
  </r>
  <r>
    <x v="14"/>
    <s v="Endenergieverbrauch - Industriesektor - Papier, Zellstoff und Druckerzeugnisse - energetischer Verbrauch"/>
    <s v="Elektrizität"/>
    <s v="Gigawattstunde"/>
    <x v="5"/>
    <x v="11"/>
    <n v="107"/>
  </r>
  <r>
    <x v="14"/>
    <s v="Endenergieverbrauch - Industriesektor - Papier, Zellstoff und Druckerzeugnisse - energetischer Verbrauch"/>
    <s v="Elektrizität"/>
    <s v="Gigawattstunde"/>
    <x v="6"/>
    <x v="11"/>
    <n v="99"/>
  </r>
  <r>
    <x v="14"/>
    <s v="Endenergieverbrauch - Industriesektor - Papier, Zellstoff und Druckerzeugnisse - energetischer Verbrauch"/>
    <s v="Elektrizität"/>
    <s v="Gigawattstunde"/>
    <x v="7"/>
    <x v="11"/>
    <n v="110"/>
  </r>
  <r>
    <x v="14"/>
    <s v="Endenergieverbrauch - Industriesektor - Papier, Zellstoff und Druckerzeugnisse - energetischer Verbrauch"/>
    <s v="Elektrizität"/>
    <s v="Gigawattstunde"/>
    <x v="8"/>
    <x v="11"/>
    <n v="237"/>
  </r>
  <r>
    <x v="14"/>
    <s v="Endenergieverbrauch - Industriesektor - Papier, Zellstoff und Druckerzeugnisse - energetischer Verbrauch"/>
    <s v="Elektrizität"/>
    <s v="Gigawattstunde"/>
    <x v="9"/>
    <x v="11"/>
    <n v="161"/>
  </r>
  <r>
    <x v="14"/>
    <s v="Endenergieverbrauch - Industriesektor - Papier, Zellstoff und Druckerzeugnisse - energetischer Verbrauch"/>
    <s v="Elektrizität"/>
    <s v="Gigawattstunde"/>
    <x v="10"/>
    <x v="11"/>
    <n v="127"/>
  </r>
  <r>
    <x v="14"/>
    <s v="Endenergieverbrauch - Industriesektor - Papier, Zellstoff und Druckerzeugnisse - energetischer Verbrauch"/>
    <s v="Elektrizität"/>
    <s v="Gigawattstunde"/>
    <x v="11"/>
    <x v="11"/>
    <n v="150"/>
  </r>
  <r>
    <x v="14"/>
    <s v="Endenergieverbrauch - Industriesektor - Papier, Zellstoff und Druckerzeugnisse - energetischer Verbrauch"/>
    <s v="Elektrizität"/>
    <s v="Gigawattstunde"/>
    <x v="12"/>
    <x v="11"/>
    <n v="156"/>
  </r>
  <r>
    <x v="14"/>
    <s v="Endenergieverbrauch - Industriesektor - Papier, Zellstoff und Druckerzeugnisse - energetischer Verbrauch"/>
    <s v="Elektrizität"/>
    <s v="Gigawattstunde"/>
    <x v="13"/>
    <x v="11"/>
    <n v="162"/>
  </r>
  <r>
    <x v="14"/>
    <s v="Endenergieverbrauch - Industriesektor - Papier, Zellstoff und Druckerzeugnisse - energetischer Verbrauch"/>
    <s v="Elektrizität"/>
    <s v="Gigawattstunde"/>
    <x v="14"/>
    <x v="11"/>
    <n v="157"/>
  </r>
  <r>
    <x v="14"/>
    <s v="Endenergieverbrauch - Industriesektor - Papier, Zellstoff und Druckerzeugnisse - energetischer Verbrauch"/>
    <s v="Elektrizität"/>
    <s v="Gigawattstunde"/>
    <x v="15"/>
    <x v="11"/>
    <n v="191.4"/>
  </r>
  <r>
    <x v="14"/>
    <s v="Endenergieverbrauch - Industriesektor - Papier, Zellstoff und Druckerzeugnisse - energetischer Verbrauch"/>
    <s v="Elektrizität"/>
    <s v="Gigawattstunde"/>
    <x v="16"/>
    <x v="11"/>
    <n v="176.7"/>
  </r>
  <r>
    <x v="15"/>
    <s v="Endenergieverbrauch - Industriesektor - Papier, Zellstoff und Druckerzeugnisse - energetischer Verbrauch"/>
    <s v="Elektrizität"/>
    <s v="Gigawattstunde"/>
    <x v="0"/>
    <x v="11"/>
    <n v="152.089"/>
  </r>
  <r>
    <x v="15"/>
    <s v="Endenergieverbrauch - Industriesektor - Papier, Zellstoff und Druckerzeugnisse - energetischer Verbrauch"/>
    <s v="Elektrizität"/>
    <s v="Gigawattstunde"/>
    <x v="1"/>
    <x v="11"/>
    <n v="178.84299999999999"/>
  </r>
  <r>
    <x v="15"/>
    <s v="Endenergieverbrauch - Industriesektor - Papier, Zellstoff und Druckerzeugnisse - energetischer Verbrauch"/>
    <s v="Elektrizität"/>
    <s v="Gigawattstunde"/>
    <x v="2"/>
    <x v="11"/>
    <n v="156.697"/>
  </r>
  <r>
    <x v="15"/>
    <s v="Endenergieverbrauch - Industriesektor - Papier, Zellstoff und Druckerzeugnisse - energetischer Verbrauch"/>
    <s v="Elektrizität"/>
    <s v="Gigawattstunde"/>
    <x v="3"/>
    <x v="11"/>
    <n v="146.27799999999999"/>
  </r>
  <r>
    <x v="15"/>
    <s v="Endenergieverbrauch - Industriesektor - Papier, Zellstoff und Druckerzeugnisse - energetischer Verbrauch"/>
    <s v="Elektrizität"/>
    <s v="Gigawattstunde"/>
    <x v="4"/>
    <x v="11"/>
    <n v="112.676"/>
  </r>
  <r>
    <x v="15"/>
    <s v="Endenergieverbrauch - Industriesektor - Papier, Zellstoff und Druckerzeugnisse - energetischer Verbrauch"/>
    <s v="Elektrizität"/>
    <s v="Gigawattstunde"/>
    <x v="5"/>
    <x v="11"/>
    <n v="89.885999999999996"/>
  </r>
  <r>
    <x v="15"/>
    <s v="Endenergieverbrauch - Industriesektor - Papier, Zellstoff und Druckerzeugnisse - energetischer Verbrauch"/>
    <s v="Elektrizität"/>
    <s v="Gigawattstunde"/>
    <x v="6"/>
    <x v="11"/>
    <n v="99.787000000000006"/>
  </r>
  <r>
    <x v="15"/>
    <s v="Endenergieverbrauch - Industriesektor - Papier, Zellstoff und Druckerzeugnisse - energetischer Verbrauch"/>
    <s v="Elektrizität"/>
    <s v="Gigawattstunde"/>
    <x v="7"/>
    <x v="11"/>
    <n v="88.548000000000002"/>
  </r>
  <r>
    <x v="15"/>
    <s v="Endenergieverbrauch - Industriesektor - Papier, Zellstoff und Druckerzeugnisse - energetischer Verbrauch"/>
    <s v="Elektrizität"/>
    <s v="Gigawattstunde"/>
    <x v="8"/>
    <x v="11"/>
    <n v="66.941000000000003"/>
  </r>
  <r>
    <x v="15"/>
    <s v="Endenergieverbrauch - Industriesektor - Papier, Zellstoff und Druckerzeugnisse - energetischer Verbrauch"/>
    <s v="Elektrizität"/>
    <s v="Gigawattstunde"/>
    <x v="9"/>
    <x v="11"/>
    <n v="38.35"/>
  </r>
  <r>
    <x v="15"/>
    <s v="Endenergieverbrauch - Industriesektor - Papier, Zellstoff und Druckerzeugnisse - energetischer Verbrauch"/>
    <s v="Elektrizität"/>
    <s v="Gigawattstunde"/>
    <x v="10"/>
    <x v="11"/>
    <n v="39.954999999999998"/>
  </r>
  <r>
    <x v="15"/>
    <s v="Endenergieverbrauch - Industriesektor - Papier, Zellstoff und Druckerzeugnisse - energetischer Verbrauch"/>
    <s v="Elektrizität"/>
    <s v="Gigawattstunde"/>
    <x v="11"/>
    <x v="11"/>
    <n v="37.707000000000001"/>
  </r>
  <r>
    <x v="15"/>
    <s v="Endenergieverbrauch - Industriesektor - Papier, Zellstoff und Druckerzeugnisse - energetischer Verbrauch"/>
    <s v="Elektrizität"/>
    <s v="Gigawattstunde"/>
    <x v="12"/>
    <x v="11"/>
    <n v="38.069000000000003"/>
  </r>
  <r>
    <x v="15"/>
    <s v="Endenergieverbrauch - Industriesektor - Papier, Zellstoff und Druckerzeugnisse - energetischer Verbrauch"/>
    <s v="Elektrizität"/>
    <s v="Gigawattstunde"/>
    <x v="13"/>
    <x v="11"/>
    <n v="39.408000000000001"/>
  </r>
  <r>
    <x v="15"/>
    <s v="Endenergieverbrauch - Industriesektor - Papier, Zellstoff und Druckerzeugnisse - energetischer Verbrauch"/>
    <s v="Elektrizität"/>
    <s v="Gigawattstunde"/>
    <x v="14"/>
    <x v="11"/>
    <n v="39.049999999999997"/>
  </r>
  <r>
    <x v="15"/>
    <s v="Endenergieverbrauch - Industriesektor - Papier, Zellstoff und Druckerzeugnisse - energetischer Verbrauch"/>
    <s v="Elektrizität"/>
    <s v="Gigawattstunde"/>
    <x v="15"/>
    <x v="11"/>
    <n v="35.283000000000001"/>
  </r>
  <r>
    <x v="15"/>
    <s v="Endenergieverbrauch - Industriesektor - Papier, Zellstoff und Druckerzeugnisse - energetischer Verbrauch"/>
    <s v="Elektrizität"/>
    <s v="Gigawattstunde"/>
    <x v="16"/>
    <x v="11"/>
    <n v="37.527000000000001"/>
  </r>
  <r>
    <x v="16"/>
    <s v="Endenergieverbrauch - Industriesektor - Papier, Zellstoff und Druckerzeugnisse - energetischer Verbrauch"/>
    <s v="Elektrizität"/>
    <s v="Gigawattstunde"/>
    <x v="0"/>
    <x v="11"/>
    <n v="451"/>
  </r>
  <r>
    <x v="16"/>
    <s v="Endenergieverbrauch - Industriesektor - Papier, Zellstoff und Druckerzeugnisse - energetischer Verbrauch"/>
    <s v="Elektrizität"/>
    <s v="Gigawattstunde"/>
    <x v="1"/>
    <x v="11"/>
    <n v="490"/>
  </r>
  <r>
    <x v="16"/>
    <s v="Endenergieverbrauch - Industriesektor - Papier, Zellstoff und Druckerzeugnisse - energetischer Verbrauch"/>
    <s v="Elektrizität"/>
    <s v="Gigawattstunde"/>
    <x v="2"/>
    <x v="11"/>
    <n v="511"/>
  </r>
  <r>
    <x v="16"/>
    <s v="Endenergieverbrauch - Industriesektor - Papier, Zellstoff und Druckerzeugnisse - energetischer Verbrauch"/>
    <s v="Elektrizität"/>
    <s v="Gigawattstunde"/>
    <x v="3"/>
    <x v="11"/>
    <n v="579"/>
  </r>
  <r>
    <x v="16"/>
    <s v="Endenergieverbrauch - Industriesektor - Papier, Zellstoff und Druckerzeugnisse - energetischer Verbrauch"/>
    <s v="Elektrizität"/>
    <s v="Gigawattstunde"/>
    <x v="4"/>
    <x v="11"/>
    <n v="560"/>
  </r>
  <r>
    <x v="16"/>
    <s v="Endenergieverbrauch - Industriesektor - Papier, Zellstoff und Druckerzeugnisse - energetischer Verbrauch"/>
    <s v="Elektrizität"/>
    <s v="Gigawattstunde"/>
    <x v="5"/>
    <x v="11"/>
    <n v="485"/>
  </r>
  <r>
    <x v="16"/>
    <s v="Endenergieverbrauch - Industriesektor - Papier, Zellstoff und Druckerzeugnisse - energetischer Verbrauch"/>
    <s v="Elektrizität"/>
    <s v="Gigawattstunde"/>
    <x v="6"/>
    <x v="11"/>
    <n v="453"/>
  </r>
  <r>
    <x v="16"/>
    <s v="Endenergieverbrauch - Industriesektor - Papier, Zellstoff und Druckerzeugnisse - energetischer Verbrauch"/>
    <s v="Elektrizität"/>
    <s v="Gigawattstunde"/>
    <x v="7"/>
    <x v="11"/>
    <n v="398"/>
  </r>
  <r>
    <x v="16"/>
    <s v="Endenergieverbrauch - Industriesektor - Papier, Zellstoff und Druckerzeugnisse - energetischer Verbrauch"/>
    <s v="Elektrizität"/>
    <s v="Gigawattstunde"/>
    <x v="8"/>
    <x v="11"/>
    <n v="560"/>
  </r>
  <r>
    <x v="16"/>
    <s v="Endenergieverbrauch - Industriesektor - Papier, Zellstoff und Druckerzeugnisse - energetischer Verbrauch"/>
    <s v="Elektrizität"/>
    <s v="Gigawattstunde"/>
    <x v="9"/>
    <x v="11"/>
    <n v="565"/>
  </r>
  <r>
    <x v="16"/>
    <s v="Endenergieverbrauch - Industriesektor - Papier, Zellstoff und Druckerzeugnisse - energetischer Verbrauch"/>
    <s v="Elektrizität"/>
    <s v="Gigawattstunde"/>
    <x v="10"/>
    <x v="11"/>
    <n v="773"/>
  </r>
  <r>
    <x v="16"/>
    <s v="Endenergieverbrauch - Industriesektor - Papier, Zellstoff und Druckerzeugnisse - energetischer Verbrauch"/>
    <s v="Elektrizität"/>
    <s v="Gigawattstunde"/>
    <x v="11"/>
    <x v="11"/>
    <n v="789"/>
  </r>
  <r>
    <x v="16"/>
    <s v="Endenergieverbrauch - Industriesektor - Papier, Zellstoff und Druckerzeugnisse - energetischer Verbrauch"/>
    <s v="Elektrizität"/>
    <s v="Gigawattstunde"/>
    <x v="12"/>
    <x v="11"/>
    <n v="798"/>
  </r>
  <r>
    <x v="16"/>
    <s v="Endenergieverbrauch - Industriesektor - Papier, Zellstoff und Druckerzeugnisse - energetischer Verbrauch"/>
    <s v="Elektrizität"/>
    <s v="Gigawattstunde"/>
    <x v="13"/>
    <x v="11"/>
    <n v="829"/>
  </r>
  <r>
    <x v="16"/>
    <s v="Endenergieverbrauch - Industriesektor - Papier, Zellstoff und Druckerzeugnisse - energetischer Verbrauch"/>
    <s v="Elektrizität"/>
    <s v="Gigawattstunde"/>
    <x v="14"/>
    <x v="11"/>
    <n v="843"/>
  </r>
  <r>
    <x v="16"/>
    <s v="Endenergieverbrauch - Industriesektor - Papier, Zellstoff und Druckerzeugnisse - energetischer Verbrauch"/>
    <s v="Elektrizität"/>
    <s v="Gigawattstunde"/>
    <x v="15"/>
    <x v="11"/>
    <n v="886"/>
  </r>
  <r>
    <x v="16"/>
    <s v="Endenergieverbrauch - Industriesektor - Papier, Zellstoff und Druckerzeugnisse - energetischer Verbrauch"/>
    <s v="Elektrizität"/>
    <s v="Gigawattstunde"/>
    <x v="16"/>
    <x v="11"/>
    <n v="888"/>
  </r>
  <r>
    <x v="17"/>
    <s v="Endenergieverbrauch - Industriesektor - Papier, Zellstoff und Druckerzeugnisse - energetischer Verbrauch"/>
    <s v="Elektrizität"/>
    <s v="Gigawattstunde"/>
    <x v="0"/>
    <x v="11"/>
    <n v="0"/>
  </r>
  <r>
    <x v="17"/>
    <s v="Endenergieverbrauch - Industriesektor - Papier, Zellstoff und Druckerzeugnisse - energetischer Verbrauch"/>
    <s v="Elektrizität"/>
    <s v="Gigawattstunde"/>
    <x v="1"/>
    <x v="11"/>
    <n v="0"/>
  </r>
  <r>
    <x v="17"/>
    <s v="Endenergieverbrauch - Industriesektor - Papier, Zellstoff und Druckerzeugnisse - energetischer Verbrauch"/>
    <s v="Elektrizität"/>
    <s v="Gigawattstunde"/>
    <x v="2"/>
    <x v="11"/>
    <n v="0"/>
  </r>
  <r>
    <x v="17"/>
    <s v="Endenergieverbrauch - Industriesektor - Papier, Zellstoff und Druckerzeugnisse - energetischer Verbrauch"/>
    <s v="Elektrizität"/>
    <s v="Gigawattstunde"/>
    <x v="3"/>
    <x v="11"/>
    <n v="0"/>
  </r>
  <r>
    <x v="17"/>
    <s v="Endenergieverbrauch - Industriesektor - Papier, Zellstoff und Druckerzeugnisse - energetischer Verbrauch"/>
    <s v="Elektrizität"/>
    <s v="Gigawattstunde"/>
    <x v="4"/>
    <x v="11"/>
    <n v="0"/>
  </r>
  <r>
    <x v="17"/>
    <s v="Endenergieverbrauch - Industriesektor - Papier, Zellstoff und Druckerzeugnisse - energetischer Verbrauch"/>
    <s v="Elektrizität"/>
    <s v="Gigawattstunde"/>
    <x v="5"/>
    <x v="11"/>
    <n v="0"/>
  </r>
  <r>
    <x v="17"/>
    <s v="Endenergieverbrauch - Industriesektor - Papier, Zellstoff und Druckerzeugnisse - energetischer Verbrauch"/>
    <s v="Elektrizität"/>
    <s v="Gigawattstunde"/>
    <x v="6"/>
    <x v="11"/>
    <n v="0"/>
  </r>
  <r>
    <x v="17"/>
    <s v="Endenergieverbrauch - Industriesektor - Papier, Zellstoff und Druckerzeugnisse - energetischer Verbrauch"/>
    <s v="Elektrizität"/>
    <s v="Gigawattstunde"/>
    <x v="7"/>
    <x v="11"/>
    <n v="0"/>
  </r>
  <r>
    <x v="17"/>
    <s v="Endenergieverbrauch - Industriesektor - Papier, Zellstoff und Druckerzeugnisse - energetischer Verbrauch"/>
    <s v="Elektrizität"/>
    <s v="Gigawattstunde"/>
    <x v="8"/>
    <x v="11"/>
    <n v="20"/>
  </r>
  <r>
    <x v="17"/>
    <s v="Endenergieverbrauch - Industriesektor - Papier, Zellstoff und Druckerzeugnisse - energetischer Verbrauch"/>
    <s v="Elektrizität"/>
    <s v="Gigawattstunde"/>
    <x v="9"/>
    <x v="11"/>
    <n v="22"/>
  </r>
  <r>
    <x v="17"/>
    <s v="Endenergieverbrauch - Industriesektor - Papier, Zellstoff und Druckerzeugnisse - energetischer Verbrauch"/>
    <s v="Elektrizität"/>
    <s v="Gigawattstunde"/>
    <x v="10"/>
    <x v="11"/>
    <n v="22"/>
  </r>
  <r>
    <x v="17"/>
    <s v="Endenergieverbrauch - Industriesektor - Papier, Zellstoff und Druckerzeugnisse - energetischer Verbrauch"/>
    <s v="Elektrizität"/>
    <s v="Gigawattstunde"/>
    <x v="11"/>
    <x v="11"/>
    <n v="22"/>
  </r>
  <r>
    <x v="17"/>
    <s v="Endenergieverbrauch - Industriesektor - Papier, Zellstoff und Druckerzeugnisse - energetischer Verbrauch"/>
    <s v="Elektrizität"/>
    <s v="Gigawattstunde"/>
    <x v="12"/>
    <x v="11"/>
    <n v="23"/>
  </r>
  <r>
    <x v="17"/>
    <s v="Endenergieverbrauch - Industriesektor - Papier, Zellstoff und Druckerzeugnisse - energetischer Verbrauch"/>
    <s v="Elektrizität"/>
    <s v="Gigawattstunde"/>
    <x v="13"/>
    <x v="11"/>
    <n v="23"/>
  </r>
  <r>
    <x v="17"/>
    <s v="Endenergieverbrauch - Industriesektor - Papier, Zellstoff und Druckerzeugnisse - energetischer Verbrauch"/>
    <s v="Elektrizität"/>
    <s v="Gigawattstunde"/>
    <x v="14"/>
    <x v="11"/>
    <n v="24"/>
  </r>
  <r>
    <x v="17"/>
    <s v="Endenergieverbrauch - Industriesektor - Papier, Zellstoff und Druckerzeugnisse - energetischer Verbrauch"/>
    <s v="Elektrizität"/>
    <s v="Gigawattstunde"/>
    <x v="15"/>
    <x v="11"/>
    <n v="25.196999999999999"/>
  </r>
  <r>
    <x v="17"/>
    <s v="Endenergieverbrauch - Industriesektor - Papier, Zellstoff und Druckerzeugnisse - energetischer Verbrauch"/>
    <s v="Elektrizität"/>
    <s v="Gigawattstunde"/>
    <x v="16"/>
    <x v="11"/>
    <n v="26.994"/>
  </r>
  <r>
    <x v="18"/>
    <s v="Endenergieverbrauch - Industriesektor - Papier, Zellstoff und Druckerzeugnisse - energetischer Verbrauch"/>
    <s v="Elektrizität"/>
    <s v="Gigawattstunde"/>
    <x v="0"/>
    <x v="11"/>
    <n v="3804"/>
  </r>
  <r>
    <x v="18"/>
    <s v="Endenergieverbrauch - Industriesektor - Papier, Zellstoff und Druckerzeugnisse - energetischer Verbrauch"/>
    <s v="Elektrizität"/>
    <s v="Gigawattstunde"/>
    <x v="1"/>
    <x v="11"/>
    <n v="3694"/>
  </r>
  <r>
    <x v="18"/>
    <s v="Endenergieverbrauch - Industriesektor - Papier, Zellstoff und Druckerzeugnisse - energetischer Verbrauch"/>
    <s v="Elektrizität"/>
    <s v="Gigawattstunde"/>
    <x v="2"/>
    <x v="11"/>
    <n v="3682"/>
  </r>
  <r>
    <x v="18"/>
    <s v="Endenergieverbrauch - Industriesektor - Papier, Zellstoff und Druckerzeugnisse - energetischer Verbrauch"/>
    <s v="Elektrizität"/>
    <s v="Gigawattstunde"/>
    <x v="3"/>
    <x v="11"/>
    <n v="3630"/>
  </r>
  <r>
    <x v="18"/>
    <s v="Endenergieverbrauch - Industriesektor - Papier, Zellstoff und Druckerzeugnisse - energetischer Verbrauch"/>
    <s v="Elektrizität"/>
    <s v="Gigawattstunde"/>
    <x v="4"/>
    <x v="11"/>
    <n v="3680"/>
  </r>
  <r>
    <x v="18"/>
    <s v="Endenergieverbrauch - Industriesektor - Papier, Zellstoff und Druckerzeugnisse - energetischer Verbrauch"/>
    <s v="Elektrizität"/>
    <s v="Gigawattstunde"/>
    <x v="5"/>
    <x v="11"/>
    <n v="3686"/>
  </r>
  <r>
    <x v="18"/>
    <s v="Endenergieverbrauch - Industriesektor - Papier, Zellstoff und Druckerzeugnisse - energetischer Verbrauch"/>
    <s v="Elektrizität"/>
    <s v="Gigawattstunde"/>
    <x v="6"/>
    <x v="11"/>
    <n v="3623"/>
  </r>
  <r>
    <x v="18"/>
    <s v="Endenergieverbrauch - Industriesektor - Papier, Zellstoff und Druckerzeugnisse - energetischer Verbrauch"/>
    <s v="Elektrizität"/>
    <s v="Gigawattstunde"/>
    <x v="7"/>
    <x v="11"/>
    <n v="2717"/>
  </r>
  <r>
    <x v="18"/>
    <s v="Endenergieverbrauch - Industriesektor - Papier, Zellstoff und Druckerzeugnisse - energetischer Verbrauch"/>
    <s v="Elektrizität"/>
    <s v="Gigawattstunde"/>
    <x v="8"/>
    <x v="11"/>
    <n v="2682"/>
  </r>
  <r>
    <x v="18"/>
    <s v="Endenergieverbrauch - Industriesektor - Papier, Zellstoff und Druckerzeugnisse - energetischer Verbrauch"/>
    <s v="Elektrizität"/>
    <s v="Gigawattstunde"/>
    <x v="9"/>
    <x v="11"/>
    <n v="2499"/>
  </r>
  <r>
    <x v="18"/>
    <s v="Endenergieverbrauch - Industriesektor - Papier, Zellstoff und Druckerzeugnisse - energetischer Verbrauch"/>
    <s v="Elektrizität"/>
    <s v="Gigawattstunde"/>
    <x v="10"/>
    <x v="11"/>
    <n v="2503"/>
  </r>
  <r>
    <x v="18"/>
    <s v="Endenergieverbrauch - Industriesektor - Papier, Zellstoff und Druckerzeugnisse - energetischer Verbrauch"/>
    <s v="Elektrizität"/>
    <s v="Gigawattstunde"/>
    <x v="11"/>
    <x v="11"/>
    <n v="2542"/>
  </r>
  <r>
    <x v="18"/>
    <s v="Endenergieverbrauch - Industriesektor - Papier, Zellstoff und Druckerzeugnisse - energetischer Verbrauch"/>
    <s v="Elektrizität"/>
    <s v="Gigawattstunde"/>
    <x v="12"/>
    <x v="11"/>
    <n v="2303"/>
  </r>
  <r>
    <x v="18"/>
    <s v="Endenergieverbrauch - Industriesektor - Papier, Zellstoff und Druckerzeugnisse - energetischer Verbrauch"/>
    <s v="Elektrizität"/>
    <s v="Gigawattstunde"/>
    <x v="13"/>
    <x v="11"/>
    <n v="2410.8110000000001"/>
  </r>
  <r>
    <x v="18"/>
    <s v="Endenergieverbrauch - Industriesektor - Papier, Zellstoff und Druckerzeugnisse - energetischer Verbrauch"/>
    <s v="Elektrizität"/>
    <s v="Gigawattstunde"/>
    <x v="14"/>
    <x v="11"/>
    <n v="2492.0990000000002"/>
  </r>
  <r>
    <x v="18"/>
    <s v="Endenergieverbrauch - Industriesektor - Papier, Zellstoff und Druckerzeugnisse - energetischer Verbrauch"/>
    <s v="Elektrizität"/>
    <s v="Gigawattstunde"/>
    <x v="15"/>
    <x v="11"/>
    <n v="2493.2280000000001"/>
  </r>
  <r>
    <x v="18"/>
    <s v="Endenergieverbrauch - Industriesektor - Papier, Zellstoff und Druckerzeugnisse - energetischer Verbrauch"/>
    <s v="Elektrizität"/>
    <s v="Gigawattstunde"/>
    <x v="16"/>
    <x v="11"/>
    <n v="2247.1999999999998"/>
  </r>
  <r>
    <x v="19"/>
    <s v="Endenergieverbrauch - Industriesektor - Papier, Zellstoff und Druckerzeugnisse - energetischer Verbrauch"/>
    <s v="Elektrizität"/>
    <s v="Gigawattstunde"/>
    <x v="0"/>
    <x v="11"/>
    <n v="4759"/>
  </r>
  <r>
    <x v="19"/>
    <s v="Endenergieverbrauch - Industriesektor - Papier, Zellstoff und Druckerzeugnisse - energetischer Verbrauch"/>
    <s v="Elektrizität"/>
    <s v="Gigawattstunde"/>
    <x v="1"/>
    <x v="11"/>
    <n v="4547"/>
  </r>
  <r>
    <x v="19"/>
    <s v="Endenergieverbrauch - Industriesektor - Papier, Zellstoff und Druckerzeugnisse - energetischer Verbrauch"/>
    <s v="Elektrizität"/>
    <s v="Gigawattstunde"/>
    <x v="2"/>
    <x v="11"/>
    <n v="4884"/>
  </r>
  <r>
    <x v="19"/>
    <s v="Endenergieverbrauch - Industriesektor - Papier, Zellstoff und Druckerzeugnisse - energetischer Verbrauch"/>
    <s v="Elektrizität"/>
    <s v="Gigawattstunde"/>
    <x v="3"/>
    <x v="11"/>
    <n v="4935.3760000000002"/>
  </r>
  <r>
    <x v="19"/>
    <s v="Endenergieverbrauch - Industriesektor - Papier, Zellstoff und Druckerzeugnisse - energetischer Verbrauch"/>
    <s v="Elektrizität"/>
    <s v="Gigawattstunde"/>
    <x v="4"/>
    <x v="11"/>
    <n v="4944.9560000000001"/>
  </r>
  <r>
    <x v="19"/>
    <s v="Endenergieverbrauch - Industriesektor - Papier, Zellstoff und Druckerzeugnisse - energetischer Verbrauch"/>
    <s v="Elektrizität"/>
    <s v="Gigawattstunde"/>
    <x v="5"/>
    <x v="11"/>
    <n v="5007.0200000000004"/>
  </r>
  <r>
    <x v="19"/>
    <s v="Endenergieverbrauch - Industriesektor - Papier, Zellstoff und Druckerzeugnisse - energetischer Verbrauch"/>
    <s v="Elektrizität"/>
    <s v="Gigawattstunde"/>
    <x v="6"/>
    <x v="11"/>
    <n v="4803.192"/>
  </r>
  <r>
    <x v="19"/>
    <s v="Endenergieverbrauch - Industriesektor - Papier, Zellstoff und Druckerzeugnisse - energetischer Verbrauch"/>
    <s v="Elektrizität"/>
    <s v="Gigawattstunde"/>
    <x v="7"/>
    <x v="11"/>
    <n v="4365.0349999999999"/>
  </r>
  <r>
    <x v="19"/>
    <s v="Endenergieverbrauch - Industriesektor - Papier, Zellstoff und Druckerzeugnisse - energetischer Verbrauch"/>
    <s v="Elektrizität"/>
    <s v="Gigawattstunde"/>
    <x v="8"/>
    <x v="11"/>
    <n v="4709.8509999999997"/>
  </r>
  <r>
    <x v="19"/>
    <s v="Endenergieverbrauch - Industriesektor - Papier, Zellstoff und Druckerzeugnisse - energetischer Verbrauch"/>
    <s v="Elektrizität"/>
    <s v="Gigawattstunde"/>
    <x v="9"/>
    <x v="11"/>
    <n v="4658.2070000000003"/>
  </r>
  <r>
    <x v="19"/>
    <s v="Endenergieverbrauch - Industriesektor - Papier, Zellstoff und Druckerzeugnisse - energetischer Verbrauch"/>
    <s v="Elektrizität"/>
    <s v="Gigawattstunde"/>
    <x v="10"/>
    <x v="11"/>
    <n v="4773.38"/>
  </r>
  <r>
    <x v="19"/>
    <s v="Endenergieverbrauch - Industriesektor - Papier, Zellstoff und Druckerzeugnisse - energetischer Verbrauch"/>
    <s v="Elektrizität"/>
    <s v="Gigawattstunde"/>
    <x v="11"/>
    <x v="11"/>
    <n v="4902.0460000000003"/>
  </r>
  <r>
    <x v="19"/>
    <s v="Endenergieverbrauch - Industriesektor - Papier, Zellstoff und Druckerzeugnisse - energetischer Verbrauch"/>
    <s v="Elektrizität"/>
    <s v="Gigawattstunde"/>
    <x v="12"/>
    <x v="11"/>
    <n v="4786.1229999999996"/>
  </r>
  <r>
    <x v="19"/>
    <s v="Endenergieverbrauch - Industriesektor - Papier, Zellstoff und Druckerzeugnisse - energetischer Verbrauch"/>
    <s v="Elektrizität"/>
    <s v="Gigawattstunde"/>
    <x v="13"/>
    <x v="11"/>
    <n v="4808.9889999999996"/>
  </r>
  <r>
    <x v="19"/>
    <s v="Endenergieverbrauch - Industriesektor - Papier, Zellstoff und Druckerzeugnisse - energetischer Verbrauch"/>
    <s v="Elektrizität"/>
    <s v="Gigawattstunde"/>
    <x v="14"/>
    <x v="11"/>
    <n v="5018.6049999999996"/>
  </r>
  <r>
    <x v="19"/>
    <s v="Endenergieverbrauch - Industriesektor - Papier, Zellstoff und Druckerzeugnisse - energetischer Verbrauch"/>
    <s v="Elektrizität"/>
    <s v="Gigawattstunde"/>
    <x v="15"/>
    <x v="11"/>
    <n v="4760.924"/>
  </r>
  <r>
    <x v="19"/>
    <s v="Endenergieverbrauch - Industriesektor - Papier, Zellstoff und Druckerzeugnisse - energetischer Verbrauch"/>
    <s v="Elektrizität"/>
    <s v="Gigawattstunde"/>
    <x v="16"/>
    <x v="11"/>
    <n v="4827.9859999999999"/>
  </r>
  <r>
    <x v="20"/>
    <s v="Endenergieverbrauch - Industriesektor - Papier, Zellstoff und Druckerzeugnisse - energetischer Verbrauch"/>
    <s v="Elektrizität"/>
    <s v="Gigawattstunde"/>
    <x v="0"/>
    <x v="11"/>
    <n v="2773"/>
  </r>
  <r>
    <x v="20"/>
    <s v="Endenergieverbrauch - Industriesektor - Papier, Zellstoff und Druckerzeugnisse - energetischer Verbrauch"/>
    <s v="Elektrizität"/>
    <s v="Gigawattstunde"/>
    <x v="1"/>
    <x v="11"/>
    <n v="3004"/>
  </r>
  <r>
    <x v="20"/>
    <s v="Endenergieverbrauch - Industriesektor - Papier, Zellstoff und Druckerzeugnisse - energetischer Verbrauch"/>
    <s v="Elektrizität"/>
    <s v="Gigawattstunde"/>
    <x v="2"/>
    <x v="11"/>
    <n v="2950"/>
  </r>
  <r>
    <x v="20"/>
    <s v="Endenergieverbrauch - Industriesektor - Papier, Zellstoff und Druckerzeugnisse - energetischer Verbrauch"/>
    <s v="Elektrizität"/>
    <s v="Gigawattstunde"/>
    <x v="3"/>
    <x v="11"/>
    <n v="3119"/>
  </r>
  <r>
    <x v="20"/>
    <s v="Endenergieverbrauch - Industriesektor - Papier, Zellstoff und Druckerzeugnisse - energetischer Verbrauch"/>
    <s v="Elektrizität"/>
    <s v="Gigawattstunde"/>
    <x v="4"/>
    <x v="11"/>
    <n v="3172"/>
  </r>
  <r>
    <x v="20"/>
    <s v="Endenergieverbrauch - Industriesektor - Papier, Zellstoff und Druckerzeugnisse - energetischer Verbrauch"/>
    <s v="Elektrizität"/>
    <s v="Gigawattstunde"/>
    <x v="5"/>
    <x v="11"/>
    <n v="3271"/>
  </r>
  <r>
    <x v="20"/>
    <s v="Endenergieverbrauch - Industriesektor - Papier, Zellstoff und Druckerzeugnisse - energetischer Verbrauch"/>
    <s v="Elektrizität"/>
    <s v="Gigawattstunde"/>
    <x v="6"/>
    <x v="11"/>
    <n v="3194"/>
  </r>
  <r>
    <x v="20"/>
    <s v="Endenergieverbrauch - Industriesektor - Papier, Zellstoff und Druckerzeugnisse - energetischer Verbrauch"/>
    <s v="Elektrizität"/>
    <s v="Gigawattstunde"/>
    <x v="7"/>
    <x v="11"/>
    <n v="3418"/>
  </r>
  <r>
    <x v="20"/>
    <s v="Endenergieverbrauch - Industriesektor - Papier, Zellstoff und Druckerzeugnisse - energetischer Verbrauch"/>
    <s v="Elektrizität"/>
    <s v="Gigawattstunde"/>
    <x v="8"/>
    <x v="11"/>
    <n v="3668"/>
  </r>
  <r>
    <x v="20"/>
    <s v="Endenergieverbrauch - Industriesektor - Papier, Zellstoff und Druckerzeugnisse - energetischer Verbrauch"/>
    <s v="Elektrizität"/>
    <s v="Gigawattstunde"/>
    <x v="9"/>
    <x v="11"/>
    <n v="3531"/>
  </r>
  <r>
    <x v="20"/>
    <s v="Endenergieverbrauch - Industriesektor - Papier, Zellstoff und Druckerzeugnisse - energetischer Verbrauch"/>
    <s v="Elektrizität"/>
    <s v="Gigawattstunde"/>
    <x v="10"/>
    <x v="11"/>
    <n v="3796"/>
  </r>
  <r>
    <x v="20"/>
    <s v="Endenergieverbrauch - Industriesektor - Papier, Zellstoff und Druckerzeugnisse - energetischer Verbrauch"/>
    <s v="Elektrizität"/>
    <s v="Gigawattstunde"/>
    <x v="11"/>
    <x v="11"/>
    <n v="4288"/>
  </r>
  <r>
    <x v="20"/>
    <s v="Endenergieverbrauch - Industriesektor - Papier, Zellstoff und Druckerzeugnisse - energetischer Verbrauch"/>
    <s v="Elektrizität"/>
    <s v="Gigawattstunde"/>
    <x v="12"/>
    <x v="11"/>
    <n v="4228"/>
  </r>
  <r>
    <x v="20"/>
    <s v="Endenergieverbrauch - Industriesektor - Papier, Zellstoff und Druckerzeugnisse - energetischer Verbrauch"/>
    <s v="Elektrizität"/>
    <s v="Gigawattstunde"/>
    <x v="13"/>
    <x v="11"/>
    <n v="4249"/>
  </r>
  <r>
    <x v="20"/>
    <s v="Endenergieverbrauch - Industriesektor - Papier, Zellstoff und Druckerzeugnisse - energetischer Verbrauch"/>
    <s v="Elektrizität"/>
    <s v="Gigawattstunde"/>
    <x v="14"/>
    <x v="11"/>
    <n v="4266"/>
  </r>
  <r>
    <x v="20"/>
    <s v="Endenergieverbrauch - Industriesektor - Papier, Zellstoff und Druckerzeugnisse - energetischer Verbrauch"/>
    <s v="Elektrizität"/>
    <s v="Gigawattstunde"/>
    <x v="15"/>
    <x v="11"/>
    <n v="4665.4709999999995"/>
  </r>
  <r>
    <x v="20"/>
    <s v="Endenergieverbrauch - Industriesektor - Papier, Zellstoff und Druckerzeugnisse - energetischer Verbrauch"/>
    <s v="Elektrizität"/>
    <s v="Gigawattstunde"/>
    <x v="16"/>
    <x v="11"/>
    <n v="4648.6189999999997"/>
  </r>
  <r>
    <x v="21"/>
    <s v="Endenergieverbrauch - Industriesektor - Papier, Zellstoff und Druckerzeugnisse - energetischer Verbrauch"/>
    <s v="Elektrizität"/>
    <s v="Gigawattstunde"/>
    <x v="0"/>
    <x v="11"/>
    <n v="1995"/>
  </r>
  <r>
    <x v="21"/>
    <s v="Endenergieverbrauch - Industriesektor - Papier, Zellstoff und Druckerzeugnisse - energetischer Verbrauch"/>
    <s v="Elektrizität"/>
    <s v="Gigawattstunde"/>
    <x v="1"/>
    <x v="11"/>
    <n v="2229"/>
  </r>
  <r>
    <x v="21"/>
    <s v="Endenergieverbrauch - Industriesektor - Papier, Zellstoff und Druckerzeugnisse - energetischer Verbrauch"/>
    <s v="Elektrizität"/>
    <s v="Gigawattstunde"/>
    <x v="2"/>
    <x v="11"/>
    <n v="2346"/>
  </r>
  <r>
    <x v="21"/>
    <s v="Endenergieverbrauch - Industriesektor - Papier, Zellstoff und Druckerzeugnisse - energetischer Verbrauch"/>
    <s v="Elektrizität"/>
    <s v="Gigawattstunde"/>
    <x v="3"/>
    <x v="11"/>
    <n v="2470"/>
  </r>
  <r>
    <x v="21"/>
    <s v="Endenergieverbrauch - Industriesektor - Papier, Zellstoff und Druckerzeugnisse - energetischer Verbrauch"/>
    <s v="Elektrizität"/>
    <s v="Gigawattstunde"/>
    <x v="4"/>
    <x v="11"/>
    <n v="2500"/>
  </r>
  <r>
    <x v="21"/>
    <s v="Endenergieverbrauch - Industriesektor - Papier, Zellstoff und Druckerzeugnisse - energetischer Verbrauch"/>
    <s v="Elektrizität"/>
    <s v="Gigawattstunde"/>
    <x v="5"/>
    <x v="11"/>
    <n v="2568"/>
  </r>
  <r>
    <x v="21"/>
    <s v="Endenergieverbrauch - Industriesektor - Papier, Zellstoff und Druckerzeugnisse - energetischer Verbrauch"/>
    <s v="Elektrizität"/>
    <s v="Gigawattstunde"/>
    <x v="6"/>
    <x v="11"/>
    <n v="2583"/>
  </r>
  <r>
    <x v="21"/>
    <s v="Endenergieverbrauch - Industriesektor - Papier, Zellstoff und Druckerzeugnisse - energetischer Verbrauch"/>
    <s v="Elektrizität"/>
    <s v="Gigawattstunde"/>
    <x v="7"/>
    <x v="11"/>
    <n v="2719"/>
  </r>
  <r>
    <x v="21"/>
    <s v="Endenergieverbrauch - Industriesektor - Papier, Zellstoff und Druckerzeugnisse - energetischer Verbrauch"/>
    <s v="Elektrizität"/>
    <s v="Gigawattstunde"/>
    <x v="8"/>
    <x v="11"/>
    <n v="3056"/>
  </r>
  <r>
    <x v="21"/>
    <s v="Endenergieverbrauch - Industriesektor - Papier, Zellstoff und Druckerzeugnisse - energetischer Verbrauch"/>
    <s v="Elektrizität"/>
    <s v="Gigawattstunde"/>
    <x v="9"/>
    <x v="11"/>
    <n v="3075"/>
  </r>
  <r>
    <x v="21"/>
    <s v="Endenergieverbrauch - Industriesektor - Papier, Zellstoff und Druckerzeugnisse - energetischer Verbrauch"/>
    <s v="Elektrizität"/>
    <s v="Gigawattstunde"/>
    <x v="10"/>
    <x v="11"/>
    <n v="2834"/>
  </r>
  <r>
    <x v="21"/>
    <s v="Endenergieverbrauch - Industriesektor - Papier, Zellstoff und Druckerzeugnisse - energetischer Verbrauch"/>
    <s v="Elektrizität"/>
    <s v="Gigawattstunde"/>
    <x v="11"/>
    <x v="11"/>
    <n v="3061"/>
  </r>
  <r>
    <x v="21"/>
    <s v="Endenergieverbrauch - Industriesektor - Papier, Zellstoff und Druckerzeugnisse - energetischer Verbrauch"/>
    <s v="Elektrizität"/>
    <s v="Gigawattstunde"/>
    <x v="12"/>
    <x v="11"/>
    <n v="3053"/>
  </r>
  <r>
    <x v="21"/>
    <s v="Endenergieverbrauch - Industriesektor - Papier, Zellstoff und Druckerzeugnisse - energetischer Verbrauch"/>
    <s v="Elektrizität"/>
    <s v="Gigawattstunde"/>
    <x v="13"/>
    <x v="11"/>
    <n v="3046"/>
  </r>
  <r>
    <x v="21"/>
    <s v="Endenergieverbrauch - Industriesektor - Papier, Zellstoff und Druckerzeugnisse - energetischer Verbrauch"/>
    <s v="Elektrizität"/>
    <s v="Gigawattstunde"/>
    <x v="14"/>
    <x v="11"/>
    <n v="3012.5140000000001"/>
  </r>
  <r>
    <x v="21"/>
    <s v="Endenergieverbrauch - Industriesektor - Papier, Zellstoff und Druckerzeugnisse - energetischer Verbrauch"/>
    <s v="Elektrizität"/>
    <s v="Gigawattstunde"/>
    <x v="15"/>
    <x v="11"/>
    <n v="3092.4259999999999"/>
  </r>
  <r>
    <x v="21"/>
    <s v="Endenergieverbrauch - Industriesektor - Papier, Zellstoff und Druckerzeugnisse - energetischer Verbrauch"/>
    <s v="Elektrizität"/>
    <s v="Gigawattstunde"/>
    <x v="16"/>
    <x v="11"/>
    <n v="3051.6289999999999"/>
  </r>
  <r>
    <x v="22"/>
    <s v="Endenergieverbrauch - Industriesektor - Papier, Zellstoff und Druckerzeugnisse - energetischer Verbrauch"/>
    <s v="Elektrizität"/>
    <s v="Gigawattstunde"/>
    <x v="0"/>
    <x v="11"/>
    <n v="694"/>
  </r>
  <r>
    <x v="22"/>
    <s v="Endenergieverbrauch - Industriesektor - Papier, Zellstoff und Druckerzeugnisse - energetischer Verbrauch"/>
    <s v="Elektrizität"/>
    <s v="Gigawattstunde"/>
    <x v="1"/>
    <x v="11"/>
    <n v="812"/>
  </r>
  <r>
    <x v="22"/>
    <s v="Endenergieverbrauch - Industriesektor - Papier, Zellstoff und Druckerzeugnisse - energetischer Verbrauch"/>
    <s v="Elektrizität"/>
    <s v="Gigawattstunde"/>
    <x v="2"/>
    <x v="11"/>
    <n v="707"/>
  </r>
  <r>
    <x v="22"/>
    <s v="Endenergieverbrauch - Industriesektor - Papier, Zellstoff und Druckerzeugnisse - energetischer Verbrauch"/>
    <s v="Elektrizität"/>
    <s v="Gigawattstunde"/>
    <x v="3"/>
    <x v="11"/>
    <n v="542"/>
  </r>
  <r>
    <x v="22"/>
    <s v="Endenergieverbrauch - Industriesektor - Papier, Zellstoff und Druckerzeugnisse - energetischer Verbrauch"/>
    <s v="Elektrizität"/>
    <s v="Gigawattstunde"/>
    <x v="4"/>
    <x v="11"/>
    <n v="655"/>
  </r>
  <r>
    <x v="22"/>
    <s v="Endenergieverbrauch - Industriesektor - Papier, Zellstoff und Druckerzeugnisse - energetischer Verbrauch"/>
    <s v="Elektrizität"/>
    <s v="Gigawattstunde"/>
    <x v="5"/>
    <x v="11"/>
    <n v="621"/>
  </r>
  <r>
    <x v="22"/>
    <s v="Endenergieverbrauch - Industriesektor - Papier, Zellstoff und Druckerzeugnisse - energetischer Verbrauch"/>
    <s v="Elektrizität"/>
    <s v="Gigawattstunde"/>
    <x v="6"/>
    <x v="11"/>
    <n v="438"/>
  </r>
  <r>
    <x v="22"/>
    <s v="Endenergieverbrauch - Industriesektor - Papier, Zellstoff und Druckerzeugnisse - energetischer Verbrauch"/>
    <s v="Elektrizität"/>
    <s v="Gigawattstunde"/>
    <x v="7"/>
    <x v="11"/>
    <n v="341"/>
  </r>
  <r>
    <x v="22"/>
    <s v="Endenergieverbrauch - Industriesektor - Papier, Zellstoff und Druckerzeugnisse - energetischer Verbrauch"/>
    <s v="Elektrizität"/>
    <s v="Gigawattstunde"/>
    <x v="8"/>
    <x v="11"/>
    <n v="570"/>
  </r>
  <r>
    <x v="22"/>
    <s v="Endenergieverbrauch - Industriesektor - Papier, Zellstoff und Druckerzeugnisse - energetischer Verbrauch"/>
    <s v="Elektrizität"/>
    <s v="Gigawattstunde"/>
    <x v="9"/>
    <x v="11"/>
    <n v="442"/>
  </r>
  <r>
    <x v="22"/>
    <s v="Endenergieverbrauch - Industriesektor - Papier, Zellstoff und Druckerzeugnisse - energetischer Verbrauch"/>
    <s v="Elektrizität"/>
    <s v="Gigawattstunde"/>
    <x v="10"/>
    <x v="11"/>
    <n v="412"/>
  </r>
  <r>
    <x v="22"/>
    <s v="Endenergieverbrauch - Industriesektor - Papier, Zellstoff und Druckerzeugnisse - energetischer Verbrauch"/>
    <s v="Elektrizität"/>
    <s v="Gigawattstunde"/>
    <x v="11"/>
    <x v="11"/>
    <n v="415"/>
  </r>
  <r>
    <x v="22"/>
    <s v="Endenergieverbrauch - Industriesektor - Papier, Zellstoff und Druckerzeugnisse - energetischer Verbrauch"/>
    <s v="Elektrizität"/>
    <s v="Gigawattstunde"/>
    <x v="12"/>
    <x v="11"/>
    <n v="553"/>
  </r>
  <r>
    <x v="22"/>
    <s v="Endenergieverbrauch - Industriesektor - Papier, Zellstoff und Druckerzeugnisse - energetischer Verbrauch"/>
    <s v="Elektrizität"/>
    <s v="Gigawattstunde"/>
    <x v="13"/>
    <x v="11"/>
    <n v="621"/>
  </r>
  <r>
    <x v="22"/>
    <s v="Endenergieverbrauch - Industriesektor - Papier, Zellstoff und Druckerzeugnisse - energetischer Verbrauch"/>
    <s v="Elektrizität"/>
    <s v="Gigawattstunde"/>
    <x v="14"/>
    <x v="11"/>
    <n v="664"/>
  </r>
  <r>
    <x v="22"/>
    <s v="Endenergieverbrauch - Industriesektor - Papier, Zellstoff und Druckerzeugnisse - energetischer Verbrauch"/>
    <s v="Elektrizität"/>
    <s v="Gigawattstunde"/>
    <x v="15"/>
    <x v="11"/>
    <n v="749.02"/>
  </r>
  <r>
    <x v="22"/>
    <s v="Endenergieverbrauch - Industriesektor - Papier, Zellstoff und Druckerzeugnisse - energetischer Verbrauch"/>
    <s v="Elektrizität"/>
    <s v="Gigawattstunde"/>
    <x v="16"/>
    <x v="11"/>
    <n v="759.83399999999995"/>
  </r>
  <r>
    <x v="23"/>
    <s v="Endenergieverbrauch - Industriesektor - Papier, Zellstoff und Druckerzeugnisse - energetischer Verbrauch"/>
    <s v="Elektrizität"/>
    <s v="Gigawattstunde"/>
    <x v="0"/>
    <x v="11"/>
    <n v="669"/>
  </r>
  <r>
    <x v="23"/>
    <s v="Endenergieverbrauch - Industriesektor - Papier, Zellstoff und Druckerzeugnisse - energetischer Verbrauch"/>
    <s v="Elektrizität"/>
    <s v="Gigawattstunde"/>
    <x v="1"/>
    <x v="11"/>
    <n v="684"/>
  </r>
  <r>
    <x v="23"/>
    <s v="Endenergieverbrauch - Industriesektor - Papier, Zellstoff und Druckerzeugnisse - energetischer Verbrauch"/>
    <s v="Elektrizität"/>
    <s v="Gigawattstunde"/>
    <x v="2"/>
    <x v="11"/>
    <n v="734"/>
  </r>
  <r>
    <x v="23"/>
    <s v="Endenergieverbrauch - Industriesektor - Papier, Zellstoff und Druckerzeugnisse - energetischer Verbrauch"/>
    <s v="Elektrizität"/>
    <s v="Gigawattstunde"/>
    <x v="3"/>
    <x v="11"/>
    <n v="753"/>
  </r>
  <r>
    <x v="23"/>
    <s v="Endenergieverbrauch - Industriesektor - Papier, Zellstoff und Druckerzeugnisse - energetischer Verbrauch"/>
    <s v="Elektrizität"/>
    <s v="Gigawattstunde"/>
    <x v="4"/>
    <x v="11"/>
    <n v="744"/>
  </r>
  <r>
    <x v="23"/>
    <s v="Endenergieverbrauch - Industriesektor - Papier, Zellstoff und Druckerzeugnisse - energetischer Verbrauch"/>
    <s v="Elektrizität"/>
    <s v="Gigawattstunde"/>
    <x v="5"/>
    <x v="11"/>
    <n v="729"/>
  </r>
  <r>
    <x v="23"/>
    <s v="Endenergieverbrauch - Industriesektor - Papier, Zellstoff und Druckerzeugnisse - energetischer Verbrauch"/>
    <s v="Elektrizität"/>
    <s v="Gigawattstunde"/>
    <x v="6"/>
    <x v="11"/>
    <n v="669"/>
  </r>
  <r>
    <x v="23"/>
    <s v="Endenergieverbrauch - Industriesektor - Papier, Zellstoff und Druckerzeugnisse - energetischer Verbrauch"/>
    <s v="Elektrizität"/>
    <s v="Gigawattstunde"/>
    <x v="7"/>
    <x v="11"/>
    <n v="654"/>
  </r>
  <r>
    <x v="23"/>
    <s v="Endenergieverbrauch - Industriesektor - Papier, Zellstoff und Druckerzeugnisse - energetischer Verbrauch"/>
    <s v="Elektrizität"/>
    <s v="Gigawattstunde"/>
    <x v="8"/>
    <x v="11"/>
    <n v="647"/>
  </r>
  <r>
    <x v="23"/>
    <s v="Endenergieverbrauch - Industriesektor - Papier, Zellstoff und Druckerzeugnisse - energetischer Verbrauch"/>
    <s v="Elektrizität"/>
    <s v="Gigawattstunde"/>
    <x v="9"/>
    <x v="11"/>
    <n v="634"/>
  </r>
  <r>
    <x v="23"/>
    <s v="Endenergieverbrauch - Industriesektor - Papier, Zellstoff und Druckerzeugnisse - energetischer Verbrauch"/>
    <s v="Elektrizität"/>
    <s v="Gigawattstunde"/>
    <x v="10"/>
    <x v="11"/>
    <n v="643"/>
  </r>
  <r>
    <x v="23"/>
    <s v="Endenergieverbrauch - Industriesektor - Papier, Zellstoff und Druckerzeugnisse - energetischer Verbrauch"/>
    <s v="Elektrizität"/>
    <s v="Gigawattstunde"/>
    <x v="11"/>
    <x v="11"/>
    <n v="624"/>
  </r>
  <r>
    <x v="23"/>
    <s v="Endenergieverbrauch - Industriesektor - Papier, Zellstoff und Druckerzeugnisse - energetischer Verbrauch"/>
    <s v="Elektrizität"/>
    <s v="Gigawattstunde"/>
    <x v="12"/>
    <x v="11"/>
    <n v="677"/>
  </r>
  <r>
    <x v="23"/>
    <s v="Endenergieverbrauch - Industriesektor - Papier, Zellstoff und Druckerzeugnisse - energetischer Verbrauch"/>
    <s v="Elektrizität"/>
    <s v="Gigawattstunde"/>
    <x v="13"/>
    <x v="11"/>
    <n v="688"/>
  </r>
  <r>
    <x v="23"/>
    <s v="Endenergieverbrauch - Industriesektor - Papier, Zellstoff und Druckerzeugnisse - energetischer Verbrauch"/>
    <s v="Elektrizität"/>
    <s v="Gigawattstunde"/>
    <x v="14"/>
    <x v="11"/>
    <n v="682"/>
  </r>
  <r>
    <x v="23"/>
    <s v="Endenergieverbrauch - Industriesektor - Papier, Zellstoff und Druckerzeugnisse - energetischer Verbrauch"/>
    <s v="Elektrizität"/>
    <s v="Gigawattstunde"/>
    <x v="15"/>
    <x v="11"/>
    <n v="699.20699999999999"/>
  </r>
  <r>
    <x v="23"/>
    <s v="Endenergieverbrauch - Industriesektor - Papier, Zellstoff und Druckerzeugnisse - energetischer Verbrauch"/>
    <s v="Elektrizität"/>
    <s v="Gigawattstunde"/>
    <x v="16"/>
    <x v="11"/>
    <n v="742.27300000000002"/>
  </r>
  <r>
    <x v="24"/>
    <s v="Endenergieverbrauch - Industriesektor - Papier, Zellstoff und Druckerzeugnisse - energetischer Verbrauch"/>
    <s v="Elektrizität"/>
    <s v="Gigawattstunde"/>
    <x v="0"/>
    <x v="11"/>
    <n v="801"/>
  </r>
  <r>
    <x v="24"/>
    <s v="Endenergieverbrauch - Industriesektor - Papier, Zellstoff und Druckerzeugnisse - energetischer Verbrauch"/>
    <s v="Elektrizität"/>
    <s v="Gigawattstunde"/>
    <x v="1"/>
    <x v="11"/>
    <n v="911"/>
  </r>
  <r>
    <x v="24"/>
    <s v="Endenergieverbrauch - Industriesektor - Papier, Zellstoff und Druckerzeugnisse - energetischer Verbrauch"/>
    <s v="Elektrizität"/>
    <s v="Gigawattstunde"/>
    <x v="2"/>
    <x v="11"/>
    <n v="1036"/>
  </r>
  <r>
    <x v="24"/>
    <s v="Endenergieverbrauch - Industriesektor - Papier, Zellstoff und Druckerzeugnisse - energetischer Verbrauch"/>
    <s v="Elektrizität"/>
    <s v="Gigawattstunde"/>
    <x v="3"/>
    <x v="11"/>
    <n v="1023"/>
  </r>
  <r>
    <x v="24"/>
    <s v="Endenergieverbrauch - Industriesektor - Papier, Zellstoff und Druckerzeugnisse - energetischer Verbrauch"/>
    <s v="Elektrizität"/>
    <s v="Gigawattstunde"/>
    <x v="4"/>
    <x v="11"/>
    <n v="1260"/>
  </r>
  <r>
    <x v="24"/>
    <s v="Endenergieverbrauch - Industriesektor - Papier, Zellstoff und Druckerzeugnisse - energetischer Verbrauch"/>
    <s v="Elektrizität"/>
    <s v="Gigawattstunde"/>
    <x v="5"/>
    <x v="11"/>
    <n v="1142"/>
  </r>
  <r>
    <x v="24"/>
    <s v="Endenergieverbrauch - Industriesektor - Papier, Zellstoff und Druckerzeugnisse - energetischer Verbrauch"/>
    <s v="Elektrizität"/>
    <s v="Gigawattstunde"/>
    <x v="6"/>
    <x v="11"/>
    <n v="1256"/>
  </r>
  <r>
    <x v="24"/>
    <s v="Endenergieverbrauch - Industriesektor - Papier, Zellstoff und Druckerzeugnisse - energetischer Verbrauch"/>
    <s v="Elektrizität"/>
    <s v="Gigawattstunde"/>
    <x v="7"/>
    <x v="11"/>
    <n v="1189"/>
  </r>
  <r>
    <x v="24"/>
    <s v="Endenergieverbrauch - Industriesektor - Papier, Zellstoff und Druckerzeugnisse - energetischer Verbrauch"/>
    <s v="Elektrizität"/>
    <s v="Gigawattstunde"/>
    <x v="8"/>
    <x v="11"/>
    <n v="1063"/>
  </r>
  <r>
    <x v="24"/>
    <s v="Endenergieverbrauch - Industriesektor - Papier, Zellstoff und Druckerzeugnisse - energetischer Verbrauch"/>
    <s v="Elektrizität"/>
    <s v="Gigawattstunde"/>
    <x v="9"/>
    <x v="11"/>
    <n v="1008"/>
  </r>
  <r>
    <x v="24"/>
    <s v="Endenergieverbrauch - Industriesektor - Papier, Zellstoff und Druckerzeugnisse - energetischer Verbrauch"/>
    <s v="Elektrizität"/>
    <s v="Gigawattstunde"/>
    <x v="10"/>
    <x v="11"/>
    <n v="1001"/>
  </r>
  <r>
    <x v="24"/>
    <s v="Endenergieverbrauch - Industriesektor - Papier, Zellstoff und Druckerzeugnisse - energetischer Verbrauch"/>
    <s v="Elektrizität"/>
    <s v="Gigawattstunde"/>
    <x v="11"/>
    <x v="11"/>
    <n v="1193"/>
  </r>
  <r>
    <x v="24"/>
    <s v="Endenergieverbrauch - Industriesektor - Papier, Zellstoff und Druckerzeugnisse - energetischer Verbrauch"/>
    <s v="Elektrizität"/>
    <s v="Gigawattstunde"/>
    <x v="12"/>
    <x v="11"/>
    <n v="755"/>
  </r>
  <r>
    <x v="24"/>
    <s v="Endenergieverbrauch - Industriesektor - Papier, Zellstoff und Druckerzeugnisse - energetischer Verbrauch"/>
    <s v="Elektrizität"/>
    <s v="Gigawattstunde"/>
    <x v="13"/>
    <x v="11"/>
    <n v="722"/>
  </r>
  <r>
    <x v="24"/>
    <s v="Endenergieverbrauch - Industriesektor - Papier, Zellstoff und Druckerzeugnisse - energetischer Verbrauch"/>
    <s v="Elektrizität"/>
    <s v="Gigawattstunde"/>
    <x v="14"/>
    <x v="11"/>
    <n v="740"/>
  </r>
  <r>
    <x v="24"/>
    <s v="Endenergieverbrauch - Industriesektor - Papier, Zellstoff und Druckerzeugnisse - energetischer Verbrauch"/>
    <s v="Elektrizität"/>
    <s v="Gigawattstunde"/>
    <x v="15"/>
    <x v="11"/>
    <n v="797"/>
  </r>
  <r>
    <x v="24"/>
    <s v="Endenergieverbrauch - Industriesektor - Papier, Zellstoff und Druckerzeugnisse - energetischer Verbrauch"/>
    <s v="Elektrizität"/>
    <s v="Gigawattstunde"/>
    <x v="16"/>
    <x v="11"/>
    <n v="791"/>
  </r>
  <r>
    <x v="25"/>
    <s v="Endenergieverbrauch - Industriesektor - Papier, Zellstoff und Druckerzeugnisse - energetischer Verbrauch"/>
    <s v="Elektrizität"/>
    <s v="Gigawattstunde"/>
    <x v="0"/>
    <x v="11"/>
    <n v="24949"/>
  </r>
  <r>
    <x v="25"/>
    <s v="Endenergieverbrauch - Industriesektor - Papier, Zellstoff und Druckerzeugnisse - energetischer Verbrauch"/>
    <s v="Elektrizität"/>
    <s v="Gigawattstunde"/>
    <x v="1"/>
    <x v="11"/>
    <n v="25118"/>
  </r>
  <r>
    <x v="25"/>
    <s v="Endenergieverbrauch - Industriesektor - Papier, Zellstoff und Druckerzeugnisse - energetischer Verbrauch"/>
    <s v="Elektrizität"/>
    <s v="Gigawattstunde"/>
    <x v="2"/>
    <x v="11"/>
    <n v="26271"/>
  </r>
  <r>
    <x v="25"/>
    <s v="Endenergieverbrauch - Industriesektor - Papier, Zellstoff und Druckerzeugnisse - energetischer Verbrauch"/>
    <s v="Elektrizität"/>
    <s v="Gigawattstunde"/>
    <x v="3"/>
    <x v="11"/>
    <n v="23639"/>
  </r>
  <r>
    <x v="25"/>
    <s v="Endenergieverbrauch - Industriesektor - Papier, Zellstoff und Druckerzeugnisse - energetischer Verbrauch"/>
    <s v="Elektrizität"/>
    <s v="Gigawattstunde"/>
    <x v="4"/>
    <x v="11"/>
    <n v="26811"/>
  </r>
  <r>
    <x v="25"/>
    <s v="Endenergieverbrauch - Industriesektor - Papier, Zellstoff und Druckerzeugnisse - energetischer Verbrauch"/>
    <s v="Elektrizität"/>
    <s v="Gigawattstunde"/>
    <x v="5"/>
    <x v="11"/>
    <n v="26507"/>
  </r>
  <r>
    <x v="25"/>
    <s v="Endenergieverbrauch - Industriesektor - Papier, Zellstoff und Druckerzeugnisse - energetischer Verbrauch"/>
    <s v="Elektrizität"/>
    <s v="Gigawattstunde"/>
    <x v="6"/>
    <x v="11"/>
    <n v="23549"/>
  </r>
  <r>
    <x v="25"/>
    <s v="Endenergieverbrauch - Industriesektor - Papier, Zellstoff und Druckerzeugnisse - energetischer Verbrauch"/>
    <s v="Elektrizität"/>
    <s v="Gigawattstunde"/>
    <x v="7"/>
    <x v="11"/>
    <n v="18969"/>
  </r>
  <r>
    <x v="25"/>
    <s v="Endenergieverbrauch - Industriesektor - Papier, Zellstoff und Druckerzeugnisse - energetischer Verbrauch"/>
    <s v="Elektrizität"/>
    <s v="Gigawattstunde"/>
    <x v="8"/>
    <x v="11"/>
    <n v="20786"/>
  </r>
  <r>
    <x v="25"/>
    <s v="Endenergieverbrauch - Industriesektor - Papier, Zellstoff und Druckerzeugnisse - energetischer Verbrauch"/>
    <s v="Elektrizität"/>
    <s v="Gigawattstunde"/>
    <x v="9"/>
    <x v="11"/>
    <n v="20157"/>
  </r>
  <r>
    <x v="25"/>
    <s v="Endenergieverbrauch - Industriesektor - Papier, Zellstoff und Druckerzeugnisse - energetischer Verbrauch"/>
    <s v="Elektrizität"/>
    <s v="Gigawattstunde"/>
    <x v="10"/>
    <x v="11"/>
    <n v="19172"/>
  </r>
  <r>
    <x v="25"/>
    <s v="Endenergieverbrauch - Industriesektor - Papier, Zellstoff und Druckerzeugnisse - energetischer Verbrauch"/>
    <s v="Elektrizität"/>
    <s v="Gigawattstunde"/>
    <x v="11"/>
    <x v="11"/>
    <n v="19030"/>
  </r>
  <r>
    <x v="25"/>
    <s v="Endenergieverbrauch - Industriesektor - Papier, Zellstoff und Druckerzeugnisse - energetischer Verbrauch"/>
    <s v="Elektrizität"/>
    <s v="Gigawattstunde"/>
    <x v="12"/>
    <x v="11"/>
    <n v="18608"/>
  </r>
  <r>
    <x v="25"/>
    <s v="Endenergieverbrauch - Industriesektor - Papier, Zellstoff und Druckerzeugnisse - energetischer Verbrauch"/>
    <s v="Elektrizität"/>
    <s v="Gigawattstunde"/>
    <x v="13"/>
    <x v="11"/>
    <n v="18258"/>
  </r>
  <r>
    <x v="25"/>
    <s v="Endenergieverbrauch - Industriesektor - Papier, Zellstoff und Druckerzeugnisse - energetischer Verbrauch"/>
    <s v="Elektrizität"/>
    <s v="Gigawattstunde"/>
    <x v="14"/>
    <x v="11"/>
    <n v="17950"/>
  </r>
  <r>
    <x v="25"/>
    <s v="Endenergieverbrauch - Industriesektor - Papier, Zellstoff und Druckerzeugnisse - energetischer Verbrauch"/>
    <s v="Elektrizität"/>
    <s v="Gigawattstunde"/>
    <x v="15"/>
    <x v="11"/>
    <n v="18107"/>
  </r>
  <r>
    <x v="25"/>
    <s v="Endenergieverbrauch - Industriesektor - Papier, Zellstoff und Druckerzeugnisse - energetischer Verbrauch"/>
    <s v="Elektrizität"/>
    <s v="Gigawattstunde"/>
    <x v="16"/>
    <x v="11"/>
    <n v="18285"/>
  </r>
  <r>
    <x v="26"/>
    <s v="Endenergieverbrauch - Industriesektor - Papier, Zellstoff und Druckerzeugnisse - energetischer Verbrauch"/>
    <s v="Elektrizität"/>
    <s v="Gigawattstunde"/>
    <x v="0"/>
    <x v="11"/>
    <n v="22729"/>
  </r>
  <r>
    <x v="26"/>
    <s v="Endenergieverbrauch - Industriesektor - Papier, Zellstoff und Druckerzeugnisse - energetischer Verbrauch"/>
    <s v="Elektrizität"/>
    <s v="Gigawattstunde"/>
    <x v="1"/>
    <x v="11"/>
    <n v="22590"/>
  </r>
  <r>
    <x v="26"/>
    <s v="Endenergieverbrauch - Industriesektor - Papier, Zellstoff und Druckerzeugnisse - energetischer Verbrauch"/>
    <s v="Elektrizität"/>
    <s v="Gigawattstunde"/>
    <x v="2"/>
    <x v="11"/>
    <n v="23042"/>
  </r>
  <r>
    <x v="26"/>
    <s v="Endenergieverbrauch - Industriesektor - Papier, Zellstoff und Druckerzeugnisse - energetischer Verbrauch"/>
    <s v="Elektrizität"/>
    <s v="Gigawattstunde"/>
    <x v="3"/>
    <x v="11"/>
    <n v="23104"/>
  </r>
  <r>
    <x v="26"/>
    <s v="Endenergieverbrauch - Industriesektor - Papier, Zellstoff und Druckerzeugnisse - energetischer Verbrauch"/>
    <s v="Elektrizität"/>
    <s v="Gigawattstunde"/>
    <x v="4"/>
    <x v="11"/>
    <n v="24186"/>
  </r>
  <r>
    <x v="26"/>
    <s v="Endenergieverbrauch - Industriesektor - Papier, Zellstoff und Druckerzeugnisse - energetischer Verbrauch"/>
    <s v="Elektrizität"/>
    <s v="Gigawattstunde"/>
    <x v="5"/>
    <x v="11"/>
    <n v="24766"/>
  </r>
  <r>
    <x v="26"/>
    <s v="Endenergieverbrauch - Industriesektor - Papier, Zellstoff und Druckerzeugnisse - energetischer Verbrauch"/>
    <s v="Elektrizität"/>
    <s v="Gigawattstunde"/>
    <x v="6"/>
    <x v="11"/>
    <n v="24523"/>
  </r>
  <r>
    <x v="26"/>
    <s v="Endenergieverbrauch - Industriesektor - Papier, Zellstoff und Druckerzeugnisse - energetischer Verbrauch"/>
    <s v="Elektrizität"/>
    <s v="Gigawattstunde"/>
    <x v="7"/>
    <x v="11"/>
    <n v="22305"/>
  </r>
  <r>
    <x v="26"/>
    <s v="Endenergieverbrauch - Industriesektor - Papier, Zellstoff und Druckerzeugnisse - energetischer Verbrauch"/>
    <s v="Elektrizität"/>
    <s v="Gigawattstunde"/>
    <x v="8"/>
    <x v="11"/>
    <n v="23021"/>
  </r>
  <r>
    <x v="26"/>
    <s v="Endenergieverbrauch - Industriesektor - Papier, Zellstoff und Druckerzeugnisse - energetischer Verbrauch"/>
    <s v="Elektrizität"/>
    <s v="Gigawattstunde"/>
    <x v="9"/>
    <x v="11"/>
    <n v="22851"/>
  </r>
  <r>
    <x v="26"/>
    <s v="Endenergieverbrauch - Industriesektor - Papier, Zellstoff und Druckerzeugnisse - energetischer Verbrauch"/>
    <s v="Elektrizität"/>
    <s v="Gigawattstunde"/>
    <x v="10"/>
    <x v="11"/>
    <n v="22972"/>
  </r>
  <r>
    <x v="26"/>
    <s v="Endenergieverbrauch - Industriesektor - Papier, Zellstoff und Druckerzeugnisse - energetischer Verbrauch"/>
    <s v="Elektrizität"/>
    <s v="Gigawattstunde"/>
    <x v="11"/>
    <x v="11"/>
    <n v="21656"/>
  </r>
  <r>
    <x v="26"/>
    <s v="Endenergieverbrauch - Industriesektor - Papier, Zellstoff und Druckerzeugnisse - energetischer Verbrauch"/>
    <s v="Elektrizität"/>
    <s v="Gigawattstunde"/>
    <x v="12"/>
    <x v="11"/>
    <n v="0"/>
  </r>
  <r>
    <x v="26"/>
    <s v="Endenergieverbrauch - Industriesektor - Papier, Zellstoff und Druckerzeugnisse - energetischer Verbrauch"/>
    <s v="Elektrizität"/>
    <s v="Gigawattstunde"/>
    <x v="13"/>
    <x v="11"/>
    <n v="20476"/>
  </r>
  <r>
    <x v="26"/>
    <s v="Endenergieverbrauch - Industriesektor - Papier, Zellstoff und Druckerzeugnisse - energetischer Verbrauch"/>
    <s v="Elektrizität"/>
    <s v="Gigawattstunde"/>
    <x v="14"/>
    <x v="11"/>
    <n v="20140"/>
  </r>
  <r>
    <x v="26"/>
    <s v="Endenergieverbrauch - Industriesektor - Papier, Zellstoff und Druckerzeugnisse - energetischer Verbrauch"/>
    <s v="Elektrizität"/>
    <s v="Gigawattstunde"/>
    <x v="15"/>
    <x v="11"/>
    <n v="20272"/>
  </r>
  <r>
    <x v="26"/>
    <s v="Endenergieverbrauch - Industriesektor - Papier, Zellstoff und Druckerzeugnisse - energetischer Verbrauch"/>
    <s v="Elektrizität"/>
    <s v="Gigawattstunde"/>
    <x v="16"/>
    <x v="11"/>
    <n v="20030"/>
  </r>
  <r>
    <x v="27"/>
    <s v="Endenergieverbrauch - Industriesektor - Papier, Zellstoff und Druckerzeugnisse - energetischer Verbrauch"/>
    <s v="Elektrizität"/>
    <s v="Gigawattstunde"/>
    <x v="0"/>
    <x v="11"/>
    <n v="11988"/>
  </r>
  <r>
    <x v="27"/>
    <s v="Endenergieverbrauch - Industriesektor - Papier, Zellstoff und Druckerzeugnisse - energetischer Verbrauch"/>
    <s v="Elektrizität"/>
    <s v="Gigawattstunde"/>
    <x v="1"/>
    <x v="11"/>
    <n v="12550"/>
  </r>
  <r>
    <x v="27"/>
    <s v="Endenergieverbrauch - Industriesektor - Papier, Zellstoff und Druckerzeugnisse - energetischer Verbrauch"/>
    <s v="Elektrizität"/>
    <s v="Gigawattstunde"/>
    <x v="2"/>
    <x v="11"/>
    <n v="13171"/>
  </r>
  <r>
    <x v="27"/>
    <s v="Endenergieverbrauch - Industriesektor - Papier, Zellstoff und Druckerzeugnisse - energetischer Verbrauch"/>
    <s v="Elektrizität"/>
    <s v="Gigawattstunde"/>
    <x v="3"/>
    <x v="11"/>
    <n v="13225"/>
  </r>
  <r>
    <x v="27"/>
    <s v="Endenergieverbrauch - Industriesektor - Papier, Zellstoff und Druckerzeugnisse - energetischer Verbrauch"/>
    <s v="Elektrizität"/>
    <s v="Gigawattstunde"/>
    <x v="4"/>
    <x v="11"/>
    <n v="12906"/>
  </r>
  <r>
    <x v="27"/>
    <s v="Endenergieverbrauch - Industriesektor - Papier, Zellstoff und Druckerzeugnisse - energetischer Verbrauch"/>
    <s v="Elektrizität"/>
    <s v="Gigawattstunde"/>
    <x v="5"/>
    <x v="11"/>
    <n v="12741"/>
  </r>
  <r>
    <x v="27"/>
    <s v="Endenergieverbrauch - Industriesektor - Papier, Zellstoff und Druckerzeugnisse - energetischer Verbrauch"/>
    <s v="Elektrizität"/>
    <s v="Gigawattstunde"/>
    <x v="6"/>
    <x v="11"/>
    <n v="12865"/>
  </r>
  <r>
    <x v="27"/>
    <s v="Endenergieverbrauch - Industriesektor - Papier, Zellstoff und Druckerzeugnisse - energetischer Verbrauch"/>
    <s v="Elektrizität"/>
    <s v="Gigawattstunde"/>
    <x v="7"/>
    <x v="11"/>
    <n v="11069"/>
  </r>
  <r>
    <x v="27"/>
    <s v="Endenergieverbrauch - Industriesektor - Papier, Zellstoff und Druckerzeugnisse - energetischer Verbrauch"/>
    <s v="Elektrizität"/>
    <s v="Gigawattstunde"/>
    <x v="8"/>
    <x v="11"/>
    <n v="10954"/>
  </r>
  <r>
    <x v="27"/>
    <s v="Endenergieverbrauch - Industriesektor - Papier, Zellstoff und Druckerzeugnisse - energetischer Verbrauch"/>
    <s v="Elektrizität"/>
    <s v="Gigawattstunde"/>
    <x v="9"/>
    <x v="11"/>
    <n v="10940"/>
  </r>
  <r>
    <x v="27"/>
    <s v="Endenergieverbrauch - Industriesektor - Papier, Zellstoff und Druckerzeugnisse - energetischer Verbrauch"/>
    <s v="Elektrizität"/>
    <s v="Gigawattstunde"/>
    <x v="10"/>
    <x v="11"/>
    <n v="10866"/>
  </r>
  <r>
    <x v="27"/>
    <s v="Endenergieverbrauch - Industriesektor - Papier, Zellstoff und Druckerzeugnisse - energetischer Verbrauch"/>
    <s v="Elektrizität"/>
    <s v="Gigawattstunde"/>
    <x v="11"/>
    <x v="11"/>
    <n v="10806"/>
  </r>
  <r>
    <x v="27"/>
    <s v="Endenergieverbrauch - Industriesektor - Papier, Zellstoff und Druckerzeugnisse - energetischer Verbrauch"/>
    <s v="Elektrizität"/>
    <s v="Gigawattstunde"/>
    <x v="12"/>
    <x v="11"/>
    <n v="10725"/>
  </r>
  <r>
    <x v="27"/>
    <s v="Endenergieverbrauch - Industriesektor - Papier, Zellstoff und Druckerzeugnisse - energetischer Verbrauch"/>
    <s v="Elektrizität"/>
    <s v="Gigawattstunde"/>
    <x v="13"/>
    <x v="11"/>
    <n v="10602.243"/>
  </r>
  <r>
    <x v="27"/>
    <s v="Endenergieverbrauch - Industriesektor - Papier, Zellstoff und Druckerzeugnisse - energetischer Verbrauch"/>
    <s v="Elektrizität"/>
    <s v="Gigawattstunde"/>
    <x v="14"/>
    <x v="11"/>
    <n v="10563.918"/>
  </r>
  <r>
    <x v="27"/>
    <s v="Endenergieverbrauch - Industriesektor - Papier, Zellstoff und Druckerzeugnisse - energetischer Verbrauch"/>
    <s v="Elektrizität"/>
    <s v="Gigawattstunde"/>
    <x v="15"/>
    <x v="11"/>
    <n v="10597.796"/>
  </r>
  <r>
    <x v="27"/>
    <s v="Endenergieverbrauch - Industriesektor - Papier, Zellstoff und Druckerzeugnisse - energetischer Verbrauch"/>
    <s v="Elektrizität"/>
    <s v="Gigawattstunde"/>
    <x v="16"/>
    <x v="11"/>
    <n v="10382.11"/>
  </r>
  <r>
    <x v="28"/>
    <s v="Endenergieverbrauch - Industriesektor - Papier, Zellstoff und Druckerzeugnisse - energetischer Verbrauch"/>
    <s v="Elektrizität"/>
    <s v="Gigawattstunde"/>
    <x v="0"/>
    <x v="11"/>
    <n v="16"/>
  </r>
  <r>
    <x v="28"/>
    <s v="Endenergieverbrauch - Industriesektor - Papier, Zellstoff und Druckerzeugnisse - energetischer Verbrauch"/>
    <s v="Elektrizität"/>
    <s v="Gigawattstunde"/>
    <x v="1"/>
    <x v="11"/>
    <n v="15"/>
  </r>
  <r>
    <x v="28"/>
    <s v="Endenergieverbrauch - Industriesektor - Papier, Zellstoff und Druckerzeugnisse - energetischer Verbrauch"/>
    <s v="Elektrizität"/>
    <s v="Gigawattstunde"/>
    <x v="2"/>
    <x v="11"/>
    <n v="17"/>
  </r>
  <r>
    <x v="28"/>
    <s v="Endenergieverbrauch - Industriesektor - Papier, Zellstoff und Druckerzeugnisse - energetischer Verbrauch"/>
    <s v="Elektrizität"/>
    <s v="Gigawattstunde"/>
    <x v="3"/>
    <x v="11"/>
    <n v="16"/>
  </r>
  <r>
    <x v="28"/>
    <s v="Endenergieverbrauch - Industriesektor - Papier, Zellstoff und Druckerzeugnisse - energetischer Verbrauch"/>
    <s v="Elektrizität"/>
    <s v="Gigawattstunde"/>
    <x v="4"/>
    <x v="11"/>
    <n v="19"/>
  </r>
  <r>
    <x v="28"/>
    <s v="Endenergieverbrauch - Industriesektor - Papier, Zellstoff und Druckerzeugnisse - energetischer Verbrauch"/>
    <s v="Elektrizität"/>
    <s v="Gigawattstunde"/>
    <x v="5"/>
    <x v="11"/>
    <n v="21"/>
  </r>
  <r>
    <x v="28"/>
    <s v="Endenergieverbrauch - Industriesektor - Papier, Zellstoff und Druckerzeugnisse - energetischer Verbrauch"/>
    <s v="Elektrizität"/>
    <s v="Gigawattstunde"/>
    <x v="6"/>
    <x v="11"/>
    <n v="17"/>
  </r>
  <r>
    <x v="28"/>
    <s v="Endenergieverbrauch - Industriesektor - Papier, Zellstoff und Druckerzeugnisse - energetischer Verbrauch"/>
    <s v="Elektrizität"/>
    <s v="Gigawattstunde"/>
    <x v="7"/>
    <x v="11"/>
    <n v="18"/>
  </r>
  <r>
    <x v="28"/>
    <s v="Endenergieverbrauch - Industriesektor - Papier, Zellstoff und Druckerzeugnisse - energetischer Verbrauch"/>
    <s v="Elektrizität"/>
    <s v="Gigawattstunde"/>
    <x v="8"/>
    <x v="11"/>
    <n v="17"/>
  </r>
  <r>
    <x v="28"/>
    <s v="Endenergieverbrauch - Industriesektor - Papier, Zellstoff und Druckerzeugnisse - energetischer Verbrauch"/>
    <s v="Elektrizität"/>
    <s v="Gigawattstunde"/>
    <x v="9"/>
    <x v="11"/>
    <n v="18"/>
  </r>
  <r>
    <x v="28"/>
    <s v="Endenergieverbrauch - Industriesektor - Papier, Zellstoff und Druckerzeugnisse - energetischer Verbrauch"/>
    <s v="Elektrizität"/>
    <s v="Gigawattstunde"/>
    <x v="10"/>
    <x v="11"/>
    <n v="17"/>
  </r>
  <r>
    <x v="28"/>
    <s v="Endenergieverbrauch - Industriesektor - Papier, Zellstoff und Druckerzeugnisse - energetischer Verbrauch"/>
    <s v="Elektrizität"/>
    <s v="Gigawattstunde"/>
    <x v="11"/>
    <x v="11"/>
    <n v="17"/>
  </r>
  <r>
    <x v="28"/>
    <s v="Endenergieverbrauch - Industriesektor - Papier, Zellstoff und Druckerzeugnisse - energetischer Verbrauch"/>
    <s v="Elektrizität"/>
    <s v="Gigawattstunde"/>
    <x v="12"/>
    <x v="11"/>
    <n v="16"/>
  </r>
  <r>
    <x v="28"/>
    <s v="Endenergieverbrauch - Industriesektor - Papier, Zellstoff und Druckerzeugnisse - energetischer Verbrauch"/>
    <s v="Elektrizität"/>
    <s v="Gigawattstunde"/>
    <x v="13"/>
    <x v="11"/>
    <n v="16"/>
  </r>
  <r>
    <x v="28"/>
    <s v="Endenergieverbrauch - Industriesektor - Papier, Zellstoff und Druckerzeugnisse - energetischer Verbrauch"/>
    <s v="Elektrizität"/>
    <s v="Gigawattstunde"/>
    <x v="14"/>
    <x v="11"/>
    <n v="16"/>
  </r>
  <r>
    <x v="28"/>
    <s v="Endenergieverbrauch - Industriesektor - Papier, Zellstoff und Druckerzeugnisse - energetischer Verbrauch"/>
    <s v="Elektrizität"/>
    <s v="Gigawattstunde"/>
    <x v="15"/>
    <x v="11"/>
    <n v="15.29"/>
  </r>
  <r>
    <x v="28"/>
    <s v="Endenergieverbrauch - Industriesektor - Papier, Zellstoff und Druckerzeugnisse - energetischer Verbrauch"/>
    <s v="Elektrizität"/>
    <s v="Gigawattstunde"/>
    <x v="16"/>
    <x v="11"/>
    <n v="11.227"/>
  </r>
  <r>
    <x v="29"/>
    <s v="Endenergieverbrauch - Industriesektor - Papier, Zellstoff und Druckerzeugnisse - energetischer Verbrauch"/>
    <s v="Elektrizität"/>
    <s v="Gigawattstunde"/>
    <x v="0"/>
    <x v="11"/>
    <n v="6788"/>
  </r>
  <r>
    <x v="29"/>
    <s v="Endenergieverbrauch - Industriesektor - Papier, Zellstoff und Druckerzeugnisse - energetischer Verbrauch"/>
    <s v="Elektrizität"/>
    <s v="Gigawattstunde"/>
    <x v="1"/>
    <x v="11"/>
    <n v="6436"/>
  </r>
  <r>
    <x v="29"/>
    <s v="Endenergieverbrauch - Industriesektor - Papier, Zellstoff und Druckerzeugnisse - energetischer Verbrauch"/>
    <s v="Elektrizität"/>
    <s v="Gigawattstunde"/>
    <x v="2"/>
    <x v="11"/>
    <n v="6714"/>
  </r>
  <r>
    <x v="29"/>
    <s v="Endenergieverbrauch - Industriesektor - Papier, Zellstoff und Druckerzeugnisse - energetischer Verbrauch"/>
    <s v="Elektrizität"/>
    <s v="Gigawattstunde"/>
    <x v="3"/>
    <x v="11"/>
    <n v="6752"/>
  </r>
  <r>
    <x v="29"/>
    <s v="Endenergieverbrauch - Industriesektor - Papier, Zellstoff und Druckerzeugnisse - energetischer Verbrauch"/>
    <s v="Elektrizität"/>
    <s v="Gigawattstunde"/>
    <x v="4"/>
    <x v="11"/>
    <n v="6157"/>
  </r>
  <r>
    <x v="29"/>
    <s v="Endenergieverbrauch - Industriesektor - Papier, Zellstoff und Druckerzeugnisse - energetischer Verbrauch"/>
    <s v="Elektrizität"/>
    <s v="Gigawattstunde"/>
    <x v="5"/>
    <x v="11"/>
    <n v="6057"/>
  </r>
  <r>
    <x v="29"/>
    <s v="Endenergieverbrauch - Industriesektor - Papier, Zellstoff und Druckerzeugnisse - energetischer Verbrauch"/>
    <s v="Elektrizität"/>
    <s v="Gigawattstunde"/>
    <x v="6"/>
    <x v="11"/>
    <n v="5694"/>
  </r>
  <r>
    <x v="29"/>
    <s v="Endenergieverbrauch - Industriesektor - Papier, Zellstoff und Druckerzeugnisse - energetischer Verbrauch"/>
    <s v="Elektrizität"/>
    <s v="Gigawattstunde"/>
    <x v="7"/>
    <x v="11"/>
    <n v="4745"/>
  </r>
  <r>
    <x v="29"/>
    <s v="Endenergieverbrauch - Industriesektor - Papier, Zellstoff und Druckerzeugnisse - energetischer Verbrauch"/>
    <s v="Elektrizität"/>
    <s v="Gigawattstunde"/>
    <x v="8"/>
    <x v="11"/>
    <n v="5055"/>
  </r>
  <r>
    <x v="29"/>
    <s v="Endenergieverbrauch - Industriesektor - Papier, Zellstoff und Druckerzeugnisse - energetischer Verbrauch"/>
    <s v="Elektrizität"/>
    <s v="Gigawattstunde"/>
    <x v="9"/>
    <x v="11"/>
    <n v="4539"/>
  </r>
  <r>
    <x v="29"/>
    <s v="Endenergieverbrauch - Industriesektor - Papier, Zellstoff und Druckerzeugnisse - energetischer Verbrauch"/>
    <s v="Elektrizität"/>
    <s v="Gigawattstunde"/>
    <x v="10"/>
    <x v="11"/>
    <n v="4155"/>
  </r>
  <r>
    <x v="29"/>
    <s v="Endenergieverbrauch - Industriesektor - Papier, Zellstoff und Druckerzeugnisse - energetischer Verbrauch"/>
    <s v="Elektrizität"/>
    <s v="Gigawattstunde"/>
    <x v="11"/>
    <x v="11"/>
    <n v="3640"/>
  </r>
  <r>
    <x v="29"/>
    <s v="Endenergieverbrauch - Industriesektor - Papier, Zellstoff und Druckerzeugnisse - energetischer Verbrauch"/>
    <s v="Elektrizität"/>
    <s v="Gigawattstunde"/>
    <x v="12"/>
    <x v="11"/>
    <n v="3541"/>
  </r>
  <r>
    <x v="29"/>
    <s v="Endenergieverbrauch - Industriesektor - Papier, Zellstoff und Druckerzeugnisse - energetischer Verbrauch"/>
    <s v="Elektrizität"/>
    <s v="Gigawattstunde"/>
    <x v="13"/>
    <x v="11"/>
    <n v="3487"/>
  </r>
  <r>
    <x v="29"/>
    <s v="Endenergieverbrauch - Industriesektor - Papier, Zellstoff und Druckerzeugnisse - energetischer Verbrauch"/>
    <s v="Elektrizität"/>
    <s v="Gigawattstunde"/>
    <x v="14"/>
    <x v="11"/>
    <n v="3825"/>
  </r>
  <r>
    <x v="29"/>
    <s v="Endenergieverbrauch - Industriesektor - Papier, Zellstoff und Druckerzeugnisse - energetischer Verbrauch"/>
    <s v="Elektrizität"/>
    <s v="Gigawattstunde"/>
    <x v="15"/>
    <x v="11"/>
    <n v="3908"/>
  </r>
  <r>
    <x v="29"/>
    <s v="Endenergieverbrauch - Industriesektor - Papier, Zellstoff und Druckerzeugnisse - energetischer Verbrauch"/>
    <s v="Elektrizität"/>
    <s v="Gigawattstunde"/>
    <x v="16"/>
    <x v="11"/>
    <n v="3866.6179999999999"/>
  </r>
  <r>
    <x v="30"/>
    <s v="Endenergieverbrauch - Industriesektor - Papier, Zellstoff und Druckerzeugnisse - energetischer Verbrauch"/>
    <s v="Elektrizität"/>
    <s v="Gigawattstunde"/>
    <x v="0"/>
    <x v="11"/>
    <n v="0"/>
  </r>
  <r>
    <x v="30"/>
    <s v="Endenergieverbrauch - Industriesektor - Papier, Zellstoff und Druckerzeugnisse - energetischer Verbrauch"/>
    <s v="Elektrizität"/>
    <s v="Gigawattstunde"/>
    <x v="1"/>
    <x v="11"/>
    <n v="0"/>
  </r>
  <r>
    <x v="30"/>
    <s v="Endenergieverbrauch - Industriesektor - Papier, Zellstoff und Druckerzeugnisse - energetischer Verbrauch"/>
    <s v="Elektrizität"/>
    <s v="Gigawattstunde"/>
    <x v="2"/>
    <x v="11"/>
    <n v="89"/>
  </r>
  <r>
    <x v="30"/>
    <s v="Endenergieverbrauch - Industriesektor - Papier, Zellstoff und Druckerzeugnisse - energetischer Verbrauch"/>
    <s v="Elektrizität"/>
    <s v="Gigawattstunde"/>
    <x v="3"/>
    <x v="11"/>
    <n v="83"/>
  </r>
  <r>
    <x v="30"/>
    <s v="Endenergieverbrauch - Industriesektor - Papier, Zellstoff und Druckerzeugnisse - energetischer Verbrauch"/>
    <s v="Elektrizität"/>
    <s v="Gigawattstunde"/>
    <x v="4"/>
    <x v="11"/>
    <n v="78"/>
  </r>
  <r>
    <x v="30"/>
    <s v="Endenergieverbrauch - Industriesektor - Papier, Zellstoff und Druckerzeugnisse - energetischer Verbrauch"/>
    <s v="Elektrizität"/>
    <s v="Gigawattstunde"/>
    <x v="5"/>
    <x v="11"/>
    <n v="231"/>
  </r>
  <r>
    <x v="30"/>
    <s v="Endenergieverbrauch - Industriesektor - Papier, Zellstoff und Druckerzeugnisse - energetischer Verbrauch"/>
    <s v="Elektrizität"/>
    <s v="Gigawattstunde"/>
    <x v="6"/>
    <x v="11"/>
    <n v="279"/>
  </r>
  <r>
    <x v="30"/>
    <s v="Endenergieverbrauch - Industriesektor - Papier, Zellstoff und Druckerzeugnisse - energetischer Verbrauch"/>
    <s v="Elektrizität"/>
    <s v="Gigawattstunde"/>
    <x v="7"/>
    <x v="11"/>
    <n v="938"/>
  </r>
  <r>
    <x v="30"/>
    <s v="Endenergieverbrauch - Industriesektor - Papier, Zellstoff und Druckerzeugnisse - energetischer Verbrauch"/>
    <s v="Elektrizität"/>
    <s v="Gigawattstunde"/>
    <x v="8"/>
    <x v="11"/>
    <n v="216"/>
  </r>
  <r>
    <x v="30"/>
    <s v="Endenergieverbrauch - Industriesektor - Papier, Zellstoff und Druckerzeugnisse - energetischer Verbrauch"/>
    <s v="Elektrizität"/>
    <s v="Gigawattstunde"/>
    <x v="9"/>
    <x v="11"/>
    <n v="248"/>
  </r>
  <r>
    <x v="30"/>
    <s v="Endenergieverbrauch - Industriesektor - Papier, Zellstoff und Druckerzeugnisse - energetischer Verbrauch"/>
    <s v="Elektrizität"/>
    <s v="Gigawattstunde"/>
    <x v="10"/>
    <x v="11"/>
    <n v="486"/>
  </r>
  <r>
    <x v="30"/>
    <s v="Endenergieverbrauch - Industriesektor - Papier, Zellstoff und Druckerzeugnisse - energetischer Verbrauch"/>
    <s v="Elektrizität"/>
    <s v="Gigawattstunde"/>
    <x v="11"/>
    <x v="11"/>
    <n v="410"/>
  </r>
  <r>
    <x v="30"/>
    <s v="Endenergieverbrauch - Industriesektor - Papier, Zellstoff und Druckerzeugnisse - energetischer Verbrauch"/>
    <s v="Elektrizität"/>
    <s v="Gigawattstunde"/>
    <x v="12"/>
    <x v="11"/>
    <n v="417"/>
  </r>
  <r>
    <x v="30"/>
    <s v="Endenergieverbrauch - Industriesektor - Papier, Zellstoff und Druckerzeugnisse - energetischer Verbrauch"/>
    <s v="Elektrizität"/>
    <s v="Gigawattstunde"/>
    <x v="13"/>
    <x v="11"/>
    <n v="359"/>
  </r>
  <r>
    <x v="30"/>
    <s v="Endenergieverbrauch - Industriesektor - Papier, Zellstoff und Druckerzeugnisse - energetischer Verbrauch"/>
    <s v="Elektrizität"/>
    <s v="Gigawattstunde"/>
    <x v="14"/>
    <x v="11"/>
    <n v="480"/>
  </r>
  <r>
    <x v="30"/>
    <s v="Endenergieverbrauch - Industriesektor - Papier, Zellstoff und Druckerzeugnisse - energetischer Verbrauch"/>
    <s v="Elektrizität"/>
    <s v="Gigawattstunde"/>
    <x v="15"/>
    <x v="11"/>
    <n v="503.88400000000001"/>
  </r>
  <r>
    <x v="30"/>
    <s v="Endenergieverbrauch - Industriesektor - Papier, Zellstoff und Druckerzeugnisse - energetischer Verbrauch"/>
    <s v="Elektrizität"/>
    <s v="Gigawattstunde"/>
    <x v="16"/>
    <x v="11"/>
    <n v="417.29"/>
  </r>
  <r>
    <x v="0"/>
    <s v="Endenergieverbrauch - Industriesektor - Textil und Leder - energetischer Verbrauch"/>
    <s v="Elektrizität"/>
    <s v="Gigawattstunde"/>
    <x v="0"/>
    <x v="12"/>
    <n v="1918"/>
  </r>
  <r>
    <x v="0"/>
    <s v="Endenergieverbrauch - Industriesektor - Textil und Leder - energetischer Verbrauch"/>
    <s v="Elektrizität"/>
    <s v="Gigawattstunde"/>
    <x v="1"/>
    <x v="12"/>
    <n v="1962"/>
  </r>
  <r>
    <x v="0"/>
    <s v="Endenergieverbrauch - Industriesektor - Textil und Leder - energetischer Verbrauch"/>
    <s v="Elektrizität"/>
    <s v="Gigawattstunde"/>
    <x v="2"/>
    <x v="12"/>
    <n v="2000"/>
  </r>
  <r>
    <x v="0"/>
    <s v="Endenergieverbrauch - Industriesektor - Textil und Leder - energetischer Verbrauch"/>
    <s v="Elektrizität"/>
    <s v="Gigawattstunde"/>
    <x v="3"/>
    <x v="12"/>
    <n v="1231"/>
  </r>
  <r>
    <x v="0"/>
    <s v="Endenergieverbrauch - Industriesektor - Textil und Leder - energetischer Verbrauch"/>
    <s v="Elektrizität"/>
    <s v="Gigawattstunde"/>
    <x v="4"/>
    <x v="12"/>
    <n v="1714"/>
  </r>
  <r>
    <x v="0"/>
    <s v="Endenergieverbrauch - Industriesektor - Textil und Leder - energetischer Verbrauch"/>
    <s v="Elektrizität"/>
    <s v="Gigawattstunde"/>
    <x v="5"/>
    <x v="12"/>
    <n v="1686"/>
  </r>
  <r>
    <x v="0"/>
    <s v="Endenergieverbrauch - Industriesektor - Textil und Leder - energetischer Verbrauch"/>
    <s v="Elektrizität"/>
    <s v="Gigawattstunde"/>
    <x v="6"/>
    <x v="12"/>
    <n v="1537"/>
  </r>
  <r>
    <x v="0"/>
    <s v="Endenergieverbrauch - Industriesektor - Textil und Leder - energetischer Verbrauch"/>
    <s v="Elektrizität"/>
    <s v="Gigawattstunde"/>
    <x v="7"/>
    <x v="12"/>
    <n v="1251"/>
  </r>
  <r>
    <x v="0"/>
    <s v="Endenergieverbrauch - Industriesektor - Textil und Leder - energetischer Verbrauch"/>
    <s v="Elektrizität"/>
    <s v="Gigawattstunde"/>
    <x v="8"/>
    <x v="12"/>
    <n v="1253"/>
  </r>
  <r>
    <x v="0"/>
    <s v="Endenergieverbrauch - Industriesektor - Textil und Leder - energetischer Verbrauch"/>
    <s v="Elektrizität"/>
    <s v="Gigawattstunde"/>
    <x v="9"/>
    <x v="12"/>
    <n v="1057"/>
  </r>
  <r>
    <x v="0"/>
    <s v="Endenergieverbrauch - Industriesektor - Textil und Leder - energetischer Verbrauch"/>
    <s v="Elektrizität"/>
    <s v="Gigawattstunde"/>
    <x v="10"/>
    <x v="12"/>
    <n v="1064"/>
  </r>
  <r>
    <x v="0"/>
    <s v="Endenergieverbrauch - Industriesektor - Textil und Leder - energetischer Verbrauch"/>
    <s v="Elektrizität"/>
    <s v="Gigawattstunde"/>
    <x v="11"/>
    <x v="12"/>
    <n v="1137"/>
  </r>
  <r>
    <x v="0"/>
    <s v="Endenergieverbrauch - Industriesektor - Textil und Leder - energetischer Verbrauch"/>
    <s v="Elektrizität"/>
    <s v="Gigawattstunde"/>
    <x v="12"/>
    <x v="12"/>
    <n v="1120.8"/>
  </r>
  <r>
    <x v="0"/>
    <s v="Endenergieverbrauch - Industriesektor - Textil und Leder - energetischer Verbrauch"/>
    <s v="Elektrizität"/>
    <s v="Gigawattstunde"/>
    <x v="13"/>
    <x v="12"/>
    <n v="1160.0999999999999"/>
  </r>
  <r>
    <x v="0"/>
    <s v="Endenergieverbrauch - Industriesektor - Textil und Leder - energetischer Verbrauch"/>
    <s v="Elektrizität"/>
    <s v="Gigawattstunde"/>
    <x v="14"/>
    <x v="12"/>
    <n v="1116.5"/>
  </r>
  <r>
    <x v="0"/>
    <s v="Endenergieverbrauch - Industriesektor - Textil und Leder - energetischer Verbrauch"/>
    <s v="Elektrizität"/>
    <s v="Gigawattstunde"/>
    <x v="15"/>
    <x v="12"/>
    <n v="1070.3"/>
  </r>
  <r>
    <x v="0"/>
    <s v="Endenergieverbrauch - Industriesektor - Textil und Leder - energetischer Verbrauch"/>
    <s v="Elektrizität"/>
    <s v="Gigawattstunde"/>
    <x v="16"/>
    <x v="12"/>
    <n v="1094.4000000000001"/>
  </r>
  <r>
    <x v="1"/>
    <s v="Endenergieverbrauch - Industriesektor - Textil und Leder - energetischer Verbrauch"/>
    <s v="Elektrizität"/>
    <s v="Gigawattstunde"/>
    <x v="0"/>
    <x v="12"/>
    <n v="444"/>
  </r>
  <r>
    <x v="1"/>
    <s v="Endenergieverbrauch - Industriesektor - Textil und Leder - energetischer Verbrauch"/>
    <s v="Elektrizität"/>
    <s v="Gigawattstunde"/>
    <x v="1"/>
    <x v="12"/>
    <n v="509"/>
  </r>
  <r>
    <x v="1"/>
    <s v="Endenergieverbrauch - Industriesektor - Textil und Leder - energetischer Verbrauch"/>
    <s v="Elektrizität"/>
    <s v="Gigawattstunde"/>
    <x v="2"/>
    <x v="12"/>
    <n v="553"/>
  </r>
  <r>
    <x v="1"/>
    <s v="Endenergieverbrauch - Industriesektor - Textil und Leder - energetischer Verbrauch"/>
    <s v="Elektrizität"/>
    <s v="Gigawattstunde"/>
    <x v="3"/>
    <x v="12"/>
    <n v="562"/>
  </r>
  <r>
    <x v="1"/>
    <s v="Endenergieverbrauch - Industriesektor - Textil und Leder - energetischer Verbrauch"/>
    <s v="Elektrizität"/>
    <s v="Gigawattstunde"/>
    <x v="4"/>
    <x v="12"/>
    <n v="597"/>
  </r>
  <r>
    <x v="1"/>
    <s v="Endenergieverbrauch - Industriesektor - Textil und Leder - energetischer Verbrauch"/>
    <s v="Elektrizität"/>
    <s v="Gigawattstunde"/>
    <x v="5"/>
    <x v="12"/>
    <n v="621"/>
  </r>
  <r>
    <x v="1"/>
    <s v="Endenergieverbrauch - Industriesektor - Textil und Leder - energetischer Verbrauch"/>
    <s v="Elektrizität"/>
    <s v="Gigawattstunde"/>
    <x v="6"/>
    <x v="12"/>
    <n v="540"/>
  </r>
  <r>
    <x v="1"/>
    <s v="Endenergieverbrauch - Industriesektor - Textil und Leder - energetischer Verbrauch"/>
    <s v="Elektrizität"/>
    <s v="Gigawattstunde"/>
    <x v="7"/>
    <x v="12"/>
    <n v="492"/>
  </r>
  <r>
    <x v="1"/>
    <s v="Endenergieverbrauch - Industriesektor - Textil und Leder - energetischer Verbrauch"/>
    <s v="Elektrizität"/>
    <s v="Gigawattstunde"/>
    <x v="8"/>
    <x v="12"/>
    <n v="386"/>
  </r>
  <r>
    <x v="1"/>
    <s v="Endenergieverbrauch - Industriesektor - Textil und Leder - energetischer Verbrauch"/>
    <s v="Elektrizität"/>
    <s v="Gigawattstunde"/>
    <x v="9"/>
    <x v="12"/>
    <n v="395"/>
  </r>
  <r>
    <x v="1"/>
    <s v="Endenergieverbrauch - Industriesektor - Textil und Leder - energetischer Verbrauch"/>
    <s v="Elektrizität"/>
    <s v="Gigawattstunde"/>
    <x v="10"/>
    <x v="12"/>
    <n v="379"/>
  </r>
  <r>
    <x v="1"/>
    <s v="Endenergieverbrauch - Industriesektor - Textil und Leder - energetischer Verbrauch"/>
    <s v="Elektrizität"/>
    <s v="Gigawattstunde"/>
    <x v="11"/>
    <x v="12"/>
    <n v="384"/>
  </r>
  <r>
    <x v="1"/>
    <s v="Endenergieverbrauch - Industriesektor - Textil und Leder - energetischer Verbrauch"/>
    <s v="Elektrizität"/>
    <s v="Gigawattstunde"/>
    <x v="12"/>
    <x v="12"/>
    <n v="367"/>
  </r>
  <r>
    <x v="1"/>
    <s v="Endenergieverbrauch - Industriesektor - Textil und Leder - energetischer Verbrauch"/>
    <s v="Elektrizität"/>
    <s v="Gigawattstunde"/>
    <x v="13"/>
    <x v="12"/>
    <n v="380"/>
  </r>
  <r>
    <x v="1"/>
    <s v="Endenergieverbrauch - Industriesektor - Textil und Leder - energetischer Verbrauch"/>
    <s v="Elektrizität"/>
    <s v="Gigawattstunde"/>
    <x v="14"/>
    <x v="12"/>
    <n v="372"/>
  </r>
  <r>
    <x v="1"/>
    <s v="Endenergieverbrauch - Industriesektor - Textil und Leder - energetischer Verbrauch"/>
    <s v="Elektrizität"/>
    <s v="Gigawattstunde"/>
    <x v="15"/>
    <x v="12"/>
    <n v="365.774"/>
  </r>
  <r>
    <x v="1"/>
    <s v="Endenergieverbrauch - Industriesektor - Textil und Leder - energetischer Verbrauch"/>
    <s v="Elektrizität"/>
    <s v="Gigawattstunde"/>
    <x v="16"/>
    <x v="12"/>
    <n v="363.24900000000002"/>
  </r>
  <r>
    <x v="2"/>
    <s v="Endenergieverbrauch - Industriesektor - Textil und Leder - energetischer Verbrauch"/>
    <s v="Elektrizität"/>
    <s v="Gigawattstunde"/>
    <x v="0"/>
    <x v="12"/>
    <n v="1292"/>
  </r>
  <r>
    <x v="2"/>
    <s v="Endenergieverbrauch - Industriesektor - Textil und Leder - energetischer Verbrauch"/>
    <s v="Elektrizität"/>
    <s v="Gigawattstunde"/>
    <x v="1"/>
    <x v="12"/>
    <n v="1134"/>
  </r>
  <r>
    <x v="2"/>
    <s v="Endenergieverbrauch - Industriesektor - Textil und Leder - energetischer Verbrauch"/>
    <s v="Elektrizität"/>
    <s v="Gigawattstunde"/>
    <x v="2"/>
    <x v="12"/>
    <n v="1123"/>
  </r>
  <r>
    <x v="2"/>
    <s v="Endenergieverbrauch - Industriesektor - Textil und Leder - energetischer Verbrauch"/>
    <s v="Elektrizität"/>
    <s v="Gigawattstunde"/>
    <x v="3"/>
    <x v="12"/>
    <n v="1155"/>
  </r>
  <r>
    <x v="2"/>
    <s v="Endenergieverbrauch - Industriesektor - Textil und Leder - energetischer Verbrauch"/>
    <s v="Elektrizität"/>
    <s v="Gigawattstunde"/>
    <x v="4"/>
    <x v="12"/>
    <n v="1005"/>
  </r>
  <r>
    <x v="2"/>
    <s v="Endenergieverbrauch - Industriesektor - Textil und Leder - energetischer Verbrauch"/>
    <s v="Elektrizität"/>
    <s v="Gigawattstunde"/>
    <x v="5"/>
    <x v="12"/>
    <n v="966"/>
  </r>
  <r>
    <x v="2"/>
    <s v="Endenergieverbrauch - Industriesektor - Textil und Leder - energetischer Verbrauch"/>
    <s v="Elektrizität"/>
    <s v="Gigawattstunde"/>
    <x v="6"/>
    <x v="12"/>
    <n v="897"/>
  </r>
  <r>
    <x v="2"/>
    <s v="Endenergieverbrauch - Industriesektor - Textil und Leder - energetischer Verbrauch"/>
    <s v="Elektrizität"/>
    <s v="Gigawattstunde"/>
    <x v="7"/>
    <x v="12"/>
    <n v="704"/>
  </r>
  <r>
    <x v="2"/>
    <s v="Endenergieverbrauch - Industriesektor - Textil und Leder - energetischer Verbrauch"/>
    <s v="Elektrizität"/>
    <s v="Gigawattstunde"/>
    <x v="8"/>
    <x v="12"/>
    <n v="723"/>
  </r>
  <r>
    <x v="2"/>
    <s v="Endenergieverbrauch - Industriesektor - Textil und Leder - energetischer Verbrauch"/>
    <s v="Elektrizität"/>
    <s v="Gigawattstunde"/>
    <x v="9"/>
    <x v="12"/>
    <n v="752"/>
  </r>
  <r>
    <x v="2"/>
    <s v="Endenergieverbrauch - Industriesektor - Textil und Leder - energetischer Verbrauch"/>
    <s v="Elektrizität"/>
    <s v="Gigawattstunde"/>
    <x v="10"/>
    <x v="12"/>
    <n v="728"/>
  </r>
  <r>
    <x v="2"/>
    <s v="Endenergieverbrauch - Industriesektor - Textil und Leder - energetischer Verbrauch"/>
    <s v="Elektrizität"/>
    <s v="Gigawattstunde"/>
    <x v="11"/>
    <x v="12"/>
    <n v="721"/>
  </r>
  <r>
    <x v="2"/>
    <s v="Endenergieverbrauch - Industriesektor - Textil und Leder - energetischer Verbrauch"/>
    <s v="Elektrizität"/>
    <s v="Gigawattstunde"/>
    <x v="12"/>
    <x v="12"/>
    <n v="728"/>
  </r>
  <r>
    <x v="2"/>
    <s v="Endenergieverbrauch - Industriesektor - Textil und Leder - energetischer Verbrauch"/>
    <s v="Elektrizität"/>
    <s v="Gigawattstunde"/>
    <x v="13"/>
    <x v="12"/>
    <n v="714"/>
  </r>
  <r>
    <x v="2"/>
    <s v="Endenergieverbrauch - Industriesektor - Textil und Leder - energetischer Verbrauch"/>
    <s v="Elektrizität"/>
    <s v="Gigawattstunde"/>
    <x v="14"/>
    <x v="12"/>
    <n v="713"/>
  </r>
  <r>
    <x v="2"/>
    <s v="Endenergieverbrauch - Industriesektor - Textil und Leder - energetischer Verbrauch"/>
    <s v="Elektrizität"/>
    <s v="Gigawattstunde"/>
    <x v="15"/>
    <x v="12"/>
    <n v="736.52200000000005"/>
  </r>
  <r>
    <x v="2"/>
    <s v="Endenergieverbrauch - Industriesektor - Textil und Leder - energetischer Verbrauch"/>
    <s v="Elektrizität"/>
    <s v="Gigawattstunde"/>
    <x v="16"/>
    <x v="12"/>
    <n v="757.11500000000001"/>
  </r>
  <r>
    <x v="3"/>
    <s v="Endenergieverbrauch - Industriesektor - Textil und Leder - energetischer Verbrauch"/>
    <s v="Elektrizität"/>
    <s v="Gigawattstunde"/>
    <x v="0"/>
    <x v="12"/>
    <n v="213"/>
  </r>
  <r>
    <x v="3"/>
    <s v="Endenergieverbrauch - Industriesektor - Textil und Leder - energetischer Verbrauch"/>
    <s v="Elektrizität"/>
    <s v="Gigawattstunde"/>
    <x v="1"/>
    <x v="12"/>
    <n v="212"/>
  </r>
  <r>
    <x v="3"/>
    <s v="Endenergieverbrauch - Industriesektor - Textil und Leder - energetischer Verbrauch"/>
    <s v="Elektrizität"/>
    <s v="Gigawattstunde"/>
    <x v="2"/>
    <x v="12"/>
    <n v="221"/>
  </r>
  <r>
    <x v="3"/>
    <s v="Endenergieverbrauch - Industriesektor - Textil und Leder - energetischer Verbrauch"/>
    <s v="Elektrizität"/>
    <s v="Gigawattstunde"/>
    <x v="3"/>
    <x v="12"/>
    <n v="183"/>
  </r>
  <r>
    <x v="3"/>
    <s v="Endenergieverbrauch - Industriesektor - Textil und Leder - energetischer Verbrauch"/>
    <s v="Elektrizität"/>
    <s v="Gigawattstunde"/>
    <x v="4"/>
    <x v="12"/>
    <n v="174"/>
  </r>
  <r>
    <x v="3"/>
    <s v="Endenergieverbrauch - Industriesektor - Textil und Leder - energetischer Verbrauch"/>
    <s v="Elektrizität"/>
    <s v="Gigawattstunde"/>
    <x v="5"/>
    <x v="12"/>
    <n v="171"/>
  </r>
  <r>
    <x v="3"/>
    <s v="Endenergieverbrauch - Industriesektor - Textil und Leder - energetischer Verbrauch"/>
    <s v="Elektrizität"/>
    <s v="Gigawattstunde"/>
    <x v="6"/>
    <x v="12"/>
    <n v="169"/>
  </r>
  <r>
    <x v="3"/>
    <s v="Endenergieverbrauch - Industriesektor - Textil und Leder - energetischer Verbrauch"/>
    <s v="Elektrizität"/>
    <s v="Gigawattstunde"/>
    <x v="7"/>
    <x v="12"/>
    <n v="157"/>
  </r>
  <r>
    <x v="3"/>
    <s v="Endenergieverbrauch - Industriesektor - Textil und Leder - energetischer Verbrauch"/>
    <s v="Elektrizität"/>
    <s v="Gigawattstunde"/>
    <x v="8"/>
    <x v="12"/>
    <n v="157"/>
  </r>
  <r>
    <x v="3"/>
    <s v="Endenergieverbrauch - Industriesektor - Textil und Leder - energetischer Verbrauch"/>
    <s v="Elektrizität"/>
    <s v="Gigawattstunde"/>
    <x v="9"/>
    <x v="12"/>
    <n v="155"/>
  </r>
  <r>
    <x v="3"/>
    <s v="Endenergieverbrauch - Industriesektor - Textil und Leder - energetischer Verbrauch"/>
    <s v="Elektrizität"/>
    <s v="Gigawattstunde"/>
    <x v="10"/>
    <x v="12"/>
    <n v="120"/>
  </r>
  <r>
    <x v="3"/>
    <s v="Endenergieverbrauch - Industriesektor - Textil und Leder - energetischer Verbrauch"/>
    <s v="Elektrizität"/>
    <s v="Gigawattstunde"/>
    <x v="11"/>
    <x v="12"/>
    <n v="128"/>
  </r>
  <r>
    <x v="3"/>
    <s v="Endenergieverbrauch - Industriesektor - Textil und Leder - energetischer Verbrauch"/>
    <s v="Elektrizität"/>
    <s v="Gigawattstunde"/>
    <x v="12"/>
    <x v="12"/>
    <n v="118"/>
  </r>
  <r>
    <x v="3"/>
    <s v="Endenergieverbrauch - Industriesektor - Textil und Leder - energetischer Verbrauch"/>
    <s v="Elektrizität"/>
    <s v="Gigawattstunde"/>
    <x v="13"/>
    <x v="12"/>
    <n v="117.098"/>
  </r>
  <r>
    <x v="3"/>
    <s v="Endenergieverbrauch - Industriesektor - Textil und Leder - energetischer Verbrauch"/>
    <s v="Elektrizität"/>
    <s v="Gigawattstunde"/>
    <x v="14"/>
    <x v="12"/>
    <n v="109.986"/>
  </r>
  <r>
    <x v="3"/>
    <s v="Endenergieverbrauch - Industriesektor - Textil und Leder - energetischer Verbrauch"/>
    <s v="Elektrizität"/>
    <s v="Gigawattstunde"/>
    <x v="15"/>
    <x v="12"/>
    <n v="111.67400000000001"/>
  </r>
  <r>
    <x v="3"/>
    <s v="Endenergieverbrauch - Industriesektor - Textil und Leder - energetischer Verbrauch"/>
    <s v="Elektrizität"/>
    <s v="Gigawattstunde"/>
    <x v="16"/>
    <x v="12"/>
    <n v="111.565"/>
  </r>
  <r>
    <x v="4"/>
    <s v="Endenergieverbrauch - Industriesektor - Textil und Leder - energetischer Verbrauch"/>
    <s v="Elektrizität"/>
    <s v="Gigawattstunde"/>
    <x v="0"/>
    <x v="12"/>
    <n v="4373"/>
  </r>
  <r>
    <x v="4"/>
    <s v="Endenergieverbrauch - Industriesektor - Textil und Leder - energetischer Verbrauch"/>
    <s v="Elektrizität"/>
    <s v="Gigawattstunde"/>
    <x v="1"/>
    <x v="12"/>
    <n v="3381"/>
  </r>
  <r>
    <x v="4"/>
    <s v="Endenergieverbrauch - Industriesektor - Textil und Leder - energetischer Verbrauch"/>
    <s v="Elektrizität"/>
    <s v="Gigawattstunde"/>
    <x v="2"/>
    <x v="12"/>
    <n v="3230"/>
  </r>
  <r>
    <x v="4"/>
    <s v="Endenergieverbrauch - Industriesektor - Textil und Leder - energetischer Verbrauch"/>
    <s v="Elektrizität"/>
    <s v="Gigawattstunde"/>
    <x v="3"/>
    <x v="12"/>
    <n v="3359"/>
  </r>
  <r>
    <x v="4"/>
    <s v="Endenergieverbrauch - Industriesektor - Textil und Leder - energetischer Verbrauch"/>
    <s v="Elektrizität"/>
    <s v="Gigawattstunde"/>
    <x v="4"/>
    <x v="12"/>
    <n v="2982"/>
  </r>
  <r>
    <x v="4"/>
    <s v="Endenergieverbrauch - Industriesektor - Textil und Leder - energetischer Verbrauch"/>
    <s v="Elektrizität"/>
    <s v="Gigawattstunde"/>
    <x v="5"/>
    <x v="12"/>
    <n v="3196"/>
  </r>
  <r>
    <x v="4"/>
    <s v="Endenergieverbrauch - Industriesektor - Textil und Leder - energetischer Verbrauch"/>
    <s v="Elektrizität"/>
    <s v="Gigawattstunde"/>
    <x v="6"/>
    <x v="12"/>
    <n v="2668"/>
  </r>
  <r>
    <x v="4"/>
    <s v="Endenergieverbrauch - Industriesektor - Textil und Leder - energetischer Verbrauch"/>
    <s v="Elektrizität"/>
    <s v="Gigawattstunde"/>
    <x v="7"/>
    <x v="12"/>
    <n v="2313"/>
  </r>
  <r>
    <x v="4"/>
    <s v="Endenergieverbrauch - Industriesektor - Textil und Leder - energetischer Verbrauch"/>
    <s v="Elektrizität"/>
    <s v="Gigawattstunde"/>
    <x v="8"/>
    <x v="12"/>
    <n v="2482"/>
  </r>
  <r>
    <x v="4"/>
    <s v="Endenergieverbrauch - Industriesektor - Textil und Leder - energetischer Verbrauch"/>
    <s v="Elektrizität"/>
    <s v="Gigawattstunde"/>
    <x v="9"/>
    <x v="12"/>
    <n v="2521"/>
  </r>
  <r>
    <x v="4"/>
    <s v="Endenergieverbrauch - Industriesektor - Textil und Leder - energetischer Verbrauch"/>
    <s v="Elektrizität"/>
    <s v="Gigawattstunde"/>
    <x v="10"/>
    <x v="12"/>
    <n v="2382"/>
  </r>
  <r>
    <x v="4"/>
    <s v="Endenergieverbrauch - Industriesektor - Textil und Leder - energetischer Verbrauch"/>
    <s v="Elektrizität"/>
    <s v="Gigawattstunde"/>
    <x v="11"/>
    <x v="12"/>
    <n v="2243"/>
  </r>
  <r>
    <x v="4"/>
    <s v="Endenergieverbrauch - Industriesektor - Textil und Leder - energetischer Verbrauch"/>
    <s v="Elektrizität"/>
    <s v="Gigawattstunde"/>
    <x v="12"/>
    <x v="12"/>
    <n v="2193"/>
  </r>
  <r>
    <x v="4"/>
    <s v="Endenergieverbrauch - Industriesektor - Textil und Leder - energetischer Verbrauch"/>
    <s v="Elektrizität"/>
    <s v="Gigawattstunde"/>
    <x v="13"/>
    <x v="12"/>
    <n v="2259"/>
  </r>
  <r>
    <x v="4"/>
    <s v="Endenergieverbrauch - Industriesektor - Textil und Leder - energetischer Verbrauch"/>
    <s v="Elektrizität"/>
    <s v="Gigawattstunde"/>
    <x v="14"/>
    <x v="12"/>
    <n v="2191"/>
  </r>
  <r>
    <x v="4"/>
    <s v="Endenergieverbrauch - Industriesektor - Textil und Leder - energetischer Verbrauch"/>
    <s v="Elektrizität"/>
    <s v="Gigawattstunde"/>
    <x v="15"/>
    <x v="12"/>
    <n v="2178"/>
  </r>
  <r>
    <x v="4"/>
    <s v="Endenergieverbrauch - Industriesektor - Textil und Leder - energetischer Verbrauch"/>
    <s v="Elektrizität"/>
    <s v="Gigawattstunde"/>
    <x v="16"/>
    <x v="12"/>
    <n v="2132"/>
  </r>
  <r>
    <x v="5"/>
    <s v="Endenergieverbrauch - Industriesektor - Textil und Leder - energetischer Verbrauch"/>
    <s v="Elektrizität"/>
    <s v="Gigawattstunde"/>
    <x v="0"/>
    <x v="12"/>
    <n v="242"/>
  </r>
  <r>
    <x v="5"/>
    <s v="Endenergieverbrauch - Industriesektor - Textil und Leder - energetischer Verbrauch"/>
    <s v="Elektrizität"/>
    <s v="Gigawattstunde"/>
    <x v="1"/>
    <x v="12"/>
    <n v="255"/>
  </r>
  <r>
    <x v="5"/>
    <s v="Endenergieverbrauch - Industriesektor - Textil und Leder - energetischer Verbrauch"/>
    <s v="Elektrizität"/>
    <s v="Gigawattstunde"/>
    <x v="2"/>
    <x v="12"/>
    <n v="261"/>
  </r>
  <r>
    <x v="5"/>
    <s v="Endenergieverbrauch - Industriesektor - Textil und Leder - energetischer Verbrauch"/>
    <s v="Elektrizität"/>
    <s v="Gigawattstunde"/>
    <x v="3"/>
    <x v="12"/>
    <n v="195"/>
  </r>
  <r>
    <x v="5"/>
    <s v="Endenergieverbrauch - Industriesektor - Textil und Leder - energetischer Verbrauch"/>
    <s v="Elektrizität"/>
    <s v="Gigawattstunde"/>
    <x v="4"/>
    <x v="12"/>
    <n v="195"/>
  </r>
  <r>
    <x v="5"/>
    <s v="Endenergieverbrauch - Industriesektor - Textil und Leder - energetischer Verbrauch"/>
    <s v="Elektrizität"/>
    <s v="Gigawattstunde"/>
    <x v="5"/>
    <x v="12"/>
    <n v="150"/>
  </r>
  <r>
    <x v="5"/>
    <s v="Endenergieverbrauch - Industriesektor - Textil und Leder - energetischer Verbrauch"/>
    <s v="Elektrizität"/>
    <s v="Gigawattstunde"/>
    <x v="6"/>
    <x v="12"/>
    <n v="133"/>
  </r>
  <r>
    <x v="5"/>
    <s v="Endenergieverbrauch - Industriesektor - Textil und Leder - energetischer Verbrauch"/>
    <s v="Elektrizität"/>
    <s v="Gigawattstunde"/>
    <x v="7"/>
    <x v="12"/>
    <n v="116"/>
  </r>
  <r>
    <x v="5"/>
    <s v="Endenergieverbrauch - Industriesektor - Textil und Leder - energetischer Verbrauch"/>
    <s v="Elektrizität"/>
    <s v="Gigawattstunde"/>
    <x v="8"/>
    <x v="12"/>
    <n v="123"/>
  </r>
  <r>
    <x v="5"/>
    <s v="Endenergieverbrauch - Industriesektor - Textil und Leder - energetischer Verbrauch"/>
    <s v="Elektrizität"/>
    <s v="Gigawattstunde"/>
    <x v="9"/>
    <x v="12"/>
    <n v="124"/>
  </r>
  <r>
    <x v="5"/>
    <s v="Endenergieverbrauch - Industriesektor - Textil und Leder - energetischer Verbrauch"/>
    <s v="Elektrizität"/>
    <s v="Gigawattstunde"/>
    <x v="10"/>
    <x v="12"/>
    <n v="118"/>
  </r>
  <r>
    <x v="5"/>
    <s v="Endenergieverbrauch - Industriesektor - Textil und Leder - energetischer Verbrauch"/>
    <s v="Elektrizität"/>
    <s v="Gigawattstunde"/>
    <x v="11"/>
    <x v="12"/>
    <n v="111"/>
  </r>
  <r>
    <x v="5"/>
    <s v="Endenergieverbrauch - Industriesektor - Textil und Leder - energetischer Verbrauch"/>
    <s v="Elektrizität"/>
    <s v="Gigawattstunde"/>
    <x v="12"/>
    <x v="12"/>
    <n v="115"/>
  </r>
  <r>
    <x v="5"/>
    <s v="Endenergieverbrauch - Industriesektor - Textil und Leder - energetischer Verbrauch"/>
    <s v="Elektrizität"/>
    <s v="Gigawattstunde"/>
    <x v="13"/>
    <x v="12"/>
    <n v="98"/>
  </r>
  <r>
    <x v="5"/>
    <s v="Endenergieverbrauch - Industriesektor - Textil und Leder - energetischer Verbrauch"/>
    <s v="Elektrizität"/>
    <s v="Gigawattstunde"/>
    <x v="14"/>
    <x v="12"/>
    <n v="74"/>
  </r>
  <r>
    <x v="5"/>
    <s v="Endenergieverbrauch - Industriesektor - Textil und Leder - energetischer Verbrauch"/>
    <s v="Elektrizität"/>
    <s v="Gigawattstunde"/>
    <x v="15"/>
    <x v="12"/>
    <n v="58"/>
  </r>
  <r>
    <x v="5"/>
    <s v="Endenergieverbrauch - Industriesektor - Textil und Leder - energetischer Verbrauch"/>
    <s v="Elektrizität"/>
    <s v="Gigawattstunde"/>
    <x v="16"/>
    <x v="12"/>
    <n v="61"/>
  </r>
  <r>
    <x v="6"/>
    <s v="Endenergieverbrauch - Industriesektor - Textil und Leder - energetischer Verbrauch"/>
    <s v="Elektrizität"/>
    <s v="Gigawattstunde"/>
    <x v="0"/>
    <x v="12"/>
    <n v="183.392"/>
  </r>
  <r>
    <x v="6"/>
    <s v="Endenergieverbrauch - Industriesektor - Textil und Leder - energetischer Verbrauch"/>
    <s v="Elektrizität"/>
    <s v="Gigawattstunde"/>
    <x v="1"/>
    <x v="12"/>
    <n v="170.76400000000001"/>
  </r>
  <r>
    <x v="6"/>
    <s v="Endenergieverbrauch - Industriesektor - Textil und Leder - energetischer Verbrauch"/>
    <s v="Elektrizität"/>
    <s v="Gigawattstunde"/>
    <x v="2"/>
    <x v="12"/>
    <n v="161.61000000000001"/>
  </r>
  <r>
    <x v="6"/>
    <s v="Endenergieverbrauch - Industriesektor - Textil und Leder - energetischer Verbrauch"/>
    <s v="Elektrizität"/>
    <s v="Gigawattstunde"/>
    <x v="3"/>
    <x v="12"/>
    <n v="180.10599999999999"/>
  </r>
  <r>
    <x v="6"/>
    <s v="Endenergieverbrauch - Industriesektor - Textil und Leder - energetischer Verbrauch"/>
    <s v="Elektrizität"/>
    <s v="Gigawattstunde"/>
    <x v="4"/>
    <x v="12"/>
    <n v="95.626000000000005"/>
  </r>
  <r>
    <x v="6"/>
    <s v="Endenergieverbrauch - Industriesektor - Textil und Leder - energetischer Verbrauch"/>
    <s v="Elektrizität"/>
    <s v="Gigawattstunde"/>
    <x v="5"/>
    <x v="12"/>
    <n v="85.045000000000002"/>
  </r>
  <r>
    <x v="6"/>
    <s v="Endenergieverbrauch - Industriesektor - Textil und Leder - energetischer Verbrauch"/>
    <s v="Elektrizität"/>
    <s v="Gigawattstunde"/>
    <x v="6"/>
    <x v="12"/>
    <n v="73.105999999999995"/>
  </r>
  <r>
    <x v="6"/>
    <s v="Endenergieverbrauch - Industriesektor - Textil und Leder - energetischer Verbrauch"/>
    <s v="Elektrizität"/>
    <s v="Gigawattstunde"/>
    <x v="7"/>
    <x v="12"/>
    <n v="79.968999999999994"/>
  </r>
  <r>
    <x v="6"/>
    <s v="Endenergieverbrauch - Industriesektor - Textil und Leder - energetischer Verbrauch"/>
    <s v="Elektrizität"/>
    <s v="Gigawattstunde"/>
    <x v="8"/>
    <x v="12"/>
    <n v="116.122"/>
  </r>
  <r>
    <x v="6"/>
    <s v="Endenergieverbrauch - Industriesektor - Textil und Leder - energetischer Verbrauch"/>
    <s v="Elektrizität"/>
    <s v="Gigawattstunde"/>
    <x v="9"/>
    <x v="12"/>
    <n v="121.22799999999999"/>
  </r>
  <r>
    <x v="6"/>
    <s v="Endenergieverbrauch - Industriesektor - Textil und Leder - energetischer Verbrauch"/>
    <s v="Elektrizität"/>
    <s v="Gigawattstunde"/>
    <x v="10"/>
    <x v="12"/>
    <n v="116.679"/>
  </r>
  <r>
    <x v="6"/>
    <s v="Endenergieverbrauch - Industriesektor - Textil und Leder - energetischer Verbrauch"/>
    <s v="Elektrizität"/>
    <s v="Gigawattstunde"/>
    <x v="11"/>
    <x v="12"/>
    <n v="118.488"/>
  </r>
  <r>
    <x v="6"/>
    <s v="Endenergieverbrauch - Industriesektor - Textil und Leder - energetischer Verbrauch"/>
    <s v="Elektrizität"/>
    <s v="Gigawattstunde"/>
    <x v="12"/>
    <x v="12"/>
    <n v="119.90300000000001"/>
  </r>
  <r>
    <x v="6"/>
    <s v="Endenergieverbrauch - Industriesektor - Textil und Leder - energetischer Verbrauch"/>
    <s v="Elektrizität"/>
    <s v="Gigawattstunde"/>
    <x v="13"/>
    <x v="12"/>
    <n v="125.592"/>
  </r>
  <r>
    <x v="6"/>
    <s v="Endenergieverbrauch - Industriesektor - Textil und Leder - energetischer Verbrauch"/>
    <s v="Elektrizität"/>
    <s v="Gigawattstunde"/>
    <x v="14"/>
    <x v="12"/>
    <n v="129.679"/>
  </r>
  <r>
    <x v="6"/>
    <s v="Endenergieverbrauch - Industriesektor - Textil und Leder - energetischer Verbrauch"/>
    <s v="Elektrizität"/>
    <s v="Gigawattstunde"/>
    <x v="15"/>
    <x v="12"/>
    <n v="131.12100000000001"/>
  </r>
  <r>
    <x v="6"/>
    <s v="Endenergieverbrauch - Industriesektor - Textil und Leder - energetischer Verbrauch"/>
    <s v="Elektrizität"/>
    <s v="Gigawattstunde"/>
    <x v="16"/>
    <x v="12"/>
    <n v="139.542"/>
  </r>
  <r>
    <x v="7"/>
    <s v="Endenergieverbrauch - Industriesektor - Textil und Leder - energetischer Verbrauch"/>
    <s v="Elektrizität"/>
    <s v="Gigawattstunde"/>
    <x v="0"/>
    <x v="12"/>
    <n v="965"/>
  </r>
  <r>
    <x v="7"/>
    <s v="Endenergieverbrauch - Industriesektor - Textil und Leder - energetischer Verbrauch"/>
    <s v="Elektrizität"/>
    <s v="Gigawattstunde"/>
    <x v="1"/>
    <x v="12"/>
    <n v="1013"/>
  </r>
  <r>
    <x v="7"/>
    <s v="Endenergieverbrauch - Industriesektor - Textil und Leder - energetischer Verbrauch"/>
    <s v="Elektrizität"/>
    <s v="Gigawattstunde"/>
    <x v="2"/>
    <x v="12"/>
    <n v="941"/>
  </r>
  <r>
    <x v="7"/>
    <s v="Endenergieverbrauch - Industriesektor - Textil und Leder - energetischer Verbrauch"/>
    <s v="Elektrizität"/>
    <s v="Gigawattstunde"/>
    <x v="3"/>
    <x v="12"/>
    <n v="759"/>
  </r>
  <r>
    <x v="7"/>
    <s v="Endenergieverbrauch - Industriesektor - Textil und Leder - energetischer Verbrauch"/>
    <s v="Elektrizität"/>
    <s v="Gigawattstunde"/>
    <x v="4"/>
    <x v="12"/>
    <n v="739"/>
  </r>
  <r>
    <x v="7"/>
    <s v="Endenergieverbrauch - Industriesektor - Textil und Leder - energetischer Verbrauch"/>
    <s v="Elektrizität"/>
    <s v="Gigawattstunde"/>
    <x v="5"/>
    <x v="12"/>
    <n v="826"/>
  </r>
  <r>
    <x v="7"/>
    <s v="Endenergieverbrauch - Industriesektor - Textil und Leder - energetischer Verbrauch"/>
    <s v="Elektrizität"/>
    <s v="Gigawattstunde"/>
    <x v="6"/>
    <x v="12"/>
    <n v="842"/>
  </r>
  <r>
    <x v="7"/>
    <s v="Endenergieverbrauch - Industriesektor - Textil und Leder - energetischer Verbrauch"/>
    <s v="Elektrizität"/>
    <s v="Gigawattstunde"/>
    <x v="7"/>
    <x v="12"/>
    <n v="612"/>
  </r>
  <r>
    <x v="7"/>
    <s v="Endenergieverbrauch - Industriesektor - Textil und Leder - energetischer Verbrauch"/>
    <s v="Elektrizität"/>
    <s v="Gigawattstunde"/>
    <x v="8"/>
    <x v="12"/>
    <n v="613"/>
  </r>
  <r>
    <x v="7"/>
    <s v="Endenergieverbrauch - Industriesektor - Textil und Leder - energetischer Verbrauch"/>
    <s v="Elektrizität"/>
    <s v="Gigawattstunde"/>
    <x v="9"/>
    <x v="12"/>
    <n v="545"/>
  </r>
  <r>
    <x v="7"/>
    <s v="Endenergieverbrauch - Industriesektor - Textil und Leder - energetischer Verbrauch"/>
    <s v="Elektrizität"/>
    <s v="Gigawattstunde"/>
    <x v="10"/>
    <x v="12"/>
    <n v="320"/>
  </r>
  <r>
    <x v="7"/>
    <s v="Endenergieverbrauch - Industriesektor - Textil und Leder - energetischer Verbrauch"/>
    <s v="Elektrizität"/>
    <s v="Gigawattstunde"/>
    <x v="11"/>
    <x v="12"/>
    <n v="298"/>
  </r>
  <r>
    <x v="7"/>
    <s v="Endenergieverbrauch - Industriesektor - Textil und Leder - energetischer Verbrauch"/>
    <s v="Elektrizität"/>
    <s v="Gigawattstunde"/>
    <x v="12"/>
    <x v="12"/>
    <n v="197"/>
  </r>
  <r>
    <x v="7"/>
    <s v="Endenergieverbrauch - Industriesektor - Textil und Leder - energetischer Verbrauch"/>
    <s v="Elektrizität"/>
    <s v="Gigawattstunde"/>
    <x v="13"/>
    <x v="12"/>
    <n v="203"/>
  </r>
  <r>
    <x v="7"/>
    <s v="Endenergieverbrauch - Industriesektor - Textil und Leder - energetischer Verbrauch"/>
    <s v="Elektrizität"/>
    <s v="Gigawattstunde"/>
    <x v="14"/>
    <x v="12"/>
    <n v="313"/>
  </r>
  <r>
    <x v="7"/>
    <s v="Endenergieverbrauch - Industriesektor - Textil und Leder - energetischer Verbrauch"/>
    <s v="Elektrizität"/>
    <s v="Gigawattstunde"/>
    <x v="15"/>
    <x v="12"/>
    <n v="229.91499999999999"/>
  </r>
  <r>
    <x v="7"/>
    <s v="Endenergieverbrauch - Industriesektor - Textil und Leder - energetischer Verbrauch"/>
    <s v="Elektrizität"/>
    <s v="Gigawattstunde"/>
    <x v="16"/>
    <x v="12"/>
    <n v="869.99"/>
  </r>
  <r>
    <x v="8"/>
    <s v="Endenergieverbrauch - Industriesektor - Textil und Leder - energetischer Verbrauch"/>
    <s v="Elektrizität"/>
    <s v="Gigawattstunde"/>
    <x v="0"/>
    <x v="12"/>
    <n v="4589"/>
  </r>
  <r>
    <x v="8"/>
    <s v="Endenergieverbrauch - Industriesektor - Textil und Leder - energetischer Verbrauch"/>
    <s v="Elektrizität"/>
    <s v="Gigawattstunde"/>
    <x v="1"/>
    <x v="12"/>
    <n v="4526"/>
  </r>
  <r>
    <x v="8"/>
    <s v="Endenergieverbrauch - Industriesektor - Textil und Leder - energetischer Verbrauch"/>
    <s v="Elektrizität"/>
    <s v="Gigawattstunde"/>
    <x v="2"/>
    <x v="12"/>
    <n v="4429"/>
  </r>
  <r>
    <x v="8"/>
    <s v="Endenergieverbrauch - Industriesektor - Textil und Leder - energetischer Verbrauch"/>
    <s v="Elektrizität"/>
    <s v="Gigawattstunde"/>
    <x v="3"/>
    <x v="12"/>
    <n v="4290"/>
  </r>
  <r>
    <x v="8"/>
    <s v="Endenergieverbrauch - Industriesektor - Textil und Leder - energetischer Verbrauch"/>
    <s v="Elektrizität"/>
    <s v="Gigawattstunde"/>
    <x v="4"/>
    <x v="12"/>
    <n v="2947"/>
  </r>
  <r>
    <x v="8"/>
    <s v="Endenergieverbrauch - Industriesektor - Textil und Leder - energetischer Verbrauch"/>
    <s v="Elektrizität"/>
    <s v="Gigawattstunde"/>
    <x v="5"/>
    <x v="12"/>
    <n v="2971"/>
  </r>
  <r>
    <x v="8"/>
    <s v="Endenergieverbrauch - Industriesektor - Textil und Leder - energetischer Verbrauch"/>
    <s v="Elektrizität"/>
    <s v="Gigawattstunde"/>
    <x v="6"/>
    <x v="12"/>
    <n v="2501"/>
  </r>
  <r>
    <x v="8"/>
    <s v="Endenergieverbrauch - Industriesektor - Textil und Leder - energetischer Verbrauch"/>
    <s v="Elektrizität"/>
    <s v="Gigawattstunde"/>
    <x v="7"/>
    <x v="12"/>
    <n v="2052"/>
  </r>
  <r>
    <x v="8"/>
    <s v="Endenergieverbrauch - Industriesektor - Textil und Leder - energetischer Verbrauch"/>
    <s v="Elektrizität"/>
    <s v="Gigawattstunde"/>
    <x v="8"/>
    <x v="12"/>
    <n v="2162"/>
  </r>
  <r>
    <x v="8"/>
    <s v="Endenergieverbrauch - Industriesektor - Textil und Leder - energetischer Verbrauch"/>
    <s v="Elektrizität"/>
    <s v="Gigawattstunde"/>
    <x v="9"/>
    <x v="12"/>
    <n v="2020"/>
  </r>
  <r>
    <x v="8"/>
    <s v="Endenergieverbrauch - Industriesektor - Textil und Leder - energetischer Verbrauch"/>
    <s v="Elektrizität"/>
    <s v="Gigawattstunde"/>
    <x v="10"/>
    <x v="12"/>
    <n v="1993"/>
  </r>
  <r>
    <x v="8"/>
    <s v="Endenergieverbrauch - Industriesektor - Textil und Leder - energetischer Verbrauch"/>
    <s v="Elektrizität"/>
    <s v="Gigawattstunde"/>
    <x v="11"/>
    <x v="12"/>
    <n v="1853"/>
  </r>
  <r>
    <x v="8"/>
    <s v="Endenergieverbrauch - Industriesektor - Textil und Leder - energetischer Verbrauch"/>
    <s v="Elektrizität"/>
    <s v="Gigawattstunde"/>
    <x v="12"/>
    <x v="12"/>
    <n v="1671"/>
  </r>
  <r>
    <x v="8"/>
    <s v="Endenergieverbrauch - Industriesektor - Textil und Leder - energetischer Verbrauch"/>
    <s v="Elektrizität"/>
    <s v="Gigawattstunde"/>
    <x v="13"/>
    <x v="12"/>
    <n v="1738"/>
  </r>
  <r>
    <x v="8"/>
    <s v="Endenergieverbrauch - Industriesektor - Textil und Leder - energetischer Verbrauch"/>
    <s v="Elektrizität"/>
    <s v="Gigawattstunde"/>
    <x v="14"/>
    <x v="12"/>
    <n v="1662"/>
  </r>
  <r>
    <x v="8"/>
    <s v="Endenergieverbrauch - Industriesektor - Textil und Leder - energetischer Verbrauch"/>
    <s v="Elektrizität"/>
    <s v="Gigawattstunde"/>
    <x v="15"/>
    <x v="12"/>
    <n v="1673"/>
  </r>
  <r>
    <x v="8"/>
    <s v="Endenergieverbrauch - Industriesektor - Textil und Leder - energetischer Verbrauch"/>
    <s v="Elektrizität"/>
    <s v="Gigawattstunde"/>
    <x v="16"/>
    <x v="12"/>
    <n v="1533"/>
  </r>
  <r>
    <x v="9"/>
    <s v="Endenergieverbrauch - Industriesektor - Textil und Leder - energetischer Verbrauch"/>
    <s v="Elektrizität"/>
    <s v="Gigawattstunde"/>
    <x v="0"/>
    <x v="12"/>
    <n v="3151"/>
  </r>
  <r>
    <x v="9"/>
    <s v="Endenergieverbrauch - Industriesektor - Textil und Leder - energetischer Verbrauch"/>
    <s v="Elektrizität"/>
    <s v="Gigawattstunde"/>
    <x v="1"/>
    <x v="12"/>
    <n v="2942"/>
  </r>
  <r>
    <x v="9"/>
    <s v="Endenergieverbrauch - Industriesektor - Textil und Leder - energetischer Verbrauch"/>
    <s v="Elektrizität"/>
    <s v="Gigawattstunde"/>
    <x v="2"/>
    <x v="12"/>
    <n v="2825"/>
  </r>
  <r>
    <x v="9"/>
    <s v="Endenergieverbrauch - Industriesektor - Textil und Leder - energetischer Verbrauch"/>
    <s v="Elektrizität"/>
    <s v="Gigawattstunde"/>
    <x v="3"/>
    <x v="12"/>
    <n v="2567"/>
  </r>
  <r>
    <x v="9"/>
    <s v="Endenergieverbrauch - Industriesektor - Textil und Leder - energetischer Verbrauch"/>
    <s v="Elektrizität"/>
    <s v="Gigawattstunde"/>
    <x v="4"/>
    <x v="12"/>
    <n v="2398"/>
  </r>
  <r>
    <x v="9"/>
    <s v="Endenergieverbrauch - Industriesektor - Textil und Leder - energetischer Verbrauch"/>
    <s v="Elektrizität"/>
    <s v="Gigawattstunde"/>
    <x v="5"/>
    <x v="12"/>
    <n v="2271"/>
  </r>
  <r>
    <x v="9"/>
    <s v="Endenergieverbrauch - Industriesektor - Textil und Leder - energetischer Verbrauch"/>
    <s v="Elektrizität"/>
    <s v="Gigawattstunde"/>
    <x v="6"/>
    <x v="12"/>
    <n v="2069"/>
  </r>
  <r>
    <x v="9"/>
    <s v="Endenergieverbrauch - Industriesektor - Textil und Leder - energetischer Verbrauch"/>
    <s v="Elektrizität"/>
    <s v="Gigawattstunde"/>
    <x v="7"/>
    <x v="12"/>
    <n v="1714"/>
  </r>
  <r>
    <x v="9"/>
    <s v="Endenergieverbrauch - Industriesektor - Textil und Leder - energetischer Verbrauch"/>
    <s v="Elektrizität"/>
    <s v="Gigawattstunde"/>
    <x v="8"/>
    <x v="12"/>
    <n v="1758"/>
  </r>
  <r>
    <x v="9"/>
    <s v="Endenergieverbrauch - Industriesektor - Textil und Leder - energetischer Verbrauch"/>
    <s v="Elektrizität"/>
    <s v="Gigawattstunde"/>
    <x v="9"/>
    <x v="12"/>
    <n v="1795.1489999999999"/>
  </r>
  <r>
    <x v="9"/>
    <s v="Endenergieverbrauch - Industriesektor - Textil und Leder - energetischer Verbrauch"/>
    <s v="Elektrizität"/>
    <s v="Gigawattstunde"/>
    <x v="10"/>
    <x v="12"/>
    <n v="1782.479"/>
  </r>
  <r>
    <x v="9"/>
    <s v="Endenergieverbrauch - Industriesektor - Textil und Leder - energetischer Verbrauch"/>
    <s v="Elektrizität"/>
    <s v="Gigawattstunde"/>
    <x v="11"/>
    <x v="12"/>
    <n v="1718.201"/>
  </r>
  <r>
    <x v="9"/>
    <s v="Endenergieverbrauch - Industriesektor - Textil und Leder - energetischer Verbrauch"/>
    <s v="Elektrizität"/>
    <s v="Gigawattstunde"/>
    <x v="12"/>
    <x v="12"/>
    <n v="1686.306"/>
  </r>
  <r>
    <x v="9"/>
    <s v="Endenergieverbrauch - Industriesektor - Textil und Leder - energetischer Verbrauch"/>
    <s v="Elektrizität"/>
    <s v="Gigawattstunde"/>
    <x v="13"/>
    <x v="12"/>
    <n v="1606.597"/>
  </r>
  <r>
    <x v="9"/>
    <s v="Endenergieverbrauch - Industriesektor - Textil und Leder - energetischer Verbrauch"/>
    <s v="Elektrizität"/>
    <s v="Gigawattstunde"/>
    <x v="14"/>
    <x v="12"/>
    <n v="1641.08"/>
  </r>
  <r>
    <x v="9"/>
    <s v="Endenergieverbrauch - Industriesektor - Textil und Leder - energetischer Verbrauch"/>
    <s v="Elektrizität"/>
    <s v="Gigawattstunde"/>
    <x v="15"/>
    <x v="12"/>
    <n v="1628.42"/>
  </r>
  <r>
    <x v="9"/>
    <s v="Endenergieverbrauch - Industriesektor - Textil und Leder - energetischer Verbrauch"/>
    <s v="Elektrizität"/>
    <s v="Gigawattstunde"/>
    <x v="16"/>
    <x v="12"/>
    <n v="1625.527"/>
  </r>
  <r>
    <x v="10"/>
    <s v="Endenergieverbrauch - Industriesektor - Textil und Leder - energetischer Verbrauch"/>
    <s v="Elektrizität"/>
    <s v="Gigawattstunde"/>
    <x v="0"/>
    <x v="12"/>
    <n v="159"/>
  </r>
  <r>
    <x v="10"/>
    <s v="Endenergieverbrauch - Industriesektor - Textil und Leder - energetischer Verbrauch"/>
    <s v="Elektrizität"/>
    <s v="Gigawattstunde"/>
    <x v="1"/>
    <x v="12"/>
    <n v="144"/>
  </r>
  <r>
    <x v="10"/>
    <s v="Endenergieverbrauch - Industriesektor - Textil und Leder - energetischer Verbrauch"/>
    <s v="Elektrizität"/>
    <s v="Gigawattstunde"/>
    <x v="2"/>
    <x v="12"/>
    <n v="173"/>
  </r>
  <r>
    <x v="10"/>
    <s v="Endenergieverbrauch - Industriesektor - Textil und Leder - energetischer Verbrauch"/>
    <s v="Elektrizität"/>
    <s v="Gigawattstunde"/>
    <x v="3"/>
    <x v="12"/>
    <n v="170"/>
  </r>
  <r>
    <x v="10"/>
    <s v="Endenergieverbrauch - Industriesektor - Textil und Leder - energetischer Verbrauch"/>
    <s v="Elektrizität"/>
    <s v="Gigawattstunde"/>
    <x v="4"/>
    <x v="12"/>
    <n v="170"/>
  </r>
  <r>
    <x v="10"/>
    <s v="Endenergieverbrauch - Industriesektor - Textil und Leder - energetischer Verbrauch"/>
    <s v="Elektrizität"/>
    <s v="Gigawattstunde"/>
    <x v="5"/>
    <x v="12"/>
    <n v="171"/>
  </r>
  <r>
    <x v="10"/>
    <s v="Endenergieverbrauch - Industriesektor - Textil und Leder - energetischer Verbrauch"/>
    <s v="Elektrizität"/>
    <s v="Gigawattstunde"/>
    <x v="6"/>
    <x v="12"/>
    <n v="162"/>
  </r>
  <r>
    <x v="10"/>
    <s v="Endenergieverbrauch - Industriesektor - Textil und Leder - energetischer Verbrauch"/>
    <s v="Elektrizität"/>
    <s v="Gigawattstunde"/>
    <x v="7"/>
    <x v="12"/>
    <n v="152"/>
  </r>
  <r>
    <x v="10"/>
    <s v="Endenergieverbrauch - Industriesektor - Textil und Leder - energetischer Verbrauch"/>
    <s v="Elektrizität"/>
    <s v="Gigawattstunde"/>
    <x v="8"/>
    <x v="12"/>
    <n v="147"/>
  </r>
  <r>
    <x v="10"/>
    <s v="Endenergieverbrauch - Industriesektor - Textil und Leder - energetischer Verbrauch"/>
    <s v="Elektrizität"/>
    <s v="Gigawattstunde"/>
    <x v="9"/>
    <x v="12"/>
    <n v="158"/>
  </r>
  <r>
    <x v="10"/>
    <s v="Endenergieverbrauch - Industriesektor - Textil und Leder - energetischer Verbrauch"/>
    <s v="Elektrizität"/>
    <s v="Gigawattstunde"/>
    <x v="10"/>
    <x v="12"/>
    <n v="155"/>
  </r>
  <r>
    <x v="10"/>
    <s v="Endenergieverbrauch - Industriesektor - Textil und Leder - energetischer Verbrauch"/>
    <s v="Elektrizität"/>
    <s v="Gigawattstunde"/>
    <x v="11"/>
    <x v="12"/>
    <n v="150"/>
  </r>
  <r>
    <x v="10"/>
    <s v="Endenergieverbrauch - Industriesektor - Textil und Leder - energetischer Verbrauch"/>
    <s v="Elektrizität"/>
    <s v="Gigawattstunde"/>
    <x v="12"/>
    <x v="12"/>
    <n v="159"/>
  </r>
  <r>
    <x v="10"/>
    <s v="Endenergieverbrauch - Industriesektor - Textil und Leder - energetischer Verbrauch"/>
    <s v="Elektrizität"/>
    <s v="Gigawattstunde"/>
    <x v="13"/>
    <x v="12"/>
    <n v="166"/>
  </r>
  <r>
    <x v="10"/>
    <s v="Endenergieverbrauch - Industriesektor - Textil und Leder - energetischer Verbrauch"/>
    <s v="Elektrizität"/>
    <s v="Gigawattstunde"/>
    <x v="14"/>
    <x v="12"/>
    <n v="149"/>
  </r>
  <r>
    <x v="10"/>
    <s v="Endenergieverbrauch - Industriesektor - Textil und Leder - energetischer Verbrauch"/>
    <s v="Elektrizität"/>
    <s v="Gigawattstunde"/>
    <x v="15"/>
    <x v="12"/>
    <n v="153"/>
  </r>
  <r>
    <x v="10"/>
    <s v="Endenergieverbrauch - Industriesektor - Textil und Leder - energetischer Verbrauch"/>
    <s v="Elektrizität"/>
    <s v="Gigawattstunde"/>
    <x v="16"/>
    <x v="12"/>
    <n v="148"/>
  </r>
  <r>
    <x v="11"/>
    <s v="Endenergieverbrauch - Industriesektor - Textil und Leder - energetischer Verbrauch"/>
    <s v="Elektrizität"/>
    <s v="Gigawattstunde"/>
    <x v="0"/>
    <x v="12"/>
    <n v="11058"/>
  </r>
  <r>
    <x v="11"/>
    <s v="Endenergieverbrauch - Industriesektor - Textil und Leder - energetischer Verbrauch"/>
    <s v="Elektrizität"/>
    <s v="Gigawattstunde"/>
    <x v="1"/>
    <x v="12"/>
    <n v="10537"/>
  </r>
  <r>
    <x v="11"/>
    <s v="Endenergieverbrauch - Industriesektor - Textil und Leder - energetischer Verbrauch"/>
    <s v="Elektrizität"/>
    <s v="Gigawattstunde"/>
    <x v="2"/>
    <x v="12"/>
    <n v="9788"/>
  </r>
  <r>
    <x v="11"/>
    <s v="Endenergieverbrauch - Industriesektor - Textil und Leder - energetischer Verbrauch"/>
    <s v="Elektrizität"/>
    <s v="Gigawattstunde"/>
    <x v="3"/>
    <x v="12"/>
    <n v="9119"/>
  </r>
  <r>
    <x v="11"/>
    <s v="Endenergieverbrauch - Industriesektor - Textil und Leder - energetischer Verbrauch"/>
    <s v="Elektrizität"/>
    <s v="Gigawattstunde"/>
    <x v="4"/>
    <x v="12"/>
    <n v="8936"/>
  </r>
  <r>
    <x v="11"/>
    <s v="Endenergieverbrauch - Industriesektor - Textil und Leder - energetischer Verbrauch"/>
    <s v="Elektrizität"/>
    <s v="Gigawattstunde"/>
    <x v="5"/>
    <x v="12"/>
    <n v="8410"/>
  </r>
  <r>
    <x v="11"/>
    <s v="Endenergieverbrauch - Industriesektor - Textil und Leder - energetischer Verbrauch"/>
    <s v="Elektrizität"/>
    <s v="Gigawattstunde"/>
    <x v="6"/>
    <x v="12"/>
    <n v="7568"/>
  </r>
  <r>
    <x v="11"/>
    <s v="Endenergieverbrauch - Industriesektor - Textil und Leder - energetischer Verbrauch"/>
    <s v="Elektrizität"/>
    <s v="Gigawattstunde"/>
    <x v="7"/>
    <x v="12"/>
    <n v="6197"/>
  </r>
  <r>
    <x v="11"/>
    <s v="Endenergieverbrauch - Industriesektor - Textil und Leder - energetischer Verbrauch"/>
    <s v="Elektrizität"/>
    <s v="Gigawattstunde"/>
    <x v="8"/>
    <x v="12"/>
    <n v="6334"/>
  </r>
  <r>
    <x v="11"/>
    <s v="Endenergieverbrauch - Industriesektor - Textil und Leder - energetischer Verbrauch"/>
    <s v="Elektrizität"/>
    <s v="Gigawattstunde"/>
    <x v="9"/>
    <x v="12"/>
    <n v="6064"/>
  </r>
  <r>
    <x v="11"/>
    <s v="Endenergieverbrauch - Industriesektor - Textil und Leder - energetischer Verbrauch"/>
    <s v="Elektrizität"/>
    <s v="Gigawattstunde"/>
    <x v="10"/>
    <x v="12"/>
    <n v="5523"/>
  </r>
  <r>
    <x v="11"/>
    <s v="Endenergieverbrauch - Industriesektor - Textil und Leder - energetischer Verbrauch"/>
    <s v="Elektrizität"/>
    <s v="Gigawattstunde"/>
    <x v="11"/>
    <x v="12"/>
    <n v="5343"/>
  </r>
  <r>
    <x v="11"/>
    <s v="Endenergieverbrauch - Industriesektor - Textil und Leder - energetischer Verbrauch"/>
    <s v="Elektrizität"/>
    <s v="Gigawattstunde"/>
    <x v="12"/>
    <x v="12"/>
    <n v="5237"/>
  </r>
  <r>
    <x v="11"/>
    <s v="Endenergieverbrauch - Industriesektor - Textil und Leder - energetischer Verbrauch"/>
    <s v="Elektrizität"/>
    <s v="Gigawattstunde"/>
    <x v="13"/>
    <x v="12"/>
    <n v="5232"/>
  </r>
  <r>
    <x v="11"/>
    <s v="Endenergieverbrauch - Industriesektor - Textil und Leder - energetischer Verbrauch"/>
    <s v="Elektrizität"/>
    <s v="Gigawattstunde"/>
    <x v="14"/>
    <x v="12"/>
    <n v="5153"/>
  </r>
  <r>
    <x v="11"/>
    <s v="Endenergieverbrauch - Industriesektor - Textil und Leder - energetischer Verbrauch"/>
    <s v="Elektrizität"/>
    <s v="Gigawattstunde"/>
    <x v="15"/>
    <x v="12"/>
    <n v="5164.2939999999999"/>
  </r>
  <r>
    <x v="11"/>
    <s v="Endenergieverbrauch - Industriesektor - Textil und Leder - energetischer Verbrauch"/>
    <s v="Elektrizität"/>
    <s v="Gigawattstunde"/>
    <x v="16"/>
    <x v="12"/>
    <n v="5119.7640000000001"/>
  </r>
  <r>
    <x v="12"/>
    <s v="Endenergieverbrauch - Industriesektor - Textil und Leder - energetischer Verbrauch"/>
    <s v="Elektrizität"/>
    <s v="Gigawattstunde"/>
    <x v="0"/>
    <x v="12"/>
    <n v="13"/>
  </r>
  <r>
    <x v="12"/>
    <s v="Endenergieverbrauch - Industriesektor - Textil und Leder - energetischer Verbrauch"/>
    <s v="Elektrizität"/>
    <s v="Gigawattstunde"/>
    <x v="1"/>
    <x v="12"/>
    <n v="13"/>
  </r>
  <r>
    <x v="12"/>
    <s v="Endenergieverbrauch - Industriesektor - Textil und Leder - energetischer Verbrauch"/>
    <s v="Elektrizität"/>
    <s v="Gigawattstunde"/>
    <x v="2"/>
    <x v="12"/>
    <n v="11"/>
  </r>
  <r>
    <x v="12"/>
    <s v="Endenergieverbrauch - Industriesektor - Textil und Leder - energetischer Verbrauch"/>
    <s v="Elektrizität"/>
    <s v="Gigawattstunde"/>
    <x v="3"/>
    <x v="12"/>
    <n v="11"/>
  </r>
  <r>
    <x v="12"/>
    <s v="Endenergieverbrauch - Industriesektor - Textil und Leder - energetischer Verbrauch"/>
    <s v="Elektrizität"/>
    <s v="Gigawattstunde"/>
    <x v="4"/>
    <x v="12"/>
    <n v="10"/>
  </r>
  <r>
    <x v="12"/>
    <s v="Endenergieverbrauch - Industriesektor - Textil und Leder - energetischer Verbrauch"/>
    <s v="Elektrizität"/>
    <s v="Gigawattstunde"/>
    <x v="5"/>
    <x v="12"/>
    <n v="9"/>
  </r>
  <r>
    <x v="12"/>
    <s v="Endenergieverbrauch - Industriesektor - Textil und Leder - energetischer Verbrauch"/>
    <s v="Elektrizität"/>
    <s v="Gigawattstunde"/>
    <x v="6"/>
    <x v="12"/>
    <n v="9"/>
  </r>
  <r>
    <x v="12"/>
    <s v="Endenergieverbrauch - Industriesektor - Textil und Leder - energetischer Verbrauch"/>
    <s v="Elektrizität"/>
    <s v="Gigawattstunde"/>
    <x v="7"/>
    <x v="12"/>
    <n v="9"/>
  </r>
  <r>
    <x v="12"/>
    <s v="Endenergieverbrauch - Industriesektor - Textil und Leder - energetischer Verbrauch"/>
    <s v="Elektrizität"/>
    <s v="Gigawattstunde"/>
    <x v="8"/>
    <x v="12"/>
    <n v="8"/>
  </r>
  <r>
    <x v="12"/>
    <s v="Endenergieverbrauch - Industriesektor - Textil und Leder - energetischer Verbrauch"/>
    <s v="Elektrizität"/>
    <s v="Gigawattstunde"/>
    <x v="9"/>
    <x v="12"/>
    <n v="7"/>
  </r>
  <r>
    <x v="12"/>
    <s v="Endenergieverbrauch - Industriesektor - Textil und Leder - energetischer Verbrauch"/>
    <s v="Elektrizität"/>
    <s v="Gigawattstunde"/>
    <x v="10"/>
    <x v="12"/>
    <n v="6"/>
  </r>
  <r>
    <x v="12"/>
    <s v="Endenergieverbrauch - Industriesektor - Textil und Leder - energetischer Verbrauch"/>
    <s v="Elektrizität"/>
    <s v="Gigawattstunde"/>
    <x v="11"/>
    <x v="12"/>
    <n v="6"/>
  </r>
  <r>
    <x v="12"/>
    <s v="Endenergieverbrauch - Industriesektor - Textil und Leder - energetischer Verbrauch"/>
    <s v="Elektrizität"/>
    <s v="Gigawattstunde"/>
    <x v="12"/>
    <x v="12"/>
    <n v="5"/>
  </r>
  <r>
    <x v="12"/>
    <s v="Endenergieverbrauch - Industriesektor - Textil und Leder - energetischer Verbrauch"/>
    <s v="Elektrizität"/>
    <s v="Gigawattstunde"/>
    <x v="13"/>
    <x v="12"/>
    <n v="5"/>
  </r>
  <r>
    <x v="12"/>
    <s v="Endenergieverbrauch - Industriesektor - Textil und Leder - energetischer Verbrauch"/>
    <s v="Elektrizität"/>
    <s v="Gigawattstunde"/>
    <x v="14"/>
    <x v="12"/>
    <n v="5"/>
  </r>
  <r>
    <x v="12"/>
    <s v="Endenergieverbrauch - Industriesektor - Textil und Leder - energetischer Verbrauch"/>
    <s v="Elektrizität"/>
    <s v="Gigawattstunde"/>
    <x v="15"/>
    <x v="12"/>
    <n v="4.8769999999999998"/>
  </r>
  <r>
    <x v="12"/>
    <s v="Endenergieverbrauch - Industriesektor - Textil und Leder - energetischer Verbrauch"/>
    <s v="Elektrizität"/>
    <s v="Gigawattstunde"/>
    <x v="16"/>
    <x v="12"/>
    <n v="4.9660000000000002"/>
  </r>
  <r>
    <x v="13"/>
    <s v="Endenergieverbrauch - Industriesektor - Textil und Leder - energetischer Verbrauch"/>
    <s v="Elektrizität"/>
    <s v="Gigawattstunde"/>
    <x v="0"/>
    <x v="12"/>
    <n v="213"/>
  </r>
  <r>
    <x v="13"/>
    <s v="Endenergieverbrauch - Industriesektor - Textil und Leder - energetischer Verbrauch"/>
    <s v="Elektrizität"/>
    <s v="Gigawattstunde"/>
    <x v="1"/>
    <x v="12"/>
    <n v="212"/>
  </r>
  <r>
    <x v="13"/>
    <s v="Endenergieverbrauch - Industriesektor - Textil und Leder - energetischer Verbrauch"/>
    <s v="Elektrizität"/>
    <s v="Gigawattstunde"/>
    <x v="2"/>
    <x v="12"/>
    <n v="190"/>
  </r>
  <r>
    <x v="13"/>
    <s v="Endenergieverbrauch - Industriesektor - Textil und Leder - energetischer Verbrauch"/>
    <s v="Elektrizität"/>
    <s v="Gigawattstunde"/>
    <x v="3"/>
    <x v="12"/>
    <n v="114"/>
  </r>
  <r>
    <x v="13"/>
    <s v="Endenergieverbrauch - Industriesektor - Textil und Leder - energetischer Verbrauch"/>
    <s v="Elektrizität"/>
    <s v="Gigawattstunde"/>
    <x v="4"/>
    <x v="12"/>
    <n v="99"/>
  </r>
  <r>
    <x v="13"/>
    <s v="Endenergieverbrauch - Industriesektor - Textil und Leder - energetischer Verbrauch"/>
    <s v="Elektrizität"/>
    <s v="Gigawattstunde"/>
    <x v="5"/>
    <x v="12"/>
    <n v="103"/>
  </r>
  <r>
    <x v="13"/>
    <s v="Endenergieverbrauch - Industriesektor - Textil und Leder - energetischer Verbrauch"/>
    <s v="Elektrizität"/>
    <s v="Gigawattstunde"/>
    <x v="6"/>
    <x v="12"/>
    <n v="70"/>
  </r>
  <r>
    <x v="13"/>
    <s v="Endenergieverbrauch - Industriesektor - Textil und Leder - energetischer Verbrauch"/>
    <s v="Elektrizität"/>
    <s v="Gigawattstunde"/>
    <x v="7"/>
    <x v="12"/>
    <n v="51"/>
  </r>
  <r>
    <x v="13"/>
    <s v="Endenergieverbrauch - Industriesektor - Textil und Leder - energetischer Verbrauch"/>
    <s v="Elektrizität"/>
    <s v="Gigawattstunde"/>
    <x v="8"/>
    <x v="12"/>
    <n v="40"/>
  </r>
  <r>
    <x v="13"/>
    <s v="Endenergieverbrauch - Industriesektor - Textil und Leder - energetischer Verbrauch"/>
    <s v="Elektrizität"/>
    <s v="Gigawattstunde"/>
    <x v="9"/>
    <x v="12"/>
    <n v="42"/>
  </r>
  <r>
    <x v="13"/>
    <s v="Endenergieverbrauch - Industriesektor - Textil und Leder - energetischer Verbrauch"/>
    <s v="Elektrizität"/>
    <s v="Gigawattstunde"/>
    <x v="10"/>
    <x v="12"/>
    <n v="36"/>
  </r>
  <r>
    <x v="13"/>
    <s v="Endenergieverbrauch - Industriesektor - Textil und Leder - energetischer Verbrauch"/>
    <s v="Elektrizität"/>
    <s v="Gigawattstunde"/>
    <x v="11"/>
    <x v="12"/>
    <n v="41"/>
  </r>
  <r>
    <x v="13"/>
    <s v="Endenergieverbrauch - Industriesektor - Textil und Leder - energetischer Verbrauch"/>
    <s v="Elektrizität"/>
    <s v="Gigawattstunde"/>
    <x v="12"/>
    <x v="12"/>
    <n v="33"/>
  </r>
  <r>
    <x v="13"/>
    <s v="Endenergieverbrauch - Industriesektor - Textil und Leder - energetischer Verbrauch"/>
    <s v="Elektrizität"/>
    <s v="Gigawattstunde"/>
    <x v="13"/>
    <x v="12"/>
    <n v="29"/>
  </r>
  <r>
    <x v="13"/>
    <s v="Endenergieverbrauch - Industriesektor - Textil und Leder - energetischer Verbrauch"/>
    <s v="Elektrizität"/>
    <s v="Gigawattstunde"/>
    <x v="14"/>
    <x v="12"/>
    <n v="30"/>
  </r>
  <r>
    <x v="13"/>
    <s v="Endenergieverbrauch - Industriesektor - Textil und Leder - energetischer Verbrauch"/>
    <s v="Elektrizität"/>
    <s v="Gigawattstunde"/>
    <x v="15"/>
    <x v="12"/>
    <n v="30.099"/>
  </r>
  <r>
    <x v="13"/>
    <s v="Endenergieverbrauch - Industriesektor - Textil und Leder - energetischer Verbrauch"/>
    <s v="Elektrizität"/>
    <s v="Gigawattstunde"/>
    <x v="16"/>
    <x v="12"/>
    <n v="29.384"/>
  </r>
  <r>
    <x v="14"/>
    <s v="Endenergieverbrauch - Industriesektor - Textil und Leder - energetischer Verbrauch"/>
    <s v="Elektrizität"/>
    <s v="Gigawattstunde"/>
    <x v="0"/>
    <x v="12"/>
    <n v="321"/>
  </r>
  <r>
    <x v="14"/>
    <s v="Endenergieverbrauch - Industriesektor - Textil und Leder - energetischer Verbrauch"/>
    <s v="Elektrizität"/>
    <s v="Gigawattstunde"/>
    <x v="1"/>
    <x v="12"/>
    <n v="315"/>
  </r>
  <r>
    <x v="14"/>
    <s v="Endenergieverbrauch - Industriesektor - Textil und Leder - energetischer Verbrauch"/>
    <s v="Elektrizität"/>
    <s v="Gigawattstunde"/>
    <x v="2"/>
    <x v="12"/>
    <n v="292"/>
  </r>
  <r>
    <x v="14"/>
    <s v="Endenergieverbrauch - Industriesektor - Textil und Leder - energetischer Verbrauch"/>
    <s v="Elektrizität"/>
    <s v="Gigawattstunde"/>
    <x v="3"/>
    <x v="12"/>
    <n v="252"/>
  </r>
  <r>
    <x v="14"/>
    <s v="Endenergieverbrauch - Industriesektor - Textil und Leder - energetischer Verbrauch"/>
    <s v="Elektrizität"/>
    <s v="Gigawattstunde"/>
    <x v="4"/>
    <x v="12"/>
    <n v="266"/>
  </r>
  <r>
    <x v="14"/>
    <s v="Endenergieverbrauch - Industriesektor - Textil und Leder - energetischer Verbrauch"/>
    <s v="Elektrizität"/>
    <s v="Gigawattstunde"/>
    <x v="5"/>
    <x v="12"/>
    <n v="248"/>
  </r>
  <r>
    <x v="14"/>
    <s v="Endenergieverbrauch - Industriesektor - Textil und Leder - energetischer Verbrauch"/>
    <s v="Elektrizität"/>
    <s v="Gigawattstunde"/>
    <x v="6"/>
    <x v="12"/>
    <n v="158"/>
  </r>
  <r>
    <x v="14"/>
    <s v="Endenergieverbrauch - Industriesektor - Textil und Leder - energetischer Verbrauch"/>
    <s v="Elektrizität"/>
    <s v="Gigawattstunde"/>
    <x v="7"/>
    <x v="12"/>
    <n v="204"/>
  </r>
  <r>
    <x v="14"/>
    <s v="Endenergieverbrauch - Industriesektor - Textil und Leder - energetischer Verbrauch"/>
    <s v="Elektrizität"/>
    <s v="Gigawattstunde"/>
    <x v="8"/>
    <x v="12"/>
    <n v="160"/>
  </r>
  <r>
    <x v="14"/>
    <s v="Endenergieverbrauch - Industriesektor - Textil und Leder - energetischer Verbrauch"/>
    <s v="Elektrizität"/>
    <s v="Gigawattstunde"/>
    <x v="9"/>
    <x v="12"/>
    <n v="147"/>
  </r>
  <r>
    <x v="14"/>
    <s v="Endenergieverbrauch - Industriesektor - Textil und Leder - energetischer Verbrauch"/>
    <s v="Elektrizität"/>
    <s v="Gigawattstunde"/>
    <x v="10"/>
    <x v="12"/>
    <n v="155"/>
  </r>
  <r>
    <x v="14"/>
    <s v="Endenergieverbrauch - Industriesektor - Textil und Leder - energetischer Verbrauch"/>
    <s v="Elektrizität"/>
    <s v="Gigawattstunde"/>
    <x v="11"/>
    <x v="12"/>
    <n v="150"/>
  </r>
  <r>
    <x v="14"/>
    <s v="Endenergieverbrauch - Industriesektor - Textil und Leder - energetischer Verbrauch"/>
    <s v="Elektrizität"/>
    <s v="Gigawattstunde"/>
    <x v="12"/>
    <x v="12"/>
    <n v="145"/>
  </r>
  <r>
    <x v="14"/>
    <s v="Endenergieverbrauch - Industriesektor - Textil und Leder - energetischer Verbrauch"/>
    <s v="Elektrizität"/>
    <s v="Gigawattstunde"/>
    <x v="13"/>
    <x v="12"/>
    <n v="158"/>
  </r>
  <r>
    <x v="14"/>
    <s v="Endenergieverbrauch - Industriesektor - Textil und Leder - energetischer Verbrauch"/>
    <s v="Elektrizität"/>
    <s v="Gigawattstunde"/>
    <x v="14"/>
    <x v="12"/>
    <n v="168"/>
  </r>
  <r>
    <x v="14"/>
    <s v="Endenergieverbrauch - Industriesektor - Textil und Leder - energetischer Verbrauch"/>
    <s v="Elektrizität"/>
    <s v="Gigawattstunde"/>
    <x v="15"/>
    <x v="12"/>
    <n v="163.19999999999999"/>
  </r>
  <r>
    <x v="14"/>
    <s v="Endenergieverbrauch - Industriesektor - Textil und Leder - energetischer Verbrauch"/>
    <s v="Elektrizität"/>
    <s v="Gigawattstunde"/>
    <x v="16"/>
    <x v="12"/>
    <n v="158.9"/>
  </r>
  <r>
    <x v="15"/>
    <s v="Endenergieverbrauch - Industriesektor - Textil und Leder - energetischer Verbrauch"/>
    <s v="Elektrizität"/>
    <s v="Gigawattstunde"/>
    <x v="0"/>
    <x v="12"/>
    <n v="186.584"/>
  </r>
  <r>
    <x v="15"/>
    <s v="Endenergieverbrauch - Industriesektor - Textil und Leder - energetischer Verbrauch"/>
    <s v="Elektrizität"/>
    <s v="Gigawattstunde"/>
    <x v="1"/>
    <x v="12"/>
    <n v="158.191"/>
  </r>
  <r>
    <x v="15"/>
    <s v="Endenergieverbrauch - Industriesektor - Textil und Leder - energetischer Verbrauch"/>
    <s v="Elektrizität"/>
    <s v="Gigawattstunde"/>
    <x v="2"/>
    <x v="12"/>
    <n v="153.64599999999999"/>
  </r>
  <r>
    <x v="15"/>
    <s v="Endenergieverbrauch - Industriesektor - Textil und Leder - energetischer Verbrauch"/>
    <s v="Elektrizität"/>
    <s v="Gigawattstunde"/>
    <x v="3"/>
    <x v="12"/>
    <n v="155.96799999999999"/>
  </r>
  <r>
    <x v="15"/>
    <s v="Endenergieverbrauch - Industriesektor - Textil und Leder - energetischer Verbrauch"/>
    <s v="Elektrizität"/>
    <s v="Gigawattstunde"/>
    <x v="4"/>
    <x v="12"/>
    <n v="129.13300000000001"/>
  </r>
  <r>
    <x v="15"/>
    <s v="Endenergieverbrauch - Industriesektor - Textil und Leder - energetischer Verbrauch"/>
    <s v="Elektrizität"/>
    <s v="Gigawattstunde"/>
    <x v="5"/>
    <x v="12"/>
    <n v="119.732"/>
  </r>
  <r>
    <x v="15"/>
    <s v="Endenergieverbrauch - Industriesektor - Textil und Leder - energetischer Verbrauch"/>
    <s v="Elektrizität"/>
    <s v="Gigawattstunde"/>
    <x v="6"/>
    <x v="12"/>
    <n v="133.37100000000001"/>
  </r>
  <r>
    <x v="15"/>
    <s v="Endenergieverbrauch - Industriesektor - Textil und Leder - energetischer Verbrauch"/>
    <s v="Elektrizität"/>
    <s v="Gigawattstunde"/>
    <x v="7"/>
    <x v="12"/>
    <n v="116.956"/>
  </r>
  <r>
    <x v="15"/>
    <s v="Endenergieverbrauch - Industriesektor - Textil und Leder - energetischer Verbrauch"/>
    <s v="Elektrizität"/>
    <s v="Gigawattstunde"/>
    <x v="8"/>
    <x v="12"/>
    <n v="141.30099999999999"/>
  </r>
  <r>
    <x v="15"/>
    <s v="Endenergieverbrauch - Industriesektor - Textil und Leder - energetischer Verbrauch"/>
    <s v="Elektrizität"/>
    <s v="Gigawattstunde"/>
    <x v="9"/>
    <x v="12"/>
    <n v="128.053"/>
  </r>
  <r>
    <x v="15"/>
    <s v="Endenergieverbrauch - Industriesektor - Textil und Leder - energetischer Verbrauch"/>
    <s v="Elektrizität"/>
    <s v="Gigawattstunde"/>
    <x v="10"/>
    <x v="12"/>
    <n v="108.575"/>
  </r>
  <r>
    <x v="15"/>
    <s v="Endenergieverbrauch - Industriesektor - Textil und Leder - energetischer Verbrauch"/>
    <s v="Elektrizität"/>
    <s v="Gigawattstunde"/>
    <x v="11"/>
    <x v="12"/>
    <n v="105.679"/>
  </r>
  <r>
    <x v="15"/>
    <s v="Endenergieverbrauch - Industriesektor - Textil und Leder - energetischer Verbrauch"/>
    <s v="Elektrizität"/>
    <s v="Gigawattstunde"/>
    <x v="12"/>
    <x v="12"/>
    <n v="86.183000000000007"/>
  </r>
  <r>
    <x v="15"/>
    <s v="Endenergieverbrauch - Industriesektor - Textil und Leder - energetischer Verbrauch"/>
    <s v="Elektrizität"/>
    <s v="Gigawattstunde"/>
    <x v="13"/>
    <x v="12"/>
    <n v="100.982"/>
  </r>
  <r>
    <x v="15"/>
    <s v="Endenergieverbrauch - Industriesektor - Textil und Leder - energetischer Verbrauch"/>
    <s v="Elektrizität"/>
    <s v="Gigawattstunde"/>
    <x v="14"/>
    <x v="12"/>
    <n v="100.804"/>
  </r>
  <r>
    <x v="15"/>
    <s v="Endenergieverbrauch - Industriesektor - Textil und Leder - energetischer Verbrauch"/>
    <s v="Elektrizität"/>
    <s v="Gigawattstunde"/>
    <x v="15"/>
    <x v="12"/>
    <n v="88.808000000000007"/>
  </r>
  <r>
    <x v="15"/>
    <s v="Endenergieverbrauch - Industriesektor - Textil und Leder - energetischer Verbrauch"/>
    <s v="Elektrizität"/>
    <s v="Gigawattstunde"/>
    <x v="16"/>
    <x v="12"/>
    <n v="94.454999999999998"/>
  </r>
  <r>
    <x v="16"/>
    <s v="Endenergieverbrauch - Industriesektor - Textil und Leder - energetischer Verbrauch"/>
    <s v="Elektrizität"/>
    <s v="Gigawattstunde"/>
    <x v="0"/>
    <x v="12"/>
    <n v="249"/>
  </r>
  <r>
    <x v="16"/>
    <s v="Endenergieverbrauch - Industriesektor - Textil und Leder - energetischer Verbrauch"/>
    <s v="Elektrizität"/>
    <s v="Gigawattstunde"/>
    <x v="1"/>
    <x v="12"/>
    <n v="215"/>
  </r>
  <r>
    <x v="16"/>
    <s v="Endenergieverbrauch - Industriesektor - Textil und Leder - energetischer Verbrauch"/>
    <s v="Elektrizität"/>
    <s v="Gigawattstunde"/>
    <x v="2"/>
    <x v="12"/>
    <n v="212"/>
  </r>
  <r>
    <x v="16"/>
    <s v="Endenergieverbrauch - Industriesektor - Textil und Leder - energetischer Verbrauch"/>
    <s v="Elektrizität"/>
    <s v="Gigawattstunde"/>
    <x v="3"/>
    <x v="12"/>
    <n v="186"/>
  </r>
  <r>
    <x v="16"/>
    <s v="Endenergieverbrauch - Industriesektor - Textil und Leder - energetischer Verbrauch"/>
    <s v="Elektrizität"/>
    <s v="Gigawattstunde"/>
    <x v="4"/>
    <x v="12"/>
    <n v="145"/>
  </r>
  <r>
    <x v="16"/>
    <s v="Endenergieverbrauch - Industriesektor - Textil und Leder - energetischer Verbrauch"/>
    <s v="Elektrizität"/>
    <s v="Gigawattstunde"/>
    <x v="5"/>
    <x v="12"/>
    <n v="135"/>
  </r>
  <r>
    <x v="16"/>
    <s v="Endenergieverbrauch - Industriesektor - Textil und Leder - energetischer Verbrauch"/>
    <s v="Elektrizität"/>
    <s v="Gigawattstunde"/>
    <x v="6"/>
    <x v="12"/>
    <n v="119"/>
  </r>
  <r>
    <x v="16"/>
    <s v="Endenergieverbrauch - Industriesektor - Textil und Leder - energetischer Verbrauch"/>
    <s v="Elektrizität"/>
    <s v="Gigawattstunde"/>
    <x v="7"/>
    <x v="12"/>
    <n v="95"/>
  </r>
  <r>
    <x v="16"/>
    <s v="Endenergieverbrauch - Industriesektor - Textil und Leder - energetischer Verbrauch"/>
    <s v="Elektrizität"/>
    <s v="Gigawattstunde"/>
    <x v="8"/>
    <x v="12"/>
    <n v="133"/>
  </r>
  <r>
    <x v="16"/>
    <s v="Endenergieverbrauch - Industriesektor - Textil und Leder - energetischer Verbrauch"/>
    <s v="Elektrizität"/>
    <s v="Gigawattstunde"/>
    <x v="9"/>
    <x v="12"/>
    <n v="134"/>
  </r>
  <r>
    <x v="16"/>
    <s v="Endenergieverbrauch - Industriesektor - Textil und Leder - energetischer Verbrauch"/>
    <s v="Elektrizität"/>
    <s v="Gigawattstunde"/>
    <x v="10"/>
    <x v="12"/>
    <n v="240"/>
  </r>
  <r>
    <x v="16"/>
    <s v="Endenergieverbrauch - Industriesektor - Textil und Leder - energetischer Verbrauch"/>
    <s v="Elektrizität"/>
    <s v="Gigawattstunde"/>
    <x v="11"/>
    <x v="12"/>
    <n v="194"/>
  </r>
  <r>
    <x v="16"/>
    <s v="Endenergieverbrauch - Industriesektor - Textil und Leder - energetischer Verbrauch"/>
    <s v="Elektrizität"/>
    <s v="Gigawattstunde"/>
    <x v="12"/>
    <x v="12"/>
    <n v="196"/>
  </r>
  <r>
    <x v="16"/>
    <s v="Endenergieverbrauch - Industriesektor - Textil und Leder - energetischer Verbrauch"/>
    <s v="Elektrizität"/>
    <s v="Gigawattstunde"/>
    <x v="13"/>
    <x v="12"/>
    <n v="219"/>
  </r>
  <r>
    <x v="16"/>
    <s v="Endenergieverbrauch - Industriesektor - Textil und Leder - energetischer Verbrauch"/>
    <s v="Elektrizität"/>
    <s v="Gigawattstunde"/>
    <x v="14"/>
    <x v="12"/>
    <n v="239"/>
  </r>
  <r>
    <x v="16"/>
    <s v="Endenergieverbrauch - Industriesektor - Textil und Leder - energetischer Verbrauch"/>
    <s v="Elektrizität"/>
    <s v="Gigawattstunde"/>
    <x v="15"/>
    <x v="12"/>
    <n v="226"/>
  </r>
  <r>
    <x v="16"/>
    <s v="Endenergieverbrauch - Industriesektor - Textil und Leder - energetischer Verbrauch"/>
    <s v="Elektrizität"/>
    <s v="Gigawattstunde"/>
    <x v="16"/>
    <x v="12"/>
    <n v="244"/>
  </r>
  <r>
    <x v="17"/>
    <s v="Endenergieverbrauch - Industriesektor - Textil und Leder - energetischer Verbrauch"/>
    <s v="Elektrizität"/>
    <s v="Gigawattstunde"/>
    <x v="0"/>
    <x v="12"/>
    <n v="0"/>
  </r>
  <r>
    <x v="17"/>
    <s v="Endenergieverbrauch - Industriesektor - Textil und Leder - energetischer Verbrauch"/>
    <s v="Elektrizität"/>
    <s v="Gigawattstunde"/>
    <x v="1"/>
    <x v="12"/>
    <n v="0"/>
  </r>
  <r>
    <x v="17"/>
    <s v="Endenergieverbrauch - Industriesektor - Textil und Leder - energetischer Verbrauch"/>
    <s v="Elektrizität"/>
    <s v="Gigawattstunde"/>
    <x v="2"/>
    <x v="12"/>
    <n v="0"/>
  </r>
  <r>
    <x v="17"/>
    <s v="Endenergieverbrauch - Industriesektor - Textil und Leder - energetischer Verbrauch"/>
    <s v="Elektrizität"/>
    <s v="Gigawattstunde"/>
    <x v="3"/>
    <x v="12"/>
    <n v="0"/>
  </r>
  <r>
    <x v="17"/>
    <s v="Endenergieverbrauch - Industriesektor - Textil und Leder - energetischer Verbrauch"/>
    <s v="Elektrizität"/>
    <s v="Gigawattstunde"/>
    <x v="4"/>
    <x v="12"/>
    <n v="0"/>
  </r>
  <r>
    <x v="17"/>
    <s v="Endenergieverbrauch - Industriesektor - Textil und Leder - energetischer Verbrauch"/>
    <s v="Elektrizität"/>
    <s v="Gigawattstunde"/>
    <x v="5"/>
    <x v="12"/>
    <n v="0"/>
  </r>
  <r>
    <x v="17"/>
    <s v="Endenergieverbrauch - Industriesektor - Textil und Leder - energetischer Verbrauch"/>
    <s v="Elektrizität"/>
    <s v="Gigawattstunde"/>
    <x v="6"/>
    <x v="12"/>
    <n v="0"/>
  </r>
  <r>
    <x v="17"/>
    <s v="Endenergieverbrauch - Industriesektor - Textil und Leder - energetischer Verbrauch"/>
    <s v="Elektrizität"/>
    <s v="Gigawattstunde"/>
    <x v="7"/>
    <x v="12"/>
    <n v="0"/>
  </r>
  <r>
    <x v="17"/>
    <s v="Endenergieverbrauch - Industriesektor - Textil und Leder - energetischer Verbrauch"/>
    <s v="Elektrizität"/>
    <s v="Gigawattstunde"/>
    <x v="8"/>
    <x v="12"/>
    <n v="47"/>
  </r>
  <r>
    <x v="17"/>
    <s v="Endenergieverbrauch - Industriesektor - Textil und Leder - energetischer Verbrauch"/>
    <s v="Elektrizität"/>
    <s v="Gigawattstunde"/>
    <x v="9"/>
    <x v="12"/>
    <n v="47"/>
  </r>
  <r>
    <x v="17"/>
    <s v="Endenergieverbrauch - Industriesektor - Textil und Leder - energetischer Verbrauch"/>
    <s v="Elektrizität"/>
    <s v="Gigawattstunde"/>
    <x v="10"/>
    <x v="12"/>
    <n v="46"/>
  </r>
  <r>
    <x v="17"/>
    <s v="Endenergieverbrauch - Industriesektor - Textil und Leder - energetischer Verbrauch"/>
    <s v="Elektrizität"/>
    <s v="Gigawattstunde"/>
    <x v="11"/>
    <x v="12"/>
    <n v="39"/>
  </r>
  <r>
    <x v="17"/>
    <s v="Endenergieverbrauch - Industriesektor - Textil und Leder - energetischer Verbrauch"/>
    <s v="Elektrizität"/>
    <s v="Gigawattstunde"/>
    <x v="12"/>
    <x v="12"/>
    <n v="30"/>
  </r>
  <r>
    <x v="17"/>
    <s v="Endenergieverbrauch - Industriesektor - Textil und Leder - energetischer Verbrauch"/>
    <s v="Elektrizität"/>
    <s v="Gigawattstunde"/>
    <x v="13"/>
    <x v="12"/>
    <n v="33"/>
  </r>
  <r>
    <x v="17"/>
    <s v="Endenergieverbrauch - Industriesektor - Textil und Leder - energetischer Verbrauch"/>
    <s v="Elektrizität"/>
    <s v="Gigawattstunde"/>
    <x v="14"/>
    <x v="12"/>
    <n v="28"/>
  </r>
  <r>
    <x v="17"/>
    <s v="Endenergieverbrauch - Industriesektor - Textil und Leder - energetischer Verbrauch"/>
    <s v="Elektrizität"/>
    <s v="Gigawattstunde"/>
    <x v="15"/>
    <x v="12"/>
    <n v="31.22"/>
  </r>
  <r>
    <x v="17"/>
    <s v="Endenergieverbrauch - Industriesektor - Textil und Leder - energetischer Verbrauch"/>
    <s v="Elektrizität"/>
    <s v="Gigawattstunde"/>
    <x v="16"/>
    <x v="12"/>
    <n v="32.131"/>
  </r>
  <r>
    <x v="18"/>
    <s v="Endenergieverbrauch - Industriesektor - Textil und Leder - energetischer Verbrauch"/>
    <s v="Elektrizität"/>
    <s v="Gigawattstunde"/>
    <x v="0"/>
    <x v="12"/>
    <n v="574"/>
  </r>
  <r>
    <x v="18"/>
    <s v="Endenergieverbrauch - Industriesektor - Textil und Leder - energetischer Verbrauch"/>
    <s v="Elektrizität"/>
    <s v="Gigawattstunde"/>
    <x v="1"/>
    <x v="12"/>
    <n v="548"/>
  </r>
  <r>
    <x v="18"/>
    <s v="Endenergieverbrauch - Industriesektor - Textil und Leder - energetischer Verbrauch"/>
    <s v="Elektrizität"/>
    <s v="Gigawattstunde"/>
    <x v="2"/>
    <x v="12"/>
    <n v="499"/>
  </r>
  <r>
    <x v="18"/>
    <s v="Endenergieverbrauch - Industriesektor - Textil und Leder - energetischer Verbrauch"/>
    <s v="Elektrizität"/>
    <s v="Gigawattstunde"/>
    <x v="3"/>
    <x v="12"/>
    <n v="407"/>
  </r>
  <r>
    <x v="18"/>
    <s v="Endenergieverbrauch - Industriesektor - Textil und Leder - energetischer Verbrauch"/>
    <s v="Elektrizität"/>
    <s v="Gigawattstunde"/>
    <x v="4"/>
    <x v="12"/>
    <n v="395"/>
  </r>
  <r>
    <x v="18"/>
    <s v="Endenergieverbrauch - Industriesektor - Textil und Leder - energetischer Verbrauch"/>
    <s v="Elektrizität"/>
    <s v="Gigawattstunde"/>
    <x v="5"/>
    <x v="12"/>
    <n v="388"/>
  </r>
  <r>
    <x v="18"/>
    <s v="Endenergieverbrauch - Industriesektor - Textil und Leder - energetischer Verbrauch"/>
    <s v="Elektrizität"/>
    <s v="Gigawattstunde"/>
    <x v="6"/>
    <x v="12"/>
    <n v="357"/>
  </r>
  <r>
    <x v="18"/>
    <s v="Endenergieverbrauch - Industriesektor - Textil und Leder - energetischer Verbrauch"/>
    <s v="Elektrizität"/>
    <s v="Gigawattstunde"/>
    <x v="7"/>
    <x v="12"/>
    <n v="320"/>
  </r>
  <r>
    <x v="18"/>
    <s v="Endenergieverbrauch - Industriesektor - Textil und Leder - energetischer Verbrauch"/>
    <s v="Elektrizität"/>
    <s v="Gigawattstunde"/>
    <x v="8"/>
    <x v="12"/>
    <n v="385"/>
  </r>
  <r>
    <x v="18"/>
    <s v="Endenergieverbrauch - Industriesektor - Textil und Leder - energetischer Verbrauch"/>
    <s v="Elektrizität"/>
    <s v="Gigawattstunde"/>
    <x v="9"/>
    <x v="12"/>
    <n v="363"/>
  </r>
  <r>
    <x v="18"/>
    <s v="Endenergieverbrauch - Industriesektor - Textil und Leder - energetischer Verbrauch"/>
    <s v="Elektrizität"/>
    <s v="Gigawattstunde"/>
    <x v="10"/>
    <x v="12"/>
    <n v="350"/>
  </r>
  <r>
    <x v="18"/>
    <s v="Endenergieverbrauch - Industriesektor - Textil und Leder - energetischer Verbrauch"/>
    <s v="Elektrizität"/>
    <s v="Gigawattstunde"/>
    <x v="11"/>
    <x v="12"/>
    <n v="377"/>
  </r>
  <r>
    <x v="18"/>
    <s v="Endenergieverbrauch - Industriesektor - Textil und Leder - energetischer Verbrauch"/>
    <s v="Elektrizität"/>
    <s v="Gigawattstunde"/>
    <x v="12"/>
    <x v="12"/>
    <n v="338"/>
  </r>
  <r>
    <x v="18"/>
    <s v="Endenergieverbrauch - Industriesektor - Textil und Leder - energetischer Verbrauch"/>
    <s v="Elektrizität"/>
    <s v="Gigawattstunde"/>
    <x v="13"/>
    <x v="12"/>
    <n v="362.46699999999998"/>
  </r>
  <r>
    <x v="18"/>
    <s v="Endenergieverbrauch - Industriesektor - Textil und Leder - energetischer Verbrauch"/>
    <s v="Elektrizität"/>
    <s v="Gigawattstunde"/>
    <x v="14"/>
    <x v="12"/>
    <n v="355.26"/>
  </r>
  <r>
    <x v="18"/>
    <s v="Endenergieverbrauch - Industriesektor - Textil und Leder - energetischer Verbrauch"/>
    <s v="Elektrizität"/>
    <s v="Gigawattstunde"/>
    <x v="15"/>
    <x v="12"/>
    <n v="370.202"/>
  </r>
  <r>
    <x v="18"/>
    <s v="Endenergieverbrauch - Industriesektor - Textil und Leder - energetischer Verbrauch"/>
    <s v="Elektrizität"/>
    <s v="Gigawattstunde"/>
    <x v="16"/>
    <x v="12"/>
    <n v="402.57400000000001"/>
  </r>
  <r>
    <x v="19"/>
    <s v="Endenergieverbrauch - Industriesektor - Textil und Leder - energetischer Verbrauch"/>
    <s v="Elektrizität"/>
    <s v="Gigawattstunde"/>
    <x v="0"/>
    <x v="12"/>
    <n v="599"/>
  </r>
  <r>
    <x v="19"/>
    <s v="Endenergieverbrauch - Industriesektor - Textil und Leder - energetischer Verbrauch"/>
    <s v="Elektrizität"/>
    <s v="Gigawattstunde"/>
    <x v="1"/>
    <x v="12"/>
    <n v="626"/>
  </r>
  <r>
    <x v="19"/>
    <s v="Endenergieverbrauch - Industriesektor - Textil und Leder - energetischer Verbrauch"/>
    <s v="Elektrizität"/>
    <s v="Gigawattstunde"/>
    <x v="2"/>
    <x v="12"/>
    <n v="640"/>
  </r>
  <r>
    <x v="19"/>
    <s v="Endenergieverbrauch - Industriesektor - Textil und Leder - energetischer Verbrauch"/>
    <s v="Elektrizität"/>
    <s v="Gigawattstunde"/>
    <x v="3"/>
    <x v="12"/>
    <n v="610.58100000000002"/>
  </r>
  <r>
    <x v="19"/>
    <s v="Endenergieverbrauch - Industriesektor - Textil und Leder - energetischer Verbrauch"/>
    <s v="Elektrizität"/>
    <s v="Gigawattstunde"/>
    <x v="4"/>
    <x v="12"/>
    <n v="591.79100000000005"/>
  </r>
  <r>
    <x v="19"/>
    <s v="Endenergieverbrauch - Industriesektor - Textil und Leder - energetischer Verbrauch"/>
    <s v="Elektrizität"/>
    <s v="Gigawattstunde"/>
    <x v="5"/>
    <x v="12"/>
    <n v="567.97299999999996"/>
  </r>
  <r>
    <x v="19"/>
    <s v="Endenergieverbrauch - Industriesektor - Textil und Leder - energetischer Verbrauch"/>
    <s v="Elektrizität"/>
    <s v="Gigawattstunde"/>
    <x v="6"/>
    <x v="12"/>
    <n v="520.30600000000004"/>
  </r>
  <r>
    <x v="19"/>
    <s v="Endenergieverbrauch - Industriesektor - Textil und Leder - energetischer Verbrauch"/>
    <s v="Elektrizität"/>
    <s v="Gigawattstunde"/>
    <x v="7"/>
    <x v="12"/>
    <n v="442.23099999999999"/>
  </r>
  <r>
    <x v="19"/>
    <s v="Endenergieverbrauch - Industriesektor - Textil und Leder - energetischer Verbrauch"/>
    <s v="Elektrizität"/>
    <s v="Gigawattstunde"/>
    <x v="8"/>
    <x v="12"/>
    <n v="436.81299999999999"/>
  </r>
  <r>
    <x v="19"/>
    <s v="Endenergieverbrauch - Industriesektor - Textil und Leder - energetischer Verbrauch"/>
    <s v="Elektrizität"/>
    <s v="Gigawattstunde"/>
    <x v="9"/>
    <x v="12"/>
    <n v="448.67899999999997"/>
  </r>
  <r>
    <x v="19"/>
    <s v="Endenergieverbrauch - Industriesektor - Textil und Leder - energetischer Verbrauch"/>
    <s v="Elektrizität"/>
    <s v="Gigawattstunde"/>
    <x v="10"/>
    <x v="12"/>
    <n v="443.488"/>
  </r>
  <r>
    <x v="19"/>
    <s v="Endenergieverbrauch - Industriesektor - Textil und Leder - energetischer Verbrauch"/>
    <s v="Elektrizität"/>
    <s v="Gigawattstunde"/>
    <x v="11"/>
    <x v="12"/>
    <n v="508.089"/>
  </r>
  <r>
    <x v="19"/>
    <s v="Endenergieverbrauch - Industriesektor - Textil und Leder - energetischer Verbrauch"/>
    <s v="Elektrizität"/>
    <s v="Gigawattstunde"/>
    <x v="12"/>
    <x v="12"/>
    <n v="437.17899999999997"/>
  </r>
  <r>
    <x v="19"/>
    <s v="Endenergieverbrauch - Industriesektor - Textil und Leder - energetischer Verbrauch"/>
    <s v="Elektrizität"/>
    <s v="Gigawattstunde"/>
    <x v="13"/>
    <x v="12"/>
    <n v="401.262"/>
  </r>
  <r>
    <x v="19"/>
    <s v="Endenergieverbrauch - Industriesektor - Textil und Leder - energetischer Verbrauch"/>
    <s v="Elektrizität"/>
    <s v="Gigawattstunde"/>
    <x v="14"/>
    <x v="12"/>
    <n v="372.69799999999998"/>
  </r>
  <r>
    <x v="19"/>
    <s v="Endenergieverbrauch - Industriesektor - Textil und Leder - energetischer Verbrauch"/>
    <s v="Elektrizität"/>
    <s v="Gigawattstunde"/>
    <x v="15"/>
    <x v="12"/>
    <n v="347.94099999999997"/>
  </r>
  <r>
    <x v="19"/>
    <s v="Endenergieverbrauch - Industriesektor - Textil und Leder - energetischer Verbrauch"/>
    <s v="Elektrizität"/>
    <s v="Gigawattstunde"/>
    <x v="16"/>
    <x v="12"/>
    <n v="314.464"/>
  </r>
  <r>
    <x v="20"/>
    <s v="Endenergieverbrauch - Industriesektor - Textil und Leder - energetischer Verbrauch"/>
    <s v="Elektrizität"/>
    <s v="Gigawattstunde"/>
    <x v="0"/>
    <x v="12"/>
    <n v="1161"/>
  </r>
  <r>
    <x v="20"/>
    <s v="Endenergieverbrauch - Industriesektor - Textil und Leder - energetischer Verbrauch"/>
    <s v="Elektrizität"/>
    <s v="Gigawattstunde"/>
    <x v="1"/>
    <x v="12"/>
    <n v="1137"/>
  </r>
  <r>
    <x v="20"/>
    <s v="Endenergieverbrauch - Industriesektor - Textil und Leder - energetischer Verbrauch"/>
    <s v="Elektrizität"/>
    <s v="Gigawattstunde"/>
    <x v="2"/>
    <x v="12"/>
    <n v="1178"/>
  </r>
  <r>
    <x v="20"/>
    <s v="Endenergieverbrauch - Industriesektor - Textil und Leder - energetischer Verbrauch"/>
    <s v="Elektrizität"/>
    <s v="Gigawattstunde"/>
    <x v="3"/>
    <x v="12"/>
    <n v="1026"/>
  </r>
  <r>
    <x v="20"/>
    <s v="Endenergieverbrauch - Industriesektor - Textil und Leder - energetischer Verbrauch"/>
    <s v="Elektrizität"/>
    <s v="Gigawattstunde"/>
    <x v="4"/>
    <x v="12"/>
    <n v="907"/>
  </r>
  <r>
    <x v="20"/>
    <s v="Endenergieverbrauch - Industriesektor - Textil und Leder - energetischer Verbrauch"/>
    <s v="Elektrizität"/>
    <s v="Gigawattstunde"/>
    <x v="5"/>
    <x v="12"/>
    <n v="918"/>
  </r>
  <r>
    <x v="20"/>
    <s v="Endenergieverbrauch - Industriesektor - Textil und Leder - energetischer Verbrauch"/>
    <s v="Elektrizität"/>
    <s v="Gigawattstunde"/>
    <x v="6"/>
    <x v="12"/>
    <n v="782"/>
  </r>
  <r>
    <x v="20"/>
    <s v="Endenergieverbrauch - Industriesektor - Textil und Leder - energetischer Verbrauch"/>
    <s v="Elektrizität"/>
    <s v="Gigawattstunde"/>
    <x v="7"/>
    <x v="12"/>
    <n v="573"/>
  </r>
  <r>
    <x v="20"/>
    <s v="Endenergieverbrauch - Industriesektor - Textil und Leder - energetischer Verbrauch"/>
    <s v="Elektrizität"/>
    <s v="Gigawattstunde"/>
    <x v="8"/>
    <x v="12"/>
    <n v="567"/>
  </r>
  <r>
    <x v="20"/>
    <s v="Endenergieverbrauch - Industriesektor - Textil und Leder - energetischer Verbrauch"/>
    <s v="Elektrizität"/>
    <s v="Gigawattstunde"/>
    <x v="9"/>
    <x v="12"/>
    <n v="512"/>
  </r>
  <r>
    <x v="20"/>
    <s v="Endenergieverbrauch - Industriesektor - Textil und Leder - energetischer Verbrauch"/>
    <s v="Elektrizität"/>
    <s v="Gigawattstunde"/>
    <x v="10"/>
    <x v="12"/>
    <n v="491"/>
  </r>
  <r>
    <x v="20"/>
    <s v="Endenergieverbrauch - Industriesektor - Textil und Leder - energetischer Verbrauch"/>
    <s v="Elektrizität"/>
    <s v="Gigawattstunde"/>
    <x v="11"/>
    <x v="12"/>
    <n v="534"/>
  </r>
  <r>
    <x v="20"/>
    <s v="Endenergieverbrauch - Industriesektor - Textil und Leder - energetischer Verbrauch"/>
    <s v="Elektrizität"/>
    <s v="Gigawattstunde"/>
    <x v="12"/>
    <x v="12"/>
    <n v="540"/>
  </r>
  <r>
    <x v="20"/>
    <s v="Endenergieverbrauch - Industriesektor - Textil und Leder - energetischer Verbrauch"/>
    <s v="Elektrizität"/>
    <s v="Gigawattstunde"/>
    <x v="13"/>
    <x v="12"/>
    <n v="570"/>
  </r>
  <r>
    <x v="20"/>
    <s v="Endenergieverbrauch - Industriesektor - Textil und Leder - energetischer Verbrauch"/>
    <s v="Elektrizität"/>
    <s v="Gigawattstunde"/>
    <x v="14"/>
    <x v="12"/>
    <n v="609"/>
  </r>
  <r>
    <x v="20"/>
    <s v="Endenergieverbrauch - Industriesektor - Textil und Leder - energetischer Verbrauch"/>
    <s v="Elektrizität"/>
    <s v="Gigawattstunde"/>
    <x v="15"/>
    <x v="12"/>
    <n v="606.24400000000003"/>
  </r>
  <r>
    <x v="20"/>
    <s v="Endenergieverbrauch - Industriesektor - Textil und Leder - energetischer Verbrauch"/>
    <s v="Elektrizität"/>
    <s v="Gigawattstunde"/>
    <x v="16"/>
    <x v="12"/>
    <n v="824.81500000000005"/>
  </r>
  <r>
    <x v="21"/>
    <s v="Endenergieverbrauch - Industriesektor - Textil und Leder - energetischer Verbrauch"/>
    <s v="Elektrizität"/>
    <s v="Gigawattstunde"/>
    <x v="0"/>
    <x v="12"/>
    <n v="2332"/>
  </r>
  <r>
    <x v="21"/>
    <s v="Endenergieverbrauch - Industriesektor - Textil und Leder - energetischer Verbrauch"/>
    <s v="Elektrizität"/>
    <s v="Gigawattstunde"/>
    <x v="1"/>
    <x v="12"/>
    <n v="2077"/>
  </r>
  <r>
    <x v="21"/>
    <s v="Endenergieverbrauch - Industriesektor - Textil und Leder - energetischer Verbrauch"/>
    <s v="Elektrizität"/>
    <s v="Gigawattstunde"/>
    <x v="2"/>
    <x v="12"/>
    <n v="1904"/>
  </r>
  <r>
    <x v="21"/>
    <s v="Endenergieverbrauch - Industriesektor - Textil und Leder - energetischer Verbrauch"/>
    <s v="Elektrizität"/>
    <s v="Gigawattstunde"/>
    <x v="3"/>
    <x v="12"/>
    <n v="1791"/>
  </r>
  <r>
    <x v="21"/>
    <s v="Endenergieverbrauch - Industriesektor - Textil und Leder - energetischer Verbrauch"/>
    <s v="Elektrizität"/>
    <s v="Gigawattstunde"/>
    <x v="4"/>
    <x v="12"/>
    <n v="1686"/>
  </r>
  <r>
    <x v="21"/>
    <s v="Endenergieverbrauch - Industriesektor - Textil und Leder - energetischer Verbrauch"/>
    <s v="Elektrizität"/>
    <s v="Gigawattstunde"/>
    <x v="5"/>
    <x v="12"/>
    <n v="1698"/>
  </r>
  <r>
    <x v="21"/>
    <s v="Endenergieverbrauch - Industriesektor - Textil und Leder - energetischer Verbrauch"/>
    <s v="Elektrizität"/>
    <s v="Gigawattstunde"/>
    <x v="6"/>
    <x v="12"/>
    <n v="1538"/>
  </r>
  <r>
    <x v="21"/>
    <s v="Endenergieverbrauch - Industriesektor - Textil und Leder - energetischer Verbrauch"/>
    <s v="Elektrizität"/>
    <s v="Gigawattstunde"/>
    <x v="7"/>
    <x v="12"/>
    <n v="1294"/>
  </r>
  <r>
    <x v="21"/>
    <s v="Endenergieverbrauch - Industriesektor - Textil und Leder - energetischer Verbrauch"/>
    <s v="Elektrizität"/>
    <s v="Gigawattstunde"/>
    <x v="8"/>
    <x v="12"/>
    <n v="1459"/>
  </r>
  <r>
    <x v="21"/>
    <s v="Endenergieverbrauch - Industriesektor - Textil und Leder - energetischer Verbrauch"/>
    <s v="Elektrizität"/>
    <s v="Gigawattstunde"/>
    <x v="9"/>
    <x v="12"/>
    <n v="1219"/>
  </r>
  <r>
    <x v="21"/>
    <s v="Endenergieverbrauch - Industriesektor - Textil und Leder - energetischer Verbrauch"/>
    <s v="Elektrizität"/>
    <s v="Gigawattstunde"/>
    <x v="10"/>
    <x v="12"/>
    <n v="1204"/>
  </r>
  <r>
    <x v="21"/>
    <s v="Endenergieverbrauch - Industriesektor - Textil und Leder - energetischer Verbrauch"/>
    <s v="Elektrizität"/>
    <s v="Gigawattstunde"/>
    <x v="11"/>
    <x v="12"/>
    <n v="1231"/>
  </r>
  <r>
    <x v="21"/>
    <s v="Endenergieverbrauch - Industriesektor - Textil und Leder - energetischer Verbrauch"/>
    <s v="Elektrizität"/>
    <s v="Gigawattstunde"/>
    <x v="12"/>
    <x v="12"/>
    <n v="1333"/>
  </r>
  <r>
    <x v="21"/>
    <s v="Endenergieverbrauch - Industriesektor - Textil und Leder - energetischer Verbrauch"/>
    <s v="Elektrizität"/>
    <s v="Gigawattstunde"/>
    <x v="13"/>
    <x v="12"/>
    <n v="1331"/>
  </r>
  <r>
    <x v="21"/>
    <s v="Endenergieverbrauch - Industriesektor - Textil und Leder - energetischer Verbrauch"/>
    <s v="Elektrizität"/>
    <s v="Gigawattstunde"/>
    <x v="14"/>
    <x v="12"/>
    <n v="1244.1179999999999"/>
  </r>
  <r>
    <x v="21"/>
    <s v="Endenergieverbrauch - Industriesektor - Textil und Leder - energetischer Verbrauch"/>
    <s v="Elektrizität"/>
    <s v="Gigawattstunde"/>
    <x v="15"/>
    <x v="12"/>
    <n v="1269.06"/>
  </r>
  <r>
    <x v="21"/>
    <s v="Endenergieverbrauch - Industriesektor - Textil und Leder - energetischer Verbrauch"/>
    <s v="Elektrizität"/>
    <s v="Gigawattstunde"/>
    <x v="16"/>
    <x v="12"/>
    <n v="1279.829"/>
  </r>
  <r>
    <x v="22"/>
    <s v="Endenergieverbrauch - Industriesektor - Textil und Leder - energetischer Verbrauch"/>
    <s v="Elektrizität"/>
    <s v="Gigawattstunde"/>
    <x v="0"/>
    <x v="12"/>
    <n v="1206"/>
  </r>
  <r>
    <x v="22"/>
    <s v="Endenergieverbrauch - Industriesektor - Textil und Leder - energetischer Verbrauch"/>
    <s v="Elektrizität"/>
    <s v="Gigawattstunde"/>
    <x v="1"/>
    <x v="12"/>
    <n v="990"/>
  </r>
  <r>
    <x v="22"/>
    <s v="Endenergieverbrauch - Industriesektor - Textil und Leder - energetischer Verbrauch"/>
    <s v="Elektrizität"/>
    <s v="Gigawattstunde"/>
    <x v="2"/>
    <x v="12"/>
    <n v="998"/>
  </r>
  <r>
    <x v="22"/>
    <s v="Endenergieverbrauch - Industriesektor - Textil und Leder - energetischer Verbrauch"/>
    <s v="Elektrizität"/>
    <s v="Gigawattstunde"/>
    <x v="3"/>
    <x v="12"/>
    <n v="605"/>
  </r>
  <r>
    <x v="22"/>
    <s v="Endenergieverbrauch - Industriesektor - Textil und Leder - energetischer Verbrauch"/>
    <s v="Elektrizität"/>
    <s v="Gigawattstunde"/>
    <x v="4"/>
    <x v="12"/>
    <n v="822"/>
  </r>
  <r>
    <x v="22"/>
    <s v="Endenergieverbrauch - Industriesektor - Textil und Leder - energetischer Verbrauch"/>
    <s v="Elektrizität"/>
    <s v="Gigawattstunde"/>
    <x v="5"/>
    <x v="12"/>
    <n v="849"/>
  </r>
  <r>
    <x v="22"/>
    <s v="Endenergieverbrauch - Industriesektor - Textil und Leder - energetischer Verbrauch"/>
    <s v="Elektrizität"/>
    <s v="Gigawattstunde"/>
    <x v="6"/>
    <x v="12"/>
    <n v="1133"/>
  </r>
  <r>
    <x v="22"/>
    <s v="Endenergieverbrauch - Industriesektor - Textil und Leder - energetischer Verbrauch"/>
    <s v="Elektrizität"/>
    <s v="Gigawattstunde"/>
    <x v="7"/>
    <x v="12"/>
    <n v="659"/>
  </r>
  <r>
    <x v="22"/>
    <s v="Endenergieverbrauch - Industriesektor - Textil und Leder - energetischer Verbrauch"/>
    <s v="Elektrizität"/>
    <s v="Gigawattstunde"/>
    <x v="8"/>
    <x v="12"/>
    <n v="813"/>
  </r>
  <r>
    <x v="22"/>
    <s v="Endenergieverbrauch - Industriesektor - Textil und Leder - energetischer Verbrauch"/>
    <s v="Elektrizität"/>
    <s v="Gigawattstunde"/>
    <x v="9"/>
    <x v="12"/>
    <n v="778"/>
  </r>
  <r>
    <x v="22"/>
    <s v="Endenergieverbrauch - Industriesektor - Textil und Leder - energetischer Verbrauch"/>
    <s v="Elektrizität"/>
    <s v="Gigawattstunde"/>
    <x v="10"/>
    <x v="12"/>
    <n v="730"/>
  </r>
  <r>
    <x v="22"/>
    <s v="Endenergieverbrauch - Industriesektor - Textil und Leder - energetischer Verbrauch"/>
    <s v="Elektrizität"/>
    <s v="Gigawattstunde"/>
    <x v="11"/>
    <x v="12"/>
    <n v="794"/>
  </r>
  <r>
    <x v="22"/>
    <s v="Endenergieverbrauch - Industriesektor - Textil und Leder - energetischer Verbrauch"/>
    <s v="Elektrizität"/>
    <s v="Gigawattstunde"/>
    <x v="12"/>
    <x v="12"/>
    <n v="851"/>
  </r>
  <r>
    <x v="22"/>
    <s v="Endenergieverbrauch - Industriesektor - Textil und Leder - energetischer Verbrauch"/>
    <s v="Elektrizität"/>
    <s v="Gigawattstunde"/>
    <x v="13"/>
    <x v="12"/>
    <n v="745"/>
  </r>
  <r>
    <x v="22"/>
    <s v="Endenergieverbrauch - Industriesektor - Textil und Leder - energetischer Verbrauch"/>
    <s v="Elektrizität"/>
    <s v="Gigawattstunde"/>
    <x v="14"/>
    <x v="12"/>
    <n v="707"/>
  </r>
  <r>
    <x v="22"/>
    <s v="Endenergieverbrauch - Industriesektor - Textil und Leder - energetischer Verbrauch"/>
    <s v="Elektrizität"/>
    <s v="Gigawattstunde"/>
    <x v="15"/>
    <x v="12"/>
    <n v="680.71600000000001"/>
  </r>
  <r>
    <x v="22"/>
    <s v="Endenergieverbrauch - Industriesektor - Textil und Leder - energetischer Verbrauch"/>
    <s v="Elektrizität"/>
    <s v="Gigawattstunde"/>
    <x v="16"/>
    <x v="12"/>
    <n v="663.19799999999998"/>
  </r>
  <r>
    <x v="23"/>
    <s v="Endenergieverbrauch - Industriesektor - Textil und Leder - energetischer Verbrauch"/>
    <s v="Elektrizität"/>
    <s v="Gigawattstunde"/>
    <x v="0"/>
    <x v="12"/>
    <n v="256"/>
  </r>
  <r>
    <x v="23"/>
    <s v="Endenergieverbrauch - Industriesektor - Textil und Leder - energetischer Verbrauch"/>
    <s v="Elektrizität"/>
    <s v="Gigawattstunde"/>
    <x v="1"/>
    <x v="12"/>
    <n v="273"/>
  </r>
  <r>
    <x v="23"/>
    <s v="Endenergieverbrauch - Industriesektor - Textil und Leder - energetischer Verbrauch"/>
    <s v="Elektrizität"/>
    <s v="Gigawattstunde"/>
    <x v="2"/>
    <x v="12"/>
    <n v="261"/>
  </r>
  <r>
    <x v="23"/>
    <s v="Endenergieverbrauch - Industriesektor - Textil und Leder - energetischer Verbrauch"/>
    <s v="Elektrizität"/>
    <s v="Gigawattstunde"/>
    <x v="3"/>
    <x v="12"/>
    <n v="250"/>
  </r>
  <r>
    <x v="23"/>
    <s v="Endenergieverbrauch - Industriesektor - Textil und Leder - energetischer Verbrauch"/>
    <s v="Elektrizität"/>
    <s v="Gigawattstunde"/>
    <x v="4"/>
    <x v="12"/>
    <n v="248"/>
  </r>
  <r>
    <x v="23"/>
    <s v="Endenergieverbrauch - Industriesektor - Textil und Leder - energetischer Verbrauch"/>
    <s v="Elektrizität"/>
    <s v="Gigawattstunde"/>
    <x v="5"/>
    <x v="12"/>
    <n v="245"/>
  </r>
  <r>
    <x v="23"/>
    <s v="Endenergieverbrauch - Industriesektor - Textil und Leder - energetischer Verbrauch"/>
    <s v="Elektrizität"/>
    <s v="Gigawattstunde"/>
    <x v="6"/>
    <x v="12"/>
    <n v="187"/>
  </r>
  <r>
    <x v="23"/>
    <s v="Endenergieverbrauch - Industriesektor - Textil und Leder - energetischer Verbrauch"/>
    <s v="Elektrizität"/>
    <s v="Gigawattstunde"/>
    <x v="7"/>
    <x v="12"/>
    <n v="147"/>
  </r>
  <r>
    <x v="23"/>
    <s v="Endenergieverbrauch - Industriesektor - Textil und Leder - energetischer Verbrauch"/>
    <s v="Elektrizität"/>
    <s v="Gigawattstunde"/>
    <x v="8"/>
    <x v="12"/>
    <n v="150"/>
  </r>
  <r>
    <x v="23"/>
    <s v="Endenergieverbrauch - Industriesektor - Textil und Leder - energetischer Verbrauch"/>
    <s v="Elektrizität"/>
    <s v="Gigawattstunde"/>
    <x v="9"/>
    <x v="12"/>
    <n v="126"/>
  </r>
  <r>
    <x v="23"/>
    <s v="Endenergieverbrauch - Industriesektor - Textil und Leder - energetischer Verbrauch"/>
    <s v="Elektrizität"/>
    <s v="Gigawattstunde"/>
    <x v="10"/>
    <x v="12"/>
    <n v="115"/>
  </r>
  <r>
    <x v="23"/>
    <s v="Endenergieverbrauch - Industriesektor - Textil und Leder - energetischer Verbrauch"/>
    <s v="Elektrizität"/>
    <s v="Gigawattstunde"/>
    <x v="11"/>
    <x v="12"/>
    <n v="121"/>
  </r>
  <r>
    <x v="23"/>
    <s v="Endenergieverbrauch - Industriesektor - Textil und Leder - energetischer Verbrauch"/>
    <s v="Elektrizität"/>
    <s v="Gigawattstunde"/>
    <x v="12"/>
    <x v="12"/>
    <n v="106"/>
  </r>
  <r>
    <x v="23"/>
    <s v="Endenergieverbrauch - Industriesektor - Textil und Leder - energetischer Verbrauch"/>
    <s v="Elektrizität"/>
    <s v="Gigawattstunde"/>
    <x v="13"/>
    <x v="12"/>
    <n v="95"/>
  </r>
  <r>
    <x v="23"/>
    <s v="Endenergieverbrauch - Industriesektor - Textil und Leder - energetischer Verbrauch"/>
    <s v="Elektrizität"/>
    <s v="Gigawattstunde"/>
    <x v="14"/>
    <x v="12"/>
    <n v="102"/>
  </r>
  <r>
    <x v="23"/>
    <s v="Endenergieverbrauch - Industriesektor - Textil und Leder - energetischer Verbrauch"/>
    <s v="Elektrizität"/>
    <s v="Gigawattstunde"/>
    <x v="15"/>
    <x v="12"/>
    <n v="103.57299999999999"/>
  </r>
  <r>
    <x v="23"/>
    <s v="Endenergieverbrauch - Industriesektor - Textil und Leder - energetischer Verbrauch"/>
    <s v="Elektrizität"/>
    <s v="Gigawattstunde"/>
    <x v="16"/>
    <x v="12"/>
    <n v="96.914000000000001"/>
  </r>
  <r>
    <x v="24"/>
    <s v="Endenergieverbrauch - Industriesektor - Textil und Leder - energetischer Verbrauch"/>
    <s v="Elektrizität"/>
    <s v="Gigawattstunde"/>
    <x v="0"/>
    <x v="12"/>
    <n v="189"/>
  </r>
  <r>
    <x v="24"/>
    <s v="Endenergieverbrauch - Industriesektor - Textil und Leder - energetischer Verbrauch"/>
    <s v="Elektrizität"/>
    <s v="Gigawattstunde"/>
    <x v="1"/>
    <x v="12"/>
    <n v="175"/>
  </r>
  <r>
    <x v="24"/>
    <s v="Endenergieverbrauch - Industriesektor - Textil und Leder - energetischer Verbrauch"/>
    <s v="Elektrizität"/>
    <s v="Gigawattstunde"/>
    <x v="2"/>
    <x v="12"/>
    <n v="197"/>
  </r>
  <r>
    <x v="24"/>
    <s v="Endenergieverbrauch - Industriesektor - Textil und Leder - energetischer Verbrauch"/>
    <s v="Elektrizität"/>
    <s v="Gigawattstunde"/>
    <x v="3"/>
    <x v="12"/>
    <n v="227"/>
  </r>
  <r>
    <x v="24"/>
    <s v="Endenergieverbrauch - Industriesektor - Textil und Leder - energetischer Verbrauch"/>
    <s v="Elektrizität"/>
    <s v="Gigawattstunde"/>
    <x v="4"/>
    <x v="12"/>
    <n v="185"/>
  </r>
  <r>
    <x v="24"/>
    <s v="Endenergieverbrauch - Industriesektor - Textil und Leder - energetischer Verbrauch"/>
    <s v="Elektrizität"/>
    <s v="Gigawattstunde"/>
    <x v="5"/>
    <x v="12"/>
    <n v="181"/>
  </r>
  <r>
    <x v="24"/>
    <s v="Endenergieverbrauch - Industriesektor - Textil und Leder - energetischer Verbrauch"/>
    <s v="Elektrizität"/>
    <s v="Gigawattstunde"/>
    <x v="6"/>
    <x v="12"/>
    <n v="154"/>
  </r>
  <r>
    <x v="24"/>
    <s v="Endenergieverbrauch - Industriesektor - Textil und Leder - energetischer Verbrauch"/>
    <s v="Elektrizität"/>
    <s v="Gigawattstunde"/>
    <x v="7"/>
    <x v="12"/>
    <n v="143"/>
  </r>
  <r>
    <x v="24"/>
    <s v="Endenergieverbrauch - Industriesektor - Textil und Leder - energetischer Verbrauch"/>
    <s v="Elektrizität"/>
    <s v="Gigawattstunde"/>
    <x v="8"/>
    <x v="12"/>
    <n v="134"/>
  </r>
  <r>
    <x v="24"/>
    <s v="Endenergieverbrauch - Industriesektor - Textil und Leder - energetischer Verbrauch"/>
    <s v="Elektrizität"/>
    <s v="Gigawattstunde"/>
    <x v="9"/>
    <x v="12"/>
    <n v="150"/>
  </r>
  <r>
    <x v="24"/>
    <s v="Endenergieverbrauch - Industriesektor - Textil und Leder - energetischer Verbrauch"/>
    <s v="Elektrizität"/>
    <s v="Gigawattstunde"/>
    <x v="10"/>
    <x v="12"/>
    <n v="125"/>
  </r>
  <r>
    <x v="24"/>
    <s v="Endenergieverbrauch - Industriesektor - Textil und Leder - energetischer Verbrauch"/>
    <s v="Elektrizität"/>
    <s v="Gigawattstunde"/>
    <x v="11"/>
    <x v="12"/>
    <n v="126"/>
  </r>
  <r>
    <x v="24"/>
    <s v="Endenergieverbrauch - Industriesektor - Textil und Leder - energetischer Verbrauch"/>
    <s v="Elektrizität"/>
    <s v="Gigawattstunde"/>
    <x v="12"/>
    <x v="12"/>
    <n v="137"/>
  </r>
  <r>
    <x v="24"/>
    <s v="Endenergieverbrauch - Industriesektor - Textil und Leder - energetischer Verbrauch"/>
    <s v="Elektrizität"/>
    <s v="Gigawattstunde"/>
    <x v="13"/>
    <x v="12"/>
    <n v="130"/>
  </r>
  <r>
    <x v="24"/>
    <s v="Endenergieverbrauch - Industriesektor - Textil und Leder - energetischer Verbrauch"/>
    <s v="Elektrizität"/>
    <s v="Gigawattstunde"/>
    <x v="14"/>
    <x v="12"/>
    <n v="125"/>
  </r>
  <r>
    <x v="24"/>
    <s v="Endenergieverbrauch - Industriesektor - Textil und Leder - energetischer Verbrauch"/>
    <s v="Elektrizität"/>
    <s v="Gigawattstunde"/>
    <x v="15"/>
    <x v="12"/>
    <n v="128"/>
  </r>
  <r>
    <x v="24"/>
    <s v="Endenergieverbrauch - Industriesektor - Textil und Leder - energetischer Verbrauch"/>
    <s v="Elektrizität"/>
    <s v="Gigawattstunde"/>
    <x v="16"/>
    <x v="12"/>
    <n v="130"/>
  </r>
  <r>
    <x v="25"/>
    <s v="Endenergieverbrauch - Industriesektor - Textil und Leder - energetischer Verbrauch"/>
    <s v="Elektrizität"/>
    <s v="Gigawattstunde"/>
    <x v="0"/>
    <x v="12"/>
    <n v="249"/>
  </r>
  <r>
    <x v="25"/>
    <s v="Endenergieverbrauch - Industriesektor - Textil und Leder - energetischer Verbrauch"/>
    <s v="Elektrizität"/>
    <s v="Gigawattstunde"/>
    <x v="1"/>
    <x v="12"/>
    <n v="229"/>
  </r>
  <r>
    <x v="25"/>
    <s v="Endenergieverbrauch - Industriesektor - Textil und Leder - energetischer Verbrauch"/>
    <s v="Elektrizität"/>
    <s v="Gigawattstunde"/>
    <x v="2"/>
    <x v="12"/>
    <n v="223"/>
  </r>
  <r>
    <x v="25"/>
    <s v="Endenergieverbrauch - Industriesektor - Textil und Leder - energetischer Verbrauch"/>
    <s v="Elektrizität"/>
    <s v="Gigawattstunde"/>
    <x v="3"/>
    <x v="12"/>
    <n v="209"/>
  </r>
  <r>
    <x v="25"/>
    <s v="Endenergieverbrauch - Industriesektor - Textil und Leder - energetischer Verbrauch"/>
    <s v="Elektrizität"/>
    <s v="Gigawattstunde"/>
    <x v="4"/>
    <x v="12"/>
    <n v="203"/>
  </r>
  <r>
    <x v="25"/>
    <s v="Endenergieverbrauch - Industriesektor - Textil und Leder - energetischer Verbrauch"/>
    <s v="Elektrizität"/>
    <s v="Gigawattstunde"/>
    <x v="5"/>
    <x v="12"/>
    <n v="182"/>
  </r>
  <r>
    <x v="25"/>
    <s v="Endenergieverbrauch - Industriesektor - Textil und Leder - energetischer Verbrauch"/>
    <s v="Elektrizität"/>
    <s v="Gigawattstunde"/>
    <x v="6"/>
    <x v="12"/>
    <n v="163"/>
  </r>
  <r>
    <x v="25"/>
    <s v="Endenergieverbrauch - Industriesektor - Textil und Leder - energetischer Verbrauch"/>
    <s v="Elektrizität"/>
    <s v="Gigawattstunde"/>
    <x v="7"/>
    <x v="12"/>
    <n v="178"/>
  </r>
  <r>
    <x v="25"/>
    <s v="Endenergieverbrauch - Industriesektor - Textil und Leder - energetischer Verbrauch"/>
    <s v="Elektrizität"/>
    <s v="Gigawattstunde"/>
    <x v="8"/>
    <x v="12"/>
    <n v="134"/>
  </r>
  <r>
    <x v="25"/>
    <s v="Endenergieverbrauch - Industriesektor - Textil und Leder - energetischer Verbrauch"/>
    <s v="Elektrizität"/>
    <s v="Gigawattstunde"/>
    <x v="9"/>
    <x v="12"/>
    <n v="137"/>
  </r>
  <r>
    <x v="25"/>
    <s v="Endenergieverbrauch - Industriesektor - Textil und Leder - energetischer Verbrauch"/>
    <s v="Elektrizität"/>
    <s v="Gigawattstunde"/>
    <x v="10"/>
    <x v="12"/>
    <n v="207"/>
  </r>
  <r>
    <x v="25"/>
    <s v="Endenergieverbrauch - Industriesektor - Textil und Leder - energetischer Verbrauch"/>
    <s v="Elektrizität"/>
    <s v="Gigawattstunde"/>
    <x v="11"/>
    <x v="12"/>
    <n v="162"/>
  </r>
  <r>
    <x v="25"/>
    <s v="Endenergieverbrauch - Industriesektor - Textil und Leder - energetischer Verbrauch"/>
    <s v="Elektrizität"/>
    <s v="Gigawattstunde"/>
    <x v="12"/>
    <x v="12"/>
    <n v="119"/>
  </r>
  <r>
    <x v="25"/>
    <s v="Endenergieverbrauch - Industriesektor - Textil und Leder - energetischer Verbrauch"/>
    <s v="Elektrizität"/>
    <s v="Gigawattstunde"/>
    <x v="13"/>
    <x v="12"/>
    <n v="123"/>
  </r>
  <r>
    <x v="25"/>
    <s v="Endenergieverbrauch - Industriesektor - Textil und Leder - energetischer Verbrauch"/>
    <s v="Elektrizität"/>
    <s v="Gigawattstunde"/>
    <x v="14"/>
    <x v="12"/>
    <n v="124"/>
  </r>
  <r>
    <x v="25"/>
    <s v="Endenergieverbrauch - Industriesektor - Textil und Leder - energetischer Verbrauch"/>
    <s v="Elektrizität"/>
    <s v="Gigawattstunde"/>
    <x v="15"/>
    <x v="12"/>
    <n v="109"/>
  </r>
  <r>
    <x v="25"/>
    <s v="Endenergieverbrauch - Industriesektor - Textil und Leder - energetischer Verbrauch"/>
    <s v="Elektrizität"/>
    <s v="Gigawattstunde"/>
    <x v="16"/>
    <x v="12"/>
    <n v="114"/>
  </r>
  <r>
    <x v="26"/>
    <s v="Endenergieverbrauch - Industriesektor - Textil und Leder - energetischer Verbrauch"/>
    <s v="Elektrizität"/>
    <s v="Gigawattstunde"/>
    <x v="0"/>
    <x v="12"/>
    <n v="368"/>
  </r>
  <r>
    <x v="26"/>
    <s v="Endenergieverbrauch - Industriesektor - Textil und Leder - energetischer Verbrauch"/>
    <s v="Elektrizität"/>
    <s v="Gigawattstunde"/>
    <x v="1"/>
    <x v="12"/>
    <n v="323"/>
  </r>
  <r>
    <x v="26"/>
    <s v="Endenergieverbrauch - Industriesektor - Textil und Leder - energetischer Verbrauch"/>
    <s v="Elektrizität"/>
    <s v="Gigawattstunde"/>
    <x v="2"/>
    <x v="12"/>
    <n v="329"/>
  </r>
  <r>
    <x v="26"/>
    <s v="Endenergieverbrauch - Industriesektor - Textil und Leder - energetischer Verbrauch"/>
    <s v="Elektrizität"/>
    <s v="Gigawattstunde"/>
    <x v="3"/>
    <x v="12"/>
    <n v="255"/>
  </r>
  <r>
    <x v="26"/>
    <s v="Endenergieverbrauch - Industriesektor - Textil und Leder - energetischer Verbrauch"/>
    <s v="Elektrizität"/>
    <s v="Gigawattstunde"/>
    <x v="4"/>
    <x v="12"/>
    <n v="242"/>
  </r>
  <r>
    <x v="26"/>
    <s v="Endenergieverbrauch - Industriesektor - Textil und Leder - energetischer Verbrauch"/>
    <s v="Elektrizität"/>
    <s v="Gigawattstunde"/>
    <x v="5"/>
    <x v="12"/>
    <n v="208"/>
  </r>
  <r>
    <x v="26"/>
    <s v="Endenergieverbrauch - Industriesektor - Textil und Leder - energetischer Verbrauch"/>
    <s v="Elektrizität"/>
    <s v="Gigawattstunde"/>
    <x v="6"/>
    <x v="12"/>
    <n v="270"/>
  </r>
  <r>
    <x v="26"/>
    <s v="Endenergieverbrauch - Industriesektor - Textil und Leder - energetischer Verbrauch"/>
    <s v="Elektrizität"/>
    <s v="Gigawattstunde"/>
    <x v="7"/>
    <x v="12"/>
    <n v="172"/>
  </r>
  <r>
    <x v="26"/>
    <s v="Endenergieverbrauch - Industriesektor - Textil und Leder - energetischer Verbrauch"/>
    <s v="Elektrizität"/>
    <s v="Gigawattstunde"/>
    <x v="8"/>
    <x v="12"/>
    <n v="189"/>
  </r>
  <r>
    <x v="26"/>
    <s v="Endenergieverbrauch - Industriesektor - Textil und Leder - energetischer Verbrauch"/>
    <s v="Elektrizität"/>
    <s v="Gigawattstunde"/>
    <x v="9"/>
    <x v="12"/>
    <n v="155"/>
  </r>
  <r>
    <x v="26"/>
    <s v="Endenergieverbrauch - Industriesektor - Textil und Leder - energetischer Verbrauch"/>
    <s v="Elektrizität"/>
    <s v="Gigawattstunde"/>
    <x v="10"/>
    <x v="12"/>
    <n v="145"/>
  </r>
  <r>
    <x v="26"/>
    <s v="Endenergieverbrauch - Industriesektor - Textil und Leder - energetischer Verbrauch"/>
    <s v="Elektrizität"/>
    <s v="Gigawattstunde"/>
    <x v="11"/>
    <x v="12"/>
    <n v="140"/>
  </r>
  <r>
    <x v="26"/>
    <s v="Endenergieverbrauch - Industriesektor - Textil und Leder - energetischer Verbrauch"/>
    <s v="Elektrizität"/>
    <s v="Gigawattstunde"/>
    <x v="12"/>
    <x v="12"/>
    <n v="190"/>
  </r>
  <r>
    <x v="26"/>
    <s v="Endenergieverbrauch - Industriesektor - Textil und Leder - energetischer Verbrauch"/>
    <s v="Elektrizität"/>
    <s v="Gigawattstunde"/>
    <x v="13"/>
    <x v="12"/>
    <n v="198"/>
  </r>
  <r>
    <x v="26"/>
    <s v="Endenergieverbrauch - Industriesektor - Textil und Leder - energetischer Verbrauch"/>
    <s v="Elektrizität"/>
    <s v="Gigawattstunde"/>
    <x v="14"/>
    <x v="12"/>
    <n v="204"/>
  </r>
  <r>
    <x v="26"/>
    <s v="Endenergieverbrauch - Industriesektor - Textil und Leder - energetischer Verbrauch"/>
    <s v="Elektrizität"/>
    <s v="Gigawattstunde"/>
    <x v="15"/>
    <x v="12"/>
    <n v="203"/>
  </r>
  <r>
    <x v="26"/>
    <s v="Endenergieverbrauch - Industriesektor - Textil und Leder - energetischer Verbrauch"/>
    <s v="Elektrizität"/>
    <s v="Gigawattstunde"/>
    <x v="16"/>
    <x v="12"/>
    <n v="200"/>
  </r>
  <r>
    <x v="27"/>
    <s v="Endenergieverbrauch - Industriesektor - Textil und Leder - energetischer Verbrauch"/>
    <s v="Elektrizität"/>
    <s v="Gigawattstunde"/>
    <x v="0"/>
    <x v="12"/>
    <n v="3463"/>
  </r>
  <r>
    <x v="27"/>
    <s v="Endenergieverbrauch - Industriesektor - Textil und Leder - energetischer Verbrauch"/>
    <s v="Elektrizität"/>
    <s v="Gigawattstunde"/>
    <x v="1"/>
    <x v="12"/>
    <n v="3403"/>
  </r>
  <r>
    <x v="27"/>
    <s v="Endenergieverbrauch - Industriesektor - Textil und Leder - energetischer Verbrauch"/>
    <s v="Elektrizität"/>
    <s v="Gigawattstunde"/>
    <x v="2"/>
    <x v="12"/>
    <n v="3333"/>
  </r>
  <r>
    <x v="27"/>
    <s v="Endenergieverbrauch - Industriesektor - Textil und Leder - energetischer Verbrauch"/>
    <s v="Elektrizität"/>
    <s v="Gigawattstunde"/>
    <x v="3"/>
    <x v="12"/>
    <n v="3393"/>
  </r>
  <r>
    <x v="27"/>
    <s v="Endenergieverbrauch - Industriesektor - Textil und Leder - energetischer Verbrauch"/>
    <s v="Elektrizität"/>
    <s v="Gigawattstunde"/>
    <x v="4"/>
    <x v="12"/>
    <n v="3360"/>
  </r>
  <r>
    <x v="27"/>
    <s v="Endenergieverbrauch - Industriesektor - Textil und Leder - energetischer Verbrauch"/>
    <s v="Elektrizität"/>
    <s v="Gigawattstunde"/>
    <x v="5"/>
    <x v="12"/>
    <n v="3349"/>
  </r>
  <r>
    <x v="27"/>
    <s v="Endenergieverbrauch - Industriesektor - Textil und Leder - energetischer Verbrauch"/>
    <s v="Elektrizität"/>
    <s v="Gigawattstunde"/>
    <x v="6"/>
    <x v="12"/>
    <n v="3395"/>
  </r>
  <r>
    <x v="27"/>
    <s v="Endenergieverbrauch - Industriesektor - Textil und Leder - energetischer Verbrauch"/>
    <s v="Elektrizität"/>
    <s v="Gigawattstunde"/>
    <x v="7"/>
    <x v="12"/>
    <n v="3013"/>
  </r>
  <r>
    <x v="27"/>
    <s v="Endenergieverbrauch - Industriesektor - Textil und Leder - energetischer Verbrauch"/>
    <s v="Elektrizität"/>
    <s v="Gigawattstunde"/>
    <x v="8"/>
    <x v="12"/>
    <n v="3050"/>
  </r>
  <r>
    <x v="27"/>
    <s v="Endenergieverbrauch - Industriesektor - Textil und Leder - energetischer Verbrauch"/>
    <s v="Elektrizität"/>
    <s v="Gigawattstunde"/>
    <x v="9"/>
    <x v="12"/>
    <n v="2992"/>
  </r>
  <r>
    <x v="27"/>
    <s v="Endenergieverbrauch - Industriesektor - Textil und Leder - energetischer Verbrauch"/>
    <s v="Elektrizität"/>
    <s v="Gigawattstunde"/>
    <x v="10"/>
    <x v="12"/>
    <n v="2910"/>
  </r>
  <r>
    <x v="27"/>
    <s v="Endenergieverbrauch - Industriesektor - Textil und Leder - energetischer Verbrauch"/>
    <s v="Elektrizität"/>
    <s v="Gigawattstunde"/>
    <x v="11"/>
    <x v="12"/>
    <n v="2894"/>
  </r>
  <r>
    <x v="27"/>
    <s v="Endenergieverbrauch - Industriesektor - Textil und Leder - energetischer Verbrauch"/>
    <s v="Elektrizität"/>
    <s v="Gigawattstunde"/>
    <x v="12"/>
    <x v="12"/>
    <n v="2721"/>
  </r>
  <r>
    <x v="27"/>
    <s v="Endenergieverbrauch - Industriesektor - Textil und Leder - energetischer Verbrauch"/>
    <s v="Elektrizität"/>
    <s v="Gigawattstunde"/>
    <x v="13"/>
    <x v="12"/>
    <n v="2692.2719999999999"/>
  </r>
  <r>
    <x v="27"/>
    <s v="Endenergieverbrauch - Industriesektor - Textil und Leder - energetischer Verbrauch"/>
    <s v="Elektrizität"/>
    <s v="Gigawattstunde"/>
    <x v="14"/>
    <x v="12"/>
    <n v="2693.7579999999998"/>
  </r>
  <r>
    <x v="27"/>
    <s v="Endenergieverbrauch - Industriesektor - Textil und Leder - energetischer Verbrauch"/>
    <s v="Elektrizität"/>
    <s v="Gigawattstunde"/>
    <x v="15"/>
    <x v="12"/>
    <n v="2718.35"/>
  </r>
  <r>
    <x v="27"/>
    <s v="Endenergieverbrauch - Industriesektor - Textil und Leder - energetischer Verbrauch"/>
    <s v="Elektrizität"/>
    <s v="Gigawattstunde"/>
    <x v="16"/>
    <x v="12"/>
    <n v="2721.4169999999999"/>
  </r>
  <r>
    <x v="28"/>
    <s v="Endenergieverbrauch - Industriesektor - Textil und Leder - energetischer Verbrauch"/>
    <s v="Elektrizität"/>
    <s v="Gigawattstunde"/>
    <x v="0"/>
    <x v="12"/>
    <n v="18"/>
  </r>
  <r>
    <x v="28"/>
    <s v="Endenergieverbrauch - Industriesektor - Textil und Leder - energetischer Verbrauch"/>
    <s v="Elektrizität"/>
    <s v="Gigawattstunde"/>
    <x v="1"/>
    <x v="12"/>
    <n v="16"/>
  </r>
  <r>
    <x v="28"/>
    <s v="Endenergieverbrauch - Industriesektor - Textil und Leder - energetischer Verbrauch"/>
    <s v="Elektrizität"/>
    <s v="Gigawattstunde"/>
    <x v="2"/>
    <x v="12"/>
    <n v="16"/>
  </r>
  <r>
    <x v="28"/>
    <s v="Endenergieverbrauch - Industriesektor - Textil und Leder - energetischer Verbrauch"/>
    <s v="Elektrizität"/>
    <s v="Gigawattstunde"/>
    <x v="3"/>
    <x v="12"/>
    <n v="13"/>
  </r>
  <r>
    <x v="28"/>
    <s v="Endenergieverbrauch - Industriesektor - Textil und Leder - energetischer Verbrauch"/>
    <s v="Elektrizität"/>
    <s v="Gigawattstunde"/>
    <x v="4"/>
    <x v="12"/>
    <n v="4"/>
  </r>
  <r>
    <x v="28"/>
    <s v="Endenergieverbrauch - Industriesektor - Textil und Leder - energetischer Verbrauch"/>
    <s v="Elektrizität"/>
    <s v="Gigawattstunde"/>
    <x v="5"/>
    <x v="12"/>
    <n v="3"/>
  </r>
  <r>
    <x v="28"/>
    <s v="Endenergieverbrauch - Industriesektor - Textil und Leder - energetischer Verbrauch"/>
    <s v="Elektrizität"/>
    <s v="Gigawattstunde"/>
    <x v="6"/>
    <x v="12"/>
    <n v="3"/>
  </r>
  <r>
    <x v="28"/>
    <s v="Endenergieverbrauch - Industriesektor - Textil und Leder - energetischer Verbrauch"/>
    <s v="Elektrizität"/>
    <s v="Gigawattstunde"/>
    <x v="7"/>
    <x v="12"/>
    <n v="3"/>
  </r>
  <r>
    <x v="28"/>
    <s v="Endenergieverbrauch - Industriesektor - Textil und Leder - energetischer Verbrauch"/>
    <s v="Elektrizität"/>
    <s v="Gigawattstunde"/>
    <x v="8"/>
    <x v="12"/>
    <n v="3"/>
  </r>
  <r>
    <x v="28"/>
    <s v="Endenergieverbrauch - Industriesektor - Textil und Leder - energetischer Verbrauch"/>
    <s v="Elektrizität"/>
    <s v="Gigawattstunde"/>
    <x v="9"/>
    <x v="12"/>
    <n v="3"/>
  </r>
  <r>
    <x v="28"/>
    <s v="Endenergieverbrauch - Industriesektor - Textil und Leder - energetischer Verbrauch"/>
    <s v="Elektrizität"/>
    <s v="Gigawattstunde"/>
    <x v="10"/>
    <x v="12"/>
    <n v="3"/>
  </r>
  <r>
    <x v="28"/>
    <s v="Endenergieverbrauch - Industriesektor - Textil und Leder - energetischer Verbrauch"/>
    <s v="Elektrizität"/>
    <s v="Gigawattstunde"/>
    <x v="11"/>
    <x v="12"/>
    <n v="3"/>
  </r>
  <r>
    <x v="28"/>
    <s v="Endenergieverbrauch - Industriesektor - Textil und Leder - energetischer Verbrauch"/>
    <s v="Elektrizität"/>
    <s v="Gigawattstunde"/>
    <x v="12"/>
    <x v="12"/>
    <n v="2"/>
  </r>
  <r>
    <x v="28"/>
    <s v="Endenergieverbrauch - Industriesektor - Textil und Leder - energetischer Verbrauch"/>
    <s v="Elektrizität"/>
    <s v="Gigawattstunde"/>
    <x v="13"/>
    <x v="12"/>
    <n v="2"/>
  </r>
  <r>
    <x v="28"/>
    <s v="Endenergieverbrauch - Industriesektor - Textil und Leder - energetischer Verbrauch"/>
    <s v="Elektrizität"/>
    <s v="Gigawattstunde"/>
    <x v="14"/>
    <x v="12"/>
    <n v="3"/>
  </r>
  <r>
    <x v="28"/>
    <s v="Endenergieverbrauch - Industriesektor - Textil und Leder - energetischer Verbrauch"/>
    <s v="Elektrizität"/>
    <s v="Gigawattstunde"/>
    <x v="15"/>
    <x v="12"/>
    <n v="2.6320000000000001"/>
  </r>
  <r>
    <x v="28"/>
    <s v="Endenergieverbrauch - Industriesektor - Textil und Leder - energetischer Verbrauch"/>
    <s v="Elektrizität"/>
    <s v="Gigawattstunde"/>
    <x v="16"/>
    <x v="12"/>
    <n v="3.246"/>
  </r>
  <r>
    <x v="29"/>
    <s v="Endenergieverbrauch - Industriesektor - Textil und Leder - energetischer Verbrauch"/>
    <s v="Elektrizität"/>
    <s v="Gigawattstunde"/>
    <x v="0"/>
    <x v="12"/>
    <n v="190"/>
  </r>
  <r>
    <x v="29"/>
    <s v="Endenergieverbrauch - Industriesektor - Textil und Leder - energetischer Verbrauch"/>
    <s v="Elektrizität"/>
    <s v="Gigawattstunde"/>
    <x v="1"/>
    <x v="12"/>
    <n v="189"/>
  </r>
  <r>
    <x v="29"/>
    <s v="Endenergieverbrauch - Industriesektor - Textil und Leder - energetischer Verbrauch"/>
    <s v="Elektrizität"/>
    <s v="Gigawattstunde"/>
    <x v="2"/>
    <x v="12"/>
    <n v="172"/>
  </r>
  <r>
    <x v="29"/>
    <s v="Endenergieverbrauch - Industriesektor - Textil und Leder - energetischer Verbrauch"/>
    <s v="Elektrizität"/>
    <s v="Gigawattstunde"/>
    <x v="3"/>
    <x v="12"/>
    <n v="172"/>
  </r>
  <r>
    <x v="29"/>
    <s v="Endenergieverbrauch - Industriesektor - Textil und Leder - energetischer Verbrauch"/>
    <s v="Elektrizität"/>
    <s v="Gigawattstunde"/>
    <x v="4"/>
    <x v="12"/>
    <n v="172"/>
  </r>
  <r>
    <x v="29"/>
    <s v="Endenergieverbrauch - Industriesektor - Textil und Leder - energetischer Verbrauch"/>
    <s v="Elektrizität"/>
    <s v="Gigawattstunde"/>
    <x v="5"/>
    <x v="12"/>
    <n v="158"/>
  </r>
  <r>
    <x v="29"/>
    <s v="Endenergieverbrauch - Industriesektor - Textil und Leder - energetischer Verbrauch"/>
    <s v="Elektrizität"/>
    <s v="Gigawattstunde"/>
    <x v="6"/>
    <x v="12"/>
    <n v="139"/>
  </r>
  <r>
    <x v="29"/>
    <s v="Endenergieverbrauch - Industriesektor - Textil und Leder - energetischer Verbrauch"/>
    <s v="Elektrizität"/>
    <s v="Gigawattstunde"/>
    <x v="7"/>
    <x v="12"/>
    <n v="89"/>
  </r>
  <r>
    <x v="29"/>
    <s v="Endenergieverbrauch - Industriesektor - Textil und Leder - energetischer Verbrauch"/>
    <s v="Elektrizität"/>
    <s v="Gigawattstunde"/>
    <x v="8"/>
    <x v="12"/>
    <n v="82"/>
  </r>
  <r>
    <x v="29"/>
    <s v="Endenergieverbrauch - Industriesektor - Textil und Leder - energetischer Verbrauch"/>
    <s v="Elektrizität"/>
    <s v="Gigawattstunde"/>
    <x v="9"/>
    <x v="12"/>
    <n v="88"/>
  </r>
  <r>
    <x v="29"/>
    <s v="Endenergieverbrauch - Industriesektor - Textil und Leder - energetischer Verbrauch"/>
    <s v="Elektrizität"/>
    <s v="Gigawattstunde"/>
    <x v="10"/>
    <x v="12"/>
    <n v="90"/>
  </r>
  <r>
    <x v="29"/>
    <s v="Endenergieverbrauch - Industriesektor - Textil und Leder - energetischer Verbrauch"/>
    <s v="Elektrizität"/>
    <s v="Gigawattstunde"/>
    <x v="11"/>
    <x v="12"/>
    <n v="82"/>
  </r>
  <r>
    <x v="29"/>
    <s v="Endenergieverbrauch - Industriesektor - Textil und Leder - energetischer Verbrauch"/>
    <s v="Elektrizität"/>
    <s v="Gigawattstunde"/>
    <x v="12"/>
    <x v="12"/>
    <n v="78"/>
  </r>
  <r>
    <x v="29"/>
    <s v="Endenergieverbrauch - Industriesektor - Textil und Leder - energetischer Verbrauch"/>
    <s v="Elektrizität"/>
    <s v="Gigawattstunde"/>
    <x v="13"/>
    <x v="12"/>
    <n v="89"/>
  </r>
  <r>
    <x v="29"/>
    <s v="Endenergieverbrauch - Industriesektor - Textil und Leder - energetischer Verbrauch"/>
    <s v="Elektrizität"/>
    <s v="Gigawattstunde"/>
    <x v="14"/>
    <x v="12"/>
    <n v="73"/>
  </r>
  <r>
    <x v="29"/>
    <s v="Endenergieverbrauch - Industriesektor - Textil und Leder - energetischer Verbrauch"/>
    <s v="Elektrizität"/>
    <s v="Gigawattstunde"/>
    <x v="15"/>
    <x v="12"/>
    <n v="69"/>
  </r>
  <r>
    <x v="29"/>
    <s v="Endenergieverbrauch - Industriesektor - Textil und Leder - energetischer Verbrauch"/>
    <s v="Elektrizität"/>
    <s v="Gigawattstunde"/>
    <x v="16"/>
    <x v="12"/>
    <n v="73.125"/>
  </r>
  <r>
    <x v="30"/>
    <s v="Endenergieverbrauch - Industriesektor - Textil und Leder - energetischer Verbrauch"/>
    <s v="Elektrizität"/>
    <s v="Gigawattstunde"/>
    <x v="0"/>
    <x v="12"/>
    <n v="0"/>
  </r>
  <r>
    <x v="30"/>
    <s v="Endenergieverbrauch - Industriesektor - Textil und Leder - energetischer Verbrauch"/>
    <s v="Elektrizität"/>
    <s v="Gigawattstunde"/>
    <x v="1"/>
    <x v="12"/>
    <n v="0"/>
  </r>
  <r>
    <x v="30"/>
    <s v="Endenergieverbrauch - Industriesektor - Textil und Leder - energetischer Verbrauch"/>
    <s v="Elektrizität"/>
    <s v="Gigawattstunde"/>
    <x v="2"/>
    <x v="12"/>
    <n v="181"/>
  </r>
  <r>
    <x v="30"/>
    <s v="Endenergieverbrauch - Industriesektor - Textil und Leder - energetischer Verbrauch"/>
    <s v="Elektrizität"/>
    <s v="Gigawattstunde"/>
    <x v="3"/>
    <x v="12"/>
    <n v="153"/>
  </r>
  <r>
    <x v="30"/>
    <s v="Endenergieverbrauch - Industriesektor - Textil und Leder - energetischer Verbrauch"/>
    <s v="Elektrizität"/>
    <s v="Gigawattstunde"/>
    <x v="4"/>
    <x v="12"/>
    <n v="135"/>
  </r>
  <r>
    <x v="30"/>
    <s v="Endenergieverbrauch - Industriesektor - Textil und Leder - energetischer Verbrauch"/>
    <s v="Elektrizität"/>
    <s v="Gigawattstunde"/>
    <x v="5"/>
    <x v="12"/>
    <n v="238"/>
  </r>
  <r>
    <x v="30"/>
    <s v="Endenergieverbrauch - Industriesektor - Textil und Leder - energetischer Verbrauch"/>
    <s v="Elektrizität"/>
    <s v="Gigawattstunde"/>
    <x v="6"/>
    <x v="12"/>
    <n v="195"/>
  </r>
  <r>
    <x v="30"/>
    <s v="Endenergieverbrauch - Industriesektor - Textil und Leder - energetischer Verbrauch"/>
    <s v="Elektrizität"/>
    <s v="Gigawattstunde"/>
    <x v="7"/>
    <x v="12"/>
    <n v="103"/>
  </r>
  <r>
    <x v="30"/>
    <s v="Endenergieverbrauch - Industriesektor - Textil und Leder - energetischer Verbrauch"/>
    <s v="Elektrizität"/>
    <s v="Gigawattstunde"/>
    <x v="8"/>
    <x v="12"/>
    <n v="117"/>
  </r>
  <r>
    <x v="30"/>
    <s v="Endenergieverbrauch - Industriesektor - Textil und Leder - energetischer Verbrauch"/>
    <s v="Elektrizität"/>
    <s v="Gigawattstunde"/>
    <x v="9"/>
    <x v="12"/>
    <n v="129"/>
  </r>
  <r>
    <x v="30"/>
    <s v="Endenergieverbrauch - Industriesektor - Textil und Leder - energetischer Verbrauch"/>
    <s v="Elektrizität"/>
    <s v="Gigawattstunde"/>
    <x v="10"/>
    <x v="12"/>
    <n v="140"/>
  </r>
  <r>
    <x v="30"/>
    <s v="Endenergieverbrauch - Industriesektor - Textil und Leder - energetischer Verbrauch"/>
    <s v="Elektrizität"/>
    <s v="Gigawattstunde"/>
    <x v="11"/>
    <x v="12"/>
    <n v="156"/>
  </r>
  <r>
    <x v="30"/>
    <s v="Endenergieverbrauch - Industriesektor - Textil und Leder - energetischer Verbrauch"/>
    <s v="Elektrizität"/>
    <s v="Gigawattstunde"/>
    <x v="12"/>
    <x v="12"/>
    <n v="296"/>
  </r>
  <r>
    <x v="30"/>
    <s v="Endenergieverbrauch - Industriesektor - Textil und Leder - energetischer Verbrauch"/>
    <s v="Elektrizität"/>
    <s v="Gigawattstunde"/>
    <x v="13"/>
    <x v="12"/>
    <n v="272"/>
  </r>
  <r>
    <x v="30"/>
    <s v="Endenergieverbrauch - Industriesektor - Textil und Leder - energetischer Verbrauch"/>
    <s v="Elektrizität"/>
    <s v="Gigawattstunde"/>
    <x v="14"/>
    <x v="12"/>
    <n v="358"/>
  </r>
  <r>
    <x v="30"/>
    <s v="Endenergieverbrauch - Industriesektor - Textil und Leder - energetischer Verbrauch"/>
    <s v="Elektrizität"/>
    <s v="Gigawattstunde"/>
    <x v="15"/>
    <x v="12"/>
    <n v="375.69600000000003"/>
  </r>
  <r>
    <x v="30"/>
    <s v="Endenergieverbrauch - Industriesektor - Textil und Leder - energetischer Verbrauch"/>
    <s v="Elektrizität"/>
    <s v="Gigawattstunde"/>
    <x v="16"/>
    <x v="12"/>
    <n v="343.40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54">
  <r>
    <x v="0"/>
    <s v="Endenergieverbrauch - Sonstige Sektoren - Handel und öffentliche Dienstleistungen - energetischer Verbrauch"/>
    <s v="Elektrizität"/>
    <s v="Gigawattstunde"/>
    <x v="0"/>
    <x v="0"/>
    <n v="11858"/>
  </r>
  <r>
    <x v="0"/>
    <s v="Endenergieverbrauch - Sonstige Sektoren - Handel und öffentliche Dienstleistungen - energetischer Verbrauch"/>
    <s v="Elektrizität"/>
    <s v="Gigawattstunde"/>
    <x v="1"/>
    <x v="0"/>
    <n v="11906"/>
  </r>
  <r>
    <x v="0"/>
    <s v="Endenergieverbrauch - Sonstige Sektoren - Handel und öffentliche Dienstleistungen - energetischer Verbrauch"/>
    <s v="Elektrizität"/>
    <s v="Gigawattstunde"/>
    <x v="2"/>
    <x v="0"/>
    <n v="11928"/>
  </r>
  <r>
    <x v="0"/>
    <s v="Endenergieverbrauch - Sonstige Sektoren - Handel und öffentliche Dienstleistungen - energetischer Verbrauch"/>
    <s v="Elektrizität"/>
    <s v="Gigawattstunde"/>
    <x v="3"/>
    <x v="0"/>
    <n v="12703"/>
  </r>
  <r>
    <x v="0"/>
    <s v="Endenergieverbrauch - Sonstige Sektoren - Handel und öffentliche Dienstleistungen - energetischer Verbrauch"/>
    <s v="Elektrizität"/>
    <s v="Gigawattstunde"/>
    <x v="4"/>
    <x v="0"/>
    <n v="17148"/>
  </r>
  <r>
    <x v="0"/>
    <s v="Endenergieverbrauch - Sonstige Sektoren - Handel und öffentliche Dienstleistungen - energetischer Verbrauch"/>
    <s v="Elektrizität"/>
    <s v="Gigawattstunde"/>
    <x v="5"/>
    <x v="0"/>
    <n v="18147"/>
  </r>
  <r>
    <x v="0"/>
    <s v="Endenergieverbrauch - Sonstige Sektoren - Handel und öffentliche Dienstleistungen - energetischer Verbrauch"/>
    <s v="Elektrizität"/>
    <s v="Gigawattstunde"/>
    <x v="6"/>
    <x v="0"/>
    <n v="20830"/>
  </r>
  <r>
    <x v="0"/>
    <s v="Endenergieverbrauch - Sonstige Sektoren - Handel und öffentliche Dienstleistungen - energetischer Verbrauch"/>
    <s v="Elektrizität"/>
    <s v="Gigawattstunde"/>
    <x v="7"/>
    <x v="0"/>
    <n v="21476"/>
  </r>
  <r>
    <x v="0"/>
    <s v="Endenergieverbrauch - Sonstige Sektoren - Handel und öffentliche Dienstleistungen - energetischer Verbrauch"/>
    <s v="Elektrizität"/>
    <s v="Gigawattstunde"/>
    <x v="8"/>
    <x v="0"/>
    <n v="22182"/>
  </r>
  <r>
    <x v="0"/>
    <s v="Endenergieverbrauch - Sonstige Sektoren - Handel und öffentliche Dienstleistungen - energetischer Verbrauch"/>
    <s v="Elektrizität"/>
    <s v="Gigawattstunde"/>
    <x v="9"/>
    <x v="0"/>
    <n v="21653"/>
  </r>
  <r>
    <x v="0"/>
    <s v="Endenergieverbrauch - Sonstige Sektoren - Handel und öffentliche Dienstleistungen - energetischer Verbrauch"/>
    <s v="Elektrizität"/>
    <s v="Gigawattstunde"/>
    <x v="10"/>
    <x v="0"/>
    <n v="21954"/>
  </r>
  <r>
    <x v="0"/>
    <s v="Endenergieverbrauch - Sonstige Sektoren - Handel und öffentliche Dienstleistungen - energetischer Verbrauch"/>
    <s v="Elektrizität"/>
    <s v="Gigawattstunde"/>
    <x v="11"/>
    <x v="0"/>
    <n v="22262"/>
  </r>
  <r>
    <x v="0"/>
    <s v="Endenergieverbrauch - Sonstige Sektoren - Handel und öffentliche Dienstleistungen - energetischer Verbrauch"/>
    <s v="Elektrizität"/>
    <s v="Gigawattstunde"/>
    <x v="12"/>
    <x v="0"/>
    <n v="21322.7"/>
  </r>
  <r>
    <x v="0"/>
    <s v="Endenergieverbrauch - Sonstige Sektoren - Handel und öffentliche Dienstleistungen - energetischer Verbrauch"/>
    <s v="Elektrizität"/>
    <s v="Gigawattstunde"/>
    <x v="13"/>
    <x v="0"/>
    <n v="21669.1"/>
  </r>
  <r>
    <x v="0"/>
    <s v="Endenergieverbrauch - Sonstige Sektoren - Handel und öffentliche Dienstleistungen - energetischer Verbrauch"/>
    <s v="Elektrizität"/>
    <s v="Gigawattstunde"/>
    <x v="14"/>
    <x v="0"/>
    <n v="21807.5"/>
  </r>
  <r>
    <x v="0"/>
    <s v="Endenergieverbrauch - Sonstige Sektoren - Handel und öffentliche Dienstleistungen - energetischer Verbrauch"/>
    <s v="Elektrizität"/>
    <s v="Gigawattstunde"/>
    <x v="15"/>
    <x v="0"/>
    <n v="21767.1"/>
  </r>
  <r>
    <x v="0"/>
    <s v="Endenergieverbrauch - Sonstige Sektoren - Handel und öffentliche Dienstleistungen - energetischer Verbrauch"/>
    <s v="Elektrizität"/>
    <s v="Gigawattstunde"/>
    <x v="16"/>
    <x v="0"/>
    <n v="22047.9"/>
  </r>
  <r>
    <x v="1"/>
    <s v="Endenergieverbrauch - Sonstige Sektoren - Handel und öffentliche Dienstleistungen - energetischer Verbrauch"/>
    <s v="Elektrizität"/>
    <s v="Gigawattstunde"/>
    <x v="0"/>
    <x v="0"/>
    <n v="5641"/>
  </r>
  <r>
    <x v="1"/>
    <s v="Endenergieverbrauch - Sonstige Sektoren - Handel und öffentliche Dienstleistungen - energetischer Verbrauch"/>
    <s v="Elektrizität"/>
    <s v="Gigawattstunde"/>
    <x v="1"/>
    <x v="0"/>
    <n v="5989"/>
  </r>
  <r>
    <x v="1"/>
    <s v="Endenergieverbrauch - Sonstige Sektoren - Handel und öffentliche Dienstleistungen - energetischer Verbrauch"/>
    <s v="Elektrizität"/>
    <s v="Gigawattstunde"/>
    <x v="2"/>
    <x v="0"/>
    <n v="5768"/>
  </r>
  <r>
    <x v="1"/>
    <s v="Endenergieverbrauch - Sonstige Sektoren - Handel und öffentliche Dienstleistungen - energetischer Verbrauch"/>
    <s v="Elektrizität"/>
    <s v="Gigawattstunde"/>
    <x v="3"/>
    <x v="0"/>
    <n v="6143"/>
  </r>
  <r>
    <x v="1"/>
    <s v="Endenergieverbrauch - Sonstige Sektoren - Handel und öffentliche Dienstleistungen - energetischer Verbrauch"/>
    <s v="Elektrizität"/>
    <s v="Gigawattstunde"/>
    <x v="4"/>
    <x v="0"/>
    <n v="6887"/>
  </r>
  <r>
    <x v="1"/>
    <s v="Endenergieverbrauch - Sonstige Sektoren - Handel und öffentliche Dienstleistungen - energetischer Verbrauch"/>
    <s v="Elektrizität"/>
    <s v="Gigawattstunde"/>
    <x v="5"/>
    <x v="0"/>
    <n v="6993"/>
  </r>
  <r>
    <x v="1"/>
    <s v="Endenergieverbrauch - Sonstige Sektoren - Handel und öffentliche Dienstleistungen - energetischer Verbrauch"/>
    <s v="Elektrizität"/>
    <s v="Gigawattstunde"/>
    <x v="6"/>
    <x v="0"/>
    <n v="7479"/>
  </r>
  <r>
    <x v="1"/>
    <s v="Endenergieverbrauch - Sonstige Sektoren - Handel und öffentliche Dienstleistungen - energetischer Verbrauch"/>
    <s v="Elektrizität"/>
    <s v="Gigawattstunde"/>
    <x v="7"/>
    <x v="0"/>
    <n v="7433"/>
  </r>
  <r>
    <x v="1"/>
    <s v="Endenergieverbrauch - Sonstige Sektoren - Handel und öffentliche Dienstleistungen - energetischer Verbrauch"/>
    <s v="Elektrizität"/>
    <s v="Gigawattstunde"/>
    <x v="8"/>
    <x v="0"/>
    <n v="8101"/>
  </r>
  <r>
    <x v="1"/>
    <s v="Endenergieverbrauch - Sonstige Sektoren - Handel und öffentliche Dienstleistungen - energetischer Verbrauch"/>
    <s v="Elektrizität"/>
    <s v="Gigawattstunde"/>
    <x v="9"/>
    <x v="0"/>
    <n v="8437"/>
  </r>
  <r>
    <x v="1"/>
    <s v="Endenergieverbrauch - Sonstige Sektoren - Handel und öffentliche Dienstleistungen - energetischer Verbrauch"/>
    <s v="Elektrizität"/>
    <s v="Gigawattstunde"/>
    <x v="10"/>
    <x v="0"/>
    <n v="8170"/>
  </r>
  <r>
    <x v="1"/>
    <s v="Endenergieverbrauch - Sonstige Sektoren - Handel und öffentliche Dienstleistungen - energetischer Verbrauch"/>
    <s v="Elektrizität"/>
    <s v="Gigawattstunde"/>
    <x v="11"/>
    <x v="0"/>
    <n v="7954"/>
  </r>
  <r>
    <x v="1"/>
    <s v="Endenergieverbrauch - Sonstige Sektoren - Handel und öffentliche Dienstleistungen - energetischer Verbrauch"/>
    <s v="Elektrizität"/>
    <s v="Gigawattstunde"/>
    <x v="12"/>
    <x v="0"/>
    <n v="7831"/>
  </r>
  <r>
    <x v="1"/>
    <s v="Endenergieverbrauch - Sonstige Sektoren - Handel und öffentliche Dienstleistungen - energetischer Verbrauch"/>
    <s v="Elektrizität"/>
    <s v="Gigawattstunde"/>
    <x v="13"/>
    <x v="0"/>
    <n v="8076"/>
  </r>
  <r>
    <x v="1"/>
    <s v="Endenergieverbrauch - Sonstige Sektoren - Handel und öffentliche Dienstleistungen - energetischer Verbrauch"/>
    <s v="Elektrizität"/>
    <s v="Gigawattstunde"/>
    <x v="14"/>
    <x v="0"/>
    <n v="8505"/>
  </r>
  <r>
    <x v="1"/>
    <s v="Endenergieverbrauch - Sonstige Sektoren - Handel und öffentliche Dienstleistungen - energetischer Verbrauch"/>
    <s v="Elektrizität"/>
    <s v="Gigawattstunde"/>
    <x v="15"/>
    <x v="0"/>
    <n v="8433.7720000000008"/>
  </r>
  <r>
    <x v="1"/>
    <s v="Endenergieverbrauch - Sonstige Sektoren - Handel und öffentliche Dienstleistungen - energetischer Verbrauch"/>
    <s v="Elektrizität"/>
    <s v="Gigawattstunde"/>
    <x v="16"/>
    <x v="0"/>
    <n v="8470.5470000000005"/>
  </r>
  <r>
    <x v="2"/>
    <s v="Endenergieverbrauch - Sonstige Sektoren - Handel und öffentliche Dienstleistungen - energetischer Verbrauch"/>
    <s v="Elektrizität"/>
    <s v="Gigawattstunde"/>
    <x v="0"/>
    <x v="0"/>
    <n v="11379"/>
  </r>
  <r>
    <x v="2"/>
    <s v="Endenergieverbrauch - Sonstige Sektoren - Handel und öffentliche Dienstleistungen - energetischer Verbrauch"/>
    <s v="Elektrizität"/>
    <s v="Gigawattstunde"/>
    <x v="1"/>
    <x v="0"/>
    <n v="12592"/>
  </r>
  <r>
    <x v="2"/>
    <s v="Endenergieverbrauch - Sonstige Sektoren - Handel und öffentliche Dienstleistungen - energetischer Verbrauch"/>
    <s v="Elektrizität"/>
    <s v="Gigawattstunde"/>
    <x v="2"/>
    <x v="0"/>
    <n v="12600"/>
  </r>
  <r>
    <x v="2"/>
    <s v="Endenergieverbrauch - Sonstige Sektoren - Handel und öffentliche Dienstleistungen - energetischer Verbrauch"/>
    <s v="Elektrizität"/>
    <s v="Gigawattstunde"/>
    <x v="3"/>
    <x v="0"/>
    <n v="12911"/>
  </r>
  <r>
    <x v="2"/>
    <s v="Endenergieverbrauch - Sonstige Sektoren - Handel und öffentliche Dienstleistungen - energetischer Verbrauch"/>
    <s v="Elektrizität"/>
    <s v="Gigawattstunde"/>
    <x v="4"/>
    <x v="0"/>
    <n v="13392"/>
  </r>
  <r>
    <x v="2"/>
    <s v="Endenergieverbrauch - Sonstige Sektoren - Handel und öffentliche Dienstleistungen - energetischer Verbrauch"/>
    <s v="Elektrizität"/>
    <s v="Gigawattstunde"/>
    <x v="5"/>
    <x v="0"/>
    <n v="13769"/>
  </r>
  <r>
    <x v="2"/>
    <s v="Endenergieverbrauch - Sonstige Sektoren - Handel und öffentliche Dienstleistungen - energetischer Verbrauch"/>
    <s v="Elektrizität"/>
    <s v="Gigawattstunde"/>
    <x v="6"/>
    <x v="0"/>
    <n v="14336"/>
  </r>
  <r>
    <x v="2"/>
    <s v="Endenergieverbrauch - Sonstige Sektoren - Handel und öffentliche Dienstleistungen - energetischer Verbrauch"/>
    <s v="Elektrizität"/>
    <s v="Gigawattstunde"/>
    <x v="7"/>
    <x v="0"/>
    <n v="14038"/>
  </r>
  <r>
    <x v="2"/>
    <s v="Endenergieverbrauch - Sonstige Sektoren - Handel und öffentliche Dienstleistungen - energetischer Verbrauch"/>
    <s v="Elektrizität"/>
    <s v="Gigawattstunde"/>
    <x v="8"/>
    <x v="0"/>
    <n v="14851"/>
  </r>
  <r>
    <x v="2"/>
    <s v="Endenergieverbrauch - Sonstige Sektoren - Handel und öffentliche Dienstleistungen - energetischer Verbrauch"/>
    <s v="Elektrizität"/>
    <s v="Gigawattstunde"/>
    <x v="9"/>
    <x v="0"/>
    <n v="14471"/>
  </r>
  <r>
    <x v="2"/>
    <s v="Endenergieverbrauch - Sonstige Sektoren - Handel und öffentliche Dienstleistungen - energetischer Verbrauch"/>
    <s v="Elektrizität"/>
    <s v="Gigawattstunde"/>
    <x v="10"/>
    <x v="0"/>
    <n v="14469"/>
  </r>
  <r>
    <x v="2"/>
    <s v="Endenergieverbrauch - Sonstige Sektoren - Handel und öffentliche Dienstleistungen - energetischer Verbrauch"/>
    <s v="Elektrizität"/>
    <s v="Gigawattstunde"/>
    <x v="11"/>
    <x v="0"/>
    <n v="14809"/>
  </r>
  <r>
    <x v="2"/>
    <s v="Endenergieverbrauch - Sonstige Sektoren - Handel und öffentliche Dienstleistungen - energetischer Verbrauch"/>
    <s v="Elektrizität"/>
    <s v="Gigawattstunde"/>
    <x v="12"/>
    <x v="0"/>
    <n v="14464"/>
  </r>
  <r>
    <x v="2"/>
    <s v="Endenergieverbrauch - Sonstige Sektoren - Handel und öffentliche Dienstleistungen - energetischer Verbrauch"/>
    <s v="Elektrizität"/>
    <s v="Gigawattstunde"/>
    <x v="13"/>
    <x v="0"/>
    <n v="14875"/>
  </r>
  <r>
    <x v="2"/>
    <s v="Endenergieverbrauch - Sonstige Sektoren - Handel und öffentliche Dienstleistungen - energetischer Verbrauch"/>
    <s v="Elektrizität"/>
    <s v="Gigawattstunde"/>
    <x v="14"/>
    <x v="0"/>
    <n v="15327"/>
  </r>
  <r>
    <x v="2"/>
    <s v="Endenergieverbrauch - Sonstige Sektoren - Handel und öffentliche Dienstleistungen - energetischer Verbrauch"/>
    <s v="Elektrizität"/>
    <s v="Gigawattstunde"/>
    <x v="15"/>
    <x v="0"/>
    <n v="15618.21"/>
  </r>
  <r>
    <x v="2"/>
    <s v="Endenergieverbrauch - Sonstige Sektoren - Handel und öffentliche Dienstleistungen - energetischer Verbrauch"/>
    <s v="Elektrizität"/>
    <s v="Gigawattstunde"/>
    <x v="16"/>
    <x v="0"/>
    <n v="16027.522999999999"/>
  </r>
  <r>
    <x v="3"/>
    <s v="Endenergieverbrauch - Sonstige Sektoren - Handel und öffentliche Dienstleistungen - energetischer Verbrauch"/>
    <s v="Elektrizität"/>
    <s v="Gigawattstunde"/>
    <x v="0"/>
    <x v="0"/>
    <n v="10247"/>
  </r>
  <r>
    <x v="3"/>
    <s v="Endenergieverbrauch - Sonstige Sektoren - Handel und öffentliche Dienstleistungen - energetischer Verbrauch"/>
    <s v="Elektrizität"/>
    <s v="Gigawattstunde"/>
    <x v="1"/>
    <x v="0"/>
    <n v="10189"/>
  </r>
  <r>
    <x v="3"/>
    <s v="Endenergieverbrauch - Sonstige Sektoren - Handel und öffentliche Dienstleistungen - energetischer Verbrauch"/>
    <s v="Elektrizität"/>
    <s v="Gigawattstunde"/>
    <x v="2"/>
    <x v="0"/>
    <n v="10399"/>
  </r>
  <r>
    <x v="3"/>
    <s v="Endenergieverbrauch - Sonstige Sektoren - Handel und öffentliche Dienstleistungen - energetischer Verbrauch"/>
    <s v="Elektrizität"/>
    <s v="Gigawattstunde"/>
    <x v="3"/>
    <x v="0"/>
    <n v="10472"/>
  </r>
  <r>
    <x v="3"/>
    <s v="Endenergieverbrauch - Sonstige Sektoren - Handel und öffentliche Dienstleistungen - energetischer Verbrauch"/>
    <s v="Elektrizität"/>
    <s v="Gigawattstunde"/>
    <x v="4"/>
    <x v="0"/>
    <n v="10737"/>
  </r>
  <r>
    <x v="3"/>
    <s v="Endenergieverbrauch - Sonstige Sektoren - Handel und öffentliche Dienstleistungen - energetischer Verbrauch"/>
    <s v="Elektrizität"/>
    <s v="Gigawattstunde"/>
    <x v="5"/>
    <x v="0"/>
    <n v="10989"/>
  </r>
  <r>
    <x v="3"/>
    <s v="Endenergieverbrauch - Sonstige Sektoren - Handel und öffentliche Dienstleistungen - energetischer Verbrauch"/>
    <s v="Elektrizität"/>
    <s v="Gigawattstunde"/>
    <x v="6"/>
    <x v="0"/>
    <n v="10976"/>
  </r>
  <r>
    <x v="3"/>
    <s v="Endenergieverbrauch - Sonstige Sektoren - Handel und öffentliche Dienstleistungen - energetischer Verbrauch"/>
    <s v="Elektrizität"/>
    <s v="Gigawattstunde"/>
    <x v="7"/>
    <x v="0"/>
    <n v="10680"/>
  </r>
  <r>
    <x v="3"/>
    <s v="Endenergieverbrauch - Sonstige Sektoren - Handel und öffentliche Dienstleistungen - energetischer Verbrauch"/>
    <s v="Elektrizität"/>
    <s v="Gigawattstunde"/>
    <x v="8"/>
    <x v="0"/>
    <n v="10835"/>
  </r>
  <r>
    <x v="3"/>
    <s v="Endenergieverbrauch - Sonstige Sektoren - Handel und öffentliche Dienstleistungen - energetischer Verbrauch"/>
    <s v="Elektrizität"/>
    <s v="Gigawattstunde"/>
    <x v="9"/>
    <x v="0"/>
    <n v="10656"/>
  </r>
  <r>
    <x v="3"/>
    <s v="Endenergieverbrauch - Sonstige Sektoren - Handel und öffentliche Dienstleistungen - energetischer Verbrauch"/>
    <s v="Elektrizität"/>
    <s v="Gigawattstunde"/>
    <x v="10"/>
    <x v="0"/>
    <n v="10481"/>
  </r>
  <r>
    <x v="3"/>
    <s v="Endenergieverbrauch - Sonstige Sektoren - Handel und öffentliche Dienstleistungen - energetischer Verbrauch"/>
    <s v="Elektrizität"/>
    <s v="Gigawattstunde"/>
    <x v="11"/>
    <x v="0"/>
    <n v="10227"/>
  </r>
  <r>
    <x v="3"/>
    <s v="Endenergieverbrauch - Sonstige Sektoren - Handel und öffentliche Dienstleistungen - energetischer Verbrauch"/>
    <s v="Elektrizität"/>
    <s v="Gigawattstunde"/>
    <x v="12"/>
    <x v="0"/>
    <n v="10288"/>
  </r>
  <r>
    <x v="3"/>
    <s v="Endenergieverbrauch - Sonstige Sektoren - Handel und öffentliche Dienstleistungen - energetischer Verbrauch"/>
    <s v="Elektrizität"/>
    <s v="Gigawattstunde"/>
    <x v="13"/>
    <x v="0"/>
    <n v="10087.23"/>
  </r>
  <r>
    <x v="3"/>
    <s v="Endenergieverbrauch - Sonstige Sektoren - Handel und öffentliche Dienstleistungen - energetischer Verbrauch"/>
    <s v="Elektrizität"/>
    <s v="Gigawattstunde"/>
    <x v="14"/>
    <x v="0"/>
    <n v="10216.535"/>
  </r>
  <r>
    <x v="3"/>
    <s v="Endenergieverbrauch - Sonstige Sektoren - Handel und öffentliche Dienstleistungen - energetischer Verbrauch"/>
    <s v="Elektrizität"/>
    <s v="Gigawattstunde"/>
    <x v="15"/>
    <x v="0"/>
    <n v="10685.246999999999"/>
  </r>
  <r>
    <x v="3"/>
    <s v="Endenergieverbrauch - Sonstige Sektoren - Handel und öffentliche Dienstleistungen - energetischer Verbrauch"/>
    <s v="Elektrizität"/>
    <s v="Gigawattstunde"/>
    <x v="16"/>
    <x v="0"/>
    <n v="10594.387000000001"/>
  </r>
  <r>
    <x v="4"/>
    <s v="Endenergieverbrauch - Sonstige Sektoren - Handel und öffentliche Dienstleistungen - energetischer Verbrauch"/>
    <s v="Elektrizität"/>
    <s v="Gigawattstunde"/>
    <x v="0"/>
    <x v="0"/>
    <n v="135238"/>
  </r>
  <r>
    <x v="4"/>
    <s v="Endenergieverbrauch - Sonstige Sektoren - Handel und öffentliche Dienstleistungen - energetischer Verbrauch"/>
    <s v="Elektrizität"/>
    <s v="Gigawattstunde"/>
    <x v="1"/>
    <x v="0"/>
    <n v="142237"/>
  </r>
  <r>
    <x v="4"/>
    <s v="Endenergieverbrauch - Sonstige Sektoren - Handel und öffentliche Dienstleistungen - energetischer Verbrauch"/>
    <s v="Elektrizität"/>
    <s v="Gigawattstunde"/>
    <x v="2"/>
    <x v="0"/>
    <n v="141219"/>
  </r>
  <r>
    <x v="4"/>
    <s v="Endenergieverbrauch - Sonstige Sektoren - Handel und öffentliche Dienstleistungen - energetischer Verbrauch"/>
    <s v="Elektrizität"/>
    <s v="Gigawattstunde"/>
    <x v="3"/>
    <x v="0"/>
    <n v="137410"/>
  </r>
  <r>
    <x v="4"/>
    <s v="Endenergieverbrauch - Sonstige Sektoren - Handel und öffentliche Dienstleistungen - energetischer Verbrauch"/>
    <s v="Elektrizität"/>
    <s v="Gigawattstunde"/>
    <x v="4"/>
    <x v="0"/>
    <n v="142151"/>
  </r>
  <r>
    <x v="4"/>
    <s v="Endenergieverbrauch - Sonstige Sektoren - Handel und öffentliche Dienstleistungen - energetischer Verbrauch"/>
    <s v="Elektrizität"/>
    <s v="Gigawattstunde"/>
    <x v="5"/>
    <x v="0"/>
    <n v="137885"/>
  </r>
  <r>
    <x v="4"/>
    <s v="Endenergieverbrauch - Sonstige Sektoren - Handel und öffentliche Dienstleistungen - energetischer Verbrauch"/>
    <s v="Elektrizität"/>
    <s v="Gigawattstunde"/>
    <x v="6"/>
    <x v="0"/>
    <n v="142193"/>
  </r>
  <r>
    <x v="4"/>
    <s v="Endenergieverbrauch - Sonstige Sektoren - Handel und öffentliche Dienstleistungen - energetischer Verbrauch"/>
    <s v="Elektrizität"/>
    <s v="Gigawattstunde"/>
    <x v="7"/>
    <x v="0"/>
    <n v="144673"/>
  </r>
  <r>
    <x v="4"/>
    <s v="Endenergieverbrauch - Sonstige Sektoren - Handel und öffentliche Dienstleistungen - energetischer Verbrauch"/>
    <s v="Elektrizität"/>
    <s v="Gigawattstunde"/>
    <x v="8"/>
    <x v="0"/>
    <n v="143862"/>
  </r>
  <r>
    <x v="4"/>
    <s v="Endenergieverbrauch - Sonstige Sektoren - Handel und öffentliche Dienstleistungen - energetischer Verbrauch"/>
    <s v="Elektrizität"/>
    <s v="Gigawattstunde"/>
    <x v="9"/>
    <x v="0"/>
    <n v="136306"/>
  </r>
  <r>
    <x v="4"/>
    <s v="Endenergieverbrauch - Sonstige Sektoren - Handel und öffentliche Dienstleistungen - energetischer Verbrauch"/>
    <s v="Elektrizität"/>
    <s v="Gigawattstunde"/>
    <x v="10"/>
    <x v="0"/>
    <n v="139210"/>
  </r>
  <r>
    <x v="4"/>
    <s v="Endenergieverbrauch - Sonstige Sektoren - Handel und öffentliche Dienstleistungen - energetischer Verbrauch"/>
    <s v="Elektrizität"/>
    <s v="Gigawattstunde"/>
    <x v="11"/>
    <x v="0"/>
    <n v="142062"/>
  </r>
  <r>
    <x v="4"/>
    <s v="Endenergieverbrauch - Sonstige Sektoren - Handel und öffentliche Dienstleistungen - energetischer Verbrauch"/>
    <s v="Elektrizität"/>
    <s v="Gigawattstunde"/>
    <x v="12"/>
    <x v="0"/>
    <n v="131515"/>
  </r>
  <r>
    <x v="4"/>
    <s v="Endenergieverbrauch - Sonstige Sektoren - Handel und öffentliche Dienstleistungen - energetischer Verbrauch"/>
    <s v="Elektrizität"/>
    <s v="Gigawattstunde"/>
    <x v="13"/>
    <x v="0"/>
    <n v="140736"/>
  </r>
  <r>
    <x v="4"/>
    <s v="Endenergieverbrauch - Sonstige Sektoren - Handel und öffentliche Dienstleistungen - energetischer Verbrauch"/>
    <s v="Elektrizität"/>
    <s v="Gigawattstunde"/>
    <x v="14"/>
    <x v="0"/>
    <n v="141585"/>
  </r>
  <r>
    <x v="4"/>
    <s v="Endenergieverbrauch - Sonstige Sektoren - Handel und öffentliche Dienstleistungen - energetischer Verbrauch"/>
    <s v="Elektrizität"/>
    <s v="Gigawattstunde"/>
    <x v="15"/>
    <x v="0"/>
    <n v="141479"/>
  </r>
  <r>
    <x v="4"/>
    <s v="Endenergieverbrauch - Sonstige Sektoren - Handel und öffentliche Dienstleistungen - energetischer Verbrauch"/>
    <s v="Elektrizität"/>
    <s v="Gigawattstunde"/>
    <x v="16"/>
    <x v="0"/>
    <n v="137097"/>
  </r>
  <r>
    <x v="5"/>
    <s v="Endenergieverbrauch - Sonstige Sektoren - Handel und öffentliche Dienstleistungen - energetischer Verbrauch"/>
    <s v="Elektrizität"/>
    <s v="Gigawattstunde"/>
    <x v="0"/>
    <x v="0"/>
    <n v="1570"/>
  </r>
  <r>
    <x v="5"/>
    <s v="Endenergieverbrauch - Sonstige Sektoren - Handel und öffentliche Dienstleistungen - energetischer Verbrauch"/>
    <s v="Elektrizität"/>
    <s v="Gigawattstunde"/>
    <x v="1"/>
    <x v="0"/>
    <n v="1664"/>
  </r>
  <r>
    <x v="5"/>
    <s v="Endenergieverbrauch - Sonstige Sektoren - Handel und öffentliche Dienstleistungen - energetischer Verbrauch"/>
    <s v="Elektrizität"/>
    <s v="Gigawattstunde"/>
    <x v="2"/>
    <x v="0"/>
    <n v="1850"/>
  </r>
  <r>
    <x v="5"/>
    <s v="Endenergieverbrauch - Sonstige Sektoren - Handel und öffentliche Dienstleistungen - energetischer Verbrauch"/>
    <s v="Elektrizität"/>
    <s v="Gigawattstunde"/>
    <x v="3"/>
    <x v="0"/>
    <n v="1929"/>
  </r>
  <r>
    <x v="5"/>
    <s v="Endenergieverbrauch - Sonstige Sektoren - Handel und öffentliche Dienstleistungen - energetischer Verbrauch"/>
    <s v="Elektrizität"/>
    <s v="Gigawattstunde"/>
    <x v="4"/>
    <x v="0"/>
    <n v="2176"/>
  </r>
  <r>
    <x v="5"/>
    <s v="Endenergieverbrauch - Sonstige Sektoren - Handel und öffentliche Dienstleistungen - energetischer Verbrauch"/>
    <s v="Elektrizität"/>
    <s v="Gigawattstunde"/>
    <x v="5"/>
    <x v="0"/>
    <n v="2358"/>
  </r>
  <r>
    <x v="5"/>
    <s v="Endenergieverbrauch - Sonstige Sektoren - Handel und öffentliche Dienstleistungen - energetischer Verbrauch"/>
    <s v="Elektrizität"/>
    <s v="Gigawattstunde"/>
    <x v="6"/>
    <x v="0"/>
    <n v="2553"/>
  </r>
  <r>
    <x v="5"/>
    <s v="Endenergieverbrauch - Sonstige Sektoren - Handel und öffentliche Dienstleistungen - energetischer Verbrauch"/>
    <s v="Elektrizität"/>
    <s v="Gigawattstunde"/>
    <x v="7"/>
    <x v="0"/>
    <n v="2559"/>
  </r>
  <r>
    <x v="5"/>
    <s v="Endenergieverbrauch - Sonstige Sektoren - Handel und öffentliche Dienstleistungen - energetischer Verbrauch"/>
    <s v="Elektrizität"/>
    <s v="Gigawattstunde"/>
    <x v="8"/>
    <x v="0"/>
    <n v="2511"/>
  </r>
  <r>
    <x v="5"/>
    <s v="Endenergieverbrauch - Sonstige Sektoren - Handel und öffentliche Dienstleistungen - energetischer Verbrauch"/>
    <s v="Elektrizität"/>
    <s v="Gigawattstunde"/>
    <x v="9"/>
    <x v="0"/>
    <n v="2378"/>
  </r>
  <r>
    <x v="5"/>
    <s v="Endenergieverbrauch - Sonstige Sektoren - Handel und öffentliche Dienstleistungen - energetischer Verbrauch"/>
    <s v="Elektrizität"/>
    <s v="Gigawattstunde"/>
    <x v="10"/>
    <x v="0"/>
    <n v="2536"/>
  </r>
  <r>
    <x v="5"/>
    <s v="Endenergieverbrauch - Sonstige Sektoren - Handel und öffentliche Dienstleistungen - energetischer Verbrauch"/>
    <s v="Elektrizität"/>
    <s v="Gigawattstunde"/>
    <x v="11"/>
    <x v="0"/>
    <n v="2530"/>
  </r>
  <r>
    <x v="5"/>
    <s v="Endenergieverbrauch - Sonstige Sektoren - Handel und öffentliche Dienstleistungen - energetischer Verbrauch"/>
    <s v="Elektrizität"/>
    <s v="Gigawattstunde"/>
    <x v="12"/>
    <x v="0"/>
    <n v="2795"/>
  </r>
  <r>
    <x v="5"/>
    <s v="Endenergieverbrauch - Sonstige Sektoren - Handel und öffentliche Dienstleistungen - energetischer Verbrauch"/>
    <s v="Elektrizität"/>
    <s v="Gigawattstunde"/>
    <x v="13"/>
    <x v="0"/>
    <n v="2813"/>
  </r>
  <r>
    <x v="5"/>
    <s v="Endenergieverbrauch - Sonstige Sektoren - Handel und öffentliche Dienstleistungen - energetischer Verbrauch"/>
    <s v="Elektrizität"/>
    <s v="Gigawattstunde"/>
    <x v="14"/>
    <x v="0"/>
    <n v="2971"/>
  </r>
  <r>
    <x v="5"/>
    <s v="Endenergieverbrauch - Sonstige Sektoren - Handel und öffentliche Dienstleistungen - energetischer Verbrauch"/>
    <s v="Elektrizität"/>
    <s v="Gigawattstunde"/>
    <x v="15"/>
    <x v="0"/>
    <n v="2715.4920000000002"/>
  </r>
  <r>
    <x v="5"/>
    <s v="Endenergieverbrauch - Sonstige Sektoren - Handel und öffentliche Dienstleistungen - energetischer Verbrauch"/>
    <s v="Elektrizität"/>
    <s v="Gigawattstunde"/>
    <x v="16"/>
    <x v="0"/>
    <n v="2933"/>
  </r>
  <r>
    <x v="6"/>
    <s v="Endenergieverbrauch - Sonstige Sektoren - Handel und öffentliche Dienstleistungen - energetischer Verbrauch"/>
    <s v="Elektrizität"/>
    <s v="Gigawattstunde"/>
    <x v="0"/>
    <x v="0"/>
    <n v="6748"/>
  </r>
  <r>
    <x v="6"/>
    <s v="Endenergieverbrauch - Sonstige Sektoren - Handel und öffentliche Dienstleistungen - energetischer Verbrauch"/>
    <s v="Elektrizität"/>
    <s v="Gigawattstunde"/>
    <x v="1"/>
    <x v="0"/>
    <n v="8163"/>
  </r>
  <r>
    <x v="6"/>
    <s v="Endenergieverbrauch - Sonstige Sektoren - Handel und öffentliche Dienstleistungen - energetischer Verbrauch"/>
    <s v="Elektrizität"/>
    <s v="Gigawattstunde"/>
    <x v="2"/>
    <x v="0"/>
    <n v="8167.23"/>
  </r>
  <r>
    <x v="6"/>
    <s v="Endenergieverbrauch - Sonstige Sektoren - Handel und öffentliche Dienstleistungen - energetischer Verbrauch"/>
    <s v="Elektrizität"/>
    <s v="Gigawattstunde"/>
    <x v="3"/>
    <x v="0"/>
    <n v="8465.1540000000005"/>
  </r>
  <r>
    <x v="6"/>
    <s v="Endenergieverbrauch - Sonstige Sektoren - Handel und öffentliche Dienstleistungen - energetischer Verbrauch"/>
    <s v="Elektrizität"/>
    <s v="Gigawattstunde"/>
    <x v="4"/>
    <x v="0"/>
    <n v="8133.0280000000002"/>
  </r>
  <r>
    <x v="6"/>
    <s v="Endenergieverbrauch - Sonstige Sektoren - Handel und öffentliche Dienstleistungen - energetischer Verbrauch"/>
    <s v="Elektrizität"/>
    <s v="Gigawattstunde"/>
    <x v="5"/>
    <x v="0"/>
    <n v="8710.2330000000002"/>
  </r>
  <r>
    <x v="6"/>
    <s v="Endenergieverbrauch - Sonstige Sektoren - Handel und öffentliche Dienstleistungen - energetischer Verbrauch"/>
    <s v="Elektrizität"/>
    <s v="Gigawattstunde"/>
    <x v="6"/>
    <x v="0"/>
    <n v="9556.3449999999993"/>
  </r>
  <r>
    <x v="6"/>
    <s v="Endenergieverbrauch - Sonstige Sektoren - Handel und öffentliche Dienstleistungen - energetischer Verbrauch"/>
    <s v="Elektrizität"/>
    <s v="Gigawattstunde"/>
    <x v="7"/>
    <x v="0"/>
    <n v="7944.2860000000001"/>
  </r>
  <r>
    <x v="6"/>
    <s v="Endenergieverbrauch - Sonstige Sektoren - Handel und öffentliche Dienstleistungen - energetischer Verbrauch"/>
    <s v="Elektrizität"/>
    <s v="Gigawattstunde"/>
    <x v="8"/>
    <x v="0"/>
    <n v="7165.85"/>
  </r>
  <r>
    <x v="6"/>
    <s v="Endenergieverbrauch - Sonstige Sektoren - Handel und öffentliche Dienstleistungen - energetischer Verbrauch"/>
    <s v="Elektrizität"/>
    <s v="Gigawattstunde"/>
    <x v="9"/>
    <x v="0"/>
    <n v="6501.2939999999999"/>
  </r>
  <r>
    <x v="6"/>
    <s v="Endenergieverbrauch - Sonstige Sektoren - Handel und öffentliche Dienstleistungen - energetischer Verbrauch"/>
    <s v="Elektrizität"/>
    <s v="Gigawattstunde"/>
    <x v="10"/>
    <x v="0"/>
    <n v="6278.7060000000001"/>
  </r>
  <r>
    <x v="6"/>
    <s v="Endenergieverbrauch - Sonstige Sektoren - Handel und öffentliche Dienstleistungen - energetischer Verbrauch"/>
    <s v="Elektrizität"/>
    <s v="Gigawattstunde"/>
    <x v="11"/>
    <x v="0"/>
    <n v="6366.0950000000003"/>
  </r>
  <r>
    <x v="6"/>
    <s v="Endenergieverbrauch - Sonstige Sektoren - Handel und öffentliche Dienstleistungen - energetischer Verbrauch"/>
    <s v="Elektrizität"/>
    <s v="Gigawattstunde"/>
    <x v="12"/>
    <x v="0"/>
    <n v="6438.8909999999996"/>
  </r>
  <r>
    <x v="6"/>
    <s v="Endenergieverbrauch - Sonstige Sektoren - Handel und öffentliche Dienstleistungen - energetischer Verbrauch"/>
    <s v="Elektrizität"/>
    <s v="Gigawattstunde"/>
    <x v="13"/>
    <x v="0"/>
    <n v="6745.8609999999999"/>
  </r>
  <r>
    <x v="6"/>
    <s v="Endenergieverbrauch - Sonstige Sektoren - Handel und öffentliche Dienstleistungen - energetischer Verbrauch"/>
    <s v="Elektrizität"/>
    <s v="Gigawattstunde"/>
    <x v="14"/>
    <x v="0"/>
    <n v="6951.1149999999998"/>
  </r>
  <r>
    <x v="6"/>
    <s v="Endenergieverbrauch - Sonstige Sektoren - Handel und öffentliche Dienstleistungen - energetischer Verbrauch"/>
    <s v="Elektrizität"/>
    <s v="Gigawattstunde"/>
    <x v="15"/>
    <x v="0"/>
    <n v="7027.0330000000004"/>
  </r>
  <r>
    <x v="6"/>
    <s v="Endenergieverbrauch - Sonstige Sektoren - Handel und öffentliche Dienstleistungen - energetischer Verbrauch"/>
    <s v="Elektrizität"/>
    <s v="Gigawattstunde"/>
    <x v="16"/>
    <x v="0"/>
    <n v="7462.2259999999997"/>
  </r>
  <r>
    <x v="7"/>
    <s v="Endenergieverbrauch - Sonstige Sektoren - Handel und öffentliche Dienstleistungen - energetischer Verbrauch"/>
    <s v="Elektrizität"/>
    <s v="Gigawattstunde"/>
    <x v="0"/>
    <x v="0"/>
    <n v="13989"/>
  </r>
  <r>
    <x v="7"/>
    <s v="Endenergieverbrauch - Sonstige Sektoren - Handel und öffentliche Dienstleistungen - energetischer Verbrauch"/>
    <s v="Elektrizität"/>
    <s v="Gigawattstunde"/>
    <x v="1"/>
    <x v="0"/>
    <n v="15005"/>
  </r>
  <r>
    <x v="7"/>
    <s v="Endenergieverbrauch - Sonstige Sektoren - Handel und öffentliche Dienstleistungen - energetischer Verbrauch"/>
    <s v="Elektrizität"/>
    <s v="Gigawattstunde"/>
    <x v="2"/>
    <x v="0"/>
    <n v="15872"/>
  </r>
  <r>
    <x v="7"/>
    <s v="Endenergieverbrauch - Sonstige Sektoren - Handel und öffentliche Dienstleistungen - energetischer Verbrauch"/>
    <s v="Elektrizität"/>
    <s v="Gigawattstunde"/>
    <x v="3"/>
    <x v="0"/>
    <n v="16479"/>
  </r>
  <r>
    <x v="7"/>
    <s v="Endenergieverbrauch - Sonstige Sektoren - Handel und öffentliche Dienstleistungen - energetischer Verbrauch"/>
    <s v="Elektrizität"/>
    <s v="Gigawattstunde"/>
    <x v="4"/>
    <x v="0"/>
    <n v="17757"/>
  </r>
  <r>
    <x v="7"/>
    <s v="Endenergieverbrauch - Sonstige Sektoren - Handel und öffentliche Dienstleistungen - energetischer Verbrauch"/>
    <s v="Elektrizität"/>
    <s v="Gigawattstunde"/>
    <x v="5"/>
    <x v="0"/>
    <n v="18773"/>
  </r>
  <r>
    <x v="7"/>
    <s v="Endenergieverbrauch - Sonstige Sektoren - Handel und öffentliche Dienstleistungen - energetischer Verbrauch"/>
    <s v="Elektrizität"/>
    <s v="Gigawattstunde"/>
    <x v="6"/>
    <x v="0"/>
    <n v="19691"/>
  </r>
  <r>
    <x v="7"/>
    <s v="Endenergieverbrauch - Sonstige Sektoren - Handel und öffentliche Dienstleistungen - energetischer Verbrauch"/>
    <s v="Elektrizität"/>
    <s v="Gigawattstunde"/>
    <x v="7"/>
    <x v="0"/>
    <n v="19769"/>
  </r>
  <r>
    <x v="7"/>
    <s v="Endenergieverbrauch - Sonstige Sektoren - Handel und öffentliche Dienstleistungen - energetischer Verbrauch"/>
    <s v="Elektrizität"/>
    <s v="Gigawattstunde"/>
    <x v="8"/>
    <x v="0"/>
    <n v="18000"/>
  </r>
  <r>
    <x v="7"/>
    <s v="Endenergieverbrauch - Sonstige Sektoren - Handel und öffentliche Dienstleistungen - energetischer Verbrauch"/>
    <s v="Elektrizität"/>
    <s v="Gigawattstunde"/>
    <x v="9"/>
    <x v="0"/>
    <n v="16839"/>
  </r>
  <r>
    <x v="7"/>
    <s v="Endenergieverbrauch - Sonstige Sektoren - Handel und öffentliche Dienstleistungen - energetischer Verbrauch"/>
    <s v="Elektrizität"/>
    <s v="Gigawattstunde"/>
    <x v="10"/>
    <x v="0"/>
    <n v="18470"/>
  </r>
  <r>
    <x v="7"/>
    <s v="Endenergieverbrauch - Sonstige Sektoren - Handel und öffentliche Dienstleistungen - energetischer Verbrauch"/>
    <s v="Elektrizität"/>
    <s v="Gigawattstunde"/>
    <x v="11"/>
    <x v="0"/>
    <n v="17008"/>
  </r>
  <r>
    <x v="7"/>
    <s v="Endenergieverbrauch - Sonstige Sektoren - Handel und öffentliche Dienstleistungen - energetischer Verbrauch"/>
    <s v="Elektrizität"/>
    <s v="Gigawattstunde"/>
    <x v="12"/>
    <x v="0"/>
    <n v="16802"/>
  </r>
  <r>
    <x v="7"/>
    <s v="Endenergieverbrauch - Sonstige Sektoren - Handel und öffentliche Dienstleistungen - energetischer Verbrauch"/>
    <s v="Elektrizität"/>
    <s v="Gigawattstunde"/>
    <x v="13"/>
    <x v="0"/>
    <n v="17926"/>
  </r>
  <r>
    <x v="7"/>
    <s v="Endenergieverbrauch - Sonstige Sektoren - Handel und öffentliche Dienstleistungen - energetischer Verbrauch"/>
    <s v="Elektrizität"/>
    <s v="Gigawattstunde"/>
    <x v="14"/>
    <x v="0"/>
    <n v="19448"/>
  </r>
  <r>
    <x v="7"/>
    <s v="Endenergieverbrauch - Sonstige Sektoren - Handel und öffentliche Dienstleistungen - energetischer Verbrauch"/>
    <s v="Elektrizität"/>
    <s v="Gigawattstunde"/>
    <x v="15"/>
    <x v="0"/>
    <n v="19243.437000000002"/>
  </r>
  <r>
    <x v="7"/>
    <s v="Endenergieverbrauch - Sonstige Sektoren - Handel und öffentliche Dienstleistungen - energetischer Verbrauch"/>
    <s v="Elektrizität"/>
    <s v="Gigawattstunde"/>
    <x v="16"/>
    <x v="0"/>
    <n v="17807.75"/>
  </r>
  <r>
    <x v="8"/>
    <s v="Endenergieverbrauch - Sonstige Sektoren - Handel und öffentliche Dienstleistungen - energetischer Verbrauch"/>
    <s v="Elektrizität"/>
    <s v="Gigawattstunde"/>
    <x v="0"/>
    <x v="0"/>
    <n v="53227"/>
  </r>
  <r>
    <x v="8"/>
    <s v="Endenergieverbrauch - Sonstige Sektoren - Handel und öffentliche Dienstleistungen - energetischer Verbrauch"/>
    <s v="Elektrizität"/>
    <s v="Gigawattstunde"/>
    <x v="1"/>
    <x v="0"/>
    <n v="57232"/>
  </r>
  <r>
    <x v="8"/>
    <s v="Endenergieverbrauch - Sonstige Sektoren - Handel und öffentliche Dienstleistungen - energetischer Verbrauch"/>
    <s v="Elektrizität"/>
    <s v="Gigawattstunde"/>
    <x v="2"/>
    <x v="0"/>
    <n v="60671"/>
  </r>
  <r>
    <x v="8"/>
    <s v="Endenergieverbrauch - Sonstige Sektoren - Handel und öffentliche Dienstleistungen - energetischer Verbrauch"/>
    <s v="Elektrizität"/>
    <s v="Gigawattstunde"/>
    <x v="3"/>
    <x v="0"/>
    <n v="63823"/>
  </r>
  <r>
    <x v="8"/>
    <s v="Endenergieverbrauch - Sonstige Sektoren - Handel und öffentliche Dienstleistungen - energetischer Verbrauch"/>
    <s v="Elektrizität"/>
    <s v="Gigawattstunde"/>
    <x v="4"/>
    <x v="0"/>
    <n v="73130"/>
  </r>
  <r>
    <x v="8"/>
    <s v="Endenergieverbrauch - Sonstige Sektoren - Handel und öffentliche Dienstleistungen - energetischer Verbrauch"/>
    <s v="Elektrizität"/>
    <s v="Gigawattstunde"/>
    <x v="5"/>
    <x v="0"/>
    <n v="74050"/>
  </r>
  <r>
    <x v="8"/>
    <s v="Endenergieverbrauch - Sonstige Sektoren - Handel und öffentliche Dienstleistungen - energetischer Verbrauch"/>
    <s v="Elektrizität"/>
    <s v="Gigawattstunde"/>
    <x v="6"/>
    <x v="0"/>
    <n v="79769"/>
  </r>
  <r>
    <x v="8"/>
    <s v="Endenergieverbrauch - Sonstige Sektoren - Handel und öffentliche Dienstleistungen - energetischer Verbrauch"/>
    <s v="Elektrizität"/>
    <s v="Gigawattstunde"/>
    <x v="7"/>
    <x v="0"/>
    <n v="81019"/>
  </r>
  <r>
    <x v="8"/>
    <s v="Endenergieverbrauch - Sonstige Sektoren - Handel und öffentliche Dienstleistungen - energetischer Verbrauch"/>
    <s v="Elektrizität"/>
    <s v="Gigawattstunde"/>
    <x v="8"/>
    <x v="0"/>
    <n v="83892"/>
  </r>
  <r>
    <x v="8"/>
    <s v="Endenergieverbrauch - Sonstige Sektoren - Handel und öffentliche Dienstleistungen - energetischer Verbrauch"/>
    <s v="Elektrizität"/>
    <s v="Gigawattstunde"/>
    <x v="9"/>
    <x v="0"/>
    <n v="81825"/>
  </r>
  <r>
    <x v="8"/>
    <s v="Endenergieverbrauch - Sonstige Sektoren - Handel und öffentliche Dienstleistungen - energetischer Verbrauch"/>
    <s v="Elektrizität"/>
    <s v="Gigawattstunde"/>
    <x v="10"/>
    <x v="0"/>
    <n v="80752"/>
  </r>
  <r>
    <x v="8"/>
    <s v="Endenergieverbrauch - Sonstige Sektoren - Handel und öffentliche Dienstleistungen - energetischer Verbrauch"/>
    <s v="Elektrizität"/>
    <s v="Gigawattstunde"/>
    <x v="11"/>
    <x v="0"/>
    <n v="76302"/>
  </r>
  <r>
    <x v="8"/>
    <s v="Endenergieverbrauch - Sonstige Sektoren - Handel und öffentliche Dienstleistungen - energetischer Verbrauch"/>
    <s v="Elektrizität"/>
    <s v="Gigawattstunde"/>
    <x v="12"/>
    <x v="0"/>
    <n v="70562"/>
  </r>
  <r>
    <x v="8"/>
    <s v="Endenergieverbrauch - Sonstige Sektoren - Handel und öffentliche Dienstleistungen - energetischer Verbrauch"/>
    <s v="Elektrizität"/>
    <s v="Gigawattstunde"/>
    <x v="13"/>
    <x v="0"/>
    <n v="74108"/>
  </r>
  <r>
    <x v="8"/>
    <s v="Endenergieverbrauch - Sonstige Sektoren - Handel und öffentliche Dienstleistungen - energetischer Verbrauch"/>
    <s v="Elektrizität"/>
    <s v="Gigawattstunde"/>
    <x v="14"/>
    <x v="0"/>
    <n v="73388"/>
  </r>
  <r>
    <x v="8"/>
    <s v="Endenergieverbrauch - Sonstige Sektoren - Handel und öffentliche Dienstleistungen - energetischer Verbrauch"/>
    <s v="Elektrizität"/>
    <s v="Gigawattstunde"/>
    <x v="15"/>
    <x v="0"/>
    <n v="75307"/>
  </r>
  <r>
    <x v="8"/>
    <s v="Endenergieverbrauch - Sonstige Sektoren - Handel und öffentliche Dienstleistungen - energetischer Verbrauch"/>
    <s v="Elektrizität"/>
    <s v="Gigawattstunde"/>
    <x v="16"/>
    <x v="0"/>
    <n v="74513"/>
  </r>
  <r>
    <x v="9"/>
    <s v="Endenergieverbrauch - Sonstige Sektoren - Handel und öffentliche Dienstleistungen - energetischer Verbrauch"/>
    <s v="Elektrizität"/>
    <s v="Gigawattstunde"/>
    <x v="0"/>
    <x v="0"/>
    <n v="108712"/>
  </r>
  <r>
    <x v="9"/>
    <s v="Endenergieverbrauch - Sonstige Sektoren - Handel und öffentliche Dienstleistungen - energetischer Verbrauch"/>
    <s v="Elektrizität"/>
    <s v="Gigawattstunde"/>
    <x v="1"/>
    <x v="0"/>
    <n v="116183"/>
  </r>
  <r>
    <x v="9"/>
    <s v="Endenergieverbrauch - Sonstige Sektoren - Handel und öffentliche Dienstleistungen - energetischer Verbrauch"/>
    <s v="Elektrizität"/>
    <s v="Gigawattstunde"/>
    <x v="2"/>
    <x v="0"/>
    <n v="120337"/>
  </r>
  <r>
    <x v="9"/>
    <s v="Endenergieverbrauch - Sonstige Sektoren - Handel und öffentliche Dienstleistungen - energetischer Verbrauch"/>
    <s v="Elektrizität"/>
    <s v="Gigawattstunde"/>
    <x v="3"/>
    <x v="0"/>
    <n v="125188"/>
  </r>
  <r>
    <x v="9"/>
    <s v="Endenergieverbrauch - Sonstige Sektoren - Handel und öffentliche Dienstleistungen - energetischer Verbrauch"/>
    <s v="Elektrizität"/>
    <s v="Gigawattstunde"/>
    <x v="4"/>
    <x v="0"/>
    <n v="129924"/>
  </r>
  <r>
    <x v="9"/>
    <s v="Endenergieverbrauch - Sonstige Sektoren - Handel und öffentliche Dienstleistungen - energetischer Verbrauch"/>
    <s v="Elektrizität"/>
    <s v="Gigawattstunde"/>
    <x v="5"/>
    <x v="0"/>
    <n v="133217"/>
  </r>
  <r>
    <x v="9"/>
    <s v="Endenergieverbrauch - Sonstige Sektoren - Handel und öffentliche Dienstleistungen - energetischer Verbrauch"/>
    <s v="Elektrizität"/>
    <s v="Gigawattstunde"/>
    <x v="6"/>
    <x v="0"/>
    <n v="132482"/>
  </r>
  <r>
    <x v="9"/>
    <s v="Endenergieverbrauch - Sonstige Sektoren - Handel und öffentliche Dienstleistungen - energetischer Verbrauch"/>
    <s v="Elektrizität"/>
    <s v="Gigawattstunde"/>
    <x v="7"/>
    <x v="0"/>
    <n v="136668"/>
  </r>
  <r>
    <x v="9"/>
    <s v="Endenergieverbrauch - Sonstige Sektoren - Handel und öffentliche Dienstleistungen - energetischer Verbrauch"/>
    <s v="Elektrizität"/>
    <s v="Gigawattstunde"/>
    <x v="8"/>
    <x v="0"/>
    <n v="144664"/>
  </r>
  <r>
    <x v="9"/>
    <s v="Endenergieverbrauch - Sonstige Sektoren - Handel und öffentliche Dienstleistungen - energetischer Verbrauch"/>
    <s v="Elektrizität"/>
    <s v="Gigawattstunde"/>
    <x v="9"/>
    <x v="0"/>
    <n v="135741.87"/>
  </r>
  <r>
    <x v="9"/>
    <s v="Endenergieverbrauch - Sonstige Sektoren - Handel und öffentliche Dienstleistungen - energetischer Verbrauch"/>
    <s v="Elektrizität"/>
    <s v="Gigawattstunde"/>
    <x v="10"/>
    <x v="0"/>
    <n v="141858.549"/>
  </r>
  <r>
    <x v="9"/>
    <s v="Endenergieverbrauch - Sonstige Sektoren - Handel und öffentliche Dienstleistungen - energetischer Verbrauch"/>
    <s v="Elektrizität"/>
    <s v="Gigawattstunde"/>
    <x v="11"/>
    <x v="0"/>
    <n v="142102.28700000001"/>
  </r>
  <r>
    <x v="9"/>
    <s v="Endenergieverbrauch - Sonstige Sektoren - Handel und öffentliche Dienstleistungen - energetischer Verbrauch"/>
    <s v="Elektrizität"/>
    <s v="Gigawattstunde"/>
    <x v="12"/>
    <x v="0"/>
    <n v="135993.97700000001"/>
  </r>
  <r>
    <x v="9"/>
    <s v="Endenergieverbrauch - Sonstige Sektoren - Handel und öffentliche Dienstleistungen - energetischer Verbrauch"/>
    <s v="Elektrizität"/>
    <s v="Gigawattstunde"/>
    <x v="13"/>
    <x v="0"/>
    <n v="139343.10999999999"/>
  </r>
  <r>
    <x v="9"/>
    <s v="Endenergieverbrauch - Sonstige Sektoren - Handel und öffentliche Dienstleistungen - energetischer Verbrauch"/>
    <s v="Elektrizität"/>
    <s v="Gigawattstunde"/>
    <x v="14"/>
    <x v="0"/>
    <n v="139851.70199999999"/>
  </r>
  <r>
    <x v="9"/>
    <s v="Endenergieverbrauch - Sonstige Sektoren - Handel und öffentliche Dienstleistungen - energetischer Verbrauch"/>
    <s v="Elektrizität"/>
    <s v="Gigawattstunde"/>
    <x v="15"/>
    <x v="0"/>
    <n v="139382.383"/>
  </r>
  <r>
    <x v="9"/>
    <s v="Endenergieverbrauch - Sonstige Sektoren - Handel und öffentliche Dienstleistungen - energetischer Verbrauch"/>
    <s v="Elektrizität"/>
    <s v="Gigawattstunde"/>
    <x v="16"/>
    <x v="0"/>
    <n v="138487.65400000001"/>
  </r>
  <r>
    <x v="10"/>
    <s v="Endenergieverbrauch - Sonstige Sektoren - Handel und öffentliche Dienstleistungen - energetischer Verbrauch"/>
    <s v="Elektrizität"/>
    <s v="Gigawattstunde"/>
    <x v="0"/>
    <x v="0"/>
    <n v="3484"/>
  </r>
  <r>
    <x v="10"/>
    <s v="Endenergieverbrauch - Sonstige Sektoren - Handel und öffentliche Dienstleistungen - energetischer Verbrauch"/>
    <s v="Elektrizität"/>
    <s v="Gigawattstunde"/>
    <x v="1"/>
    <x v="0"/>
    <n v="3757"/>
  </r>
  <r>
    <x v="10"/>
    <s v="Endenergieverbrauch - Sonstige Sektoren - Handel und öffentliche Dienstleistungen - energetischer Verbrauch"/>
    <s v="Elektrizität"/>
    <s v="Gigawattstunde"/>
    <x v="2"/>
    <x v="0"/>
    <n v="4030"/>
  </r>
  <r>
    <x v="10"/>
    <s v="Endenergieverbrauch - Sonstige Sektoren - Handel und öffentliche Dienstleistungen - energetischer Verbrauch"/>
    <s v="Elektrizität"/>
    <s v="Gigawattstunde"/>
    <x v="3"/>
    <x v="0"/>
    <n v="4413"/>
  </r>
  <r>
    <x v="10"/>
    <s v="Endenergieverbrauch - Sonstige Sektoren - Handel und öffentliche Dienstleistungen - energetischer Verbrauch"/>
    <s v="Elektrizität"/>
    <s v="Gigawattstunde"/>
    <x v="4"/>
    <x v="0"/>
    <n v="4686"/>
  </r>
  <r>
    <x v="10"/>
    <s v="Endenergieverbrauch - Sonstige Sektoren - Handel und öffentliche Dienstleistungen - energetischer Verbrauch"/>
    <s v="Elektrizität"/>
    <s v="Gigawattstunde"/>
    <x v="5"/>
    <x v="0"/>
    <n v="4873"/>
  </r>
  <r>
    <x v="10"/>
    <s v="Endenergieverbrauch - Sonstige Sektoren - Handel und öffentliche Dienstleistungen - energetischer Verbrauch"/>
    <s v="Elektrizität"/>
    <s v="Gigawattstunde"/>
    <x v="6"/>
    <x v="0"/>
    <n v="5288"/>
  </r>
  <r>
    <x v="10"/>
    <s v="Endenergieverbrauch - Sonstige Sektoren - Handel und öffentliche Dienstleistungen - energetischer Verbrauch"/>
    <s v="Elektrizität"/>
    <s v="Gigawattstunde"/>
    <x v="7"/>
    <x v="0"/>
    <n v="5311"/>
  </r>
  <r>
    <x v="10"/>
    <s v="Endenergieverbrauch - Sonstige Sektoren - Handel und öffentliche Dienstleistungen - energetischer Verbrauch"/>
    <s v="Elektrizität"/>
    <s v="Gigawattstunde"/>
    <x v="8"/>
    <x v="0"/>
    <n v="5385"/>
  </r>
  <r>
    <x v="10"/>
    <s v="Endenergieverbrauch - Sonstige Sektoren - Handel und öffentliche Dienstleistungen - energetischer Verbrauch"/>
    <s v="Elektrizität"/>
    <s v="Gigawattstunde"/>
    <x v="9"/>
    <x v="0"/>
    <n v="5516"/>
  </r>
  <r>
    <x v="10"/>
    <s v="Endenergieverbrauch - Sonstige Sektoren - Handel und öffentliche Dienstleistungen - energetischer Verbrauch"/>
    <s v="Elektrizität"/>
    <s v="Gigawattstunde"/>
    <x v="10"/>
    <x v="0"/>
    <n v="5513"/>
  </r>
  <r>
    <x v="10"/>
    <s v="Endenergieverbrauch - Sonstige Sektoren - Handel und öffentliche Dienstleistungen - energetischer Verbrauch"/>
    <s v="Elektrizität"/>
    <s v="Gigawattstunde"/>
    <x v="11"/>
    <x v="0"/>
    <n v="5387"/>
  </r>
  <r>
    <x v="10"/>
    <s v="Endenergieverbrauch - Sonstige Sektoren - Handel und öffentliche Dienstleistungen - energetischer Verbrauch"/>
    <s v="Elektrizität"/>
    <s v="Gigawattstunde"/>
    <x v="12"/>
    <x v="0"/>
    <n v="5215"/>
  </r>
  <r>
    <x v="10"/>
    <s v="Endenergieverbrauch - Sonstige Sektoren - Handel und öffentliche Dienstleistungen - energetischer Verbrauch"/>
    <s v="Elektrizität"/>
    <s v="Gigawattstunde"/>
    <x v="13"/>
    <x v="0"/>
    <n v="5405"/>
  </r>
  <r>
    <x v="10"/>
    <s v="Endenergieverbrauch - Sonstige Sektoren - Handel und öffentliche Dienstleistungen - energetischer Verbrauch"/>
    <s v="Elektrizität"/>
    <s v="Gigawattstunde"/>
    <x v="14"/>
    <x v="0"/>
    <n v="5433"/>
  </r>
  <r>
    <x v="10"/>
    <s v="Endenergieverbrauch - Sonstige Sektoren - Handel und öffentliche Dienstleistungen - energetischer Verbrauch"/>
    <s v="Elektrizität"/>
    <s v="Gigawattstunde"/>
    <x v="15"/>
    <x v="0"/>
    <n v="5777.1"/>
  </r>
  <r>
    <x v="10"/>
    <s v="Endenergieverbrauch - Sonstige Sektoren - Handel und öffentliche Dienstleistungen - energetischer Verbrauch"/>
    <s v="Elektrizität"/>
    <s v="Gigawattstunde"/>
    <x v="16"/>
    <x v="0"/>
    <n v="5945.2"/>
  </r>
  <r>
    <x v="11"/>
    <s v="Endenergieverbrauch - Sonstige Sektoren - Handel und öffentliche Dienstleistungen - energetischer Verbrauch"/>
    <s v="Elektrizität"/>
    <s v="Gigawattstunde"/>
    <x v="0"/>
    <x v="0"/>
    <n v="62830"/>
  </r>
  <r>
    <x v="11"/>
    <s v="Endenergieverbrauch - Sonstige Sektoren - Handel und öffentliche Dienstleistungen - energetischer Verbrauch"/>
    <s v="Elektrizität"/>
    <s v="Gigawattstunde"/>
    <x v="1"/>
    <x v="0"/>
    <n v="67426"/>
  </r>
  <r>
    <x v="11"/>
    <s v="Endenergieverbrauch - Sonstige Sektoren - Handel und öffentliche Dienstleistungen - energetischer Verbrauch"/>
    <s v="Elektrizität"/>
    <s v="Gigawattstunde"/>
    <x v="2"/>
    <x v="0"/>
    <n v="69955"/>
  </r>
  <r>
    <x v="11"/>
    <s v="Endenergieverbrauch - Sonstige Sektoren - Handel und öffentliche Dienstleistungen - energetischer Verbrauch"/>
    <s v="Elektrizität"/>
    <s v="Gigawattstunde"/>
    <x v="3"/>
    <x v="0"/>
    <n v="73875"/>
  </r>
  <r>
    <x v="11"/>
    <s v="Endenergieverbrauch - Sonstige Sektoren - Handel und öffentliche Dienstleistungen - energetischer Verbrauch"/>
    <s v="Elektrizität"/>
    <s v="Gigawattstunde"/>
    <x v="4"/>
    <x v="0"/>
    <n v="78057"/>
  </r>
  <r>
    <x v="11"/>
    <s v="Endenergieverbrauch - Sonstige Sektoren - Handel und öffentliche Dienstleistungen - energetischer Verbrauch"/>
    <s v="Elektrizität"/>
    <s v="Gigawattstunde"/>
    <x v="5"/>
    <x v="0"/>
    <n v="79865"/>
  </r>
  <r>
    <x v="11"/>
    <s v="Endenergieverbrauch - Sonstige Sektoren - Handel und öffentliche Dienstleistungen - energetischer Verbrauch"/>
    <s v="Elektrizität"/>
    <s v="Gigawattstunde"/>
    <x v="6"/>
    <x v="0"/>
    <n v="82773"/>
  </r>
  <r>
    <x v="11"/>
    <s v="Endenergieverbrauch - Sonstige Sektoren - Handel und öffentliche Dienstleistungen - energetischer Verbrauch"/>
    <s v="Elektrizität"/>
    <s v="Gigawattstunde"/>
    <x v="7"/>
    <x v="0"/>
    <n v="84300"/>
  </r>
  <r>
    <x v="11"/>
    <s v="Endenergieverbrauch - Sonstige Sektoren - Handel und öffentliche Dienstleistungen - energetischer Verbrauch"/>
    <s v="Elektrizität"/>
    <s v="Gigawattstunde"/>
    <x v="8"/>
    <x v="0"/>
    <n v="85619"/>
  </r>
  <r>
    <x v="11"/>
    <s v="Endenergieverbrauch - Sonstige Sektoren - Handel und öffentliche Dienstleistungen - energetischer Verbrauch"/>
    <s v="Elektrizität"/>
    <s v="Gigawattstunde"/>
    <x v="9"/>
    <x v="0"/>
    <n v="86912"/>
  </r>
  <r>
    <x v="11"/>
    <s v="Endenergieverbrauch - Sonstige Sektoren - Handel und öffentliche Dienstleistungen - energetischer Verbrauch"/>
    <s v="Elektrizität"/>
    <s v="Gigawattstunde"/>
    <x v="10"/>
    <x v="0"/>
    <n v="90279"/>
  </r>
  <r>
    <x v="11"/>
    <s v="Endenergieverbrauch - Sonstige Sektoren - Handel und öffentliche Dienstleistungen - energetischer Verbrauch"/>
    <s v="Elektrizität"/>
    <s v="Gigawattstunde"/>
    <x v="11"/>
    <x v="0"/>
    <n v="88982"/>
  </r>
  <r>
    <x v="11"/>
    <s v="Endenergieverbrauch - Sonstige Sektoren - Handel und öffentliche Dienstleistungen - energetischer Verbrauch"/>
    <s v="Elektrizität"/>
    <s v="Gigawattstunde"/>
    <x v="12"/>
    <x v="0"/>
    <n v="88489"/>
  </r>
  <r>
    <x v="11"/>
    <s v="Endenergieverbrauch - Sonstige Sektoren - Handel und öffentliche Dienstleistungen - energetischer Verbrauch"/>
    <s v="Elektrizität"/>
    <s v="Gigawattstunde"/>
    <x v="13"/>
    <x v="0"/>
    <n v="92085"/>
  </r>
  <r>
    <x v="11"/>
    <s v="Endenergieverbrauch - Sonstige Sektoren - Handel und öffentliche Dienstleistungen - energetischer Verbrauch"/>
    <s v="Elektrizität"/>
    <s v="Gigawattstunde"/>
    <x v="14"/>
    <x v="0"/>
    <n v="91736"/>
  </r>
  <r>
    <x v="11"/>
    <s v="Endenergieverbrauch - Sonstige Sektoren - Handel und öffentliche Dienstleistungen - energetischer Verbrauch"/>
    <s v="Elektrizität"/>
    <s v="Gigawattstunde"/>
    <x v="15"/>
    <x v="0"/>
    <n v="93491.933999999994"/>
  </r>
  <r>
    <x v="11"/>
    <s v="Endenergieverbrauch - Sonstige Sektoren - Handel und öffentliche Dienstleistungen - energetischer Verbrauch"/>
    <s v="Elektrizität"/>
    <s v="Gigawattstunde"/>
    <x v="16"/>
    <x v="0"/>
    <n v="94489.797999999995"/>
  </r>
  <r>
    <x v="12"/>
    <s v="Endenergieverbrauch - Sonstige Sektoren - Handel und öffentliche Dienstleistungen - energetischer Verbrauch"/>
    <s v="Elektrizität"/>
    <s v="Gigawattstunde"/>
    <x v="0"/>
    <x v="0"/>
    <n v="1584"/>
  </r>
  <r>
    <x v="12"/>
    <s v="Endenergieverbrauch - Sonstige Sektoren - Handel und öffentliche Dienstleistungen - energetischer Verbrauch"/>
    <s v="Elektrizität"/>
    <s v="Gigawattstunde"/>
    <x v="1"/>
    <x v="0"/>
    <n v="1664"/>
  </r>
  <r>
    <x v="12"/>
    <s v="Endenergieverbrauch - Sonstige Sektoren - Handel und öffentliche Dienstleistungen - energetischer Verbrauch"/>
    <s v="Elektrizität"/>
    <s v="Gigawattstunde"/>
    <x v="2"/>
    <x v="0"/>
    <n v="1712.355"/>
  </r>
  <r>
    <x v="12"/>
    <s v="Endenergieverbrauch - Sonstige Sektoren - Handel und öffentliche Dienstleistungen - energetischer Verbrauch"/>
    <s v="Elektrizität"/>
    <s v="Gigawattstunde"/>
    <x v="3"/>
    <x v="0"/>
    <n v="1786.355"/>
  </r>
  <r>
    <x v="12"/>
    <s v="Endenergieverbrauch - Sonstige Sektoren - Handel und öffentliche Dienstleistungen - energetischer Verbrauch"/>
    <s v="Elektrizität"/>
    <s v="Gigawattstunde"/>
    <x v="4"/>
    <x v="0"/>
    <n v="1858.355"/>
  </r>
  <r>
    <x v="12"/>
    <s v="Endenergieverbrauch - Sonstige Sektoren - Handel und öffentliche Dienstleistungen - energetischer Verbrauch"/>
    <s v="Elektrizität"/>
    <s v="Gigawattstunde"/>
    <x v="5"/>
    <x v="0"/>
    <n v="1952.355"/>
  </r>
  <r>
    <x v="12"/>
    <s v="Endenergieverbrauch - Sonstige Sektoren - Handel und öffentliche Dienstleistungen - energetischer Verbrauch"/>
    <s v="Elektrizität"/>
    <s v="Gigawattstunde"/>
    <x v="6"/>
    <x v="0"/>
    <n v="2067.355"/>
  </r>
  <r>
    <x v="12"/>
    <s v="Endenergieverbrauch - Sonstige Sektoren - Handel und öffentliche Dienstleistungen - energetischer Verbrauch"/>
    <s v="Elektrizität"/>
    <s v="Gigawattstunde"/>
    <x v="7"/>
    <x v="0"/>
    <n v="2164.355"/>
  </r>
  <r>
    <x v="12"/>
    <s v="Endenergieverbrauch - Sonstige Sektoren - Handel und öffentliche Dienstleistungen - energetischer Verbrauch"/>
    <s v="Elektrizität"/>
    <s v="Gigawattstunde"/>
    <x v="8"/>
    <x v="0"/>
    <n v="2256.355"/>
  </r>
  <r>
    <x v="12"/>
    <s v="Endenergieverbrauch - Sonstige Sektoren - Handel und öffentliche Dienstleistungen - energetischer Verbrauch"/>
    <s v="Elektrizität"/>
    <s v="Gigawattstunde"/>
    <x v="9"/>
    <x v="0"/>
    <n v="2138.4140000000002"/>
  </r>
  <r>
    <x v="12"/>
    <s v="Endenergieverbrauch - Sonstige Sektoren - Handel und öffentliche Dienstleistungen - energetischer Verbrauch"/>
    <s v="Elektrizität"/>
    <s v="Gigawattstunde"/>
    <x v="10"/>
    <x v="0"/>
    <n v="2000.4290000000001"/>
  </r>
  <r>
    <x v="12"/>
    <s v="Endenergieverbrauch - Sonstige Sektoren - Handel und öffentliche Dienstleistungen - energetischer Verbrauch"/>
    <s v="Elektrizität"/>
    <s v="Gigawattstunde"/>
    <x v="11"/>
    <x v="0"/>
    <n v="1786.4290000000001"/>
  </r>
  <r>
    <x v="12"/>
    <s v="Endenergieverbrauch - Sonstige Sektoren - Handel und öffentliche Dienstleistungen - energetischer Verbrauch"/>
    <s v="Elektrizität"/>
    <s v="Gigawattstunde"/>
    <x v="12"/>
    <x v="0"/>
    <n v="1838.4290000000001"/>
  </r>
  <r>
    <x v="12"/>
    <s v="Endenergieverbrauch - Sonstige Sektoren - Handel und öffentliche Dienstleistungen - energetischer Verbrauch"/>
    <s v="Elektrizität"/>
    <s v="Gigawattstunde"/>
    <x v="13"/>
    <x v="0"/>
    <n v="1886.4290000000001"/>
  </r>
  <r>
    <x v="12"/>
    <s v="Endenergieverbrauch - Sonstige Sektoren - Handel und öffentliche Dienstleistungen - energetischer Verbrauch"/>
    <s v="Elektrizität"/>
    <s v="Gigawattstunde"/>
    <x v="14"/>
    <x v="0"/>
    <n v="2065.4290000000001"/>
  </r>
  <r>
    <x v="12"/>
    <s v="Endenergieverbrauch - Sonstige Sektoren - Handel und öffentliche Dienstleistungen - energetischer Verbrauch"/>
    <s v="Elektrizität"/>
    <s v="Gigawattstunde"/>
    <x v="15"/>
    <x v="0"/>
    <n v="2096.6610000000001"/>
  </r>
  <r>
    <x v="12"/>
    <s v="Endenergieverbrauch - Sonstige Sektoren - Handel und öffentliche Dienstleistungen - energetischer Verbrauch"/>
    <s v="Elektrizität"/>
    <s v="Gigawattstunde"/>
    <x v="16"/>
    <x v="0"/>
    <n v="2174.0340000000001"/>
  </r>
  <r>
    <x v="13"/>
    <s v="Endenergieverbrauch - Sonstige Sektoren - Handel und öffentliche Dienstleistungen - energetischer Verbrauch"/>
    <s v="Elektrizität"/>
    <s v="Gigawattstunde"/>
    <x v="0"/>
    <x v="0"/>
    <n v="1727"/>
  </r>
  <r>
    <x v="13"/>
    <s v="Endenergieverbrauch - Sonstige Sektoren - Handel und öffentliche Dienstleistungen - energetischer Verbrauch"/>
    <s v="Elektrizität"/>
    <s v="Gigawattstunde"/>
    <x v="1"/>
    <x v="0"/>
    <n v="1865"/>
  </r>
  <r>
    <x v="13"/>
    <s v="Endenergieverbrauch - Sonstige Sektoren - Handel und öffentliche Dienstleistungen - energetischer Verbrauch"/>
    <s v="Elektrizität"/>
    <s v="Gigawattstunde"/>
    <x v="2"/>
    <x v="0"/>
    <n v="1988"/>
  </r>
  <r>
    <x v="13"/>
    <s v="Endenergieverbrauch - Sonstige Sektoren - Handel und öffentliche Dienstleistungen - energetischer Verbrauch"/>
    <s v="Elektrizität"/>
    <s v="Gigawattstunde"/>
    <x v="3"/>
    <x v="0"/>
    <n v="2142"/>
  </r>
  <r>
    <x v="13"/>
    <s v="Endenergieverbrauch - Sonstige Sektoren - Handel und öffentliche Dienstleistungen - energetischer Verbrauch"/>
    <s v="Elektrizität"/>
    <s v="Gigawattstunde"/>
    <x v="4"/>
    <x v="0"/>
    <n v="2331"/>
  </r>
  <r>
    <x v="13"/>
    <s v="Endenergieverbrauch - Sonstige Sektoren - Handel und öffentliche Dienstleistungen - energetischer Verbrauch"/>
    <s v="Elektrizität"/>
    <s v="Gigawattstunde"/>
    <x v="5"/>
    <x v="0"/>
    <n v="2704"/>
  </r>
  <r>
    <x v="13"/>
    <s v="Endenergieverbrauch - Sonstige Sektoren - Handel und öffentliche Dienstleistungen - energetischer Verbrauch"/>
    <s v="Elektrizität"/>
    <s v="Gigawattstunde"/>
    <x v="6"/>
    <x v="0"/>
    <n v="2628"/>
  </r>
  <r>
    <x v="13"/>
    <s v="Endenergieverbrauch - Sonstige Sektoren - Handel und öffentliche Dienstleistungen - energetischer Verbrauch"/>
    <s v="Elektrizität"/>
    <s v="Gigawattstunde"/>
    <x v="7"/>
    <x v="0"/>
    <n v="2335"/>
  </r>
  <r>
    <x v="13"/>
    <s v="Endenergieverbrauch - Sonstige Sektoren - Handel und öffentliche Dienstleistungen - energetischer Verbrauch"/>
    <s v="Elektrizität"/>
    <s v="Gigawattstunde"/>
    <x v="8"/>
    <x v="0"/>
    <n v="2420"/>
  </r>
  <r>
    <x v="13"/>
    <s v="Endenergieverbrauch - Sonstige Sektoren - Handel und öffentliche Dienstleistungen - energetischer Verbrauch"/>
    <s v="Elektrizität"/>
    <s v="Gigawattstunde"/>
    <x v="9"/>
    <x v="0"/>
    <n v="2487"/>
  </r>
  <r>
    <x v="13"/>
    <s v="Endenergieverbrauch - Sonstige Sektoren - Handel und öffentliche Dienstleistungen - energetischer Verbrauch"/>
    <s v="Elektrizität"/>
    <s v="Gigawattstunde"/>
    <x v="10"/>
    <x v="0"/>
    <n v="2798"/>
  </r>
  <r>
    <x v="13"/>
    <s v="Endenergieverbrauch - Sonstige Sektoren - Handel und öffentliche Dienstleistungen - energetischer Verbrauch"/>
    <s v="Elektrizität"/>
    <s v="Gigawattstunde"/>
    <x v="11"/>
    <x v="0"/>
    <n v="2703"/>
  </r>
  <r>
    <x v="13"/>
    <s v="Endenergieverbrauch - Sonstige Sektoren - Handel und öffentliche Dienstleistungen - energetischer Verbrauch"/>
    <s v="Elektrizität"/>
    <s v="Gigawattstunde"/>
    <x v="12"/>
    <x v="0"/>
    <n v="2882"/>
  </r>
  <r>
    <x v="13"/>
    <s v="Endenergieverbrauch - Sonstige Sektoren - Handel und öffentliche Dienstleistungen - energetischer Verbrauch"/>
    <s v="Elektrizität"/>
    <s v="Gigawattstunde"/>
    <x v="13"/>
    <x v="0"/>
    <n v="2725"/>
  </r>
  <r>
    <x v="13"/>
    <s v="Endenergieverbrauch - Sonstige Sektoren - Handel und öffentliche Dienstleistungen - energetischer Verbrauch"/>
    <s v="Elektrizität"/>
    <s v="Gigawattstunde"/>
    <x v="14"/>
    <x v="0"/>
    <n v="2733"/>
  </r>
  <r>
    <x v="13"/>
    <s v="Endenergieverbrauch - Sonstige Sektoren - Handel und öffentliche Dienstleistungen - energetischer Verbrauch"/>
    <s v="Elektrizität"/>
    <s v="Gigawattstunde"/>
    <x v="15"/>
    <x v="0"/>
    <n v="2764.703"/>
  </r>
  <r>
    <x v="13"/>
    <s v="Endenergieverbrauch - Sonstige Sektoren - Handel und öffentliche Dienstleistungen - energetischer Verbrauch"/>
    <s v="Elektrizität"/>
    <s v="Gigawattstunde"/>
    <x v="16"/>
    <x v="0"/>
    <n v="2856.0070000000001"/>
  </r>
  <r>
    <x v="14"/>
    <s v="Endenergieverbrauch - Sonstige Sektoren - Handel und öffentliche Dienstleistungen - energetischer Verbrauch"/>
    <s v="Elektrizität"/>
    <s v="Gigawattstunde"/>
    <x v="0"/>
    <x v="0"/>
    <n v="2096"/>
  </r>
  <r>
    <x v="14"/>
    <s v="Endenergieverbrauch - Sonstige Sektoren - Handel und öffentliche Dienstleistungen - energetischer Verbrauch"/>
    <s v="Elektrizität"/>
    <s v="Gigawattstunde"/>
    <x v="1"/>
    <x v="0"/>
    <n v="2375"/>
  </r>
  <r>
    <x v="14"/>
    <s v="Endenergieverbrauch - Sonstige Sektoren - Handel und öffentliche Dienstleistungen - energetischer Verbrauch"/>
    <s v="Elektrizität"/>
    <s v="Gigawattstunde"/>
    <x v="2"/>
    <x v="0"/>
    <n v="2543"/>
  </r>
  <r>
    <x v="14"/>
    <s v="Endenergieverbrauch - Sonstige Sektoren - Handel und öffentliche Dienstleistungen - energetischer Verbrauch"/>
    <s v="Elektrizität"/>
    <s v="Gigawattstunde"/>
    <x v="3"/>
    <x v="0"/>
    <n v="2686"/>
  </r>
  <r>
    <x v="14"/>
    <s v="Endenergieverbrauch - Sonstige Sektoren - Handel und öffentliche Dienstleistungen - energetischer Verbrauch"/>
    <s v="Elektrizität"/>
    <s v="Gigawattstunde"/>
    <x v="4"/>
    <x v="0"/>
    <n v="2836"/>
  </r>
  <r>
    <x v="14"/>
    <s v="Endenergieverbrauch - Sonstige Sektoren - Handel und öffentliche Dienstleistungen - energetischer Verbrauch"/>
    <s v="Elektrizität"/>
    <s v="Gigawattstunde"/>
    <x v="5"/>
    <x v="0"/>
    <n v="3012"/>
  </r>
  <r>
    <x v="14"/>
    <s v="Endenergieverbrauch - Sonstige Sektoren - Handel und öffentliche Dienstleistungen - energetischer Verbrauch"/>
    <s v="Elektrizität"/>
    <s v="Gigawattstunde"/>
    <x v="6"/>
    <x v="0"/>
    <n v="3240"/>
  </r>
  <r>
    <x v="14"/>
    <s v="Endenergieverbrauch - Sonstige Sektoren - Handel und öffentliche Dienstleistungen - energetischer Verbrauch"/>
    <s v="Elektrizität"/>
    <s v="Gigawattstunde"/>
    <x v="7"/>
    <x v="0"/>
    <n v="2955"/>
  </r>
  <r>
    <x v="14"/>
    <s v="Endenergieverbrauch - Sonstige Sektoren - Handel und öffentliche Dienstleistungen - energetischer Verbrauch"/>
    <s v="Elektrizität"/>
    <s v="Gigawattstunde"/>
    <x v="8"/>
    <x v="0"/>
    <n v="2839"/>
  </r>
  <r>
    <x v="14"/>
    <s v="Endenergieverbrauch - Sonstige Sektoren - Handel und öffentliche Dienstleistungen - energetischer Verbrauch"/>
    <s v="Elektrizität"/>
    <s v="Gigawattstunde"/>
    <x v="9"/>
    <x v="0"/>
    <n v="2953"/>
  </r>
  <r>
    <x v="14"/>
    <s v="Endenergieverbrauch - Sonstige Sektoren - Handel und öffentliche Dienstleistungen - energetischer Verbrauch"/>
    <s v="Elektrizität"/>
    <s v="Gigawattstunde"/>
    <x v="10"/>
    <x v="0"/>
    <n v="3114"/>
  </r>
  <r>
    <x v="14"/>
    <s v="Endenergieverbrauch - Sonstige Sektoren - Handel und öffentliche Dienstleistungen - energetischer Verbrauch"/>
    <s v="Elektrizität"/>
    <s v="Gigawattstunde"/>
    <x v="11"/>
    <x v="0"/>
    <n v="3130"/>
  </r>
  <r>
    <x v="14"/>
    <s v="Endenergieverbrauch - Sonstige Sektoren - Handel und öffentliche Dienstleistungen - energetischer Verbrauch"/>
    <s v="Elektrizität"/>
    <s v="Gigawattstunde"/>
    <x v="12"/>
    <x v="0"/>
    <n v="3218"/>
  </r>
  <r>
    <x v="14"/>
    <s v="Endenergieverbrauch - Sonstige Sektoren - Handel und öffentliche Dienstleistungen - energetischer Verbrauch"/>
    <s v="Elektrizität"/>
    <s v="Gigawattstunde"/>
    <x v="13"/>
    <x v="0"/>
    <n v="3110"/>
  </r>
  <r>
    <x v="14"/>
    <s v="Endenergieverbrauch - Sonstige Sektoren - Handel und öffentliche Dienstleistungen - energetischer Verbrauch"/>
    <s v="Elektrizität"/>
    <s v="Gigawattstunde"/>
    <x v="14"/>
    <x v="0"/>
    <n v="3280"/>
  </r>
  <r>
    <x v="14"/>
    <s v="Endenergieverbrauch - Sonstige Sektoren - Handel und öffentliche Dienstleistungen - energetischer Verbrauch"/>
    <s v="Elektrizität"/>
    <s v="Gigawattstunde"/>
    <x v="15"/>
    <x v="0"/>
    <n v="3307.3"/>
  </r>
  <r>
    <x v="14"/>
    <s v="Endenergieverbrauch - Sonstige Sektoren - Handel und öffentliche Dienstleistungen - energetischer Verbrauch"/>
    <s v="Elektrizität"/>
    <s v="Gigawattstunde"/>
    <x v="16"/>
    <x v="0"/>
    <n v="3436.5"/>
  </r>
  <r>
    <x v="15"/>
    <s v="Endenergieverbrauch - Sonstige Sektoren - Handel und öffentliche Dienstleistungen - energetischer Verbrauch"/>
    <s v="Elektrizität"/>
    <s v="Gigawattstunde"/>
    <x v="0"/>
    <x v="0"/>
    <n v="1560.481"/>
  </r>
  <r>
    <x v="15"/>
    <s v="Endenergieverbrauch - Sonstige Sektoren - Handel und öffentliche Dienstleistungen - energetischer Verbrauch"/>
    <s v="Elektrizität"/>
    <s v="Gigawattstunde"/>
    <x v="1"/>
    <x v="0"/>
    <n v="1692.502"/>
  </r>
  <r>
    <x v="15"/>
    <s v="Endenergieverbrauch - Sonstige Sektoren - Handel und öffentliche Dienstleistungen - energetischer Verbrauch"/>
    <s v="Elektrizität"/>
    <s v="Gigawattstunde"/>
    <x v="2"/>
    <x v="0"/>
    <n v="1580.412"/>
  </r>
  <r>
    <x v="15"/>
    <s v="Endenergieverbrauch - Sonstige Sektoren - Handel und öffentliche Dienstleistungen - energetischer Verbrauch"/>
    <s v="Elektrizität"/>
    <s v="Gigawattstunde"/>
    <x v="3"/>
    <x v="0"/>
    <n v="1750.8389999999999"/>
  </r>
  <r>
    <x v="15"/>
    <s v="Endenergieverbrauch - Sonstige Sektoren - Handel und öffentliche Dienstleistungen - energetischer Verbrauch"/>
    <s v="Elektrizität"/>
    <s v="Gigawattstunde"/>
    <x v="4"/>
    <x v="0"/>
    <n v="1777.163"/>
  </r>
  <r>
    <x v="15"/>
    <s v="Endenergieverbrauch - Sonstige Sektoren - Handel und öffentliche Dienstleistungen - energetischer Verbrauch"/>
    <s v="Elektrizität"/>
    <s v="Gigawattstunde"/>
    <x v="5"/>
    <x v="0"/>
    <n v="2126.0250000000001"/>
  </r>
  <r>
    <x v="15"/>
    <s v="Endenergieverbrauch - Sonstige Sektoren - Handel und öffentliche Dienstleistungen - energetischer Verbrauch"/>
    <s v="Elektrizität"/>
    <s v="Gigawattstunde"/>
    <x v="6"/>
    <x v="0"/>
    <n v="2076.7939999999999"/>
  </r>
  <r>
    <x v="15"/>
    <s v="Endenergieverbrauch - Sonstige Sektoren - Handel und öffentliche Dienstleistungen - energetischer Verbrauch"/>
    <s v="Elektrizität"/>
    <s v="Gigawattstunde"/>
    <x v="7"/>
    <x v="0"/>
    <n v="1962.146"/>
  </r>
  <r>
    <x v="15"/>
    <s v="Endenergieverbrauch - Sonstige Sektoren - Handel und öffentliche Dienstleistungen - energetischer Verbrauch"/>
    <s v="Elektrizität"/>
    <s v="Gigawattstunde"/>
    <x v="8"/>
    <x v="0"/>
    <n v="1993.5340000000001"/>
  </r>
  <r>
    <x v="15"/>
    <s v="Endenergieverbrauch - Sonstige Sektoren - Handel und öffentliche Dienstleistungen - energetischer Verbrauch"/>
    <s v="Elektrizität"/>
    <s v="Gigawattstunde"/>
    <x v="9"/>
    <x v="0"/>
    <n v="1880.5709999999999"/>
  </r>
  <r>
    <x v="15"/>
    <s v="Endenergieverbrauch - Sonstige Sektoren - Handel und öffentliche Dienstleistungen - energetischer Verbrauch"/>
    <s v="Elektrizität"/>
    <s v="Gigawattstunde"/>
    <x v="10"/>
    <x v="0"/>
    <n v="1946.136"/>
  </r>
  <r>
    <x v="15"/>
    <s v="Endenergieverbrauch - Sonstige Sektoren - Handel und öffentliche Dienstleistungen - energetischer Verbrauch"/>
    <s v="Elektrizität"/>
    <s v="Gigawattstunde"/>
    <x v="11"/>
    <x v="0"/>
    <n v="1999.3019999999999"/>
  </r>
  <r>
    <x v="15"/>
    <s v="Endenergieverbrauch - Sonstige Sektoren - Handel und öffentliche Dienstleistungen - energetischer Verbrauch"/>
    <s v="Elektrizität"/>
    <s v="Gigawattstunde"/>
    <x v="12"/>
    <x v="0"/>
    <n v="1932.0830000000001"/>
  </r>
  <r>
    <x v="15"/>
    <s v="Endenergieverbrauch - Sonstige Sektoren - Handel und öffentliche Dienstleistungen - energetischer Verbrauch"/>
    <s v="Elektrizität"/>
    <s v="Gigawattstunde"/>
    <x v="13"/>
    <x v="0"/>
    <n v="1920.4"/>
  </r>
  <r>
    <x v="15"/>
    <s v="Endenergieverbrauch - Sonstige Sektoren - Handel und öffentliche Dienstleistungen - energetischer Verbrauch"/>
    <s v="Elektrizität"/>
    <s v="Gigawattstunde"/>
    <x v="14"/>
    <x v="0"/>
    <n v="1793.7170000000001"/>
  </r>
  <r>
    <x v="15"/>
    <s v="Endenergieverbrauch - Sonstige Sektoren - Handel und öffentliche Dienstleistungen - energetischer Verbrauch"/>
    <s v="Elektrizität"/>
    <s v="Gigawattstunde"/>
    <x v="15"/>
    <x v="0"/>
    <n v="2252.107"/>
  </r>
  <r>
    <x v="15"/>
    <s v="Endenergieverbrauch - Sonstige Sektoren - Handel und öffentliche Dienstleistungen - energetischer Verbrauch"/>
    <s v="Elektrizität"/>
    <s v="Gigawattstunde"/>
    <x v="16"/>
    <x v="0"/>
    <n v="2261.9299999999998"/>
  </r>
  <r>
    <x v="16"/>
    <s v="Endenergieverbrauch - Sonstige Sektoren - Handel und öffentliche Dienstleistungen - energetischer Verbrauch"/>
    <s v="Elektrizität"/>
    <s v="Gigawattstunde"/>
    <x v="0"/>
    <x v="0"/>
    <n v="8723"/>
  </r>
  <r>
    <x v="16"/>
    <s v="Endenergieverbrauch - Sonstige Sektoren - Handel und öffentliche Dienstleistungen - energetischer Verbrauch"/>
    <s v="Elektrizität"/>
    <s v="Gigawattstunde"/>
    <x v="1"/>
    <x v="0"/>
    <n v="8647"/>
  </r>
  <r>
    <x v="16"/>
    <s v="Endenergieverbrauch - Sonstige Sektoren - Handel und öffentliche Dienstleistungen - energetischer Verbrauch"/>
    <s v="Elektrizität"/>
    <s v="Gigawattstunde"/>
    <x v="2"/>
    <x v="0"/>
    <n v="9124"/>
  </r>
  <r>
    <x v="16"/>
    <s v="Endenergieverbrauch - Sonstige Sektoren - Handel und öffentliche Dienstleistungen - energetischer Verbrauch"/>
    <s v="Elektrizität"/>
    <s v="Gigawattstunde"/>
    <x v="3"/>
    <x v="0"/>
    <n v="9931"/>
  </r>
  <r>
    <x v="16"/>
    <s v="Endenergieverbrauch - Sonstige Sektoren - Handel und öffentliche Dienstleistungen - energetischer Verbrauch"/>
    <s v="Elektrizität"/>
    <s v="Gigawattstunde"/>
    <x v="4"/>
    <x v="0"/>
    <n v="10298"/>
  </r>
  <r>
    <x v="16"/>
    <s v="Endenergieverbrauch - Sonstige Sektoren - Handel und öffentliche Dienstleistungen - energetischer Verbrauch"/>
    <s v="Elektrizität"/>
    <s v="Gigawattstunde"/>
    <x v="5"/>
    <x v="0"/>
    <n v="10853"/>
  </r>
  <r>
    <x v="16"/>
    <s v="Endenergieverbrauch - Sonstige Sektoren - Handel und öffentliche Dienstleistungen - energetischer Verbrauch"/>
    <s v="Elektrizität"/>
    <s v="Gigawattstunde"/>
    <x v="6"/>
    <x v="0"/>
    <n v="10827"/>
  </r>
  <r>
    <x v="16"/>
    <s v="Endenergieverbrauch - Sonstige Sektoren - Handel und öffentliche Dienstleistungen - energetischer Verbrauch"/>
    <s v="Elektrizität"/>
    <s v="Gigawattstunde"/>
    <x v="7"/>
    <x v="0"/>
    <n v="11363"/>
  </r>
  <r>
    <x v="16"/>
    <s v="Endenergieverbrauch - Sonstige Sektoren - Handel und öffentliche Dienstleistungen - energetischer Verbrauch"/>
    <s v="Elektrizität"/>
    <s v="Gigawattstunde"/>
    <x v="8"/>
    <x v="0"/>
    <n v="11355"/>
  </r>
  <r>
    <x v="16"/>
    <s v="Endenergieverbrauch - Sonstige Sektoren - Handel und öffentliche Dienstleistungen - energetischer Verbrauch"/>
    <s v="Elektrizität"/>
    <s v="Gigawattstunde"/>
    <x v="9"/>
    <x v="0"/>
    <n v="11466"/>
  </r>
  <r>
    <x v="16"/>
    <s v="Endenergieverbrauch - Sonstige Sektoren - Handel und öffentliche Dienstleistungen - energetischer Verbrauch"/>
    <s v="Elektrizität"/>
    <s v="Gigawattstunde"/>
    <x v="10"/>
    <x v="0"/>
    <n v="7817"/>
  </r>
  <r>
    <x v="16"/>
    <s v="Endenergieverbrauch - Sonstige Sektoren - Handel und öffentliche Dienstleistungen - energetischer Verbrauch"/>
    <s v="Elektrizität"/>
    <s v="Gigawattstunde"/>
    <x v="11"/>
    <x v="0"/>
    <n v="7507"/>
  </r>
  <r>
    <x v="16"/>
    <s v="Endenergieverbrauch - Sonstige Sektoren - Handel und öffentliche Dienstleistungen - energetischer Verbrauch"/>
    <s v="Elektrizität"/>
    <s v="Gigawattstunde"/>
    <x v="12"/>
    <x v="0"/>
    <n v="7647"/>
  </r>
  <r>
    <x v="16"/>
    <s v="Endenergieverbrauch - Sonstige Sektoren - Handel und öffentliche Dienstleistungen - energetischer Verbrauch"/>
    <s v="Elektrizität"/>
    <s v="Gigawattstunde"/>
    <x v="13"/>
    <x v="0"/>
    <n v="7937"/>
  </r>
  <r>
    <x v="16"/>
    <s v="Endenergieverbrauch - Sonstige Sektoren - Handel und öffentliche Dienstleistungen - energetischer Verbrauch"/>
    <s v="Elektrizität"/>
    <s v="Gigawattstunde"/>
    <x v="14"/>
    <x v="0"/>
    <n v="8045"/>
  </r>
  <r>
    <x v="16"/>
    <s v="Endenergieverbrauch - Sonstige Sektoren - Handel und öffentliche Dienstleistungen - energetischer Verbrauch"/>
    <s v="Elektrizität"/>
    <s v="Gigawattstunde"/>
    <x v="15"/>
    <x v="0"/>
    <n v="8323"/>
  </r>
  <r>
    <x v="16"/>
    <s v="Endenergieverbrauch - Sonstige Sektoren - Handel und öffentliche Dienstleistungen - energetischer Verbrauch"/>
    <s v="Elektrizität"/>
    <s v="Gigawattstunde"/>
    <x v="16"/>
    <x v="0"/>
    <n v="8540"/>
  </r>
  <r>
    <x v="17"/>
    <s v="Endenergieverbrauch - Sonstige Sektoren - Handel und öffentliche Dienstleistungen - energetischer Verbrauch"/>
    <s v="Elektrizität"/>
    <s v="Gigawattstunde"/>
    <x v="0"/>
    <x v="0"/>
    <n v="577"/>
  </r>
  <r>
    <x v="17"/>
    <s v="Endenergieverbrauch - Sonstige Sektoren - Handel und öffentliche Dienstleistungen - energetischer Verbrauch"/>
    <s v="Elektrizität"/>
    <s v="Gigawattstunde"/>
    <x v="1"/>
    <x v="0"/>
    <n v="621"/>
  </r>
  <r>
    <x v="17"/>
    <s v="Endenergieverbrauch - Sonstige Sektoren - Handel und öffentliche Dienstleistungen - energetischer Verbrauch"/>
    <s v="Elektrizität"/>
    <s v="Gigawattstunde"/>
    <x v="2"/>
    <x v="0"/>
    <n v="624"/>
  </r>
  <r>
    <x v="17"/>
    <s v="Endenergieverbrauch - Sonstige Sektoren - Handel und öffentliche Dienstleistungen - energetischer Verbrauch"/>
    <s v="Elektrizität"/>
    <s v="Gigawattstunde"/>
    <x v="3"/>
    <x v="0"/>
    <n v="563"/>
  </r>
  <r>
    <x v="17"/>
    <s v="Endenergieverbrauch - Sonstige Sektoren - Handel und öffentliche Dienstleistungen - energetischer Verbrauch"/>
    <s v="Elektrizität"/>
    <s v="Gigawattstunde"/>
    <x v="4"/>
    <x v="0"/>
    <n v="664"/>
  </r>
  <r>
    <x v="17"/>
    <s v="Endenergieverbrauch - Sonstige Sektoren - Handel und öffentliche Dienstleistungen - energetischer Verbrauch"/>
    <s v="Elektrizität"/>
    <s v="Gigawattstunde"/>
    <x v="5"/>
    <x v="0"/>
    <n v="663"/>
  </r>
  <r>
    <x v="17"/>
    <s v="Endenergieverbrauch - Sonstige Sektoren - Handel und öffentliche Dienstleistungen - energetischer Verbrauch"/>
    <s v="Elektrizität"/>
    <s v="Gigawattstunde"/>
    <x v="6"/>
    <x v="0"/>
    <n v="650"/>
  </r>
  <r>
    <x v="17"/>
    <s v="Endenergieverbrauch - Sonstige Sektoren - Handel und öffentliche Dienstleistungen - energetischer Verbrauch"/>
    <s v="Elektrizität"/>
    <s v="Gigawattstunde"/>
    <x v="7"/>
    <x v="0"/>
    <n v="627"/>
  </r>
  <r>
    <x v="17"/>
    <s v="Endenergieverbrauch - Sonstige Sektoren - Handel und öffentliche Dienstleistungen - energetischer Verbrauch"/>
    <s v="Elektrizität"/>
    <s v="Gigawattstunde"/>
    <x v="8"/>
    <x v="0"/>
    <n v="797"/>
  </r>
  <r>
    <x v="17"/>
    <s v="Endenergieverbrauch - Sonstige Sektoren - Handel und öffentliche Dienstleistungen - energetischer Verbrauch"/>
    <s v="Elektrizität"/>
    <s v="Gigawattstunde"/>
    <x v="9"/>
    <x v="0"/>
    <n v="829"/>
  </r>
  <r>
    <x v="17"/>
    <s v="Endenergieverbrauch - Sonstige Sektoren - Handel und öffentliche Dienstleistungen - energetischer Verbrauch"/>
    <s v="Elektrizität"/>
    <s v="Gigawattstunde"/>
    <x v="10"/>
    <x v="0"/>
    <n v="888"/>
  </r>
  <r>
    <x v="17"/>
    <s v="Endenergieverbrauch - Sonstige Sektoren - Handel und öffentliche Dienstleistungen - energetischer Verbrauch"/>
    <s v="Elektrizität"/>
    <s v="Gigawattstunde"/>
    <x v="11"/>
    <x v="0"/>
    <n v="896"/>
  </r>
  <r>
    <x v="17"/>
    <s v="Endenergieverbrauch - Sonstige Sektoren - Handel und öffentliche Dienstleistungen - energetischer Verbrauch"/>
    <s v="Elektrizität"/>
    <s v="Gigawattstunde"/>
    <x v="12"/>
    <x v="0"/>
    <n v="943"/>
  </r>
  <r>
    <x v="17"/>
    <s v="Endenergieverbrauch - Sonstige Sektoren - Handel und öffentliche Dienstleistungen - energetischer Verbrauch"/>
    <s v="Elektrizität"/>
    <s v="Gigawattstunde"/>
    <x v="13"/>
    <x v="0"/>
    <n v="1002"/>
  </r>
  <r>
    <x v="17"/>
    <s v="Endenergieverbrauch - Sonstige Sektoren - Handel und öffentliche Dienstleistungen - energetischer Verbrauch"/>
    <s v="Elektrizität"/>
    <s v="Gigawattstunde"/>
    <x v="14"/>
    <x v="0"/>
    <n v="992.40599999999995"/>
  </r>
  <r>
    <x v="17"/>
    <s v="Endenergieverbrauch - Sonstige Sektoren - Handel und öffentliche Dienstleistungen - energetischer Verbrauch"/>
    <s v="Elektrizität"/>
    <s v="Gigawattstunde"/>
    <x v="15"/>
    <x v="0"/>
    <n v="1092.5350000000001"/>
  </r>
  <r>
    <x v="17"/>
    <s v="Endenergieverbrauch - Sonstige Sektoren - Handel und öffentliche Dienstleistungen - energetischer Verbrauch"/>
    <s v="Elektrizität"/>
    <s v="Gigawattstunde"/>
    <x v="16"/>
    <x v="0"/>
    <n v="1117.828"/>
  </r>
  <r>
    <x v="18"/>
    <s v="Endenergieverbrauch - Sonstige Sektoren - Handel und öffentliche Dienstleistungen - energetischer Verbrauch"/>
    <s v="Elektrizität"/>
    <s v="Gigawattstunde"/>
    <x v="0"/>
    <x v="0"/>
    <n v="30421"/>
  </r>
  <r>
    <x v="18"/>
    <s v="Endenergieverbrauch - Sonstige Sektoren - Handel und öffentliche Dienstleistungen - energetischer Verbrauch"/>
    <s v="Elektrizität"/>
    <s v="Gigawattstunde"/>
    <x v="1"/>
    <x v="0"/>
    <n v="31815"/>
  </r>
  <r>
    <x v="18"/>
    <s v="Endenergieverbrauch - Sonstige Sektoren - Handel und öffentliche Dienstleistungen - energetischer Verbrauch"/>
    <s v="Elektrizität"/>
    <s v="Gigawattstunde"/>
    <x v="2"/>
    <x v="0"/>
    <n v="32942"/>
  </r>
  <r>
    <x v="18"/>
    <s v="Endenergieverbrauch - Sonstige Sektoren - Handel und öffentliche Dienstleistungen - energetischer Verbrauch"/>
    <s v="Elektrizität"/>
    <s v="Gigawattstunde"/>
    <x v="3"/>
    <x v="0"/>
    <n v="33698"/>
  </r>
  <r>
    <x v="18"/>
    <s v="Endenergieverbrauch - Sonstige Sektoren - Handel und öffentliche Dienstleistungen - energetischer Verbrauch"/>
    <s v="Elektrizität"/>
    <s v="Gigawattstunde"/>
    <x v="4"/>
    <x v="0"/>
    <n v="34627"/>
  </r>
  <r>
    <x v="18"/>
    <s v="Endenergieverbrauch - Sonstige Sektoren - Handel und öffentliche Dienstleistungen - energetischer Verbrauch"/>
    <s v="Elektrizität"/>
    <s v="Gigawattstunde"/>
    <x v="5"/>
    <x v="0"/>
    <n v="35417"/>
  </r>
  <r>
    <x v="18"/>
    <s v="Endenergieverbrauch - Sonstige Sektoren - Handel und öffentliche Dienstleistungen - energetischer Verbrauch"/>
    <s v="Elektrizität"/>
    <s v="Gigawattstunde"/>
    <x v="6"/>
    <x v="0"/>
    <n v="35889"/>
  </r>
  <r>
    <x v="18"/>
    <s v="Endenergieverbrauch - Sonstige Sektoren - Handel und öffentliche Dienstleistungen - energetischer Verbrauch"/>
    <s v="Elektrizität"/>
    <s v="Gigawattstunde"/>
    <x v="7"/>
    <x v="0"/>
    <n v="36547"/>
  </r>
  <r>
    <x v="18"/>
    <s v="Endenergieverbrauch - Sonstige Sektoren - Handel und öffentliche Dienstleistungen - energetischer Verbrauch"/>
    <s v="Elektrizität"/>
    <s v="Gigawattstunde"/>
    <x v="8"/>
    <x v="0"/>
    <n v="36766"/>
  </r>
  <r>
    <x v="18"/>
    <s v="Endenergieverbrauch - Sonstige Sektoren - Handel und öffentliche Dienstleistungen - energetischer Verbrauch"/>
    <s v="Elektrizität"/>
    <s v="Gigawattstunde"/>
    <x v="9"/>
    <x v="0"/>
    <n v="36911"/>
  </r>
  <r>
    <x v="18"/>
    <s v="Endenergieverbrauch - Sonstige Sektoren - Handel und öffentliche Dienstleistungen - energetischer Verbrauch"/>
    <s v="Elektrizität"/>
    <s v="Gigawattstunde"/>
    <x v="10"/>
    <x v="0"/>
    <n v="36129.586000000003"/>
  </r>
  <r>
    <x v="18"/>
    <s v="Endenergieverbrauch - Sonstige Sektoren - Handel und öffentliche Dienstleistungen - energetischer Verbrauch"/>
    <s v="Elektrizität"/>
    <s v="Gigawattstunde"/>
    <x v="11"/>
    <x v="0"/>
    <n v="36282.525999999998"/>
  </r>
  <r>
    <x v="18"/>
    <s v="Endenergieverbrauch - Sonstige Sektoren - Handel und öffentliche Dienstleistungen - energetischer Verbrauch"/>
    <s v="Elektrizität"/>
    <s v="Gigawattstunde"/>
    <x v="12"/>
    <x v="0"/>
    <n v="35589.983"/>
  </r>
  <r>
    <x v="18"/>
    <s v="Endenergieverbrauch - Sonstige Sektoren - Handel und öffentliche Dienstleistungen - energetischer Verbrauch"/>
    <s v="Elektrizität"/>
    <s v="Gigawattstunde"/>
    <x v="13"/>
    <x v="0"/>
    <n v="36173.955999999998"/>
  </r>
  <r>
    <x v="18"/>
    <s v="Endenergieverbrauch - Sonstige Sektoren - Handel und öffentliche Dienstleistungen - energetischer Verbrauch"/>
    <s v="Elektrizität"/>
    <s v="Gigawattstunde"/>
    <x v="14"/>
    <x v="0"/>
    <n v="36165.339"/>
  </r>
  <r>
    <x v="18"/>
    <s v="Endenergieverbrauch - Sonstige Sektoren - Handel und öffentliche Dienstleistungen - energetischer Verbrauch"/>
    <s v="Elektrizität"/>
    <s v="Gigawattstunde"/>
    <x v="15"/>
    <x v="0"/>
    <n v="36615.023999999998"/>
  </r>
  <r>
    <x v="18"/>
    <s v="Endenergieverbrauch - Sonstige Sektoren - Handel und öffentliche Dienstleistungen - energetischer Verbrauch"/>
    <s v="Elektrizität"/>
    <s v="Gigawattstunde"/>
    <x v="16"/>
    <x v="0"/>
    <n v="36907.129000000001"/>
  </r>
  <r>
    <x v="19"/>
    <s v="Endenergieverbrauch - Sonstige Sektoren - Handel und öffentliche Dienstleistungen - energetischer Verbrauch"/>
    <s v="Elektrizität"/>
    <s v="Gigawattstunde"/>
    <x v="0"/>
    <x v="0"/>
    <n v="11327"/>
  </r>
  <r>
    <x v="19"/>
    <s v="Endenergieverbrauch - Sonstige Sektoren - Handel und öffentliche Dienstleistungen - energetischer Verbrauch"/>
    <s v="Elektrizität"/>
    <s v="Gigawattstunde"/>
    <x v="1"/>
    <x v="0"/>
    <n v="11672"/>
  </r>
  <r>
    <x v="19"/>
    <s v="Endenergieverbrauch - Sonstige Sektoren - Handel und öffentliche Dienstleistungen - energetischer Verbrauch"/>
    <s v="Elektrizität"/>
    <s v="Gigawattstunde"/>
    <x v="2"/>
    <x v="0"/>
    <n v="10687"/>
  </r>
  <r>
    <x v="19"/>
    <s v="Endenergieverbrauch - Sonstige Sektoren - Handel und öffentliche Dienstleistungen - energetischer Verbrauch"/>
    <s v="Elektrizität"/>
    <s v="Gigawattstunde"/>
    <x v="3"/>
    <x v="0"/>
    <n v="12573.75"/>
  </r>
  <r>
    <x v="19"/>
    <s v="Endenergieverbrauch - Sonstige Sektoren - Handel und öffentliche Dienstleistungen - energetischer Verbrauch"/>
    <s v="Elektrizität"/>
    <s v="Gigawattstunde"/>
    <x v="4"/>
    <x v="0"/>
    <n v="12623.959000000001"/>
  </r>
  <r>
    <x v="19"/>
    <s v="Endenergieverbrauch - Sonstige Sektoren - Handel und öffentliche Dienstleistungen - energetischer Verbrauch"/>
    <s v="Elektrizität"/>
    <s v="Gigawattstunde"/>
    <x v="5"/>
    <x v="0"/>
    <n v="12357.696"/>
  </r>
  <r>
    <x v="19"/>
    <s v="Endenergieverbrauch - Sonstige Sektoren - Handel und öffentliche Dienstleistungen - energetischer Verbrauch"/>
    <s v="Elektrizität"/>
    <s v="Gigawattstunde"/>
    <x v="6"/>
    <x v="0"/>
    <n v="13364.093000000001"/>
  </r>
  <r>
    <x v="19"/>
    <s v="Endenergieverbrauch - Sonstige Sektoren - Handel und öffentliche Dienstleistungen - energetischer Verbrauch"/>
    <s v="Elektrizität"/>
    <s v="Gigawattstunde"/>
    <x v="7"/>
    <x v="0"/>
    <n v="11539.986999999999"/>
  </r>
  <r>
    <x v="19"/>
    <s v="Endenergieverbrauch - Sonstige Sektoren - Handel und öffentliche Dienstleistungen - energetischer Verbrauch"/>
    <s v="Elektrizität"/>
    <s v="Gigawattstunde"/>
    <x v="8"/>
    <x v="0"/>
    <n v="11814.789000000001"/>
  </r>
  <r>
    <x v="19"/>
    <s v="Endenergieverbrauch - Sonstige Sektoren - Handel und öffentliche Dienstleistungen - energetischer Verbrauch"/>
    <s v="Elektrizität"/>
    <s v="Gigawattstunde"/>
    <x v="9"/>
    <x v="0"/>
    <n v="11697.398999999999"/>
  </r>
  <r>
    <x v="19"/>
    <s v="Endenergieverbrauch - Sonstige Sektoren - Handel und öffentliche Dienstleistungen - energetischer Verbrauch"/>
    <s v="Elektrizität"/>
    <s v="Gigawattstunde"/>
    <x v="10"/>
    <x v="0"/>
    <n v="12005.47"/>
  </r>
  <r>
    <x v="19"/>
    <s v="Endenergieverbrauch - Sonstige Sektoren - Handel und öffentliche Dienstleistungen - energetischer Verbrauch"/>
    <s v="Elektrizität"/>
    <s v="Gigawattstunde"/>
    <x v="11"/>
    <x v="0"/>
    <n v="12004.215"/>
  </r>
  <r>
    <x v="19"/>
    <s v="Endenergieverbrauch - Sonstige Sektoren - Handel und öffentliche Dienstleistungen - energetischer Verbrauch"/>
    <s v="Elektrizität"/>
    <s v="Gigawattstunde"/>
    <x v="12"/>
    <x v="0"/>
    <n v="12256.793"/>
  </r>
  <r>
    <x v="19"/>
    <s v="Endenergieverbrauch - Sonstige Sektoren - Handel und öffentliche Dienstleistungen - energetischer Verbrauch"/>
    <s v="Elektrizität"/>
    <s v="Gigawattstunde"/>
    <x v="13"/>
    <x v="0"/>
    <n v="12274.313"/>
  </r>
  <r>
    <x v="19"/>
    <s v="Endenergieverbrauch - Sonstige Sektoren - Handel und öffentliche Dienstleistungen - energetischer Verbrauch"/>
    <s v="Elektrizität"/>
    <s v="Gigawattstunde"/>
    <x v="14"/>
    <x v="0"/>
    <n v="11541.174999999999"/>
  </r>
  <r>
    <x v="19"/>
    <s v="Endenergieverbrauch - Sonstige Sektoren - Handel und öffentliche Dienstleistungen - energetischer Verbrauch"/>
    <s v="Elektrizität"/>
    <s v="Gigawattstunde"/>
    <x v="15"/>
    <x v="0"/>
    <n v="12214.653"/>
  </r>
  <r>
    <x v="19"/>
    <s v="Endenergieverbrauch - Sonstige Sektoren - Handel und öffentliche Dienstleistungen - energetischer Verbrauch"/>
    <s v="Elektrizität"/>
    <s v="Gigawattstunde"/>
    <x v="16"/>
    <x v="0"/>
    <n v="12253.928"/>
  </r>
  <r>
    <x v="20"/>
    <s v="Endenergieverbrauch - Sonstige Sektoren - Handel und öffentliche Dienstleistungen - energetischer Verbrauch"/>
    <s v="Elektrizität"/>
    <s v="Gigawattstunde"/>
    <x v="0"/>
    <x v="0"/>
    <n v="28640"/>
  </r>
  <r>
    <x v="20"/>
    <s v="Endenergieverbrauch - Sonstige Sektoren - Handel und öffentliche Dienstleistungen - energetischer Verbrauch"/>
    <s v="Elektrizität"/>
    <s v="Gigawattstunde"/>
    <x v="1"/>
    <x v="0"/>
    <n v="29892"/>
  </r>
  <r>
    <x v="20"/>
    <s v="Endenergieverbrauch - Sonstige Sektoren - Handel und öffentliche Dienstleistungen - energetischer Verbrauch"/>
    <s v="Elektrizität"/>
    <s v="Gigawattstunde"/>
    <x v="2"/>
    <x v="0"/>
    <n v="31017"/>
  </r>
  <r>
    <x v="20"/>
    <s v="Endenergieverbrauch - Sonstige Sektoren - Handel und öffentliche Dienstleistungen - energetischer Verbrauch"/>
    <s v="Elektrizität"/>
    <s v="Gigawattstunde"/>
    <x v="3"/>
    <x v="0"/>
    <n v="33357"/>
  </r>
  <r>
    <x v="20"/>
    <s v="Endenergieverbrauch - Sonstige Sektoren - Handel und öffentliche Dienstleistungen - energetischer Verbrauch"/>
    <s v="Elektrizität"/>
    <s v="Gigawattstunde"/>
    <x v="4"/>
    <x v="0"/>
    <n v="36711"/>
  </r>
  <r>
    <x v="20"/>
    <s v="Endenergieverbrauch - Sonstige Sektoren - Handel und öffentliche Dienstleistungen - energetischer Verbrauch"/>
    <s v="Elektrizität"/>
    <s v="Gigawattstunde"/>
    <x v="5"/>
    <x v="0"/>
    <n v="37189"/>
  </r>
  <r>
    <x v="20"/>
    <s v="Endenergieverbrauch - Sonstige Sektoren - Handel und öffentliche Dienstleistungen - energetischer Verbrauch"/>
    <s v="Elektrizität"/>
    <s v="Gigawattstunde"/>
    <x v="6"/>
    <x v="0"/>
    <n v="41090"/>
  </r>
  <r>
    <x v="20"/>
    <s v="Endenergieverbrauch - Sonstige Sektoren - Handel und öffentliche Dienstleistungen - energetischer Verbrauch"/>
    <s v="Elektrizität"/>
    <s v="Gigawattstunde"/>
    <x v="7"/>
    <x v="0"/>
    <n v="40552"/>
  </r>
  <r>
    <x v="20"/>
    <s v="Endenergieverbrauch - Sonstige Sektoren - Handel und öffentliche Dienstleistungen - energetischer Verbrauch"/>
    <s v="Elektrizität"/>
    <s v="Gigawattstunde"/>
    <x v="8"/>
    <x v="0"/>
    <n v="43669"/>
  </r>
  <r>
    <x v="20"/>
    <s v="Endenergieverbrauch - Sonstige Sektoren - Handel und öffentliche Dienstleistungen - energetischer Verbrauch"/>
    <s v="Elektrizität"/>
    <s v="Gigawattstunde"/>
    <x v="9"/>
    <x v="0"/>
    <n v="44190"/>
  </r>
  <r>
    <x v="20"/>
    <s v="Endenergieverbrauch - Sonstige Sektoren - Handel und öffentliche Dienstleistungen - energetischer Verbrauch"/>
    <s v="Elektrizität"/>
    <s v="Gigawattstunde"/>
    <x v="10"/>
    <x v="0"/>
    <n v="44378"/>
  </r>
  <r>
    <x v="20"/>
    <s v="Endenergieverbrauch - Sonstige Sektoren - Handel und öffentliche Dienstleistungen - energetischer Verbrauch"/>
    <s v="Elektrizität"/>
    <s v="Gigawattstunde"/>
    <x v="11"/>
    <x v="0"/>
    <n v="43130"/>
  </r>
  <r>
    <x v="20"/>
    <s v="Endenergieverbrauch - Sonstige Sektoren - Handel und öffentliche Dienstleistungen - energetischer Verbrauch"/>
    <s v="Elektrizität"/>
    <s v="Gigawattstunde"/>
    <x v="12"/>
    <x v="0"/>
    <n v="45171.472999999998"/>
  </r>
  <r>
    <x v="20"/>
    <s v="Endenergieverbrauch - Sonstige Sektoren - Handel und öffentliche Dienstleistungen - energetischer Verbrauch"/>
    <s v="Elektrizität"/>
    <s v="Gigawattstunde"/>
    <x v="13"/>
    <x v="0"/>
    <n v="45442.62"/>
  </r>
  <r>
    <x v="20"/>
    <s v="Endenergieverbrauch - Sonstige Sektoren - Handel und öffentliche Dienstleistungen - energetischer Verbrauch"/>
    <s v="Elektrizität"/>
    <s v="Gigawattstunde"/>
    <x v="14"/>
    <x v="0"/>
    <n v="47799.5"/>
  </r>
  <r>
    <x v="20"/>
    <s v="Endenergieverbrauch - Sonstige Sektoren - Handel und öffentliche Dienstleistungen - energetischer Verbrauch"/>
    <s v="Elektrizität"/>
    <s v="Gigawattstunde"/>
    <x v="15"/>
    <x v="0"/>
    <n v="47018.758000000002"/>
  </r>
  <r>
    <x v="20"/>
    <s v="Endenergieverbrauch - Sonstige Sektoren - Handel und öffentliche Dienstleistungen - energetischer Verbrauch"/>
    <s v="Elektrizität"/>
    <s v="Gigawattstunde"/>
    <x v="16"/>
    <x v="0"/>
    <n v="49441.15"/>
  </r>
  <r>
    <x v="21"/>
    <s v="Endenergieverbrauch - Sonstige Sektoren - Handel und öffentliche Dienstleistungen - energetischer Verbrauch"/>
    <s v="Elektrizität"/>
    <s v="Gigawattstunde"/>
    <x v="0"/>
    <x v="0"/>
    <n v="12363"/>
  </r>
  <r>
    <x v="21"/>
    <s v="Endenergieverbrauch - Sonstige Sektoren - Handel und öffentliche Dienstleistungen - energetischer Verbrauch"/>
    <s v="Elektrizität"/>
    <s v="Gigawattstunde"/>
    <x v="1"/>
    <x v="0"/>
    <n v="13185"/>
  </r>
  <r>
    <x v="21"/>
    <s v="Endenergieverbrauch - Sonstige Sektoren - Handel und öffentliche Dienstleistungen - energetischer Verbrauch"/>
    <s v="Elektrizität"/>
    <s v="Gigawattstunde"/>
    <x v="2"/>
    <x v="0"/>
    <n v="13705"/>
  </r>
  <r>
    <x v="21"/>
    <s v="Endenergieverbrauch - Sonstige Sektoren - Handel und öffentliche Dienstleistungen - energetischer Verbrauch"/>
    <s v="Elektrizität"/>
    <s v="Gigawattstunde"/>
    <x v="3"/>
    <x v="0"/>
    <n v="14407"/>
  </r>
  <r>
    <x v="21"/>
    <s v="Endenergieverbrauch - Sonstige Sektoren - Handel und öffentliche Dienstleistungen - energetischer Verbrauch"/>
    <s v="Elektrizität"/>
    <s v="Gigawattstunde"/>
    <x v="4"/>
    <x v="0"/>
    <n v="15240"/>
  </r>
  <r>
    <x v="21"/>
    <s v="Endenergieverbrauch - Sonstige Sektoren - Handel und öffentliche Dienstleistungen - energetischer Verbrauch"/>
    <s v="Elektrizität"/>
    <s v="Gigawattstunde"/>
    <x v="5"/>
    <x v="0"/>
    <n v="15606"/>
  </r>
  <r>
    <x v="21"/>
    <s v="Endenergieverbrauch - Sonstige Sektoren - Handel und öffentliche Dienstleistungen - energetischer Verbrauch"/>
    <s v="Elektrizität"/>
    <s v="Gigawattstunde"/>
    <x v="6"/>
    <x v="0"/>
    <n v="15775"/>
  </r>
  <r>
    <x v="21"/>
    <s v="Endenergieverbrauch - Sonstige Sektoren - Handel und öffentliche Dienstleistungen - energetischer Verbrauch"/>
    <s v="Elektrizität"/>
    <s v="Gigawattstunde"/>
    <x v="7"/>
    <x v="0"/>
    <n v="15973"/>
  </r>
  <r>
    <x v="21"/>
    <s v="Endenergieverbrauch - Sonstige Sektoren - Handel und öffentliche Dienstleistungen - energetischer Verbrauch"/>
    <s v="Elektrizität"/>
    <s v="Gigawattstunde"/>
    <x v="8"/>
    <x v="0"/>
    <n v="16397"/>
  </r>
  <r>
    <x v="21"/>
    <s v="Endenergieverbrauch - Sonstige Sektoren - Handel und öffentliche Dienstleistungen - energetischer Verbrauch"/>
    <s v="Elektrizität"/>
    <s v="Gigawattstunde"/>
    <x v="9"/>
    <x v="0"/>
    <n v="16270"/>
  </r>
  <r>
    <x v="21"/>
    <s v="Endenergieverbrauch - Sonstige Sektoren - Handel und öffentliche Dienstleistungen - energetischer Verbrauch"/>
    <s v="Elektrizität"/>
    <s v="Gigawattstunde"/>
    <x v="10"/>
    <x v="0"/>
    <n v="16007"/>
  </r>
  <r>
    <x v="21"/>
    <s v="Endenergieverbrauch - Sonstige Sektoren - Handel und öffentliche Dienstleistungen - energetischer Verbrauch"/>
    <s v="Elektrizität"/>
    <s v="Gigawattstunde"/>
    <x v="11"/>
    <x v="0"/>
    <n v="15707"/>
  </r>
  <r>
    <x v="21"/>
    <s v="Endenergieverbrauch - Sonstige Sektoren - Handel und öffentliche Dienstleistungen - energetischer Verbrauch"/>
    <s v="Elektrizität"/>
    <s v="Gigawattstunde"/>
    <x v="12"/>
    <x v="0"/>
    <n v="16756"/>
  </r>
  <r>
    <x v="21"/>
    <s v="Endenergieverbrauch - Sonstige Sektoren - Handel und öffentliche Dienstleistungen - energetischer Verbrauch"/>
    <s v="Elektrizität"/>
    <s v="Gigawattstunde"/>
    <x v="13"/>
    <x v="0"/>
    <n v="17193"/>
  </r>
  <r>
    <x v="21"/>
    <s v="Endenergieverbrauch - Sonstige Sektoren - Handel und öffentliche Dienstleistungen - energetischer Verbrauch"/>
    <s v="Elektrizität"/>
    <s v="Gigawattstunde"/>
    <x v="14"/>
    <x v="0"/>
    <n v="16456.566999999999"/>
  </r>
  <r>
    <x v="21"/>
    <s v="Endenergieverbrauch - Sonstige Sektoren - Handel und öffentliche Dienstleistungen - energetischer Verbrauch"/>
    <s v="Elektrizität"/>
    <s v="Gigawattstunde"/>
    <x v="15"/>
    <x v="0"/>
    <n v="16369.539000000001"/>
  </r>
  <r>
    <x v="21"/>
    <s v="Endenergieverbrauch - Sonstige Sektoren - Handel und öffentliche Dienstleistungen - energetischer Verbrauch"/>
    <s v="Elektrizität"/>
    <s v="Gigawattstunde"/>
    <x v="16"/>
    <x v="0"/>
    <n v="16749.644"/>
  </r>
  <r>
    <x v="22"/>
    <s v="Endenergieverbrauch - Sonstige Sektoren - Handel und öffentliche Dienstleistungen - energetischer Verbrauch"/>
    <s v="Elektrizität"/>
    <s v="Gigawattstunde"/>
    <x v="0"/>
    <x v="0"/>
    <n v="2741"/>
  </r>
  <r>
    <x v="22"/>
    <s v="Endenergieverbrauch - Sonstige Sektoren - Handel und öffentliche Dienstleistungen - energetischer Verbrauch"/>
    <s v="Elektrizität"/>
    <s v="Gigawattstunde"/>
    <x v="1"/>
    <x v="0"/>
    <n v="4749"/>
  </r>
  <r>
    <x v="22"/>
    <s v="Endenergieverbrauch - Sonstige Sektoren - Handel und öffentliche Dienstleistungen - energetischer Verbrauch"/>
    <s v="Elektrizität"/>
    <s v="Gigawattstunde"/>
    <x v="2"/>
    <x v="0"/>
    <n v="3586"/>
  </r>
  <r>
    <x v="22"/>
    <s v="Endenergieverbrauch - Sonstige Sektoren - Handel und öffentliche Dienstleistungen - energetischer Verbrauch"/>
    <s v="Elektrizität"/>
    <s v="Gigawattstunde"/>
    <x v="3"/>
    <x v="0"/>
    <n v="4000"/>
  </r>
  <r>
    <x v="22"/>
    <s v="Endenergieverbrauch - Sonstige Sektoren - Handel und öffentliche Dienstleistungen - energetischer Verbrauch"/>
    <s v="Elektrizität"/>
    <s v="Gigawattstunde"/>
    <x v="4"/>
    <x v="0"/>
    <n v="4900"/>
  </r>
  <r>
    <x v="22"/>
    <s v="Endenergieverbrauch - Sonstige Sektoren - Handel und öffentliche Dienstleistungen - energetischer Verbrauch"/>
    <s v="Elektrizität"/>
    <s v="Gigawattstunde"/>
    <x v="5"/>
    <x v="0"/>
    <n v="5721"/>
  </r>
  <r>
    <x v="22"/>
    <s v="Endenergieverbrauch - Sonstige Sektoren - Handel und öffentliche Dienstleistungen - energetischer Verbrauch"/>
    <s v="Elektrizität"/>
    <s v="Gigawattstunde"/>
    <x v="6"/>
    <x v="0"/>
    <n v="6432"/>
  </r>
  <r>
    <x v="22"/>
    <s v="Endenergieverbrauch - Sonstige Sektoren - Handel und öffentliche Dienstleistungen - energetischer Verbrauch"/>
    <s v="Elektrizität"/>
    <s v="Gigawattstunde"/>
    <x v="7"/>
    <x v="0"/>
    <n v="6526"/>
  </r>
  <r>
    <x v="22"/>
    <s v="Endenergieverbrauch - Sonstige Sektoren - Handel und öffentliche Dienstleistungen - energetischer Verbrauch"/>
    <s v="Elektrizität"/>
    <s v="Gigawattstunde"/>
    <x v="8"/>
    <x v="0"/>
    <n v="7581"/>
  </r>
  <r>
    <x v="22"/>
    <s v="Endenergieverbrauch - Sonstige Sektoren - Handel und öffentliche Dienstleistungen - energetischer Verbrauch"/>
    <s v="Elektrizität"/>
    <s v="Gigawattstunde"/>
    <x v="9"/>
    <x v="0"/>
    <n v="7869"/>
  </r>
  <r>
    <x v="22"/>
    <s v="Endenergieverbrauch - Sonstige Sektoren - Handel und öffentliche Dienstleistungen - energetischer Verbrauch"/>
    <s v="Elektrizität"/>
    <s v="Gigawattstunde"/>
    <x v="10"/>
    <x v="0"/>
    <n v="7897"/>
  </r>
  <r>
    <x v="22"/>
    <s v="Endenergieverbrauch - Sonstige Sektoren - Handel und öffentliche Dienstleistungen - energetischer Verbrauch"/>
    <s v="Elektrizität"/>
    <s v="Gigawattstunde"/>
    <x v="11"/>
    <x v="0"/>
    <n v="7961"/>
  </r>
  <r>
    <x v="22"/>
    <s v="Endenergieverbrauch - Sonstige Sektoren - Handel und öffentliche Dienstleistungen - energetischer Verbrauch"/>
    <s v="Elektrizität"/>
    <s v="Gigawattstunde"/>
    <x v="12"/>
    <x v="0"/>
    <n v="8223"/>
  </r>
  <r>
    <x v="22"/>
    <s v="Endenergieverbrauch - Sonstige Sektoren - Handel und öffentliche Dienstleistungen - energetischer Verbrauch"/>
    <s v="Elektrizität"/>
    <s v="Gigawattstunde"/>
    <x v="13"/>
    <x v="0"/>
    <n v="8407"/>
  </r>
  <r>
    <x v="22"/>
    <s v="Endenergieverbrauch - Sonstige Sektoren - Handel und öffentliche Dienstleistungen - energetischer Verbrauch"/>
    <s v="Elektrizität"/>
    <s v="Gigawattstunde"/>
    <x v="14"/>
    <x v="0"/>
    <n v="8581"/>
  </r>
  <r>
    <x v="22"/>
    <s v="Endenergieverbrauch - Sonstige Sektoren - Handel und öffentliche Dienstleistungen - energetischer Verbrauch"/>
    <s v="Elektrizität"/>
    <s v="Gigawattstunde"/>
    <x v="15"/>
    <x v="0"/>
    <n v="8547.5400000000009"/>
  </r>
  <r>
    <x v="22"/>
    <s v="Endenergieverbrauch - Sonstige Sektoren - Handel und öffentliche Dienstleistungen - energetischer Verbrauch"/>
    <s v="Elektrizität"/>
    <s v="Gigawattstunde"/>
    <x v="16"/>
    <x v="0"/>
    <n v="8752.6859999999997"/>
  </r>
  <r>
    <x v="23"/>
    <s v="Endenergieverbrauch - Sonstige Sektoren - Handel und öffentliche Dienstleistungen - energetischer Verbrauch"/>
    <s v="Elektrizität"/>
    <s v="Gigawattstunde"/>
    <x v="0"/>
    <x v="0"/>
    <n v="2986"/>
  </r>
  <r>
    <x v="23"/>
    <s v="Endenergieverbrauch - Sonstige Sektoren - Handel und öffentliche Dienstleistungen - energetischer Verbrauch"/>
    <s v="Elektrizität"/>
    <s v="Gigawattstunde"/>
    <x v="1"/>
    <x v="0"/>
    <n v="2272"/>
  </r>
  <r>
    <x v="23"/>
    <s v="Endenergieverbrauch - Sonstige Sektoren - Handel und öffentliche Dienstleistungen - energetischer Verbrauch"/>
    <s v="Elektrizität"/>
    <s v="Gigawattstunde"/>
    <x v="2"/>
    <x v="0"/>
    <n v="2589"/>
  </r>
  <r>
    <x v="23"/>
    <s v="Endenergieverbrauch - Sonstige Sektoren - Handel und öffentliche Dienstleistungen - energetischer Verbrauch"/>
    <s v="Elektrizität"/>
    <s v="Gigawattstunde"/>
    <x v="3"/>
    <x v="0"/>
    <n v="2421"/>
  </r>
  <r>
    <x v="23"/>
    <s v="Endenergieverbrauch - Sonstige Sektoren - Handel und öffentliche Dienstleistungen - energetischer Verbrauch"/>
    <s v="Elektrizität"/>
    <s v="Gigawattstunde"/>
    <x v="4"/>
    <x v="0"/>
    <n v="2472"/>
  </r>
  <r>
    <x v="23"/>
    <s v="Endenergieverbrauch - Sonstige Sektoren - Handel und öffentliche Dienstleistungen - energetischer Verbrauch"/>
    <s v="Elektrizität"/>
    <s v="Gigawattstunde"/>
    <x v="5"/>
    <x v="0"/>
    <n v="2580"/>
  </r>
  <r>
    <x v="23"/>
    <s v="Endenergieverbrauch - Sonstige Sektoren - Handel und öffentliche Dienstleistungen - energetischer Verbrauch"/>
    <s v="Elektrizität"/>
    <s v="Gigawattstunde"/>
    <x v="6"/>
    <x v="0"/>
    <n v="3117"/>
  </r>
  <r>
    <x v="23"/>
    <s v="Endenergieverbrauch - Sonstige Sektoren - Handel und öffentliche Dienstleistungen - energetischer Verbrauch"/>
    <s v="Elektrizität"/>
    <s v="Gigawattstunde"/>
    <x v="7"/>
    <x v="0"/>
    <n v="3034"/>
  </r>
  <r>
    <x v="23"/>
    <s v="Endenergieverbrauch - Sonstige Sektoren - Handel und öffentliche Dienstleistungen - energetischer Verbrauch"/>
    <s v="Elektrizität"/>
    <s v="Gigawattstunde"/>
    <x v="8"/>
    <x v="0"/>
    <n v="3066"/>
  </r>
  <r>
    <x v="23"/>
    <s v="Endenergieverbrauch - Sonstige Sektoren - Handel und öffentliche Dienstleistungen - energetischer Verbrauch"/>
    <s v="Elektrizität"/>
    <s v="Gigawattstunde"/>
    <x v="9"/>
    <x v="0"/>
    <n v="3261"/>
  </r>
  <r>
    <x v="23"/>
    <s v="Endenergieverbrauch - Sonstige Sektoren - Handel und öffentliche Dienstleistungen - energetischer Verbrauch"/>
    <s v="Elektrizität"/>
    <s v="Gigawattstunde"/>
    <x v="10"/>
    <x v="0"/>
    <n v="3168"/>
  </r>
  <r>
    <x v="23"/>
    <s v="Endenergieverbrauch - Sonstige Sektoren - Handel und öffentliche Dienstleistungen - energetischer Verbrauch"/>
    <s v="Elektrizität"/>
    <s v="Gigawattstunde"/>
    <x v="11"/>
    <x v="0"/>
    <n v="3218"/>
  </r>
  <r>
    <x v="23"/>
    <s v="Endenergieverbrauch - Sonstige Sektoren - Handel und öffentliche Dienstleistungen - energetischer Verbrauch"/>
    <s v="Elektrizität"/>
    <s v="Gigawattstunde"/>
    <x v="12"/>
    <x v="0"/>
    <n v="3141"/>
  </r>
  <r>
    <x v="23"/>
    <s v="Endenergieverbrauch - Sonstige Sektoren - Handel und öffentliche Dienstleistungen - energetischer Verbrauch"/>
    <s v="Elektrizität"/>
    <s v="Gigawattstunde"/>
    <x v="13"/>
    <x v="0"/>
    <n v="3232"/>
  </r>
  <r>
    <x v="23"/>
    <s v="Endenergieverbrauch - Sonstige Sektoren - Handel und öffentliche Dienstleistungen - energetischer Verbrauch"/>
    <s v="Elektrizität"/>
    <s v="Gigawattstunde"/>
    <x v="14"/>
    <x v="0"/>
    <n v="3365"/>
  </r>
  <r>
    <x v="23"/>
    <s v="Endenergieverbrauch - Sonstige Sektoren - Handel und öffentliche Dienstleistungen - energetischer Verbrauch"/>
    <s v="Elektrizität"/>
    <s v="Gigawattstunde"/>
    <x v="15"/>
    <x v="0"/>
    <n v="3523.8670000000002"/>
  </r>
  <r>
    <x v="23"/>
    <s v="Endenergieverbrauch - Sonstige Sektoren - Handel und öffentliche Dienstleistungen - energetischer Verbrauch"/>
    <s v="Elektrizität"/>
    <s v="Gigawattstunde"/>
    <x v="16"/>
    <x v="0"/>
    <n v="3269.0990000000002"/>
  </r>
  <r>
    <x v="24"/>
    <s v="Endenergieverbrauch - Sonstige Sektoren - Handel und öffentliche Dienstleistungen - energetischer Verbrauch"/>
    <s v="Elektrizität"/>
    <s v="Gigawattstunde"/>
    <x v="0"/>
    <x v="0"/>
    <n v="7350"/>
  </r>
  <r>
    <x v="24"/>
    <s v="Endenergieverbrauch - Sonstige Sektoren - Handel und öffentliche Dienstleistungen - energetischer Verbrauch"/>
    <s v="Elektrizität"/>
    <s v="Gigawattstunde"/>
    <x v="1"/>
    <x v="0"/>
    <n v="6471"/>
  </r>
  <r>
    <x v="24"/>
    <s v="Endenergieverbrauch - Sonstige Sektoren - Handel und öffentliche Dienstleistungen - energetischer Verbrauch"/>
    <s v="Elektrizität"/>
    <s v="Gigawattstunde"/>
    <x v="2"/>
    <x v="0"/>
    <n v="7353"/>
  </r>
  <r>
    <x v="24"/>
    <s v="Endenergieverbrauch - Sonstige Sektoren - Handel und öffentliche Dienstleistungen - energetischer Verbrauch"/>
    <s v="Elektrizität"/>
    <s v="Gigawattstunde"/>
    <x v="3"/>
    <x v="0"/>
    <n v="6151"/>
  </r>
  <r>
    <x v="24"/>
    <s v="Endenergieverbrauch - Sonstige Sektoren - Handel und öffentliche Dienstleistungen - energetischer Verbrauch"/>
    <s v="Elektrizität"/>
    <s v="Gigawattstunde"/>
    <x v="4"/>
    <x v="0"/>
    <n v="6267"/>
  </r>
  <r>
    <x v="24"/>
    <s v="Endenergieverbrauch - Sonstige Sektoren - Handel und öffentliche Dienstleistungen - energetischer Verbrauch"/>
    <s v="Elektrizität"/>
    <s v="Gigawattstunde"/>
    <x v="5"/>
    <x v="0"/>
    <n v="6844"/>
  </r>
  <r>
    <x v="24"/>
    <s v="Endenergieverbrauch - Sonstige Sektoren - Handel und öffentliche Dienstleistungen - energetischer Verbrauch"/>
    <s v="Elektrizität"/>
    <s v="Gigawattstunde"/>
    <x v="6"/>
    <x v="0"/>
    <n v="6790"/>
  </r>
  <r>
    <x v="24"/>
    <s v="Endenergieverbrauch - Sonstige Sektoren - Handel und öffentliche Dienstleistungen - energetischer Verbrauch"/>
    <s v="Elektrizität"/>
    <s v="Gigawattstunde"/>
    <x v="7"/>
    <x v="0"/>
    <n v="7079"/>
  </r>
  <r>
    <x v="24"/>
    <s v="Endenergieverbrauch - Sonstige Sektoren - Handel und öffentliche Dienstleistungen - energetischer Verbrauch"/>
    <s v="Elektrizität"/>
    <s v="Gigawattstunde"/>
    <x v="8"/>
    <x v="0"/>
    <n v="8014"/>
  </r>
  <r>
    <x v="24"/>
    <s v="Endenergieverbrauch - Sonstige Sektoren - Handel und öffentliche Dienstleistungen - energetischer Verbrauch"/>
    <s v="Elektrizität"/>
    <s v="Gigawattstunde"/>
    <x v="9"/>
    <x v="0"/>
    <n v="8232"/>
  </r>
  <r>
    <x v="24"/>
    <s v="Endenergieverbrauch - Sonstige Sektoren - Handel und öffentliche Dienstleistungen - energetischer Verbrauch"/>
    <s v="Elektrizität"/>
    <s v="Gigawattstunde"/>
    <x v="10"/>
    <x v="0"/>
    <n v="6450"/>
  </r>
  <r>
    <x v="24"/>
    <s v="Endenergieverbrauch - Sonstige Sektoren - Handel und öffentliche Dienstleistungen - energetischer Verbrauch"/>
    <s v="Elektrizität"/>
    <s v="Gigawattstunde"/>
    <x v="11"/>
    <x v="0"/>
    <n v="7549"/>
  </r>
  <r>
    <x v="24"/>
    <s v="Endenergieverbrauch - Sonstige Sektoren - Handel und öffentliche Dienstleistungen - energetischer Verbrauch"/>
    <s v="Elektrizität"/>
    <s v="Gigawattstunde"/>
    <x v="12"/>
    <x v="0"/>
    <n v="6145"/>
  </r>
  <r>
    <x v="24"/>
    <s v="Endenergieverbrauch - Sonstige Sektoren - Handel und öffentliche Dienstleistungen - energetischer Verbrauch"/>
    <s v="Elektrizität"/>
    <s v="Gigawattstunde"/>
    <x v="13"/>
    <x v="0"/>
    <n v="6866"/>
  </r>
  <r>
    <x v="24"/>
    <s v="Endenergieverbrauch - Sonstige Sektoren - Handel und öffentliche Dienstleistungen - energetischer Verbrauch"/>
    <s v="Elektrizität"/>
    <s v="Gigawattstunde"/>
    <x v="14"/>
    <x v="0"/>
    <n v="6946"/>
  </r>
  <r>
    <x v="24"/>
    <s v="Endenergieverbrauch - Sonstige Sektoren - Handel und öffentliche Dienstleistungen - energetischer Verbrauch"/>
    <s v="Elektrizität"/>
    <s v="Gigawattstunde"/>
    <x v="15"/>
    <x v="0"/>
    <n v="7674"/>
  </r>
  <r>
    <x v="24"/>
    <s v="Endenergieverbrauch - Sonstige Sektoren - Handel und öffentliche Dienstleistungen - energetischer Verbrauch"/>
    <s v="Elektrizität"/>
    <s v="Gigawattstunde"/>
    <x v="16"/>
    <x v="0"/>
    <n v="7218"/>
  </r>
  <r>
    <x v="25"/>
    <s v="Endenergieverbrauch - Sonstige Sektoren - Handel und öffentliche Dienstleistungen - energetischer Verbrauch"/>
    <s v="Elektrizität"/>
    <s v="Gigawattstunde"/>
    <x v="0"/>
    <x v="0"/>
    <n v="14646"/>
  </r>
  <r>
    <x v="25"/>
    <s v="Endenergieverbrauch - Sonstige Sektoren - Handel und öffentliche Dienstleistungen - energetischer Verbrauch"/>
    <s v="Elektrizität"/>
    <s v="Gigawattstunde"/>
    <x v="1"/>
    <x v="0"/>
    <n v="14673"/>
  </r>
  <r>
    <x v="25"/>
    <s v="Endenergieverbrauch - Sonstige Sektoren - Handel und öffentliche Dienstleistungen - energetischer Verbrauch"/>
    <s v="Elektrizität"/>
    <s v="Gigawattstunde"/>
    <x v="2"/>
    <x v="0"/>
    <n v="15173"/>
  </r>
  <r>
    <x v="25"/>
    <s v="Endenergieverbrauch - Sonstige Sektoren - Handel und öffentliche Dienstleistungen - energetischer Verbrauch"/>
    <s v="Elektrizität"/>
    <s v="Gigawattstunde"/>
    <x v="3"/>
    <x v="0"/>
    <n v="15523"/>
  </r>
  <r>
    <x v="25"/>
    <s v="Endenergieverbrauch - Sonstige Sektoren - Handel und öffentliche Dienstleistungen - energetischer Verbrauch"/>
    <s v="Elektrizität"/>
    <s v="Gigawattstunde"/>
    <x v="4"/>
    <x v="0"/>
    <n v="15937"/>
  </r>
  <r>
    <x v="25"/>
    <s v="Endenergieverbrauch - Sonstige Sektoren - Handel und öffentliche Dienstleistungen - energetischer Verbrauch"/>
    <s v="Elektrizität"/>
    <s v="Gigawattstunde"/>
    <x v="5"/>
    <x v="0"/>
    <n v="16200"/>
  </r>
  <r>
    <x v="25"/>
    <s v="Endenergieverbrauch - Sonstige Sektoren - Handel und öffentliche Dienstleistungen - energetischer Verbrauch"/>
    <s v="Elektrizität"/>
    <s v="Gigawattstunde"/>
    <x v="6"/>
    <x v="0"/>
    <n v="16549"/>
  </r>
  <r>
    <x v="25"/>
    <s v="Endenergieverbrauch - Sonstige Sektoren - Handel und öffentliche Dienstleistungen - energetischer Verbrauch"/>
    <s v="Elektrizität"/>
    <s v="Gigawattstunde"/>
    <x v="7"/>
    <x v="0"/>
    <n v="17254"/>
  </r>
  <r>
    <x v="25"/>
    <s v="Endenergieverbrauch - Sonstige Sektoren - Handel und öffentliche Dienstleistungen - energetischer Verbrauch"/>
    <s v="Elektrizität"/>
    <s v="Gigawattstunde"/>
    <x v="8"/>
    <x v="0"/>
    <n v="17846"/>
  </r>
  <r>
    <x v="25"/>
    <s v="Endenergieverbrauch - Sonstige Sektoren - Handel und öffentliche Dienstleistungen - energetischer Verbrauch"/>
    <s v="Elektrizität"/>
    <s v="Gigawattstunde"/>
    <x v="9"/>
    <x v="0"/>
    <n v="17263"/>
  </r>
  <r>
    <x v="25"/>
    <s v="Endenergieverbrauch - Sonstige Sektoren - Handel und öffentliche Dienstleistungen - energetischer Verbrauch"/>
    <s v="Elektrizität"/>
    <s v="Gigawattstunde"/>
    <x v="10"/>
    <x v="0"/>
    <n v="17857"/>
  </r>
  <r>
    <x v="25"/>
    <s v="Endenergieverbrauch - Sonstige Sektoren - Handel und öffentliche Dienstleistungen - energetischer Verbrauch"/>
    <s v="Elektrizität"/>
    <s v="Gigawattstunde"/>
    <x v="11"/>
    <x v="0"/>
    <n v="17505"/>
  </r>
  <r>
    <x v="25"/>
    <s v="Endenergieverbrauch - Sonstige Sektoren - Handel und öffentliche Dienstleistungen - energetischer Verbrauch"/>
    <s v="Elektrizität"/>
    <s v="Gigawattstunde"/>
    <x v="12"/>
    <x v="0"/>
    <n v="17459"/>
  </r>
  <r>
    <x v="25"/>
    <s v="Endenergieverbrauch - Sonstige Sektoren - Handel und öffentliche Dienstleistungen - energetischer Verbrauch"/>
    <s v="Elektrizität"/>
    <s v="Gigawattstunde"/>
    <x v="13"/>
    <x v="0"/>
    <n v="17450"/>
  </r>
  <r>
    <x v="25"/>
    <s v="Endenergieverbrauch - Sonstige Sektoren - Handel und öffentliche Dienstleistungen - energetischer Verbrauch"/>
    <s v="Elektrizität"/>
    <s v="Gigawattstunde"/>
    <x v="14"/>
    <x v="0"/>
    <n v="17645"/>
  </r>
  <r>
    <x v="25"/>
    <s v="Endenergieverbrauch - Sonstige Sektoren - Handel und öffentliche Dienstleistungen - energetischer Verbrauch"/>
    <s v="Elektrizität"/>
    <s v="Gigawattstunde"/>
    <x v="15"/>
    <x v="0"/>
    <n v="17520"/>
  </r>
  <r>
    <x v="25"/>
    <s v="Endenergieverbrauch - Sonstige Sektoren - Handel und öffentliche Dienstleistungen - energetischer Verbrauch"/>
    <s v="Elektrizität"/>
    <s v="Gigawattstunde"/>
    <x v="16"/>
    <x v="0"/>
    <n v="18200"/>
  </r>
  <r>
    <x v="26"/>
    <s v="Endenergieverbrauch - Sonstige Sektoren - Handel und öffentliche Dienstleistungen - energetischer Verbrauch"/>
    <s v="Elektrizität"/>
    <s v="Gigawattstunde"/>
    <x v="0"/>
    <x v="0"/>
    <n v="28002"/>
  </r>
  <r>
    <x v="26"/>
    <s v="Endenergieverbrauch - Sonstige Sektoren - Handel und öffentliche Dienstleistungen - energetischer Verbrauch"/>
    <s v="Elektrizität"/>
    <s v="Gigawattstunde"/>
    <x v="1"/>
    <x v="0"/>
    <n v="27263"/>
  </r>
  <r>
    <x v="26"/>
    <s v="Endenergieverbrauch - Sonstige Sektoren - Handel und öffentliche Dienstleistungen - energetischer Verbrauch"/>
    <s v="Elektrizität"/>
    <s v="Gigawattstunde"/>
    <x v="2"/>
    <x v="0"/>
    <n v="27557"/>
  </r>
  <r>
    <x v="26"/>
    <s v="Endenergieverbrauch - Sonstige Sektoren - Handel und öffentliche Dienstleistungen - energetischer Verbrauch"/>
    <s v="Elektrizität"/>
    <s v="Gigawattstunde"/>
    <x v="3"/>
    <x v="0"/>
    <n v="26135"/>
  </r>
  <r>
    <x v="26"/>
    <s v="Endenergieverbrauch - Sonstige Sektoren - Handel und öffentliche Dienstleistungen - energetischer Verbrauch"/>
    <s v="Elektrizität"/>
    <s v="Gigawattstunde"/>
    <x v="4"/>
    <x v="0"/>
    <n v="27139"/>
  </r>
  <r>
    <x v="26"/>
    <s v="Endenergieverbrauch - Sonstige Sektoren - Handel und öffentliche Dienstleistungen - energetischer Verbrauch"/>
    <s v="Elektrizität"/>
    <s v="Gigawattstunde"/>
    <x v="5"/>
    <x v="0"/>
    <n v="28457"/>
  </r>
  <r>
    <x v="26"/>
    <s v="Endenergieverbrauch - Sonstige Sektoren - Handel und öffentliche Dienstleistungen - energetischer Verbrauch"/>
    <s v="Elektrizität"/>
    <s v="Gigawattstunde"/>
    <x v="6"/>
    <x v="0"/>
    <n v="28096"/>
  </r>
  <r>
    <x v="26"/>
    <s v="Endenergieverbrauch - Sonstige Sektoren - Handel und öffentliche Dienstleistungen - energetischer Verbrauch"/>
    <s v="Elektrizität"/>
    <s v="Gigawattstunde"/>
    <x v="7"/>
    <x v="0"/>
    <n v="26744"/>
  </r>
  <r>
    <x v="26"/>
    <s v="Endenergieverbrauch - Sonstige Sektoren - Handel und öffentliche Dienstleistungen - energetischer Verbrauch"/>
    <s v="Elektrizität"/>
    <s v="Gigawattstunde"/>
    <x v="8"/>
    <x v="0"/>
    <n v="27187"/>
  </r>
  <r>
    <x v="26"/>
    <s v="Endenergieverbrauch - Sonstige Sektoren - Handel und öffentliche Dienstleistungen - energetischer Verbrauch"/>
    <s v="Elektrizität"/>
    <s v="Gigawattstunde"/>
    <x v="9"/>
    <x v="0"/>
    <n v="24636"/>
  </r>
  <r>
    <x v="26"/>
    <s v="Endenergieverbrauch - Sonstige Sektoren - Handel und öffentliche Dienstleistungen - energetischer Verbrauch"/>
    <s v="Elektrizität"/>
    <s v="Gigawattstunde"/>
    <x v="10"/>
    <x v="0"/>
    <n v="25741"/>
  </r>
  <r>
    <x v="26"/>
    <s v="Endenergieverbrauch - Sonstige Sektoren - Handel und öffentliche Dienstleistungen - energetischer Verbrauch"/>
    <s v="Elektrizität"/>
    <s v="Gigawattstunde"/>
    <x v="11"/>
    <x v="0"/>
    <n v="25504"/>
  </r>
  <r>
    <x v="26"/>
    <s v="Endenergieverbrauch - Sonstige Sektoren - Handel und öffentliche Dienstleistungen - energetischer Verbrauch"/>
    <s v="Elektrizität"/>
    <s v="Gigawattstunde"/>
    <x v="12"/>
    <x v="0"/>
    <n v="26347"/>
  </r>
  <r>
    <x v="26"/>
    <s v="Endenergieverbrauch - Sonstige Sektoren - Handel und öffentliche Dienstleistungen - energetischer Verbrauch"/>
    <s v="Elektrizität"/>
    <s v="Gigawattstunde"/>
    <x v="13"/>
    <x v="0"/>
    <n v="27736"/>
  </r>
  <r>
    <x v="26"/>
    <s v="Endenergieverbrauch - Sonstige Sektoren - Handel und öffentliche Dienstleistungen - energetischer Verbrauch"/>
    <s v="Elektrizität"/>
    <s v="Gigawattstunde"/>
    <x v="14"/>
    <x v="0"/>
    <n v="28733"/>
  </r>
  <r>
    <x v="26"/>
    <s v="Endenergieverbrauch - Sonstige Sektoren - Handel und öffentliche Dienstleistungen - energetischer Verbrauch"/>
    <s v="Elektrizität"/>
    <s v="Gigawattstunde"/>
    <x v="15"/>
    <x v="0"/>
    <n v="27563"/>
  </r>
  <r>
    <x v="26"/>
    <s v="Endenergieverbrauch - Sonstige Sektoren - Handel und öffentliche Dienstleistungen - energetischer Verbrauch"/>
    <s v="Elektrizität"/>
    <s v="Gigawattstunde"/>
    <x v="16"/>
    <x v="0"/>
    <n v="28012"/>
  </r>
  <r>
    <x v="27"/>
    <s v="Endenergieverbrauch - Sonstige Sektoren - Handel und öffentliche Dienstleistungen - energetischer Verbrauch"/>
    <s v="Elektrizität"/>
    <s v="Gigawattstunde"/>
    <x v="0"/>
    <x v="0"/>
    <n v="93620"/>
  </r>
  <r>
    <x v="27"/>
    <s v="Endenergieverbrauch - Sonstige Sektoren - Handel und öffentliche Dienstleistungen - energetischer Verbrauch"/>
    <s v="Elektrizität"/>
    <s v="Gigawattstunde"/>
    <x v="1"/>
    <x v="0"/>
    <n v="91722"/>
  </r>
  <r>
    <x v="27"/>
    <s v="Endenergieverbrauch - Sonstige Sektoren - Handel und öffentliche Dienstleistungen - energetischer Verbrauch"/>
    <s v="Elektrizität"/>
    <s v="Gigawattstunde"/>
    <x v="2"/>
    <x v="0"/>
    <n v="95178"/>
  </r>
  <r>
    <x v="27"/>
    <s v="Endenergieverbrauch - Sonstige Sektoren - Handel und öffentliche Dienstleistungen - energetischer Verbrauch"/>
    <s v="Elektrizität"/>
    <s v="Gigawattstunde"/>
    <x v="3"/>
    <x v="0"/>
    <n v="98878"/>
  </r>
  <r>
    <x v="27"/>
    <s v="Endenergieverbrauch - Sonstige Sektoren - Handel und öffentliche Dienstleistungen - energetischer Verbrauch"/>
    <s v="Elektrizität"/>
    <s v="Gigawattstunde"/>
    <x v="4"/>
    <x v="0"/>
    <n v="97618"/>
  </r>
  <r>
    <x v="27"/>
    <s v="Endenergieverbrauch - Sonstige Sektoren - Handel und öffentliche Dienstleistungen - energetischer Verbrauch"/>
    <s v="Elektrizität"/>
    <s v="Gigawattstunde"/>
    <x v="5"/>
    <x v="0"/>
    <n v="97764"/>
  </r>
  <r>
    <x v="27"/>
    <s v="Endenergieverbrauch - Sonstige Sektoren - Handel und öffentliche Dienstleistungen - energetischer Verbrauch"/>
    <s v="Elektrizität"/>
    <s v="Gigawattstunde"/>
    <x v="6"/>
    <x v="0"/>
    <n v="99861"/>
  </r>
  <r>
    <x v="27"/>
    <s v="Endenergieverbrauch - Sonstige Sektoren - Handel und öffentliche Dienstleistungen - energetischer Verbrauch"/>
    <s v="Elektrizität"/>
    <s v="Gigawattstunde"/>
    <x v="7"/>
    <x v="0"/>
    <n v="95628"/>
  </r>
  <r>
    <x v="27"/>
    <s v="Endenergieverbrauch - Sonstige Sektoren - Handel und öffentliche Dienstleistungen - energetischer Verbrauch"/>
    <s v="Elektrizität"/>
    <s v="Gigawattstunde"/>
    <x v="8"/>
    <x v="0"/>
    <n v="97372"/>
  </r>
  <r>
    <x v="27"/>
    <s v="Endenergieverbrauch - Sonstige Sektoren - Handel und öffentliche Dienstleistungen - energetischer Verbrauch"/>
    <s v="Elektrizität"/>
    <s v="Gigawattstunde"/>
    <x v="9"/>
    <x v="0"/>
    <n v="95718"/>
  </r>
  <r>
    <x v="27"/>
    <s v="Endenergieverbrauch - Sonstige Sektoren - Handel und öffentliche Dienstleistungen - energetischer Verbrauch"/>
    <s v="Elektrizität"/>
    <s v="Gigawattstunde"/>
    <x v="10"/>
    <x v="0"/>
    <n v="96802"/>
  </r>
  <r>
    <x v="27"/>
    <s v="Endenergieverbrauch - Sonstige Sektoren - Handel und öffentliche Dienstleistungen - energetischer Verbrauch"/>
    <s v="Elektrizität"/>
    <s v="Gigawattstunde"/>
    <x v="11"/>
    <x v="0"/>
    <n v="97652"/>
  </r>
  <r>
    <x v="27"/>
    <s v="Endenergieverbrauch - Sonstige Sektoren - Handel und öffentliche Dienstleistungen - energetischer Verbrauch"/>
    <s v="Elektrizität"/>
    <s v="Gigawattstunde"/>
    <x v="12"/>
    <x v="0"/>
    <n v="93356"/>
  </r>
  <r>
    <x v="27"/>
    <s v="Endenergieverbrauch - Sonstige Sektoren - Handel und öffentliche Dienstleistungen - energetischer Verbrauch"/>
    <s v="Elektrizität"/>
    <s v="Gigawattstunde"/>
    <x v="13"/>
    <x v="0"/>
    <n v="94144.376999999993"/>
  </r>
  <r>
    <x v="27"/>
    <s v="Endenergieverbrauch - Sonstige Sektoren - Handel und öffentliche Dienstleistungen - energetischer Verbrauch"/>
    <s v="Elektrizität"/>
    <s v="Gigawattstunde"/>
    <x v="14"/>
    <x v="0"/>
    <n v="93692.277000000002"/>
  </r>
  <r>
    <x v="27"/>
    <s v="Endenergieverbrauch - Sonstige Sektoren - Handel und öffentliche Dienstleistungen - energetischer Verbrauch"/>
    <s v="Elektrizität"/>
    <s v="Gigawattstunde"/>
    <x v="15"/>
    <x v="0"/>
    <n v="92792.122000000003"/>
  </r>
  <r>
    <x v="27"/>
    <s v="Endenergieverbrauch - Sonstige Sektoren - Handel und öffentliche Dienstleistungen - energetischer Verbrauch"/>
    <s v="Elektrizität"/>
    <s v="Gigawattstunde"/>
    <x v="16"/>
    <x v="0"/>
    <n v="92256.781000000003"/>
  </r>
  <r>
    <x v="28"/>
    <s v="Endenergieverbrauch - Sonstige Sektoren - Handel und öffentliche Dienstleistungen - energetischer Verbrauch"/>
    <s v="Elektrizität"/>
    <s v="Gigawattstunde"/>
    <x v="0"/>
    <x v="0"/>
    <n v="802"/>
  </r>
  <r>
    <x v="28"/>
    <s v="Endenergieverbrauch - Sonstige Sektoren - Handel und öffentliche Dienstleistungen - energetischer Verbrauch"/>
    <s v="Elektrizität"/>
    <s v="Gigawattstunde"/>
    <x v="1"/>
    <x v="0"/>
    <n v="784"/>
  </r>
  <r>
    <x v="28"/>
    <s v="Endenergieverbrauch - Sonstige Sektoren - Handel und öffentliche Dienstleistungen - energetischer Verbrauch"/>
    <s v="Elektrizität"/>
    <s v="Gigawattstunde"/>
    <x v="2"/>
    <x v="0"/>
    <n v="882"/>
  </r>
  <r>
    <x v="28"/>
    <s v="Endenergieverbrauch - Sonstige Sektoren - Handel und öffentliche Dienstleistungen - energetischer Verbrauch"/>
    <s v="Elektrizität"/>
    <s v="Gigawattstunde"/>
    <x v="3"/>
    <x v="0"/>
    <n v="916"/>
  </r>
  <r>
    <x v="28"/>
    <s v="Endenergieverbrauch - Sonstige Sektoren - Handel und öffentliche Dienstleistungen - energetischer Verbrauch"/>
    <s v="Elektrizität"/>
    <s v="Gigawattstunde"/>
    <x v="4"/>
    <x v="0"/>
    <n v="957"/>
  </r>
  <r>
    <x v="28"/>
    <s v="Endenergieverbrauch - Sonstige Sektoren - Handel und öffentliche Dienstleistungen - energetischer Verbrauch"/>
    <s v="Elektrizität"/>
    <s v="Gigawattstunde"/>
    <x v="5"/>
    <x v="0"/>
    <n v="989"/>
  </r>
  <r>
    <x v="28"/>
    <s v="Endenergieverbrauch - Sonstige Sektoren - Handel und öffentliche Dienstleistungen - energetischer Verbrauch"/>
    <s v="Elektrizität"/>
    <s v="Gigawattstunde"/>
    <x v="6"/>
    <x v="0"/>
    <n v="1063"/>
  </r>
  <r>
    <x v="28"/>
    <s v="Endenergieverbrauch - Sonstige Sektoren - Handel und öffentliche Dienstleistungen - energetischer Verbrauch"/>
    <s v="Elektrizität"/>
    <s v="Gigawattstunde"/>
    <x v="7"/>
    <x v="0"/>
    <n v="1021"/>
  </r>
  <r>
    <x v="28"/>
    <s v="Endenergieverbrauch - Sonstige Sektoren - Handel und öffentliche Dienstleistungen - energetischer Verbrauch"/>
    <s v="Elektrizität"/>
    <s v="Gigawattstunde"/>
    <x v="8"/>
    <x v="0"/>
    <n v="1023"/>
  </r>
  <r>
    <x v="28"/>
    <s v="Endenergieverbrauch - Sonstige Sektoren - Handel und öffentliche Dienstleistungen - energetischer Verbrauch"/>
    <s v="Elektrizität"/>
    <s v="Gigawattstunde"/>
    <x v="9"/>
    <x v="0"/>
    <n v="1019"/>
  </r>
  <r>
    <x v="28"/>
    <s v="Endenergieverbrauch - Sonstige Sektoren - Handel und öffentliche Dienstleistungen - energetischer Verbrauch"/>
    <s v="Elektrizität"/>
    <s v="Gigawattstunde"/>
    <x v="10"/>
    <x v="0"/>
    <n v="1037"/>
  </r>
  <r>
    <x v="28"/>
    <s v="Endenergieverbrauch - Sonstige Sektoren - Handel und öffentliche Dienstleistungen - energetischer Verbrauch"/>
    <s v="Elektrizität"/>
    <s v="Gigawattstunde"/>
    <x v="11"/>
    <x v="0"/>
    <n v="1040"/>
  </r>
  <r>
    <x v="28"/>
    <s v="Endenergieverbrauch - Sonstige Sektoren - Handel und öffentliche Dienstleistungen - energetischer Verbrauch"/>
    <s v="Elektrizität"/>
    <s v="Gigawattstunde"/>
    <x v="12"/>
    <x v="0"/>
    <n v="1026"/>
  </r>
  <r>
    <x v="28"/>
    <s v="Endenergieverbrauch - Sonstige Sektoren - Handel und öffentliche Dienstleistungen - energetischer Verbrauch"/>
    <s v="Elektrizität"/>
    <s v="Gigawattstunde"/>
    <x v="13"/>
    <x v="0"/>
    <n v="1217"/>
  </r>
  <r>
    <x v="28"/>
    <s v="Endenergieverbrauch - Sonstige Sektoren - Handel und öffentliche Dienstleistungen - energetischer Verbrauch"/>
    <s v="Elektrizität"/>
    <s v="Gigawattstunde"/>
    <x v="14"/>
    <x v="0"/>
    <n v="1263"/>
  </r>
  <r>
    <x v="28"/>
    <s v="Endenergieverbrauch - Sonstige Sektoren - Handel und öffentliche Dienstleistungen - energetischer Verbrauch"/>
    <s v="Elektrizität"/>
    <s v="Gigawattstunde"/>
    <x v="15"/>
    <x v="0"/>
    <n v="1331.617"/>
  </r>
  <r>
    <x v="28"/>
    <s v="Endenergieverbrauch - Sonstige Sektoren - Handel und öffentliche Dienstleistungen - energetischer Verbrauch"/>
    <s v="Elektrizität"/>
    <s v="Gigawattstunde"/>
    <x v="16"/>
    <x v="0"/>
    <n v="1714.0719999999999"/>
  </r>
  <r>
    <x v="29"/>
    <s v="Endenergieverbrauch - Sonstige Sektoren - Handel und öffentliche Dienstleistungen - energetischer Verbrauch"/>
    <s v="Elektrizität"/>
    <s v="Gigawattstunde"/>
    <x v="0"/>
    <x v="0"/>
    <n v="24323"/>
  </r>
  <r>
    <x v="29"/>
    <s v="Endenergieverbrauch - Sonstige Sektoren - Handel und öffentliche Dienstleistungen - energetischer Verbrauch"/>
    <s v="Elektrizität"/>
    <s v="Gigawattstunde"/>
    <x v="1"/>
    <x v="0"/>
    <n v="20833"/>
  </r>
  <r>
    <x v="29"/>
    <s v="Endenergieverbrauch - Sonstige Sektoren - Handel und öffentliche Dienstleistungen - energetischer Verbrauch"/>
    <s v="Elektrizität"/>
    <s v="Gigawattstunde"/>
    <x v="2"/>
    <x v="0"/>
    <n v="21586"/>
  </r>
  <r>
    <x v="29"/>
    <s v="Endenergieverbrauch - Sonstige Sektoren - Handel und öffentliche Dienstleistungen - energetischer Verbrauch"/>
    <s v="Elektrizität"/>
    <s v="Gigawattstunde"/>
    <x v="3"/>
    <x v="0"/>
    <n v="21954"/>
  </r>
  <r>
    <x v="29"/>
    <s v="Endenergieverbrauch - Sonstige Sektoren - Handel und öffentliche Dienstleistungen - energetischer Verbrauch"/>
    <s v="Elektrizität"/>
    <s v="Gigawattstunde"/>
    <x v="4"/>
    <x v="0"/>
    <n v="21160"/>
  </r>
  <r>
    <x v="29"/>
    <s v="Endenergieverbrauch - Sonstige Sektoren - Handel und öffentliche Dienstleistungen - energetischer Verbrauch"/>
    <s v="Elektrizität"/>
    <s v="Gigawattstunde"/>
    <x v="5"/>
    <x v="0"/>
    <n v="23322"/>
  </r>
  <r>
    <x v="29"/>
    <s v="Endenergieverbrauch - Sonstige Sektoren - Handel und öffentliche Dienstleistungen - energetischer Verbrauch"/>
    <s v="Elektrizität"/>
    <s v="Gigawattstunde"/>
    <x v="6"/>
    <x v="0"/>
    <n v="23656"/>
  </r>
  <r>
    <x v="29"/>
    <s v="Endenergieverbrauch - Sonstige Sektoren - Handel und öffentliche Dienstleistungen - energetischer Verbrauch"/>
    <s v="Elektrizität"/>
    <s v="Gigawattstunde"/>
    <x v="7"/>
    <x v="0"/>
    <n v="26892"/>
  </r>
  <r>
    <x v="29"/>
    <s v="Endenergieverbrauch - Sonstige Sektoren - Handel und öffentliche Dienstleistungen - energetischer Verbrauch"/>
    <s v="Elektrizität"/>
    <s v="Gigawattstunde"/>
    <x v="8"/>
    <x v="0"/>
    <n v="26188"/>
  </r>
  <r>
    <x v="29"/>
    <s v="Endenergieverbrauch - Sonstige Sektoren - Handel und öffentliche Dienstleistungen - energetischer Verbrauch"/>
    <s v="Elektrizität"/>
    <s v="Gigawattstunde"/>
    <x v="9"/>
    <x v="0"/>
    <n v="24863"/>
  </r>
  <r>
    <x v="29"/>
    <s v="Endenergieverbrauch - Sonstige Sektoren - Handel und öffentliche Dienstleistungen - energetischer Verbrauch"/>
    <s v="Elektrizität"/>
    <s v="Gigawattstunde"/>
    <x v="10"/>
    <x v="0"/>
    <n v="25856"/>
  </r>
  <r>
    <x v="29"/>
    <s v="Endenergieverbrauch - Sonstige Sektoren - Handel und öffentliche Dienstleistungen - energetischer Verbrauch"/>
    <s v="Elektrizität"/>
    <s v="Gigawattstunde"/>
    <x v="11"/>
    <x v="0"/>
    <n v="26056"/>
  </r>
  <r>
    <x v="29"/>
    <s v="Endenergieverbrauch - Sonstige Sektoren - Handel und öffentliche Dienstleistungen - energetischer Verbrauch"/>
    <s v="Elektrizität"/>
    <s v="Gigawattstunde"/>
    <x v="12"/>
    <x v="0"/>
    <n v="24659"/>
  </r>
  <r>
    <x v="29"/>
    <s v="Endenergieverbrauch - Sonstige Sektoren - Handel und öffentliche Dienstleistungen - energetischer Verbrauch"/>
    <s v="Elektrizität"/>
    <s v="Gigawattstunde"/>
    <x v="13"/>
    <x v="0"/>
    <n v="24660"/>
  </r>
  <r>
    <x v="29"/>
    <s v="Endenergieverbrauch - Sonstige Sektoren - Handel und öffentliche Dienstleistungen - energetischer Verbrauch"/>
    <s v="Elektrizität"/>
    <s v="Gigawattstunde"/>
    <x v="14"/>
    <x v="0"/>
    <n v="26133"/>
  </r>
  <r>
    <x v="29"/>
    <s v="Endenergieverbrauch - Sonstige Sektoren - Handel und öffentliche Dienstleistungen - energetischer Verbrauch"/>
    <s v="Elektrizität"/>
    <s v="Gigawattstunde"/>
    <x v="15"/>
    <x v="0"/>
    <n v="25012"/>
  </r>
  <r>
    <x v="29"/>
    <s v="Endenergieverbrauch - Sonstige Sektoren - Handel und öffentliche Dienstleistungen - energetischer Verbrauch"/>
    <s v="Elektrizität"/>
    <s v="Gigawattstunde"/>
    <x v="16"/>
    <x v="0"/>
    <n v="25446.355"/>
  </r>
  <r>
    <x v="30"/>
    <s v="Endenergieverbrauch - Sonstige Sektoren - Handel und öffentliche Dienstleistungen - energetischer Verbrauch"/>
    <s v="Elektrizität"/>
    <s v="Gigawattstunde"/>
    <x v="0"/>
    <x v="0"/>
    <n v="335"/>
  </r>
  <r>
    <x v="30"/>
    <s v="Endenergieverbrauch - Sonstige Sektoren - Handel und öffentliche Dienstleistungen - energetischer Verbrauch"/>
    <s v="Elektrizität"/>
    <s v="Gigawattstunde"/>
    <x v="1"/>
    <x v="0"/>
    <n v="313"/>
  </r>
  <r>
    <x v="30"/>
    <s v="Endenergieverbrauch - Sonstige Sektoren - Handel und öffentliche Dienstleistungen - energetischer Verbrauch"/>
    <s v="Elektrizität"/>
    <s v="Gigawattstunde"/>
    <x v="2"/>
    <x v="0"/>
    <n v="4590"/>
  </r>
  <r>
    <x v="30"/>
    <s v="Endenergieverbrauch - Sonstige Sektoren - Handel und öffentliche Dienstleistungen - energetischer Verbrauch"/>
    <s v="Elektrizität"/>
    <s v="Gigawattstunde"/>
    <x v="3"/>
    <x v="0"/>
    <n v="4956"/>
  </r>
  <r>
    <x v="30"/>
    <s v="Endenergieverbrauch - Sonstige Sektoren - Handel und öffentliche Dienstleistungen - energetischer Verbrauch"/>
    <s v="Elektrizität"/>
    <s v="Gigawattstunde"/>
    <x v="4"/>
    <x v="0"/>
    <n v="5195"/>
  </r>
  <r>
    <x v="30"/>
    <s v="Endenergieverbrauch - Sonstige Sektoren - Handel und öffentliche Dienstleistungen - energetischer Verbrauch"/>
    <s v="Elektrizität"/>
    <s v="Gigawattstunde"/>
    <x v="5"/>
    <x v="0"/>
    <n v="5369"/>
  </r>
  <r>
    <x v="30"/>
    <s v="Endenergieverbrauch - Sonstige Sektoren - Handel und öffentliche Dienstleistungen - energetischer Verbrauch"/>
    <s v="Elektrizität"/>
    <s v="Gigawattstunde"/>
    <x v="6"/>
    <x v="0"/>
    <n v="5615"/>
  </r>
  <r>
    <x v="30"/>
    <s v="Endenergieverbrauch - Sonstige Sektoren - Handel und öffentliche Dienstleistungen - energetischer Verbrauch"/>
    <s v="Elektrizität"/>
    <s v="Gigawattstunde"/>
    <x v="7"/>
    <x v="0"/>
    <n v="4828"/>
  </r>
  <r>
    <x v="30"/>
    <s v="Endenergieverbrauch - Sonstige Sektoren - Handel und öffentliche Dienstleistungen - energetischer Verbrauch"/>
    <s v="Elektrizität"/>
    <s v="Gigawattstunde"/>
    <x v="8"/>
    <x v="0"/>
    <n v="4957"/>
  </r>
  <r>
    <x v="30"/>
    <s v="Endenergieverbrauch - Sonstige Sektoren - Handel und öffentliche Dienstleistungen - energetischer Verbrauch"/>
    <s v="Elektrizität"/>
    <s v="Gigawattstunde"/>
    <x v="9"/>
    <x v="0"/>
    <n v="5003"/>
  </r>
  <r>
    <x v="30"/>
    <s v="Endenergieverbrauch - Sonstige Sektoren - Handel und öffentliche Dienstleistungen - energetischer Verbrauch"/>
    <s v="Elektrizität"/>
    <s v="Gigawattstunde"/>
    <x v="10"/>
    <x v="0"/>
    <n v="4918"/>
  </r>
  <r>
    <x v="30"/>
    <s v="Endenergieverbrauch - Sonstige Sektoren - Handel und öffentliche Dienstleistungen - energetischer Verbrauch"/>
    <s v="Elektrizität"/>
    <s v="Gigawattstunde"/>
    <x v="11"/>
    <x v="0"/>
    <n v="4899"/>
  </r>
  <r>
    <x v="30"/>
    <s v="Endenergieverbrauch - Sonstige Sektoren - Handel und öffentliche Dienstleistungen - energetischer Verbrauch"/>
    <s v="Elektrizität"/>
    <s v="Gigawattstunde"/>
    <x v="12"/>
    <x v="0"/>
    <n v="4566"/>
  </r>
  <r>
    <x v="30"/>
    <s v="Endenergieverbrauch - Sonstige Sektoren - Handel und öffentliche Dienstleistungen - energetischer Verbrauch"/>
    <s v="Elektrizität"/>
    <s v="Gigawattstunde"/>
    <x v="13"/>
    <x v="0"/>
    <n v="4920"/>
  </r>
  <r>
    <x v="30"/>
    <s v="Endenergieverbrauch - Sonstige Sektoren - Handel und öffentliche Dienstleistungen - energetischer Verbrauch"/>
    <s v="Elektrizität"/>
    <s v="Gigawattstunde"/>
    <x v="14"/>
    <x v="0"/>
    <n v="5005"/>
  </r>
  <r>
    <x v="30"/>
    <s v="Endenergieverbrauch - Sonstige Sektoren - Handel und öffentliche Dienstleistungen - energetischer Verbrauch"/>
    <s v="Elektrizität"/>
    <s v="Gigawattstunde"/>
    <x v="15"/>
    <x v="0"/>
    <n v="5190.2700000000004"/>
  </r>
  <r>
    <x v="30"/>
    <s v="Endenergieverbrauch - Sonstige Sektoren - Handel und öffentliche Dienstleistungen - energetischer Verbrauch"/>
    <s v="Elektrizität"/>
    <s v="Gigawattstunde"/>
    <x v="16"/>
    <x v="0"/>
    <n v="5183.1689999999999"/>
  </r>
  <r>
    <x v="0"/>
    <s v="Endenergieverbrauch - Sonstige Sektoren - Haushalte - energetischer Verbrauch"/>
    <s v="Elektrizität"/>
    <s v="Gigawattstunde"/>
    <x v="0"/>
    <x v="1"/>
    <n v="25921"/>
  </r>
  <r>
    <x v="0"/>
    <s v="Endenergieverbrauch - Sonstige Sektoren - Haushalte - energetischer Verbrauch"/>
    <s v="Elektrizität"/>
    <s v="Gigawattstunde"/>
    <x v="1"/>
    <x v="1"/>
    <n v="26026"/>
  </r>
  <r>
    <x v="0"/>
    <s v="Endenergieverbrauch - Sonstige Sektoren - Haushalte - energetischer Verbrauch"/>
    <s v="Elektrizität"/>
    <s v="Gigawattstunde"/>
    <x v="2"/>
    <x v="1"/>
    <n v="26543"/>
  </r>
  <r>
    <x v="0"/>
    <s v="Endenergieverbrauch - Sonstige Sektoren - Haushalte - energetischer Verbrauch"/>
    <s v="Elektrizität"/>
    <s v="Gigawattstunde"/>
    <x v="3"/>
    <x v="1"/>
    <n v="26007"/>
  </r>
  <r>
    <x v="0"/>
    <s v="Endenergieverbrauch - Sonstige Sektoren - Haushalte - energetischer Verbrauch"/>
    <s v="Elektrizität"/>
    <s v="Gigawattstunde"/>
    <x v="4"/>
    <x v="1"/>
    <n v="22722"/>
  </r>
  <r>
    <x v="0"/>
    <s v="Endenergieverbrauch - Sonstige Sektoren - Haushalte - energetischer Verbrauch"/>
    <s v="Elektrizität"/>
    <s v="Gigawattstunde"/>
    <x v="5"/>
    <x v="1"/>
    <n v="21856"/>
  </r>
  <r>
    <x v="0"/>
    <s v="Endenergieverbrauch - Sonstige Sektoren - Haushalte - energetischer Verbrauch"/>
    <s v="Elektrizität"/>
    <s v="Gigawattstunde"/>
    <x v="6"/>
    <x v="1"/>
    <n v="19982"/>
  </r>
  <r>
    <x v="0"/>
    <s v="Endenergieverbrauch - Sonstige Sektoren - Haushalte - energetischer Verbrauch"/>
    <s v="Elektrizität"/>
    <s v="Gigawattstunde"/>
    <x v="7"/>
    <x v="1"/>
    <n v="20210"/>
  </r>
  <r>
    <x v="0"/>
    <s v="Endenergieverbrauch - Sonstige Sektoren - Haushalte - energetischer Verbrauch"/>
    <s v="Elektrizität"/>
    <s v="Gigawattstunde"/>
    <x v="8"/>
    <x v="1"/>
    <n v="20276"/>
  </r>
  <r>
    <x v="0"/>
    <s v="Endenergieverbrauch - Sonstige Sektoren - Haushalte - energetischer Verbrauch"/>
    <s v="Elektrizität"/>
    <s v="Gigawattstunde"/>
    <x v="9"/>
    <x v="1"/>
    <n v="19257"/>
  </r>
  <r>
    <x v="0"/>
    <s v="Endenergieverbrauch - Sonstige Sektoren - Haushalte - energetischer Verbrauch"/>
    <s v="Elektrizität"/>
    <s v="Gigawattstunde"/>
    <x v="10"/>
    <x v="1"/>
    <n v="19848"/>
  </r>
  <r>
    <x v="0"/>
    <s v="Endenergieverbrauch - Sonstige Sektoren - Haushalte - energetischer Verbrauch"/>
    <s v="Elektrizität"/>
    <s v="Gigawattstunde"/>
    <x v="11"/>
    <x v="1"/>
    <n v="19810"/>
  </r>
  <r>
    <x v="0"/>
    <s v="Endenergieverbrauch - Sonstige Sektoren - Haushalte - energetischer Verbrauch"/>
    <s v="Elektrizität"/>
    <s v="Gigawattstunde"/>
    <x v="12"/>
    <x v="1"/>
    <n v="18992.2"/>
  </r>
  <r>
    <x v="0"/>
    <s v="Endenergieverbrauch - Sonstige Sektoren - Haushalte - energetischer Verbrauch"/>
    <s v="Elektrizität"/>
    <s v="Gigawattstunde"/>
    <x v="13"/>
    <x v="1"/>
    <n v="18862.2"/>
  </r>
  <r>
    <x v="0"/>
    <s v="Endenergieverbrauch - Sonstige Sektoren - Haushalte - energetischer Verbrauch"/>
    <s v="Elektrizität"/>
    <s v="Gigawattstunde"/>
    <x v="14"/>
    <x v="1"/>
    <n v="18884.599999999999"/>
  </r>
  <r>
    <x v="0"/>
    <s v="Endenergieverbrauch - Sonstige Sektoren - Haushalte - energetischer Verbrauch"/>
    <s v="Elektrizität"/>
    <s v="Gigawattstunde"/>
    <x v="15"/>
    <x v="1"/>
    <n v="18567.599999999999"/>
  </r>
  <r>
    <x v="0"/>
    <s v="Endenergieverbrauch - Sonstige Sektoren - Haushalte - energetischer Verbrauch"/>
    <s v="Elektrizität"/>
    <s v="Gigawattstunde"/>
    <x v="16"/>
    <x v="1"/>
    <n v="18440.8"/>
  </r>
  <r>
    <x v="1"/>
    <s v="Endenergieverbrauch - Sonstige Sektoren - Haushalte - energetischer Verbrauch"/>
    <s v="Elektrizität"/>
    <s v="Gigawattstunde"/>
    <x v="0"/>
    <x v="1"/>
    <n v="9306"/>
  </r>
  <r>
    <x v="1"/>
    <s v="Endenergieverbrauch - Sonstige Sektoren - Haushalte - energetischer Verbrauch"/>
    <s v="Elektrizität"/>
    <s v="Gigawattstunde"/>
    <x v="1"/>
    <x v="1"/>
    <n v="9311"/>
  </r>
  <r>
    <x v="1"/>
    <s v="Endenergieverbrauch - Sonstige Sektoren - Haushalte - energetischer Verbrauch"/>
    <s v="Elektrizität"/>
    <s v="Gigawattstunde"/>
    <x v="2"/>
    <x v="1"/>
    <n v="8770"/>
  </r>
  <r>
    <x v="1"/>
    <s v="Endenergieverbrauch - Sonstige Sektoren - Haushalte - energetischer Verbrauch"/>
    <s v="Elektrizität"/>
    <s v="Gigawattstunde"/>
    <x v="3"/>
    <x v="1"/>
    <n v="9046"/>
  </r>
  <r>
    <x v="1"/>
    <s v="Endenergieverbrauch - Sonstige Sektoren - Haushalte - energetischer Verbrauch"/>
    <s v="Elektrizität"/>
    <s v="Gigawattstunde"/>
    <x v="4"/>
    <x v="1"/>
    <n v="9305"/>
  </r>
  <r>
    <x v="1"/>
    <s v="Endenergieverbrauch - Sonstige Sektoren - Haushalte - energetischer Verbrauch"/>
    <s v="Elektrizität"/>
    <s v="Gigawattstunde"/>
    <x v="5"/>
    <x v="1"/>
    <n v="9376"/>
  </r>
  <r>
    <x v="1"/>
    <s v="Endenergieverbrauch - Sonstige Sektoren - Haushalte - energetischer Verbrauch"/>
    <s v="Elektrizität"/>
    <s v="Gigawattstunde"/>
    <x v="6"/>
    <x v="1"/>
    <n v="10027"/>
  </r>
  <r>
    <x v="1"/>
    <s v="Endenergieverbrauch - Sonstige Sektoren - Haushalte - energetischer Verbrauch"/>
    <s v="Elektrizität"/>
    <s v="Gigawattstunde"/>
    <x v="7"/>
    <x v="1"/>
    <n v="10302"/>
  </r>
  <r>
    <x v="1"/>
    <s v="Endenergieverbrauch - Sonstige Sektoren - Haushalte - energetischer Verbrauch"/>
    <s v="Elektrizität"/>
    <s v="Gigawattstunde"/>
    <x v="8"/>
    <x v="1"/>
    <n v="10559"/>
  </r>
  <r>
    <x v="1"/>
    <s v="Endenergieverbrauch - Sonstige Sektoren - Haushalte - energetischer Verbrauch"/>
    <s v="Elektrizität"/>
    <s v="Gigawattstunde"/>
    <x v="9"/>
    <x v="1"/>
    <n v="10912"/>
  </r>
  <r>
    <x v="1"/>
    <s v="Endenergieverbrauch - Sonstige Sektoren - Haushalte - energetischer Verbrauch"/>
    <s v="Elektrizität"/>
    <s v="Gigawattstunde"/>
    <x v="10"/>
    <x v="1"/>
    <n v="10838"/>
  </r>
  <r>
    <x v="1"/>
    <s v="Endenergieverbrauch - Sonstige Sektoren - Haushalte - energetischer Verbrauch"/>
    <s v="Elektrizität"/>
    <s v="Gigawattstunde"/>
    <x v="11"/>
    <x v="1"/>
    <n v="10537"/>
  </r>
  <r>
    <x v="1"/>
    <s v="Endenergieverbrauch - Sonstige Sektoren - Haushalte - energetischer Verbrauch"/>
    <s v="Elektrizität"/>
    <s v="Gigawattstunde"/>
    <x v="12"/>
    <x v="1"/>
    <n v="10590"/>
  </r>
  <r>
    <x v="1"/>
    <s v="Endenergieverbrauch - Sonstige Sektoren - Haushalte - energetischer Verbrauch"/>
    <s v="Elektrizität"/>
    <s v="Gigawattstunde"/>
    <x v="13"/>
    <x v="1"/>
    <n v="10644"/>
  </r>
  <r>
    <x v="1"/>
    <s v="Endenergieverbrauch - Sonstige Sektoren - Haushalte - energetischer Verbrauch"/>
    <s v="Elektrizität"/>
    <s v="Gigawattstunde"/>
    <x v="14"/>
    <x v="1"/>
    <n v="10733"/>
  </r>
  <r>
    <x v="1"/>
    <s v="Endenergieverbrauch - Sonstige Sektoren - Haushalte - energetischer Verbrauch"/>
    <s v="Elektrizität"/>
    <s v="Gigawattstunde"/>
    <x v="15"/>
    <x v="1"/>
    <n v="11137.538"/>
  </r>
  <r>
    <x v="1"/>
    <s v="Endenergieverbrauch - Sonstige Sektoren - Haushalte - energetischer Verbrauch"/>
    <s v="Elektrizität"/>
    <s v="Gigawattstunde"/>
    <x v="16"/>
    <x v="1"/>
    <n v="10963.025"/>
  </r>
  <r>
    <x v="2"/>
    <s v="Endenergieverbrauch - Sonstige Sektoren - Haushalte - energetischer Verbrauch"/>
    <s v="Elektrizität"/>
    <s v="Gigawattstunde"/>
    <x v="0"/>
    <x v="1"/>
    <n v="14121"/>
  </r>
  <r>
    <x v="2"/>
    <s v="Endenergieverbrauch - Sonstige Sektoren - Haushalte - energetischer Verbrauch"/>
    <s v="Elektrizität"/>
    <s v="Gigawattstunde"/>
    <x v="1"/>
    <x v="1"/>
    <n v="14508"/>
  </r>
  <r>
    <x v="2"/>
    <s v="Endenergieverbrauch - Sonstige Sektoren - Haushalte - energetischer Verbrauch"/>
    <s v="Elektrizität"/>
    <s v="Gigawattstunde"/>
    <x v="2"/>
    <x v="1"/>
    <n v="14525"/>
  </r>
  <r>
    <x v="2"/>
    <s v="Endenergieverbrauch - Sonstige Sektoren - Haushalte - energetischer Verbrauch"/>
    <s v="Elektrizität"/>
    <s v="Gigawattstunde"/>
    <x v="3"/>
    <x v="1"/>
    <n v="14719"/>
  </r>
  <r>
    <x v="2"/>
    <s v="Endenergieverbrauch - Sonstige Sektoren - Haushalte - energetischer Verbrauch"/>
    <s v="Elektrizität"/>
    <s v="Gigawattstunde"/>
    <x v="4"/>
    <x v="1"/>
    <n v="15198"/>
  </r>
  <r>
    <x v="2"/>
    <s v="Endenergieverbrauch - Sonstige Sektoren - Haushalte - energetischer Verbrauch"/>
    <s v="Elektrizität"/>
    <s v="Gigawattstunde"/>
    <x v="5"/>
    <x v="1"/>
    <n v="14646"/>
  </r>
  <r>
    <x v="2"/>
    <s v="Endenergieverbrauch - Sonstige Sektoren - Haushalte - energetischer Verbrauch"/>
    <s v="Elektrizität"/>
    <s v="Gigawattstunde"/>
    <x v="6"/>
    <x v="1"/>
    <n v="14703"/>
  </r>
  <r>
    <x v="2"/>
    <s v="Endenergieverbrauch - Sonstige Sektoren - Haushalte - energetischer Verbrauch"/>
    <s v="Elektrizität"/>
    <s v="Gigawattstunde"/>
    <x v="7"/>
    <x v="1"/>
    <n v="14687"/>
  </r>
  <r>
    <x v="2"/>
    <s v="Endenergieverbrauch - Sonstige Sektoren - Haushalte - energetischer Verbrauch"/>
    <s v="Elektrizität"/>
    <s v="Gigawattstunde"/>
    <x v="8"/>
    <x v="1"/>
    <n v="15028"/>
  </r>
  <r>
    <x v="2"/>
    <s v="Endenergieverbrauch - Sonstige Sektoren - Haushalte - energetischer Verbrauch"/>
    <s v="Elektrizität"/>
    <s v="Gigawattstunde"/>
    <x v="9"/>
    <x v="1"/>
    <n v="14200"/>
  </r>
  <r>
    <x v="2"/>
    <s v="Endenergieverbrauch - Sonstige Sektoren - Haushalte - energetischer Verbrauch"/>
    <s v="Elektrizität"/>
    <s v="Gigawattstunde"/>
    <x v="10"/>
    <x v="1"/>
    <n v="14581"/>
  </r>
  <r>
    <x v="2"/>
    <s v="Endenergieverbrauch - Sonstige Sektoren - Haushalte - energetischer Verbrauch"/>
    <s v="Elektrizität"/>
    <s v="Gigawattstunde"/>
    <x v="11"/>
    <x v="1"/>
    <n v="14716"/>
  </r>
  <r>
    <x v="2"/>
    <s v="Endenergieverbrauch - Sonstige Sektoren - Haushalte - energetischer Verbrauch"/>
    <s v="Elektrizität"/>
    <s v="Gigawattstunde"/>
    <x v="12"/>
    <x v="1"/>
    <n v="14125"/>
  </r>
  <r>
    <x v="2"/>
    <s v="Endenergieverbrauch - Sonstige Sektoren - Haushalte - energetischer Verbrauch"/>
    <s v="Elektrizität"/>
    <s v="Gigawattstunde"/>
    <x v="13"/>
    <x v="1"/>
    <n v="14382"/>
  </r>
  <r>
    <x v="2"/>
    <s v="Endenergieverbrauch - Sonstige Sektoren - Haushalte - energetischer Verbrauch"/>
    <s v="Elektrizität"/>
    <s v="Gigawattstunde"/>
    <x v="14"/>
    <x v="1"/>
    <n v="14935"/>
  </r>
  <r>
    <x v="2"/>
    <s v="Endenergieverbrauch - Sonstige Sektoren - Haushalte - energetischer Verbrauch"/>
    <s v="Elektrizität"/>
    <s v="Gigawattstunde"/>
    <x v="15"/>
    <x v="1"/>
    <n v="15211.27"/>
  </r>
  <r>
    <x v="2"/>
    <s v="Endenergieverbrauch - Sonstige Sektoren - Haushalte - energetischer Verbrauch"/>
    <s v="Elektrizität"/>
    <s v="Gigawattstunde"/>
    <x v="16"/>
    <x v="1"/>
    <n v="15049.536"/>
  </r>
  <r>
    <x v="3"/>
    <s v="Endenergieverbrauch - Sonstige Sektoren - Haushalte - energetischer Verbrauch"/>
    <s v="Elektrizität"/>
    <s v="Gigawattstunde"/>
    <x v="0"/>
    <x v="1"/>
    <n v="10190"/>
  </r>
  <r>
    <x v="3"/>
    <s v="Endenergieverbrauch - Sonstige Sektoren - Haushalte - energetischer Verbrauch"/>
    <s v="Elektrizität"/>
    <s v="Gigawattstunde"/>
    <x v="1"/>
    <x v="1"/>
    <n v="10262"/>
  </r>
  <r>
    <x v="3"/>
    <s v="Endenergieverbrauch - Sonstige Sektoren - Haushalte - energetischer Verbrauch"/>
    <s v="Elektrizität"/>
    <s v="Gigawattstunde"/>
    <x v="2"/>
    <x v="1"/>
    <n v="10332"/>
  </r>
  <r>
    <x v="3"/>
    <s v="Endenergieverbrauch - Sonstige Sektoren - Haushalte - energetischer Verbrauch"/>
    <s v="Elektrizität"/>
    <s v="Gigawattstunde"/>
    <x v="3"/>
    <x v="1"/>
    <n v="10449"/>
  </r>
  <r>
    <x v="3"/>
    <s v="Endenergieverbrauch - Sonstige Sektoren - Haushalte - energetischer Verbrauch"/>
    <s v="Elektrizität"/>
    <s v="Gigawattstunde"/>
    <x v="4"/>
    <x v="1"/>
    <n v="10573"/>
  </r>
  <r>
    <x v="3"/>
    <s v="Endenergieverbrauch - Sonstige Sektoren - Haushalte - energetischer Verbrauch"/>
    <s v="Elektrizität"/>
    <s v="Gigawattstunde"/>
    <x v="5"/>
    <x v="1"/>
    <n v="10349"/>
  </r>
  <r>
    <x v="3"/>
    <s v="Endenergieverbrauch - Sonstige Sektoren - Haushalte - energetischer Verbrauch"/>
    <s v="Elektrizität"/>
    <s v="Gigawattstunde"/>
    <x v="6"/>
    <x v="1"/>
    <n v="10280"/>
  </r>
  <r>
    <x v="3"/>
    <s v="Endenergieverbrauch - Sonstige Sektoren - Haushalte - energetischer Verbrauch"/>
    <s v="Elektrizität"/>
    <s v="Gigawattstunde"/>
    <x v="7"/>
    <x v="1"/>
    <n v="10096"/>
  </r>
  <r>
    <x v="3"/>
    <s v="Endenergieverbrauch - Sonstige Sektoren - Haushalte - energetischer Verbrauch"/>
    <s v="Elektrizität"/>
    <s v="Gigawattstunde"/>
    <x v="8"/>
    <x v="1"/>
    <n v="10389"/>
  </r>
  <r>
    <x v="3"/>
    <s v="Endenergieverbrauch - Sonstige Sektoren - Haushalte - energetischer Verbrauch"/>
    <s v="Elektrizität"/>
    <s v="Gigawattstunde"/>
    <x v="9"/>
    <x v="1"/>
    <n v="10111"/>
  </r>
  <r>
    <x v="3"/>
    <s v="Endenergieverbrauch - Sonstige Sektoren - Haushalte - energetischer Verbrauch"/>
    <s v="Elektrizität"/>
    <s v="Gigawattstunde"/>
    <x v="10"/>
    <x v="1"/>
    <n v="9989"/>
  </r>
  <r>
    <x v="3"/>
    <s v="Endenergieverbrauch - Sonstige Sektoren - Haushalte - energetischer Verbrauch"/>
    <s v="Elektrizität"/>
    <s v="Gigawattstunde"/>
    <x v="11"/>
    <x v="1"/>
    <n v="10307"/>
  </r>
  <r>
    <x v="3"/>
    <s v="Endenergieverbrauch - Sonstige Sektoren - Haushalte - energetischer Verbrauch"/>
    <s v="Elektrizität"/>
    <s v="Gigawattstunde"/>
    <x v="12"/>
    <x v="1"/>
    <n v="10104"/>
  </r>
  <r>
    <x v="3"/>
    <s v="Endenergieverbrauch - Sonstige Sektoren - Haushalte - energetischer Verbrauch"/>
    <s v="Elektrizität"/>
    <s v="Gigawattstunde"/>
    <x v="13"/>
    <x v="1"/>
    <n v="10176.653"/>
  </r>
  <r>
    <x v="3"/>
    <s v="Endenergieverbrauch - Sonstige Sektoren - Haushalte - energetischer Verbrauch"/>
    <s v="Elektrizität"/>
    <s v="Gigawattstunde"/>
    <x v="14"/>
    <x v="1"/>
    <n v="10296.171"/>
  </r>
  <r>
    <x v="3"/>
    <s v="Endenergieverbrauch - Sonstige Sektoren - Haushalte - energetischer Verbrauch"/>
    <s v="Elektrizität"/>
    <s v="Gigawattstunde"/>
    <x v="15"/>
    <x v="1"/>
    <n v="9863.9269999999997"/>
  </r>
  <r>
    <x v="3"/>
    <s v="Endenergieverbrauch - Sonstige Sektoren - Haushalte - energetischer Verbrauch"/>
    <s v="Elektrizität"/>
    <s v="Gigawattstunde"/>
    <x v="16"/>
    <x v="1"/>
    <n v="9772.9310000000005"/>
  </r>
  <r>
    <x v="4"/>
    <s v="Endenergieverbrauch - Sonstige Sektoren - Haushalte - energetischer Verbrauch"/>
    <s v="Elektrizität"/>
    <s v="Gigawattstunde"/>
    <x v="0"/>
    <x v="1"/>
    <n v="136500"/>
  </r>
  <r>
    <x v="4"/>
    <s v="Endenergieverbrauch - Sonstige Sektoren - Haushalte - energetischer Verbrauch"/>
    <s v="Elektrizität"/>
    <s v="Gigawattstunde"/>
    <x v="1"/>
    <x v="1"/>
    <n v="139100"/>
  </r>
  <r>
    <x v="4"/>
    <s v="Endenergieverbrauch - Sonstige Sektoren - Haushalte - energetischer Verbrauch"/>
    <s v="Elektrizität"/>
    <s v="Gigawattstunde"/>
    <x v="2"/>
    <x v="1"/>
    <n v="140400"/>
  </r>
  <r>
    <x v="4"/>
    <s v="Endenergieverbrauch - Sonstige Sektoren - Haushalte - energetischer Verbrauch"/>
    <s v="Elektrizität"/>
    <s v="Gigawattstunde"/>
    <x v="3"/>
    <x v="1"/>
    <n v="141300"/>
  </r>
  <r>
    <x v="4"/>
    <s v="Endenergieverbrauch - Sonstige Sektoren - Haushalte - energetischer Verbrauch"/>
    <s v="Elektrizität"/>
    <s v="Gigawattstunde"/>
    <x v="4"/>
    <x v="1"/>
    <n v="141500"/>
  </r>
  <r>
    <x v="4"/>
    <s v="Endenergieverbrauch - Sonstige Sektoren - Haushalte - energetischer Verbrauch"/>
    <s v="Elektrizität"/>
    <s v="Gigawattstunde"/>
    <x v="5"/>
    <x v="1"/>
    <n v="140100"/>
  </r>
  <r>
    <x v="4"/>
    <s v="Endenergieverbrauch - Sonstige Sektoren - Haushalte - energetischer Verbrauch"/>
    <s v="Elektrizität"/>
    <s v="Gigawattstunde"/>
    <x v="6"/>
    <x v="1"/>
    <n v="139500"/>
  </r>
  <r>
    <x v="4"/>
    <s v="Endenergieverbrauch - Sonstige Sektoren - Haushalte - energetischer Verbrauch"/>
    <s v="Elektrizität"/>
    <s v="Gigawattstunde"/>
    <x v="7"/>
    <x v="1"/>
    <n v="139200"/>
  </r>
  <r>
    <x v="4"/>
    <s v="Endenergieverbrauch - Sonstige Sektoren - Haushalte - energetischer Verbrauch"/>
    <s v="Elektrizität"/>
    <s v="Gigawattstunde"/>
    <x v="8"/>
    <x v="1"/>
    <n v="141700"/>
  </r>
  <r>
    <x v="4"/>
    <s v="Endenergieverbrauch - Sonstige Sektoren - Haushalte - energetischer Verbrauch"/>
    <s v="Elektrizität"/>
    <s v="Gigawattstunde"/>
    <x v="9"/>
    <x v="1"/>
    <n v="136600"/>
  </r>
  <r>
    <x v="4"/>
    <s v="Endenergieverbrauch - Sonstige Sektoren - Haushalte - energetischer Verbrauch"/>
    <s v="Elektrizität"/>
    <s v="Gigawattstunde"/>
    <x v="10"/>
    <x v="1"/>
    <n v="137000"/>
  </r>
  <r>
    <x v="4"/>
    <s v="Endenergieverbrauch - Sonstige Sektoren - Haushalte - energetischer Verbrauch"/>
    <s v="Elektrizität"/>
    <s v="Gigawattstunde"/>
    <x v="11"/>
    <x v="1"/>
    <n v="136000"/>
  </r>
  <r>
    <x v="4"/>
    <s v="Endenergieverbrauch - Sonstige Sektoren - Haushalte - energetischer Verbrauch"/>
    <s v="Elektrizität"/>
    <s v="Gigawattstunde"/>
    <x v="12"/>
    <x v="1"/>
    <n v="129600"/>
  </r>
  <r>
    <x v="4"/>
    <s v="Endenergieverbrauch - Sonstige Sektoren - Haushalte - energetischer Verbrauch"/>
    <s v="Elektrizität"/>
    <s v="Gigawattstunde"/>
    <x v="13"/>
    <x v="1"/>
    <n v="128700"/>
  </r>
  <r>
    <x v="4"/>
    <s v="Endenergieverbrauch - Sonstige Sektoren - Haushalte - energetischer Verbrauch"/>
    <s v="Elektrizität"/>
    <s v="Gigawattstunde"/>
    <x v="14"/>
    <x v="1"/>
    <n v="128200"/>
  </r>
  <r>
    <x v="4"/>
    <s v="Endenergieverbrauch - Sonstige Sektoren - Haushalte - energetischer Verbrauch"/>
    <s v="Elektrizität"/>
    <s v="Gigawattstunde"/>
    <x v="15"/>
    <x v="1"/>
    <n v="128200"/>
  </r>
  <r>
    <x v="4"/>
    <s v="Endenergieverbrauch - Sonstige Sektoren - Haushalte - energetischer Verbrauch"/>
    <s v="Elektrizität"/>
    <s v="Gigawattstunde"/>
    <x v="16"/>
    <x v="1"/>
    <n v="128200"/>
  </r>
  <r>
    <x v="5"/>
    <s v="Endenergieverbrauch - Sonstige Sektoren - Haushalte - energetischer Verbrauch"/>
    <s v="Elektrizität"/>
    <s v="Gigawattstunde"/>
    <x v="0"/>
    <x v="1"/>
    <n v="1584"/>
  </r>
  <r>
    <x v="5"/>
    <s v="Endenergieverbrauch - Sonstige Sektoren - Haushalte - energetischer Verbrauch"/>
    <s v="Elektrizität"/>
    <s v="Gigawattstunde"/>
    <x v="1"/>
    <x v="1"/>
    <n v="1594"/>
  </r>
  <r>
    <x v="5"/>
    <s v="Endenergieverbrauch - Sonstige Sektoren - Haushalte - energetischer Verbrauch"/>
    <s v="Elektrizität"/>
    <s v="Gigawattstunde"/>
    <x v="2"/>
    <x v="1"/>
    <n v="1618"/>
  </r>
  <r>
    <x v="5"/>
    <s v="Endenergieverbrauch - Sonstige Sektoren - Haushalte - energetischer Verbrauch"/>
    <s v="Elektrizität"/>
    <s v="Gigawattstunde"/>
    <x v="3"/>
    <x v="1"/>
    <n v="1620"/>
  </r>
  <r>
    <x v="5"/>
    <s v="Endenergieverbrauch - Sonstige Sektoren - Haushalte - energetischer Verbrauch"/>
    <s v="Elektrizität"/>
    <s v="Gigawattstunde"/>
    <x v="4"/>
    <x v="1"/>
    <n v="1675"/>
  </r>
  <r>
    <x v="5"/>
    <s v="Endenergieverbrauch - Sonstige Sektoren - Haushalte - energetischer Verbrauch"/>
    <s v="Elektrizität"/>
    <s v="Gigawattstunde"/>
    <x v="5"/>
    <x v="1"/>
    <n v="1773"/>
  </r>
  <r>
    <x v="5"/>
    <s v="Endenergieverbrauch - Sonstige Sektoren - Haushalte - energetischer Verbrauch"/>
    <s v="Elektrizität"/>
    <s v="Gigawattstunde"/>
    <x v="6"/>
    <x v="1"/>
    <n v="1845"/>
  </r>
  <r>
    <x v="5"/>
    <s v="Endenergieverbrauch - Sonstige Sektoren - Haushalte - energetischer Verbrauch"/>
    <s v="Elektrizität"/>
    <s v="Gigawattstunde"/>
    <x v="7"/>
    <x v="1"/>
    <n v="1884"/>
  </r>
  <r>
    <x v="5"/>
    <s v="Endenergieverbrauch - Sonstige Sektoren - Haushalte - energetischer Verbrauch"/>
    <s v="Elektrizität"/>
    <s v="Gigawattstunde"/>
    <x v="8"/>
    <x v="1"/>
    <n v="2023"/>
  </r>
  <r>
    <x v="5"/>
    <s v="Endenergieverbrauch - Sonstige Sektoren - Haushalte - energetischer Verbrauch"/>
    <s v="Elektrizität"/>
    <s v="Gigawattstunde"/>
    <x v="9"/>
    <x v="1"/>
    <n v="1934"/>
  </r>
  <r>
    <x v="5"/>
    <s v="Endenergieverbrauch - Sonstige Sektoren - Haushalte - energetischer Verbrauch"/>
    <s v="Elektrizität"/>
    <s v="Gigawattstunde"/>
    <x v="10"/>
    <x v="1"/>
    <n v="1956"/>
  </r>
  <r>
    <x v="5"/>
    <s v="Endenergieverbrauch - Sonstige Sektoren - Haushalte - energetischer Verbrauch"/>
    <s v="Elektrizität"/>
    <s v="Gigawattstunde"/>
    <x v="11"/>
    <x v="1"/>
    <n v="1865"/>
  </r>
  <r>
    <x v="5"/>
    <s v="Endenergieverbrauch - Sonstige Sektoren - Haushalte - energetischer Verbrauch"/>
    <s v="Elektrizität"/>
    <s v="Gigawattstunde"/>
    <x v="12"/>
    <x v="1"/>
    <n v="1739"/>
  </r>
  <r>
    <x v="5"/>
    <s v="Endenergieverbrauch - Sonstige Sektoren - Haushalte - energetischer Verbrauch"/>
    <s v="Elektrizität"/>
    <s v="Gigawattstunde"/>
    <x v="13"/>
    <x v="1"/>
    <n v="1728"/>
  </r>
  <r>
    <x v="5"/>
    <s v="Endenergieverbrauch - Sonstige Sektoren - Haushalte - energetischer Verbrauch"/>
    <s v="Elektrizität"/>
    <s v="Gigawattstunde"/>
    <x v="14"/>
    <x v="1"/>
    <n v="1913"/>
  </r>
  <r>
    <x v="5"/>
    <s v="Endenergieverbrauch - Sonstige Sektoren - Haushalte - energetischer Verbrauch"/>
    <s v="Elektrizität"/>
    <s v="Gigawattstunde"/>
    <x v="15"/>
    <x v="1"/>
    <n v="1940"/>
  </r>
  <r>
    <x v="5"/>
    <s v="Endenergieverbrauch - Sonstige Sektoren - Haushalte - energetischer Verbrauch"/>
    <s v="Elektrizität"/>
    <s v="Gigawattstunde"/>
    <x v="16"/>
    <x v="1"/>
    <n v="1860"/>
  </r>
  <r>
    <x v="6"/>
    <s v="Endenergieverbrauch - Sonstige Sektoren - Haushalte - energetischer Verbrauch"/>
    <s v="Elektrizität"/>
    <s v="Gigawattstunde"/>
    <x v="0"/>
    <x v="1"/>
    <n v="6579"/>
  </r>
  <r>
    <x v="6"/>
    <s v="Endenergieverbrauch - Sonstige Sektoren - Haushalte - energetischer Verbrauch"/>
    <s v="Elektrizität"/>
    <s v="Gigawattstunde"/>
    <x v="1"/>
    <x v="1"/>
    <n v="6966"/>
  </r>
  <r>
    <x v="6"/>
    <s v="Endenergieverbrauch - Sonstige Sektoren - Haushalte - energetischer Verbrauch"/>
    <s v="Elektrizität"/>
    <s v="Gigawattstunde"/>
    <x v="2"/>
    <x v="1"/>
    <n v="7346"/>
  </r>
  <r>
    <x v="6"/>
    <s v="Endenergieverbrauch - Sonstige Sektoren - Haushalte - energetischer Verbrauch"/>
    <s v="Elektrizität"/>
    <s v="Gigawattstunde"/>
    <x v="3"/>
    <x v="1"/>
    <n v="7511.598"/>
  </r>
  <r>
    <x v="6"/>
    <s v="Endenergieverbrauch - Sonstige Sektoren - Haushalte - energetischer Verbrauch"/>
    <s v="Elektrizität"/>
    <s v="Gigawattstunde"/>
    <x v="4"/>
    <x v="1"/>
    <n v="8082.7259999999997"/>
  </r>
  <r>
    <x v="6"/>
    <s v="Endenergieverbrauch - Sonstige Sektoren - Haushalte - energetischer Verbrauch"/>
    <s v="Elektrizität"/>
    <s v="Gigawattstunde"/>
    <x v="5"/>
    <x v="1"/>
    <n v="8062.94"/>
  </r>
  <r>
    <x v="6"/>
    <s v="Endenergieverbrauch - Sonstige Sektoren - Haushalte - energetischer Verbrauch"/>
    <s v="Elektrizität"/>
    <s v="Gigawattstunde"/>
    <x v="6"/>
    <x v="1"/>
    <n v="8525.6540000000005"/>
  </r>
  <r>
    <x v="6"/>
    <s v="Endenergieverbrauch - Sonstige Sektoren - Haushalte - energetischer Verbrauch"/>
    <s v="Elektrizität"/>
    <s v="Gigawattstunde"/>
    <x v="7"/>
    <x v="1"/>
    <n v="8123.1729999999998"/>
  </r>
  <r>
    <x v="6"/>
    <s v="Endenergieverbrauch - Sonstige Sektoren - Haushalte - energetischer Verbrauch"/>
    <s v="Elektrizität"/>
    <s v="Gigawattstunde"/>
    <x v="8"/>
    <x v="1"/>
    <n v="8545.9689999999991"/>
  </r>
  <r>
    <x v="6"/>
    <s v="Endenergieverbrauch - Sonstige Sektoren - Haushalte - energetischer Verbrauch"/>
    <s v="Elektrizität"/>
    <s v="Gigawattstunde"/>
    <x v="9"/>
    <x v="1"/>
    <n v="8283.2289999999994"/>
  </r>
  <r>
    <x v="6"/>
    <s v="Endenergieverbrauch - Sonstige Sektoren - Haushalte - energetischer Verbrauch"/>
    <s v="Elektrizität"/>
    <s v="Gigawattstunde"/>
    <x v="10"/>
    <x v="1"/>
    <n v="8120.4669999999996"/>
  </r>
  <r>
    <x v="6"/>
    <s v="Endenergieverbrauch - Sonstige Sektoren - Haushalte - energetischer Verbrauch"/>
    <s v="Elektrizität"/>
    <s v="Gigawattstunde"/>
    <x v="11"/>
    <x v="1"/>
    <n v="7947.7430000000004"/>
  </r>
  <r>
    <x v="6"/>
    <s v="Endenergieverbrauch - Sonstige Sektoren - Haushalte - energetischer Verbrauch"/>
    <s v="Elektrizität"/>
    <s v="Gigawattstunde"/>
    <x v="12"/>
    <x v="1"/>
    <n v="7703.799"/>
  </r>
  <r>
    <x v="6"/>
    <s v="Endenergieverbrauch - Sonstige Sektoren - Haushalte - energetischer Verbrauch"/>
    <s v="Elektrizität"/>
    <s v="Gigawattstunde"/>
    <x v="13"/>
    <x v="1"/>
    <n v="7880.7610000000004"/>
  </r>
  <r>
    <x v="6"/>
    <s v="Endenergieverbrauch - Sonstige Sektoren - Haushalte - energetischer Verbrauch"/>
    <s v="Elektrizität"/>
    <s v="Gigawattstunde"/>
    <x v="14"/>
    <x v="1"/>
    <n v="7872.7449999999999"/>
  </r>
  <r>
    <x v="6"/>
    <s v="Endenergieverbrauch - Sonstige Sektoren - Haushalte - energetischer Verbrauch"/>
    <s v="Elektrizität"/>
    <s v="Gigawattstunde"/>
    <x v="15"/>
    <x v="1"/>
    <n v="7959.0190000000002"/>
  </r>
  <r>
    <x v="6"/>
    <s v="Endenergieverbrauch - Sonstige Sektoren - Haushalte - energetischer Verbrauch"/>
    <s v="Elektrizität"/>
    <s v="Gigawattstunde"/>
    <x v="16"/>
    <x v="1"/>
    <n v="8173.7759999999998"/>
  </r>
  <r>
    <x v="7"/>
    <s v="Endenergieverbrauch - Sonstige Sektoren - Haushalte - energetischer Verbrauch"/>
    <s v="Elektrizität"/>
    <s v="Gigawattstunde"/>
    <x v="0"/>
    <x v="1"/>
    <n v="15775"/>
  </r>
  <r>
    <x v="7"/>
    <s v="Endenergieverbrauch - Sonstige Sektoren - Haushalte - energetischer Verbrauch"/>
    <s v="Elektrizität"/>
    <s v="Gigawattstunde"/>
    <x v="1"/>
    <x v="1"/>
    <n v="16444"/>
  </r>
  <r>
    <x v="7"/>
    <s v="Endenergieverbrauch - Sonstige Sektoren - Haushalte - energetischer Verbrauch"/>
    <s v="Elektrizität"/>
    <s v="Gigawattstunde"/>
    <x v="2"/>
    <x v="1"/>
    <n v="16852"/>
  </r>
  <r>
    <x v="7"/>
    <s v="Endenergieverbrauch - Sonstige Sektoren - Haushalte - energetischer Verbrauch"/>
    <s v="Elektrizität"/>
    <s v="Gigawattstunde"/>
    <x v="3"/>
    <x v="1"/>
    <n v="16875"/>
  </r>
  <r>
    <x v="7"/>
    <s v="Endenergieverbrauch - Sonstige Sektoren - Haushalte - energetischer Verbrauch"/>
    <s v="Elektrizität"/>
    <s v="Gigawattstunde"/>
    <x v="4"/>
    <x v="1"/>
    <n v="17676"/>
  </r>
  <r>
    <x v="7"/>
    <s v="Endenergieverbrauch - Sonstige Sektoren - Haushalte - energetischer Verbrauch"/>
    <s v="Elektrizität"/>
    <s v="Gigawattstunde"/>
    <x v="5"/>
    <x v="1"/>
    <n v="17957"/>
  </r>
  <r>
    <x v="7"/>
    <s v="Endenergieverbrauch - Sonstige Sektoren - Haushalte - energetischer Verbrauch"/>
    <s v="Elektrizität"/>
    <s v="Gigawattstunde"/>
    <x v="6"/>
    <x v="1"/>
    <n v="18126"/>
  </r>
  <r>
    <x v="7"/>
    <s v="Endenergieverbrauch - Sonstige Sektoren - Haushalte - energetischer Verbrauch"/>
    <s v="Elektrizität"/>
    <s v="Gigawattstunde"/>
    <x v="7"/>
    <x v="1"/>
    <n v="18131"/>
  </r>
  <r>
    <x v="7"/>
    <s v="Endenergieverbrauch - Sonstige Sektoren - Haushalte - energetischer Verbrauch"/>
    <s v="Elektrizität"/>
    <s v="Gigawattstunde"/>
    <x v="8"/>
    <x v="1"/>
    <n v="18130"/>
  </r>
  <r>
    <x v="7"/>
    <s v="Endenergieverbrauch - Sonstige Sektoren - Haushalte - energetischer Verbrauch"/>
    <s v="Elektrizität"/>
    <s v="Gigawattstunde"/>
    <x v="9"/>
    <x v="1"/>
    <n v="17628"/>
  </r>
  <r>
    <x v="7"/>
    <s v="Endenergieverbrauch - Sonstige Sektoren - Haushalte - energetischer Verbrauch"/>
    <s v="Elektrizität"/>
    <s v="Gigawattstunde"/>
    <x v="10"/>
    <x v="1"/>
    <n v="19058"/>
  </r>
  <r>
    <x v="7"/>
    <s v="Endenergieverbrauch - Sonstige Sektoren - Haushalte - energetischer Verbrauch"/>
    <s v="Elektrizität"/>
    <s v="Gigawattstunde"/>
    <x v="11"/>
    <x v="1"/>
    <n v="17446"/>
  </r>
  <r>
    <x v="7"/>
    <s v="Endenergieverbrauch - Sonstige Sektoren - Haushalte - energetischer Verbrauch"/>
    <s v="Elektrizität"/>
    <s v="Gigawattstunde"/>
    <x v="12"/>
    <x v="1"/>
    <n v="17151"/>
  </r>
  <r>
    <x v="7"/>
    <s v="Endenergieverbrauch - Sonstige Sektoren - Haushalte - energetischer Verbrauch"/>
    <s v="Elektrizität"/>
    <s v="Gigawattstunde"/>
    <x v="13"/>
    <x v="1"/>
    <n v="17538"/>
  </r>
  <r>
    <x v="7"/>
    <s v="Endenergieverbrauch - Sonstige Sektoren - Haushalte - energetischer Verbrauch"/>
    <s v="Elektrizität"/>
    <s v="Gigawattstunde"/>
    <x v="14"/>
    <x v="1"/>
    <n v="19997"/>
  </r>
  <r>
    <x v="7"/>
    <s v="Endenergieverbrauch - Sonstige Sektoren - Haushalte - energetischer Verbrauch"/>
    <s v="Elektrizität"/>
    <s v="Gigawattstunde"/>
    <x v="15"/>
    <x v="1"/>
    <n v="19627.851999999999"/>
  </r>
  <r>
    <x v="7"/>
    <s v="Endenergieverbrauch - Sonstige Sektoren - Haushalte - energetischer Verbrauch"/>
    <s v="Elektrizität"/>
    <s v="Gigawattstunde"/>
    <x v="16"/>
    <x v="1"/>
    <n v="16762.61"/>
  </r>
  <r>
    <x v="8"/>
    <s v="Endenergieverbrauch - Sonstige Sektoren - Haushalte - energetischer Verbrauch"/>
    <s v="Elektrizität"/>
    <s v="Gigawattstunde"/>
    <x v="0"/>
    <x v="1"/>
    <n v="50636"/>
  </r>
  <r>
    <x v="8"/>
    <s v="Endenergieverbrauch - Sonstige Sektoren - Haushalte - energetischer Verbrauch"/>
    <s v="Elektrizität"/>
    <s v="Gigawattstunde"/>
    <x v="1"/>
    <x v="1"/>
    <n v="54235"/>
  </r>
  <r>
    <x v="8"/>
    <s v="Endenergieverbrauch - Sonstige Sektoren - Haushalte - energetischer Verbrauch"/>
    <s v="Elektrizität"/>
    <s v="Gigawattstunde"/>
    <x v="2"/>
    <x v="1"/>
    <n v="58046"/>
  </r>
  <r>
    <x v="8"/>
    <s v="Endenergieverbrauch - Sonstige Sektoren - Haushalte - energetischer Verbrauch"/>
    <s v="Elektrizität"/>
    <s v="Gigawattstunde"/>
    <x v="3"/>
    <x v="1"/>
    <n v="62584"/>
  </r>
  <r>
    <x v="8"/>
    <s v="Endenergieverbrauch - Sonstige Sektoren - Haushalte - energetischer Verbrauch"/>
    <s v="Elektrizität"/>
    <s v="Gigawattstunde"/>
    <x v="4"/>
    <x v="1"/>
    <n v="67882"/>
  </r>
  <r>
    <x v="8"/>
    <s v="Endenergieverbrauch - Sonstige Sektoren - Haushalte - energetischer Verbrauch"/>
    <s v="Elektrizität"/>
    <s v="Gigawattstunde"/>
    <x v="5"/>
    <x v="1"/>
    <n v="68214"/>
  </r>
  <r>
    <x v="8"/>
    <s v="Endenergieverbrauch - Sonstige Sektoren - Haushalte - energetischer Verbrauch"/>
    <s v="Elektrizität"/>
    <s v="Gigawattstunde"/>
    <x v="6"/>
    <x v="1"/>
    <n v="69438"/>
  </r>
  <r>
    <x v="8"/>
    <s v="Endenergieverbrauch - Sonstige Sektoren - Haushalte - energetischer Verbrauch"/>
    <s v="Elektrizität"/>
    <s v="Gigawattstunde"/>
    <x v="7"/>
    <x v="1"/>
    <n v="71411"/>
  </r>
  <r>
    <x v="8"/>
    <s v="Endenergieverbrauch - Sonstige Sektoren - Haushalte - energetischer Verbrauch"/>
    <s v="Elektrizität"/>
    <s v="Gigawattstunde"/>
    <x v="8"/>
    <x v="1"/>
    <n v="75679"/>
  </r>
  <r>
    <x v="8"/>
    <s v="Endenergieverbrauch - Sonstige Sektoren - Haushalte - energetischer Verbrauch"/>
    <s v="Elektrizität"/>
    <s v="Gigawattstunde"/>
    <x v="9"/>
    <x v="1"/>
    <n v="76107"/>
  </r>
  <r>
    <x v="8"/>
    <s v="Endenergieverbrauch - Sonstige Sektoren - Haushalte - energetischer Verbrauch"/>
    <s v="Elektrizität"/>
    <s v="Gigawattstunde"/>
    <x v="10"/>
    <x v="1"/>
    <n v="75088"/>
  </r>
  <r>
    <x v="8"/>
    <s v="Endenergieverbrauch - Sonstige Sektoren - Haushalte - energetischer Verbrauch"/>
    <s v="Elektrizität"/>
    <s v="Gigawattstunde"/>
    <x v="11"/>
    <x v="1"/>
    <n v="71060"/>
  </r>
  <r>
    <x v="8"/>
    <s v="Endenergieverbrauch - Sonstige Sektoren - Haushalte - energetischer Verbrauch"/>
    <s v="Elektrizität"/>
    <s v="Gigawattstunde"/>
    <x v="12"/>
    <x v="1"/>
    <n v="70710"/>
  </r>
  <r>
    <x v="8"/>
    <s v="Endenergieverbrauch - Sonstige Sektoren - Haushalte - energetischer Verbrauch"/>
    <s v="Elektrizität"/>
    <s v="Gigawattstunde"/>
    <x v="13"/>
    <x v="1"/>
    <n v="70069"/>
  </r>
  <r>
    <x v="8"/>
    <s v="Endenergieverbrauch - Sonstige Sektoren - Haushalte - energetischer Verbrauch"/>
    <s v="Elektrizität"/>
    <s v="Gigawattstunde"/>
    <x v="14"/>
    <x v="1"/>
    <n v="69648"/>
  </r>
  <r>
    <x v="8"/>
    <s v="Endenergieverbrauch - Sonstige Sektoren - Haushalte - energetischer Verbrauch"/>
    <s v="Elektrizität"/>
    <s v="Gigawattstunde"/>
    <x v="15"/>
    <x v="1"/>
    <n v="71393"/>
  </r>
  <r>
    <x v="8"/>
    <s v="Endenergieverbrauch - Sonstige Sektoren - Haushalte - energetischer Verbrauch"/>
    <s v="Elektrizität"/>
    <s v="Gigawattstunde"/>
    <x v="16"/>
    <x v="1"/>
    <n v="75006"/>
  </r>
  <r>
    <x v="9"/>
    <s v="Endenergieverbrauch - Sonstige Sektoren - Haushalte - energetischer Verbrauch"/>
    <s v="Elektrizität"/>
    <s v="Gigawattstunde"/>
    <x v="0"/>
    <x v="1"/>
    <n v="132998"/>
  </r>
  <r>
    <x v="9"/>
    <s v="Endenergieverbrauch - Sonstige Sektoren - Haushalte - energetischer Verbrauch"/>
    <s v="Elektrizität"/>
    <s v="Gigawattstunde"/>
    <x v="1"/>
    <x v="1"/>
    <n v="141554"/>
  </r>
  <r>
    <x v="9"/>
    <s v="Endenergieverbrauch - Sonstige Sektoren - Haushalte - energetischer Verbrauch"/>
    <s v="Elektrizität"/>
    <s v="Gigawattstunde"/>
    <x v="2"/>
    <x v="1"/>
    <n v="143380"/>
  </r>
  <r>
    <x v="9"/>
    <s v="Endenergieverbrauch - Sonstige Sektoren - Haushalte - energetischer Verbrauch"/>
    <s v="Elektrizität"/>
    <s v="Gigawattstunde"/>
    <x v="3"/>
    <x v="1"/>
    <n v="138483"/>
  </r>
  <r>
    <x v="9"/>
    <s v="Endenergieverbrauch - Sonstige Sektoren - Haushalte - energetischer Verbrauch"/>
    <s v="Elektrizität"/>
    <s v="Gigawattstunde"/>
    <x v="4"/>
    <x v="1"/>
    <n v="143327"/>
  </r>
  <r>
    <x v="9"/>
    <s v="Endenergieverbrauch - Sonstige Sektoren - Haushalte - energetischer Verbrauch"/>
    <s v="Elektrizität"/>
    <s v="Gigawattstunde"/>
    <x v="5"/>
    <x v="1"/>
    <n v="141589"/>
  </r>
  <r>
    <x v="9"/>
    <s v="Endenergieverbrauch - Sonstige Sektoren - Haushalte - energetischer Verbrauch"/>
    <s v="Elektrizität"/>
    <s v="Gigawattstunde"/>
    <x v="6"/>
    <x v="1"/>
    <n v="152652"/>
  </r>
  <r>
    <x v="9"/>
    <s v="Endenergieverbrauch - Sonstige Sektoren - Haushalte - energetischer Verbrauch"/>
    <s v="Elektrizität"/>
    <s v="Gigawattstunde"/>
    <x v="7"/>
    <x v="1"/>
    <n v="149032"/>
  </r>
  <r>
    <x v="9"/>
    <s v="Endenergieverbrauch - Sonstige Sektoren - Haushalte - energetischer Verbrauch"/>
    <s v="Elektrizität"/>
    <s v="Gigawattstunde"/>
    <x v="8"/>
    <x v="1"/>
    <n v="161520"/>
  </r>
  <r>
    <x v="9"/>
    <s v="Endenergieverbrauch - Sonstige Sektoren - Haushalte - energetischer Verbrauch"/>
    <s v="Elektrizität"/>
    <s v="Gigawattstunde"/>
    <x v="9"/>
    <x v="1"/>
    <n v="146269.61300000001"/>
  </r>
  <r>
    <x v="9"/>
    <s v="Endenergieverbrauch - Sonstige Sektoren - Haushalte - energetischer Verbrauch"/>
    <s v="Elektrizität"/>
    <s v="Gigawattstunde"/>
    <x v="10"/>
    <x v="1"/>
    <n v="158184.20199999999"/>
  </r>
  <r>
    <x v="9"/>
    <s v="Endenergieverbrauch - Sonstige Sektoren - Haushalte - energetischer Verbrauch"/>
    <s v="Elektrizität"/>
    <s v="Gigawattstunde"/>
    <x v="11"/>
    <x v="1"/>
    <n v="166129.611"/>
  </r>
  <r>
    <x v="9"/>
    <s v="Endenergieverbrauch - Sonstige Sektoren - Haushalte - energetischer Verbrauch"/>
    <s v="Elektrizität"/>
    <s v="Gigawattstunde"/>
    <x v="12"/>
    <x v="1"/>
    <n v="149021.302"/>
  </r>
  <r>
    <x v="9"/>
    <s v="Endenergieverbrauch - Sonstige Sektoren - Haushalte - energetischer Verbrauch"/>
    <s v="Elektrizität"/>
    <s v="Gigawattstunde"/>
    <x v="13"/>
    <x v="1"/>
    <n v="155430.87599999999"/>
  </r>
  <r>
    <x v="9"/>
    <s v="Endenergieverbrauch - Sonstige Sektoren - Haushalte - energetischer Verbrauch"/>
    <s v="Elektrizität"/>
    <s v="Gigawattstunde"/>
    <x v="14"/>
    <x v="1"/>
    <n v="161164.253"/>
  </r>
  <r>
    <x v="9"/>
    <s v="Endenergieverbrauch - Sonstige Sektoren - Haushalte - energetischer Verbrauch"/>
    <s v="Elektrizität"/>
    <s v="Gigawattstunde"/>
    <x v="15"/>
    <x v="1"/>
    <n v="159206.60500000001"/>
  </r>
  <r>
    <x v="9"/>
    <s v="Endenergieverbrauch - Sonstige Sektoren - Haushalte - energetischer Verbrauch"/>
    <s v="Elektrizität"/>
    <s v="Gigawattstunde"/>
    <x v="16"/>
    <x v="1"/>
    <n v="158330.128"/>
  </r>
  <r>
    <x v="10"/>
    <s v="Endenergieverbrauch - Sonstige Sektoren - Haushalte - energetischer Verbrauch"/>
    <s v="Elektrizität"/>
    <s v="Gigawattstunde"/>
    <x v="0"/>
    <x v="1"/>
    <n v="5954"/>
  </r>
  <r>
    <x v="10"/>
    <s v="Endenergieverbrauch - Sonstige Sektoren - Haushalte - energetischer Verbrauch"/>
    <s v="Elektrizität"/>
    <s v="Gigawattstunde"/>
    <x v="1"/>
    <x v="1"/>
    <n v="5694"/>
  </r>
  <r>
    <x v="10"/>
    <s v="Endenergieverbrauch - Sonstige Sektoren - Haushalte - energetischer Verbrauch"/>
    <s v="Elektrizität"/>
    <s v="Gigawattstunde"/>
    <x v="2"/>
    <x v="1"/>
    <n v="6072"/>
  </r>
  <r>
    <x v="10"/>
    <s v="Endenergieverbrauch - Sonstige Sektoren - Haushalte - energetischer Verbrauch"/>
    <s v="Elektrizität"/>
    <s v="Gigawattstunde"/>
    <x v="3"/>
    <x v="1"/>
    <n v="6333"/>
  </r>
  <r>
    <x v="10"/>
    <s v="Endenergieverbrauch - Sonstige Sektoren - Haushalte - energetischer Verbrauch"/>
    <s v="Elektrizität"/>
    <s v="Gigawattstunde"/>
    <x v="4"/>
    <x v="1"/>
    <n v="6520"/>
  </r>
  <r>
    <x v="10"/>
    <s v="Endenergieverbrauch - Sonstige Sektoren - Haushalte - energetischer Verbrauch"/>
    <s v="Elektrizität"/>
    <s v="Gigawattstunde"/>
    <x v="5"/>
    <x v="1"/>
    <n v="6392"/>
  </r>
  <r>
    <x v="10"/>
    <s v="Endenergieverbrauch - Sonstige Sektoren - Haushalte - energetischer Verbrauch"/>
    <s v="Elektrizität"/>
    <s v="Gigawattstunde"/>
    <x v="6"/>
    <x v="1"/>
    <n v="6711"/>
  </r>
  <r>
    <x v="10"/>
    <s v="Endenergieverbrauch - Sonstige Sektoren - Haushalte - energetischer Verbrauch"/>
    <s v="Elektrizität"/>
    <s v="Gigawattstunde"/>
    <x v="7"/>
    <x v="1"/>
    <n v="6471"/>
  </r>
  <r>
    <x v="10"/>
    <s v="Endenergieverbrauch - Sonstige Sektoren - Haushalte - energetischer Verbrauch"/>
    <s v="Elektrizität"/>
    <s v="Gigawattstunde"/>
    <x v="8"/>
    <x v="1"/>
    <n v="6664"/>
  </r>
  <r>
    <x v="10"/>
    <s v="Endenergieverbrauch - Sonstige Sektoren - Haushalte - energetischer Verbrauch"/>
    <s v="Elektrizität"/>
    <s v="Gigawattstunde"/>
    <x v="9"/>
    <x v="1"/>
    <n v="6541"/>
  </r>
  <r>
    <x v="10"/>
    <s v="Endenergieverbrauch - Sonstige Sektoren - Haushalte - energetischer Verbrauch"/>
    <s v="Elektrizität"/>
    <s v="Gigawattstunde"/>
    <x v="10"/>
    <x v="1"/>
    <n v="6486"/>
  </r>
  <r>
    <x v="10"/>
    <s v="Endenergieverbrauch - Sonstige Sektoren - Haushalte - energetischer Verbrauch"/>
    <s v="Elektrizität"/>
    <s v="Gigawattstunde"/>
    <x v="11"/>
    <x v="1"/>
    <n v="6237"/>
  </r>
  <r>
    <x v="10"/>
    <s v="Endenergieverbrauch - Sonstige Sektoren - Haushalte - energetischer Verbrauch"/>
    <s v="Elektrizität"/>
    <s v="Gigawattstunde"/>
    <x v="12"/>
    <x v="1"/>
    <n v="6033"/>
  </r>
  <r>
    <x v="10"/>
    <s v="Endenergieverbrauch - Sonstige Sektoren - Haushalte - energetischer Verbrauch"/>
    <s v="Elektrizität"/>
    <s v="Gigawattstunde"/>
    <x v="13"/>
    <x v="1"/>
    <n v="6202"/>
  </r>
  <r>
    <x v="10"/>
    <s v="Endenergieverbrauch - Sonstige Sektoren - Haushalte - energetischer Verbrauch"/>
    <s v="Elektrizität"/>
    <s v="Gigawattstunde"/>
    <x v="14"/>
    <x v="1"/>
    <n v="6128"/>
  </r>
  <r>
    <x v="10"/>
    <s v="Endenergieverbrauch - Sonstige Sektoren - Haushalte - energetischer Verbrauch"/>
    <s v="Elektrizität"/>
    <s v="Gigawattstunde"/>
    <x v="15"/>
    <x v="1"/>
    <n v="6265.7"/>
  </r>
  <r>
    <x v="10"/>
    <s v="Endenergieverbrauch - Sonstige Sektoren - Haushalte - energetischer Verbrauch"/>
    <s v="Elektrizität"/>
    <s v="Gigawattstunde"/>
    <x v="16"/>
    <x v="1"/>
    <n v="6201.7"/>
  </r>
  <r>
    <x v="11"/>
    <s v="Endenergieverbrauch - Sonstige Sektoren - Haushalte - energetischer Verbrauch"/>
    <s v="Elektrizität"/>
    <s v="Gigawattstunde"/>
    <x v="0"/>
    <x v="1"/>
    <n v="62957"/>
  </r>
  <r>
    <x v="11"/>
    <s v="Endenergieverbrauch - Sonstige Sektoren - Haushalte - energetischer Verbrauch"/>
    <s v="Elektrizität"/>
    <s v="Gigawattstunde"/>
    <x v="1"/>
    <x v="1"/>
    <n v="65016"/>
  </r>
  <r>
    <x v="11"/>
    <s v="Endenergieverbrauch - Sonstige Sektoren - Haushalte - energetischer Verbrauch"/>
    <s v="Elektrizität"/>
    <s v="Gigawattstunde"/>
    <x v="2"/>
    <x v="1"/>
    <n v="66592"/>
  </r>
  <r>
    <x v="11"/>
    <s v="Endenergieverbrauch - Sonstige Sektoren - Haushalte - energetischer Verbrauch"/>
    <s v="Elektrizität"/>
    <s v="Gigawattstunde"/>
    <x v="3"/>
    <x v="1"/>
    <n v="66960"/>
  </r>
  <r>
    <x v="11"/>
    <s v="Endenergieverbrauch - Sonstige Sektoren - Haushalte - energetischer Verbrauch"/>
    <s v="Elektrizität"/>
    <s v="Gigawattstunde"/>
    <x v="4"/>
    <x v="1"/>
    <n v="67635"/>
  </r>
  <r>
    <x v="11"/>
    <s v="Endenergieverbrauch - Sonstige Sektoren - Haushalte - energetischer Verbrauch"/>
    <s v="Elektrizität"/>
    <s v="Gigawattstunde"/>
    <x v="5"/>
    <x v="1"/>
    <n v="67220"/>
  </r>
  <r>
    <x v="11"/>
    <s v="Endenergieverbrauch - Sonstige Sektoren - Haushalte - energetischer Verbrauch"/>
    <s v="Elektrizität"/>
    <s v="Gigawattstunde"/>
    <x v="6"/>
    <x v="1"/>
    <n v="68389"/>
  </r>
  <r>
    <x v="11"/>
    <s v="Endenergieverbrauch - Sonstige Sektoren - Haushalte - energetischer Verbrauch"/>
    <s v="Elektrizität"/>
    <s v="Gigawattstunde"/>
    <x v="7"/>
    <x v="1"/>
    <n v="68924"/>
  </r>
  <r>
    <x v="11"/>
    <s v="Endenergieverbrauch - Sonstige Sektoren - Haushalte - energetischer Verbrauch"/>
    <s v="Elektrizität"/>
    <s v="Gigawattstunde"/>
    <x v="8"/>
    <x v="1"/>
    <n v="69550"/>
  </r>
  <r>
    <x v="11"/>
    <s v="Endenergieverbrauch - Sonstige Sektoren - Haushalte - energetischer Verbrauch"/>
    <s v="Elektrizität"/>
    <s v="Gigawattstunde"/>
    <x v="9"/>
    <x v="1"/>
    <n v="70140"/>
  </r>
  <r>
    <x v="11"/>
    <s v="Endenergieverbrauch - Sonstige Sektoren - Haushalte - energetischer Verbrauch"/>
    <s v="Elektrizität"/>
    <s v="Gigawattstunde"/>
    <x v="10"/>
    <x v="1"/>
    <n v="69457"/>
  </r>
  <r>
    <x v="11"/>
    <s v="Endenergieverbrauch - Sonstige Sektoren - Haushalte - energetischer Verbrauch"/>
    <s v="Elektrizität"/>
    <s v="Gigawattstunde"/>
    <x v="11"/>
    <x v="1"/>
    <n v="66983"/>
  </r>
  <r>
    <x v="11"/>
    <s v="Endenergieverbrauch - Sonstige Sektoren - Haushalte - energetischer Verbrauch"/>
    <s v="Elektrizität"/>
    <s v="Gigawattstunde"/>
    <x v="12"/>
    <x v="1"/>
    <n v="64255"/>
  </r>
  <r>
    <x v="11"/>
    <s v="Endenergieverbrauch - Sonstige Sektoren - Haushalte - energetischer Verbrauch"/>
    <s v="Elektrizität"/>
    <s v="Gigawattstunde"/>
    <x v="13"/>
    <x v="1"/>
    <n v="66187"/>
  </r>
  <r>
    <x v="11"/>
    <s v="Endenergieverbrauch - Sonstige Sektoren - Haushalte - energetischer Verbrauch"/>
    <s v="Elektrizität"/>
    <s v="Gigawattstunde"/>
    <x v="14"/>
    <x v="1"/>
    <n v="64304"/>
  </r>
  <r>
    <x v="11"/>
    <s v="Endenergieverbrauch - Sonstige Sektoren - Haushalte - energetischer Verbrauch"/>
    <s v="Elektrizität"/>
    <s v="Gigawattstunde"/>
    <x v="15"/>
    <x v="1"/>
    <n v="65490.697999999997"/>
  </r>
  <r>
    <x v="11"/>
    <s v="Endenergieverbrauch - Sonstige Sektoren - Haushalte - energetischer Verbrauch"/>
    <s v="Elektrizität"/>
    <s v="Gigawattstunde"/>
    <x v="16"/>
    <x v="1"/>
    <n v="65137.794999999998"/>
  </r>
  <r>
    <x v="12"/>
    <s v="Endenergieverbrauch - Sonstige Sektoren - Haushalte - energetischer Verbrauch"/>
    <s v="Elektrizität"/>
    <s v="Gigawattstunde"/>
    <x v="0"/>
    <x v="1"/>
    <n v="1157"/>
  </r>
  <r>
    <x v="12"/>
    <s v="Endenergieverbrauch - Sonstige Sektoren - Haushalte - energetischer Verbrauch"/>
    <s v="Elektrizität"/>
    <s v="Gigawattstunde"/>
    <x v="1"/>
    <x v="1"/>
    <n v="1295"/>
  </r>
  <r>
    <x v="12"/>
    <s v="Endenergieverbrauch - Sonstige Sektoren - Haushalte - energetischer Verbrauch"/>
    <s v="Elektrizität"/>
    <s v="Gigawattstunde"/>
    <x v="2"/>
    <x v="1"/>
    <n v="1316"/>
  </r>
  <r>
    <x v="12"/>
    <s v="Endenergieverbrauch - Sonstige Sektoren - Haushalte - energetischer Verbrauch"/>
    <s v="Elektrizität"/>
    <s v="Gigawattstunde"/>
    <x v="3"/>
    <x v="1"/>
    <n v="1433"/>
  </r>
  <r>
    <x v="12"/>
    <s v="Endenergieverbrauch - Sonstige Sektoren - Haushalte - energetischer Verbrauch"/>
    <s v="Elektrizität"/>
    <s v="Gigawattstunde"/>
    <x v="4"/>
    <x v="1"/>
    <n v="1500"/>
  </r>
  <r>
    <x v="12"/>
    <s v="Endenergieverbrauch - Sonstige Sektoren - Haushalte - energetischer Verbrauch"/>
    <s v="Elektrizität"/>
    <s v="Gigawattstunde"/>
    <x v="5"/>
    <x v="1"/>
    <n v="1608"/>
  </r>
  <r>
    <x v="12"/>
    <s v="Endenergieverbrauch - Sonstige Sektoren - Haushalte - energetischer Verbrauch"/>
    <s v="Elektrizität"/>
    <s v="Gigawattstunde"/>
    <x v="6"/>
    <x v="1"/>
    <n v="1683"/>
  </r>
  <r>
    <x v="12"/>
    <s v="Endenergieverbrauch - Sonstige Sektoren - Haushalte - energetischer Verbrauch"/>
    <s v="Elektrizität"/>
    <s v="Gigawattstunde"/>
    <x v="7"/>
    <x v="1"/>
    <n v="1722"/>
  </r>
  <r>
    <x v="12"/>
    <s v="Endenergieverbrauch - Sonstige Sektoren - Haushalte - energetischer Verbrauch"/>
    <s v="Elektrizität"/>
    <s v="Gigawattstunde"/>
    <x v="8"/>
    <x v="1"/>
    <n v="1738"/>
  </r>
  <r>
    <x v="12"/>
    <s v="Endenergieverbrauch - Sonstige Sektoren - Haushalte - energetischer Verbrauch"/>
    <s v="Elektrizität"/>
    <s v="Gigawattstunde"/>
    <x v="9"/>
    <x v="1"/>
    <n v="1723"/>
  </r>
  <r>
    <x v="12"/>
    <s v="Endenergieverbrauch - Sonstige Sektoren - Haushalte - energetischer Verbrauch"/>
    <s v="Elektrizität"/>
    <s v="Gigawattstunde"/>
    <x v="10"/>
    <x v="1"/>
    <n v="1673"/>
  </r>
  <r>
    <x v="12"/>
    <s v="Endenergieverbrauch - Sonstige Sektoren - Haushalte - energetischer Verbrauch"/>
    <s v="Elektrizität"/>
    <s v="Gigawattstunde"/>
    <x v="11"/>
    <x v="1"/>
    <n v="1437"/>
  </r>
  <r>
    <x v="12"/>
    <s v="Endenergieverbrauch - Sonstige Sektoren - Haushalte - energetischer Verbrauch"/>
    <s v="Elektrizität"/>
    <s v="Gigawattstunde"/>
    <x v="12"/>
    <x v="1"/>
    <n v="1425"/>
  </r>
  <r>
    <x v="12"/>
    <s v="Endenergieverbrauch - Sonstige Sektoren - Haushalte - energetischer Verbrauch"/>
    <s v="Elektrizität"/>
    <s v="Gigawattstunde"/>
    <x v="13"/>
    <x v="1"/>
    <n v="1515"/>
  </r>
  <r>
    <x v="12"/>
    <s v="Endenergieverbrauch - Sonstige Sektoren - Haushalte - energetischer Verbrauch"/>
    <s v="Elektrizität"/>
    <s v="Gigawattstunde"/>
    <x v="14"/>
    <x v="1"/>
    <n v="1585"/>
  </r>
  <r>
    <x v="12"/>
    <s v="Endenergieverbrauch - Sonstige Sektoren - Haushalte - energetischer Verbrauch"/>
    <s v="Elektrizität"/>
    <s v="Gigawattstunde"/>
    <x v="15"/>
    <x v="1"/>
    <n v="1664.4739999999999"/>
  </r>
  <r>
    <x v="12"/>
    <s v="Endenergieverbrauch - Sonstige Sektoren - Haushalte - energetischer Verbrauch"/>
    <s v="Elektrizität"/>
    <s v="Gigawattstunde"/>
    <x v="16"/>
    <x v="1"/>
    <n v="1688.278"/>
  </r>
  <r>
    <x v="13"/>
    <s v="Endenergieverbrauch - Sonstige Sektoren - Haushalte - energetischer Verbrauch"/>
    <s v="Elektrizität"/>
    <s v="Gigawattstunde"/>
    <x v="0"/>
    <x v="1"/>
    <n v="1317"/>
  </r>
  <r>
    <x v="13"/>
    <s v="Endenergieverbrauch - Sonstige Sektoren - Haushalte - energetischer Verbrauch"/>
    <s v="Elektrizität"/>
    <s v="Gigawattstunde"/>
    <x v="1"/>
    <x v="1"/>
    <n v="1421"/>
  </r>
  <r>
    <x v="13"/>
    <s v="Endenergieverbrauch - Sonstige Sektoren - Haushalte - energetischer Verbrauch"/>
    <s v="Elektrizität"/>
    <s v="Gigawattstunde"/>
    <x v="2"/>
    <x v="1"/>
    <n v="1467"/>
  </r>
  <r>
    <x v="13"/>
    <s v="Endenergieverbrauch - Sonstige Sektoren - Haushalte - energetischer Verbrauch"/>
    <s v="Elektrizität"/>
    <s v="Gigawattstunde"/>
    <x v="3"/>
    <x v="1"/>
    <n v="1572"/>
  </r>
  <r>
    <x v="13"/>
    <s v="Endenergieverbrauch - Sonstige Sektoren - Haushalte - energetischer Verbrauch"/>
    <s v="Elektrizität"/>
    <s v="Gigawattstunde"/>
    <x v="4"/>
    <x v="1"/>
    <n v="1728"/>
  </r>
  <r>
    <x v="13"/>
    <s v="Endenergieverbrauch - Sonstige Sektoren - Haushalte - energetischer Verbrauch"/>
    <s v="Elektrizität"/>
    <s v="Gigawattstunde"/>
    <x v="5"/>
    <x v="1"/>
    <n v="1794"/>
  </r>
  <r>
    <x v="13"/>
    <s v="Endenergieverbrauch - Sonstige Sektoren - Haushalte - energetischer Verbrauch"/>
    <s v="Elektrizität"/>
    <s v="Gigawattstunde"/>
    <x v="6"/>
    <x v="1"/>
    <n v="2031"/>
  </r>
  <r>
    <x v="13"/>
    <s v="Endenergieverbrauch - Sonstige Sektoren - Haushalte - energetischer Verbrauch"/>
    <s v="Elektrizität"/>
    <s v="Gigawattstunde"/>
    <x v="7"/>
    <x v="1"/>
    <n v="2000"/>
  </r>
  <r>
    <x v="13"/>
    <s v="Endenergieverbrauch - Sonstige Sektoren - Haushalte - energetischer Verbrauch"/>
    <s v="Elektrizität"/>
    <s v="Gigawattstunde"/>
    <x v="8"/>
    <x v="1"/>
    <n v="1938"/>
  </r>
  <r>
    <x v="13"/>
    <s v="Endenergieverbrauch - Sonstige Sektoren - Haushalte - energetischer Verbrauch"/>
    <s v="Elektrizität"/>
    <s v="Gigawattstunde"/>
    <x v="9"/>
    <x v="1"/>
    <n v="1772"/>
  </r>
  <r>
    <x v="13"/>
    <s v="Endenergieverbrauch - Sonstige Sektoren - Haushalte - energetischer Verbrauch"/>
    <s v="Elektrizität"/>
    <s v="Gigawattstunde"/>
    <x v="10"/>
    <x v="1"/>
    <n v="1776"/>
  </r>
  <r>
    <x v="13"/>
    <s v="Endenergieverbrauch - Sonstige Sektoren - Haushalte - energetischer Verbrauch"/>
    <s v="Elektrizität"/>
    <s v="Gigawattstunde"/>
    <x v="11"/>
    <x v="1"/>
    <n v="1783"/>
  </r>
  <r>
    <x v="13"/>
    <s v="Endenergieverbrauch - Sonstige Sektoren - Haushalte - energetischer Verbrauch"/>
    <s v="Elektrizität"/>
    <s v="Gigawattstunde"/>
    <x v="12"/>
    <x v="1"/>
    <n v="1747"/>
  </r>
  <r>
    <x v="13"/>
    <s v="Endenergieverbrauch - Sonstige Sektoren - Haushalte - energetischer Verbrauch"/>
    <s v="Elektrizität"/>
    <s v="Gigawattstunde"/>
    <x v="13"/>
    <x v="1"/>
    <n v="1759"/>
  </r>
  <r>
    <x v="13"/>
    <s v="Endenergieverbrauch - Sonstige Sektoren - Haushalte - energetischer Verbrauch"/>
    <s v="Elektrizität"/>
    <s v="Gigawattstunde"/>
    <x v="14"/>
    <x v="1"/>
    <n v="1793"/>
  </r>
  <r>
    <x v="13"/>
    <s v="Endenergieverbrauch - Sonstige Sektoren - Haushalte - energetischer Verbrauch"/>
    <s v="Elektrizität"/>
    <s v="Gigawattstunde"/>
    <x v="15"/>
    <x v="1"/>
    <n v="1656.4739999999999"/>
  </r>
  <r>
    <x v="13"/>
    <s v="Endenergieverbrauch - Sonstige Sektoren - Haushalte - energetischer Verbrauch"/>
    <s v="Elektrizität"/>
    <s v="Gigawattstunde"/>
    <x v="16"/>
    <x v="1"/>
    <n v="1670.0830000000001"/>
  </r>
  <r>
    <x v="14"/>
    <s v="Endenergieverbrauch - Sonstige Sektoren - Haushalte - energetischer Verbrauch"/>
    <s v="Elektrizität"/>
    <s v="Gigawattstunde"/>
    <x v="0"/>
    <x v="1"/>
    <n v="1811"/>
  </r>
  <r>
    <x v="14"/>
    <s v="Endenergieverbrauch - Sonstige Sektoren - Haushalte - energetischer Verbrauch"/>
    <s v="Elektrizität"/>
    <s v="Gigawattstunde"/>
    <x v="1"/>
    <x v="1"/>
    <n v="1918"/>
  </r>
  <r>
    <x v="14"/>
    <s v="Endenergieverbrauch - Sonstige Sektoren - Haushalte - energetischer Verbrauch"/>
    <s v="Elektrizität"/>
    <s v="Gigawattstunde"/>
    <x v="2"/>
    <x v="1"/>
    <n v="2090"/>
  </r>
  <r>
    <x v="14"/>
    <s v="Endenergieverbrauch - Sonstige Sektoren - Haushalte - energetischer Verbrauch"/>
    <s v="Elektrizität"/>
    <s v="Gigawattstunde"/>
    <x v="3"/>
    <x v="1"/>
    <n v="2162"/>
  </r>
  <r>
    <x v="14"/>
    <s v="Endenergieverbrauch - Sonstige Sektoren - Haushalte - energetischer Verbrauch"/>
    <s v="Elektrizität"/>
    <s v="Gigawattstunde"/>
    <x v="4"/>
    <x v="1"/>
    <n v="2374"/>
  </r>
  <r>
    <x v="14"/>
    <s v="Endenergieverbrauch - Sonstige Sektoren - Haushalte - energetischer Verbrauch"/>
    <s v="Elektrizität"/>
    <s v="Gigawattstunde"/>
    <x v="5"/>
    <x v="1"/>
    <n v="2489"/>
  </r>
  <r>
    <x v="14"/>
    <s v="Endenergieverbrauch - Sonstige Sektoren - Haushalte - energetischer Verbrauch"/>
    <s v="Elektrizität"/>
    <s v="Gigawattstunde"/>
    <x v="6"/>
    <x v="1"/>
    <n v="2730"/>
  </r>
  <r>
    <x v="14"/>
    <s v="Endenergieverbrauch - Sonstige Sektoren - Haushalte - energetischer Verbrauch"/>
    <s v="Elektrizität"/>
    <s v="Gigawattstunde"/>
    <x v="7"/>
    <x v="1"/>
    <n v="2725"/>
  </r>
  <r>
    <x v="14"/>
    <s v="Endenergieverbrauch - Sonstige Sektoren - Haushalte - energetischer Verbrauch"/>
    <s v="Elektrizität"/>
    <s v="Gigawattstunde"/>
    <x v="8"/>
    <x v="1"/>
    <n v="2590"/>
  </r>
  <r>
    <x v="14"/>
    <s v="Endenergieverbrauch - Sonstige Sektoren - Haushalte - energetischer Verbrauch"/>
    <s v="Elektrizität"/>
    <s v="Gigawattstunde"/>
    <x v="9"/>
    <x v="1"/>
    <n v="2618"/>
  </r>
  <r>
    <x v="14"/>
    <s v="Endenergieverbrauch - Sonstige Sektoren - Haushalte - energetischer Verbrauch"/>
    <s v="Elektrizität"/>
    <s v="Gigawattstunde"/>
    <x v="10"/>
    <x v="1"/>
    <n v="2642"/>
  </r>
  <r>
    <x v="14"/>
    <s v="Endenergieverbrauch - Sonstige Sektoren - Haushalte - energetischer Verbrauch"/>
    <s v="Elektrizität"/>
    <s v="Gigawattstunde"/>
    <x v="11"/>
    <x v="1"/>
    <n v="2591"/>
  </r>
  <r>
    <x v="14"/>
    <s v="Endenergieverbrauch - Sonstige Sektoren - Haushalte - energetischer Verbrauch"/>
    <s v="Elektrizität"/>
    <s v="Gigawattstunde"/>
    <x v="12"/>
    <x v="1"/>
    <n v="2656"/>
  </r>
  <r>
    <x v="14"/>
    <s v="Endenergieverbrauch - Sonstige Sektoren - Haushalte - energetischer Verbrauch"/>
    <s v="Elektrizität"/>
    <s v="Gigawattstunde"/>
    <x v="13"/>
    <x v="1"/>
    <n v="2660"/>
  </r>
  <r>
    <x v="14"/>
    <s v="Endenergieverbrauch - Sonstige Sektoren - Haushalte - energetischer Verbrauch"/>
    <s v="Elektrizität"/>
    <s v="Gigawattstunde"/>
    <x v="14"/>
    <x v="1"/>
    <n v="2775"/>
  </r>
  <r>
    <x v="14"/>
    <s v="Endenergieverbrauch - Sonstige Sektoren - Haushalte - energetischer Verbrauch"/>
    <s v="Elektrizität"/>
    <s v="Gigawattstunde"/>
    <x v="15"/>
    <x v="1"/>
    <n v="2837.6"/>
  </r>
  <r>
    <x v="14"/>
    <s v="Endenergieverbrauch - Sonstige Sektoren - Haushalte - energetischer Verbrauch"/>
    <s v="Elektrizität"/>
    <s v="Gigawattstunde"/>
    <x v="16"/>
    <x v="1"/>
    <n v="2984.5"/>
  </r>
  <r>
    <x v="15"/>
    <s v="Endenergieverbrauch - Sonstige Sektoren - Haushalte - energetischer Verbrauch"/>
    <s v="Elektrizität"/>
    <s v="Gigawattstunde"/>
    <x v="0"/>
    <x v="1"/>
    <n v="808.46400000000006"/>
  </r>
  <r>
    <x v="15"/>
    <s v="Endenergieverbrauch - Sonstige Sektoren - Haushalte - energetischer Verbrauch"/>
    <s v="Elektrizität"/>
    <s v="Gigawattstunde"/>
    <x v="1"/>
    <x v="1"/>
    <n v="822.38300000000004"/>
  </r>
  <r>
    <x v="15"/>
    <s v="Endenergieverbrauch - Sonstige Sektoren - Haushalte - energetischer Verbrauch"/>
    <s v="Elektrizität"/>
    <s v="Gigawattstunde"/>
    <x v="2"/>
    <x v="1"/>
    <n v="838.76499999999999"/>
  </r>
  <r>
    <x v="15"/>
    <s v="Endenergieverbrauch - Sonstige Sektoren - Haushalte - energetischer Verbrauch"/>
    <s v="Elektrizität"/>
    <s v="Gigawattstunde"/>
    <x v="3"/>
    <x v="1"/>
    <n v="845.08600000000001"/>
  </r>
  <r>
    <x v="15"/>
    <s v="Endenergieverbrauch - Sonstige Sektoren - Haushalte - energetischer Verbrauch"/>
    <s v="Elektrizität"/>
    <s v="Gigawattstunde"/>
    <x v="4"/>
    <x v="1"/>
    <n v="830.98599999999999"/>
  </r>
  <r>
    <x v="15"/>
    <s v="Endenergieverbrauch - Sonstige Sektoren - Haushalte - energetischer Verbrauch"/>
    <s v="Elektrizität"/>
    <s v="Gigawattstunde"/>
    <x v="5"/>
    <x v="1"/>
    <n v="843.57"/>
  </r>
  <r>
    <x v="15"/>
    <s v="Endenergieverbrauch - Sonstige Sektoren - Haushalte - energetischer Verbrauch"/>
    <s v="Elektrizität"/>
    <s v="Gigawattstunde"/>
    <x v="6"/>
    <x v="1"/>
    <n v="776.42700000000002"/>
  </r>
  <r>
    <x v="15"/>
    <s v="Endenergieverbrauch - Sonstige Sektoren - Haushalte - energetischer Verbrauch"/>
    <s v="Elektrizität"/>
    <s v="Gigawattstunde"/>
    <x v="7"/>
    <x v="1"/>
    <n v="904.44799999999998"/>
  </r>
  <r>
    <x v="15"/>
    <s v="Endenergieverbrauch - Sonstige Sektoren - Haushalte - energetischer Verbrauch"/>
    <s v="Elektrizität"/>
    <s v="Gigawattstunde"/>
    <x v="8"/>
    <x v="1"/>
    <n v="815.15499999999997"/>
  </r>
  <r>
    <x v="15"/>
    <s v="Endenergieverbrauch - Sonstige Sektoren - Haushalte - energetischer Verbrauch"/>
    <s v="Elektrizität"/>
    <s v="Gigawattstunde"/>
    <x v="9"/>
    <x v="1"/>
    <n v="851.61500000000001"/>
  </r>
  <r>
    <x v="15"/>
    <s v="Endenergieverbrauch - Sonstige Sektoren - Haushalte - energetischer Verbrauch"/>
    <s v="Elektrizität"/>
    <s v="Gigawattstunde"/>
    <x v="10"/>
    <x v="1"/>
    <n v="916.49300000000005"/>
  </r>
  <r>
    <x v="15"/>
    <s v="Endenergieverbrauch - Sonstige Sektoren - Haushalte - energetischer Verbrauch"/>
    <s v="Elektrizität"/>
    <s v="Gigawattstunde"/>
    <x v="11"/>
    <x v="1"/>
    <n v="979.40300000000002"/>
  </r>
  <r>
    <x v="15"/>
    <s v="Endenergieverbrauch - Sonstige Sektoren - Haushalte - energetischer Verbrauch"/>
    <s v="Elektrizität"/>
    <s v="Gigawattstunde"/>
    <x v="12"/>
    <x v="1"/>
    <n v="1011.248"/>
  </r>
  <r>
    <x v="15"/>
    <s v="Endenergieverbrauch - Sonstige Sektoren - Haushalte - energetischer Verbrauch"/>
    <s v="Elektrizität"/>
    <s v="Gigawattstunde"/>
    <x v="13"/>
    <x v="1"/>
    <n v="989.68600000000004"/>
  </r>
  <r>
    <x v="15"/>
    <s v="Endenergieverbrauch - Sonstige Sektoren - Haushalte - energetischer Verbrauch"/>
    <s v="Elektrizität"/>
    <s v="Gigawattstunde"/>
    <x v="14"/>
    <x v="1"/>
    <n v="976.49"/>
  </r>
  <r>
    <x v="15"/>
    <s v="Endenergieverbrauch - Sonstige Sektoren - Haushalte - energetischer Verbrauch"/>
    <s v="Elektrizität"/>
    <s v="Gigawattstunde"/>
    <x v="15"/>
    <x v="1"/>
    <n v="970.45899999999995"/>
  </r>
  <r>
    <x v="15"/>
    <s v="Endenergieverbrauch - Sonstige Sektoren - Haushalte - energetischer Verbrauch"/>
    <s v="Elektrizität"/>
    <s v="Gigawattstunde"/>
    <x v="16"/>
    <x v="1"/>
    <n v="930.64099999999996"/>
  </r>
  <r>
    <x v="16"/>
    <s v="Endenergieverbrauch - Sonstige Sektoren - Haushalte - energetischer Verbrauch"/>
    <s v="Elektrizität"/>
    <s v="Gigawattstunde"/>
    <x v="0"/>
    <x v="1"/>
    <n v="10440"/>
  </r>
  <r>
    <x v="16"/>
    <s v="Endenergieverbrauch - Sonstige Sektoren - Haushalte - energetischer Verbrauch"/>
    <s v="Elektrizität"/>
    <s v="Gigawattstunde"/>
    <x v="1"/>
    <x v="1"/>
    <n v="11063"/>
  </r>
  <r>
    <x v="16"/>
    <s v="Endenergieverbrauch - Sonstige Sektoren - Haushalte - energetischer Verbrauch"/>
    <s v="Elektrizität"/>
    <s v="Gigawattstunde"/>
    <x v="2"/>
    <x v="1"/>
    <n v="11032"/>
  </r>
  <r>
    <x v="16"/>
    <s v="Endenergieverbrauch - Sonstige Sektoren - Haushalte - energetischer Verbrauch"/>
    <s v="Elektrizität"/>
    <s v="Gigawattstunde"/>
    <x v="3"/>
    <x v="1"/>
    <n v="11115"/>
  </r>
  <r>
    <x v="16"/>
    <s v="Endenergieverbrauch - Sonstige Sektoren - Haushalte - energetischer Verbrauch"/>
    <s v="Elektrizität"/>
    <s v="Gigawattstunde"/>
    <x v="4"/>
    <x v="1"/>
    <n v="11451"/>
  </r>
  <r>
    <x v="16"/>
    <s v="Endenergieverbrauch - Sonstige Sektoren - Haushalte - energetischer Verbrauch"/>
    <s v="Elektrizität"/>
    <s v="Gigawattstunde"/>
    <x v="5"/>
    <x v="1"/>
    <n v="11250"/>
  </r>
  <r>
    <x v="16"/>
    <s v="Endenergieverbrauch - Sonstige Sektoren - Haushalte - energetischer Verbrauch"/>
    <s v="Elektrizität"/>
    <s v="Gigawattstunde"/>
    <x v="6"/>
    <x v="1"/>
    <n v="11460"/>
  </r>
  <r>
    <x v="16"/>
    <s v="Endenergieverbrauch - Sonstige Sektoren - Haushalte - energetischer Verbrauch"/>
    <s v="Elektrizität"/>
    <s v="Gigawattstunde"/>
    <x v="7"/>
    <x v="1"/>
    <n v="11235"/>
  </r>
  <r>
    <x v="16"/>
    <s v="Endenergieverbrauch - Sonstige Sektoren - Haushalte - energetischer Verbrauch"/>
    <s v="Elektrizität"/>
    <s v="Gigawattstunde"/>
    <x v="8"/>
    <x v="1"/>
    <n v="11202"/>
  </r>
  <r>
    <x v="16"/>
    <s v="Endenergieverbrauch - Sonstige Sektoren - Haushalte - energetischer Verbrauch"/>
    <s v="Elektrizität"/>
    <s v="Gigawattstunde"/>
    <x v="9"/>
    <x v="1"/>
    <n v="11312"/>
  </r>
  <r>
    <x v="16"/>
    <s v="Endenergieverbrauch - Sonstige Sektoren - Haushalte - energetischer Verbrauch"/>
    <s v="Elektrizität"/>
    <s v="Gigawattstunde"/>
    <x v="10"/>
    <x v="1"/>
    <n v="10620"/>
  </r>
  <r>
    <x v="16"/>
    <s v="Endenergieverbrauch - Sonstige Sektoren - Haushalte - energetischer Verbrauch"/>
    <s v="Elektrizität"/>
    <s v="Gigawattstunde"/>
    <x v="11"/>
    <x v="1"/>
    <n v="10580"/>
  </r>
  <r>
    <x v="16"/>
    <s v="Endenergieverbrauch - Sonstige Sektoren - Haushalte - energetischer Verbrauch"/>
    <s v="Elektrizität"/>
    <s v="Gigawattstunde"/>
    <x v="12"/>
    <x v="1"/>
    <n v="10423"/>
  </r>
  <r>
    <x v="16"/>
    <s v="Endenergieverbrauch - Sonstige Sektoren - Haushalte - energetischer Verbrauch"/>
    <s v="Elektrizität"/>
    <s v="Gigawattstunde"/>
    <x v="13"/>
    <x v="1"/>
    <n v="10839"/>
  </r>
  <r>
    <x v="16"/>
    <s v="Endenergieverbrauch - Sonstige Sektoren - Haushalte - energetischer Verbrauch"/>
    <s v="Elektrizität"/>
    <s v="Gigawattstunde"/>
    <x v="14"/>
    <x v="1"/>
    <n v="10954"/>
  </r>
  <r>
    <x v="16"/>
    <s v="Endenergieverbrauch - Sonstige Sektoren - Haushalte - energetischer Verbrauch"/>
    <s v="Elektrizität"/>
    <s v="Gigawattstunde"/>
    <x v="15"/>
    <x v="1"/>
    <n v="11249"/>
  </r>
  <r>
    <x v="16"/>
    <s v="Endenergieverbrauch - Sonstige Sektoren - Haushalte - energetischer Verbrauch"/>
    <s v="Elektrizität"/>
    <s v="Gigawattstunde"/>
    <x v="16"/>
    <x v="1"/>
    <n v="11370"/>
  </r>
  <r>
    <x v="17"/>
    <s v="Endenergieverbrauch - Sonstige Sektoren - Haushalte - energetischer Verbrauch"/>
    <s v="Elektrizität"/>
    <s v="Gigawattstunde"/>
    <x v="0"/>
    <x v="1"/>
    <n v="570"/>
  </r>
  <r>
    <x v="17"/>
    <s v="Endenergieverbrauch - Sonstige Sektoren - Haushalte - energetischer Verbrauch"/>
    <s v="Elektrizität"/>
    <s v="Gigawattstunde"/>
    <x v="1"/>
    <x v="1"/>
    <n v="629"/>
  </r>
  <r>
    <x v="17"/>
    <s v="Endenergieverbrauch - Sonstige Sektoren - Haushalte - energetischer Verbrauch"/>
    <s v="Elektrizität"/>
    <s v="Gigawattstunde"/>
    <x v="2"/>
    <x v="1"/>
    <n v="615"/>
  </r>
  <r>
    <x v="17"/>
    <s v="Endenergieverbrauch - Sonstige Sektoren - Haushalte - energetischer Verbrauch"/>
    <s v="Elektrizität"/>
    <s v="Gigawattstunde"/>
    <x v="3"/>
    <x v="1"/>
    <n v="623"/>
  </r>
  <r>
    <x v="17"/>
    <s v="Endenergieverbrauch - Sonstige Sektoren - Haushalte - energetischer Verbrauch"/>
    <s v="Elektrizität"/>
    <s v="Gigawattstunde"/>
    <x v="4"/>
    <x v="1"/>
    <n v="659"/>
  </r>
  <r>
    <x v="17"/>
    <s v="Endenergieverbrauch - Sonstige Sektoren - Haushalte - energetischer Verbrauch"/>
    <s v="Elektrizität"/>
    <s v="Gigawattstunde"/>
    <x v="5"/>
    <x v="1"/>
    <n v="658"/>
  </r>
  <r>
    <x v="17"/>
    <s v="Endenergieverbrauch - Sonstige Sektoren - Haushalte - energetischer Verbrauch"/>
    <s v="Elektrizität"/>
    <s v="Gigawattstunde"/>
    <x v="6"/>
    <x v="1"/>
    <n v="645"/>
  </r>
  <r>
    <x v="17"/>
    <s v="Endenergieverbrauch - Sonstige Sektoren - Haushalte - energetischer Verbrauch"/>
    <s v="Elektrizität"/>
    <s v="Gigawattstunde"/>
    <x v="7"/>
    <x v="1"/>
    <n v="570"/>
  </r>
  <r>
    <x v="17"/>
    <s v="Endenergieverbrauch - Sonstige Sektoren - Haushalte - energetischer Verbrauch"/>
    <s v="Elektrizität"/>
    <s v="Gigawattstunde"/>
    <x v="8"/>
    <x v="1"/>
    <n v="589"/>
  </r>
  <r>
    <x v="17"/>
    <s v="Endenergieverbrauch - Sonstige Sektoren - Haushalte - energetischer Verbrauch"/>
    <s v="Elektrizität"/>
    <s v="Gigawattstunde"/>
    <x v="9"/>
    <x v="1"/>
    <n v="594"/>
  </r>
  <r>
    <x v="17"/>
    <s v="Endenergieverbrauch - Sonstige Sektoren - Haushalte - energetischer Verbrauch"/>
    <s v="Elektrizität"/>
    <s v="Gigawattstunde"/>
    <x v="10"/>
    <x v="1"/>
    <n v="614"/>
  </r>
  <r>
    <x v="17"/>
    <s v="Endenergieverbrauch - Sonstige Sektoren - Haushalte - energetischer Verbrauch"/>
    <s v="Elektrizität"/>
    <s v="Gigawattstunde"/>
    <x v="11"/>
    <x v="1"/>
    <n v="609"/>
  </r>
  <r>
    <x v="17"/>
    <s v="Endenergieverbrauch - Sonstige Sektoren - Haushalte - energetischer Verbrauch"/>
    <s v="Elektrizität"/>
    <s v="Gigawattstunde"/>
    <x v="12"/>
    <x v="1"/>
    <n v="615"/>
  </r>
  <r>
    <x v="17"/>
    <s v="Endenergieverbrauch - Sonstige Sektoren - Haushalte - energetischer Verbrauch"/>
    <s v="Elektrizität"/>
    <s v="Gigawattstunde"/>
    <x v="13"/>
    <x v="1"/>
    <n v="656"/>
  </r>
  <r>
    <x v="17"/>
    <s v="Endenergieverbrauch - Sonstige Sektoren - Haushalte - energetischer Verbrauch"/>
    <s v="Elektrizität"/>
    <s v="Gigawattstunde"/>
    <x v="14"/>
    <x v="1"/>
    <n v="665.94399999999996"/>
  </r>
  <r>
    <x v="17"/>
    <s v="Endenergieverbrauch - Sonstige Sektoren - Haushalte - energetischer Verbrauch"/>
    <s v="Elektrizität"/>
    <s v="Gigawattstunde"/>
    <x v="15"/>
    <x v="1"/>
    <n v="727.83799999999997"/>
  </r>
  <r>
    <x v="17"/>
    <s v="Endenergieverbrauch - Sonstige Sektoren - Haushalte - energetischer Verbrauch"/>
    <s v="Elektrizität"/>
    <s v="Gigawattstunde"/>
    <x v="16"/>
    <x v="1"/>
    <n v="755.61599999999999"/>
  </r>
  <r>
    <x v="18"/>
    <s v="Endenergieverbrauch - Sonstige Sektoren - Haushalte - energetischer Verbrauch"/>
    <s v="Elektrizität"/>
    <s v="Gigawattstunde"/>
    <x v="0"/>
    <x v="1"/>
    <n v="20945"/>
  </r>
  <r>
    <x v="18"/>
    <s v="Endenergieverbrauch - Sonstige Sektoren - Haushalte - energetischer Verbrauch"/>
    <s v="Elektrizität"/>
    <s v="Gigawattstunde"/>
    <x v="1"/>
    <x v="1"/>
    <n v="21418"/>
  </r>
  <r>
    <x v="18"/>
    <s v="Endenergieverbrauch - Sonstige Sektoren - Haushalte - energetischer Verbrauch"/>
    <s v="Elektrizität"/>
    <s v="Gigawattstunde"/>
    <x v="2"/>
    <x v="1"/>
    <n v="21518"/>
  </r>
  <r>
    <x v="18"/>
    <s v="Endenergieverbrauch - Sonstige Sektoren - Haushalte - energetischer Verbrauch"/>
    <s v="Elektrizität"/>
    <s v="Gigawattstunde"/>
    <x v="3"/>
    <x v="1"/>
    <n v="21796"/>
  </r>
  <r>
    <x v="18"/>
    <s v="Endenergieverbrauch - Sonstige Sektoren - Haushalte - energetischer Verbrauch"/>
    <s v="Elektrizität"/>
    <s v="Gigawattstunde"/>
    <x v="4"/>
    <x v="1"/>
    <n v="22081"/>
  </r>
  <r>
    <x v="18"/>
    <s v="Endenergieverbrauch - Sonstige Sektoren - Haushalte - energetischer Verbrauch"/>
    <s v="Elektrizität"/>
    <s v="Gigawattstunde"/>
    <x v="5"/>
    <x v="1"/>
    <n v="22268"/>
  </r>
  <r>
    <x v="18"/>
    <s v="Endenergieverbrauch - Sonstige Sektoren - Haushalte - energetischer Verbrauch"/>
    <s v="Elektrizität"/>
    <s v="Gigawattstunde"/>
    <x v="6"/>
    <x v="1"/>
    <n v="22501"/>
  </r>
  <r>
    <x v="18"/>
    <s v="Endenergieverbrauch - Sonstige Sektoren - Haushalte - energetischer Verbrauch"/>
    <s v="Elektrizität"/>
    <s v="Gigawattstunde"/>
    <x v="7"/>
    <x v="1"/>
    <n v="22872"/>
  </r>
  <r>
    <x v="18"/>
    <s v="Endenergieverbrauch - Sonstige Sektoren - Haushalte - energetischer Verbrauch"/>
    <s v="Elektrizität"/>
    <s v="Gigawattstunde"/>
    <x v="8"/>
    <x v="1"/>
    <n v="22994"/>
  </r>
  <r>
    <x v="18"/>
    <s v="Endenergieverbrauch - Sonstige Sektoren - Haushalte - energetischer Verbrauch"/>
    <s v="Elektrizität"/>
    <s v="Gigawattstunde"/>
    <x v="9"/>
    <x v="1"/>
    <n v="23043"/>
  </r>
  <r>
    <x v="18"/>
    <s v="Endenergieverbrauch - Sonstige Sektoren - Haushalte - energetischer Verbrauch"/>
    <s v="Elektrizität"/>
    <s v="Gigawattstunde"/>
    <x v="10"/>
    <x v="1"/>
    <n v="23363.329000000002"/>
  </r>
  <r>
    <x v="18"/>
    <s v="Endenergieverbrauch - Sonstige Sektoren - Haushalte - energetischer Verbrauch"/>
    <s v="Elektrizität"/>
    <s v="Gigawattstunde"/>
    <x v="11"/>
    <x v="1"/>
    <n v="23360.958999999999"/>
  </r>
  <r>
    <x v="18"/>
    <s v="Endenergieverbrauch - Sonstige Sektoren - Haushalte - energetischer Verbrauch"/>
    <s v="Elektrizität"/>
    <s v="Gigawattstunde"/>
    <x v="12"/>
    <x v="1"/>
    <n v="22829.305"/>
  </r>
  <r>
    <x v="18"/>
    <s v="Endenergieverbrauch - Sonstige Sektoren - Haushalte - energetischer Verbrauch"/>
    <s v="Elektrizität"/>
    <s v="Gigawattstunde"/>
    <x v="13"/>
    <x v="1"/>
    <n v="22620.42"/>
  </r>
  <r>
    <x v="18"/>
    <s v="Endenergieverbrauch - Sonstige Sektoren - Haushalte - energetischer Verbrauch"/>
    <s v="Elektrizität"/>
    <s v="Gigawattstunde"/>
    <x v="14"/>
    <x v="1"/>
    <n v="22584.579000000002"/>
  </r>
  <r>
    <x v="18"/>
    <s v="Endenergieverbrauch - Sonstige Sektoren - Haushalte - energetischer Verbrauch"/>
    <s v="Elektrizität"/>
    <s v="Gigawattstunde"/>
    <x v="15"/>
    <x v="1"/>
    <n v="22596.661"/>
  </r>
  <r>
    <x v="18"/>
    <s v="Endenergieverbrauch - Sonstige Sektoren - Haushalte - energetischer Verbrauch"/>
    <s v="Elektrizität"/>
    <s v="Gigawattstunde"/>
    <x v="16"/>
    <x v="1"/>
    <n v="22970.68"/>
  </r>
  <r>
    <x v="19"/>
    <s v="Endenergieverbrauch - Sonstige Sektoren - Haushalte - energetischer Verbrauch"/>
    <s v="Elektrizität"/>
    <s v="Gigawattstunde"/>
    <x v="0"/>
    <x v="1"/>
    <n v="16730"/>
  </r>
  <r>
    <x v="19"/>
    <s v="Endenergieverbrauch - Sonstige Sektoren - Haushalte - energetischer Verbrauch"/>
    <s v="Elektrizität"/>
    <s v="Gigawattstunde"/>
    <x v="1"/>
    <x v="1"/>
    <n v="17275"/>
  </r>
  <r>
    <x v="19"/>
    <s v="Endenergieverbrauch - Sonstige Sektoren - Haushalte - energetischer Verbrauch"/>
    <s v="Elektrizität"/>
    <s v="Gigawattstunde"/>
    <x v="2"/>
    <x v="1"/>
    <n v="17119"/>
  </r>
  <r>
    <x v="19"/>
    <s v="Endenergieverbrauch - Sonstige Sektoren - Haushalte - energetischer Verbrauch"/>
    <s v="Elektrizität"/>
    <s v="Gigawattstunde"/>
    <x v="3"/>
    <x v="1"/>
    <n v="16417.681"/>
  </r>
  <r>
    <x v="19"/>
    <s v="Endenergieverbrauch - Sonstige Sektoren - Haushalte - energetischer Verbrauch"/>
    <s v="Elektrizität"/>
    <s v="Gigawattstunde"/>
    <x v="4"/>
    <x v="1"/>
    <n v="16441.653999999999"/>
  </r>
  <r>
    <x v="19"/>
    <s v="Endenergieverbrauch - Sonstige Sektoren - Haushalte - energetischer Verbrauch"/>
    <s v="Elektrizität"/>
    <s v="Gigawattstunde"/>
    <x v="5"/>
    <x v="1"/>
    <n v="16483.886999999999"/>
  </r>
  <r>
    <x v="19"/>
    <s v="Endenergieverbrauch - Sonstige Sektoren - Haushalte - energetischer Verbrauch"/>
    <s v="Elektrizität"/>
    <s v="Gigawattstunde"/>
    <x v="6"/>
    <x v="1"/>
    <n v="16616.866999999998"/>
  </r>
  <r>
    <x v="19"/>
    <s v="Endenergieverbrauch - Sonstige Sektoren - Haushalte - energetischer Verbrauch"/>
    <s v="Elektrizität"/>
    <s v="Gigawattstunde"/>
    <x v="7"/>
    <x v="1"/>
    <n v="17233.268"/>
  </r>
  <r>
    <x v="19"/>
    <s v="Endenergieverbrauch - Sonstige Sektoren - Haushalte - energetischer Verbrauch"/>
    <s v="Elektrizität"/>
    <s v="Gigawattstunde"/>
    <x v="8"/>
    <x v="1"/>
    <n v="17657.492999999999"/>
  </r>
  <r>
    <x v="19"/>
    <s v="Endenergieverbrauch - Sonstige Sektoren - Haushalte - energetischer Verbrauch"/>
    <s v="Elektrizität"/>
    <s v="Gigawattstunde"/>
    <x v="9"/>
    <x v="1"/>
    <n v="17273.638999999999"/>
  </r>
  <r>
    <x v="19"/>
    <s v="Endenergieverbrauch - Sonstige Sektoren - Haushalte - energetischer Verbrauch"/>
    <s v="Elektrizität"/>
    <s v="Gigawattstunde"/>
    <x v="10"/>
    <x v="1"/>
    <n v="17550.883000000002"/>
  </r>
  <r>
    <x v="19"/>
    <s v="Endenergieverbrauch - Sonstige Sektoren - Haushalte - energetischer Verbrauch"/>
    <s v="Elektrizität"/>
    <s v="Gigawattstunde"/>
    <x v="11"/>
    <x v="1"/>
    <n v="17649.164000000001"/>
  </r>
  <r>
    <x v="19"/>
    <s v="Endenergieverbrauch - Sonstige Sektoren - Haushalte - energetischer Verbrauch"/>
    <s v="Elektrizität"/>
    <s v="Gigawattstunde"/>
    <x v="12"/>
    <x v="1"/>
    <n v="16704.824000000001"/>
  </r>
  <r>
    <x v="19"/>
    <s v="Endenergieverbrauch - Sonstige Sektoren - Haushalte - energetischer Verbrauch"/>
    <s v="Elektrizität"/>
    <s v="Gigawattstunde"/>
    <x v="13"/>
    <x v="1"/>
    <n v="17262.511999999999"/>
  </r>
  <r>
    <x v="19"/>
    <s v="Endenergieverbrauch - Sonstige Sektoren - Haushalte - energetischer Verbrauch"/>
    <s v="Elektrizität"/>
    <s v="Gigawattstunde"/>
    <x v="14"/>
    <x v="1"/>
    <n v="17880.723000000002"/>
  </r>
  <r>
    <x v="19"/>
    <s v="Endenergieverbrauch - Sonstige Sektoren - Haushalte - energetischer Verbrauch"/>
    <s v="Elektrizität"/>
    <s v="Gigawattstunde"/>
    <x v="15"/>
    <x v="1"/>
    <n v="17980.802"/>
  </r>
  <r>
    <x v="19"/>
    <s v="Endenergieverbrauch - Sonstige Sektoren - Haushalte - energetischer Verbrauch"/>
    <s v="Elektrizität"/>
    <s v="Gigawattstunde"/>
    <x v="16"/>
    <x v="1"/>
    <n v="17711.332999999999"/>
  </r>
  <r>
    <x v="20"/>
    <s v="Endenergieverbrauch - Sonstige Sektoren - Haushalte - energetischer Verbrauch"/>
    <s v="Elektrizität"/>
    <s v="Gigawattstunde"/>
    <x v="0"/>
    <x v="1"/>
    <n v="21659"/>
  </r>
  <r>
    <x v="20"/>
    <s v="Endenergieverbrauch - Sonstige Sektoren - Haushalte - energetischer Verbrauch"/>
    <s v="Elektrizität"/>
    <s v="Gigawattstunde"/>
    <x v="1"/>
    <x v="1"/>
    <n v="24852"/>
  </r>
  <r>
    <x v="20"/>
    <s v="Endenergieverbrauch - Sonstige Sektoren - Haushalte - energetischer Verbrauch"/>
    <s v="Elektrizität"/>
    <s v="Gigawattstunde"/>
    <x v="2"/>
    <x v="1"/>
    <n v="25476"/>
  </r>
  <r>
    <x v="20"/>
    <s v="Endenergieverbrauch - Sonstige Sektoren - Haushalte - energetischer Verbrauch"/>
    <s v="Elektrizität"/>
    <s v="Gigawattstunde"/>
    <x v="3"/>
    <x v="1"/>
    <n v="25253"/>
  </r>
  <r>
    <x v="20"/>
    <s v="Endenergieverbrauch - Sonstige Sektoren - Haushalte - energetischer Verbrauch"/>
    <s v="Elektrizität"/>
    <s v="Gigawattstunde"/>
    <x v="4"/>
    <x v="1"/>
    <n v="26467"/>
  </r>
  <r>
    <x v="20"/>
    <s v="Endenergieverbrauch - Sonstige Sektoren - Haushalte - energetischer Verbrauch"/>
    <s v="Elektrizität"/>
    <s v="Gigawattstunde"/>
    <x v="5"/>
    <x v="1"/>
    <n v="26369"/>
  </r>
  <r>
    <x v="20"/>
    <s v="Endenergieverbrauch - Sonstige Sektoren - Haushalte - energetischer Verbrauch"/>
    <s v="Elektrizität"/>
    <s v="Gigawattstunde"/>
    <x v="6"/>
    <x v="1"/>
    <n v="27115"/>
  </r>
  <r>
    <x v="20"/>
    <s v="Endenergieverbrauch - Sonstige Sektoren - Haushalte - energetischer Verbrauch"/>
    <s v="Elektrizität"/>
    <s v="Gigawattstunde"/>
    <x v="7"/>
    <x v="1"/>
    <n v="27534"/>
  </r>
  <r>
    <x v="20"/>
    <s v="Endenergieverbrauch - Sonstige Sektoren - Haushalte - energetischer Verbrauch"/>
    <s v="Elektrizität"/>
    <s v="Gigawattstunde"/>
    <x v="8"/>
    <x v="1"/>
    <n v="28615"/>
  </r>
  <r>
    <x v="20"/>
    <s v="Endenergieverbrauch - Sonstige Sektoren - Haushalte - energetischer Verbrauch"/>
    <s v="Elektrizität"/>
    <s v="Gigawattstunde"/>
    <x v="9"/>
    <x v="1"/>
    <n v="28258"/>
  </r>
  <r>
    <x v="20"/>
    <s v="Endenergieverbrauch - Sonstige Sektoren - Haushalte - energetischer Verbrauch"/>
    <s v="Elektrizität"/>
    <s v="Gigawattstunde"/>
    <x v="10"/>
    <x v="1"/>
    <n v="28318"/>
  </r>
  <r>
    <x v="20"/>
    <s v="Endenergieverbrauch - Sonstige Sektoren - Haushalte - energetischer Verbrauch"/>
    <s v="Elektrizität"/>
    <s v="Gigawattstunde"/>
    <x v="11"/>
    <x v="1"/>
    <n v="28442"/>
  </r>
  <r>
    <x v="20"/>
    <s v="Endenergieverbrauch - Sonstige Sektoren - Haushalte - energetischer Verbrauch"/>
    <s v="Elektrizität"/>
    <s v="Gigawattstunde"/>
    <x v="12"/>
    <x v="1"/>
    <n v="28083"/>
  </r>
  <r>
    <x v="20"/>
    <s v="Endenergieverbrauch - Sonstige Sektoren - Haushalte - energetischer Verbrauch"/>
    <s v="Elektrizität"/>
    <s v="Gigawattstunde"/>
    <x v="13"/>
    <x v="1"/>
    <n v="28280"/>
  </r>
  <r>
    <x v="20"/>
    <s v="Endenergieverbrauch - Sonstige Sektoren - Haushalte - energetischer Verbrauch"/>
    <s v="Elektrizität"/>
    <s v="Gigawattstunde"/>
    <x v="14"/>
    <x v="1"/>
    <n v="28909"/>
  </r>
  <r>
    <x v="20"/>
    <s v="Endenergieverbrauch - Sonstige Sektoren - Haushalte - energetischer Verbrauch"/>
    <s v="Elektrizität"/>
    <s v="Gigawattstunde"/>
    <x v="15"/>
    <x v="1"/>
    <n v="29181"/>
  </r>
  <r>
    <x v="20"/>
    <s v="Endenergieverbrauch - Sonstige Sektoren - Haushalte - energetischer Verbrauch"/>
    <s v="Elektrizität"/>
    <s v="Gigawattstunde"/>
    <x v="16"/>
    <x v="1"/>
    <n v="29284"/>
  </r>
  <r>
    <x v="21"/>
    <s v="Endenergieverbrauch - Sonstige Sektoren - Haushalte - energetischer Verbrauch"/>
    <s v="Elektrizität"/>
    <s v="Gigawattstunde"/>
    <x v="0"/>
    <x v="1"/>
    <n v="11382"/>
  </r>
  <r>
    <x v="21"/>
    <s v="Endenergieverbrauch - Sonstige Sektoren - Haushalte - energetischer Verbrauch"/>
    <s v="Elektrizität"/>
    <s v="Gigawattstunde"/>
    <x v="1"/>
    <x v="1"/>
    <n v="11835"/>
  </r>
  <r>
    <x v="21"/>
    <s v="Endenergieverbrauch - Sonstige Sektoren - Haushalte - energetischer Verbrauch"/>
    <s v="Elektrizität"/>
    <s v="Gigawattstunde"/>
    <x v="2"/>
    <x v="1"/>
    <n v="12432"/>
  </r>
  <r>
    <x v="21"/>
    <s v="Endenergieverbrauch - Sonstige Sektoren - Haushalte - energetischer Verbrauch"/>
    <s v="Elektrizität"/>
    <s v="Gigawattstunde"/>
    <x v="3"/>
    <x v="1"/>
    <n v="13242"/>
  </r>
  <r>
    <x v="21"/>
    <s v="Endenergieverbrauch - Sonstige Sektoren - Haushalte - energetischer Verbrauch"/>
    <s v="Elektrizität"/>
    <s v="Gigawattstunde"/>
    <x v="4"/>
    <x v="1"/>
    <n v="13406"/>
  </r>
  <r>
    <x v="21"/>
    <s v="Endenergieverbrauch - Sonstige Sektoren - Haushalte - energetischer Verbrauch"/>
    <s v="Elektrizität"/>
    <s v="Gigawattstunde"/>
    <x v="5"/>
    <x v="1"/>
    <n v="13863"/>
  </r>
  <r>
    <x v="21"/>
    <s v="Endenergieverbrauch - Sonstige Sektoren - Haushalte - energetischer Verbrauch"/>
    <s v="Elektrizität"/>
    <s v="Gigawattstunde"/>
    <x v="6"/>
    <x v="1"/>
    <n v="13444"/>
  </r>
  <r>
    <x v="21"/>
    <s v="Endenergieverbrauch - Sonstige Sektoren - Haushalte - energetischer Verbrauch"/>
    <s v="Elektrizität"/>
    <s v="Gigawattstunde"/>
    <x v="7"/>
    <x v="1"/>
    <n v="14190"/>
  </r>
  <r>
    <x v="21"/>
    <s v="Endenergieverbrauch - Sonstige Sektoren - Haushalte - energetischer Verbrauch"/>
    <s v="Elektrizität"/>
    <s v="Gigawattstunde"/>
    <x v="8"/>
    <x v="1"/>
    <n v="14522"/>
  </r>
  <r>
    <x v="21"/>
    <s v="Endenergieverbrauch - Sonstige Sektoren - Haushalte - energetischer Verbrauch"/>
    <s v="Elektrizität"/>
    <s v="Gigawattstunde"/>
    <x v="9"/>
    <x v="1"/>
    <n v="13752"/>
  </r>
  <r>
    <x v="21"/>
    <s v="Endenergieverbrauch - Sonstige Sektoren - Haushalte - energetischer Verbrauch"/>
    <s v="Elektrizität"/>
    <s v="Gigawattstunde"/>
    <x v="10"/>
    <x v="1"/>
    <n v="12898"/>
  </r>
  <r>
    <x v="21"/>
    <s v="Endenergieverbrauch - Sonstige Sektoren - Haushalte - energetischer Verbrauch"/>
    <s v="Elektrizität"/>
    <s v="Gigawattstunde"/>
    <x v="11"/>
    <x v="1"/>
    <n v="12314"/>
  </r>
  <r>
    <x v="21"/>
    <s v="Endenergieverbrauch - Sonstige Sektoren - Haushalte - energetischer Verbrauch"/>
    <s v="Elektrizität"/>
    <s v="Gigawattstunde"/>
    <x v="12"/>
    <x v="1"/>
    <n v="11915"/>
  </r>
  <r>
    <x v="21"/>
    <s v="Endenergieverbrauch - Sonstige Sektoren - Haushalte - energetischer Verbrauch"/>
    <s v="Elektrizität"/>
    <s v="Gigawattstunde"/>
    <x v="13"/>
    <x v="1"/>
    <n v="11974"/>
  </r>
  <r>
    <x v="21"/>
    <s v="Endenergieverbrauch - Sonstige Sektoren - Haushalte - energetischer Verbrauch"/>
    <s v="Elektrizität"/>
    <s v="Gigawattstunde"/>
    <x v="14"/>
    <x v="1"/>
    <n v="12972.684999999999"/>
  </r>
  <r>
    <x v="21"/>
    <s v="Endenergieverbrauch - Sonstige Sektoren - Haushalte - energetischer Verbrauch"/>
    <s v="Elektrizität"/>
    <s v="Gigawattstunde"/>
    <x v="15"/>
    <x v="1"/>
    <n v="12589.675999999999"/>
  </r>
  <r>
    <x v="21"/>
    <s v="Endenergieverbrauch - Sonstige Sektoren - Haushalte - energetischer Verbrauch"/>
    <s v="Elektrizität"/>
    <s v="Gigawattstunde"/>
    <x v="16"/>
    <x v="1"/>
    <n v="13212.525"/>
  </r>
  <r>
    <x v="22"/>
    <s v="Endenergieverbrauch - Sonstige Sektoren - Haushalte - energetischer Verbrauch"/>
    <s v="Elektrizität"/>
    <s v="Gigawattstunde"/>
    <x v="0"/>
    <x v="1"/>
    <n v="7771"/>
  </r>
  <r>
    <x v="22"/>
    <s v="Endenergieverbrauch - Sonstige Sektoren - Haushalte - energetischer Verbrauch"/>
    <s v="Elektrizität"/>
    <s v="Gigawattstunde"/>
    <x v="1"/>
    <x v="1"/>
    <n v="8243"/>
  </r>
  <r>
    <x v="22"/>
    <s v="Endenergieverbrauch - Sonstige Sektoren - Haushalte - energetischer Verbrauch"/>
    <s v="Elektrizität"/>
    <s v="Gigawattstunde"/>
    <x v="2"/>
    <x v="1"/>
    <n v="8043"/>
  </r>
  <r>
    <x v="22"/>
    <s v="Endenergieverbrauch - Sonstige Sektoren - Haushalte - energetischer Verbrauch"/>
    <s v="Elektrizität"/>
    <s v="Gigawattstunde"/>
    <x v="3"/>
    <x v="1"/>
    <n v="9234"/>
  </r>
  <r>
    <x v="22"/>
    <s v="Endenergieverbrauch - Sonstige Sektoren - Haushalte - energetischer Verbrauch"/>
    <s v="Elektrizität"/>
    <s v="Gigawattstunde"/>
    <x v="4"/>
    <x v="1"/>
    <n v="9999"/>
  </r>
  <r>
    <x v="22"/>
    <s v="Endenergieverbrauch - Sonstige Sektoren - Haushalte - energetischer Verbrauch"/>
    <s v="Elektrizität"/>
    <s v="Gigawattstunde"/>
    <x v="5"/>
    <x v="1"/>
    <n v="10389"/>
  </r>
  <r>
    <x v="22"/>
    <s v="Endenergieverbrauch - Sonstige Sektoren - Haushalte - energetischer Verbrauch"/>
    <s v="Elektrizität"/>
    <s v="Gigawattstunde"/>
    <x v="6"/>
    <x v="1"/>
    <n v="10400"/>
  </r>
  <r>
    <x v="22"/>
    <s v="Endenergieverbrauch - Sonstige Sektoren - Haushalte - energetischer Verbrauch"/>
    <s v="Elektrizität"/>
    <s v="Gigawattstunde"/>
    <x v="7"/>
    <x v="1"/>
    <n v="11021"/>
  </r>
  <r>
    <x v="22"/>
    <s v="Endenergieverbrauch - Sonstige Sektoren - Haushalte - energetischer Verbrauch"/>
    <s v="Elektrizität"/>
    <s v="Gigawattstunde"/>
    <x v="8"/>
    <x v="1"/>
    <n v="11329"/>
  </r>
  <r>
    <x v="22"/>
    <s v="Endenergieverbrauch - Sonstige Sektoren - Haushalte - energetischer Verbrauch"/>
    <s v="Elektrizität"/>
    <s v="Gigawattstunde"/>
    <x v="9"/>
    <x v="1"/>
    <n v="11577"/>
  </r>
  <r>
    <x v="22"/>
    <s v="Endenergieverbrauch - Sonstige Sektoren - Haushalte - energetischer Verbrauch"/>
    <s v="Elektrizität"/>
    <s v="Gigawattstunde"/>
    <x v="10"/>
    <x v="1"/>
    <n v="12035"/>
  </r>
  <r>
    <x v="22"/>
    <s v="Endenergieverbrauch - Sonstige Sektoren - Haushalte - energetischer Verbrauch"/>
    <s v="Elektrizität"/>
    <s v="Gigawattstunde"/>
    <x v="11"/>
    <x v="1"/>
    <n v="11896"/>
  </r>
  <r>
    <x v="22"/>
    <s v="Endenergieverbrauch - Sonstige Sektoren - Haushalte - energetischer Verbrauch"/>
    <s v="Elektrizität"/>
    <s v="Gigawattstunde"/>
    <x v="12"/>
    <x v="1"/>
    <n v="11910"/>
  </r>
  <r>
    <x v="22"/>
    <s v="Endenergieverbrauch - Sonstige Sektoren - Haushalte - energetischer Verbrauch"/>
    <s v="Elektrizität"/>
    <s v="Gigawattstunde"/>
    <x v="13"/>
    <x v="1"/>
    <n v="12095"/>
  </r>
  <r>
    <x v="22"/>
    <s v="Endenergieverbrauch - Sonstige Sektoren - Haushalte - energetischer Verbrauch"/>
    <s v="Elektrizität"/>
    <s v="Gigawattstunde"/>
    <x v="14"/>
    <x v="1"/>
    <n v="12067"/>
  </r>
  <r>
    <x v="22"/>
    <s v="Endenergieverbrauch - Sonstige Sektoren - Haushalte - energetischer Verbrauch"/>
    <s v="Elektrizität"/>
    <s v="Gigawattstunde"/>
    <x v="15"/>
    <x v="1"/>
    <n v="12596.669"/>
  </r>
  <r>
    <x v="22"/>
    <s v="Endenergieverbrauch - Sonstige Sektoren - Haushalte - energetischer Verbrauch"/>
    <s v="Elektrizität"/>
    <s v="Gigawattstunde"/>
    <x v="16"/>
    <x v="1"/>
    <n v="12779.884"/>
  </r>
  <r>
    <x v="23"/>
    <s v="Endenergieverbrauch - Sonstige Sektoren - Haushalte - energetischer Verbrauch"/>
    <s v="Elektrizität"/>
    <s v="Gigawattstunde"/>
    <x v="0"/>
    <x v="1"/>
    <n v="2704"/>
  </r>
  <r>
    <x v="23"/>
    <s v="Endenergieverbrauch - Sonstige Sektoren - Haushalte - energetischer Verbrauch"/>
    <s v="Elektrizität"/>
    <s v="Gigawattstunde"/>
    <x v="1"/>
    <x v="1"/>
    <n v="3008"/>
  </r>
  <r>
    <x v="23"/>
    <s v="Endenergieverbrauch - Sonstige Sektoren - Haushalte - energetischer Verbrauch"/>
    <s v="Elektrizität"/>
    <s v="Gigawattstunde"/>
    <x v="2"/>
    <x v="1"/>
    <n v="3012"/>
  </r>
  <r>
    <x v="23"/>
    <s v="Endenergieverbrauch - Sonstige Sektoren - Haushalte - energetischer Verbrauch"/>
    <s v="Elektrizität"/>
    <s v="Gigawattstunde"/>
    <x v="3"/>
    <x v="1"/>
    <n v="2951"/>
  </r>
  <r>
    <x v="23"/>
    <s v="Endenergieverbrauch - Sonstige Sektoren - Haushalte - energetischer Verbrauch"/>
    <s v="Elektrizität"/>
    <s v="Gigawattstunde"/>
    <x v="4"/>
    <x v="1"/>
    <n v="3055"/>
  </r>
  <r>
    <x v="23"/>
    <s v="Endenergieverbrauch - Sonstige Sektoren - Haushalte - energetischer Verbrauch"/>
    <s v="Elektrizität"/>
    <s v="Gigawattstunde"/>
    <x v="5"/>
    <x v="1"/>
    <n v="3021"/>
  </r>
  <r>
    <x v="23"/>
    <s v="Endenergieverbrauch - Sonstige Sektoren - Haushalte - energetischer Verbrauch"/>
    <s v="Elektrizität"/>
    <s v="Gigawattstunde"/>
    <x v="6"/>
    <x v="1"/>
    <n v="3182"/>
  </r>
  <r>
    <x v="23"/>
    <s v="Endenergieverbrauch - Sonstige Sektoren - Haushalte - energetischer Verbrauch"/>
    <s v="Elektrizität"/>
    <s v="Gigawattstunde"/>
    <x v="7"/>
    <x v="1"/>
    <n v="3137"/>
  </r>
  <r>
    <x v="23"/>
    <s v="Endenergieverbrauch - Sonstige Sektoren - Haushalte - energetischer Verbrauch"/>
    <s v="Elektrizität"/>
    <s v="Gigawattstunde"/>
    <x v="8"/>
    <x v="1"/>
    <n v="3219"/>
  </r>
  <r>
    <x v="23"/>
    <s v="Endenergieverbrauch - Sonstige Sektoren - Haushalte - energetischer Verbrauch"/>
    <s v="Elektrizität"/>
    <s v="Gigawattstunde"/>
    <x v="9"/>
    <x v="1"/>
    <n v="3211"/>
  </r>
  <r>
    <x v="23"/>
    <s v="Endenergieverbrauch - Sonstige Sektoren - Haushalte - energetischer Verbrauch"/>
    <s v="Elektrizität"/>
    <s v="Gigawattstunde"/>
    <x v="10"/>
    <x v="1"/>
    <n v="3179"/>
  </r>
  <r>
    <x v="23"/>
    <s v="Endenergieverbrauch - Sonstige Sektoren - Haushalte - energetischer Verbrauch"/>
    <s v="Elektrizität"/>
    <s v="Gigawattstunde"/>
    <x v="11"/>
    <x v="1"/>
    <n v="3229"/>
  </r>
  <r>
    <x v="23"/>
    <s v="Endenergieverbrauch - Sonstige Sektoren - Haushalte - energetischer Verbrauch"/>
    <s v="Elektrizität"/>
    <s v="Gigawattstunde"/>
    <x v="12"/>
    <x v="1"/>
    <n v="3125"/>
  </r>
  <r>
    <x v="23"/>
    <s v="Endenergieverbrauch - Sonstige Sektoren - Haushalte - energetischer Verbrauch"/>
    <s v="Elektrizität"/>
    <s v="Gigawattstunde"/>
    <x v="13"/>
    <x v="1"/>
    <n v="3205"/>
  </r>
  <r>
    <x v="23"/>
    <s v="Endenergieverbrauch - Sonstige Sektoren - Haushalte - energetischer Verbrauch"/>
    <s v="Elektrizität"/>
    <s v="Gigawattstunde"/>
    <x v="14"/>
    <x v="1"/>
    <n v="3260"/>
  </r>
  <r>
    <x v="23"/>
    <s v="Endenergieverbrauch - Sonstige Sektoren - Haushalte - energetischer Verbrauch"/>
    <s v="Elektrizität"/>
    <s v="Gigawattstunde"/>
    <x v="15"/>
    <x v="1"/>
    <n v="3327.0160000000001"/>
  </r>
  <r>
    <x v="23"/>
    <s v="Endenergieverbrauch - Sonstige Sektoren - Haushalte - energetischer Verbrauch"/>
    <s v="Elektrizität"/>
    <s v="Gigawattstunde"/>
    <x v="16"/>
    <x v="1"/>
    <n v="3367.8139999999999"/>
  </r>
  <r>
    <x v="24"/>
    <s v="Endenergieverbrauch - Sonstige Sektoren - Haushalte - energetischer Verbrauch"/>
    <s v="Elektrizität"/>
    <s v="Gigawattstunde"/>
    <x v="0"/>
    <x v="1"/>
    <n v="5157"/>
  </r>
  <r>
    <x v="24"/>
    <s v="Endenergieverbrauch - Sonstige Sektoren - Haushalte - energetischer Verbrauch"/>
    <s v="Elektrizität"/>
    <s v="Gigawattstunde"/>
    <x v="1"/>
    <x v="1"/>
    <n v="5039"/>
  </r>
  <r>
    <x v="24"/>
    <s v="Endenergieverbrauch - Sonstige Sektoren - Haushalte - energetischer Verbrauch"/>
    <s v="Elektrizität"/>
    <s v="Gigawattstunde"/>
    <x v="2"/>
    <x v="1"/>
    <n v="4817"/>
  </r>
  <r>
    <x v="24"/>
    <s v="Endenergieverbrauch - Sonstige Sektoren - Haushalte - energetischer Verbrauch"/>
    <s v="Elektrizität"/>
    <s v="Gigawattstunde"/>
    <x v="3"/>
    <x v="1"/>
    <n v="4701"/>
  </r>
  <r>
    <x v="24"/>
    <s v="Endenergieverbrauch - Sonstige Sektoren - Haushalte - energetischer Verbrauch"/>
    <s v="Elektrizität"/>
    <s v="Gigawattstunde"/>
    <x v="4"/>
    <x v="1"/>
    <n v="4577"/>
  </r>
  <r>
    <x v="24"/>
    <s v="Endenergieverbrauch - Sonstige Sektoren - Haushalte - energetischer Verbrauch"/>
    <s v="Elektrizität"/>
    <s v="Gigawattstunde"/>
    <x v="5"/>
    <x v="1"/>
    <n v="4602"/>
  </r>
  <r>
    <x v="24"/>
    <s v="Endenergieverbrauch - Sonstige Sektoren - Haushalte - energetischer Verbrauch"/>
    <s v="Elektrizität"/>
    <s v="Gigawattstunde"/>
    <x v="6"/>
    <x v="1"/>
    <n v="4531"/>
  </r>
  <r>
    <x v="24"/>
    <s v="Endenergieverbrauch - Sonstige Sektoren - Haushalte - energetischer Verbrauch"/>
    <s v="Elektrizität"/>
    <s v="Gigawattstunde"/>
    <x v="7"/>
    <x v="1"/>
    <n v="4428"/>
  </r>
  <r>
    <x v="24"/>
    <s v="Endenergieverbrauch - Sonstige Sektoren - Haushalte - energetischer Verbrauch"/>
    <s v="Elektrizität"/>
    <s v="Gigawattstunde"/>
    <x v="8"/>
    <x v="1"/>
    <n v="4370"/>
  </r>
  <r>
    <x v="24"/>
    <s v="Endenergieverbrauch - Sonstige Sektoren - Haushalte - energetischer Verbrauch"/>
    <s v="Elektrizität"/>
    <s v="Gigawattstunde"/>
    <x v="9"/>
    <x v="1"/>
    <n v="4503"/>
  </r>
  <r>
    <x v="24"/>
    <s v="Endenergieverbrauch - Sonstige Sektoren - Haushalte - energetischer Verbrauch"/>
    <s v="Elektrizität"/>
    <s v="Gigawattstunde"/>
    <x v="10"/>
    <x v="1"/>
    <n v="4734"/>
  </r>
  <r>
    <x v="24"/>
    <s v="Endenergieverbrauch - Sonstige Sektoren - Haushalte - energetischer Verbrauch"/>
    <s v="Elektrizität"/>
    <s v="Gigawattstunde"/>
    <x v="11"/>
    <x v="1"/>
    <n v="4930"/>
  </r>
  <r>
    <x v="24"/>
    <s v="Endenergieverbrauch - Sonstige Sektoren - Haushalte - energetischer Verbrauch"/>
    <s v="Elektrizität"/>
    <s v="Gigawattstunde"/>
    <x v="12"/>
    <x v="1"/>
    <n v="4917"/>
  </r>
  <r>
    <x v="24"/>
    <s v="Endenergieverbrauch - Sonstige Sektoren - Haushalte - energetischer Verbrauch"/>
    <s v="Elektrizität"/>
    <s v="Gigawattstunde"/>
    <x v="13"/>
    <x v="1"/>
    <n v="5035"/>
  </r>
  <r>
    <x v="24"/>
    <s v="Endenergieverbrauch - Sonstige Sektoren - Haushalte - energetischer Verbrauch"/>
    <s v="Elektrizität"/>
    <s v="Gigawattstunde"/>
    <x v="14"/>
    <x v="1"/>
    <n v="5097"/>
  </r>
  <r>
    <x v="24"/>
    <s v="Endenergieverbrauch - Sonstige Sektoren - Haushalte - energetischer Verbrauch"/>
    <s v="Elektrizität"/>
    <s v="Gigawattstunde"/>
    <x v="15"/>
    <x v="1"/>
    <n v="4916"/>
  </r>
  <r>
    <x v="24"/>
    <s v="Endenergieverbrauch - Sonstige Sektoren - Haushalte - energetischer Verbrauch"/>
    <s v="Elektrizität"/>
    <s v="Gigawattstunde"/>
    <x v="16"/>
    <x v="1"/>
    <n v="5095"/>
  </r>
  <r>
    <x v="25"/>
    <s v="Endenergieverbrauch - Sonstige Sektoren - Haushalte - energetischer Verbrauch"/>
    <s v="Elektrizität"/>
    <s v="Gigawattstunde"/>
    <x v="0"/>
    <x v="1"/>
    <n v="19094"/>
  </r>
  <r>
    <x v="25"/>
    <s v="Endenergieverbrauch - Sonstige Sektoren - Haushalte - energetischer Verbrauch"/>
    <s v="Elektrizität"/>
    <s v="Gigawattstunde"/>
    <x v="1"/>
    <x v="1"/>
    <n v="19913"/>
  </r>
  <r>
    <x v="25"/>
    <s v="Endenergieverbrauch - Sonstige Sektoren - Haushalte - energetischer Verbrauch"/>
    <s v="Elektrizität"/>
    <s v="Gigawattstunde"/>
    <x v="2"/>
    <x v="1"/>
    <n v="19786"/>
  </r>
  <r>
    <x v="25"/>
    <s v="Endenergieverbrauch - Sonstige Sektoren - Haushalte - energetischer Verbrauch"/>
    <s v="Elektrizität"/>
    <s v="Gigawattstunde"/>
    <x v="3"/>
    <x v="1"/>
    <n v="20271"/>
  </r>
  <r>
    <x v="25"/>
    <s v="Endenergieverbrauch - Sonstige Sektoren - Haushalte - energetischer Verbrauch"/>
    <s v="Elektrizität"/>
    <s v="Gigawattstunde"/>
    <x v="4"/>
    <x v="1"/>
    <n v="20676"/>
  </r>
  <r>
    <x v="25"/>
    <s v="Endenergieverbrauch - Sonstige Sektoren - Haushalte - energetischer Verbrauch"/>
    <s v="Elektrizität"/>
    <s v="Gigawattstunde"/>
    <x v="5"/>
    <x v="1"/>
    <n v="20666"/>
  </r>
  <r>
    <x v="25"/>
    <s v="Endenergieverbrauch - Sonstige Sektoren - Haushalte - energetischer Verbrauch"/>
    <s v="Elektrizität"/>
    <s v="Gigawattstunde"/>
    <x v="6"/>
    <x v="1"/>
    <n v="20395"/>
  </r>
  <r>
    <x v="25"/>
    <s v="Endenergieverbrauch - Sonstige Sektoren - Haushalte - energetischer Verbrauch"/>
    <s v="Elektrizität"/>
    <s v="Gigawattstunde"/>
    <x v="7"/>
    <x v="1"/>
    <n v="21346"/>
  </r>
  <r>
    <x v="25"/>
    <s v="Endenergieverbrauch - Sonstige Sektoren - Haushalte - energetischer Verbrauch"/>
    <s v="Elektrizität"/>
    <s v="Gigawattstunde"/>
    <x v="8"/>
    <x v="1"/>
    <n v="22904"/>
  </r>
  <r>
    <x v="25"/>
    <s v="Endenergieverbrauch - Sonstige Sektoren - Haushalte - energetischer Verbrauch"/>
    <s v="Elektrizität"/>
    <s v="Gigawattstunde"/>
    <x v="9"/>
    <x v="1"/>
    <n v="21426"/>
  </r>
  <r>
    <x v="25"/>
    <s v="Endenergieverbrauch - Sonstige Sektoren - Haushalte - energetischer Verbrauch"/>
    <s v="Elektrizität"/>
    <s v="Gigawattstunde"/>
    <x v="10"/>
    <x v="1"/>
    <n v="22382"/>
  </r>
  <r>
    <x v="25"/>
    <s v="Endenergieverbrauch - Sonstige Sektoren - Haushalte - energetischer Verbrauch"/>
    <s v="Elektrizität"/>
    <s v="Gigawattstunde"/>
    <x v="11"/>
    <x v="1"/>
    <n v="21510"/>
  </r>
  <r>
    <x v="25"/>
    <s v="Endenergieverbrauch - Sonstige Sektoren - Haushalte - energetischer Verbrauch"/>
    <s v="Elektrizität"/>
    <s v="Gigawattstunde"/>
    <x v="12"/>
    <x v="1"/>
    <n v="21264"/>
  </r>
  <r>
    <x v="25"/>
    <s v="Endenergieverbrauch - Sonstige Sektoren - Haushalte - energetischer Verbrauch"/>
    <s v="Elektrizität"/>
    <s v="Gigawattstunde"/>
    <x v="13"/>
    <x v="1"/>
    <n v="20918"/>
  </r>
  <r>
    <x v="25"/>
    <s v="Endenergieverbrauch - Sonstige Sektoren - Haushalte - energetischer Verbrauch"/>
    <s v="Elektrizität"/>
    <s v="Gigawattstunde"/>
    <x v="14"/>
    <x v="1"/>
    <n v="22518"/>
  </r>
  <r>
    <x v="25"/>
    <s v="Endenergieverbrauch - Sonstige Sektoren - Haushalte - energetischer Verbrauch"/>
    <s v="Elektrizität"/>
    <s v="Gigawattstunde"/>
    <x v="15"/>
    <x v="1"/>
    <n v="22512"/>
  </r>
  <r>
    <x v="25"/>
    <s v="Endenergieverbrauch - Sonstige Sektoren - Haushalte - energetischer Verbrauch"/>
    <s v="Elektrizität"/>
    <s v="Gigawattstunde"/>
    <x v="16"/>
    <x v="1"/>
    <n v="22731"/>
  </r>
  <r>
    <x v="26"/>
    <s v="Endenergieverbrauch - Sonstige Sektoren - Haushalte - energetischer Verbrauch"/>
    <s v="Elektrizität"/>
    <s v="Gigawattstunde"/>
    <x v="0"/>
    <x v="1"/>
    <n v="41473"/>
  </r>
  <r>
    <x v="26"/>
    <s v="Endenergieverbrauch - Sonstige Sektoren - Haushalte - energetischer Verbrauch"/>
    <s v="Elektrizität"/>
    <s v="Gigawattstunde"/>
    <x v="1"/>
    <x v="1"/>
    <n v="41998"/>
  </r>
  <r>
    <x v="26"/>
    <s v="Endenergieverbrauch - Sonstige Sektoren - Haushalte - energetischer Verbrauch"/>
    <s v="Elektrizität"/>
    <s v="Gigawattstunde"/>
    <x v="2"/>
    <x v="1"/>
    <n v="41375"/>
  </r>
  <r>
    <x v="26"/>
    <s v="Endenergieverbrauch - Sonstige Sektoren - Haushalte - energetischer Verbrauch"/>
    <s v="Elektrizität"/>
    <s v="Gigawattstunde"/>
    <x v="3"/>
    <x v="1"/>
    <n v="42663"/>
  </r>
  <r>
    <x v="26"/>
    <s v="Endenergieverbrauch - Sonstige Sektoren - Haushalte - energetischer Verbrauch"/>
    <s v="Elektrizität"/>
    <s v="Gigawattstunde"/>
    <x v="4"/>
    <x v="1"/>
    <n v="41490"/>
  </r>
  <r>
    <x v="26"/>
    <s v="Endenergieverbrauch - Sonstige Sektoren - Haushalte - energetischer Verbrauch"/>
    <s v="Elektrizität"/>
    <s v="Gigawattstunde"/>
    <x v="5"/>
    <x v="1"/>
    <n v="39638"/>
  </r>
  <r>
    <x v="26"/>
    <s v="Endenergieverbrauch - Sonstige Sektoren - Haushalte - energetischer Verbrauch"/>
    <s v="Elektrizität"/>
    <s v="Gigawattstunde"/>
    <x v="6"/>
    <x v="1"/>
    <n v="38929"/>
  </r>
  <r>
    <x v="26"/>
    <s v="Endenergieverbrauch - Sonstige Sektoren - Haushalte - energetischer Verbrauch"/>
    <s v="Elektrizität"/>
    <s v="Gigawattstunde"/>
    <x v="7"/>
    <x v="1"/>
    <n v="40946"/>
  </r>
  <r>
    <x v="26"/>
    <s v="Endenergieverbrauch - Sonstige Sektoren - Haushalte - energetischer Verbrauch"/>
    <s v="Elektrizität"/>
    <s v="Gigawattstunde"/>
    <x v="8"/>
    <x v="1"/>
    <n v="45982"/>
  </r>
  <r>
    <x v="26"/>
    <s v="Endenergieverbrauch - Sonstige Sektoren - Haushalte - energetischer Verbrauch"/>
    <s v="Elektrizität"/>
    <s v="Gigawattstunde"/>
    <x v="9"/>
    <x v="1"/>
    <n v="42354"/>
  </r>
  <r>
    <x v="26"/>
    <s v="Endenergieverbrauch - Sonstige Sektoren - Haushalte - energetischer Verbrauch"/>
    <s v="Elektrizität"/>
    <s v="Gigawattstunde"/>
    <x v="10"/>
    <x v="1"/>
    <n v="43909"/>
  </r>
  <r>
    <x v="26"/>
    <s v="Endenergieverbrauch - Sonstige Sektoren - Haushalte - energetischer Verbrauch"/>
    <s v="Elektrizität"/>
    <s v="Gigawattstunde"/>
    <x v="11"/>
    <x v="1"/>
    <n v="43504"/>
  </r>
  <r>
    <x v="26"/>
    <s v="Endenergieverbrauch - Sonstige Sektoren - Haushalte - energetischer Verbrauch"/>
    <s v="Elektrizität"/>
    <s v="Gigawattstunde"/>
    <x v="12"/>
    <x v="1"/>
    <n v="41300"/>
  </r>
  <r>
    <x v="26"/>
    <s v="Endenergieverbrauch - Sonstige Sektoren - Haushalte - energetischer Verbrauch"/>
    <s v="Elektrizität"/>
    <s v="Gigawattstunde"/>
    <x v="13"/>
    <x v="1"/>
    <n v="42987"/>
  </r>
  <r>
    <x v="26"/>
    <s v="Endenergieverbrauch - Sonstige Sektoren - Haushalte - energetischer Verbrauch"/>
    <s v="Elektrizität"/>
    <s v="Gigawattstunde"/>
    <x v="14"/>
    <x v="1"/>
    <n v="44519"/>
  </r>
  <r>
    <x v="26"/>
    <s v="Endenergieverbrauch - Sonstige Sektoren - Haushalte - energetischer Verbrauch"/>
    <s v="Elektrizität"/>
    <s v="Gigawattstunde"/>
    <x v="15"/>
    <x v="1"/>
    <n v="45132"/>
  </r>
  <r>
    <x v="26"/>
    <s v="Endenergieverbrauch - Sonstige Sektoren - Haushalte - energetischer Verbrauch"/>
    <s v="Elektrizität"/>
    <s v="Gigawattstunde"/>
    <x v="16"/>
    <x v="1"/>
    <n v="45068"/>
  </r>
  <r>
    <x v="27"/>
    <s v="Endenergieverbrauch - Sonstige Sektoren - Haushalte - energetischer Verbrauch"/>
    <s v="Elektrizität"/>
    <s v="Gigawattstunde"/>
    <x v="0"/>
    <x v="1"/>
    <n v="114534"/>
  </r>
  <r>
    <x v="27"/>
    <s v="Endenergieverbrauch - Sonstige Sektoren - Haushalte - energetischer Verbrauch"/>
    <s v="Elektrizität"/>
    <s v="Gigawattstunde"/>
    <x v="1"/>
    <x v="1"/>
    <n v="123001"/>
  </r>
  <r>
    <x v="27"/>
    <s v="Endenergieverbrauch - Sonstige Sektoren - Haushalte - energetischer Verbrauch"/>
    <s v="Elektrizität"/>
    <s v="Gigawattstunde"/>
    <x v="2"/>
    <x v="1"/>
    <n v="124200"/>
  </r>
  <r>
    <x v="27"/>
    <s v="Endenergieverbrauch - Sonstige Sektoren - Haushalte - energetischer Verbrauch"/>
    <s v="Elektrizität"/>
    <s v="Gigawattstunde"/>
    <x v="3"/>
    <x v="1"/>
    <n v="125711"/>
  </r>
  <r>
    <x v="27"/>
    <s v="Endenergieverbrauch - Sonstige Sektoren - Haushalte - energetischer Verbrauch"/>
    <s v="Elektrizität"/>
    <s v="Gigawattstunde"/>
    <x v="4"/>
    <x v="1"/>
    <n v="124704"/>
  </r>
  <r>
    <x v="27"/>
    <s v="Endenergieverbrauch - Sonstige Sektoren - Haushalte - energetischer Verbrauch"/>
    <s v="Elektrizität"/>
    <s v="Gigawattstunde"/>
    <x v="5"/>
    <x v="1"/>
    <n v="123076"/>
  </r>
  <r>
    <x v="27"/>
    <s v="Endenergieverbrauch - Sonstige Sektoren - Haushalte - energetischer Verbrauch"/>
    <s v="Elektrizität"/>
    <s v="Gigawattstunde"/>
    <x v="6"/>
    <x v="1"/>
    <n v="119800"/>
  </r>
  <r>
    <x v="27"/>
    <s v="Endenergieverbrauch - Sonstige Sektoren - Haushalte - energetischer Verbrauch"/>
    <s v="Elektrizität"/>
    <s v="Gigawattstunde"/>
    <x v="7"/>
    <x v="1"/>
    <n v="118541"/>
  </r>
  <r>
    <x v="27"/>
    <s v="Endenergieverbrauch - Sonstige Sektoren - Haushalte - energetischer Verbrauch"/>
    <s v="Elektrizität"/>
    <s v="Gigawattstunde"/>
    <x v="8"/>
    <x v="1"/>
    <n v="118832"/>
  </r>
  <r>
    <x v="27"/>
    <s v="Endenergieverbrauch - Sonstige Sektoren - Haushalte - energetischer Verbrauch"/>
    <s v="Elektrizität"/>
    <s v="Gigawattstunde"/>
    <x v="9"/>
    <x v="1"/>
    <n v="111586"/>
  </r>
  <r>
    <x v="27"/>
    <s v="Endenergieverbrauch - Sonstige Sektoren - Haushalte - energetischer Verbrauch"/>
    <s v="Elektrizität"/>
    <s v="Gigawattstunde"/>
    <x v="10"/>
    <x v="1"/>
    <n v="114663"/>
  </r>
  <r>
    <x v="27"/>
    <s v="Endenergieverbrauch - Sonstige Sektoren - Haushalte - energetischer Verbrauch"/>
    <s v="Elektrizität"/>
    <s v="Gigawattstunde"/>
    <x v="11"/>
    <x v="1"/>
    <n v="113412"/>
  </r>
  <r>
    <x v="27"/>
    <s v="Endenergieverbrauch - Sonstige Sektoren - Haushalte - energetischer Verbrauch"/>
    <s v="Elektrizität"/>
    <s v="Gigawattstunde"/>
    <x v="12"/>
    <x v="1"/>
    <n v="108076"/>
  </r>
  <r>
    <x v="27"/>
    <s v="Endenergieverbrauch - Sonstige Sektoren - Haushalte - energetischer Verbrauch"/>
    <s v="Elektrizität"/>
    <s v="Gigawattstunde"/>
    <x v="13"/>
    <x v="1"/>
    <n v="107763.848"/>
  </r>
  <r>
    <x v="27"/>
    <s v="Endenergieverbrauch - Sonstige Sektoren - Haushalte - energetischer Verbrauch"/>
    <s v="Elektrizität"/>
    <s v="Gigawattstunde"/>
    <x v="14"/>
    <x v="1"/>
    <n v="108025.04300000001"/>
  </r>
  <r>
    <x v="27"/>
    <s v="Endenergieverbrauch - Sonstige Sektoren - Haushalte - energetischer Verbrauch"/>
    <s v="Elektrizität"/>
    <s v="Gigawattstunde"/>
    <x v="15"/>
    <x v="1"/>
    <n v="105367.901"/>
  </r>
  <r>
    <x v="27"/>
    <s v="Endenergieverbrauch - Sonstige Sektoren - Haushalte - energetischer Verbrauch"/>
    <s v="Elektrizität"/>
    <s v="Gigawattstunde"/>
    <x v="16"/>
    <x v="1"/>
    <n v="105064.54700000001"/>
  </r>
  <r>
    <x v="28"/>
    <s v="Endenergieverbrauch - Sonstige Sektoren - Haushalte - energetischer Verbrauch"/>
    <s v="Elektrizität"/>
    <s v="Gigawattstunde"/>
    <x v="0"/>
    <x v="1"/>
    <n v="637"/>
  </r>
  <r>
    <x v="28"/>
    <s v="Endenergieverbrauch - Sonstige Sektoren - Haushalte - energetischer Verbrauch"/>
    <s v="Elektrizität"/>
    <s v="Gigawattstunde"/>
    <x v="1"/>
    <x v="1"/>
    <n v="612"/>
  </r>
  <r>
    <x v="28"/>
    <s v="Endenergieverbrauch - Sonstige Sektoren - Haushalte - energetischer Verbrauch"/>
    <s v="Elektrizität"/>
    <s v="Gigawattstunde"/>
    <x v="2"/>
    <x v="1"/>
    <n v="672"/>
  </r>
  <r>
    <x v="28"/>
    <s v="Endenergieverbrauch - Sonstige Sektoren - Haushalte - energetischer Verbrauch"/>
    <s v="Elektrizität"/>
    <s v="Gigawattstunde"/>
    <x v="3"/>
    <x v="1"/>
    <n v="690"/>
  </r>
  <r>
    <x v="28"/>
    <s v="Endenergieverbrauch - Sonstige Sektoren - Haushalte - energetischer Verbrauch"/>
    <s v="Elektrizität"/>
    <s v="Gigawattstunde"/>
    <x v="4"/>
    <x v="1"/>
    <n v="797"/>
  </r>
  <r>
    <x v="28"/>
    <s v="Endenergieverbrauch - Sonstige Sektoren - Haushalte - energetischer Verbrauch"/>
    <s v="Elektrizität"/>
    <s v="Gigawattstunde"/>
    <x v="5"/>
    <x v="1"/>
    <n v="827"/>
  </r>
  <r>
    <x v="28"/>
    <s v="Endenergieverbrauch - Sonstige Sektoren - Haushalte - energetischer Verbrauch"/>
    <s v="Elektrizität"/>
    <s v="Gigawattstunde"/>
    <x v="6"/>
    <x v="1"/>
    <n v="860"/>
  </r>
  <r>
    <x v="28"/>
    <s v="Endenergieverbrauch - Sonstige Sektoren - Haushalte - energetischer Verbrauch"/>
    <s v="Elektrizität"/>
    <s v="Gigawattstunde"/>
    <x v="7"/>
    <x v="1"/>
    <n v="882"/>
  </r>
  <r>
    <x v="28"/>
    <s v="Endenergieverbrauch - Sonstige Sektoren - Haushalte - energetischer Verbrauch"/>
    <s v="Elektrizität"/>
    <s v="Gigawattstunde"/>
    <x v="8"/>
    <x v="1"/>
    <n v="929"/>
  </r>
  <r>
    <x v="28"/>
    <s v="Endenergieverbrauch - Sonstige Sektoren - Haushalte - energetischer Verbrauch"/>
    <s v="Elektrizität"/>
    <s v="Gigawattstunde"/>
    <x v="9"/>
    <x v="1"/>
    <n v="859"/>
  </r>
  <r>
    <x v="28"/>
    <s v="Endenergieverbrauch - Sonstige Sektoren - Haushalte - energetischer Verbrauch"/>
    <s v="Elektrizität"/>
    <s v="Gigawattstunde"/>
    <x v="10"/>
    <x v="1"/>
    <n v="852"/>
  </r>
  <r>
    <x v="28"/>
    <s v="Endenergieverbrauch - Sonstige Sektoren - Haushalte - energetischer Verbrauch"/>
    <s v="Elektrizität"/>
    <s v="Gigawattstunde"/>
    <x v="11"/>
    <x v="1"/>
    <n v="837"/>
  </r>
  <r>
    <x v="28"/>
    <s v="Endenergieverbrauch - Sonstige Sektoren - Haushalte - energetischer Verbrauch"/>
    <s v="Elektrizität"/>
    <s v="Gigawattstunde"/>
    <x v="12"/>
    <x v="1"/>
    <n v="840.91800000000001"/>
  </r>
  <r>
    <x v="28"/>
    <s v="Endenergieverbrauch - Sonstige Sektoren - Haushalte - energetischer Verbrauch"/>
    <s v="Elektrizität"/>
    <s v="Gigawattstunde"/>
    <x v="13"/>
    <x v="1"/>
    <n v="822.23500000000001"/>
  </r>
  <r>
    <x v="28"/>
    <s v="Endenergieverbrauch - Sonstige Sektoren - Haushalte - energetischer Verbrauch"/>
    <s v="Elektrizität"/>
    <s v="Gigawattstunde"/>
    <x v="14"/>
    <x v="1"/>
    <n v="838.50900000000001"/>
  </r>
  <r>
    <x v="28"/>
    <s v="Endenergieverbrauch - Sonstige Sektoren - Haushalte - energetischer Verbrauch"/>
    <s v="Elektrizität"/>
    <s v="Gigawattstunde"/>
    <x v="15"/>
    <x v="1"/>
    <n v="810.697"/>
  </r>
  <r>
    <x v="28"/>
    <s v="Endenergieverbrauch - Sonstige Sektoren - Haushalte - energetischer Verbrauch"/>
    <s v="Elektrizität"/>
    <s v="Gigawattstunde"/>
    <x v="16"/>
    <x v="1"/>
    <n v="847.83199999999999"/>
  </r>
  <r>
    <x v="29"/>
    <s v="Endenergieverbrauch - Sonstige Sektoren - Haushalte - energetischer Verbrauch"/>
    <s v="Elektrizität"/>
    <s v="Gigawattstunde"/>
    <x v="0"/>
    <x v="1"/>
    <n v="34647"/>
  </r>
  <r>
    <x v="29"/>
    <s v="Endenergieverbrauch - Sonstige Sektoren - Haushalte - energetischer Verbrauch"/>
    <s v="Elektrizität"/>
    <s v="Gigawattstunde"/>
    <x v="1"/>
    <x v="1"/>
    <n v="32023"/>
  </r>
  <r>
    <x v="29"/>
    <s v="Endenergieverbrauch - Sonstige Sektoren - Haushalte - energetischer Verbrauch"/>
    <s v="Elektrizität"/>
    <s v="Gigawattstunde"/>
    <x v="2"/>
    <x v="1"/>
    <n v="32405"/>
  </r>
  <r>
    <x v="29"/>
    <s v="Endenergieverbrauch - Sonstige Sektoren - Haushalte - energetischer Verbrauch"/>
    <s v="Elektrizität"/>
    <s v="Gigawattstunde"/>
    <x v="3"/>
    <x v="1"/>
    <n v="34006"/>
  </r>
  <r>
    <x v="29"/>
    <s v="Endenergieverbrauch - Sonstige Sektoren - Haushalte - energetischer Verbrauch"/>
    <s v="Elektrizität"/>
    <s v="Gigawattstunde"/>
    <x v="4"/>
    <x v="1"/>
    <n v="33646"/>
  </r>
  <r>
    <x v="29"/>
    <s v="Endenergieverbrauch - Sonstige Sektoren - Haushalte - energetischer Verbrauch"/>
    <s v="Elektrizität"/>
    <s v="Gigawattstunde"/>
    <x v="5"/>
    <x v="1"/>
    <n v="34948"/>
  </r>
  <r>
    <x v="29"/>
    <s v="Endenergieverbrauch - Sonstige Sektoren - Haushalte - energetischer Verbrauch"/>
    <s v="Elektrizität"/>
    <s v="Gigawattstunde"/>
    <x v="6"/>
    <x v="1"/>
    <n v="34889"/>
  </r>
  <r>
    <x v="29"/>
    <s v="Endenergieverbrauch - Sonstige Sektoren - Haushalte - energetischer Verbrauch"/>
    <s v="Elektrizität"/>
    <s v="Gigawattstunde"/>
    <x v="7"/>
    <x v="1"/>
    <n v="36313"/>
  </r>
  <r>
    <x v="29"/>
    <s v="Endenergieverbrauch - Sonstige Sektoren - Haushalte - energetischer Verbrauch"/>
    <s v="Elektrizität"/>
    <s v="Gigawattstunde"/>
    <x v="8"/>
    <x v="1"/>
    <n v="39732"/>
  </r>
  <r>
    <x v="29"/>
    <s v="Endenergieverbrauch - Sonstige Sektoren - Haushalte - energetischer Verbrauch"/>
    <s v="Elektrizität"/>
    <s v="Gigawattstunde"/>
    <x v="9"/>
    <x v="1"/>
    <n v="36059"/>
  </r>
  <r>
    <x v="29"/>
    <s v="Endenergieverbrauch - Sonstige Sektoren - Haushalte - energetischer Verbrauch"/>
    <s v="Elektrizität"/>
    <s v="Gigawattstunde"/>
    <x v="10"/>
    <x v="1"/>
    <n v="38250"/>
  </r>
  <r>
    <x v="29"/>
    <s v="Endenergieverbrauch - Sonstige Sektoren - Haushalte - energetischer Verbrauch"/>
    <s v="Elektrizität"/>
    <s v="Gigawattstunde"/>
    <x v="11"/>
    <x v="1"/>
    <n v="38904"/>
  </r>
  <r>
    <x v="29"/>
    <s v="Endenergieverbrauch - Sonstige Sektoren - Haushalte - energetischer Verbrauch"/>
    <s v="Elektrizität"/>
    <s v="Gigawattstunde"/>
    <x v="12"/>
    <x v="1"/>
    <n v="36885"/>
  </r>
  <r>
    <x v="29"/>
    <s v="Endenergieverbrauch - Sonstige Sektoren - Haushalte - energetischer Verbrauch"/>
    <s v="Elektrizität"/>
    <s v="Gigawattstunde"/>
    <x v="13"/>
    <x v="1"/>
    <n v="38609"/>
  </r>
  <r>
    <x v="29"/>
    <s v="Endenergieverbrauch - Sonstige Sektoren - Haushalte - energetischer Verbrauch"/>
    <s v="Elektrizität"/>
    <s v="Gigawattstunde"/>
    <x v="14"/>
    <x v="1"/>
    <n v="38821"/>
  </r>
  <r>
    <x v="29"/>
    <s v="Endenergieverbrauch - Sonstige Sektoren - Haushalte - energetischer Verbrauch"/>
    <s v="Elektrizität"/>
    <s v="Gigawattstunde"/>
    <x v="15"/>
    <x v="1"/>
    <n v="39700"/>
  </r>
  <r>
    <x v="29"/>
    <s v="Endenergieverbrauch - Sonstige Sektoren - Haushalte - energetischer Verbrauch"/>
    <s v="Elektrizität"/>
    <s v="Gigawattstunde"/>
    <x v="16"/>
    <x v="1"/>
    <n v="40299.33"/>
  </r>
  <r>
    <x v="30"/>
    <s v="Endenergieverbrauch - Sonstige Sektoren - Haushalte - energetischer Verbrauch"/>
    <s v="Elektrizität"/>
    <s v="Gigawattstunde"/>
    <x v="0"/>
    <x v="1"/>
    <n v="16300"/>
  </r>
  <r>
    <x v="30"/>
    <s v="Endenergieverbrauch - Sonstige Sektoren - Haushalte - energetischer Verbrauch"/>
    <s v="Elektrizität"/>
    <s v="Gigawattstunde"/>
    <x v="1"/>
    <x v="1"/>
    <n v="16300"/>
  </r>
  <r>
    <x v="30"/>
    <s v="Endenergieverbrauch - Sonstige Sektoren - Haushalte - energetischer Verbrauch"/>
    <s v="Elektrizität"/>
    <s v="Gigawattstunde"/>
    <x v="2"/>
    <x v="1"/>
    <n v="13626"/>
  </r>
  <r>
    <x v="30"/>
    <s v="Endenergieverbrauch - Sonstige Sektoren - Haushalte - energetischer Verbrauch"/>
    <s v="Elektrizität"/>
    <s v="Gigawattstunde"/>
    <x v="3"/>
    <x v="1"/>
    <n v="14191"/>
  </r>
  <r>
    <x v="30"/>
    <s v="Endenergieverbrauch - Sonstige Sektoren - Haushalte - energetischer Verbrauch"/>
    <s v="Elektrizität"/>
    <s v="Gigawattstunde"/>
    <x v="4"/>
    <x v="1"/>
    <n v="14062"/>
  </r>
  <r>
    <x v="30"/>
    <s v="Endenergieverbrauch - Sonstige Sektoren - Haushalte - energetischer Verbrauch"/>
    <s v="Elektrizität"/>
    <s v="Gigawattstunde"/>
    <x v="5"/>
    <x v="1"/>
    <n v="13933"/>
  </r>
  <r>
    <x v="30"/>
    <s v="Endenergieverbrauch - Sonstige Sektoren - Haushalte - energetischer Verbrauch"/>
    <s v="Elektrizität"/>
    <s v="Gigawattstunde"/>
    <x v="6"/>
    <x v="1"/>
    <n v="14098"/>
  </r>
  <r>
    <x v="30"/>
    <s v="Endenergieverbrauch - Sonstige Sektoren - Haushalte - energetischer Verbrauch"/>
    <s v="Elektrizität"/>
    <s v="Gigawattstunde"/>
    <x v="7"/>
    <x v="1"/>
    <n v="14412"/>
  </r>
  <r>
    <x v="30"/>
    <s v="Endenergieverbrauch - Sonstige Sektoren - Haushalte - energetischer Verbrauch"/>
    <s v="Elektrizität"/>
    <s v="Gigawattstunde"/>
    <x v="8"/>
    <x v="1"/>
    <n v="14645"/>
  </r>
  <r>
    <x v="30"/>
    <s v="Endenergieverbrauch - Sonstige Sektoren - Haushalte - energetischer Verbrauch"/>
    <s v="Elektrizität"/>
    <s v="Gigawattstunde"/>
    <x v="9"/>
    <x v="1"/>
    <n v="14665"/>
  </r>
  <r>
    <x v="30"/>
    <s v="Endenergieverbrauch - Sonstige Sektoren - Haushalte - energetischer Verbrauch"/>
    <s v="Elektrizität"/>
    <s v="Gigawattstunde"/>
    <x v="10"/>
    <x v="1"/>
    <n v="14517"/>
  </r>
  <r>
    <x v="30"/>
    <s v="Endenergieverbrauch - Sonstige Sektoren - Haushalte - energetischer Verbrauch"/>
    <s v="Elektrizität"/>
    <s v="Gigawattstunde"/>
    <x v="11"/>
    <x v="1"/>
    <n v="14146"/>
  </r>
  <r>
    <x v="30"/>
    <s v="Endenergieverbrauch - Sonstige Sektoren - Haushalte - energetischer Verbrauch"/>
    <s v="Elektrizität"/>
    <s v="Gigawattstunde"/>
    <x v="12"/>
    <x v="1"/>
    <n v="13802"/>
  </r>
  <r>
    <x v="30"/>
    <s v="Endenergieverbrauch - Sonstige Sektoren - Haushalte - energetischer Verbrauch"/>
    <s v="Elektrizität"/>
    <s v="Gigawattstunde"/>
    <x v="13"/>
    <x v="1"/>
    <n v="14062"/>
  </r>
  <r>
    <x v="30"/>
    <s v="Endenergieverbrauch - Sonstige Sektoren - Haushalte - energetischer Verbrauch"/>
    <s v="Elektrizität"/>
    <s v="Gigawattstunde"/>
    <x v="14"/>
    <x v="1"/>
    <n v="13931"/>
  </r>
  <r>
    <x v="30"/>
    <s v="Endenergieverbrauch - Sonstige Sektoren - Haushalte - energetischer Verbrauch"/>
    <s v="Elektrizität"/>
    <s v="Gigawattstunde"/>
    <x v="15"/>
    <x v="1"/>
    <n v="13815.01"/>
  </r>
  <r>
    <x v="30"/>
    <s v="Endenergieverbrauch - Sonstige Sektoren - Haushalte - energetischer Verbrauch"/>
    <s v="Elektrizität"/>
    <s v="Gigawattstunde"/>
    <x v="16"/>
    <x v="1"/>
    <n v="13414.57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0">
  <r>
    <x v="0"/>
    <s v="Transaction - Issue"/>
    <x v="0"/>
    <n v="10505930"/>
  </r>
  <r>
    <x v="0"/>
    <s v="Transaction - Issue"/>
    <x v="1"/>
    <n v="10852721"/>
  </r>
  <r>
    <x v="0"/>
    <s v="Transaction - Issue"/>
    <x v="2"/>
    <n v="14964610"/>
  </r>
  <r>
    <x v="1"/>
    <s v="Transaction - Issue"/>
    <x v="0"/>
    <n v="2377838"/>
  </r>
  <r>
    <x v="1"/>
    <s v="Transaction - Issue"/>
    <x v="1"/>
    <n v="2503789"/>
  </r>
  <r>
    <x v="1"/>
    <s v="Transaction - Issue"/>
    <x v="2"/>
    <n v="2590215"/>
  </r>
  <r>
    <x v="2"/>
    <s v="Transaction - Issue"/>
    <x v="0"/>
    <n v="0"/>
  </r>
  <r>
    <x v="2"/>
    <s v="Transaction - Issue"/>
    <x v="1"/>
    <n v="0"/>
  </r>
  <r>
    <x v="2"/>
    <s v="Transaction - Issue"/>
    <x v="2"/>
    <n v="0"/>
  </r>
  <r>
    <x v="3"/>
    <s v="Transaction - Issue"/>
    <x v="0"/>
    <n v="4183694"/>
  </r>
  <r>
    <x v="3"/>
    <s v="Transaction - Issue"/>
    <x v="1"/>
    <n v="4545514"/>
  </r>
  <r>
    <x v="3"/>
    <s v="Transaction - Issue"/>
    <x v="2"/>
    <n v="4968416"/>
  </r>
  <r>
    <x v="4"/>
    <s v="Transaction - Issue"/>
    <x v="0"/>
    <n v="0"/>
  </r>
  <r>
    <x v="4"/>
    <s v="Transaction - Issue"/>
    <x v="1"/>
    <n v="0"/>
  </r>
  <r>
    <x v="4"/>
    <s v="Transaction - Issue"/>
    <x v="2"/>
    <n v="0"/>
  </r>
  <r>
    <x v="5"/>
    <s v="Transaction - Issue"/>
    <x v="0"/>
    <n v="2698096"/>
  </r>
  <r>
    <x v="5"/>
    <s v="Transaction - Issue"/>
    <x v="1"/>
    <n v="2971077"/>
  </r>
  <r>
    <x v="5"/>
    <s v="Transaction - Issue"/>
    <x v="2"/>
    <n v="2872601"/>
  </r>
  <r>
    <x v="6"/>
    <s v="Transaction - Issue"/>
    <x v="0"/>
    <n v="58237337"/>
  </r>
  <r>
    <x v="6"/>
    <s v="Transaction - Issue"/>
    <x v="1"/>
    <n v="56043346"/>
  </r>
  <r>
    <x v="6"/>
    <s v="Transaction - Issue"/>
    <x v="2"/>
    <n v="63035107"/>
  </r>
  <r>
    <x v="7"/>
    <s v="Transaction - Issue"/>
    <x v="0"/>
    <n v="78921"/>
  </r>
  <r>
    <x v="7"/>
    <s v="Transaction - Issue"/>
    <x v="1"/>
    <n v="210614"/>
  </r>
  <r>
    <x v="7"/>
    <s v="Transaction - Issue"/>
    <x v="2"/>
    <n v="213151.61845999997"/>
  </r>
  <r>
    <x v="8"/>
    <s v="Transaction - Issue"/>
    <x v="0"/>
    <n v="620696"/>
  </r>
  <r>
    <x v="8"/>
    <s v="Transaction - Issue"/>
    <x v="1"/>
    <n v="2897117"/>
  </r>
  <r>
    <x v="8"/>
    <s v="Transaction - Issue"/>
    <x v="2"/>
    <n v="3499533"/>
  </r>
  <r>
    <x v="9"/>
    <s v="Transaction - Issue"/>
    <x v="0"/>
    <n v="14621681"/>
  </r>
  <r>
    <x v="9"/>
    <s v="Transaction - Issue"/>
    <x v="1"/>
    <n v="16347808"/>
  </r>
  <r>
    <x v="9"/>
    <s v="Transaction - Issue"/>
    <x v="2"/>
    <n v="18811551"/>
  </r>
  <r>
    <x v="10"/>
    <s v="Transaction - Issue"/>
    <x v="0"/>
    <n v="16037121"/>
  </r>
  <r>
    <x v="10"/>
    <s v="Transaction - Issue"/>
    <x v="1"/>
    <n v="19371001"/>
  </r>
  <r>
    <x v="10"/>
    <s v="Transaction - Issue"/>
    <x v="2"/>
    <n v="18852959"/>
  </r>
  <r>
    <x v="11"/>
    <s v="Transaction - Issue"/>
    <x v="0"/>
    <n v="1691639"/>
  </r>
  <r>
    <x v="11"/>
    <s v="Transaction - Issue"/>
    <x v="1"/>
    <n v="2031853"/>
  </r>
  <r>
    <x v="11"/>
    <s v="Transaction - Issue"/>
    <x v="2"/>
    <n v="1923821"/>
  </r>
  <r>
    <x v="12"/>
    <s v="Transaction - Issue"/>
    <x v="0"/>
    <n v="47495237"/>
  </r>
  <r>
    <x v="12"/>
    <s v="Transaction - Issue"/>
    <x v="1"/>
    <n v="78875350"/>
  </r>
  <r>
    <x v="12"/>
    <s v="Transaction - Issue"/>
    <x v="2"/>
    <n v="102254536"/>
  </r>
  <r>
    <x v="13"/>
    <s v="Transaction - Issue"/>
    <x v="0"/>
    <n v="24908710"/>
  </r>
  <r>
    <x v="13"/>
    <s v="Transaction - Issue"/>
    <x v="1"/>
    <n v="25603169"/>
  </r>
  <r>
    <x v="13"/>
    <s v="Transaction - Issue"/>
    <x v="2"/>
    <n v="29015374"/>
  </r>
  <r>
    <x v="14"/>
    <s v="Transaction - Issue"/>
    <x v="0"/>
    <n v="39816428"/>
  </r>
  <r>
    <x v="14"/>
    <s v="Transaction - Issue"/>
    <x v="1"/>
    <n v="45206289"/>
  </r>
  <r>
    <x v="14"/>
    <s v="Transaction - Issue"/>
    <x v="2"/>
    <n v="52710997"/>
  </r>
  <r>
    <x v="15"/>
    <s v="Transaction - Issue"/>
    <x v="0"/>
    <n v="0"/>
  </r>
  <r>
    <x v="15"/>
    <s v="Transaction - Issue"/>
    <x v="1"/>
    <n v="0"/>
  </r>
  <r>
    <x v="15"/>
    <s v="Transaction - Issue"/>
    <x v="2"/>
    <n v="0"/>
  </r>
  <r>
    <x v="16"/>
    <s v="Transaction - Issue"/>
    <x v="0"/>
    <n v="603336"/>
  </r>
  <r>
    <x v="16"/>
    <s v="Transaction - Issue"/>
    <x v="1"/>
    <n v="1738230"/>
  </r>
  <r>
    <x v="16"/>
    <s v="Transaction - Issue"/>
    <x v="2"/>
    <n v="2623851"/>
  </r>
  <r>
    <x v="17"/>
    <s v="Transaction - Issue"/>
    <x v="0"/>
    <n v="2176944"/>
  </r>
  <r>
    <x v="17"/>
    <s v="Transaction - Issue"/>
    <x v="1"/>
    <n v="2021089"/>
  </r>
  <r>
    <x v="17"/>
    <s v="Transaction - Issue"/>
    <x v="2"/>
    <n v="2055457"/>
  </r>
  <r>
    <x v="18"/>
    <s v="Transaction - Issue"/>
    <x v="0"/>
    <n v="9196668"/>
  </r>
  <r>
    <x v="18"/>
    <s v="Transaction - Issue"/>
    <x v="1"/>
    <n v="20081290"/>
  </r>
  <r>
    <x v="18"/>
    <s v="Transaction - Issue"/>
    <x v="2"/>
    <n v="19421167"/>
  </r>
  <r>
    <x v="19"/>
    <s v="Transaction - Issue"/>
    <x v="0"/>
    <n v="73676345"/>
  </r>
  <r>
    <x v="19"/>
    <s v="Transaction - Issue"/>
    <x v="1"/>
    <n v="71273042"/>
  </r>
  <r>
    <x v="19"/>
    <s v="Transaction - Issue"/>
    <x v="2"/>
    <n v="91299884"/>
  </r>
  <r>
    <x v="20"/>
    <s v="Transaction - Issue"/>
    <x v="0"/>
    <n v="0"/>
  </r>
  <r>
    <x v="20"/>
    <s v="Transaction - Issue"/>
    <x v="1"/>
    <n v="0"/>
  </r>
  <r>
    <x v="20"/>
    <s v="Transaction - Issue"/>
    <x v="2"/>
    <n v="358638"/>
  </r>
  <r>
    <x v="21"/>
    <s v="Transaction - Issue"/>
    <x v="0"/>
    <n v="147728"/>
  </r>
  <r>
    <x v="21"/>
    <s v="Transaction - Issue"/>
    <x v="1"/>
    <n v="106055"/>
  </r>
  <r>
    <x v="21"/>
    <s v="Transaction - Issue"/>
    <x v="2"/>
    <n v="171062"/>
  </r>
  <r>
    <x v="22"/>
    <s v="Transaction - Issue"/>
    <x v="0"/>
    <n v="13837637"/>
  </r>
  <r>
    <x v="22"/>
    <s v="Transaction - Issue"/>
    <x v="1"/>
    <n v="15700924"/>
  </r>
  <r>
    <x v="22"/>
    <s v="Transaction - Issue"/>
    <x v="2"/>
    <n v="23608943"/>
  </r>
  <r>
    <x v="23"/>
    <s v="Transaction - Issue"/>
    <x v="0"/>
    <n v="138459470"/>
  </r>
  <r>
    <x v="23"/>
    <s v="Transaction - Issue"/>
    <x v="1"/>
    <n v="134952185"/>
  </r>
  <r>
    <x v="23"/>
    <s v="Transaction - Issue"/>
    <x v="2"/>
    <n v="138006496"/>
  </r>
  <r>
    <x v="24"/>
    <s v="Transaction - Issue"/>
    <x v="0"/>
    <n v="0"/>
  </r>
  <r>
    <x v="24"/>
    <s v="Transaction - Issue"/>
    <x v="1"/>
    <n v="0"/>
  </r>
  <r>
    <x v="24"/>
    <s v="Transaction - Issue"/>
    <x v="2"/>
    <n v="0"/>
  </r>
  <r>
    <x v="25"/>
    <s v="Transaction - Issue"/>
    <x v="0"/>
    <n v="0"/>
  </r>
  <r>
    <x v="25"/>
    <s v="Transaction - Issue"/>
    <x v="1"/>
    <n v="0"/>
  </r>
  <r>
    <x v="25"/>
    <s v="Transaction - Issue"/>
    <x v="2"/>
    <n v="395"/>
  </r>
  <r>
    <x v="26"/>
    <s v="Transaction - Issue"/>
    <x v="0"/>
    <n v="31384598"/>
  </r>
  <r>
    <x v="26"/>
    <s v="Transaction - Issue"/>
    <x v="1"/>
    <n v="39473491"/>
  </r>
  <r>
    <x v="26"/>
    <s v="Transaction - Issue"/>
    <x v="2"/>
    <n v="55747861"/>
  </r>
  <r>
    <x v="27"/>
    <s v="Transaction - Issue"/>
    <x v="0"/>
    <n v="4293000"/>
  </r>
  <r>
    <x v="27"/>
    <s v="Transaction - Issue"/>
    <x v="1"/>
    <n v="2734000"/>
  </r>
  <r>
    <x v="27"/>
    <s v="Transaction - Issue"/>
    <x v="2"/>
    <n v="3660000"/>
  </r>
  <r>
    <x v="28"/>
    <s v="Transaction - Issue"/>
    <x v="0"/>
    <n v="0"/>
  </r>
  <r>
    <x v="28"/>
    <s v="Transaction - Issue"/>
    <x v="1"/>
    <n v="0"/>
  </r>
  <r>
    <x v="28"/>
    <s v="Transaction - Issue"/>
    <x v="2"/>
    <n v="0"/>
  </r>
  <r>
    <x v="29"/>
    <s v="Transaction - Issue"/>
    <x v="0"/>
    <n v="0"/>
  </r>
  <r>
    <x v="29"/>
    <s v="Transaction - Issue"/>
    <x v="1"/>
    <n v="0"/>
  </r>
  <r>
    <x v="29"/>
    <s v="Transaction - Issue"/>
    <x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Werte" updatedVersion="6" minRefreshableVersion="3" useAutoFormatting="1" rowGrandTotals="0" colGrandTotals="0" itemPrintTitles="1" createdVersion="6" indent="0" compact="0" compactData="0" multipleFieldFilters="0">
  <location ref="J1:AB405" firstHeaderRow="1" firstDataRow="2" firstDataCol="2"/>
  <pivotFields count="7">
    <pivotField axis="axisRow" compact="0" outline="0" subtotalTop="0" showAll="0" defaultSubtotal="0">
      <items count="31">
        <item x="0"/>
        <item x="1"/>
        <item x="3"/>
        <item x="4"/>
        <item x="5"/>
        <item x="25"/>
        <item x="9"/>
        <item x="7"/>
        <item x="6"/>
        <item x="28"/>
        <item x="11"/>
        <item x="10"/>
        <item x="13"/>
        <item x="14"/>
        <item x="15"/>
        <item x="17"/>
        <item x="18"/>
        <item x="29"/>
        <item x="19"/>
        <item x="20"/>
        <item x="21"/>
        <item x="22"/>
        <item x="26"/>
        <item x="30"/>
        <item x="24"/>
        <item x="23"/>
        <item x="8"/>
        <item x="2"/>
        <item x="16"/>
        <item x="27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3">
        <item x="0"/>
        <item x="2"/>
        <item x="7"/>
        <item x="3"/>
        <item x="6"/>
        <item x="1"/>
        <item x="9"/>
        <item x="10"/>
        <item x="11"/>
        <item x="4"/>
        <item x="12"/>
        <item x="5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5"/>
  </rowFields>
  <rowItems count="40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rowItems>
  <colFields count="1">
    <field x="4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colItems>
  <dataFields count="1">
    <dataField name="Summe von Wert" fld="6" baseField="0" baseItem="0"/>
  </dataFields>
  <formats count="1">
    <format dxfId="4">
      <pivotArea dataOnly="0" labelOnly="1" outline="0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Werte" updatedVersion="6" minRefreshableVersion="3" useAutoFormatting="1" rowGrandTotals="0" itemPrintTitles="1" createdVersion="6" indent="0" compact="0" compactData="0" multipleFieldFilters="0">
  <location ref="I1:AB33" firstHeaderRow="1" firstDataRow="2" firstDataCol="2"/>
  <pivotFields count="7">
    <pivotField axis="axisRow" compact="0" outline="0" showAll="0" defaultSubtotal="0">
      <items count="31">
        <item x="0"/>
        <item x="1"/>
        <item x="3"/>
        <item x="4"/>
        <item x="5"/>
        <item x="25"/>
        <item x="9"/>
        <item x="7"/>
        <item x="6"/>
        <item x="28"/>
        <item x="11"/>
        <item x="10"/>
        <item x="13"/>
        <item x="14"/>
        <item x="15"/>
        <item x="17"/>
        <item x="18"/>
        <item x="29"/>
        <item x="19"/>
        <item x="20"/>
        <item x="21"/>
        <item x="22"/>
        <item x="26"/>
        <item x="30"/>
        <item x="24"/>
        <item x="23"/>
        <item x="8"/>
        <item x="2"/>
        <item x="16"/>
        <item x="27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5"/>
  </rowFields>
  <rowItems count="31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</rowItems>
  <colFields count="1">
    <field x="4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">
    <dataField name="Summe von Wert" fld="6" baseField="0" baseItem="0"/>
  </dataFields>
  <formats count="1">
    <format dxfId="3">
      <pivotArea dataOnly="0" labelOnly="1" outline="0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4" cacheId="2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>
  <location ref="I2:M34" firstHeaderRow="1" firstDataRow="2" firstDataCol="1"/>
  <pivotFields count="4">
    <pivotField axis="axisRow" showAll="0">
      <items count="31">
        <item x="0"/>
        <item x="4"/>
        <item x="1"/>
        <item x="2"/>
        <item x="3"/>
        <item x="5"/>
        <item x="16"/>
        <item x="7"/>
        <item x="8"/>
        <item x="10"/>
        <item x="11"/>
        <item x="13"/>
        <item x="14"/>
        <item x="9"/>
        <item x="15"/>
        <item x="18"/>
        <item x="17"/>
        <item x="19"/>
        <item x="20"/>
        <item x="21"/>
        <item x="22"/>
        <item x="23"/>
        <item x="24"/>
        <item x="25"/>
        <item x="28"/>
        <item x="27"/>
        <item x="12"/>
        <item x="26"/>
        <item x="6"/>
        <item x="29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dataField="1" showAll="0"/>
  </pivotFields>
  <rowFields count="1">
    <field x="0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me von Wer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elle1" displayName="Tabelle1" ref="A1:U466" totalsRowShown="0">
  <autoFilter ref="A1:U466"/>
  <tableColumns count="21">
    <tableColumn id="1" name="Land"/>
    <tableColumn id="2" name="Sektor"/>
    <tableColumn id="3" name="Physikalische Größe"/>
    <tableColumn id="4" name="Einheit"/>
    <tableColumn id="5" name="2002"/>
    <tableColumn id="6" name="2003"/>
    <tableColumn id="7" name="2004"/>
    <tableColumn id="8" name="2005"/>
    <tableColumn id="9" name="2006"/>
    <tableColumn id="10" name="2007"/>
    <tableColumn id="11" name="2008"/>
    <tableColumn id="12" name="2009"/>
    <tableColumn id="13" name="2010"/>
    <tableColumn id="14" name="2011"/>
    <tableColumn id="15" name="2012"/>
    <tableColumn id="16" name="2013"/>
    <tableColumn id="17" name="2014"/>
    <tableColumn id="18" name="2015"/>
    <tableColumn id="19" name="2016"/>
    <tableColumn id="20" name="2017"/>
    <tableColumn id="21" name="20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V497"/>
  <sheetViews>
    <sheetView workbookViewId="0">
      <selection activeCell="F17" sqref="F17"/>
    </sheetView>
  </sheetViews>
  <sheetFormatPr baseColWidth="10" defaultRowHeight="14.25" x14ac:dyDescent="0.2"/>
  <cols>
    <col min="3" max="3" width="20.875" customWidth="1"/>
  </cols>
  <sheetData>
    <row r="1" spans="1:22" x14ac:dyDescent="0.2">
      <c r="A1" t="s">
        <v>77</v>
      </c>
      <c r="B1" t="s">
        <v>80</v>
      </c>
      <c r="C1" t="s">
        <v>78</v>
      </c>
      <c r="D1" t="s">
        <v>79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>
        <v>2019</v>
      </c>
    </row>
    <row r="2" spans="1:22" x14ac:dyDescent="0.2">
      <c r="A2" t="s">
        <v>29</v>
      </c>
      <c r="B2" t="s">
        <v>6</v>
      </c>
      <c r="C2" t="s">
        <v>8</v>
      </c>
      <c r="D2" t="s">
        <v>10</v>
      </c>
      <c r="E2">
        <v>6833</v>
      </c>
      <c r="F2">
        <v>7015</v>
      </c>
      <c r="G2">
        <v>7061</v>
      </c>
      <c r="H2">
        <v>5997</v>
      </c>
      <c r="I2">
        <v>6193</v>
      </c>
      <c r="J2">
        <v>6486</v>
      </c>
      <c r="K2">
        <v>6346</v>
      </c>
      <c r="L2">
        <v>5198</v>
      </c>
      <c r="M2">
        <v>5986</v>
      </c>
      <c r="N2">
        <v>5028</v>
      </c>
      <c r="O2">
        <v>5668</v>
      </c>
      <c r="P2">
        <v>4551</v>
      </c>
      <c r="Q2">
        <v>4358.3</v>
      </c>
      <c r="R2">
        <v>4426.2</v>
      </c>
      <c r="S2">
        <v>4345.3</v>
      </c>
      <c r="T2">
        <v>4425.2</v>
      </c>
      <c r="U2">
        <v>4357</v>
      </c>
    </row>
    <row r="3" spans="1:22" x14ac:dyDescent="0.2">
      <c r="A3" t="s">
        <v>30</v>
      </c>
      <c r="B3" t="s">
        <v>6</v>
      </c>
      <c r="C3" t="s">
        <v>8</v>
      </c>
      <c r="D3" t="s">
        <v>10</v>
      </c>
      <c r="E3">
        <v>1644</v>
      </c>
      <c r="F3">
        <v>1959</v>
      </c>
      <c r="G3">
        <v>1868</v>
      </c>
      <c r="H3">
        <v>1740</v>
      </c>
      <c r="I3">
        <v>1944</v>
      </c>
      <c r="J3">
        <v>1791</v>
      </c>
      <c r="K3">
        <v>1595</v>
      </c>
      <c r="L3">
        <v>1113</v>
      </c>
      <c r="M3">
        <v>838</v>
      </c>
      <c r="N3">
        <v>867</v>
      </c>
      <c r="O3">
        <v>715</v>
      </c>
      <c r="P3">
        <v>655</v>
      </c>
      <c r="Q3">
        <v>716</v>
      </c>
      <c r="R3">
        <v>707</v>
      </c>
      <c r="S3">
        <v>724</v>
      </c>
      <c r="T3">
        <v>787.23599999999999</v>
      </c>
      <c r="U3">
        <v>817.30499999999995</v>
      </c>
    </row>
    <row r="4" spans="1:22" x14ac:dyDescent="0.2">
      <c r="A4" t="s">
        <v>31</v>
      </c>
      <c r="B4" t="s">
        <v>6</v>
      </c>
      <c r="C4" t="s">
        <v>8</v>
      </c>
      <c r="D4" t="s">
        <v>10</v>
      </c>
      <c r="E4">
        <v>3751</v>
      </c>
      <c r="F4">
        <v>3530</v>
      </c>
      <c r="G4">
        <v>3560</v>
      </c>
      <c r="H4">
        <v>3439</v>
      </c>
      <c r="I4">
        <v>3389</v>
      </c>
      <c r="J4">
        <v>3138</v>
      </c>
      <c r="K4">
        <v>3153</v>
      </c>
      <c r="L4">
        <v>3107</v>
      </c>
      <c r="M4">
        <v>2537</v>
      </c>
      <c r="N4">
        <v>2611</v>
      </c>
      <c r="O4">
        <v>2296</v>
      </c>
      <c r="P4">
        <v>2300</v>
      </c>
      <c r="Q4">
        <v>2354</v>
      </c>
      <c r="R4">
        <v>2346</v>
      </c>
      <c r="S4">
        <v>2374</v>
      </c>
      <c r="T4">
        <v>2316.4810000000002</v>
      </c>
      <c r="U4">
        <v>2357.424</v>
      </c>
    </row>
    <row r="5" spans="1:22" x14ac:dyDescent="0.2">
      <c r="A5" t="s">
        <v>32</v>
      </c>
      <c r="B5" t="s">
        <v>6</v>
      </c>
      <c r="C5" t="s">
        <v>8</v>
      </c>
      <c r="D5" t="s">
        <v>10</v>
      </c>
      <c r="E5">
        <v>645</v>
      </c>
      <c r="F5">
        <v>502</v>
      </c>
      <c r="G5">
        <v>522</v>
      </c>
      <c r="H5">
        <v>574</v>
      </c>
      <c r="I5">
        <v>519</v>
      </c>
      <c r="J5">
        <v>454</v>
      </c>
      <c r="K5">
        <v>418</v>
      </c>
      <c r="L5">
        <v>227</v>
      </c>
      <c r="M5">
        <v>238</v>
      </c>
      <c r="N5">
        <v>279</v>
      </c>
      <c r="O5">
        <v>402</v>
      </c>
      <c r="P5">
        <v>397</v>
      </c>
      <c r="Q5">
        <v>438</v>
      </c>
      <c r="R5">
        <v>434.80399999999997</v>
      </c>
      <c r="S5">
        <v>415.77199999999999</v>
      </c>
      <c r="T5">
        <v>422.15100000000001</v>
      </c>
      <c r="U5">
        <v>421.74099999999999</v>
      </c>
    </row>
    <row r="6" spans="1:22" x14ac:dyDescent="0.2">
      <c r="A6" t="s">
        <v>33</v>
      </c>
      <c r="B6" t="s">
        <v>6</v>
      </c>
      <c r="C6" t="s">
        <v>8</v>
      </c>
      <c r="D6" t="s">
        <v>10</v>
      </c>
      <c r="E6">
        <v>25070</v>
      </c>
      <c r="F6">
        <v>26233</v>
      </c>
      <c r="G6">
        <v>27423</v>
      </c>
      <c r="H6">
        <v>27654</v>
      </c>
      <c r="I6">
        <v>29876</v>
      </c>
      <c r="J6">
        <v>28581</v>
      </c>
      <c r="K6">
        <v>28357</v>
      </c>
      <c r="L6">
        <v>22393</v>
      </c>
      <c r="M6">
        <v>27093</v>
      </c>
      <c r="N6">
        <v>28220</v>
      </c>
      <c r="O6">
        <v>26873</v>
      </c>
      <c r="P6">
        <v>26144</v>
      </c>
      <c r="Q6">
        <v>26321</v>
      </c>
      <c r="R6">
        <v>26063</v>
      </c>
      <c r="S6">
        <v>27062</v>
      </c>
      <c r="T6">
        <v>26695</v>
      </c>
      <c r="U6">
        <v>26341</v>
      </c>
    </row>
    <row r="7" spans="1:22" x14ac:dyDescent="0.2">
      <c r="A7" t="s">
        <v>34</v>
      </c>
      <c r="B7" t="s">
        <v>6</v>
      </c>
      <c r="C7" t="s">
        <v>8</v>
      </c>
      <c r="D7" t="s">
        <v>10</v>
      </c>
      <c r="E7">
        <v>4</v>
      </c>
      <c r="F7">
        <v>4</v>
      </c>
      <c r="G7">
        <v>3</v>
      </c>
      <c r="H7">
        <v>5</v>
      </c>
      <c r="I7">
        <v>6</v>
      </c>
      <c r="J7">
        <v>5</v>
      </c>
      <c r="K7">
        <v>4</v>
      </c>
      <c r="L7">
        <v>3</v>
      </c>
      <c r="M7">
        <v>3</v>
      </c>
      <c r="N7">
        <v>3</v>
      </c>
      <c r="O7">
        <v>1</v>
      </c>
      <c r="P7">
        <v>1</v>
      </c>
      <c r="Q7">
        <v>1</v>
      </c>
      <c r="R7">
        <v>1</v>
      </c>
      <c r="S7">
        <v>1</v>
      </c>
      <c r="T7">
        <v>2</v>
      </c>
      <c r="U7">
        <v>3</v>
      </c>
    </row>
    <row r="8" spans="1:22" x14ac:dyDescent="0.2">
      <c r="A8" t="s">
        <v>35</v>
      </c>
      <c r="B8" t="s">
        <v>6</v>
      </c>
      <c r="C8" t="s">
        <v>8</v>
      </c>
      <c r="D8" t="s">
        <v>10</v>
      </c>
      <c r="E8">
        <v>22</v>
      </c>
      <c r="F8">
        <v>12</v>
      </c>
      <c r="G8">
        <v>12</v>
      </c>
      <c r="H8">
        <v>12</v>
      </c>
      <c r="I8">
        <v>12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2">
      <c r="A9" t="s">
        <v>36</v>
      </c>
      <c r="B9" t="s">
        <v>6</v>
      </c>
      <c r="C9" t="s">
        <v>8</v>
      </c>
      <c r="D9" t="s">
        <v>10</v>
      </c>
      <c r="E9">
        <v>1416</v>
      </c>
      <c r="F9">
        <v>1550</v>
      </c>
      <c r="G9">
        <v>1506</v>
      </c>
      <c r="H9">
        <v>1683</v>
      </c>
      <c r="I9">
        <v>1776</v>
      </c>
      <c r="J9">
        <v>1985</v>
      </c>
      <c r="K9">
        <v>1693</v>
      </c>
      <c r="L9">
        <v>1413</v>
      </c>
      <c r="M9">
        <v>1302</v>
      </c>
      <c r="N9">
        <v>1398</v>
      </c>
      <c r="O9">
        <v>919</v>
      </c>
      <c r="P9">
        <v>761</v>
      </c>
      <c r="Q9">
        <v>777</v>
      </c>
      <c r="R9">
        <v>706</v>
      </c>
      <c r="S9">
        <v>870</v>
      </c>
      <c r="T9">
        <v>1001</v>
      </c>
      <c r="U9">
        <v>1063</v>
      </c>
    </row>
    <row r="10" spans="1:22" x14ac:dyDescent="0.2">
      <c r="A10" t="s">
        <v>37</v>
      </c>
      <c r="B10" t="s">
        <v>6</v>
      </c>
      <c r="C10" t="s">
        <v>8</v>
      </c>
      <c r="D10" t="s">
        <v>10</v>
      </c>
      <c r="E10">
        <v>16228</v>
      </c>
      <c r="F10">
        <v>17157</v>
      </c>
      <c r="G10">
        <v>17210</v>
      </c>
      <c r="H10">
        <v>18370</v>
      </c>
      <c r="I10">
        <v>16122</v>
      </c>
      <c r="J10">
        <v>16571</v>
      </c>
      <c r="K10">
        <v>17151</v>
      </c>
      <c r="L10">
        <v>12271</v>
      </c>
      <c r="M10">
        <v>14318</v>
      </c>
      <c r="N10">
        <v>13434</v>
      </c>
      <c r="O10">
        <v>13254</v>
      </c>
      <c r="P10">
        <v>12326</v>
      </c>
      <c r="Q10">
        <v>12310</v>
      </c>
      <c r="R10">
        <v>12610</v>
      </c>
      <c r="S10">
        <v>13499</v>
      </c>
      <c r="T10">
        <v>14412</v>
      </c>
      <c r="U10">
        <v>15136</v>
      </c>
    </row>
    <row r="11" spans="1:22" x14ac:dyDescent="0.2">
      <c r="A11" t="s">
        <v>38</v>
      </c>
      <c r="B11" t="s">
        <v>6</v>
      </c>
      <c r="C11" t="s">
        <v>8</v>
      </c>
      <c r="D11" t="s">
        <v>10</v>
      </c>
      <c r="E11">
        <v>16162</v>
      </c>
      <c r="F11">
        <v>15561</v>
      </c>
      <c r="G11">
        <v>16362</v>
      </c>
      <c r="H11">
        <v>15611</v>
      </c>
      <c r="I11">
        <v>15924</v>
      </c>
      <c r="J11">
        <v>15861</v>
      </c>
      <c r="K11">
        <v>11897</v>
      </c>
      <c r="L11">
        <v>8821</v>
      </c>
      <c r="M11">
        <v>10217</v>
      </c>
      <c r="N11">
        <v>12677.449000000001</v>
      </c>
      <c r="O11">
        <v>12581.119000000001</v>
      </c>
      <c r="P11">
        <v>12389.322</v>
      </c>
      <c r="Q11">
        <v>12607.163</v>
      </c>
      <c r="R11">
        <v>12052.245000000001</v>
      </c>
      <c r="S11">
        <v>12299.036</v>
      </c>
      <c r="T11">
        <v>11871.609</v>
      </c>
      <c r="U11">
        <v>12067.746999999999</v>
      </c>
    </row>
    <row r="12" spans="1:22" x14ac:dyDescent="0.2">
      <c r="A12" t="s">
        <v>39</v>
      </c>
      <c r="B12" t="s">
        <v>6</v>
      </c>
      <c r="C12" t="s">
        <v>8</v>
      </c>
      <c r="D12" t="s">
        <v>10</v>
      </c>
      <c r="E12">
        <v>122</v>
      </c>
      <c r="F12">
        <v>137</v>
      </c>
      <c r="G12">
        <v>188</v>
      </c>
      <c r="H12">
        <v>180</v>
      </c>
      <c r="I12">
        <v>206</v>
      </c>
      <c r="J12">
        <v>203</v>
      </c>
      <c r="K12">
        <v>245</v>
      </c>
      <c r="L12">
        <v>139</v>
      </c>
      <c r="M12">
        <v>181</v>
      </c>
      <c r="N12">
        <v>176</v>
      </c>
      <c r="O12">
        <v>82</v>
      </c>
      <c r="P12">
        <v>168</v>
      </c>
      <c r="Q12">
        <v>176</v>
      </c>
      <c r="R12">
        <v>170</v>
      </c>
      <c r="S12">
        <v>50</v>
      </c>
      <c r="T12">
        <v>53.7</v>
      </c>
      <c r="U12">
        <v>175.3</v>
      </c>
    </row>
    <row r="13" spans="1:22" x14ac:dyDescent="0.2">
      <c r="A13" t="s">
        <v>40</v>
      </c>
      <c r="B13" t="s">
        <v>6</v>
      </c>
      <c r="C13" t="s">
        <v>8</v>
      </c>
      <c r="D13" t="s">
        <v>10</v>
      </c>
      <c r="E13">
        <v>19966</v>
      </c>
      <c r="F13">
        <v>19887</v>
      </c>
      <c r="G13">
        <v>20045</v>
      </c>
      <c r="H13">
        <v>20395</v>
      </c>
      <c r="I13">
        <v>21688</v>
      </c>
      <c r="J13">
        <v>21676</v>
      </c>
      <c r="K13">
        <v>21625</v>
      </c>
      <c r="L13">
        <v>15731</v>
      </c>
      <c r="M13">
        <v>18675</v>
      </c>
      <c r="N13">
        <v>20640</v>
      </c>
      <c r="O13">
        <v>19772</v>
      </c>
      <c r="P13">
        <v>18300</v>
      </c>
      <c r="Q13">
        <v>18355</v>
      </c>
      <c r="R13">
        <v>17439</v>
      </c>
      <c r="S13">
        <v>18262</v>
      </c>
      <c r="T13">
        <v>18724.677</v>
      </c>
      <c r="U13">
        <v>18908.468000000001</v>
      </c>
    </row>
    <row r="14" spans="1:22" x14ac:dyDescent="0.2">
      <c r="A14" t="s">
        <v>41</v>
      </c>
      <c r="B14" t="s">
        <v>6</v>
      </c>
      <c r="C14" t="s">
        <v>8</v>
      </c>
      <c r="D14" t="s">
        <v>10</v>
      </c>
      <c r="E14">
        <v>0</v>
      </c>
      <c r="F14">
        <v>0</v>
      </c>
      <c r="G14">
        <v>0</v>
      </c>
      <c r="H14">
        <v>1</v>
      </c>
      <c r="I14">
        <v>1</v>
      </c>
      <c r="J14">
        <v>1</v>
      </c>
      <c r="K14">
        <v>2</v>
      </c>
      <c r="L14">
        <v>2</v>
      </c>
      <c r="M14">
        <v>2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2.024</v>
      </c>
      <c r="U14">
        <v>2.2559999999999998</v>
      </c>
    </row>
    <row r="15" spans="1:22" x14ac:dyDescent="0.2">
      <c r="A15" t="s">
        <v>42</v>
      </c>
      <c r="B15" t="s">
        <v>6</v>
      </c>
      <c r="C15" t="s">
        <v>8</v>
      </c>
      <c r="D15" t="s">
        <v>10</v>
      </c>
      <c r="E15">
        <v>137</v>
      </c>
      <c r="F15">
        <v>137</v>
      </c>
      <c r="G15">
        <v>147</v>
      </c>
      <c r="H15">
        <v>144</v>
      </c>
      <c r="I15">
        <v>157</v>
      </c>
      <c r="J15">
        <v>147</v>
      </c>
      <c r="K15">
        <v>142</v>
      </c>
      <c r="L15">
        <v>134</v>
      </c>
      <c r="M15">
        <v>148</v>
      </c>
      <c r="N15">
        <v>189</v>
      </c>
      <c r="O15">
        <v>486</v>
      </c>
      <c r="P15">
        <v>141</v>
      </c>
      <c r="Q15">
        <v>15</v>
      </c>
      <c r="R15">
        <v>49</v>
      </c>
      <c r="S15">
        <v>14</v>
      </c>
      <c r="T15">
        <v>14.581</v>
      </c>
      <c r="U15">
        <v>13.706</v>
      </c>
    </row>
    <row r="16" spans="1:22" x14ac:dyDescent="0.2">
      <c r="A16" t="s">
        <v>43</v>
      </c>
      <c r="B16" t="s">
        <v>6</v>
      </c>
      <c r="C16" t="s">
        <v>8</v>
      </c>
      <c r="D16" t="s">
        <v>10</v>
      </c>
      <c r="E16">
        <v>40</v>
      </c>
      <c r="F16">
        <v>34</v>
      </c>
      <c r="G16">
        <v>32</v>
      </c>
      <c r="H16">
        <v>29</v>
      </c>
      <c r="I16">
        <v>25</v>
      </c>
      <c r="J16">
        <v>36</v>
      </c>
      <c r="K16">
        <v>19</v>
      </c>
      <c r="L16">
        <v>22</v>
      </c>
      <c r="M16">
        <v>19</v>
      </c>
      <c r="N16">
        <v>21</v>
      </c>
      <c r="O16">
        <v>24</v>
      </c>
      <c r="P16">
        <v>21</v>
      </c>
      <c r="Q16">
        <v>20</v>
      </c>
      <c r="R16">
        <v>19</v>
      </c>
      <c r="S16">
        <v>19</v>
      </c>
      <c r="T16">
        <v>19.100000000000001</v>
      </c>
      <c r="U16">
        <v>16.600000000000001</v>
      </c>
    </row>
    <row r="17" spans="1:21" x14ac:dyDescent="0.2">
      <c r="A17" t="s">
        <v>44</v>
      </c>
      <c r="B17" t="s">
        <v>6</v>
      </c>
      <c r="C17" t="s">
        <v>8</v>
      </c>
      <c r="D17" t="s">
        <v>10</v>
      </c>
      <c r="E17">
        <v>1794.5509999999999</v>
      </c>
      <c r="F17">
        <v>1595.393</v>
      </c>
      <c r="G17">
        <v>2127.7399999999998</v>
      </c>
      <c r="H17">
        <v>1698.146</v>
      </c>
      <c r="I17">
        <v>2337.0250000000001</v>
      </c>
      <c r="J17">
        <v>2127.9690000000001</v>
      </c>
      <c r="K17">
        <v>2135.5940000000001</v>
      </c>
      <c r="L17">
        <v>1839.5160000000001</v>
      </c>
      <c r="M17">
        <v>2311.46</v>
      </c>
      <c r="N17">
        <v>2025.5940000000001</v>
      </c>
      <c r="O17">
        <v>1733.8019999999999</v>
      </c>
      <c r="P17">
        <v>1600.211</v>
      </c>
      <c r="Q17">
        <v>1536.4760000000001</v>
      </c>
      <c r="R17">
        <v>1626.6130000000001</v>
      </c>
      <c r="S17">
        <v>1839.587</v>
      </c>
      <c r="T17">
        <v>1611.578</v>
      </c>
      <c r="U17">
        <v>1614.242</v>
      </c>
    </row>
    <row r="18" spans="1:21" x14ac:dyDescent="0.2">
      <c r="A18" t="s">
        <v>45</v>
      </c>
      <c r="B18" t="s">
        <v>6</v>
      </c>
      <c r="C18" t="s">
        <v>8</v>
      </c>
      <c r="D18" t="s">
        <v>10</v>
      </c>
      <c r="E18">
        <v>685</v>
      </c>
      <c r="F18">
        <v>645</v>
      </c>
      <c r="G18">
        <v>593</v>
      </c>
      <c r="H18">
        <v>759</v>
      </c>
      <c r="I18">
        <v>780</v>
      </c>
      <c r="J18">
        <v>738</v>
      </c>
      <c r="K18">
        <v>752</v>
      </c>
      <c r="L18">
        <v>434</v>
      </c>
      <c r="M18">
        <v>517</v>
      </c>
      <c r="N18">
        <v>522</v>
      </c>
      <c r="O18">
        <v>544</v>
      </c>
      <c r="P18">
        <v>579</v>
      </c>
      <c r="Q18">
        <v>592</v>
      </c>
      <c r="R18">
        <v>613</v>
      </c>
      <c r="S18">
        <v>613</v>
      </c>
      <c r="T18">
        <v>688</v>
      </c>
      <c r="U18">
        <v>732</v>
      </c>
    </row>
    <row r="19" spans="1:21" x14ac:dyDescent="0.2">
      <c r="A19" t="s">
        <v>46</v>
      </c>
      <c r="B19" t="s">
        <v>6</v>
      </c>
      <c r="C19" t="s">
        <v>8</v>
      </c>
      <c r="D19" t="s">
        <v>10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6.0000000000000001E-3</v>
      </c>
      <c r="U19">
        <v>5.0000000000000001E-3</v>
      </c>
    </row>
    <row r="20" spans="1:21" x14ac:dyDescent="0.2">
      <c r="A20" t="s">
        <v>47</v>
      </c>
      <c r="B20" t="s">
        <v>6</v>
      </c>
      <c r="C20" t="s">
        <v>8</v>
      </c>
      <c r="D20" t="s">
        <v>10</v>
      </c>
      <c r="E20">
        <v>2573</v>
      </c>
      <c r="F20">
        <v>2654</v>
      </c>
      <c r="G20">
        <v>2708</v>
      </c>
      <c r="H20">
        <v>2717</v>
      </c>
      <c r="I20">
        <v>2679</v>
      </c>
      <c r="J20">
        <v>2752</v>
      </c>
      <c r="K20">
        <v>2659</v>
      </c>
      <c r="L20">
        <v>2381</v>
      </c>
      <c r="M20">
        <v>2638</v>
      </c>
      <c r="N20">
        <v>2691</v>
      </c>
      <c r="O20">
        <v>2706</v>
      </c>
      <c r="P20">
        <v>2648</v>
      </c>
      <c r="Q20">
        <v>2704</v>
      </c>
      <c r="R20">
        <v>2687.663</v>
      </c>
      <c r="S20">
        <v>2605.9549999999999</v>
      </c>
      <c r="T20">
        <v>2584.8040000000001</v>
      </c>
      <c r="U20">
        <v>2498.0410000000002</v>
      </c>
    </row>
    <row r="21" spans="1:21" x14ac:dyDescent="0.2">
      <c r="A21" t="s">
        <v>48</v>
      </c>
      <c r="B21" t="s">
        <v>6</v>
      </c>
      <c r="C21" t="s">
        <v>8</v>
      </c>
      <c r="D21" t="s">
        <v>10</v>
      </c>
      <c r="E21">
        <v>2745</v>
      </c>
      <c r="F21">
        <v>2680</v>
      </c>
      <c r="G21">
        <v>3074</v>
      </c>
      <c r="H21">
        <v>2026.2270000000001</v>
      </c>
      <c r="I21">
        <v>2093.5439999999999</v>
      </c>
      <c r="J21">
        <v>2250.4299999999998</v>
      </c>
      <c r="K21">
        <v>2030.749</v>
      </c>
      <c r="L21">
        <v>2004.038</v>
      </c>
      <c r="M21">
        <v>2284.3890000000001</v>
      </c>
      <c r="N21">
        <v>2340.0650000000001</v>
      </c>
      <c r="O21">
        <v>2386.0169999999998</v>
      </c>
      <c r="P21">
        <v>2429.3719999999998</v>
      </c>
      <c r="Q21">
        <v>2370.0659999999998</v>
      </c>
      <c r="R21">
        <v>2592.491</v>
      </c>
      <c r="S21">
        <v>2597.5940000000001</v>
      </c>
      <c r="T21">
        <v>2579.9009999999998</v>
      </c>
      <c r="U21">
        <v>2500.17</v>
      </c>
    </row>
    <row r="22" spans="1:21" x14ac:dyDescent="0.2">
      <c r="A22" t="s">
        <v>49</v>
      </c>
      <c r="B22" t="s">
        <v>6</v>
      </c>
      <c r="C22" t="s">
        <v>8</v>
      </c>
      <c r="D22" t="s">
        <v>10</v>
      </c>
      <c r="E22">
        <v>5446</v>
      </c>
      <c r="F22">
        <v>6148</v>
      </c>
      <c r="G22">
        <v>7204</v>
      </c>
      <c r="H22">
        <v>5921</v>
      </c>
      <c r="I22">
        <v>6262</v>
      </c>
      <c r="J22">
        <v>7012</v>
      </c>
      <c r="K22">
        <v>6733</v>
      </c>
      <c r="L22">
        <v>4995</v>
      </c>
      <c r="M22">
        <v>5888</v>
      </c>
      <c r="N22">
        <v>6323</v>
      </c>
      <c r="O22">
        <v>6323</v>
      </c>
      <c r="P22">
        <v>6085</v>
      </c>
      <c r="Q22">
        <v>6015</v>
      </c>
      <c r="R22">
        <v>6236</v>
      </c>
      <c r="S22">
        <v>6149</v>
      </c>
      <c r="T22">
        <v>6808.4459999999999</v>
      </c>
      <c r="U22">
        <v>6827.1440000000002</v>
      </c>
    </row>
    <row r="23" spans="1:21" x14ac:dyDescent="0.2">
      <c r="A23" t="s">
        <v>50</v>
      </c>
      <c r="B23" t="s">
        <v>6</v>
      </c>
      <c r="C23" t="s">
        <v>8</v>
      </c>
      <c r="D23" t="s">
        <v>10</v>
      </c>
      <c r="E23">
        <v>863</v>
      </c>
      <c r="F23">
        <v>1088</v>
      </c>
      <c r="G23">
        <v>1186</v>
      </c>
      <c r="H23">
        <v>1279</v>
      </c>
      <c r="I23">
        <v>1386</v>
      </c>
      <c r="J23">
        <v>1471</v>
      </c>
      <c r="K23">
        <v>1492</v>
      </c>
      <c r="L23">
        <v>1086</v>
      </c>
      <c r="M23">
        <v>1103</v>
      </c>
      <c r="N23">
        <v>1286</v>
      </c>
      <c r="O23">
        <v>1353</v>
      </c>
      <c r="P23">
        <v>1377</v>
      </c>
      <c r="Q23">
        <v>1401</v>
      </c>
      <c r="R23">
        <v>1391</v>
      </c>
      <c r="S23">
        <v>1495.6120000000001</v>
      </c>
      <c r="T23">
        <v>1554.5519999999999</v>
      </c>
      <c r="U23">
        <v>1681.4860000000001</v>
      </c>
    </row>
    <row r="24" spans="1:21" x14ac:dyDescent="0.2">
      <c r="A24" t="s">
        <v>51</v>
      </c>
      <c r="B24" t="s">
        <v>6</v>
      </c>
      <c r="C24" t="s">
        <v>8</v>
      </c>
      <c r="D24" t="s">
        <v>10</v>
      </c>
      <c r="E24">
        <v>6966</v>
      </c>
      <c r="F24">
        <v>7220</v>
      </c>
      <c r="G24">
        <v>8544</v>
      </c>
      <c r="H24">
        <v>8463</v>
      </c>
      <c r="I24">
        <v>8499</v>
      </c>
      <c r="J24">
        <v>8327</v>
      </c>
      <c r="K24">
        <v>7826</v>
      </c>
      <c r="L24">
        <v>5540</v>
      </c>
      <c r="M24">
        <v>6703</v>
      </c>
      <c r="N24">
        <v>6757</v>
      </c>
      <c r="O24">
        <v>6352</v>
      </c>
      <c r="P24">
        <v>5263</v>
      </c>
      <c r="Q24">
        <v>5375</v>
      </c>
      <c r="R24">
        <v>5694</v>
      </c>
      <c r="S24">
        <v>5635</v>
      </c>
      <c r="T24">
        <v>2540.6489999999999</v>
      </c>
      <c r="U24">
        <v>2414.2109999999998</v>
      </c>
    </row>
    <row r="25" spans="1:21" x14ac:dyDescent="0.2">
      <c r="A25" t="s">
        <v>52</v>
      </c>
      <c r="B25" t="s">
        <v>6</v>
      </c>
      <c r="C25" t="s">
        <v>8</v>
      </c>
      <c r="D25" t="s">
        <v>10</v>
      </c>
      <c r="E25">
        <v>860</v>
      </c>
      <c r="F25">
        <v>644</v>
      </c>
      <c r="G25">
        <v>657</v>
      </c>
      <c r="H25">
        <v>750</v>
      </c>
      <c r="I25">
        <v>819</v>
      </c>
      <c r="J25">
        <v>601</v>
      </c>
      <c r="K25">
        <v>766</v>
      </c>
      <c r="L25">
        <v>588</v>
      </c>
      <c r="M25">
        <v>738</v>
      </c>
      <c r="N25">
        <v>728</v>
      </c>
      <c r="O25">
        <v>768</v>
      </c>
      <c r="P25">
        <v>769</v>
      </c>
      <c r="Q25">
        <v>758</v>
      </c>
      <c r="R25">
        <v>760</v>
      </c>
      <c r="S25">
        <v>787</v>
      </c>
      <c r="T25">
        <v>822.23900000000003</v>
      </c>
      <c r="U25">
        <v>778.59</v>
      </c>
    </row>
    <row r="26" spans="1:21" x14ac:dyDescent="0.2">
      <c r="A26" t="s">
        <v>53</v>
      </c>
      <c r="B26" t="s">
        <v>6</v>
      </c>
      <c r="C26" t="s">
        <v>8</v>
      </c>
      <c r="D26" t="s">
        <v>10</v>
      </c>
      <c r="E26">
        <v>1541</v>
      </c>
      <c r="F26">
        <v>2415</v>
      </c>
      <c r="G26">
        <v>2602</v>
      </c>
      <c r="H26">
        <v>2292</v>
      </c>
      <c r="I26">
        <v>2563</v>
      </c>
      <c r="J26">
        <v>2726</v>
      </c>
      <c r="K26">
        <v>2416</v>
      </c>
      <c r="L26">
        <v>1891</v>
      </c>
      <c r="M26">
        <v>2349</v>
      </c>
      <c r="N26">
        <v>2336</v>
      </c>
      <c r="O26">
        <v>2597</v>
      </c>
      <c r="P26">
        <v>2454</v>
      </c>
      <c r="Q26">
        <v>2485</v>
      </c>
      <c r="R26">
        <v>2337</v>
      </c>
      <c r="S26">
        <v>2303</v>
      </c>
      <c r="T26">
        <v>2614</v>
      </c>
      <c r="U26">
        <v>2541</v>
      </c>
    </row>
    <row r="27" spans="1:21" x14ac:dyDescent="0.2">
      <c r="A27" t="s">
        <v>54</v>
      </c>
      <c r="B27" t="s">
        <v>6</v>
      </c>
      <c r="C27" t="s">
        <v>8</v>
      </c>
      <c r="D27" t="s">
        <v>10</v>
      </c>
      <c r="E27">
        <v>3024</v>
      </c>
      <c r="F27">
        <v>3231</v>
      </c>
      <c r="G27">
        <v>3410</v>
      </c>
      <c r="H27">
        <v>3448</v>
      </c>
      <c r="I27">
        <v>3630</v>
      </c>
      <c r="J27">
        <v>3445</v>
      </c>
      <c r="K27">
        <v>3284</v>
      </c>
      <c r="L27">
        <v>2651</v>
      </c>
      <c r="M27">
        <v>3276</v>
      </c>
      <c r="N27">
        <v>3497</v>
      </c>
      <c r="O27">
        <v>3349</v>
      </c>
      <c r="P27">
        <v>3902</v>
      </c>
      <c r="Q27">
        <v>4002</v>
      </c>
      <c r="R27">
        <v>4353</v>
      </c>
      <c r="S27">
        <v>4414</v>
      </c>
      <c r="T27">
        <v>4222</v>
      </c>
      <c r="U27">
        <v>4308</v>
      </c>
    </row>
    <row r="28" spans="1:21" x14ac:dyDescent="0.2">
      <c r="A28" t="s">
        <v>55</v>
      </c>
      <c r="B28" t="s">
        <v>6</v>
      </c>
      <c r="C28" t="s">
        <v>8</v>
      </c>
      <c r="D28" t="s">
        <v>10</v>
      </c>
      <c r="E28">
        <v>4873</v>
      </c>
      <c r="F28">
        <v>4850</v>
      </c>
      <c r="G28">
        <v>4947</v>
      </c>
      <c r="H28">
        <v>5356</v>
      </c>
      <c r="I28">
        <v>5287</v>
      </c>
      <c r="J28">
        <v>5218</v>
      </c>
      <c r="K28">
        <v>5201</v>
      </c>
      <c r="L28">
        <v>3662</v>
      </c>
      <c r="M28">
        <v>4572</v>
      </c>
      <c r="N28">
        <v>4986</v>
      </c>
      <c r="O28">
        <v>4507</v>
      </c>
      <c r="P28">
        <v>4438</v>
      </c>
      <c r="Q28">
        <v>4329</v>
      </c>
      <c r="R28">
        <v>4399</v>
      </c>
      <c r="S28">
        <v>4387</v>
      </c>
      <c r="T28">
        <v>4562</v>
      </c>
      <c r="U28">
        <v>4601</v>
      </c>
    </row>
    <row r="29" spans="1:21" x14ac:dyDescent="0.2">
      <c r="A29" t="s">
        <v>56</v>
      </c>
      <c r="B29" t="s">
        <v>6</v>
      </c>
      <c r="C29" t="s">
        <v>8</v>
      </c>
      <c r="D29" t="s">
        <v>10</v>
      </c>
      <c r="E29">
        <v>5092</v>
      </c>
      <c r="F29">
        <v>5434</v>
      </c>
      <c r="G29">
        <v>5412</v>
      </c>
      <c r="H29">
        <v>5020</v>
      </c>
      <c r="I29">
        <v>5860</v>
      </c>
      <c r="J29">
        <v>4937</v>
      </c>
      <c r="K29">
        <v>4657</v>
      </c>
      <c r="L29">
        <v>3615</v>
      </c>
      <c r="M29">
        <v>3842</v>
      </c>
      <c r="N29">
        <v>3852</v>
      </c>
      <c r="O29">
        <v>3579</v>
      </c>
      <c r="P29">
        <v>3799</v>
      </c>
      <c r="Q29">
        <v>3787</v>
      </c>
      <c r="R29">
        <v>3687.567</v>
      </c>
      <c r="S29">
        <v>2830.1219999999998</v>
      </c>
      <c r="T29">
        <v>2702.5819999999999</v>
      </c>
      <c r="U29">
        <v>2560.2089999999998</v>
      </c>
    </row>
    <row r="30" spans="1:21" x14ac:dyDescent="0.2">
      <c r="A30" t="s">
        <v>57</v>
      </c>
      <c r="B30" t="s">
        <v>6</v>
      </c>
      <c r="C30" t="s">
        <v>8</v>
      </c>
      <c r="D30" t="s">
        <v>10</v>
      </c>
      <c r="E30">
        <v>1039</v>
      </c>
      <c r="F30">
        <v>1050</v>
      </c>
      <c r="G30">
        <v>1031</v>
      </c>
      <c r="H30">
        <v>981</v>
      </c>
      <c r="I30">
        <v>983</v>
      </c>
      <c r="J30">
        <v>1006</v>
      </c>
      <c r="K30">
        <v>888</v>
      </c>
      <c r="L30">
        <v>898</v>
      </c>
      <c r="M30">
        <v>933</v>
      </c>
      <c r="N30">
        <v>947</v>
      </c>
      <c r="O30">
        <v>1035</v>
      </c>
      <c r="P30">
        <v>1066</v>
      </c>
      <c r="Q30">
        <v>985</v>
      </c>
      <c r="R30">
        <v>1046</v>
      </c>
      <c r="S30">
        <v>1045</v>
      </c>
      <c r="T30">
        <v>1012.704</v>
      </c>
      <c r="U30">
        <v>1013.978</v>
      </c>
    </row>
    <row r="31" spans="1:21" x14ac:dyDescent="0.2">
      <c r="A31" t="s">
        <v>58</v>
      </c>
      <c r="B31" t="s">
        <v>6</v>
      </c>
      <c r="C31" t="s">
        <v>8</v>
      </c>
      <c r="D31" t="s">
        <v>10</v>
      </c>
      <c r="E31">
        <v>6352</v>
      </c>
      <c r="F31">
        <v>5927</v>
      </c>
      <c r="G31">
        <v>6885</v>
      </c>
      <c r="H31">
        <v>5646</v>
      </c>
      <c r="I31">
        <v>4257</v>
      </c>
      <c r="J31">
        <v>4964</v>
      </c>
      <c r="K31">
        <v>5177</v>
      </c>
      <c r="L31">
        <v>3643</v>
      </c>
      <c r="M31">
        <v>4678</v>
      </c>
      <c r="N31">
        <v>5154</v>
      </c>
      <c r="O31">
        <v>5048</v>
      </c>
      <c r="P31">
        <v>5022</v>
      </c>
      <c r="Q31">
        <v>5280</v>
      </c>
      <c r="R31">
        <v>5053</v>
      </c>
      <c r="S31">
        <v>5175</v>
      </c>
      <c r="T31">
        <v>5542</v>
      </c>
      <c r="U31">
        <v>5446.9589999999998</v>
      </c>
    </row>
    <row r="32" spans="1:21" x14ac:dyDescent="0.2">
      <c r="A32" t="s">
        <v>59</v>
      </c>
      <c r="B32" t="s">
        <v>6</v>
      </c>
      <c r="C32" t="s">
        <v>8</v>
      </c>
      <c r="D32" t="s">
        <v>10</v>
      </c>
      <c r="E32">
        <v>389</v>
      </c>
      <c r="F32">
        <v>364</v>
      </c>
      <c r="G32">
        <v>777</v>
      </c>
      <c r="H32">
        <v>918</v>
      </c>
      <c r="I32">
        <v>1118</v>
      </c>
      <c r="J32">
        <v>937</v>
      </c>
      <c r="K32">
        <v>857</v>
      </c>
      <c r="L32">
        <v>648</v>
      </c>
      <c r="M32">
        <v>759</v>
      </c>
      <c r="N32">
        <v>886</v>
      </c>
      <c r="O32">
        <v>756</v>
      </c>
      <c r="P32">
        <v>396</v>
      </c>
      <c r="Q32">
        <v>557</v>
      </c>
      <c r="R32">
        <v>732</v>
      </c>
      <c r="S32">
        <v>876</v>
      </c>
      <c r="T32">
        <v>919.89</v>
      </c>
      <c r="U32">
        <v>1342.549</v>
      </c>
    </row>
    <row r="33" spans="1:21" x14ac:dyDescent="0.2">
      <c r="A33" t="s">
        <v>29</v>
      </c>
      <c r="B33" t="s">
        <v>63</v>
      </c>
      <c r="C33" t="s">
        <v>8</v>
      </c>
      <c r="D33" t="s">
        <v>10</v>
      </c>
      <c r="E33">
        <v>13177</v>
      </c>
      <c r="F33">
        <v>13537</v>
      </c>
      <c r="G33">
        <v>13473</v>
      </c>
      <c r="H33">
        <v>13767</v>
      </c>
      <c r="I33">
        <v>11766</v>
      </c>
      <c r="J33">
        <v>13176</v>
      </c>
      <c r="K33">
        <v>12222</v>
      </c>
      <c r="L33">
        <v>8678</v>
      </c>
      <c r="M33">
        <v>13500</v>
      </c>
      <c r="N33">
        <v>12829</v>
      </c>
      <c r="O33">
        <v>11357</v>
      </c>
      <c r="P33">
        <v>12770</v>
      </c>
      <c r="Q33">
        <v>12922.5</v>
      </c>
      <c r="R33">
        <v>13172.8</v>
      </c>
      <c r="S33">
        <v>13575.1</v>
      </c>
      <c r="T33">
        <v>14861</v>
      </c>
      <c r="U33">
        <v>14678.2</v>
      </c>
    </row>
    <row r="34" spans="1:21" x14ac:dyDescent="0.2">
      <c r="A34" t="s">
        <v>30</v>
      </c>
      <c r="B34" t="s">
        <v>63</v>
      </c>
      <c r="C34" t="s">
        <v>8</v>
      </c>
      <c r="D34" t="s">
        <v>10</v>
      </c>
      <c r="E34">
        <v>1583</v>
      </c>
      <c r="F34">
        <v>1536</v>
      </c>
      <c r="G34">
        <v>1580</v>
      </c>
      <c r="H34">
        <v>1677</v>
      </c>
      <c r="I34">
        <v>1742</v>
      </c>
      <c r="J34">
        <v>1807</v>
      </c>
      <c r="K34">
        <v>1634</v>
      </c>
      <c r="L34">
        <v>1220</v>
      </c>
      <c r="M34">
        <v>939</v>
      </c>
      <c r="N34">
        <v>1005</v>
      </c>
      <c r="O34">
        <v>1156</v>
      </c>
      <c r="P34">
        <v>1234</v>
      </c>
      <c r="Q34">
        <v>1236</v>
      </c>
      <c r="R34">
        <v>1410</v>
      </c>
      <c r="S34">
        <v>1435</v>
      </c>
      <c r="T34">
        <v>1486.09</v>
      </c>
      <c r="U34">
        <v>1363.568</v>
      </c>
    </row>
    <row r="35" spans="1:21" x14ac:dyDescent="0.2">
      <c r="A35" t="s">
        <v>31</v>
      </c>
      <c r="B35" t="s">
        <v>63</v>
      </c>
      <c r="C35" t="s">
        <v>8</v>
      </c>
      <c r="D35" t="s">
        <v>10</v>
      </c>
      <c r="E35">
        <v>3211</v>
      </c>
      <c r="F35">
        <v>3641</v>
      </c>
      <c r="G35">
        <v>3771</v>
      </c>
      <c r="H35">
        <v>3881</v>
      </c>
      <c r="I35">
        <v>3881</v>
      </c>
      <c r="J35">
        <v>3879</v>
      </c>
      <c r="K35">
        <v>3633</v>
      </c>
      <c r="L35">
        <v>3396</v>
      </c>
      <c r="M35">
        <v>3626</v>
      </c>
      <c r="N35">
        <v>3651</v>
      </c>
      <c r="O35">
        <v>3706</v>
      </c>
      <c r="P35">
        <v>3451</v>
      </c>
      <c r="Q35">
        <v>3721</v>
      </c>
      <c r="R35">
        <v>3538</v>
      </c>
      <c r="S35">
        <v>3226</v>
      </c>
      <c r="T35">
        <v>3384.1689999999999</v>
      </c>
      <c r="U35">
        <v>3295.6959999999999</v>
      </c>
    </row>
    <row r="36" spans="1:21" x14ac:dyDescent="0.2">
      <c r="A36" t="s">
        <v>32</v>
      </c>
      <c r="B36" t="s">
        <v>63</v>
      </c>
      <c r="C36" t="s">
        <v>8</v>
      </c>
      <c r="D36" t="s">
        <v>10</v>
      </c>
      <c r="E36">
        <v>1384</v>
      </c>
      <c r="F36">
        <v>1270</v>
      </c>
      <c r="G36">
        <v>1266</v>
      </c>
      <c r="H36">
        <v>1389</v>
      </c>
      <c r="I36">
        <v>1331</v>
      </c>
      <c r="J36">
        <v>1239</v>
      </c>
      <c r="K36">
        <v>1305</v>
      </c>
      <c r="L36">
        <v>1228</v>
      </c>
      <c r="M36">
        <v>1249</v>
      </c>
      <c r="N36">
        <v>1300</v>
      </c>
      <c r="O36">
        <v>1425</v>
      </c>
      <c r="P36">
        <v>1353</v>
      </c>
      <c r="Q36">
        <v>1312</v>
      </c>
      <c r="R36">
        <v>1339.6880000000001</v>
      </c>
      <c r="S36">
        <v>1512.0070000000001</v>
      </c>
      <c r="T36">
        <v>1535.2049999999999</v>
      </c>
      <c r="U36">
        <v>1533.7139999999999</v>
      </c>
    </row>
    <row r="37" spans="1:21" x14ac:dyDescent="0.2">
      <c r="A37" t="s">
        <v>33</v>
      </c>
      <c r="B37" t="s">
        <v>63</v>
      </c>
      <c r="C37" t="s">
        <v>8</v>
      </c>
      <c r="D37" t="s">
        <v>10</v>
      </c>
      <c r="E37">
        <v>50185</v>
      </c>
      <c r="F37">
        <v>51012</v>
      </c>
      <c r="G37">
        <v>50867</v>
      </c>
      <c r="H37">
        <v>52857</v>
      </c>
      <c r="I37">
        <v>52335</v>
      </c>
      <c r="J37">
        <v>53400</v>
      </c>
      <c r="K37">
        <v>51728</v>
      </c>
      <c r="L37">
        <v>44863</v>
      </c>
      <c r="M37">
        <v>52337</v>
      </c>
      <c r="N37">
        <v>52522</v>
      </c>
      <c r="O37">
        <v>52151</v>
      </c>
      <c r="P37">
        <v>51729</v>
      </c>
      <c r="Q37">
        <v>53487</v>
      </c>
      <c r="R37">
        <v>53465</v>
      </c>
      <c r="S37">
        <v>53577</v>
      </c>
      <c r="T37">
        <v>54219</v>
      </c>
      <c r="U37">
        <v>53566</v>
      </c>
    </row>
    <row r="38" spans="1:21" x14ac:dyDescent="0.2">
      <c r="A38" t="s">
        <v>34</v>
      </c>
      <c r="B38" t="s">
        <v>63</v>
      </c>
      <c r="C38" t="s">
        <v>8</v>
      </c>
      <c r="D38" t="s">
        <v>10</v>
      </c>
      <c r="E38">
        <v>282</v>
      </c>
      <c r="F38">
        <v>305</v>
      </c>
      <c r="G38">
        <v>330</v>
      </c>
      <c r="H38">
        <v>358</v>
      </c>
      <c r="I38">
        <v>361</v>
      </c>
      <c r="J38">
        <v>320</v>
      </c>
      <c r="K38">
        <v>354</v>
      </c>
      <c r="L38">
        <v>321</v>
      </c>
      <c r="M38">
        <v>252</v>
      </c>
      <c r="N38">
        <v>199</v>
      </c>
      <c r="O38">
        <v>198</v>
      </c>
      <c r="P38">
        <v>253</v>
      </c>
      <c r="Q38">
        <v>151</v>
      </c>
      <c r="R38">
        <v>134</v>
      </c>
      <c r="S38">
        <v>114</v>
      </c>
      <c r="T38">
        <v>114</v>
      </c>
      <c r="U38">
        <v>116</v>
      </c>
    </row>
    <row r="39" spans="1:21" x14ac:dyDescent="0.2">
      <c r="A39" t="s">
        <v>35</v>
      </c>
      <c r="B39" t="s">
        <v>63</v>
      </c>
      <c r="C39" t="s">
        <v>8</v>
      </c>
      <c r="D39" t="s">
        <v>10</v>
      </c>
      <c r="E39">
        <v>1388.527</v>
      </c>
      <c r="F39">
        <v>1292.913</v>
      </c>
      <c r="G39">
        <v>1223.6020000000001</v>
      </c>
      <c r="H39">
        <v>1363.6489999999999</v>
      </c>
      <c r="I39">
        <v>1376.876</v>
      </c>
      <c r="J39">
        <v>1377.9680000000001</v>
      </c>
      <c r="K39">
        <v>1379.7470000000001</v>
      </c>
      <c r="L39">
        <v>1509.288</v>
      </c>
      <c r="M39">
        <v>1653.2929999999999</v>
      </c>
      <c r="N39">
        <v>1725.999</v>
      </c>
      <c r="O39">
        <v>1661.2280000000001</v>
      </c>
      <c r="P39">
        <v>1686.99</v>
      </c>
      <c r="Q39">
        <v>1707.1369999999999</v>
      </c>
      <c r="R39">
        <v>1788.126</v>
      </c>
      <c r="S39">
        <v>1846.3130000000001</v>
      </c>
      <c r="T39">
        <v>1866.85</v>
      </c>
      <c r="U39">
        <v>1986.75</v>
      </c>
    </row>
    <row r="40" spans="1:21" x14ac:dyDescent="0.2">
      <c r="A40" t="s">
        <v>36</v>
      </c>
      <c r="B40" t="s">
        <v>63</v>
      </c>
      <c r="C40" t="s">
        <v>8</v>
      </c>
      <c r="D40" t="s">
        <v>10</v>
      </c>
      <c r="E40">
        <v>1154</v>
      </c>
      <c r="F40">
        <v>627</v>
      </c>
      <c r="G40">
        <v>524</v>
      </c>
      <c r="H40">
        <v>569</v>
      </c>
      <c r="I40">
        <v>529</v>
      </c>
      <c r="J40">
        <v>98</v>
      </c>
      <c r="K40">
        <v>763</v>
      </c>
      <c r="L40">
        <v>729</v>
      </c>
      <c r="M40">
        <v>527</v>
      </c>
      <c r="N40">
        <v>467</v>
      </c>
      <c r="O40">
        <v>625</v>
      </c>
      <c r="P40">
        <v>600</v>
      </c>
      <c r="Q40">
        <v>660</v>
      </c>
      <c r="R40">
        <v>643</v>
      </c>
      <c r="S40">
        <v>184</v>
      </c>
      <c r="T40">
        <v>668.71799999999996</v>
      </c>
      <c r="U40">
        <v>936.39</v>
      </c>
    </row>
    <row r="41" spans="1:21" x14ac:dyDescent="0.2">
      <c r="A41" t="s">
        <v>37</v>
      </c>
      <c r="B41" t="s">
        <v>63</v>
      </c>
      <c r="C41" t="s">
        <v>8</v>
      </c>
      <c r="D41" t="s">
        <v>10</v>
      </c>
      <c r="E41">
        <v>12111</v>
      </c>
      <c r="F41">
        <v>12646</v>
      </c>
      <c r="G41">
        <v>13172</v>
      </c>
      <c r="H41">
        <v>13379</v>
      </c>
      <c r="I41">
        <v>12819</v>
      </c>
      <c r="J41">
        <v>12130</v>
      </c>
      <c r="K41">
        <v>10999</v>
      </c>
      <c r="L41">
        <v>8845</v>
      </c>
      <c r="M41">
        <v>8638</v>
      </c>
      <c r="N41">
        <v>8524</v>
      </c>
      <c r="O41">
        <v>8410</v>
      </c>
      <c r="P41">
        <v>8966</v>
      </c>
      <c r="Q41">
        <v>9155</v>
      </c>
      <c r="R41">
        <v>9504</v>
      </c>
      <c r="S41">
        <v>9761</v>
      </c>
      <c r="T41">
        <v>9640</v>
      </c>
      <c r="U41">
        <v>9140</v>
      </c>
    </row>
    <row r="42" spans="1:21" x14ac:dyDescent="0.2">
      <c r="A42" t="s">
        <v>38</v>
      </c>
      <c r="B42" t="s">
        <v>63</v>
      </c>
      <c r="C42" t="s">
        <v>8</v>
      </c>
      <c r="D42" t="s">
        <v>10</v>
      </c>
      <c r="E42">
        <v>24738</v>
      </c>
      <c r="F42">
        <v>23566</v>
      </c>
      <c r="G42">
        <v>24035</v>
      </c>
      <c r="H42">
        <v>24932</v>
      </c>
      <c r="I42">
        <v>24720</v>
      </c>
      <c r="J42">
        <v>24844</v>
      </c>
      <c r="K42">
        <v>30704</v>
      </c>
      <c r="L42">
        <v>26559</v>
      </c>
      <c r="M42">
        <v>27640</v>
      </c>
      <c r="N42">
        <v>20232.866999999998</v>
      </c>
      <c r="O42">
        <v>19719.856</v>
      </c>
      <c r="P42">
        <v>19586.636999999999</v>
      </c>
      <c r="Q42">
        <v>20257.506000000001</v>
      </c>
      <c r="R42">
        <v>19952.143</v>
      </c>
      <c r="S42">
        <v>19964.786</v>
      </c>
      <c r="T42">
        <v>20377.413</v>
      </c>
      <c r="U42">
        <v>20070.468000000001</v>
      </c>
    </row>
    <row r="43" spans="1:21" x14ac:dyDescent="0.2">
      <c r="A43" t="s">
        <v>39</v>
      </c>
      <c r="B43" t="s">
        <v>63</v>
      </c>
      <c r="C43" t="s">
        <v>8</v>
      </c>
      <c r="D43" t="s">
        <v>10</v>
      </c>
      <c r="E43">
        <v>495</v>
      </c>
      <c r="F43">
        <v>530</v>
      </c>
      <c r="G43">
        <v>470</v>
      </c>
      <c r="H43">
        <v>474</v>
      </c>
      <c r="I43">
        <v>477</v>
      </c>
      <c r="J43">
        <v>592</v>
      </c>
      <c r="K43">
        <v>488</v>
      </c>
      <c r="L43">
        <v>451</v>
      </c>
      <c r="M43">
        <v>476</v>
      </c>
      <c r="N43">
        <v>410</v>
      </c>
      <c r="O43">
        <v>257</v>
      </c>
      <c r="P43">
        <v>269</v>
      </c>
      <c r="Q43">
        <v>272</v>
      </c>
      <c r="R43">
        <v>306</v>
      </c>
      <c r="S43">
        <v>305</v>
      </c>
      <c r="T43">
        <v>307.5</v>
      </c>
      <c r="U43">
        <v>312.10000000000002</v>
      </c>
    </row>
    <row r="44" spans="1:21" x14ac:dyDescent="0.2">
      <c r="A44" t="s">
        <v>40</v>
      </c>
      <c r="B44" t="s">
        <v>63</v>
      </c>
      <c r="C44" t="s">
        <v>8</v>
      </c>
      <c r="D44" t="s">
        <v>10</v>
      </c>
      <c r="E44">
        <v>20236</v>
      </c>
      <c r="F44">
        <v>20110</v>
      </c>
      <c r="G44">
        <v>19431</v>
      </c>
      <c r="H44">
        <v>19015</v>
      </c>
      <c r="I44">
        <v>18838</v>
      </c>
      <c r="J44">
        <v>18192</v>
      </c>
      <c r="K44">
        <v>17525</v>
      </c>
      <c r="L44">
        <v>14591</v>
      </c>
      <c r="M44">
        <v>15541</v>
      </c>
      <c r="N44">
        <v>15085</v>
      </c>
      <c r="O44">
        <v>14864</v>
      </c>
      <c r="P44">
        <v>14843</v>
      </c>
      <c r="Q44">
        <v>14203</v>
      </c>
      <c r="R44">
        <v>13961</v>
      </c>
      <c r="S44">
        <v>13911</v>
      </c>
      <c r="T44">
        <v>14283.61</v>
      </c>
      <c r="U44">
        <v>14463.6</v>
      </c>
    </row>
    <row r="45" spans="1:21" x14ac:dyDescent="0.2">
      <c r="A45" t="s">
        <v>41</v>
      </c>
      <c r="B45" t="s">
        <v>63</v>
      </c>
      <c r="C45" t="s">
        <v>8</v>
      </c>
      <c r="D45" t="s">
        <v>10</v>
      </c>
      <c r="E45">
        <v>19</v>
      </c>
      <c r="F45">
        <v>20</v>
      </c>
      <c r="G45">
        <v>21</v>
      </c>
      <c r="H45">
        <v>24</v>
      </c>
      <c r="I45">
        <v>25</v>
      </c>
      <c r="J45">
        <v>27</v>
      </c>
      <c r="K45">
        <v>28</v>
      </c>
      <c r="L45">
        <v>28</v>
      </c>
      <c r="M45">
        <v>30</v>
      </c>
      <c r="N45">
        <v>29</v>
      </c>
      <c r="O45">
        <v>32</v>
      </c>
      <c r="P45">
        <v>35</v>
      </c>
      <c r="Q45">
        <v>38</v>
      </c>
      <c r="R45">
        <v>40</v>
      </c>
      <c r="S45">
        <v>43</v>
      </c>
      <c r="T45">
        <v>43.801000000000002</v>
      </c>
      <c r="U45">
        <v>44.654000000000003</v>
      </c>
    </row>
    <row r="46" spans="1:21" x14ac:dyDescent="0.2">
      <c r="A46" t="s">
        <v>42</v>
      </c>
      <c r="B46" t="s">
        <v>63</v>
      </c>
      <c r="C46" t="s">
        <v>8</v>
      </c>
      <c r="D46" t="s">
        <v>10</v>
      </c>
      <c r="E46">
        <v>75</v>
      </c>
      <c r="F46">
        <v>75</v>
      </c>
      <c r="G46">
        <v>66</v>
      </c>
      <c r="H46">
        <v>72</v>
      </c>
      <c r="I46">
        <v>75</v>
      </c>
      <c r="J46">
        <v>59</v>
      </c>
      <c r="K46">
        <v>65</v>
      </c>
      <c r="L46">
        <v>59</v>
      </c>
      <c r="M46">
        <v>63</v>
      </c>
      <c r="N46">
        <v>69</v>
      </c>
      <c r="O46">
        <v>72</v>
      </c>
      <c r="P46">
        <v>72</v>
      </c>
      <c r="Q46">
        <v>60</v>
      </c>
      <c r="R46">
        <v>62</v>
      </c>
      <c r="S46">
        <v>62</v>
      </c>
      <c r="T46">
        <v>64.498999999999995</v>
      </c>
      <c r="U46">
        <v>65.269000000000005</v>
      </c>
    </row>
    <row r="47" spans="1:21" x14ac:dyDescent="0.2">
      <c r="A47" t="s">
        <v>43</v>
      </c>
      <c r="B47" t="s">
        <v>63</v>
      </c>
      <c r="C47" t="s">
        <v>8</v>
      </c>
      <c r="D47" t="s">
        <v>10</v>
      </c>
      <c r="E47">
        <v>507</v>
      </c>
      <c r="F47">
        <v>551</v>
      </c>
      <c r="G47">
        <v>554</v>
      </c>
      <c r="H47">
        <v>598</v>
      </c>
      <c r="I47">
        <v>671</v>
      </c>
      <c r="J47">
        <v>780</v>
      </c>
      <c r="K47">
        <v>736</v>
      </c>
      <c r="L47">
        <v>624</v>
      </c>
      <c r="M47">
        <v>680</v>
      </c>
      <c r="N47">
        <v>770</v>
      </c>
      <c r="O47">
        <v>785</v>
      </c>
      <c r="P47">
        <v>730</v>
      </c>
      <c r="Q47">
        <v>750</v>
      </c>
      <c r="R47">
        <v>713</v>
      </c>
      <c r="S47">
        <v>746</v>
      </c>
      <c r="T47">
        <v>831.4</v>
      </c>
      <c r="U47">
        <v>804.7</v>
      </c>
    </row>
    <row r="48" spans="1:21" x14ac:dyDescent="0.2">
      <c r="A48" t="s">
        <v>44</v>
      </c>
      <c r="B48" t="s">
        <v>63</v>
      </c>
      <c r="C48" t="s">
        <v>8</v>
      </c>
      <c r="D48" t="s">
        <v>10</v>
      </c>
      <c r="E48">
        <v>280.858</v>
      </c>
      <c r="F48">
        <v>477.59800000000001</v>
      </c>
      <c r="G48">
        <v>477.74299999999999</v>
      </c>
      <c r="H48">
        <v>530.09400000000005</v>
      </c>
      <c r="I48">
        <v>462.44799999999998</v>
      </c>
      <c r="J48">
        <v>445.09199999999998</v>
      </c>
      <c r="K48">
        <v>396.89600000000002</v>
      </c>
      <c r="L48">
        <v>311.01600000000002</v>
      </c>
      <c r="M48">
        <v>349.89</v>
      </c>
      <c r="N48">
        <v>400.79500000000002</v>
      </c>
      <c r="O48">
        <v>389.6</v>
      </c>
      <c r="P48">
        <v>406.983</v>
      </c>
      <c r="Q48">
        <v>368.471</v>
      </c>
      <c r="R48">
        <v>379.84800000000001</v>
      </c>
      <c r="S48">
        <v>383.47800000000001</v>
      </c>
      <c r="T48">
        <v>335.54</v>
      </c>
      <c r="U48">
        <v>356.875</v>
      </c>
    </row>
    <row r="49" spans="1:21" x14ac:dyDescent="0.2">
      <c r="A49" t="s">
        <v>45</v>
      </c>
      <c r="B49" t="s">
        <v>63</v>
      </c>
      <c r="C49" t="s">
        <v>8</v>
      </c>
      <c r="D49" t="s">
        <v>10</v>
      </c>
      <c r="E49">
        <v>3048</v>
      </c>
      <c r="F49">
        <v>2050</v>
      </c>
      <c r="G49">
        <v>2102</v>
      </c>
      <c r="H49">
        <v>2127</v>
      </c>
      <c r="I49">
        <v>2407</v>
      </c>
      <c r="J49">
        <v>2640</v>
      </c>
      <c r="K49">
        <v>2721</v>
      </c>
      <c r="L49">
        <v>2164</v>
      </c>
      <c r="M49">
        <v>2315</v>
      </c>
      <c r="N49">
        <v>2338</v>
      </c>
      <c r="O49">
        <v>2828</v>
      </c>
      <c r="P49">
        <v>3050</v>
      </c>
      <c r="Q49">
        <v>3197</v>
      </c>
      <c r="R49">
        <v>3277</v>
      </c>
      <c r="S49">
        <v>3271</v>
      </c>
      <c r="T49">
        <v>3372</v>
      </c>
      <c r="U49">
        <v>3333</v>
      </c>
    </row>
    <row r="50" spans="1:21" x14ac:dyDescent="0.2">
      <c r="A50" t="s">
        <v>46</v>
      </c>
      <c r="B50" t="s">
        <v>63</v>
      </c>
      <c r="C50" t="s">
        <v>8</v>
      </c>
      <c r="D50" t="s">
        <v>10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38</v>
      </c>
      <c r="N50">
        <v>38</v>
      </c>
      <c r="O50">
        <v>40</v>
      </c>
      <c r="P50">
        <v>40</v>
      </c>
      <c r="Q50">
        <v>41</v>
      </c>
      <c r="R50">
        <v>41</v>
      </c>
      <c r="S50">
        <v>45</v>
      </c>
      <c r="T50">
        <v>50.593000000000004</v>
      </c>
      <c r="U50">
        <v>47.232999999999997</v>
      </c>
    </row>
    <row r="51" spans="1:21" x14ac:dyDescent="0.2">
      <c r="A51" t="s">
        <v>47</v>
      </c>
      <c r="B51" t="s">
        <v>63</v>
      </c>
      <c r="C51" t="s">
        <v>8</v>
      </c>
      <c r="D51" t="s">
        <v>10</v>
      </c>
      <c r="E51">
        <v>12198</v>
      </c>
      <c r="F51">
        <v>12228</v>
      </c>
      <c r="G51">
        <v>12385</v>
      </c>
      <c r="H51">
        <v>12626</v>
      </c>
      <c r="I51">
        <v>12863</v>
      </c>
      <c r="J51">
        <v>13160</v>
      </c>
      <c r="K51">
        <v>12520</v>
      </c>
      <c r="L51">
        <v>12324</v>
      </c>
      <c r="M51">
        <v>13218</v>
      </c>
      <c r="N51">
        <v>12990</v>
      </c>
      <c r="O51">
        <v>12484.800999999999</v>
      </c>
      <c r="P51">
        <v>12560.067999999999</v>
      </c>
      <c r="Q51">
        <v>12202.724</v>
      </c>
      <c r="R51">
        <v>12371.800999999999</v>
      </c>
      <c r="S51">
        <v>12860.609</v>
      </c>
      <c r="T51">
        <v>12842.906999999999</v>
      </c>
      <c r="U51">
        <v>12925.1</v>
      </c>
    </row>
    <row r="52" spans="1:21" x14ac:dyDescent="0.2">
      <c r="A52" t="s">
        <v>48</v>
      </c>
      <c r="B52" t="s">
        <v>63</v>
      </c>
      <c r="C52" t="s">
        <v>8</v>
      </c>
      <c r="D52" t="s">
        <v>10</v>
      </c>
      <c r="E52">
        <v>3337</v>
      </c>
      <c r="F52">
        <v>3360</v>
      </c>
      <c r="G52">
        <v>3540</v>
      </c>
      <c r="H52">
        <v>3569.8150000000001</v>
      </c>
      <c r="I52">
        <v>3687.9569999999999</v>
      </c>
      <c r="J52">
        <v>3865.489</v>
      </c>
      <c r="K52">
        <v>3901.0309999999999</v>
      </c>
      <c r="L52">
        <v>3944.5259999999998</v>
      </c>
      <c r="M52">
        <v>4270.8220000000001</v>
      </c>
      <c r="N52">
        <v>4267.4480000000003</v>
      </c>
      <c r="O52">
        <v>4368.8029999999999</v>
      </c>
      <c r="P52">
        <v>4290.2370000000001</v>
      </c>
      <c r="Q52">
        <v>4396.5209999999997</v>
      </c>
      <c r="R52">
        <v>4541.8559999999998</v>
      </c>
      <c r="S52">
        <v>4815.6570000000002</v>
      </c>
      <c r="T52">
        <v>4736.1279999999997</v>
      </c>
      <c r="U52">
        <v>4634.7719999999999</v>
      </c>
    </row>
    <row r="53" spans="1:21" x14ac:dyDescent="0.2">
      <c r="A53" t="s">
        <v>49</v>
      </c>
      <c r="B53" t="s">
        <v>63</v>
      </c>
      <c r="C53" t="s">
        <v>8</v>
      </c>
      <c r="D53" t="s">
        <v>10</v>
      </c>
      <c r="E53">
        <v>7473</v>
      </c>
      <c r="F53">
        <v>8089</v>
      </c>
      <c r="G53">
        <v>8212</v>
      </c>
      <c r="H53">
        <v>7905</v>
      </c>
      <c r="I53">
        <v>8424</v>
      </c>
      <c r="J53">
        <v>8442</v>
      </c>
      <c r="K53">
        <v>8033</v>
      </c>
      <c r="L53">
        <v>7630</v>
      </c>
      <c r="M53">
        <v>7181</v>
      </c>
      <c r="N53">
        <v>7785</v>
      </c>
      <c r="O53">
        <v>8133</v>
      </c>
      <c r="P53">
        <v>8312</v>
      </c>
      <c r="Q53">
        <v>8159</v>
      </c>
      <c r="R53">
        <v>8366</v>
      </c>
      <c r="S53">
        <v>8303</v>
      </c>
      <c r="T53">
        <v>8733.7189999999991</v>
      </c>
      <c r="U53">
        <v>8867.232</v>
      </c>
    </row>
    <row r="54" spans="1:21" x14ac:dyDescent="0.2">
      <c r="A54" t="s">
        <v>50</v>
      </c>
      <c r="B54" t="s">
        <v>63</v>
      </c>
      <c r="C54" t="s">
        <v>8</v>
      </c>
      <c r="D54" t="s">
        <v>10</v>
      </c>
      <c r="E54">
        <v>2331</v>
      </c>
      <c r="F54">
        <v>2480</v>
      </c>
      <c r="G54">
        <v>2555</v>
      </c>
      <c r="H54">
        <v>2561</v>
      </c>
      <c r="I54">
        <v>2637</v>
      </c>
      <c r="J54">
        <v>2679</v>
      </c>
      <c r="K54">
        <v>2509</v>
      </c>
      <c r="L54">
        <v>2172</v>
      </c>
      <c r="M54">
        <v>2491</v>
      </c>
      <c r="N54">
        <v>2401</v>
      </c>
      <c r="O54">
        <v>2294</v>
      </c>
      <c r="P54">
        <v>2289</v>
      </c>
      <c r="Q54">
        <v>2116</v>
      </c>
      <c r="R54">
        <v>2119</v>
      </c>
      <c r="S54">
        <v>2310.0419999999999</v>
      </c>
      <c r="T54">
        <v>2375.1109999999999</v>
      </c>
      <c r="U54">
        <v>2382.5909999999999</v>
      </c>
    </row>
    <row r="55" spans="1:21" x14ac:dyDescent="0.2">
      <c r="A55" t="s">
        <v>51</v>
      </c>
      <c r="B55" t="s">
        <v>63</v>
      </c>
      <c r="C55" t="s">
        <v>8</v>
      </c>
      <c r="D55" t="s">
        <v>10</v>
      </c>
      <c r="E55">
        <v>3859</v>
      </c>
      <c r="F55">
        <v>3696</v>
      </c>
      <c r="G55">
        <v>3526</v>
      </c>
      <c r="H55">
        <v>3417</v>
      </c>
      <c r="I55">
        <v>4320</v>
      </c>
      <c r="J55">
        <v>3734</v>
      </c>
      <c r="K55">
        <v>3916</v>
      </c>
      <c r="L55">
        <v>3299</v>
      </c>
      <c r="M55">
        <v>3468</v>
      </c>
      <c r="N55">
        <v>3876</v>
      </c>
      <c r="O55">
        <v>3647</v>
      </c>
      <c r="P55">
        <v>2998</v>
      </c>
      <c r="Q55">
        <v>3314</v>
      </c>
      <c r="R55">
        <v>3096</v>
      </c>
      <c r="S55">
        <v>3010</v>
      </c>
      <c r="T55">
        <v>3096.7449999999999</v>
      </c>
      <c r="U55">
        <v>3240.2530000000002</v>
      </c>
    </row>
    <row r="56" spans="1:21" x14ac:dyDescent="0.2">
      <c r="A56" t="s">
        <v>52</v>
      </c>
      <c r="B56" t="s">
        <v>63</v>
      </c>
      <c r="C56" t="s">
        <v>8</v>
      </c>
      <c r="D56" t="s">
        <v>10</v>
      </c>
      <c r="E56">
        <v>479</v>
      </c>
      <c r="F56">
        <v>897</v>
      </c>
      <c r="G56">
        <v>903</v>
      </c>
      <c r="H56">
        <v>852</v>
      </c>
      <c r="I56">
        <v>832</v>
      </c>
      <c r="J56">
        <v>900</v>
      </c>
      <c r="K56">
        <v>621</v>
      </c>
      <c r="L56">
        <v>615</v>
      </c>
      <c r="M56">
        <v>662</v>
      </c>
      <c r="N56">
        <v>647</v>
      </c>
      <c r="O56">
        <v>648</v>
      </c>
      <c r="P56">
        <v>621</v>
      </c>
      <c r="Q56">
        <v>662</v>
      </c>
      <c r="R56">
        <v>678</v>
      </c>
      <c r="S56">
        <v>677</v>
      </c>
      <c r="T56">
        <v>692.81799999999998</v>
      </c>
      <c r="U56">
        <v>641.35599999999999</v>
      </c>
    </row>
    <row r="57" spans="1:21" x14ac:dyDescent="0.2">
      <c r="A57" t="s">
        <v>53</v>
      </c>
      <c r="B57" t="s">
        <v>63</v>
      </c>
      <c r="C57" t="s">
        <v>8</v>
      </c>
      <c r="D57" t="s">
        <v>10</v>
      </c>
      <c r="E57">
        <v>1415</v>
      </c>
      <c r="F57">
        <v>1460</v>
      </c>
      <c r="G57">
        <v>1406</v>
      </c>
      <c r="H57">
        <v>1699</v>
      </c>
      <c r="I57">
        <v>1797</v>
      </c>
      <c r="J57">
        <v>1774</v>
      </c>
      <c r="K57">
        <v>1564</v>
      </c>
      <c r="L57">
        <v>1387</v>
      </c>
      <c r="M57">
        <v>804</v>
      </c>
      <c r="N57">
        <v>917</v>
      </c>
      <c r="O57">
        <v>1403</v>
      </c>
      <c r="P57">
        <v>1347</v>
      </c>
      <c r="Q57">
        <v>1203</v>
      </c>
      <c r="R57">
        <v>1312</v>
      </c>
      <c r="S57">
        <v>1264</v>
      </c>
      <c r="T57">
        <v>1108</v>
      </c>
      <c r="U57">
        <v>961</v>
      </c>
    </row>
    <row r="58" spans="1:21" x14ac:dyDescent="0.2">
      <c r="A58" t="s">
        <v>54</v>
      </c>
      <c r="B58" t="s">
        <v>63</v>
      </c>
      <c r="C58" t="s">
        <v>8</v>
      </c>
      <c r="D58" t="s">
        <v>10</v>
      </c>
      <c r="E58">
        <v>4568</v>
      </c>
      <c r="F58">
        <v>4621</v>
      </c>
      <c r="G58">
        <v>4770</v>
      </c>
      <c r="H58">
        <v>4619</v>
      </c>
      <c r="I58">
        <v>4878</v>
      </c>
      <c r="J58">
        <v>5064</v>
      </c>
      <c r="K58">
        <v>4768</v>
      </c>
      <c r="L58">
        <v>4299</v>
      </c>
      <c r="M58">
        <v>4595</v>
      </c>
      <c r="N58">
        <v>4745</v>
      </c>
      <c r="O58">
        <v>4637</v>
      </c>
      <c r="P58">
        <v>4751</v>
      </c>
      <c r="Q58">
        <v>4679</v>
      </c>
      <c r="R58">
        <v>4695</v>
      </c>
      <c r="S58">
        <v>5004</v>
      </c>
      <c r="T58">
        <v>4614</v>
      </c>
      <c r="U58">
        <v>4887</v>
      </c>
    </row>
    <row r="59" spans="1:21" x14ac:dyDescent="0.2">
      <c r="A59" t="s">
        <v>55</v>
      </c>
      <c r="B59" t="s">
        <v>63</v>
      </c>
      <c r="C59" t="s">
        <v>8</v>
      </c>
      <c r="D59" t="s">
        <v>10</v>
      </c>
      <c r="E59">
        <v>5560</v>
      </c>
      <c r="F59">
        <v>6663</v>
      </c>
      <c r="G59">
        <v>6796</v>
      </c>
      <c r="H59">
        <v>6635</v>
      </c>
      <c r="I59">
        <v>6353</v>
      </c>
      <c r="J59">
        <v>6137</v>
      </c>
      <c r="K59">
        <v>5904</v>
      </c>
      <c r="L59">
        <v>4474</v>
      </c>
      <c r="M59">
        <v>4914</v>
      </c>
      <c r="N59">
        <v>4611</v>
      </c>
      <c r="O59">
        <v>4600</v>
      </c>
      <c r="P59">
        <v>4615</v>
      </c>
      <c r="Q59">
        <v>4483</v>
      </c>
      <c r="R59">
        <v>4400</v>
      </c>
      <c r="S59">
        <v>4607</v>
      </c>
      <c r="T59">
        <v>4655</v>
      </c>
      <c r="U59">
        <v>4389</v>
      </c>
    </row>
    <row r="60" spans="1:21" x14ac:dyDescent="0.2">
      <c r="A60" t="s">
        <v>56</v>
      </c>
      <c r="B60" t="s">
        <v>63</v>
      </c>
      <c r="C60" t="s">
        <v>8</v>
      </c>
      <c r="D60" t="s">
        <v>10</v>
      </c>
      <c r="E60">
        <v>22861</v>
      </c>
      <c r="F60">
        <v>19741</v>
      </c>
      <c r="G60">
        <v>19928</v>
      </c>
      <c r="H60">
        <v>21125</v>
      </c>
      <c r="I60">
        <v>20391</v>
      </c>
      <c r="J60">
        <v>20197</v>
      </c>
      <c r="K60">
        <v>20287</v>
      </c>
      <c r="L60">
        <v>17702</v>
      </c>
      <c r="M60">
        <v>18468</v>
      </c>
      <c r="N60">
        <v>17640</v>
      </c>
      <c r="O60">
        <v>17507</v>
      </c>
      <c r="P60">
        <v>16525</v>
      </c>
      <c r="Q60">
        <v>15476</v>
      </c>
      <c r="R60">
        <v>15614.878000000001</v>
      </c>
      <c r="S60">
        <v>15088.12</v>
      </c>
      <c r="T60">
        <v>15233.713</v>
      </c>
      <c r="U60">
        <v>15268.031000000001</v>
      </c>
    </row>
    <row r="61" spans="1:21" x14ac:dyDescent="0.2">
      <c r="A61" t="s">
        <v>57</v>
      </c>
      <c r="B61" t="s">
        <v>63</v>
      </c>
      <c r="C61" t="s">
        <v>8</v>
      </c>
      <c r="D61" t="s">
        <v>10</v>
      </c>
      <c r="E61">
        <v>29</v>
      </c>
      <c r="F61">
        <v>20</v>
      </c>
      <c r="G61">
        <v>20</v>
      </c>
      <c r="H61">
        <v>19</v>
      </c>
      <c r="I61">
        <v>20</v>
      </c>
      <c r="J61">
        <v>50</v>
      </c>
      <c r="K61">
        <v>37</v>
      </c>
      <c r="L61">
        <v>39</v>
      </c>
      <c r="M61">
        <v>43</v>
      </c>
      <c r="N61">
        <v>46</v>
      </c>
      <c r="O61">
        <v>57</v>
      </c>
      <c r="P61">
        <v>39</v>
      </c>
      <c r="Q61">
        <v>66</v>
      </c>
      <c r="R61">
        <v>81</v>
      </c>
      <c r="S61">
        <v>87</v>
      </c>
      <c r="T61">
        <v>84.272000000000006</v>
      </c>
      <c r="U61">
        <v>96.326999999999998</v>
      </c>
    </row>
    <row r="62" spans="1:21" x14ac:dyDescent="0.2">
      <c r="A62" t="s">
        <v>58</v>
      </c>
      <c r="B62" t="s">
        <v>63</v>
      </c>
      <c r="C62" t="s">
        <v>8</v>
      </c>
      <c r="D62" t="s">
        <v>10</v>
      </c>
      <c r="E62">
        <v>6808</v>
      </c>
      <c r="F62">
        <v>6834</v>
      </c>
      <c r="G62">
        <v>7093</v>
      </c>
      <c r="H62">
        <v>7617</v>
      </c>
      <c r="I62">
        <v>7476</v>
      </c>
      <c r="J62">
        <v>7226</v>
      </c>
      <c r="K62">
        <v>7856</v>
      </c>
      <c r="L62">
        <v>6519</v>
      </c>
      <c r="M62">
        <v>7811</v>
      </c>
      <c r="N62">
        <v>7688</v>
      </c>
      <c r="O62">
        <v>7252</v>
      </c>
      <c r="P62">
        <v>7229</v>
      </c>
      <c r="Q62">
        <v>7650</v>
      </c>
      <c r="R62">
        <v>7829</v>
      </c>
      <c r="S62">
        <v>7748</v>
      </c>
      <c r="T62">
        <v>7454</v>
      </c>
      <c r="U62">
        <v>7638.9120000000003</v>
      </c>
    </row>
    <row r="63" spans="1:21" x14ac:dyDescent="0.2">
      <c r="A63" t="s">
        <v>59</v>
      </c>
      <c r="B63" t="s">
        <v>63</v>
      </c>
      <c r="C63" t="s">
        <v>8</v>
      </c>
      <c r="D63" t="s">
        <v>10</v>
      </c>
      <c r="E63">
        <v>463</v>
      </c>
      <c r="F63">
        <v>433</v>
      </c>
      <c r="G63">
        <v>957</v>
      </c>
      <c r="H63">
        <v>840</v>
      </c>
      <c r="I63">
        <v>930</v>
      </c>
      <c r="J63">
        <v>858</v>
      </c>
      <c r="K63">
        <v>1147</v>
      </c>
      <c r="L63">
        <v>625</v>
      </c>
      <c r="M63">
        <v>951</v>
      </c>
      <c r="N63">
        <v>611</v>
      </c>
      <c r="O63">
        <v>825</v>
      </c>
      <c r="P63">
        <v>932</v>
      </c>
      <c r="Q63">
        <v>903</v>
      </c>
      <c r="R63">
        <v>922</v>
      </c>
      <c r="S63">
        <v>1202</v>
      </c>
      <c r="T63">
        <v>1261.7249999999999</v>
      </c>
      <c r="U63">
        <v>1347.587</v>
      </c>
    </row>
    <row r="64" spans="1:21" x14ac:dyDescent="0.2">
      <c r="A64" t="s">
        <v>29</v>
      </c>
      <c r="B64" t="s">
        <v>64</v>
      </c>
      <c r="C64" t="s">
        <v>8</v>
      </c>
      <c r="D64" t="s">
        <v>10</v>
      </c>
      <c r="E64">
        <v>1997</v>
      </c>
      <c r="F64">
        <v>2083</v>
      </c>
      <c r="G64">
        <v>2123</v>
      </c>
      <c r="H64">
        <v>1729</v>
      </c>
      <c r="I64">
        <v>2468</v>
      </c>
      <c r="J64">
        <v>2298</v>
      </c>
      <c r="K64">
        <v>2207</v>
      </c>
      <c r="L64">
        <v>1328</v>
      </c>
      <c r="M64">
        <v>1775</v>
      </c>
      <c r="N64">
        <v>1859</v>
      </c>
      <c r="O64">
        <v>1911</v>
      </c>
      <c r="P64">
        <v>1882</v>
      </c>
      <c r="Q64">
        <v>1936.6</v>
      </c>
      <c r="R64">
        <v>1922.2</v>
      </c>
      <c r="S64">
        <v>1862</v>
      </c>
      <c r="T64">
        <v>1994</v>
      </c>
      <c r="U64">
        <v>2121</v>
      </c>
    </row>
    <row r="65" spans="1:21" x14ac:dyDescent="0.2">
      <c r="A65" t="s">
        <v>30</v>
      </c>
      <c r="B65" t="s">
        <v>64</v>
      </c>
      <c r="C65" t="s">
        <v>8</v>
      </c>
      <c r="D65" t="s">
        <v>10</v>
      </c>
      <c r="E65">
        <v>608</v>
      </c>
      <c r="F65">
        <v>753</v>
      </c>
      <c r="G65">
        <v>820</v>
      </c>
      <c r="H65">
        <v>816</v>
      </c>
      <c r="I65">
        <v>833</v>
      </c>
      <c r="J65">
        <v>849</v>
      </c>
      <c r="K65">
        <v>929</v>
      </c>
      <c r="L65">
        <v>880</v>
      </c>
      <c r="M65">
        <v>917</v>
      </c>
      <c r="N65">
        <v>952</v>
      </c>
      <c r="O65">
        <v>862</v>
      </c>
      <c r="P65">
        <v>1003</v>
      </c>
      <c r="Q65">
        <v>1004</v>
      </c>
      <c r="R65">
        <v>863</v>
      </c>
      <c r="S65">
        <v>770</v>
      </c>
      <c r="T65">
        <v>1049.3510000000001</v>
      </c>
      <c r="U65">
        <v>1081.7370000000001</v>
      </c>
    </row>
    <row r="66" spans="1:21" x14ac:dyDescent="0.2">
      <c r="A66" t="s">
        <v>31</v>
      </c>
      <c r="B66" t="s">
        <v>64</v>
      </c>
      <c r="C66" t="s">
        <v>8</v>
      </c>
      <c r="D66" t="s">
        <v>10</v>
      </c>
      <c r="E66">
        <v>104</v>
      </c>
      <c r="F66">
        <v>280</v>
      </c>
      <c r="G66">
        <v>291</v>
      </c>
      <c r="H66">
        <v>329</v>
      </c>
      <c r="I66">
        <v>336</v>
      </c>
      <c r="J66">
        <v>306</v>
      </c>
      <c r="K66">
        <v>309</v>
      </c>
      <c r="L66">
        <v>262</v>
      </c>
      <c r="M66">
        <v>215</v>
      </c>
      <c r="N66">
        <v>262</v>
      </c>
      <c r="O66">
        <v>354</v>
      </c>
      <c r="P66">
        <v>349</v>
      </c>
      <c r="Q66">
        <v>366</v>
      </c>
      <c r="R66">
        <v>365</v>
      </c>
      <c r="S66">
        <v>405</v>
      </c>
      <c r="T66">
        <v>411.31299999999999</v>
      </c>
      <c r="U66">
        <v>413.57</v>
      </c>
    </row>
    <row r="67" spans="1:21" x14ac:dyDescent="0.2">
      <c r="A67" t="s">
        <v>32</v>
      </c>
      <c r="B67" t="s">
        <v>64</v>
      </c>
      <c r="C67" t="s">
        <v>8</v>
      </c>
      <c r="D67" t="s">
        <v>10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2">
      <c r="A68" t="s">
        <v>33</v>
      </c>
      <c r="B68" t="s">
        <v>64</v>
      </c>
      <c r="C68" t="s">
        <v>8</v>
      </c>
      <c r="D68" t="s">
        <v>10</v>
      </c>
      <c r="E68">
        <v>18827</v>
      </c>
      <c r="F68">
        <v>17795</v>
      </c>
      <c r="G68">
        <v>18163</v>
      </c>
      <c r="H68">
        <v>17897</v>
      </c>
      <c r="I68">
        <v>15920</v>
      </c>
      <c r="J68">
        <v>16563</v>
      </c>
      <c r="K68">
        <v>17299</v>
      </c>
      <c r="L68">
        <v>11080</v>
      </c>
      <c r="M68">
        <v>13645</v>
      </c>
      <c r="N68">
        <v>13255</v>
      </c>
      <c r="O68">
        <v>12745</v>
      </c>
      <c r="P68">
        <v>12864</v>
      </c>
      <c r="Q68">
        <v>13418</v>
      </c>
      <c r="R68">
        <v>15871</v>
      </c>
      <c r="S68">
        <v>15979</v>
      </c>
      <c r="T68">
        <v>16276</v>
      </c>
      <c r="U68">
        <v>15785</v>
      </c>
    </row>
    <row r="69" spans="1:21" x14ac:dyDescent="0.2">
      <c r="A69" t="s">
        <v>34</v>
      </c>
      <c r="B69" t="s">
        <v>64</v>
      </c>
      <c r="C69" t="s">
        <v>8</v>
      </c>
      <c r="D69" t="s">
        <v>10</v>
      </c>
      <c r="E69">
        <v>3</v>
      </c>
      <c r="F69">
        <v>4</v>
      </c>
      <c r="G69">
        <v>3</v>
      </c>
      <c r="H69">
        <v>7</v>
      </c>
      <c r="I69">
        <v>7</v>
      </c>
      <c r="J69">
        <v>9</v>
      </c>
      <c r="K69">
        <v>9</v>
      </c>
      <c r="L69">
        <v>6</v>
      </c>
      <c r="M69">
        <v>10</v>
      </c>
      <c r="N69">
        <v>7</v>
      </c>
      <c r="O69">
        <v>9</v>
      </c>
      <c r="P69">
        <v>5</v>
      </c>
      <c r="Q69">
        <v>5</v>
      </c>
      <c r="R69">
        <v>4</v>
      </c>
      <c r="S69">
        <v>5</v>
      </c>
      <c r="T69">
        <v>0</v>
      </c>
      <c r="U69">
        <v>3</v>
      </c>
    </row>
    <row r="70" spans="1:21" x14ac:dyDescent="0.2">
      <c r="A70" t="s">
        <v>35</v>
      </c>
      <c r="B70" t="s">
        <v>64</v>
      </c>
      <c r="C70" t="s">
        <v>8</v>
      </c>
      <c r="D70" t="s">
        <v>10</v>
      </c>
      <c r="E70">
        <v>459.13</v>
      </c>
      <c r="F70">
        <v>427.51400000000001</v>
      </c>
      <c r="G70">
        <v>404.596</v>
      </c>
      <c r="H70">
        <v>450.904</v>
      </c>
      <c r="I70">
        <v>568.25400000000002</v>
      </c>
      <c r="J70">
        <v>582.78700000000003</v>
      </c>
      <c r="K70">
        <v>584.05200000000002</v>
      </c>
      <c r="L70">
        <v>510.471</v>
      </c>
      <c r="M70">
        <v>729.15099999999995</v>
      </c>
      <c r="N70">
        <v>740.82899999999995</v>
      </c>
      <c r="O70">
        <v>744.22400000000005</v>
      </c>
      <c r="P70">
        <v>741.20600000000002</v>
      </c>
      <c r="Q70">
        <v>747.03300000000002</v>
      </c>
      <c r="R70">
        <v>784.66600000000005</v>
      </c>
      <c r="S70">
        <v>789.38499999999999</v>
      </c>
      <c r="T70">
        <v>796.12400000000002</v>
      </c>
      <c r="U70">
        <v>823.72900000000004</v>
      </c>
    </row>
    <row r="71" spans="1:21" x14ac:dyDescent="0.2">
      <c r="A71" t="s">
        <v>36</v>
      </c>
      <c r="B71" t="s">
        <v>64</v>
      </c>
      <c r="C71" t="s">
        <v>8</v>
      </c>
      <c r="D71" t="s">
        <v>10</v>
      </c>
      <c r="E71">
        <v>3929</v>
      </c>
      <c r="F71">
        <v>3752</v>
      </c>
      <c r="G71">
        <v>4237</v>
      </c>
      <c r="H71">
        <v>4615</v>
      </c>
      <c r="I71">
        <v>4111</v>
      </c>
      <c r="J71">
        <v>4594</v>
      </c>
      <c r="K71">
        <v>3956</v>
      </c>
      <c r="L71">
        <v>4051</v>
      </c>
      <c r="M71">
        <v>5396</v>
      </c>
      <c r="N71">
        <v>4262</v>
      </c>
      <c r="O71">
        <v>4644</v>
      </c>
      <c r="P71">
        <v>4710</v>
      </c>
      <c r="Q71">
        <v>4710</v>
      </c>
      <c r="R71">
        <v>4770</v>
      </c>
      <c r="S71">
        <v>4366</v>
      </c>
      <c r="T71">
        <v>4570.5370000000003</v>
      </c>
      <c r="U71">
        <v>4867.25</v>
      </c>
    </row>
    <row r="72" spans="1:21" x14ac:dyDescent="0.2">
      <c r="A72" t="s">
        <v>37</v>
      </c>
      <c r="B72" t="s">
        <v>64</v>
      </c>
      <c r="C72" t="s">
        <v>8</v>
      </c>
      <c r="D72" t="s">
        <v>10</v>
      </c>
      <c r="E72">
        <v>10484</v>
      </c>
      <c r="F72">
        <v>10884</v>
      </c>
      <c r="G72">
        <v>11572</v>
      </c>
      <c r="H72">
        <v>10271</v>
      </c>
      <c r="I72">
        <v>10112</v>
      </c>
      <c r="J72">
        <v>10744</v>
      </c>
      <c r="K72">
        <v>10071</v>
      </c>
      <c r="L72">
        <v>9512</v>
      </c>
      <c r="M72">
        <v>8651</v>
      </c>
      <c r="N72">
        <v>10728</v>
      </c>
      <c r="O72">
        <v>10584</v>
      </c>
      <c r="P72">
        <v>9012</v>
      </c>
      <c r="Q72">
        <v>9362</v>
      </c>
      <c r="R72">
        <v>9544</v>
      </c>
      <c r="S72">
        <v>9333</v>
      </c>
      <c r="T72">
        <v>10070</v>
      </c>
      <c r="U72">
        <v>9137</v>
      </c>
    </row>
    <row r="73" spans="1:21" x14ac:dyDescent="0.2">
      <c r="A73" t="s">
        <v>38</v>
      </c>
      <c r="B73" t="s">
        <v>64</v>
      </c>
      <c r="C73" t="s">
        <v>8</v>
      </c>
      <c r="D73" t="s">
        <v>10</v>
      </c>
      <c r="E73">
        <v>10211</v>
      </c>
      <c r="F73">
        <v>9919</v>
      </c>
      <c r="G73">
        <v>10197</v>
      </c>
      <c r="H73">
        <v>9833</v>
      </c>
      <c r="I73">
        <v>9548</v>
      </c>
      <c r="J73">
        <v>9287</v>
      </c>
      <c r="K73">
        <v>7902</v>
      </c>
      <c r="L73">
        <v>7152</v>
      </c>
      <c r="M73">
        <v>7468</v>
      </c>
      <c r="N73">
        <v>8126.527</v>
      </c>
      <c r="O73">
        <v>7963.1180000000004</v>
      </c>
      <c r="P73">
        <v>7848.4709999999995</v>
      </c>
      <c r="Q73">
        <v>8287.5779999999995</v>
      </c>
      <c r="R73">
        <v>8734.6119999999992</v>
      </c>
      <c r="S73">
        <v>8838.5040000000008</v>
      </c>
      <c r="T73">
        <v>8933.1149999999998</v>
      </c>
      <c r="U73">
        <v>8235.6280000000006</v>
      </c>
    </row>
    <row r="74" spans="1:21" x14ac:dyDescent="0.2">
      <c r="A74" t="s">
        <v>39</v>
      </c>
      <c r="B74" t="s">
        <v>64</v>
      </c>
      <c r="C74" t="s">
        <v>8</v>
      </c>
      <c r="D74" t="s">
        <v>10</v>
      </c>
      <c r="E74">
        <v>92</v>
      </c>
      <c r="F74">
        <v>80</v>
      </c>
      <c r="G74">
        <v>80</v>
      </c>
      <c r="H74">
        <v>93</v>
      </c>
      <c r="I74">
        <v>91</v>
      </c>
      <c r="J74">
        <v>96</v>
      </c>
      <c r="K74">
        <v>78</v>
      </c>
      <c r="L74">
        <v>77</v>
      </c>
      <c r="M74">
        <v>71</v>
      </c>
      <c r="N74">
        <v>82</v>
      </c>
      <c r="O74">
        <v>86</v>
      </c>
      <c r="P74">
        <v>86</v>
      </c>
      <c r="Q74">
        <v>79</v>
      </c>
      <c r="R74">
        <v>36</v>
      </c>
      <c r="S74">
        <v>32</v>
      </c>
      <c r="T74">
        <v>86.2</v>
      </c>
      <c r="U74">
        <v>98.7</v>
      </c>
    </row>
    <row r="75" spans="1:21" x14ac:dyDescent="0.2">
      <c r="A75" t="s">
        <v>40</v>
      </c>
      <c r="B75" t="s">
        <v>64</v>
      </c>
      <c r="C75" t="s">
        <v>8</v>
      </c>
      <c r="D75" t="s">
        <v>10</v>
      </c>
      <c r="E75">
        <v>5619</v>
      </c>
      <c r="F75">
        <v>5464</v>
      </c>
      <c r="G75">
        <v>5538</v>
      </c>
      <c r="H75">
        <v>5635</v>
      </c>
      <c r="I75">
        <v>5753</v>
      </c>
      <c r="J75">
        <v>5553</v>
      </c>
      <c r="K75">
        <v>5598</v>
      </c>
      <c r="L75">
        <v>5092</v>
      </c>
      <c r="M75">
        <v>4573</v>
      </c>
      <c r="N75">
        <v>4628</v>
      </c>
      <c r="O75">
        <v>3825</v>
      </c>
      <c r="P75">
        <v>2416</v>
      </c>
      <c r="Q75">
        <v>2522</v>
      </c>
      <c r="R75">
        <v>2483</v>
      </c>
      <c r="S75">
        <v>2477</v>
      </c>
      <c r="T75">
        <v>2556.2249999999999</v>
      </c>
      <c r="U75">
        <v>2528.1849999999999</v>
      </c>
    </row>
    <row r="76" spans="1:21" x14ac:dyDescent="0.2">
      <c r="A76" t="s">
        <v>41</v>
      </c>
      <c r="B76" t="s">
        <v>64</v>
      </c>
      <c r="C76" t="s">
        <v>8</v>
      </c>
      <c r="D76" t="s">
        <v>10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2">
      <c r="A77" t="s">
        <v>42</v>
      </c>
      <c r="B77" t="s">
        <v>64</v>
      </c>
      <c r="C77" t="s">
        <v>8</v>
      </c>
      <c r="D77" t="s">
        <v>10</v>
      </c>
      <c r="E77">
        <v>3</v>
      </c>
      <c r="F77">
        <v>3</v>
      </c>
      <c r="G77">
        <v>3</v>
      </c>
      <c r="H77">
        <v>3</v>
      </c>
      <c r="I77">
        <v>2</v>
      </c>
      <c r="J77">
        <v>2</v>
      </c>
      <c r="K77">
        <v>1</v>
      </c>
      <c r="L77">
        <v>1</v>
      </c>
      <c r="M77">
        <v>1</v>
      </c>
      <c r="N77">
        <v>2</v>
      </c>
      <c r="O77">
        <v>2</v>
      </c>
      <c r="P77">
        <v>1</v>
      </c>
      <c r="Q77">
        <v>1</v>
      </c>
      <c r="R77">
        <v>0</v>
      </c>
      <c r="S77">
        <v>0</v>
      </c>
      <c r="T77">
        <v>4.867</v>
      </c>
      <c r="U77">
        <v>5.0039999999999996</v>
      </c>
    </row>
    <row r="78" spans="1:21" x14ac:dyDescent="0.2">
      <c r="A78" t="s">
        <v>43</v>
      </c>
      <c r="B78" t="s">
        <v>64</v>
      </c>
      <c r="C78" t="s">
        <v>8</v>
      </c>
      <c r="D78" t="s">
        <v>10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2">
      <c r="A79" t="s">
        <v>44</v>
      </c>
      <c r="B79" t="s">
        <v>64</v>
      </c>
      <c r="C79" t="s">
        <v>8</v>
      </c>
      <c r="D79" t="s">
        <v>10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2">
      <c r="A80" t="s">
        <v>45</v>
      </c>
      <c r="B80" t="s">
        <v>64</v>
      </c>
      <c r="C80" t="s">
        <v>8</v>
      </c>
      <c r="D80" t="s">
        <v>10</v>
      </c>
      <c r="E80">
        <v>1085</v>
      </c>
      <c r="F80">
        <v>1053</v>
      </c>
      <c r="G80">
        <v>1058</v>
      </c>
      <c r="H80">
        <v>906</v>
      </c>
      <c r="I80">
        <v>508</v>
      </c>
      <c r="J80">
        <v>470</v>
      </c>
      <c r="K80">
        <v>466</v>
      </c>
      <c r="L80">
        <v>362</v>
      </c>
      <c r="M80">
        <v>431</v>
      </c>
      <c r="N80">
        <v>435</v>
      </c>
      <c r="O80">
        <v>506</v>
      </c>
      <c r="P80">
        <v>470</v>
      </c>
      <c r="Q80">
        <v>389</v>
      </c>
      <c r="R80">
        <v>385</v>
      </c>
      <c r="S80">
        <v>401</v>
      </c>
      <c r="T80">
        <v>429</v>
      </c>
      <c r="U80">
        <v>438</v>
      </c>
    </row>
    <row r="81" spans="1:21" x14ac:dyDescent="0.2">
      <c r="A81" t="s">
        <v>46</v>
      </c>
      <c r="B81" t="s">
        <v>64</v>
      </c>
      <c r="C81" t="s">
        <v>8</v>
      </c>
      <c r="D81" t="s">
        <v>10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2">
      <c r="A82" t="s">
        <v>47</v>
      </c>
      <c r="B82" t="s">
        <v>64</v>
      </c>
      <c r="C82" t="s">
        <v>8</v>
      </c>
      <c r="D82" t="s">
        <v>10</v>
      </c>
      <c r="E82">
        <v>5747</v>
      </c>
      <c r="F82">
        <v>5828</v>
      </c>
      <c r="G82">
        <v>6328</v>
      </c>
      <c r="H82">
        <v>6332</v>
      </c>
      <c r="I82">
        <v>5722</v>
      </c>
      <c r="J82">
        <v>6005</v>
      </c>
      <c r="K82">
        <v>6390</v>
      </c>
      <c r="L82">
        <v>3838</v>
      </c>
      <c r="M82">
        <v>4777</v>
      </c>
      <c r="N82">
        <v>6114</v>
      </c>
      <c r="O82">
        <v>2774</v>
      </c>
      <c r="P82">
        <v>2838</v>
      </c>
      <c r="Q82">
        <v>1630</v>
      </c>
      <c r="R82">
        <v>2037.0830000000001</v>
      </c>
      <c r="S82">
        <v>2222.39</v>
      </c>
      <c r="T82">
        <v>1994.8209999999999</v>
      </c>
      <c r="U82">
        <v>2237.9940000000001</v>
      </c>
    </row>
    <row r="83" spans="1:21" x14ac:dyDescent="0.2">
      <c r="A83" t="s">
        <v>48</v>
      </c>
      <c r="B83" t="s">
        <v>64</v>
      </c>
      <c r="C83" t="s">
        <v>8</v>
      </c>
      <c r="D83" t="s">
        <v>10</v>
      </c>
      <c r="E83">
        <v>662</v>
      </c>
      <c r="F83">
        <v>704</v>
      </c>
      <c r="G83">
        <v>776</v>
      </c>
      <c r="H83">
        <v>798.08500000000004</v>
      </c>
      <c r="I83">
        <v>829.12199999999996</v>
      </c>
      <c r="J83">
        <v>882.66300000000001</v>
      </c>
      <c r="K83">
        <v>860.91899999999998</v>
      </c>
      <c r="L83">
        <v>782.13900000000001</v>
      </c>
      <c r="M83">
        <v>852.12300000000005</v>
      </c>
      <c r="N83">
        <v>966.35599999999999</v>
      </c>
      <c r="O83">
        <v>986.80399999999997</v>
      </c>
      <c r="P83">
        <v>952.995</v>
      </c>
      <c r="Q83">
        <v>992.66</v>
      </c>
      <c r="R83">
        <v>962.60500000000002</v>
      </c>
      <c r="S83">
        <v>1034.4570000000001</v>
      </c>
      <c r="T83">
        <v>1045.556</v>
      </c>
      <c r="U83">
        <v>1060.201</v>
      </c>
    </row>
    <row r="84" spans="1:21" x14ac:dyDescent="0.2">
      <c r="A84" t="s">
        <v>49</v>
      </c>
      <c r="B84" t="s">
        <v>64</v>
      </c>
      <c r="C84" t="s">
        <v>8</v>
      </c>
      <c r="D84" t="s">
        <v>10</v>
      </c>
      <c r="E84">
        <v>3523</v>
      </c>
      <c r="F84">
        <v>3511</v>
      </c>
      <c r="G84">
        <v>3559</v>
      </c>
      <c r="H84">
        <v>3483</v>
      </c>
      <c r="I84">
        <v>3565</v>
      </c>
      <c r="J84">
        <v>3526</v>
      </c>
      <c r="K84">
        <v>2962</v>
      </c>
      <c r="L84">
        <v>2316</v>
      </c>
      <c r="M84">
        <v>1713</v>
      </c>
      <c r="N84">
        <v>1944</v>
      </c>
      <c r="O84">
        <v>1973</v>
      </c>
      <c r="P84">
        <v>1972</v>
      </c>
      <c r="Q84">
        <v>2088</v>
      </c>
      <c r="R84">
        <v>2115</v>
      </c>
      <c r="S84">
        <v>2145</v>
      </c>
      <c r="T84">
        <v>2339.7489999999998</v>
      </c>
      <c r="U84">
        <v>2389.3789999999999</v>
      </c>
    </row>
    <row r="85" spans="1:21" x14ac:dyDescent="0.2">
      <c r="A85" t="s">
        <v>50</v>
      </c>
      <c r="B85" t="s">
        <v>64</v>
      </c>
      <c r="C85" t="s">
        <v>8</v>
      </c>
      <c r="D85" t="s">
        <v>10</v>
      </c>
      <c r="E85">
        <v>117</v>
      </c>
      <c r="F85">
        <v>116</v>
      </c>
      <c r="G85">
        <v>121</v>
      </c>
      <c r="H85">
        <v>122</v>
      </c>
      <c r="I85">
        <v>127</v>
      </c>
      <c r="J85">
        <v>141</v>
      </c>
      <c r="K85">
        <v>139</v>
      </c>
      <c r="L85">
        <v>116</v>
      </c>
      <c r="M85">
        <v>136</v>
      </c>
      <c r="N85">
        <v>118</v>
      </c>
      <c r="O85">
        <v>115</v>
      </c>
      <c r="P85">
        <v>118</v>
      </c>
      <c r="Q85">
        <v>122</v>
      </c>
      <c r="R85">
        <v>126</v>
      </c>
      <c r="S85">
        <v>109.595</v>
      </c>
      <c r="T85">
        <v>114.92400000000001</v>
      </c>
      <c r="U85">
        <v>111.753</v>
      </c>
    </row>
    <row r="86" spans="1:21" x14ac:dyDescent="0.2">
      <c r="A86" t="s">
        <v>51</v>
      </c>
      <c r="B86" t="s">
        <v>64</v>
      </c>
      <c r="C86" t="s">
        <v>8</v>
      </c>
      <c r="D86" t="s">
        <v>10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3358.1179999999999</v>
      </c>
      <c r="U86">
        <v>3485.1869999999999</v>
      </c>
    </row>
    <row r="87" spans="1:21" x14ac:dyDescent="0.2">
      <c r="A87" t="s">
        <v>52</v>
      </c>
      <c r="B87" t="s">
        <v>64</v>
      </c>
      <c r="C87" t="s">
        <v>8</v>
      </c>
      <c r="D87" t="s">
        <v>10</v>
      </c>
      <c r="E87">
        <v>1494</v>
      </c>
      <c r="F87">
        <v>1757</v>
      </c>
      <c r="G87">
        <v>1798</v>
      </c>
      <c r="H87">
        <v>1911</v>
      </c>
      <c r="I87">
        <v>1838</v>
      </c>
      <c r="J87">
        <v>1963</v>
      </c>
      <c r="K87">
        <v>1284</v>
      </c>
      <c r="L87">
        <v>666</v>
      </c>
      <c r="M87">
        <v>707</v>
      </c>
      <c r="N87">
        <v>1201</v>
      </c>
      <c r="O87">
        <v>1302</v>
      </c>
      <c r="P87">
        <v>1302</v>
      </c>
      <c r="Q87">
        <v>1312</v>
      </c>
      <c r="R87">
        <v>1331</v>
      </c>
      <c r="S87">
        <v>1351</v>
      </c>
      <c r="T87">
        <v>1351.443</v>
      </c>
      <c r="U87">
        <v>1324.769</v>
      </c>
    </row>
    <row r="88" spans="1:21" x14ac:dyDescent="0.2">
      <c r="A88" t="s">
        <v>53</v>
      </c>
      <c r="B88" t="s">
        <v>64</v>
      </c>
      <c r="C88" t="s">
        <v>8</v>
      </c>
      <c r="D88" t="s">
        <v>10</v>
      </c>
      <c r="E88">
        <v>1683</v>
      </c>
      <c r="F88">
        <v>2022</v>
      </c>
      <c r="G88">
        <v>2352</v>
      </c>
      <c r="H88">
        <v>2376</v>
      </c>
      <c r="I88">
        <v>2400</v>
      </c>
      <c r="J88">
        <v>2120</v>
      </c>
      <c r="K88">
        <v>2502</v>
      </c>
      <c r="L88">
        <v>2249</v>
      </c>
      <c r="M88">
        <v>2455</v>
      </c>
      <c r="N88">
        <v>2454</v>
      </c>
      <c r="O88">
        <v>2476</v>
      </c>
      <c r="P88">
        <v>2478</v>
      </c>
      <c r="Q88">
        <v>2523</v>
      </c>
      <c r="R88">
        <v>2563</v>
      </c>
      <c r="S88">
        <v>2586</v>
      </c>
      <c r="T88">
        <v>2615</v>
      </c>
      <c r="U88">
        <v>2530</v>
      </c>
    </row>
    <row r="89" spans="1:21" x14ac:dyDescent="0.2">
      <c r="A89" t="s">
        <v>54</v>
      </c>
      <c r="B89" t="s">
        <v>64</v>
      </c>
      <c r="C89" t="s">
        <v>8</v>
      </c>
      <c r="D89" t="s">
        <v>10</v>
      </c>
      <c r="E89">
        <v>1659</v>
      </c>
      <c r="F89">
        <v>1888</v>
      </c>
      <c r="G89">
        <v>2063</v>
      </c>
      <c r="H89">
        <v>1874</v>
      </c>
      <c r="I89">
        <v>2004</v>
      </c>
      <c r="J89">
        <v>2026</v>
      </c>
      <c r="K89">
        <v>1909</v>
      </c>
      <c r="L89">
        <v>1667</v>
      </c>
      <c r="M89">
        <v>1908</v>
      </c>
      <c r="N89">
        <v>1779</v>
      </c>
      <c r="O89">
        <v>1856</v>
      </c>
      <c r="P89">
        <v>1913</v>
      </c>
      <c r="Q89">
        <v>1910</v>
      </c>
      <c r="R89">
        <v>1851</v>
      </c>
      <c r="S89">
        <v>1850</v>
      </c>
      <c r="T89">
        <v>1895</v>
      </c>
      <c r="U89">
        <v>1933</v>
      </c>
    </row>
    <row r="90" spans="1:21" x14ac:dyDescent="0.2">
      <c r="A90" t="s">
        <v>55</v>
      </c>
      <c r="B90" t="s">
        <v>64</v>
      </c>
      <c r="C90" t="s">
        <v>8</v>
      </c>
      <c r="D90" t="s">
        <v>10</v>
      </c>
      <c r="E90">
        <v>2972</v>
      </c>
      <c r="F90">
        <v>2943</v>
      </c>
      <c r="G90">
        <v>3002</v>
      </c>
      <c r="H90">
        <v>3268</v>
      </c>
      <c r="I90">
        <v>3225</v>
      </c>
      <c r="J90">
        <v>3275</v>
      </c>
      <c r="K90">
        <v>3034</v>
      </c>
      <c r="L90">
        <v>2300</v>
      </c>
      <c r="M90">
        <v>2395</v>
      </c>
      <c r="N90">
        <v>3005</v>
      </c>
      <c r="O90">
        <v>3200</v>
      </c>
      <c r="P90">
        <v>3106</v>
      </c>
      <c r="Q90">
        <v>2907</v>
      </c>
      <c r="R90">
        <v>2890</v>
      </c>
      <c r="S90">
        <v>2935</v>
      </c>
      <c r="T90">
        <v>2972</v>
      </c>
      <c r="U90">
        <v>3003</v>
      </c>
    </row>
    <row r="91" spans="1:21" x14ac:dyDescent="0.2">
      <c r="A91" t="s">
        <v>56</v>
      </c>
      <c r="B91" t="s">
        <v>64</v>
      </c>
      <c r="C91" t="s">
        <v>8</v>
      </c>
      <c r="D91" t="s">
        <v>10</v>
      </c>
      <c r="E91">
        <v>6365</v>
      </c>
      <c r="F91">
        <v>7244</v>
      </c>
      <c r="G91">
        <v>7468</v>
      </c>
      <c r="H91">
        <v>7693</v>
      </c>
      <c r="I91">
        <v>7524</v>
      </c>
      <c r="J91">
        <v>7386</v>
      </c>
      <c r="K91">
        <v>7391</v>
      </c>
      <c r="L91">
        <v>6075</v>
      </c>
      <c r="M91">
        <v>6726</v>
      </c>
      <c r="N91">
        <v>6971</v>
      </c>
      <c r="O91">
        <v>5028</v>
      </c>
      <c r="P91">
        <v>4430</v>
      </c>
      <c r="Q91">
        <v>4475</v>
      </c>
      <c r="R91">
        <v>4424.2370000000001</v>
      </c>
      <c r="S91">
        <v>4506.9049999999997</v>
      </c>
      <c r="T91">
        <v>4305.8860000000004</v>
      </c>
      <c r="U91">
        <v>4087.9450000000002</v>
      </c>
    </row>
    <row r="92" spans="1:21" x14ac:dyDescent="0.2">
      <c r="A92" t="s">
        <v>57</v>
      </c>
      <c r="B92" t="s">
        <v>64</v>
      </c>
      <c r="C92" t="s">
        <v>8</v>
      </c>
      <c r="D92" t="s">
        <v>10</v>
      </c>
      <c r="E92">
        <v>4170</v>
      </c>
      <c r="F92">
        <v>4180</v>
      </c>
      <c r="G92">
        <v>4202</v>
      </c>
      <c r="H92">
        <v>4211</v>
      </c>
      <c r="I92">
        <v>5287</v>
      </c>
      <c r="J92">
        <v>7112</v>
      </c>
      <c r="K92">
        <v>11551</v>
      </c>
      <c r="L92">
        <v>12031</v>
      </c>
      <c r="M92">
        <v>12021</v>
      </c>
      <c r="N92">
        <v>12343</v>
      </c>
      <c r="O92">
        <v>12508</v>
      </c>
      <c r="P92">
        <v>12918</v>
      </c>
      <c r="Q92">
        <v>12981</v>
      </c>
      <c r="R92">
        <v>13263</v>
      </c>
      <c r="S92">
        <v>13072</v>
      </c>
      <c r="T92">
        <v>13491.017</v>
      </c>
      <c r="U92">
        <v>13525.048000000001</v>
      </c>
    </row>
    <row r="93" spans="1:21" x14ac:dyDescent="0.2">
      <c r="A93" t="s">
        <v>58</v>
      </c>
      <c r="B93" t="s">
        <v>64</v>
      </c>
      <c r="C93" t="s">
        <v>8</v>
      </c>
      <c r="D93" t="s">
        <v>10</v>
      </c>
      <c r="E93">
        <v>18809</v>
      </c>
      <c r="F93">
        <v>20599</v>
      </c>
      <c r="G93">
        <v>22418</v>
      </c>
      <c r="H93">
        <v>23757</v>
      </c>
      <c r="I93">
        <v>23590</v>
      </c>
      <c r="J93">
        <v>22869</v>
      </c>
      <c r="K93">
        <v>22982</v>
      </c>
      <c r="L93">
        <v>19115</v>
      </c>
      <c r="M93">
        <v>18675</v>
      </c>
      <c r="N93">
        <v>18785</v>
      </c>
      <c r="O93">
        <v>19029</v>
      </c>
      <c r="P93">
        <v>19237</v>
      </c>
      <c r="Q93">
        <v>19662</v>
      </c>
      <c r="R93">
        <v>20386</v>
      </c>
      <c r="S93">
        <v>20764</v>
      </c>
      <c r="T93">
        <v>20828</v>
      </c>
      <c r="U93">
        <v>21651.188999999998</v>
      </c>
    </row>
    <row r="94" spans="1:21" x14ac:dyDescent="0.2">
      <c r="A94" t="s">
        <v>59</v>
      </c>
      <c r="B94" t="s">
        <v>64</v>
      </c>
      <c r="C94" t="s">
        <v>8</v>
      </c>
      <c r="D94" t="s">
        <v>10</v>
      </c>
      <c r="E94">
        <v>0</v>
      </c>
      <c r="F94">
        <v>0</v>
      </c>
      <c r="G94">
        <v>301</v>
      </c>
      <c r="H94">
        <v>350</v>
      </c>
      <c r="I94">
        <v>379</v>
      </c>
      <c r="J94">
        <v>290</v>
      </c>
      <c r="K94">
        <v>373</v>
      </c>
      <c r="L94">
        <v>193</v>
      </c>
      <c r="M94">
        <v>263</v>
      </c>
      <c r="N94">
        <v>316</v>
      </c>
      <c r="O94">
        <v>388</v>
      </c>
      <c r="P94">
        <v>400</v>
      </c>
      <c r="Q94">
        <v>340</v>
      </c>
      <c r="R94">
        <v>369</v>
      </c>
      <c r="S94">
        <v>424</v>
      </c>
      <c r="T94">
        <v>445.03</v>
      </c>
      <c r="U94">
        <v>439.96</v>
      </c>
    </row>
    <row r="95" spans="1:21" x14ac:dyDescent="0.2">
      <c r="A95" t="s">
        <v>29</v>
      </c>
      <c r="B95" t="s">
        <v>65</v>
      </c>
      <c r="C95" t="s">
        <v>8</v>
      </c>
      <c r="D95" t="s">
        <v>10</v>
      </c>
      <c r="E95">
        <v>2515</v>
      </c>
      <c r="F95">
        <v>2563</v>
      </c>
      <c r="G95">
        <v>2613</v>
      </c>
      <c r="H95">
        <v>2325</v>
      </c>
      <c r="I95">
        <v>2411</v>
      </c>
      <c r="J95">
        <v>2370</v>
      </c>
      <c r="K95">
        <v>2449</v>
      </c>
      <c r="L95">
        <v>1959</v>
      </c>
      <c r="M95">
        <v>1059</v>
      </c>
      <c r="N95">
        <v>2967</v>
      </c>
      <c r="O95">
        <v>3699</v>
      </c>
      <c r="P95">
        <v>2829</v>
      </c>
      <c r="Q95">
        <v>2865.4</v>
      </c>
      <c r="R95">
        <v>2791.9</v>
      </c>
      <c r="S95">
        <v>2766.8</v>
      </c>
      <c r="T95">
        <v>2422.1999999999998</v>
      </c>
      <c r="U95">
        <v>2437.6999999999998</v>
      </c>
    </row>
    <row r="96" spans="1:21" x14ac:dyDescent="0.2">
      <c r="A96" t="s">
        <v>30</v>
      </c>
      <c r="B96" t="s">
        <v>65</v>
      </c>
      <c r="C96" t="s">
        <v>8</v>
      </c>
      <c r="D96" t="s">
        <v>10</v>
      </c>
      <c r="E96">
        <v>606</v>
      </c>
      <c r="F96">
        <v>638</v>
      </c>
      <c r="G96">
        <v>698</v>
      </c>
      <c r="H96">
        <v>790</v>
      </c>
      <c r="I96">
        <v>877</v>
      </c>
      <c r="J96">
        <v>983</v>
      </c>
      <c r="K96">
        <v>977</v>
      </c>
      <c r="L96">
        <v>728</v>
      </c>
      <c r="M96">
        <v>755</v>
      </c>
      <c r="N96">
        <v>755</v>
      </c>
      <c r="O96">
        <v>750</v>
      </c>
      <c r="P96">
        <v>738</v>
      </c>
      <c r="Q96">
        <v>845</v>
      </c>
      <c r="R96">
        <v>886</v>
      </c>
      <c r="S96">
        <v>892</v>
      </c>
      <c r="T96">
        <v>934.13900000000001</v>
      </c>
      <c r="U96">
        <v>944.58699999999999</v>
      </c>
    </row>
    <row r="97" spans="1:21" x14ac:dyDescent="0.2">
      <c r="A97" t="s">
        <v>31</v>
      </c>
      <c r="B97" t="s">
        <v>65</v>
      </c>
      <c r="C97" t="s">
        <v>8</v>
      </c>
      <c r="D97" t="s">
        <v>10</v>
      </c>
      <c r="E97">
        <v>2162</v>
      </c>
      <c r="F97">
        <v>2381</v>
      </c>
      <c r="G97">
        <v>2432</v>
      </c>
      <c r="H97">
        <v>2537</v>
      </c>
      <c r="I97">
        <v>2489</v>
      </c>
      <c r="J97">
        <v>2701</v>
      </c>
      <c r="K97">
        <v>2655</v>
      </c>
      <c r="L97">
        <v>1996</v>
      </c>
      <c r="M97">
        <v>2115</v>
      </c>
      <c r="N97">
        <v>2234</v>
      </c>
      <c r="O97">
        <v>2197</v>
      </c>
      <c r="P97">
        <v>2008</v>
      </c>
      <c r="Q97">
        <v>2188</v>
      </c>
      <c r="R97">
        <v>2279</v>
      </c>
      <c r="S97">
        <v>2382</v>
      </c>
      <c r="T97">
        <v>2431.2089999999998</v>
      </c>
      <c r="U97">
        <v>2474.0619999999999</v>
      </c>
    </row>
    <row r="98" spans="1:21" x14ac:dyDescent="0.2">
      <c r="A98" t="s">
        <v>32</v>
      </c>
      <c r="B98" t="s">
        <v>65</v>
      </c>
      <c r="C98" t="s">
        <v>8</v>
      </c>
      <c r="D98" t="s">
        <v>10</v>
      </c>
      <c r="E98">
        <v>881</v>
      </c>
      <c r="F98">
        <v>870</v>
      </c>
      <c r="G98">
        <v>904</v>
      </c>
      <c r="H98">
        <v>946</v>
      </c>
      <c r="I98">
        <v>963</v>
      </c>
      <c r="J98">
        <v>974</v>
      </c>
      <c r="K98">
        <v>806</v>
      </c>
      <c r="L98">
        <v>664</v>
      </c>
      <c r="M98">
        <v>659</v>
      </c>
      <c r="N98">
        <v>688</v>
      </c>
      <c r="O98">
        <v>758</v>
      </c>
      <c r="P98">
        <v>736</v>
      </c>
      <c r="Q98">
        <v>731</v>
      </c>
      <c r="R98">
        <v>744.21699999999998</v>
      </c>
      <c r="S98">
        <v>789.24099999999999</v>
      </c>
      <c r="T98">
        <v>801.35</v>
      </c>
      <c r="U98">
        <v>800.572</v>
      </c>
    </row>
    <row r="99" spans="1:21" x14ac:dyDescent="0.2">
      <c r="A99" t="s">
        <v>33</v>
      </c>
      <c r="B99" t="s">
        <v>65</v>
      </c>
      <c r="C99" t="s">
        <v>8</v>
      </c>
      <c r="D99" t="s">
        <v>10</v>
      </c>
      <c r="E99">
        <v>15087</v>
      </c>
      <c r="F99">
        <v>12515</v>
      </c>
      <c r="G99">
        <v>12743</v>
      </c>
      <c r="H99">
        <v>12459</v>
      </c>
      <c r="I99">
        <v>12791</v>
      </c>
      <c r="J99">
        <v>14168</v>
      </c>
      <c r="K99">
        <v>12803</v>
      </c>
      <c r="L99">
        <v>11628</v>
      </c>
      <c r="M99">
        <v>12234</v>
      </c>
      <c r="N99">
        <v>12918</v>
      </c>
      <c r="O99">
        <v>12275</v>
      </c>
      <c r="P99">
        <v>12230</v>
      </c>
      <c r="Q99">
        <v>12120</v>
      </c>
      <c r="R99">
        <v>12296</v>
      </c>
      <c r="S99">
        <v>12318</v>
      </c>
      <c r="T99">
        <v>12751</v>
      </c>
      <c r="U99">
        <v>12701</v>
      </c>
    </row>
    <row r="100" spans="1:21" x14ac:dyDescent="0.2">
      <c r="A100" t="s">
        <v>34</v>
      </c>
      <c r="B100" t="s">
        <v>65</v>
      </c>
      <c r="C100" t="s">
        <v>8</v>
      </c>
      <c r="D100" t="s">
        <v>10</v>
      </c>
      <c r="E100">
        <v>172</v>
      </c>
      <c r="F100">
        <v>194</v>
      </c>
      <c r="G100">
        <v>200</v>
      </c>
      <c r="H100">
        <v>205</v>
      </c>
      <c r="I100">
        <v>218</v>
      </c>
      <c r="J100">
        <v>262</v>
      </c>
      <c r="K100">
        <v>245</v>
      </c>
      <c r="L100">
        <v>205</v>
      </c>
      <c r="M100">
        <v>210</v>
      </c>
      <c r="N100">
        <v>202</v>
      </c>
      <c r="O100">
        <v>206</v>
      </c>
      <c r="P100">
        <v>194</v>
      </c>
      <c r="Q100">
        <v>209</v>
      </c>
      <c r="R100">
        <v>159</v>
      </c>
      <c r="S100">
        <v>161</v>
      </c>
      <c r="T100">
        <v>150</v>
      </c>
      <c r="U100">
        <v>194</v>
      </c>
    </row>
    <row r="101" spans="1:21" x14ac:dyDescent="0.2">
      <c r="A101" t="s">
        <v>35</v>
      </c>
      <c r="B101" t="s">
        <v>65</v>
      </c>
      <c r="C101" t="s">
        <v>8</v>
      </c>
      <c r="D101" t="s">
        <v>10</v>
      </c>
      <c r="E101">
        <v>581.62599999999998</v>
      </c>
      <c r="F101">
        <v>541.57500000000005</v>
      </c>
      <c r="G101">
        <v>512.54200000000003</v>
      </c>
      <c r="H101">
        <v>571.20500000000004</v>
      </c>
      <c r="I101">
        <v>957.37400000000002</v>
      </c>
      <c r="J101">
        <v>946.42</v>
      </c>
      <c r="K101">
        <v>818.74400000000003</v>
      </c>
      <c r="L101">
        <v>895.61400000000003</v>
      </c>
      <c r="M101">
        <v>578.85199999999998</v>
      </c>
      <c r="N101">
        <v>604.30799999999999</v>
      </c>
      <c r="O101">
        <v>581.63</v>
      </c>
      <c r="P101">
        <v>590.65</v>
      </c>
      <c r="Q101">
        <v>597.70399999999995</v>
      </c>
      <c r="R101">
        <v>626.05899999999997</v>
      </c>
      <c r="S101">
        <v>646.43200000000002</v>
      </c>
      <c r="T101">
        <v>653.62199999999996</v>
      </c>
      <c r="U101">
        <v>695.60199999999998</v>
      </c>
    </row>
    <row r="102" spans="1:21" x14ac:dyDescent="0.2">
      <c r="A102" t="s">
        <v>36</v>
      </c>
      <c r="B102" t="s">
        <v>65</v>
      </c>
      <c r="C102" t="s">
        <v>8</v>
      </c>
      <c r="D102" t="s">
        <v>10</v>
      </c>
      <c r="E102">
        <v>2049</v>
      </c>
      <c r="F102">
        <v>2072</v>
      </c>
      <c r="G102">
        <v>2240</v>
      </c>
      <c r="H102">
        <v>2407</v>
      </c>
      <c r="I102">
        <v>2311</v>
      </c>
      <c r="J102">
        <v>2582</v>
      </c>
      <c r="K102">
        <v>2245</v>
      </c>
      <c r="L102">
        <v>1784</v>
      </c>
      <c r="M102">
        <v>1712</v>
      </c>
      <c r="N102">
        <v>1066</v>
      </c>
      <c r="O102">
        <v>952</v>
      </c>
      <c r="P102">
        <v>1091</v>
      </c>
      <c r="Q102">
        <v>1098</v>
      </c>
      <c r="R102">
        <v>992</v>
      </c>
      <c r="S102">
        <v>898</v>
      </c>
      <c r="T102">
        <v>1011.638</v>
      </c>
      <c r="U102">
        <v>1163.05</v>
      </c>
    </row>
    <row r="103" spans="1:21" x14ac:dyDescent="0.2">
      <c r="A103" t="s">
        <v>37</v>
      </c>
      <c r="B103" t="s">
        <v>65</v>
      </c>
      <c r="C103" t="s">
        <v>8</v>
      </c>
      <c r="D103" t="s">
        <v>10</v>
      </c>
      <c r="E103">
        <v>11026</v>
      </c>
      <c r="F103">
        <v>12059</v>
      </c>
      <c r="G103">
        <v>12256</v>
      </c>
      <c r="H103">
        <v>13298</v>
      </c>
      <c r="I103">
        <v>11602</v>
      </c>
      <c r="J103">
        <v>12029</v>
      </c>
      <c r="K103">
        <v>10581</v>
      </c>
      <c r="L103">
        <v>7836</v>
      </c>
      <c r="M103">
        <v>7699</v>
      </c>
      <c r="N103">
        <v>6539</v>
      </c>
      <c r="O103">
        <v>6451</v>
      </c>
      <c r="P103">
        <v>5494</v>
      </c>
      <c r="Q103">
        <v>5608</v>
      </c>
      <c r="R103">
        <v>5893</v>
      </c>
      <c r="S103">
        <v>5924</v>
      </c>
      <c r="T103">
        <v>6245</v>
      </c>
      <c r="U103">
        <v>6290</v>
      </c>
    </row>
    <row r="104" spans="1:21" x14ac:dyDescent="0.2">
      <c r="A104" t="s">
        <v>38</v>
      </c>
      <c r="B104" t="s">
        <v>65</v>
      </c>
      <c r="C104" t="s">
        <v>8</v>
      </c>
      <c r="D104" t="s">
        <v>10</v>
      </c>
      <c r="E104">
        <v>8550</v>
      </c>
      <c r="F104">
        <v>8582</v>
      </c>
      <c r="G104">
        <v>9013</v>
      </c>
      <c r="H104">
        <v>8832</v>
      </c>
      <c r="I104">
        <v>9005</v>
      </c>
      <c r="J104">
        <v>8918</v>
      </c>
      <c r="K104">
        <v>10010</v>
      </c>
      <c r="L104">
        <v>8664</v>
      </c>
      <c r="M104">
        <v>9174</v>
      </c>
      <c r="N104">
        <v>8659.8780000000006</v>
      </c>
      <c r="O104">
        <v>8480.2909999999993</v>
      </c>
      <c r="P104">
        <v>8341.3619999999992</v>
      </c>
      <c r="Q104">
        <v>8122.6809999999996</v>
      </c>
      <c r="R104">
        <v>7949.47</v>
      </c>
      <c r="S104">
        <v>8174.7039999999997</v>
      </c>
      <c r="T104">
        <v>8228.7049999999999</v>
      </c>
      <c r="U104">
        <v>8249.7440000000006</v>
      </c>
    </row>
    <row r="105" spans="1:21" x14ac:dyDescent="0.2">
      <c r="A105" t="s">
        <v>39</v>
      </c>
      <c r="B105" t="s">
        <v>65</v>
      </c>
      <c r="C105" t="s">
        <v>8</v>
      </c>
      <c r="D105" t="s">
        <v>10</v>
      </c>
      <c r="E105">
        <v>621</v>
      </c>
      <c r="F105">
        <v>698</v>
      </c>
      <c r="G105">
        <v>654</v>
      </c>
      <c r="H105">
        <v>685</v>
      </c>
      <c r="I105">
        <v>722</v>
      </c>
      <c r="J105">
        <v>733</v>
      </c>
      <c r="K105">
        <v>742</v>
      </c>
      <c r="L105">
        <v>622</v>
      </c>
      <c r="M105">
        <v>625</v>
      </c>
      <c r="N105">
        <v>547</v>
      </c>
      <c r="O105">
        <v>522</v>
      </c>
      <c r="P105">
        <v>534</v>
      </c>
      <c r="Q105">
        <v>552</v>
      </c>
      <c r="R105">
        <v>578</v>
      </c>
      <c r="S105">
        <v>575</v>
      </c>
      <c r="T105">
        <v>677</v>
      </c>
      <c r="U105">
        <v>684.2</v>
      </c>
    </row>
    <row r="106" spans="1:21" x14ac:dyDescent="0.2">
      <c r="A106" t="s">
        <v>40</v>
      </c>
      <c r="B106" t="s">
        <v>65</v>
      </c>
      <c r="C106" t="s">
        <v>8</v>
      </c>
      <c r="D106" t="s">
        <v>10</v>
      </c>
      <c r="E106">
        <v>14312</v>
      </c>
      <c r="F106">
        <v>14543</v>
      </c>
      <c r="G106">
        <v>14606</v>
      </c>
      <c r="H106">
        <v>14678</v>
      </c>
      <c r="I106">
        <v>14943</v>
      </c>
      <c r="J106">
        <v>14790</v>
      </c>
      <c r="K106">
        <v>13973</v>
      </c>
      <c r="L106">
        <v>11714</v>
      </c>
      <c r="M106">
        <v>11870</v>
      </c>
      <c r="N106">
        <v>11474</v>
      </c>
      <c r="O106">
        <v>9992</v>
      </c>
      <c r="P106">
        <v>9461</v>
      </c>
      <c r="Q106">
        <v>9175</v>
      </c>
      <c r="R106">
        <v>8988</v>
      </c>
      <c r="S106">
        <v>8826</v>
      </c>
      <c r="T106">
        <v>8905.1450000000004</v>
      </c>
      <c r="U106">
        <v>8926.027</v>
      </c>
    </row>
    <row r="107" spans="1:21" x14ac:dyDescent="0.2">
      <c r="A107" t="s">
        <v>41</v>
      </c>
      <c r="B107" t="s">
        <v>65</v>
      </c>
      <c r="C107" t="s">
        <v>8</v>
      </c>
      <c r="D107" t="s">
        <v>10</v>
      </c>
      <c r="E107">
        <v>186</v>
      </c>
      <c r="F107">
        <v>208</v>
      </c>
      <c r="G107">
        <v>216</v>
      </c>
      <c r="H107">
        <v>221</v>
      </c>
      <c r="I107">
        <v>225</v>
      </c>
      <c r="J107">
        <v>225</v>
      </c>
      <c r="K107">
        <v>231</v>
      </c>
      <c r="L107">
        <v>200</v>
      </c>
      <c r="M107">
        <v>184</v>
      </c>
      <c r="N107">
        <v>155</v>
      </c>
      <c r="O107">
        <v>127</v>
      </c>
      <c r="P107">
        <v>139</v>
      </c>
      <c r="Q107">
        <v>150</v>
      </c>
      <c r="R107">
        <v>148</v>
      </c>
      <c r="S107">
        <v>154</v>
      </c>
      <c r="T107">
        <v>174.78700000000001</v>
      </c>
      <c r="U107">
        <v>172.285</v>
      </c>
    </row>
    <row r="108" spans="1:21" x14ac:dyDescent="0.2">
      <c r="A108" t="s">
        <v>42</v>
      </c>
      <c r="B108" t="s">
        <v>65</v>
      </c>
      <c r="C108" t="s">
        <v>8</v>
      </c>
      <c r="D108" t="s">
        <v>10</v>
      </c>
      <c r="E108">
        <v>100</v>
      </c>
      <c r="F108">
        <v>105</v>
      </c>
      <c r="G108">
        <v>105</v>
      </c>
      <c r="H108">
        <v>164</v>
      </c>
      <c r="I108">
        <v>155</v>
      </c>
      <c r="J108">
        <v>184</v>
      </c>
      <c r="K108">
        <v>192</v>
      </c>
      <c r="L108">
        <v>176</v>
      </c>
      <c r="M108">
        <v>222</v>
      </c>
      <c r="N108">
        <v>239</v>
      </c>
      <c r="O108">
        <v>244</v>
      </c>
      <c r="P108">
        <v>256</v>
      </c>
      <c r="Q108">
        <v>266</v>
      </c>
      <c r="R108">
        <v>239</v>
      </c>
      <c r="S108">
        <v>225</v>
      </c>
      <c r="T108">
        <v>261.18400000000003</v>
      </c>
      <c r="U108">
        <v>281.08600000000001</v>
      </c>
    </row>
    <row r="109" spans="1:21" x14ac:dyDescent="0.2">
      <c r="A109" t="s">
        <v>43</v>
      </c>
      <c r="B109" t="s">
        <v>65</v>
      </c>
      <c r="C109" t="s">
        <v>8</v>
      </c>
      <c r="D109" t="s">
        <v>10</v>
      </c>
      <c r="E109">
        <v>232</v>
      </c>
      <c r="F109">
        <v>236</v>
      </c>
      <c r="G109">
        <v>211</v>
      </c>
      <c r="H109">
        <v>230</v>
      </c>
      <c r="I109">
        <v>272</v>
      </c>
      <c r="J109">
        <v>275</v>
      </c>
      <c r="K109">
        <v>251</v>
      </c>
      <c r="L109">
        <v>159</v>
      </c>
      <c r="M109">
        <v>185</v>
      </c>
      <c r="N109">
        <v>200</v>
      </c>
      <c r="O109">
        <v>222</v>
      </c>
      <c r="P109">
        <v>248</v>
      </c>
      <c r="Q109">
        <v>258</v>
      </c>
      <c r="R109">
        <v>243</v>
      </c>
      <c r="S109">
        <v>252</v>
      </c>
      <c r="T109">
        <v>244</v>
      </c>
      <c r="U109">
        <v>283.8</v>
      </c>
    </row>
    <row r="110" spans="1:21" x14ac:dyDescent="0.2">
      <c r="A110" t="s">
        <v>44</v>
      </c>
      <c r="B110" t="s">
        <v>65</v>
      </c>
      <c r="C110" t="s">
        <v>8</v>
      </c>
      <c r="D110" t="s">
        <v>10</v>
      </c>
      <c r="E110">
        <v>419.166</v>
      </c>
      <c r="F110">
        <v>266.93200000000002</v>
      </c>
      <c r="G110">
        <v>228.208</v>
      </c>
      <c r="H110">
        <v>205.625</v>
      </c>
      <c r="I110">
        <v>158.881</v>
      </c>
      <c r="J110">
        <v>142.63900000000001</v>
      </c>
      <c r="K110">
        <v>137.30699999999999</v>
      </c>
      <c r="L110">
        <v>133.059</v>
      </c>
      <c r="M110">
        <v>125.476</v>
      </c>
      <c r="N110">
        <v>290.95699999999999</v>
      </c>
      <c r="O110">
        <v>266.82799999999997</v>
      </c>
      <c r="P110">
        <v>229.881</v>
      </c>
      <c r="Q110">
        <v>271.48599999999999</v>
      </c>
      <c r="R110">
        <v>243.94200000000001</v>
      </c>
      <c r="S110">
        <v>232.875</v>
      </c>
      <c r="T110">
        <v>210.91800000000001</v>
      </c>
      <c r="U110">
        <v>224.32900000000001</v>
      </c>
    </row>
    <row r="111" spans="1:21" x14ac:dyDescent="0.2">
      <c r="A111" t="s">
        <v>45</v>
      </c>
      <c r="B111" t="s">
        <v>65</v>
      </c>
      <c r="C111" t="s">
        <v>8</v>
      </c>
      <c r="D111" t="s">
        <v>10</v>
      </c>
      <c r="E111">
        <v>977</v>
      </c>
      <c r="F111">
        <v>966</v>
      </c>
      <c r="G111">
        <v>971</v>
      </c>
      <c r="H111">
        <v>913</v>
      </c>
      <c r="I111">
        <v>938</v>
      </c>
      <c r="J111">
        <v>937</v>
      </c>
      <c r="K111">
        <v>1122</v>
      </c>
      <c r="L111">
        <v>919</v>
      </c>
      <c r="M111">
        <v>932</v>
      </c>
      <c r="N111">
        <v>941</v>
      </c>
      <c r="O111">
        <v>1184</v>
      </c>
      <c r="P111">
        <v>1043</v>
      </c>
      <c r="Q111">
        <v>1203</v>
      </c>
      <c r="R111">
        <v>1338</v>
      </c>
      <c r="S111">
        <v>1449</v>
      </c>
      <c r="T111">
        <v>1406</v>
      </c>
      <c r="U111">
        <v>1426</v>
      </c>
    </row>
    <row r="112" spans="1:21" x14ac:dyDescent="0.2">
      <c r="A112" t="s">
        <v>46</v>
      </c>
      <c r="B112" t="s">
        <v>65</v>
      </c>
      <c r="C112" t="s">
        <v>8</v>
      </c>
      <c r="D112" t="s">
        <v>10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6</v>
      </c>
      <c r="N112">
        <v>6</v>
      </c>
      <c r="O112">
        <v>6</v>
      </c>
      <c r="P112">
        <v>6</v>
      </c>
      <c r="Q112">
        <v>6</v>
      </c>
      <c r="R112">
        <v>7</v>
      </c>
      <c r="S112">
        <v>6</v>
      </c>
      <c r="T112">
        <v>5.6349999999999998</v>
      </c>
      <c r="U112">
        <v>5.8259999999999996</v>
      </c>
    </row>
    <row r="113" spans="1:21" x14ac:dyDescent="0.2">
      <c r="A113" t="s">
        <v>47</v>
      </c>
      <c r="B113" t="s">
        <v>65</v>
      </c>
      <c r="C113" t="s">
        <v>8</v>
      </c>
      <c r="D113" t="s">
        <v>10</v>
      </c>
      <c r="E113">
        <v>1544</v>
      </c>
      <c r="F113">
        <v>1475</v>
      </c>
      <c r="G113">
        <v>1429</v>
      </c>
      <c r="H113">
        <v>1437</v>
      </c>
      <c r="I113">
        <v>1446</v>
      </c>
      <c r="J113">
        <v>1512</v>
      </c>
      <c r="K113">
        <v>1553</v>
      </c>
      <c r="L113">
        <v>1454</v>
      </c>
      <c r="M113">
        <v>1457</v>
      </c>
      <c r="N113">
        <v>1285</v>
      </c>
      <c r="O113">
        <v>1228</v>
      </c>
      <c r="P113">
        <v>1221</v>
      </c>
      <c r="Q113">
        <v>1167</v>
      </c>
      <c r="R113">
        <v>1176.704</v>
      </c>
      <c r="S113">
        <v>1292.9290000000001</v>
      </c>
      <c r="T113">
        <v>1264.2049999999999</v>
      </c>
      <c r="U113">
        <v>1334.076</v>
      </c>
    </row>
    <row r="114" spans="1:21" x14ac:dyDescent="0.2">
      <c r="A114" t="s">
        <v>48</v>
      </c>
      <c r="B114" t="s">
        <v>65</v>
      </c>
      <c r="C114" t="s">
        <v>8</v>
      </c>
      <c r="D114" t="s">
        <v>10</v>
      </c>
      <c r="E114">
        <v>2032</v>
      </c>
      <c r="F114">
        <v>1963</v>
      </c>
      <c r="G114">
        <v>1866</v>
      </c>
      <c r="H114">
        <v>1949.5229999999999</v>
      </c>
      <c r="I114">
        <v>1978.2149999999999</v>
      </c>
      <c r="J114">
        <v>2002.26</v>
      </c>
      <c r="K114">
        <v>2044.877</v>
      </c>
      <c r="L114">
        <v>1804.913</v>
      </c>
      <c r="M114">
        <v>1875.663</v>
      </c>
      <c r="N114">
        <v>1845.99</v>
      </c>
      <c r="O114">
        <v>1839.5830000000001</v>
      </c>
      <c r="P114">
        <v>2618.6390000000001</v>
      </c>
      <c r="Q114">
        <v>2418.63</v>
      </c>
      <c r="R114">
        <v>2491.5300000000002</v>
      </c>
      <c r="S114">
        <v>2404.7860000000001</v>
      </c>
      <c r="T114">
        <v>2394.4430000000002</v>
      </c>
      <c r="U114">
        <v>2453.116</v>
      </c>
    </row>
    <row r="115" spans="1:21" x14ac:dyDescent="0.2">
      <c r="A115" t="s">
        <v>49</v>
      </c>
      <c r="B115" t="s">
        <v>65</v>
      </c>
      <c r="C115" t="s">
        <v>8</v>
      </c>
      <c r="D115" t="s">
        <v>10</v>
      </c>
      <c r="E115">
        <v>3047</v>
      </c>
      <c r="F115">
        <v>3148</v>
      </c>
      <c r="G115">
        <v>3450</v>
      </c>
      <c r="H115">
        <v>3480</v>
      </c>
      <c r="I115">
        <v>3698</v>
      </c>
      <c r="J115">
        <v>4195</v>
      </c>
      <c r="K115">
        <v>4087</v>
      </c>
      <c r="L115">
        <v>4162</v>
      </c>
      <c r="M115">
        <v>4387</v>
      </c>
      <c r="N115">
        <v>4844</v>
      </c>
      <c r="O115">
        <v>4539</v>
      </c>
      <c r="P115">
        <v>4399</v>
      </c>
      <c r="Q115">
        <v>4509</v>
      </c>
      <c r="R115">
        <v>4681</v>
      </c>
      <c r="S115">
        <v>5164</v>
      </c>
      <c r="T115">
        <v>5483.42</v>
      </c>
      <c r="U115">
        <v>5699.4769999999999</v>
      </c>
    </row>
    <row r="116" spans="1:21" x14ac:dyDescent="0.2">
      <c r="A116" t="s">
        <v>50</v>
      </c>
      <c r="B116" t="s">
        <v>65</v>
      </c>
      <c r="C116" t="s">
        <v>8</v>
      </c>
      <c r="D116" t="s">
        <v>10</v>
      </c>
      <c r="E116">
        <v>2350</v>
      </c>
      <c r="F116">
        <v>2233</v>
      </c>
      <c r="G116">
        <v>2336</v>
      </c>
      <c r="H116">
        <v>2336</v>
      </c>
      <c r="I116">
        <v>2418</v>
      </c>
      <c r="J116">
        <v>2578</v>
      </c>
      <c r="K116">
        <v>2437</v>
      </c>
      <c r="L116">
        <v>2088</v>
      </c>
      <c r="M116">
        <v>2194</v>
      </c>
      <c r="N116">
        <v>1998</v>
      </c>
      <c r="O116">
        <v>1831</v>
      </c>
      <c r="P116">
        <v>1801</v>
      </c>
      <c r="Q116">
        <v>1930</v>
      </c>
      <c r="R116">
        <v>1956</v>
      </c>
      <c r="S116">
        <v>1820.049</v>
      </c>
      <c r="T116">
        <v>1919.527</v>
      </c>
      <c r="U116">
        <v>1930.202</v>
      </c>
    </row>
    <row r="117" spans="1:21" x14ac:dyDescent="0.2">
      <c r="A117" t="s">
        <v>51</v>
      </c>
      <c r="B117" t="s">
        <v>65</v>
      </c>
      <c r="C117" t="s">
        <v>8</v>
      </c>
      <c r="D117" t="s">
        <v>10</v>
      </c>
      <c r="E117">
        <v>1715</v>
      </c>
      <c r="F117">
        <v>1038</v>
      </c>
      <c r="G117">
        <v>2056</v>
      </c>
      <c r="H117">
        <v>2088</v>
      </c>
      <c r="I117">
        <v>3138</v>
      </c>
      <c r="J117">
        <v>2196</v>
      </c>
      <c r="K117">
        <v>2092</v>
      </c>
      <c r="L117">
        <v>1714</v>
      </c>
      <c r="M117">
        <v>1914</v>
      </c>
      <c r="N117">
        <v>1924</v>
      </c>
      <c r="O117">
        <v>1893</v>
      </c>
      <c r="P117">
        <v>1775</v>
      </c>
      <c r="Q117">
        <v>1903</v>
      </c>
      <c r="R117">
        <v>2374</v>
      </c>
      <c r="S117">
        <v>2556</v>
      </c>
      <c r="T117">
        <v>2646.5450000000001</v>
      </c>
      <c r="U117">
        <v>2521.5590000000002</v>
      </c>
    </row>
    <row r="118" spans="1:21" x14ac:dyDescent="0.2">
      <c r="A118" t="s">
        <v>52</v>
      </c>
      <c r="B118" t="s">
        <v>65</v>
      </c>
      <c r="C118" t="s">
        <v>8</v>
      </c>
      <c r="D118" t="s">
        <v>10</v>
      </c>
      <c r="E118">
        <v>412</v>
      </c>
      <c r="F118">
        <v>470</v>
      </c>
      <c r="G118">
        <v>443</v>
      </c>
      <c r="H118">
        <v>461</v>
      </c>
      <c r="I118">
        <v>492</v>
      </c>
      <c r="J118">
        <v>523</v>
      </c>
      <c r="K118">
        <v>514</v>
      </c>
      <c r="L118">
        <v>329</v>
      </c>
      <c r="M118">
        <v>409</v>
      </c>
      <c r="N118">
        <v>386</v>
      </c>
      <c r="O118">
        <v>356</v>
      </c>
      <c r="P118">
        <v>354</v>
      </c>
      <c r="Q118">
        <v>369</v>
      </c>
      <c r="R118">
        <v>428</v>
      </c>
      <c r="S118">
        <v>347</v>
      </c>
      <c r="T118">
        <v>379.48200000000003</v>
      </c>
      <c r="U118">
        <v>399.46100000000001</v>
      </c>
    </row>
    <row r="119" spans="1:21" x14ac:dyDescent="0.2">
      <c r="A119" t="s">
        <v>53</v>
      </c>
      <c r="B119" t="s">
        <v>65</v>
      </c>
      <c r="C119" t="s">
        <v>8</v>
      </c>
      <c r="D119" t="s">
        <v>10</v>
      </c>
      <c r="E119">
        <v>855</v>
      </c>
      <c r="F119">
        <v>1013</v>
      </c>
      <c r="G119">
        <v>788</v>
      </c>
      <c r="H119">
        <v>800</v>
      </c>
      <c r="I119">
        <v>787</v>
      </c>
      <c r="J119">
        <v>950</v>
      </c>
      <c r="K119">
        <v>831</v>
      </c>
      <c r="L119">
        <v>705</v>
      </c>
      <c r="M119">
        <v>671</v>
      </c>
      <c r="N119">
        <v>806</v>
      </c>
      <c r="O119">
        <v>662</v>
      </c>
      <c r="P119">
        <v>673</v>
      </c>
      <c r="Q119">
        <v>675</v>
      </c>
      <c r="R119">
        <v>552</v>
      </c>
      <c r="S119">
        <v>759</v>
      </c>
      <c r="T119">
        <v>606</v>
      </c>
      <c r="U119">
        <v>773</v>
      </c>
    </row>
    <row r="120" spans="1:21" x14ac:dyDescent="0.2">
      <c r="A120" t="s">
        <v>54</v>
      </c>
      <c r="B120" t="s">
        <v>65</v>
      </c>
      <c r="C120" t="s">
        <v>8</v>
      </c>
      <c r="D120" t="s">
        <v>10</v>
      </c>
      <c r="E120">
        <v>929</v>
      </c>
      <c r="F120">
        <v>942</v>
      </c>
      <c r="G120">
        <v>981</v>
      </c>
      <c r="H120">
        <v>981</v>
      </c>
      <c r="I120">
        <v>1043</v>
      </c>
      <c r="J120">
        <v>1019</v>
      </c>
      <c r="K120">
        <v>979</v>
      </c>
      <c r="L120">
        <v>734</v>
      </c>
      <c r="M120">
        <v>780</v>
      </c>
      <c r="N120">
        <v>855</v>
      </c>
      <c r="O120">
        <v>784</v>
      </c>
      <c r="P120">
        <v>767</v>
      </c>
      <c r="Q120">
        <v>699</v>
      </c>
      <c r="R120">
        <v>660</v>
      </c>
      <c r="S120">
        <v>711</v>
      </c>
      <c r="T120">
        <v>820</v>
      </c>
      <c r="U120">
        <v>806</v>
      </c>
    </row>
    <row r="121" spans="1:21" x14ac:dyDescent="0.2">
      <c r="A121" t="s">
        <v>55</v>
      </c>
      <c r="B121" t="s">
        <v>65</v>
      </c>
      <c r="C121" t="s">
        <v>8</v>
      </c>
      <c r="D121" t="s">
        <v>10</v>
      </c>
      <c r="E121">
        <v>1177</v>
      </c>
      <c r="F121">
        <v>1133</v>
      </c>
      <c r="G121">
        <v>1156</v>
      </c>
      <c r="H121">
        <v>1045</v>
      </c>
      <c r="I121">
        <v>1052</v>
      </c>
      <c r="J121">
        <v>1135</v>
      </c>
      <c r="K121">
        <v>1233</v>
      </c>
      <c r="L121">
        <v>961</v>
      </c>
      <c r="M121">
        <v>1049</v>
      </c>
      <c r="N121">
        <v>1021</v>
      </c>
      <c r="O121">
        <v>1009</v>
      </c>
      <c r="P121">
        <v>939</v>
      </c>
      <c r="Q121">
        <v>958</v>
      </c>
      <c r="R121">
        <v>947</v>
      </c>
      <c r="S121">
        <v>986</v>
      </c>
      <c r="T121">
        <v>1031</v>
      </c>
      <c r="U121">
        <v>1020</v>
      </c>
    </row>
    <row r="122" spans="1:21" x14ac:dyDescent="0.2">
      <c r="A122" t="s">
        <v>56</v>
      </c>
      <c r="B122" t="s">
        <v>65</v>
      </c>
      <c r="C122" t="s">
        <v>8</v>
      </c>
      <c r="D122" t="s">
        <v>10</v>
      </c>
      <c r="E122">
        <v>7115</v>
      </c>
      <c r="F122">
        <v>7451</v>
      </c>
      <c r="G122">
        <v>7535</v>
      </c>
      <c r="H122">
        <v>7978</v>
      </c>
      <c r="I122">
        <v>7869</v>
      </c>
      <c r="J122">
        <v>7811</v>
      </c>
      <c r="K122">
        <v>7931</v>
      </c>
      <c r="L122">
        <v>7010</v>
      </c>
      <c r="M122">
        <v>7266</v>
      </c>
      <c r="N122">
        <v>7010</v>
      </c>
      <c r="O122">
        <v>6747</v>
      </c>
      <c r="P122">
        <v>6726</v>
      </c>
      <c r="Q122">
        <v>6267</v>
      </c>
      <c r="R122">
        <v>6101.85</v>
      </c>
      <c r="S122">
        <v>6239.6059999999998</v>
      </c>
      <c r="T122">
        <v>6169.9520000000002</v>
      </c>
      <c r="U122">
        <v>6309.9059999999999</v>
      </c>
    </row>
    <row r="123" spans="1:21" x14ac:dyDescent="0.2">
      <c r="A123" t="s">
        <v>57</v>
      </c>
      <c r="B123" t="s">
        <v>65</v>
      </c>
      <c r="C123" t="s">
        <v>8</v>
      </c>
      <c r="D123" t="s">
        <v>10</v>
      </c>
      <c r="E123">
        <v>32</v>
      </c>
      <c r="F123">
        <v>31</v>
      </c>
      <c r="G123">
        <v>41</v>
      </c>
      <c r="H123">
        <v>45</v>
      </c>
      <c r="I123">
        <v>42</v>
      </c>
      <c r="J123">
        <v>51</v>
      </c>
      <c r="K123">
        <v>47</v>
      </c>
      <c r="L123">
        <v>31</v>
      </c>
      <c r="M123">
        <v>23</v>
      </c>
      <c r="N123">
        <v>26</v>
      </c>
      <c r="O123">
        <v>22</v>
      </c>
      <c r="P123">
        <v>24</v>
      </c>
      <c r="Q123">
        <v>23</v>
      </c>
      <c r="R123">
        <v>28</v>
      </c>
      <c r="S123">
        <v>45</v>
      </c>
      <c r="T123">
        <v>123.994</v>
      </c>
      <c r="U123">
        <v>176.78</v>
      </c>
    </row>
    <row r="124" spans="1:21" x14ac:dyDescent="0.2">
      <c r="A124" t="s">
        <v>58</v>
      </c>
      <c r="B124" t="s">
        <v>65</v>
      </c>
      <c r="C124" t="s">
        <v>8</v>
      </c>
      <c r="D124" t="s">
        <v>10</v>
      </c>
      <c r="E124">
        <v>843</v>
      </c>
      <c r="F124">
        <v>834</v>
      </c>
      <c r="G124">
        <v>853</v>
      </c>
      <c r="H124">
        <v>886</v>
      </c>
      <c r="I124">
        <v>928</v>
      </c>
      <c r="J124">
        <v>936</v>
      </c>
      <c r="K124">
        <v>980</v>
      </c>
      <c r="L124">
        <v>736</v>
      </c>
      <c r="M124">
        <v>857</v>
      </c>
      <c r="N124">
        <v>871</v>
      </c>
      <c r="O124">
        <v>836</v>
      </c>
      <c r="P124">
        <v>892</v>
      </c>
      <c r="Q124">
        <v>913</v>
      </c>
      <c r="R124">
        <v>944</v>
      </c>
      <c r="S124">
        <v>868</v>
      </c>
      <c r="T124">
        <v>938</v>
      </c>
      <c r="U124">
        <v>981.33100000000002</v>
      </c>
    </row>
    <row r="125" spans="1:21" x14ac:dyDescent="0.2">
      <c r="A125" t="s">
        <v>59</v>
      </c>
      <c r="B125" t="s">
        <v>65</v>
      </c>
      <c r="C125" t="s">
        <v>8</v>
      </c>
      <c r="D125" t="s">
        <v>10</v>
      </c>
      <c r="E125">
        <v>0</v>
      </c>
      <c r="F125">
        <v>0</v>
      </c>
      <c r="G125">
        <v>684</v>
      </c>
      <c r="H125">
        <v>670</v>
      </c>
      <c r="I125">
        <v>664</v>
      </c>
      <c r="J125">
        <v>939</v>
      </c>
      <c r="K125">
        <v>428</v>
      </c>
      <c r="L125">
        <v>351</v>
      </c>
      <c r="M125">
        <v>550</v>
      </c>
      <c r="N125">
        <v>569</v>
      </c>
      <c r="O125">
        <v>567</v>
      </c>
      <c r="P125">
        <v>700</v>
      </c>
      <c r="Q125">
        <v>576</v>
      </c>
      <c r="R125">
        <v>654</v>
      </c>
      <c r="S125">
        <v>717</v>
      </c>
      <c r="T125">
        <v>752.197</v>
      </c>
      <c r="U125">
        <v>738.024</v>
      </c>
    </row>
    <row r="126" spans="1:21" x14ac:dyDescent="0.2">
      <c r="A126" t="s">
        <v>29</v>
      </c>
      <c r="B126" t="s">
        <v>66</v>
      </c>
      <c r="C126" t="s">
        <v>8</v>
      </c>
      <c r="D126" t="s">
        <v>10</v>
      </c>
      <c r="E126">
        <v>959</v>
      </c>
      <c r="F126">
        <v>1001</v>
      </c>
      <c r="G126">
        <v>1021</v>
      </c>
      <c r="H126">
        <v>994</v>
      </c>
      <c r="I126">
        <v>1180</v>
      </c>
      <c r="J126">
        <v>1199</v>
      </c>
      <c r="K126">
        <v>1097</v>
      </c>
      <c r="L126">
        <v>1017</v>
      </c>
      <c r="M126">
        <v>1061</v>
      </c>
      <c r="N126">
        <v>767</v>
      </c>
      <c r="O126">
        <v>739</v>
      </c>
      <c r="P126">
        <v>862</v>
      </c>
      <c r="Q126">
        <v>824.6</v>
      </c>
      <c r="R126">
        <v>799.6</v>
      </c>
      <c r="S126">
        <v>757.8</v>
      </c>
      <c r="T126">
        <v>811.2</v>
      </c>
      <c r="U126">
        <v>803.1</v>
      </c>
    </row>
    <row r="127" spans="1:21" x14ac:dyDescent="0.2">
      <c r="A127" t="s">
        <v>30</v>
      </c>
      <c r="B127" t="s">
        <v>66</v>
      </c>
      <c r="C127" t="s">
        <v>8</v>
      </c>
      <c r="D127" t="s">
        <v>10</v>
      </c>
      <c r="E127">
        <v>179</v>
      </c>
      <c r="F127">
        <v>101</v>
      </c>
      <c r="G127">
        <v>102</v>
      </c>
      <c r="H127">
        <v>108</v>
      </c>
      <c r="I127">
        <v>94</v>
      </c>
      <c r="J127">
        <v>95</v>
      </c>
      <c r="K127">
        <v>114</v>
      </c>
      <c r="L127">
        <v>95</v>
      </c>
      <c r="M127">
        <v>89</v>
      </c>
      <c r="N127">
        <v>113</v>
      </c>
      <c r="O127">
        <v>112</v>
      </c>
      <c r="P127">
        <v>102</v>
      </c>
      <c r="Q127">
        <v>102</v>
      </c>
      <c r="R127">
        <v>118</v>
      </c>
      <c r="S127">
        <v>109</v>
      </c>
      <c r="T127">
        <v>118.56100000000001</v>
      </c>
      <c r="U127">
        <v>133.72499999999999</v>
      </c>
    </row>
    <row r="128" spans="1:21" x14ac:dyDescent="0.2">
      <c r="A128" t="s">
        <v>31</v>
      </c>
      <c r="B128" t="s">
        <v>66</v>
      </c>
      <c r="C128" t="s">
        <v>8</v>
      </c>
      <c r="D128" t="s">
        <v>10</v>
      </c>
      <c r="E128">
        <v>1212</v>
      </c>
      <c r="F128">
        <v>1162</v>
      </c>
      <c r="G128">
        <v>1482</v>
      </c>
      <c r="H128">
        <v>1580</v>
      </c>
      <c r="I128">
        <v>1834</v>
      </c>
      <c r="J128">
        <v>1934</v>
      </c>
      <c r="K128">
        <v>2321</v>
      </c>
      <c r="L128">
        <v>2242</v>
      </c>
      <c r="M128">
        <v>2463</v>
      </c>
      <c r="N128">
        <v>2675</v>
      </c>
      <c r="O128">
        <v>2619</v>
      </c>
      <c r="P128">
        <v>2520</v>
      </c>
      <c r="Q128">
        <v>2504</v>
      </c>
      <c r="R128">
        <v>2788</v>
      </c>
      <c r="S128">
        <v>2915</v>
      </c>
      <c r="T128">
        <v>3050.855</v>
      </c>
      <c r="U128">
        <v>3241.018</v>
      </c>
    </row>
    <row r="129" spans="1:21" x14ac:dyDescent="0.2">
      <c r="A129" t="s">
        <v>32</v>
      </c>
      <c r="B129" t="s">
        <v>66</v>
      </c>
      <c r="C129" t="s">
        <v>8</v>
      </c>
      <c r="D129" t="s">
        <v>10</v>
      </c>
      <c r="E129">
        <v>188</v>
      </c>
      <c r="F129">
        <v>166</v>
      </c>
      <c r="G129">
        <v>173</v>
      </c>
      <c r="H129">
        <v>191</v>
      </c>
      <c r="I129">
        <v>221</v>
      </c>
      <c r="J129">
        <v>256</v>
      </c>
      <c r="K129">
        <v>227</v>
      </c>
      <c r="L129">
        <v>204</v>
      </c>
      <c r="M129">
        <v>204</v>
      </c>
      <c r="N129">
        <v>167</v>
      </c>
      <c r="O129">
        <v>97</v>
      </c>
      <c r="P129">
        <v>138</v>
      </c>
      <c r="Q129">
        <v>90</v>
      </c>
      <c r="R129">
        <v>89.619</v>
      </c>
      <c r="S129">
        <v>87.022000000000006</v>
      </c>
      <c r="T129">
        <v>88.356999999999999</v>
      </c>
      <c r="U129">
        <v>88.271000000000001</v>
      </c>
    </row>
    <row r="130" spans="1:21" x14ac:dyDescent="0.2">
      <c r="A130" t="s">
        <v>33</v>
      </c>
      <c r="B130" t="s">
        <v>66</v>
      </c>
      <c r="C130" t="s">
        <v>8</v>
      </c>
      <c r="D130" t="s">
        <v>10</v>
      </c>
      <c r="E130">
        <v>19323</v>
      </c>
      <c r="F130">
        <v>18500</v>
      </c>
      <c r="G130">
        <v>19299</v>
      </c>
      <c r="H130">
        <v>19676</v>
      </c>
      <c r="I130">
        <v>19249</v>
      </c>
      <c r="J130">
        <v>19666</v>
      </c>
      <c r="K130">
        <v>18532</v>
      </c>
      <c r="L130">
        <v>15844</v>
      </c>
      <c r="M130">
        <v>17838</v>
      </c>
      <c r="N130">
        <v>18179</v>
      </c>
      <c r="O130">
        <v>17940</v>
      </c>
      <c r="P130">
        <v>18320</v>
      </c>
      <c r="Q130">
        <v>18536</v>
      </c>
      <c r="R130">
        <v>18515</v>
      </c>
      <c r="S130">
        <v>18020</v>
      </c>
      <c r="T130">
        <v>17781</v>
      </c>
      <c r="U130">
        <v>17747</v>
      </c>
    </row>
    <row r="131" spans="1:21" x14ac:dyDescent="0.2">
      <c r="A131" t="s">
        <v>34</v>
      </c>
      <c r="B131" t="s">
        <v>66</v>
      </c>
      <c r="C131" t="s">
        <v>8</v>
      </c>
      <c r="D131" t="s">
        <v>10</v>
      </c>
      <c r="E131">
        <v>39</v>
      </c>
      <c r="F131">
        <v>42</v>
      </c>
      <c r="G131">
        <v>46</v>
      </c>
      <c r="H131">
        <v>47</v>
      </c>
      <c r="I131">
        <v>55</v>
      </c>
      <c r="J131">
        <v>54</v>
      </c>
      <c r="K131">
        <v>43</v>
      </c>
      <c r="L131">
        <v>38</v>
      </c>
      <c r="M131">
        <v>40</v>
      </c>
      <c r="N131">
        <v>44</v>
      </c>
      <c r="O131">
        <v>61</v>
      </c>
      <c r="P131">
        <v>70</v>
      </c>
      <c r="Q131">
        <v>61</v>
      </c>
      <c r="R131">
        <v>65</v>
      </c>
      <c r="S131">
        <v>67</v>
      </c>
      <c r="T131">
        <v>72</v>
      </c>
      <c r="U131">
        <v>82</v>
      </c>
    </row>
    <row r="132" spans="1:21" x14ac:dyDescent="0.2">
      <c r="A132" t="s">
        <v>35</v>
      </c>
      <c r="B132" t="s">
        <v>66</v>
      </c>
      <c r="C132" t="s">
        <v>8</v>
      </c>
      <c r="D132" t="s">
        <v>10</v>
      </c>
      <c r="E132">
        <v>119.29300000000001</v>
      </c>
      <c r="F132">
        <v>111.07899999999999</v>
      </c>
      <c r="G132">
        <v>105.124</v>
      </c>
      <c r="H132">
        <v>117.15600000000001</v>
      </c>
      <c r="I132">
        <v>129.94300000000001</v>
      </c>
      <c r="J132">
        <v>70.545000000000002</v>
      </c>
      <c r="K132">
        <v>93.915999999999997</v>
      </c>
      <c r="L132">
        <v>102.733</v>
      </c>
      <c r="M132">
        <v>192.19900000000001</v>
      </c>
      <c r="N132">
        <v>200.65100000000001</v>
      </c>
      <c r="O132">
        <v>193.12100000000001</v>
      </c>
      <c r="P132">
        <v>196.11600000000001</v>
      </c>
      <c r="Q132">
        <v>198.458</v>
      </c>
      <c r="R132">
        <v>207.87299999999999</v>
      </c>
      <c r="S132">
        <v>214.63800000000001</v>
      </c>
      <c r="T132">
        <v>217.02500000000001</v>
      </c>
      <c r="U132">
        <v>230.964</v>
      </c>
    </row>
    <row r="133" spans="1:21" x14ac:dyDescent="0.2">
      <c r="A133" t="s">
        <v>36</v>
      </c>
      <c r="B133" t="s">
        <v>66</v>
      </c>
      <c r="C133" t="s">
        <v>8</v>
      </c>
      <c r="D133" t="s">
        <v>10</v>
      </c>
      <c r="E133">
        <v>172</v>
      </c>
      <c r="F133">
        <v>173</v>
      </c>
      <c r="G133">
        <v>159</v>
      </c>
      <c r="H133">
        <v>125</v>
      </c>
      <c r="I133">
        <v>118</v>
      </c>
      <c r="J133">
        <v>132</v>
      </c>
      <c r="K133">
        <v>156</v>
      </c>
      <c r="L133">
        <v>160</v>
      </c>
      <c r="M133">
        <v>85</v>
      </c>
      <c r="N133">
        <v>330</v>
      </c>
      <c r="O133">
        <v>138</v>
      </c>
      <c r="P133">
        <v>117</v>
      </c>
      <c r="Q133">
        <v>105</v>
      </c>
      <c r="R133">
        <v>105</v>
      </c>
      <c r="S133">
        <v>39</v>
      </c>
      <c r="T133">
        <v>53.357999999999997</v>
      </c>
      <c r="U133">
        <v>74.72</v>
      </c>
    </row>
    <row r="134" spans="1:21" x14ac:dyDescent="0.2">
      <c r="A134" t="s">
        <v>37</v>
      </c>
      <c r="B134" t="s">
        <v>66</v>
      </c>
      <c r="C134" t="s">
        <v>8</v>
      </c>
      <c r="D134" t="s">
        <v>10</v>
      </c>
      <c r="E134">
        <v>3821</v>
      </c>
      <c r="F134">
        <v>4071</v>
      </c>
      <c r="G134">
        <v>4330</v>
      </c>
      <c r="H134">
        <v>4406</v>
      </c>
      <c r="I134">
        <v>3773</v>
      </c>
      <c r="J134">
        <v>3836</v>
      </c>
      <c r="K134">
        <v>3639</v>
      </c>
      <c r="L134">
        <v>3171</v>
      </c>
      <c r="M134">
        <v>2851</v>
      </c>
      <c r="N134">
        <v>2693</v>
      </c>
      <c r="O134">
        <v>2657</v>
      </c>
      <c r="P134">
        <v>2984</v>
      </c>
      <c r="Q134">
        <v>3468</v>
      </c>
      <c r="R134">
        <v>3653</v>
      </c>
      <c r="S134">
        <v>4208</v>
      </c>
      <c r="T134">
        <v>4499</v>
      </c>
      <c r="U134">
        <v>4335</v>
      </c>
    </row>
    <row r="135" spans="1:21" x14ac:dyDescent="0.2">
      <c r="A135" t="s">
        <v>38</v>
      </c>
      <c r="B135" t="s">
        <v>66</v>
      </c>
      <c r="C135" t="s">
        <v>8</v>
      </c>
      <c r="D135" t="s">
        <v>10</v>
      </c>
      <c r="E135">
        <v>8354</v>
      </c>
      <c r="F135">
        <v>8371</v>
      </c>
      <c r="G135">
        <v>8403</v>
      </c>
      <c r="H135">
        <v>8264</v>
      </c>
      <c r="I135">
        <v>7960</v>
      </c>
      <c r="J135">
        <v>7881</v>
      </c>
      <c r="K135">
        <v>8671</v>
      </c>
      <c r="L135">
        <v>7305</v>
      </c>
      <c r="M135">
        <v>7560</v>
      </c>
      <c r="N135">
        <v>6881.9880000000003</v>
      </c>
      <c r="O135">
        <v>6860.8419999999996</v>
      </c>
      <c r="P135">
        <v>6741.91</v>
      </c>
      <c r="Q135">
        <v>6639.6059999999998</v>
      </c>
      <c r="R135">
        <v>6692.3969999999999</v>
      </c>
      <c r="S135">
        <v>7300.0309999999999</v>
      </c>
      <c r="T135">
        <v>7213.7030000000004</v>
      </c>
      <c r="U135">
        <v>7352</v>
      </c>
    </row>
    <row r="136" spans="1:21" x14ac:dyDescent="0.2">
      <c r="A136" t="s">
        <v>39</v>
      </c>
      <c r="B136" t="s">
        <v>66</v>
      </c>
      <c r="C136" t="s">
        <v>8</v>
      </c>
      <c r="D136" t="s">
        <v>10</v>
      </c>
      <c r="E136">
        <v>191</v>
      </c>
      <c r="F136">
        <v>190</v>
      </c>
      <c r="G136">
        <v>191</v>
      </c>
      <c r="H136">
        <v>182</v>
      </c>
      <c r="I136">
        <v>176</v>
      </c>
      <c r="J136">
        <v>193</v>
      </c>
      <c r="K136">
        <v>165</v>
      </c>
      <c r="L136">
        <v>134</v>
      </c>
      <c r="M136">
        <v>128</v>
      </c>
      <c r="N136">
        <v>124</v>
      </c>
      <c r="O136">
        <v>111</v>
      </c>
      <c r="P136">
        <v>90</v>
      </c>
      <c r="Q136">
        <v>76</v>
      </c>
      <c r="R136">
        <v>82</v>
      </c>
      <c r="S136">
        <v>91</v>
      </c>
      <c r="T136">
        <v>98</v>
      </c>
      <c r="U136">
        <v>93</v>
      </c>
    </row>
    <row r="137" spans="1:21" x14ac:dyDescent="0.2">
      <c r="A137" t="s">
        <v>40</v>
      </c>
      <c r="B137" t="s">
        <v>66</v>
      </c>
      <c r="C137" t="s">
        <v>8</v>
      </c>
      <c r="D137" t="s">
        <v>10</v>
      </c>
      <c r="E137">
        <v>4433</v>
      </c>
      <c r="F137">
        <v>4408</v>
      </c>
      <c r="G137">
        <v>4238</v>
      </c>
      <c r="H137">
        <v>4236</v>
      </c>
      <c r="I137">
        <v>4426</v>
      </c>
      <c r="J137">
        <v>4479</v>
      </c>
      <c r="K137">
        <v>4257</v>
      </c>
      <c r="L137">
        <v>3630</v>
      </c>
      <c r="M137">
        <v>3788</v>
      </c>
      <c r="N137">
        <v>3645</v>
      </c>
      <c r="O137">
        <v>3314</v>
      </c>
      <c r="P137">
        <v>3325</v>
      </c>
      <c r="Q137">
        <v>3340</v>
      </c>
      <c r="R137">
        <v>3518</v>
      </c>
      <c r="S137">
        <v>3610</v>
      </c>
      <c r="T137">
        <v>3590.4969999999998</v>
      </c>
      <c r="U137">
        <v>3566.1669999999999</v>
      </c>
    </row>
    <row r="138" spans="1:21" x14ac:dyDescent="0.2">
      <c r="A138" t="s">
        <v>41</v>
      </c>
      <c r="B138" t="s">
        <v>66</v>
      </c>
      <c r="C138" t="s">
        <v>8</v>
      </c>
      <c r="D138" t="s">
        <v>10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2</v>
      </c>
      <c r="P138">
        <v>2</v>
      </c>
      <c r="Q138">
        <v>2</v>
      </c>
      <c r="R138">
        <v>2</v>
      </c>
      <c r="S138">
        <v>2</v>
      </c>
      <c r="T138">
        <v>1.9330000000000001</v>
      </c>
      <c r="U138">
        <v>1.9970000000000001</v>
      </c>
    </row>
    <row r="139" spans="1:21" x14ac:dyDescent="0.2">
      <c r="A139" t="s">
        <v>42</v>
      </c>
      <c r="B139" t="s">
        <v>66</v>
      </c>
      <c r="C139" t="s">
        <v>8</v>
      </c>
      <c r="D139" t="s">
        <v>10</v>
      </c>
      <c r="E139">
        <v>60</v>
      </c>
      <c r="F139">
        <v>66</v>
      </c>
      <c r="G139">
        <v>64</v>
      </c>
      <c r="H139">
        <v>69</v>
      </c>
      <c r="I139">
        <v>63</v>
      </c>
      <c r="J139">
        <v>87</v>
      </c>
      <c r="K139">
        <v>56</v>
      </c>
      <c r="L139">
        <v>38</v>
      </c>
      <c r="M139">
        <v>31</v>
      </c>
      <c r="N139">
        <v>36</v>
      </c>
      <c r="O139">
        <v>38</v>
      </c>
      <c r="P139">
        <v>53</v>
      </c>
      <c r="Q139">
        <v>35</v>
      </c>
      <c r="R139">
        <v>44</v>
      </c>
      <c r="S139">
        <v>45</v>
      </c>
      <c r="T139">
        <v>46.738999999999997</v>
      </c>
      <c r="U139">
        <v>46.521999999999998</v>
      </c>
    </row>
    <row r="140" spans="1:21" x14ac:dyDescent="0.2">
      <c r="A140" t="s">
        <v>43</v>
      </c>
      <c r="B140" t="s">
        <v>66</v>
      </c>
      <c r="C140" t="s">
        <v>8</v>
      </c>
      <c r="D140" t="s">
        <v>10</v>
      </c>
      <c r="E140">
        <v>66</v>
      </c>
      <c r="F140">
        <v>63</v>
      </c>
      <c r="G140">
        <v>57</v>
      </c>
      <c r="H140">
        <v>51</v>
      </c>
      <c r="I140">
        <v>53</v>
      </c>
      <c r="J140">
        <v>52</v>
      </c>
      <c r="K140">
        <v>43</v>
      </c>
      <c r="L140">
        <v>37</v>
      </c>
      <c r="M140">
        <v>31</v>
      </c>
      <c r="N140">
        <v>27</v>
      </c>
      <c r="O140">
        <v>20</v>
      </c>
      <c r="P140">
        <v>19</v>
      </c>
      <c r="Q140">
        <v>25</v>
      </c>
      <c r="R140">
        <v>30</v>
      </c>
      <c r="S140">
        <v>24</v>
      </c>
      <c r="T140">
        <v>23.1</v>
      </c>
      <c r="U140">
        <v>32.1</v>
      </c>
    </row>
    <row r="141" spans="1:21" x14ac:dyDescent="0.2">
      <c r="A141" t="s">
        <v>44</v>
      </c>
      <c r="B141" t="s">
        <v>66</v>
      </c>
      <c r="C141" t="s">
        <v>8</v>
      </c>
      <c r="D141" t="s">
        <v>10</v>
      </c>
      <c r="E141">
        <v>5.0709999999999997</v>
      </c>
      <c r="F141">
        <v>13.439</v>
      </c>
      <c r="G141">
        <v>16.201000000000001</v>
      </c>
      <c r="H141">
        <v>18.398</v>
      </c>
      <c r="I141">
        <v>24.207000000000001</v>
      </c>
      <c r="J141">
        <v>34.058999999999997</v>
      </c>
      <c r="K141">
        <v>38.674999999999997</v>
      </c>
      <c r="L141">
        <v>28.713999999999999</v>
      </c>
      <c r="M141">
        <v>24.780999999999999</v>
      </c>
      <c r="N141">
        <v>12.590999999999999</v>
      </c>
      <c r="O141">
        <v>12.597</v>
      </c>
      <c r="P141">
        <v>11.548999999999999</v>
      </c>
      <c r="Q141">
        <v>5.3129999999999997</v>
      </c>
      <c r="R141">
        <v>9.2119999999999997</v>
      </c>
      <c r="S141">
        <v>12.535</v>
      </c>
      <c r="T141">
        <v>11.795</v>
      </c>
      <c r="U141">
        <v>12.545</v>
      </c>
    </row>
    <row r="142" spans="1:21" x14ac:dyDescent="0.2">
      <c r="A142" t="s">
        <v>45</v>
      </c>
      <c r="B142" t="s">
        <v>66</v>
      </c>
      <c r="C142" t="s">
        <v>8</v>
      </c>
      <c r="D142" t="s">
        <v>10</v>
      </c>
      <c r="E142">
        <v>595</v>
      </c>
      <c r="F142">
        <v>670</v>
      </c>
      <c r="G142">
        <v>747</v>
      </c>
      <c r="H142">
        <v>754</v>
      </c>
      <c r="I142">
        <v>890</v>
      </c>
      <c r="J142">
        <v>935</v>
      </c>
      <c r="K142">
        <v>958</v>
      </c>
      <c r="L142">
        <v>776</v>
      </c>
      <c r="M142">
        <v>927</v>
      </c>
      <c r="N142">
        <v>936</v>
      </c>
      <c r="O142">
        <v>1363</v>
      </c>
      <c r="P142">
        <v>1475</v>
      </c>
      <c r="Q142">
        <v>1466</v>
      </c>
      <c r="R142">
        <v>1559</v>
      </c>
      <c r="S142">
        <v>1655</v>
      </c>
      <c r="T142">
        <v>1715</v>
      </c>
      <c r="U142">
        <v>1760</v>
      </c>
    </row>
    <row r="143" spans="1:21" x14ac:dyDescent="0.2">
      <c r="A143" t="s">
        <v>46</v>
      </c>
      <c r="B143" t="s">
        <v>66</v>
      </c>
      <c r="C143" t="s">
        <v>8</v>
      </c>
      <c r="D143" t="s">
        <v>10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14</v>
      </c>
      <c r="N143">
        <v>15</v>
      </c>
      <c r="O143">
        <v>16</v>
      </c>
      <c r="P143">
        <v>17</v>
      </c>
      <c r="Q143">
        <v>19</v>
      </c>
      <c r="R143">
        <v>20</v>
      </c>
      <c r="S143">
        <v>19</v>
      </c>
      <c r="T143">
        <v>21.472000000000001</v>
      </c>
      <c r="U143">
        <v>21.067</v>
      </c>
    </row>
    <row r="144" spans="1:21" x14ac:dyDescent="0.2">
      <c r="A144" t="s">
        <v>47</v>
      </c>
      <c r="B144" t="s">
        <v>66</v>
      </c>
      <c r="C144" t="s">
        <v>8</v>
      </c>
      <c r="D144" t="s">
        <v>10</v>
      </c>
      <c r="E144">
        <v>703</v>
      </c>
      <c r="F144">
        <v>666</v>
      </c>
      <c r="G144">
        <v>628</v>
      </c>
      <c r="H144">
        <v>579</v>
      </c>
      <c r="I144">
        <v>584</v>
      </c>
      <c r="J144">
        <v>605</v>
      </c>
      <c r="K144">
        <v>681</v>
      </c>
      <c r="L144">
        <v>721</v>
      </c>
      <c r="M144">
        <v>710</v>
      </c>
      <c r="N144">
        <v>571</v>
      </c>
      <c r="O144">
        <v>520</v>
      </c>
      <c r="P144">
        <v>545</v>
      </c>
      <c r="Q144">
        <v>548</v>
      </c>
      <c r="R144">
        <v>555.48</v>
      </c>
      <c r="S144">
        <v>608.74599999999998</v>
      </c>
      <c r="T144">
        <v>589.154</v>
      </c>
      <c r="U144">
        <v>717.30399999999997</v>
      </c>
    </row>
    <row r="145" spans="1:21" x14ac:dyDescent="0.2">
      <c r="A145" t="s">
        <v>48</v>
      </c>
      <c r="B145" t="s">
        <v>66</v>
      </c>
      <c r="C145" t="s">
        <v>8</v>
      </c>
      <c r="D145" t="s">
        <v>10</v>
      </c>
      <c r="E145">
        <v>701</v>
      </c>
      <c r="F145">
        <v>758</v>
      </c>
      <c r="G145">
        <v>916</v>
      </c>
      <c r="H145">
        <v>952.88499999999999</v>
      </c>
      <c r="I145">
        <v>955.82299999999998</v>
      </c>
      <c r="J145">
        <v>928.96299999999997</v>
      </c>
      <c r="K145">
        <v>872.94899999999996</v>
      </c>
      <c r="L145">
        <v>719.13699999999994</v>
      </c>
      <c r="M145">
        <v>846.52099999999996</v>
      </c>
      <c r="N145">
        <v>961.42200000000003</v>
      </c>
      <c r="O145">
        <v>904.38199999999995</v>
      </c>
      <c r="P145">
        <v>771.04899999999998</v>
      </c>
      <c r="Q145">
        <v>837.66300000000001</v>
      </c>
      <c r="R145">
        <v>828.71900000000005</v>
      </c>
      <c r="S145">
        <v>886.42700000000002</v>
      </c>
      <c r="T145">
        <v>968.99900000000002</v>
      </c>
      <c r="U145">
        <v>960.976</v>
      </c>
    </row>
    <row r="146" spans="1:21" x14ac:dyDescent="0.2">
      <c r="A146" t="s">
        <v>49</v>
      </c>
      <c r="B146" t="s">
        <v>66</v>
      </c>
      <c r="C146" t="s">
        <v>8</v>
      </c>
      <c r="D146" t="s">
        <v>10</v>
      </c>
      <c r="E146">
        <v>1351</v>
      </c>
      <c r="F146">
        <v>1561</v>
      </c>
      <c r="G146">
        <v>1745</v>
      </c>
      <c r="H146">
        <v>1938</v>
      </c>
      <c r="I146">
        <v>2052</v>
      </c>
      <c r="J146">
        <v>2314</v>
      </c>
      <c r="K146">
        <v>2394</v>
      </c>
      <c r="L146">
        <v>1662</v>
      </c>
      <c r="M146">
        <v>1746</v>
      </c>
      <c r="N146">
        <v>1926</v>
      </c>
      <c r="O146">
        <v>2014</v>
      </c>
      <c r="P146">
        <v>2533</v>
      </c>
      <c r="Q146">
        <v>2537</v>
      </c>
      <c r="R146">
        <v>2562</v>
      </c>
      <c r="S146">
        <v>2712</v>
      </c>
      <c r="T146">
        <v>2928.1669999999999</v>
      </c>
      <c r="U146">
        <v>3061.085</v>
      </c>
    </row>
    <row r="147" spans="1:21" x14ac:dyDescent="0.2">
      <c r="A147" t="s">
        <v>50</v>
      </c>
      <c r="B147" t="s">
        <v>66</v>
      </c>
      <c r="C147" t="s">
        <v>8</v>
      </c>
      <c r="D147" t="s">
        <v>10</v>
      </c>
      <c r="E147">
        <v>476</v>
      </c>
      <c r="F147">
        <v>481</v>
      </c>
      <c r="G147">
        <v>471</v>
      </c>
      <c r="H147">
        <v>478</v>
      </c>
      <c r="I147">
        <v>483</v>
      </c>
      <c r="J147">
        <v>494</v>
      </c>
      <c r="K147">
        <v>481</v>
      </c>
      <c r="L147">
        <v>411</v>
      </c>
      <c r="M147">
        <v>442</v>
      </c>
      <c r="N147">
        <v>433</v>
      </c>
      <c r="O147">
        <v>374</v>
      </c>
      <c r="P147">
        <v>347</v>
      </c>
      <c r="Q147">
        <v>358</v>
      </c>
      <c r="R147">
        <v>369</v>
      </c>
      <c r="S147">
        <v>446.08800000000002</v>
      </c>
      <c r="T147">
        <v>524.89700000000005</v>
      </c>
      <c r="U147">
        <v>551.40099999999995</v>
      </c>
    </row>
    <row r="148" spans="1:21" x14ac:dyDescent="0.2">
      <c r="A148" t="s">
        <v>51</v>
      </c>
      <c r="B148" t="s">
        <v>66</v>
      </c>
      <c r="C148" t="s">
        <v>8</v>
      </c>
      <c r="D148" t="s">
        <v>10</v>
      </c>
      <c r="E148">
        <v>467</v>
      </c>
      <c r="F148">
        <v>399</v>
      </c>
      <c r="G148">
        <v>508</v>
      </c>
      <c r="H148">
        <v>479</v>
      </c>
      <c r="I148">
        <v>835</v>
      </c>
      <c r="J148">
        <v>914</v>
      </c>
      <c r="K148">
        <v>891</v>
      </c>
      <c r="L148">
        <v>849</v>
      </c>
      <c r="M148">
        <v>476</v>
      </c>
      <c r="N148">
        <v>972</v>
      </c>
      <c r="O148">
        <v>1011</v>
      </c>
      <c r="P148">
        <v>1226</v>
      </c>
      <c r="Q148">
        <v>1397</v>
      </c>
      <c r="R148">
        <v>1398</v>
      </c>
      <c r="S148">
        <v>1384</v>
      </c>
      <c r="T148">
        <v>1431.107</v>
      </c>
      <c r="U148">
        <v>1657.626</v>
      </c>
    </row>
    <row r="149" spans="1:21" x14ac:dyDescent="0.2">
      <c r="A149" t="s">
        <v>52</v>
      </c>
      <c r="B149" t="s">
        <v>66</v>
      </c>
      <c r="C149" t="s">
        <v>8</v>
      </c>
      <c r="D149" t="s">
        <v>10</v>
      </c>
      <c r="E149">
        <v>118</v>
      </c>
      <c r="F149">
        <v>132</v>
      </c>
      <c r="G149">
        <v>135</v>
      </c>
      <c r="H149">
        <v>155</v>
      </c>
      <c r="I149">
        <v>165</v>
      </c>
      <c r="J149">
        <v>216</v>
      </c>
      <c r="K149">
        <v>231</v>
      </c>
      <c r="L149">
        <v>201</v>
      </c>
      <c r="M149">
        <v>212</v>
      </c>
      <c r="N149">
        <v>217</v>
      </c>
      <c r="O149">
        <v>245</v>
      </c>
      <c r="P149">
        <v>211</v>
      </c>
      <c r="Q149">
        <v>233</v>
      </c>
      <c r="R149">
        <v>222</v>
      </c>
      <c r="S149">
        <v>214</v>
      </c>
      <c r="T149">
        <v>246.92500000000001</v>
      </c>
      <c r="U149">
        <v>239.78800000000001</v>
      </c>
    </row>
    <row r="150" spans="1:21" x14ac:dyDescent="0.2">
      <c r="A150" t="s">
        <v>53</v>
      </c>
      <c r="B150" t="s">
        <v>66</v>
      </c>
      <c r="C150" t="s">
        <v>8</v>
      </c>
      <c r="D150" t="s">
        <v>10</v>
      </c>
      <c r="E150">
        <v>154</v>
      </c>
      <c r="F150">
        <v>177</v>
      </c>
      <c r="G150">
        <v>196</v>
      </c>
      <c r="H150">
        <v>233</v>
      </c>
      <c r="I150">
        <v>563</v>
      </c>
      <c r="J150">
        <v>715</v>
      </c>
      <c r="K150">
        <v>745</v>
      </c>
      <c r="L150">
        <v>632</v>
      </c>
      <c r="M150">
        <v>737</v>
      </c>
      <c r="N150">
        <v>848</v>
      </c>
      <c r="O150">
        <v>939</v>
      </c>
      <c r="P150">
        <v>945</v>
      </c>
      <c r="Q150">
        <v>1459</v>
      </c>
      <c r="R150">
        <v>969</v>
      </c>
      <c r="S150">
        <v>1072</v>
      </c>
      <c r="T150">
        <v>969</v>
      </c>
      <c r="U150">
        <v>1357</v>
      </c>
    </row>
    <row r="151" spans="1:21" x14ac:dyDescent="0.2">
      <c r="A151" t="s">
        <v>54</v>
      </c>
      <c r="B151" t="s">
        <v>66</v>
      </c>
      <c r="C151" t="s">
        <v>8</v>
      </c>
      <c r="D151" t="s">
        <v>10</v>
      </c>
      <c r="E151">
        <v>350</v>
      </c>
      <c r="F151">
        <v>302</v>
      </c>
      <c r="G151">
        <v>263</v>
      </c>
      <c r="H151">
        <v>289</v>
      </c>
      <c r="I151">
        <v>314</v>
      </c>
      <c r="J151">
        <v>397</v>
      </c>
      <c r="K151">
        <v>369</v>
      </c>
      <c r="L151">
        <v>310</v>
      </c>
      <c r="M151">
        <v>400</v>
      </c>
      <c r="N151">
        <v>298</v>
      </c>
      <c r="O151">
        <v>284</v>
      </c>
      <c r="P151">
        <v>273</v>
      </c>
      <c r="Q151">
        <v>280</v>
      </c>
      <c r="R151">
        <v>325</v>
      </c>
      <c r="S151">
        <v>350</v>
      </c>
      <c r="T151">
        <v>326</v>
      </c>
      <c r="U151">
        <v>295</v>
      </c>
    </row>
    <row r="152" spans="1:21" x14ac:dyDescent="0.2">
      <c r="A152" t="s">
        <v>55</v>
      </c>
      <c r="B152" t="s">
        <v>66</v>
      </c>
      <c r="C152" t="s">
        <v>8</v>
      </c>
      <c r="D152" t="s">
        <v>10</v>
      </c>
      <c r="E152">
        <v>2600</v>
      </c>
      <c r="F152">
        <v>2392</v>
      </c>
      <c r="G152">
        <v>2440</v>
      </c>
      <c r="H152">
        <v>2609</v>
      </c>
      <c r="I152">
        <v>2472</v>
      </c>
      <c r="J152">
        <v>2518</v>
      </c>
      <c r="K152">
        <v>2109</v>
      </c>
      <c r="L152">
        <v>1737</v>
      </c>
      <c r="M152">
        <v>1883</v>
      </c>
      <c r="N152">
        <v>2012</v>
      </c>
      <c r="O152">
        <v>1948</v>
      </c>
      <c r="P152">
        <v>1961</v>
      </c>
      <c r="Q152">
        <v>1959</v>
      </c>
      <c r="R152">
        <v>1930</v>
      </c>
      <c r="S152">
        <v>1938</v>
      </c>
      <c r="T152">
        <v>1977</v>
      </c>
      <c r="U152">
        <v>1990</v>
      </c>
    </row>
    <row r="153" spans="1:21" x14ac:dyDescent="0.2">
      <c r="A153" t="s">
        <v>56</v>
      </c>
      <c r="B153" t="s">
        <v>66</v>
      </c>
      <c r="C153" t="s">
        <v>8</v>
      </c>
      <c r="D153" t="s">
        <v>10</v>
      </c>
      <c r="E153">
        <v>5625</v>
      </c>
      <c r="F153">
        <v>5610</v>
      </c>
      <c r="G153">
        <v>5582</v>
      </c>
      <c r="H153">
        <v>5841</v>
      </c>
      <c r="I153">
        <v>5748</v>
      </c>
      <c r="J153">
        <v>5723</v>
      </c>
      <c r="K153">
        <v>5812</v>
      </c>
      <c r="L153">
        <v>5012</v>
      </c>
      <c r="M153">
        <v>5284</v>
      </c>
      <c r="N153">
        <v>5188</v>
      </c>
      <c r="O153">
        <v>5081</v>
      </c>
      <c r="P153">
        <v>5067</v>
      </c>
      <c r="Q153">
        <v>4831</v>
      </c>
      <c r="R153">
        <v>4875.9780000000001</v>
      </c>
      <c r="S153">
        <v>4847.8609999999999</v>
      </c>
      <c r="T153">
        <v>4756.2830000000004</v>
      </c>
      <c r="U153">
        <v>4767.6450000000004</v>
      </c>
    </row>
    <row r="154" spans="1:21" x14ac:dyDescent="0.2">
      <c r="A154" t="s">
        <v>57</v>
      </c>
      <c r="B154" t="s">
        <v>66</v>
      </c>
      <c r="C154" t="s">
        <v>8</v>
      </c>
      <c r="D154" t="s">
        <v>10</v>
      </c>
      <c r="E154">
        <v>8</v>
      </c>
      <c r="F154">
        <v>6</v>
      </c>
      <c r="G154">
        <v>6</v>
      </c>
      <c r="H154">
        <v>5</v>
      </c>
      <c r="I154">
        <v>5</v>
      </c>
      <c r="J154">
        <v>5</v>
      </c>
      <c r="K154">
        <v>5</v>
      </c>
      <c r="L154">
        <v>5</v>
      </c>
      <c r="M154">
        <v>4</v>
      </c>
      <c r="N154">
        <v>4</v>
      </c>
      <c r="O154">
        <v>5</v>
      </c>
      <c r="P154">
        <v>5</v>
      </c>
      <c r="Q154">
        <v>5</v>
      </c>
      <c r="R154">
        <v>6</v>
      </c>
      <c r="S154">
        <v>5</v>
      </c>
      <c r="T154">
        <v>5.2469999999999999</v>
      </c>
      <c r="U154">
        <v>4.6609999999999996</v>
      </c>
    </row>
    <row r="155" spans="1:21" x14ac:dyDescent="0.2">
      <c r="A155" t="s">
        <v>58</v>
      </c>
      <c r="B155" t="s">
        <v>66</v>
      </c>
      <c r="C155" t="s">
        <v>8</v>
      </c>
      <c r="D155" t="s">
        <v>10</v>
      </c>
      <c r="E155">
        <v>876</v>
      </c>
      <c r="F155">
        <v>731</v>
      </c>
      <c r="G155">
        <v>717</v>
      </c>
      <c r="H155">
        <v>724</v>
      </c>
      <c r="I155">
        <v>852</v>
      </c>
      <c r="J155">
        <v>662</v>
      </c>
      <c r="K155">
        <v>714</v>
      </c>
      <c r="L155">
        <v>499</v>
      </c>
      <c r="M155">
        <v>557</v>
      </c>
      <c r="N155">
        <v>503</v>
      </c>
      <c r="O155">
        <v>498</v>
      </c>
      <c r="P155">
        <v>541</v>
      </c>
      <c r="Q155">
        <v>623</v>
      </c>
      <c r="R155">
        <v>413</v>
      </c>
      <c r="S155">
        <v>433</v>
      </c>
      <c r="T155">
        <v>397</v>
      </c>
      <c r="U155">
        <v>431.99900000000002</v>
      </c>
    </row>
    <row r="156" spans="1:21" x14ac:dyDescent="0.2">
      <c r="A156" t="s">
        <v>59</v>
      </c>
      <c r="B156" t="s">
        <v>66</v>
      </c>
      <c r="C156" t="s">
        <v>8</v>
      </c>
      <c r="D156" t="s">
        <v>10</v>
      </c>
      <c r="E156">
        <v>0</v>
      </c>
      <c r="F156">
        <v>0</v>
      </c>
      <c r="G156">
        <v>684</v>
      </c>
      <c r="H156">
        <v>670</v>
      </c>
      <c r="I156">
        <v>128</v>
      </c>
      <c r="J156">
        <v>135</v>
      </c>
      <c r="K156">
        <v>364</v>
      </c>
      <c r="L156">
        <v>1492</v>
      </c>
      <c r="M156">
        <v>148</v>
      </c>
      <c r="N156">
        <v>194</v>
      </c>
      <c r="O156">
        <v>234</v>
      </c>
      <c r="P156">
        <v>317</v>
      </c>
      <c r="Q156">
        <v>260</v>
      </c>
      <c r="R156">
        <v>213</v>
      </c>
      <c r="S156">
        <v>244</v>
      </c>
      <c r="T156">
        <v>256.37599999999998</v>
      </c>
      <c r="U156">
        <v>213.26300000000001</v>
      </c>
    </row>
    <row r="157" spans="1:21" x14ac:dyDescent="0.2">
      <c r="A157" t="s">
        <v>29</v>
      </c>
      <c r="B157" t="s">
        <v>67</v>
      </c>
      <c r="C157" t="s">
        <v>8</v>
      </c>
      <c r="D157" t="s">
        <v>10</v>
      </c>
      <c r="E157">
        <v>2025</v>
      </c>
      <c r="F157">
        <v>2082</v>
      </c>
      <c r="G157">
        <v>2122</v>
      </c>
      <c r="H157">
        <v>2169</v>
      </c>
      <c r="I157">
        <v>2176</v>
      </c>
      <c r="J157">
        <v>2149</v>
      </c>
      <c r="K157">
        <v>2188</v>
      </c>
      <c r="L157">
        <v>1762</v>
      </c>
      <c r="M157">
        <v>1899</v>
      </c>
      <c r="N157">
        <v>1873</v>
      </c>
      <c r="O157">
        <v>2030</v>
      </c>
      <c r="P157">
        <v>1954</v>
      </c>
      <c r="Q157">
        <v>1924.7</v>
      </c>
      <c r="R157">
        <v>1864.3</v>
      </c>
      <c r="S157">
        <v>1756</v>
      </c>
      <c r="T157">
        <v>1835.2</v>
      </c>
      <c r="U157">
        <v>1838.1</v>
      </c>
    </row>
    <row r="158" spans="1:21" x14ac:dyDescent="0.2">
      <c r="A158" t="s">
        <v>30</v>
      </c>
      <c r="B158" t="s">
        <v>67</v>
      </c>
      <c r="C158" t="s">
        <v>8</v>
      </c>
      <c r="D158" t="s">
        <v>10</v>
      </c>
      <c r="E158">
        <v>750</v>
      </c>
      <c r="F158">
        <v>802</v>
      </c>
      <c r="G158">
        <v>760</v>
      </c>
      <c r="H158">
        <v>819</v>
      </c>
      <c r="I158">
        <v>795</v>
      </c>
      <c r="J158">
        <v>848</v>
      </c>
      <c r="K158">
        <v>891</v>
      </c>
      <c r="L158">
        <v>685</v>
      </c>
      <c r="M158">
        <v>738</v>
      </c>
      <c r="N158">
        <v>912</v>
      </c>
      <c r="O158">
        <v>901</v>
      </c>
      <c r="P158">
        <v>905</v>
      </c>
      <c r="Q158">
        <v>902</v>
      </c>
      <c r="R158">
        <v>931</v>
      </c>
      <c r="S158">
        <v>984</v>
      </c>
      <c r="T158">
        <v>1035.056</v>
      </c>
      <c r="U158">
        <v>1070.636</v>
      </c>
    </row>
    <row r="159" spans="1:21" x14ac:dyDescent="0.2">
      <c r="A159" t="s">
        <v>31</v>
      </c>
      <c r="B159" t="s">
        <v>67</v>
      </c>
      <c r="C159" t="s">
        <v>8</v>
      </c>
      <c r="D159" t="s">
        <v>10</v>
      </c>
      <c r="E159">
        <v>2571</v>
      </c>
      <c r="F159">
        <v>2711</v>
      </c>
      <c r="G159">
        <v>3163</v>
      </c>
      <c r="H159">
        <v>3403</v>
      </c>
      <c r="I159">
        <v>3521</v>
      </c>
      <c r="J159">
        <v>3882</v>
      </c>
      <c r="K159">
        <v>4004</v>
      </c>
      <c r="L159">
        <v>3101</v>
      </c>
      <c r="M159">
        <v>3545</v>
      </c>
      <c r="N159">
        <v>3820</v>
      </c>
      <c r="O159">
        <v>3864</v>
      </c>
      <c r="P159">
        <v>3724</v>
      </c>
      <c r="Q159">
        <v>3817</v>
      </c>
      <c r="R159">
        <v>3996</v>
      </c>
      <c r="S159">
        <v>4069</v>
      </c>
      <c r="T159">
        <v>4343.018</v>
      </c>
      <c r="U159">
        <v>4262.6899999999996</v>
      </c>
    </row>
    <row r="160" spans="1:21" x14ac:dyDescent="0.2">
      <c r="A160" t="s">
        <v>32</v>
      </c>
      <c r="B160" t="s">
        <v>67</v>
      </c>
      <c r="C160" t="s">
        <v>8</v>
      </c>
      <c r="D160" t="s">
        <v>10</v>
      </c>
      <c r="E160">
        <v>1567</v>
      </c>
      <c r="F160">
        <v>1556</v>
      </c>
      <c r="G160">
        <v>1618</v>
      </c>
      <c r="H160">
        <v>1647</v>
      </c>
      <c r="I160">
        <v>1695</v>
      </c>
      <c r="J160">
        <v>1732</v>
      </c>
      <c r="K160">
        <v>1667</v>
      </c>
      <c r="L160">
        <v>1551</v>
      </c>
      <c r="M160">
        <v>1552</v>
      </c>
      <c r="N160">
        <v>1548</v>
      </c>
      <c r="O160">
        <v>1496</v>
      </c>
      <c r="P160">
        <v>1432</v>
      </c>
      <c r="Q160">
        <v>1400</v>
      </c>
      <c r="R160">
        <v>1409.174</v>
      </c>
      <c r="S160">
        <v>1319.8330000000001</v>
      </c>
      <c r="T160">
        <v>1340.0830000000001</v>
      </c>
      <c r="U160">
        <v>1338.7809999999999</v>
      </c>
    </row>
    <row r="161" spans="1:21" x14ac:dyDescent="0.2">
      <c r="A161" t="s">
        <v>33</v>
      </c>
      <c r="B161" t="s">
        <v>67</v>
      </c>
      <c r="C161" t="s">
        <v>8</v>
      </c>
      <c r="D161" t="s">
        <v>10</v>
      </c>
      <c r="E161">
        <v>10415</v>
      </c>
      <c r="F161">
        <v>24573</v>
      </c>
      <c r="G161">
        <v>24347</v>
      </c>
      <c r="H161">
        <v>24293</v>
      </c>
      <c r="I161">
        <v>25438</v>
      </c>
      <c r="J161">
        <v>26559</v>
      </c>
      <c r="K161">
        <v>36547</v>
      </c>
      <c r="L161">
        <v>29222</v>
      </c>
      <c r="M161">
        <v>32910</v>
      </c>
      <c r="N161">
        <v>36361</v>
      </c>
      <c r="O161">
        <v>36452</v>
      </c>
      <c r="P161">
        <v>37202</v>
      </c>
      <c r="Q161">
        <v>39303</v>
      </c>
      <c r="R161">
        <v>33421</v>
      </c>
      <c r="S161">
        <v>33466</v>
      </c>
      <c r="T161">
        <v>33908</v>
      </c>
      <c r="U161">
        <v>34020</v>
      </c>
    </row>
    <row r="162" spans="1:21" x14ac:dyDescent="0.2">
      <c r="A162" t="s">
        <v>34</v>
      </c>
      <c r="B162" t="s">
        <v>67</v>
      </c>
      <c r="C162" t="s">
        <v>8</v>
      </c>
      <c r="D162" t="s">
        <v>10</v>
      </c>
      <c r="E162">
        <v>157</v>
      </c>
      <c r="F162">
        <v>182</v>
      </c>
      <c r="G162">
        <v>200</v>
      </c>
      <c r="H162">
        <v>207</v>
      </c>
      <c r="I162">
        <v>216</v>
      </c>
      <c r="J162">
        <v>230</v>
      </c>
      <c r="K162">
        <v>248</v>
      </c>
      <c r="L162">
        <v>234</v>
      </c>
      <c r="M162">
        <v>294</v>
      </c>
      <c r="N162">
        <v>293</v>
      </c>
      <c r="O162">
        <v>285</v>
      </c>
      <c r="P162">
        <v>260</v>
      </c>
      <c r="Q162">
        <v>248</v>
      </c>
      <c r="R162">
        <v>250</v>
      </c>
      <c r="S162">
        <v>294</v>
      </c>
      <c r="T162">
        <v>302</v>
      </c>
      <c r="U162">
        <v>320</v>
      </c>
    </row>
    <row r="163" spans="1:21" x14ac:dyDescent="0.2">
      <c r="A163" t="s">
        <v>35</v>
      </c>
      <c r="B163" t="s">
        <v>67</v>
      </c>
      <c r="C163" t="s">
        <v>8</v>
      </c>
      <c r="D163" t="s">
        <v>10</v>
      </c>
      <c r="E163">
        <v>1416.683</v>
      </c>
      <c r="F163">
        <v>1327.616</v>
      </c>
      <c r="G163">
        <v>1255.8019999999999</v>
      </c>
      <c r="H163">
        <v>1400.9069999999999</v>
      </c>
      <c r="I163">
        <v>1926.3579999999999</v>
      </c>
      <c r="J163">
        <v>1418.7639999999999</v>
      </c>
      <c r="K163">
        <v>1345.422</v>
      </c>
      <c r="L163">
        <v>1471.741</v>
      </c>
      <c r="M163">
        <v>1355.4670000000001</v>
      </c>
      <c r="N163">
        <v>1415.075</v>
      </c>
      <c r="O163">
        <v>1361.972</v>
      </c>
      <c r="P163">
        <v>1383.0930000000001</v>
      </c>
      <c r="Q163">
        <v>1399.6110000000001</v>
      </c>
      <c r="R163">
        <v>1466.01</v>
      </c>
      <c r="S163">
        <v>1513.7159999999999</v>
      </c>
      <c r="T163">
        <v>1530.5530000000001</v>
      </c>
      <c r="U163">
        <v>1628.854</v>
      </c>
    </row>
    <row r="164" spans="1:21" x14ac:dyDescent="0.2">
      <c r="A164" t="s">
        <v>36</v>
      </c>
      <c r="B164" t="s">
        <v>67</v>
      </c>
      <c r="C164" t="s">
        <v>8</v>
      </c>
      <c r="D164" t="s">
        <v>10</v>
      </c>
      <c r="E164">
        <v>636</v>
      </c>
      <c r="F164">
        <v>879</v>
      </c>
      <c r="G164">
        <v>561</v>
      </c>
      <c r="H164">
        <v>566</v>
      </c>
      <c r="I164">
        <v>603</v>
      </c>
      <c r="J164">
        <v>674</v>
      </c>
      <c r="K164">
        <v>680</v>
      </c>
      <c r="L164">
        <v>51</v>
      </c>
      <c r="M164">
        <v>140</v>
      </c>
      <c r="N164">
        <v>475</v>
      </c>
      <c r="O164">
        <v>191</v>
      </c>
      <c r="P164">
        <v>205</v>
      </c>
      <c r="Q164">
        <v>198</v>
      </c>
      <c r="R164">
        <v>175</v>
      </c>
      <c r="S164">
        <v>151</v>
      </c>
      <c r="T164">
        <v>425.05900000000003</v>
      </c>
      <c r="U164">
        <v>554.47</v>
      </c>
    </row>
    <row r="165" spans="1:21" x14ac:dyDescent="0.2">
      <c r="A165" t="s">
        <v>37</v>
      </c>
      <c r="B165" t="s">
        <v>67</v>
      </c>
      <c r="C165" t="s">
        <v>8</v>
      </c>
      <c r="D165" t="s">
        <v>10</v>
      </c>
      <c r="E165">
        <v>6668</v>
      </c>
      <c r="F165">
        <v>6869</v>
      </c>
      <c r="G165">
        <v>7001</v>
      </c>
      <c r="H165">
        <v>7331</v>
      </c>
      <c r="I165">
        <v>6348</v>
      </c>
      <c r="J165">
        <v>6650</v>
      </c>
      <c r="K165">
        <v>6547</v>
      </c>
      <c r="L165">
        <v>5126</v>
      </c>
      <c r="M165">
        <v>3826</v>
      </c>
      <c r="N165">
        <v>3797</v>
      </c>
      <c r="O165">
        <v>3746</v>
      </c>
      <c r="P165">
        <v>5241</v>
      </c>
      <c r="Q165">
        <v>4799</v>
      </c>
      <c r="R165">
        <v>4821</v>
      </c>
      <c r="S165">
        <v>4768</v>
      </c>
      <c r="T165">
        <v>4936</v>
      </c>
      <c r="U165">
        <v>5015</v>
      </c>
    </row>
    <row r="166" spans="1:21" x14ac:dyDescent="0.2">
      <c r="A166" t="s">
        <v>38</v>
      </c>
      <c r="B166" t="s">
        <v>67</v>
      </c>
      <c r="C166" t="s">
        <v>8</v>
      </c>
      <c r="D166" t="s">
        <v>10</v>
      </c>
      <c r="E166">
        <v>14497</v>
      </c>
      <c r="F166">
        <v>13826</v>
      </c>
      <c r="G166">
        <v>13815</v>
      </c>
      <c r="H166">
        <v>11917</v>
      </c>
      <c r="I166">
        <v>13587</v>
      </c>
      <c r="J166">
        <v>13572</v>
      </c>
      <c r="K166">
        <v>17299</v>
      </c>
      <c r="L166">
        <v>14662</v>
      </c>
      <c r="M166">
        <v>15936</v>
      </c>
      <c r="N166">
        <v>13733.833000000001</v>
      </c>
      <c r="O166">
        <v>13652.545</v>
      </c>
      <c r="P166">
        <v>13595.088</v>
      </c>
      <c r="Q166">
        <v>13024.382</v>
      </c>
      <c r="R166">
        <v>12974.174999999999</v>
      </c>
      <c r="S166">
        <v>13020.529</v>
      </c>
      <c r="T166">
        <v>13001.168</v>
      </c>
      <c r="U166">
        <v>12912.174999999999</v>
      </c>
    </row>
    <row r="167" spans="1:21" x14ac:dyDescent="0.2">
      <c r="A167" t="s">
        <v>39</v>
      </c>
      <c r="B167" t="s">
        <v>67</v>
      </c>
      <c r="C167" t="s">
        <v>8</v>
      </c>
      <c r="D167" t="s">
        <v>10</v>
      </c>
      <c r="E167">
        <v>165</v>
      </c>
      <c r="F167">
        <v>189</v>
      </c>
      <c r="G167">
        <v>219</v>
      </c>
      <c r="H167">
        <v>241</v>
      </c>
      <c r="I167">
        <v>276</v>
      </c>
      <c r="J167">
        <v>311</v>
      </c>
      <c r="K167">
        <v>360</v>
      </c>
      <c r="L167">
        <v>301</v>
      </c>
      <c r="M167">
        <v>313</v>
      </c>
      <c r="N167">
        <v>321</v>
      </c>
      <c r="O167">
        <v>319</v>
      </c>
      <c r="P167">
        <v>330</v>
      </c>
      <c r="Q167">
        <v>400</v>
      </c>
      <c r="R167">
        <v>428</v>
      </c>
      <c r="S167">
        <v>466</v>
      </c>
      <c r="T167">
        <v>456.6</v>
      </c>
      <c r="U167">
        <v>413.7</v>
      </c>
    </row>
    <row r="168" spans="1:21" x14ac:dyDescent="0.2">
      <c r="A168" t="s">
        <v>40</v>
      </c>
      <c r="B168" t="s">
        <v>67</v>
      </c>
      <c r="C168" t="s">
        <v>8</v>
      </c>
      <c r="D168" t="s">
        <v>10</v>
      </c>
      <c r="E168">
        <v>21631</v>
      </c>
      <c r="F168">
        <v>22328</v>
      </c>
      <c r="G168">
        <v>23037</v>
      </c>
      <c r="H168">
        <v>23550</v>
      </c>
      <c r="I168">
        <v>24076</v>
      </c>
      <c r="J168">
        <v>23802</v>
      </c>
      <c r="K168">
        <v>23129</v>
      </c>
      <c r="L168">
        <v>19105</v>
      </c>
      <c r="M168">
        <v>21336</v>
      </c>
      <c r="N168">
        <v>21590</v>
      </c>
      <c r="O168">
        <v>20241</v>
      </c>
      <c r="P168">
        <v>19787</v>
      </c>
      <c r="Q168">
        <v>19531</v>
      </c>
      <c r="R168">
        <v>19944</v>
      </c>
      <c r="S168">
        <v>20128</v>
      </c>
      <c r="T168">
        <v>20888.474999999999</v>
      </c>
      <c r="U168">
        <v>21138.065999999999</v>
      </c>
    </row>
    <row r="169" spans="1:21" x14ac:dyDescent="0.2">
      <c r="A169" t="s">
        <v>41</v>
      </c>
      <c r="B169" t="s">
        <v>67</v>
      </c>
      <c r="C169" t="s">
        <v>8</v>
      </c>
      <c r="D169" t="s">
        <v>10</v>
      </c>
      <c r="E169">
        <v>24</v>
      </c>
      <c r="F169">
        <v>23</v>
      </c>
      <c r="G169">
        <v>27</v>
      </c>
      <c r="H169">
        <v>29</v>
      </c>
      <c r="I169">
        <v>31</v>
      </c>
      <c r="J169">
        <v>33</v>
      </c>
      <c r="K169">
        <v>34</v>
      </c>
      <c r="L169">
        <v>30</v>
      </c>
      <c r="M169">
        <v>29</v>
      </c>
      <c r="N169">
        <v>26</v>
      </c>
      <c r="O169">
        <v>24</v>
      </c>
      <c r="P169">
        <v>20</v>
      </c>
      <c r="Q169">
        <v>17</v>
      </c>
      <c r="R169">
        <v>17</v>
      </c>
      <c r="S169">
        <v>20</v>
      </c>
      <c r="T169">
        <v>20.681999999999999</v>
      </c>
      <c r="U169">
        <v>24.297000000000001</v>
      </c>
    </row>
    <row r="170" spans="1:21" x14ac:dyDescent="0.2">
      <c r="A170" t="s">
        <v>42</v>
      </c>
      <c r="B170" t="s">
        <v>67</v>
      </c>
      <c r="C170" t="s">
        <v>8</v>
      </c>
      <c r="D170" t="s">
        <v>10</v>
      </c>
      <c r="E170">
        <v>139</v>
      </c>
      <c r="F170">
        <v>145</v>
      </c>
      <c r="G170">
        <v>153</v>
      </c>
      <c r="H170">
        <v>157</v>
      </c>
      <c r="I170">
        <v>161</v>
      </c>
      <c r="J170">
        <v>140</v>
      </c>
      <c r="K170">
        <v>136</v>
      </c>
      <c r="L170">
        <v>86</v>
      </c>
      <c r="M170">
        <v>96</v>
      </c>
      <c r="N170">
        <v>108</v>
      </c>
      <c r="O170">
        <v>110</v>
      </c>
      <c r="P170">
        <v>116</v>
      </c>
      <c r="Q170">
        <v>108</v>
      </c>
      <c r="R170">
        <v>93</v>
      </c>
      <c r="S170">
        <v>97</v>
      </c>
      <c r="T170">
        <v>89.174000000000007</v>
      </c>
      <c r="U170">
        <v>91.846999999999994</v>
      </c>
    </row>
    <row r="171" spans="1:21" x14ac:dyDescent="0.2">
      <c r="A171" t="s">
        <v>43</v>
      </c>
      <c r="B171" t="s">
        <v>67</v>
      </c>
      <c r="C171" t="s">
        <v>8</v>
      </c>
      <c r="D171" t="s">
        <v>10</v>
      </c>
      <c r="E171">
        <v>325</v>
      </c>
      <c r="F171">
        <v>336</v>
      </c>
      <c r="G171">
        <v>374</v>
      </c>
      <c r="H171">
        <v>335</v>
      </c>
      <c r="I171">
        <v>234</v>
      </c>
      <c r="J171">
        <v>173</v>
      </c>
      <c r="K171">
        <v>136</v>
      </c>
      <c r="L171">
        <v>92</v>
      </c>
      <c r="M171">
        <v>108</v>
      </c>
      <c r="N171">
        <v>125</v>
      </c>
      <c r="O171">
        <v>173</v>
      </c>
      <c r="P171">
        <v>167</v>
      </c>
      <c r="Q171">
        <v>165</v>
      </c>
      <c r="R171">
        <v>171</v>
      </c>
      <c r="S171">
        <v>185</v>
      </c>
      <c r="T171">
        <v>244.3</v>
      </c>
      <c r="U171">
        <v>219</v>
      </c>
    </row>
    <row r="172" spans="1:21" x14ac:dyDescent="0.2">
      <c r="A172" t="s">
        <v>44</v>
      </c>
      <c r="B172" t="s">
        <v>67</v>
      </c>
      <c r="C172" t="s">
        <v>8</v>
      </c>
      <c r="D172" t="s">
        <v>10</v>
      </c>
      <c r="E172">
        <v>112.23699999999999</v>
      </c>
      <c r="F172">
        <v>159.494</v>
      </c>
      <c r="G172">
        <v>148.596</v>
      </c>
      <c r="H172">
        <v>137.38900000000001</v>
      </c>
      <c r="I172">
        <v>132.92099999999999</v>
      </c>
      <c r="J172">
        <v>140.46700000000001</v>
      </c>
      <c r="K172">
        <v>143.601</v>
      </c>
      <c r="L172">
        <v>131.68</v>
      </c>
      <c r="M172">
        <v>150.88499999999999</v>
      </c>
      <c r="N172">
        <v>99.28</v>
      </c>
      <c r="O172">
        <v>94.769000000000005</v>
      </c>
      <c r="P172">
        <v>91.099000000000004</v>
      </c>
      <c r="Q172">
        <v>82.635000000000005</v>
      </c>
      <c r="R172">
        <v>83.316999999999993</v>
      </c>
      <c r="S172">
        <v>90.113</v>
      </c>
      <c r="T172">
        <v>74.468999999999994</v>
      </c>
      <c r="U172">
        <v>79.203999999999994</v>
      </c>
    </row>
    <row r="173" spans="1:21" x14ac:dyDescent="0.2">
      <c r="A173" t="s">
        <v>45</v>
      </c>
      <c r="B173" t="s">
        <v>67</v>
      </c>
      <c r="C173" t="s">
        <v>8</v>
      </c>
      <c r="D173" t="s">
        <v>10</v>
      </c>
      <c r="E173">
        <v>837</v>
      </c>
      <c r="F173">
        <v>881</v>
      </c>
      <c r="G173">
        <v>1016</v>
      </c>
      <c r="H173">
        <v>1254</v>
      </c>
      <c r="I173">
        <v>1235</v>
      </c>
      <c r="J173">
        <v>1257</v>
      </c>
      <c r="K173">
        <v>1309</v>
      </c>
      <c r="L173">
        <v>1292</v>
      </c>
      <c r="M173">
        <v>1544</v>
      </c>
      <c r="N173">
        <v>1559</v>
      </c>
      <c r="O173">
        <v>2506</v>
      </c>
      <c r="P173">
        <v>2410</v>
      </c>
      <c r="Q173">
        <v>2469</v>
      </c>
      <c r="R173">
        <v>2478</v>
      </c>
      <c r="S173">
        <v>2574</v>
      </c>
      <c r="T173">
        <v>2751</v>
      </c>
      <c r="U173">
        <v>2827</v>
      </c>
    </row>
    <row r="174" spans="1:21" x14ac:dyDescent="0.2">
      <c r="A174" t="s">
        <v>46</v>
      </c>
      <c r="B174" t="s">
        <v>67</v>
      </c>
      <c r="C174" t="s">
        <v>8</v>
      </c>
      <c r="D174" t="s">
        <v>10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110</v>
      </c>
      <c r="N174">
        <v>109</v>
      </c>
      <c r="O174">
        <v>108</v>
      </c>
      <c r="P174">
        <v>114</v>
      </c>
      <c r="Q174">
        <v>116</v>
      </c>
      <c r="R174">
        <v>115</v>
      </c>
      <c r="S174">
        <v>109</v>
      </c>
      <c r="T174">
        <v>116.47199999999999</v>
      </c>
      <c r="U174">
        <v>119.71899999999999</v>
      </c>
    </row>
    <row r="175" spans="1:21" x14ac:dyDescent="0.2">
      <c r="A175" t="s">
        <v>47</v>
      </c>
      <c r="B175" t="s">
        <v>67</v>
      </c>
      <c r="C175" t="s">
        <v>8</v>
      </c>
      <c r="D175" t="s">
        <v>10</v>
      </c>
      <c r="E175">
        <v>3645</v>
      </c>
      <c r="F175">
        <v>3358</v>
      </c>
      <c r="G175">
        <v>3450</v>
      </c>
      <c r="H175">
        <v>3573</v>
      </c>
      <c r="I175">
        <v>3537</v>
      </c>
      <c r="J175">
        <v>3265</v>
      </c>
      <c r="K175">
        <v>3549</v>
      </c>
      <c r="L175">
        <v>3460</v>
      </c>
      <c r="M175">
        <v>3416</v>
      </c>
      <c r="N175">
        <v>2850</v>
      </c>
      <c r="O175">
        <v>2848</v>
      </c>
      <c r="P175">
        <v>2688</v>
      </c>
      <c r="Q175">
        <v>2853</v>
      </c>
      <c r="R175">
        <v>2809.09</v>
      </c>
      <c r="S175">
        <v>3003.8910000000001</v>
      </c>
      <c r="T175">
        <v>3250.57</v>
      </c>
      <c r="U175">
        <v>3145.5630000000001</v>
      </c>
    </row>
    <row r="176" spans="1:21" x14ac:dyDescent="0.2">
      <c r="A176" t="s">
        <v>48</v>
      </c>
      <c r="B176" t="s">
        <v>67</v>
      </c>
      <c r="C176" t="s">
        <v>8</v>
      </c>
      <c r="D176" t="s">
        <v>10</v>
      </c>
      <c r="E176">
        <v>2312</v>
      </c>
      <c r="F176">
        <v>2402</v>
      </c>
      <c r="G176">
        <v>2800</v>
      </c>
      <c r="H176">
        <v>2934.3069999999998</v>
      </c>
      <c r="I176">
        <v>3134.5120000000002</v>
      </c>
      <c r="J176">
        <v>3272.09</v>
      </c>
      <c r="K176">
        <v>3298.7080000000001</v>
      </c>
      <c r="L176">
        <v>3228.45</v>
      </c>
      <c r="M176">
        <v>3556.623</v>
      </c>
      <c r="N176">
        <v>3750.3359999999998</v>
      </c>
      <c r="O176">
        <v>3807.33</v>
      </c>
      <c r="P176">
        <v>3419.3009999999999</v>
      </c>
      <c r="Q176">
        <v>3315.3969999999999</v>
      </c>
      <c r="R176">
        <v>3497.8240000000001</v>
      </c>
      <c r="S176">
        <v>3723.7170000000001</v>
      </c>
      <c r="T176">
        <v>3686.375</v>
      </c>
      <c r="U176">
        <v>4129.4470000000001</v>
      </c>
    </row>
    <row r="177" spans="1:21" x14ac:dyDescent="0.2">
      <c r="A177" t="s">
        <v>49</v>
      </c>
      <c r="B177" t="s">
        <v>67</v>
      </c>
      <c r="C177" t="s">
        <v>8</v>
      </c>
      <c r="D177" t="s">
        <v>10</v>
      </c>
      <c r="E177">
        <v>3354</v>
      </c>
      <c r="F177">
        <v>3384</v>
      </c>
      <c r="G177">
        <v>3370</v>
      </c>
      <c r="H177">
        <v>3533</v>
      </c>
      <c r="I177">
        <v>3755</v>
      </c>
      <c r="J177">
        <v>3992</v>
      </c>
      <c r="K177">
        <v>3847</v>
      </c>
      <c r="L177">
        <v>3255</v>
      </c>
      <c r="M177">
        <v>3630</v>
      </c>
      <c r="N177">
        <v>3974</v>
      </c>
      <c r="O177">
        <v>3918</v>
      </c>
      <c r="P177">
        <v>4251</v>
      </c>
      <c r="Q177">
        <v>4397</v>
      </c>
      <c r="R177">
        <v>4543</v>
      </c>
      <c r="S177">
        <v>4581</v>
      </c>
      <c r="T177">
        <v>4804.0309999999999</v>
      </c>
      <c r="U177">
        <v>5125.9539999999997</v>
      </c>
    </row>
    <row r="178" spans="1:21" x14ac:dyDescent="0.2">
      <c r="A178" t="s">
        <v>50</v>
      </c>
      <c r="B178" t="s">
        <v>67</v>
      </c>
      <c r="C178" t="s">
        <v>8</v>
      </c>
      <c r="D178" t="s">
        <v>10</v>
      </c>
      <c r="E178">
        <v>1071</v>
      </c>
      <c r="F178">
        <v>1132</v>
      </c>
      <c r="G178">
        <v>1185</v>
      </c>
      <c r="H178">
        <v>1196</v>
      </c>
      <c r="I178">
        <v>1250</v>
      </c>
      <c r="J178">
        <v>1272</v>
      </c>
      <c r="K178">
        <v>1272</v>
      </c>
      <c r="L178">
        <v>1240</v>
      </c>
      <c r="M178">
        <v>1346</v>
      </c>
      <c r="N178">
        <v>1316</v>
      </c>
      <c r="O178">
        <v>1274</v>
      </c>
      <c r="P178">
        <v>1272</v>
      </c>
      <c r="Q178">
        <v>1307</v>
      </c>
      <c r="R178">
        <v>1330</v>
      </c>
      <c r="S178">
        <v>1076.6220000000001</v>
      </c>
      <c r="T178">
        <v>1085.038</v>
      </c>
      <c r="U178">
        <v>1162.7070000000001</v>
      </c>
    </row>
    <row r="179" spans="1:21" x14ac:dyDescent="0.2">
      <c r="A179" t="s">
        <v>51</v>
      </c>
      <c r="B179" t="s">
        <v>67</v>
      </c>
      <c r="C179" t="s">
        <v>8</v>
      </c>
      <c r="D179" t="s">
        <v>10</v>
      </c>
      <c r="E179">
        <v>2681</v>
      </c>
      <c r="F179">
        <v>2428</v>
      </c>
      <c r="G179">
        <v>2101</v>
      </c>
      <c r="H179">
        <v>1859</v>
      </c>
      <c r="I179">
        <v>1691</v>
      </c>
      <c r="J179">
        <v>1789</v>
      </c>
      <c r="K179">
        <v>2108</v>
      </c>
      <c r="L179">
        <v>1623</v>
      </c>
      <c r="M179">
        <v>2265</v>
      </c>
      <c r="N179">
        <v>1823</v>
      </c>
      <c r="O179">
        <v>1937</v>
      </c>
      <c r="P179">
        <v>1835</v>
      </c>
      <c r="Q179">
        <v>2024</v>
      </c>
      <c r="R179">
        <v>2037</v>
      </c>
      <c r="S179">
        <v>2190</v>
      </c>
      <c r="T179">
        <v>2456.3519999999999</v>
      </c>
      <c r="U179">
        <v>2758.6610000000001</v>
      </c>
    </row>
    <row r="180" spans="1:21" x14ac:dyDescent="0.2">
      <c r="A180" t="s">
        <v>52</v>
      </c>
      <c r="B180" t="s">
        <v>67</v>
      </c>
      <c r="C180" t="s">
        <v>8</v>
      </c>
      <c r="D180" t="s">
        <v>10</v>
      </c>
      <c r="E180">
        <v>646</v>
      </c>
      <c r="F180">
        <v>757</v>
      </c>
      <c r="G180">
        <v>810</v>
      </c>
      <c r="H180">
        <v>880</v>
      </c>
      <c r="I180">
        <v>997</v>
      </c>
      <c r="J180">
        <v>1091</v>
      </c>
      <c r="K180">
        <v>951</v>
      </c>
      <c r="L180">
        <v>779</v>
      </c>
      <c r="M180">
        <v>931</v>
      </c>
      <c r="N180">
        <v>914</v>
      </c>
      <c r="O180">
        <v>862</v>
      </c>
      <c r="P180">
        <v>887</v>
      </c>
      <c r="Q180">
        <v>905</v>
      </c>
      <c r="R180">
        <v>937</v>
      </c>
      <c r="S180">
        <v>984</v>
      </c>
      <c r="T180">
        <v>1005.197</v>
      </c>
      <c r="U180">
        <v>1345.384</v>
      </c>
    </row>
    <row r="181" spans="1:21" x14ac:dyDescent="0.2">
      <c r="A181" t="s">
        <v>53</v>
      </c>
      <c r="B181" t="s">
        <v>67</v>
      </c>
      <c r="C181" t="s">
        <v>8</v>
      </c>
      <c r="D181" t="s">
        <v>10</v>
      </c>
      <c r="E181">
        <v>496</v>
      </c>
      <c r="F181">
        <v>742</v>
      </c>
      <c r="G181">
        <v>805</v>
      </c>
      <c r="H181">
        <v>766</v>
      </c>
      <c r="I181">
        <v>882</v>
      </c>
      <c r="J181">
        <v>1062</v>
      </c>
      <c r="K181">
        <v>1390</v>
      </c>
      <c r="L181">
        <v>961</v>
      </c>
      <c r="M181">
        <v>1081</v>
      </c>
      <c r="N181">
        <v>1074</v>
      </c>
      <c r="O181">
        <v>1124</v>
      </c>
      <c r="P181">
        <v>1156</v>
      </c>
      <c r="Q181">
        <v>1301</v>
      </c>
      <c r="R181">
        <v>1329</v>
      </c>
      <c r="S181">
        <v>1449</v>
      </c>
      <c r="T181">
        <v>1693</v>
      </c>
      <c r="U181">
        <v>1818</v>
      </c>
    </row>
    <row r="182" spans="1:21" x14ac:dyDescent="0.2">
      <c r="A182" t="s">
        <v>54</v>
      </c>
      <c r="B182" t="s">
        <v>67</v>
      </c>
      <c r="C182" t="s">
        <v>8</v>
      </c>
      <c r="D182" t="s">
        <v>10</v>
      </c>
      <c r="E182">
        <v>2077</v>
      </c>
      <c r="F182">
        <v>2165</v>
      </c>
      <c r="G182">
        <v>2208</v>
      </c>
      <c r="H182">
        <v>2097</v>
      </c>
      <c r="I182">
        <v>2145</v>
      </c>
      <c r="J182">
        <v>2252</v>
      </c>
      <c r="K182">
        <v>2530</v>
      </c>
      <c r="L182">
        <v>2397</v>
      </c>
      <c r="M182">
        <v>2446</v>
      </c>
      <c r="N182">
        <v>2373</v>
      </c>
      <c r="O182">
        <v>2145</v>
      </c>
      <c r="P182">
        <v>2196</v>
      </c>
      <c r="Q182">
        <v>2163</v>
      </c>
      <c r="R182">
        <v>1994</v>
      </c>
      <c r="S182">
        <v>2029</v>
      </c>
      <c r="T182">
        <v>2158</v>
      </c>
      <c r="U182">
        <v>2338</v>
      </c>
    </row>
    <row r="183" spans="1:21" x14ac:dyDescent="0.2">
      <c r="A183" t="s">
        <v>55</v>
      </c>
      <c r="B183" t="s">
        <v>67</v>
      </c>
      <c r="C183" t="s">
        <v>8</v>
      </c>
      <c r="D183" t="s">
        <v>10</v>
      </c>
      <c r="E183">
        <v>1803</v>
      </c>
      <c r="F183">
        <v>1781</v>
      </c>
      <c r="G183">
        <v>1817</v>
      </c>
      <c r="H183">
        <v>1746</v>
      </c>
      <c r="I183">
        <v>1851</v>
      </c>
      <c r="J183">
        <v>1730</v>
      </c>
      <c r="K183">
        <v>1495</v>
      </c>
      <c r="L183">
        <v>2035</v>
      </c>
      <c r="M183">
        <v>3997</v>
      </c>
      <c r="N183">
        <v>3739</v>
      </c>
      <c r="O183">
        <v>3628</v>
      </c>
      <c r="P183">
        <v>3483</v>
      </c>
      <c r="Q183">
        <v>3654</v>
      </c>
      <c r="R183">
        <v>3381</v>
      </c>
      <c r="S183">
        <v>3276</v>
      </c>
      <c r="T183">
        <v>3330</v>
      </c>
      <c r="U183">
        <v>3399</v>
      </c>
    </row>
    <row r="184" spans="1:21" x14ac:dyDescent="0.2">
      <c r="A184" t="s">
        <v>56</v>
      </c>
      <c r="B184" t="s">
        <v>67</v>
      </c>
      <c r="C184" t="s">
        <v>8</v>
      </c>
      <c r="D184" t="s">
        <v>10</v>
      </c>
      <c r="E184">
        <v>14674</v>
      </c>
      <c r="F184">
        <v>14509</v>
      </c>
      <c r="G184">
        <v>15019</v>
      </c>
      <c r="H184">
        <v>16053</v>
      </c>
      <c r="I184">
        <v>15832</v>
      </c>
      <c r="J184">
        <v>15748</v>
      </c>
      <c r="K184">
        <v>16010</v>
      </c>
      <c r="L184">
        <v>14143</v>
      </c>
      <c r="M184">
        <v>14309</v>
      </c>
      <c r="N184">
        <v>13645</v>
      </c>
      <c r="O184">
        <v>13261</v>
      </c>
      <c r="P184">
        <v>13235</v>
      </c>
      <c r="Q184">
        <v>12627</v>
      </c>
      <c r="R184">
        <v>12225.583000000001</v>
      </c>
      <c r="S184">
        <v>12268.34</v>
      </c>
      <c r="T184">
        <v>12456.5</v>
      </c>
      <c r="U184">
        <v>12601.316999999999</v>
      </c>
    </row>
    <row r="185" spans="1:21" x14ac:dyDescent="0.2">
      <c r="A185" t="s">
        <v>57</v>
      </c>
      <c r="B185" t="s">
        <v>67</v>
      </c>
      <c r="C185" t="s">
        <v>8</v>
      </c>
      <c r="D185" t="s">
        <v>10</v>
      </c>
      <c r="E185">
        <v>9</v>
      </c>
      <c r="F185">
        <v>8</v>
      </c>
      <c r="G185">
        <v>9</v>
      </c>
      <c r="H185">
        <v>11</v>
      </c>
      <c r="I185">
        <v>10</v>
      </c>
      <c r="J185">
        <v>11</v>
      </c>
      <c r="K185">
        <v>11</v>
      </c>
      <c r="L185">
        <v>9</v>
      </c>
      <c r="M185">
        <v>10</v>
      </c>
      <c r="N185">
        <v>10</v>
      </c>
      <c r="O185">
        <v>11</v>
      </c>
      <c r="P185">
        <v>11</v>
      </c>
      <c r="Q185">
        <v>10</v>
      </c>
      <c r="R185">
        <v>10</v>
      </c>
      <c r="S185">
        <v>11</v>
      </c>
      <c r="T185">
        <v>10.872</v>
      </c>
      <c r="U185">
        <v>10.853999999999999</v>
      </c>
    </row>
    <row r="186" spans="1:21" x14ac:dyDescent="0.2">
      <c r="A186" t="s">
        <v>58</v>
      </c>
      <c r="B186" t="s">
        <v>67</v>
      </c>
      <c r="C186" t="s">
        <v>8</v>
      </c>
      <c r="D186" t="s">
        <v>10</v>
      </c>
      <c r="E186">
        <v>1324</v>
      </c>
      <c r="F186">
        <v>1178</v>
      </c>
      <c r="G186">
        <v>1208</v>
      </c>
      <c r="H186">
        <v>1224</v>
      </c>
      <c r="I186">
        <v>1246</v>
      </c>
      <c r="J186">
        <v>1317</v>
      </c>
      <c r="K186">
        <v>1317</v>
      </c>
      <c r="L186">
        <v>963</v>
      </c>
      <c r="M186">
        <v>1171</v>
      </c>
      <c r="N186">
        <v>1117</v>
      </c>
      <c r="O186">
        <v>1109</v>
      </c>
      <c r="P186">
        <v>1164</v>
      </c>
      <c r="Q186">
        <v>1195</v>
      </c>
      <c r="R186">
        <v>1241</v>
      </c>
      <c r="S186">
        <v>1148</v>
      </c>
      <c r="T186">
        <v>1060</v>
      </c>
      <c r="U186">
        <v>1010.635</v>
      </c>
    </row>
    <row r="187" spans="1:21" x14ac:dyDescent="0.2">
      <c r="A187" t="s">
        <v>59</v>
      </c>
      <c r="B187" t="s">
        <v>67</v>
      </c>
      <c r="C187" t="s">
        <v>8</v>
      </c>
      <c r="D187" t="s">
        <v>10</v>
      </c>
      <c r="E187">
        <v>0</v>
      </c>
      <c r="F187">
        <v>0</v>
      </c>
      <c r="G187">
        <v>408</v>
      </c>
      <c r="H187">
        <v>434</v>
      </c>
      <c r="I187">
        <v>475</v>
      </c>
      <c r="J187">
        <v>876</v>
      </c>
      <c r="K187">
        <v>1185</v>
      </c>
      <c r="L187">
        <v>551</v>
      </c>
      <c r="M187">
        <v>660</v>
      </c>
      <c r="N187">
        <v>2062</v>
      </c>
      <c r="O187">
        <v>816</v>
      </c>
      <c r="P187">
        <v>788</v>
      </c>
      <c r="Q187">
        <v>715</v>
      </c>
      <c r="R187">
        <v>686</v>
      </c>
      <c r="S187">
        <v>626</v>
      </c>
      <c r="T187">
        <v>657.06399999999996</v>
      </c>
      <c r="U187">
        <v>654.90200000000004</v>
      </c>
    </row>
    <row r="188" spans="1:21" x14ac:dyDescent="0.2">
      <c r="A188" t="s">
        <v>29</v>
      </c>
      <c r="B188" t="s">
        <v>68</v>
      </c>
      <c r="C188" t="s">
        <v>8</v>
      </c>
      <c r="D188" t="s">
        <v>10</v>
      </c>
      <c r="E188">
        <v>354</v>
      </c>
      <c r="F188">
        <v>361</v>
      </c>
      <c r="G188">
        <v>513</v>
      </c>
      <c r="H188">
        <v>529</v>
      </c>
      <c r="I188">
        <v>875</v>
      </c>
      <c r="J188">
        <v>723</v>
      </c>
      <c r="K188">
        <v>757</v>
      </c>
      <c r="L188">
        <v>629</v>
      </c>
      <c r="M188">
        <v>1186</v>
      </c>
      <c r="N188">
        <v>422</v>
      </c>
      <c r="O188">
        <v>422</v>
      </c>
      <c r="P188">
        <v>431</v>
      </c>
      <c r="Q188">
        <v>439</v>
      </c>
      <c r="R188">
        <v>430</v>
      </c>
      <c r="S188">
        <v>440</v>
      </c>
      <c r="T188">
        <v>452.3</v>
      </c>
      <c r="U188">
        <v>454.5</v>
      </c>
    </row>
    <row r="189" spans="1:21" x14ac:dyDescent="0.2">
      <c r="A189" t="s">
        <v>30</v>
      </c>
      <c r="B189" t="s">
        <v>68</v>
      </c>
      <c r="C189" t="s">
        <v>8</v>
      </c>
      <c r="D189" t="s">
        <v>10</v>
      </c>
      <c r="E189">
        <v>898</v>
      </c>
      <c r="F189">
        <v>875</v>
      </c>
      <c r="G189">
        <v>827</v>
      </c>
      <c r="H189">
        <v>884</v>
      </c>
      <c r="I189">
        <v>891</v>
      </c>
      <c r="J189">
        <v>931</v>
      </c>
      <c r="K189">
        <v>955</v>
      </c>
      <c r="L189">
        <v>878</v>
      </c>
      <c r="M189">
        <v>842</v>
      </c>
      <c r="N189">
        <v>931</v>
      </c>
      <c r="O189">
        <v>956</v>
      </c>
      <c r="P189">
        <v>964</v>
      </c>
      <c r="Q189">
        <v>944</v>
      </c>
      <c r="R189">
        <v>1069</v>
      </c>
      <c r="S189">
        <v>1083</v>
      </c>
      <c r="T189">
        <v>1103.932</v>
      </c>
      <c r="U189">
        <v>1123.423</v>
      </c>
    </row>
    <row r="190" spans="1:21" x14ac:dyDescent="0.2">
      <c r="A190" t="s">
        <v>31</v>
      </c>
      <c r="B190" t="s">
        <v>68</v>
      </c>
      <c r="C190" t="s">
        <v>8</v>
      </c>
      <c r="D190" t="s">
        <v>10</v>
      </c>
      <c r="E190">
        <v>184</v>
      </c>
      <c r="F190">
        <v>201</v>
      </c>
      <c r="G190">
        <v>201</v>
      </c>
      <c r="H190">
        <v>201</v>
      </c>
      <c r="I190">
        <v>205</v>
      </c>
      <c r="J190">
        <v>217</v>
      </c>
      <c r="K190">
        <v>333</v>
      </c>
      <c r="L190">
        <v>261</v>
      </c>
      <c r="M190">
        <v>412</v>
      </c>
      <c r="N190">
        <v>393</v>
      </c>
      <c r="O190">
        <v>362</v>
      </c>
      <c r="P190">
        <v>363</v>
      </c>
      <c r="Q190">
        <v>354</v>
      </c>
      <c r="R190">
        <v>350</v>
      </c>
      <c r="S190">
        <v>372</v>
      </c>
      <c r="T190">
        <v>375.99599999999998</v>
      </c>
      <c r="U190">
        <v>372.09699999999998</v>
      </c>
    </row>
    <row r="191" spans="1:21" x14ac:dyDescent="0.2">
      <c r="A191" t="s">
        <v>32</v>
      </c>
      <c r="B191" t="s">
        <v>68</v>
      </c>
      <c r="C191" t="s">
        <v>8</v>
      </c>
      <c r="D191" t="s">
        <v>10</v>
      </c>
      <c r="E191">
        <v>100</v>
      </c>
      <c r="F191">
        <v>89</v>
      </c>
      <c r="G191">
        <v>94</v>
      </c>
      <c r="H191">
        <v>83</v>
      </c>
      <c r="I191">
        <v>80</v>
      </c>
      <c r="J191">
        <v>78</v>
      </c>
      <c r="K191">
        <v>76</v>
      </c>
      <c r="L191">
        <v>70</v>
      </c>
      <c r="M191">
        <v>71</v>
      </c>
      <c r="N191">
        <v>80</v>
      </c>
      <c r="O191">
        <v>102</v>
      </c>
      <c r="P191">
        <v>88</v>
      </c>
      <c r="Q191">
        <v>77</v>
      </c>
      <c r="R191">
        <v>90.826999999999998</v>
      </c>
      <c r="S191">
        <v>90.882999999999996</v>
      </c>
      <c r="T191">
        <v>92.278000000000006</v>
      </c>
      <c r="U191">
        <v>92.188000000000002</v>
      </c>
    </row>
    <row r="192" spans="1:21" x14ac:dyDescent="0.2">
      <c r="A192" t="s">
        <v>33</v>
      </c>
      <c r="B192" t="s">
        <v>68</v>
      </c>
      <c r="C192" t="s">
        <v>8</v>
      </c>
      <c r="D192" t="s">
        <v>10</v>
      </c>
      <c r="E192">
        <v>2092</v>
      </c>
      <c r="F192">
        <v>1932</v>
      </c>
      <c r="G192">
        <v>1966</v>
      </c>
      <c r="H192">
        <v>1902</v>
      </c>
      <c r="I192">
        <v>1927</v>
      </c>
      <c r="J192">
        <v>1962</v>
      </c>
      <c r="K192">
        <v>2373</v>
      </c>
      <c r="L192">
        <v>2101</v>
      </c>
      <c r="M192">
        <v>2158</v>
      </c>
      <c r="N192">
        <v>1920</v>
      </c>
      <c r="O192">
        <v>1800</v>
      </c>
      <c r="P192">
        <v>1747</v>
      </c>
      <c r="Q192">
        <v>1768</v>
      </c>
      <c r="R192">
        <v>1740</v>
      </c>
      <c r="S192">
        <v>1783</v>
      </c>
      <c r="T192">
        <v>1768</v>
      </c>
      <c r="U192">
        <v>1774</v>
      </c>
    </row>
    <row r="193" spans="1:21" x14ac:dyDescent="0.2">
      <c r="A193" t="s">
        <v>34</v>
      </c>
      <c r="B193" t="s">
        <v>68</v>
      </c>
      <c r="C193" t="s">
        <v>8</v>
      </c>
      <c r="D193" t="s">
        <v>10</v>
      </c>
      <c r="E193">
        <v>12</v>
      </c>
      <c r="F193">
        <v>17</v>
      </c>
      <c r="G193">
        <v>19</v>
      </c>
      <c r="H193">
        <v>20</v>
      </c>
      <c r="I193">
        <v>20</v>
      </c>
      <c r="J193">
        <v>20</v>
      </c>
      <c r="K193">
        <v>19</v>
      </c>
      <c r="L193">
        <v>16</v>
      </c>
      <c r="M193">
        <v>15</v>
      </c>
      <c r="N193">
        <v>16</v>
      </c>
      <c r="O193">
        <v>19</v>
      </c>
      <c r="P193">
        <v>19</v>
      </c>
      <c r="Q193">
        <v>18</v>
      </c>
      <c r="R193">
        <v>18</v>
      </c>
      <c r="S193">
        <v>18</v>
      </c>
      <c r="T193">
        <v>10</v>
      </c>
      <c r="U193">
        <v>20</v>
      </c>
    </row>
    <row r="194" spans="1:21" x14ac:dyDescent="0.2">
      <c r="A194" t="s">
        <v>35</v>
      </c>
      <c r="B194" t="s">
        <v>68</v>
      </c>
      <c r="C194" t="s">
        <v>8</v>
      </c>
      <c r="D194" t="s">
        <v>10</v>
      </c>
      <c r="E194">
        <v>465.17399999999998</v>
      </c>
      <c r="F194">
        <v>433.142</v>
      </c>
      <c r="G194">
        <v>409.92200000000003</v>
      </c>
      <c r="H194">
        <v>456.839</v>
      </c>
      <c r="I194">
        <v>649.64400000000001</v>
      </c>
      <c r="J194">
        <v>675.10799999999995</v>
      </c>
      <c r="K194">
        <v>588.01300000000003</v>
      </c>
      <c r="L194">
        <v>643.221</v>
      </c>
      <c r="M194">
        <v>652.70100000000002</v>
      </c>
      <c r="N194">
        <v>681.404</v>
      </c>
      <c r="O194">
        <v>655.83299999999997</v>
      </c>
      <c r="P194">
        <v>666.00400000000002</v>
      </c>
      <c r="Q194">
        <v>673.95799999999997</v>
      </c>
      <c r="R194">
        <v>705.93100000000004</v>
      </c>
      <c r="S194">
        <v>728.90300000000002</v>
      </c>
      <c r="T194">
        <v>737.01</v>
      </c>
      <c r="U194">
        <v>784.34500000000003</v>
      </c>
    </row>
    <row r="195" spans="1:21" x14ac:dyDescent="0.2">
      <c r="A195" t="s">
        <v>36</v>
      </c>
      <c r="B195" t="s">
        <v>68</v>
      </c>
      <c r="C195" t="s">
        <v>8</v>
      </c>
      <c r="D195" t="s">
        <v>10</v>
      </c>
      <c r="E195">
        <v>276</v>
      </c>
      <c r="F195">
        <v>89</v>
      </c>
      <c r="G195">
        <v>294</v>
      </c>
      <c r="H195">
        <v>264</v>
      </c>
      <c r="I195">
        <v>319</v>
      </c>
      <c r="J195">
        <v>357</v>
      </c>
      <c r="K195">
        <v>361</v>
      </c>
      <c r="L195">
        <v>273</v>
      </c>
      <c r="M195">
        <v>157</v>
      </c>
      <c r="N195">
        <v>41</v>
      </c>
      <c r="O195">
        <v>37</v>
      </c>
      <c r="P195">
        <v>39</v>
      </c>
      <c r="Q195">
        <v>40</v>
      </c>
      <c r="R195">
        <v>29</v>
      </c>
      <c r="S195">
        <v>20</v>
      </c>
      <c r="T195">
        <v>62.920999999999999</v>
      </c>
      <c r="U195">
        <v>204.95</v>
      </c>
    </row>
    <row r="196" spans="1:21" x14ac:dyDescent="0.2">
      <c r="A196" t="s">
        <v>37</v>
      </c>
      <c r="B196" t="s">
        <v>68</v>
      </c>
      <c r="C196" t="s">
        <v>8</v>
      </c>
      <c r="D196" t="s">
        <v>10</v>
      </c>
      <c r="E196">
        <v>1768</v>
      </c>
      <c r="F196">
        <v>1443</v>
      </c>
      <c r="G196">
        <v>1526</v>
      </c>
      <c r="H196">
        <v>1559</v>
      </c>
      <c r="I196">
        <v>1392</v>
      </c>
      <c r="J196">
        <v>1434</v>
      </c>
      <c r="K196">
        <v>1307</v>
      </c>
      <c r="L196">
        <v>1080</v>
      </c>
      <c r="M196">
        <v>1211</v>
      </c>
      <c r="N196">
        <v>1354</v>
      </c>
      <c r="O196">
        <v>1336</v>
      </c>
      <c r="P196">
        <v>1379</v>
      </c>
      <c r="Q196">
        <v>1519</v>
      </c>
      <c r="R196">
        <v>1440</v>
      </c>
      <c r="S196">
        <v>1765</v>
      </c>
      <c r="T196">
        <v>1983</v>
      </c>
      <c r="U196">
        <v>1895</v>
      </c>
    </row>
    <row r="197" spans="1:21" x14ac:dyDescent="0.2">
      <c r="A197" t="s">
        <v>38</v>
      </c>
      <c r="B197" t="s">
        <v>68</v>
      </c>
      <c r="C197" t="s">
        <v>8</v>
      </c>
      <c r="D197" t="s">
        <v>10</v>
      </c>
      <c r="E197">
        <v>1766</v>
      </c>
      <c r="F197">
        <v>1668</v>
      </c>
      <c r="G197">
        <v>1702</v>
      </c>
      <c r="H197">
        <v>1653</v>
      </c>
      <c r="I197">
        <v>1624</v>
      </c>
      <c r="J197">
        <v>1658</v>
      </c>
      <c r="K197">
        <v>680</v>
      </c>
      <c r="L197">
        <v>552</v>
      </c>
      <c r="M197">
        <v>575</v>
      </c>
      <c r="N197">
        <v>1746.366</v>
      </c>
      <c r="O197">
        <v>1739.635</v>
      </c>
      <c r="P197">
        <v>1745.029</v>
      </c>
      <c r="Q197">
        <v>1708.9860000000001</v>
      </c>
      <c r="R197">
        <v>1638.509</v>
      </c>
      <c r="S197">
        <v>1594.3309999999999</v>
      </c>
      <c r="T197">
        <v>1629.502</v>
      </c>
      <c r="U197">
        <v>1610.0889999999999</v>
      </c>
    </row>
    <row r="198" spans="1:21" x14ac:dyDescent="0.2">
      <c r="A198" t="s">
        <v>39</v>
      </c>
      <c r="B198" t="s">
        <v>68</v>
      </c>
      <c r="C198" t="s">
        <v>8</v>
      </c>
      <c r="D198" t="s">
        <v>10</v>
      </c>
      <c r="E198">
        <v>46</v>
      </c>
      <c r="F198">
        <v>57</v>
      </c>
      <c r="G198">
        <v>63</v>
      </c>
      <c r="H198">
        <v>56</v>
      </c>
      <c r="I198">
        <v>60</v>
      </c>
      <c r="J198">
        <v>58</v>
      </c>
      <c r="K198">
        <v>52</v>
      </c>
      <c r="L198">
        <v>57</v>
      </c>
      <c r="M198">
        <v>47</v>
      </c>
      <c r="N198">
        <v>40</v>
      </c>
      <c r="O198">
        <v>41</v>
      </c>
      <c r="P198">
        <v>42</v>
      </c>
      <c r="Q198">
        <v>40</v>
      </c>
      <c r="R198">
        <v>44</v>
      </c>
      <c r="S198">
        <v>49</v>
      </c>
      <c r="T198">
        <v>32.9</v>
      </c>
      <c r="U198">
        <v>28.8</v>
      </c>
    </row>
    <row r="199" spans="1:21" x14ac:dyDescent="0.2">
      <c r="A199" t="s">
        <v>40</v>
      </c>
      <c r="B199" t="s">
        <v>68</v>
      </c>
      <c r="C199" t="s">
        <v>8</v>
      </c>
      <c r="D199" t="s">
        <v>10</v>
      </c>
      <c r="E199">
        <v>1042</v>
      </c>
      <c r="F199">
        <v>1060</v>
      </c>
      <c r="G199">
        <v>1099</v>
      </c>
      <c r="H199">
        <v>1065</v>
      </c>
      <c r="I199">
        <v>1087</v>
      </c>
      <c r="J199">
        <v>1065</v>
      </c>
      <c r="K199">
        <v>1027</v>
      </c>
      <c r="L199">
        <v>917</v>
      </c>
      <c r="M199">
        <v>880</v>
      </c>
      <c r="N199">
        <v>863</v>
      </c>
      <c r="O199">
        <v>742</v>
      </c>
      <c r="P199">
        <v>681</v>
      </c>
      <c r="Q199">
        <v>643</v>
      </c>
      <c r="R199">
        <v>627</v>
      </c>
      <c r="S199">
        <v>609</v>
      </c>
      <c r="T199">
        <v>605.50300000000004</v>
      </c>
      <c r="U199">
        <v>615.05999999999995</v>
      </c>
    </row>
    <row r="200" spans="1:21" x14ac:dyDescent="0.2">
      <c r="A200" t="s">
        <v>41</v>
      </c>
      <c r="B200" t="s">
        <v>68</v>
      </c>
      <c r="C200" t="s">
        <v>8</v>
      </c>
      <c r="D200" t="s">
        <v>10</v>
      </c>
      <c r="E200">
        <v>12</v>
      </c>
      <c r="F200">
        <v>13</v>
      </c>
      <c r="G200">
        <v>20</v>
      </c>
      <c r="H200">
        <v>14</v>
      </c>
      <c r="I200">
        <v>16</v>
      </c>
      <c r="J200">
        <v>36</v>
      </c>
      <c r="K200">
        <v>39</v>
      </c>
      <c r="L200">
        <v>34</v>
      </c>
      <c r="M200">
        <v>34</v>
      </c>
      <c r="N200">
        <v>40</v>
      </c>
      <c r="O200">
        <v>35</v>
      </c>
      <c r="P200">
        <v>29</v>
      </c>
      <c r="Q200">
        <v>29</v>
      </c>
      <c r="R200">
        <v>25</v>
      </c>
      <c r="S200">
        <v>29</v>
      </c>
      <c r="T200">
        <v>29.335000000000001</v>
      </c>
      <c r="U200">
        <v>29.353999999999999</v>
      </c>
    </row>
    <row r="201" spans="1:21" x14ac:dyDescent="0.2">
      <c r="A201" t="s">
        <v>42</v>
      </c>
      <c r="B201" t="s">
        <v>68</v>
      </c>
      <c r="C201" t="s">
        <v>8</v>
      </c>
      <c r="D201" t="s">
        <v>10</v>
      </c>
      <c r="E201">
        <v>8</v>
      </c>
      <c r="F201">
        <v>8</v>
      </c>
      <c r="G201">
        <v>9</v>
      </c>
      <c r="H201">
        <v>11</v>
      </c>
      <c r="I201">
        <v>13</v>
      </c>
      <c r="J201">
        <v>13</v>
      </c>
      <c r="K201">
        <v>12</v>
      </c>
      <c r="L201">
        <v>9</v>
      </c>
      <c r="M201">
        <v>18</v>
      </c>
      <c r="N201">
        <v>12</v>
      </c>
      <c r="O201">
        <v>11</v>
      </c>
      <c r="P201">
        <v>21</v>
      </c>
      <c r="Q201">
        <v>14</v>
      </c>
      <c r="R201">
        <v>15</v>
      </c>
      <c r="S201">
        <v>12</v>
      </c>
      <c r="T201">
        <v>27.687999999999999</v>
      </c>
      <c r="U201">
        <v>30.074999999999999</v>
      </c>
    </row>
    <row r="202" spans="1:21" x14ac:dyDescent="0.2">
      <c r="A202" t="s">
        <v>43</v>
      </c>
      <c r="B202" t="s">
        <v>68</v>
      </c>
      <c r="C202" t="s">
        <v>8</v>
      </c>
      <c r="D202" t="s">
        <v>10</v>
      </c>
      <c r="E202">
        <v>30</v>
      </c>
      <c r="F202">
        <v>32</v>
      </c>
      <c r="G202">
        <v>35</v>
      </c>
      <c r="H202">
        <v>37</v>
      </c>
      <c r="I202">
        <v>40</v>
      </c>
      <c r="J202">
        <v>45</v>
      </c>
      <c r="K202">
        <v>42</v>
      </c>
      <c r="L202">
        <v>23</v>
      </c>
      <c r="M202">
        <v>24</v>
      </c>
      <c r="N202">
        <v>29</v>
      </c>
      <c r="O202">
        <v>25</v>
      </c>
      <c r="P202">
        <v>27</v>
      </c>
      <c r="Q202">
        <v>26</v>
      </c>
      <c r="R202">
        <v>27</v>
      </c>
      <c r="S202">
        <v>29</v>
      </c>
      <c r="T202">
        <v>30.9</v>
      </c>
      <c r="U202">
        <v>30.6</v>
      </c>
    </row>
    <row r="203" spans="1:21" x14ac:dyDescent="0.2">
      <c r="A203" t="s">
        <v>44</v>
      </c>
      <c r="B203" t="s">
        <v>68</v>
      </c>
      <c r="C203" t="s">
        <v>8</v>
      </c>
      <c r="D203" t="s">
        <v>10</v>
      </c>
      <c r="E203">
        <v>17.215</v>
      </c>
      <c r="F203">
        <v>17.792000000000002</v>
      </c>
      <c r="G203">
        <v>15.371</v>
      </c>
      <c r="H203">
        <v>12.379</v>
      </c>
      <c r="I203">
        <v>12.385</v>
      </c>
      <c r="J203">
        <v>12.55</v>
      </c>
      <c r="K203">
        <v>12.885999999999999</v>
      </c>
      <c r="L203">
        <v>12.52</v>
      </c>
      <c r="M203">
        <v>11.233000000000001</v>
      </c>
      <c r="N203">
        <v>14.864000000000001</v>
      </c>
      <c r="O203">
        <v>12.11</v>
      </c>
      <c r="P203">
        <v>11.789</v>
      </c>
      <c r="Q203">
        <v>13.305</v>
      </c>
      <c r="R203">
        <v>13.42</v>
      </c>
      <c r="S203">
        <v>11.358000000000001</v>
      </c>
      <c r="T203">
        <v>8.4740000000000002</v>
      </c>
      <c r="U203">
        <v>9.0129999999999999</v>
      </c>
    </row>
    <row r="204" spans="1:21" x14ac:dyDescent="0.2">
      <c r="A204" t="s">
        <v>45</v>
      </c>
      <c r="B204" t="s">
        <v>68</v>
      </c>
      <c r="C204" t="s">
        <v>8</v>
      </c>
      <c r="D204" t="s">
        <v>10</v>
      </c>
      <c r="E204">
        <v>41</v>
      </c>
      <c r="F204">
        <v>103</v>
      </c>
      <c r="G204">
        <v>68</v>
      </c>
      <c r="H204">
        <v>76</v>
      </c>
      <c r="I204">
        <v>70</v>
      </c>
      <c r="J204">
        <v>64</v>
      </c>
      <c r="K204">
        <v>55</v>
      </c>
      <c r="L204">
        <v>64</v>
      </c>
      <c r="M204">
        <v>56</v>
      </c>
      <c r="N204">
        <v>57</v>
      </c>
      <c r="O204">
        <v>92</v>
      </c>
      <c r="P204">
        <v>163</v>
      </c>
      <c r="Q204">
        <v>87</v>
      </c>
      <c r="R204">
        <v>98</v>
      </c>
      <c r="S204">
        <v>96</v>
      </c>
      <c r="T204">
        <v>100</v>
      </c>
      <c r="U204">
        <v>117</v>
      </c>
    </row>
    <row r="205" spans="1:21" x14ac:dyDescent="0.2">
      <c r="A205" t="s">
        <v>46</v>
      </c>
      <c r="B205" t="s">
        <v>68</v>
      </c>
      <c r="C205" t="s">
        <v>8</v>
      </c>
      <c r="D205" t="s">
        <v>10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1</v>
      </c>
      <c r="P205">
        <v>1</v>
      </c>
      <c r="Q205">
        <v>2</v>
      </c>
      <c r="R205">
        <v>1</v>
      </c>
      <c r="S205">
        <v>1</v>
      </c>
      <c r="T205">
        <v>1.3919999999999999</v>
      </c>
      <c r="U205">
        <v>1.581</v>
      </c>
    </row>
    <row r="206" spans="1:21" x14ac:dyDescent="0.2">
      <c r="A206" t="s">
        <v>47</v>
      </c>
      <c r="B206" t="s">
        <v>68</v>
      </c>
      <c r="C206" t="s">
        <v>8</v>
      </c>
      <c r="D206" t="s">
        <v>10</v>
      </c>
      <c r="E206">
        <v>201</v>
      </c>
      <c r="F206">
        <v>212</v>
      </c>
      <c r="G206">
        <v>189</v>
      </c>
      <c r="H206">
        <v>187</v>
      </c>
      <c r="I206">
        <v>286</v>
      </c>
      <c r="J206">
        <v>254</v>
      </c>
      <c r="K206">
        <v>330</v>
      </c>
      <c r="L206">
        <v>131</v>
      </c>
      <c r="M206">
        <v>439</v>
      </c>
      <c r="N206">
        <v>250</v>
      </c>
      <c r="O206">
        <v>244</v>
      </c>
      <c r="P206">
        <v>251</v>
      </c>
      <c r="Q206">
        <v>201</v>
      </c>
      <c r="R206">
        <v>235.792</v>
      </c>
      <c r="S206">
        <v>247.13200000000001</v>
      </c>
      <c r="T206">
        <v>247.958</v>
      </c>
      <c r="U206">
        <v>273.07600000000002</v>
      </c>
    </row>
    <row r="207" spans="1:21" x14ac:dyDescent="0.2">
      <c r="A207" t="s">
        <v>48</v>
      </c>
      <c r="B207" t="s">
        <v>68</v>
      </c>
      <c r="C207" t="s">
        <v>8</v>
      </c>
      <c r="D207" t="s">
        <v>10</v>
      </c>
      <c r="E207">
        <v>646</v>
      </c>
      <c r="F207">
        <v>671</v>
      </c>
      <c r="G207">
        <v>683</v>
      </c>
      <c r="H207">
        <v>667.33900000000006</v>
      </c>
      <c r="I207">
        <v>744.36900000000003</v>
      </c>
      <c r="J207">
        <v>771.65599999999995</v>
      </c>
      <c r="K207">
        <v>764.95</v>
      </c>
      <c r="L207">
        <v>898.20500000000004</v>
      </c>
      <c r="M207">
        <v>1161.471</v>
      </c>
      <c r="N207">
        <v>1146.8630000000001</v>
      </c>
      <c r="O207">
        <v>1080.93</v>
      </c>
      <c r="P207">
        <v>1827.1659999999999</v>
      </c>
      <c r="Q207">
        <v>1951.3230000000001</v>
      </c>
      <c r="R207">
        <v>1780.028</v>
      </c>
      <c r="S207">
        <v>1790.2049999999999</v>
      </c>
      <c r="T207">
        <v>1984.0050000000001</v>
      </c>
      <c r="U207">
        <v>1986.646</v>
      </c>
    </row>
    <row r="208" spans="1:21" x14ac:dyDescent="0.2">
      <c r="A208" t="s">
        <v>49</v>
      </c>
      <c r="B208" t="s">
        <v>68</v>
      </c>
      <c r="C208" t="s">
        <v>8</v>
      </c>
      <c r="D208" t="s">
        <v>10</v>
      </c>
      <c r="E208">
        <v>1299</v>
      </c>
      <c r="F208">
        <v>1290</v>
      </c>
      <c r="G208">
        <v>1329</v>
      </c>
      <c r="H208">
        <v>1313</v>
      </c>
      <c r="I208">
        <v>1383</v>
      </c>
      <c r="J208">
        <v>1439</v>
      </c>
      <c r="K208">
        <v>1421</v>
      </c>
      <c r="L208">
        <v>1389</v>
      </c>
      <c r="M208">
        <v>2149</v>
      </c>
      <c r="N208">
        <v>2224</v>
      </c>
      <c r="O208">
        <v>2191</v>
      </c>
      <c r="P208">
        <v>2437</v>
      </c>
      <c r="Q208">
        <v>2387</v>
      </c>
      <c r="R208">
        <v>2612</v>
      </c>
      <c r="S208">
        <v>2704</v>
      </c>
      <c r="T208">
        <v>2763.002</v>
      </c>
      <c r="U208">
        <v>2817.4879999999998</v>
      </c>
    </row>
    <row r="209" spans="1:21" x14ac:dyDescent="0.2">
      <c r="A209" t="s">
        <v>50</v>
      </c>
      <c r="B209" t="s">
        <v>68</v>
      </c>
      <c r="C209" t="s">
        <v>8</v>
      </c>
      <c r="D209" t="s">
        <v>10</v>
      </c>
      <c r="E209">
        <v>440</v>
      </c>
      <c r="F209">
        <v>456</v>
      </c>
      <c r="G209">
        <v>480</v>
      </c>
      <c r="H209">
        <v>483</v>
      </c>
      <c r="I209">
        <v>526</v>
      </c>
      <c r="J209">
        <v>526</v>
      </c>
      <c r="K209">
        <v>556</v>
      </c>
      <c r="L209">
        <v>516</v>
      </c>
      <c r="M209">
        <v>555</v>
      </c>
      <c r="N209">
        <v>579</v>
      </c>
      <c r="O209">
        <v>566</v>
      </c>
      <c r="P209">
        <v>591</v>
      </c>
      <c r="Q209">
        <v>613</v>
      </c>
      <c r="R209">
        <v>631</v>
      </c>
      <c r="S209">
        <v>435.5</v>
      </c>
      <c r="T209">
        <v>427.245</v>
      </c>
      <c r="U209">
        <v>440.27100000000002</v>
      </c>
    </row>
    <row r="210" spans="1:21" x14ac:dyDescent="0.2">
      <c r="A210" t="s">
        <v>51</v>
      </c>
      <c r="B210" t="s">
        <v>68</v>
      </c>
      <c r="C210" t="s">
        <v>8</v>
      </c>
      <c r="D210" t="s">
        <v>10</v>
      </c>
      <c r="E210">
        <v>614</v>
      </c>
      <c r="F210">
        <v>593</v>
      </c>
      <c r="G210">
        <v>504</v>
      </c>
      <c r="H210">
        <v>520</v>
      </c>
      <c r="I210">
        <v>343</v>
      </c>
      <c r="J210">
        <v>145</v>
      </c>
      <c r="K210">
        <v>151</v>
      </c>
      <c r="L210">
        <v>175</v>
      </c>
      <c r="M210">
        <v>250</v>
      </c>
      <c r="N210">
        <v>245</v>
      </c>
      <c r="O210">
        <v>227</v>
      </c>
      <c r="P210">
        <v>234</v>
      </c>
      <c r="Q210">
        <v>200</v>
      </c>
      <c r="R210">
        <v>226</v>
      </c>
      <c r="S210">
        <v>250</v>
      </c>
      <c r="T210">
        <v>263.65100000000001</v>
      </c>
      <c r="U210">
        <v>247.52</v>
      </c>
    </row>
    <row r="211" spans="1:21" x14ac:dyDescent="0.2">
      <c r="A211" t="s">
        <v>52</v>
      </c>
      <c r="B211" t="s">
        <v>68</v>
      </c>
      <c r="C211" t="s">
        <v>8</v>
      </c>
      <c r="D211" t="s">
        <v>10</v>
      </c>
      <c r="E211">
        <v>36</v>
      </c>
      <c r="F211">
        <v>48</v>
      </c>
      <c r="G211">
        <v>47</v>
      </c>
      <c r="H211">
        <v>48</v>
      </c>
      <c r="I211">
        <v>68</v>
      </c>
      <c r="J211">
        <v>67</v>
      </c>
      <c r="K211">
        <v>78</v>
      </c>
      <c r="L211">
        <v>87</v>
      </c>
      <c r="M211">
        <v>98</v>
      </c>
      <c r="N211">
        <v>93</v>
      </c>
      <c r="O211">
        <v>99</v>
      </c>
      <c r="P211">
        <v>122</v>
      </c>
      <c r="Q211">
        <v>133</v>
      </c>
      <c r="R211">
        <v>129</v>
      </c>
      <c r="S211">
        <v>131</v>
      </c>
      <c r="T211">
        <v>147.15199999999999</v>
      </c>
      <c r="U211">
        <v>161.54900000000001</v>
      </c>
    </row>
    <row r="212" spans="1:21" x14ac:dyDescent="0.2">
      <c r="A212" t="s">
        <v>53</v>
      </c>
      <c r="B212" t="s">
        <v>68</v>
      </c>
      <c r="C212" t="s">
        <v>8</v>
      </c>
      <c r="D212" t="s">
        <v>10</v>
      </c>
      <c r="E212">
        <v>119</v>
      </c>
      <c r="F212">
        <v>102</v>
      </c>
      <c r="G212">
        <v>100</v>
      </c>
      <c r="H212">
        <v>103</v>
      </c>
      <c r="I212">
        <v>109</v>
      </c>
      <c r="J212">
        <v>105</v>
      </c>
      <c r="K212">
        <v>96</v>
      </c>
      <c r="L212">
        <v>45</v>
      </c>
      <c r="M212">
        <v>45</v>
      </c>
      <c r="N212">
        <v>43</v>
      </c>
      <c r="O212">
        <v>37</v>
      </c>
      <c r="P212">
        <v>29</v>
      </c>
      <c r="Q212">
        <v>30</v>
      </c>
      <c r="R212">
        <v>34</v>
      </c>
      <c r="S212">
        <v>44</v>
      </c>
      <c r="T212">
        <v>41</v>
      </c>
      <c r="U212">
        <v>72</v>
      </c>
    </row>
    <row r="213" spans="1:21" x14ac:dyDescent="0.2">
      <c r="A213" t="s">
        <v>54</v>
      </c>
      <c r="B213" t="s">
        <v>68</v>
      </c>
      <c r="C213" t="s">
        <v>8</v>
      </c>
      <c r="D213" t="s">
        <v>10</v>
      </c>
      <c r="E213">
        <v>585</v>
      </c>
      <c r="F213">
        <v>591</v>
      </c>
      <c r="G213">
        <v>614</v>
      </c>
      <c r="H213">
        <v>631</v>
      </c>
      <c r="I213">
        <v>670</v>
      </c>
      <c r="J213">
        <v>757</v>
      </c>
      <c r="K213">
        <v>812</v>
      </c>
      <c r="L213">
        <v>775</v>
      </c>
      <c r="M213">
        <v>941</v>
      </c>
      <c r="N213">
        <v>1094</v>
      </c>
      <c r="O213">
        <v>1340</v>
      </c>
      <c r="P213">
        <v>1422</v>
      </c>
      <c r="Q213">
        <v>1471</v>
      </c>
      <c r="R213">
        <v>1549</v>
      </c>
      <c r="S213">
        <v>1871</v>
      </c>
      <c r="T213">
        <v>1457</v>
      </c>
      <c r="U213">
        <v>1446</v>
      </c>
    </row>
    <row r="214" spans="1:21" x14ac:dyDescent="0.2">
      <c r="A214" t="s">
        <v>55</v>
      </c>
      <c r="B214" t="s">
        <v>68</v>
      </c>
      <c r="C214" t="s">
        <v>8</v>
      </c>
      <c r="D214" t="s">
        <v>10</v>
      </c>
      <c r="E214">
        <v>2579</v>
      </c>
      <c r="F214">
        <v>2583</v>
      </c>
      <c r="G214">
        <v>2635</v>
      </c>
      <c r="H214">
        <v>2515</v>
      </c>
      <c r="I214">
        <v>2561</v>
      </c>
      <c r="J214">
        <v>2569</v>
      </c>
      <c r="K214">
        <v>3001</v>
      </c>
      <c r="L214">
        <v>2423</v>
      </c>
      <c r="M214">
        <v>3057</v>
      </c>
      <c r="N214">
        <v>3325</v>
      </c>
      <c r="O214">
        <v>3289</v>
      </c>
      <c r="P214">
        <v>3702</v>
      </c>
      <c r="Q214">
        <v>0</v>
      </c>
      <c r="R214">
        <v>3530</v>
      </c>
      <c r="S214">
        <v>3612</v>
      </c>
      <c r="T214">
        <v>3727</v>
      </c>
      <c r="U214">
        <v>3728</v>
      </c>
    </row>
    <row r="215" spans="1:21" x14ac:dyDescent="0.2">
      <c r="A215" t="s">
        <v>56</v>
      </c>
      <c r="B215" t="s">
        <v>68</v>
      </c>
      <c r="C215" t="s">
        <v>8</v>
      </c>
      <c r="D215" t="s">
        <v>10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132</v>
      </c>
      <c r="N215">
        <v>115</v>
      </c>
      <c r="O215">
        <v>121</v>
      </c>
      <c r="P215">
        <v>150</v>
      </c>
      <c r="Q215">
        <v>150</v>
      </c>
      <c r="R215">
        <v>105.92</v>
      </c>
      <c r="S215">
        <v>107.25</v>
      </c>
      <c r="T215">
        <v>31.599</v>
      </c>
      <c r="U215">
        <v>115.107</v>
      </c>
    </row>
    <row r="216" spans="1:21" x14ac:dyDescent="0.2">
      <c r="A216" t="s">
        <v>57</v>
      </c>
      <c r="B216" t="s">
        <v>68</v>
      </c>
      <c r="C216" t="s">
        <v>8</v>
      </c>
      <c r="D216" t="s">
        <v>10</v>
      </c>
      <c r="E216">
        <v>14</v>
      </c>
      <c r="F216">
        <v>15</v>
      </c>
      <c r="G216">
        <v>11</v>
      </c>
      <c r="H216">
        <v>1</v>
      </c>
      <c r="I216">
        <v>1</v>
      </c>
      <c r="J216">
        <v>1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Q216">
        <v>1</v>
      </c>
      <c r="R216">
        <v>2</v>
      </c>
      <c r="S216">
        <v>3</v>
      </c>
      <c r="T216">
        <v>1.8879999999999999</v>
      </c>
      <c r="U216">
        <v>4.0549999999999997</v>
      </c>
    </row>
    <row r="217" spans="1:21" x14ac:dyDescent="0.2">
      <c r="A217" t="s">
        <v>58</v>
      </c>
      <c r="B217" t="s">
        <v>68</v>
      </c>
      <c r="C217" t="s">
        <v>8</v>
      </c>
      <c r="D217" t="s">
        <v>10</v>
      </c>
      <c r="E217">
        <v>450</v>
      </c>
      <c r="F217">
        <v>462</v>
      </c>
      <c r="G217">
        <v>474</v>
      </c>
      <c r="H217">
        <v>455</v>
      </c>
      <c r="I217">
        <v>446</v>
      </c>
      <c r="J217">
        <v>466</v>
      </c>
      <c r="K217">
        <v>497</v>
      </c>
      <c r="L217">
        <v>436</v>
      </c>
      <c r="M217">
        <v>558</v>
      </c>
      <c r="N217">
        <v>609</v>
      </c>
      <c r="O217">
        <v>573</v>
      </c>
      <c r="P217">
        <v>584</v>
      </c>
      <c r="Q217">
        <v>580</v>
      </c>
      <c r="R217">
        <v>532</v>
      </c>
      <c r="S217">
        <v>416</v>
      </c>
      <c r="T217">
        <v>411</v>
      </c>
      <c r="U217">
        <v>399.24900000000002</v>
      </c>
    </row>
    <row r="218" spans="1:21" x14ac:dyDescent="0.2">
      <c r="A218" t="s">
        <v>59</v>
      </c>
      <c r="B218" t="s">
        <v>68</v>
      </c>
      <c r="C218" t="s">
        <v>8</v>
      </c>
      <c r="D218" t="s">
        <v>10</v>
      </c>
      <c r="E218">
        <v>0</v>
      </c>
      <c r="F218">
        <v>0</v>
      </c>
      <c r="G218">
        <v>348</v>
      </c>
      <c r="H218">
        <v>356</v>
      </c>
      <c r="I218">
        <v>378</v>
      </c>
      <c r="J218">
        <v>354</v>
      </c>
      <c r="K218">
        <v>513</v>
      </c>
      <c r="L218">
        <v>431</v>
      </c>
      <c r="M218">
        <v>530</v>
      </c>
      <c r="N218">
        <v>687</v>
      </c>
      <c r="O218">
        <v>815</v>
      </c>
      <c r="P218">
        <v>825</v>
      </c>
      <c r="Q218">
        <v>863</v>
      </c>
      <c r="R218">
        <v>843</v>
      </c>
      <c r="S218">
        <v>432</v>
      </c>
      <c r="T218">
        <v>453.89800000000002</v>
      </c>
      <c r="U218">
        <v>407.21499999999997</v>
      </c>
    </row>
    <row r="219" spans="1:21" x14ac:dyDescent="0.2">
      <c r="A219" t="s">
        <v>29</v>
      </c>
      <c r="B219" t="s">
        <v>69</v>
      </c>
      <c r="C219" t="s">
        <v>8</v>
      </c>
      <c r="D219" t="s">
        <v>10</v>
      </c>
      <c r="E219">
        <v>3907</v>
      </c>
      <c r="F219">
        <v>4005</v>
      </c>
      <c r="G219">
        <v>4083</v>
      </c>
      <c r="H219">
        <v>3991</v>
      </c>
      <c r="I219">
        <v>4427</v>
      </c>
      <c r="J219">
        <v>4574</v>
      </c>
      <c r="K219">
        <v>4448</v>
      </c>
      <c r="L219">
        <v>4650</v>
      </c>
      <c r="M219">
        <v>4720</v>
      </c>
      <c r="N219">
        <v>4817</v>
      </c>
      <c r="O219">
        <v>4925</v>
      </c>
      <c r="P219">
        <v>5398</v>
      </c>
      <c r="Q219">
        <v>5562.1</v>
      </c>
      <c r="R219">
        <v>5560.6</v>
      </c>
      <c r="S219">
        <v>5740.4</v>
      </c>
      <c r="T219">
        <v>5950.3</v>
      </c>
      <c r="U219">
        <v>6040.1</v>
      </c>
    </row>
    <row r="220" spans="1:21" x14ac:dyDescent="0.2">
      <c r="A220" t="s">
        <v>30</v>
      </c>
      <c r="B220" t="s">
        <v>69</v>
      </c>
      <c r="C220" t="s">
        <v>8</v>
      </c>
      <c r="D220" t="s">
        <v>10</v>
      </c>
      <c r="E220">
        <v>854</v>
      </c>
      <c r="F220">
        <v>869</v>
      </c>
      <c r="G220">
        <v>1117</v>
      </c>
      <c r="H220">
        <v>1240</v>
      </c>
      <c r="I220">
        <v>1068</v>
      </c>
      <c r="J220">
        <v>1057</v>
      </c>
      <c r="K220">
        <v>1281</v>
      </c>
      <c r="L220">
        <v>1120</v>
      </c>
      <c r="M220">
        <v>1098</v>
      </c>
      <c r="N220">
        <v>1121</v>
      </c>
      <c r="O220">
        <v>1096</v>
      </c>
      <c r="P220">
        <v>1139</v>
      </c>
      <c r="Q220">
        <v>1173</v>
      </c>
      <c r="R220">
        <v>1202</v>
      </c>
      <c r="S220">
        <v>1218</v>
      </c>
      <c r="T220">
        <v>1254.4870000000001</v>
      </c>
      <c r="U220">
        <v>1329.0050000000001</v>
      </c>
    </row>
    <row r="221" spans="1:21" x14ac:dyDescent="0.2">
      <c r="A221" t="s">
        <v>31</v>
      </c>
      <c r="B221" t="s">
        <v>69</v>
      </c>
      <c r="C221" t="s">
        <v>8</v>
      </c>
      <c r="D221" t="s">
        <v>10</v>
      </c>
      <c r="E221">
        <v>1534</v>
      </c>
      <c r="F221">
        <v>1557</v>
      </c>
      <c r="G221">
        <v>1594</v>
      </c>
      <c r="H221">
        <v>1590</v>
      </c>
      <c r="I221">
        <v>1603</v>
      </c>
      <c r="J221">
        <v>1572</v>
      </c>
      <c r="K221">
        <v>1722</v>
      </c>
      <c r="L221">
        <v>1632</v>
      </c>
      <c r="M221">
        <v>1593</v>
      </c>
      <c r="N221">
        <v>1625</v>
      </c>
      <c r="O221">
        <v>1620</v>
      </c>
      <c r="P221">
        <v>1468</v>
      </c>
      <c r="Q221">
        <v>1483</v>
      </c>
      <c r="R221">
        <v>1585</v>
      </c>
      <c r="S221">
        <v>1589</v>
      </c>
      <c r="T221">
        <v>1651.2339999999999</v>
      </c>
      <c r="U221">
        <v>1667.5170000000001</v>
      </c>
    </row>
    <row r="222" spans="1:21" x14ac:dyDescent="0.2">
      <c r="A222" t="s">
        <v>32</v>
      </c>
      <c r="B222" t="s">
        <v>69</v>
      </c>
      <c r="C222" t="s">
        <v>8</v>
      </c>
      <c r="D222" t="s">
        <v>10</v>
      </c>
      <c r="E222">
        <v>2368</v>
      </c>
      <c r="F222">
        <v>2345</v>
      </c>
      <c r="G222">
        <v>2430</v>
      </c>
      <c r="H222">
        <v>2559</v>
      </c>
      <c r="I222">
        <v>2493</v>
      </c>
      <c r="J222">
        <v>2431</v>
      </c>
      <c r="K222">
        <v>2470</v>
      </c>
      <c r="L222">
        <v>2251</v>
      </c>
      <c r="M222">
        <v>2315</v>
      </c>
      <c r="N222">
        <v>2389</v>
      </c>
      <c r="O222">
        <v>2350</v>
      </c>
      <c r="P222">
        <v>2273</v>
      </c>
      <c r="Q222">
        <v>2329</v>
      </c>
      <c r="R222">
        <v>2381.384</v>
      </c>
      <c r="S222">
        <v>2374.9749999999999</v>
      </c>
      <c r="T222">
        <v>2411.413</v>
      </c>
      <c r="U222">
        <v>2409.0720000000001</v>
      </c>
    </row>
    <row r="223" spans="1:21" x14ac:dyDescent="0.2">
      <c r="A223" t="s">
        <v>33</v>
      </c>
      <c r="B223" t="s">
        <v>69</v>
      </c>
      <c r="C223" t="s">
        <v>8</v>
      </c>
      <c r="D223" t="s">
        <v>10</v>
      </c>
      <c r="E223">
        <v>15957</v>
      </c>
      <c r="F223">
        <v>16582</v>
      </c>
      <c r="G223">
        <v>16405</v>
      </c>
      <c r="H223">
        <v>16906</v>
      </c>
      <c r="I223">
        <v>17266</v>
      </c>
      <c r="J223">
        <v>17213</v>
      </c>
      <c r="K223">
        <v>18015</v>
      </c>
      <c r="L223">
        <v>17832</v>
      </c>
      <c r="M223">
        <v>17525</v>
      </c>
      <c r="N223">
        <v>17770</v>
      </c>
      <c r="O223">
        <v>17981</v>
      </c>
      <c r="P223">
        <v>17821</v>
      </c>
      <c r="Q223">
        <v>18074</v>
      </c>
      <c r="R223">
        <v>18194</v>
      </c>
      <c r="S223">
        <v>18522</v>
      </c>
      <c r="T223">
        <v>18639</v>
      </c>
      <c r="U223">
        <v>18962</v>
      </c>
    </row>
    <row r="224" spans="1:21" x14ac:dyDescent="0.2">
      <c r="A224" t="s">
        <v>34</v>
      </c>
      <c r="B224" t="s">
        <v>69</v>
      </c>
      <c r="C224" t="s">
        <v>8</v>
      </c>
      <c r="D224" t="s">
        <v>10</v>
      </c>
      <c r="E224">
        <v>292</v>
      </c>
      <c r="F224">
        <v>289</v>
      </c>
      <c r="G224">
        <v>300</v>
      </c>
      <c r="H224">
        <v>304</v>
      </c>
      <c r="I224">
        <v>294</v>
      </c>
      <c r="J224">
        <v>315</v>
      </c>
      <c r="K224">
        <v>310</v>
      </c>
      <c r="L224">
        <v>249</v>
      </c>
      <c r="M224">
        <v>278</v>
      </c>
      <c r="N224">
        <v>265</v>
      </c>
      <c r="O224">
        <v>321</v>
      </c>
      <c r="P224">
        <v>288</v>
      </c>
      <c r="Q224">
        <v>318</v>
      </c>
      <c r="R224">
        <v>321</v>
      </c>
      <c r="S224">
        <v>320</v>
      </c>
      <c r="T224">
        <v>309</v>
      </c>
      <c r="U224">
        <v>290</v>
      </c>
    </row>
    <row r="225" spans="1:21" x14ac:dyDescent="0.2">
      <c r="A225" t="s">
        <v>35</v>
      </c>
      <c r="B225" t="s">
        <v>69</v>
      </c>
      <c r="C225" t="s">
        <v>8</v>
      </c>
      <c r="D225" t="s">
        <v>10</v>
      </c>
      <c r="E225">
        <v>1888.9739999999999</v>
      </c>
      <c r="F225">
        <v>1758.9</v>
      </c>
      <c r="G225">
        <v>1664.6079999999999</v>
      </c>
      <c r="H225">
        <v>1855.13</v>
      </c>
      <c r="I225">
        <v>1807.55</v>
      </c>
      <c r="J225">
        <v>1664.0440000000001</v>
      </c>
      <c r="K225">
        <v>1545.152</v>
      </c>
      <c r="L225">
        <v>1690.223</v>
      </c>
      <c r="M225">
        <v>1940.329</v>
      </c>
      <c r="N225">
        <v>2025.6569999999999</v>
      </c>
      <c r="O225">
        <v>1949.6410000000001</v>
      </c>
      <c r="P225">
        <v>1979.876</v>
      </c>
      <c r="Q225">
        <v>2003.521</v>
      </c>
      <c r="R225">
        <v>2098.5700000000002</v>
      </c>
      <c r="S225">
        <v>2166.86</v>
      </c>
      <c r="T225">
        <v>2190.962</v>
      </c>
      <c r="U225">
        <v>2331.6779999999999</v>
      </c>
    </row>
    <row r="226" spans="1:21" x14ac:dyDescent="0.2">
      <c r="A226" t="s">
        <v>36</v>
      </c>
      <c r="B226" t="s">
        <v>69</v>
      </c>
      <c r="C226" t="s">
        <v>8</v>
      </c>
      <c r="D226" t="s">
        <v>10</v>
      </c>
      <c r="E226">
        <v>1285</v>
      </c>
      <c r="F226">
        <v>1875</v>
      </c>
      <c r="G226">
        <v>1899</v>
      </c>
      <c r="H226">
        <v>1896</v>
      </c>
      <c r="I226">
        <v>2006</v>
      </c>
      <c r="J226">
        <v>2242</v>
      </c>
      <c r="K226">
        <v>2230</v>
      </c>
      <c r="L226">
        <v>2184</v>
      </c>
      <c r="M226">
        <v>2155</v>
      </c>
      <c r="N226">
        <v>2676</v>
      </c>
      <c r="O226">
        <v>2210</v>
      </c>
      <c r="P226">
        <v>2113</v>
      </c>
      <c r="Q226">
        <v>2175</v>
      </c>
      <c r="R226">
        <v>1852</v>
      </c>
      <c r="S226">
        <v>1401</v>
      </c>
      <c r="T226">
        <v>1037.8610000000001</v>
      </c>
      <c r="U226">
        <v>1523.18</v>
      </c>
    </row>
    <row r="227" spans="1:21" x14ac:dyDescent="0.2">
      <c r="A227" t="s">
        <v>37</v>
      </c>
      <c r="B227" t="s">
        <v>69</v>
      </c>
      <c r="C227" t="s">
        <v>8</v>
      </c>
      <c r="D227" t="s">
        <v>10</v>
      </c>
      <c r="E227">
        <v>9183</v>
      </c>
      <c r="F227">
        <v>10051</v>
      </c>
      <c r="G227">
        <v>10641</v>
      </c>
      <c r="H227">
        <v>11512</v>
      </c>
      <c r="I227">
        <v>10102</v>
      </c>
      <c r="J227">
        <v>10540</v>
      </c>
      <c r="K227">
        <v>10416</v>
      </c>
      <c r="L227">
        <v>10158</v>
      </c>
      <c r="M227">
        <v>10472</v>
      </c>
      <c r="N227">
        <v>9601</v>
      </c>
      <c r="O227">
        <v>9472</v>
      </c>
      <c r="P227">
        <v>9322</v>
      </c>
      <c r="Q227">
        <v>10903</v>
      </c>
      <c r="R227">
        <v>10963</v>
      </c>
      <c r="S227">
        <v>11128</v>
      </c>
      <c r="T227">
        <v>10541</v>
      </c>
      <c r="U227">
        <v>9994</v>
      </c>
    </row>
    <row r="228" spans="1:21" x14ac:dyDescent="0.2">
      <c r="A228" t="s">
        <v>38</v>
      </c>
      <c r="B228" t="s">
        <v>69</v>
      </c>
      <c r="C228" t="s">
        <v>8</v>
      </c>
      <c r="D228" t="s">
        <v>10</v>
      </c>
      <c r="E228">
        <v>18931</v>
      </c>
      <c r="F228">
        <v>19595</v>
      </c>
      <c r="G228">
        <v>19259</v>
      </c>
      <c r="H228">
        <v>19748</v>
      </c>
      <c r="I228">
        <v>20100</v>
      </c>
      <c r="J228">
        <v>20294</v>
      </c>
      <c r="K228">
        <v>20380</v>
      </c>
      <c r="L228">
        <v>20087</v>
      </c>
      <c r="M228">
        <v>20102</v>
      </c>
      <c r="N228">
        <v>21147.565999999999</v>
      </c>
      <c r="O228">
        <v>22130.891</v>
      </c>
      <c r="P228">
        <v>22041.330999999998</v>
      </c>
      <c r="Q228">
        <v>21951.3</v>
      </c>
      <c r="R228">
        <v>21960.723999999998</v>
      </c>
      <c r="S228">
        <v>22335.911</v>
      </c>
      <c r="T228">
        <v>21649.350999999999</v>
      </c>
      <c r="U228">
        <v>22780.812000000002</v>
      </c>
    </row>
    <row r="229" spans="1:21" x14ac:dyDescent="0.2">
      <c r="A229" t="s">
        <v>39</v>
      </c>
      <c r="B229" t="s">
        <v>69</v>
      </c>
      <c r="C229" t="s">
        <v>8</v>
      </c>
      <c r="D229" t="s">
        <v>10</v>
      </c>
      <c r="E229">
        <v>455</v>
      </c>
      <c r="F229">
        <v>528</v>
      </c>
      <c r="G229">
        <v>583</v>
      </c>
      <c r="H229">
        <v>530</v>
      </c>
      <c r="I229">
        <v>566</v>
      </c>
      <c r="J229">
        <v>588</v>
      </c>
      <c r="K229">
        <v>651</v>
      </c>
      <c r="L229">
        <v>629</v>
      </c>
      <c r="M229">
        <v>656</v>
      </c>
      <c r="N229">
        <v>659</v>
      </c>
      <c r="O229">
        <v>658</v>
      </c>
      <c r="P229">
        <v>676</v>
      </c>
      <c r="Q229">
        <v>699</v>
      </c>
      <c r="R229">
        <v>710</v>
      </c>
      <c r="S229">
        <v>713</v>
      </c>
      <c r="T229">
        <v>695.6</v>
      </c>
      <c r="U229">
        <v>679.1</v>
      </c>
    </row>
    <row r="230" spans="1:21" x14ac:dyDescent="0.2">
      <c r="A230" t="s">
        <v>40</v>
      </c>
      <c r="B230" t="s">
        <v>69</v>
      </c>
      <c r="C230" t="s">
        <v>8</v>
      </c>
      <c r="D230" t="s">
        <v>10</v>
      </c>
      <c r="E230">
        <v>12360</v>
      </c>
      <c r="F230">
        <v>12535</v>
      </c>
      <c r="G230">
        <v>12702</v>
      </c>
      <c r="H230">
        <v>13004</v>
      </c>
      <c r="I230">
        <v>12843</v>
      </c>
      <c r="J230">
        <v>12855</v>
      </c>
      <c r="K230">
        <v>12826</v>
      </c>
      <c r="L230">
        <v>12558</v>
      </c>
      <c r="M230">
        <v>12788</v>
      </c>
      <c r="N230">
        <v>12617</v>
      </c>
      <c r="O230">
        <v>12060</v>
      </c>
      <c r="P230">
        <v>11953</v>
      </c>
      <c r="Q230">
        <v>11972</v>
      </c>
      <c r="R230">
        <v>12148</v>
      </c>
      <c r="S230">
        <v>12170</v>
      </c>
      <c r="T230">
        <v>12412.668</v>
      </c>
      <c r="U230">
        <v>12532.748</v>
      </c>
    </row>
    <row r="231" spans="1:21" x14ac:dyDescent="0.2">
      <c r="A231" t="s">
        <v>41</v>
      </c>
      <c r="B231" t="s">
        <v>69</v>
      </c>
      <c r="C231" t="s">
        <v>8</v>
      </c>
      <c r="D231" t="s">
        <v>10</v>
      </c>
      <c r="E231">
        <v>147</v>
      </c>
      <c r="F231">
        <v>159</v>
      </c>
      <c r="G231">
        <v>162</v>
      </c>
      <c r="H231">
        <v>166</v>
      </c>
      <c r="I231">
        <v>171</v>
      </c>
      <c r="J231">
        <v>183</v>
      </c>
      <c r="K231">
        <v>195</v>
      </c>
      <c r="L231">
        <v>193</v>
      </c>
      <c r="M231">
        <v>197</v>
      </c>
      <c r="N231">
        <v>185</v>
      </c>
      <c r="O231">
        <v>184</v>
      </c>
      <c r="P231">
        <v>170</v>
      </c>
      <c r="Q231">
        <v>161</v>
      </c>
      <c r="R231">
        <v>162</v>
      </c>
      <c r="S231">
        <v>170</v>
      </c>
      <c r="T231">
        <v>176.16900000000001</v>
      </c>
      <c r="U231">
        <v>182.05600000000001</v>
      </c>
    </row>
    <row r="232" spans="1:21" x14ac:dyDescent="0.2">
      <c r="A232" t="s">
        <v>42</v>
      </c>
      <c r="B232" t="s">
        <v>69</v>
      </c>
      <c r="C232" t="s">
        <v>8</v>
      </c>
      <c r="D232" t="s">
        <v>10</v>
      </c>
      <c r="E232">
        <v>308</v>
      </c>
      <c r="F232">
        <v>313</v>
      </c>
      <c r="G232">
        <v>298</v>
      </c>
      <c r="H232">
        <v>318</v>
      </c>
      <c r="I232">
        <v>323</v>
      </c>
      <c r="J232">
        <v>351</v>
      </c>
      <c r="K232">
        <v>346</v>
      </c>
      <c r="L232">
        <v>282</v>
      </c>
      <c r="M232">
        <v>292</v>
      </c>
      <c r="N232">
        <v>293</v>
      </c>
      <c r="O232">
        <v>258</v>
      </c>
      <c r="P232">
        <v>320</v>
      </c>
      <c r="Q232">
        <v>280</v>
      </c>
      <c r="R232">
        <v>278</v>
      </c>
      <c r="S232">
        <v>277</v>
      </c>
      <c r="T232">
        <v>288.18799999999999</v>
      </c>
      <c r="U232">
        <v>284.16000000000003</v>
      </c>
    </row>
    <row r="233" spans="1:21" x14ac:dyDescent="0.2">
      <c r="A233" t="s">
        <v>43</v>
      </c>
      <c r="B233" t="s">
        <v>69</v>
      </c>
      <c r="C233" t="s">
        <v>8</v>
      </c>
      <c r="D233" t="s">
        <v>10</v>
      </c>
      <c r="E233">
        <v>454</v>
      </c>
      <c r="F233">
        <v>451</v>
      </c>
      <c r="G233">
        <v>453</v>
      </c>
      <c r="H233">
        <v>496</v>
      </c>
      <c r="I233">
        <v>513</v>
      </c>
      <c r="J233">
        <v>567</v>
      </c>
      <c r="K233">
        <v>540</v>
      </c>
      <c r="L233">
        <v>531</v>
      </c>
      <c r="M233">
        <v>545</v>
      </c>
      <c r="N233">
        <v>604</v>
      </c>
      <c r="O233">
        <v>605</v>
      </c>
      <c r="P233">
        <v>657</v>
      </c>
      <c r="Q233">
        <v>683</v>
      </c>
      <c r="R233">
        <v>698</v>
      </c>
      <c r="S233">
        <v>729</v>
      </c>
      <c r="T233">
        <v>786.2</v>
      </c>
      <c r="U233">
        <v>763.7</v>
      </c>
    </row>
    <row r="234" spans="1:21" x14ac:dyDescent="0.2">
      <c r="A234" t="s">
        <v>44</v>
      </c>
      <c r="B234" t="s">
        <v>69</v>
      </c>
      <c r="C234" t="s">
        <v>8</v>
      </c>
      <c r="D234" t="s">
        <v>10</v>
      </c>
      <c r="E234">
        <v>191.434</v>
      </c>
      <c r="F234">
        <v>188.46700000000001</v>
      </c>
      <c r="G234">
        <v>164.815</v>
      </c>
      <c r="H234">
        <v>167.11099999999999</v>
      </c>
      <c r="I234">
        <v>149.24</v>
      </c>
      <c r="J234">
        <v>129.387</v>
      </c>
      <c r="K234">
        <v>133.624</v>
      </c>
      <c r="L234">
        <v>145.78</v>
      </c>
      <c r="M234">
        <v>145.37899999999999</v>
      </c>
      <c r="N234">
        <v>167.08699999999999</v>
      </c>
      <c r="O234">
        <v>155.04</v>
      </c>
      <c r="P234">
        <v>143.071</v>
      </c>
      <c r="Q234">
        <v>214.81200000000001</v>
      </c>
      <c r="R234">
        <v>157.751</v>
      </c>
      <c r="S234">
        <v>176.45500000000001</v>
      </c>
      <c r="T234">
        <v>139.119</v>
      </c>
      <c r="U234">
        <v>147.965</v>
      </c>
    </row>
    <row r="235" spans="1:21" x14ac:dyDescent="0.2">
      <c r="A235" t="s">
        <v>45</v>
      </c>
      <c r="B235" t="s">
        <v>69</v>
      </c>
      <c r="C235" t="s">
        <v>8</v>
      </c>
      <c r="D235" t="s">
        <v>10</v>
      </c>
      <c r="E235">
        <v>1403</v>
      </c>
      <c r="F235">
        <v>1538</v>
      </c>
      <c r="G235">
        <v>1362</v>
      </c>
      <c r="H235">
        <v>1233</v>
      </c>
      <c r="I235">
        <v>1247</v>
      </c>
      <c r="J235">
        <v>1189</v>
      </c>
      <c r="K235">
        <v>1252</v>
      </c>
      <c r="L235">
        <v>1222</v>
      </c>
      <c r="M235">
        <v>1360</v>
      </c>
      <c r="N235">
        <v>1373</v>
      </c>
      <c r="O235">
        <v>2384</v>
      </c>
      <c r="P235">
        <v>2255</v>
      </c>
      <c r="Q235">
        <v>2086</v>
      </c>
      <c r="R235">
        <v>2241</v>
      </c>
      <c r="S235">
        <v>2374</v>
      </c>
      <c r="T235">
        <v>2453</v>
      </c>
      <c r="U235">
        <v>2526</v>
      </c>
    </row>
    <row r="236" spans="1:21" x14ac:dyDescent="0.2">
      <c r="A236" t="s">
        <v>46</v>
      </c>
      <c r="B236" t="s">
        <v>69</v>
      </c>
      <c r="C236" t="s">
        <v>8</v>
      </c>
      <c r="D236" t="s">
        <v>10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59</v>
      </c>
      <c r="N236">
        <v>59</v>
      </c>
      <c r="O236">
        <v>58</v>
      </c>
      <c r="P236">
        <v>57</v>
      </c>
      <c r="Q236">
        <v>60</v>
      </c>
      <c r="R236">
        <v>62</v>
      </c>
      <c r="S236">
        <v>60</v>
      </c>
      <c r="T236">
        <v>68.572000000000003</v>
      </c>
      <c r="U236">
        <v>72.515000000000001</v>
      </c>
    </row>
    <row r="237" spans="1:21" x14ac:dyDescent="0.2">
      <c r="A237" t="s">
        <v>47</v>
      </c>
      <c r="B237" t="s">
        <v>69</v>
      </c>
      <c r="C237" t="s">
        <v>8</v>
      </c>
      <c r="D237" t="s">
        <v>10</v>
      </c>
      <c r="E237">
        <v>6696</v>
      </c>
      <c r="F237">
        <v>6591</v>
      </c>
      <c r="G237">
        <v>6532</v>
      </c>
      <c r="H237">
        <v>6567</v>
      </c>
      <c r="I237">
        <v>6888</v>
      </c>
      <c r="J237">
        <v>7203</v>
      </c>
      <c r="K237">
        <v>6844</v>
      </c>
      <c r="L237">
        <v>6098</v>
      </c>
      <c r="M237">
        <v>6372</v>
      </c>
      <c r="N237">
        <v>6424</v>
      </c>
      <c r="O237">
        <v>6306</v>
      </c>
      <c r="P237">
        <v>6186</v>
      </c>
      <c r="Q237">
        <v>6338</v>
      </c>
      <c r="R237">
        <v>6394.1769999999997</v>
      </c>
      <c r="S237">
        <v>6859.4549999999999</v>
      </c>
      <c r="T237">
        <v>7012.3059999999996</v>
      </c>
      <c r="U237">
        <v>6858.44</v>
      </c>
    </row>
    <row r="238" spans="1:21" x14ac:dyDescent="0.2">
      <c r="A238" t="s">
        <v>48</v>
      </c>
      <c r="B238" t="s">
        <v>69</v>
      </c>
      <c r="C238" t="s">
        <v>8</v>
      </c>
      <c r="D238" t="s">
        <v>10</v>
      </c>
      <c r="E238">
        <v>1290</v>
      </c>
      <c r="F238">
        <v>1471</v>
      </c>
      <c r="G238">
        <v>1725</v>
      </c>
      <c r="H238">
        <v>1760.086</v>
      </c>
      <c r="I238">
        <v>1872.864</v>
      </c>
      <c r="J238">
        <v>1841.7260000000001</v>
      </c>
      <c r="K238">
        <v>1770.1569999999999</v>
      </c>
      <c r="L238">
        <v>1956.5419999999999</v>
      </c>
      <c r="M238">
        <v>2069.4940000000001</v>
      </c>
      <c r="N238">
        <v>2105.7359999999999</v>
      </c>
      <c r="O238">
        <v>2131.509</v>
      </c>
      <c r="P238">
        <v>1750.924</v>
      </c>
      <c r="Q238">
        <v>2074.4540000000002</v>
      </c>
      <c r="R238">
        <v>1910.6610000000001</v>
      </c>
      <c r="S238">
        <v>1988.328</v>
      </c>
      <c r="T238">
        <v>2006.9169999999999</v>
      </c>
      <c r="U238">
        <v>2068.098</v>
      </c>
    </row>
    <row r="239" spans="1:21" x14ac:dyDescent="0.2">
      <c r="A239" t="s">
        <v>49</v>
      </c>
      <c r="B239" t="s">
        <v>69</v>
      </c>
      <c r="C239" t="s">
        <v>8</v>
      </c>
      <c r="D239" t="s">
        <v>10</v>
      </c>
      <c r="E239">
        <v>3980</v>
      </c>
      <c r="F239">
        <v>4259</v>
      </c>
      <c r="G239">
        <v>4319</v>
      </c>
      <c r="H239">
        <v>4442</v>
      </c>
      <c r="I239">
        <v>4493</v>
      </c>
      <c r="J239">
        <v>5073</v>
      </c>
      <c r="K239">
        <v>5061</v>
      </c>
      <c r="L239">
        <v>4947</v>
      </c>
      <c r="M239">
        <v>5087</v>
      </c>
      <c r="N239">
        <v>5099</v>
      </c>
      <c r="O239">
        <v>5410</v>
      </c>
      <c r="P239">
        <v>5634</v>
      </c>
      <c r="Q239">
        <v>5744</v>
      </c>
      <c r="R239">
        <v>6240</v>
      </c>
      <c r="S239">
        <v>6517</v>
      </c>
      <c r="T239">
        <v>6758.7790000000005</v>
      </c>
      <c r="U239">
        <v>7358.4530000000004</v>
      </c>
    </row>
    <row r="240" spans="1:21" x14ac:dyDescent="0.2">
      <c r="A240" t="s">
        <v>50</v>
      </c>
      <c r="B240" t="s">
        <v>69</v>
      </c>
      <c r="C240" t="s">
        <v>8</v>
      </c>
      <c r="D240" t="s">
        <v>10</v>
      </c>
      <c r="E240">
        <v>1603</v>
      </c>
      <c r="F240">
        <v>1644</v>
      </c>
      <c r="G240">
        <v>1688</v>
      </c>
      <c r="H240">
        <v>1695</v>
      </c>
      <c r="I240">
        <v>1773</v>
      </c>
      <c r="J240">
        <v>1825</v>
      </c>
      <c r="K240">
        <v>1774</v>
      </c>
      <c r="L240">
        <v>1835</v>
      </c>
      <c r="M240">
        <v>1905</v>
      </c>
      <c r="N240">
        <v>1867</v>
      </c>
      <c r="O240">
        <v>1750</v>
      </c>
      <c r="P240">
        <v>1766</v>
      </c>
      <c r="Q240">
        <v>1856</v>
      </c>
      <c r="R240">
        <v>1854</v>
      </c>
      <c r="S240">
        <v>1926.212</v>
      </c>
      <c r="T240">
        <v>1975.9359999999999</v>
      </c>
      <c r="U240">
        <v>2032.8869999999999</v>
      </c>
    </row>
    <row r="241" spans="1:21" x14ac:dyDescent="0.2">
      <c r="A241" t="s">
        <v>51</v>
      </c>
      <c r="B241" t="s">
        <v>69</v>
      </c>
      <c r="C241" t="s">
        <v>8</v>
      </c>
      <c r="D241" t="s">
        <v>10</v>
      </c>
      <c r="E241">
        <v>1536</v>
      </c>
      <c r="F241">
        <v>2570</v>
      </c>
      <c r="G241">
        <v>3343</v>
      </c>
      <c r="H241">
        <v>2905</v>
      </c>
      <c r="I241">
        <v>1418</v>
      </c>
      <c r="J241">
        <v>1424</v>
      </c>
      <c r="K241">
        <v>1686</v>
      </c>
      <c r="L241">
        <v>1554</v>
      </c>
      <c r="M241">
        <v>1562</v>
      </c>
      <c r="N241">
        <v>1590</v>
      </c>
      <c r="O241">
        <v>1650</v>
      </c>
      <c r="P241">
        <v>1673</v>
      </c>
      <c r="Q241">
        <v>1769</v>
      </c>
      <c r="R241">
        <v>1824</v>
      </c>
      <c r="S241">
        <v>1867</v>
      </c>
      <c r="T241">
        <v>1886.635</v>
      </c>
      <c r="U241">
        <v>1912.35</v>
      </c>
    </row>
    <row r="242" spans="1:21" x14ac:dyDescent="0.2">
      <c r="A242" t="s">
        <v>52</v>
      </c>
      <c r="B242" t="s">
        <v>69</v>
      </c>
      <c r="C242" t="s">
        <v>8</v>
      </c>
      <c r="D242" t="s">
        <v>10</v>
      </c>
      <c r="E242">
        <v>254</v>
      </c>
      <c r="F242">
        <v>300</v>
      </c>
      <c r="G242">
        <v>284</v>
      </c>
      <c r="H242">
        <v>296</v>
      </c>
      <c r="I242">
        <v>352</v>
      </c>
      <c r="J242">
        <v>319</v>
      </c>
      <c r="K242">
        <v>296</v>
      </c>
      <c r="L242">
        <v>278</v>
      </c>
      <c r="M242">
        <v>276</v>
      </c>
      <c r="N242">
        <v>275</v>
      </c>
      <c r="O242">
        <v>274</v>
      </c>
      <c r="P242">
        <v>266</v>
      </c>
      <c r="Q242">
        <v>281</v>
      </c>
      <c r="R242">
        <v>290</v>
      </c>
      <c r="S242">
        <v>286</v>
      </c>
      <c r="T242">
        <v>300.29000000000002</v>
      </c>
      <c r="U242">
        <v>326.589</v>
      </c>
    </row>
    <row r="243" spans="1:21" x14ac:dyDescent="0.2">
      <c r="A243" t="s">
        <v>53</v>
      </c>
      <c r="B243" t="s">
        <v>69</v>
      </c>
      <c r="C243" t="s">
        <v>8</v>
      </c>
      <c r="D243" t="s">
        <v>10</v>
      </c>
      <c r="E243">
        <v>1080</v>
      </c>
      <c r="F243">
        <v>529</v>
      </c>
      <c r="G243">
        <v>506</v>
      </c>
      <c r="H243">
        <v>543</v>
      </c>
      <c r="I243">
        <v>508</v>
      </c>
      <c r="J243">
        <v>520</v>
      </c>
      <c r="K243">
        <v>541</v>
      </c>
      <c r="L243">
        <v>478</v>
      </c>
      <c r="M243">
        <v>477</v>
      </c>
      <c r="N243">
        <v>435</v>
      </c>
      <c r="O243">
        <v>518</v>
      </c>
      <c r="P243">
        <v>504</v>
      </c>
      <c r="Q243">
        <v>567</v>
      </c>
      <c r="R243">
        <v>537</v>
      </c>
      <c r="S243">
        <v>536</v>
      </c>
      <c r="T243">
        <v>477</v>
      </c>
      <c r="U243">
        <v>490</v>
      </c>
    </row>
    <row r="244" spans="1:21" x14ac:dyDescent="0.2">
      <c r="A244" t="s">
        <v>54</v>
      </c>
      <c r="B244" t="s">
        <v>69</v>
      </c>
      <c r="C244" t="s">
        <v>8</v>
      </c>
      <c r="D244" t="s">
        <v>10</v>
      </c>
      <c r="E244">
        <v>1564</v>
      </c>
      <c r="F244">
        <v>1547</v>
      </c>
      <c r="G244">
        <v>1493</v>
      </c>
      <c r="H244">
        <v>1462</v>
      </c>
      <c r="I244">
        <v>1583</v>
      </c>
      <c r="J244">
        <v>1468</v>
      </c>
      <c r="K244">
        <v>1233</v>
      </c>
      <c r="L244">
        <v>1844</v>
      </c>
      <c r="M244">
        <v>1646</v>
      </c>
      <c r="N244">
        <v>1634</v>
      </c>
      <c r="O244">
        <v>1572</v>
      </c>
      <c r="P244">
        <v>1666</v>
      </c>
      <c r="Q244">
        <v>1774</v>
      </c>
      <c r="R244">
        <v>1683</v>
      </c>
      <c r="S244">
        <v>1705</v>
      </c>
      <c r="T244">
        <v>1932</v>
      </c>
      <c r="U244">
        <v>2048</v>
      </c>
    </row>
    <row r="245" spans="1:21" x14ac:dyDescent="0.2">
      <c r="A245" t="s">
        <v>55</v>
      </c>
      <c r="B245" t="s">
        <v>69</v>
      </c>
      <c r="C245" t="s">
        <v>8</v>
      </c>
      <c r="D245" t="s">
        <v>10</v>
      </c>
      <c r="E245">
        <v>2683</v>
      </c>
      <c r="F245">
        <v>2470</v>
      </c>
      <c r="G245">
        <v>2519</v>
      </c>
      <c r="H245">
        <v>2433</v>
      </c>
      <c r="I245">
        <v>2437</v>
      </c>
      <c r="J245">
        <v>2464</v>
      </c>
      <c r="K245">
        <v>2495</v>
      </c>
      <c r="L245">
        <v>2384</v>
      </c>
      <c r="M245">
        <v>2575</v>
      </c>
      <c r="N245">
        <v>2495</v>
      </c>
      <c r="O245">
        <v>2460</v>
      </c>
      <c r="P245">
        <v>2400</v>
      </c>
      <c r="Q245">
        <v>2452</v>
      </c>
      <c r="R245">
        <v>2415</v>
      </c>
      <c r="S245">
        <v>2409</v>
      </c>
      <c r="T245">
        <v>2397</v>
      </c>
      <c r="U245">
        <v>2373</v>
      </c>
    </row>
    <row r="246" spans="1:21" x14ac:dyDescent="0.2">
      <c r="A246" t="s">
        <v>56</v>
      </c>
      <c r="B246" t="s">
        <v>69</v>
      </c>
      <c r="C246" t="s">
        <v>8</v>
      </c>
      <c r="D246" t="s">
        <v>10</v>
      </c>
      <c r="E246">
        <v>12166</v>
      </c>
      <c r="F246">
        <v>11449</v>
      </c>
      <c r="G246">
        <v>12048</v>
      </c>
      <c r="H246">
        <v>12273</v>
      </c>
      <c r="I246">
        <v>12117</v>
      </c>
      <c r="J246">
        <v>12082</v>
      </c>
      <c r="K246">
        <v>12257</v>
      </c>
      <c r="L246">
        <v>10741</v>
      </c>
      <c r="M246">
        <v>11520</v>
      </c>
      <c r="N246">
        <v>11322</v>
      </c>
      <c r="O246">
        <v>11137</v>
      </c>
      <c r="P246">
        <v>11083</v>
      </c>
      <c r="Q246">
        <v>10644</v>
      </c>
      <c r="R246">
        <v>10778.108</v>
      </c>
      <c r="S246">
        <v>10959.531000000001</v>
      </c>
      <c r="T246">
        <v>11056.885</v>
      </c>
      <c r="U246">
        <v>11818.438</v>
      </c>
    </row>
    <row r="247" spans="1:21" x14ac:dyDescent="0.2">
      <c r="A247" t="s">
        <v>57</v>
      </c>
      <c r="B247" t="s">
        <v>69</v>
      </c>
      <c r="C247" t="s">
        <v>8</v>
      </c>
      <c r="D247" t="s">
        <v>10</v>
      </c>
      <c r="E247">
        <v>428</v>
      </c>
      <c r="F247">
        <v>478</v>
      </c>
      <c r="G247">
        <v>466</v>
      </c>
      <c r="H247">
        <v>442</v>
      </c>
      <c r="I247">
        <v>433</v>
      </c>
      <c r="J247">
        <v>393</v>
      </c>
      <c r="K247">
        <v>405</v>
      </c>
      <c r="L247">
        <v>410</v>
      </c>
      <c r="M247">
        <v>408</v>
      </c>
      <c r="N247">
        <v>433</v>
      </c>
      <c r="O247">
        <v>499</v>
      </c>
      <c r="P247">
        <v>532</v>
      </c>
      <c r="Q247">
        <v>520</v>
      </c>
      <c r="R247">
        <v>622</v>
      </c>
      <c r="S247">
        <v>493</v>
      </c>
      <c r="T247">
        <v>574.86599999999999</v>
      </c>
      <c r="U247">
        <v>625.37199999999996</v>
      </c>
    </row>
    <row r="248" spans="1:21" x14ac:dyDescent="0.2">
      <c r="A248" t="s">
        <v>58</v>
      </c>
      <c r="B248" t="s">
        <v>69</v>
      </c>
      <c r="C248" t="s">
        <v>8</v>
      </c>
      <c r="D248" t="s">
        <v>10</v>
      </c>
      <c r="E248">
        <v>2920</v>
      </c>
      <c r="F248">
        <v>2743</v>
      </c>
      <c r="G248">
        <v>2956</v>
      </c>
      <c r="H248">
        <v>2811</v>
      </c>
      <c r="I248">
        <v>2811</v>
      </c>
      <c r="J248">
        <v>2800</v>
      </c>
      <c r="K248">
        <v>2886</v>
      </c>
      <c r="L248">
        <v>2503</v>
      </c>
      <c r="M248">
        <v>2716</v>
      </c>
      <c r="N248">
        <v>2638</v>
      </c>
      <c r="O248">
        <v>2518</v>
      </c>
      <c r="P248">
        <v>2596</v>
      </c>
      <c r="Q248">
        <v>2645</v>
      </c>
      <c r="R248">
        <v>2696</v>
      </c>
      <c r="S248">
        <v>2895</v>
      </c>
      <c r="T248">
        <v>2965</v>
      </c>
      <c r="U248">
        <v>2985.0650000000001</v>
      </c>
    </row>
    <row r="249" spans="1:21" x14ac:dyDescent="0.2">
      <c r="A249" t="s">
        <v>59</v>
      </c>
      <c r="B249" t="s">
        <v>69</v>
      </c>
      <c r="C249" t="s">
        <v>8</v>
      </c>
      <c r="D249" t="s">
        <v>10</v>
      </c>
      <c r="E249">
        <v>0</v>
      </c>
      <c r="F249">
        <v>0</v>
      </c>
      <c r="G249">
        <v>835</v>
      </c>
      <c r="H249">
        <v>872</v>
      </c>
      <c r="I249">
        <v>1074</v>
      </c>
      <c r="J249">
        <v>1274</v>
      </c>
      <c r="K249">
        <v>1039</v>
      </c>
      <c r="L249">
        <v>845</v>
      </c>
      <c r="M249">
        <v>1099</v>
      </c>
      <c r="N249">
        <v>1199</v>
      </c>
      <c r="O249">
        <v>1303</v>
      </c>
      <c r="P249">
        <v>1461</v>
      </c>
      <c r="Q249">
        <v>1431</v>
      </c>
      <c r="R249">
        <v>1522</v>
      </c>
      <c r="S249">
        <v>1548</v>
      </c>
      <c r="T249">
        <v>1625.327</v>
      </c>
      <c r="U249">
        <v>1596.953</v>
      </c>
    </row>
    <row r="250" spans="1:21" x14ac:dyDescent="0.2">
      <c r="A250" t="s">
        <v>29</v>
      </c>
      <c r="B250" t="s">
        <v>70</v>
      </c>
      <c r="C250" t="s">
        <v>8</v>
      </c>
      <c r="D250" t="s">
        <v>10</v>
      </c>
      <c r="E250">
        <v>2497</v>
      </c>
      <c r="F250">
        <v>2563</v>
      </c>
      <c r="G250">
        <v>2612</v>
      </c>
      <c r="H250">
        <v>2710</v>
      </c>
      <c r="I250">
        <v>2739</v>
      </c>
      <c r="J250">
        <v>2848</v>
      </c>
      <c r="K250">
        <v>2671</v>
      </c>
      <c r="L250">
        <v>2382</v>
      </c>
      <c r="M250">
        <v>2600</v>
      </c>
      <c r="N250">
        <v>2640</v>
      </c>
      <c r="O250">
        <v>2918</v>
      </c>
      <c r="P250">
        <v>2609</v>
      </c>
      <c r="Q250">
        <v>2651.3</v>
      </c>
      <c r="R250">
        <v>2525.3000000000002</v>
      </c>
      <c r="S250">
        <v>2571.5</v>
      </c>
      <c r="T250">
        <v>1867.4</v>
      </c>
      <c r="U250">
        <v>1870.3</v>
      </c>
    </row>
    <row r="251" spans="1:21" x14ac:dyDescent="0.2">
      <c r="A251" t="s">
        <v>30</v>
      </c>
      <c r="B251" t="s">
        <v>70</v>
      </c>
      <c r="C251" t="s">
        <v>8</v>
      </c>
      <c r="D251" t="s">
        <v>10</v>
      </c>
      <c r="E251">
        <v>392</v>
      </c>
      <c r="F251">
        <v>464</v>
      </c>
      <c r="G251">
        <v>651</v>
      </c>
      <c r="H251">
        <v>490</v>
      </c>
      <c r="I251">
        <v>393</v>
      </c>
      <c r="J251">
        <v>320</v>
      </c>
      <c r="K251">
        <v>397</v>
      </c>
      <c r="L251">
        <v>239</v>
      </c>
      <c r="M251">
        <v>331</v>
      </c>
      <c r="N251">
        <v>343</v>
      </c>
      <c r="O251">
        <v>359</v>
      </c>
      <c r="P251">
        <v>396</v>
      </c>
      <c r="Q251">
        <v>405</v>
      </c>
      <c r="R251">
        <v>404</v>
      </c>
      <c r="S251">
        <v>436</v>
      </c>
      <c r="T251">
        <v>439.31299999999999</v>
      </c>
      <c r="U251">
        <v>448.62799999999999</v>
      </c>
    </row>
    <row r="252" spans="1:21" x14ac:dyDescent="0.2">
      <c r="A252" t="s">
        <v>31</v>
      </c>
      <c r="B252" t="s">
        <v>70</v>
      </c>
      <c r="C252" t="s">
        <v>8</v>
      </c>
      <c r="D252" t="s">
        <v>10</v>
      </c>
      <c r="E252">
        <v>1877</v>
      </c>
      <c r="F252">
        <v>1239</v>
      </c>
      <c r="G252">
        <v>1766</v>
      </c>
      <c r="H252">
        <v>1888</v>
      </c>
      <c r="I252">
        <v>1904</v>
      </c>
      <c r="J252">
        <v>1917</v>
      </c>
      <c r="K252">
        <v>1826</v>
      </c>
      <c r="L252">
        <v>1722</v>
      </c>
      <c r="M252">
        <v>1648</v>
      </c>
      <c r="N252">
        <v>1607</v>
      </c>
      <c r="O252">
        <v>1656</v>
      </c>
      <c r="P252">
        <v>1525</v>
      </c>
      <c r="Q252">
        <v>1713</v>
      </c>
      <c r="R252">
        <v>1696</v>
      </c>
      <c r="S252">
        <v>1741</v>
      </c>
      <c r="T252">
        <v>1805.0820000000001</v>
      </c>
      <c r="U252">
        <v>1810.1489999999999</v>
      </c>
    </row>
    <row r="253" spans="1:21" x14ac:dyDescent="0.2">
      <c r="A253" t="s">
        <v>32</v>
      </c>
      <c r="B253" t="s">
        <v>70</v>
      </c>
      <c r="C253" t="s">
        <v>8</v>
      </c>
      <c r="D253" t="s">
        <v>10</v>
      </c>
      <c r="E253">
        <v>644</v>
      </c>
      <c r="F253">
        <v>660</v>
      </c>
      <c r="G253">
        <v>686</v>
      </c>
      <c r="H253">
        <v>576</v>
      </c>
      <c r="I253">
        <v>602</v>
      </c>
      <c r="J253">
        <v>616</v>
      </c>
      <c r="K253">
        <v>604</v>
      </c>
      <c r="L253">
        <v>508</v>
      </c>
      <c r="M253">
        <v>506</v>
      </c>
      <c r="N253">
        <v>501</v>
      </c>
      <c r="O253">
        <v>330</v>
      </c>
      <c r="P253">
        <v>399</v>
      </c>
      <c r="Q253">
        <v>345</v>
      </c>
      <c r="R253">
        <v>354.99400000000003</v>
      </c>
      <c r="S253">
        <v>314.24599999999998</v>
      </c>
      <c r="T253">
        <v>319.06700000000001</v>
      </c>
      <c r="U253">
        <v>318.75700000000001</v>
      </c>
    </row>
    <row r="254" spans="1:21" x14ac:dyDescent="0.2">
      <c r="A254" t="s">
        <v>33</v>
      </c>
      <c r="B254" t="s">
        <v>70</v>
      </c>
      <c r="C254" t="s">
        <v>8</v>
      </c>
      <c r="D254" t="s">
        <v>10</v>
      </c>
      <c r="E254">
        <v>22151</v>
      </c>
      <c r="F254">
        <v>22113</v>
      </c>
      <c r="G254">
        <v>25196</v>
      </c>
      <c r="H254">
        <v>26850</v>
      </c>
      <c r="I254">
        <v>25473</v>
      </c>
      <c r="J254">
        <v>26308</v>
      </c>
      <c r="K254">
        <v>24216</v>
      </c>
      <c r="L254">
        <v>23956</v>
      </c>
      <c r="M254">
        <v>24297</v>
      </c>
      <c r="N254">
        <v>23868</v>
      </c>
      <c r="O254">
        <v>23730</v>
      </c>
      <c r="P254">
        <v>22339</v>
      </c>
      <c r="Q254">
        <v>21933</v>
      </c>
      <c r="R254">
        <v>21323</v>
      </c>
      <c r="S254">
        <v>21419</v>
      </c>
      <c r="T254">
        <v>21406</v>
      </c>
      <c r="U254">
        <v>20856</v>
      </c>
    </row>
    <row r="255" spans="1:21" x14ac:dyDescent="0.2">
      <c r="A255" t="s">
        <v>34</v>
      </c>
      <c r="B255" t="s">
        <v>70</v>
      </c>
      <c r="C255" t="s">
        <v>8</v>
      </c>
      <c r="D255" t="s">
        <v>10</v>
      </c>
      <c r="E255">
        <v>130</v>
      </c>
      <c r="F255">
        <v>127</v>
      </c>
      <c r="G255">
        <v>136</v>
      </c>
      <c r="H255">
        <v>140</v>
      </c>
      <c r="I255">
        <v>267</v>
      </c>
      <c r="J255">
        <v>345</v>
      </c>
      <c r="K255">
        <v>335</v>
      </c>
      <c r="L255">
        <v>275</v>
      </c>
      <c r="M255">
        <v>351</v>
      </c>
      <c r="N255">
        <v>337</v>
      </c>
      <c r="O255">
        <v>364</v>
      </c>
      <c r="P255">
        <v>355</v>
      </c>
      <c r="Q255">
        <v>367</v>
      </c>
      <c r="R255">
        <v>369</v>
      </c>
      <c r="S255">
        <v>403</v>
      </c>
      <c r="T255">
        <v>491</v>
      </c>
      <c r="U255">
        <v>482</v>
      </c>
    </row>
    <row r="256" spans="1:21" x14ac:dyDescent="0.2">
      <c r="A256" t="s">
        <v>35</v>
      </c>
      <c r="B256" t="s">
        <v>70</v>
      </c>
      <c r="C256" t="s">
        <v>8</v>
      </c>
      <c r="D256" t="s">
        <v>10</v>
      </c>
      <c r="E256">
        <v>321.74900000000002</v>
      </c>
      <c r="F256">
        <v>299.59399999999999</v>
      </c>
      <c r="G256">
        <v>283.53300000000002</v>
      </c>
      <c r="H256">
        <v>315.98500000000001</v>
      </c>
      <c r="I256">
        <v>287.56900000000002</v>
      </c>
      <c r="J256">
        <v>190.59800000000001</v>
      </c>
      <c r="K256">
        <v>175.596</v>
      </c>
      <c r="L256">
        <v>192.08199999999999</v>
      </c>
      <c r="M256">
        <v>213.02500000000001</v>
      </c>
      <c r="N256">
        <v>222.393</v>
      </c>
      <c r="O256">
        <v>214.047</v>
      </c>
      <c r="P256">
        <v>217.36600000000001</v>
      </c>
      <c r="Q256">
        <v>219.96199999999999</v>
      </c>
      <c r="R256">
        <v>230.39699999999999</v>
      </c>
      <c r="S256">
        <v>237.89500000000001</v>
      </c>
      <c r="T256">
        <v>240.541</v>
      </c>
      <c r="U256">
        <v>255.99</v>
      </c>
    </row>
    <row r="257" spans="1:21" x14ac:dyDescent="0.2">
      <c r="A257" t="s">
        <v>36</v>
      </c>
      <c r="B257" t="s">
        <v>70</v>
      </c>
      <c r="C257" t="s">
        <v>8</v>
      </c>
      <c r="D257" t="s">
        <v>10</v>
      </c>
      <c r="E257">
        <v>473</v>
      </c>
      <c r="F257">
        <v>576</v>
      </c>
      <c r="G257">
        <v>584</v>
      </c>
      <c r="H257">
        <v>543</v>
      </c>
      <c r="I257">
        <v>583</v>
      </c>
      <c r="J257">
        <v>652</v>
      </c>
      <c r="K257">
        <v>613</v>
      </c>
      <c r="L257">
        <v>580</v>
      </c>
      <c r="M257">
        <v>641</v>
      </c>
      <c r="N257">
        <v>402</v>
      </c>
      <c r="O257">
        <v>537</v>
      </c>
      <c r="P257">
        <v>526</v>
      </c>
      <c r="Q257">
        <v>548</v>
      </c>
      <c r="R257">
        <v>498</v>
      </c>
      <c r="S257">
        <v>207</v>
      </c>
      <c r="T257">
        <v>211.578</v>
      </c>
      <c r="U257">
        <v>203.76</v>
      </c>
    </row>
    <row r="258" spans="1:21" x14ac:dyDescent="0.2">
      <c r="A258" t="s">
        <v>37</v>
      </c>
      <c r="B258" t="s">
        <v>70</v>
      </c>
      <c r="C258" t="s">
        <v>8</v>
      </c>
      <c r="D258" t="s">
        <v>10</v>
      </c>
      <c r="E258">
        <v>6898</v>
      </c>
      <c r="F258">
        <v>7307</v>
      </c>
      <c r="G258">
        <v>7663</v>
      </c>
      <c r="H258">
        <v>7873</v>
      </c>
      <c r="I258">
        <v>7268</v>
      </c>
      <c r="J258">
        <v>7779</v>
      </c>
      <c r="K258">
        <v>7649</v>
      </c>
      <c r="L258">
        <v>6551</v>
      </c>
      <c r="M258">
        <v>3959</v>
      </c>
      <c r="N258">
        <v>5250</v>
      </c>
      <c r="O258">
        <v>5180</v>
      </c>
      <c r="P258">
        <v>5753</v>
      </c>
      <c r="Q258">
        <v>5821</v>
      </c>
      <c r="R258">
        <v>5880</v>
      </c>
      <c r="S258">
        <v>5803</v>
      </c>
      <c r="T258">
        <v>5976</v>
      </c>
      <c r="U258">
        <v>5539</v>
      </c>
    </row>
    <row r="259" spans="1:21" x14ac:dyDescent="0.2">
      <c r="A259" t="s">
        <v>38</v>
      </c>
      <c r="B259" t="s">
        <v>70</v>
      </c>
      <c r="C259" t="s">
        <v>8</v>
      </c>
      <c r="D259" t="s">
        <v>10</v>
      </c>
      <c r="E259">
        <v>13617</v>
      </c>
      <c r="F259">
        <v>13288</v>
      </c>
      <c r="G259">
        <v>13368</v>
      </c>
      <c r="H259">
        <v>13490</v>
      </c>
      <c r="I259">
        <v>13076</v>
      </c>
      <c r="J259">
        <v>12822</v>
      </c>
      <c r="K259">
        <v>10580</v>
      </c>
      <c r="L259">
        <v>9053</v>
      </c>
      <c r="M259">
        <v>9204</v>
      </c>
      <c r="N259">
        <v>10052.061</v>
      </c>
      <c r="O259">
        <v>9651.5920000000006</v>
      </c>
      <c r="P259">
        <v>9049.5550000000003</v>
      </c>
      <c r="Q259">
        <v>8699.9179999999997</v>
      </c>
      <c r="R259">
        <v>8261.9429999999993</v>
      </c>
      <c r="S259">
        <v>8218.3580000000002</v>
      </c>
      <c r="T259">
        <v>7991.0540000000001</v>
      </c>
      <c r="U259">
        <v>7937.3339999999998</v>
      </c>
    </row>
    <row r="260" spans="1:21" x14ac:dyDescent="0.2">
      <c r="A260" t="s">
        <v>39</v>
      </c>
      <c r="B260" t="s">
        <v>70</v>
      </c>
      <c r="C260" t="s">
        <v>8</v>
      </c>
      <c r="D260" t="s">
        <v>10</v>
      </c>
      <c r="E260">
        <v>308</v>
      </c>
      <c r="F260">
        <v>322</v>
      </c>
      <c r="G260">
        <v>292</v>
      </c>
      <c r="H260">
        <v>312</v>
      </c>
      <c r="I260">
        <v>326</v>
      </c>
      <c r="J260">
        <v>332</v>
      </c>
      <c r="K260">
        <v>320</v>
      </c>
      <c r="L260">
        <v>317</v>
      </c>
      <c r="M260">
        <v>322</v>
      </c>
      <c r="N260">
        <v>323</v>
      </c>
      <c r="O260">
        <v>285</v>
      </c>
      <c r="P260">
        <v>250</v>
      </c>
      <c r="Q260">
        <v>251</v>
      </c>
      <c r="R260">
        <v>279</v>
      </c>
      <c r="S260">
        <v>309</v>
      </c>
      <c r="T260">
        <v>324.39999999999998</v>
      </c>
      <c r="U260">
        <v>317.39999999999998</v>
      </c>
    </row>
    <row r="261" spans="1:21" x14ac:dyDescent="0.2">
      <c r="A261" t="s">
        <v>40</v>
      </c>
      <c r="B261" t="s">
        <v>70</v>
      </c>
      <c r="C261" t="s">
        <v>8</v>
      </c>
      <c r="D261" t="s">
        <v>10</v>
      </c>
      <c r="E261">
        <v>10480</v>
      </c>
      <c r="F261">
        <v>10787</v>
      </c>
      <c r="G261">
        <v>10807</v>
      </c>
      <c r="H261">
        <v>10939</v>
      </c>
      <c r="I261">
        <v>10879</v>
      </c>
      <c r="J261">
        <v>10649</v>
      </c>
      <c r="K261">
        <v>10279</v>
      </c>
      <c r="L261">
        <v>9376</v>
      </c>
      <c r="M261">
        <v>9760</v>
      </c>
      <c r="N261">
        <v>9597</v>
      </c>
      <c r="O261">
        <v>9104</v>
      </c>
      <c r="P261">
        <v>9079</v>
      </c>
      <c r="Q261">
        <v>8672</v>
      </c>
      <c r="R261">
        <v>8736</v>
      </c>
      <c r="S261">
        <v>8647</v>
      </c>
      <c r="T261">
        <v>8603.7549999999992</v>
      </c>
      <c r="U261">
        <v>8480.6059999999998</v>
      </c>
    </row>
    <row r="262" spans="1:21" x14ac:dyDescent="0.2">
      <c r="A262" t="s">
        <v>41</v>
      </c>
      <c r="B262" t="s">
        <v>70</v>
      </c>
      <c r="C262" t="s">
        <v>8</v>
      </c>
      <c r="D262" t="s">
        <v>10</v>
      </c>
      <c r="E262">
        <v>16</v>
      </c>
      <c r="F262">
        <v>17</v>
      </c>
      <c r="G262">
        <v>18</v>
      </c>
      <c r="H262">
        <v>18</v>
      </c>
      <c r="I262">
        <v>20</v>
      </c>
      <c r="J262">
        <v>20</v>
      </c>
      <c r="K262">
        <v>22</v>
      </c>
      <c r="L262">
        <v>22</v>
      </c>
      <c r="M262">
        <v>21</v>
      </c>
      <c r="N262">
        <v>19</v>
      </c>
      <c r="O262">
        <v>20</v>
      </c>
      <c r="P262">
        <v>16</v>
      </c>
      <c r="Q262">
        <v>16</v>
      </c>
      <c r="R262">
        <v>16</v>
      </c>
      <c r="S262">
        <v>16</v>
      </c>
      <c r="T262">
        <v>16.318999999999999</v>
      </c>
      <c r="U262">
        <v>16.065000000000001</v>
      </c>
    </row>
    <row r="263" spans="1:21" x14ac:dyDescent="0.2">
      <c r="A263" t="s">
        <v>42</v>
      </c>
      <c r="B263" t="s">
        <v>70</v>
      </c>
      <c r="C263" t="s">
        <v>8</v>
      </c>
      <c r="D263" t="s">
        <v>10</v>
      </c>
      <c r="E263">
        <v>36</v>
      </c>
      <c r="F263">
        <v>39</v>
      </c>
      <c r="G263">
        <v>42</v>
      </c>
      <c r="H263">
        <v>43</v>
      </c>
      <c r="I263">
        <v>38</v>
      </c>
      <c r="J263">
        <v>42</v>
      </c>
      <c r="K263">
        <v>41</v>
      </c>
      <c r="L263">
        <v>47</v>
      </c>
      <c r="M263">
        <v>32</v>
      </c>
      <c r="N263">
        <v>31</v>
      </c>
      <c r="O263">
        <v>32</v>
      </c>
      <c r="P263">
        <v>29</v>
      </c>
      <c r="Q263">
        <v>30</v>
      </c>
      <c r="R263">
        <v>28</v>
      </c>
      <c r="S263">
        <v>26</v>
      </c>
      <c r="T263">
        <v>27.765999999999998</v>
      </c>
      <c r="U263">
        <v>27.85</v>
      </c>
    </row>
    <row r="264" spans="1:21" x14ac:dyDescent="0.2">
      <c r="A264" t="s">
        <v>43</v>
      </c>
      <c r="B264" t="s">
        <v>70</v>
      </c>
      <c r="C264" t="s">
        <v>8</v>
      </c>
      <c r="D264" t="s">
        <v>10</v>
      </c>
      <c r="E264">
        <v>99</v>
      </c>
      <c r="F264">
        <v>86</v>
      </c>
      <c r="G264">
        <v>86</v>
      </c>
      <c r="H264">
        <v>91</v>
      </c>
      <c r="I264">
        <v>97</v>
      </c>
      <c r="J264">
        <v>107</v>
      </c>
      <c r="K264">
        <v>99</v>
      </c>
      <c r="L264">
        <v>110</v>
      </c>
      <c r="M264">
        <v>237</v>
      </c>
      <c r="N264">
        <v>161</v>
      </c>
      <c r="O264">
        <v>127</v>
      </c>
      <c r="P264">
        <v>150</v>
      </c>
      <c r="Q264">
        <v>156</v>
      </c>
      <c r="R264">
        <v>162</v>
      </c>
      <c r="S264">
        <v>157</v>
      </c>
      <c r="T264">
        <v>191.4</v>
      </c>
      <c r="U264">
        <v>176.7</v>
      </c>
    </row>
    <row r="265" spans="1:21" x14ac:dyDescent="0.2">
      <c r="A265" t="s">
        <v>44</v>
      </c>
      <c r="B265" t="s">
        <v>70</v>
      </c>
      <c r="C265" t="s">
        <v>8</v>
      </c>
      <c r="D265" t="s">
        <v>10</v>
      </c>
      <c r="E265">
        <v>152.089</v>
      </c>
      <c r="F265">
        <v>178.84299999999999</v>
      </c>
      <c r="G265">
        <v>156.697</v>
      </c>
      <c r="H265">
        <v>146.27799999999999</v>
      </c>
      <c r="I265">
        <v>112.676</v>
      </c>
      <c r="J265">
        <v>89.885999999999996</v>
      </c>
      <c r="K265">
        <v>99.787000000000006</v>
      </c>
      <c r="L265">
        <v>88.548000000000002</v>
      </c>
      <c r="M265">
        <v>66.941000000000003</v>
      </c>
      <c r="N265">
        <v>38.35</v>
      </c>
      <c r="O265">
        <v>39.954999999999998</v>
      </c>
      <c r="P265">
        <v>37.707000000000001</v>
      </c>
      <c r="Q265">
        <v>38.069000000000003</v>
      </c>
      <c r="R265">
        <v>39.408000000000001</v>
      </c>
      <c r="S265">
        <v>39.049999999999997</v>
      </c>
      <c r="T265">
        <v>35.283000000000001</v>
      </c>
      <c r="U265">
        <v>37.527000000000001</v>
      </c>
    </row>
    <row r="266" spans="1:21" x14ac:dyDescent="0.2">
      <c r="A266" t="s">
        <v>45</v>
      </c>
      <c r="B266" t="s">
        <v>70</v>
      </c>
      <c r="C266" t="s">
        <v>8</v>
      </c>
      <c r="D266" t="s">
        <v>10</v>
      </c>
      <c r="E266">
        <v>451</v>
      </c>
      <c r="F266">
        <v>490</v>
      </c>
      <c r="G266">
        <v>511</v>
      </c>
      <c r="H266">
        <v>579</v>
      </c>
      <c r="I266">
        <v>560</v>
      </c>
      <c r="J266">
        <v>485</v>
      </c>
      <c r="K266">
        <v>453</v>
      </c>
      <c r="L266">
        <v>398</v>
      </c>
      <c r="M266">
        <v>560</v>
      </c>
      <c r="N266">
        <v>565</v>
      </c>
      <c r="O266">
        <v>773</v>
      </c>
      <c r="P266">
        <v>789</v>
      </c>
      <c r="Q266">
        <v>798</v>
      </c>
      <c r="R266">
        <v>829</v>
      </c>
      <c r="S266">
        <v>843</v>
      </c>
      <c r="T266">
        <v>886</v>
      </c>
      <c r="U266">
        <v>888</v>
      </c>
    </row>
    <row r="267" spans="1:21" x14ac:dyDescent="0.2">
      <c r="A267" t="s">
        <v>46</v>
      </c>
      <c r="B267" t="s">
        <v>70</v>
      </c>
      <c r="C267" t="s">
        <v>8</v>
      </c>
      <c r="D267" t="s">
        <v>10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20</v>
      </c>
      <c r="N267">
        <v>22</v>
      </c>
      <c r="O267">
        <v>22</v>
      </c>
      <c r="P267">
        <v>22</v>
      </c>
      <c r="Q267">
        <v>23</v>
      </c>
      <c r="R267">
        <v>23</v>
      </c>
      <c r="S267">
        <v>24</v>
      </c>
      <c r="T267">
        <v>25.196999999999999</v>
      </c>
      <c r="U267">
        <v>26.994</v>
      </c>
    </row>
    <row r="268" spans="1:21" x14ac:dyDescent="0.2">
      <c r="A268" t="s">
        <v>47</v>
      </c>
      <c r="B268" t="s">
        <v>70</v>
      </c>
      <c r="C268" t="s">
        <v>8</v>
      </c>
      <c r="D268" t="s">
        <v>10</v>
      </c>
      <c r="E268">
        <v>3804</v>
      </c>
      <c r="F268">
        <v>3694</v>
      </c>
      <c r="G268">
        <v>3682</v>
      </c>
      <c r="H268">
        <v>3630</v>
      </c>
      <c r="I268">
        <v>3680</v>
      </c>
      <c r="J268">
        <v>3686</v>
      </c>
      <c r="K268">
        <v>3623</v>
      </c>
      <c r="L268">
        <v>2717</v>
      </c>
      <c r="M268">
        <v>2682</v>
      </c>
      <c r="N268">
        <v>2499</v>
      </c>
      <c r="O268">
        <v>2503</v>
      </c>
      <c r="P268">
        <v>2542</v>
      </c>
      <c r="Q268">
        <v>2303</v>
      </c>
      <c r="R268">
        <v>2410.8110000000001</v>
      </c>
      <c r="S268">
        <v>2492.0990000000002</v>
      </c>
      <c r="T268">
        <v>2493.2280000000001</v>
      </c>
      <c r="U268">
        <v>2247.1999999999998</v>
      </c>
    </row>
    <row r="269" spans="1:21" x14ac:dyDescent="0.2">
      <c r="A269" t="s">
        <v>48</v>
      </c>
      <c r="B269" t="s">
        <v>70</v>
      </c>
      <c r="C269" t="s">
        <v>8</v>
      </c>
      <c r="D269" t="s">
        <v>10</v>
      </c>
      <c r="E269">
        <v>4759</v>
      </c>
      <c r="F269">
        <v>4547</v>
      </c>
      <c r="G269">
        <v>4884</v>
      </c>
      <c r="H269">
        <v>4935.3760000000002</v>
      </c>
      <c r="I269">
        <v>4944.9560000000001</v>
      </c>
      <c r="J269">
        <v>5007.0200000000004</v>
      </c>
      <c r="K269">
        <v>4803.192</v>
      </c>
      <c r="L269">
        <v>4365.0349999999999</v>
      </c>
      <c r="M269">
        <v>4709.8509999999997</v>
      </c>
      <c r="N269">
        <v>4658.2070000000003</v>
      </c>
      <c r="O269">
        <v>4773.38</v>
      </c>
      <c r="P269">
        <v>4902.0460000000003</v>
      </c>
      <c r="Q269">
        <v>4786.1229999999996</v>
      </c>
      <c r="R269">
        <v>4808.9889999999996</v>
      </c>
      <c r="S269">
        <v>5018.6049999999996</v>
      </c>
      <c r="T269">
        <v>4760.924</v>
      </c>
      <c r="U269">
        <v>4827.9859999999999</v>
      </c>
    </row>
    <row r="270" spans="1:21" x14ac:dyDescent="0.2">
      <c r="A270" t="s">
        <v>49</v>
      </c>
      <c r="B270" t="s">
        <v>70</v>
      </c>
      <c r="C270" t="s">
        <v>8</v>
      </c>
      <c r="D270" t="s">
        <v>10</v>
      </c>
      <c r="E270">
        <v>2773</v>
      </c>
      <c r="F270">
        <v>3004</v>
      </c>
      <c r="G270">
        <v>2950</v>
      </c>
      <c r="H270">
        <v>3119</v>
      </c>
      <c r="I270">
        <v>3172</v>
      </c>
      <c r="J270">
        <v>3271</v>
      </c>
      <c r="K270">
        <v>3194</v>
      </c>
      <c r="L270">
        <v>3418</v>
      </c>
      <c r="M270">
        <v>3668</v>
      </c>
      <c r="N270">
        <v>3531</v>
      </c>
      <c r="O270">
        <v>3796</v>
      </c>
      <c r="P270">
        <v>4288</v>
      </c>
      <c r="Q270">
        <v>4228</v>
      </c>
      <c r="R270">
        <v>4249</v>
      </c>
      <c r="S270">
        <v>4266</v>
      </c>
      <c r="T270">
        <v>4665.4709999999995</v>
      </c>
      <c r="U270">
        <v>4648.6189999999997</v>
      </c>
    </row>
    <row r="271" spans="1:21" x14ac:dyDescent="0.2">
      <c r="A271" t="s">
        <v>50</v>
      </c>
      <c r="B271" t="s">
        <v>70</v>
      </c>
      <c r="C271" t="s">
        <v>8</v>
      </c>
      <c r="D271" t="s">
        <v>10</v>
      </c>
      <c r="E271">
        <v>1995</v>
      </c>
      <c r="F271">
        <v>2229</v>
      </c>
      <c r="G271">
        <v>2346</v>
      </c>
      <c r="H271">
        <v>2470</v>
      </c>
      <c r="I271">
        <v>2500</v>
      </c>
      <c r="J271">
        <v>2568</v>
      </c>
      <c r="K271">
        <v>2583</v>
      </c>
      <c r="L271">
        <v>2719</v>
      </c>
      <c r="M271">
        <v>3056</v>
      </c>
      <c r="N271">
        <v>3075</v>
      </c>
      <c r="O271">
        <v>2834</v>
      </c>
      <c r="P271">
        <v>3061</v>
      </c>
      <c r="Q271">
        <v>3053</v>
      </c>
      <c r="R271">
        <v>3046</v>
      </c>
      <c r="S271">
        <v>3012.5140000000001</v>
      </c>
      <c r="T271">
        <v>3092.4259999999999</v>
      </c>
      <c r="U271">
        <v>3051.6289999999999</v>
      </c>
    </row>
    <row r="272" spans="1:21" x14ac:dyDescent="0.2">
      <c r="A272" t="s">
        <v>51</v>
      </c>
      <c r="B272" t="s">
        <v>70</v>
      </c>
      <c r="C272" t="s">
        <v>8</v>
      </c>
      <c r="D272" t="s">
        <v>10</v>
      </c>
      <c r="E272">
        <v>694</v>
      </c>
      <c r="F272">
        <v>812</v>
      </c>
      <c r="G272">
        <v>707</v>
      </c>
      <c r="H272">
        <v>542</v>
      </c>
      <c r="I272">
        <v>655</v>
      </c>
      <c r="J272">
        <v>621</v>
      </c>
      <c r="K272">
        <v>438</v>
      </c>
      <c r="L272">
        <v>341</v>
      </c>
      <c r="M272">
        <v>570</v>
      </c>
      <c r="N272">
        <v>442</v>
      </c>
      <c r="O272">
        <v>412</v>
      </c>
      <c r="P272">
        <v>415</v>
      </c>
      <c r="Q272">
        <v>553</v>
      </c>
      <c r="R272">
        <v>621</v>
      </c>
      <c r="S272">
        <v>664</v>
      </c>
      <c r="T272">
        <v>749.02</v>
      </c>
      <c r="U272">
        <v>759.83399999999995</v>
      </c>
    </row>
    <row r="273" spans="1:21" x14ac:dyDescent="0.2">
      <c r="A273" t="s">
        <v>52</v>
      </c>
      <c r="B273" t="s">
        <v>70</v>
      </c>
      <c r="C273" t="s">
        <v>8</v>
      </c>
      <c r="D273" t="s">
        <v>10</v>
      </c>
      <c r="E273">
        <v>669</v>
      </c>
      <c r="F273">
        <v>684</v>
      </c>
      <c r="G273">
        <v>734</v>
      </c>
      <c r="H273">
        <v>753</v>
      </c>
      <c r="I273">
        <v>744</v>
      </c>
      <c r="J273">
        <v>729</v>
      </c>
      <c r="K273">
        <v>669</v>
      </c>
      <c r="L273">
        <v>654</v>
      </c>
      <c r="M273">
        <v>647</v>
      </c>
      <c r="N273">
        <v>634</v>
      </c>
      <c r="O273">
        <v>643</v>
      </c>
      <c r="P273">
        <v>624</v>
      </c>
      <c r="Q273">
        <v>677</v>
      </c>
      <c r="R273">
        <v>688</v>
      </c>
      <c r="S273">
        <v>682</v>
      </c>
      <c r="T273">
        <v>699.20699999999999</v>
      </c>
      <c r="U273">
        <v>742.27300000000002</v>
      </c>
    </row>
    <row r="274" spans="1:21" x14ac:dyDescent="0.2">
      <c r="A274" t="s">
        <v>53</v>
      </c>
      <c r="B274" t="s">
        <v>70</v>
      </c>
      <c r="C274" t="s">
        <v>8</v>
      </c>
      <c r="D274" t="s">
        <v>10</v>
      </c>
      <c r="E274">
        <v>801</v>
      </c>
      <c r="F274">
        <v>911</v>
      </c>
      <c r="G274">
        <v>1036</v>
      </c>
      <c r="H274">
        <v>1023</v>
      </c>
      <c r="I274">
        <v>1260</v>
      </c>
      <c r="J274">
        <v>1142</v>
      </c>
      <c r="K274">
        <v>1256</v>
      </c>
      <c r="L274">
        <v>1189</v>
      </c>
      <c r="M274">
        <v>1063</v>
      </c>
      <c r="N274">
        <v>1008</v>
      </c>
      <c r="O274">
        <v>1001</v>
      </c>
      <c r="P274">
        <v>1193</v>
      </c>
      <c r="Q274">
        <v>755</v>
      </c>
      <c r="R274">
        <v>722</v>
      </c>
      <c r="S274">
        <v>740</v>
      </c>
      <c r="T274">
        <v>797</v>
      </c>
      <c r="U274">
        <v>791</v>
      </c>
    </row>
    <row r="275" spans="1:21" x14ac:dyDescent="0.2">
      <c r="A275" t="s">
        <v>54</v>
      </c>
      <c r="B275" t="s">
        <v>70</v>
      </c>
      <c r="C275" t="s">
        <v>8</v>
      </c>
      <c r="D275" t="s">
        <v>10</v>
      </c>
      <c r="E275">
        <v>24949</v>
      </c>
      <c r="F275">
        <v>25118</v>
      </c>
      <c r="G275">
        <v>26271</v>
      </c>
      <c r="H275">
        <v>23639</v>
      </c>
      <c r="I275">
        <v>26811</v>
      </c>
      <c r="J275">
        <v>26507</v>
      </c>
      <c r="K275">
        <v>23549</v>
      </c>
      <c r="L275">
        <v>18969</v>
      </c>
      <c r="M275">
        <v>20786</v>
      </c>
      <c r="N275">
        <v>20157</v>
      </c>
      <c r="O275">
        <v>19172</v>
      </c>
      <c r="P275">
        <v>19030</v>
      </c>
      <c r="Q275">
        <v>18608</v>
      </c>
      <c r="R275">
        <v>18258</v>
      </c>
      <c r="S275">
        <v>17950</v>
      </c>
      <c r="T275">
        <v>18107</v>
      </c>
      <c r="U275">
        <v>18285</v>
      </c>
    </row>
    <row r="276" spans="1:21" x14ac:dyDescent="0.2">
      <c r="A276" t="s">
        <v>55</v>
      </c>
      <c r="B276" t="s">
        <v>70</v>
      </c>
      <c r="C276" t="s">
        <v>8</v>
      </c>
      <c r="D276" t="s">
        <v>10</v>
      </c>
      <c r="E276">
        <v>22729</v>
      </c>
      <c r="F276">
        <v>22590</v>
      </c>
      <c r="G276">
        <v>23042</v>
      </c>
      <c r="H276">
        <v>23104</v>
      </c>
      <c r="I276">
        <v>24186</v>
      </c>
      <c r="J276">
        <v>24766</v>
      </c>
      <c r="K276">
        <v>24523</v>
      </c>
      <c r="L276">
        <v>22305</v>
      </c>
      <c r="M276">
        <v>23021</v>
      </c>
      <c r="N276">
        <v>22851</v>
      </c>
      <c r="O276">
        <v>22972</v>
      </c>
      <c r="P276">
        <v>21656</v>
      </c>
      <c r="Q276">
        <v>0</v>
      </c>
      <c r="R276">
        <v>20476</v>
      </c>
      <c r="S276">
        <v>20140</v>
      </c>
      <c r="T276">
        <v>20272</v>
      </c>
      <c r="U276">
        <v>20030</v>
      </c>
    </row>
    <row r="277" spans="1:21" x14ac:dyDescent="0.2">
      <c r="A277" t="s">
        <v>56</v>
      </c>
      <c r="B277" t="s">
        <v>70</v>
      </c>
      <c r="C277" t="s">
        <v>8</v>
      </c>
      <c r="D277" t="s">
        <v>10</v>
      </c>
      <c r="E277">
        <v>11988</v>
      </c>
      <c r="F277">
        <v>12550</v>
      </c>
      <c r="G277">
        <v>13171</v>
      </c>
      <c r="H277">
        <v>13225</v>
      </c>
      <c r="I277">
        <v>12906</v>
      </c>
      <c r="J277">
        <v>12741</v>
      </c>
      <c r="K277">
        <v>12865</v>
      </c>
      <c r="L277">
        <v>11069</v>
      </c>
      <c r="M277">
        <v>10954</v>
      </c>
      <c r="N277">
        <v>10940</v>
      </c>
      <c r="O277">
        <v>10866</v>
      </c>
      <c r="P277">
        <v>10806</v>
      </c>
      <c r="Q277">
        <v>10725</v>
      </c>
      <c r="R277">
        <v>10602.243</v>
      </c>
      <c r="S277">
        <v>10563.918</v>
      </c>
      <c r="T277">
        <v>10597.796</v>
      </c>
      <c r="U277">
        <v>10382.11</v>
      </c>
    </row>
    <row r="278" spans="1:21" x14ac:dyDescent="0.2">
      <c r="A278" t="s">
        <v>57</v>
      </c>
      <c r="B278" t="s">
        <v>70</v>
      </c>
      <c r="C278" t="s">
        <v>8</v>
      </c>
      <c r="D278" t="s">
        <v>10</v>
      </c>
      <c r="E278">
        <v>16</v>
      </c>
      <c r="F278">
        <v>15</v>
      </c>
      <c r="G278">
        <v>17</v>
      </c>
      <c r="H278">
        <v>16</v>
      </c>
      <c r="I278">
        <v>19</v>
      </c>
      <c r="J278">
        <v>21</v>
      </c>
      <c r="K278">
        <v>17</v>
      </c>
      <c r="L278">
        <v>18</v>
      </c>
      <c r="M278">
        <v>17</v>
      </c>
      <c r="N278">
        <v>18</v>
      </c>
      <c r="O278">
        <v>17</v>
      </c>
      <c r="P278">
        <v>17</v>
      </c>
      <c r="Q278">
        <v>16</v>
      </c>
      <c r="R278">
        <v>16</v>
      </c>
      <c r="S278">
        <v>16</v>
      </c>
      <c r="T278">
        <v>15.29</v>
      </c>
      <c r="U278">
        <v>11.227</v>
      </c>
    </row>
    <row r="279" spans="1:21" x14ac:dyDescent="0.2">
      <c r="A279" t="s">
        <v>58</v>
      </c>
      <c r="B279" t="s">
        <v>70</v>
      </c>
      <c r="C279" t="s">
        <v>8</v>
      </c>
      <c r="D279" t="s">
        <v>10</v>
      </c>
      <c r="E279">
        <v>6788</v>
      </c>
      <c r="F279">
        <v>6436</v>
      </c>
      <c r="G279">
        <v>6714</v>
      </c>
      <c r="H279">
        <v>6752</v>
      </c>
      <c r="I279">
        <v>6157</v>
      </c>
      <c r="J279">
        <v>6057</v>
      </c>
      <c r="K279">
        <v>5694</v>
      </c>
      <c r="L279">
        <v>4745</v>
      </c>
      <c r="M279">
        <v>5055</v>
      </c>
      <c r="N279">
        <v>4539</v>
      </c>
      <c r="O279">
        <v>4155</v>
      </c>
      <c r="P279">
        <v>3640</v>
      </c>
      <c r="Q279">
        <v>3541</v>
      </c>
      <c r="R279">
        <v>3487</v>
      </c>
      <c r="S279">
        <v>3825</v>
      </c>
      <c r="T279">
        <v>3908</v>
      </c>
      <c r="U279">
        <v>3866.6179999999999</v>
      </c>
    </row>
    <row r="280" spans="1:21" x14ac:dyDescent="0.2">
      <c r="A280" t="s">
        <v>59</v>
      </c>
      <c r="B280" t="s">
        <v>70</v>
      </c>
      <c r="C280" t="s">
        <v>8</v>
      </c>
      <c r="D280" t="s">
        <v>10</v>
      </c>
      <c r="E280">
        <v>0</v>
      </c>
      <c r="F280">
        <v>0</v>
      </c>
      <c r="G280">
        <v>89</v>
      </c>
      <c r="H280">
        <v>83</v>
      </c>
      <c r="I280">
        <v>78</v>
      </c>
      <c r="J280">
        <v>231</v>
      </c>
      <c r="K280">
        <v>279</v>
      </c>
      <c r="L280">
        <v>938</v>
      </c>
      <c r="M280">
        <v>216</v>
      </c>
      <c r="N280">
        <v>248</v>
      </c>
      <c r="O280">
        <v>486</v>
      </c>
      <c r="P280">
        <v>410</v>
      </c>
      <c r="Q280">
        <v>417</v>
      </c>
      <c r="R280">
        <v>359</v>
      </c>
      <c r="S280">
        <v>480</v>
      </c>
      <c r="T280">
        <v>503.88400000000001</v>
      </c>
      <c r="U280">
        <v>417.29</v>
      </c>
    </row>
    <row r="281" spans="1:21" x14ac:dyDescent="0.2">
      <c r="A281" t="s">
        <v>29</v>
      </c>
      <c r="B281" t="s">
        <v>71</v>
      </c>
      <c r="C281" t="s">
        <v>8</v>
      </c>
      <c r="D281" t="s">
        <v>10</v>
      </c>
      <c r="E281">
        <v>585</v>
      </c>
      <c r="F281">
        <v>601</v>
      </c>
      <c r="G281">
        <v>612</v>
      </c>
      <c r="H281">
        <v>1859</v>
      </c>
      <c r="I281">
        <v>1894</v>
      </c>
      <c r="J281">
        <v>1549</v>
      </c>
      <c r="K281">
        <v>1382</v>
      </c>
      <c r="L281">
        <v>778</v>
      </c>
      <c r="M281">
        <v>662</v>
      </c>
      <c r="N281">
        <v>393</v>
      </c>
      <c r="O281">
        <v>378</v>
      </c>
      <c r="P281">
        <v>376</v>
      </c>
      <c r="Q281">
        <v>375.9</v>
      </c>
      <c r="R281">
        <v>384.6</v>
      </c>
      <c r="S281">
        <v>364.2</v>
      </c>
      <c r="T281">
        <v>389.5</v>
      </c>
      <c r="U281">
        <v>407.5</v>
      </c>
    </row>
    <row r="282" spans="1:21" x14ac:dyDescent="0.2">
      <c r="A282" t="s">
        <v>30</v>
      </c>
      <c r="B282" t="s">
        <v>71</v>
      </c>
      <c r="C282" t="s">
        <v>8</v>
      </c>
      <c r="D282" t="s">
        <v>10</v>
      </c>
      <c r="E282">
        <v>152</v>
      </c>
      <c r="F282">
        <v>168</v>
      </c>
      <c r="G282">
        <v>174</v>
      </c>
      <c r="H282">
        <v>137</v>
      </c>
      <c r="I282">
        <v>167</v>
      </c>
      <c r="J282">
        <v>176</v>
      </c>
      <c r="K282">
        <v>194</v>
      </c>
      <c r="L282">
        <v>144</v>
      </c>
      <c r="M282">
        <v>173</v>
      </c>
      <c r="N282">
        <v>183</v>
      </c>
      <c r="O282">
        <v>181</v>
      </c>
      <c r="P282">
        <v>180</v>
      </c>
      <c r="Q282">
        <v>197</v>
      </c>
      <c r="R282">
        <v>207</v>
      </c>
      <c r="S282">
        <v>200</v>
      </c>
      <c r="T282">
        <v>226.93</v>
      </c>
      <c r="U282">
        <v>251.08699999999999</v>
      </c>
    </row>
    <row r="283" spans="1:21" x14ac:dyDescent="0.2">
      <c r="A283" t="s">
        <v>31</v>
      </c>
      <c r="B283" t="s">
        <v>71</v>
      </c>
      <c r="C283" t="s">
        <v>8</v>
      </c>
      <c r="D283" t="s">
        <v>10</v>
      </c>
      <c r="E283">
        <v>396</v>
      </c>
      <c r="F283">
        <v>398</v>
      </c>
      <c r="G283">
        <v>484</v>
      </c>
      <c r="H283">
        <v>538</v>
      </c>
      <c r="I283">
        <v>517</v>
      </c>
      <c r="J283">
        <v>549</v>
      </c>
      <c r="K283">
        <v>550</v>
      </c>
      <c r="L283">
        <v>480</v>
      </c>
      <c r="M283">
        <v>487</v>
      </c>
      <c r="N283">
        <v>461</v>
      </c>
      <c r="O283">
        <v>521</v>
      </c>
      <c r="P283">
        <v>515</v>
      </c>
      <c r="Q283">
        <v>480</v>
      </c>
      <c r="R283">
        <v>481</v>
      </c>
      <c r="S283">
        <v>511</v>
      </c>
      <c r="T283">
        <v>525.976</v>
      </c>
      <c r="U283">
        <v>559.351</v>
      </c>
    </row>
    <row r="284" spans="1:21" x14ac:dyDescent="0.2">
      <c r="A284" t="s">
        <v>32</v>
      </c>
      <c r="B284" t="s">
        <v>71</v>
      </c>
      <c r="C284" t="s">
        <v>8</v>
      </c>
      <c r="D284" t="s">
        <v>10</v>
      </c>
      <c r="E284">
        <v>305</v>
      </c>
      <c r="F284">
        <v>319</v>
      </c>
      <c r="G284">
        <v>331</v>
      </c>
      <c r="H284">
        <v>328</v>
      </c>
      <c r="I284">
        <v>329</v>
      </c>
      <c r="J284">
        <v>321</v>
      </c>
      <c r="K284">
        <v>276</v>
      </c>
      <c r="L284">
        <v>226</v>
      </c>
      <c r="M284">
        <v>226</v>
      </c>
      <c r="N284">
        <v>238</v>
      </c>
      <c r="O284">
        <v>236</v>
      </c>
      <c r="P284">
        <v>219</v>
      </c>
      <c r="Q284">
        <v>207</v>
      </c>
      <c r="R284">
        <v>205.071</v>
      </c>
      <c r="S284">
        <v>209.09399999999999</v>
      </c>
      <c r="T284">
        <v>212.303</v>
      </c>
      <c r="U284">
        <v>212.096</v>
      </c>
    </row>
    <row r="285" spans="1:21" x14ac:dyDescent="0.2">
      <c r="A285" t="s">
        <v>33</v>
      </c>
      <c r="B285" t="s">
        <v>71</v>
      </c>
      <c r="C285" t="s">
        <v>8</v>
      </c>
      <c r="D285" t="s">
        <v>10</v>
      </c>
      <c r="E285">
        <v>4075</v>
      </c>
      <c r="F285">
        <v>4136</v>
      </c>
      <c r="G285">
        <v>4429</v>
      </c>
      <c r="H285">
        <v>4413</v>
      </c>
      <c r="I285">
        <v>4561</v>
      </c>
      <c r="J285">
        <v>4864</v>
      </c>
      <c r="K285">
        <v>4678</v>
      </c>
      <c r="L285">
        <v>4474</v>
      </c>
      <c r="M285">
        <v>4510</v>
      </c>
      <c r="N285">
        <v>4552</v>
      </c>
      <c r="O285">
        <v>4332</v>
      </c>
      <c r="P285">
        <v>4317</v>
      </c>
      <c r="Q285">
        <v>4278</v>
      </c>
      <c r="R285">
        <v>4492</v>
      </c>
      <c r="S285">
        <v>4637</v>
      </c>
      <c r="T285">
        <v>4817</v>
      </c>
      <c r="U285">
        <v>4668</v>
      </c>
    </row>
    <row r="286" spans="1:21" x14ac:dyDescent="0.2">
      <c r="A286" t="s">
        <v>34</v>
      </c>
      <c r="B286" t="s">
        <v>71</v>
      </c>
      <c r="C286" t="s">
        <v>8</v>
      </c>
      <c r="D286" t="s">
        <v>10</v>
      </c>
      <c r="E286">
        <v>243</v>
      </c>
      <c r="F286">
        <v>301</v>
      </c>
      <c r="G286">
        <v>341</v>
      </c>
      <c r="H286">
        <v>359</v>
      </c>
      <c r="I286">
        <v>364</v>
      </c>
      <c r="J286">
        <v>336</v>
      </c>
      <c r="K286">
        <v>288</v>
      </c>
      <c r="L286">
        <v>233</v>
      </c>
      <c r="M286">
        <v>278</v>
      </c>
      <c r="N286">
        <v>290</v>
      </c>
      <c r="O286">
        <v>314</v>
      </c>
      <c r="P286">
        <v>339</v>
      </c>
      <c r="Q286">
        <v>365</v>
      </c>
      <c r="R286">
        <v>374</v>
      </c>
      <c r="S286">
        <v>412</v>
      </c>
      <c r="T286">
        <v>499</v>
      </c>
      <c r="U286">
        <v>539</v>
      </c>
    </row>
    <row r="287" spans="1:21" x14ac:dyDescent="0.2">
      <c r="A287" t="s">
        <v>35</v>
      </c>
      <c r="B287" t="s">
        <v>71</v>
      </c>
      <c r="C287" t="s">
        <v>8</v>
      </c>
      <c r="D287" t="s">
        <v>10</v>
      </c>
      <c r="E287">
        <v>341.82400000000001</v>
      </c>
      <c r="F287">
        <v>318.286</v>
      </c>
      <c r="G287">
        <v>301.22300000000001</v>
      </c>
      <c r="H287">
        <v>335.69900000000001</v>
      </c>
      <c r="I287">
        <v>366.78199999999998</v>
      </c>
      <c r="J287">
        <v>389.053</v>
      </c>
      <c r="K287">
        <v>301.33499999999998</v>
      </c>
      <c r="L287">
        <v>329.62599999999998</v>
      </c>
      <c r="M287">
        <v>390.31299999999999</v>
      </c>
      <c r="N287">
        <v>407.47800000000001</v>
      </c>
      <c r="O287">
        <v>392.18599999999998</v>
      </c>
      <c r="P287">
        <v>398.26799999999997</v>
      </c>
      <c r="Q287">
        <v>403.02499999999998</v>
      </c>
      <c r="R287">
        <v>422.14499999999998</v>
      </c>
      <c r="S287">
        <v>435.88200000000001</v>
      </c>
      <c r="T287">
        <v>440.73</v>
      </c>
      <c r="U287">
        <v>469.036</v>
      </c>
    </row>
    <row r="288" spans="1:21" x14ac:dyDescent="0.2">
      <c r="A288" t="s">
        <v>36</v>
      </c>
      <c r="B288" t="s">
        <v>71</v>
      </c>
      <c r="C288" t="s">
        <v>8</v>
      </c>
      <c r="D288" t="s">
        <v>10</v>
      </c>
      <c r="E288">
        <v>150</v>
      </c>
      <c r="F288">
        <v>248</v>
      </c>
      <c r="G288">
        <v>273</v>
      </c>
      <c r="H288">
        <v>221</v>
      </c>
      <c r="I288">
        <v>237</v>
      </c>
      <c r="J288">
        <v>265</v>
      </c>
      <c r="K288">
        <v>270</v>
      </c>
      <c r="L288">
        <v>226</v>
      </c>
      <c r="M288">
        <v>222</v>
      </c>
      <c r="N288">
        <v>308</v>
      </c>
      <c r="O288">
        <v>200</v>
      </c>
      <c r="P288">
        <v>137</v>
      </c>
      <c r="Q288">
        <v>130</v>
      </c>
      <c r="R288">
        <v>128</v>
      </c>
      <c r="S288">
        <v>54</v>
      </c>
      <c r="T288">
        <v>65.814999999999998</v>
      </c>
      <c r="U288">
        <v>265.74</v>
      </c>
    </row>
    <row r="289" spans="1:21" x14ac:dyDescent="0.2">
      <c r="A289" t="s">
        <v>37</v>
      </c>
      <c r="B289" t="s">
        <v>71</v>
      </c>
      <c r="C289" t="s">
        <v>8</v>
      </c>
      <c r="D289" t="s">
        <v>10</v>
      </c>
      <c r="E289">
        <v>1974</v>
      </c>
      <c r="F289">
        <v>2634</v>
      </c>
      <c r="G289">
        <v>2463</v>
      </c>
      <c r="H289">
        <v>2598</v>
      </c>
      <c r="I289">
        <v>2260</v>
      </c>
      <c r="J289">
        <v>2250</v>
      </c>
      <c r="K289">
        <v>2056</v>
      </c>
      <c r="L289">
        <v>1474</v>
      </c>
      <c r="M289">
        <v>1415</v>
      </c>
      <c r="N289">
        <v>1406</v>
      </c>
      <c r="O289">
        <v>1387</v>
      </c>
      <c r="P289">
        <v>1415</v>
      </c>
      <c r="Q289">
        <v>1089</v>
      </c>
      <c r="R289">
        <v>1132</v>
      </c>
      <c r="S289">
        <v>1233</v>
      </c>
      <c r="T289">
        <v>1593</v>
      </c>
      <c r="U289">
        <v>1414</v>
      </c>
    </row>
    <row r="290" spans="1:21" x14ac:dyDescent="0.2">
      <c r="A290" t="s">
        <v>38</v>
      </c>
      <c r="B290" t="s">
        <v>71</v>
      </c>
      <c r="C290" t="s">
        <v>8</v>
      </c>
      <c r="D290" t="s">
        <v>10</v>
      </c>
      <c r="E290">
        <v>2168</v>
      </c>
      <c r="F290">
        <v>2221</v>
      </c>
      <c r="G290">
        <v>2276</v>
      </c>
      <c r="H290">
        <v>2276</v>
      </c>
      <c r="I290">
        <v>2300</v>
      </c>
      <c r="J290">
        <v>2293</v>
      </c>
      <c r="K290">
        <v>2442</v>
      </c>
      <c r="L290">
        <v>2138</v>
      </c>
      <c r="M290">
        <v>2248</v>
      </c>
      <c r="N290">
        <v>2218.509</v>
      </c>
      <c r="O290">
        <v>2277.7330000000002</v>
      </c>
      <c r="P290">
        <v>2248.9389999999999</v>
      </c>
      <c r="Q290">
        <v>2187.7089999999998</v>
      </c>
      <c r="R290">
        <v>2228.9259999999999</v>
      </c>
      <c r="S290">
        <v>2198.0279999999998</v>
      </c>
      <c r="T290">
        <v>2208.7809999999999</v>
      </c>
      <c r="U290">
        <v>2245.2109999999998</v>
      </c>
    </row>
    <row r="291" spans="1:21" x14ac:dyDescent="0.2">
      <c r="A291" t="s">
        <v>39</v>
      </c>
      <c r="B291" t="s">
        <v>71</v>
      </c>
      <c r="C291" t="s">
        <v>8</v>
      </c>
      <c r="D291" t="s">
        <v>10</v>
      </c>
      <c r="E291">
        <v>95</v>
      </c>
      <c r="F291">
        <v>102</v>
      </c>
      <c r="G291">
        <v>124</v>
      </c>
      <c r="H291">
        <v>146</v>
      </c>
      <c r="I291">
        <v>159</v>
      </c>
      <c r="J291">
        <v>150</v>
      </c>
      <c r="K291">
        <v>165</v>
      </c>
      <c r="L291">
        <v>159</v>
      </c>
      <c r="M291">
        <v>179</v>
      </c>
      <c r="N291">
        <v>198</v>
      </c>
      <c r="O291">
        <v>198</v>
      </c>
      <c r="P291">
        <v>224</v>
      </c>
      <c r="Q291">
        <v>238</v>
      </c>
      <c r="R291">
        <v>265</v>
      </c>
      <c r="S291">
        <v>279</v>
      </c>
      <c r="T291">
        <v>310.5</v>
      </c>
      <c r="U291">
        <v>316.39999999999998</v>
      </c>
    </row>
    <row r="292" spans="1:21" x14ac:dyDescent="0.2">
      <c r="A292" t="s">
        <v>40</v>
      </c>
      <c r="B292" t="s">
        <v>71</v>
      </c>
      <c r="C292" t="s">
        <v>8</v>
      </c>
      <c r="D292" t="s">
        <v>10</v>
      </c>
      <c r="E292">
        <v>4255</v>
      </c>
      <c r="F292">
        <v>4250</v>
      </c>
      <c r="G292">
        <v>4333</v>
      </c>
      <c r="H292">
        <v>4373</v>
      </c>
      <c r="I292">
        <v>4490</v>
      </c>
      <c r="J292">
        <v>4456</v>
      </c>
      <c r="K292">
        <v>4324</v>
      </c>
      <c r="L292">
        <v>3804</v>
      </c>
      <c r="M292">
        <v>3913</v>
      </c>
      <c r="N292">
        <v>3605</v>
      </c>
      <c r="O292">
        <v>3195</v>
      </c>
      <c r="P292">
        <v>2980</v>
      </c>
      <c r="Q292">
        <v>2894</v>
      </c>
      <c r="R292">
        <v>3009</v>
      </c>
      <c r="S292">
        <v>2965</v>
      </c>
      <c r="T292">
        <v>2979.0590000000002</v>
      </c>
      <c r="U292">
        <v>2988.6869999999999</v>
      </c>
    </row>
    <row r="293" spans="1:21" x14ac:dyDescent="0.2">
      <c r="A293" t="s">
        <v>41</v>
      </c>
      <c r="B293" t="s">
        <v>71</v>
      </c>
      <c r="C293" t="s">
        <v>8</v>
      </c>
      <c r="D293" t="s">
        <v>10</v>
      </c>
      <c r="E293">
        <v>7</v>
      </c>
      <c r="F293">
        <v>8</v>
      </c>
      <c r="G293">
        <v>8</v>
      </c>
      <c r="H293">
        <v>8</v>
      </c>
      <c r="I293">
        <v>8</v>
      </c>
      <c r="J293">
        <v>9</v>
      </c>
      <c r="K293">
        <v>9</v>
      </c>
      <c r="L293">
        <v>9</v>
      </c>
      <c r="M293">
        <v>9</v>
      </c>
      <c r="N293">
        <v>8</v>
      </c>
      <c r="O293">
        <v>7</v>
      </c>
      <c r="P293">
        <v>5</v>
      </c>
      <c r="Q293">
        <v>5</v>
      </c>
      <c r="R293">
        <v>5</v>
      </c>
      <c r="S293">
        <v>6</v>
      </c>
      <c r="T293">
        <v>6.0010000000000003</v>
      </c>
      <c r="U293">
        <v>6.1920000000000002</v>
      </c>
    </row>
    <row r="294" spans="1:21" x14ac:dyDescent="0.2">
      <c r="A294" t="s">
        <v>42</v>
      </c>
      <c r="B294" t="s">
        <v>71</v>
      </c>
      <c r="C294" t="s">
        <v>8</v>
      </c>
      <c r="D294" t="s">
        <v>10</v>
      </c>
      <c r="E294">
        <v>284</v>
      </c>
      <c r="F294">
        <v>318</v>
      </c>
      <c r="G294">
        <v>359</v>
      </c>
      <c r="H294">
        <v>388</v>
      </c>
      <c r="I294">
        <v>429</v>
      </c>
      <c r="J294">
        <v>439</v>
      </c>
      <c r="K294">
        <v>408</v>
      </c>
      <c r="L294">
        <v>458</v>
      </c>
      <c r="M294">
        <v>477</v>
      </c>
      <c r="N294">
        <v>498</v>
      </c>
      <c r="O294">
        <v>560</v>
      </c>
      <c r="P294">
        <v>625</v>
      </c>
      <c r="Q294">
        <v>681</v>
      </c>
      <c r="R294">
        <v>724</v>
      </c>
      <c r="S294">
        <v>738</v>
      </c>
      <c r="T294">
        <v>762.08299999999997</v>
      </c>
      <c r="U294">
        <v>806.59699999999998</v>
      </c>
    </row>
    <row r="295" spans="1:21" x14ac:dyDescent="0.2">
      <c r="A295" t="s">
        <v>43</v>
      </c>
      <c r="B295" t="s">
        <v>71</v>
      </c>
      <c r="C295" t="s">
        <v>8</v>
      </c>
      <c r="D295" t="s">
        <v>10</v>
      </c>
      <c r="E295">
        <v>202</v>
      </c>
      <c r="F295">
        <v>218</v>
      </c>
      <c r="G295">
        <v>256</v>
      </c>
      <c r="H295">
        <v>280</v>
      </c>
      <c r="I295">
        <v>292</v>
      </c>
      <c r="J295">
        <v>301</v>
      </c>
      <c r="K295">
        <v>283</v>
      </c>
      <c r="L295">
        <v>234</v>
      </c>
      <c r="M295">
        <v>250</v>
      </c>
      <c r="N295">
        <v>219</v>
      </c>
      <c r="O295">
        <v>275</v>
      </c>
      <c r="P295">
        <v>261</v>
      </c>
      <c r="Q295">
        <v>299</v>
      </c>
      <c r="R295">
        <v>343</v>
      </c>
      <c r="S295">
        <v>366</v>
      </c>
      <c r="T295">
        <v>364.9</v>
      </c>
      <c r="U295">
        <v>355.7</v>
      </c>
    </row>
    <row r="296" spans="1:21" x14ac:dyDescent="0.2">
      <c r="A296" t="s">
        <v>44</v>
      </c>
      <c r="B296" t="s">
        <v>71</v>
      </c>
      <c r="C296" t="s">
        <v>8</v>
      </c>
      <c r="D296" t="s">
        <v>10</v>
      </c>
      <c r="E296">
        <v>20.154</v>
      </c>
      <c r="F296">
        <v>22.346</v>
      </c>
      <c r="G296">
        <v>23.282</v>
      </c>
      <c r="H296">
        <v>22.780999999999999</v>
      </c>
      <c r="I296">
        <v>18.904</v>
      </c>
      <c r="J296">
        <v>18.949000000000002</v>
      </c>
      <c r="K296">
        <v>16.564</v>
      </c>
      <c r="L296">
        <v>17.271000000000001</v>
      </c>
      <c r="M296">
        <v>17.02</v>
      </c>
      <c r="N296">
        <v>7.5839999999999996</v>
      </c>
      <c r="O296">
        <v>4.7130000000000001</v>
      </c>
      <c r="P296">
        <v>0.86199999999999999</v>
      </c>
      <c r="Q296">
        <v>3.125</v>
      </c>
      <c r="R296">
        <v>6.4379999999999997</v>
      </c>
      <c r="S296">
        <v>4.117</v>
      </c>
      <c r="T296">
        <v>15.1</v>
      </c>
      <c r="U296">
        <v>15.782</v>
      </c>
    </row>
    <row r="297" spans="1:21" x14ac:dyDescent="0.2">
      <c r="A297" t="s">
        <v>45</v>
      </c>
      <c r="B297" t="s">
        <v>71</v>
      </c>
      <c r="C297" t="s">
        <v>8</v>
      </c>
      <c r="D297" t="s">
        <v>10</v>
      </c>
      <c r="E297">
        <v>137</v>
      </c>
      <c r="F297">
        <v>148</v>
      </c>
      <c r="G297">
        <v>153</v>
      </c>
      <c r="H297">
        <v>149</v>
      </c>
      <c r="I297">
        <v>146</v>
      </c>
      <c r="J297">
        <v>159</v>
      </c>
      <c r="K297">
        <v>170</v>
      </c>
      <c r="L297">
        <v>119</v>
      </c>
      <c r="M297">
        <v>153</v>
      </c>
      <c r="N297">
        <v>154</v>
      </c>
      <c r="O297">
        <v>265</v>
      </c>
      <c r="P297">
        <v>328</v>
      </c>
      <c r="Q297">
        <v>245</v>
      </c>
      <c r="R297">
        <v>258</v>
      </c>
      <c r="S297">
        <v>280</v>
      </c>
      <c r="T297">
        <v>337</v>
      </c>
      <c r="U297">
        <v>378</v>
      </c>
    </row>
    <row r="298" spans="1:21" x14ac:dyDescent="0.2">
      <c r="A298" t="s">
        <v>46</v>
      </c>
      <c r="B298" t="s">
        <v>71</v>
      </c>
      <c r="C298" t="s">
        <v>8</v>
      </c>
      <c r="D298" t="s">
        <v>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</v>
      </c>
      <c r="O298">
        <v>1</v>
      </c>
      <c r="P298">
        <v>1</v>
      </c>
      <c r="Q298">
        <v>2</v>
      </c>
      <c r="R298">
        <v>2</v>
      </c>
      <c r="S298">
        <v>2</v>
      </c>
      <c r="T298">
        <v>2.0880000000000001</v>
      </c>
      <c r="U298">
        <v>2.2890000000000001</v>
      </c>
    </row>
    <row r="299" spans="1:21" x14ac:dyDescent="0.2">
      <c r="A299" t="s">
        <v>47</v>
      </c>
      <c r="B299" t="s">
        <v>71</v>
      </c>
      <c r="C299" t="s">
        <v>8</v>
      </c>
      <c r="D299" t="s">
        <v>10</v>
      </c>
      <c r="E299">
        <v>257</v>
      </c>
      <c r="F299">
        <v>225</v>
      </c>
      <c r="G299">
        <v>205</v>
      </c>
      <c r="H299">
        <v>242</v>
      </c>
      <c r="I299">
        <v>262</v>
      </c>
      <c r="J299">
        <v>278</v>
      </c>
      <c r="K299">
        <v>288</v>
      </c>
      <c r="L299">
        <v>284</v>
      </c>
      <c r="M299">
        <v>243</v>
      </c>
      <c r="N299">
        <v>223</v>
      </c>
      <c r="O299">
        <v>239</v>
      </c>
      <c r="P299">
        <v>171</v>
      </c>
      <c r="Q299">
        <v>197</v>
      </c>
      <c r="R299">
        <v>235.78100000000001</v>
      </c>
      <c r="S299">
        <v>201.518</v>
      </c>
      <c r="T299">
        <v>155.77600000000001</v>
      </c>
      <c r="U299">
        <v>145.12200000000001</v>
      </c>
    </row>
    <row r="300" spans="1:21" x14ac:dyDescent="0.2">
      <c r="A300" t="s">
        <v>48</v>
      </c>
      <c r="B300" t="s">
        <v>71</v>
      </c>
      <c r="C300" t="s">
        <v>8</v>
      </c>
      <c r="D300" t="s">
        <v>10</v>
      </c>
      <c r="E300">
        <v>1047</v>
      </c>
      <c r="F300">
        <v>1226</v>
      </c>
      <c r="G300">
        <v>1320</v>
      </c>
      <c r="H300">
        <v>1616.864</v>
      </c>
      <c r="I300">
        <v>1819.5920000000001</v>
      </c>
      <c r="J300">
        <v>1931.2950000000001</v>
      </c>
      <c r="K300">
        <v>1793.133</v>
      </c>
      <c r="L300">
        <v>1616.51</v>
      </c>
      <c r="M300">
        <v>1682.4549999999999</v>
      </c>
      <c r="N300">
        <v>1739.1379999999999</v>
      </c>
      <c r="O300">
        <v>1804.5319999999999</v>
      </c>
      <c r="P300">
        <v>1924.998</v>
      </c>
      <c r="Q300">
        <v>1796.5609999999999</v>
      </c>
      <c r="R300">
        <v>1802.2139999999999</v>
      </c>
      <c r="S300">
        <v>1813.21</v>
      </c>
      <c r="T300">
        <v>1856.8050000000001</v>
      </c>
      <c r="U300">
        <v>1821.5719999999999</v>
      </c>
    </row>
    <row r="301" spans="1:21" x14ac:dyDescent="0.2">
      <c r="A301" t="s">
        <v>49</v>
      </c>
      <c r="B301" t="s">
        <v>71</v>
      </c>
      <c r="C301" t="s">
        <v>8</v>
      </c>
      <c r="D301" t="s">
        <v>10</v>
      </c>
      <c r="E301">
        <v>1538</v>
      </c>
      <c r="F301">
        <v>1228</v>
      </c>
      <c r="G301">
        <v>1608</v>
      </c>
      <c r="H301">
        <v>1584</v>
      </c>
      <c r="I301">
        <v>1398</v>
      </c>
      <c r="J301">
        <v>1537</v>
      </c>
      <c r="K301">
        <v>1824</v>
      </c>
      <c r="L301">
        <v>1815</v>
      </c>
      <c r="M301">
        <v>1855</v>
      </c>
      <c r="N301">
        <v>1849</v>
      </c>
      <c r="O301">
        <v>1886</v>
      </c>
      <c r="P301">
        <v>1988</v>
      </c>
      <c r="Q301">
        <v>1967</v>
      </c>
      <c r="R301">
        <v>2086</v>
      </c>
      <c r="S301">
        <v>2421</v>
      </c>
      <c r="T301">
        <v>2400.4169999999999</v>
      </c>
      <c r="U301">
        <v>2518.636</v>
      </c>
    </row>
    <row r="302" spans="1:21" x14ac:dyDescent="0.2">
      <c r="A302" t="s">
        <v>50</v>
      </c>
      <c r="B302" t="s">
        <v>71</v>
      </c>
      <c r="C302" t="s">
        <v>8</v>
      </c>
      <c r="D302" t="s">
        <v>10</v>
      </c>
      <c r="E302">
        <v>946</v>
      </c>
      <c r="F302">
        <v>678</v>
      </c>
      <c r="G302">
        <v>608</v>
      </c>
      <c r="H302">
        <v>715</v>
      </c>
      <c r="I302">
        <v>722</v>
      </c>
      <c r="J302">
        <v>728</v>
      </c>
      <c r="K302">
        <v>669</v>
      </c>
      <c r="L302">
        <v>557</v>
      </c>
      <c r="M302">
        <v>581</v>
      </c>
      <c r="N302">
        <v>573</v>
      </c>
      <c r="O302">
        <v>535</v>
      </c>
      <c r="P302">
        <v>509</v>
      </c>
      <c r="Q302">
        <v>491</v>
      </c>
      <c r="R302">
        <v>511</v>
      </c>
      <c r="S302">
        <v>700.23099999999999</v>
      </c>
      <c r="T302">
        <v>702.39599999999996</v>
      </c>
      <c r="U302">
        <v>723.75400000000002</v>
      </c>
    </row>
    <row r="303" spans="1:21" x14ac:dyDescent="0.2">
      <c r="A303" t="s">
        <v>51</v>
      </c>
      <c r="B303" t="s">
        <v>71</v>
      </c>
      <c r="C303" t="s">
        <v>8</v>
      </c>
      <c r="D303" t="s">
        <v>10</v>
      </c>
      <c r="E303">
        <v>544</v>
      </c>
      <c r="F303">
        <v>293</v>
      </c>
      <c r="G303">
        <v>715</v>
      </c>
      <c r="H303">
        <v>549</v>
      </c>
      <c r="I303">
        <v>735</v>
      </c>
      <c r="J303">
        <v>653</v>
      </c>
      <c r="K303">
        <v>879</v>
      </c>
      <c r="L303">
        <v>740</v>
      </c>
      <c r="M303">
        <v>701</v>
      </c>
      <c r="N303">
        <v>718</v>
      </c>
      <c r="O303">
        <v>847</v>
      </c>
      <c r="P303">
        <v>940</v>
      </c>
      <c r="Q303">
        <v>912</v>
      </c>
      <c r="R303">
        <v>980</v>
      </c>
      <c r="S303">
        <v>968</v>
      </c>
      <c r="T303">
        <v>1053.046</v>
      </c>
      <c r="U303">
        <v>1035.8240000000001</v>
      </c>
    </row>
    <row r="304" spans="1:21" x14ac:dyDescent="0.2">
      <c r="A304" t="s">
        <v>52</v>
      </c>
      <c r="B304" t="s">
        <v>71</v>
      </c>
      <c r="C304" t="s">
        <v>8</v>
      </c>
      <c r="D304" t="s">
        <v>10</v>
      </c>
      <c r="E304">
        <v>162</v>
      </c>
      <c r="F304">
        <v>169</v>
      </c>
      <c r="G304">
        <v>193</v>
      </c>
      <c r="H304">
        <v>217</v>
      </c>
      <c r="I304">
        <v>205</v>
      </c>
      <c r="J304">
        <v>203</v>
      </c>
      <c r="K304">
        <v>185</v>
      </c>
      <c r="L304">
        <v>158</v>
      </c>
      <c r="M304">
        <v>168</v>
      </c>
      <c r="N304">
        <v>173</v>
      </c>
      <c r="O304">
        <v>175</v>
      </c>
      <c r="P304">
        <v>152</v>
      </c>
      <c r="Q304">
        <v>161</v>
      </c>
      <c r="R304">
        <v>168</v>
      </c>
      <c r="S304">
        <v>163</v>
      </c>
      <c r="T304">
        <v>154.922</v>
      </c>
      <c r="U304">
        <v>172.96199999999999</v>
      </c>
    </row>
    <row r="305" spans="1:21" x14ac:dyDescent="0.2">
      <c r="A305" t="s">
        <v>53</v>
      </c>
      <c r="B305" t="s">
        <v>71</v>
      </c>
      <c r="C305" t="s">
        <v>8</v>
      </c>
      <c r="D305" t="s">
        <v>10</v>
      </c>
      <c r="E305">
        <v>178</v>
      </c>
      <c r="F305">
        <v>156</v>
      </c>
      <c r="G305">
        <v>182</v>
      </c>
      <c r="H305">
        <v>167</v>
      </c>
      <c r="I305">
        <v>161</v>
      </c>
      <c r="J305">
        <v>221</v>
      </c>
      <c r="K305">
        <v>225</v>
      </c>
      <c r="L305">
        <v>194</v>
      </c>
      <c r="M305">
        <v>164</v>
      </c>
      <c r="N305">
        <v>167</v>
      </c>
      <c r="O305">
        <v>158</v>
      </c>
      <c r="P305">
        <v>134</v>
      </c>
      <c r="Q305">
        <v>145</v>
      </c>
      <c r="R305">
        <v>151</v>
      </c>
      <c r="S305">
        <v>154</v>
      </c>
      <c r="T305">
        <v>191</v>
      </c>
      <c r="U305">
        <v>194</v>
      </c>
    </row>
    <row r="306" spans="1:21" x14ac:dyDescent="0.2">
      <c r="A306" t="s">
        <v>54</v>
      </c>
      <c r="B306" t="s">
        <v>71</v>
      </c>
      <c r="C306" t="s">
        <v>8</v>
      </c>
      <c r="D306" t="s">
        <v>10</v>
      </c>
      <c r="E306">
        <v>1564</v>
      </c>
      <c r="F306">
        <v>1630</v>
      </c>
      <c r="G306">
        <v>1652</v>
      </c>
      <c r="H306">
        <v>1625</v>
      </c>
      <c r="I306">
        <v>1694</v>
      </c>
      <c r="J306">
        <v>1837</v>
      </c>
      <c r="K306">
        <v>1581</v>
      </c>
      <c r="L306">
        <v>1535</v>
      </c>
      <c r="M306">
        <v>1544</v>
      </c>
      <c r="N306">
        <v>1694</v>
      </c>
      <c r="O306">
        <v>1488</v>
      </c>
      <c r="P306">
        <v>1484</v>
      </c>
      <c r="Q306">
        <v>1268</v>
      </c>
      <c r="R306">
        <v>1281</v>
      </c>
      <c r="S306">
        <v>1299</v>
      </c>
      <c r="T306">
        <v>1618</v>
      </c>
      <c r="U306">
        <v>1661</v>
      </c>
    </row>
    <row r="307" spans="1:21" x14ac:dyDescent="0.2">
      <c r="A307" t="s">
        <v>55</v>
      </c>
      <c r="B307" t="s">
        <v>71</v>
      </c>
      <c r="C307" t="s">
        <v>8</v>
      </c>
      <c r="D307" t="s">
        <v>10</v>
      </c>
      <c r="E307">
        <v>2282</v>
      </c>
      <c r="F307">
        <v>2245</v>
      </c>
      <c r="G307">
        <v>2290</v>
      </c>
      <c r="H307">
        <v>2202</v>
      </c>
      <c r="I307">
        <v>2166</v>
      </c>
      <c r="J307">
        <v>2231</v>
      </c>
      <c r="K307">
        <v>2223</v>
      </c>
      <c r="L307">
        <v>2067</v>
      </c>
      <c r="M307">
        <v>2225</v>
      </c>
      <c r="N307">
        <v>2031</v>
      </c>
      <c r="O307">
        <v>1927</v>
      </c>
      <c r="P307">
        <v>1837</v>
      </c>
      <c r="Q307">
        <v>1877</v>
      </c>
      <c r="R307">
        <v>1879</v>
      </c>
      <c r="S307">
        <v>1871</v>
      </c>
      <c r="T307">
        <v>1851</v>
      </c>
      <c r="U307">
        <v>1825</v>
      </c>
    </row>
    <row r="308" spans="1:21" x14ac:dyDescent="0.2">
      <c r="A308" t="s">
        <v>56</v>
      </c>
      <c r="B308" t="s">
        <v>71</v>
      </c>
      <c r="C308" t="s">
        <v>8</v>
      </c>
      <c r="D308" t="s">
        <v>10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537</v>
      </c>
      <c r="N308">
        <v>533</v>
      </c>
      <c r="O308">
        <v>521</v>
      </c>
      <c r="P308">
        <v>522</v>
      </c>
      <c r="Q308">
        <v>502</v>
      </c>
      <c r="R308">
        <v>0</v>
      </c>
      <c r="S308">
        <v>0</v>
      </c>
      <c r="T308">
        <v>0</v>
      </c>
      <c r="U308">
        <v>0</v>
      </c>
    </row>
    <row r="309" spans="1:21" x14ac:dyDescent="0.2">
      <c r="A309" t="s">
        <v>57</v>
      </c>
      <c r="B309" t="s">
        <v>71</v>
      </c>
      <c r="C309" t="s">
        <v>8</v>
      </c>
      <c r="D309" t="s">
        <v>10</v>
      </c>
      <c r="E309">
        <v>7</v>
      </c>
      <c r="F309">
        <v>7</v>
      </c>
      <c r="G309">
        <v>7</v>
      </c>
      <c r="H309">
        <v>7</v>
      </c>
      <c r="I309">
        <v>5</v>
      </c>
      <c r="J309">
        <v>5</v>
      </c>
      <c r="K309">
        <v>5</v>
      </c>
      <c r="L309">
        <v>4</v>
      </c>
      <c r="M309">
        <v>3</v>
      </c>
      <c r="N309">
        <v>4</v>
      </c>
      <c r="O309">
        <v>4</v>
      </c>
      <c r="P309">
        <v>3</v>
      </c>
      <c r="Q309">
        <v>3</v>
      </c>
      <c r="R309">
        <v>4</v>
      </c>
      <c r="S309">
        <v>4</v>
      </c>
      <c r="T309">
        <v>3.8220000000000001</v>
      </c>
      <c r="U309">
        <v>3.12</v>
      </c>
    </row>
    <row r="310" spans="1:21" x14ac:dyDescent="0.2">
      <c r="A310" t="s">
        <v>58</v>
      </c>
      <c r="B310" t="s">
        <v>71</v>
      </c>
      <c r="C310" t="s">
        <v>8</v>
      </c>
      <c r="D310" t="s">
        <v>10</v>
      </c>
      <c r="E310">
        <v>763</v>
      </c>
      <c r="F310">
        <v>689</v>
      </c>
      <c r="G310">
        <v>705</v>
      </c>
      <c r="H310">
        <v>716</v>
      </c>
      <c r="I310">
        <v>711</v>
      </c>
      <c r="J310">
        <v>807</v>
      </c>
      <c r="K310">
        <v>741</v>
      </c>
      <c r="L310">
        <v>558</v>
      </c>
      <c r="M310">
        <v>717</v>
      </c>
      <c r="N310">
        <v>640</v>
      </c>
      <c r="O310">
        <v>658</v>
      </c>
      <c r="P310">
        <v>609</v>
      </c>
      <c r="Q310">
        <v>629</v>
      </c>
      <c r="R310">
        <v>641</v>
      </c>
      <c r="S310">
        <v>675</v>
      </c>
      <c r="T310">
        <v>615</v>
      </c>
      <c r="U310">
        <v>612.89</v>
      </c>
    </row>
    <row r="311" spans="1:21" x14ac:dyDescent="0.2">
      <c r="A311" t="s">
        <v>59</v>
      </c>
      <c r="B311" t="s">
        <v>71</v>
      </c>
      <c r="C311" t="s">
        <v>8</v>
      </c>
      <c r="D311" t="s">
        <v>10</v>
      </c>
      <c r="E311">
        <v>0</v>
      </c>
      <c r="F311">
        <v>0</v>
      </c>
      <c r="G311">
        <v>54</v>
      </c>
      <c r="H311">
        <v>55</v>
      </c>
      <c r="I311">
        <v>48</v>
      </c>
      <c r="J311">
        <v>58</v>
      </c>
      <c r="K311">
        <v>82</v>
      </c>
      <c r="L311">
        <v>23</v>
      </c>
      <c r="M311">
        <v>73</v>
      </c>
      <c r="N311">
        <v>85</v>
      </c>
      <c r="O311">
        <v>42</v>
      </c>
      <c r="P311">
        <v>92</v>
      </c>
      <c r="Q311">
        <v>122</v>
      </c>
      <c r="R311">
        <v>128</v>
      </c>
      <c r="S311">
        <v>126</v>
      </c>
      <c r="T311">
        <v>132.21899999999999</v>
      </c>
      <c r="U311">
        <v>105.792</v>
      </c>
    </row>
    <row r="312" spans="1:21" x14ac:dyDescent="0.2">
      <c r="A312" t="s">
        <v>29</v>
      </c>
      <c r="B312" t="s">
        <v>72</v>
      </c>
      <c r="C312" t="s">
        <v>8</v>
      </c>
      <c r="D312" t="s">
        <v>10</v>
      </c>
      <c r="E312">
        <v>324</v>
      </c>
      <c r="F312">
        <v>320</v>
      </c>
      <c r="G312">
        <v>327</v>
      </c>
      <c r="H312">
        <v>321</v>
      </c>
      <c r="I312">
        <v>825</v>
      </c>
      <c r="J312">
        <v>788</v>
      </c>
      <c r="K312">
        <v>872</v>
      </c>
      <c r="L312">
        <v>1278</v>
      </c>
      <c r="M312">
        <v>1410</v>
      </c>
      <c r="N312">
        <v>900</v>
      </c>
      <c r="O312">
        <v>798</v>
      </c>
      <c r="P312">
        <v>929</v>
      </c>
      <c r="Q312">
        <v>812.3</v>
      </c>
      <c r="R312">
        <v>845.4</v>
      </c>
      <c r="S312">
        <v>859.6</v>
      </c>
      <c r="T312">
        <v>873.4</v>
      </c>
      <c r="U312">
        <v>929.4</v>
      </c>
    </row>
    <row r="313" spans="1:21" x14ac:dyDescent="0.2">
      <c r="A313" t="s">
        <v>30</v>
      </c>
      <c r="B313" t="s">
        <v>72</v>
      </c>
      <c r="C313" t="s">
        <v>8</v>
      </c>
      <c r="D313" t="s">
        <v>10</v>
      </c>
      <c r="E313">
        <v>129</v>
      </c>
      <c r="F313">
        <v>164</v>
      </c>
      <c r="G313">
        <v>151</v>
      </c>
      <c r="H313">
        <v>169</v>
      </c>
      <c r="I313">
        <v>216</v>
      </c>
      <c r="J313">
        <v>278</v>
      </c>
      <c r="K313">
        <v>410</v>
      </c>
      <c r="L313">
        <v>368</v>
      </c>
      <c r="M313">
        <v>303</v>
      </c>
      <c r="N313">
        <v>368</v>
      </c>
      <c r="O313">
        <v>277</v>
      </c>
      <c r="P313">
        <v>299</v>
      </c>
      <c r="Q313">
        <v>260</v>
      </c>
      <c r="R313">
        <v>261</v>
      </c>
      <c r="S313">
        <v>251</v>
      </c>
      <c r="T313">
        <v>250.09800000000001</v>
      </c>
      <c r="U313">
        <v>229.422</v>
      </c>
    </row>
    <row r="314" spans="1:21" x14ac:dyDescent="0.2">
      <c r="A314" t="s">
        <v>31</v>
      </c>
      <c r="B314" t="s">
        <v>72</v>
      </c>
      <c r="C314" t="s">
        <v>8</v>
      </c>
      <c r="D314" t="s">
        <v>10</v>
      </c>
      <c r="E314">
        <v>320</v>
      </c>
      <c r="F314">
        <v>302</v>
      </c>
      <c r="G314">
        <v>412</v>
      </c>
      <c r="H314">
        <v>398</v>
      </c>
      <c r="I314">
        <v>476</v>
      </c>
      <c r="J314">
        <v>454</v>
      </c>
      <c r="K314">
        <v>476</v>
      </c>
      <c r="L314">
        <v>486</v>
      </c>
      <c r="M314">
        <v>511</v>
      </c>
      <c r="N314">
        <v>492</v>
      </c>
      <c r="O314">
        <v>456</v>
      </c>
      <c r="P314">
        <v>424</v>
      </c>
      <c r="Q314">
        <v>450</v>
      </c>
      <c r="R314">
        <v>476</v>
      </c>
      <c r="S314">
        <v>492</v>
      </c>
      <c r="T314">
        <v>544.87800000000004</v>
      </c>
      <c r="U314">
        <v>619.68600000000004</v>
      </c>
    </row>
    <row r="315" spans="1:21" x14ac:dyDescent="0.2">
      <c r="A315" t="s">
        <v>32</v>
      </c>
      <c r="B315" t="s">
        <v>72</v>
      </c>
      <c r="C315" t="s">
        <v>8</v>
      </c>
      <c r="D315" t="s">
        <v>10</v>
      </c>
      <c r="E315">
        <v>339</v>
      </c>
      <c r="F315">
        <v>329</v>
      </c>
      <c r="G315">
        <v>338</v>
      </c>
      <c r="H315">
        <v>354</v>
      </c>
      <c r="I315">
        <v>378</v>
      </c>
      <c r="J315">
        <v>406</v>
      </c>
      <c r="K315">
        <v>435</v>
      </c>
      <c r="L315">
        <v>373</v>
      </c>
      <c r="M315">
        <v>381</v>
      </c>
      <c r="N315">
        <v>357</v>
      </c>
      <c r="O315">
        <v>374</v>
      </c>
      <c r="P315">
        <v>361</v>
      </c>
      <c r="Q315">
        <v>357</v>
      </c>
      <c r="R315">
        <v>361</v>
      </c>
      <c r="S315">
        <v>373</v>
      </c>
      <c r="T315">
        <v>402.72300000000001</v>
      </c>
      <c r="U315">
        <v>409.346</v>
      </c>
    </row>
    <row r="316" spans="1:21" x14ac:dyDescent="0.2">
      <c r="A316" t="s">
        <v>33</v>
      </c>
      <c r="B316" t="s">
        <v>72</v>
      </c>
      <c r="C316" t="s">
        <v>8</v>
      </c>
      <c r="D316" t="s">
        <v>10</v>
      </c>
      <c r="E316">
        <v>826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3975</v>
      </c>
      <c r="N316">
        <v>4429</v>
      </c>
      <c r="O316">
        <v>4353</v>
      </c>
      <c r="P316">
        <v>3581</v>
      </c>
      <c r="Q316">
        <v>4089</v>
      </c>
      <c r="R316">
        <v>3945</v>
      </c>
      <c r="S316">
        <v>3976</v>
      </c>
      <c r="T316">
        <v>4136</v>
      </c>
      <c r="U316">
        <v>4460</v>
      </c>
    </row>
    <row r="317" spans="1:21" x14ac:dyDescent="0.2">
      <c r="A317" t="s">
        <v>34</v>
      </c>
      <c r="B317" t="s">
        <v>72</v>
      </c>
      <c r="C317" t="s">
        <v>8</v>
      </c>
      <c r="D317" t="s">
        <v>10</v>
      </c>
      <c r="E317">
        <v>94</v>
      </c>
      <c r="F317">
        <v>96</v>
      </c>
      <c r="G317">
        <v>95</v>
      </c>
      <c r="H317">
        <v>97</v>
      </c>
      <c r="I317">
        <v>107</v>
      </c>
      <c r="J317">
        <v>106</v>
      </c>
      <c r="K317">
        <v>101</v>
      </c>
      <c r="L317">
        <v>78</v>
      </c>
      <c r="M317">
        <v>62</v>
      </c>
      <c r="N317">
        <v>71</v>
      </c>
      <c r="O317">
        <v>82</v>
      </c>
      <c r="P317">
        <v>84</v>
      </c>
      <c r="Q317">
        <v>78</v>
      </c>
      <c r="R317">
        <v>81</v>
      </c>
      <c r="S317">
        <v>83</v>
      </c>
      <c r="T317">
        <v>82</v>
      </c>
      <c r="U317">
        <v>71</v>
      </c>
    </row>
    <row r="318" spans="1:21" x14ac:dyDescent="0.2">
      <c r="A318" t="s">
        <v>35</v>
      </c>
      <c r="B318" t="s">
        <v>72</v>
      </c>
      <c r="C318" t="s">
        <v>8</v>
      </c>
      <c r="D318" t="s">
        <v>10</v>
      </c>
      <c r="E318">
        <v>84</v>
      </c>
      <c r="F318">
        <v>73</v>
      </c>
      <c r="G318">
        <v>73</v>
      </c>
      <c r="H318">
        <v>73</v>
      </c>
      <c r="I318">
        <v>73</v>
      </c>
      <c r="J318">
        <v>73</v>
      </c>
      <c r="K318">
        <v>73</v>
      </c>
      <c r="L318">
        <v>73</v>
      </c>
      <c r="M318">
        <v>73</v>
      </c>
      <c r="N318">
        <v>73</v>
      </c>
      <c r="O318">
        <v>73</v>
      </c>
      <c r="P318">
        <v>73</v>
      </c>
      <c r="Q318">
        <v>73</v>
      </c>
      <c r="R318">
        <v>73</v>
      </c>
      <c r="S318">
        <v>73</v>
      </c>
      <c r="T318">
        <v>73</v>
      </c>
      <c r="U318">
        <v>73</v>
      </c>
    </row>
    <row r="319" spans="1:21" x14ac:dyDescent="0.2">
      <c r="A319" t="s">
        <v>36</v>
      </c>
      <c r="B319" t="s">
        <v>72</v>
      </c>
      <c r="C319" t="s">
        <v>8</v>
      </c>
      <c r="D319" t="s">
        <v>10</v>
      </c>
      <c r="E319">
        <v>98</v>
      </c>
      <c r="F319">
        <v>33</v>
      </c>
      <c r="G319">
        <v>2</v>
      </c>
      <c r="H319">
        <v>5</v>
      </c>
      <c r="I319">
        <v>6</v>
      </c>
      <c r="J319">
        <v>7</v>
      </c>
      <c r="K319">
        <v>7</v>
      </c>
      <c r="L319">
        <v>1</v>
      </c>
      <c r="M319">
        <v>1</v>
      </c>
      <c r="N319">
        <v>1</v>
      </c>
      <c r="O319">
        <v>1</v>
      </c>
      <c r="P319">
        <v>1</v>
      </c>
      <c r="Q319">
        <v>1</v>
      </c>
      <c r="R319">
        <v>0</v>
      </c>
      <c r="S319">
        <v>2</v>
      </c>
      <c r="T319">
        <v>496.733</v>
      </c>
      <c r="U319">
        <v>468.15</v>
      </c>
    </row>
    <row r="320" spans="1:21" x14ac:dyDescent="0.2">
      <c r="A320" t="s">
        <v>37</v>
      </c>
      <c r="B320" t="s">
        <v>72</v>
      </c>
      <c r="C320" t="s">
        <v>8</v>
      </c>
      <c r="D320" t="s">
        <v>10</v>
      </c>
      <c r="E320">
        <v>1913</v>
      </c>
      <c r="F320">
        <v>2017</v>
      </c>
      <c r="G320">
        <v>2263</v>
      </c>
      <c r="H320">
        <v>2643</v>
      </c>
      <c r="I320">
        <v>2591</v>
      </c>
      <c r="J320">
        <v>2859</v>
      </c>
      <c r="K320">
        <v>3229</v>
      </c>
      <c r="L320">
        <v>3005</v>
      </c>
      <c r="M320">
        <v>2767</v>
      </c>
      <c r="N320">
        <v>2513</v>
      </c>
      <c r="O320">
        <v>2479</v>
      </c>
      <c r="P320">
        <v>2871</v>
      </c>
      <c r="Q320">
        <v>2390</v>
      </c>
      <c r="R320">
        <v>2070</v>
      </c>
      <c r="S320">
        <v>2027</v>
      </c>
      <c r="T320">
        <v>2425</v>
      </c>
      <c r="U320">
        <v>3052</v>
      </c>
    </row>
    <row r="321" spans="1:21" x14ac:dyDescent="0.2">
      <c r="A321" t="s">
        <v>38</v>
      </c>
      <c r="B321" t="s">
        <v>72</v>
      </c>
      <c r="C321" t="s">
        <v>8</v>
      </c>
      <c r="D321" t="s">
        <v>10</v>
      </c>
      <c r="E321">
        <v>1457</v>
      </c>
      <c r="F321">
        <v>1587</v>
      </c>
      <c r="G321">
        <v>1650</v>
      </c>
      <c r="H321">
        <v>1735</v>
      </c>
      <c r="I321">
        <v>1859</v>
      </c>
      <c r="J321">
        <v>1956</v>
      </c>
      <c r="K321">
        <v>2539</v>
      </c>
      <c r="L321">
        <v>1899</v>
      </c>
      <c r="M321">
        <v>2169</v>
      </c>
      <c r="N321">
        <v>7590.4920000000002</v>
      </c>
      <c r="O321">
        <v>7919.893</v>
      </c>
      <c r="P321">
        <v>7909.0020000000004</v>
      </c>
      <c r="Q321">
        <v>7045.9639999999999</v>
      </c>
      <c r="R321">
        <v>6817.56</v>
      </c>
      <c r="S321">
        <v>6865.6930000000002</v>
      </c>
      <c r="T321">
        <v>6808.7879999999996</v>
      </c>
      <c r="U321">
        <v>6989.973</v>
      </c>
    </row>
    <row r="322" spans="1:21" x14ac:dyDescent="0.2">
      <c r="A322" t="s">
        <v>39</v>
      </c>
      <c r="B322" t="s">
        <v>72</v>
      </c>
      <c r="C322" t="s">
        <v>8</v>
      </c>
      <c r="D322" t="s">
        <v>10</v>
      </c>
      <c r="E322">
        <v>77</v>
      </c>
      <c r="F322">
        <v>91</v>
      </c>
      <c r="G322">
        <v>94</v>
      </c>
      <c r="H322">
        <v>93</v>
      </c>
      <c r="I322">
        <v>99</v>
      </c>
      <c r="J322">
        <v>99</v>
      </c>
      <c r="K322">
        <v>118</v>
      </c>
      <c r="L322">
        <v>118</v>
      </c>
      <c r="M322">
        <v>109</v>
      </c>
      <c r="N322">
        <v>96</v>
      </c>
      <c r="O322">
        <v>92</v>
      </c>
      <c r="P322">
        <v>85</v>
      </c>
      <c r="Q322">
        <v>81</v>
      </c>
      <c r="R322">
        <v>76</v>
      </c>
      <c r="S322">
        <v>78</v>
      </c>
      <c r="T322">
        <v>76.599999999999994</v>
      </c>
      <c r="U322">
        <v>77.900000000000006</v>
      </c>
    </row>
    <row r="323" spans="1:21" x14ac:dyDescent="0.2">
      <c r="A323" t="s">
        <v>40</v>
      </c>
      <c r="B323" t="s">
        <v>72</v>
      </c>
      <c r="C323" t="s">
        <v>8</v>
      </c>
      <c r="D323" t="s">
        <v>10</v>
      </c>
      <c r="E323">
        <v>1325</v>
      </c>
      <c r="F323">
        <v>1509</v>
      </c>
      <c r="G323">
        <v>1608</v>
      </c>
      <c r="H323">
        <v>1709</v>
      </c>
      <c r="I323">
        <v>1755</v>
      </c>
      <c r="J323">
        <v>1797</v>
      </c>
      <c r="K323">
        <v>1888</v>
      </c>
      <c r="L323">
        <v>1808</v>
      </c>
      <c r="M323">
        <v>1752</v>
      </c>
      <c r="N323">
        <v>1640</v>
      </c>
      <c r="O323">
        <v>1446</v>
      </c>
      <c r="P323">
        <v>1290</v>
      </c>
      <c r="Q323">
        <v>1251</v>
      </c>
      <c r="R323">
        <v>1355</v>
      </c>
      <c r="S323">
        <v>1353</v>
      </c>
      <c r="T323">
        <v>1385.999</v>
      </c>
      <c r="U323">
        <v>1419.489</v>
      </c>
    </row>
    <row r="324" spans="1:21" x14ac:dyDescent="0.2">
      <c r="A324" t="s">
        <v>41</v>
      </c>
      <c r="B324" t="s">
        <v>72</v>
      </c>
      <c r="C324" t="s">
        <v>8</v>
      </c>
      <c r="D324" t="s">
        <v>10</v>
      </c>
      <c r="E324">
        <v>4</v>
      </c>
      <c r="F324">
        <v>6</v>
      </c>
      <c r="G324">
        <v>7</v>
      </c>
      <c r="H324">
        <v>8</v>
      </c>
      <c r="I324">
        <v>9</v>
      </c>
      <c r="J324">
        <v>10</v>
      </c>
      <c r="K324">
        <v>12</v>
      </c>
      <c r="L324">
        <v>11</v>
      </c>
      <c r="M324">
        <v>12</v>
      </c>
      <c r="N324">
        <v>12</v>
      </c>
      <c r="O324">
        <v>10</v>
      </c>
      <c r="P324">
        <v>6</v>
      </c>
      <c r="Q324">
        <v>5</v>
      </c>
      <c r="R324">
        <v>4</v>
      </c>
      <c r="S324">
        <v>4</v>
      </c>
      <c r="T324">
        <v>4.899</v>
      </c>
      <c r="U324">
        <v>6.7569999999999997</v>
      </c>
    </row>
    <row r="325" spans="1:21" x14ac:dyDescent="0.2">
      <c r="A325" t="s">
        <v>42</v>
      </c>
      <c r="B325" t="s">
        <v>72</v>
      </c>
      <c r="C325" t="s">
        <v>8</v>
      </c>
      <c r="D325" t="s">
        <v>10</v>
      </c>
      <c r="E325">
        <v>72</v>
      </c>
      <c r="F325">
        <v>81</v>
      </c>
      <c r="G325">
        <v>88</v>
      </c>
      <c r="H325">
        <v>103</v>
      </c>
      <c r="I325">
        <v>119</v>
      </c>
      <c r="J325">
        <v>111</v>
      </c>
      <c r="K325">
        <v>146</v>
      </c>
      <c r="L325">
        <v>117</v>
      </c>
      <c r="M325">
        <v>106</v>
      </c>
      <c r="N325">
        <v>91</v>
      </c>
      <c r="O325">
        <v>84</v>
      </c>
      <c r="P325">
        <v>70</v>
      </c>
      <c r="Q325">
        <v>78</v>
      </c>
      <c r="R325">
        <v>74</v>
      </c>
      <c r="S325">
        <v>66</v>
      </c>
      <c r="T325">
        <v>67.581999999999994</v>
      </c>
      <c r="U325">
        <v>70.355999999999995</v>
      </c>
    </row>
    <row r="326" spans="1:21" x14ac:dyDescent="0.2">
      <c r="A326" t="s">
        <v>43</v>
      </c>
      <c r="B326" t="s">
        <v>72</v>
      </c>
      <c r="C326" t="s">
        <v>8</v>
      </c>
      <c r="D326" t="s">
        <v>10</v>
      </c>
      <c r="E326">
        <v>98</v>
      </c>
      <c r="F326">
        <v>102</v>
      </c>
      <c r="G326">
        <v>109</v>
      </c>
      <c r="H326">
        <v>117</v>
      </c>
      <c r="I326">
        <v>123</v>
      </c>
      <c r="J326">
        <v>131</v>
      </c>
      <c r="K326">
        <v>130</v>
      </c>
      <c r="L326">
        <v>103</v>
      </c>
      <c r="M326">
        <v>106</v>
      </c>
      <c r="N326">
        <v>102</v>
      </c>
      <c r="O326">
        <v>100</v>
      </c>
      <c r="P326">
        <v>108</v>
      </c>
      <c r="Q326">
        <v>102</v>
      </c>
      <c r="R326">
        <v>143</v>
      </c>
      <c r="S326">
        <v>148</v>
      </c>
      <c r="T326">
        <v>138.69999999999999</v>
      </c>
      <c r="U326">
        <v>157.1</v>
      </c>
    </row>
    <row r="327" spans="1:21" x14ac:dyDescent="0.2">
      <c r="A327" t="s">
        <v>44</v>
      </c>
      <c r="B327" t="s">
        <v>72</v>
      </c>
      <c r="C327" t="s">
        <v>8</v>
      </c>
      <c r="D327" t="s">
        <v>10</v>
      </c>
      <c r="E327">
        <v>203.268</v>
      </c>
      <c r="F327">
        <v>395.47800000000001</v>
      </c>
      <c r="G327">
        <v>270.15800000000002</v>
      </c>
      <c r="H327">
        <v>258.91800000000001</v>
      </c>
      <c r="I327">
        <v>255.70500000000001</v>
      </c>
      <c r="J327">
        <v>237.304</v>
      </c>
      <c r="K327">
        <v>257.32100000000003</v>
      </c>
      <c r="L327">
        <v>177.154</v>
      </c>
      <c r="M327">
        <v>165.57300000000001</v>
      </c>
      <c r="N327">
        <v>125.967</v>
      </c>
      <c r="O327">
        <v>124.149</v>
      </c>
      <c r="P327">
        <v>123.76</v>
      </c>
      <c r="Q327">
        <v>140.19499999999999</v>
      </c>
      <c r="R327">
        <v>143.24600000000001</v>
      </c>
      <c r="S327">
        <v>175.43100000000001</v>
      </c>
      <c r="T327">
        <v>180.739</v>
      </c>
      <c r="U327">
        <v>192.23099999999999</v>
      </c>
    </row>
    <row r="328" spans="1:21" x14ac:dyDescent="0.2">
      <c r="A328" t="s">
        <v>45</v>
      </c>
      <c r="B328" t="s">
        <v>72</v>
      </c>
      <c r="C328" t="s">
        <v>8</v>
      </c>
      <c r="D328" t="s">
        <v>10</v>
      </c>
      <c r="E328">
        <v>58</v>
      </c>
      <c r="F328">
        <v>89</v>
      </c>
      <c r="G328">
        <v>56</v>
      </c>
      <c r="H328">
        <v>74</v>
      </c>
      <c r="I328">
        <v>73</v>
      </c>
      <c r="J328">
        <v>67</v>
      </c>
      <c r="K328">
        <v>78</v>
      </c>
      <c r="L328">
        <v>78</v>
      </c>
      <c r="M328">
        <v>115</v>
      </c>
      <c r="N328">
        <v>116</v>
      </c>
      <c r="O328">
        <v>447</v>
      </c>
      <c r="P328">
        <v>327</v>
      </c>
      <c r="Q328">
        <v>261</v>
      </c>
      <c r="R328">
        <v>288</v>
      </c>
      <c r="S328">
        <v>323</v>
      </c>
      <c r="T328">
        <v>336</v>
      </c>
      <c r="U328">
        <v>466</v>
      </c>
    </row>
    <row r="329" spans="1:21" x14ac:dyDescent="0.2">
      <c r="A329" t="s">
        <v>46</v>
      </c>
      <c r="B329" t="s">
        <v>72</v>
      </c>
      <c r="C329" t="s">
        <v>8</v>
      </c>
      <c r="D329" t="s">
        <v>10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16</v>
      </c>
      <c r="N329">
        <v>16</v>
      </c>
      <c r="O329">
        <v>18</v>
      </c>
      <c r="P329">
        <v>20</v>
      </c>
      <c r="Q329">
        <v>26</v>
      </c>
      <c r="R329">
        <v>28</v>
      </c>
      <c r="S329">
        <v>24</v>
      </c>
      <c r="T329">
        <v>26.635000000000002</v>
      </c>
      <c r="U329">
        <v>27.37</v>
      </c>
    </row>
    <row r="330" spans="1:21" x14ac:dyDescent="0.2">
      <c r="A330" t="s">
        <v>47</v>
      </c>
      <c r="B330" t="s">
        <v>72</v>
      </c>
      <c r="C330" t="s">
        <v>8</v>
      </c>
      <c r="D330" t="s">
        <v>10</v>
      </c>
      <c r="E330">
        <v>1035</v>
      </c>
      <c r="F330">
        <v>992</v>
      </c>
      <c r="G330">
        <v>974</v>
      </c>
      <c r="H330">
        <v>972</v>
      </c>
      <c r="I330">
        <v>981</v>
      </c>
      <c r="J330">
        <v>1013</v>
      </c>
      <c r="K330">
        <v>1030</v>
      </c>
      <c r="L330">
        <v>1018</v>
      </c>
      <c r="M330">
        <v>1009</v>
      </c>
      <c r="N330">
        <v>943</v>
      </c>
      <c r="O330">
        <v>900.38900000000001</v>
      </c>
      <c r="P330">
        <v>948.57899999999995</v>
      </c>
      <c r="Q330">
        <v>875.34699999999998</v>
      </c>
      <c r="R330">
        <v>889.71799999999996</v>
      </c>
      <c r="S330">
        <v>893.447</v>
      </c>
      <c r="T330">
        <v>973.76800000000003</v>
      </c>
      <c r="U330">
        <v>1037.4749999999999</v>
      </c>
    </row>
    <row r="331" spans="1:21" x14ac:dyDescent="0.2">
      <c r="A331" t="s">
        <v>48</v>
      </c>
      <c r="B331" t="s">
        <v>72</v>
      </c>
      <c r="C331" t="s">
        <v>8</v>
      </c>
      <c r="D331" t="s">
        <v>10</v>
      </c>
      <c r="E331">
        <v>374</v>
      </c>
      <c r="F331">
        <v>512</v>
      </c>
      <c r="G331">
        <v>646</v>
      </c>
      <c r="H331">
        <v>694.75400000000002</v>
      </c>
      <c r="I331">
        <v>740.08199999999999</v>
      </c>
      <c r="J331">
        <v>676.85400000000004</v>
      </c>
      <c r="K331">
        <v>553.51599999999996</v>
      </c>
      <c r="L331">
        <v>686.88699999999994</v>
      </c>
      <c r="M331">
        <v>611.49300000000005</v>
      </c>
      <c r="N331">
        <v>640.05200000000002</v>
      </c>
      <c r="O331">
        <v>640.30499999999995</v>
      </c>
      <c r="P331">
        <v>606.10299999999995</v>
      </c>
      <c r="Q331">
        <v>508.28199999999998</v>
      </c>
      <c r="R331">
        <v>469.78</v>
      </c>
      <c r="S331">
        <v>489.096</v>
      </c>
      <c r="T331">
        <v>565.50800000000004</v>
      </c>
      <c r="U331">
        <v>540.13400000000001</v>
      </c>
    </row>
    <row r="332" spans="1:21" x14ac:dyDescent="0.2">
      <c r="A332" t="s">
        <v>49</v>
      </c>
      <c r="B332" t="s">
        <v>72</v>
      </c>
      <c r="C332" t="s">
        <v>8</v>
      </c>
      <c r="D332" t="s">
        <v>10</v>
      </c>
      <c r="E332">
        <v>649</v>
      </c>
      <c r="F332">
        <v>666</v>
      </c>
      <c r="G332">
        <v>509</v>
      </c>
      <c r="H332">
        <v>522</v>
      </c>
      <c r="I332">
        <v>571</v>
      </c>
      <c r="J332">
        <v>780</v>
      </c>
      <c r="K332">
        <v>674</v>
      </c>
      <c r="L332">
        <v>746</v>
      </c>
      <c r="M332">
        <v>770</v>
      </c>
      <c r="N332">
        <v>796</v>
      </c>
      <c r="O332">
        <v>809</v>
      </c>
      <c r="P332">
        <v>784</v>
      </c>
      <c r="Q332">
        <v>754</v>
      </c>
      <c r="R332">
        <v>825</v>
      </c>
      <c r="S332">
        <v>860</v>
      </c>
      <c r="T332">
        <v>903</v>
      </c>
      <c r="U332">
        <v>984.80499999999995</v>
      </c>
    </row>
    <row r="333" spans="1:21" x14ac:dyDescent="0.2">
      <c r="A333" t="s">
        <v>50</v>
      </c>
      <c r="B333" t="s">
        <v>72</v>
      </c>
      <c r="C333" t="s">
        <v>8</v>
      </c>
      <c r="D333" t="s">
        <v>10</v>
      </c>
      <c r="E333">
        <v>672</v>
      </c>
      <c r="F333">
        <v>680</v>
      </c>
      <c r="G333">
        <v>689</v>
      </c>
      <c r="H333">
        <v>651</v>
      </c>
      <c r="I333">
        <v>688</v>
      </c>
      <c r="J333">
        <v>636</v>
      </c>
      <c r="K333">
        <v>622</v>
      </c>
      <c r="L333">
        <v>647</v>
      </c>
      <c r="M333">
        <v>610</v>
      </c>
      <c r="N333">
        <v>564</v>
      </c>
      <c r="O333">
        <v>462</v>
      </c>
      <c r="P333">
        <v>360</v>
      </c>
      <c r="Q333">
        <v>325</v>
      </c>
      <c r="R333">
        <v>314</v>
      </c>
      <c r="S333">
        <v>559.40200000000004</v>
      </c>
      <c r="T333">
        <v>584.654</v>
      </c>
      <c r="U333">
        <v>511.70699999999999</v>
      </c>
    </row>
    <row r="334" spans="1:21" x14ac:dyDescent="0.2">
      <c r="A334" t="s">
        <v>51</v>
      </c>
      <c r="B334" t="s">
        <v>72</v>
      </c>
      <c r="C334" t="s">
        <v>8</v>
      </c>
      <c r="D334" t="s">
        <v>10</v>
      </c>
      <c r="E334">
        <v>1029</v>
      </c>
      <c r="F334">
        <v>1062</v>
      </c>
      <c r="G334">
        <v>680</v>
      </c>
      <c r="H334">
        <v>703</v>
      </c>
      <c r="I334">
        <v>813</v>
      </c>
      <c r="J334">
        <v>934</v>
      </c>
      <c r="K334">
        <v>842</v>
      </c>
      <c r="L334">
        <v>793</v>
      </c>
      <c r="M334">
        <v>697</v>
      </c>
      <c r="N334">
        <v>691</v>
      </c>
      <c r="O334">
        <v>720</v>
      </c>
      <c r="P334">
        <v>526</v>
      </c>
      <c r="Q334">
        <v>483</v>
      </c>
      <c r="R334">
        <v>450</v>
      </c>
      <c r="S334">
        <v>429</v>
      </c>
      <c r="T334">
        <v>403.46499999999997</v>
      </c>
      <c r="U334">
        <v>387.899</v>
      </c>
    </row>
    <row r="335" spans="1:21" x14ac:dyDescent="0.2">
      <c r="A335" t="s">
        <v>52</v>
      </c>
      <c r="B335" t="s">
        <v>72</v>
      </c>
      <c r="C335" t="s">
        <v>8</v>
      </c>
      <c r="D335" t="s">
        <v>10</v>
      </c>
      <c r="E335">
        <v>105</v>
      </c>
      <c r="F335">
        <v>46</v>
      </c>
      <c r="G335">
        <v>61</v>
      </c>
      <c r="H335">
        <v>142</v>
      </c>
      <c r="I335">
        <v>132</v>
      </c>
      <c r="J335">
        <v>78</v>
      </c>
      <c r="K335">
        <v>74</v>
      </c>
      <c r="L335">
        <v>64</v>
      </c>
      <c r="M335">
        <v>56</v>
      </c>
      <c r="N335">
        <v>53</v>
      </c>
      <c r="O335">
        <v>43</v>
      </c>
      <c r="P335">
        <v>41</v>
      </c>
      <c r="Q335">
        <v>38</v>
      </c>
      <c r="R335">
        <v>45</v>
      </c>
      <c r="S335">
        <v>45</v>
      </c>
      <c r="T335">
        <v>48.728000000000002</v>
      </c>
      <c r="U335">
        <v>80.132999999999996</v>
      </c>
    </row>
    <row r="336" spans="1:21" x14ac:dyDescent="0.2">
      <c r="A336" t="s">
        <v>53</v>
      </c>
      <c r="B336" t="s">
        <v>72</v>
      </c>
      <c r="C336" t="s">
        <v>8</v>
      </c>
      <c r="D336" t="s">
        <v>10</v>
      </c>
      <c r="E336">
        <v>124</v>
      </c>
      <c r="F336">
        <v>80</v>
      </c>
      <c r="G336">
        <v>74</v>
      </c>
      <c r="H336">
        <v>77</v>
      </c>
      <c r="I336">
        <v>74</v>
      </c>
      <c r="J336">
        <v>90</v>
      </c>
      <c r="K336">
        <v>122</v>
      </c>
      <c r="L336">
        <v>204</v>
      </c>
      <c r="M336">
        <v>169</v>
      </c>
      <c r="N336">
        <v>226</v>
      </c>
      <c r="O336">
        <v>60</v>
      </c>
      <c r="P336">
        <v>60</v>
      </c>
      <c r="Q336">
        <v>59</v>
      </c>
      <c r="R336">
        <v>69</v>
      </c>
      <c r="S336">
        <v>71</v>
      </c>
      <c r="T336">
        <v>73</v>
      </c>
      <c r="U336">
        <v>104</v>
      </c>
    </row>
    <row r="337" spans="1:21" x14ac:dyDescent="0.2">
      <c r="A337" t="s">
        <v>54</v>
      </c>
      <c r="B337" t="s">
        <v>72</v>
      </c>
      <c r="C337" t="s">
        <v>8</v>
      </c>
      <c r="D337" t="s">
        <v>10</v>
      </c>
      <c r="E337">
        <v>245</v>
      </c>
      <c r="F337">
        <v>242</v>
      </c>
      <c r="G337">
        <v>256</v>
      </c>
      <c r="H337">
        <v>270</v>
      </c>
      <c r="I337">
        <v>300</v>
      </c>
      <c r="J337">
        <v>349</v>
      </c>
      <c r="K337">
        <v>319</v>
      </c>
      <c r="L337">
        <v>314</v>
      </c>
      <c r="M337">
        <v>354</v>
      </c>
      <c r="N337">
        <v>349</v>
      </c>
      <c r="O337">
        <v>368</v>
      </c>
      <c r="P337">
        <v>378</v>
      </c>
      <c r="Q337">
        <v>433</v>
      </c>
      <c r="R337">
        <v>372</v>
      </c>
      <c r="S337">
        <v>416</v>
      </c>
      <c r="T337">
        <v>450</v>
      </c>
      <c r="U337">
        <v>415</v>
      </c>
    </row>
    <row r="338" spans="1:21" x14ac:dyDescent="0.2">
      <c r="A338" t="s">
        <v>55</v>
      </c>
      <c r="B338" t="s">
        <v>72</v>
      </c>
      <c r="C338" t="s">
        <v>8</v>
      </c>
      <c r="D338" t="s">
        <v>10</v>
      </c>
      <c r="E338">
        <v>861</v>
      </c>
      <c r="F338">
        <v>806</v>
      </c>
      <c r="G338">
        <v>822</v>
      </c>
      <c r="H338">
        <v>803</v>
      </c>
      <c r="I338">
        <v>871</v>
      </c>
      <c r="J338">
        <v>885</v>
      </c>
      <c r="K338">
        <v>920</v>
      </c>
      <c r="L338">
        <v>1074</v>
      </c>
      <c r="M338">
        <v>1207</v>
      </c>
      <c r="N338">
        <v>1107</v>
      </c>
      <c r="O338">
        <v>1096</v>
      </c>
      <c r="P338">
        <v>1120</v>
      </c>
      <c r="Q338">
        <v>1079</v>
      </c>
      <c r="R338">
        <v>1212</v>
      </c>
      <c r="S338">
        <v>1337</v>
      </c>
      <c r="T338">
        <v>1378</v>
      </c>
      <c r="U338">
        <v>1483</v>
      </c>
    </row>
    <row r="339" spans="1:21" x14ac:dyDescent="0.2">
      <c r="A339" t="s">
        <v>56</v>
      </c>
      <c r="B339" t="s">
        <v>72</v>
      </c>
      <c r="C339" t="s">
        <v>8</v>
      </c>
      <c r="D339" t="s">
        <v>10</v>
      </c>
      <c r="E339">
        <v>1700</v>
      </c>
      <c r="F339">
        <v>1701</v>
      </c>
      <c r="G339">
        <v>1804</v>
      </c>
      <c r="H339">
        <v>1929</v>
      </c>
      <c r="I339">
        <v>1840</v>
      </c>
      <c r="J339">
        <v>1798</v>
      </c>
      <c r="K339">
        <v>1817</v>
      </c>
      <c r="L339">
        <v>1586</v>
      </c>
      <c r="M339">
        <v>1621</v>
      </c>
      <c r="N339">
        <v>1539</v>
      </c>
      <c r="O339">
        <v>1494</v>
      </c>
      <c r="P339">
        <v>1464</v>
      </c>
      <c r="Q339">
        <v>1393</v>
      </c>
      <c r="R339">
        <v>1363.7349999999999</v>
      </c>
      <c r="S339">
        <v>1308.7829999999999</v>
      </c>
      <c r="T339">
        <v>1416.8140000000001</v>
      </c>
      <c r="U339">
        <v>1395.6420000000001</v>
      </c>
    </row>
    <row r="340" spans="1:21" x14ac:dyDescent="0.2">
      <c r="A340" t="s">
        <v>57</v>
      </c>
      <c r="B340" t="s">
        <v>72</v>
      </c>
      <c r="C340" t="s">
        <v>8</v>
      </c>
      <c r="D340" t="s">
        <v>10</v>
      </c>
      <c r="E340">
        <v>28</v>
      </c>
      <c r="F340">
        <v>17</v>
      </c>
      <c r="G340">
        <v>66</v>
      </c>
      <c r="H340">
        <v>112</v>
      </c>
      <c r="I340">
        <v>157</v>
      </c>
      <c r="J340">
        <v>133</v>
      </c>
      <c r="K340">
        <v>73</v>
      </c>
      <c r="L340">
        <v>40</v>
      </c>
      <c r="M340">
        <v>20</v>
      </c>
      <c r="N340">
        <v>22</v>
      </c>
      <c r="O340">
        <v>29</v>
      </c>
      <c r="P340">
        <v>28</v>
      </c>
      <c r="Q340">
        <v>27</v>
      </c>
      <c r="R340">
        <v>33</v>
      </c>
      <c r="S340">
        <v>38</v>
      </c>
      <c r="T340">
        <v>38.277000000000001</v>
      </c>
      <c r="U340">
        <v>37.97</v>
      </c>
    </row>
    <row r="341" spans="1:21" x14ac:dyDescent="0.2">
      <c r="A341" t="s">
        <v>58</v>
      </c>
      <c r="B341" t="s">
        <v>72</v>
      </c>
      <c r="C341" t="s">
        <v>8</v>
      </c>
      <c r="D341" t="s">
        <v>10</v>
      </c>
      <c r="E341">
        <v>775</v>
      </c>
      <c r="F341">
        <v>657</v>
      </c>
      <c r="G341">
        <v>549</v>
      </c>
      <c r="H341">
        <v>707</v>
      </c>
      <c r="I341">
        <v>714</v>
      </c>
      <c r="J341">
        <v>761</v>
      </c>
      <c r="K341">
        <v>1038</v>
      </c>
      <c r="L341">
        <v>1073</v>
      </c>
      <c r="M341">
        <v>1150</v>
      </c>
      <c r="N341">
        <v>1112</v>
      </c>
      <c r="O341">
        <v>1240</v>
      </c>
      <c r="P341">
        <v>1284</v>
      </c>
      <c r="Q341">
        <v>1256</v>
      </c>
      <c r="R341">
        <v>1293</v>
      </c>
      <c r="S341">
        <v>1340</v>
      </c>
      <c r="T341">
        <v>1391</v>
      </c>
      <c r="U341">
        <v>1414.2049999999999</v>
      </c>
    </row>
    <row r="342" spans="1:21" x14ac:dyDescent="0.2">
      <c r="A342" t="s">
        <v>59</v>
      </c>
      <c r="B342" t="s">
        <v>72</v>
      </c>
      <c r="C342" t="s">
        <v>8</v>
      </c>
      <c r="D342" t="s">
        <v>10</v>
      </c>
      <c r="E342">
        <v>0</v>
      </c>
      <c r="F342">
        <v>0</v>
      </c>
      <c r="G342">
        <v>318</v>
      </c>
      <c r="H342">
        <v>297</v>
      </c>
      <c r="I342">
        <v>190</v>
      </c>
      <c r="J342">
        <v>214</v>
      </c>
      <c r="K342">
        <v>206</v>
      </c>
      <c r="L342">
        <v>310</v>
      </c>
      <c r="M342">
        <v>160</v>
      </c>
      <c r="N342">
        <v>326</v>
      </c>
      <c r="O342">
        <v>317</v>
      </c>
      <c r="P342">
        <v>310</v>
      </c>
      <c r="Q342">
        <v>306</v>
      </c>
      <c r="R342">
        <v>318</v>
      </c>
      <c r="S342">
        <v>321</v>
      </c>
      <c r="T342">
        <v>339.87</v>
      </c>
      <c r="U342">
        <v>339.1</v>
      </c>
    </row>
    <row r="343" spans="1:21" x14ac:dyDescent="0.2">
      <c r="A343" t="s">
        <v>29</v>
      </c>
      <c r="B343" t="s">
        <v>73</v>
      </c>
      <c r="C343" t="s">
        <v>8</v>
      </c>
      <c r="D343" t="s">
        <v>10</v>
      </c>
      <c r="E343">
        <v>1918</v>
      </c>
      <c r="F343">
        <v>1962</v>
      </c>
      <c r="G343">
        <v>2000</v>
      </c>
      <c r="H343">
        <v>1231</v>
      </c>
      <c r="I343">
        <v>1714</v>
      </c>
      <c r="J343">
        <v>1686</v>
      </c>
      <c r="K343">
        <v>1537</v>
      </c>
      <c r="L343">
        <v>1251</v>
      </c>
      <c r="M343">
        <v>1253</v>
      </c>
      <c r="N343">
        <v>1057</v>
      </c>
      <c r="O343">
        <v>1064</v>
      </c>
      <c r="P343">
        <v>1137</v>
      </c>
      <c r="Q343">
        <v>1120.8</v>
      </c>
      <c r="R343">
        <v>1160.0999999999999</v>
      </c>
      <c r="S343">
        <v>1116.5</v>
      </c>
      <c r="T343">
        <v>1070.3</v>
      </c>
      <c r="U343">
        <v>1094.4000000000001</v>
      </c>
    </row>
    <row r="344" spans="1:21" x14ac:dyDescent="0.2">
      <c r="A344" t="s">
        <v>30</v>
      </c>
      <c r="B344" t="s">
        <v>73</v>
      </c>
      <c r="C344" t="s">
        <v>8</v>
      </c>
      <c r="D344" t="s">
        <v>10</v>
      </c>
      <c r="E344">
        <v>444</v>
      </c>
      <c r="F344">
        <v>509</v>
      </c>
      <c r="G344">
        <v>553</v>
      </c>
      <c r="H344">
        <v>562</v>
      </c>
      <c r="I344">
        <v>597</v>
      </c>
      <c r="J344">
        <v>621</v>
      </c>
      <c r="K344">
        <v>540</v>
      </c>
      <c r="L344">
        <v>492</v>
      </c>
      <c r="M344">
        <v>386</v>
      </c>
      <c r="N344">
        <v>395</v>
      </c>
      <c r="O344">
        <v>379</v>
      </c>
      <c r="P344">
        <v>384</v>
      </c>
      <c r="Q344">
        <v>367</v>
      </c>
      <c r="R344">
        <v>380</v>
      </c>
      <c r="S344">
        <v>372</v>
      </c>
      <c r="T344">
        <v>365.774</v>
      </c>
      <c r="U344">
        <v>363.24900000000002</v>
      </c>
    </row>
    <row r="345" spans="1:21" x14ac:dyDescent="0.2">
      <c r="A345" t="s">
        <v>31</v>
      </c>
      <c r="B345" t="s">
        <v>73</v>
      </c>
      <c r="C345" t="s">
        <v>8</v>
      </c>
      <c r="D345" t="s">
        <v>10</v>
      </c>
      <c r="E345">
        <v>1292</v>
      </c>
      <c r="F345">
        <v>1134</v>
      </c>
      <c r="G345">
        <v>1123</v>
      </c>
      <c r="H345">
        <v>1155</v>
      </c>
      <c r="I345">
        <v>1005</v>
      </c>
      <c r="J345">
        <v>966</v>
      </c>
      <c r="K345">
        <v>897</v>
      </c>
      <c r="L345">
        <v>704</v>
      </c>
      <c r="M345">
        <v>723</v>
      </c>
      <c r="N345">
        <v>752</v>
      </c>
      <c r="O345">
        <v>728</v>
      </c>
      <c r="P345">
        <v>721</v>
      </c>
      <c r="Q345">
        <v>728</v>
      </c>
      <c r="R345">
        <v>714</v>
      </c>
      <c r="S345">
        <v>713</v>
      </c>
      <c r="T345">
        <v>736.52200000000005</v>
      </c>
      <c r="U345">
        <v>757.11500000000001</v>
      </c>
    </row>
    <row r="346" spans="1:21" x14ac:dyDescent="0.2">
      <c r="A346" t="s">
        <v>32</v>
      </c>
      <c r="B346" t="s">
        <v>73</v>
      </c>
      <c r="C346" t="s">
        <v>8</v>
      </c>
      <c r="D346" t="s">
        <v>10</v>
      </c>
      <c r="E346">
        <v>213</v>
      </c>
      <c r="F346">
        <v>212</v>
      </c>
      <c r="G346">
        <v>221</v>
      </c>
      <c r="H346">
        <v>183</v>
      </c>
      <c r="I346">
        <v>174</v>
      </c>
      <c r="J346">
        <v>171</v>
      </c>
      <c r="K346">
        <v>169</v>
      </c>
      <c r="L346">
        <v>157</v>
      </c>
      <c r="M346">
        <v>157</v>
      </c>
      <c r="N346">
        <v>155</v>
      </c>
      <c r="O346">
        <v>120</v>
      </c>
      <c r="P346">
        <v>128</v>
      </c>
      <c r="Q346">
        <v>118</v>
      </c>
      <c r="R346">
        <v>117.098</v>
      </c>
      <c r="S346">
        <v>109.986</v>
      </c>
      <c r="T346">
        <v>111.67400000000001</v>
      </c>
      <c r="U346">
        <v>111.565</v>
      </c>
    </row>
    <row r="347" spans="1:21" x14ac:dyDescent="0.2">
      <c r="A347" t="s">
        <v>33</v>
      </c>
      <c r="B347" t="s">
        <v>73</v>
      </c>
      <c r="C347" t="s">
        <v>8</v>
      </c>
      <c r="D347" t="s">
        <v>10</v>
      </c>
      <c r="E347">
        <v>4373</v>
      </c>
      <c r="F347">
        <v>3381</v>
      </c>
      <c r="G347">
        <v>3230</v>
      </c>
      <c r="H347">
        <v>3359</v>
      </c>
      <c r="I347">
        <v>2982</v>
      </c>
      <c r="J347">
        <v>3196</v>
      </c>
      <c r="K347">
        <v>2668</v>
      </c>
      <c r="L347">
        <v>2313</v>
      </c>
      <c r="M347">
        <v>2482</v>
      </c>
      <c r="N347">
        <v>2521</v>
      </c>
      <c r="O347">
        <v>2382</v>
      </c>
      <c r="P347">
        <v>2243</v>
      </c>
      <c r="Q347">
        <v>2193</v>
      </c>
      <c r="R347">
        <v>2259</v>
      </c>
      <c r="S347">
        <v>2191</v>
      </c>
      <c r="T347">
        <v>2178</v>
      </c>
      <c r="U347">
        <v>2132</v>
      </c>
    </row>
    <row r="348" spans="1:21" x14ac:dyDescent="0.2">
      <c r="A348" t="s">
        <v>34</v>
      </c>
      <c r="B348" t="s">
        <v>73</v>
      </c>
      <c r="C348" t="s">
        <v>8</v>
      </c>
      <c r="D348" t="s">
        <v>10</v>
      </c>
      <c r="E348">
        <v>242</v>
      </c>
      <c r="F348">
        <v>255</v>
      </c>
      <c r="G348">
        <v>261</v>
      </c>
      <c r="H348">
        <v>195</v>
      </c>
      <c r="I348">
        <v>195</v>
      </c>
      <c r="J348">
        <v>150</v>
      </c>
      <c r="K348">
        <v>133</v>
      </c>
      <c r="L348">
        <v>116</v>
      </c>
      <c r="M348">
        <v>123</v>
      </c>
      <c r="N348">
        <v>124</v>
      </c>
      <c r="O348">
        <v>118</v>
      </c>
      <c r="P348">
        <v>111</v>
      </c>
      <c r="Q348">
        <v>115</v>
      </c>
      <c r="R348">
        <v>98</v>
      </c>
      <c r="S348">
        <v>74</v>
      </c>
      <c r="T348">
        <v>58</v>
      </c>
      <c r="U348">
        <v>61</v>
      </c>
    </row>
    <row r="349" spans="1:21" x14ac:dyDescent="0.2">
      <c r="A349" t="s">
        <v>35</v>
      </c>
      <c r="B349" t="s">
        <v>73</v>
      </c>
      <c r="C349" t="s">
        <v>8</v>
      </c>
      <c r="D349" t="s">
        <v>10</v>
      </c>
      <c r="E349">
        <v>183.392</v>
      </c>
      <c r="F349">
        <v>170.76400000000001</v>
      </c>
      <c r="G349">
        <v>161.61000000000001</v>
      </c>
      <c r="H349">
        <v>180.10599999999999</v>
      </c>
      <c r="I349">
        <v>95.626000000000005</v>
      </c>
      <c r="J349">
        <v>85.045000000000002</v>
      </c>
      <c r="K349">
        <v>73.105999999999995</v>
      </c>
      <c r="L349">
        <v>79.968999999999994</v>
      </c>
      <c r="M349">
        <v>116.122</v>
      </c>
      <c r="N349">
        <v>121.22799999999999</v>
      </c>
      <c r="O349">
        <v>116.679</v>
      </c>
      <c r="P349">
        <v>118.488</v>
      </c>
      <c r="Q349">
        <v>119.90300000000001</v>
      </c>
      <c r="R349">
        <v>125.592</v>
      </c>
      <c r="S349">
        <v>129.679</v>
      </c>
      <c r="T349">
        <v>131.12100000000001</v>
      </c>
      <c r="U349">
        <v>139.542</v>
      </c>
    </row>
    <row r="350" spans="1:21" x14ac:dyDescent="0.2">
      <c r="A350" t="s">
        <v>36</v>
      </c>
      <c r="B350" t="s">
        <v>73</v>
      </c>
      <c r="C350" t="s">
        <v>8</v>
      </c>
      <c r="D350" t="s">
        <v>10</v>
      </c>
      <c r="E350">
        <v>965</v>
      </c>
      <c r="F350">
        <v>1013</v>
      </c>
      <c r="G350">
        <v>941</v>
      </c>
      <c r="H350">
        <v>759</v>
      </c>
      <c r="I350">
        <v>739</v>
      </c>
      <c r="J350">
        <v>826</v>
      </c>
      <c r="K350">
        <v>842</v>
      </c>
      <c r="L350">
        <v>612</v>
      </c>
      <c r="M350">
        <v>613</v>
      </c>
      <c r="N350">
        <v>545</v>
      </c>
      <c r="O350">
        <v>320</v>
      </c>
      <c r="P350">
        <v>298</v>
      </c>
      <c r="Q350">
        <v>197</v>
      </c>
      <c r="R350">
        <v>203</v>
      </c>
      <c r="S350">
        <v>313</v>
      </c>
      <c r="T350">
        <v>229.91499999999999</v>
      </c>
      <c r="U350">
        <v>869.99</v>
      </c>
    </row>
    <row r="351" spans="1:21" x14ac:dyDescent="0.2">
      <c r="A351" t="s">
        <v>37</v>
      </c>
      <c r="B351" t="s">
        <v>73</v>
      </c>
      <c r="C351" t="s">
        <v>8</v>
      </c>
      <c r="D351" t="s">
        <v>10</v>
      </c>
      <c r="E351">
        <v>4589</v>
      </c>
      <c r="F351">
        <v>4526</v>
      </c>
      <c r="G351">
        <v>4429</v>
      </c>
      <c r="H351">
        <v>4290</v>
      </c>
      <c r="I351">
        <v>2947</v>
      </c>
      <c r="J351">
        <v>2971</v>
      </c>
      <c r="K351">
        <v>2501</v>
      </c>
      <c r="L351">
        <v>2052</v>
      </c>
      <c r="M351">
        <v>2162</v>
      </c>
      <c r="N351">
        <v>2020</v>
      </c>
      <c r="O351">
        <v>1993</v>
      </c>
      <c r="P351">
        <v>1853</v>
      </c>
      <c r="Q351">
        <v>1671</v>
      </c>
      <c r="R351">
        <v>1738</v>
      </c>
      <c r="S351">
        <v>1662</v>
      </c>
      <c r="T351">
        <v>1673</v>
      </c>
      <c r="U351">
        <v>1533</v>
      </c>
    </row>
    <row r="352" spans="1:21" x14ac:dyDescent="0.2">
      <c r="A352" t="s">
        <v>38</v>
      </c>
      <c r="B352" t="s">
        <v>73</v>
      </c>
      <c r="C352" t="s">
        <v>8</v>
      </c>
      <c r="D352" t="s">
        <v>10</v>
      </c>
      <c r="E352">
        <v>3151</v>
      </c>
      <c r="F352">
        <v>2942</v>
      </c>
      <c r="G352">
        <v>2825</v>
      </c>
      <c r="H352">
        <v>2567</v>
      </c>
      <c r="I352">
        <v>2398</v>
      </c>
      <c r="J352">
        <v>2271</v>
      </c>
      <c r="K352">
        <v>2069</v>
      </c>
      <c r="L352">
        <v>1714</v>
      </c>
      <c r="M352">
        <v>1758</v>
      </c>
      <c r="N352">
        <v>1795.1489999999999</v>
      </c>
      <c r="O352">
        <v>1782.479</v>
      </c>
      <c r="P352">
        <v>1718.201</v>
      </c>
      <c r="Q352">
        <v>1686.306</v>
      </c>
      <c r="R352">
        <v>1606.597</v>
      </c>
      <c r="S352">
        <v>1641.08</v>
      </c>
      <c r="T352">
        <v>1628.42</v>
      </c>
      <c r="U352">
        <v>1625.527</v>
      </c>
    </row>
    <row r="353" spans="1:21" x14ac:dyDescent="0.2">
      <c r="A353" t="s">
        <v>39</v>
      </c>
      <c r="B353" t="s">
        <v>73</v>
      </c>
      <c r="C353" t="s">
        <v>8</v>
      </c>
      <c r="D353" t="s">
        <v>10</v>
      </c>
      <c r="E353">
        <v>159</v>
      </c>
      <c r="F353">
        <v>144</v>
      </c>
      <c r="G353">
        <v>173</v>
      </c>
      <c r="H353">
        <v>170</v>
      </c>
      <c r="I353">
        <v>170</v>
      </c>
      <c r="J353">
        <v>171</v>
      </c>
      <c r="K353">
        <v>162</v>
      </c>
      <c r="L353">
        <v>152</v>
      </c>
      <c r="M353">
        <v>147</v>
      </c>
      <c r="N353">
        <v>158</v>
      </c>
      <c r="O353">
        <v>155</v>
      </c>
      <c r="P353">
        <v>150</v>
      </c>
      <c r="Q353">
        <v>159</v>
      </c>
      <c r="R353">
        <v>166</v>
      </c>
      <c r="S353">
        <v>149</v>
      </c>
      <c r="T353">
        <v>153</v>
      </c>
      <c r="U353">
        <v>148</v>
      </c>
    </row>
    <row r="354" spans="1:21" x14ac:dyDescent="0.2">
      <c r="A354" t="s">
        <v>40</v>
      </c>
      <c r="B354" t="s">
        <v>73</v>
      </c>
      <c r="C354" t="s">
        <v>8</v>
      </c>
      <c r="D354" t="s">
        <v>10</v>
      </c>
      <c r="E354">
        <v>11058</v>
      </c>
      <c r="F354">
        <v>10537</v>
      </c>
      <c r="G354">
        <v>9788</v>
      </c>
      <c r="H354">
        <v>9119</v>
      </c>
      <c r="I354">
        <v>8936</v>
      </c>
      <c r="J354">
        <v>8410</v>
      </c>
      <c r="K354">
        <v>7568</v>
      </c>
      <c r="L354">
        <v>6197</v>
      </c>
      <c r="M354">
        <v>6334</v>
      </c>
      <c r="N354">
        <v>6064</v>
      </c>
      <c r="O354">
        <v>5523</v>
      </c>
      <c r="P354">
        <v>5343</v>
      </c>
      <c r="Q354">
        <v>5237</v>
      </c>
      <c r="R354">
        <v>5232</v>
      </c>
      <c r="S354">
        <v>5153</v>
      </c>
      <c r="T354">
        <v>5164.2939999999999</v>
      </c>
      <c r="U354">
        <v>5119.7640000000001</v>
      </c>
    </row>
    <row r="355" spans="1:21" x14ac:dyDescent="0.2">
      <c r="A355" t="s">
        <v>41</v>
      </c>
      <c r="B355" t="s">
        <v>73</v>
      </c>
      <c r="C355" t="s">
        <v>8</v>
      </c>
      <c r="D355" t="s">
        <v>10</v>
      </c>
      <c r="E355">
        <v>13</v>
      </c>
      <c r="F355">
        <v>13</v>
      </c>
      <c r="G355">
        <v>11</v>
      </c>
      <c r="H355">
        <v>11</v>
      </c>
      <c r="I355">
        <v>10</v>
      </c>
      <c r="J355">
        <v>9</v>
      </c>
      <c r="K355">
        <v>9</v>
      </c>
      <c r="L355">
        <v>9</v>
      </c>
      <c r="M355">
        <v>8</v>
      </c>
      <c r="N355">
        <v>7</v>
      </c>
      <c r="O355">
        <v>6</v>
      </c>
      <c r="P355">
        <v>6</v>
      </c>
      <c r="Q355">
        <v>5</v>
      </c>
      <c r="R355">
        <v>5</v>
      </c>
      <c r="S355">
        <v>5</v>
      </c>
      <c r="T355">
        <v>4.8769999999999998</v>
      </c>
      <c r="U355">
        <v>4.9660000000000002</v>
      </c>
    </row>
    <row r="356" spans="1:21" x14ac:dyDescent="0.2">
      <c r="A356" t="s">
        <v>42</v>
      </c>
      <c r="B356" t="s">
        <v>73</v>
      </c>
      <c r="C356" t="s">
        <v>8</v>
      </c>
      <c r="D356" t="s">
        <v>10</v>
      </c>
      <c r="E356">
        <v>213</v>
      </c>
      <c r="F356">
        <v>212</v>
      </c>
      <c r="G356">
        <v>190</v>
      </c>
      <c r="H356">
        <v>114</v>
      </c>
      <c r="I356">
        <v>99</v>
      </c>
      <c r="J356">
        <v>103</v>
      </c>
      <c r="K356">
        <v>70</v>
      </c>
      <c r="L356">
        <v>51</v>
      </c>
      <c r="M356">
        <v>40</v>
      </c>
      <c r="N356">
        <v>42</v>
      </c>
      <c r="O356">
        <v>36</v>
      </c>
      <c r="P356">
        <v>41</v>
      </c>
      <c r="Q356">
        <v>33</v>
      </c>
      <c r="R356">
        <v>29</v>
      </c>
      <c r="S356">
        <v>30</v>
      </c>
      <c r="T356">
        <v>30.099</v>
      </c>
      <c r="U356">
        <v>29.384</v>
      </c>
    </row>
    <row r="357" spans="1:21" x14ac:dyDescent="0.2">
      <c r="A357" t="s">
        <v>43</v>
      </c>
      <c r="B357" t="s">
        <v>73</v>
      </c>
      <c r="C357" t="s">
        <v>8</v>
      </c>
      <c r="D357" t="s">
        <v>10</v>
      </c>
      <c r="E357">
        <v>321</v>
      </c>
      <c r="F357">
        <v>315</v>
      </c>
      <c r="G357">
        <v>292</v>
      </c>
      <c r="H357">
        <v>252</v>
      </c>
      <c r="I357">
        <v>266</v>
      </c>
      <c r="J357">
        <v>248</v>
      </c>
      <c r="K357">
        <v>158</v>
      </c>
      <c r="L357">
        <v>204</v>
      </c>
      <c r="M357">
        <v>160</v>
      </c>
      <c r="N357">
        <v>147</v>
      </c>
      <c r="O357">
        <v>155</v>
      </c>
      <c r="P357">
        <v>150</v>
      </c>
      <c r="Q357">
        <v>145</v>
      </c>
      <c r="R357">
        <v>158</v>
      </c>
      <c r="S357">
        <v>168</v>
      </c>
      <c r="T357">
        <v>163.19999999999999</v>
      </c>
      <c r="U357">
        <v>158.9</v>
      </c>
    </row>
    <row r="358" spans="1:21" x14ac:dyDescent="0.2">
      <c r="A358" t="s">
        <v>44</v>
      </c>
      <c r="B358" t="s">
        <v>73</v>
      </c>
      <c r="C358" t="s">
        <v>8</v>
      </c>
      <c r="D358" t="s">
        <v>10</v>
      </c>
      <c r="E358">
        <v>186.584</v>
      </c>
      <c r="F358">
        <v>158.191</v>
      </c>
      <c r="G358">
        <v>153.64599999999999</v>
      </c>
      <c r="H358">
        <v>155.96799999999999</v>
      </c>
      <c r="I358">
        <v>129.13300000000001</v>
      </c>
      <c r="J358">
        <v>119.732</v>
      </c>
      <c r="K358">
        <v>133.37100000000001</v>
      </c>
      <c r="L358">
        <v>116.956</v>
      </c>
      <c r="M358">
        <v>141.30099999999999</v>
      </c>
      <c r="N358">
        <v>128.053</v>
      </c>
      <c r="O358">
        <v>108.575</v>
      </c>
      <c r="P358">
        <v>105.679</v>
      </c>
      <c r="Q358">
        <v>86.183000000000007</v>
      </c>
      <c r="R358">
        <v>100.982</v>
      </c>
      <c r="S358">
        <v>100.804</v>
      </c>
      <c r="T358">
        <v>88.808000000000007</v>
      </c>
      <c r="U358">
        <v>94.454999999999998</v>
      </c>
    </row>
    <row r="359" spans="1:21" x14ac:dyDescent="0.2">
      <c r="A359" t="s">
        <v>45</v>
      </c>
      <c r="B359" t="s">
        <v>73</v>
      </c>
      <c r="C359" t="s">
        <v>8</v>
      </c>
      <c r="D359" t="s">
        <v>10</v>
      </c>
      <c r="E359">
        <v>249</v>
      </c>
      <c r="F359">
        <v>215</v>
      </c>
      <c r="G359">
        <v>212</v>
      </c>
      <c r="H359">
        <v>186</v>
      </c>
      <c r="I359">
        <v>145</v>
      </c>
      <c r="J359">
        <v>135</v>
      </c>
      <c r="K359">
        <v>119</v>
      </c>
      <c r="L359">
        <v>95</v>
      </c>
      <c r="M359">
        <v>133</v>
      </c>
      <c r="N359">
        <v>134</v>
      </c>
      <c r="O359">
        <v>240</v>
      </c>
      <c r="P359">
        <v>194</v>
      </c>
      <c r="Q359">
        <v>196</v>
      </c>
      <c r="R359">
        <v>219</v>
      </c>
      <c r="S359">
        <v>239</v>
      </c>
      <c r="T359">
        <v>226</v>
      </c>
      <c r="U359">
        <v>244</v>
      </c>
    </row>
    <row r="360" spans="1:21" x14ac:dyDescent="0.2">
      <c r="A360" t="s">
        <v>46</v>
      </c>
      <c r="B360" t="s">
        <v>73</v>
      </c>
      <c r="C360" t="s">
        <v>8</v>
      </c>
      <c r="D360" t="s">
        <v>10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47</v>
      </c>
      <c r="N360">
        <v>47</v>
      </c>
      <c r="O360">
        <v>46</v>
      </c>
      <c r="P360">
        <v>39</v>
      </c>
      <c r="Q360">
        <v>30</v>
      </c>
      <c r="R360">
        <v>33</v>
      </c>
      <c r="S360">
        <v>28</v>
      </c>
      <c r="T360">
        <v>31.22</v>
      </c>
      <c r="U360">
        <v>32.131</v>
      </c>
    </row>
    <row r="361" spans="1:21" x14ac:dyDescent="0.2">
      <c r="A361" t="s">
        <v>47</v>
      </c>
      <c r="B361" t="s">
        <v>73</v>
      </c>
      <c r="C361" t="s">
        <v>8</v>
      </c>
      <c r="D361" t="s">
        <v>10</v>
      </c>
      <c r="E361">
        <v>574</v>
      </c>
      <c r="F361">
        <v>548</v>
      </c>
      <c r="G361">
        <v>499</v>
      </c>
      <c r="H361">
        <v>407</v>
      </c>
      <c r="I361">
        <v>395</v>
      </c>
      <c r="J361">
        <v>388</v>
      </c>
      <c r="K361">
        <v>357</v>
      </c>
      <c r="L361">
        <v>320</v>
      </c>
      <c r="M361">
        <v>385</v>
      </c>
      <c r="N361">
        <v>363</v>
      </c>
      <c r="O361">
        <v>350</v>
      </c>
      <c r="P361">
        <v>377</v>
      </c>
      <c r="Q361">
        <v>338</v>
      </c>
      <c r="R361">
        <v>362.46699999999998</v>
      </c>
      <c r="S361">
        <v>355.26</v>
      </c>
      <c r="T361">
        <v>370.202</v>
      </c>
      <c r="U361">
        <v>402.57400000000001</v>
      </c>
    </row>
    <row r="362" spans="1:21" x14ac:dyDescent="0.2">
      <c r="A362" t="s">
        <v>48</v>
      </c>
      <c r="B362" t="s">
        <v>73</v>
      </c>
      <c r="C362" t="s">
        <v>8</v>
      </c>
      <c r="D362" t="s">
        <v>10</v>
      </c>
      <c r="E362">
        <v>599</v>
      </c>
      <c r="F362">
        <v>626</v>
      </c>
      <c r="G362">
        <v>640</v>
      </c>
      <c r="H362">
        <v>610.58100000000002</v>
      </c>
      <c r="I362">
        <v>591.79100000000005</v>
      </c>
      <c r="J362">
        <v>567.97299999999996</v>
      </c>
      <c r="K362">
        <v>520.30600000000004</v>
      </c>
      <c r="L362">
        <v>442.23099999999999</v>
      </c>
      <c r="M362">
        <v>436.81299999999999</v>
      </c>
      <c r="N362">
        <v>448.67899999999997</v>
      </c>
      <c r="O362">
        <v>443.488</v>
      </c>
      <c r="P362">
        <v>508.089</v>
      </c>
      <c r="Q362">
        <v>437.17899999999997</v>
      </c>
      <c r="R362">
        <v>401.262</v>
      </c>
      <c r="S362">
        <v>372.69799999999998</v>
      </c>
      <c r="T362">
        <v>347.94099999999997</v>
      </c>
      <c r="U362">
        <v>314.464</v>
      </c>
    </row>
    <row r="363" spans="1:21" x14ac:dyDescent="0.2">
      <c r="A363" t="s">
        <v>49</v>
      </c>
      <c r="B363" t="s">
        <v>73</v>
      </c>
      <c r="C363" t="s">
        <v>8</v>
      </c>
      <c r="D363" t="s">
        <v>10</v>
      </c>
      <c r="E363">
        <v>1161</v>
      </c>
      <c r="F363">
        <v>1137</v>
      </c>
      <c r="G363">
        <v>1178</v>
      </c>
      <c r="H363">
        <v>1026</v>
      </c>
      <c r="I363">
        <v>907</v>
      </c>
      <c r="J363">
        <v>918</v>
      </c>
      <c r="K363">
        <v>782</v>
      </c>
      <c r="L363">
        <v>573</v>
      </c>
      <c r="M363">
        <v>567</v>
      </c>
      <c r="N363">
        <v>512</v>
      </c>
      <c r="O363">
        <v>491</v>
      </c>
      <c r="P363">
        <v>534</v>
      </c>
      <c r="Q363">
        <v>540</v>
      </c>
      <c r="R363">
        <v>570</v>
      </c>
      <c r="S363">
        <v>609</v>
      </c>
      <c r="T363">
        <v>606.24400000000003</v>
      </c>
      <c r="U363">
        <v>824.81500000000005</v>
      </c>
    </row>
    <row r="364" spans="1:21" x14ac:dyDescent="0.2">
      <c r="A364" t="s">
        <v>50</v>
      </c>
      <c r="B364" t="s">
        <v>73</v>
      </c>
      <c r="C364" t="s">
        <v>8</v>
      </c>
      <c r="D364" t="s">
        <v>10</v>
      </c>
      <c r="E364">
        <v>2332</v>
      </c>
      <c r="F364">
        <v>2077</v>
      </c>
      <c r="G364">
        <v>1904</v>
      </c>
      <c r="H364">
        <v>1791</v>
      </c>
      <c r="I364">
        <v>1686</v>
      </c>
      <c r="J364">
        <v>1698</v>
      </c>
      <c r="K364">
        <v>1538</v>
      </c>
      <c r="L364">
        <v>1294</v>
      </c>
      <c r="M364">
        <v>1459</v>
      </c>
      <c r="N364">
        <v>1219</v>
      </c>
      <c r="O364">
        <v>1204</v>
      </c>
      <c r="P364">
        <v>1231</v>
      </c>
      <c r="Q364">
        <v>1333</v>
      </c>
      <c r="R364">
        <v>1331</v>
      </c>
      <c r="S364">
        <v>1244.1179999999999</v>
      </c>
      <c r="T364">
        <v>1269.06</v>
      </c>
      <c r="U364">
        <v>1279.829</v>
      </c>
    </row>
    <row r="365" spans="1:21" x14ac:dyDescent="0.2">
      <c r="A365" t="s">
        <v>51</v>
      </c>
      <c r="B365" t="s">
        <v>73</v>
      </c>
      <c r="C365" t="s">
        <v>8</v>
      </c>
      <c r="D365" t="s">
        <v>10</v>
      </c>
      <c r="E365">
        <v>1206</v>
      </c>
      <c r="F365">
        <v>990</v>
      </c>
      <c r="G365">
        <v>998</v>
      </c>
      <c r="H365">
        <v>605</v>
      </c>
      <c r="I365">
        <v>822</v>
      </c>
      <c r="J365">
        <v>849</v>
      </c>
      <c r="K365">
        <v>1133</v>
      </c>
      <c r="L365">
        <v>659</v>
      </c>
      <c r="M365">
        <v>813</v>
      </c>
      <c r="N365">
        <v>778</v>
      </c>
      <c r="O365">
        <v>730</v>
      </c>
      <c r="P365">
        <v>794</v>
      </c>
      <c r="Q365">
        <v>851</v>
      </c>
      <c r="R365">
        <v>745</v>
      </c>
      <c r="S365">
        <v>707</v>
      </c>
      <c r="T365">
        <v>680.71600000000001</v>
      </c>
      <c r="U365">
        <v>663.19799999999998</v>
      </c>
    </row>
    <row r="366" spans="1:21" x14ac:dyDescent="0.2">
      <c r="A366" t="s">
        <v>52</v>
      </c>
      <c r="B366" t="s">
        <v>73</v>
      </c>
      <c r="C366" t="s">
        <v>8</v>
      </c>
      <c r="D366" t="s">
        <v>10</v>
      </c>
      <c r="E366">
        <v>256</v>
      </c>
      <c r="F366">
        <v>273</v>
      </c>
      <c r="G366">
        <v>261</v>
      </c>
      <c r="H366">
        <v>250</v>
      </c>
      <c r="I366">
        <v>248</v>
      </c>
      <c r="J366">
        <v>245</v>
      </c>
      <c r="K366">
        <v>187</v>
      </c>
      <c r="L366">
        <v>147</v>
      </c>
      <c r="M366">
        <v>150</v>
      </c>
      <c r="N366">
        <v>126</v>
      </c>
      <c r="O366">
        <v>115</v>
      </c>
      <c r="P366">
        <v>121</v>
      </c>
      <c r="Q366">
        <v>106</v>
      </c>
      <c r="R366">
        <v>95</v>
      </c>
      <c r="S366">
        <v>102</v>
      </c>
      <c r="T366">
        <v>103.57299999999999</v>
      </c>
      <c r="U366">
        <v>96.914000000000001</v>
      </c>
    </row>
    <row r="367" spans="1:21" x14ac:dyDescent="0.2">
      <c r="A367" t="s">
        <v>53</v>
      </c>
      <c r="B367" t="s">
        <v>73</v>
      </c>
      <c r="C367" t="s">
        <v>8</v>
      </c>
      <c r="D367" t="s">
        <v>10</v>
      </c>
      <c r="E367">
        <v>189</v>
      </c>
      <c r="F367">
        <v>175</v>
      </c>
      <c r="G367">
        <v>197</v>
      </c>
      <c r="H367">
        <v>227</v>
      </c>
      <c r="I367">
        <v>185</v>
      </c>
      <c r="J367">
        <v>181</v>
      </c>
      <c r="K367">
        <v>154</v>
      </c>
      <c r="L367">
        <v>143</v>
      </c>
      <c r="M367">
        <v>134</v>
      </c>
      <c r="N367">
        <v>150</v>
      </c>
      <c r="O367">
        <v>125</v>
      </c>
      <c r="P367">
        <v>126</v>
      </c>
      <c r="Q367">
        <v>137</v>
      </c>
      <c r="R367">
        <v>130</v>
      </c>
      <c r="S367">
        <v>125</v>
      </c>
      <c r="T367">
        <v>128</v>
      </c>
      <c r="U367">
        <v>130</v>
      </c>
    </row>
    <row r="368" spans="1:21" x14ac:dyDescent="0.2">
      <c r="A368" t="s">
        <v>54</v>
      </c>
      <c r="B368" t="s">
        <v>73</v>
      </c>
      <c r="C368" t="s">
        <v>8</v>
      </c>
      <c r="D368" t="s">
        <v>10</v>
      </c>
      <c r="E368">
        <v>249</v>
      </c>
      <c r="F368">
        <v>229</v>
      </c>
      <c r="G368">
        <v>223</v>
      </c>
      <c r="H368">
        <v>209</v>
      </c>
      <c r="I368">
        <v>203</v>
      </c>
      <c r="J368">
        <v>182</v>
      </c>
      <c r="K368">
        <v>163</v>
      </c>
      <c r="L368">
        <v>178</v>
      </c>
      <c r="M368">
        <v>134</v>
      </c>
      <c r="N368">
        <v>137</v>
      </c>
      <c r="O368">
        <v>207</v>
      </c>
      <c r="P368">
        <v>162</v>
      </c>
      <c r="Q368">
        <v>119</v>
      </c>
      <c r="R368">
        <v>123</v>
      </c>
      <c r="S368">
        <v>124</v>
      </c>
      <c r="T368">
        <v>109</v>
      </c>
      <c r="U368">
        <v>114</v>
      </c>
    </row>
    <row r="369" spans="1:21" x14ac:dyDescent="0.2">
      <c r="A369" t="s">
        <v>55</v>
      </c>
      <c r="B369" t="s">
        <v>73</v>
      </c>
      <c r="C369" t="s">
        <v>8</v>
      </c>
      <c r="D369" t="s">
        <v>10</v>
      </c>
      <c r="E369">
        <v>368</v>
      </c>
      <c r="F369">
        <v>323</v>
      </c>
      <c r="G369">
        <v>329</v>
      </c>
      <c r="H369">
        <v>255</v>
      </c>
      <c r="I369">
        <v>242</v>
      </c>
      <c r="J369">
        <v>208</v>
      </c>
      <c r="K369">
        <v>270</v>
      </c>
      <c r="L369">
        <v>172</v>
      </c>
      <c r="M369">
        <v>189</v>
      </c>
      <c r="N369">
        <v>155</v>
      </c>
      <c r="O369">
        <v>145</v>
      </c>
      <c r="P369">
        <v>140</v>
      </c>
      <c r="Q369">
        <v>190</v>
      </c>
      <c r="R369">
        <v>198</v>
      </c>
      <c r="S369">
        <v>204</v>
      </c>
      <c r="T369">
        <v>203</v>
      </c>
      <c r="U369">
        <v>200</v>
      </c>
    </row>
    <row r="370" spans="1:21" x14ac:dyDescent="0.2">
      <c r="A370" t="s">
        <v>56</v>
      </c>
      <c r="B370" t="s">
        <v>73</v>
      </c>
      <c r="C370" t="s">
        <v>8</v>
      </c>
      <c r="D370" t="s">
        <v>10</v>
      </c>
      <c r="E370">
        <v>3463</v>
      </c>
      <c r="F370">
        <v>3403</v>
      </c>
      <c r="G370">
        <v>3333</v>
      </c>
      <c r="H370">
        <v>3393</v>
      </c>
      <c r="I370">
        <v>3360</v>
      </c>
      <c r="J370">
        <v>3349</v>
      </c>
      <c r="K370">
        <v>3395</v>
      </c>
      <c r="L370">
        <v>3013</v>
      </c>
      <c r="M370">
        <v>3050</v>
      </c>
      <c r="N370">
        <v>2992</v>
      </c>
      <c r="O370">
        <v>2910</v>
      </c>
      <c r="P370">
        <v>2894</v>
      </c>
      <c r="Q370">
        <v>2721</v>
      </c>
      <c r="R370">
        <v>2692.2719999999999</v>
      </c>
      <c r="S370">
        <v>2693.7579999999998</v>
      </c>
      <c r="T370">
        <v>2718.35</v>
      </c>
      <c r="U370">
        <v>2721.4169999999999</v>
      </c>
    </row>
    <row r="371" spans="1:21" x14ac:dyDescent="0.2">
      <c r="A371" t="s">
        <v>57</v>
      </c>
      <c r="B371" t="s">
        <v>73</v>
      </c>
      <c r="C371" t="s">
        <v>8</v>
      </c>
      <c r="D371" t="s">
        <v>10</v>
      </c>
      <c r="E371">
        <v>18</v>
      </c>
      <c r="F371">
        <v>16</v>
      </c>
      <c r="G371">
        <v>16</v>
      </c>
      <c r="H371">
        <v>13</v>
      </c>
      <c r="I371">
        <v>4</v>
      </c>
      <c r="J371">
        <v>3</v>
      </c>
      <c r="K371">
        <v>3</v>
      </c>
      <c r="L371">
        <v>3</v>
      </c>
      <c r="M371">
        <v>3</v>
      </c>
      <c r="N371">
        <v>3</v>
      </c>
      <c r="O371">
        <v>3</v>
      </c>
      <c r="P371">
        <v>3</v>
      </c>
      <c r="Q371">
        <v>2</v>
      </c>
      <c r="R371">
        <v>2</v>
      </c>
      <c r="S371">
        <v>3</v>
      </c>
      <c r="T371">
        <v>2.6320000000000001</v>
      </c>
      <c r="U371">
        <v>3.246</v>
      </c>
    </row>
    <row r="372" spans="1:21" x14ac:dyDescent="0.2">
      <c r="A372" t="s">
        <v>58</v>
      </c>
      <c r="B372" t="s">
        <v>73</v>
      </c>
      <c r="C372" t="s">
        <v>8</v>
      </c>
      <c r="D372" t="s">
        <v>10</v>
      </c>
      <c r="E372">
        <v>190</v>
      </c>
      <c r="F372">
        <v>189</v>
      </c>
      <c r="G372">
        <v>172</v>
      </c>
      <c r="H372">
        <v>172</v>
      </c>
      <c r="I372">
        <v>172</v>
      </c>
      <c r="J372">
        <v>158</v>
      </c>
      <c r="K372">
        <v>139</v>
      </c>
      <c r="L372">
        <v>89</v>
      </c>
      <c r="M372">
        <v>82</v>
      </c>
      <c r="N372">
        <v>88</v>
      </c>
      <c r="O372">
        <v>90</v>
      </c>
      <c r="P372">
        <v>82</v>
      </c>
      <c r="Q372">
        <v>78</v>
      </c>
      <c r="R372">
        <v>89</v>
      </c>
      <c r="S372">
        <v>73</v>
      </c>
      <c r="T372">
        <v>69</v>
      </c>
      <c r="U372">
        <v>73.125</v>
      </c>
    </row>
    <row r="373" spans="1:21" x14ac:dyDescent="0.2">
      <c r="A373" t="s">
        <v>59</v>
      </c>
      <c r="B373" t="s">
        <v>73</v>
      </c>
      <c r="C373" t="s">
        <v>8</v>
      </c>
      <c r="D373" t="s">
        <v>10</v>
      </c>
      <c r="E373">
        <v>0</v>
      </c>
      <c r="F373">
        <v>0</v>
      </c>
      <c r="G373">
        <v>181</v>
      </c>
      <c r="H373">
        <v>153</v>
      </c>
      <c r="I373">
        <v>135</v>
      </c>
      <c r="J373">
        <v>238</v>
      </c>
      <c r="K373">
        <v>195</v>
      </c>
      <c r="L373">
        <v>103</v>
      </c>
      <c r="M373">
        <v>117</v>
      </c>
      <c r="N373">
        <v>129</v>
      </c>
      <c r="O373">
        <v>140</v>
      </c>
      <c r="P373">
        <v>156</v>
      </c>
      <c r="Q373">
        <v>296</v>
      </c>
      <c r="R373">
        <v>272</v>
      </c>
      <c r="S373">
        <v>358</v>
      </c>
      <c r="T373">
        <v>375.69600000000003</v>
      </c>
      <c r="U373">
        <v>343.404</v>
      </c>
    </row>
    <row r="374" spans="1:21" x14ac:dyDescent="0.2">
      <c r="A374" t="s">
        <v>29</v>
      </c>
      <c r="B374" t="s">
        <v>74</v>
      </c>
      <c r="C374" t="s">
        <v>8</v>
      </c>
      <c r="D374" t="s">
        <v>10</v>
      </c>
      <c r="E374">
        <v>1842</v>
      </c>
      <c r="F374">
        <v>1933</v>
      </c>
      <c r="G374">
        <v>1807</v>
      </c>
      <c r="H374">
        <v>1801</v>
      </c>
      <c r="I374">
        <v>1543</v>
      </c>
      <c r="J374">
        <v>288</v>
      </c>
      <c r="K374">
        <v>843</v>
      </c>
      <c r="L374">
        <v>1766</v>
      </c>
      <c r="M374">
        <v>1026</v>
      </c>
      <c r="N374">
        <v>1709</v>
      </c>
      <c r="O374">
        <v>1581</v>
      </c>
      <c r="P374">
        <v>2059</v>
      </c>
      <c r="Q374">
        <v>2026.3</v>
      </c>
      <c r="R374">
        <v>2093.1</v>
      </c>
      <c r="S374">
        <v>2109.6999999999998</v>
      </c>
      <c r="T374">
        <v>1760.7</v>
      </c>
      <c r="U374">
        <v>1866.9</v>
      </c>
    </row>
    <row r="375" spans="1:21" x14ac:dyDescent="0.2">
      <c r="A375" t="s">
        <v>30</v>
      </c>
      <c r="B375" t="s">
        <v>74</v>
      </c>
      <c r="C375" t="s">
        <v>8</v>
      </c>
      <c r="D375" t="s">
        <v>10</v>
      </c>
      <c r="E375">
        <v>240</v>
      </c>
      <c r="F375">
        <v>359</v>
      </c>
      <c r="G375">
        <v>412</v>
      </c>
      <c r="H375">
        <v>406</v>
      </c>
      <c r="I375">
        <v>417</v>
      </c>
      <c r="J375">
        <v>423</v>
      </c>
      <c r="K375">
        <v>524</v>
      </c>
      <c r="L375">
        <v>431</v>
      </c>
      <c r="M375">
        <v>409</v>
      </c>
      <c r="N375">
        <v>477</v>
      </c>
      <c r="O375">
        <v>523</v>
      </c>
      <c r="P375">
        <v>512</v>
      </c>
      <c r="Q375">
        <v>555</v>
      </c>
      <c r="R375">
        <v>595</v>
      </c>
      <c r="S375">
        <v>609</v>
      </c>
      <c r="T375">
        <v>686.31299999999999</v>
      </c>
      <c r="U375">
        <v>715.28200000000004</v>
      </c>
    </row>
    <row r="376" spans="1:21" x14ac:dyDescent="0.2">
      <c r="A376" t="s">
        <v>31</v>
      </c>
      <c r="B376" t="s">
        <v>74</v>
      </c>
      <c r="C376" t="s">
        <v>8</v>
      </c>
      <c r="D376" t="s">
        <v>10</v>
      </c>
      <c r="E376">
        <v>1944</v>
      </c>
      <c r="F376">
        <v>2014</v>
      </c>
      <c r="G376">
        <v>2079</v>
      </c>
      <c r="H376">
        <v>2206</v>
      </c>
      <c r="I376">
        <v>2453</v>
      </c>
      <c r="J376">
        <v>2658</v>
      </c>
      <c r="K376">
        <v>2467</v>
      </c>
      <c r="L376">
        <v>2432</v>
      </c>
      <c r="M376">
        <v>1918</v>
      </c>
      <c r="N376">
        <v>1911</v>
      </c>
      <c r="O376">
        <v>1998</v>
      </c>
      <c r="P376">
        <v>1918</v>
      </c>
      <c r="Q376">
        <v>1972</v>
      </c>
      <c r="R376">
        <v>2031</v>
      </c>
      <c r="S376">
        <v>2217</v>
      </c>
      <c r="T376">
        <v>2297.6320000000001</v>
      </c>
      <c r="U376">
        <v>2371.5520000000001</v>
      </c>
    </row>
    <row r="377" spans="1:21" x14ac:dyDescent="0.2">
      <c r="A377" t="s">
        <v>32</v>
      </c>
      <c r="B377" t="s">
        <v>74</v>
      </c>
      <c r="C377" t="s">
        <v>8</v>
      </c>
      <c r="D377" t="s">
        <v>10</v>
      </c>
      <c r="E377">
        <v>1225</v>
      </c>
      <c r="F377">
        <v>1339</v>
      </c>
      <c r="G377">
        <v>1392</v>
      </c>
      <c r="H377">
        <v>1431</v>
      </c>
      <c r="I377">
        <v>1353</v>
      </c>
      <c r="J377">
        <v>1216</v>
      </c>
      <c r="K377">
        <v>1111</v>
      </c>
      <c r="L377">
        <v>939</v>
      </c>
      <c r="M377">
        <v>956</v>
      </c>
      <c r="N377">
        <v>946</v>
      </c>
      <c r="O377">
        <v>853</v>
      </c>
      <c r="P377">
        <v>835</v>
      </c>
      <c r="Q377">
        <v>810</v>
      </c>
      <c r="R377">
        <v>835.81299999999999</v>
      </c>
      <c r="S377">
        <v>825.5</v>
      </c>
      <c r="T377">
        <v>838.16499999999996</v>
      </c>
      <c r="U377">
        <v>837.351</v>
      </c>
    </row>
    <row r="378" spans="1:21" x14ac:dyDescent="0.2">
      <c r="A378" t="s">
        <v>33</v>
      </c>
      <c r="B378" t="s">
        <v>74</v>
      </c>
      <c r="C378" t="s">
        <v>8</v>
      </c>
      <c r="D378" t="s">
        <v>10</v>
      </c>
      <c r="E378">
        <v>32199</v>
      </c>
      <c r="F378">
        <v>21730</v>
      </c>
      <c r="G378">
        <v>23036</v>
      </c>
      <c r="H378">
        <v>22295</v>
      </c>
      <c r="I378">
        <v>23985</v>
      </c>
      <c r="J378">
        <v>26827</v>
      </c>
      <c r="K378">
        <v>17750</v>
      </c>
      <c r="L378">
        <v>16315</v>
      </c>
      <c r="M378">
        <v>17501</v>
      </c>
      <c r="N378">
        <v>17719</v>
      </c>
      <c r="O378">
        <v>17578</v>
      </c>
      <c r="P378">
        <v>17313</v>
      </c>
      <c r="Q378">
        <v>17342</v>
      </c>
      <c r="R378">
        <v>17241</v>
      </c>
      <c r="S378">
        <v>17624</v>
      </c>
      <c r="T378">
        <v>17653</v>
      </c>
      <c r="U378">
        <v>17515</v>
      </c>
    </row>
    <row r="379" spans="1:21" x14ac:dyDescent="0.2">
      <c r="A379" t="s">
        <v>34</v>
      </c>
      <c r="B379" t="s">
        <v>74</v>
      </c>
      <c r="C379" t="s">
        <v>8</v>
      </c>
      <c r="D379" t="s">
        <v>10</v>
      </c>
      <c r="E379">
        <v>214</v>
      </c>
      <c r="F379">
        <v>215</v>
      </c>
      <c r="G379">
        <v>210</v>
      </c>
      <c r="H379">
        <v>224</v>
      </c>
      <c r="I379">
        <v>229</v>
      </c>
      <c r="J379">
        <v>240</v>
      </c>
      <c r="K379">
        <v>246</v>
      </c>
      <c r="L379">
        <v>167</v>
      </c>
      <c r="M379">
        <v>179</v>
      </c>
      <c r="N379">
        <v>195</v>
      </c>
      <c r="O379">
        <v>209</v>
      </c>
      <c r="P379">
        <v>177</v>
      </c>
      <c r="Q379">
        <v>181</v>
      </c>
      <c r="R379">
        <v>185</v>
      </c>
      <c r="S379">
        <v>200</v>
      </c>
      <c r="T379">
        <v>192</v>
      </c>
      <c r="U379">
        <v>179</v>
      </c>
    </row>
    <row r="380" spans="1:21" x14ac:dyDescent="0.2">
      <c r="A380" t="s">
        <v>35</v>
      </c>
      <c r="B380" t="s">
        <v>74</v>
      </c>
      <c r="C380" t="s">
        <v>8</v>
      </c>
      <c r="D380" t="s">
        <v>10</v>
      </c>
      <c r="E380">
        <v>540.62900000000002</v>
      </c>
      <c r="F380">
        <v>508.61700000000002</v>
      </c>
      <c r="G380">
        <v>477.43700000000001</v>
      </c>
      <c r="H380">
        <v>540.43799999999999</v>
      </c>
      <c r="I380">
        <v>740.81799999999998</v>
      </c>
      <c r="J380">
        <v>1004.086</v>
      </c>
      <c r="K380">
        <v>999.26700000000005</v>
      </c>
      <c r="L380">
        <v>1099.94</v>
      </c>
      <c r="M380">
        <v>1210.509</v>
      </c>
      <c r="N380">
        <v>1266.953</v>
      </c>
      <c r="O380">
        <v>1216.6690000000001</v>
      </c>
      <c r="P380">
        <v>1236.6690000000001</v>
      </c>
      <c r="Q380">
        <v>1252.31</v>
      </c>
      <c r="R380">
        <v>1315.184</v>
      </c>
      <c r="S380">
        <v>1360.357</v>
      </c>
      <c r="T380">
        <v>1376.3</v>
      </c>
      <c r="U380">
        <v>1469.383</v>
      </c>
    </row>
    <row r="381" spans="1:21" x14ac:dyDescent="0.2">
      <c r="A381" t="s">
        <v>36</v>
      </c>
      <c r="B381" t="s">
        <v>74</v>
      </c>
      <c r="C381" t="s">
        <v>8</v>
      </c>
      <c r="D381" t="s">
        <v>10</v>
      </c>
      <c r="E381">
        <v>1527</v>
      </c>
      <c r="F381">
        <v>1269</v>
      </c>
      <c r="G381">
        <v>767</v>
      </c>
      <c r="H381">
        <v>766</v>
      </c>
      <c r="I381">
        <v>818</v>
      </c>
      <c r="J381">
        <v>914</v>
      </c>
      <c r="K381">
        <v>1669</v>
      </c>
      <c r="L381">
        <v>2003</v>
      </c>
      <c r="M381">
        <v>1191</v>
      </c>
      <c r="N381">
        <v>2669</v>
      </c>
      <c r="O381">
        <v>799</v>
      </c>
      <c r="P381">
        <v>768</v>
      </c>
      <c r="Q381">
        <v>2230</v>
      </c>
      <c r="R381">
        <v>2567</v>
      </c>
      <c r="S381">
        <v>2780</v>
      </c>
      <c r="T381">
        <v>2448.87</v>
      </c>
      <c r="U381">
        <v>218.85</v>
      </c>
    </row>
    <row r="382" spans="1:21" x14ac:dyDescent="0.2">
      <c r="A382" t="s">
        <v>37</v>
      </c>
      <c r="B382" t="s">
        <v>74</v>
      </c>
      <c r="C382" t="s">
        <v>8</v>
      </c>
      <c r="D382" t="s">
        <v>10</v>
      </c>
      <c r="E382">
        <v>5202</v>
      </c>
      <c r="F382">
        <v>4591</v>
      </c>
      <c r="G382">
        <v>6999</v>
      </c>
      <c r="H382">
        <v>7506</v>
      </c>
      <c r="I382">
        <v>6388</v>
      </c>
      <c r="J382">
        <v>7499</v>
      </c>
      <c r="K382">
        <v>8044</v>
      </c>
      <c r="L382">
        <v>5715</v>
      </c>
      <c r="M382">
        <v>5521</v>
      </c>
      <c r="N382">
        <v>5592</v>
      </c>
      <c r="O382">
        <v>5517</v>
      </c>
      <c r="P382">
        <v>4212</v>
      </c>
      <c r="Q382">
        <v>3562</v>
      </c>
      <c r="R382">
        <v>6807</v>
      </c>
      <c r="S382">
        <v>6788</v>
      </c>
      <c r="T382">
        <v>7026</v>
      </c>
      <c r="U382">
        <v>6179</v>
      </c>
    </row>
    <row r="383" spans="1:21" x14ac:dyDescent="0.2">
      <c r="A383" t="s">
        <v>38</v>
      </c>
      <c r="B383" t="s">
        <v>74</v>
      </c>
      <c r="C383" t="s">
        <v>8</v>
      </c>
      <c r="D383" t="s">
        <v>10</v>
      </c>
      <c r="E383">
        <v>9748</v>
      </c>
      <c r="F383">
        <v>12714</v>
      </c>
      <c r="G383">
        <v>13683</v>
      </c>
      <c r="H383">
        <v>18689</v>
      </c>
      <c r="I383">
        <v>12163</v>
      </c>
      <c r="J383">
        <v>10942</v>
      </c>
      <c r="K383">
        <v>3471</v>
      </c>
      <c r="L383">
        <v>3116</v>
      </c>
      <c r="M383">
        <v>3393</v>
      </c>
      <c r="N383">
        <v>11279.714</v>
      </c>
      <c r="O383">
        <v>12373.695</v>
      </c>
      <c r="P383">
        <v>12330.442999999999</v>
      </c>
      <c r="Q383">
        <v>11707.764999999999</v>
      </c>
      <c r="R383">
        <v>11893.432000000001</v>
      </c>
      <c r="S383">
        <v>12265.981</v>
      </c>
      <c r="T383">
        <v>12275.835999999999</v>
      </c>
      <c r="U383">
        <v>11760.182000000001</v>
      </c>
    </row>
    <row r="384" spans="1:21" x14ac:dyDescent="0.2">
      <c r="A384" t="s">
        <v>39</v>
      </c>
      <c r="B384" t="s">
        <v>74</v>
      </c>
      <c r="C384" t="s">
        <v>8</v>
      </c>
      <c r="D384" t="s">
        <v>10</v>
      </c>
      <c r="E384">
        <v>127</v>
      </c>
      <c r="F384">
        <v>142</v>
      </c>
      <c r="G384">
        <v>162</v>
      </c>
      <c r="H384">
        <v>181</v>
      </c>
      <c r="I384">
        <v>211</v>
      </c>
      <c r="J384">
        <v>248</v>
      </c>
      <c r="K384">
        <v>246</v>
      </c>
      <c r="L384">
        <v>236</v>
      </c>
      <c r="M384">
        <v>224</v>
      </c>
      <c r="N384">
        <v>215</v>
      </c>
      <c r="O384">
        <v>233</v>
      </c>
      <c r="P384">
        <v>244</v>
      </c>
      <c r="Q384">
        <v>268</v>
      </c>
      <c r="R384">
        <v>289</v>
      </c>
      <c r="S384">
        <v>330</v>
      </c>
      <c r="T384">
        <v>334.9</v>
      </c>
      <c r="U384">
        <v>338.4</v>
      </c>
    </row>
    <row r="385" spans="1:21" x14ac:dyDescent="0.2">
      <c r="A385" t="s">
        <v>40</v>
      </c>
      <c r="B385" t="s">
        <v>74</v>
      </c>
      <c r="C385" t="s">
        <v>8</v>
      </c>
      <c r="D385" t="s">
        <v>10</v>
      </c>
      <c r="E385">
        <v>16390</v>
      </c>
      <c r="F385">
        <v>16950</v>
      </c>
      <c r="G385">
        <v>16965</v>
      </c>
      <c r="H385">
        <v>17045</v>
      </c>
      <c r="I385">
        <v>17648</v>
      </c>
      <c r="J385">
        <v>18446</v>
      </c>
      <c r="K385">
        <v>17627</v>
      </c>
      <c r="L385">
        <v>16084</v>
      </c>
      <c r="M385">
        <v>16658</v>
      </c>
      <c r="N385">
        <v>16628</v>
      </c>
      <c r="O385">
        <v>16245</v>
      </c>
      <c r="P385">
        <v>15523</v>
      </c>
      <c r="Q385">
        <v>15123</v>
      </c>
      <c r="R385">
        <v>15225</v>
      </c>
      <c r="S385">
        <v>15146</v>
      </c>
      <c r="T385">
        <v>15509.521000000001</v>
      </c>
      <c r="U385">
        <v>15383.273999999999</v>
      </c>
    </row>
    <row r="386" spans="1:21" x14ac:dyDescent="0.2">
      <c r="A386" t="s">
        <v>41</v>
      </c>
      <c r="B386" t="s">
        <v>74</v>
      </c>
      <c r="C386" t="s">
        <v>8</v>
      </c>
      <c r="D386" t="s">
        <v>10</v>
      </c>
      <c r="E386">
        <v>45</v>
      </c>
      <c r="F386">
        <v>47</v>
      </c>
      <c r="G386">
        <v>46</v>
      </c>
      <c r="H386">
        <v>45</v>
      </c>
      <c r="I386">
        <v>47</v>
      </c>
      <c r="J386">
        <v>48</v>
      </c>
      <c r="K386">
        <v>53</v>
      </c>
      <c r="L386">
        <v>52</v>
      </c>
      <c r="M386">
        <v>52</v>
      </c>
      <c r="N386">
        <v>45</v>
      </c>
      <c r="O386">
        <v>36</v>
      </c>
      <c r="P386">
        <v>32</v>
      </c>
      <c r="Q386">
        <v>33</v>
      </c>
      <c r="R386">
        <v>33</v>
      </c>
      <c r="S386">
        <v>35</v>
      </c>
      <c r="T386">
        <v>37.417999999999999</v>
      </c>
      <c r="U386">
        <v>39.155999999999999</v>
      </c>
    </row>
    <row r="387" spans="1:21" x14ac:dyDescent="0.2">
      <c r="A387" t="s">
        <v>42</v>
      </c>
      <c r="B387" t="s">
        <v>74</v>
      </c>
      <c r="C387" t="s">
        <v>8</v>
      </c>
      <c r="D387" t="s">
        <v>10</v>
      </c>
      <c r="E387">
        <v>91</v>
      </c>
      <c r="F387">
        <v>103</v>
      </c>
      <c r="G387">
        <v>110</v>
      </c>
      <c r="H387">
        <v>114</v>
      </c>
      <c r="I387">
        <v>125</v>
      </c>
      <c r="J387">
        <v>138</v>
      </c>
      <c r="K387">
        <v>70</v>
      </c>
      <c r="L387">
        <v>48</v>
      </c>
      <c r="M387">
        <v>64</v>
      </c>
      <c r="N387">
        <v>60</v>
      </c>
      <c r="O387">
        <v>60</v>
      </c>
      <c r="P387">
        <v>63</v>
      </c>
      <c r="Q387">
        <v>66</v>
      </c>
      <c r="R387">
        <v>68</v>
      </c>
      <c r="S387">
        <v>75</v>
      </c>
      <c r="T387">
        <v>78.194000000000003</v>
      </c>
      <c r="U387">
        <v>90.111000000000004</v>
      </c>
    </row>
    <row r="388" spans="1:21" x14ac:dyDescent="0.2">
      <c r="A388" t="s">
        <v>43</v>
      </c>
      <c r="B388" t="s">
        <v>74</v>
      </c>
      <c r="C388" t="s">
        <v>8</v>
      </c>
      <c r="D388" t="s">
        <v>10</v>
      </c>
      <c r="E388">
        <v>172</v>
      </c>
      <c r="F388">
        <v>206</v>
      </c>
      <c r="G388">
        <v>285</v>
      </c>
      <c r="H388">
        <v>317</v>
      </c>
      <c r="I388">
        <v>347</v>
      </c>
      <c r="J388">
        <v>366</v>
      </c>
      <c r="K388">
        <v>358</v>
      </c>
      <c r="L388">
        <v>291</v>
      </c>
      <c r="M388">
        <v>309</v>
      </c>
      <c r="N388">
        <v>363</v>
      </c>
      <c r="O388">
        <v>397</v>
      </c>
      <c r="P388">
        <v>448</v>
      </c>
      <c r="Q388">
        <v>490</v>
      </c>
      <c r="R388">
        <v>606</v>
      </c>
      <c r="S388">
        <v>594</v>
      </c>
      <c r="T388">
        <v>598.1</v>
      </c>
      <c r="U388">
        <v>686.8</v>
      </c>
    </row>
    <row r="389" spans="1:21" x14ac:dyDescent="0.2">
      <c r="A389" t="s">
        <v>44</v>
      </c>
      <c r="B389" t="s">
        <v>74</v>
      </c>
      <c r="C389" t="s">
        <v>8</v>
      </c>
      <c r="D389" t="s">
        <v>10</v>
      </c>
      <c r="E389">
        <v>51.607999999999997</v>
      </c>
      <c r="F389">
        <v>88.611000000000004</v>
      </c>
      <c r="G389">
        <v>76.450999999999993</v>
      </c>
      <c r="H389">
        <v>77.16</v>
      </c>
      <c r="I389">
        <v>70.364999999999995</v>
      </c>
      <c r="J389">
        <v>78.629000000000005</v>
      </c>
      <c r="K389">
        <v>95.603999999999999</v>
      </c>
      <c r="L389">
        <v>94.713999999999999</v>
      </c>
      <c r="M389">
        <v>115.428</v>
      </c>
      <c r="N389">
        <v>265.17200000000003</v>
      </c>
      <c r="O389">
        <v>264.64999999999998</v>
      </c>
      <c r="P389">
        <v>288.55500000000001</v>
      </c>
      <c r="Q389">
        <v>316.98599999999999</v>
      </c>
      <c r="R389">
        <v>341.92200000000003</v>
      </c>
      <c r="S389">
        <v>366.10300000000001</v>
      </c>
      <c r="T389">
        <v>291.98899999999998</v>
      </c>
      <c r="U389">
        <v>277.48500000000001</v>
      </c>
    </row>
    <row r="390" spans="1:21" x14ac:dyDescent="0.2">
      <c r="A390" t="s">
        <v>45</v>
      </c>
      <c r="B390" t="s">
        <v>74</v>
      </c>
      <c r="C390" t="s">
        <v>8</v>
      </c>
      <c r="D390" t="s">
        <v>10</v>
      </c>
      <c r="E390">
        <v>690</v>
      </c>
      <c r="F390">
        <v>737</v>
      </c>
      <c r="G390">
        <v>648</v>
      </c>
      <c r="H390">
        <v>261</v>
      </c>
      <c r="I390">
        <v>395</v>
      </c>
      <c r="J390">
        <v>395</v>
      </c>
      <c r="K390">
        <v>450</v>
      </c>
      <c r="L390">
        <v>638</v>
      </c>
      <c r="M390">
        <v>741</v>
      </c>
      <c r="N390">
        <v>748</v>
      </c>
      <c r="O390">
        <v>1670</v>
      </c>
      <c r="P390">
        <v>1757</v>
      </c>
      <c r="Q390">
        <v>1707</v>
      </c>
      <c r="R390">
        <v>1820</v>
      </c>
      <c r="S390">
        <v>1884</v>
      </c>
      <c r="T390">
        <v>2036</v>
      </c>
      <c r="U390">
        <v>2122</v>
      </c>
    </row>
    <row r="391" spans="1:21" x14ac:dyDescent="0.2">
      <c r="A391" t="s">
        <v>46</v>
      </c>
      <c r="B391" t="s">
        <v>74</v>
      </c>
      <c r="C391" t="s">
        <v>8</v>
      </c>
      <c r="D391" t="s">
        <v>10</v>
      </c>
      <c r="E391">
        <v>510</v>
      </c>
      <c r="F391">
        <v>556</v>
      </c>
      <c r="G391">
        <v>551</v>
      </c>
      <c r="H391">
        <v>483</v>
      </c>
      <c r="I391">
        <v>530</v>
      </c>
      <c r="J391">
        <v>530</v>
      </c>
      <c r="K391">
        <v>558</v>
      </c>
      <c r="L391">
        <v>509</v>
      </c>
      <c r="M391">
        <v>85</v>
      </c>
      <c r="N391">
        <v>89</v>
      </c>
      <c r="O391">
        <v>87</v>
      </c>
      <c r="P391">
        <v>87</v>
      </c>
      <c r="Q391">
        <v>81</v>
      </c>
      <c r="R391">
        <v>83</v>
      </c>
      <c r="S391">
        <v>93</v>
      </c>
      <c r="T391">
        <v>109.84</v>
      </c>
      <c r="U391">
        <v>123.111</v>
      </c>
    </row>
    <row r="392" spans="1:21" x14ac:dyDescent="0.2">
      <c r="A392" t="s">
        <v>47</v>
      </c>
      <c r="B392" t="s">
        <v>74</v>
      </c>
      <c r="C392" t="s">
        <v>8</v>
      </c>
      <c r="D392" t="s">
        <v>10</v>
      </c>
      <c r="E392">
        <v>2355</v>
      </c>
      <c r="F392">
        <v>2169</v>
      </c>
      <c r="G392">
        <v>2311</v>
      </c>
      <c r="H392">
        <v>2273</v>
      </c>
      <c r="I392">
        <v>2289</v>
      </c>
      <c r="J392">
        <v>2165</v>
      </c>
      <c r="K392">
        <v>2164</v>
      </c>
      <c r="L392">
        <v>1819</v>
      </c>
      <c r="M392">
        <v>1864</v>
      </c>
      <c r="N392">
        <v>1919</v>
      </c>
      <c r="O392">
        <v>1974.413</v>
      </c>
      <c r="P392">
        <v>1930.528</v>
      </c>
      <c r="Q392">
        <v>1937.712</v>
      </c>
      <c r="R392">
        <v>2162.6759999999999</v>
      </c>
      <c r="S392">
        <v>2203.0369999999998</v>
      </c>
      <c r="T392">
        <v>1978.91</v>
      </c>
      <c r="U392">
        <v>2236.4789999999998</v>
      </c>
    </row>
    <row r="393" spans="1:21" x14ac:dyDescent="0.2">
      <c r="A393" t="s">
        <v>48</v>
      </c>
      <c r="B393" t="s">
        <v>74</v>
      </c>
      <c r="C393" t="s">
        <v>8</v>
      </c>
      <c r="D393" t="s">
        <v>10</v>
      </c>
      <c r="E393">
        <v>1140</v>
      </c>
      <c r="F393">
        <v>1424</v>
      </c>
      <c r="G393">
        <v>1713</v>
      </c>
      <c r="H393">
        <v>1637.835</v>
      </c>
      <c r="I393">
        <v>1677.0640000000001</v>
      </c>
      <c r="J393">
        <v>1772.54</v>
      </c>
      <c r="K393">
        <v>1672.6759999999999</v>
      </c>
      <c r="L393">
        <v>1543.934</v>
      </c>
      <c r="M393">
        <v>1629.7639999999999</v>
      </c>
      <c r="N393">
        <v>1691.5409999999999</v>
      </c>
      <c r="O393">
        <v>1667.7349999999999</v>
      </c>
      <c r="P393">
        <v>1262.443</v>
      </c>
      <c r="Q393">
        <v>1183.6780000000001</v>
      </c>
      <c r="R393">
        <v>1265.9000000000001</v>
      </c>
      <c r="S393">
        <v>1290.8789999999999</v>
      </c>
      <c r="T393">
        <v>1314.5160000000001</v>
      </c>
      <c r="U393">
        <v>1372.5029999999999</v>
      </c>
    </row>
    <row r="394" spans="1:21" x14ac:dyDescent="0.2">
      <c r="A394" t="s">
        <v>49</v>
      </c>
      <c r="B394" t="s">
        <v>74</v>
      </c>
      <c r="C394" t="s">
        <v>8</v>
      </c>
      <c r="D394" t="s">
        <v>10</v>
      </c>
      <c r="E394">
        <v>2003</v>
      </c>
      <c r="F394">
        <v>2278</v>
      </c>
      <c r="G394">
        <v>2519</v>
      </c>
      <c r="H394">
        <v>2640</v>
      </c>
      <c r="I394">
        <v>2702</v>
      </c>
      <c r="J394">
        <v>2850</v>
      </c>
      <c r="K394">
        <v>2800</v>
      </c>
      <c r="L394">
        <v>2481</v>
      </c>
      <c r="M394">
        <v>2811</v>
      </c>
      <c r="N394">
        <v>3325</v>
      </c>
      <c r="O394">
        <v>3231</v>
      </c>
      <c r="P394">
        <v>4073</v>
      </c>
      <c r="Q394">
        <v>4260</v>
      </c>
      <c r="R394">
        <v>4397</v>
      </c>
      <c r="S394">
        <v>4779</v>
      </c>
      <c r="T394">
        <v>5348.7479999999996</v>
      </c>
      <c r="U394">
        <v>5301.0079999999998</v>
      </c>
    </row>
    <row r="395" spans="1:21" x14ac:dyDescent="0.2">
      <c r="A395" t="s">
        <v>50</v>
      </c>
      <c r="B395" t="s">
        <v>74</v>
      </c>
      <c r="C395" t="s">
        <v>8</v>
      </c>
      <c r="D395" t="s">
        <v>10</v>
      </c>
      <c r="E395">
        <v>1274</v>
      </c>
      <c r="F395">
        <v>1526</v>
      </c>
      <c r="G395">
        <v>1517</v>
      </c>
      <c r="H395">
        <v>1395</v>
      </c>
      <c r="I395">
        <v>1448</v>
      </c>
      <c r="J395">
        <v>1375</v>
      </c>
      <c r="K395">
        <v>1545</v>
      </c>
      <c r="L395">
        <v>1492</v>
      </c>
      <c r="M395">
        <v>1590</v>
      </c>
      <c r="N395">
        <v>1528</v>
      </c>
      <c r="O395">
        <v>1340</v>
      </c>
      <c r="P395">
        <v>1271</v>
      </c>
      <c r="Q395">
        <v>490</v>
      </c>
      <c r="R395">
        <v>503</v>
      </c>
      <c r="S395">
        <v>507.59300000000002</v>
      </c>
      <c r="T395">
        <v>516.82100000000003</v>
      </c>
      <c r="U395">
        <v>536.68100000000004</v>
      </c>
    </row>
    <row r="396" spans="1:21" x14ac:dyDescent="0.2">
      <c r="A396" t="s">
        <v>51</v>
      </c>
      <c r="B396" t="s">
        <v>74</v>
      </c>
      <c r="C396" t="s">
        <v>8</v>
      </c>
      <c r="D396" t="s">
        <v>10</v>
      </c>
      <c r="E396">
        <v>1373</v>
      </c>
      <c r="F396">
        <v>1236</v>
      </c>
      <c r="G396">
        <v>1474</v>
      </c>
      <c r="H396">
        <v>1554</v>
      </c>
      <c r="I396">
        <v>1008</v>
      </c>
      <c r="J396">
        <v>1251</v>
      </c>
      <c r="K396">
        <v>1025</v>
      </c>
      <c r="L396">
        <v>896</v>
      </c>
      <c r="M396">
        <v>962</v>
      </c>
      <c r="N396">
        <v>1267</v>
      </c>
      <c r="O396">
        <v>979</v>
      </c>
      <c r="P396">
        <v>1144</v>
      </c>
      <c r="Q396">
        <v>1074</v>
      </c>
      <c r="R396">
        <v>1080</v>
      </c>
      <c r="S396">
        <v>1157</v>
      </c>
      <c r="T396">
        <v>1157.864</v>
      </c>
      <c r="U396">
        <v>1140.7190000000001</v>
      </c>
    </row>
    <row r="397" spans="1:21" x14ac:dyDescent="0.2">
      <c r="A397" t="s">
        <v>52</v>
      </c>
      <c r="B397" t="s">
        <v>74</v>
      </c>
      <c r="C397" t="s">
        <v>8</v>
      </c>
      <c r="D397" t="s">
        <v>10</v>
      </c>
      <c r="E397">
        <v>336</v>
      </c>
      <c r="F397">
        <v>411</v>
      </c>
      <c r="G397">
        <v>429</v>
      </c>
      <c r="H397">
        <v>457</v>
      </c>
      <c r="I397">
        <v>548</v>
      </c>
      <c r="J397">
        <v>533</v>
      </c>
      <c r="K397">
        <v>455</v>
      </c>
      <c r="L397">
        <v>400</v>
      </c>
      <c r="M397">
        <v>433</v>
      </c>
      <c r="N397">
        <v>417</v>
      </c>
      <c r="O397">
        <v>392</v>
      </c>
      <c r="P397">
        <v>408</v>
      </c>
      <c r="Q397">
        <v>422</v>
      </c>
      <c r="R397">
        <v>428</v>
      </c>
      <c r="S397">
        <v>465</v>
      </c>
      <c r="T397">
        <v>494.25</v>
      </c>
      <c r="U397">
        <v>537.428</v>
      </c>
    </row>
    <row r="398" spans="1:21" x14ac:dyDescent="0.2">
      <c r="A398" t="s">
        <v>53</v>
      </c>
      <c r="B398" t="s">
        <v>74</v>
      </c>
      <c r="C398" t="s">
        <v>8</v>
      </c>
      <c r="D398" t="s">
        <v>10</v>
      </c>
      <c r="E398">
        <v>384</v>
      </c>
      <c r="F398">
        <v>468</v>
      </c>
      <c r="G398">
        <v>480</v>
      </c>
      <c r="H398">
        <v>728</v>
      </c>
      <c r="I398">
        <v>556</v>
      </c>
      <c r="J398">
        <v>580</v>
      </c>
      <c r="K398">
        <v>720</v>
      </c>
      <c r="L398">
        <v>690</v>
      </c>
      <c r="M398">
        <v>778</v>
      </c>
      <c r="N398">
        <v>777</v>
      </c>
      <c r="O398">
        <v>808</v>
      </c>
      <c r="P398">
        <v>686</v>
      </c>
      <c r="Q398">
        <v>898</v>
      </c>
      <c r="R398">
        <v>900</v>
      </c>
      <c r="S398">
        <v>982</v>
      </c>
      <c r="T398">
        <v>1044</v>
      </c>
      <c r="U398">
        <v>1033</v>
      </c>
    </row>
    <row r="399" spans="1:21" x14ac:dyDescent="0.2">
      <c r="A399" t="s">
        <v>54</v>
      </c>
      <c r="B399" t="s">
        <v>74</v>
      </c>
      <c r="C399" t="s">
        <v>8</v>
      </c>
      <c r="D399" t="s">
        <v>10</v>
      </c>
      <c r="E399">
        <v>1893</v>
      </c>
      <c r="F399">
        <v>1796</v>
      </c>
      <c r="G399">
        <v>1907</v>
      </c>
      <c r="H399">
        <v>1912</v>
      </c>
      <c r="I399">
        <v>1900</v>
      </c>
      <c r="J399">
        <v>1460</v>
      </c>
      <c r="K399">
        <v>1706</v>
      </c>
      <c r="L399">
        <v>491</v>
      </c>
      <c r="M399">
        <v>1550</v>
      </c>
      <c r="N399">
        <v>629</v>
      </c>
      <c r="O399">
        <v>963</v>
      </c>
      <c r="P399">
        <v>761</v>
      </c>
      <c r="Q399">
        <v>767</v>
      </c>
      <c r="R399">
        <v>749</v>
      </c>
      <c r="S399">
        <v>780</v>
      </c>
      <c r="T399">
        <v>1001</v>
      </c>
      <c r="U399">
        <v>951</v>
      </c>
    </row>
    <row r="400" spans="1:21" x14ac:dyDescent="0.2">
      <c r="A400" t="s">
        <v>55</v>
      </c>
      <c r="B400" t="s">
        <v>74</v>
      </c>
      <c r="C400" t="s">
        <v>8</v>
      </c>
      <c r="D400" t="s">
        <v>10</v>
      </c>
      <c r="E400">
        <v>6786</v>
      </c>
      <c r="F400">
        <v>5328</v>
      </c>
      <c r="G400">
        <v>5399</v>
      </c>
      <c r="H400">
        <v>5587</v>
      </c>
      <c r="I400">
        <v>4639</v>
      </c>
      <c r="J400">
        <v>4847</v>
      </c>
      <c r="K400">
        <v>5256</v>
      </c>
      <c r="L400">
        <v>5837</v>
      </c>
      <c r="M400">
        <v>3302</v>
      </c>
      <c r="N400">
        <v>2464</v>
      </c>
      <c r="O400">
        <v>3296</v>
      </c>
      <c r="P400">
        <v>2617</v>
      </c>
      <c r="Q400">
        <v>26842</v>
      </c>
      <c r="R400">
        <v>2624</v>
      </c>
      <c r="S400">
        <v>2587</v>
      </c>
      <c r="T400">
        <v>2584</v>
      </c>
      <c r="U400">
        <v>2678</v>
      </c>
    </row>
    <row r="401" spans="1:21" x14ac:dyDescent="0.2">
      <c r="A401" t="s">
        <v>56</v>
      </c>
      <c r="B401" t="s">
        <v>74</v>
      </c>
      <c r="C401" t="s">
        <v>8</v>
      </c>
      <c r="D401" t="s">
        <v>10</v>
      </c>
      <c r="E401">
        <v>21599</v>
      </c>
      <c r="F401">
        <v>20186</v>
      </c>
      <c r="G401">
        <v>20166</v>
      </c>
      <c r="H401">
        <v>21495</v>
      </c>
      <c r="I401">
        <v>21449</v>
      </c>
      <c r="J401">
        <v>21028</v>
      </c>
      <c r="K401">
        <v>21729</v>
      </c>
      <c r="L401">
        <v>19771</v>
      </c>
      <c r="M401">
        <v>20959</v>
      </c>
      <c r="N401">
        <v>20784</v>
      </c>
      <c r="O401">
        <v>20327</v>
      </c>
      <c r="P401">
        <v>20366</v>
      </c>
      <c r="Q401">
        <v>19559</v>
      </c>
      <c r="R401">
        <v>20571.917000000001</v>
      </c>
      <c r="S401">
        <v>22009.074000000001</v>
      </c>
      <c r="T401">
        <v>20893.605</v>
      </c>
      <c r="U401">
        <v>21107.757000000001</v>
      </c>
    </row>
    <row r="402" spans="1:21" x14ac:dyDescent="0.2">
      <c r="A402" t="s">
        <v>57</v>
      </c>
      <c r="B402" t="s">
        <v>74</v>
      </c>
      <c r="C402" t="s">
        <v>8</v>
      </c>
      <c r="D402" t="s">
        <v>10</v>
      </c>
      <c r="E402">
        <v>24</v>
      </c>
      <c r="F402">
        <v>24</v>
      </c>
      <c r="G402">
        <v>25</v>
      </c>
      <c r="H402">
        <v>26</v>
      </c>
      <c r="I402">
        <v>25</v>
      </c>
      <c r="J402">
        <v>15</v>
      </c>
      <c r="K402">
        <v>13</v>
      </c>
      <c r="L402">
        <v>13</v>
      </c>
      <c r="M402">
        <v>12</v>
      </c>
      <c r="N402">
        <v>11</v>
      </c>
      <c r="O402">
        <v>10</v>
      </c>
      <c r="P402">
        <v>31</v>
      </c>
      <c r="Q402">
        <v>43</v>
      </c>
      <c r="R402">
        <v>16</v>
      </c>
      <c r="S402">
        <v>18</v>
      </c>
      <c r="T402">
        <v>23.573</v>
      </c>
      <c r="U402">
        <v>12.161</v>
      </c>
    </row>
    <row r="403" spans="1:21" x14ac:dyDescent="0.2">
      <c r="A403" t="s">
        <v>58</v>
      </c>
      <c r="B403" t="s">
        <v>74</v>
      </c>
      <c r="C403" t="s">
        <v>8</v>
      </c>
      <c r="D403" t="s">
        <v>10</v>
      </c>
      <c r="E403">
        <v>499</v>
      </c>
      <c r="F403">
        <v>484</v>
      </c>
      <c r="G403">
        <v>494</v>
      </c>
      <c r="H403">
        <v>558</v>
      </c>
      <c r="I403">
        <v>536</v>
      </c>
      <c r="J403">
        <v>635</v>
      </c>
      <c r="K403">
        <v>635</v>
      </c>
      <c r="L403">
        <v>410</v>
      </c>
      <c r="M403">
        <v>497</v>
      </c>
      <c r="N403">
        <v>451</v>
      </c>
      <c r="O403">
        <v>486</v>
      </c>
      <c r="P403">
        <v>468</v>
      </c>
      <c r="Q403">
        <v>394</v>
      </c>
      <c r="R403">
        <v>408</v>
      </c>
      <c r="S403">
        <v>396</v>
      </c>
      <c r="T403">
        <v>432</v>
      </c>
      <c r="U403">
        <v>492.14100000000002</v>
      </c>
    </row>
    <row r="404" spans="1:21" x14ac:dyDescent="0.2">
      <c r="A404" t="s">
        <v>59</v>
      </c>
      <c r="B404" t="s">
        <v>74</v>
      </c>
      <c r="C404" t="s">
        <v>8</v>
      </c>
      <c r="D404" t="s">
        <v>10</v>
      </c>
      <c r="E404">
        <v>6299</v>
      </c>
      <c r="F404">
        <v>5887</v>
      </c>
      <c r="G404">
        <v>369</v>
      </c>
      <c r="H404">
        <v>356</v>
      </c>
      <c r="I404">
        <v>379</v>
      </c>
      <c r="J404">
        <v>346</v>
      </c>
      <c r="K404">
        <v>398</v>
      </c>
      <c r="L404">
        <v>262</v>
      </c>
      <c r="M404">
        <v>1963</v>
      </c>
      <c r="N404">
        <v>373</v>
      </c>
      <c r="O404">
        <v>415</v>
      </c>
      <c r="P404">
        <v>464</v>
      </c>
      <c r="Q404">
        <v>437</v>
      </c>
      <c r="R404">
        <v>521</v>
      </c>
      <c r="S404">
        <v>647</v>
      </c>
      <c r="T404">
        <v>678.83199999999999</v>
      </c>
      <c r="U404">
        <v>789.24099999999999</v>
      </c>
    </row>
    <row r="405" spans="1:21" x14ac:dyDescent="0.2">
      <c r="A405" t="s">
        <v>29</v>
      </c>
      <c r="B405" t="s">
        <v>75</v>
      </c>
      <c r="C405" t="s">
        <v>8</v>
      </c>
      <c r="D405" t="s">
        <v>10</v>
      </c>
      <c r="E405">
        <v>11858</v>
      </c>
      <c r="F405">
        <v>11906</v>
      </c>
      <c r="G405">
        <v>11928</v>
      </c>
      <c r="H405">
        <v>12703</v>
      </c>
      <c r="I405">
        <v>17148</v>
      </c>
      <c r="J405">
        <v>18147</v>
      </c>
      <c r="K405">
        <v>20830</v>
      </c>
      <c r="L405">
        <v>21476</v>
      </c>
      <c r="M405">
        <v>22182</v>
      </c>
      <c r="N405">
        <v>21653</v>
      </c>
      <c r="O405">
        <v>21954</v>
      </c>
      <c r="P405">
        <v>22262</v>
      </c>
      <c r="Q405">
        <v>21322.7</v>
      </c>
      <c r="R405">
        <v>21669.1</v>
      </c>
      <c r="S405">
        <v>21807.5</v>
      </c>
      <c r="T405">
        <v>21767.1</v>
      </c>
      <c r="U405">
        <v>22047.9</v>
      </c>
    </row>
    <row r="406" spans="1:21" x14ac:dyDescent="0.2">
      <c r="A406" t="s">
        <v>30</v>
      </c>
      <c r="B406" t="s">
        <v>75</v>
      </c>
      <c r="C406" t="s">
        <v>8</v>
      </c>
      <c r="D406" t="s">
        <v>10</v>
      </c>
      <c r="E406">
        <v>5641</v>
      </c>
      <c r="F406">
        <v>5989</v>
      </c>
      <c r="G406">
        <v>5768</v>
      </c>
      <c r="H406">
        <v>6143</v>
      </c>
      <c r="I406">
        <v>6887</v>
      </c>
      <c r="J406">
        <v>6993</v>
      </c>
      <c r="K406">
        <v>7479</v>
      </c>
      <c r="L406">
        <v>7433</v>
      </c>
      <c r="M406">
        <v>8101</v>
      </c>
      <c r="N406">
        <v>8437</v>
      </c>
      <c r="O406">
        <v>8170</v>
      </c>
      <c r="P406">
        <v>7954</v>
      </c>
      <c r="Q406">
        <v>7831</v>
      </c>
      <c r="R406">
        <v>8076</v>
      </c>
      <c r="S406">
        <v>8505</v>
      </c>
      <c r="T406">
        <v>8433.7720000000008</v>
      </c>
      <c r="U406">
        <v>8470.5470000000005</v>
      </c>
    </row>
    <row r="407" spans="1:21" x14ac:dyDescent="0.2">
      <c r="A407" t="s">
        <v>31</v>
      </c>
      <c r="B407" t="s">
        <v>75</v>
      </c>
      <c r="C407" t="s">
        <v>8</v>
      </c>
      <c r="D407" t="s">
        <v>10</v>
      </c>
      <c r="E407">
        <v>11379</v>
      </c>
      <c r="F407">
        <v>12592</v>
      </c>
      <c r="G407">
        <v>12600</v>
      </c>
      <c r="H407">
        <v>12911</v>
      </c>
      <c r="I407">
        <v>13392</v>
      </c>
      <c r="J407">
        <v>13769</v>
      </c>
      <c r="K407">
        <v>14336</v>
      </c>
      <c r="L407">
        <v>14038</v>
      </c>
      <c r="M407">
        <v>14851</v>
      </c>
      <c r="N407">
        <v>14471</v>
      </c>
      <c r="O407">
        <v>14469</v>
      </c>
      <c r="P407">
        <v>14809</v>
      </c>
      <c r="Q407">
        <v>14464</v>
      </c>
      <c r="R407">
        <v>14875</v>
      </c>
      <c r="S407">
        <v>15327</v>
      </c>
      <c r="T407">
        <v>15618.21</v>
      </c>
      <c r="U407">
        <v>16027.522999999999</v>
      </c>
    </row>
    <row r="408" spans="1:21" x14ac:dyDescent="0.2">
      <c r="A408" t="s">
        <v>32</v>
      </c>
      <c r="B408" t="s">
        <v>75</v>
      </c>
      <c r="C408" t="s">
        <v>8</v>
      </c>
      <c r="D408" t="s">
        <v>10</v>
      </c>
      <c r="E408">
        <v>10247</v>
      </c>
      <c r="F408">
        <v>10189</v>
      </c>
      <c r="G408">
        <v>10399</v>
      </c>
      <c r="H408">
        <v>10472</v>
      </c>
      <c r="I408">
        <v>10737</v>
      </c>
      <c r="J408">
        <v>10989</v>
      </c>
      <c r="K408">
        <v>10976</v>
      </c>
      <c r="L408">
        <v>10680</v>
      </c>
      <c r="M408">
        <v>10835</v>
      </c>
      <c r="N408">
        <v>10656</v>
      </c>
      <c r="O408">
        <v>10481</v>
      </c>
      <c r="P408">
        <v>10227</v>
      </c>
      <c r="Q408">
        <v>10288</v>
      </c>
      <c r="R408">
        <v>10087.23</v>
      </c>
      <c r="S408">
        <v>10216.535</v>
      </c>
      <c r="T408">
        <v>10685.246999999999</v>
      </c>
      <c r="U408">
        <v>10594.387000000001</v>
      </c>
    </row>
    <row r="409" spans="1:21" x14ac:dyDescent="0.2">
      <c r="A409" t="s">
        <v>33</v>
      </c>
      <c r="B409" t="s">
        <v>75</v>
      </c>
      <c r="C409" t="s">
        <v>8</v>
      </c>
      <c r="D409" t="s">
        <v>10</v>
      </c>
      <c r="E409">
        <v>135238</v>
      </c>
      <c r="F409">
        <v>142237</v>
      </c>
      <c r="G409">
        <v>141219</v>
      </c>
      <c r="H409">
        <v>137410</v>
      </c>
      <c r="I409">
        <v>142151</v>
      </c>
      <c r="J409">
        <v>137885</v>
      </c>
      <c r="K409">
        <v>142193</v>
      </c>
      <c r="L409">
        <v>144673</v>
      </c>
      <c r="M409">
        <v>143862</v>
      </c>
      <c r="N409">
        <v>136306</v>
      </c>
      <c r="O409">
        <v>139210</v>
      </c>
      <c r="P409">
        <v>142062</v>
      </c>
      <c r="Q409">
        <v>131515</v>
      </c>
      <c r="R409">
        <v>140736</v>
      </c>
      <c r="S409">
        <v>141585</v>
      </c>
      <c r="T409">
        <v>141479</v>
      </c>
      <c r="U409">
        <v>137097</v>
      </c>
    </row>
    <row r="410" spans="1:21" x14ac:dyDescent="0.2">
      <c r="A410" t="s">
        <v>34</v>
      </c>
      <c r="B410" t="s">
        <v>75</v>
      </c>
      <c r="C410" t="s">
        <v>8</v>
      </c>
      <c r="D410" t="s">
        <v>10</v>
      </c>
      <c r="E410">
        <v>1570</v>
      </c>
      <c r="F410">
        <v>1664</v>
      </c>
      <c r="G410">
        <v>1850</v>
      </c>
      <c r="H410">
        <v>1929</v>
      </c>
      <c r="I410">
        <v>2176</v>
      </c>
      <c r="J410">
        <v>2358</v>
      </c>
      <c r="K410">
        <v>2553</v>
      </c>
      <c r="L410">
        <v>2559</v>
      </c>
      <c r="M410">
        <v>2511</v>
      </c>
      <c r="N410">
        <v>2378</v>
      </c>
      <c r="O410">
        <v>2536</v>
      </c>
      <c r="P410">
        <v>2530</v>
      </c>
      <c r="Q410">
        <v>2795</v>
      </c>
      <c r="R410">
        <v>2813</v>
      </c>
      <c r="S410">
        <v>2971</v>
      </c>
      <c r="T410">
        <v>2715.4920000000002</v>
      </c>
      <c r="U410">
        <v>2933</v>
      </c>
    </row>
    <row r="411" spans="1:21" x14ac:dyDescent="0.2">
      <c r="A411" t="s">
        <v>35</v>
      </c>
      <c r="B411" t="s">
        <v>75</v>
      </c>
      <c r="C411" t="s">
        <v>8</v>
      </c>
      <c r="D411" t="s">
        <v>10</v>
      </c>
      <c r="E411">
        <v>6748</v>
      </c>
      <c r="F411">
        <v>8163</v>
      </c>
      <c r="G411">
        <v>8167.23</v>
      </c>
      <c r="H411">
        <v>8465.1540000000005</v>
      </c>
      <c r="I411">
        <v>8133.0280000000002</v>
      </c>
      <c r="J411">
        <v>8710.2330000000002</v>
      </c>
      <c r="K411">
        <v>9556.3449999999993</v>
      </c>
      <c r="L411">
        <v>7944.2860000000001</v>
      </c>
      <c r="M411">
        <v>7165.85</v>
      </c>
      <c r="N411">
        <v>6501.2939999999999</v>
      </c>
      <c r="O411">
        <v>6278.7060000000001</v>
      </c>
      <c r="P411">
        <v>6366.0950000000003</v>
      </c>
      <c r="Q411">
        <v>6438.8909999999996</v>
      </c>
      <c r="R411">
        <v>6745.8609999999999</v>
      </c>
      <c r="S411">
        <v>6951.1149999999998</v>
      </c>
      <c r="T411">
        <v>7027.0330000000004</v>
      </c>
      <c r="U411">
        <v>7462.2259999999997</v>
      </c>
    </row>
    <row r="412" spans="1:21" x14ac:dyDescent="0.2">
      <c r="A412" t="s">
        <v>36</v>
      </c>
      <c r="B412" t="s">
        <v>75</v>
      </c>
      <c r="C412" t="s">
        <v>8</v>
      </c>
      <c r="D412" t="s">
        <v>10</v>
      </c>
      <c r="E412">
        <v>13989</v>
      </c>
      <c r="F412">
        <v>15005</v>
      </c>
      <c r="G412">
        <v>15872</v>
      </c>
      <c r="H412">
        <v>16479</v>
      </c>
      <c r="I412">
        <v>17757</v>
      </c>
      <c r="J412">
        <v>18773</v>
      </c>
      <c r="K412">
        <v>19691</v>
      </c>
      <c r="L412">
        <v>19769</v>
      </c>
      <c r="M412">
        <v>18000</v>
      </c>
      <c r="N412">
        <v>16839</v>
      </c>
      <c r="O412">
        <v>18470</v>
      </c>
      <c r="P412">
        <v>17008</v>
      </c>
      <c r="Q412">
        <v>16802</v>
      </c>
      <c r="R412">
        <v>17926</v>
      </c>
      <c r="S412">
        <v>19448</v>
      </c>
      <c r="T412">
        <v>19243.437000000002</v>
      </c>
      <c r="U412">
        <v>17807.75</v>
      </c>
    </row>
    <row r="413" spans="1:21" x14ac:dyDescent="0.2">
      <c r="A413" t="s">
        <v>37</v>
      </c>
      <c r="B413" t="s">
        <v>75</v>
      </c>
      <c r="C413" t="s">
        <v>8</v>
      </c>
      <c r="D413" t="s">
        <v>10</v>
      </c>
      <c r="E413">
        <v>53227</v>
      </c>
      <c r="F413">
        <v>57232</v>
      </c>
      <c r="G413">
        <v>60671</v>
      </c>
      <c r="H413">
        <v>63823</v>
      </c>
      <c r="I413">
        <v>73130</v>
      </c>
      <c r="J413">
        <v>74050</v>
      </c>
      <c r="K413">
        <v>79769</v>
      </c>
      <c r="L413">
        <v>81019</v>
      </c>
      <c r="M413">
        <v>83892</v>
      </c>
      <c r="N413">
        <v>81825</v>
      </c>
      <c r="O413">
        <v>80752</v>
      </c>
      <c r="P413">
        <v>76302</v>
      </c>
      <c r="Q413">
        <v>70562</v>
      </c>
      <c r="R413">
        <v>74108</v>
      </c>
      <c r="S413">
        <v>73388</v>
      </c>
      <c r="T413">
        <v>75307</v>
      </c>
      <c r="U413">
        <v>74513</v>
      </c>
    </row>
    <row r="414" spans="1:21" x14ac:dyDescent="0.2">
      <c r="A414" t="s">
        <v>38</v>
      </c>
      <c r="B414" t="s">
        <v>75</v>
      </c>
      <c r="C414" t="s">
        <v>8</v>
      </c>
      <c r="D414" t="s">
        <v>10</v>
      </c>
      <c r="E414">
        <v>108712</v>
      </c>
      <c r="F414">
        <v>116183</v>
      </c>
      <c r="G414">
        <v>120337</v>
      </c>
      <c r="H414">
        <v>125188</v>
      </c>
      <c r="I414">
        <v>129924</v>
      </c>
      <c r="J414">
        <v>133217</v>
      </c>
      <c r="K414">
        <v>132482</v>
      </c>
      <c r="L414">
        <v>136668</v>
      </c>
      <c r="M414">
        <v>144664</v>
      </c>
      <c r="N414">
        <v>135741.87</v>
      </c>
      <c r="O414">
        <v>141858.549</v>
      </c>
      <c r="P414">
        <v>142102.28700000001</v>
      </c>
      <c r="Q414">
        <v>135993.97700000001</v>
      </c>
      <c r="R414">
        <v>139343.10999999999</v>
      </c>
      <c r="S414">
        <v>139851.70199999999</v>
      </c>
      <c r="T414">
        <v>139382.383</v>
      </c>
      <c r="U414">
        <v>138487.65400000001</v>
      </c>
    </row>
    <row r="415" spans="1:21" x14ac:dyDescent="0.2">
      <c r="A415" t="s">
        <v>39</v>
      </c>
      <c r="B415" t="s">
        <v>75</v>
      </c>
      <c r="C415" t="s">
        <v>8</v>
      </c>
      <c r="D415" t="s">
        <v>10</v>
      </c>
      <c r="E415">
        <v>3484</v>
      </c>
      <c r="F415">
        <v>3757</v>
      </c>
      <c r="G415">
        <v>4030</v>
      </c>
      <c r="H415">
        <v>4413</v>
      </c>
      <c r="I415">
        <v>4686</v>
      </c>
      <c r="J415">
        <v>4873</v>
      </c>
      <c r="K415">
        <v>5288</v>
      </c>
      <c r="L415">
        <v>5311</v>
      </c>
      <c r="M415">
        <v>5385</v>
      </c>
      <c r="N415">
        <v>5516</v>
      </c>
      <c r="O415">
        <v>5513</v>
      </c>
      <c r="P415">
        <v>5387</v>
      </c>
      <c r="Q415">
        <v>5215</v>
      </c>
      <c r="R415">
        <v>5405</v>
      </c>
      <c r="S415">
        <v>5433</v>
      </c>
      <c r="T415">
        <v>5777.1</v>
      </c>
      <c r="U415">
        <v>5945.2</v>
      </c>
    </row>
    <row r="416" spans="1:21" x14ac:dyDescent="0.2">
      <c r="A416" t="s">
        <v>40</v>
      </c>
      <c r="B416" t="s">
        <v>75</v>
      </c>
      <c r="C416" t="s">
        <v>8</v>
      </c>
      <c r="D416" t="s">
        <v>10</v>
      </c>
      <c r="E416">
        <v>62830</v>
      </c>
      <c r="F416">
        <v>67426</v>
      </c>
      <c r="G416">
        <v>69955</v>
      </c>
      <c r="H416">
        <v>73875</v>
      </c>
      <c r="I416">
        <v>78057</v>
      </c>
      <c r="J416">
        <v>79865</v>
      </c>
      <c r="K416">
        <v>82773</v>
      </c>
      <c r="L416">
        <v>84300</v>
      </c>
      <c r="M416">
        <v>85619</v>
      </c>
      <c r="N416">
        <v>86912</v>
      </c>
      <c r="O416">
        <v>90279</v>
      </c>
      <c r="P416">
        <v>88982</v>
      </c>
      <c r="Q416">
        <v>88489</v>
      </c>
      <c r="R416">
        <v>92085</v>
      </c>
      <c r="S416">
        <v>91736</v>
      </c>
      <c r="T416">
        <v>93491.933999999994</v>
      </c>
      <c r="U416">
        <v>94489.797999999995</v>
      </c>
    </row>
    <row r="417" spans="1:21" x14ac:dyDescent="0.2">
      <c r="A417" t="s">
        <v>41</v>
      </c>
      <c r="B417" t="s">
        <v>75</v>
      </c>
      <c r="C417" t="s">
        <v>8</v>
      </c>
      <c r="D417" t="s">
        <v>10</v>
      </c>
      <c r="E417">
        <v>1584</v>
      </c>
      <c r="F417">
        <v>1664</v>
      </c>
      <c r="G417">
        <v>1712.355</v>
      </c>
      <c r="H417">
        <v>1786.355</v>
      </c>
      <c r="I417">
        <v>1858.355</v>
      </c>
      <c r="J417">
        <v>1952.355</v>
      </c>
      <c r="K417">
        <v>2067.355</v>
      </c>
      <c r="L417">
        <v>2164.355</v>
      </c>
      <c r="M417">
        <v>2256.355</v>
      </c>
      <c r="N417">
        <v>2138.4140000000002</v>
      </c>
      <c r="O417">
        <v>2000.4290000000001</v>
      </c>
      <c r="P417">
        <v>1786.4290000000001</v>
      </c>
      <c r="Q417">
        <v>1838.4290000000001</v>
      </c>
      <c r="R417">
        <v>1886.4290000000001</v>
      </c>
      <c r="S417">
        <v>2065.4290000000001</v>
      </c>
      <c r="T417">
        <v>2096.6610000000001</v>
      </c>
      <c r="U417">
        <v>2174.0340000000001</v>
      </c>
    </row>
    <row r="418" spans="1:21" x14ac:dyDescent="0.2">
      <c r="A418" t="s">
        <v>42</v>
      </c>
      <c r="B418" t="s">
        <v>75</v>
      </c>
      <c r="C418" t="s">
        <v>8</v>
      </c>
      <c r="D418" t="s">
        <v>10</v>
      </c>
      <c r="E418">
        <v>1727</v>
      </c>
      <c r="F418">
        <v>1865</v>
      </c>
      <c r="G418">
        <v>1988</v>
      </c>
      <c r="H418">
        <v>2142</v>
      </c>
      <c r="I418">
        <v>2331</v>
      </c>
      <c r="J418">
        <v>2704</v>
      </c>
      <c r="K418">
        <v>2628</v>
      </c>
      <c r="L418">
        <v>2335</v>
      </c>
      <c r="M418">
        <v>2420</v>
      </c>
      <c r="N418">
        <v>2487</v>
      </c>
      <c r="O418">
        <v>2798</v>
      </c>
      <c r="P418">
        <v>2703</v>
      </c>
      <c r="Q418">
        <v>2882</v>
      </c>
      <c r="R418">
        <v>2725</v>
      </c>
      <c r="S418">
        <v>2733</v>
      </c>
      <c r="T418">
        <v>2764.703</v>
      </c>
      <c r="U418">
        <v>2856.0070000000001</v>
      </c>
    </row>
    <row r="419" spans="1:21" x14ac:dyDescent="0.2">
      <c r="A419" t="s">
        <v>43</v>
      </c>
      <c r="B419" t="s">
        <v>75</v>
      </c>
      <c r="C419" t="s">
        <v>8</v>
      </c>
      <c r="D419" t="s">
        <v>10</v>
      </c>
      <c r="E419">
        <v>2096</v>
      </c>
      <c r="F419">
        <v>2375</v>
      </c>
      <c r="G419">
        <v>2543</v>
      </c>
      <c r="H419">
        <v>2686</v>
      </c>
      <c r="I419">
        <v>2836</v>
      </c>
      <c r="J419">
        <v>3012</v>
      </c>
      <c r="K419">
        <v>3240</v>
      </c>
      <c r="L419">
        <v>2955</v>
      </c>
      <c r="M419">
        <v>2839</v>
      </c>
      <c r="N419">
        <v>2953</v>
      </c>
      <c r="O419">
        <v>3114</v>
      </c>
      <c r="P419">
        <v>3130</v>
      </c>
      <c r="Q419">
        <v>3218</v>
      </c>
      <c r="R419">
        <v>3110</v>
      </c>
      <c r="S419">
        <v>3280</v>
      </c>
      <c r="T419">
        <v>3307.3</v>
      </c>
      <c r="U419">
        <v>3436.5</v>
      </c>
    </row>
    <row r="420" spans="1:21" x14ac:dyDescent="0.2">
      <c r="A420" t="s">
        <v>44</v>
      </c>
      <c r="B420" t="s">
        <v>75</v>
      </c>
      <c r="C420" t="s">
        <v>8</v>
      </c>
      <c r="D420" t="s">
        <v>10</v>
      </c>
      <c r="E420">
        <v>1560.481</v>
      </c>
      <c r="F420">
        <v>1692.502</v>
      </c>
      <c r="G420">
        <v>1580.412</v>
      </c>
      <c r="H420">
        <v>1750.8389999999999</v>
      </c>
      <c r="I420">
        <v>1777.163</v>
      </c>
      <c r="J420">
        <v>2126.0250000000001</v>
      </c>
      <c r="K420">
        <v>2076.7939999999999</v>
      </c>
      <c r="L420">
        <v>1962.146</v>
      </c>
      <c r="M420">
        <v>1993.5340000000001</v>
      </c>
      <c r="N420">
        <v>1880.5709999999999</v>
      </c>
      <c r="O420">
        <v>1946.136</v>
      </c>
      <c r="P420">
        <v>1999.3019999999999</v>
      </c>
      <c r="Q420">
        <v>1932.0830000000001</v>
      </c>
      <c r="R420">
        <v>1920.4</v>
      </c>
      <c r="S420">
        <v>1793.7170000000001</v>
      </c>
      <c r="T420">
        <v>2252.107</v>
      </c>
      <c r="U420">
        <v>2261.9299999999998</v>
      </c>
    </row>
    <row r="421" spans="1:21" x14ac:dyDescent="0.2">
      <c r="A421" t="s">
        <v>45</v>
      </c>
      <c r="B421" t="s">
        <v>75</v>
      </c>
      <c r="C421" t="s">
        <v>8</v>
      </c>
      <c r="D421" t="s">
        <v>10</v>
      </c>
      <c r="E421">
        <v>8723</v>
      </c>
      <c r="F421">
        <v>8647</v>
      </c>
      <c r="G421">
        <v>9124</v>
      </c>
      <c r="H421">
        <v>9931</v>
      </c>
      <c r="I421">
        <v>10298</v>
      </c>
      <c r="J421">
        <v>10853</v>
      </c>
      <c r="K421">
        <v>10827</v>
      </c>
      <c r="L421">
        <v>11363</v>
      </c>
      <c r="M421">
        <v>11355</v>
      </c>
      <c r="N421">
        <v>11466</v>
      </c>
      <c r="O421">
        <v>7817</v>
      </c>
      <c r="P421">
        <v>7507</v>
      </c>
      <c r="Q421">
        <v>7647</v>
      </c>
      <c r="R421">
        <v>7937</v>
      </c>
      <c r="S421">
        <v>8045</v>
      </c>
      <c r="T421">
        <v>8323</v>
      </c>
      <c r="U421">
        <v>8540</v>
      </c>
    </row>
    <row r="422" spans="1:21" x14ac:dyDescent="0.2">
      <c r="A422" t="s">
        <v>46</v>
      </c>
      <c r="B422" t="s">
        <v>75</v>
      </c>
      <c r="C422" t="s">
        <v>8</v>
      </c>
      <c r="D422" t="s">
        <v>10</v>
      </c>
      <c r="E422">
        <v>577</v>
      </c>
      <c r="F422">
        <v>621</v>
      </c>
      <c r="G422">
        <v>624</v>
      </c>
      <c r="H422">
        <v>563</v>
      </c>
      <c r="I422">
        <v>664</v>
      </c>
      <c r="J422">
        <v>663</v>
      </c>
      <c r="K422">
        <v>650</v>
      </c>
      <c r="L422">
        <v>627</v>
      </c>
      <c r="M422">
        <v>797</v>
      </c>
      <c r="N422">
        <v>829</v>
      </c>
      <c r="O422">
        <v>888</v>
      </c>
      <c r="P422">
        <v>896</v>
      </c>
      <c r="Q422">
        <v>943</v>
      </c>
      <c r="R422">
        <v>1002</v>
      </c>
      <c r="S422">
        <v>992.40599999999995</v>
      </c>
      <c r="T422">
        <v>1092.5350000000001</v>
      </c>
      <c r="U422">
        <v>1117.828</v>
      </c>
    </row>
    <row r="423" spans="1:21" x14ac:dyDescent="0.2">
      <c r="A423" t="s">
        <v>47</v>
      </c>
      <c r="B423" t="s">
        <v>75</v>
      </c>
      <c r="C423" t="s">
        <v>8</v>
      </c>
      <c r="D423" t="s">
        <v>10</v>
      </c>
      <c r="E423">
        <v>30421</v>
      </c>
      <c r="F423">
        <v>31815</v>
      </c>
      <c r="G423">
        <v>32942</v>
      </c>
      <c r="H423">
        <v>33698</v>
      </c>
      <c r="I423">
        <v>34627</v>
      </c>
      <c r="J423">
        <v>35417</v>
      </c>
      <c r="K423">
        <v>35889</v>
      </c>
      <c r="L423">
        <v>36547</v>
      </c>
      <c r="M423">
        <v>36766</v>
      </c>
      <c r="N423">
        <v>36911</v>
      </c>
      <c r="O423">
        <v>36129.586000000003</v>
      </c>
      <c r="P423">
        <v>36282.525999999998</v>
      </c>
      <c r="Q423">
        <v>35589.983</v>
      </c>
      <c r="R423">
        <v>36173.955999999998</v>
      </c>
      <c r="S423">
        <v>36165.339</v>
      </c>
      <c r="T423">
        <v>36615.023999999998</v>
      </c>
      <c r="U423">
        <v>36907.129000000001</v>
      </c>
    </row>
    <row r="424" spans="1:21" x14ac:dyDescent="0.2">
      <c r="A424" t="s">
        <v>48</v>
      </c>
      <c r="B424" t="s">
        <v>75</v>
      </c>
      <c r="C424" t="s">
        <v>8</v>
      </c>
      <c r="D424" t="s">
        <v>10</v>
      </c>
      <c r="E424">
        <v>11327</v>
      </c>
      <c r="F424">
        <v>11672</v>
      </c>
      <c r="G424">
        <v>10687</v>
      </c>
      <c r="H424">
        <v>12573.75</v>
      </c>
      <c r="I424">
        <v>12623.959000000001</v>
      </c>
      <c r="J424">
        <v>12357.696</v>
      </c>
      <c r="K424">
        <v>13364.093000000001</v>
      </c>
      <c r="L424">
        <v>11539.986999999999</v>
      </c>
      <c r="M424">
        <v>11814.789000000001</v>
      </c>
      <c r="N424">
        <v>11697.398999999999</v>
      </c>
      <c r="O424">
        <v>12005.47</v>
      </c>
      <c r="P424">
        <v>12004.215</v>
      </c>
      <c r="Q424">
        <v>12256.793</v>
      </c>
      <c r="R424">
        <v>12274.313</v>
      </c>
      <c r="S424">
        <v>11541.174999999999</v>
      </c>
      <c r="T424">
        <v>12214.653</v>
      </c>
      <c r="U424">
        <v>12253.928</v>
      </c>
    </row>
    <row r="425" spans="1:21" x14ac:dyDescent="0.2">
      <c r="A425" t="s">
        <v>49</v>
      </c>
      <c r="B425" t="s">
        <v>75</v>
      </c>
      <c r="C425" t="s">
        <v>8</v>
      </c>
      <c r="D425" t="s">
        <v>10</v>
      </c>
      <c r="E425">
        <v>28640</v>
      </c>
      <c r="F425">
        <v>29892</v>
      </c>
      <c r="G425">
        <v>31017</v>
      </c>
      <c r="H425">
        <v>33357</v>
      </c>
      <c r="I425">
        <v>36711</v>
      </c>
      <c r="J425">
        <v>37189</v>
      </c>
      <c r="K425">
        <v>41090</v>
      </c>
      <c r="L425">
        <v>40552</v>
      </c>
      <c r="M425">
        <v>43669</v>
      </c>
      <c r="N425">
        <v>44190</v>
      </c>
      <c r="O425">
        <v>44378</v>
      </c>
      <c r="P425">
        <v>43130</v>
      </c>
      <c r="Q425">
        <v>45171.472999999998</v>
      </c>
      <c r="R425">
        <v>45442.62</v>
      </c>
      <c r="S425">
        <v>47799.5</v>
      </c>
      <c r="T425">
        <v>47018.758000000002</v>
      </c>
      <c r="U425">
        <v>49441.15</v>
      </c>
    </row>
    <row r="426" spans="1:21" x14ac:dyDescent="0.2">
      <c r="A426" t="s">
        <v>50</v>
      </c>
      <c r="B426" t="s">
        <v>75</v>
      </c>
      <c r="C426" t="s">
        <v>8</v>
      </c>
      <c r="D426" t="s">
        <v>10</v>
      </c>
      <c r="E426">
        <v>12363</v>
      </c>
      <c r="F426">
        <v>13185</v>
      </c>
      <c r="G426">
        <v>13705</v>
      </c>
      <c r="H426">
        <v>14407</v>
      </c>
      <c r="I426">
        <v>15240</v>
      </c>
      <c r="J426">
        <v>15606</v>
      </c>
      <c r="K426">
        <v>15775</v>
      </c>
      <c r="L426">
        <v>15973</v>
      </c>
      <c r="M426">
        <v>16397</v>
      </c>
      <c r="N426">
        <v>16270</v>
      </c>
      <c r="O426">
        <v>16007</v>
      </c>
      <c r="P426">
        <v>15707</v>
      </c>
      <c r="Q426">
        <v>16756</v>
      </c>
      <c r="R426">
        <v>17193</v>
      </c>
      <c r="S426">
        <v>16456.566999999999</v>
      </c>
      <c r="T426">
        <v>16369.539000000001</v>
      </c>
      <c r="U426">
        <v>16749.644</v>
      </c>
    </row>
    <row r="427" spans="1:21" x14ac:dyDescent="0.2">
      <c r="A427" t="s">
        <v>51</v>
      </c>
      <c r="B427" t="s">
        <v>75</v>
      </c>
      <c r="C427" t="s">
        <v>8</v>
      </c>
      <c r="D427" t="s">
        <v>10</v>
      </c>
      <c r="E427">
        <v>2741</v>
      </c>
      <c r="F427">
        <v>4749</v>
      </c>
      <c r="G427">
        <v>3586</v>
      </c>
      <c r="H427">
        <v>4000</v>
      </c>
      <c r="I427">
        <v>4900</v>
      </c>
      <c r="J427">
        <v>5721</v>
      </c>
      <c r="K427">
        <v>6432</v>
      </c>
      <c r="L427">
        <v>6526</v>
      </c>
      <c r="M427">
        <v>7581</v>
      </c>
      <c r="N427">
        <v>7869</v>
      </c>
      <c r="O427">
        <v>7897</v>
      </c>
      <c r="P427">
        <v>7961</v>
      </c>
      <c r="Q427">
        <v>8223</v>
      </c>
      <c r="R427">
        <v>8407</v>
      </c>
      <c r="S427">
        <v>8581</v>
      </c>
      <c r="T427">
        <v>8547.5400000000009</v>
      </c>
      <c r="U427">
        <v>8752.6859999999997</v>
      </c>
    </row>
    <row r="428" spans="1:21" x14ac:dyDescent="0.2">
      <c r="A428" t="s">
        <v>52</v>
      </c>
      <c r="B428" t="s">
        <v>75</v>
      </c>
      <c r="C428" t="s">
        <v>8</v>
      </c>
      <c r="D428" t="s">
        <v>10</v>
      </c>
      <c r="E428">
        <v>2986</v>
      </c>
      <c r="F428">
        <v>2272</v>
      </c>
      <c r="G428">
        <v>2589</v>
      </c>
      <c r="H428">
        <v>2421</v>
      </c>
      <c r="I428">
        <v>2472</v>
      </c>
      <c r="J428">
        <v>2580</v>
      </c>
      <c r="K428">
        <v>3117</v>
      </c>
      <c r="L428">
        <v>3034</v>
      </c>
      <c r="M428">
        <v>3066</v>
      </c>
      <c r="N428">
        <v>3261</v>
      </c>
      <c r="O428">
        <v>3168</v>
      </c>
      <c r="P428">
        <v>3218</v>
      </c>
      <c r="Q428">
        <v>3141</v>
      </c>
      <c r="R428">
        <v>3232</v>
      </c>
      <c r="S428">
        <v>3365</v>
      </c>
      <c r="T428">
        <v>3523.8670000000002</v>
      </c>
      <c r="U428">
        <v>3269.0990000000002</v>
      </c>
    </row>
    <row r="429" spans="1:21" x14ac:dyDescent="0.2">
      <c r="A429" t="s">
        <v>53</v>
      </c>
      <c r="B429" t="s">
        <v>75</v>
      </c>
      <c r="C429" t="s">
        <v>8</v>
      </c>
      <c r="D429" t="s">
        <v>10</v>
      </c>
      <c r="E429">
        <v>7350</v>
      </c>
      <c r="F429">
        <v>6471</v>
      </c>
      <c r="G429">
        <v>7353</v>
      </c>
      <c r="H429">
        <v>6151</v>
      </c>
      <c r="I429">
        <v>6267</v>
      </c>
      <c r="J429">
        <v>6844</v>
      </c>
      <c r="K429">
        <v>6790</v>
      </c>
      <c r="L429">
        <v>7079</v>
      </c>
      <c r="M429">
        <v>8014</v>
      </c>
      <c r="N429">
        <v>8232</v>
      </c>
      <c r="O429">
        <v>6450</v>
      </c>
      <c r="P429">
        <v>7549</v>
      </c>
      <c r="Q429">
        <v>6145</v>
      </c>
      <c r="R429">
        <v>6866</v>
      </c>
      <c r="S429">
        <v>6946</v>
      </c>
      <c r="T429">
        <v>7674</v>
      </c>
      <c r="U429">
        <v>7218</v>
      </c>
    </row>
    <row r="430" spans="1:21" x14ac:dyDescent="0.2">
      <c r="A430" t="s">
        <v>54</v>
      </c>
      <c r="B430" t="s">
        <v>75</v>
      </c>
      <c r="C430" t="s">
        <v>8</v>
      </c>
      <c r="D430" t="s">
        <v>10</v>
      </c>
      <c r="E430">
        <v>14646</v>
      </c>
      <c r="F430">
        <v>14673</v>
      </c>
      <c r="G430">
        <v>15173</v>
      </c>
      <c r="H430">
        <v>15523</v>
      </c>
      <c r="I430">
        <v>15937</v>
      </c>
      <c r="J430">
        <v>16200</v>
      </c>
      <c r="K430">
        <v>16549</v>
      </c>
      <c r="L430">
        <v>17254</v>
      </c>
      <c r="M430">
        <v>17846</v>
      </c>
      <c r="N430">
        <v>17263</v>
      </c>
      <c r="O430">
        <v>17857</v>
      </c>
      <c r="P430">
        <v>17505</v>
      </c>
      <c r="Q430">
        <v>17459</v>
      </c>
      <c r="R430">
        <v>17450</v>
      </c>
      <c r="S430">
        <v>17645</v>
      </c>
      <c r="T430">
        <v>17520</v>
      </c>
      <c r="U430">
        <v>18200</v>
      </c>
    </row>
    <row r="431" spans="1:21" x14ac:dyDescent="0.2">
      <c r="A431" t="s">
        <v>55</v>
      </c>
      <c r="B431" t="s">
        <v>75</v>
      </c>
      <c r="C431" t="s">
        <v>8</v>
      </c>
      <c r="D431" t="s">
        <v>10</v>
      </c>
      <c r="E431">
        <v>28002</v>
      </c>
      <c r="F431">
        <v>27263</v>
      </c>
      <c r="G431">
        <v>27557</v>
      </c>
      <c r="H431">
        <v>26135</v>
      </c>
      <c r="I431">
        <v>27139</v>
      </c>
      <c r="J431">
        <v>28457</v>
      </c>
      <c r="K431">
        <v>28096</v>
      </c>
      <c r="L431">
        <v>26744</v>
      </c>
      <c r="M431">
        <v>27187</v>
      </c>
      <c r="N431">
        <v>24636</v>
      </c>
      <c r="O431">
        <v>25741</v>
      </c>
      <c r="P431">
        <v>25504</v>
      </c>
      <c r="Q431">
        <v>26347</v>
      </c>
      <c r="R431">
        <v>27736</v>
      </c>
      <c r="S431">
        <v>28733</v>
      </c>
      <c r="T431">
        <v>27563</v>
      </c>
      <c r="U431">
        <v>28012</v>
      </c>
    </row>
    <row r="432" spans="1:21" x14ac:dyDescent="0.2">
      <c r="A432" t="s">
        <v>56</v>
      </c>
      <c r="B432" t="s">
        <v>75</v>
      </c>
      <c r="C432" t="s">
        <v>8</v>
      </c>
      <c r="D432" t="s">
        <v>10</v>
      </c>
      <c r="E432">
        <v>93620</v>
      </c>
      <c r="F432">
        <v>91722</v>
      </c>
      <c r="G432">
        <v>95178</v>
      </c>
      <c r="H432">
        <v>98878</v>
      </c>
      <c r="I432">
        <v>97618</v>
      </c>
      <c r="J432">
        <v>97764</v>
      </c>
      <c r="K432">
        <v>99861</v>
      </c>
      <c r="L432">
        <v>95628</v>
      </c>
      <c r="M432">
        <v>97372</v>
      </c>
      <c r="N432">
        <v>95718</v>
      </c>
      <c r="O432">
        <v>96802</v>
      </c>
      <c r="P432">
        <v>97652</v>
      </c>
      <c r="Q432">
        <v>93356</v>
      </c>
      <c r="R432">
        <v>94144.376999999993</v>
      </c>
      <c r="S432">
        <v>93692.277000000002</v>
      </c>
      <c r="T432">
        <v>92792.122000000003</v>
      </c>
      <c r="U432">
        <v>92256.781000000003</v>
      </c>
    </row>
    <row r="433" spans="1:21" x14ac:dyDescent="0.2">
      <c r="A433" t="s">
        <v>57</v>
      </c>
      <c r="B433" t="s">
        <v>75</v>
      </c>
      <c r="C433" t="s">
        <v>8</v>
      </c>
      <c r="D433" t="s">
        <v>10</v>
      </c>
      <c r="E433">
        <v>802</v>
      </c>
      <c r="F433">
        <v>784</v>
      </c>
      <c r="G433">
        <v>882</v>
      </c>
      <c r="H433">
        <v>916</v>
      </c>
      <c r="I433">
        <v>957</v>
      </c>
      <c r="J433">
        <v>989</v>
      </c>
      <c r="K433">
        <v>1063</v>
      </c>
      <c r="L433">
        <v>1021</v>
      </c>
      <c r="M433">
        <v>1023</v>
      </c>
      <c r="N433">
        <v>1019</v>
      </c>
      <c r="O433">
        <v>1037</v>
      </c>
      <c r="P433">
        <v>1040</v>
      </c>
      <c r="Q433">
        <v>1026</v>
      </c>
      <c r="R433">
        <v>1217</v>
      </c>
      <c r="S433">
        <v>1263</v>
      </c>
      <c r="T433">
        <v>1331.617</v>
      </c>
      <c r="U433">
        <v>1714.0719999999999</v>
      </c>
    </row>
    <row r="434" spans="1:21" x14ac:dyDescent="0.2">
      <c r="A434" t="s">
        <v>58</v>
      </c>
      <c r="B434" t="s">
        <v>75</v>
      </c>
      <c r="C434" t="s">
        <v>8</v>
      </c>
      <c r="D434" t="s">
        <v>10</v>
      </c>
      <c r="E434">
        <v>24323</v>
      </c>
      <c r="F434">
        <v>20833</v>
      </c>
      <c r="G434">
        <v>21586</v>
      </c>
      <c r="H434">
        <v>21954</v>
      </c>
      <c r="I434">
        <v>21160</v>
      </c>
      <c r="J434">
        <v>23322</v>
      </c>
      <c r="K434">
        <v>23656</v>
      </c>
      <c r="L434">
        <v>26892</v>
      </c>
      <c r="M434">
        <v>26188</v>
      </c>
      <c r="N434">
        <v>24863</v>
      </c>
      <c r="O434">
        <v>25856</v>
      </c>
      <c r="P434">
        <v>26056</v>
      </c>
      <c r="Q434">
        <v>24659</v>
      </c>
      <c r="R434">
        <v>24660</v>
      </c>
      <c r="S434">
        <v>26133</v>
      </c>
      <c r="T434">
        <v>25012</v>
      </c>
      <c r="U434">
        <v>25446.355</v>
      </c>
    </row>
    <row r="435" spans="1:21" x14ac:dyDescent="0.2">
      <c r="A435" t="s">
        <v>59</v>
      </c>
      <c r="B435" t="s">
        <v>75</v>
      </c>
      <c r="C435" t="s">
        <v>8</v>
      </c>
      <c r="D435" t="s">
        <v>10</v>
      </c>
      <c r="E435">
        <v>335</v>
      </c>
      <c r="F435">
        <v>313</v>
      </c>
      <c r="G435">
        <v>4590</v>
      </c>
      <c r="H435">
        <v>4956</v>
      </c>
      <c r="I435">
        <v>5195</v>
      </c>
      <c r="J435">
        <v>5369</v>
      </c>
      <c r="K435">
        <v>5615</v>
      </c>
      <c r="L435">
        <v>4828</v>
      </c>
      <c r="M435">
        <v>4957</v>
      </c>
      <c r="N435">
        <v>5003</v>
      </c>
      <c r="O435">
        <v>4918</v>
      </c>
      <c r="P435">
        <v>4899</v>
      </c>
      <c r="Q435">
        <v>4566</v>
      </c>
      <c r="R435">
        <v>4920</v>
      </c>
      <c r="S435">
        <v>5005</v>
      </c>
      <c r="T435">
        <v>5190.2700000000004</v>
      </c>
      <c r="U435">
        <v>5183.1689999999999</v>
      </c>
    </row>
    <row r="436" spans="1:21" x14ac:dyDescent="0.2">
      <c r="A436" t="s">
        <v>29</v>
      </c>
      <c r="B436" t="s">
        <v>76</v>
      </c>
      <c r="C436" t="s">
        <v>8</v>
      </c>
      <c r="D436" t="s">
        <v>10</v>
      </c>
      <c r="E436">
        <v>25921</v>
      </c>
      <c r="F436">
        <v>26026</v>
      </c>
      <c r="G436">
        <v>26543</v>
      </c>
      <c r="H436">
        <v>26007</v>
      </c>
      <c r="I436">
        <v>22722</v>
      </c>
      <c r="J436">
        <v>21856</v>
      </c>
      <c r="K436">
        <v>19982</v>
      </c>
      <c r="L436">
        <v>20210</v>
      </c>
      <c r="M436">
        <v>20276</v>
      </c>
      <c r="N436">
        <v>19257</v>
      </c>
      <c r="O436">
        <v>19848</v>
      </c>
      <c r="P436">
        <v>19810</v>
      </c>
      <c r="Q436">
        <v>18992.2</v>
      </c>
      <c r="R436">
        <v>18862.2</v>
      </c>
      <c r="S436">
        <v>18884.599999999999</v>
      </c>
      <c r="T436">
        <v>18567.599999999999</v>
      </c>
      <c r="U436">
        <v>18440.8</v>
      </c>
    </row>
    <row r="437" spans="1:21" x14ac:dyDescent="0.2">
      <c r="A437" t="s">
        <v>30</v>
      </c>
      <c r="B437" t="s">
        <v>76</v>
      </c>
      <c r="C437" t="s">
        <v>8</v>
      </c>
      <c r="D437" t="s">
        <v>10</v>
      </c>
      <c r="E437">
        <v>9306</v>
      </c>
      <c r="F437">
        <v>9311</v>
      </c>
      <c r="G437">
        <v>8770</v>
      </c>
      <c r="H437">
        <v>9046</v>
      </c>
      <c r="I437">
        <v>9305</v>
      </c>
      <c r="J437">
        <v>9376</v>
      </c>
      <c r="K437">
        <v>10027</v>
      </c>
      <c r="L437">
        <v>10302</v>
      </c>
      <c r="M437">
        <v>10559</v>
      </c>
      <c r="N437">
        <v>10912</v>
      </c>
      <c r="O437">
        <v>10838</v>
      </c>
      <c r="P437">
        <v>10537</v>
      </c>
      <c r="Q437">
        <v>10590</v>
      </c>
      <c r="R437">
        <v>10644</v>
      </c>
      <c r="S437">
        <v>10733</v>
      </c>
      <c r="T437">
        <v>11137.538</v>
      </c>
      <c r="U437">
        <v>10963.025</v>
      </c>
    </row>
    <row r="438" spans="1:21" x14ac:dyDescent="0.2">
      <c r="A438" t="s">
        <v>31</v>
      </c>
      <c r="B438" t="s">
        <v>76</v>
      </c>
      <c r="C438" t="s">
        <v>8</v>
      </c>
      <c r="D438" t="s">
        <v>10</v>
      </c>
      <c r="E438">
        <v>14121</v>
      </c>
      <c r="F438">
        <v>14508</v>
      </c>
      <c r="G438">
        <v>14525</v>
      </c>
      <c r="H438">
        <v>14719</v>
      </c>
      <c r="I438">
        <v>15198</v>
      </c>
      <c r="J438">
        <v>14646</v>
      </c>
      <c r="K438">
        <v>14703</v>
      </c>
      <c r="L438">
        <v>14687</v>
      </c>
      <c r="M438">
        <v>15028</v>
      </c>
      <c r="N438">
        <v>14200</v>
      </c>
      <c r="O438">
        <v>14581</v>
      </c>
      <c r="P438">
        <v>14716</v>
      </c>
      <c r="Q438">
        <v>14125</v>
      </c>
      <c r="R438">
        <v>14382</v>
      </c>
      <c r="S438">
        <v>14935</v>
      </c>
      <c r="T438">
        <v>15211.27</v>
      </c>
      <c r="U438">
        <v>15049.536</v>
      </c>
    </row>
    <row r="439" spans="1:21" x14ac:dyDescent="0.2">
      <c r="A439" t="s">
        <v>32</v>
      </c>
      <c r="B439" t="s">
        <v>76</v>
      </c>
      <c r="C439" t="s">
        <v>8</v>
      </c>
      <c r="D439" t="s">
        <v>10</v>
      </c>
      <c r="E439">
        <v>10190</v>
      </c>
      <c r="F439">
        <v>10262</v>
      </c>
      <c r="G439">
        <v>10332</v>
      </c>
      <c r="H439">
        <v>10449</v>
      </c>
      <c r="I439">
        <v>10573</v>
      </c>
      <c r="J439">
        <v>10349</v>
      </c>
      <c r="K439">
        <v>10280</v>
      </c>
      <c r="L439">
        <v>10096</v>
      </c>
      <c r="M439">
        <v>10389</v>
      </c>
      <c r="N439">
        <v>10111</v>
      </c>
      <c r="O439">
        <v>9989</v>
      </c>
      <c r="P439">
        <v>10307</v>
      </c>
      <c r="Q439">
        <v>10104</v>
      </c>
      <c r="R439">
        <v>10176.653</v>
      </c>
      <c r="S439">
        <v>10296.171</v>
      </c>
      <c r="T439">
        <v>9863.9269999999997</v>
      </c>
      <c r="U439">
        <v>9772.9310000000005</v>
      </c>
    </row>
    <row r="440" spans="1:21" x14ac:dyDescent="0.2">
      <c r="A440" t="s">
        <v>33</v>
      </c>
      <c r="B440" t="s">
        <v>76</v>
      </c>
      <c r="C440" t="s">
        <v>8</v>
      </c>
      <c r="D440" t="s">
        <v>10</v>
      </c>
      <c r="E440">
        <v>136500</v>
      </c>
      <c r="F440">
        <v>139100</v>
      </c>
      <c r="G440">
        <v>140400</v>
      </c>
      <c r="H440">
        <v>141300</v>
      </c>
      <c r="I440">
        <v>141500</v>
      </c>
      <c r="J440">
        <v>140100</v>
      </c>
      <c r="K440">
        <v>139500</v>
      </c>
      <c r="L440">
        <v>139200</v>
      </c>
      <c r="M440">
        <v>141700</v>
      </c>
      <c r="N440">
        <v>136600</v>
      </c>
      <c r="O440">
        <v>137000</v>
      </c>
      <c r="P440">
        <v>136000</v>
      </c>
      <c r="Q440">
        <v>129600</v>
      </c>
      <c r="R440">
        <v>128700</v>
      </c>
      <c r="S440">
        <v>128200</v>
      </c>
      <c r="T440">
        <v>128200</v>
      </c>
      <c r="U440">
        <v>128200</v>
      </c>
    </row>
    <row r="441" spans="1:21" x14ac:dyDescent="0.2">
      <c r="A441" t="s">
        <v>34</v>
      </c>
      <c r="B441" t="s">
        <v>76</v>
      </c>
      <c r="C441" t="s">
        <v>8</v>
      </c>
      <c r="D441" t="s">
        <v>10</v>
      </c>
      <c r="E441">
        <v>1584</v>
      </c>
      <c r="F441">
        <v>1594</v>
      </c>
      <c r="G441">
        <v>1618</v>
      </c>
      <c r="H441">
        <v>1620</v>
      </c>
      <c r="I441">
        <v>1675</v>
      </c>
      <c r="J441">
        <v>1773</v>
      </c>
      <c r="K441">
        <v>1845</v>
      </c>
      <c r="L441">
        <v>1884</v>
      </c>
      <c r="M441">
        <v>2023</v>
      </c>
      <c r="N441">
        <v>1934</v>
      </c>
      <c r="O441">
        <v>1956</v>
      </c>
      <c r="P441">
        <v>1865</v>
      </c>
      <c r="Q441">
        <v>1739</v>
      </c>
      <c r="R441">
        <v>1728</v>
      </c>
      <c r="S441">
        <v>1913</v>
      </c>
      <c r="T441">
        <v>1940</v>
      </c>
      <c r="U441">
        <v>1860</v>
      </c>
    </row>
    <row r="442" spans="1:21" x14ac:dyDescent="0.2">
      <c r="A442" t="s">
        <v>35</v>
      </c>
      <c r="B442" t="s">
        <v>76</v>
      </c>
      <c r="C442" t="s">
        <v>8</v>
      </c>
      <c r="D442" t="s">
        <v>10</v>
      </c>
      <c r="E442">
        <v>6579</v>
      </c>
      <c r="F442">
        <v>6966</v>
      </c>
      <c r="G442">
        <v>7346</v>
      </c>
      <c r="H442">
        <v>7511.598</v>
      </c>
      <c r="I442">
        <v>8082.7259999999997</v>
      </c>
      <c r="J442">
        <v>8062.94</v>
      </c>
      <c r="K442">
        <v>8525.6540000000005</v>
      </c>
      <c r="L442">
        <v>8123.1729999999998</v>
      </c>
      <c r="M442">
        <v>8545.9689999999991</v>
      </c>
      <c r="N442">
        <v>8283.2289999999994</v>
      </c>
      <c r="O442">
        <v>8120.4669999999996</v>
      </c>
      <c r="P442">
        <v>7947.7430000000004</v>
      </c>
      <c r="Q442">
        <v>7703.799</v>
      </c>
      <c r="R442">
        <v>7880.7610000000004</v>
      </c>
      <c r="S442">
        <v>7872.7449999999999</v>
      </c>
      <c r="T442">
        <v>7959.0190000000002</v>
      </c>
      <c r="U442">
        <v>8173.7759999999998</v>
      </c>
    </row>
    <row r="443" spans="1:21" x14ac:dyDescent="0.2">
      <c r="A443" t="s">
        <v>36</v>
      </c>
      <c r="B443" t="s">
        <v>76</v>
      </c>
      <c r="C443" t="s">
        <v>8</v>
      </c>
      <c r="D443" t="s">
        <v>10</v>
      </c>
      <c r="E443">
        <v>15775</v>
      </c>
      <c r="F443">
        <v>16444</v>
      </c>
      <c r="G443">
        <v>16852</v>
      </c>
      <c r="H443">
        <v>16875</v>
      </c>
      <c r="I443">
        <v>17676</v>
      </c>
      <c r="J443">
        <v>17957</v>
      </c>
      <c r="K443">
        <v>18126</v>
      </c>
      <c r="L443">
        <v>18131</v>
      </c>
      <c r="M443">
        <v>18130</v>
      </c>
      <c r="N443">
        <v>17628</v>
      </c>
      <c r="O443">
        <v>19058</v>
      </c>
      <c r="P443">
        <v>17446</v>
      </c>
      <c r="Q443">
        <v>17151</v>
      </c>
      <c r="R443">
        <v>17538</v>
      </c>
      <c r="S443">
        <v>19997</v>
      </c>
      <c r="T443">
        <v>19627.851999999999</v>
      </c>
      <c r="U443">
        <v>16762.61</v>
      </c>
    </row>
    <row r="444" spans="1:21" x14ac:dyDescent="0.2">
      <c r="A444" t="s">
        <v>37</v>
      </c>
      <c r="B444" t="s">
        <v>76</v>
      </c>
      <c r="C444" t="s">
        <v>8</v>
      </c>
      <c r="D444" t="s">
        <v>10</v>
      </c>
      <c r="E444">
        <v>50636</v>
      </c>
      <c r="F444">
        <v>54235</v>
      </c>
      <c r="G444">
        <v>58046</v>
      </c>
      <c r="H444">
        <v>62584</v>
      </c>
      <c r="I444">
        <v>67882</v>
      </c>
      <c r="J444">
        <v>68214</v>
      </c>
      <c r="K444">
        <v>69438</v>
      </c>
      <c r="L444">
        <v>71411</v>
      </c>
      <c r="M444">
        <v>75679</v>
      </c>
      <c r="N444">
        <v>76107</v>
      </c>
      <c r="O444">
        <v>75088</v>
      </c>
      <c r="P444">
        <v>71060</v>
      </c>
      <c r="Q444">
        <v>70710</v>
      </c>
      <c r="R444">
        <v>70069</v>
      </c>
      <c r="S444">
        <v>69648</v>
      </c>
      <c r="T444">
        <v>71393</v>
      </c>
      <c r="U444">
        <v>75006</v>
      </c>
    </row>
    <row r="445" spans="1:21" x14ac:dyDescent="0.2">
      <c r="A445" t="s">
        <v>38</v>
      </c>
      <c r="B445" t="s">
        <v>76</v>
      </c>
      <c r="C445" t="s">
        <v>8</v>
      </c>
      <c r="D445" t="s">
        <v>10</v>
      </c>
      <c r="E445">
        <v>132998</v>
      </c>
      <c r="F445">
        <v>141554</v>
      </c>
      <c r="G445">
        <v>143380</v>
      </c>
      <c r="H445">
        <v>138483</v>
      </c>
      <c r="I445">
        <v>143327</v>
      </c>
      <c r="J445">
        <v>141589</v>
      </c>
      <c r="K445">
        <v>152652</v>
      </c>
      <c r="L445">
        <v>149032</v>
      </c>
      <c r="M445">
        <v>161520</v>
      </c>
      <c r="N445">
        <v>146269.61300000001</v>
      </c>
      <c r="O445">
        <v>158184.20199999999</v>
      </c>
      <c r="P445">
        <v>166129.611</v>
      </c>
      <c r="Q445">
        <v>149021.302</v>
      </c>
      <c r="R445">
        <v>155430.87599999999</v>
      </c>
      <c r="S445">
        <v>161164.253</v>
      </c>
      <c r="T445">
        <v>159206.60500000001</v>
      </c>
      <c r="U445">
        <v>158330.128</v>
      </c>
    </row>
    <row r="446" spans="1:21" x14ac:dyDescent="0.2">
      <c r="A446" t="s">
        <v>39</v>
      </c>
      <c r="B446" t="s">
        <v>76</v>
      </c>
      <c r="C446" t="s">
        <v>8</v>
      </c>
      <c r="D446" t="s">
        <v>10</v>
      </c>
      <c r="E446">
        <v>5954</v>
      </c>
      <c r="F446">
        <v>5694</v>
      </c>
      <c r="G446">
        <v>6072</v>
      </c>
      <c r="H446">
        <v>6333</v>
      </c>
      <c r="I446">
        <v>6520</v>
      </c>
      <c r="J446">
        <v>6392</v>
      </c>
      <c r="K446">
        <v>6711</v>
      </c>
      <c r="L446">
        <v>6471</v>
      </c>
      <c r="M446">
        <v>6664</v>
      </c>
      <c r="N446">
        <v>6541</v>
      </c>
      <c r="O446">
        <v>6486</v>
      </c>
      <c r="P446">
        <v>6237</v>
      </c>
      <c r="Q446">
        <v>6033</v>
      </c>
      <c r="R446">
        <v>6202</v>
      </c>
      <c r="S446">
        <v>6128</v>
      </c>
      <c r="T446">
        <v>6265.7</v>
      </c>
      <c r="U446">
        <v>6201.7</v>
      </c>
    </row>
    <row r="447" spans="1:21" x14ac:dyDescent="0.2">
      <c r="A447" t="s">
        <v>40</v>
      </c>
      <c r="B447" t="s">
        <v>76</v>
      </c>
      <c r="C447" t="s">
        <v>8</v>
      </c>
      <c r="D447" t="s">
        <v>10</v>
      </c>
      <c r="E447">
        <v>62957</v>
      </c>
      <c r="F447">
        <v>65016</v>
      </c>
      <c r="G447">
        <v>66592</v>
      </c>
      <c r="H447">
        <v>66960</v>
      </c>
      <c r="I447">
        <v>67635</v>
      </c>
      <c r="J447">
        <v>67220</v>
      </c>
      <c r="K447">
        <v>68389</v>
      </c>
      <c r="L447">
        <v>68924</v>
      </c>
      <c r="M447">
        <v>69550</v>
      </c>
      <c r="N447">
        <v>70140</v>
      </c>
      <c r="O447">
        <v>69457</v>
      </c>
      <c r="P447">
        <v>66983</v>
      </c>
      <c r="Q447">
        <v>64255</v>
      </c>
      <c r="R447">
        <v>66187</v>
      </c>
      <c r="S447">
        <v>64304</v>
      </c>
      <c r="T447">
        <v>65490.697999999997</v>
      </c>
      <c r="U447">
        <v>65137.794999999998</v>
      </c>
    </row>
    <row r="448" spans="1:21" x14ac:dyDescent="0.2">
      <c r="A448" t="s">
        <v>41</v>
      </c>
      <c r="B448" t="s">
        <v>76</v>
      </c>
      <c r="C448" t="s">
        <v>8</v>
      </c>
      <c r="D448" t="s">
        <v>10</v>
      </c>
      <c r="E448">
        <v>1157</v>
      </c>
      <c r="F448">
        <v>1295</v>
      </c>
      <c r="G448">
        <v>1316</v>
      </c>
      <c r="H448">
        <v>1433</v>
      </c>
      <c r="I448">
        <v>1500</v>
      </c>
      <c r="J448">
        <v>1608</v>
      </c>
      <c r="K448">
        <v>1683</v>
      </c>
      <c r="L448">
        <v>1722</v>
      </c>
      <c r="M448">
        <v>1738</v>
      </c>
      <c r="N448">
        <v>1723</v>
      </c>
      <c r="O448">
        <v>1673</v>
      </c>
      <c r="P448">
        <v>1437</v>
      </c>
      <c r="Q448">
        <v>1425</v>
      </c>
      <c r="R448">
        <v>1515</v>
      </c>
      <c r="S448">
        <v>1585</v>
      </c>
      <c r="T448">
        <v>1664.4739999999999</v>
      </c>
      <c r="U448">
        <v>1688.278</v>
      </c>
    </row>
    <row r="449" spans="1:21" x14ac:dyDescent="0.2">
      <c r="A449" t="s">
        <v>42</v>
      </c>
      <c r="B449" t="s">
        <v>76</v>
      </c>
      <c r="C449" t="s">
        <v>8</v>
      </c>
      <c r="D449" t="s">
        <v>10</v>
      </c>
      <c r="E449">
        <v>1317</v>
      </c>
      <c r="F449">
        <v>1421</v>
      </c>
      <c r="G449">
        <v>1467</v>
      </c>
      <c r="H449">
        <v>1572</v>
      </c>
      <c r="I449">
        <v>1728</v>
      </c>
      <c r="J449">
        <v>1794</v>
      </c>
      <c r="K449">
        <v>2031</v>
      </c>
      <c r="L449">
        <v>2000</v>
      </c>
      <c r="M449">
        <v>1938</v>
      </c>
      <c r="N449">
        <v>1772</v>
      </c>
      <c r="O449">
        <v>1776</v>
      </c>
      <c r="P449">
        <v>1783</v>
      </c>
      <c r="Q449">
        <v>1747</v>
      </c>
      <c r="R449">
        <v>1759</v>
      </c>
      <c r="S449">
        <v>1793</v>
      </c>
      <c r="T449">
        <v>1656.4739999999999</v>
      </c>
      <c r="U449">
        <v>1670.0830000000001</v>
      </c>
    </row>
    <row r="450" spans="1:21" x14ac:dyDescent="0.2">
      <c r="A450" t="s">
        <v>43</v>
      </c>
      <c r="B450" t="s">
        <v>76</v>
      </c>
      <c r="C450" t="s">
        <v>8</v>
      </c>
      <c r="D450" t="s">
        <v>10</v>
      </c>
      <c r="E450">
        <v>1811</v>
      </c>
      <c r="F450">
        <v>1918</v>
      </c>
      <c r="G450">
        <v>2090</v>
      </c>
      <c r="H450">
        <v>2162</v>
      </c>
      <c r="I450">
        <v>2374</v>
      </c>
      <c r="J450">
        <v>2489</v>
      </c>
      <c r="K450">
        <v>2730</v>
      </c>
      <c r="L450">
        <v>2725</v>
      </c>
      <c r="M450">
        <v>2590</v>
      </c>
      <c r="N450">
        <v>2618</v>
      </c>
      <c r="O450">
        <v>2642</v>
      </c>
      <c r="P450">
        <v>2591</v>
      </c>
      <c r="Q450">
        <v>2656</v>
      </c>
      <c r="R450">
        <v>2660</v>
      </c>
      <c r="S450">
        <v>2775</v>
      </c>
      <c r="T450">
        <v>2837.6</v>
      </c>
      <c r="U450">
        <v>2984.5</v>
      </c>
    </row>
    <row r="451" spans="1:21" x14ac:dyDescent="0.2">
      <c r="A451" t="s">
        <v>44</v>
      </c>
      <c r="B451" t="s">
        <v>76</v>
      </c>
      <c r="C451" t="s">
        <v>8</v>
      </c>
      <c r="D451" t="s">
        <v>10</v>
      </c>
      <c r="E451">
        <v>808.46400000000006</v>
      </c>
      <c r="F451">
        <v>822.38300000000004</v>
      </c>
      <c r="G451">
        <v>838.76499999999999</v>
      </c>
      <c r="H451">
        <v>845.08600000000001</v>
      </c>
      <c r="I451">
        <v>830.98599999999999</v>
      </c>
      <c r="J451">
        <v>843.57</v>
      </c>
      <c r="K451">
        <v>776.42700000000002</v>
      </c>
      <c r="L451">
        <v>904.44799999999998</v>
      </c>
      <c r="M451">
        <v>815.15499999999997</v>
      </c>
      <c r="N451">
        <v>851.61500000000001</v>
      </c>
      <c r="O451">
        <v>916.49300000000005</v>
      </c>
      <c r="P451">
        <v>979.40300000000002</v>
      </c>
      <c r="Q451">
        <v>1011.248</v>
      </c>
      <c r="R451">
        <v>989.68600000000004</v>
      </c>
      <c r="S451">
        <v>976.49</v>
      </c>
      <c r="T451">
        <v>970.45899999999995</v>
      </c>
      <c r="U451">
        <v>930.64099999999996</v>
      </c>
    </row>
    <row r="452" spans="1:21" x14ac:dyDescent="0.2">
      <c r="A452" t="s">
        <v>45</v>
      </c>
      <c r="B452" t="s">
        <v>76</v>
      </c>
      <c r="C452" t="s">
        <v>8</v>
      </c>
      <c r="D452" t="s">
        <v>10</v>
      </c>
      <c r="E452">
        <v>10440</v>
      </c>
      <c r="F452">
        <v>11063</v>
      </c>
      <c r="G452">
        <v>11032</v>
      </c>
      <c r="H452">
        <v>11115</v>
      </c>
      <c r="I452">
        <v>11451</v>
      </c>
      <c r="J452">
        <v>11250</v>
      </c>
      <c r="K452">
        <v>11460</v>
      </c>
      <c r="L452">
        <v>11235</v>
      </c>
      <c r="M452">
        <v>11202</v>
      </c>
      <c r="N452">
        <v>11312</v>
      </c>
      <c r="O452">
        <v>10620</v>
      </c>
      <c r="P452">
        <v>10580</v>
      </c>
      <c r="Q452">
        <v>10423</v>
      </c>
      <c r="R452">
        <v>10839</v>
      </c>
      <c r="S452">
        <v>10954</v>
      </c>
      <c r="T452">
        <v>11249</v>
      </c>
      <c r="U452">
        <v>11370</v>
      </c>
    </row>
    <row r="453" spans="1:21" x14ac:dyDescent="0.2">
      <c r="A453" t="s">
        <v>46</v>
      </c>
      <c r="B453" t="s">
        <v>76</v>
      </c>
      <c r="C453" t="s">
        <v>8</v>
      </c>
      <c r="D453" t="s">
        <v>10</v>
      </c>
      <c r="E453">
        <v>570</v>
      </c>
      <c r="F453">
        <v>629</v>
      </c>
      <c r="G453">
        <v>615</v>
      </c>
      <c r="H453">
        <v>623</v>
      </c>
      <c r="I453">
        <v>659</v>
      </c>
      <c r="J453">
        <v>658</v>
      </c>
      <c r="K453">
        <v>645</v>
      </c>
      <c r="L453">
        <v>570</v>
      </c>
      <c r="M453">
        <v>589</v>
      </c>
      <c r="N453">
        <v>594</v>
      </c>
      <c r="O453">
        <v>614</v>
      </c>
      <c r="P453">
        <v>609</v>
      </c>
      <c r="Q453">
        <v>615</v>
      </c>
      <c r="R453">
        <v>656</v>
      </c>
      <c r="S453">
        <v>665.94399999999996</v>
      </c>
      <c r="T453">
        <v>727.83799999999997</v>
      </c>
      <c r="U453">
        <v>755.61599999999999</v>
      </c>
    </row>
    <row r="454" spans="1:21" x14ac:dyDescent="0.2">
      <c r="A454" t="s">
        <v>47</v>
      </c>
      <c r="B454" t="s">
        <v>76</v>
      </c>
      <c r="C454" t="s">
        <v>8</v>
      </c>
      <c r="D454" t="s">
        <v>10</v>
      </c>
      <c r="E454">
        <v>20945</v>
      </c>
      <c r="F454">
        <v>21418</v>
      </c>
      <c r="G454">
        <v>21518</v>
      </c>
      <c r="H454">
        <v>21796</v>
      </c>
      <c r="I454">
        <v>22081</v>
      </c>
      <c r="J454">
        <v>22268</v>
      </c>
      <c r="K454">
        <v>22501</v>
      </c>
      <c r="L454">
        <v>22872</v>
      </c>
      <c r="M454">
        <v>22994</v>
      </c>
      <c r="N454">
        <v>23043</v>
      </c>
      <c r="O454">
        <v>23363.329000000002</v>
      </c>
      <c r="P454">
        <v>23360.958999999999</v>
      </c>
      <c r="Q454">
        <v>22829.305</v>
      </c>
      <c r="R454">
        <v>22620.42</v>
      </c>
      <c r="S454">
        <v>22584.579000000002</v>
      </c>
      <c r="T454">
        <v>22596.661</v>
      </c>
      <c r="U454">
        <v>22970.68</v>
      </c>
    </row>
    <row r="455" spans="1:21" x14ac:dyDescent="0.2">
      <c r="A455" t="s">
        <v>48</v>
      </c>
      <c r="B455" t="s">
        <v>76</v>
      </c>
      <c r="C455" t="s">
        <v>8</v>
      </c>
      <c r="D455" t="s">
        <v>10</v>
      </c>
      <c r="E455">
        <v>16730</v>
      </c>
      <c r="F455">
        <v>17275</v>
      </c>
      <c r="G455">
        <v>17119</v>
      </c>
      <c r="H455">
        <v>16417.681</v>
      </c>
      <c r="I455">
        <v>16441.653999999999</v>
      </c>
      <c r="J455">
        <v>16483.886999999999</v>
      </c>
      <c r="K455">
        <v>16616.866999999998</v>
      </c>
      <c r="L455">
        <v>17233.268</v>
      </c>
      <c r="M455">
        <v>17657.492999999999</v>
      </c>
      <c r="N455">
        <v>17273.638999999999</v>
      </c>
      <c r="O455">
        <v>17550.883000000002</v>
      </c>
      <c r="P455">
        <v>17649.164000000001</v>
      </c>
      <c r="Q455">
        <v>16704.824000000001</v>
      </c>
      <c r="R455">
        <v>17262.511999999999</v>
      </c>
      <c r="S455">
        <v>17880.723000000002</v>
      </c>
      <c r="T455">
        <v>17980.802</v>
      </c>
      <c r="U455">
        <v>17711.332999999999</v>
      </c>
    </row>
    <row r="456" spans="1:21" x14ac:dyDescent="0.2">
      <c r="A456" t="s">
        <v>49</v>
      </c>
      <c r="B456" t="s">
        <v>76</v>
      </c>
      <c r="C456" t="s">
        <v>8</v>
      </c>
      <c r="D456" t="s">
        <v>10</v>
      </c>
      <c r="E456">
        <v>21659</v>
      </c>
      <c r="F456">
        <v>24852</v>
      </c>
      <c r="G456">
        <v>25476</v>
      </c>
      <c r="H456">
        <v>25253</v>
      </c>
      <c r="I456">
        <v>26467</v>
      </c>
      <c r="J456">
        <v>26369</v>
      </c>
      <c r="K456">
        <v>27115</v>
      </c>
      <c r="L456">
        <v>27534</v>
      </c>
      <c r="M456">
        <v>28615</v>
      </c>
      <c r="N456">
        <v>28258</v>
      </c>
      <c r="O456">
        <v>28318</v>
      </c>
      <c r="P456">
        <v>28442</v>
      </c>
      <c r="Q456">
        <v>28083</v>
      </c>
      <c r="R456">
        <v>28280</v>
      </c>
      <c r="S456">
        <v>28909</v>
      </c>
      <c r="T456">
        <v>29181</v>
      </c>
      <c r="U456">
        <v>29284</v>
      </c>
    </row>
    <row r="457" spans="1:21" x14ac:dyDescent="0.2">
      <c r="A457" t="s">
        <v>50</v>
      </c>
      <c r="B457" t="s">
        <v>76</v>
      </c>
      <c r="C457" t="s">
        <v>8</v>
      </c>
      <c r="D457" t="s">
        <v>10</v>
      </c>
      <c r="E457">
        <v>11382</v>
      </c>
      <c r="F457">
        <v>11835</v>
      </c>
      <c r="G457">
        <v>12432</v>
      </c>
      <c r="H457">
        <v>13242</v>
      </c>
      <c r="I457">
        <v>13406</v>
      </c>
      <c r="J457">
        <v>13863</v>
      </c>
      <c r="K457">
        <v>13444</v>
      </c>
      <c r="L457">
        <v>14190</v>
      </c>
      <c r="M457">
        <v>14522</v>
      </c>
      <c r="N457">
        <v>13752</v>
      </c>
      <c r="O457">
        <v>12898</v>
      </c>
      <c r="P457">
        <v>12314</v>
      </c>
      <c r="Q457">
        <v>11915</v>
      </c>
      <c r="R457">
        <v>11974</v>
      </c>
      <c r="S457">
        <v>12972.684999999999</v>
      </c>
      <c r="T457">
        <v>12589.675999999999</v>
      </c>
      <c r="U457">
        <v>13212.525</v>
      </c>
    </row>
    <row r="458" spans="1:21" x14ac:dyDescent="0.2">
      <c r="A458" t="s">
        <v>51</v>
      </c>
      <c r="B458" t="s">
        <v>76</v>
      </c>
      <c r="C458" t="s">
        <v>8</v>
      </c>
      <c r="D458" t="s">
        <v>10</v>
      </c>
      <c r="E458">
        <v>7771</v>
      </c>
      <c r="F458">
        <v>8243</v>
      </c>
      <c r="G458">
        <v>8043</v>
      </c>
      <c r="H458">
        <v>9234</v>
      </c>
      <c r="I458">
        <v>9999</v>
      </c>
      <c r="J458">
        <v>10389</v>
      </c>
      <c r="K458">
        <v>10400</v>
      </c>
      <c r="L458">
        <v>11021</v>
      </c>
      <c r="M458">
        <v>11329</v>
      </c>
      <c r="N458">
        <v>11577</v>
      </c>
      <c r="O458">
        <v>12035</v>
      </c>
      <c r="P458">
        <v>11896</v>
      </c>
      <c r="Q458">
        <v>11910</v>
      </c>
      <c r="R458">
        <v>12095</v>
      </c>
      <c r="S458">
        <v>12067</v>
      </c>
      <c r="T458">
        <v>12596.669</v>
      </c>
      <c r="U458">
        <v>12779.884</v>
      </c>
    </row>
    <row r="459" spans="1:21" x14ac:dyDescent="0.2">
      <c r="A459" t="s">
        <v>52</v>
      </c>
      <c r="B459" t="s">
        <v>76</v>
      </c>
      <c r="C459" t="s">
        <v>8</v>
      </c>
      <c r="D459" t="s">
        <v>10</v>
      </c>
      <c r="E459">
        <v>2704</v>
      </c>
      <c r="F459">
        <v>3008</v>
      </c>
      <c r="G459">
        <v>3012</v>
      </c>
      <c r="H459">
        <v>2951</v>
      </c>
      <c r="I459">
        <v>3055</v>
      </c>
      <c r="J459">
        <v>3021</v>
      </c>
      <c r="K459">
        <v>3182</v>
      </c>
      <c r="L459">
        <v>3137</v>
      </c>
      <c r="M459">
        <v>3219</v>
      </c>
      <c r="N459">
        <v>3211</v>
      </c>
      <c r="O459">
        <v>3179</v>
      </c>
      <c r="P459">
        <v>3229</v>
      </c>
      <c r="Q459">
        <v>3125</v>
      </c>
      <c r="R459">
        <v>3205</v>
      </c>
      <c r="S459">
        <v>3260</v>
      </c>
      <c r="T459">
        <v>3327.0160000000001</v>
      </c>
      <c r="U459">
        <v>3367.8139999999999</v>
      </c>
    </row>
    <row r="460" spans="1:21" x14ac:dyDescent="0.2">
      <c r="A460" t="s">
        <v>53</v>
      </c>
      <c r="B460" t="s">
        <v>76</v>
      </c>
      <c r="C460" t="s">
        <v>8</v>
      </c>
      <c r="D460" t="s">
        <v>10</v>
      </c>
      <c r="E460">
        <v>5157</v>
      </c>
      <c r="F460">
        <v>5039</v>
      </c>
      <c r="G460">
        <v>4817</v>
      </c>
      <c r="H460">
        <v>4701</v>
      </c>
      <c r="I460">
        <v>4577</v>
      </c>
      <c r="J460">
        <v>4602</v>
      </c>
      <c r="K460">
        <v>4531</v>
      </c>
      <c r="L460">
        <v>4428</v>
      </c>
      <c r="M460">
        <v>4370</v>
      </c>
      <c r="N460">
        <v>4503</v>
      </c>
      <c r="O460">
        <v>4734</v>
      </c>
      <c r="P460">
        <v>4930</v>
      </c>
      <c r="Q460">
        <v>4917</v>
      </c>
      <c r="R460">
        <v>5035</v>
      </c>
      <c r="S460">
        <v>5097</v>
      </c>
      <c r="T460">
        <v>4916</v>
      </c>
      <c r="U460">
        <v>5095</v>
      </c>
    </row>
    <row r="461" spans="1:21" x14ac:dyDescent="0.2">
      <c r="A461" t="s">
        <v>54</v>
      </c>
      <c r="B461" t="s">
        <v>76</v>
      </c>
      <c r="C461" t="s">
        <v>8</v>
      </c>
      <c r="D461" t="s">
        <v>10</v>
      </c>
      <c r="E461">
        <v>19094</v>
      </c>
      <c r="F461">
        <v>19913</v>
      </c>
      <c r="G461">
        <v>19786</v>
      </c>
      <c r="H461">
        <v>20271</v>
      </c>
      <c r="I461">
        <v>20676</v>
      </c>
      <c r="J461">
        <v>20666</v>
      </c>
      <c r="K461">
        <v>20395</v>
      </c>
      <c r="L461">
        <v>21346</v>
      </c>
      <c r="M461">
        <v>22904</v>
      </c>
      <c r="N461">
        <v>21426</v>
      </c>
      <c r="O461">
        <v>22382</v>
      </c>
      <c r="P461">
        <v>21510</v>
      </c>
      <c r="Q461">
        <v>21264</v>
      </c>
      <c r="R461">
        <v>20918</v>
      </c>
      <c r="S461">
        <v>22518</v>
      </c>
      <c r="T461">
        <v>22512</v>
      </c>
      <c r="U461">
        <v>22731</v>
      </c>
    </row>
    <row r="462" spans="1:21" x14ac:dyDescent="0.2">
      <c r="A462" t="s">
        <v>55</v>
      </c>
      <c r="B462" t="s">
        <v>76</v>
      </c>
      <c r="C462" t="s">
        <v>8</v>
      </c>
      <c r="D462" t="s">
        <v>10</v>
      </c>
      <c r="E462">
        <v>41473</v>
      </c>
      <c r="F462">
        <v>41998</v>
      </c>
      <c r="G462">
        <v>41375</v>
      </c>
      <c r="H462">
        <v>42663</v>
      </c>
      <c r="I462">
        <v>41490</v>
      </c>
      <c r="J462">
        <v>39638</v>
      </c>
      <c r="K462">
        <v>38929</v>
      </c>
      <c r="L462">
        <v>40946</v>
      </c>
      <c r="M462">
        <v>45982</v>
      </c>
      <c r="N462">
        <v>42354</v>
      </c>
      <c r="O462">
        <v>43909</v>
      </c>
      <c r="P462">
        <v>43504</v>
      </c>
      <c r="Q462">
        <v>41300</v>
      </c>
      <c r="R462">
        <v>42987</v>
      </c>
      <c r="S462">
        <v>44519</v>
      </c>
      <c r="T462">
        <v>45132</v>
      </c>
      <c r="U462">
        <v>45068</v>
      </c>
    </row>
    <row r="463" spans="1:21" x14ac:dyDescent="0.2">
      <c r="A463" t="s">
        <v>56</v>
      </c>
      <c r="B463" t="s">
        <v>76</v>
      </c>
      <c r="C463" t="s">
        <v>8</v>
      </c>
      <c r="D463" t="s">
        <v>10</v>
      </c>
      <c r="E463">
        <v>114534</v>
      </c>
      <c r="F463">
        <v>123001</v>
      </c>
      <c r="G463">
        <v>124200</v>
      </c>
      <c r="H463">
        <v>125711</v>
      </c>
      <c r="I463">
        <v>124704</v>
      </c>
      <c r="J463">
        <v>123076</v>
      </c>
      <c r="K463">
        <v>119800</v>
      </c>
      <c r="L463">
        <v>118541</v>
      </c>
      <c r="M463">
        <v>118832</v>
      </c>
      <c r="N463">
        <v>111586</v>
      </c>
      <c r="O463">
        <v>114663</v>
      </c>
      <c r="P463">
        <v>113412</v>
      </c>
      <c r="Q463">
        <v>108076</v>
      </c>
      <c r="R463">
        <v>107763.848</v>
      </c>
      <c r="S463">
        <v>108025.04300000001</v>
      </c>
      <c r="T463">
        <v>105367.901</v>
      </c>
      <c r="U463">
        <v>105064.54700000001</v>
      </c>
    </row>
    <row r="464" spans="1:21" x14ac:dyDescent="0.2">
      <c r="A464" t="s">
        <v>57</v>
      </c>
      <c r="B464" t="s">
        <v>76</v>
      </c>
      <c r="C464" t="s">
        <v>8</v>
      </c>
      <c r="D464" t="s">
        <v>10</v>
      </c>
      <c r="E464">
        <v>637</v>
      </c>
      <c r="F464">
        <v>612</v>
      </c>
      <c r="G464">
        <v>672</v>
      </c>
      <c r="H464">
        <v>690</v>
      </c>
      <c r="I464">
        <v>797</v>
      </c>
      <c r="J464">
        <v>827</v>
      </c>
      <c r="K464">
        <v>860</v>
      </c>
      <c r="L464">
        <v>882</v>
      </c>
      <c r="M464">
        <v>929</v>
      </c>
      <c r="N464">
        <v>859</v>
      </c>
      <c r="O464">
        <v>852</v>
      </c>
      <c r="P464">
        <v>837</v>
      </c>
      <c r="Q464">
        <v>840.91800000000001</v>
      </c>
      <c r="R464">
        <v>822.23500000000001</v>
      </c>
      <c r="S464">
        <v>838.50900000000001</v>
      </c>
      <c r="T464">
        <v>810.697</v>
      </c>
      <c r="U464">
        <v>847.83199999999999</v>
      </c>
    </row>
    <row r="465" spans="1:21" x14ac:dyDescent="0.2">
      <c r="A465" t="s">
        <v>58</v>
      </c>
      <c r="B465" t="s">
        <v>76</v>
      </c>
      <c r="C465" t="s">
        <v>8</v>
      </c>
      <c r="D465" t="s">
        <v>10</v>
      </c>
      <c r="E465">
        <v>34647</v>
      </c>
      <c r="F465">
        <v>32023</v>
      </c>
      <c r="G465">
        <v>32405</v>
      </c>
      <c r="H465">
        <v>34006</v>
      </c>
      <c r="I465">
        <v>33646</v>
      </c>
      <c r="J465">
        <v>34948</v>
      </c>
      <c r="K465">
        <v>34889</v>
      </c>
      <c r="L465">
        <v>36313</v>
      </c>
      <c r="M465">
        <v>39732</v>
      </c>
      <c r="N465">
        <v>36059</v>
      </c>
      <c r="O465">
        <v>38250</v>
      </c>
      <c r="P465">
        <v>38904</v>
      </c>
      <c r="Q465">
        <v>36885</v>
      </c>
      <c r="R465">
        <v>38609</v>
      </c>
      <c r="S465">
        <v>38821</v>
      </c>
      <c r="T465">
        <v>39700</v>
      </c>
      <c r="U465">
        <v>40299.33</v>
      </c>
    </row>
    <row r="466" spans="1:21" x14ac:dyDescent="0.2">
      <c r="A466" t="s">
        <v>59</v>
      </c>
      <c r="B466" t="s">
        <v>76</v>
      </c>
      <c r="C466" t="s">
        <v>8</v>
      </c>
      <c r="D466" t="s">
        <v>10</v>
      </c>
      <c r="E466">
        <v>16300</v>
      </c>
      <c r="F466">
        <v>16300</v>
      </c>
      <c r="G466">
        <v>13626</v>
      </c>
      <c r="H466">
        <v>14191</v>
      </c>
      <c r="I466">
        <v>14062</v>
      </c>
      <c r="J466">
        <v>13933</v>
      </c>
      <c r="K466">
        <v>14098</v>
      </c>
      <c r="L466">
        <v>14412</v>
      </c>
      <c r="M466">
        <v>14645</v>
      </c>
      <c r="N466">
        <v>14665</v>
      </c>
      <c r="O466">
        <v>14517</v>
      </c>
      <c r="P466">
        <v>14146</v>
      </c>
      <c r="Q466">
        <v>13802</v>
      </c>
      <c r="R466">
        <v>14062</v>
      </c>
      <c r="S466">
        <v>13931</v>
      </c>
      <c r="T466">
        <v>13815.01</v>
      </c>
      <c r="U466">
        <v>13414.571</v>
      </c>
    </row>
    <row r="467" spans="1:21" x14ac:dyDescent="0.2"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</row>
    <row r="468" spans="1:21" x14ac:dyDescent="0.2"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</row>
    <row r="469" spans="1:21" x14ac:dyDescent="0.2"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</row>
    <row r="470" spans="1:21" x14ac:dyDescent="0.2"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</row>
    <row r="471" spans="1:21" x14ac:dyDescent="0.2"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</row>
    <row r="472" spans="1:21" x14ac:dyDescent="0.2"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</row>
    <row r="473" spans="1:21" x14ac:dyDescent="0.2"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</row>
    <row r="474" spans="1:21" x14ac:dyDescent="0.2"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</row>
    <row r="475" spans="1:21" x14ac:dyDescent="0.2"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</row>
    <row r="476" spans="1:21" x14ac:dyDescent="0.2"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</row>
    <row r="477" spans="1:21" x14ac:dyDescent="0.2"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</row>
    <row r="478" spans="1:21" x14ac:dyDescent="0.2"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</row>
    <row r="479" spans="1:21" x14ac:dyDescent="0.2"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</row>
    <row r="480" spans="1:21" x14ac:dyDescent="0.2"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</row>
    <row r="481" spans="5:21" x14ac:dyDescent="0.2"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</row>
    <row r="482" spans="5:21" x14ac:dyDescent="0.2"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</row>
    <row r="483" spans="5:21" x14ac:dyDescent="0.2"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</row>
    <row r="484" spans="5:21" x14ac:dyDescent="0.2"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</row>
    <row r="485" spans="5:21" x14ac:dyDescent="0.2"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</row>
    <row r="486" spans="5:21" x14ac:dyDescent="0.2"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</row>
    <row r="487" spans="5:21" x14ac:dyDescent="0.2"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</row>
    <row r="488" spans="5:21" x14ac:dyDescent="0.2"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</row>
    <row r="489" spans="5:21" x14ac:dyDescent="0.2"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</row>
    <row r="490" spans="5:21" x14ac:dyDescent="0.2"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</row>
    <row r="491" spans="5:21" x14ac:dyDescent="0.2"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</row>
    <row r="492" spans="5:21" x14ac:dyDescent="0.2"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</row>
    <row r="493" spans="5:21" x14ac:dyDescent="0.2"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</row>
    <row r="494" spans="5:21" x14ac:dyDescent="0.2"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</row>
    <row r="495" spans="5:21" x14ac:dyDescent="0.2"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</row>
    <row r="496" spans="5:21" x14ac:dyDescent="0.2"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</row>
    <row r="497" spans="5:21" x14ac:dyDescent="0.2"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R605"/>
  <sheetViews>
    <sheetView zoomScaleNormal="100" workbookViewId="0"/>
  </sheetViews>
  <sheetFormatPr baseColWidth="10" defaultRowHeight="14.25" x14ac:dyDescent="0.2"/>
  <cols>
    <col min="1" max="256" width="9" customWidth="1"/>
  </cols>
  <sheetData>
    <row r="1" spans="1:18" x14ac:dyDescent="0.2">
      <c r="A1" s="1" t="s">
        <v>0</v>
      </c>
    </row>
    <row r="3" spans="1:18" x14ac:dyDescent="0.2">
      <c r="A3" s="1" t="s">
        <v>1</v>
      </c>
      <c r="B3" s="2" t="s">
        <v>81</v>
      </c>
    </row>
    <row r="4" spans="1:18" x14ac:dyDescent="0.2">
      <c r="A4" s="1" t="s">
        <v>2</v>
      </c>
      <c r="B4" s="2" t="s">
        <v>82</v>
      </c>
    </row>
    <row r="5" spans="1:18" x14ac:dyDescent="0.2">
      <c r="A5" s="1" t="s">
        <v>3</v>
      </c>
      <c r="B5" s="1" t="s">
        <v>4</v>
      </c>
    </row>
    <row r="7" spans="1:18" x14ac:dyDescent="0.2">
      <c r="A7" s="1" t="s">
        <v>5</v>
      </c>
      <c r="B7" s="1" t="s">
        <v>6</v>
      </c>
    </row>
    <row r="8" spans="1:18" x14ac:dyDescent="0.2">
      <c r="A8" s="1" t="s">
        <v>7</v>
      </c>
      <c r="B8" s="1" t="s">
        <v>8</v>
      </c>
    </row>
    <row r="9" spans="1:18" x14ac:dyDescent="0.2">
      <c r="A9" s="1" t="s">
        <v>9</v>
      </c>
      <c r="B9" s="1" t="s">
        <v>10</v>
      </c>
    </row>
    <row r="11" spans="1:18" x14ac:dyDescent="0.2">
      <c r="A11" s="3" t="s">
        <v>11</v>
      </c>
      <c r="B11" s="3" t="s">
        <v>12</v>
      </c>
      <c r="C11" s="3" t="s">
        <v>13</v>
      </c>
      <c r="D11" s="3" t="s">
        <v>14</v>
      </c>
      <c r="E11" s="3" t="s">
        <v>15</v>
      </c>
      <c r="F11" s="3" t="s">
        <v>16</v>
      </c>
      <c r="G11" s="3" t="s">
        <v>17</v>
      </c>
      <c r="H11" s="3" t="s">
        <v>18</v>
      </c>
      <c r="I11" s="3" t="s">
        <v>19</v>
      </c>
      <c r="J11" s="3" t="s">
        <v>20</v>
      </c>
      <c r="K11" s="3" t="s">
        <v>21</v>
      </c>
      <c r="L11" s="3" t="s">
        <v>22</v>
      </c>
      <c r="M11" s="3" t="s">
        <v>23</v>
      </c>
      <c r="N11" s="3" t="s">
        <v>24</v>
      </c>
      <c r="O11" s="3" t="s">
        <v>25</v>
      </c>
      <c r="P11" s="3" t="s">
        <v>26</v>
      </c>
      <c r="Q11" s="3" t="s">
        <v>27</v>
      </c>
      <c r="R11" s="3" t="s">
        <v>28</v>
      </c>
    </row>
    <row r="12" spans="1:18" x14ac:dyDescent="0.2">
      <c r="A12" s="3" t="s">
        <v>29</v>
      </c>
      <c r="B12" s="4">
        <v>6833</v>
      </c>
      <c r="C12" s="4">
        <v>7015</v>
      </c>
      <c r="D12" s="4">
        <v>7061</v>
      </c>
      <c r="E12" s="4">
        <v>5997</v>
      </c>
      <c r="F12" s="4">
        <v>6193</v>
      </c>
      <c r="G12" s="4">
        <v>6486</v>
      </c>
      <c r="H12" s="4">
        <v>6346</v>
      </c>
      <c r="I12" s="4">
        <v>5198</v>
      </c>
      <c r="J12" s="4">
        <v>5986</v>
      </c>
      <c r="K12" s="4">
        <v>5028</v>
      </c>
      <c r="L12" s="4">
        <v>5668</v>
      </c>
      <c r="M12" s="4">
        <v>4551</v>
      </c>
      <c r="N12" s="4">
        <v>4358.3</v>
      </c>
      <c r="O12" s="4">
        <v>4426.2</v>
      </c>
      <c r="P12" s="4">
        <v>4345.3</v>
      </c>
      <c r="Q12" s="4">
        <v>4425.2</v>
      </c>
      <c r="R12" s="4">
        <v>4357</v>
      </c>
    </row>
    <row r="13" spans="1:18" x14ac:dyDescent="0.2">
      <c r="A13" s="3" t="s">
        <v>30</v>
      </c>
      <c r="B13" s="4">
        <v>1644</v>
      </c>
      <c r="C13" s="4">
        <v>1959</v>
      </c>
      <c r="D13" s="4">
        <v>1868</v>
      </c>
      <c r="E13" s="4">
        <v>1740</v>
      </c>
      <c r="F13" s="4">
        <v>1944</v>
      </c>
      <c r="G13" s="4">
        <v>1791</v>
      </c>
      <c r="H13" s="4">
        <v>1595</v>
      </c>
      <c r="I13" s="4">
        <v>1113</v>
      </c>
      <c r="J13" s="4">
        <v>838</v>
      </c>
      <c r="K13" s="4">
        <v>867</v>
      </c>
      <c r="L13" s="4">
        <v>715</v>
      </c>
      <c r="M13" s="4">
        <v>655</v>
      </c>
      <c r="N13" s="4">
        <v>716</v>
      </c>
      <c r="O13" s="4">
        <v>707</v>
      </c>
      <c r="P13" s="4">
        <v>724</v>
      </c>
      <c r="Q13" s="4">
        <v>787.23599999999999</v>
      </c>
      <c r="R13" s="4">
        <v>817.30499999999995</v>
      </c>
    </row>
    <row r="14" spans="1:18" x14ac:dyDescent="0.2">
      <c r="A14" s="3" t="s">
        <v>31</v>
      </c>
      <c r="B14" s="4">
        <v>3751</v>
      </c>
      <c r="C14" s="4">
        <v>3530</v>
      </c>
      <c r="D14" s="4">
        <v>3560</v>
      </c>
      <c r="E14" s="4">
        <v>3439</v>
      </c>
      <c r="F14" s="4">
        <v>3389</v>
      </c>
      <c r="G14" s="4">
        <v>3138</v>
      </c>
      <c r="H14" s="4">
        <v>3153</v>
      </c>
      <c r="I14" s="4">
        <v>3107</v>
      </c>
      <c r="J14" s="4">
        <v>2537</v>
      </c>
      <c r="K14" s="4">
        <v>2611</v>
      </c>
      <c r="L14" s="4">
        <v>2296</v>
      </c>
      <c r="M14" s="4">
        <v>2300</v>
      </c>
      <c r="N14" s="4">
        <v>2354</v>
      </c>
      <c r="O14" s="4">
        <v>2346</v>
      </c>
      <c r="P14" s="4">
        <v>2374</v>
      </c>
      <c r="Q14" s="4">
        <v>2316.4810000000002</v>
      </c>
      <c r="R14" s="4">
        <v>2357.424</v>
      </c>
    </row>
    <row r="15" spans="1:18" x14ac:dyDescent="0.2">
      <c r="A15" s="3" t="s">
        <v>32</v>
      </c>
      <c r="B15" s="4">
        <v>645</v>
      </c>
      <c r="C15" s="4">
        <v>502</v>
      </c>
      <c r="D15" s="4">
        <v>522</v>
      </c>
      <c r="E15" s="4">
        <v>574</v>
      </c>
      <c r="F15" s="4">
        <v>519</v>
      </c>
      <c r="G15" s="4">
        <v>454</v>
      </c>
      <c r="H15" s="4">
        <v>418</v>
      </c>
      <c r="I15" s="4">
        <v>227</v>
      </c>
      <c r="J15" s="4">
        <v>238</v>
      </c>
      <c r="K15" s="4">
        <v>279</v>
      </c>
      <c r="L15" s="4">
        <v>402</v>
      </c>
      <c r="M15" s="4">
        <v>397</v>
      </c>
      <c r="N15" s="4">
        <v>438</v>
      </c>
      <c r="O15" s="4">
        <v>434.80399999999997</v>
      </c>
      <c r="P15" s="4">
        <v>415.77199999999999</v>
      </c>
      <c r="Q15" s="4">
        <v>422.15100000000001</v>
      </c>
      <c r="R15" s="4">
        <v>421.74099999999999</v>
      </c>
    </row>
    <row r="16" spans="1:18" x14ac:dyDescent="0.2">
      <c r="A16" s="3" t="s">
        <v>33</v>
      </c>
      <c r="B16" s="4">
        <v>25070</v>
      </c>
      <c r="C16" s="4">
        <v>26233</v>
      </c>
      <c r="D16" s="4">
        <v>27423</v>
      </c>
      <c r="E16" s="4">
        <v>27654</v>
      </c>
      <c r="F16" s="4">
        <v>29876</v>
      </c>
      <c r="G16" s="4">
        <v>28581</v>
      </c>
      <c r="H16" s="4">
        <v>28357</v>
      </c>
      <c r="I16" s="4">
        <v>22393</v>
      </c>
      <c r="J16" s="4">
        <v>27093</v>
      </c>
      <c r="K16" s="4">
        <v>28220</v>
      </c>
      <c r="L16" s="4">
        <v>26873</v>
      </c>
      <c r="M16" s="4">
        <v>26144</v>
      </c>
      <c r="N16" s="4">
        <v>26321</v>
      </c>
      <c r="O16" s="4">
        <v>26063</v>
      </c>
      <c r="P16" s="4">
        <v>27062</v>
      </c>
      <c r="Q16" s="4">
        <v>26695</v>
      </c>
      <c r="R16" s="4">
        <v>26341</v>
      </c>
    </row>
    <row r="17" spans="1:18" x14ac:dyDescent="0.2">
      <c r="A17" s="3" t="s">
        <v>34</v>
      </c>
      <c r="B17" s="4">
        <v>4</v>
      </c>
      <c r="C17" s="4">
        <v>4</v>
      </c>
      <c r="D17" s="4">
        <v>3</v>
      </c>
      <c r="E17" s="4">
        <v>5</v>
      </c>
      <c r="F17" s="4">
        <v>6</v>
      </c>
      <c r="G17" s="4">
        <v>5</v>
      </c>
      <c r="H17" s="4">
        <v>4</v>
      </c>
      <c r="I17" s="4">
        <v>3</v>
      </c>
      <c r="J17" s="4">
        <v>3</v>
      </c>
      <c r="K17" s="4">
        <v>3</v>
      </c>
      <c r="L17" s="4">
        <v>1</v>
      </c>
      <c r="M17" s="4">
        <v>1</v>
      </c>
      <c r="N17" s="4">
        <v>1</v>
      </c>
      <c r="O17" s="4">
        <v>1</v>
      </c>
      <c r="P17" s="4">
        <v>1</v>
      </c>
      <c r="Q17" s="4">
        <v>2</v>
      </c>
      <c r="R17" s="4">
        <v>3</v>
      </c>
    </row>
    <row r="18" spans="1:18" x14ac:dyDescent="0.2">
      <c r="A18" s="3" t="s">
        <v>35</v>
      </c>
      <c r="B18" s="4">
        <v>22</v>
      </c>
      <c r="C18" s="4">
        <v>12</v>
      </c>
      <c r="D18" s="4">
        <v>12</v>
      </c>
      <c r="E18" s="4">
        <v>12</v>
      </c>
      <c r="F18" s="4">
        <v>12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</row>
    <row r="19" spans="1:18" x14ac:dyDescent="0.2">
      <c r="A19" s="3" t="s">
        <v>36</v>
      </c>
      <c r="B19" s="4">
        <v>1416</v>
      </c>
      <c r="C19" s="4">
        <v>1550</v>
      </c>
      <c r="D19" s="4">
        <v>1506</v>
      </c>
      <c r="E19" s="4">
        <v>1683</v>
      </c>
      <c r="F19" s="4">
        <v>1776</v>
      </c>
      <c r="G19" s="4">
        <v>1985</v>
      </c>
      <c r="H19" s="4">
        <v>1693</v>
      </c>
      <c r="I19" s="4">
        <v>1413</v>
      </c>
      <c r="J19" s="4">
        <v>1302</v>
      </c>
      <c r="K19" s="4">
        <v>1398</v>
      </c>
      <c r="L19" s="4">
        <v>919</v>
      </c>
      <c r="M19" s="4">
        <v>761</v>
      </c>
      <c r="N19" s="4">
        <v>777</v>
      </c>
      <c r="O19" s="4">
        <v>706</v>
      </c>
      <c r="P19" s="4">
        <v>870</v>
      </c>
      <c r="Q19" s="4">
        <v>1001</v>
      </c>
      <c r="R19" s="4">
        <v>1063</v>
      </c>
    </row>
    <row r="20" spans="1:18" x14ac:dyDescent="0.2">
      <c r="A20" s="3" t="s">
        <v>37</v>
      </c>
      <c r="B20" s="4">
        <v>16228</v>
      </c>
      <c r="C20" s="4">
        <v>17157</v>
      </c>
      <c r="D20" s="4">
        <v>17210</v>
      </c>
      <c r="E20" s="4">
        <v>18370</v>
      </c>
      <c r="F20" s="4">
        <v>16122</v>
      </c>
      <c r="G20" s="4">
        <v>16571</v>
      </c>
      <c r="H20" s="4">
        <v>17151</v>
      </c>
      <c r="I20" s="4">
        <v>12271</v>
      </c>
      <c r="J20" s="4">
        <v>14318</v>
      </c>
      <c r="K20" s="4">
        <v>13434</v>
      </c>
      <c r="L20" s="4">
        <v>13254</v>
      </c>
      <c r="M20" s="4">
        <v>12326</v>
      </c>
      <c r="N20" s="4">
        <v>12310</v>
      </c>
      <c r="O20" s="4">
        <v>12610</v>
      </c>
      <c r="P20" s="4">
        <v>13499</v>
      </c>
      <c r="Q20" s="4">
        <v>14412</v>
      </c>
      <c r="R20" s="4">
        <v>15136</v>
      </c>
    </row>
    <row r="21" spans="1:18" x14ac:dyDescent="0.2">
      <c r="A21" s="3" t="s">
        <v>38</v>
      </c>
      <c r="B21" s="4">
        <v>16162</v>
      </c>
      <c r="C21" s="4">
        <v>15561</v>
      </c>
      <c r="D21" s="4">
        <v>16362</v>
      </c>
      <c r="E21" s="4">
        <v>15611</v>
      </c>
      <c r="F21" s="4">
        <v>15924</v>
      </c>
      <c r="G21" s="4">
        <v>15861</v>
      </c>
      <c r="H21" s="4">
        <v>11897</v>
      </c>
      <c r="I21" s="4">
        <v>8821</v>
      </c>
      <c r="J21" s="4">
        <v>10217</v>
      </c>
      <c r="K21" s="4">
        <v>12677.449000000001</v>
      </c>
      <c r="L21" s="4">
        <v>12581.119000000001</v>
      </c>
      <c r="M21" s="4">
        <v>12389.322</v>
      </c>
      <c r="N21" s="4">
        <v>12607.163</v>
      </c>
      <c r="O21" s="4">
        <v>12052.245000000001</v>
      </c>
      <c r="P21" s="4">
        <v>12299.036</v>
      </c>
      <c r="Q21" s="4">
        <v>11871.609</v>
      </c>
      <c r="R21" s="4">
        <v>12067.746999999999</v>
      </c>
    </row>
    <row r="22" spans="1:18" x14ac:dyDescent="0.2">
      <c r="A22" s="3" t="s">
        <v>39</v>
      </c>
      <c r="B22" s="4">
        <v>122</v>
      </c>
      <c r="C22" s="4">
        <v>137</v>
      </c>
      <c r="D22" s="4">
        <v>188</v>
      </c>
      <c r="E22" s="4">
        <v>180</v>
      </c>
      <c r="F22" s="4">
        <v>206</v>
      </c>
      <c r="G22" s="4">
        <v>203</v>
      </c>
      <c r="H22" s="4">
        <v>245</v>
      </c>
      <c r="I22" s="4">
        <v>139</v>
      </c>
      <c r="J22" s="4">
        <v>181</v>
      </c>
      <c r="K22" s="4">
        <v>176</v>
      </c>
      <c r="L22" s="4">
        <v>82</v>
      </c>
      <c r="M22" s="4">
        <v>168</v>
      </c>
      <c r="N22" s="4">
        <v>176</v>
      </c>
      <c r="O22" s="4">
        <v>170</v>
      </c>
      <c r="P22" s="4">
        <v>50</v>
      </c>
      <c r="Q22" s="4">
        <v>53.7</v>
      </c>
      <c r="R22" s="4">
        <v>175.3</v>
      </c>
    </row>
    <row r="23" spans="1:18" x14ac:dyDescent="0.2">
      <c r="A23" s="3" t="s">
        <v>40</v>
      </c>
      <c r="B23" s="4">
        <v>19966</v>
      </c>
      <c r="C23" s="4">
        <v>19887</v>
      </c>
      <c r="D23" s="4">
        <v>20045</v>
      </c>
      <c r="E23" s="4">
        <v>20395</v>
      </c>
      <c r="F23" s="4">
        <v>21688</v>
      </c>
      <c r="G23" s="4">
        <v>21676</v>
      </c>
      <c r="H23" s="4">
        <v>21625</v>
      </c>
      <c r="I23" s="4">
        <v>15731</v>
      </c>
      <c r="J23" s="4">
        <v>18675</v>
      </c>
      <c r="K23" s="4">
        <v>20640</v>
      </c>
      <c r="L23" s="4">
        <v>19772</v>
      </c>
      <c r="M23" s="4">
        <v>18300</v>
      </c>
      <c r="N23" s="4">
        <v>18355</v>
      </c>
      <c r="O23" s="4">
        <v>17439</v>
      </c>
      <c r="P23" s="4">
        <v>18262</v>
      </c>
      <c r="Q23" s="4">
        <v>18724.677</v>
      </c>
      <c r="R23" s="4">
        <v>18908.468000000001</v>
      </c>
    </row>
    <row r="24" spans="1:18" x14ac:dyDescent="0.2">
      <c r="A24" s="3" t="s">
        <v>41</v>
      </c>
      <c r="B24" s="5">
        <v>0</v>
      </c>
      <c r="C24" s="5">
        <v>0</v>
      </c>
      <c r="D24" s="5">
        <v>0</v>
      </c>
      <c r="E24" s="4">
        <v>1</v>
      </c>
      <c r="F24" s="4">
        <v>1</v>
      </c>
      <c r="G24" s="4">
        <v>1</v>
      </c>
      <c r="H24" s="4">
        <v>2</v>
      </c>
      <c r="I24" s="4">
        <v>2</v>
      </c>
      <c r="J24" s="4">
        <v>2</v>
      </c>
      <c r="K24" s="4">
        <v>2</v>
      </c>
      <c r="L24" s="4">
        <v>2</v>
      </c>
      <c r="M24" s="4">
        <v>2</v>
      </c>
      <c r="N24" s="4">
        <v>2</v>
      </c>
      <c r="O24" s="4">
        <v>2</v>
      </c>
      <c r="P24" s="4">
        <v>2</v>
      </c>
      <c r="Q24" s="4">
        <v>2.024</v>
      </c>
      <c r="R24" s="4">
        <v>2.2559999999999998</v>
      </c>
    </row>
    <row r="25" spans="1:18" x14ac:dyDescent="0.2">
      <c r="A25" s="3" t="s">
        <v>42</v>
      </c>
      <c r="B25" s="4">
        <v>137</v>
      </c>
      <c r="C25" s="4">
        <v>137</v>
      </c>
      <c r="D25" s="4">
        <v>147</v>
      </c>
      <c r="E25" s="4">
        <v>144</v>
      </c>
      <c r="F25" s="4">
        <v>157</v>
      </c>
      <c r="G25" s="4">
        <v>147</v>
      </c>
      <c r="H25" s="4">
        <v>142</v>
      </c>
      <c r="I25" s="4">
        <v>134</v>
      </c>
      <c r="J25" s="4">
        <v>148</v>
      </c>
      <c r="K25" s="4">
        <v>189</v>
      </c>
      <c r="L25" s="4">
        <v>486</v>
      </c>
      <c r="M25" s="4">
        <v>141</v>
      </c>
      <c r="N25" s="4">
        <v>15</v>
      </c>
      <c r="O25" s="4">
        <v>49</v>
      </c>
      <c r="P25" s="4">
        <v>14</v>
      </c>
      <c r="Q25" s="4">
        <v>14.581</v>
      </c>
      <c r="R25" s="4">
        <v>13.706</v>
      </c>
    </row>
    <row r="26" spans="1:18" x14ac:dyDescent="0.2">
      <c r="A26" s="3" t="s">
        <v>43</v>
      </c>
      <c r="B26" s="4">
        <v>40</v>
      </c>
      <c r="C26" s="4">
        <v>34</v>
      </c>
      <c r="D26" s="4">
        <v>32</v>
      </c>
      <c r="E26" s="4">
        <v>29</v>
      </c>
      <c r="F26" s="4">
        <v>25</v>
      </c>
      <c r="G26" s="4">
        <v>36</v>
      </c>
      <c r="H26" s="4">
        <v>19</v>
      </c>
      <c r="I26" s="4">
        <v>22</v>
      </c>
      <c r="J26" s="4">
        <v>19</v>
      </c>
      <c r="K26" s="4">
        <v>21</v>
      </c>
      <c r="L26" s="4">
        <v>24</v>
      </c>
      <c r="M26" s="4">
        <v>21</v>
      </c>
      <c r="N26" s="4">
        <v>20</v>
      </c>
      <c r="O26" s="4">
        <v>19</v>
      </c>
      <c r="P26" s="4">
        <v>19</v>
      </c>
      <c r="Q26" s="4">
        <v>19.100000000000001</v>
      </c>
      <c r="R26" s="4">
        <v>16.600000000000001</v>
      </c>
    </row>
    <row r="27" spans="1:18" x14ac:dyDescent="0.2">
      <c r="A27" s="3" t="s">
        <v>44</v>
      </c>
      <c r="B27" s="4">
        <v>1794.5509999999999</v>
      </c>
      <c r="C27" s="4">
        <v>1595.393</v>
      </c>
      <c r="D27" s="4">
        <v>2127.7399999999998</v>
      </c>
      <c r="E27" s="4">
        <v>1698.146</v>
      </c>
      <c r="F27" s="4">
        <v>2337.0250000000001</v>
      </c>
      <c r="G27" s="4">
        <v>2127.9690000000001</v>
      </c>
      <c r="H27" s="4">
        <v>2135.5940000000001</v>
      </c>
      <c r="I27" s="4">
        <v>1839.5160000000001</v>
      </c>
      <c r="J27" s="4">
        <v>2311.46</v>
      </c>
      <c r="K27" s="4">
        <v>2025.5940000000001</v>
      </c>
      <c r="L27" s="4">
        <v>1733.8019999999999</v>
      </c>
      <c r="M27" s="4">
        <v>1600.211</v>
      </c>
      <c r="N27" s="4">
        <v>1536.4760000000001</v>
      </c>
      <c r="O27" s="4">
        <v>1626.6130000000001</v>
      </c>
      <c r="P27" s="4">
        <v>1839.587</v>
      </c>
      <c r="Q27" s="4">
        <v>1611.578</v>
      </c>
      <c r="R27" s="4">
        <v>1614.242</v>
      </c>
    </row>
    <row r="28" spans="1:18" x14ac:dyDescent="0.2">
      <c r="A28" s="3" t="s">
        <v>45</v>
      </c>
      <c r="B28" s="4">
        <v>685</v>
      </c>
      <c r="C28" s="4">
        <v>645</v>
      </c>
      <c r="D28" s="4">
        <v>593</v>
      </c>
      <c r="E28" s="4">
        <v>759</v>
      </c>
      <c r="F28" s="4">
        <v>780</v>
      </c>
      <c r="G28" s="4">
        <v>738</v>
      </c>
      <c r="H28" s="4">
        <v>752</v>
      </c>
      <c r="I28" s="4">
        <v>434</v>
      </c>
      <c r="J28" s="4">
        <v>517</v>
      </c>
      <c r="K28" s="4">
        <v>522</v>
      </c>
      <c r="L28" s="4">
        <v>544</v>
      </c>
      <c r="M28" s="4">
        <v>579</v>
      </c>
      <c r="N28" s="4">
        <v>592</v>
      </c>
      <c r="O28" s="4">
        <v>613</v>
      </c>
      <c r="P28" s="4">
        <v>613</v>
      </c>
      <c r="Q28" s="4">
        <v>688</v>
      </c>
      <c r="R28" s="4">
        <v>732</v>
      </c>
    </row>
    <row r="29" spans="1:18" x14ac:dyDescent="0.2">
      <c r="A29" s="3" t="s">
        <v>46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4">
        <v>6.0000000000000001E-3</v>
      </c>
      <c r="R29" s="4">
        <v>5.0000000000000001E-3</v>
      </c>
    </row>
    <row r="30" spans="1:18" x14ac:dyDescent="0.2">
      <c r="A30" s="3" t="s">
        <v>47</v>
      </c>
      <c r="B30" s="4">
        <v>2573</v>
      </c>
      <c r="C30" s="4">
        <v>2654</v>
      </c>
      <c r="D30" s="4">
        <v>2708</v>
      </c>
      <c r="E30" s="4">
        <v>2717</v>
      </c>
      <c r="F30" s="4">
        <v>2679</v>
      </c>
      <c r="G30" s="4">
        <v>2752</v>
      </c>
      <c r="H30" s="4">
        <v>2659</v>
      </c>
      <c r="I30" s="4">
        <v>2381</v>
      </c>
      <c r="J30" s="4">
        <v>2638</v>
      </c>
      <c r="K30" s="4">
        <v>2691</v>
      </c>
      <c r="L30" s="4">
        <v>2706</v>
      </c>
      <c r="M30" s="4">
        <v>2648</v>
      </c>
      <c r="N30" s="4">
        <v>2704</v>
      </c>
      <c r="O30" s="4">
        <v>2687.663</v>
      </c>
      <c r="P30" s="4">
        <v>2605.9549999999999</v>
      </c>
      <c r="Q30" s="4">
        <v>2584.8040000000001</v>
      </c>
      <c r="R30" s="4">
        <v>2498.0410000000002</v>
      </c>
    </row>
    <row r="31" spans="1:18" x14ac:dyDescent="0.2">
      <c r="A31" s="3" t="s">
        <v>48</v>
      </c>
      <c r="B31" s="4">
        <v>2745</v>
      </c>
      <c r="C31" s="4">
        <v>2680</v>
      </c>
      <c r="D31" s="4">
        <v>3074</v>
      </c>
      <c r="E31" s="4">
        <v>2026.2270000000001</v>
      </c>
      <c r="F31" s="4">
        <v>2093.5439999999999</v>
      </c>
      <c r="G31" s="4">
        <v>2250.4299999999998</v>
      </c>
      <c r="H31" s="4">
        <v>2030.749</v>
      </c>
      <c r="I31" s="4">
        <v>2004.038</v>
      </c>
      <c r="J31" s="4">
        <v>2284.3890000000001</v>
      </c>
      <c r="K31" s="4">
        <v>2340.0650000000001</v>
      </c>
      <c r="L31" s="4">
        <v>2386.0169999999998</v>
      </c>
      <c r="M31" s="4">
        <v>2429.3719999999998</v>
      </c>
      <c r="N31" s="4">
        <v>2370.0659999999998</v>
      </c>
      <c r="O31" s="4">
        <v>2592.491</v>
      </c>
      <c r="P31" s="4">
        <v>2597.5940000000001</v>
      </c>
      <c r="Q31" s="4">
        <v>2579.9009999999998</v>
      </c>
      <c r="R31" s="4">
        <v>2500.17</v>
      </c>
    </row>
    <row r="32" spans="1:18" x14ac:dyDescent="0.2">
      <c r="A32" s="3" t="s">
        <v>49</v>
      </c>
      <c r="B32" s="4">
        <v>5446</v>
      </c>
      <c r="C32" s="4">
        <v>6148</v>
      </c>
      <c r="D32" s="4">
        <v>7204</v>
      </c>
      <c r="E32" s="4">
        <v>5921</v>
      </c>
      <c r="F32" s="4">
        <v>6262</v>
      </c>
      <c r="G32" s="4">
        <v>7012</v>
      </c>
      <c r="H32" s="4">
        <v>6733</v>
      </c>
      <c r="I32" s="4">
        <v>4995</v>
      </c>
      <c r="J32" s="4">
        <v>5888</v>
      </c>
      <c r="K32" s="4">
        <v>6323</v>
      </c>
      <c r="L32" s="4">
        <v>6323</v>
      </c>
      <c r="M32" s="4">
        <v>6085</v>
      </c>
      <c r="N32" s="4">
        <v>6015</v>
      </c>
      <c r="O32" s="4">
        <v>6236</v>
      </c>
      <c r="P32" s="4">
        <v>6149</v>
      </c>
      <c r="Q32" s="4">
        <v>6808.4459999999999</v>
      </c>
      <c r="R32" s="4">
        <v>6827.1440000000002</v>
      </c>
    </row>
    <row r="33" spans="1:18" x14ac:dyDescent="0.2">
      <c r="A33" s="3" t="s">
        <v>50</v>
      </c>
      <c r="B33" s="4">
        <v>863</v>
      </c>
      <c r="C33" s="4">
        <v>1088</v>
      </c>
      <c r="D33" s="4">
        <v>1186</v>
      </c>
      <c r="E33" s="4">
        <v>1279</v>
      </c>
      <c r="F33" s="4">
        <v>1386</v>
      </c>
      <c r="G33" s="4">
        <v>1471</v>
      </c>
      <c r="H33" s="4">
        <v>1492</v>
      </c>
      <c r="I33" s="4">
        <v>1086</v>
      </c>
      <c r="J33" s="4">
        <v>1103</v>
      </c>
      <c r="K33" s="4">
        <v>1286</v>
      </c>
      <c r="L33" s="4">
        <v>1353</v>
      </c>
      <c r="M33" s="4">
        <v>1377</v>
      </c>
      <c r="N33" s="4">
        <v>1401</v>
      </c>
      <c r="O33" s="4">
        <v>1391</v>
      </c>
      <c r="P33" s="4">
        <v>1495.6120000000001</v>
      </c>
      <c r="Q33" s="4">
        <v>1554.5519999999999</v>
      </c>
      <c r="R33" s="4">
        <v>1681.4860000000001</v>
      </c>
    </row>
    <row r="34" spans="1:18" x14ac:dyDescent="0.2">
      <c r="A34" s="3" t="s">
        <v>51</v>
      </c>
      <c r="B34" s="4">
        <v>6966</v>
      </c>
      <c r="C34" s="4">
        <v>7220</v>
      </c>
      <c r="D34" s="4">
        <v>8544</v>
      </c>
      <c r="E34" s="4">
        <v>8463</v>
      </c>
      <c r="F34" s="4">
        <v>8499</v>
      </c>
      <c r="G34" s="4">
        <v>8327</v>
      </c>
      <c r="H34" s="4">
        <v>7826</v>
      </c>
      <c r="I34" s="4">
        <v>5540</v>
      </c>
      <c r="J34" s="4">
        <v>6703</v>
      </c>
      <c r="K34" s="4">
        <v>6757</v>
      </c>
      <c r="L34" s="4">
        <v>6352</v>
      </c>
      <c r="M34" s="4">
        <v>5263</v>
      </c>
      <c r="N34" s="4">
        <v>5375</v>
      </c>
      <c r="O34" s="4">
        <v>5694</v>
      </c>
      <c r="P34" s="4">
        <v>5635</v>
      </c>
      <c r="Q34" s="4">
        <v>2540.6489999999999</v>
      </c>
      <c r="R34" s="4">
        <v>2414.2109999999998</v>
      </c>
    </row>
    <row r="35" spans="1:18" x14ac:dyDescent="0.2">
      <c r="A35" s="3" t="s">
        <v>52</v>
      </c>
      <c r="B35" s="4">
        <v>860</v>
      </c>
      <c r="C35" s="4">
        <v>644</v>
      </c>
      <c r="D35" s="4">
        <v>657</v>
      </c>
      <c r="E35" s="4">
        <v>750</v>
      </c>
      <c r="F35" s="4">
        <v>819</v>
      </c>
      <c r="G35" s="4">
        <v>601</v>
      </c>
      <c r="H35" s="4">
        <v>766</v>
      </c>
      <c r="I35" s="4">
        <v>588</v>
      </c>
      <c r="J35" s="4">
        <v>738</v>
      </c>
      <c r="K35" s="4">
        <v>728</v>
      </c>
      <c r="L35" s="4">
        <v>768</v>
      </c>
      <c r="M35" s="4">
        <v>769</v>
      </c>
      <c r="N35" s="4">
        <v>758</v>
      </c>
      <c r="O35" s="4">
        <v>760</v>
      </c>
      <c r="P35" s="4">
        <v>787</v>
      </c>
      <c r="Q35" s="4">
        <v>822.23900000000003</v>
      </c>
      <c r="R35" s="4">
        <v>778.59</v>
      </c>
    </row>
    <row r="36" spans="1:18" x14ac:dyDescent="0.2">
      <c r="A36" s="3" t="s">
        <v>53</v>
      </c>
      <c r="B36" s="4">
        <v>1541</v>
      </c>
      <c r="C36" s="4">
        <v>2415</v>
      </c>
      <c r="D36" s="4">
        <v>2602</v>
      </c>
      <c r="E36" s="4">
        <v>2292</v>
      </c>
      <c r="F36" s="4">
        <v>2563</v>
      </c>
      <c r="G36" s="4">
        <v>2726</v>
      </c>
      <c r="H36" s="4">
        <v>2416</v>
      </c>
      <c r="I36" s="4">
        <v>1891</v>
      </c>
      <c r="J36" s="4">
        <v>2349</v>
      </c>
      <c r="K36" s="4">
        <v>2336</v>
      </c>
      <c r="L36" s="4">
        <v>2597</v>
      </c>
      <c r="M36" s="4">
        <v>2454</v>
      </c>
      <c r="N36" s="4">
        <v>2485</v>
      </c>
      <c r="O36" s="4">
        <v>2337</v>
      </c>
      <c r="P36" s="4">
        <v>2303</v>
      </c>
      <c r="Q36" s="4">
        <v>2614</v>
      </c>
      <c r="R36" s="4">
        <v>2541</v>
      </c>
    </row>
    <row r="37" spans="1:18" x14ac:dyDescent="0.2">
      <c r="A37" s="3" t="s">
        <v>54</v>
      </c>
      <c r="B37" s="4">
        <v>3024</v>
      </c>
      <c r="C37" s="4">
        <v>3231</v>
      </c>
      <c r="D37" s="4">
        <v>3410</v>
      </c>
      <c r="E37" s="4">
        <v>3448</v>
      </c>
      <c r="F37" s="4">
        <v>3630</v>
      </c>
      <c r="G37" s="4">
        <v>3445</v>
      </c>
      <c r="H37" s="4">
        <v>3284</v>
      </c>
      <c r="I37" s="4">
        <v>2651</v>
      </c>
      <c r="J37" s="4">
        <v>3276</v>
      </c>
      <c r="K37" s="4">
        <v>3497</v>
      </c>
      <c r="L37" s="4">
        <v>3349</v>
      </c>
      <c r="M37" s="4">
        <v>3902</v>
      </c>
      <c r="N37" s="4">
        <v>4002</v>
      </c>
      <c r="O37" s="4">
        <v>4353</v>
      </c>
      <c r="P37" s="4">
        <v>4414</v>
      </c>
      <c r="Q37" s="4">
        <v>4222</v>
      </c>
      <c r="R37" s="4">
        <v>4308</v>
      </c>
    </row>
    <row r="38" spans="1:18" x14ac:dyDescent="0.2">
      <c r="A38" s="3" t="s">
        <v>55</v>
      </c>
      <c r="B38" s="4">
        <v>4873</v>
      </c>
      <c r="C38" s="4">
        <v>4850</v>
      </c>
      <c r="D38" s="4">
        <v>4947</v>
      </c>
      <c r="E38" s="4">
        <v>5356</v>
      </c>
      <c r="F38" s="4">
        <v>5287</v>
      </c>
      <c r="G38" s="4">
        <v>5218</v>
      </c>
      <c r="H38" s="4">
        <v>5201</v>
      </c>
      <c r="I38" s="4">
        <v>3662</v>
      </c>
      <c r="J38" s="4">
        <v>4572</v>
      </c>
      <c r="K38" s="4">
        <v>4986</v>
      </c>
      <c r="L38" s="4">
        <v>4507</v>
      </c>
      <c r="M38" s="4">
        <v>4438</v>
      </c>
      <c r="N38" s="4">
        <v>4329</v>
      </c>
      <c r="O38" s="4">
        <v>4399</v>
      </c>
      <c r="P38" s="4">
        <v>4387</v>
      </c>
      <c r="Q38" s="4">
        <v>4562</v>
      </c>
      <c r="R38" s="4">
        <v>4601</v>
      </c>
    </row>
    <row r="39" spans="1:18" x14ac:dyDescent="0.2">
      <c r="A39" s="3" t="s">
        <v>56</v>
      </c>
      <c r="B39" s="4">
        <v>5092</v>
      </c>
      <c r="C39" s="4">
        <v>5434</v>
      </c>
      <c r="D39" s="4">
        <v>5412</v>
      </c>
      <c r="E39" s="4">
        <v>5020</v>
      </c>
      <c r="F39" s="4">
        <v>5860</v>
      </c>
      <c r="G39" s="4">
        <v>4937</v>
      </c>
      <c r="H39" s="4">
        <v>4657</v>
      </c>
      <c r="I39" s="4">
        <v>3615</v>
      </c>
      <c r="J39" s="4">
        <v>3842</v>
      </c>
      <c r="K39" s="4">
        <v>3852</v>
      </c>
      <c r="L39" s="4">
        <v>3579</v>
      </c>
      <c r="M39" s="4">
        <v>3799</v>
      </c>
      <c r="N39" s="4">
        <v>3787</v>
      </c>
      <c r="O39" s="4">
        <v>3687.567</v>
      </c>
      <c r="P39" s="4">
        <v>2830.1219999999998</v>
      </c>
      <c r="Q39" s="4">
        <v>2702.5819999999999</v>
      </c>
      <c r="R39" s="4">
        <v>2560.2089999999998</v>
      </c>
    </row>
    <row r="40" spans="1:18" x14ac:dyDescent="0.2">
      <c r="A40" s="3" t="s">
        <v>57</v>
      </c>
      <c r="B40" s="4">
        <v>1039</v>
      </c>
      <c r="C40" s="4">
        <v>1050</v>
      </c>
      <c r="D40" s="4">
        <v>1031</v>
      </c>
      <c r="E40" s="4">
        <v>981</v>
      </c>
      <c r="F40" s="4">
        <v>983</v>
      </c>
      <c r="G40" s="4">
        <v>1006</v>
      </c>
      <c r="H40" s="4">
        <v>888</v>
      </c>
      <c r="I40" s="4">
        <v>898</v>
      </c>
      <c r="J40" s="4">
        <v>933</v>
      </c>
      <c r="K40" s="4">
        <v>947</v>
      </c>
      <c r="L40" s="4">
        <v>1035</v>
      </c>
      <c r="M40" s="4">
        <v>1066</v>
      </c>
      <c r="N40" s="4">
        <v>985</v>
      </c>
      <c r="O40" s="4">
        <v>1046</v>
      </c>
      <c r="P40" s="4">
        <v>1045</v>
      </c>
      <c r="Q40" s="4">
        <v>1012.704</v>
      </c>
      <c r="R40" s="4">
        <v>1013.978</v>
      </c>
    </row>
    <row r="41" spans="1:18" x14ac:dyDescent="0.2">
      <c r="A41" s="3" t="s">
        <v>58</v>
      </c>
      <c r="B41" s="4">
        <v>6352</v>
      </c>
      <c r="C41" s="4">
        <v>5927</v>
      </c>
      <c r="D41" s="4">
        <v>6885</v>
      </c>
      <c r="E41" s="4">
        <v>5646</v>
      </c>
      <c r="F41" s="4">
        <v>4257</v>
      </c>
      <c r="G41" s="4">
        <v>4964</v>
      </c>
      <c r="H41" s="4">
        <v>5177</v>
      </c>
      <c r="I41" s="4">
        <v>3643</v>
      </c>
      <c r="J41" s="4">
        <v>4678</v>
      </c>
      <c r="K41" s="4">
        <v>5154</v>
      </c>
      <c r="L41" s="4">
        <v>5048</v>
      </c>
      <c r="M41" s="4">
        <v>5022</v>
      </c>
      <c r="N41" s="4">
        <v>5280</v>
      </c>
      <c r="O41" s="4">
        <v>5053</v>
      </c>
      <c r="P41" s="4">
        <v>5175</v>
      </c>
      <c r="Q41" s="4">
        <v>5542</v>
      </c>
      <c r="R41" s="4">
        <v>5446.9589999999998</v>
      </c>
    </row>
    <row r="42" spans="1:18" x14ac:dyDescent="0.2">
      <c r="A42" s="3" t="s">
        <v>59</v>
      </c>
      <c r="B42" s="4">
        <v>389</v>
      </c>
      <c r="C42" s="4">
        <v>364</v>
      </c>
      <c r="D42" s="4">
        <v>777</v>
      </c>
      <c r="E42" s="4">
        <v>918</v>
      </c>
      <c r="F42" s="4">
        <v>1118</v>
      </c>
      <c r="G42" s="4">
        <v>937</v>
      </c>
      <c r="H42" s="4">
        <v>857</v>
      </c>
      <c r="I42" s="4">
        <v>648</v>
      </c>
      <c r="J42" s="4">
        <v>759</v>
      </c>
      <c r="K42" s="4">
        <v>886</v>
      </c>
      <c r="L42" s="4">
        <v>756</v>
      </c>
      <c r="M42" s="4">
        <v>396</v>
      </c>
      <c r="N42" s="4">
        <v>557</v>
      </c>
      <c r="O42" s="4">
        <v>732</v>
      </c>
      <c r="P42" s="4">
        <v>876</v>
      </c>
      <c r="Q42" s="4">
        <v>919.89</v>
      </c>
      <c r="R42" s="4">
        <v>1342.549</v>
      </c>
    </row>
    <row r="44" spans="1:18" x14ac:dyDescent="0.2">
      <c r="A44" s="1" t="s">
        <v>61</v>
      </c>
    </row>
    <row r="45" spans="1:18" x14ac:dyDescent="0.2">
      <c r="A45" s="1" t="s">
        <v>60</v>
      </c>
      <c r="B45" s="1" t="s">
        <v>62</v>
      </c>
    </row>
    <row r="47" spans="1:18" x14ac:dyDescent="0.2">
      <c r="A47" s="1" t="s">
        <v>5</v>
      </c>
      <c r="B47" s="1" t="s">
        <v>63</v>
      </c>
    </row>
    <row r="48" spans="1:18" x14ac:dyDescent="0.2">
      <c r="A48" s="1" t="s">
        <v>7</v>
      </c>
      <c r="B48" s="1" t="s">
        <v>8</v>
      </c>
    </row>
    <row r="49" spans="1:18" x14ac:dyDescent="0.2">
      <c r="A49" s="1" t="s">
        <v>9</v>
      </c>
      <c r="B49" s="1" t="s">
        <v>10</v>
      </c>
    </row>
    <row r="51" spans="1:18" x14ac:dyDescent="0.2">
      <c r="A51" s="3" t="s">
        <v>11</v>
      </c>
      <c r="B51" s="3" t="s">
        <v>12</v>
      </c>
      <c r="C51" s="3" t="s">
        <v>13</v>
      </c>
      <c r="D51" s="3" t="s">
        <v>14</v>
      </c>
      <c r="E51" s="3" t="s">
        <v>15</v>
      </c>
      <c r="F51" s="3" t="s">
        <v>16</v>
      </c>
      <c r="G51" s="3" t="s">
        <v>17</v>
      </c>
      <c r="H51" s="3" t="s">
        <v>18</v>
      </c>
      <c r="I51" s="3" t="s">
        <v>19</v>
      </c>
      <c r="J51" s="3" t="s">
        <v>20</v>
      </c>
      <c r="K51" s="3" t="s">
        <v>21</v>
      </c>
      <c r="L51" s="3" t="s">
        <v>22</v>
      </c>
      <c r="M51" s="3" t="s">
        <v>23</v>
      </c>
      <c r="N51" s="3" t="s">
        <v>24</v>
      </c>
      <c r="O51" s="3" t="s">
        <v>25</v>
      </c>
      <c r="P51" s="3" t="s">
        <v>26</v>
      </c>
      <c r="Q51" s="3" t="s">
        <v>27</v>
      </c>
      <c r="R51" s="3" t="s">
        <v>28</v>
      </c>
    </row>
    <row r="52" spans="1:18" x14ac:dyDescent="0.2">
      <c r="A52" s="3" t="s">
        <v>29</v>
      </c>
      <c r="B52" s="4">
        <v>13177</v>
      </c>
      <c r="C52" s="4">
        <v>13537</v>
      </c>
      <c r="D52" s="4">
        <v>13473</v>
      </c>
      <c r="E52" s="4">
        <v>13767</v>
      </c>
      <c r="F52" s="4">
        <v>11766</v>
      </c>
      <c r="G52" s="4">
        <v>13176</v>
      </c>
      <c r="H52" s="4">
        <v>12222</v>
      </c>
      <c r="I52" s="4">
        <v>8678</v>
      </c>
      <c r="J52" s="4">
        <v>13500</v>
      </c>
      <c r="K52" s="4">
        <v>12829</v>
      </c>
      <c r="L52" s="4">
        <v>11357</v>
      </c>
      <c r="M52" s="4">
        <v>12770</v>
      </c>
      <c r="N52" s="4">
        <v>12922.5</v>
      </c>
      <c r="O52" s="4">
        <v>13172.8</v>
      </c>
      <c r="P52" s="4">
        <v>13575.1</v>
      </c>
      <c r="Q52" s="4">
        <v>14861</v>
      </c>
      <c r="R52" s="4">
        <v>14678.2</v>
      </c>
    </row>
    <row r="53" spans="1:18" x14ac:dyDescent="0.2">
      <c r="A53" s="3" t="s">
        <v>30</v>
      </c>
      <c r="B53" s="4">
        <v>1583</v>
      </c>
      <c r="C53" s="4">
        <v>1536</v>
      </c>
      <c r="D53" s="4">
        <v>1580</v>
      </c>
      <c r="E53" s="4">
        <v>1677</v>
      </c>
      <c r="F53" s="4">
        <v>1742</v>
      </c>
      <c r="G53" s="4">
        <v>1807</v>
      </c>
      <c r="H53" s="4">
        <v>1634</v>
      </c>
      <c r="I53" s="4">
        <v>1220</v>
      </c>
      <c r="J53" s="4">
        <v>939</v>
      </c>
      <c r="K53" s="4">
        <v>1005</v>
      </c>
      <c r="L53" s="4">
        <v>1156</v>
      </c>
      <c r="M53" s="4">
        <v>1234</v>
      </c>
      <c r="N53" s="4">
        <v>1236</v>
      </c>
      <c r="O53" s="4">
        <v>1410</v>
      </c>
      <c r="P53" s="4">
        <v>1435</v>
      </c>
      <c r="Q53" s="4">
        <v>1486.09</v>
      </c>
      <c r="R53" s="4">
        <v>1363.568</v>
      </c>
    </row>
    <row r="54" spans="1:18" x14ac:dyDescent="0.2">
      <c r="A54" s="3" t="s">
        <v>31</v>
      </c>
      <c r="B54" s="4">
        <v>3211</v>
      </c>
      <c r="C54" s="4">
        <v>3641</v>
      </c>
      <c r="D54" s="4">
        <v>3771</v>
      </c>
      <c r="E54" s="4">
        <v>3881</v>
      </c>
      <c r="F54" s="4">
        <v>3881</v>
      </c>
      <c r="G54" s="4">
        <v>3879</v>
      </c>
      <c r="H54" s="4">
        <v>3633</v>
      </c>
      <c r="I54" s="4">
        <v>3396</v>
      </c>
      <c r="J54" s="4">
        <v>3626</v>
      </c>
      <c r="K54" s="4">
        <v>3651</v>
      </c>
      <c r="L54" s="4">
        <v>3706</v>
      </c>
      <c r="M54" s="4">
        <v>3451</v>
      </c>
      <c r="N54" s="4">
        <v>3721</v>
      </c>
      <c r="O54" s="4">
        <v>3538</v>
      </c>
      <c r="P54" s="4">
        <v>3226</v>
      </c>
      <c r="Q54" s="4">
        <v>3384.1689999999999</v>
      </c>
      <c r="R54" s="4">
        <v>3295.6959999999999</v>
      </c>
    </row>
    <row r="55" spans="1:18" x14ac:dyDescent="0.2">
      <c r="A55" s="3" t="s">
        <v>32</v>
      </c>
      <c r="B55" s="4">
        <v>1384</v>
      </c>
      <c r="C55" s="4">
        <v>1270</v>
      </c>
      <c r="D55" s="4">
        <v>1266</v>
      </c>
      <c r="E55" s="4">
        <v>1389</v>
      </c>
      <c r="F55" s="4">
        <v>1331</v>
      </c>
      <c r="G55" s="4">
        <v>1239</v>
      </c>
      <c r="H55" s="4">
        <v>1305</v>
      </c>
      <c r="I55" s="4">
        <v>1228</v>
      </c>
      <c r="J55" s="4">
        <v>1249</v>
      </c>
      <c r="K55" s="4">
        <v>1300</v>
      </c>
      <c r="L55" s="4">
        <v>1425</v>
      </c>
      <c r="M55" s="4">
        <v>1353</v>
      </c>
      <c r="N55" s="4">
        <v>1312</v>
      </c>
      <c r="O55" s="4">
        <v>1339.6880000000001</v>
      </c>
      <c r="P55" s="4">
        <v>1512.0070000000001</v>
      </c>
      <c r="Q55" s="4">
        <v>1535.2049999999999</v>
      </c>
      <c r="R55" s="4">
        <v>1533.7139999999999</v>
      </c>
    </row>
    <row r="56" spans="1:18" x14ac:dyDescent="0.2">
      <c r="A56" s="3" t="s">
        <v>33</v>
      </c>
      <c r="B56" s="4">
        <v>50185</v>
      </c>
      <c r="C56" s="4">
        <v>51012</v>
      </c>
      <c r="D56" s="4">
        <v>50867</v>
      </c>
      <c r="E56" s="4">
        <v>52857</v>
      </c>
      <c r="F56" s="4">
        <v>52335</v>
      </c>
      <c r="G56" s="4">
        <v>53400</v>
      </c>
      <c r="H56" s="4">
        <v>51728</v>
      </c>
      <c r="I56" s="4">
        <v>44863</v>
      </c>
      <c r="J56" s="4">
        <v>52337</v>
      </c>
      <c r="K56" s="4">
        <v>52522</v>
      </c>
      <c r="L56" s="4">
        <v>52151</v>
      </c>
      <c r="M56" s="4">
        <v>51729</v>
      </c>
      <c r="N56" s="4">
        <v>53487</v>
      </c>
      <c r="O56" s="4">
        <v>53465</v>
      </c>
      <c r="P56" s="4">
        <v>53577</v>
      </c>
      <c r="Q56" s="4">
        <v>54219</v>
      </c>
      <c r="R56" s="4">
        <v>53566</v>
      </c>
    </row>
    <row r="57" spans="1:18" x14ac:dyDescent="0.2">
      <c r="A57" s="3" t="s">
        <v>34</v>
      </c>
      <c r="B57" s="4">
        <v>282</v>
      </c>
      <c r="C57" s="4">
        <v>305</v>
      </c>
      <c r="D57" s="4">
        <v>330</v>
      </c>
      <c r="E57" s="4">
        <v>358</v>
      </c>
      <c r="F57" s="4">
        <v>361</v>
      </c>
      <c r="G57" s="4">
        <v>320</v>
      </c>
      <c r="H57" s="4">
        <v>354</v>
      </c>
      <c r="I57" s="4">
        <v>321</v>
      </c>
      <c r="J57" s="4">
        <v>252</v>
      </c>
      <c r="K57" s="4">
        <v>199</v>
      </c>
      <c r="L57" s="4">
        <v>198</v>
      </c>
      <c r="M57" s="4">
        <v>253</v>
      </c>
      <c r="N57" s="4">
        <v>151</v>
      </c>
      <c r="O57" s="4">
        <v>134</v>
      </c>
      <c r="P57" s="4">
        <v>114</v>
      </c>
      <c r="Q57" s="4">
        <v>114</v>
      </c>
      <c r="R57" s="4">
        <v>116</v>
      </c>
    </row>
    <row r="58" spans="1:18" x14ac:dyDescent="0.2">
      <c r="A58" s="3" t="s">
        <v>35</v>
      </c>
      <c r="B58" s="4">
        <v>1388.527</v>
      </c>
      <c r="C58" s="4">
        <v>1292.913</v>
      </c>
      <c r="D58" s="4">
        <v>1223.6020000000001</v>
      </c>
      <c r="E58" s="4">
        <v>1363.6489999999999</v>
      </c>
      <c r="F58" s="4">
        <v>1376.876</v>
      </c>
      <c r="G58" s="4">
        <v>1377.9680000000001</v>
      </c>
      <c r="H58" s="4">
        <v>1379.7470000000001</v>
      </c>
      <c r="I58" s="4">
        <v>1509.288</v>
      </c>
      <c r="J58" s="4">
        <v>1653.2929999999999</v>
      </c>
      <c r="K58" s="4">
        <v>1725.999</v>
      </c>
      <c r="L58" s="4">
        <v>1661.2280000000001</v>
      </c>
      <c r="M58" s="4">
        <v>1686.99</v>
      </c>
      <c r="N58" s="4">
        <v>1707.1369999999999</v>
      </c>
      <c r="O58" s="4">
        <v>1788.126</v>
      </c>
      <c r="P58" s="4">
        <v>1846.3130000000001</v>
      </c>
      <c r="Q58" s="4">
        <v>1866.85</v>
      </c>
      <c r="R58" s="4">
        <v>1986.75</v>
      </c>
    </row>
    <row r="59" spans="1:18" x14ac:dyDescent="0.2">
      <c r="A59" s="3" t="s">
        <v>36</v>
      </c>
      <c r="B59" s="4">
        <v>1154</v>
      </c>
      <c r="C59" s="4">
        <v>627</v>
      </c>
      <c r="D59" s="4">
        <v>524</v>
      </c>
      <c r="E59" s="4">
        <v>569</v>
      </c>
      <c r="F59" s="4">
        <v>529</v>
      </c>
      <c r="G59" s="4">
        <v>98</v>
      </c>
      <c r="H59" s="4">
        <v>763</v>
      </c>
      <c r="I59" s="4">
        <v>729</v>
      </c>
      <c r="J59" s="4">
        <v>527</v>
      </c>
      <c r="K59" s="4">
        <v>467</v>
      </c>
      <c r="L59" s="4">
        <v>625</v>
      </c>
      <c r="M59" s="4">
        <v>600</v>
      </c>
      <c r="N59" s="4">
        <v>660</v>
      </c>
      <c r="O59" s="4">
        <v>643</v>
      </c>
      <c r="P59" s="4">
        <v>184</v>
      </c>
      <c r="Q59" s="4">
        <v>668.71799999999996</v>
      </c>
      <c r="R59" s="4">
        <v>936.39</v>
      </c>
    </row>
    <row r="60" spans="1:18" x14ac:dyDescent="0.2">
      <c r="A60" s="3" t="s">
        <v>37</v>
      </c>
      <c r="B60" s="4">
        <v>12111</v>
      </c>
      <c r="C60" s="4">
        <v>12646</v>
      </c>
      <c r="D60" s="4">
        <v>13172</v>
      </c>
      <c r="E60" s="4">
        <v>13379</v>
      </c>
      <c r="F60" s="4">
        <v>12819</v>
      </c>
      <c r="G60" s="4">
        <v>12130</v>
      </c>
      <c r="H60" s="4">
        <v>10999</v>
      </c>
      <c r="I60" s="4">
        <v>8845</v>
      </c>
      <c r="J60" s="4">
        <v>8638</v>
      </c>
      <c r="K60" s="4">
        <v>8524</v>
      </c>
      <c r="L60" s="4">
        <v>8410</v>
      </c>
      <c r="M60" s="4">
        <v>8966</v>
      </c>
      <c r="N60" s="4">
        <v>9155</v>
      </c>
      <c r="O60" s="4">
        <v>9504</v>
      </c>
      <c r="P60" s="4">
        <v>9761</v>
      </c>
      <c r="Q60" s="4">
        <v>9640</v>
      </c>
      <c r="R60" s="4">
        <v>9140</v>
      </c>
    </row>
    <row r="61" spans="1:18" x14ac:dyDescent="0.2">
      <c r="A61" s="3" t="s">
        <v>38</v>
      </c>
      <c r="B61" s="4">
        <v>24738</v>
      </c>
      <c r="C61" s="4">
        <v>23566</v>
      </c>
      <c r="D61" s="4">
        <v>24035</v>
      </c>
      <c r="E61" s="4">
        <v>24932</v>
      </c>
      <c r="F61" s="4">
        <v>24720</v>
      </c>
      <c r="G61" s="4">
        <v>24844</v>
      </c>
      <c r="H61" s="4">
        <v>30704</v>
      </c>
      <c r="I61" s="4">
        <v>26559</v>
      </c>
      <c r="J61" s="4">
        <v>27640</v>
      </c>
      <c r="K61" s="4">
        <v>20232.866999999998</v>
      </c>
      <c r="L61" s="4">
        <v>19719.856</v>
      </c>
      <c r="M61" s="4">
        <v>19586.636999999999</v>
      </c>
      <c r="N61" s="4">
        <v>20257.506000000001</v>
      </c>
      <c r="O61" s="4">
        <v>19952.143</v>
      </c>
      <c r="P61" s="4">
        <v>19964.786</v>
      </c>
      <c r="Q61" s="4">
        <v>20377.413</v>
      </c>
      <c r="R61" s="4">
        <v>20070.468000000001</v>
      </c>
    </row>
    <row r="62" spans="1:18" x14ac:dyDescent="0.2">
      <c r="A62" s="3" t="s">
        <v>39</v>
      </c>
      <c r="B62" s="4">
        <v>495</v>
      </c>
      <c r="C62" s="4">
        <v>530</v>
      </c>
      <c r="D62" s="4">
        <v>470</v>
      </c>
      <c r="E62" s="4">
        <v>474</v>
      </c>
      <c r="F62" s="4">
        <v>477</v>
      </c>
      <c r="G62" s="4">
        <v>592</v>
      </c>
      <c r="H62" s="4">
        <v>488</v>
      </c>
      <c r="I62" s="4">
        <v>451</v>
      </c>
      <c r="J62" s="4">
        <v>476</v>
      </c>
      <c r="K62" s="4">
        <v>410</v>
      </c>
      <c r="L62" s="4">
        <v>257</v>
      </c>
      <c r="M62" s="4">
        <v>269</v>
      </c>
      <c r="N62" s="4">
        <v>272</v>
      </c>
      <c r="O62" s="4">
        <v>306</v>
      </c>
      <c r="P62" s="4">
        <v>305</v>
      </c>
      <c r="Q62" s="4">
        <v>307.5</v>
      </c>
      <c r="R62" s="4">
        <v>312.10000000000002</v>
      </c>
    </row>
    <row r="63" spans="1:18" x14ac:dyDescent="0.2">
      <c r="A63" s="3" t="s">
        <v>40</v>
      </c>
      <c r="B63" s="4">
        <v>20236</v>
      </c>
      <c r="C63" s="4">
        <v>20110</v>
      </c>
      <c r="D63" s="4">
        <v>19431</v>
      </c>
      <c r="E63" s="4">
        <v>19015</v>
      </c>
      <c r="F63" s="4">
        <v>18838</v>
      </c>
      <c r="G63" s="4">
        <v>18192</v>
      </c>
      <c r="H63" s="4">
        <v>17525</v>
      </c>
      <c r="I63" s="4">
        <v>14591</v>
      </c>
      <c r="J63" s="4">
        <v>15541</v>
      </c>
      <c r="K63" s="4">
        <v>15085</v>
      </c>
      <c r="L63" s="4">
        <v>14864</v>
      </c>
      <c r="M63" s="4">
        <v>14843</v>
      </c>
      <c r="N63" s="4">
        <v>14203</v>
      </c>
      <c r="O63" s="4">
        <v>13961</v>
      </c>
      <c r="P63" s="4">
        <v>13911</v>
      </c>
      <c r="Q63" s="4">
        <v>14283.61</v>
      </c>
      <c r="R63" s="4">
        <v>14463.6</v>
      </c>
    </row>
    <row r="64" spans="1:18" x14ac:dyDescent="0.2">
      <c r="A64" s="3" t="s">
        <v>41</v>
      </c>
      <c r="B64" s="4">
        <v>19</v>
      </c>
      <c r="C64" s="4">
        <v>20</v>
      </c>
      <c r="D64" s="4">
        <v>21</v>
      </c>
      <c r="E64" s="4">
        <v>24</v>
      </c>
      <c r="F64" s="4">
        <v>25</v>
      </c>
      <c r="G64" s="4">
        <v>27</v>
      </c>
      <c r="H64" s="4">
        <v>28</v>
      </c>
      <c r="I64" s="4">
        <v>28</v>
      </c>
      <c r="J64" s="4">
        <v>30</v>
      </c>
      <c r="K64" s="4">
        <v>29</v>
      </c>
      <c r="L64" s="4">
        <v>32</v>
      </c>
      <c r="M64" s="4">
        <v>35</v>
      </c>
      <c r="N64" s="4">
        <v>38</v>
      </c>
      <c r="O64" s="4">
        <v>40</v>
      </c>
      <c r="P64" s="4">
        <v>43</v>
      </c>
      <c r="Q64" s="4">
        <v>43.801000000000002</v>
      </c>
      <c r="R64" s="4">
        <v>44.654000000000003</v>
      </c>
    </row>
    <row r="65" spans="1:18" x14ac:dyDescent="0.2">
      <c r="A65" s="3" t="s">
        <v>42</v>
      </c>
      <c r="B65" s="4">
        <v>75</v>
      </c>
      <c r="C65" s="4">
        <v>75</v>
      </c>
      <c r="D65" s="4">
        <v>66</v>
      </c>
      <c r="E65" s="4">
        <v>72</v>
      </c>
      <c r="F65" s="4">
        <v>75</v>
      </c>
      <c r="G65" s="4">
        <v>59</v>
      </c>
      <c r="H65" s="4">
        <v>65</v>
      </c>
      <c r="I65" s="4">
        <v>59</v>
      </c>
      <c r="J65" s="4">
        <v>63</v>
      </c>
      <c r="K65" s="4">
        <v>69</v>
      </c>
      <c r="L65" s="4">
        <v>72</v>
      </c>
      <c r="M65" s="4">
        <v>72</v>
      </c>
      <c r="N65" s="4">
        <v>60</v>
      </c>
      <c r="O65" s="4">
        <v>62</v>
      </c>
      <c r="P65" s="4">
        <v>62</v>
      </c>
      <c r="Q65" s="4">
        <v>64.498999999999995</v>
      </c>
      <c r="R65" s="4">
        <v>65.269000000000005</v>
      </c>
    </row>
    <row r="66" spans="1:18" x14ac:dyDescent="0.2">
      <c r="A66" s="3" t="s">
        <v>43</v>
      </c>
      <c r="B66" s="4">
        <v>507</v>
      </c>
      <c r="C66" s="4">
        <v>551</v>
      </c>
      <c r="D66" s="4">
        <v>554</v>
      </c>
      <c r="E66" s="4">
        <v>598</v>
      </c>
      <c r="F66" s="4">
        <v>671</v>
      </c>
      <c r="G66" s="4">
        <v>780</v>
      </c>
      <c r="H66" s="4">
        <v>736</v>
      </c>
      <c r="I66" s="4">
        <v>624</v>
      </c>
      <c r="J66" s="4">
        <v>680</v>
      </c>
      <c r="K66" s="4">
        <v>770</v>
      </c>
      <c r="L66" s="4">
        <v>785</v>
      </c>
      <c r="M66" s="4">
        <v>730</v>
      </c>
      <c r="N66" s="4">
        <v>750</v>
      </c>
      <c r="O66" s="4">
        <v>713</v>
      </c>
      <c r="P66" s="4">
        <v>746</v>
      </c>
      <c r="Q66" s="4">
        <v>831.4</v>
      </c>
      <c r="R66" s="4">
        <v>804.7</v>
      </c>
    </row>
    <row r="67" spans="1:18" x14ac:dyDescent="0.2">
      <c r="A67" s="3" t="s">
        <v>44</v>
      </c>
      <c r="B67" s="4">
        <v>280.858</v>
      </c>
      <c r="C67" s="4">
        <v>477.59800000000001</v>
      </c>
      <c r="D67" s="4">
        <v>477.74299999999999</v>
      </c>
      <c r="E67" s="4">
        <v>530.09400000000005</v>
      </c>
      <c r="F67" s="4">
        <v>462.44799999999998</v>
      </c>
      <c r="G67" s="4">
        <v>445.09199999999998</v>
      </c>
      <c r="H67" s="4">
        <v>396.89600000000002</v>
      </c>
      <c r="I67" s="4">
        <v>311.01600000000002</v>
      </c>
      <c r="J67" s="4">
        <v>349.89</v>
      </c>
      <c r="K67" s="4">
        <v>400.79500000000002</v>
      </c>
      <c r="L67" s="4">
        <v>389.6</v>
      </c>
      <c r="M67" s="4">
        <v>406.983</v>
      </c>
      <c r="N67" s="4">
        <v>368.471</v>
      </c>
      <c r="O67" s="4">
        <v>379.84800000000001</v>
      </c>
      <c r="P67" s="4">
        <v>383.47800000000001</v>
      </c>
      <c r="Q67" s="4">
        <v>335.54</v>
      </c>
      <c r="R67" s="4">
        <v>356.875</v>
      </c>
    </row>
    <row r="68" spans="1:18" x14ac:dyDescent="0.2">
      <c r="A68" s="3" t="s">
        <v>45</v>
      </c>
      <c r="B68" s="4">
        <v>3048</v>
      </c>
      <c r="C68" s="4">
        <v>2050</v>
      </c>
      <c r="D68" s="4">
        <v>2102</v>
      </c>
      <c r="E68" s="4">
        <v>2127</v>
      </c>
      <c r="F68" s="4">
        <v>2407</v>
      </c>
      <c r="G68" s="4">
        <v>2640</v>
      </c>
      <c r="H68" s="4">
        <v>2721</v>
      </c>
      <c r="I68" s="4">
        <v>2164</v>
      </c>
      <c r="J68" s="4">
        <v>2315</v>
      </c>
      <c r="K68" s="4">
        <v>2338</v>
      </c>
      <c r="L68" s="4">
        <v>2828</v>
      </c>
      <c r="M68" s="4">
        <v>3050</v>
      </c>
      <c r="N68" s="4">
        <v>3197</v>
      </c>
      <c r="O68" s="4">
        <v>3277</v>
      </c>
      <c r="P68" s="4">
        <v>3271</v>
      </c>
      <c r="Q68" s="4">
        <v>3372</v>
      </c>
      <c r="R68" s="4">
        <v>3333</v>
      </c>
    </row>
    <row r="69" spans="1:18" x14ac:dyDescent="0.2">
      <c r="A69" s="3" t="s">
        <v>46</v>
      </c>
      <c r="B69" s="5">
        <v>0</v>
      </c>
      <c r="C69" s="5">
        <v>0</v>
      </c>
      <c r="D69" s="5">
        <v>0</v>
      </c>
      <c r="E69" s="5">
        <v>0</v>
      </c>
      <c r="F69" s="5">
        <v>0</v>
      </c>
      <c r="G69" s="5">
        <v>0</v>
      </c>
      <c r="H69" s="5">
        <v>0</v>
      </c>
      <c r="I69" s="5">
        <v>0</v>
      </c>
      <c r="J69" s="4">
        <v>38</v>
      </c>
      <c r="K69" s="4">
        <v>38</v>
      </c>
      <c r="L69" s="4">
        <v>40</v>
      </c>
      <c r="M69" s="4">
        <v>40</v>
      </c>
      <c r="N69" s="4">
        <v>41</v>
      </c>
      <c r="O69" s="4">
        <v>41</v>
      </c>
      <c r="P69" s="4">
        <v>45</v>
      </c>
      <c r="Q69" s="4">
        <v>50.593000000000004</v>
      </c>
      <c r="R69" s="4">
        <v>47.232999999999997</v>
      </c>
    </row>
    <row r="70" spans="1:18" x14ac:dyDescent="0.2">
      <c r="A70" s="3" t="s">
        <v>47</v>
      </c>
      <c r="B70" s="4">
        <v>12198</v>
      </c>
      <c r="C70" s="4">
        <v>12228</v>
      </c>
      <c r="D70" s="4">
        <v>12385</v>
      </c>
      <c r="E70" s="4">
        <v>12626</v>
      </c>
      <c r="F70" s="4">
        <v>12863</v>
      </c>
      <c r="G70" s="4">
        <v>13160</v>
      </c>
      <c r="H70" s="4">
        <v>12520</v>
      </c>
      <c r="I70" s="4">
        <v>12324</v>
      </c>
      <c r="J70" s="4">
        <v>13218</v>
      </c>
      <c r="K70" s="4">
        <v>12990</v>
      </c>
      <c r="L70" s="4">
        <v>12484.800999999999</v>
      </c>
      <c r="M70" s="4">
        <v>12560.067999999999</v>
      </c>
      <c r="N70" s="4">
        <v>12202.724</v>
      </c>
      <c r="O70" s="4">
        <v>12371.800999999999</v>
      </c>
      <c r="P70" s="4">
        <v>12860.609</v>
      </c>
      <c r="Q70" s="4">
        <v>12842.906999999999</v>
      </c>
      <c r="R70" s="4">
        <v>12925.1</v>
      </c>
    </row>
    <row r="71" spans="1:18" x14ac:dyDescent="0.2">
      <c r="A71" s="3" t="s">
        <v>48</v>
      </c>
      <c r="B71" s="4">
        <v>3337</v>
      </c>
      <c r="C71" s="4">
        <v>3360</v>
      </c>
      <c r="D71" s="4">
        <v>3540</v>
      </c>
      <c r="E71" s="4">
        <v>3569.8150000000001</v>
      </c>
      <c r="F71" s="4">
        <v>3687.9569999999999</v>
      </c>
      <c r="G71" s="4">
        <v>3865.489</v>
      </c>
      <c r="H71" s="4">
        <v>3901.0309999999999</v>
      </c>
      <c r="I71" s="4">
        <v>3944.5259999999998</v>
      </c>
      <c r="J71" s="4">
        <v>4270.8220000000001</v>
      </c>
      <c r="K71" s="4">
        <v>4267.4480000000003</v>
      </c>
      <c r="L71" s="4">
        <v>4368.8029999999999</v>
      </c>
      <c r="M71" s="4">
        <v>4290.2370000000001</v>
      </c>
      <c r="N71" s="4">
        <v>4396.5209999999997</v>
      </c>
      <c r="O71" s="4">
        <v>4541.8559999999998</v>
      </c>
      <c r="P71" s="4">
        <v>4815.6570000000002</v>
      </c>
      <c r="Q71" s="4">
        <v>4736.1279999999997</v>
      </c>
      <c r="R71" s="4">
        <v>4634.7719999999999</v>
      </c>
    </row>
    <row r="72" spans="1:18" x14ac:dyDescent="0.2">
      <c r="A72" s="3" t="s">
        <v>49</v>
      </c>
      <c r="B72" s="4">
        <v>7473</v>
      </c>
      <c r="C72" s="4">
        <v>8089</v>
      </c>
      <c r="D72" s="4">
        <v>8212</v>
      </c>
      <c r="E72" s="4">
        <v>7905</v>
      </c>
      <c r="F72" s="4">
        <v>8424</v>
      </c>
      <c r="G72" s="4">
        <v>8442</v>
      </c>
      <c r="H72" s="4">
        <v>8033</v>
      </c>
      <c r="I72" s="4">
        <v>7630</v>
      </c>
      <c r="J72" s="4">
        <v>7181</v>
      </c>
      <c r="K72" s="4">
        <v>7785</v>
      </c>
      <c r="L72" s="4">
        <v>8133</v>
      </c>
      <c r="M72" s="4">
        <v>8312</v>
      </c>
      <c r="N72" s="4">
        <v>8159</v>
      </c>
      <c r="O72" s="4">
        <v>8366</v>
      </c>
      <c r="P72" s="4">
        <v>8303</v>
      </c>
      <c r="Q72" s="4">
        <v>8733.7189999999991</v>
      </c>
      <c r="R72" s="4">
        <v>8867.232</v>
      </c>
    </row>
    <row r="73" spans="1:18" x14ac:dyDescent="0.2">
      <c r="A73" s="3" t="s">
        <v>50</v>
      </c>
      <c r="B73" s="4">
        <v>2331</v>
      </c>
      <c r="C73" s="4">
        <v>2480</v>
      </c>
      <c r="D73" s="4">
        <v>2555</v>
      </c>
      <c r="E73" s="4">
        <v>2561</v>
      </c>
      <c r="F73" s="4">
        <v>2637</v>
      </c>
      <c r="G73" s="4">
        <v>2679</v>
      </c>
      <c r="H73" s="4">
        <v>2509</v>
      </c>
      <c r="I73" s="4">
        <v>2172</v>
      </c>
      <c r="J73" s="4">
        <v>2491</v>
      </c>
      <c r="K73" s="4">
        <v>2401</v>
      </c>
      <c r="L73" s="4">
        <v>2294</v>
      </c>
      <c r="M73" s="4">
        <v>2289</v>
      </c>
      <c r="N73" s="4">
        <v>2116</v>
      </c>
      <c r="O73" s="4">
        <v>2119</v>
      </c>
      <c r="P73" s="4">
        <v>2310.0419999999999</v>
      </c>
      <c r="Q73" s="4">
        <v>2375.1109999999999</v>
      </c>
      <c r="R73" s="4">
        <v>2382.5909999999999</v>
      </c>
    </row>
    <row r="74" spans="1:18" x14ac:dyDescent="0.2">
      <c r="A74" s="3" t="s">
        <v>51</v>
      </c>
      <c r="B74" s="4">
        <v>3859</v>
      </c>
      <c r="C74" s="4">
        <v>3696</v>
      </c>
      <c r="D74" s="4">
        <v>3526</v>
      </c>
      <c r="E74" s="4">
        <v>3417</v>
      </c>
      <c r="F74" s="4">
        <v>4320</v>
      </c>
      <c r="G74" s="4">
        <v>3734</v>
      </c>
      <c r="H74" s="4">
        <v>3916</v>
      </c>
      <c r="I74" s="4">
        <v>3299</v>
      </c>
      <c r="J74" s="4">
        <v>3468</v>
      </c>
      <c r="K74" s="4">
        <v>3876</v>
      </c>
      <c r="L74" s="4">
        <v>3647</v>
      </c>
      <c r="M74" s="4">
        <v>2998</v>
      </c>
      <c r="N74" s="4">
        <v>3314</v>
      </c>
      <c r="O74" s="4">
        <v>3096</v>
      </c>
      <c r="P74" s="4">
        <v>3010</v>
      </c>
      <c r="Q74" s="4">
        <v>3096.7449999999999</v>
      </c>
      <c r="R74" s="4">
        <v>3240.2530000000002</v>
      </c>
    </row>
    <row r="75" spans="1:18" x14ac:dyDescent="0.2">
      <c r="A75" s="3" t="s">
        <v>52</v>
      </c>
      <c r="B75" s="4">
        <v>479</v>
      </c>
      <c r="C75" s="4">
        <v>897</v>
      </c>
      <c r="D75" s="4">
        <v>903</v>
      </c>
      <c r="E75" s="4">
        <v>852</v>
      </c>
      <c r="F75" s="4">
        <v>832</v>
      </c>
      <c r="G75" s="4">
        <v>900</v>
      </c>
      <c r="H75" s="4">
        <v>621</v>
      </c>
      <c r="I75" s="4">
        <v>615</v>
      </c>
      <c r="J75" s="4">
        <v>662</v>
      </c>
      <c r="K75" s="4">
        <v>647</v>
      </c>
      <c r="L75" s="4">
        <v>648</v>
      </c>
      <c r="M75" s="4">
        <v>621</v>
      </c>
      <c r="N75" s="4">
        <v>662</v>
      </c>
      <c r="O75" s="4">
        <v>678</v>
      </c>
      <c r="P75" s="4">
        <v>677</v>
      </c>
      <c r="Q75" s="4">
        <v>692.81799999999998</v>
      </c>
      <c r="R75" s="4">
        <v>641.35599999999999</v>
      </c>
    </row>
    <row r="76" spans="1:18" x14ac:dyDescent="0.2">
      <c r="A76" s="3" t="s">
        <v>53</v>
      </c>
      <c r="B76" s="4">
        <v>1415</v>
      </c>
      <c r="C76" s="4">
        <v>1460</v>
      </c>
      <c r="D76" s="4">
        <v>1406</v>
      </c>
      <c r="E76" s="4">
        <v>1699</v>
      </c>
      <c r="F76" s="4">
        <v>1797</v>
      </c>
      <c r="G76" s="4">
        <v>1774</v>
      </c>
      <c r="H76" s="4">
        <v>1564</v>
      </c>
      <c r="I76" s="4">
        <v>1387</v>
      </c>
      <c r="J76" s="4">
        <v>804</v>
      </c>
      <c r="K76" s="4">
        <v>917</v>
      </c>
      <c r="L76" s="4">
        <v>1403</v>
      </c>
      <c r="M76" s="4">
        <v>1347</v>
      </c>
      <c r="N76" s="4">
        <v>1203</v>
      </c>
      <c r="O76" s="4">
        <v>1312</v>
      </c>
      <c r="P76" s="4">
        <v>1264</v>
      </c>
      <c r="Q76" s="4">
        <v>1108</v>
      </c>
      <c r="R76" s="4">
        <v>961</v>
      </c>
    </row>
    <row r="77" spans="1:18" x14ac:dyDescent="0.2">
      <c r="A77" s="3" t="s">
        <v>54</v>
      </c>
      <c r="B77" s="4">
        <v>4568</v>
      </c>
      <c r="C77" s="4">
        <v>4621</v>
      </c>
      <c r="D77" s="4">
        <v>4770</v>
      </c>
      <c r="E77" s="4">
        <v>4619</v>
      </c>
      <c r="F77" s="4">
        <v>4878</v>
      </c>
      <c r="G77" s="4">
        <v>5064</v>
      </c>
      <c r="H77" s="4">
        <v>4768</v>
      </c>
      <c r="I77" s="4">
        <v>4299</v>
      </c>
      <c r="J77" s="4">
        <v>4595</v>
      </c>
      <c r="K77" s="4">
        <v>4745</v>
      </c>
      <c r="L77" s="4">
        <v>4637</v>
      </c>
      <c r="M77" s="4">
        <v>4751</v>
      </c>
      <c r="N77" s="4">
        <v>4679</v>
      </c>
      <c r="O77" s="4">
        <v>4695</v>
      </c>
      <c r="P77" s="4">
        <v>5004</v>
      </c>
      <c r="Q77" s="4">
        <v>4614</v>
      </c>
      <c r="R77" s="4">
        <v>4887</v>
      </c>
    </row>
    <row r="78" spans="1:18" x14ac:dyDescent="0.2">
      <c r="A78" s="3" t="s">
        <v>55</v>
      </c>
      <c r="B78" s="4">
        <v>5560</v>
      </c>
      <c r="C78" s="4">
        <v>6663</v>
      </c>
      <c r="D78" s="4">
        <v>6796</v>
      </c>
      <c r="E78" s="4">
        <v>6635</v>
      </c>
      <c r="F78" s="4">
        <v>6353</v>
      </c>
      <c r="G78" s="4">
        <v>6137</v>
      </c>
      <c r="H78" s="4">
        <v>5904</v>
      </c>
      <c r="I78" s="4">
        <v>4474</v>
      </c>
      <c r="J78" s="4">
        <v>4914</v>
      </c>
      <c r="K78" s="4">
        <v>4611</v>
      </c>
      <c r="L78" s="4">
        <v>4600</v>
      </c>
      <c r="M78" s="4">
        <v>4615</v>
      </c>
      <c r="N78" s="4">
        <v>4483</v>
      </c>
      <c r="O78" s="4">
        <v>4400</v>
      </c>
      <c r="P78" s="4">
        <v>4607</v>
      </c>
      <c r="Q78" s="4">
        <v>4655</v>
      </c>
      <c r="R78" s="4">
        <v>4389</v>
      </c>
    </row>
    <row r="79" spans="1:18" x14ac:dyDescent="0.2">
      <c r="A79" s="3" t="s">
        <v>56</v>
      </c>
      <c r="B79" s="4">
        <v>22861</v>
      </c>
      <c r="C79" s="4">
        <v>19741</v>
      </c>
      <c r="D79" s="4">
        <v>19928</v>
      </c>
      <c r="E79" s="4">
        <v>21125</v>
      </c>
      <c r="F79" s="4">
        <v>20391</v>
      </c>
      <c r="G79" s="4">
        <v>20197</v>
      </c>
      <c r="H79" s="4">
        <v>20287</v>
      </c>
      <c r="I79" s="4">
        <v>17702</v>
      </c>
      <c r="J79" s="4">
        <v>18468</v>
      </c>
      <c r="K79" s="4">
        <v>17640</v>
      </c>
      <c r="L79" s="4">
        <v>17507</v>
      </c>
      <c r="M79" s="4">
        <v>16525</v>
      </c>
      <c r="N79" s="4">
        <v>15476</v>
      </c>
      <c r="O79" s="4">
        <v>15614.878000000001</v>
      </c>
      <c r="P79" s="4">
        <v>15088.12</v>
      </c>
      <c r="Q79" s="4">
        <v>15233.713</v>
      </c>
      <c r="R79" s="4">
        <v>15268.031000000001</v>
      </c>
    </row>
    <row r="80" spans="1:18" x14ac:dyDescent="0.2">
      <c r="A80" s="3" t="s">
        <v>57</v>
      </c>
      <c r="B80" s="4">
        <v>29</v>
      </c>
      <c r="C80" s="4">
        <v>20</v>
      </c>
      <c r="D80" s="4">
        <v>20</v>
      </c>
      <c r="E80" s="4">
        <v>19</v>
      </c>
      <c r="F80" s="4">
        <v>20</v>
      </c>
      <c r="G80" s="4">
        <v>50</v>
      </c>
      <c r="H80" s="4">
        <v>37</v>
      </c>
      <c r="I80" s="4">
        <v>39</v>
      </c>
      <c r="J80" s="4">
        <v>43</v>
      </c>
      <c r="K80" s="4">
        <v>46</v>
      </c>
      <c r="L80" s="4">
        <v>57</v>
      </c>
      <c r="M80" s="4">
        <v>39</v>
      </c>
      <c r="N80" s="4">
        <v>66</v>
      </c>
      <c r="O80" s="4">
        <v>81</v>
      </c>
      <c r="P80" s="4">
        <v>87</v>
      </c>
      <c r="Q80" s="4">
        <v>84.272000000000006</v>
      </c>
      <c r="R80" s="4">
        <v>96.326999999999998</v>
      </c>
    </row>
    <row r="81" spans="1:18" x14ac:dyDescent="0.2">
      <c r="A81" s="3" t="s">
        <v>58</v>
      </c>
      <c r="B81" s="4">
        <v>6808</v>
      </c>
      <c r="C81" s="4">
        <v>6834</v>
      </c>
      <c r="D81" s="4">
        <v>7093</v>
      </c>
      <c r="E81" s="4">
        <v>7617</v>
      </c>
      <c r="F81" s="4">
        <v>7476</v>
      </c>
      <c r="G81" s="4">
        <v>7226</v>
      </c>
      <c r="H81" s="4">
        <v>7856</v>
      </c>
      <c r="I81" s="4">
        <v>6519</v>
      </c>
      <c r="J81" s="4">
        <v>7811</v>
      </c>
      <c r="K81" s="4">
        <v>7688</v>
      </c>
      <c r="L81" s="4">
        <v>7252</v>
      </c>
      <c r="M81" s="4">
        <v>7229</v>
      </c>
      <c r="N81" s="4">
        <v>7650</v>
      </c>
      <c r="O81" s="4">
        <v>7829</v>
      </c>
      <c r="P81" s="4">
        <v>7748</v>
      </c>
      <c r="Q81" s="4">
        <v>7454</v>
      </c>
      <c r="R81" s="4">
        <v>7638.9120000000003</v>
      </c>
    </row>
    <row r="82" spans="1:18" x14ac:dyDescent="0.2">
      <c r="A82" s="3" t="s">
        <v>59</v>
      </c>
      <c r="B82" s="4">
        <v>463</v>
      </c>
      <c r="C82" s="4">
        <v>433</v>
      </c>
      <c r="D82" s="4">
        <v>957</v>
      </c>
      <c r="E82" s="4">
        <v>840</v>
      </c>
      <c r="F82" s="4">
        <v>930</v>
      </c>
      <c r="G82" s="4">
        <v>858</v>
      </c>
      <c r="H82" s="4">
        <v>1147</v>
      </c>
      <c r="I82" s="4">
        <v>625</v>
      </c>
      <c r="J82" s="4">
        <v>951</v>
      </c>
      <c r="K82" s="4">
        <v>611</v>
      </c>
      <c r="L82" s="4">
        <v>825</v>
      </c>
      <c r="M82" s="4">
        <v>932</v>
      </c>
      <c r="N82" s="4">
        <v>903</v>
      </c>
      <c r="O82" s="4">
        <v>922</v>
      </c>
      <c r="P82" s="4">
        <v>1202</v>
      </c>
      <c r="Q82" s="4">
        <v>1261.7249999999999</v>
      </c>
      <c r="R82" s="4">
        <v>1347.587</v>
      </c>
    </row>
    <row r="84" spans="1:18" x14ac:dyDescent="0.2">
      <c r="A84" s="1" t="s">
        <v>61</v>
      </c>
    </row>
    <row r="85" spans="1:18" x14ac:dyDescent="0.2">
      <c r="A85" s="1" t="s">
        <v>60</v>
      </c>
      <c r="B85" s="1" t="s">
        <v>62</v>
      </c>
    </row>
    <row r="87" spans="1:18" x14ac:dyDescent="0.2">
      <c r="A87" s="1" t="s">
        <v>5</v>
      </c>
      <c r="B87" s="1" t="s">
        <v>64</v>
      </c>
    </row>
    <row r="88" spans="1:18" x14ac:dyDescent="0.2">
      <c r="A88" s="1" t="s">
        <v>7</v>
      </c>
      <c r="B88" s="1" t="s">
        <v>8</v>
      </c>
    </row>
    <row r="89" spans="1:18" x14ac:dyDescent="0.2">
      <c r="A89" s="1" t="s">
        <v>9</v>
      </c>
      <c r="B89" s="1" t="s">
        <v>10</v>
      </c>
    </row>
    <row r="91" spans="1:18" x14ac:dyDescent="0.2">
      <c r="A91" s="3" t="s">
        <v>11</v>
      </c>
      <c r="B91" s="3" t="s">
        <v>12</v>
      </c>
      <c r="C91" s="3" t="s">
        <v>13</v>
      </c>
      <c r="D91" s="3" t="s">
        <v>14</v>
      </c>
      <c r="E91" s="3" t="s">
        <v>15</v>
      </c>
      <c r="F91" s="3" t="s">
        <v>16</v>
      </c>
      <c r="G91" s="3" t="s">
        <v>17</v>
      </c>
      <c r="H91" s="3" t="s">
        <v>18</v>
      </c>
      <c r="I91" s="3" t="s">
        <v>19</v>
      </c>
      <c r="J91" s="3" t="s">
        <v>20</v>
      </c>
      <c r="K91" s="3" t="s">
        <v>21</v>
      </c>
      <c r="L91" s="3" t="s">
        <v>22</v>
      </c>
      <c r="M91" s="3" t="s">
        <v>23</v>
      </c>
      <c r="N91" s="3" t="s">
        <v>24</v>
      </c>
      <c r="O91" s="3" t="s">
        <v>25</v>
      </c>
      <c r="P91" s="3" t="s">
        <v>26</v>
      </c>
      <c r="Q91" s="3" t="s">
        <v>27</v>
      </c>
      <c r="R91" s="3" t="s">
        <v>28</v>
      </c>
    </row>
    <row r="92" spans="1:18" x14ac:dyDescent="0.2">
      <c r="A92" s="3" t="s">
        <v>29</v>
      </c>
      <c r="B92" s="4">
        <v>1997</v>
      </c>
      <c r="C92" s="4">
        <v>2083</v>
      </c>
      <c r="D92" s="4">
        <v>2123</v>
      </c>
      <c r="E92" s="4">
        <v>1729</v>
      </c>
      <c r="F92" s="4">
        <v>2468</v>
      </c>
      <c r="G92" s="4">
        <v>2298</v>
      </c>
      <c r="H92" s="4">
        <v>2207</v>
      </c>
      <c r="I92" s="4">
        <v>1328</v>
      </c>
      <c r="J92" s="4">
        <v>1775</v>
      </c>
      <c r="K92" s="4">
        <v>1859</v>
      </c>
      <c r="L92" s="4">
        <v>1911</v>
      </c>
      <c r="M92" s="4">
        <v>1882</v>
      </c>
      <c r="N92" s="4">
        <v>1936.6</v>
      </c>
      <c r="O92" s="4">
        <v>1922.2</v>
      </c>
      <c r="P92" s="4">
        <v>1862</v>
      </c>
      <c r="Q92" s="4">
        <v>1994</v>
      </c>
      <c r="R92" s="4">
        <v>2121</v>
      </c>
    </row>
    <row r="93" spans="1:18" x14ac:dyDescent="0.2">
      <c r="A93" s="3" t="s">
        <v>30</v>
      </c>
      <c r="B93" s="4">
        <v>608</v>
      </c>
      <c r="C93" s="4">
        <v>753</v>
      </c>
      <c r="D93" s="4">
        <v>820</v>
      </c>
      <c r="E93" s="4">
        <v>816</v>
      </c>
      <c r="F93" s="4">
        <v>833</v>
      </c>
      <c r="G93" s="4">
        <v>849</v>
      </c>
      <c r="H93" s="4">
        <v>929</v>
      </c>
      <c r="I93" s="4">
        <v>880</v>
      </c>
      <c r="J93" s="4">
        <v>917</v>
      </c>
      <c r="K93" s="4">
        <v>952</v>
      </c>
      <c r="L93" s="4">
        <v>862</v>
      </c>
      <c r="M93" s="4">
        <v>1003</v>
      </c>
      <c r="N93" s="4">
        <v>1004</v>
      </c>
      <c r="O93" s="4">
        <v>863</v>
      </c>
      <c r="P93" s="4">
        <v>770</v>
      </c>
      <c r="Q93" s="4">
        <v>1049.3510000000001</v>
      </c>
      <c r="R93" s="4">
        <v>1081.7370000000001</v>
      </c>
    </row>
    <row r="94" spans="1:18" x14ac:dyDescent="0.2">
      <c r="A94" s="3" t="s">
        <v>31</v>
      </c>
      <c r="B94" s="4">
        <v>104</v>
      </c>
      <c r="C94" s="4">
        <v>280</v>
      </c>
      <c r="D94" s="4">
        <v>291</v>
      </c>
      <c r="E94" s="4">
        <v>329</v>
      </c>
      <c r="F94" s="4">
        <v>336</v>
      </c>
      <c r="G94" s="4">
        <v>306</v>
      </c>
      <c r="H94" s="4">
        <v>309</v>
      </c>
      <c r="I94" s="4">
        <v>262</v>
      </c>
      <c r="J94" s="4">
        <v>215</v>
      </c>
      <c r="K94" s="4">
        <v>262</v>
      </c>
      <c r="L94" s="4">
        <v>354</v>
      </c>
      <c r="M94" s="4">
        <v>349</v>
      </c>
      <c r="N94" s="4">
        <v>366</v>
      </c>
      <c r="O94" s="4">
        <v>365</v>
      </c>
      <c r="P94" s="4">
        <v>405</v>
      </c>
      <c r="Q94" s="4">
        <v>411.31299999999999</v>
      </c>
      <c r="R94" s="4">
        <v>413.57</v>
      </c>
    </row>
    <row r="95" spans="1:18" x14ac:dyDescent="0.2">
      <c r="A95" s="3" t="s">
        <v>32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</row>
    <row r="96" spans="1:18" x14ac:dyDescent="0.2">
      <c r="A96" s="3" t="s">
        <v>33</v>
      </c>
      <c r="B96" s="4">
        <v>18827</v>
      </c>
      <c r="C96" s="4">
        <v>17795</v>
      </c>
      <c r="D96" s="4">
        <v>18163</v>
      </c>
      <c r="E96" s="4">
        <v>17897</v>
      </c>
      <c r="F96" s="4">
        <v>15920</v>
      </c>
      <c r="G96" s="4">
        <v>16563</v>
      </c>
      <c r="H96" s="4">
        <v>17299</v>
      </c>
      <c r="I96" s="4">
        <v>11080</v>
      </c>
      <c r="J96" s="4">
        <v>13645</v>
      </c>
      <c r="K96" s="4">
        <v>13255</v>
      </c>
      <c r="L96" s="4">
        <v>12745</v>
      </c>
      <c r="M96" s="4">
        <v>12864</v>
      </c>
      <c r="N96" s="4">
        <v>13418</v>
      </c>
      <c r="O96" s="4">
        <v>15871</v>
      </c>
      <c r="P96" s="4">
        <v>15979</v>
      </c>
      <c r="Q96" s="4">
        <v>16276</v>
      </c>
      <c r="R96" s="4">
        <v>15785</v>
      </c>
    </row>
    <row r="97" spans="1:18" x14ac:dyDescent="0.2">
      <c r="A97" s="3" t="s">
        <v>34</v>
      </c>
      <c r="B97" s="4">
        <v>3</v>
      </c>
      <c r="C97" s="4">
        <v>4</v>
      </c>
      <c r="D97" s="4">
        <v>3</v>
      </c>
      <c r="E97" s="4">
        <v>7</v>
      </c>
      <c r="F97" s="4">
        <v>7</v>
      </c>
      <c r="G97" s="4">
        <v>9</v>
      </c>
      <c r="H97" s="4">
        <v>9</v>
      </c>
      <c r="I97" s="4">
        <v>6</v>
      </c>
      <c r="J97" s="4">
        <v>10</v>
      </c>
      <c r="K97" s="4">
        <v>7</v>
      </c>
      <c r="L97" s="4">
        <v>9</v>
      </c>
      <c r="M97" s="4">
        <v>5</v>
      </c>
      <c r="N97" s="4">
        <v>5</v>
      </c>
      <c r="O97" s="4">
        <v>4</v>
      </c>
      <c r="P97" s="4">
        <v>5</v>
      </c>
      <c r="Q97" s="5">
        <v>0</v>
      </c>
      <c r="R97" s="4">
        <v>3</v>
      </c>
    </row>
    <row r="98" spans="1:18" x14ac:dyDescent="0.2">
      <c r="A98" s="3" t="s">
        <v>35</v>
      </c>
      <c r="B98" s="4">
        <v>459.13</v>
      </c>
      <c r="C98" s="4">
        <v>427.51400000000001</v>
      </c>
      <c r="D98" s="4">
        <v>404.596</v>
      </c>
      <c r="E98" s="4">
        <v>450.904</v>
      </c>
      <c r="F98" s="4">
        <v>568.25400000000002</v>
      </c>
      <c r="G98" s="4">
        <v>582.78700000000003</v>
      </c>
      <c r="H98" s="4">
        <v>584.05200000000002</v>
      </c>
      <c r="I98" s="4">
        <v>510.471</v>
      </c>
      <c r="J98" s="4">
        <v>729.15099999999995</v>
      </c>
      <c r="K98" s="4">
        <v>740.82899999999995</v>
      </c>
      <c r="L98" s="4">
        <v>744.22400000000005</v>
      </c>
      <c r="M98" s="4">
        <v>741.20600000000002</v>
      </c>
      <c r="N98" s="4">
        <v>747.03300000000002</v>
      </c>
      <c r="O98" s="4">
        <v>784.66600000000005</v>
      </c>
      <c r="P98" s="4">
        <v>789.38499999999999</v>
      </c>
      <c r="Q98" s="4">
        <v>796.12400000000002</v>
      </c>
      <c r="R98" s="4">
        <v>823.72900000000004</v>
      </c>
    </row>
    <row r="99" spans="1:18" x14ac:dyDescent="0.2">
      <c r="A99" s="3" t="s">
        <v>36</v>
      </c>
      <c r="B99" s="4">
        <v>3929</v>
      </c>
      <c r="C99" s="4">
        <v>3752</v>
      </c>
      <c r="D99" s="4">
        <v>4237</v>
      </c>
      <c r="E99" s="4">
        <v>4615</v>
      </c>
      <c r="F99" s="4">
        <v>4111</v>
      </c>
      <c r="G99" s="4">
        <v>4594</v>
      </c>
      <c r="H99" s="4">
        <v>3956</v>
      </c>
      <c r="I99" s="4">
        <v>4051</v>
      </c>
      <c r="J99" s="4">
        <v>5396</v>
      </c>
      <c r="K99" s="4">
        <v>4262</v>
      </c>
      <c r="L99" s="4">
        <v>4644</v>
      </c>
      <c r="M99" s="4">
        <v>4710</v>
      </c>
      <c r="N99" s="4">
        <v>4710</v>
      </c>
      <c r="O99" s="4">
        <v>4770</v>
      </c>
      <c r="P99" s="4">
        <v>4366</v>
      </c>
      <c r="Q99" s="4">
        <v>4570.5370000000003</v>
      </c>
      <c r="R99" s="4">
        <v>4867.25</v>
      </c>
    </row>
    <row r="100" spans="1:18" x14ac:dyDescent="0.2">
      <c r="A100" s="3" t="s">
        <v>37</v>
      </c>
      <c r="B100" s="4">
        <v>10484</v>
      </c>
      <c r="C100" s="4">
        <v>10884</v>
      </c>
      <c r="D100" s="4">
        <v>11572</v>
      </c>
      <c r="E100" s="4">
        <v>10271</v>
      </c>
      <c r="F100" s="4">
        <v>10112</v>
      </c>
      <c r="G100" s="4">
        <v>10744</v>
      </c>
      <c r="H100" s="4">
        <v>10071</v>
      </c>
      <c r="I100" s="4">
        <v>9512</v>
      </c>
      <c r="J100" s="4">
        <v>8651</v>
      </c>
      <c r="K100" s="4">
        <v>10728</v>
      </c>
      <c r="L100" s="4">
        <v>10584</v>
      </c>
      <c r="M100" s="4">
        <v>9012</v>
      </c>
      <c r="N100" s="4">
        <v>9362</v>
      </c>
      <c r="O100" s="4">
        <v>9544</v>
      </c>
      <c r="P100" s="4">
        <v>9333</v>
      </c>
      <c r="Q100" s="4">
        <v>10070</v>
      </c>
      <c r="R100" s="4">
        <v>9137</v>
      </c>
    </row>
    <row r="101" spans="1:18" x14ac:dyDescent="0.2">
      <c r="A101" s="3" t="s">
        <v>38</v>
      </c>
      <c r="B101" s="4">
        <v>10211</v>
      </c>
      <c r="C101" s="4">
        <v>9919</v>
      </c>
      <c r="D101" s="4">
        <v>10197</v>
      </c>
      <c r="E101" s="4">
        <v>9833</v>
      </c>
      <c r="F101" s="4">
        <v>9548</v>
      </c>
      <c r="G101" s="4">
        <v>9287</v>
      </c>
      <c r="H101" s="4">
        <v>7902</v>
      </c>
      <c r="I101" s="4">
        <v>7152</v>
      </c>
      <c r="J101" s="4">
        <v>7468</v>
      </c>
      <c r="K101" s="4">
        <v>8126.527</v>
      </c>
      <c r="L101" s="4">
        <v>7963.1180000000004</v>
      </c>
      <c r="M101" s="4">
        <v>7848.4709999999995</v>
      </c>
      <c r="N101" s="4">
        <v>8287.5779999999995</v>
      </c>
      <c r="O101" s="4">
        <v>8734.6119999999992</v>
      </c>
      <c r="P101" s="4">
        <v>8838.5040000000008</v>
      </c>
      <c r="Q101" s="4">
        <v>8933.1149999999998</v>
      </c>
      <c r="R101" s="4">
        <v>8235.6280000000006</v>
      </c>
    </row>
    <row r="102" spans="1:18" x14ac:dyDescent="0.2">
      <c r="A102" s="3" t="s">
        <v>39</v>
      </c>
      <c r="B102" s="4">
        <v>92</v>
      </c>
      <c r="C102" s="4">
        <v>80</v>
      </c>
      <c r="D102" s="4">
        <v>80</v>
      </c>
      <c r="E102" s="4">
        <v>93</v>
      </c>
      <c r="F102" s="4">
        <v>91</v>
      </c>
      <c r="G102" s="4">
        <v>96</v>
      </c>
      <c r="H102" s="4">
        <v>78</v>
      </c>
      <c r="I102" s="4">
        <v>77</v>
      </c>
      <c r="J102" s="4">
        <v>71</v>
      </c>
      <c r="K102" s="4">
        <v>82</v>
      </c>
      <c r="L102" s="4">
        <v>86</v>
      </c>
      <c r="M102" s="4">
        <v>86</v>
      </c>
      <c r="N102" s="4">
        <v>79</v>
      </c>
      <c r="O102" s="4">
        <v>36</v>
      </c>
      <c r="P102" s="4">
        <v>32</v>
      </c>
      <c r="Q102" s="4">
        <v>86.2</v>
      </c>
      <c r="R102" s="4">
        <v>98.7</v>
      </c>
    </row>
    <row r="103" spans="1:18" x14ac:dyDescent="0.2">
      <c r="A103" s="3" t="s">
        <v>40</v>
      </c>
      <c r="B103" s="4">
        <v>5619</v>
      </c>
      <c r="C103" s="4">
        <v>5464</v>
      </c>
      <c r="D103" s="4">
        <v>5538</v>
      </c>
      <c r="E103" s="4">
        <v>5635</v>
      </c>
      <c r="F103" s="4">
        <v>5753</v>
      </c>
      <c r="G103" s="4">
        <v>5553</v>
      </c>
      <c r="H103" s="4">
        <v>5598</v>
      </c>
      <c r="I103" s="4">
        <v>5092</v>
      </c>
      <c r="J103" s="4">
        <v>4573</v>
      </c>
      <c r="K103" s="4">
        <v>4628</v>
      </c>
      <c r="L103" s="4">
        <v>3825</v>
      </c>
      <c r="M103" s="4">
        <v>2416</v>
      </c>
      <c r="N103" s="4">
        <v>2522</v>
      </c>
      <c r="O103" s="4">
        <v>2483</v>
      </c>
      <c r="P103" s="4">
        <v>2477</v>
      </c>
      <c r="Q103" s="4">
        <v>2556.2249999999999</v>
      </c>
      <c r="R103" s="4">
        <v>2528.1849999999999</v>
      </c>
    </row>
    <row r="104" spans="1:18" x14ac:dyDescent="0.2">
      <c r="A104" s="3" t="s">
        <v>41</v>
      </c>
      <c r="B104" s="5">
        <v>0</v>
      </c>
      <c r="C104" s="5">
        <v>0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</row>
    <row r="105" spans="1:18" x14ac:dyDescent="0.2">
      <c r="A105" s="3" t="s">
        <v>42</v>
      </c>
      <c r="B105" s="4">
        <v>3</v>
      </c>
      <c r="C105" s="4">
        <v>3</v>
      </c>
      <c r="D105" s="4">
        <v>3</v>
      </c>
      <c r="E105" s="4">
        <v>3</v>
      </c>
      <c r="F105" s="4">
        <v>2</v>
      </c>
      <c r="G105" s="4">
        <v>2</v>
      </c>
      <c r="H105" s="4">
        <v>1</v>
      </c>
      <c r="I105" s="4">
        <v>1</v>
      </c>
      <c r="J105" s="4">
        <v>1</v>
      </c>
      <c r="K105" s="4">
        <v>2</v>
      </c>
      <c r="L105" s="4">
        <v>2</v>
      </c>
      <c r="M105" s="4">
        <v>1</v>
      </c>
      <c r="N105" s="4">
        <v>1</v>
      </c>
      <c r="O105" s="5">
        <v>0</v>
      </c>
      <c r="P105" s="5">
        <v>0</v>
      </c>
      <c r="Q105" s="4">
        <v>4.867</v>
      </c>
      <c r="R105" s="4">
        <v>5.0039999999999996</v>
      </c>
    </row>
    <row r="106" spans="1:18" x14ac:dyDescent="0.2">
      <c r="A106" s="3" t="s">
        <v>43</v>
      </c>
      <c r="B106" s="5">
        <v>0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</row>
    <row r="107" spans="1:18" x14ac:dyDescent="0.2">
      <c r="A107" s="3" t="s">
        <v>44</v>
      </c>
      <c r="B107" s="5">
        <v>0</v>
      </c>
      <c r="C107" s="5">
        <v>0</v>
      </c>
      <c r="D107" s="5">
        <v>0</v>
      </c>
      <c r="E107" s="5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</row>
    <row r="108" spans="1:18" x14ac:dyDescent="0.2">
      <c r="A108" s="3" t="s">
        <v>45</v>
      </c>
      <c r="B108" s="4">
        <v>1085</v>
      </c>
      <c r="C108" s="4">
        <v>1053</v>
      </c>
      <c r="D108" s="4">
        <v>1058</v>
      </c>
      <c r="E108" s="4">
        <v>906</v>
      </c>
      <c r="F108" s="4">
        <v>508</v>
      </c>
      <c r="G108" s="4">
        <v>470</v>
      </c>
      <c r="H108" s="4">
        <v>466</v>
      </c>
      <c r="I108" s="4">
        <v>362</v>
      </c>
      <c r="J108" s="4">
        <v>431</v>
      </c>
      <c r="K108" s="4">
        <v>435</v>
      </c>
      <c r="L108" s="4">
        <v>506</v>
      </c>
      <c r="M108" s="4">
        <v>470</v>
      </c>
      <c r="N108" s="4">
        <v>389</v>
      </c>
      <c r="O108" s="4">
        <v>385</v>
      </c>
      <c r="P108" s="4">
        <v>401</v>
      </c>
      <c r="Q108" s="4">
        <v>429</v>
      </c>
      <c r="R108" s="4">
        <v>438</v>
      </c>
    </row>
    <row r="109" spans="1:18" x14ac:dyDescent="0.2">
      <c r="A109" s="3" t="s">
        <v>46</v>
      </c>
      <c r="B109" s="5">
        <v>0</v>
      </c>
      <c r="C109" s="5">
        <v>0</v>
      </c>
      <c r="D109" s="5">
        <v>0</v>
      </c>
      <c r="E109" s="5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</row>
    <row r="110" spans="1:18" x14ac:dyDescent="0.2">
      <c r="A110" s="3" t="s">
        <v>47</v>
      </c>
      <c r="B110" s="4">
        <v>5747</v>
      </c>
      <c r="C110" s="4">
        <v>5828</v>
      </c>
      <c r="D110" s="4">
        <v>6328</v>
      </c>
      <c r="E110" s="4">
        <v>6332</v>
      </c>
      <c r="F110" s="4">
        <v>5722</v>
      </c>
      <c r="G110" s="4">
        <v>6005</v>
      </c>
      <c r="H110" s="4">
        <v>6390</v>
      </c>
      <c r="I110" s="4">
        <v>3838</v>
      </c>
      <c r="J110" s="4">
        <v>4777</v>
      </c>
      <c r="K110" s="4">
        <v>6114</v>
      </c>
      <c r="L110" s="4">
        <v>2774</v>
      </c>
      <c r="M110" s="4">
        <v>2838</v>
      </c>
      <c r="N110" s="4">
        <v>1630</v>
      </c>
      <c r="O110" s="4">
        <v>2037.0830000000001</v>
      </c>
      <c r="P110" s="4">
        <v>2222.39</v>
      </c>
      <c r="Q110" s="4">
        <v>1994.8209999999999</v>
      </c>
      <c r="R110" s="4">
        <v>2237.9940000000001</v>
      </c>
    </row>
    <row r="111" spans="1:18" x14ac:dyDescent="0.2">
      <c r="A111" s="3" t="s">
        <v>48</v>
      </c>
      <c r="B111" s="4">
        <v>662</v>
      </c>
      <c r="C111" s="4">
        <v>704</v>
      </c>
      <c r="D111" s="4">
        <v>776</v>
      </c>
      <c r="E111" s="4">
        <v>798.08500000000004</v>
      </c>
      <c r="F111" s="4">
        <v>829.12199999999996</v>
      </c>
      <c r="G111" s="4">
        <v>882.66300000000001</v>
      </c>
      <c r="H111" s="4">
        <v>860.91899999999998</v>
      </c>
      <c r="I111" s="4">
        <v>782.13900000000001</v>
      </c>
      <c r="J111" s="4">
        <v>852.12300000000005</v>
      </c>
      <c r="K111" s="4">
        <v>966.35599999999999</v>
      </c>
      <c r="L111" s="4">
        <v>986.80399999999997</v>
      </c>
      <c r="M111" s="4">
        <v>952.995</v>
      </c>
      <c r="N111" s="4">
        <v>992.66</v>
      </c>
      <c r="O111" s="4">
        <v>962.60500000000002</v>
      </c>
      <c r="P111" s="4">
        <v>1034.4570000000001</v>
      </c>
      <c r="Q111" s="4">
        <v>1045.556</v>
      </c>
      <c r="R111" s="4">
        <v>1060.201</v>
      </c>
    </row>
    <row r="112" spans="1:18" x14ac:dyDescent="0.2">
      <c r="A112" s="3" t="s">
        <v>49</v>
      </c>
      <c r="B112" s="4">
        <v>3523</v>
      </c>
      <c r="C112" s="4">
        <v>3511</v>
      </c>
      <c r="D112" s="4">
        <v>3559</v>
      </c>
      <c r="E112" s="4">
        <v>3483</v>
      </c>
      <c r="F112" s="4">
        <v>3565</v>
      </c>
      <c r="G112" s="4">
        <v>3526</v>
      </c>
      <c r="H112" s="4">
        <v>2962</v>
      </c>
      <c r="I112" s="4">
        <v>2316</v>
      </c>
      <c r="J112" s="4">
        <v>1713</v>
      </c>
      <c r="K112" s="4">
        <v>1944</v>
      </c>
      <c r="L112" s="4">
        <v>1973</v>
      </c>
      <c r="M112" s="4">
        <v>1972</v>
      </c>
      <c r="N112" s="4">
        <v>2088</v>
      </c>
      <c r="O112" s="4">
        <v>2115</v>
      </c>
      <c r="P112" s="4">
        <v>2145</v>
      </c>
      <c r="Q112" s="4">
        <v>2339.7489999999998</v>
      </c>
      <c r="R112" s="4">
        <v>2389.3789999999999</v>
      </c>
    </row>
    <row r="113" spans="1:18" x14ac:dyDescent="0.2">
      <c r="A113" s="3" t="s">
        <v>50</v>
      </c>
      <c r="B113" s="4">
        <v>117</v>
      </c>
      <c r="C113" s="4">
        <v>116</v>
      </c>
      <c r="D113" s="4">
        <v>121</v>
      </c>
      <c r="E113" s="4">
        <v>122</v>
      </c>
      <c r="F113" s="4">
        <v>127</v>
      </c>
      <c r="G113" s="4">
        <v>141</v>
      </c>
      <c r="H113" s="4">
        <v>139</v>
      </c>
      <c r="I113" s="4">
        <v>116</v>
      </c>
      <c r="J113" s="4">
        <v>136</v>
      </c>
      <c r="K113" s="4">
        <v>118</v>
      </c>
      <c r="L113" s="4">
        <v>115</v>
      </c>
      <c r="M113" s="4">
        <v>118</v>
      </c>
      <c r="N113" s="4">
        <v>122</v>
      </c>
      <c r="O113" s="4">
        <v>126</v>
      </c>
      <c r="P113" s="4">
        <v>109.595</v>
      </c>
      <c r="Q113" s="4">
        <v>114.92400000000001</v>
      </c>
      <c r="R113" s="4">
        <v>111.753</v>
      </c>
    </row>
    <row r="114" spans="1:18" x14ac:dyDescent="0.2">
      <c r="A114" s="3" t="s">
        <v>51</v>
      </c>
      <c r="B114" s="5">
        <v>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4">
        <v>3358.1179999999999</v>
      </c>
      <c r="R114" s="4">
        <v>3485.1869999999999</v>
      </c>
    </row>
    <row r="115" spans="1:18" x14ac:dyDescent="0.2">
      <c r="A115" s="3" t="s">
        <v>52</v>
      </c>
      <c r="B115" s="4">
        <v>1494</v>
      </c>
      <c r="C115" s="4">
        <v>1757</v>
      </c>
      <c r="D115" s="4">
        <v>1798</v>
      </c>
      <c r="E115" s="4">
        <v>1911</v>
      </c>
      <c r="F115" s="4">
        <v>1838</v>
      </c>
      <c r="G115" s="4">
        <v>1963</v>
      </c>
      <c r="H115" s="4">
        <v>1284</v>
      </c>
      <c r="I115" s="4">
        <v>666</v>
      </c>
      <c r="J115" s="4">
        <v>707</v>
      </c>
      <c r="K115" s="4">
        <v>1201</v>
      </c>
      <c r="L115" s="4">
        <v>1302</v>
      </c>
      <c r="M115" s="4">
        <v>1302</v>
      </c>
      <c r="N115" s="4">
        <v>1312</v>
      </c>
      <c r="O115" s="4">
        <v>1331</v>
      </c>
      <c r="P115" s="4">
        <v>1351</v>
      </c>
      <c r="Q115" s="4">
        <v>1351.443</v>
      </c>
      <c r="R115" s="4">
        <v>1324.769</v>
      </c>
    </row>
    <row r="116" spans="1:18" x14ac:dyDescent="0.2">
      <c r="A116" s="3" t="s">
        <v>53</v>
      </c>
      <c r="B116" s="4">
        <v>1683</v>
      </c>
      <c r="C116" s="4">
        <v>2022</v>
      </c>
      <c r="D116" s="4">
        <v>2352</v>
      </c>
      <c r="E116" s="4">
        <v>2376</v>
      </c>
      <c r="F116" s="4">
        <v>2400</v>
      </c>
      <c r="G116" s="4">
        <v>2120</v>
      </c>
      <c r="H116" s="4">
        <v>2502</v>
      </c>
      <c r="I116" s="4">
        <v>2249</v>
      </c>
      <c r="J116" s="4">
        <v>2455</v>
      </c>
      <c r="K116" s="4">
        <v>2454</v>
      </c>
      <c r="L116" s="4">
        <v>2476</v>
      </c>
      <c r="M116" s="4">
        <v>2478</v>
      </c>
      <c r="N116" s="4">
        <v>2523</v>
      </c>
      <c r="O116" s="4">
        <v>2563</v>
      </c>
      <c r="P116" s="4">
        <v>2586</v>
      </c>
      <c r="Q116" s="4">
        <v>2615</v>
      </c>
      <c r="R116" s="4">
        <v>2530</v>
      </c>
    </row>
    <row r="117" spans="1:18" x14ac:dyDescent="0.2">
      <c r="A117" s="3" t="s">
        <v>54</v>
      </c>
      <c r="B117" s="4">
        <v>1659</v>
      </c>
      <c r="C117" s="4">
        <v>1888</v>
      </c>
      <c r="D117" s="4">
        <v>2063</v>
      </c>
      <c r="E117" s="4">
        <v>1874</v>
      </c>
      <c r="F117" s="4">
        <v>2004</v>
      </c>
      <c r="G117" s="4">
        <v>2026</v>
      </c>
      <c r="H117" s="4">
        <v>1909</v>
      </c>
      <c r="I117" s="4">
        <v>1667</v>
      </c>
      <c r="J117" s="4">
        <v>1908</v>
      </c>
      <c r="K117" s="4">
        <v>1779</v>
      </c>
      <c r="L117" s="4">
        <v>1856</v>
      </c>
      <c r="M117" s="4">
        <v>1913</v>
      </c>
      <c r="N117" s="4">
        <v>1910</v>
      </c>
      <c r="O117" s="4">
        <v>1851</v>
      </c>
      <c r="P117" s="4">
        <v>1850</v>
      </c>
      <c r="Q117" s="4">
        <v>1895</v>
      </c>
      <c r="R117" s="4">
        <v>1933</v>
      </c>
    </row>
    <row r="118" spans="1:18" x14ac:dyDescent="0.2">
      <c r="A118" s="3" t="s">
        <v>55</v>
      </c>
      <c r="B118" s="4">
        <v>2972</v>
      </c>
      <c r="C118" s="4">
        <v>2943</v>
      </c>
      <c r="D118" s="4">
        <v>3002</v>
      </c>
      <c r="E118" s="4">
        <v>3268</v>
      </c>
      <c r="F118" s="4">
        <v>3225</v>
      </c>
      <c r="G118" s="4">
        <v>3275</v>
      </c>
      <c r="H118" s="4">
        <v>3034</v>
      </c>
      <c r="I118" s="4">
        <v>2300</v>
      </c>
      <c r="J118" s="4">
        <v>2395</v>
      </c>
      <c r="K118" s="4">
        <v>3005</v>
      </c>
      <c r="L118" s="4">
        <v>3200</v>
      </c>
      <c r="M118" s="4">
        <v>3106</v>
      </c>
      <c r="N118" s="4">
        <v>2907</v>
      </c>
      <c r="O118" s="4">
        <v>2890</v>
      </c>
      <c r="P118" s="4">
        <v>2935</v>
      </c>
      <c r="Q118" s="4">
        <v>2972</v>
      </c>
      <c r="R118" s="4">
        <v>3003</v>
      </c>
    </row>
    <row r="119" spans="1:18" x14ac:dyDescent="0.2">
      <c r="A119" s="3" t="s">
        <v>56</v>
      </c>
      <c r="B119" s="4">
        <v>6365</v>
      </c>
      <c r="C119" s="4">
        <v>7244</v>
      </c>
      <c r="D119" s="4">
        <v>7468</v>
      </c>
      <c r="E119" s="4">
        <v>7693</v>
      </c>
      <c r="F119" s="4">
        <v>7524</v>
      </c>
      <c r="G119" s="4">
        <v>7386</v>
      </c>
      <c r="H119" s="4">
        <v>7391</v>
      </c>
      <c r="I119" s="4">
        <v>6075</v>
      </c>
      <c r="J119" s="4">
        <v>6726</v>
      </c>
      <c r="K119" s="4">
        <v>6971</v>
      </c>
      <c r="L119" s="4">
        <v>5028</v>
      </c>
      <c r="M119" s="4">
        <v>4430</v>
      </c>
      <c r="N119" s="4">
        <v>4475</v>
      </c>
      <c r="O119" s="4">
        <v>4424.2370000000001</v>
      </c>
      <c r="P119" s="4">
        <v>4506.9049999999997</v>
      </c>
      <c r="Q119" s="4">
        <v>4305.8860000000004</v>
      </c>
      <c r="R119" s="4">
        <v>4087.9450000000002</v>
      </c>
    </row>
    <row r="120" spans="1:18" x14ac:dyDescent="0.2">
      <c r="A120" s="3" t="s">
        <v>57</v>
      </c>
      <c r="B120" s="4">
        <v>4170</v>
      </c>
      <c r="C120" s="4">
        <v>4180</v>
      </c>
      <c r="D120" s="4">
        <v>4202</v>
      </c>
      <c r="E120" s="4">
        <v>4211</v>
      </c>
      <c r="F120" s="4">
        <v>5287</v>
      </c>
      <c r="G120" s="4">
        <v>7112</v>
      </c>
      <c r="H120" s="4">
        <v>11551</v>
      </c>
      <c r="I120" s="4">
        <v>12031</v>
      </c>
      <c r="J120" s="4">
        <v>12021</v>
      </c>
      <c r="K120" s="4">
        <v>12343</v>
      </c>
      <c r="L120" s="4">
        <v>12508</v>
      </c>
      <c r="M120" s="4">
        <v>12918</v>
      </c>
      <c r="N120" s="4">
        <v>12981</v>
      </c>
      <c r="O120" s="4">
        <v>13263</v>
      </c>
      <c r="P120" s="4">
        <v>13072</v>
      </c>
      <c r="Q120" s="4">
        <v>13491.017</v>
      </c>
      <c r="R120" s="4">
        <v>13525.048000000001</v>
      </c>
    </row>
    <row r="121" spans="1:18" x14ac:dyDescent="0.2">
      <c r="A121" s="3" t="s">
        <v>58</v>
      </c>
      <c r="B121" s="4">
        <v>18809</v>
      </c>
      <c r="C121" s="4">
        <v>20599</v>
      </c>
      <c r="D121" s="4">
        <v>22418</v>
      </c>
      <c r="E121" s="4">
        <v>23757</v>
      </c>
      <c r="F121" s="4">
        <v>23590</v>
      </c>
      <c r="G121" s="4">
        <v>22869</v>
      </c>
      <c r="H121" s="4">
        <v>22982</v>
      </c>
      <c r="I121" s="4">
        <v>19115</v>
      </c>
      <c r="J121" s="4">
        <v>18675</v>
      </c>
      <c r="K121" s="4">
        <v>18785</v>
      </c>
      <c r="L121" s="4">
        <v>19029</v>
      </c>
      <c r="M121" s="4">
        <v>19237</v>
      </c>
      <c r="N121" s="4">
        <v>19662</v>
      </c>
      <c r="O121" s="4">
        <v>20386</v>
      </c>
      <c r="P121" s="4">
        <v>20764</v>
      </c>
      <c r="Q121" s="4">
        <v>20828</v>
      </c>
      <c r="R121" s="4">
        <v>21651.188999999998</v>
      </c>
    </row>
    <row r="122" spans="1:18" x14ac:dyDescent="0.2">
      <c r="A122" s="3" t="s">
        <v>59</v>
      </c>
      <c r="B122" s="5">
        <v>0</v>
      </c>
      <c r="C122" s="5">
        <v>0</v>
      </c>
      <c r="D122" s="4">
        <v>301</v>
      </c>
      <c r="E122" s="4">
        <v>350</v>
      </c>
      <c r="F122" s="4">
        <v>379</v>
      </c>
      <c r="G122" s="4">
        <v>290</v>
      </c>
      <c r="H122" s="4">
        <v>373</v>
      </c>
      <c r="I122" s="4">
        <v>193</v>
      </c>
      <c r="J122" s="4">
        <v>263</v>
      </c>
      <c r="K122" s="4">
        <v>316</v>
      </c>
      <c r="L122" s="4">
        <v>388</v>
      </c>
      <c r="M122" s="4">
        <v>400</v>
      </c>
      <c r="N122" s="4">
        <v>340</v>
      </c>
      <c r="O122" s="4">
        <v>369</v>
      </c>
      <c r="P122" s="4">
        <v>424</v>
      </c>
      <c r="Q122" s="4">
        <v>445.03</v>
      </c>
      <c r="R122" s="4">
        <v>439.96</v>
      </c>
    </row>
    <row r="124" spans="1:18" x14ac:dyDescent="0.2">
      <c r="A124" s="1" t="s">
        <v>61</v>
      </c>
    </row>
    <row r="125" spans="1:18" x14ac:dyDescent="0.2">
      <c r="A125" s="1" t="s">
        <v>60</v>
      </c>
      <c r="B125" s="1" t="s">
        <v>62</v>
      </c>
    </row>
    <row r="127" spans="1:18" x14ac:dyDescent="0.2">
      <c r="A127" s="1" t="s">
        <v>5</v>
      </c>
      <c r="B127" s="1" t="s">
        <v>65</v>
      </c>
    </row>
    <row r="128" spans="1:18" x14ac:dyDescent="0.2">
      <c r="A128" s="1" t="s">
        <v>7</v>
      </c>
      <c r="B128" s="1" t="s">
        <v>8</v>
      </c>
    </row>
    <row r="129" spans="1:18" x14ac:dyDescent="0.2">
      <c r="A129" s="1" t="s">
        <v>9</v>
      </c>
      <c r="B129" s="1" t="s">
        <v>10</v>
      </c>
    </row>
    <row r="131" spans="1:18" x14ac:dyDescent="0.2">
      <c r="A131" s="3" t="s">
        <v>11</v>
      </c>
      <c r="B131" s="3" t="s">
        <v>12</v>
      </c>
      <c r="C131" s="3" t="s">
        <v>13</v>
      </c>
      <c r="D131" s="3" t="s">
        <v>14</v>
      </c>
      <c r="E131" s="3" t="s">
        <v>15</v>
      </c>
      <c r="F131" s="3" t="s">
        <v>16</v>
      </c>
      <c r="G131" s="3" t="s">
        <v>17</v>
      </c>
      <c r="H131" s="3" t="s">
        <v>18</v>
      </c>
      <c r="I131" s="3" t="s">
        <v>19</v>
      </c>
      <c r="J131" s="3" t="s">
        <v>20</v>
      </c>
      <c r="K131" s="3" t="s">
        <v>21</v>
      </c>
      <c r="L131" s="3" t="s">
        <v>22</v>
      </c>
      <c r="M131" s="3" t="s">
        <v>23</v>
      </c>
      <c r="N131" s="3" t="s">
        <v>24</v>
      </c>
      <c r="O131" s="3" t="s">
        <v>25</v>
      </c>
      <c r="P131" s="3" t="s">
        <v>26</v>
      </c>
      <c r="Q131" s="3" t="s">
        <v>27</v>
      </c>
      <c r="R131" s="3" t="s">
        <v>28</v>
      </c>
    </row>
    <row r="132" spans="1:18" x14ac:dyDescent="0.2">
      <c r="A132" s="3" t="s">
        <v>29</v>
      </c>
      <c r="B132" s="4">
        <v>2515</v>
      </c>
      <c r="C132" s="4">
        <v>2563</v>
      </c>
      <c r="D132" s="4">
        <v>2613</v>
      </c>
      <c r="E132" s="4">
        <v>2325</v>
      </c>
      <c r="F132" s="4">
        <v>2411</v>
      </c>
      <c r="G132" s="4">
        <v>2370</v>
      </c>
      <c r="H132" s="4">
        <v>2449</v>
      </c>
      <c r="I132" s="4">
        <v>1959</v>
      </c>
      <c r="J132" s="4">
        <v>1059</v>
      </c>
      <c r="K132" s="4">
        <v>2967</v>
      </c>
      <c r="L132" s="4">
        <v>3699</v>
      </c>
      <c r="M132" s="4">
        <v>2829</v>
      </c>
      <c r="N132" s="4">
        <v>2865.4</v>
      </c>
      <c r="O132" s="4">
        <v>2791.9</v>
      </c>
      <c r="P132" s="4">
        <v>2766.8</v>
      </c>
      <c r="Q132" s="4">
        <v>2422.1999999999998</v>
      </c>
      <c r="R132" s="4">
        <v>2437.6999999999998</v>
      </c>
    </row>
    <row r="133" spans="1:18" x14ac:dyDescent="0.2">
      <c r="A133" s="3" t="s">
        <v>30</v>
      </c>
      <c r="B133" s="4">
        <v>606</v>
      </c>
      <c r="C133" s="4">
        <v>638</v>
      </c>
      <c r="D133" s="4">
        <v>698</v>
      </c>
      <c r="E133" s="4">
        <v>790</v>
      </c>
      <c r="F133" s="4">
        <v>877</v>
      </c>
      <c r="G133" s="4">
        <v>983</v>
      </c>
      <c r="H133" s="4">
        <v>977</v>
      </c>
      <c r="I133" s="4">
        <v>728</v>
      </c>
      <c r="J133" s="4">
        <v>755</v>
      </c>
      <c r="K133" s="4">
        <v>755</v>
      </c>
      <c r="L133" s="4">
        <v>750</v>
      </c>
      <c r="M133" s="4">
        <v>738</v>
      </c>
      <c r="N133" s="4">
        <v>845</v>
      </c>
      <c r="O133" s="4">
        <v>886</v>
      </c>
      <c r="P133" s="4">
        <v>892</v>
      </c>
      <c r="Q133" s="4">
        <v>934.13900000000001</v>
      </c>
      <c r="R133" s="4">
        <v>944.58699999999999</v>
      </c>
    </row>
    <row r="134" spans="1:18" x14ac:dyDescent="0.2">
      <c r="A134" s="3" t="s">
        <v>31</v>
      </c>
      <c r="B134" s="4">
        <v>2162</v>
      </c>
      <c r="C134" s="4">
        <v>2381</v>
      </c>
      <c r="D134" s="4">
        <v>2432</v>
      </c>
      <c r="E134" s="4">
        <v>2537</v>
      </c>
      <c r="F134" s="4">
        <v>2489</v>
      </c>
      <c r="G134" s="4">
        <v>2701</v>
      </c>
      <c r="H134" s="4">
        <v>2655</v>
      </c>
      <c r="I134" s="4">
        <v>1996</v>
      </c>
      <c r="J134" s="4">
        <v>2115</v>
      </c>
      <c r="K134" s="4">
        <v>2234</v>
      </c>
      <c r="L134" s="4">
        <v>2197</v>
      </c>
      <c r="M134" s="4">
        <v>2008</v>
      </c>
      <c r="N134" s="4">
        <v>2188</v>
      </c>
      <c r="O134" s="4">
        <v>2279</v>
      </c>
      <c r="P134" s="4">
        <v>2382</v>
      </c>
      <c r="Q134" s="4">
        <v>2431.2089999999998</v>
      </c>
      <c r="R134" s="4">
        <v>2474.0619999999999</v>
      </c>
    </row>
    <row r="135" spans="1:18" x14ac:dyDescent="0.2">
      <c r="A135" s="3" t="s">
        <v>32</v>
      </c>
      <c r="B135" s="4">
        <v>881</v>
      </c>
      <c r="C135" s="4">
        <v>870</v>
      </c>
      <c r="D135" s="4">
        <v>904</v>
      </c>
      <c r="E135" s="4">
        <v>946</v>
      </c>
      <c r="F135" s="4">
        <v>963</v>
      </c>
      <c r="G135" s="4">
        <v>974</v>
      </c>
      <c r="H135" s="4">
        <v>806</v>
      </c>
      <c r="I135" s="4">
        <v>664</v>
      </c>
      <c r="J135" s="4">
        <v>659</v>
      </c>
      <c r="K135" s="4">
        <v>688</v>
      </c>
      <c r="L135" s="4">
        <v>758</v>
      </c>
      <c r="M135" s="4">
        <v>736</v>
      </c>
      <c r="N135" s="4">
        <v>731</v>
      </c>
      <c r="O135" s="4">
        <v>744.21699999999998</v>
      </c>
      <c r="P135" s="4">
        <v>789.24099999999999</v>
      </c>
      <c r="Q135" s="4">
        <v>801.35</v>
      </c>
      <c r="R135" s="4">
        <v>800.572</v>
      </c>
    </row>
    <row r="136" spans="1:18" x14ac:dyDescent="0.2">
      <c r="A136" s="3" t="s">
        <v>33</v>
      </c>
      <c r="B136" s="4">
        <v>15087</v>
      </c>
      <c r="C136" s="4">
        <v>12515</v>
      </c>
      <c r="D136" s="4">
        <v>12743</v>
      </c>
      <c r="E136" s="4">
        <v>12459</v>
      </c>
      <c r="F136" s="4">
        <v>12791</v>
      </c>
      <c r="G136" s="4">
        <v>14168</v>
      </c>
      <c r="H136" s="4">
        <v>12803</v>
      </c>
      <c r="I136" s="4">
        <v>11628</v>
      </c>
      <c r="J136" s="4">
        <v>12234</v>
      </c>
      <c r="K136" s="4">
        <v>12918</v>
      </c>
      <c r="L136" s="4">
        <v>12275</v>
      </c>
      <c r="M136" s="4">
        <v>12230</v>
      </c>
      <c r="N136" s="4">
        <v>12120</v>
      </c>
      <c r="O136" s="4">
        <v>12296</v>
      </c>
      <c r="P136" s="4">
        <v>12318</v>
      </c>
      <c r="Q136" s="4">
        <v>12751</v>
      </c>
      <c r="R136" s="4">
        <v>12701</v>
      </c>
    </row>
    <row r="137" spans="1:18" x14ac:dyDescent="0.2">
      <c r="A137" s="3" t="s">
        <v>34</v>
      </c>
      <c r="B137" s="4">
        <v>172</v>
      </c>
      <c r="C137" s="4">
        <v>194</v>
      </c>
      <c r="D137" s="4">
        <v>200</v>
      </c>
      <c r="E137" s="4">
        <v>205</v>
      </c>
      <c r="F137" s="4">
        <v>218</v>
      </c>
      <c r="G137" s="4">
        <v>262</v>
      </c>
      <c r="H137" s="4">
        <v>245</v>
      </c>
      <c r="I137" s="4">
        <v>205</v>
      </c>
      <c r="J137" s="4">
        <v>210</v>
      </c>
      <c r="K137" s="4">
        <v>202</v>
      </c>
      <c r="L137" s="4">
        <v>206</v>
      </c>
      <c r="M137" s="4">
        <v>194</v>
      </c>
      <c r="N137" s="4">
        <v>209</v>
      </c>
      <c r="O137" s="4">
        <v>159</v>
      </c>
      <c r="P137" s="4">
        <v>161</v>
      </c>
      <c r="Q137" s="4">
        <v>150</v>
      </c>
      <c r="R137" s="4">
        <v>194</v>
      </c>
    </row>
    <row r="138" spans="1:18" x14ac:dyDescent="0.2">
      <c r="A138" s="3" t="s">
        <v>35</v>
      </c>
      <c r="B138" s="4">
        <v>581.62599999999998</v>
      </c>
      <c r="C138" s="4">
        <v>541.57500000000005</v>
      </c>
      <c r="D138" s="4">
        <v>512.54200000000003</v>
      </c>
      <c r="E138" s="4">
        <v>571.20500000000004</v>
      </c>
      <c r="F138" s="4">
        <v>957.37400000000002</v>
      </c>
      <c r="G138" s="4">
        <v>946.42</v>
      </c>
      <c r="H138" s="4">
        <v>818.74400000000003</v>
      </c>
      <c r="I138" s="4">
        <v>895.61400000000003</v>
      </c>
      <c r="J138" s="4">
        <v>578.85199999999998</v>
      </c>
      <c r="K138" s="4">
        <v>604.30799999999999</v>
      </c>
      <c r="L138" s="4">
        <v>581.63</v>
      </c>
      <c r="M138" s="4">
        <v>590.65</v>
      </c>
      <c r="N138" s="4">
        <v>597.70399999999995</v>
      </c>
      <c r="O138" s="4">
        <v>626.05899999999997</v>
      </c>
      <c r="P138" s="4">
        <v>646.43200000000002</v>
      </c>
      <c r="Q138" s="4">
        <v>653.62199999999996</v>
      </c>
      <c r="R138" s="4">
        <v>695.60199999999998</v>
      </c>
    </row>
    <row r="139" spans="1:18" x14ac:dyDescent="0.2">
      <c r="A139" s="3" t="s">
        <v>36</v>
      </c>
      <c r="B139" s="4">
        <v>2049</v>
      </c>
      <c r="C139" s="4">
        <v>2072</v>
      </c>
      <c r="D139" s="4">
        <v>2240</v>
      </c>
      <c r="E139" s="4">
        <v>2407</v>
      </c>
      <c r="F139" s="4">
        <v>2311</v>
      </c>
      <c r="G139" s="4">
        <v>2582</v>
      </c>
      <c r="H139" s="4">
        <v>2245</v>
      </c>
      <c r="I139" s="4">
        <v>1784</v>
      </c>
      <c r="J139" s="4">
        <v>1712</v>
      </c>
      <c r="K139" s="4">
        <v>1066</v>
      </c>
      <c r="L139" s="4">
        <v>952</v>
      </c>
      <c r="M139" s="4">
        <v>1091</v>
      </c>
      <c r="N139" s="4">
        <v>1098</v>
      </c>
      <c r="O139" s="4">
        <v>992</v>
      </c>
      <c r="P139" s="4">
        <v>898</v>
      </c>
      <c r="Q139" s="4">
        <v>1011.638</v>
      </c>
      <c r="R139" s="4">
        <v>1163.05</v>
      </c>
    </row>
    <row r="140" spans="1:18" x14ac:dyDescent="0.2">
      <c r="A140" s="3" t="s">
        <v>37</v>
      </c>
      <c r="B140" s="4">
        <v>11026</v>
      </c>
      <c r="C140" s="4">
        <v>12059</v>
      </c>
      <c r="D140" s="4">
        <v>12256</v>
      </c>
      <c r="E140" s="4">
        <v>13298</v>
      </c>
      <c r="F140" s="4">
        <v>11602</v>
      </c>
      <c r="G140" s="4">
        <v>12029</v>
      </c>
      <c r="H140" s="4">
        <v>10581</v>
      </c>
      <c r="I140" s="4">
        <v>7836</v>
      </c>
      <c r="J140" s="4">
        <v>7699</v>
      </c>
      <c r="K140" s="4">
        <v>6539</v>
      </c>
      <c r="L140" s="4">
        <v>6451</v>
      </c>
      <c r="M140" s="4">
        <v>5494</v>
      </c>
      <c r="N140" s="4">
        <v>5608</v>
      </c>
      <c r="O140" s="4">
        <v>5893</v>
      </c>
      <c r="P140" s="4">
        <v>5924</v>
      </c>
      <c r="Q140" s="4">
        <v>6245</v>
      </c>
      <c r="R140" s="4">
        <v>6290</v>
      </c>
    </row>
    <row r="141" spans="1:18" x14ac:dyDescent="0.2">
      <c r="A141" s="3" t="s">
        <v>38</v>
      </c>
      <c r="B141" s="4">
        <v>8550</v>
      </c>
      <c r="C141" s="4">
        <v>8582</v>
      </c>
      <c r="D141" s="4">
        <v>9013</v>
      </c>
      <c r="E141" s="4">
        <v>8832</v>
      </c>
      <c r="F141" s="4">
        <v>9005</v>
      </c>
      <c r="G141" s="4">
        <v>8918</v>
      </c>
      <c r="H141" s="4">
        <v>10010</v>
      </c>
      <c r="I141" s="4">
        <v>8664</v>
      </c>
      <c r="J141" s="4">
        <v>9174</v>
      </c>
      <c r="K141" s="4">
        <v>8659.8780000000006</v>
      </c>
      <c r="L141" s="4">
        <v>8480.2909999999993</v>
      </c>
      <c r="M141" s="4">
        <v>8341.3619999999992</v>
      </c>
      <c r="N141" s="4">
        <v>8122.6809999999996</v>
      </c>
      <c r="O141" s="4">
        <v>7949.47</v>
      </c>
      <c r="P141" s="4">
        <v>8174.7039999999997</v>
      </c>
      <c r="Q141" s="4">
        <v>8228.7049999999999</v>
      </c>
      <c r="R141" s="4">
        <v>8249.7440000000006</v>
      </c>
    </row>
    <row r="142" spans="1:18" x14ac:dyDescent="0.2">
      <c r="A142" s="3" t="s">
        <v>39</v>
      </c>
      <c r="B142" s="4">
        <v>621</v>
      </c>
      <c r="C142" s="4">
        <v>698</v>
      </c>
      <c r="D142" s="4">
        <v>654</v>
      </c>
      <c r="E142" s="4">
        <v>685</v>
      </c>
      <c r="F142" s="4">
        <v>722</v>
      </c>
      <c r="G142" s="4">
        <v>733</v>
      </c>
      <c r="H142" s="4">
        <v>742</v>
      </c>
      <c r="I142" s="4">
        <v>622</v>
      </c>
      <c r="J142" s="4">
        <v>625</v>
      </c>
      <c r="K142" s="4">
        <v>547</v>
      </c>
      <c r="L142" s="4">
        <v>522</v>
      </c>
      <c r="M142" s="4">
        <v>534</v>
      </c>
      <c r="N142" s="4">
        <v>552</v>
      </c>
      <c r="O142" s="4">
        <v>578</v>
      </c>
      <c r="P142" s="4">
        <v>575</v>
      </c>
      <c r="Q142" s="4">
        <v>677</v>
      </c>
      <c r="R142" s="4">
        <v>684.2</v>
      </c>
    </row>
    <row r="143" spans="1:18" x14ac:dyDescent="0.2">
      <c r="A143" s="3" t="s">
        <v>40</v>
      </c>
      <c r="B143" s="4">
        <v>14312</v>
      </c>
      <c r="C143" s="4">
        <v>14543</v>
      </c>
      <c r="D143" s="4">
        <v>14606</v>
      </c>
      <c r="E143" s="4">
        <v>14678</v>
      </c>
      <c r="F143" s="4">
        <v>14943</v>
      </c>
      <c r="G143" s="4">
        <v>14790</v>
      </c>
      <c r="H143" s="4">
        <v>13973</v>
      </c>
      <c r="I143" s="4">
        <v>11714</v>
      </c>
      <c r="J143" s="4">
        <v>11870</v>
      </c>
      <c r="K143" s="4">
        <v>11474</v>
      </c>
      <c r="L143" s="4">
        <v>9992</v>
      </c>
      <c r="M143" s="4">
        <v>9461</v>
      </c>
      <c r="N143" s="4">
        <v>9175</v>
      </c>
      <c r="O143" s="4">
        <v>8988</v>
      </c>
      <c r="P143" s="4">
        <v>8826</v>
      </c>
      <c r="Q143" s="4">
        <v>8905.1450000000004</v>
      </c>
      <c r="R143" s="4">
        <v>8926.027</v>
      </c>
    </row>
    <row r="144" spans="1:18" x14ac:dyDescent="0.2">
      <c r="A144" s="3" t="s">
        <v>41</v>
      </c>
      <c r="B144" s="4">
        <v>186</v>
      </c>
      <c r="C144" s="4">
        <v>208</v>
      </c>
      <c r="D144" s="4">
        <v>216</v>
      </c>
      <c r="E144" s="4">
        <v>221</v>
      </c>
      <c r="F144" s="4">
        <v>225</v>
      </c>
      <c r="G144" s="4">
        <v>225</v>
      </c>
      <c r="H144" s="4">
        <v>231</v>
      </c>
      <c r="I144" s="4">
        <v>200</v>
      </c>
      <c r="J144" s="4">
        <v>184</v>
      </c>
      <c r="K144" s="4">
        <v>155</v>
      </c>
      <c r="L144" s="4">
        <v>127</v>
      </c>
      <c r="M144" s="4">
        <v>139</v>
      </c>
      <c r="N144" s="4">
        <v>150</v>
      </c>
      <c r="O144" s="4">
        <v>148</v>
      </c>
      <c r="P144" s="4">
        <v>154</v>
      </c>
      <c r="Q144" s="4">
        <v>174.78700000000001</v>
      </c>
      <c r="R144" s="4">
        <v>172.285</v>
      </c>
    </row>
    <row r="145" spans="1:18" x14ac:dyDescent="0.2">
      <c r="A145" s="3" t="s">
        <v>42</v>
      </c>
      <c r="B145" s="4">
        <v>100</v>
      </c>
      <c r="C145" s="4">
        <v>105</v>
      </c>
      <c r="D145" s="4">
        <v>105</v>
      </c>
      <c r="E145" s="4">
        <v>164</v>
      </c>
      <c r="F145" s="4">
        <v>155</v>
      </c>
      <c r="G145" s="4">
        <v>184</v>
      </c>
      <c r="H145" s="4">
        <v>192</v>
      </c>
      <c r="I145" s="4">
        <v>176</v>
      </c>
      <c r="J145" s="4">
        <v>222</v>
      </c>
      <c r="K145" s="4">
        <v>239</v>
      </c>
      <c r="L145" s="4">
        <v>244</v>
      </c>
      <c r="M145" s="4">
        <v>256</v>
      </c>
      <c r="N145" s="4">
        <v>266</v>
      </c>
      <c r="O145" s="4">
        <v>239</v>
      </c>
      <c r="P145" s="4">
        <v>225</v>
      </c>
      <c r="Q145" s="4">
        <v>261.18400000000003</v>
      </c>
      <c r="R145" s="4">
        <v>281.08600000000001</v>
      </c>
    </row>
    <row r="146" spans="1:18" x14ac:dyDescent="0.2">
      <c r="A146" s="3" t="s">
        <v>43</v>
      </c>
      <c r="B146" s="4">
        <v>232</v>
      </c>
      <c r="C146" s="4">
        <v>236</v>
      </c>
      <c r="D146" s="4">
        <v>211</v>
      </c>
      <c r="E146" s="4">
        <v>230</v>
      </c>
      <c r="F146" s="4">
        <v>272</v>
      </c>
      <c r="G146" s="4">
        <v>275</v>
      </c>
      <c r="H146" s="4">
        <v>251</v>
      </c>
      <c r="I146" s="4">
        <v>159</v>
      </c>
      <c r="J146" s="4">
        <v>185</v>
      </c>
      <c r="K146" s="4">
        <v>200</v>
      </c>
      <c r="L146" s="4">
        <v>222</v>
      </c>
      <c r="M146" s="4">
        <v>248</v>
      </c>
      <c r="N146" s="4">
        <v>258</v>
      </c>
      <c r="O146" s="4">
        <v>243</v>
      </c>
      <c r="P146" s="4">
        <v>252</v>
      </c>
      <c r="Q146" s="4">
        <v>244</v>
      </c>
      <c r="R146" s="4">
        <v>283.8</v>
      </c>
    </row>
    <row r="147" spans="1:18" x14ac:dyDescent="0.2">
      <c r="A147" s="3" t="s">
        <v>44</v>
      </c>
      <c r="B147" s="4">
        <v>419.166</v>
      </c>
      <c r="C147" s="4">
        <v>266.93200000000002</v>
      </c>
      <c r="D147" s="4">
        <v>228.208</v>
      </c>
      <c r="E147" s="4">
        <v>205.625</v>
      </c>
      <c r="F147" s="4">
        <v>158.881</v>
      </c>
      <c r="G147" s="4">
        <v>142.63900000000001</v>
      </c>
      <c r="H147" s="4">
        <v>137.30699999999999</v>
      </c>
      <c r="I147" s="4">
        <v>133.059</v>
      </c>
      <c r="J147" s="4">
        <v>125.476</v>
      </c>
      <c r="K147" s="4">
        <v>290.95699999999999</v>
      </c>
      <c r="L147" s="4">
        <v>266.82799999999997</v>
      </c>
      <c r="M147" s="4">
        <v>229.881</v>
      </c>
      <c r="N147" s="4">
        <v>271.48599999999999</v>
      </c>
      <c r="O147" s="4">
        <v>243.94200000000001</v>
      </c>
      <c r="P147" s="4">
        <v>232.875</v>
      </c>
      <c r="Q147" s="4">
        <v>210.91800000000001</v>
      </c>
      <c r="R147" s="4">
        <v>224.32900000000001</v>
      </c>
    </row>
    <row r="148" spans="1:18" x14ac:dyDescent="0.2">
      <c r="A148" s="3" t="s">
        <v>45</v>
      </c>
      <c r="B148" s="4">
        <v>977</v>
      </c>
      <c r="C148" s="4">
        <v>966</v>
      </c>
      <c r="D148" s="4">
        <v>971</v>
      </c>
      <c r="E148" s="4">
        <v>913</v>
      </c>
      <c r="F148" s="4">
        <v>938</v>
      </c>
      <c r="G148" s="4">
        <v>937</v>
      </c>
      <c r="H148" s="4">
        <v>1122</v>
      </c>
      <c r="I148" s="4">
        <v>919</v>
      </c>
      <c r="J148" s="4">
        <v>932</v>
      </c>
      <c r="K148" s="4">
        <v>941</v>
      </c>
      <c r="L148" s="4">
        <v>1184</v>
      </c>
      <c r="M148" s="4">
        <v>1043</v>
      </c>
      <c r="N148" s="4">
        <v>1203</v>
      </c>
      <c r="O148" s="4">
        <v>1338</v>
      </c>
      <c r="P148" s="4">
        <v>1449</v>
      </c>
      <c r="Q148" s="4">
        <v>1406</v>
      </c>
      <c r="R148" s="4">
        <v>1426</v>
      </c>
    </row>
    <row r="149" spans="1:18" x14ac:dyDescent="0.2">
      <c r="A149" s="3" t="s">
        <v>46</v>
      </c>
      <c r="B149" s="5">
        <v>0</v>
      </c>
      <c r="C149" s="5">
        <v>0</v>
      </c>
      <c r="D149" s="5">
        <v>0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4">
        <v>6</v>
      </c>
      <c r="K149" s="4">
        <v>6</v>
      </c>
      <c r="L149" s="4">
        <v>6</v>
      </c>
      <c r="M149" s="4">
        <v>6</v>
      </c>
      <c r="N149" s="4">
        <v>6</v>
      </c>
      <c r="O149" s="4">
        <v>7</v>
      </c>
      <c r="P149" s="4">
        <v>6</v>
      </c>
      <c r="Q149" s="4">
        <v>5.6349999999999998</v>
      </c>
      <c r="R149" s="4">
        <v>5.8259999999999996</v>
      </c>
    </row>
    <row r="150" spans="1:18" x14ac:dyDescent="0.2">
      <c r="A150" s="3" t="s">
        <v>47</v>
      </c>
      <c r="B150" s="4">
        <v>1544</v>
      </c>
      <c r="C150" s="4">
        <v>1475</v>
      </c>
      <c r="D150" s="4">
        <v>1429</v>
      </c>
      <c r="E150" s="4">
        <v>1437</v>
      </c>
      <c r="F150" s="4">
        <v>1446</v>
      </c>
      <c r="G150" s="4">
        <v>1512</v>
      </c>
      <c r="H150" s="4">
        <v>1553</v>
      </c>
      <c r="I150" s="4">
        <v>1454</v>
      </c>
      <c r="J150" s="4">
        <v>1457</v>
      </c>
      <c r="K150" s="4">
        <v>1285</v>
      </c>
      <c r="L150" s="4">
        <v>1228</v>
      </c>
      <c r="M150" s="4">
        <v>1221</v>
      </c>
      <c r="N150" s="4">
        <v>1167</v>
      </c>
      <c r="O150" s="4">
        <v>1176.704</v>
      </c>
      <c r="P150" s="4">
        <v>1292.9290000000001</v>
      </c>
      <c r="Q150" s="4">
        <v>1264.2049999999999</v>
      </c>
      <c r="R150" s="4">
        <v>1334.076</v>
      </c>
    </row>
    <row r="151" spans="1:18" x14ac:dyDescent="0.2">
      <c r="A151" s="3" t="s">
        <v>48</v>
      </c>
      <c r="B151" s="4">
        <v>2032</v>
      </c>
      <c r="C151" s="4">
        <v>1963</v>
      </c>
      <c r="D151" s="4">
        <v>1866</v>
      </c>
      <c r="E151" s="4">
        <v>1949.5229999999999</v>
      </c>
      <c r="F151" s="4">
        <v>1978.2149999999999</v>
      </c>
      <c r="G151" s="4">
        <v>2002.26</v>
      </c>
      <c r="H151" s="4">
        <v>2044.877</v>
      </c>
      <c r="I151" s="4">
        <v>1804.913</v>
      </c>
      <c r="J151" s="4">
        <v>1875.663</v>
      </c>
      <c r="K151" s="4">
        <v>1845.99</v>
      </c>
      <c r="L151" s="4">
        <v>1839.5830000000001</v>
      </c>
      <c r="M151" s="4">
        <v>2618.6390000000001</v>
      </c>
      <c r="N151" s="4">
        <v>2418.63</v>
      </c>
      <c r="O151" s="4">
        <v>2491.5300000000002</v>
      </c>
      <c r="P151" s="4">
        <v>2404.7860000000001</v>
      </c>
      <c r="Q151" s="4">
        <v>2394.4430000000002</v>
      </c>
      <c r="R151" s="4">
        <v>2453.116</v>
      </c>
    </row>
    <row r="152" spans="1:18" x14ac:dyDescent="0.2">
      <c r="A152" s="3" t="s">
        <v>49</v>
      </c>
      <c r="B152" s="4">
        <v>3047</v>
      </c>
      <c r="C152" s="4">
        <v>3148</v>
      </c>
      <c r="D152" s="4">
        <v>3450</v>
      </c>
      <c r="E152" s="4">
        <v>3480</v>
      </c>
      <c r="F152" s="4">
        <v>3698</v>
      </c>
      <c r="G152" s="4">
        <v>4195</v>
      </c>
      <c r="H152" s="4">
        <v>4087</v>
      </c>
      <c r="I152" s="4">
        <v>4162</v>
      </c>
      <c r="J152" s="4">
        <v>4387</v>
      </c>
      <c r="K152" s="4">
        <v>4844</v>
      </c>
      <c r="L152" s="4">
        <v>4539</v>
      </c>
      <c r="M152" s="4">
        <v>4399</v>
      </c>
      <c r="N152" s="4">
        <v>4509</v>
      </c>
      <c r="O152" s="4">
        <v>4681</v>
      </c>
      <c r="P152" s="4">
        <v>5164</v>
      </c>
      <c r="Q152" s="4">
        <v>5483.42</v>
      </c>
      <c r="R152" s="4">
        <v>5699.4769999999999</v>
      </c>
    </row>
    <row r="153" spans="1:18" x14ac:dyDescent="0.2">
      <c r="A153" s="3" t="s">
        <v>50</v>
      </c>
      <c r="B153" s="4">
        <v>2350</v>
      </c>
      <c r="C153" s="4">
        <v>2233</v>
      </c>
      <c r="D153" s="4">
        <v>2336</v>
      </c>
      <c r="E153" s="4">
        <v>2336</v>
      </c>
      <c r="F153" s="4">
        <v>2418</v>
      </c>
      <c r="G153" s="4">
        <v>2578</v>
      </c>
      <c r="H153" s="4">
        <v>2437</v>
      </c>
      <c r="I153" s="4">
        <v>2088</v>
      </c>
      <c r="J153" s="4">
        <v>2194</v>
      </c>
      <c r="K153" s="4">
        <v>1998</v>
      </c>
      <c r="L153" s="4">
        <v>1831</v>
      </c>
      <c r="M153" s="4">
        <v>1801</v>
      </c>
      <c r="N153" s="4">
        <v>1930</v>
      </c>
      <c r="O153" s="4">
        <v>1956</v>
      </c>
      <c r="P153" s="4">
        <v>1820.049</v>
      </c>
      <c r="Q153" s="4">
        <v>1919.527</v>
      </c>
      <c r="R153" s="4">
        <v>1930.202</v>
      </c>
    </row>
    <row r="154" spans="1:18" x14ac:dyDescent="0.2">
      <c r="A154" s="3" t="s">
        <v>51</v>
      </c>
      <c r="B154" s="4">
        <v>1715</v>
      </c>
      <c r="C154" s="4">
        <v>1038</v>
      </c>
      <c r="D154" s="4">
        <v>2056</v>
      </c>
      <c r="E154" s="4">
        <v>2088</v>
      </c>
      <c r="F154" s="4">
        <v>3138</v>
      </c>
      <c r="G154" s="4">
        <v>2196</v>
      </c>
      <c r="H154" s="4">
        <v>2092</v>
      </c>
      <c r="I154" s="4">
        <v>1714</v>
      </c>
      <c r="J154" s="4">
        <v>1914</v>
      </c>
      <c r="K154" s="4">
        <v>1924</v>
      </c>
      <c r="L154" s="4">
        <v>1893</v>
      </c>
      <c r="M154" s="4">
        <v>1775</v>
      </c>
      <c r="N154" s="4">
        <v>1903</v>
      </c>
      <c r="O154" s="4">
        <v>2374</v>
      </c>
      <c r="P154" s="4">
        <v>2556</v>
      </c>
      <c r="Q154" s="4">
        <v>2646.5450000000001</v>
      </c>
      <c r="R154" s="4">
        <v>2521.5590000000002</v>
      </c>
    </row>
    <row r="155" spans="1:18" x14ac:dyDescent="0.2">
      <c r="A155" s="3" t="s">
        <v>52</v>
      </c>
      <c r="B155" s="4">
        <v>412</v>
      </c>
      <c r="C155" s="4">
        <v>470</v>
      </c>
      <c r="D155" s="4">
        <v>443</v>
      </c>
      <c r="E155" s="4">
        <v>461</v>
      </c>
      <c r="F155" s="4">
        <v>492</v>
      </c>
      <c r="G155" s="4">
        <v>523</v>
      </c>
      <c r="H155" s="4">
        <v>514</v>
      </c>
      <c r="I155" s="4">
        <v>329</v>
      </c>
      <c r="J155" s="4">
        <v>409</v>
      </c>
      <c r="K155" s="4">
        <v>386</v>
      </c>
      <c r="L155" s="4">
        <v>356</v>
      </c>
      <c r="M155" s="4">
        <v>354</v>
      </c>
      <c r="N155" s="4">
        <v>369</v>
      </c>
      <c r="O155" s="4">
        <v>428</v>
      </c>
      <c r="P155" s="4">
        <v>347</v>
      </c>
      <c r="Q155" s="4">
        <v>379.48200000000003</v>
      </c>
      <c r="R155" s="4">
        <v>399.46100000000001</v>
      </c>
    </row>
    <row r="156" spans="1:18" x14ac:dyDescent="0.2">
      <c r="A156" s="3" t="s">
        <v>53</v>
      </c>
      <c r="B156" s="4">
        <v>855</v>
      </c>
      <c r="C156" s="4">
        <v>1013</v>
      </c>
      <c r="D156" s="4">
        <v>788</v>
      </c>
      <c r="E156" s="4">
        <v>800</v>
      </c>
      <c r="F156" s="4">
        <v>787</v>
      </c>
      <c r="G156" s="4">
        <v>950</v>
      </c>
      <c r="H156" s="4">
        <v>831</v>
      </c>
      <c r="I156" s="4">
        <v>705</v>
      </c>
      <c r="J156" s="4">
        <v>671</v>
      </c>
      <c r="K156" s="4">
        <v>806</v>
      </c>
      <c r="L156" s="4">
        <v>662</v>
      </c>
      <c r="M156" s="4">
        <v>673</v>
      </c>
      <c r="N156" s="4">
        <v>675</v>
      </c>
      <c r="O156" s="4">
        <v>552</v>
      </c>
      <c r="P156" s="4">
        <v>759</v>
      </c>
      <c r="Q156" s="4">
        <v>606</v>
      </c>
      <c r="R156" s="4">
        <v>773</v>
      </c>
    </row>
    <row r="157" spans="1:18" x14ac:dyDescent="0.2">
      <c r="A157" s="3" t="s">
        <v>54</v>
      </c>
      <c r="B157" s="4">
        <v>929</v>
      </c>
      <c r="C157" s="4">
        <v>942</v>
      </c>
      <c r="D157" s="4">
        <v>981</v>
      </c>
      <c r="E157" s="4">
        <v>981</v>
      </c>
      <c r="F157" s="4">
        <v>1043</v>
      </c>
      <c r="G157" s="4">
        <v>1019</v>
      </c>
      <c r="H157" s="4">
        <v>979</v>
      </c>
      <c r="I157" s="4">
        <v>734</v>
      </c>
      <c r="J157" s="4">
        <v>780</v>
      </c>
      <c r="K157" s="4">
        <v>855</v>
      </c>
      <c r="L157" s="4">
        <v>784</v>
      </c>
      <c r="M157" s="4">
        <v>767</v>
      </c>
      <c r="N157" s="4">
        <v>699</v>
      </c>
      <c r="O157" s="4">
        <v>660</v>
      </c>
      <c r="P157" s="4">
        <v>711</v>
      </c>
      <c r="Q157" s="4">
        <v>820</v>
      </c>
      <c r="R157" s="4">
        <v>806</v>
      </c>
    </row>
    <row r="158" spans="1:18" x14ac:dyDescent="0.2">
      <c r="A158" s="3" t="s">
        <v>55</v>
      </c>
      <c r="B158" s="4">
        <v>1177</v>
      </c>
      <c r="C158" s="4">
        <v>1133</v>
      </c>
      <c r="D158" s="4">
        <v>1156</v>
      </c>
      <c r="E158" s="4">
        <v>1045</v>
      </c>
      <c r="F158" s="4">
        <v>1052</v>
      </c>
      <c r="G158" s="4">
        <v>1135</v>
      </c>
      <c r="H158" s="4">
        <v>1233</v>
      </c>
      <c r="I158" s="4">
        <v>961</v>
      </c>
      <c r="J158" s="4">
        <v>1049</v>
      </c>
      <c r="K158" s="4">
        <v>1021</v>
      </c>
      <c r="L158" s="4">
        <v>1009</v>
      </c>
      <c r="M158" s="4">
        <v>939</v>
      </c>
      <c r="N158" s="4">
        <v>958</v>
      </c>
      <c r="O158" s="4">
        <v>947</v>
      </c>
      <c r="P158" s="4">
        <v>986</v>
      </c>
      <c r="Q158" s="4">
        <v>1031</v>
      </c>
      <c r="R158" s="4">
        <v>1020</v>
      </c>
    </row>
    <row r="159" spans="1:18" x14ac:dyDescent="0.2">
      <c r="A159" s="3" t="s">
        <v>56</v>
      </c>
      <c r="B159" s="4">
        <v>7115</v>
      </c>
      <c r="C159" s="4">
        <v>7451</v>
      </c>
      <c r="D159" s="4">
        <v>7535</v>
      </c>
      <c r="E159" s="4">
        <v>7978</v>
      </c>
      <c r="F159" s="4">
        <v>7869</v>
      </c>
      <c r="G159" s="4">
        <v>7811</v>
      </c>
      <c r="H159" s="4">
        <v>7931</v>
      </c>
      <c r="I159" s="4">
        <v>7010</v>
      </c>
      <c r="J159" s="4">
        <v>7266</v>
      </c>
      <c r="K159" s="4">
        <v>7010</v>
      </c>
      <c r="L159" s="4">
        <v>6747</v>
      </c>
      <c r="M159" s="4">
        <v>6726</v>
      </c>
      <c r="N159" s="4">
        <v>6267</v>
      </c>
      <c r="O159" s="4">
        <v>6101.85</v>
      </c>
      <c r="P159" s="4">
        <v>6239.6059999999998</v>
      </c>
      <c r="Q159" s="4">
        <v>6169.9520000000002</v>
      </c>
      <c r="R159" s="4">
        <v>6309.9059999999999</v>
      </c>
    </row>
    <row r="160" spans="1:18" x14ac:dyDescent="0.2">
      <c r="A160" s="3" t="s">
        <v>57</v>
      </c>
      <c r="B160" s="4">
        <v>32</v>
      </c>
      <c r="C160" s="4">
        <v>31</v>
      </c>
      <c r="D160" s="4">
        <v>41</v>
      </c>
      <c r="E160" s="4">
        <v>45</v>
      </c>
      <c r="F160" s="4">
        <v>42</v>
      </c>
      <c r="G160" s="4">
        <v>51</v>
      </c>
      <c r="H160" s="4">
        <v>47</v>
      </c>
      <c r="I160" s="4">
        <v>31</v>
      </c>
      <c r="J160" s="4">
        <v>23</v>
      </c>
      <c r="K160" s="4">
        <v>26</v>
      </c>
      <c r="L160" s="4">
        <v>22</v>
      </c>
      <c r="M160" s="4">
        <v>24</v>
      </c>
      <c r="N160" s="4">
        <v>23</v>
      </c>
      <c r="O160" s="4">
        <v>28</v>
      </c>
      <c r="P160" s="4">
        <v>45</v>
      </c>
      <c r="Q160" s="4">
        <v>123.994</v>
      </c>
      <c r="R160" s="4">
        <v>176.78</v>
      </c>
    </row>
    <row r="161" spans="1:18" x14ac:dyDescent="0.2">
      <c r="A161" s="3" t="s">
        <v>58</v>
      </c>
      <c r="B161" s="4">
        <v>843</v>
      </c>
      <c r="C161" s="4">
        <v>834</v>
      </c>
      <c r="D161" s="4">
        <v>853</v>
      </c>
      <c r="E161" s="4">
        <v>886</v>
      </c>
      <c r="F161" s="4">
        <v>928</v>
      </c>
      <c r="G161" s="4">
        <v>936</v>
      </c>
      <c r="H161" s="4">
        <v>980</v>
      </c>
      <c r="I161" s="4">
        <v>736</v>
      </c>
      <c r="J161" s="4">
        <v>857</v>
      </c>
      <c r="K161" s="4">
        <v>871</v>
      </c>
      <c r="L161" s="4">
        <v>836</v>
      </c>
      <c r="M161" s="4">
        <v>892</v>
      </c>
      <c r="N161" s="4">
        <v>913</v>
      </c>
      <c r="O161" s="4">
        <v>944</v>
      </c>
      <c r="P161" s="4">
        <v>868</v>
      </c>
      <c r="Q161" s="4">
        <v>938</v>
      </c>
      <c r="R161" s="4">
        <v>981.33100000000002</v>
      </c>
    </row>
    <row r="162" spans="1:18" x14ac:dyDescent="0.2">
      <c r="A162" s="3" t="s">
        <v>59</v>
      </c>
      <c r="B162" s="5">
        <v>0</v>
      </c>
      <c r="C162" s="5">
        <v>0</v>
      </c>
      <c r="D162" s="4">
        <v>684</v>
      </c>
      <c r="E162" s="4">
        <v>670</v>
      </c>
      <c r="F162" s="4">
        <v>664</v>
      </c>
      <c r="G162" s="4">
        <v>939</v>
      </c>
      <c r="H162" s="4">
        <v>428</v>
      </c>
      <c r="I162" s="4">
        <v>351</v>
      </c>
      <c r="J162" s="4">
        <v>550</v>
      </c>
      <c r="K162" s="4">
        <v>569</v>
      </c>
      <c r="L162" s="4">
        <v>567</v>
      </c>
      <c r="M162" s="4">
        <v>700</v>
      </c>
      <c r="N162" s="4">
        <v>576</v>
      </c>
      <c r="O162" s="4">
        <v>654</v>
      </c>
      <c r="P162" s="4">
        <v>717</v>
      </c>
      <c r="Q162" s="4">
        <v>752.197</v>
      </c>
      <c r="R162" s="4">
        <v>738.024</v>
      </c>
    </row>
    <row r="164" spans="1:18" x14ac:dyDescent="0.2">
      <c r="A164" s="1" t="s">
        <v>61</v>
      </c>
    </row>
    <row r="165" spans="1:18" x14ac:dyDescent="0.2">
      <c r="A165" s="1" t="s">
        <v>60</v>
      </c>
      <c r="B165" s="1" t="s">
        <v>62</v>
      </c>
    </row>
    <row r="167" spans="1:18" x14ac:dyDescent="0.2">
      <c r="A167" s="1" t="s">
        <v>5</v>
      </c>
      <c r="B167" s="1" t="s">
        <v>66</v>
      </c>
    </row>
    <row r="168" spans="1:18" x14ac:dyDescent="0.2">
      <c r="A168" s="1" t="s">
        <v>7</v>
      </c>
      <c r="B168" s="1" t="s">
        <v>8</v>
      </c>
    </row>
    <row r="169" spans="1:18" x14ac:dyDescent="0.2">
      <c r="A169" s="1" t="s">
        <v>9</v>
      </c>
      <c r="B169" s="1" t="s">
        <v>10</v>
      </c>
    </row>
    <row r="171" spans="1:18" x14ac:dyDescent="0.2">
      <c r="A171" s="3" t="s">
        <v>11</v>
      </c>
      <c r="B171" s="3" t="s">
        <v>12</v>
      </c>
      <c r="C171" s="3" t="s">
        <v>13</v>
      </c>
      <c r="D171" s="3" t="s">
        <v>14</v>
      </c>
      <c r="E171" s="3" t="s">
        <v>15</v>
      </c>
      <c r="F171" s="3" t="s">
        <v>16</v>
      </c>
      <c r="G171" s="3" t="s">
        <v>17</v>
      </c>
      <c r="H171" s="3" t="s">
        <v>18</v>
      </c>
      <c r="I171" s="3" t="s">
        <v>19</v>
      </c>
      <c r="J171" s="3" t="s">
        <v>20</v>
      </c>
      <c r="K171" s="3" t="s">
        <v>21</v>
      </c>
      <c r="L171" s="3" t="s">
        <v>22</v>
      </c>
      <c r="M171" s="3" t="s">
        <v>23</v>
      </c>
      <c r="N171" s="3" t="s">
        <v>24</v>
      </c>
      <c r="O171" s="3" t="s">
        <v>25</v>
      </c>
      <c r="P171" s="3" t="s">
        <v>26</v>
      </c>
      <c r="Q171" s="3" t="s">
        <v>27</v>
      </c>
      <c r="R171" s="3" t="s">
        <v>28</v>
      </c>
    </row>
    <row r="172" spans="1:18" x14ac:dyDescent="0.2">
      <c r="A172" s="3" t="s">
        <v>29</v>
      </c>
      <c r="B172" s="4">
        <v>959</v>
      </c>
      <c r="C172" s="4">
        <v>1001</v>
      </c>
      <c r="D172" s="4">
        <v>1021</v>
      </c>
      <c r="E172" s="4">
        <v>994</v>
      </c>
      <c r="F172" s="4">
        <v>1180</v>
      </c>
      <c r="G172" s="4">
        <v>1199</v>
      </c>
      <c r="H172" s="4">
        <v>1097</v>
      </c>
      <c r="I172" s="4">
        <v>1017</v>
      </c>
      <c r="J172" s="4">
        <v>1061</v>
      </c>
      <c r="K172" s="4">
        <v>767</v>
      </c>
      <c r="L172" s="4">
        <v>739</v>
      </c>
      <c r="M172" s="4">
        <v>862</v>
      </c>
      <c r="N172" s="4">
        <v>824.6</v>
      </c>
      <c r="O172" s="4">
        <v>799.6</v>
      </c>
      <c r="P172" s="4">
        <v>757.8</v>
      </c>
      <c r="Q172" s="4">
        <v>811.2</v>
      </c>
      <c r="R172" s="4">
        <v>803.1</v>
      </c>
    </row>
    <row r="173" spans="1:18" x14ac:dyDescent="0.2">
      <c r="A173" s="3" t="s">
        <v>30</v>
      </c>
      <c r="B173" s="4">
        <v>179</v>
      </c>
      <c r="C173" s="4">
        <v>101</v>
      </c>
      <c r="D173" s="4">
        <v>102</v>
      </c>
      <c r="E173" s="4">
        <v>108</v>
      </c>
      <c r="F173" s="4">
        <v>94</v>
      </c>
      <c r="G173" s="4">
        <v>95</v>
      </c>
      <c r="H173" s="4">
        <v>114</v>
      </c>
      <c r="I173" s="4">
        <v>95</v>
      </c>
      <c r="J173" s="4">
        <v>89</v>
      </c>
      <c r="K173" s="4">
        <v>113</v>
      </c>
      <c r="L173" s="4">
        <v>112</v>
      </c>
      <c r="M173" s="4">
        <v>102</v>
      </c>
      <c r="N173" s="4">
        <v>102</v>
      </c>
      <c r="O173" s="4">
        <v>118</v>
      </c>
      <c r="P173" s="4">
        <v>109</v>
      </c>
      <c r="Q173" s="4">
        <v>118.56100000000001</v>
      </c>
      <c r="R173" s="4">
        <v>133.72499999999999</v>
      </c>
    </row>
    <row r="174" spans="1:18" x14ac:dyDescent="0.2">
      <c r="A174" s="3" t="s">
        <v>31</v>
      </c>
      <c r="B174" s="4">
        <v>1212</v>
      </c>
      <c r="C174" s="4">
        <v>1162</v>
      </c>
      <c r="D174" s="4">
        <v>1482</v>
      </c>
      <c r="E174" s="4">
        <v>1580</v>
      </c>
      <c r="F174" s="4">
        <v>1834</v>
      </c>
      <c r="G174" s="4">
        <v>1934</v>
      </c>
      <c r="H174" s="4">
        <v>2321</v>
      </c>
      <c r="I174" s="4">
        <v>2242</v>
      </c>
      <c r="J174" s="4">
        <v>2463</v>
      </c>
      <c r="K174" s="4">
        <v>2675</v>
      </c>
      <c r="L174" s="4">
        <v>2619</v>
      </c>
      <c r="M174" s="4">
        <v>2520</v>
      </c>
      <c r="N174" s="4">
        <v>2504</v>
      </c>
      <c r="O174" s="4">
        <v>2788</v>
      </c>
      <c r="P174" s="4">
        <v>2915</v>
      </c>
      <c r="Q174" s="4">
        <v>3050.855</v>
      </c>
      <c r="R174" s="4">
        <v>3241.018</v>
      </c>
    </row>
    <row r="175" spans="1:18" x14ac:dyDescent="0.2">
      <c r="A175" s="3" t="s">
        <v>32</v>
      </c>
      <c r="B175" s="4">
        <v>188</v>
      </c>
      <c r="C175" s="4">
        <v>166</v>
      </c>
      <c r="D175" s="4">
        <v>173</v>
      </c>
      <c r="E175" s="4">
        <v>191</v>
      </c>
      <c r="F175" s="4">
        <v>221</v>
      </c>
      <c r="G175" s="4">
        <v>256</v>
      </c>
      <c r="H175" s="4">
        <v>227</v>
      </c>
      <c r="I175" s="4">
        <v>204</v>
      </c>
      <c r="J175" s="4">
        <v>204</v>
      </c>
      <c r="K175" s="4">
        <v>167</v>
      </c>
      <c r="L175" s="4">
        <v>97</v>
      </c>
      <c r="M175" s="4">
        <v>138</v>
      </c>
      <c r="N175" s="4">
        <v>90</v>
      </c>
      <c r="O175" s="4">
        <v>89.619</v>
      </c>
      <c r="P175" s="4">
        <v>87.022000000000006</v>
      </c>
      <c r="Q175" s="4">
        <v>88.356999999999999</v>
      </c>
      <c r="R175" s="4">
        <v>88.271000000000001</v>
      </c>
    </row>
    <row r="176" spans="1:18" x14ac:dyDescent="0.2">
      <c r="A176" s="3" t="s">
        <v>33</v>
      </c>
      <c r="B176" s="4">
        <v>19323</v>
      </c>
      <c r="C176" s="4">
        <v>18500</v>
      </c>
      <c r="D176" s="4">
        <v>19299</v>
      </c>
      <c r="E176" s="4">
        <v>19676</v>
      </c>
      <c r="F176" s="4">
        <v>19249</v>
      </c>
      <c r="G176" s="4">
        <v>19666</v>
      </c>
      <c r="H176" s="4">
        <v>18532</v>
      </c>
      <c r="I176" s="4">
        <v>15844</v>
      </c>
      <c r="J176" s="4">
        <v>17838</v>
      </c>
      <c r="K176" s="4">
        <v>18179</v>
      </c>
      <c r="L176" s="4">
        <v>17940</v>
      </c>
      <c r="M176" s="4">
        <v>18320</v>
      </c>
      <c r="N176" s="4">
        <v>18536</v>
      </c>
      <c r="O176" s="4">
        <v>18515</v>
      </c>
      <c r="P176" s="4">
        <v>18020</v>
      </c>
      <c r="Q176" s="4">
        <v>17781</v>
      </c>
      <c r="R176" s="4">
        <v>17747</v>
      </c>
    </row>
    <row r="177" spans="1:18" x14ac:dyDescent="0.2">
      <c r="A177" s="3" t="s">
        <v>34</v>
      </c>
      <c r="B177" s="4">
        <v>39</v>
      </c>
      <c r="C177" s="4">
        <v>42</v>
      </c>
      <c r="D177" s="4">
        <v>46</v>
      </c>
      <c r="E177" s="4">
        <v>47</v>
      </c>
      <c r="F177" s="4">
        <v>55</v>
      </c>
      <c r="G177" s="4">
        <v>54</v>
      </c>
      <c r="H177" s="4">
        <v>43</v>
      </c>
      <c r="I177" s="4">
        <v>38</v>
      </c>
      <c r="J177" s="4">
        <v>40</v>
      </c>
      <c r="K177" s="4">
        <v>44</v>
      </c>
      <c r="L177" s="4">
        <v>61</v>
      </c>
      <c r="M177" s="4">
        <v>70</v>
      </c>
      <c r="N177" s="4">
        <v>61</v>
      </c>
      <c r="O177" s="4">
        <v>65</v>
      </c>
      <c r="P177" s="4">
        <v>67</v>
      </c>
      <c r="Q177" s="4">
        <v>72</v>
      </c>
      <c r="R177" s="4">
        <v>82</v>
      </c>
    </row>
    <row r="178" spans="1:18" x14ac:dyDescent="0.2">
      <c r="A178" s="3" t="s">
        <v>35</v>
      </c>
      <c r="B178" s="4">
        <v>119.29300000000001</v>
      </c>
      <c r="C178" s="4">
        <v>111.07899999999999</v>
      </c>
      <c r="D178" s="4">
        <v>105.124</v>
      </c>
      <c r="E178" s="4">
        <v>117.15600000000001</v>
      </c>
      <c r="F178" s="4">
        <v>129.94300000000001</v>
      </c>
      <c r="G178" s="4">
        <v>70.545000000000002</v>
      </c>
      <c r="H178" s="4">
        <v>93.915999999999997</v>
      </c>
      <c r="I178" s="4">
        <v>102.733</v>
      </c>
      <c r="J178" s="4">
        <v>192.19900000000001</v>
      </c>
      <c r="K178" s="4">
        <v>200.65100000000001</v>
      </c>
      <c r="L178" s="4">
        <v>193.12100000000001</v>
      </c>
      <c r="M178" s="4">
        <v>196.11600000000001</v>
      </c>
      <c r="N178" s="4">
        <v>198.458</v>
      </c>
      <c r="O178" s="4">
        <v>207.87299999999999</v>
      </c>
      <c r="P178" s="4">
        <v>214.63800000000001</v>
      </c>
      <c r="Q178" s="4">
        <v>217.02500000000001</v>
      </c>
      <c r="R178" s="4">
        <v>230.964</v>
      </c>
    </row>
    <row r="179" spans="1:18" x14ac:dyDescent="0.2">
      <c r="A179" s="3" t="s">
        <v>36</v>
      </c>
      <c r="B179" s="4">
        <v>172</v>
      </c>
      <c r="C179" s="4">
        <v>173</v>
      </c>
      <c r="D179" s="4">
        <v>159</v>
      </c>
      <c r="E179" s="4">
        <v>125</v>
      </c>
      <c r="F179" s="4">
        <v>118</v>
      </c>
      <c r="G179" s="4">
        <v>132</v>
      </c>
      <c r="H179" s="4">
        <v>156</v>
      </c>
      <c r="I179" s="4">
        <v>160</v>
      </c>
      <c r="J179" s="4">
        <v>85</v>
      </c>
      <c r="K179" s="4">
        <v>330</v>
      </c>
      <c r="L179" s="4">
        <v>138</v>
      </c>
      <c r="M179" s="4">
        <v>117</v>
      </c>
      <c r="N179" s="4">
        <v>105</v>
      </c>
      <c r="O179" s="4">
        <v>105</v>
      </c>
      <c r="P179" s="4">
        <v>39</v>
      </c>
      <c r="Q179" s="4">
        <v>53.357999999999997</v>
      </c>
      <c r="R179" s="4">
        <v>74.72</v>
      </c>
    </row>
    <row r="180" spans="1:18" x14ac:dyDescent="0.2">
      <c r="A180" s="3" t="s">
        <v>37</v>
      </c>
      <c r="B180" s="4">
        <v>3821</v>
      </c>
      <c r="C180" s="4">
        <v>4071</v>
      </c>
      <c r="D180" s="4">
        <v>4330</v>
      </c>
      <c r="E180" s="4">
        <v>4406</v>
      </c>
      <c r="F180" s="4">
        <v>3773</v>
      </c>
      <c r="G180" s="4">
        <v>3836</v>
      </c>
      <c r="H180" s="4">
        <v>3639</v>
      </c>
      <c r="I180" s="4">
        <v>3171</v>
      </c>
      <c r="J180" s="4">
        <v>2851</v>
      </c>
      <c r="K180" s="4">
        <v>2693</v>
      </c>
      <c r="L180" s="4">
        <v>2657</v>
      </c>
      <c r="M180" s="4">
        <v>2984</v>
      </c>
      <c r="N180" s="4">
        <v>3468</v>
      </c>
      <c r="O180" s="4">
        <v>3653</v>
      </c>
      <c r="P180" s="4">
        <v>4208</v>
      </c>
      <c r="Q180" s="4">
        <v>4499</v>
      </c>
      <c r="R180" s="4">
        <v>4335</v>
      </c>
    </row>
    <row r="181" spans="1:18" x14ac:dyDescent="0.2">
      <c r="A181" s="3" t="s">
        <v>38</v>
      </c>
      <c r="B181" s="4">
        <v>8354</v>
      </c>
      <c r="C181" s="4">
        <v>8371</v>
      </c>
      <c r="D181" s="4">
        <v>8403</v>
      </c>
      <c r="E181" s="4">
        <v>8264</v>
      </c>
      <c r="F181" s="4">
        <v>7960</v>
      </c>
      <c r="G181" s="4">
        <v>7881</v>
      </c>
      <c r="H181" s="4">
        <v>8671</v>
      </c>
      <c r="I181" s="4">
        <v>7305</v>
      </c>
      <c r="J181" s="4">
        <v>7560</v>
      </c>
      <c r="K181" s="4">
        <v>6881.9880000000003</v>
      </c>
      <c r="L181" s="4">
        <v>6860.8419999999996</v>
      </c>
      <c r="M181" s="4">
        <v>6741.91</v>
      </c>
      <c r="N181" s="4">
        <v>6639.6059999999998</v>
      </c>
      <c r="O181" s="4">
        <v>6692.3969999999999</v>
      </c>
      <c r="P181" s="4">
        <v>7300.0309999999999</v>
      </c>
      <c r="Q181" s="4">
        <v>7213.7030000000004</v>
      </c>
      <c r="R181" s="4">
        <v>7352</v>
      </c>
    </row>
    <row r="182" spans="1:18" x14ac:dyDescent="0.2">
      <c r="A182" s="3" t="s">
        <v>39</v>
      </c>
      <c r="B182" s="4">
        <v>191</v>
      </c>
      <c r="C182" s="4">
        <v>190</v>
      </c>
      <c r="D182" s="4">
        <v>191</v>
      </c>
      <c r="E182" s="4">
        <v>182</v>
      </c>
      <c r="F182" s="4">
        <v>176</v>
      </c>
      <c r="G182" s="4">
        <v>193</v>
      </c>
      <c r="H182" s="4">
        <v>165</v>
      </c>
      <c r="I182" s="4">
        <v>134</v>
      </c>
      <c r="J182" s="4">
        <v>128</v>
      </c>
      <c r="K182" s="4">
        <v>124</v>
      </c>
      <c r="L182" s="4">
        <v>111</v>
      </c>
      <c r="M182" s="4">
        <v>90</v>
      </c>
      <c r="N182" s="4">
        <v>76</v>
      </c>
      <c r="O182" s="4">
        <v>82</v>
      </c>
      <c r="P182" s="4">
        <v>91</v>
      </c>
      <c r="Q182" s="4">
        <v>98</v>
      </c>
      <c r="R182" s="4">
        <v>93</v>
      </c>
    </row>
    <row r="183" spans="1:18" x14ac:dyDescent="0.2">
      <c r="A183" s="3" t="s">
        <v>40</v>
      </c>
      <c r="B183" s="4">
        <v>4433</v>
      </c>
      <c r="C183" s="4">
        <v>4408</v>
      </c>
      <c r="D183" s="4">
        <v>4238</v>
      </c>
      <c r="E183" s="4">
        <v>4236</v>
      </c>
      <c r="F183" s="4">
        <v>4426</v>
      </c>
      <c r="G183" s="4">
        <v>4479</v>
      </c>
      <c r="H183" s="4">
        <v>4257</v>
      </c>
      <c r="I183" s="4">
        <v>3630</v>
      </c>
      <c r="J183" s="4">
        <v>3788</v>
      </c>
      <c r="K183" s="4">
        <v>3645</v>
      </c>
      <c r="L183" s="4">
        <v>3314</v>
      </c>
      <c r="M183" s="4">
        <v>3325</v>
      </c>
      <c r="N183" s="4">
        <v>3340</v>
      </c>
      <c r="O183" s="4">
        <v>3518</v>
      </c>
      <c r="P183" s="4">
        <v>3610</v>
      </c>
      <c r="Q183" s="4">
        <v>3590.4969999999998</v>
      </c>
      <c r="R183" s="4">
        <v>3566.1669999999999</v>
      </c>
    </row>
    <row r="184" spans="1:18" x14ac:dyDescent="0.2">
      <c r="A184" s="3" t="s">
        <v>41</v>
      </c>
      <c r="B184" s="4">
        <v>1</v>
      </c>
      <c r="C184" s="4">
        <v>1</v>
      </c>
      <c r="D184" s="4">
        <v>1</v>
      </c>
      <c r="E184" s="4">
        <v>1</v>
      </c>
      <c r="F184" s="4">
        <v>1</v>
      </c>
      <c r="G184" s="4">
        <v>1</v>
      </c>
      <c r="H184" s="4">
        <v>1</v>
      </c>
      <c r="I184" s="4">
        <v>1</v>
      </c>
      <c r="J184" s="4">
        <v>1</v>
      </c>
      <c r="K184" s="4">
        <v>1</v>
      </c>
      <c r="L184" s="4">
        <v>2</v>
      </c>
      <c r="M184" s="4">
        <v>2</v>
      </c>
      <c r="N184" s="4">
        <v>2</v>
      </c>
      <c r="O184" s="4">
        <v>2</v>
      </c>
      <c r="P184" s="4">
        <v>2</v>
      </c>
      <c r="Q184" s="4">
        <v>1.9330000000000001</v>
      </c>
      <c r="R184" s="4">
        <v>1.9970000000000001</v>
      </c>
    </row>
    <row r="185" spans="1:18" x14ac:dyDescent="0.2">
      <c r="A185" s="3" t="s">
        <v>42</v>
      </c>
      <c r="B185" s="4">
        <v>60</v>
      </c>
      <c r="C185" s="4">
        <v>66</v>
      </c>
      <c r="D185" s="4">
        <v>64</v>
      </c>
      <c r="E185" s="4">
        <v>69</v>
      </c>
      <c r="F185" s="4">
        <v>63</v>
      </c>
      <c r="G185" s="4">
        <v>87</v>
      </c>
      <c r="H185" s="4">
        <v>56</v>
      </c>
      <c r="I185" s="4">
        <v>38</v>
      </c>
      <c r="J185" s="4">
        <v>31</v>
      </c>
      <c r="K185" s="4">
        <v>36</v>
      </c>
      <c r="L185" s="4">
        <v>38</v>
      </c>
      <c r="M185" s="4">
        <v>53</v>
      </c>
      <c r="N185" s="4">
        <v>35</v>
      </c>
      <c r="O185" s="4">
        <v>44</v>
      </c>
      <c r="P185" s="4">
        <v>45</v>
      </c>
      <c r="Q185" s="4">
        <v>46.738999999999997</v>
      </c>
      <c r="R185" s="4">
        <v>46.521999999999998</v>
      </c>
    </row>
    <row r="186" spans="1:18" x14ac:dyDescent="0.2">
      <c r="A186" s="3" t="s">
        <v>43</v>
      </c>
      <c r="B186" s="4">
        <v>66</v>
      </c>
      <c r="C186" s="4">
        <v>63</v>
      </c>
      <c r="D186" s="4">
        <v>57</v>
      </c>
      <c r="E186" s="4">
        <v>51</v>
      </c>
      <c r="F186" s="4">
        <v>53</v>
      </c>
      <c r="G186" s="4">
        <v>52</v>
      </c>
      <c r="H186" s="4">
        <v>43</v>
      </c>
      <c r="I186" s="4">
        <v>37</v>
      </c>
      <c r="J186" s="4">
        <v>31</v>
      </c>
      <c r="K186" s="4">
        <v>27</v>
      </c>
      <c r="L186" s="4">
        <v>20</v>
      </c>
      <c r="M186" s="4">
        <v>19</v>
      </c>
      <c r="N186" s="4">
        <v>25</v>
      </c>
      <c r="O186" s="4">
        <v>30</v>
      </c>
      <c r="P186" s="4">
        <v>24</v>
      </c>
      <c r="Q186" s="4">
        <v>23.1</v>
      </c>
      <c r="R186" s="4">
        <v>32.1</v>
      </c>
    </row>
    <row r="187" spans="1:18" x14ac:dyDescent="0.2">
      <c r="A187" s="3" t="s">
        <v>44</v>
      </c>
      <c r="B187" s="4">
        <v>5.0709999999999997</v>
      </c>
      <c r="C187" s="4">
        <v>13.439</v>
      </c>
      <c r="D187" s="4">
        <v>16.201000000000001</v>
      </c>
      <c r="E187" s="4">
        <v>18.398</v>
      </c>
      <c r="F187" s="4">
        <v>24.207000000000001</v>
      </c>
      <c r="G187" s="4">
        <v>34.058999999999997</v>
      </c>
      <c r="H187" s="4">
        <v>38.674999999999997</v>
      </c>
      <c r="I187" s="4">
        <v>28.713999999999999</v>
      </c>
      <c r="J187" s="4">
        <v>24.780999999999999</v>
      </c>
      <c r="K187" s="4">
        <v>12.590999999999999</v>
      </c>
      <c r="L187" s="4">
        <v>12.597</v>
      </c>
      <c r="M187" s="4">
        <v>11.548999999999999</v>
      </c>
      <c r="N187" s="4">
        <v>5.3129999999999997</v>
      </c>
      <c r="O187" s="4">
        <v>9.2119999999999997</v>
      </c>
      <c r="P187" s="4">
        <v>12.535</v>
      </c>
      <c r="Q187" s="4">
        <v>11.795</v>
      </c>
      <c r="R187" s="4">
        <v>12.545</v>
      </c>
    </row>
    <row r="188" spans="1:18" x14ac:dyDescent="0.2">
      <c r="A188" s="3" t="s">
        <v>45</v>
      </c>
      <c r="B188" s="4">
        <v>595</v>
      </c>
      <c r="C188" s="4">
        <v>670</v>
      </c>
      <c r="D188" s="4">
        <v>747</v>
      </c>
      <c r="E188" s="4">
        <v>754</v>
      </c>
      <c r="F188" s="4">
        <v>890</v>
      </c>
      <c r="G188" s="4">
        <v>935</v>
      </c>
      <c r="H188" s="4">
        <v>958</v>
      </c>
      <c r="I188" s="4">
        <v>776</v>
      </c>
      <c r="J188" s="4">
        <v>927</v>
      </c>
      <c r="K188" s="4">
        <v>936</v>
      </c>
      <c r="L188" s="4">
        <v>1363</v>
      </c>
      <c r="M188" s="4">
        <v>1475</v>
      </c>
      <c r="N188" s="4">
        <v>1466</v>
      </c>
      <c r="O188" s="4">
        <v>1559</v>
      </c>
      <c r="P188" s="4">
        <v>1655</v>
      </c>
      <c r="Q188" s="4">
        <v>1715</v>
      </c>
      <c r="R188" s="4">
        <v>1760</v>
      </c>
    </row>
    <row r="189" spans="1:18" x14ac:dyDescent="0.2">
      <c r="A189" s="3" t="s">
        <v>46</v>
      </c>
      <c r="B189" s="5">
        <v>0</v>
      </c>
      <c r="C189" s="5">
        <v>0</v>
      </c>
      <c r="D189" s="5">
        <v>0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4">
        <v>14</v>
      </c>
      <c r="K189" s="4">
        <v>15</v>
      </c>
      <c r="L189" s="4">
        <v>16</v>
      </c>
      <c r="M189" s="4">
        <v>17</v>
      </c>
      <c r="N189" s="4">
        <v>19</v>
      </c>
      <c r="O189" s="4">
        <v>20</v>
      </c>
      <c r="P189" s="4">
        <v>19</v>
      </c>
      <c r="Q189" s="4">
        <v>21.472000000000001</v>
      </c>
      <c r="R189" s="4">
        <v>21.067</v>
      </c>
    </row>
    <row r="190" spans="1:18" x14ac:dyDescent="0.2">
      <c r="A190" s="3" t="s">
        <v>47</v>
      </c>
      <c r="B190" s="4">
        <v>703</v>
      </c>
      <c r="C190" s="4">
        <v>666</v>
      </c>
      <c r="D190" s="4">
        <v>628</v>
      </c>
      <c r="E190" s="4">
        <v>579</v>
      </c>
      <c r="F190" s="4">
        <v>584</v>
      </c>
      <c r="G190" s="4">
        <v>605</v>
      </c>
      <c r="H190" s="4">
        <v>681</v>
      </c>
      <c r="I190" s="4">
        <v>721</v>
      </c>
      <c r="J190" s="4">
        <v>710</v>
      </c>
      <c r="K190" s="4">
        <v>571</v>
      </c>
      <c r="L190" s="4">
        <v>520</v>
      </c>
      <c r="M190" s="4">
        <v>545</v>
      </c>
      <c r="N190" s="4">
        <v>548</v>
      </c>
      <c r="O190" s="4">
        <v>555.48</v>
      </c>
      <c r="P190" s="4">
        <v>608.74599999999998</v>
      </c>
      <c r="Q190" s="4">
        <v>589.154</v>
      </c>
      <c r="R190" s="4">
        <v>717.30399999999997</v>
      </c>
    </row>
    <row r="191" spans="1:18" x14ac:dyDescent="0.2">
      <c r="A191" s="3" t="s">
        <v>48</v>
      </c>
      <c r="B191" s="4">
        <v>701</v>
      </c>
      <c r="C191" s="4">
        <v>758</v>
      </c>
      <c r="D191" s="4">
        <v>916</v>
      </c>
      <c r="E191" s="4">
        <v>952.88499999999999</v>
      </c>
      <c r="F191" s="4">
        <v>955.82299999999998</v>
      </c>
      <c r="G191" s="4">
        <v>928.96299999999997</v>
      </c>
      <c r="H191" s="4">
        <v>872.94899999999996</v>
      </c>
      <c r="I191" s="4">
        <v>719.13699999999994</v>
      </c>
      <c r="J191" s="4">
        <v>846.52099999999996</v>
      </c>
      <c r="K191" s="4">
        <v>961.42200000000003</v>
      </c>
      <c r="L191" s="4">
        <v>904.38199999999995</v>
      </c>
      <c r="M191" s="4">
        <v>771.04899999999998</v>
      </c>
      <c r="N191" s="4">
        <v>837.66300000000001</v>
      </c>
      <c r="O191" s="4">
        <v>828.71900000000005</v>
      </c>
      <c r="P191" s="4">
        <v>886.42700000000002</v>
      </c>
      <c r="Q191" s="4">
        <v>968.99900000000002</v>
      </c>
      <c r="R191" s="4">
        <v>960.976</v>
      </c>
    </row>
    <row r="192" spans="1:18" x14ac:dyDescent="0.2">
      <c r="A192" s="3" t="s">
        <v>49</v>
      </c>
      <c r="B192" s="4">
        <v>1351</v>
      </c>
      <c r="C192" s="4">
        <v>1561</v>
      </c>
      <c r="D192" s="4">
        <v>1745</v>
      </c>
      <c r="E192" s="4">
        <v>1938</v>
      </c>
      <c r="F192" s="4">
        <v>2052</v>
      </c>
      <c r="G192" s="4">
        <v>2314</v>
      </c>
      <c r="H192" s="4">
        <v>2394</v>
      </c>
      <c r="I192" s="4">
        <v>1662</v>
      </c>
      <c r="J192" s="4">
        <v>1746</v>
      </c>
      <c r="K192" s="4">
        <v>1926</v>
      </c>
      <c r="L192" s="4">
        <v>2014</v>
      </c>
      <c r="M192" s="4">
        <v>2533</v>
      </c>
      <c r="N192" s="4">
        <v>2537</v>
      </c>
      <c r="O192" s="4">
        <v>2562</v>
      </c>
      <c r="P192" s="4">
        <v>2712</v>
      </c>
      <c r="Q192" s="4">
        <v>2928.1669999999999</v>
      </c>
      <c r="R192" s="4">
        <v>3061.085</v>
      </c>
    </row>
    <row r="193" spans="1:18" x14ac:dyDescent="0.2">
      <c r="A193" s="3" t="s">
        <v>50</v>
      </c>
      <c r="B193" s="4">
        <v>476</v>
      </c>
      <c r="C193" s="4">
        <v>481</v>
      </c>
      <c r="D193" s="4">
        <v>471</v>
      </c>
      <c r="E193" s="4">
        <v>478</v>
      </c>
      <c r="F193" s="4">
        <v>483</v>
      </c>
      <c r="G193" s="4">
        <v>494</v>
      </c>
      <c r="H193" s="4">
        <v>481</v>
      </c>
      <c r="I193" s="4">
        <v>411</v>
      </c>
      <c r="J193" s="4">
        <v>442</v>
      </c>
      <c r="K193" s="4">
        <v>433</v>
      </c>
      <c r="L193" s="4">
        <v>374</v>
      </c>
      <c r="M193" s="4">
        <v>347</v>
      </c>
      <c r="N193" s="4">
        <v>358</v>
      </c>
      <c r="O193" s="4">
        <v>369</v>
      </c>
      <c r="P193" s="4">
        <v>446.08800000000002</v>
      </c>
      <c r="Q193" s="4">
        <v>524.89700000000005</v>
      </c>
      <c r="R193" s="4">
        <v>551.40099999999995</v>
      </c>
    </row>
    <row r="194" spans="1:18" x14ac:dyDescent="0.2">
      <c r="A194" s="3" t="s">
        <v>51</v>
      </c>
      <c r="B194" s="4">
        <v>467</v>
      </c>
      <c r="C194" s="4">
        <v>399</v>
      </c>
      <c r="D194" s="4">
        <v>508</v>
      </c>
      <c r="E194" s="4">
        <v>479</v>
      </c>
      <c r="F194" s="4">
        <v>835</v>
      </c>
      <c r="G194" s="4">
        <v>914</v>
      </c>
      <c r="H194" s="4">
        <v>891</v>
      </c>
      <c r="I194" s="4">
        <v>849</v>
      </c>
      <c r="J194" s="4">
        <v>476</v>
      </c>
      <c r="K194" s="4">
        <v>972</v>
      </c>
      <c r="L194" s="4">
        <v>1011</v>
      </c>
      <c r="M194" s="4">
        <v>1226</v>
      </c>
      <c r="N194" s="4">
        <v>1397</v>
      </c>
      <c r="O194" s="4">
        <v>1398</v>
      </c>
      <c r="P194" s="4">
        <v>1384</v>
      </c>
      <c r="Q194" s="4">
        <v>1431.107</v>
      </c>
      <c r="R194" s="4">
        <v>1657.626</v>
      </c>
    </row>
    <row r="195" spans="1:18" x14ac:dyDescent="0.2">
      <c r="A195" s="3" t="s">
        <v>52</v>
      </c>
      <c r="B195" s="4">
        <v>118</v>
      </c>
      <c r="C195" s="4">
        <v>132</v>
      </c>
      <c r="D195" s="4">
        <v>135</v>
      </c>
      <c r="E195" s="4">
        <v>155</v>
      </c>
      <c r="F195" s="4">
        <v>165</v>
      </c>
      <c r="G195" s="4">
        <v>216</v>
      </c>
      <c r="H195" s="4">
        <v>231</v>
      </c>
      <c r="I195" s="4">
        <v>201</v>
      </c>
      <c r="J195" s="4">
        <v>212</v>
      </c>
      <c r="K195" s="4">
        <v>217</v>
      </c>
      <c r="L195" s="4">
        <v>245</v>
      </c>
      <c r="M195" s="4">
        <v>211</v>
      </c>
      <c r="N195" s="4">
        <v>233</v>
      </c>
      <c r="O195" s="4">
        <v>222</v>
      </c>
      <c r="P195" s="4">
        <v>214</v>
      </c>
      <c r="Q195" s="4">
        <v>246.92500000000001</v>
      </c>
      <c r="R195" s="4">
        <v>239.78800000000001</v>
      </c>
    </row>
    <row r="196" spans="1:18" x14ac:dyDescent="0.2">
      <c r="A196" s="3" t="s">
        <v>53</v>
      </c>
      <c r="B196" s="4">
        <v>154</v>
      </c>
      <c r="C196" s="4">
        <v>177</v>
      </c>
      <c r="D196" s="4">
        <v>196</v>
      </c>
      <c r="E196" s="4">
        <v>233</v>
      </c>
      <c r="F196" s="4">
        <v>563</v>
      </c>
      <c r="G196" s="4">
        <v>715</v>
      </c>
      <c r="H196" s="4">
        <v>745</v>
      </c>
      <c r="I196" s="4">
        <v>632</v>
      </c>
      <c r="J196" s="4">
        <v>737</v>
      </c>
      <c r="K196" s="4">
        <v>848</v>
      </c>
      <c r="L196" s="4">
        <v>939</v>
      </c>
      <c r="M196" s="4">
        <v>945</v>
      </c>
      <c r="N196" s="4">
        <v>1459</v>
      </c>
      <c r="O196" s="4">
        <v>969</v>
      </c>
      <c r="P196" s="4">
        <v>1072</v>
      </c>
      <c r="Q196" s="4">
        <v>969</v>
      </c>
      <c r="R196" s="4">
        <v>1357</v>
      </c>
    </row>
    <row r="197" spans="1:18" x14ac:dyDescent="0.2">
      <c r="A197" s="3" t="s">
        <v>54</v>
      </c>
      <c r="B197" s="4">
        <v>350</v>
      </c>
      <c r="C197" s="4">
        <v>302</v>
      </c>
      <c r="D197" s="4">
        <v>263</v>
      </c>
      <c r="E197" s="4">
        <v>289</v>
      </c>
      <c r="F197" s="4">
        <v>314</v>
      </c>
      <c r="G197" s="4">
        <v>397</v>
      </c>
      <c r="H197" s="4">
        <v>369</v>
      </c>
      <c r="I197" s="4">
        <v>310</v>
      </c>
      <c r="J197" s="4">
        <v>400</v>
      </c>
      <c r="K197" s="4">
        <v>298</v>
      </c>
      <c r="L197" s="4">
        <v>284</v>
      </c>
      <c r="M197" s="4">
        <v>273</v>
      </c>
      <c r="N197" s="4">
        <v>280</v>
      </c>
      <c r="O197" s="4">
        <v>325</v>
      </c>
      <c r="P197" s="4">
        <v>350</v>
      </c>
      <c r="Q197" s="4">
        <v>326</v>
      </c>
      <c r="R197" s="4">
        <v>295</v>
      </c>
    </row>
    <row r="198" spans="1:18" x14ac:dyDescent="0.2">
      <c r="A198" s="3" t="s">
        <v>55</v>
      </c>
      <c r="B198" s="4">
        <v>2600</v>
      </c>
      <c r="C198" s="4">
        <v>2392</v>
      </c>
      <c r="D198" s="4">
        <v>2440</v>
      </c>
      <c r="E198" s="4">
        <v>2609</v>
      </c>
      <c r="F198" s="4">
        <v>2472</v>
      </c>
      <c r="G198" s="4">
        <v>2518</v>
      </c>
      <c r="H198" s="4">
        <v>2109</v>
      </c>
      <c r="I198" s="4">
        <v>1737</v>
      </c>
      <c r="J198" s="4">
        <v>1883</v>
      </c>
      <c r="K198" s="4">
        <v>2012</v>
      </c>
      <c r="L198" s="4">
        <v>1948</v>
      </c>
      <c r="M198" s="4">
        <v>1961</v>
      </c>
      <c r="N198" s="4">
        <v>1959</v>
      </c>
      <c r="O198" s="4">
        <v>1930</v>
      </c>
      <c r="P198" s="4">
        <v>1938</v>
      </c>
      <c r="Q198" s="4">
        <v>1977</v>
      </c>
      <c r="R198" s="4">
        <v>1990</v>
      </c>
    </row>
    <row r="199" spans="1:18" x14ac:dyDescent="0.2">
      <c r="A199" s="3" t="s">
        <v>56</v>
      </c>
      <c r="B199" s="4">
        <v>5625</v>
      </c>
      <c r="C199" s="4">
        <v>5610</v>
      </c>
      <c r="D199" s="4">
        <v>5582</v>
      </c>
      <c r="E199" s="4">
        <v>5841</v>
      </c>
      <c r="F199" s="4">
        <v>5748</v>
      </c>
      <c r="G199" s="4">
        <v>5723</v>
      </c>
      <c r="H199" s="4">
        <v>5812</v>
      </c>
      <c r="I199" s="4">
        <v>5012</v>
      </c>
      <c r="J199" s="4">
        <v>5284</v>
      </c>
      <c r="K199" s="4">
        <v>5188</v>
      </c>
      <c r="L199" s="4">
        <v>5081</v>
      </c>
      <c r="M199" s="4">
        <v>5067</v>
      </c>
      <c r="N199" s="4">
        <v>4831</v>
      </c>
      <c r="O199" s="4">
        <v>4875.9780000000001</v>
      </c>
      <c r="P199" s="4">
        <v>4847.8609999999999</v>
      </c>
      <c r="Q199" s="4">
        <v>4756.2830000000004</v>
      </c>
      <c r="R199" s="4">
        <v>4767.6450000000004</v>
      </c>
    </row>
    <row r="200" spans="1:18" x14ac:dyDescent="0.2">
      <c r="A200" s="3" t="s">
        <v>57</v>
      </c>
      <c r="B200" s="4">
        <v>8</v>
      </c>
      <c r="C200" s="4">
        <v>6</v>
      </c>
      <c r="D200" s="4">
        <v>6</v>
      </c>
      <c r="E200" s="4">
        <v>5</v>
      </c>
      <c r="F200" s="4">
        <v>5</v>
      </c>
      <c r="G200" s="4">
        <v>5</v>
      </c>
      <c r="H200" s="4">
        <v>5</v>
      </c>
      <c r="I200" s="4">
        <v>5</v>
      </c>
      <c r="J200" s="4">
        <v>4</v>
      </c>
      <c r="K200" s="4">
        <v>4</v>
      </c>
      <c r="L200" s="4">
        <v>5</v>
      </c>
      <c r="M200" s="4">
        <v>5</v>
      </c>
      <c r="N200" s="4">
        <v>5</v>
      </c>
      <c r="O200" s="4">
        <v>6</v>
      </c>
      <c r="P200" s="4">
        <v>5</v>
      </c>
      <c r="Q200" s="4">
        <v>5.2469999999999999</v>
      </c>
      <c r="R200" s="4">
        <v>4.6609999999999996</v>
      </c>
    </row>
    <row r="201" spans="1:18" x14ac:dyDescent="0.2">
      <c r="A201" s="3" t="s">
        <v>58</v>
      </c>
      <c r="B201" s="4">
        <v>876</v>
      </c>
      <c r="C201" s="4">
        <v>731</v>
      </c>
      <c r="D201" s="4">
        <v>717</v>
      </c>
      <c r="E201" s="4">
        <v>724</v>
      </c>
      <c r="F201" s="4">
        <v>852</v>
      </c>
      <c r="G201" s="4">
        <v>662</v>
      </c>
      <c r="H201" s="4">
        <v>714</v>
      </c>
      <c r="I201" s="4">
        <v>499</v>
      </c>
      <c r="J201" s="4">
        <v>557</v>
      </c>
      <c r="K201" s="4">
        <v>503</v>
      </c>
      <c r="L201" s="4">
        <v>498</v>
      </c>
      <c r="M201" s="4">
        <v>541</v>
      </c>
      <c r="N201" s="4">
        <v>623</v>
      </c>
      <c r="O201" s="4">
        <v>413</v>
      </c>
      <c r="P201" s="4">
        <v>433</v>
      </c>
      <c r="Q201" s="4">
        <v>397</v>
      </c>
      <c r="R201" s="4">
        <v>431.99900000000002</v>
      </c>
    </row>
    <row r="202" spans="1:18" x14ac:dyDescent="0.2">
      <c r="A202" s="3" t="s">
        <v>59</v>
      </c>
      <c r="B202" s="5">
        <v>0</v>
      </c>
      <c r="C202" s="5">
        <v>0</v>
      </c>
      <c r="D202" s="4">
        <v>684</v>
      </c>
      <c r="E202" s="4">
        <v>670</v>
      </c>
      <c r="F202" s="4">
        <v>128</v>
      </c>
      <c r="G202" s="4">
        <v>135</v>
      </c>
      <c r="H202" s="4">
        <v>364</v>
      </c>
      <c r="I202" s="4">
        <v>1492</v>
      </c>
      <c r="J202" s="4">
        <v>148</v>
      </c>
      <c r="K202" s="4">
        <v>194</v>
      </c>
      <c r="L202" s="4">
        <v>234</v>
      </c>
      <c r="M202" s="4">
        <v>317</v>
      </c>
      <c r="N202" s="4">
        <v>260</v>
      </c>
      <c r="O202" s="4">
        <v>213</v>
      </c>
      <c r="P202" s="4">
        <v>244</v>
      </c>
      <c r="Q202" s="4">
        <v>256.37599999999998</v>
      </c>
      <c r="R202" s="4">
        <v>213.26300000000001</v>
      </c>
    </row>
    <row r="204" spans="1:18" x14ac:dyDescent="0.2">
      <c r="A204" s="1" t="s">
        <v>61</v>
      </c>
    </row>
    <row r="205" spans="1:18" x14ac:dyDescent="0.2">
      <c r="A205" s="1" t="s">
        <v>60</v>
      </c>
      <c r="B205" s="1" t="s">
        <v>62</v>
      </c>
    </row>
    <row r="207" spans="1:18" x14ac:dyDescent="0.2">
      <c r="A207" s="1" t="s">
        <v>5</v>
      </c>
      <c r="B207" s="1" t="s">
        <v>67</v>
      </c>
    </row>
    <row r="208" spans="1:18" x14ac:dyDescent="0.2">
      <c r="A208" s="1" t="s">
        <v>7</v>
      </c>
      <c r="B208" s="1" t="s">
        <v>8</v>
      </c>
    </row>
    <row r="209" spans="1:18" x14ac:dyDescent="0.2">
      <c r="A209" s="1" t="s">
        <v>9</v>
      </c>
      <c r="B209" s="1" t="s">
        <v>10</v>
      </c>
    </row>
    <row r="211" spans="1:18" x14ac:dyDescent="0.2">
      <c r="A211" s="3" t="s">
        <v>11</v>
      </c>
      <c r="B211" s="3" t="s">
        <v>12</v>
      </c>
      <c r="C211" s="3" t="s">
        <v>13</v>
      </c>
      <c r="D211" s="3" t="s">
        <v>14</v>
      </c>
      <c r="E211" s="3" t="s">
        <v>15</v>
      </c>
      <c r="F211" s="3" t="s">
        <v>16</v>
      </c>
      <c r="G211" s="3" t="s">
        <v>17</v>
      </c>
      <c r="H211" s="3" t="s">
        <v>18</v>
      </c>
      <c r="I211" s="3" t="s">
        <v>19</v>
      </c>
      <c r="J211" s="3" t="s">
        <v>20</v>
      </c>
      <c r="K211" s="3" t="s">
        <v>21</v>
      </c>
      <c r="L211" s="3" t="s">
        <v>22</v>
      </c>
      <c r="M211" s="3" t="s">
        <v>23</v>
      </c>
      <c r="N211" s="3" t="s">
        <v>24</v>
      </c>
      <c r="O211" s="3" t="s">
        <v>25</v>
      </c>
      <c r="P211" s="3" t="s">
        <v>26</v>
      </c>
      <c r="Q211" s="3" t="s">
        <v>27</v>
      </c>
      <c r="R211" s="3" t="s">
        <v>28</v>
      </c>
    </row>
    <row r="212" spans="1:18" x14ac:dyDescent="0.2">
      <c r="A212" s="3" t="s">
        <v>29</v>
      </c>
      <c r="B212" s="4">
        <v>2025</v>
      </c>
      <c r="C212" s="4">
        <v>2082</v>
      </c>
      <c r="D212" s="4">
        <v>2122</v>
      </c>
      <c r="E212" s="4">
        <v>2169</v>
      </c>
      <c r="F212" s="4">
        <v>2176</v>
      </c>
      <c r="G212" s="4">
        <v>2149</v>
      </c>
      <c r="H212" s="4">
        <v>2188</v>
      </c>
      <c r="I212" s="4">
        <v>1762</v>
      </c>
      <c r="J212" s="4">
        <v>1899</v>
      </c>
      <c r="K212" s="4">
        <v>1873</v>
      </c>
      <c r="L212" s="4">
        <v>2030</v>
      </c>
      <c r="M212" s="4">
        <v>1954</v>
      </c>
      <c r="N212" s="4">
        <v>1924.7</v>
      </c>
      <c r="O212" s="4">
        <v>1864.3</v>
      </c>
      <c r="P212" s="4">
        <v>1756</v>
      </c>
      <c r="Q212" s="4">
        <v>1835.2</v>
      </c>
      <c r="R212" s="4">
        <v>1838.1</v>
      </c>
    </row>
    <row r="213" spans="1:18" x14ac:dyDescent="0.2">
      <c r="A213" s="3" t="s">
        <v>30</v>
      </c>
      <c r="B213" s="4">
        <v>750</v>
      </c>
      <c r="C213" s="4">
        <v>802</v>
      </c>
      <c r="D213" s="4">
        <v>760</v>
      </c>
      <c r="E213" s="4">
        <v>819</v>
      </c>
      <c r="F213" s="4">
        <v>795</v>
      </c>
      <c r="G213" s="4">
        <v>848</v>
      </c>
      <c r="H213" s="4">
        <v>891</v>
      </c>
      <c r="I213" s="4">
        <v>685</v>
      </c>
      <c r="J213" s="4">
        <v>738</v>
      </c>
      <c r="K213" s="4">
        <v>912</v>
      </c>
      <c r="L213" s="4">
        <v>901</v>
      </c>
      <c r="M213" s="4">
        <v>905</v>
      </c>
      <c r="N213" s="4">
        <v>902</v>
      </c>
      <c r="O213" s="4">
        <v>931</v>
      </c>
      <c r="P213" s="4">
        <v>984</v>
      </c>
      <c r="Q213" s="4">
        <v>1035.056</v>
      </c>
      <c r="R213" s="4">
        <v>1070.636</v>
      </c>
    </row>
    <row r="214" spans="1:18" x14ac:dyDescent="0.2">
      <c r="A214" s="3" t="s">
        <v>31</v>
      </c>
      <c r="B214" s="4">
        <v>2571</v>
      </c>
      <c r="C214" s="4">
        <v>2711</v>
      </c>
      <c r="D214" s="4">
        <v>3163</v>
      </c>
      <c r="E214" s="4">
        <v>3403</v>
      </c>
      <c r="F214" s="4">
        <v>3521</v>
      </c>
      <c r="G214" s="4">
        <v>3882</v>
      </c>
      <c r="H214" s="4">
        <v>4004</v>
      </c>
      <c r="I214" s="4">
        <v>3101</v>
      </c>
      <c r="J214" s="4">
        <v>3545</v>
      </c>
      <c r="K214" s="4">
        <v>3820</v>
      </c>
      <c r="L214" s="4">
        <v>3864</v>
      </c>
      <c r="M214" s="4">
        <v>3724</v>
      </c>
      <c r="N214" s="4">
        <v>3817</v>
      </c>
      <c r="O214" s="4">
        <v>3996</v>
      </c>
      <c r="P214" s="4">
        <v>4069</v>
      </c>
      <c r="Q214" s="4">
        <v>4343.018</v>
      </c>
      <c r="R214" s="4">
        <v>4262.6899999999996</v>
      </c>
    </row>
    <row r="215" spans="1:18" x14ac:dyDescent="0.2">
      <c r="A215" s="3" t="s">
        <v>32</v>
      </c>
      <c r="B215" s="4">
        <v>1567</v>
      </c>
      <c r="C215" s="4">
        <v>1556</v>
      </c>
      <c r="D215" s="4">
        <v>1618</v>
      </c>
      <c r="E215" s="4">
        <v>1647</v>
      </c>
      <c r="F215" s="4">
        <v>1695</v>
      </c>
      <c r="G215" s="4">
        <v>1732</v>
      </c>
      <c r="H215" s="4">
        <v>1667</v>
      </c>
      <c r="I215" s="4">
        <v>1551</v>
      </c>
      <c r="J215" s="4">
        <v>1552</v>
      </c>
      <c r="K215" s="4">
        <v>1548</v>
      </c>
      <c r="L215" s="4">
        <v>1496</v>
      </c>
      <c r="M215" s="4">
        <v>1432</v>
      </c>
      <c r="N215" s="4">
        <v>1400</v>
      </c>
      <c r="O215" s="4">
        <v>1409.174</v>
      </c>
      <c r="P215" s="4">
        <v>1319.8330000000001</v>
      </c>
      <c r="Q215" s="4">
        <v>1340.0830000000001</v>
      </c>
      <c r="R215" s="4">
        <v>1338.7809999999999</v>
      </c>
    </row>
    <row r="216" spans="1:18" x14ac:dyDescent="0.2">
      <c r="A216" s="3" t="s">
        <v>33</v>
      </c>
      <c r="B216" s="4">
        <v>10415</v>
      </c>
      <c r="C216" s="4">
        <v>24573</v>
      </c>
      <c r="D216" s="4">
        <v>24347</v>
      </c>
      <c r="E216" s="4">
        <v>24293</v>
      </c>
      <c r="F216" s="4">
        <v>25438</v>
      </c>
      <c r="G216" s="4">
        <v>26559</v>
      </c>
      <c r="H216" s="4">
        <v>36547</v>
      </c>
      <c r="I216" s="4">
        <v>29222</v>
      </c>
      <c r="J216" s="4">
        <v>32910</v>
      </c>
      <c r="K216" s="4">
        <v>36361</v>
      </c>
      <c r="L216" s="4">
        <v>36452</v>
      </c>
      <c r="M216" s="4">
        <v>37202</v>
      </c>
      <c r="N216" s="4">
        <v>39303</v>
      </c>
      <c r="O216" s="4">
        <v>33421</v>
      </c>
      <c r="P216" s="4">
        <v>33466</v>
      </c>
      <c r="Q216" s="4">
        <v>33908</v>
      </c>
      <c r="R216" s="4">
        <v>34020</v>
      </c>
    </row>
    <row r="217" spans="1:18" x14ac:dyDescent="0.2">
      <c r="A217" s="3" t="s">
        <v>34</v>
      </c>
      <c r="B217" s="4">
        <v>157</v>
      </c>
      <c r="C217" s="4">
        <v>182</v>
      </c>
      <c r="D217" s="4">
        <v>200</v>
      </c>
      <c r="E217" s="4">
        <v>207</v>
      </c>
      <c r="F217" s="4">
        <v>216</v>
      </c>
      <c r="G217" s="4">
        <v>230</v>
      </c>
      <c r="H217" s="4">
        <v>248</v>
      </c>
      <c r="I217" s="4">
        <v>234</v>
      </c>
      <c r="J217" s="4">
        <v>294</v>
      </c>
      <c r="K217" s="4">
        <v>293</v>
      </c>
      <c r="L217" s="4">
        <v>285</v>
      </c>
      <c r="M217" s="4">
        <v>260</v>
      </c>
      <c r="N217" s="4">
        <v>248</v>
      </c>
      <c r="O217" s="4">
        <v>250</v>
      </c>
      <c r="P217" s="4">
        <v>294</v>
      </c>
      <c r="Q217" s="4">
        <v>302</v>
      </c>
      <c r="R217" s="4">
        <v>320</v>
      </c>
    </row>
    <row r="218" spans="1:18" x14ac:dyDescent="0.2">
      <c r="A218" s="3" t="s">
        <v>35</v>
      </c>
      <c r="B218" s="4">
        <v>1416.683</v>
      </c>
      <c r="C218" s="4">
        <v>1327.616</v>
      </c>
      <c r="D218" s="4">
        <v>1255.8019999999999</v>
      </c>
      <c r="E218" s="4">
        <v>1400.9069999999999</v>
      </c>
      <c r="F218" s="4">
        <v>1926.3579999999999</v>
      </c>
      <c r="G218" s="4">
        <v>1418.7639999999999</v>
      </c>
      <c r="H218" s="4">
        <v>1345.422</v>
      </c>
      <c r="I218" s="4">
        <v>1471.741</v>
      </c>
      <c r="J218" s="4">
        <v>1355.4670000000001</v>
      </c>
      <c r="K218" s="4">
        <v>1415.075</v>
      </c>
      <c r="L218" s="4">
        <v>1361.972</v>
      </c>
      <c r="M218" s="4">
        <v>1383.0930000000001</v>
      </c>
      <c r="N218" s="4">
        <v>1399.6110000000001</v>
      </c>
      <c r="O218" s="4">
        <v>1466.01</v>
      </c>
      <c r="P218" s="4">
        <v>1513.7159999999999</v>
      </c>
      <c r="Q218" s="4">
        <v>1530.5530000000001</v>
      </c>
      <c r="R218" s="4">
        <v>1628.854</v>
      </c>
    </row>
    <row r="219" spans="1:18" x14ac:dyDescent="0.2">
      <c r="A219" s="3" t="s">
        <v>36</v>
      </c>
      <c r="B219" s="4">
        <v>636</v>
      </c>
      <c r="C219" s="4">
        <v>879</v>
      </c>
      <c r="D219" s="4">
        <v>561</v>
      </c>
      <c r="E219" s="4">
        <v>566</v>
      </c>
      <c r="F219" s="4">
        <v>603</v>
      </c>
      <c r="G219" s="4">
        <v>674</v>
      </c>
      <c r="H219" s="4">
        <v>680</v>
      </c>
      <c r="I219" s="4">
        <v>51</v>
      </c>
      <c r="J219" s="4">
        <v>140</v>
      </c>
      <c r="K219" s="4">
        <v>475</v>
      </c>
      <c r="L219" s="4">
        <v>191</v>
      </c>
      <c r="M219" s="4">
        <v>205</v>
      </c>
      <c r="N219" s="4">
        <v>198</v>
      </c>
      <c r="O219" s="4">
        <v>175</v>
      </c>
      <c r="P219" s="4">
        <v>151</v>
      </c>
      <c r="Q219" s="4">
        <v>425.05900000000003</v>
      </c>
      <c r="R219" s="4">
        <v>554.47</v>
      </c>
    </row>
    <row r="220" spans="1:18" x14ac:dyDescent="0.2">
      <c r="A220" s="3" t="s">
        <v>37</v>
      </c>
      <c r="B220" s="4">
        <v>6668</v>
      </c>
      <c r="C220" s="4">
        <v>6869</v>
      </c>
      <c r="D220" s="4">
        <v>7001</v>
      </c>
      <c r="E220" s="4">
        <v>7331</v>
      </c>
      <c r="F220" s="4">
        <v>6348</v>
      </c>
      <c r="G220" s="4">
        <v>6650</v>
      </c>
      <c r="H220" s="4">
        <v>6547</v>
      </c>
      <c r="I220" s="4">
        <v>5126</v>
      </c>
      <c r="J220" s="4">
        <v>3826</v>
      </c>
      <c r="K220" s="4">
        <v>3797</v>
      </c>
      <c r="L220" s="4">
        <v>3746</v>
      </c>
      <c r="M220" s="4">
        <v>5241</v>
      </c>
      <c r="N220" s="4">
        <v>4799</v>
      </c>
      <c r="O220" s="4">
        <v>4821</v>
      </c>
      <c r="P220" s="4">
        <v>4768</v>
      </c>
      <c r="Q220" s="4">
        <v>4936</v>
      </c>
      <c r="R220" s="4">
        <v>5015</v>
      </c>
    </row>
    <row r="221" spans="1:18" x14ac:dyDescent="0.2">
      <c r="A221" s="3" t="s">
        <v>38</v>
      </c>
      <c r="B221" s="4">
        <v>14497</v>
      </c>
      <c r="C221" s="4">
        <v>13826</v>
      </c>
      <c r="D221" s="4">
        <v>13815</v>
      </c>
      <c r="E221" s="4">
        <v>11917</v>
      </c>
      <c r="F221" s="4">
        <v>13587</v>
      </c>
      <c r="G221" s="4">
        <v>13572</v>
      </c>
      <c r="H221" s="4">
        <v>17299</v>
      </c>
      <c r="I221" s="4">
        <v>14662</v>
      </c>
      <c r="J221" s="4">
        <v>15936</v>
      </c>
      <c r="K221" s="4">
        <v>13733.833000000001</v>
      </c>
      <c r="L221" s="4">
        <v>13652.545</v>
      </c>
      <c r="M221" s="4">
        <v>13595.088</v>
      </c>
      <c r="N221" s="4">
        <v>13024.382</v>
      </c>
      <c r="O221" s="4">
        <v>12974.174999999999</v>
      </c>
      <c r="P221" s="4">
        <v>13020.529</v>
      </c>
      <c r="Q221" s="4">
        <v>13001.168</v>
      </c>
      <c r="R221" s="4">
        <v>12912.174999999999</v>
      </c>
    </row>
    <row r="222" spans="1:18" x14ac:dyDescent="0.2">
      <c r="A222" s="3" t="s">
        <v>39</v>
      </c>
      <c r="B222" s="4">
        <v>165</v>
      </c>
      <c r="C222" s="4">
        <v>189</v>
      </c>
      <c r="D222" s="4">
        <v>219</v>
      </c>
      <c r="E222" s="4">
        <v>241</v>
      </c>
      <c r="F222" s="4">
        <v>276</v>
      </c>
      <c r="G222" s="4">
        <v>311</v>
      </c>
      <c r="H222" s="4">
        <v>360</v>
      </c>
      <c r="I222" s="4">
        <v>301</v>
      </c>
      <c r="J222" s="4">
        <v>313</v>
      </c>
      <c r="K222" s="4">
        <v>321</v>
      </c>
      <c r="L222" s="4">
        <v>319</v>
      </c>
      <c r="M222" s="4">
        <v>330</v>
      </c>
      <c r="N222" s="4">
        <v>400</v>
      </c>
      <c r="O222" s="4">
        <v>428</v>
      </c>
      <c r="P222" s="4">
        <v>466</v>
      </c>
      <c r="Q222" s="4">
        <v>456.6</v>
      </c>
      <c r="R222" s="4">
        <v>413.7</v>
      </c>
    </row>
    <row r="223" spans="1:18" x14ac:dyDescent="0.2">
      <c r="A223" s="3" t="s">
        <v>40</v>
      </c>
      <c r="B223" s="4">
        <v>21631</v>
      </c>
      <c r="C223" s="4">
        <v>22328</v>
      </c>
      <c r="D223" s="4">
        <v>23037</v>
      </c>
      <c r="E223" s="4">
        <v>23550</v>
      </c>
      <c r="F223" s="4">
        <v>24076</v>
      </c>
      <c r="G223" s="4">
        <v>23802</v>
      </c>
      <c r="H223" s="4">
        <v>23129</v>
      </c>
      <c r="I223" s="4">
        <v>19105</v>
      </c>
      <c r="J223" s="4">
        <v>21336</v>
      </c>
      <c r="K223" s="4">
        <v>21590</v>
      </c>
      <c r="L223" s="4">
        <v>20241</v>
      </c>
      <c r="M223" s="4">
        <v>19787</v>
      </c>
      <c r="N223" s="4">
        <v>19531</v>
      </c>
      <c r="O223" s="4">
        <v>19944</v>
      </c>
      <c r="P223" s="4">
        <v>20128</v>
      </c>
      <c r="Q223" s="4">
        <v>20888.474999999999</v>
      </c>
      <c r="R223" s="4">
        <v>21138.065999999999</v>
      </c>
    </row>
    <row r="224" spans="1:18" x14ac:dyDescent="0.2">
      <c r="A224" s="3" t="s">
        <v>41</v>
      </c>
      <c r="B224" s="4">
        <v>24</v>
      </c>
      <c r="C224" s="4">
        <v>23</v>
      </c>
      <c r="D224" s="4">
        <v>27</v>
      </c>
      <c r="E224" s="4">
        <v>29</v>
      </c>
      <c r="F224" s="4">
        <v>31</v>
      </c>
      <c r="G224" s="4">
        <v>33</v>
      </c>
      <c r="H224" s="4">
        <v>34</v>
      </c>
      <c r="I224" s="4">
        <v>30</v>
      </c>
      <c r="J224" s="4">
        <v>29</v>
      </c>
      <c r="K224" s="4">
        <v>26</v>
      </c>
      <c r="L224" s="4">
        <v>24</v>
      </c>
      <c r="M224" s="4">
        <v>20</v>
      </c>
      <c r="N224" s="4">
        <v>17</v>
      </c>
      <c r="O224" s="4">
        <v>17</v>
      </c>
      <c r="P224" s="4">
        <v>20</v>
      </c>
      <c r="Q224" s="4">
        <v>20.681999999999999</v>
      </c>
      <c r="R224" s="4">
        <v>24.297000000000001</v>
      </c>
    </row>
    <row r="225" spans="1:18" x14ac:dyDescent="0.2">
      <c r="A225" s="3" t="s">
        <v>42</v>
      </c>
      <c r="B225" s="4">
        <v>139</v>
      </c>
      <c r="C225" s="4">
        <v>145</v>
      </c>
      <c r="D225" s="4">
        <v>153</v>
      </c>
      <c r="E225" s="4">
        <v>157</v>
      </c>
      <c r="F225" s="4">
        <v>161</v>
      </c>
      <c r="G225" s="4">
        <v>140</v>
      </c>
      <c r="H225" s="4">
        <v>136</v>
      </c>
      <c r="I225" s="4">
        <v>86</v>
      </c>
      <c r="J225" s="4">
        <v>96</v>
      </c>
      <c r="K225" s="4">
        <v>108</v>
      </c>
      <c r="L225" s="4">
        <v>110</v>
      </c>
      <c r="M225" s="4">
        <v>116</v>
      </c>
      <c r="N225" s="4">
        <v>108</v>
      </c>
      <c r="O225" s="4">
        <v>93</v>
      </c>
      <c r="P225" s="4">
        <v>97</v>
      </c>
      <c r="Q225" s="4">
        <v>89.174000000000007</v>
      </c>
      <c r="R225" s="4">
        <v>91.846999999999994</v>
      </c>
    </row>
    <row r="226" spans="1:18" x14ac:dyDescent="0.2">
      <c r="A226" s="3" t="s">
        <v>43</v>
      </c>
      <c r="B226" s="4">
        <v>325</v>
      </c>
      <c r="C226" s="4">
        <v>336</v>
      </c>
      <c r="D226" s="4">
        <v>374</v>
      </c>
      <c r="E226" s="4">
        <v>335</v>
      </c>
      <c r="F226" s="4">
        <v>234</v>
      </c>
      <c r="G226" s="4">
        <v>173</v>
      </c>
      <c r="H226" s="4">
        <v>136</v>
      </c>
      <c r="I226" s="4">
        <v>92</v>
      </c>
      <c r="J226" s="4">
        <v>108</v>
      </c>
      <c r="K226" s="4">
        <v>125</v>
      </c>
      <c r="L226" s="4">
        <v>173</v>
      </c>
      <c r="M226" s="4">
        <v>167</v>
      </c>
      <c r="N226" s="4">
        <v>165</v>
      </c>
      <c r="O226" s="4">
        <v>171</v>
      </c>
      <c r="P226" s="4">
        <v>185</v>
      </c>
      <c r="Q226" s="4">
        <v>244.3</v>
      </c>
      <c r="R226" s="4">
        <v>219</v>
      </c>
    </row>
    <row r="227" spans="1:18" x14ac:dyDescent="0.2">
      <c r="A227" s="3" t="s">
        <v>44</v>
      </c>
      <c r="B227" s="4">
        <v>112.23699999999999</v>
      </c>
      <c r="C227" s="4">
        <v>159.494</v>
      </c>
      <c r="D227" s="4">
        <v>148.596</v>
      </c>
      <c r="E227" s="4">
        <v>137.38900000000001</v>
      </c>
      <c r="F227" s="4">
        <v>132.92099999999999</v>
      </c>
      <c r="G227" s="4">
        <v>140.46700000000001</v>
      </c>
      <c r="H227" s="4">
        <v>143.601</v>
      </c>
      <c r="I227" s="4">
        <v>131.68</v>
      </c>
      <c r="J227" s="4">
        <v>150.88499999999999</v>
      </c>
      <c r="K227" s="4">
        <v>99.28</v>
      </c>
      <c r="L227" s="4">
        <v>94.769000000000005</v>
      </c>
      <c r="M227" s="4">
        <v>91.099000000000004</v>
      </c>
      <c r="N227" s="4">
        <v>82.635000000000005</v>
      </c>
      <c r="O227" s="4">
        <v>83.316999999999993</v>
      </c>
      <c r="P227" s="4">
        <v>90.113</v>
      </c>
      <c r="Q227" s="4">
        <v>74.468999999999994</v>
      </c>
      <c r="R227" s="4">
        <v>79.203999999999994</v>
      </c>
    </row>
    <row r="228" spans="1:18" x14ac:dyDescent="0.2">
      <c r="A228" s="3" t="s">
        <v>45</v>
      </c>
      <c r="B228" s="4">
        <v>837</v>
      </c>
      <c r="C228" s="4">
        <v>881</v>
      </c>
      <c r="D228" s="4">
        <v>1016</v>
      </c>
      <c r="E228" s="4">
        <v>1254</v>
      </c>
      <c r="F228" s="4">
        <v>1235</v>
      </c>
      <c r="G228" s="4">
        <v>1257</v>
      </c>
      <c r="H228" s="4">
        <v>1309</v>
      </c>
      <c r="I228" s="4">
        <v>1292</v>
      </c>
      <c r="J228" s="4">
        <v>1544</v>
      </c>
      <c r="K228" s="4">
        <v>1559</v>
      </c>
      <c r="L228" s="4">
        <v>2506</v>
      </c>
      <c r="M228" s="4">
        <v>2410</v>
      </c>
      <c r="N228" s="4">
        <v>2469</v>
      </c>
      <c r="O228" s="4">
        <v>2478</v>
      </c>
      <c r="P228" s="4">
        <v>2574</v>
      </c>
      <c r="Q228" s="4">
        <v>2751</v>
      </c>
      <c r="R228" s="4">
        <v>2827</v>
      </c>
    </row>
    <row r="229" spans="1:18" x14ac:dyDescent="0.2">
      <c r="A229" s="3" t="s">
        <v>46</v>
      </c>
      <c r="B229" s="5">
        <v>0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4">
        <v>110</v>
      </c>
      <c r="K229" s="4">
        <v>109</v>
      </c>
      <c r="L229" s="4">
        <v>108</v>
      </c>
      <c r="M229" s="4">
        <v>114</v>
      </c>
      <c r="N229" s="4">
        <v>116</v>
      </c>
      <c r="O229" s="4">
        <v>115</v>
      </c>
      <c r="P229" s="4">
        <v>109</v>
      </c>
      <c r="Q229" s="4">
        <v>116.47199999999999</v>
      </c>
      <c r="R229" s="4">
        <v>119.71899999999999</v>
      </c>
    </row>
    <row r="230" spans="1:18" x14ac:dyDescent="0.2">
      <c r="A230" s="3" t="s">
        <v>47</v>
      </c>
      <c r="B230" s="4">
        <v>3645</v>
      </c>
      <c r="C230" s="4">
        <v>3358</v>
      </c>
      <c r="D230" s="4">
        <v>3450</v>
      </c>
      <c r="E230" s="4">
        <v>3573</v>
      </c>
      <c r="F230" s="4">
        <v>3537</v>
      </c>
      <c r="G230" s="4">
        <v>3265</v>
      </c>
      <c r="H230" s="4">
        <v>3549</v>
      </c>
      <c r="I230" s="4">
        <v>3460</v>
      </c>
      <c r="J230" s="4">
        <v>3416</v>
      </c>
      <c r="K230" s="4">
        <v>2850</v>
      </c>
      <c r="L230" s="4">
        <v>2848</v>
      </c>
      <c r="M230" s="4">
        <v>2688</v>
      </c>
      <c r="N230" s="4">
        <v>2853</v>
      </c>
      <c r="O230" s="4">
        <v>2809.09</v>
      </c>
      <c r="P230" s="4">
        <v>3003.8910000000001</v>
      </c>
      <c r="Q230" s="4">
        <v>3250.57</v>
      </c>
      <c r="R230" s="4">
        <v>3145.5630000000001</v>
      </c>
    </row>
    <row r="231" spans="1:18" x14ac:dyDescent="0.2">
      <c r="A231" s="3" t="s">
        <v>48</v>
      </c>
      <c r="B231" s="4">
        <v>2312</v>
      </c>
      <c r="C231" s="4">
        <v>2402</v>
      </c>
      <c r="D231" s="4">
        <v>2800</v>
      </c>
      <c r="E231" s="4">
        <v>2934.3069999999998</v>
      </c>
      <c r="F231" s="4">
        <v>3134.5120000000002</v>
      </c>
      <c r="G231" s="4">
        <v>3272.09</v>
      </c>
      <c r="H231" s="4">
        <v>3298.7080000000001</v>
      </c>
      <c r="I231" s="4">
        <v>3228.45</v>
      </c>
      <c r="J231" s="4">
        <v>3556.623</v>
      </c>
      <c r="K231" s="4">
        <v>3750.3359999999998</v>
      </c>
      <c r="L231" s="4">
        <v>3807.33</v>
      </c>
      <c r="M231" s="4">
        <v>3419.3009999999999</v>
      </c>
      <c r="N231" s="4">
        <v>3315.3969999999999</v>
      </c>
      <c r="O231" s="4">
        <v>3497.8240000000001</v>
      </c>
      <c r="P231" s="4">
        <v>3723.7170000000001</v>
      </c>
      <c r="Q231" s="4">
        <v>3686.375</v>
      </c>
      <c r="R231" s="4">
        <v>4129.4470000000001</v>
      </c>
    </row>
    <row r="232" spans="1:18" x14ac:dyDescent="0.2">
      <c r="A232" s="3" t="s">
        <v>49</v>
      </c>
      <c r="B232" s="4">
        <v>3354</v>
      </c>
      <c r="C232" s="4">
        <v>3384</v>
      </c>
      <c r="D232" s="4">
        <v>3370</v>
      </c>
      <c r="E232" s="4">
        <v>3533</v>
      </c>
      <c r="F232" s="4">
        <v>3755</v>
      </c>
      <c r="G232" s="4">
        <v>3992</v>
      </c>
      <c r="H232" s="4">
        <v>3847</v>
      </c>
      <c r="I232" s="4">
        <v>3255</v>
      </c>
      <c r="J232" s="4">
        <v>3630</v>
      </c>
      <c r="K232" s="4">
        <v>3974</v>
      </c>
      <c r="L232" s="4">
        <v>3918</v>
      </c>
      <c r="M232" s="4">
        <v>4251</v>
      </c>
      <c r="N232" s="4">
        <v>4397</v>
      </c>
      <c r="O232" s="4">
        <v>4543</v>
      </c>
      <c r="P232" s="4">
        <v>4581</v>
      </c>
      <c r="Q232" s="4">
        <v>4804.0309999999999</v>
      </c>
      <c r="R232" s="4">
        <v>5125.9539999999997</v>
      </c>
    </row>
    <row r="233" spans="1:18" x14ac:dyDescent="0.2">
      <c r="A233" s="3" t="s">
        <v>50</v>
      </c>
      <c r="B233" s="4">
        <v>1071</v>
      </c>
      <c r="C233" s="4">
        <v>1132</v>
      </c>
      <c r="D233" s="4">
        <v>1185</v>
      </c>
      <c r="E233" s="4">
        <v>1196</v>
      </c>
      <c r="F233" s="4">
        <v>1250</v>
      </c>
      <c r="G233" s="4">
        <v>1272</v>
      </c>
      <c r="H233" s="4">
        <v>1272</v>
      </c>
      <c r="I233" s="4">
        <v>1240</v>
      </c>
      <c r="J233" s="4">
        <v>1346</v>
      </c>
      <c r="K233" s="4">
        <v>1316</v>
      </c>
      <c r="L233" s="4">
        <v>1274</v>
      </c>
      <c r="M233" s="4">
        <v>1272</v>
      </c>
      <c r="N233" s="4">
        <v>1307</v>
      </c>
      <c r="O233" s="4">
        <v>1330</v>
      </c>
      <c r="P233" s="4">
        <v>1076.6220000000001</v>
      </c>
      <c r="Q233" s="4">
        <v>1085.038</v>
      </c>
      <c r="R233" s="4">
        <v>1162.7070000000001</v>
      </c>
    </row>
    <row r="234" spans="1:18" x14ac:dyDescent="0.2">
      <c r="A234" s="3" t="s">
        <v>51</v>
      </c>
      <c r="B234" s="4">
        <v>2681</v>
      </c>
      <c r="C234" s="4">
        <v>2428</v>
      </c>
      <c r="D234" s="4">
        <v>2101</v>
      </c>
      <c r="E234" s="4">
        <v>1859</v>
      </c>
      <c r="F234" s="4">
        <v>1691</v>
      </c>
      <c r="G234" s="4">
        <v>1789</v>
      </c>
      <c r="H234" s="4">
        <v>2108</v>
      </c>
      <c r="I234" s="4">
        <v>1623</v>
      </c>
      <c r="J234" s="4">
        <v>2265</v>
      </c>
      <c r="K234" s="4">
        <v>1823</v>
      </c>
      <c r="L234" s="4">
        <v>1937</v>
      </c>
      <c r="M234" s="4">
        <v>1835</v>
      </c>
      <c r="N234" s="4">
        <v>2024</v>
      </c>
      <c r="O234" s="4">
        <v>2037</v>
      </c>
      <c r="P234" s="4">
        <v>2190</v>
      </c>
      <c r="Q234" s="4">
        <v>2456.3519999999999</v>
      </c>
      <c r="R234" s="4">
        <v>2758.6610000000001</v>
      </c>
    </row>
    <row r="235" spans="1:18" x14ac:dyDescent="0.2">
      <c r="A235" s="3" t="s">
        <v>52</v>
      </c>
      <c r="B235" s="4">
        <v>646</v>
      </c>
      <c r="C235" s="4">
        <v>757</v>
      </c>
      <c r="D235" s="4">
        <v>810</v>
      </c>
      <c r="E235" s="4">
        <v>880</v>
      </c>
      <c r="F235" s="4">
        <v>997</v>
      </c>
      <c r="G235" s="4">
        <v>1091</v>
      </c>
      <c r="H235" s="4">
        <v>951</v>
      </c>
      <c r="I235" s="4">
        <v>779</v>
      </c>
      <c r="J235" s="4">
        <v>931</v>
      </c>
      <c r="K235" s="4">
        <v>914</v>
      </c>
      <c r="L235" s="4">
        <v>862</v>
      </c>
      <c r="M235" s="4">
        <v>887</v>
      </c>
      <c r="N235" s="4">
        <v>905</v>
      </c>
      <c r="O235" s="4">
        <v>937</v>
      </c>
      <c r="P235" s="4">
        <v>984</v>
      </c>
      <c r="Q235" s="4">
        <v>1005.197</v>
      </c>
      <c r="R235" s="4">
        <v>1345.384</v>
      </c>
    </row>
    <row r="236" spans="1:18" x14ac:dyDescent="0.2">
      <c r="A236" s="3" t="s">
        <v>53</v>
      </c>
      <c r="B236" s="4">
        <v>496</v>
      </c>
      <c r="C236" s="4">
        <v>742</v>
      </c>
      <c r="D236" s="4">
        <v>805</v>
      </c>
      <c r="E236" s="4">
        <v>766</v>
      </c>
      <c r="F236" s="4">
        <v>882</v>
      </c>
      <c r="G236" s="4">
        <v>1062</v>
      </c>
      <c r="H236" s="4">
        <v>1390</v>
      </c>
      <c r="I236" s="4">
        <v>961</v>
      </c>
      <c r="J236" s="4">
        <v>1081</v>
      </c>
      <c r="K236" s="4">
        <v>1074</v>
      </c>
      <c r="L236" s="4">
        <v>1124</v>
      </c>
      <c r="M236" s="4">
        <v>1156</v>
      </c>
      <c r="N236" s="4">
        <v>1301</v>
      </c>
      <c r="O236" s="4">
        <v>1329</v>
      </c>
      <c r="P236" s="4">
        <v>1449</v>
      </c>
      <c r="Q236" s="4">
        <v>1693</v>
      </c>
      <c r="R236" s="4">
        <v>1818</v>
      </c>
    </row>
    <row r="237" spans="1:18" x14ac:dyDescent="0.2">
      <c r="A237" s="3" t="s">
        <v>54</v>
      </c>
      <c r="B237" s="4">
        <v>2077</v>
      </c>
      <c r="C237" s="4">
        <v>2165</v>
      </c>
      <c r="D237" s="4">
        <v>2208</v>
      </c>
      <c r="E237" s="4">
        <v>2097</v>
      </c>
      <c r="F237" s="4">
        <v>2145</v>
      </c>
      <c r="G237" s="4">
        <v>2252</v>
      </c>
      <c r="H237" s="4">
        <v>2530</v>
      </c>
      <c r="I237" s="4">
        <v>2397</v>
      </c>
      <c r="J237" s="4">
        <v>2446</v>
      </c>
      <c r="K237" s="4">
        <v>2373</v>
      </c>
      <c r="L237" s="4">
        <v>2145</v>
      </c>
      <c r="M237" s="4">
        <v>2196</v>
      </c>
      <c r="N237" s="4">
        <v>2163</v>
      </c>
      <c r="O237" s="4">
        <v>1994</v>
      </c>
      <c r="P237" s="4">
        <v>2029</v>
      </c>
      <c r="Q237" s="4">
        <v>2158</v>
      </c>
      <c r="R237" s="4">
        <v>2338</v>
      </c>
    </row>
    <row r="238" spans="1:18" x14ac:dyDescent="0.2">
      <c r="A238" s="3" t="s">
        <v>55</v>
      </c>
      <c r="B238" s="4">
        <v>1803</v>
      </c>
      <c r="C238" s="4">
        <v>1781</v>
      </c>
      <c r="D238" s="4">
        <v>1817</v>
      </c>
      <c r="E238" s="4">
        <v>1746</v>
      </c>
      <c r="F238" s="4">
        <v>1851</v>
      </c>
      <c r="G238" s="4">
        <v>1730</v>
      </c>
      <c r="H238" s="4">
        <v>1495</v>
      </c>
      <c r="I238" s="4">
        <v>2035</v>
      </c>
      <c r="J238" s="4">
        <v>3997</v>
      </c>
      <c r="K238" s="4">
        <v>3739</v>
      </c>
      <c r="L238" s="4">
        <v>3628</v>
      </c>
      <c r="M238" s="4">
        <v>3483</v>
      </c>
      <c r="N238" s="4">
        <v>3654</v>
      </c>
      <c r="O238" s="4">
        <v>3381</v>
      </c>
      <c r="P238" s="4">
        <v>3276</v>
      </c>
      <c r="Q238" s="4">
        <v>3330</v>
      </c>
      <c r="R238" s="4">
        <v>3399</v>
      </c>
    </row>
    <row r="239" spans="1:18" x14ac:dyDescent="0.2">
      <c r="A239" s="3" t="s">
        <v>56</v>
      </c>
      <c r="B239" s="4">
        <v>14674</v>
      </c>
      <c r="C239" s="4">
        <v>14509</v>
      </c>
      <c r="D239" s="4">
        <v>15019</v>
      </c>
      <c r="E239" s="4">
        <v>16053</v>
      </c>
      <c r="F239" s="4">
        <v>15832</v>
      </c>
      <c r="G239" s="4">
        <v>15748</v>
      </c>
      <c r="H239" s="4">
        <v>16010</v>
      </c>
      <c r="I239" s="4">
        <v>14143</v>
      </c>
      <c r="J239" s="4">
        <v>14309</v>
      </c>
      <c r="K239" s="4">
        <v>13645</v>
      </c>
      <c r="L239" s="4">
        <v>13261</v>
      </c>
      <c r="M239" s="4">
        <v>13235</v>
      </c>
      <c r="N239" s="4">
        <v>12627</v>
      </c>
      <c r="O239" s="4">
        <v>12225.583000000001</v>
      </c>
      <c r="P239" s="4">
        <v>12268.34</v>
      </c>
      <c r="Q239" s="4">
        <v>12456.5</v>
      </c>
      <c r="R239" s="4">
        <v>12601.316999999999</v>
      </c>
    </row>
    <row r="240" spans="1:18" x14ac:dyDescent="0.2">
      <c r="A240" s="3" t="s">
        <v>57</v>
      </c>
      <c r="B240" s="4">
        <v>9</v>
      </c>
      <c r="C240" s="4">
        <v>8</v>
      </c>
      <c r="D240" s="4">
        <v>9</v>
      </c>
      <c r="E240" s="4">
        <v>11</v>
      </c>
      <c r="F240" s="4">
        <v>10</v>
      </c>
      <c r="G240" s="4">
        <v>11</v>
      </c>
      <c r="H240" s="4">
        <v>11</v>
      </c>
      <c r="I240" s="4">
        <v>9</v>
      </c>
      <c r="J240" s="4">
        <v>10</v>
      </c>
      <c r="K240" s="4">
        <v>10</v>
      </c>
      <c r="L240" s="4">
        <v>11</v>
      </c>
      <c r="M240" s="4">
        <v>11</v>
      </c>
      <c r="N240" s="4">
        <v>10</v>
      </c>
      <c r="O240" s="4">
        <v>10</v>
      </c>
      <c r="P240" s="4">
        <v>11</v>
      </c>
      <c r="Q240" s="4">
        <v>10.872</v>
      </c>
      <c r="R240" s="4">
        <v>10.853999999999999</v>
      </c>
    </row>
    <row r="241" spans="1:18" x14ac:dyDescent="0.2">
      <c r="A241" s="3" t="s">
        <v>58</v>
      </c>
      <c r="B241" s="4">
        <v>1324</v>
      </c>
      <c r="C241" s="4">
        <v>1178</v>
      </c>
      <c r="D241" s="4">
        <v>1208</v>
      </c>
      <c r="E241" s="4">
        <v>1224</v>
      </c>
      <c r="F241" s="4">
        <v>1246</v>
      </c>
      <c r="G241" s="4">
        <v>1317</v>
      </c>
      <c r="H241" s="4">
        <v>1317</v>
      </c>
      <c r="I241" s="4">
        <v>963</v>
      </c>
      <c r="J241" s="4">
        <v>1171</v>
      </c>
      <c r="K241" s="4">
        <v>1117</v>
      </c>
      <c r="L241" s="4">
        <v>1109</v>
      </c>
      <c r="M241" s="4">
        <v>1164</v>
      </c>
      <c r="N241" s="4">
        <v>1195</v>
      </c>
      <c r="O241" s="4">
        <v>1241</v>
      </c>
      <c r="P241" s="4">
        <v>1148</v>
      </c>
      <c r="Q241" s="4">
        <v>1060</v>
      </c>
      <c r="R241" s="4">
        <v>1010.635</v>
      </c>
    </row>
    <row r="242" spans="1:18" x14ac:dyDescent="0.2">
      <c r="A242" s="3" t="s">
        <v>59</v>
      </c>
      <c r="B242" s="5">
        <v>0</v>
      </c>
      <c r="C242" s="5">
        <v>0</v>
      </c>
      <c r="D242" s="4">
        <v>408</v>
      </c>
      <c r="E242" s="4">
        <v>434</v>
      </c>
      <c r="F242" s="4">
        <v>475</v>
      </c>
      <c r="G242" s="4">
        <v>876</v>
      </c>
      <c r="H242" s="4">
        <v>1185</v>
      </c>
      <c r="I242" s="4">
        <v>551</v>
      </c>
      <c r="J242" s="4">
        <v>660</v>
      </c>
      <c r="K242" s="4">
        <v>2062</v>
      </c>
      <c r="L242" s="4">
        <v>816</v>
      </c>
      <c r="M242" s="4">
        <v>788</v>
      </c>
      <c r="N242" s="4">
        <v>715</v>
      </c>
      <c r="O242" s="4">
        <v>686</v>
      </c>
      <c r="P242" s="4">
        <v>626</v>
      </c>
      <c r="Q242" s="4">
        <v>657.06399999999996</v>
      </c>
      <c r="R242" s="4">
        <v>654.90200000000004</v>
      </c>
    </row>
    <row r="244" spans="1:18" x14ac:dyDescent="0.2">
      <c r="A244" s="1" t="s">
        <v>61</v>
      </c>
    </row>
    <row r="245" spans="1:18" x14ac:dyDescent="0.2">
      <c r="A245" s="1" t="s">
        <v>60</v>
      </c>
      <c r="B245" s="1" t="s">
        <v>62</v>
      </c>
    </row>
    <row r="247" spans="1:18" x14ac:dyDescent="0.2">
      <c r="A247" s="1" t="s">
        <v>5</v>
      </c>
      <c r="B247" s="1" t="s">
        <v>68</v>
      </c>
    </row>
    <row r="248" spans="1:18" x14ac:dyDescent="0.2">
      <c r="A248" s="1" t="s">
        <v>7</v>
      </c>
      <c r="B248" s="1" t="s">
        <v>8</v>
      </c>
    </row>
    <row r="249" spans="1:18" x14ac:dyDescent="0.2">
      <c r="A249" s="1" t="s">
        <v>9</v>
      </c>
      <c r="B249" s="1" t="s">
        <v>10</v>
      </c>
    </row>
    <row r="251" spans="1:18" x14ac:dyDescent="0.2">
      <c r="A251" s="3" t="s">
        <v>11</v>
      </c>
      <c r="B251" s="3" t="s">
        <v>12</v>
      </c>
      <c r="C251" s="3" t="s">
        <v>13</v>
      </c>
      <c r="D251" s="3" t="s">
        <v>14</v>
      </c>
      <c r="E251" s="3" t="s">
        <v>15</v>
      </c>
      <c r="F251" s="3" t="s">
        <v>16</v>
      </c>
      <c r="G251" s="3" t="s">
        <v>17</v>
      </c>
      <c r="H251" s="3" t="s">
        <v>18</v>
      </c>
      <c r="I251" s="3" t="s">
        <v>19</v>
      </c>
      <c r="J251" s="3" t="s">
        <v>20</v>
      </c>
      <c r="K251" s="3" t="s">
        <v>21</v>
      </c>
      <c r="L251" s="3" t="s">
        <v>22</v>
      </c>
      <c r="M251" s="3" t="s">
        <v>23</v>
      </c>
      <c r="N251" s="3" t="s">
        <v>24</v>
      </c>
      <c r="O251" s="3" t="s">
        <v>25</v>
      </c>
      <c r="P251" s="3" t="s">
        <v>26</v>
      </c>
      <c r="Q251" s="3" t="s">
        <v>27</v>
      </c>
      <c r="R251" s="3" t="s">
        <v>28</v>
      </c>
    </row>
    <row r="252" spans="1:18" x14ac:dyDescent="0.2">
      <c r="A252" s="3" t="s">
        <v>29</v>
      </c>
      <c r="B252" s="4">
        <v>354</v>
      </c>
      <c r="C252" s="4">
        <v>361</v>
      </c>
      <c r="D252" s="4">
        <v>513</v>
      </c>
      <c r="E252" s="4">
        <v>529</v>
      </c>
      <c r="F252" s="4">
        <v>875</v>
      </c>
      <c r="G252" s="4">
        <v>723</v>
      </c>
      <c r="H252" s="4">
        <v>757</v>
      </c>
      <c r="I252" s="4">
        <v>629</v>
      </c>
      <c r="J252" s="4">
        <v>1186</v>
      </c>
      <c r="K252" s="4">
        <v>422</v>
      </c>
      <c r="L252" s="4">
        <v>422</v>
      </c>
      <c r="M252" s="4">
        <v>431</v>
      </c>
      <c r="N252" s="4">
        <v>439</v>
      </c>
      <c r="O252" s="4">
        <v>430</v>
      </c>
      <c r="P252" s="4">
        <v>440</v>
      </c>
      <c r="Q252" s="4">
        <v>452.3</v>
      </c>
      <c r="R252" s="4">
        <v>454.5</v>
      </c>
    </row>
    <row r="253" spans="1:18" x14ac:dyDescent="0.2">
      <c r="A253" s="3" t="s">
        <v>30</v>
      </c>
      <c r="B253" s="4">
        <v>898</v>
      </c>
      <c r="C253" s="4">
        <v>875</v>
      </c>
      <c r="D253" s="4">
        <v>827</v>
      </c>
      <c r="E253" s="4">
        <v>884</v>
      </c>
      <c r="F253" s="4">
        <v>891</v>
      </c>
      <c r="G253" s="4">
        <v>931</v>
      </c>
      <c r="H253" s="4">
        <v>955</v>
      </c>
      <c r="I253" s="4">
        <v>878</v>
      </c>
      <c r="J253" s="4">
        <v>842</v>
      </c>
      <c r="K253" s="4">
        <v>931</v>
      </c>
      <c r="L253" s="4">
        <v>956</v>
      </c>
      <c r="M253" s="4">
        <v>964</v>
      </c>
      <c r="N253" s="4">
        <v>944</v>
      </c>
      <c r="O253" s="4">
        <v>1069</v>
      </c>
      <c r="P253" s="4">
        <v>1083</v>
      </c>
      <c r="Q253" s="4">
        <v>1103.932</v>
      </c>
      <c r="R253" s="4">
        <v>1123.423</v>
      </c>
    </row>
    <row r="254" spans="1:18" x14ac:dyDescent="0.2">
      <c r="A254" s="3" t="s">
        <v>31</v>
      </c>
      <c r="B254" s="4">
        <v>184</v>
      </c>
      <c r="C254" s="4">
        <v>201</v>
      </c>
      <c r="D254" s="4">
        <v>201</v>
      </c>
      <c r="E254" s="4">
        <v>201</v>
      </c>
      <c r="F254" s="4">
        <v>205</v>
      </c>
      <c r="G254" s="4">
        <v>217</v>
      </c>
      <c r="H254" s="4">
        <v>333</v>
      </c>
      <c r="I254" s="4">
        <v>261</v>
      </c>
      <c r="J254" s="4">
        <v>412</v>
      </c>
      <c r="K254" s="4">
        <v>393</v>
      </c>
      <c r="L254" s="4">
        <v>362</v>
      </c>
      <c r="M254" s="4">
        <v>363</v>
      </c>
      <c r="N254" s="4">
        <v>354</v>
      </c>
      <c r="O254" s="4">
        <v>350</v>
      </c>
      <c r="P254" s="4">
        <v>372</v>
      </c>
      <c r="Q254" s="4">
        <v>375.99599999999998</v>
      </c>
      <c r="R254" s="4">
        <v>372.09699999999998</v>
      </c>
    </row>
    <row r="255" spans="1:18" x14ac:dyDescent="0.2">
      <c r="A255" s="3" t="s">
        <v>32</v>
      </c>
      <c r="B255" s="4">
        <v>100</v>
      </c>
      <c r="C255" s="4">
        <v>89</v>
      </c>
      <c r="D255" s="4">
        <v>94</v>
      </c>
      <c r="E255" s="4">
        <v>83</v>
      </c>
      <c r="F255" s="4">
        <v>80</v>
      </c>
      <c r="G255" s="4">
        <v>78</v>
      </c>
      <c r="H255" s="4">
        <v>76</v>
      </c>
      <c r="I255" s="4">
        <v>70</v>
      </c>
      <c r="J255" s="4">
        <v>71</v>
      </c>
      <c r="K255" s="4">
        <v>80</v>
      </c>
      <c r="L255" s="4">
        <v>102</v>
      </c>
      <c r="M255" s="4">
        <v>88</v>
      </c>
      <c r="N255" s="4">
        <v>77</v>
      </c>
      <c r="O255" s="4">
        <v>90.826999999999998</v>
      </c>
      <c r="P255" s="4">
        <v>90.882999999999996</v>
      </c>
      <c r="Q255" s="4">
        <v>92.278000000000006</v>
      </c>
      <c r="R255" s="4">
        <v>92.188000000000002</v>
      </c>
    </row>
    <row r="256" spans="1:18" x14ac:dyDescent="0.2">
      <c r="A256" s="3" t="s">
        <v>33</v>
      </c>
      <c r="B256" s="4">
        <v>2092</v>
      </c>
      <c r="C256" s="4">
        <v>1932</v>
      </c>
      <c r="D256" s="4">
        <v>1966</v>
      </c>
      <c r="E256" s="4">
        <v>1902</v>
      </c>
      <c r="F256" s="4">
        <v>1927</v>
      </c>
      <c r="G256" s="4">
        <v>1962</v>
      </c>
      <c r="H256" s="4">
        <v>2373</v>
      </c>
      <c r="I256" s="4">
        <v>2101</v>
      </c>
      <c r="J256" s="4">
        <v>2158</v>
      </c>
      <c r="K256" s="4">
        <v>1920</v>
      </c>
      <c r="L256" s="4">
        <v>1800</v>
      </c>
      <c r="M256" s="4">
        <v>1747</v>
      </c>
      <c r="N256" s="4">
        <v>1768</v>
      </c>
      <c r="O256" s="4">
        <v>1740</v>
      </c>
      <c r="P256" s="4">
        <v>1783</v>
      </c>
      <c r="Q256" s="4">
        <v>1768</v>
      </c>
      <c r="R256" s="4">
        <v>1774</v>
      </c>
    </row>
    <row r="257" spans="1:18" x14ac:dyDescent="0.2">
      <c r="A257" s="3" t="s">
        <v>34</v>
      </c>
      <c r="B257" s="4">
        <v>12</v>
      </c>
      <c r="C257" s="4">
        <v>17</v>
      </c>
      <c r="D257" s="4">
        <v>19</v>
      </c>
      <c r="E257" s="4">
        <v>20</v>
      </c>
      <c r="F257" s="4">
        <v>20</v>
      </c>
      <c r="G257" s="4">
        <v>20</v>
      </c>
      <c r="H257" s="4">
        <v>19</v>
      </c>
      <c r="I257" s="4">
        <v>16</v>
      </c>
      <c r="J257" s="4">
        <v>15</v>
      </c>
      <c r="K257" s="4">
        <v>16</v>
      </c>
      <c r="L257" s="4">
        <v>19</v>
      </c>
      <c r="M257" s="4">
        <v>19</v>
      </c>
      <c r="N257" s="4">
        <v>18</v>
      </c>
      <c r="O257" s="4">
        <v>18</v>
      </c>
      <c r="P257" s="4">
        <v>18</v>
      </c>
      <c r="Q257" s="4">
        <v>10</v>
      </c>
      <c r="R257" s="4">
        <v>20</v>
      </c>
    </row>
    <row r="258" spans="1:18" x14ac:dyDescent="0.2">
      <c r="A258" s="3" t="s">
        <v>35</v>
      </c>
      <c r="B258" s="4">
        <v>465.17399999999998</v>
      </c>
      <c r="C258" s="4">
        <v>433.142</v>
      </c>
      <c r="D258" s="4">
        <v>409.92200000000003</v>
      </c>
      <c r="E258" s="4">
        <v>456.839</v>
      </c>
      <c r="F258" s="4">
        <v>649.64400000000001</v>
      </c>
      <c r="G258" s="4">
        <v>675.10799999999995</v>
      </c>
      <c r="H258" s="4">
        <v>588.01300000000003</v>
      </c>
      <c r="I258" s="4">
        <v>643.221</v>
      </c>
      <c r="J258" s="4">
        <v>652.70100000000002</v>
      </c>
      <c r="K258" s="4">
        <v>681.404</v>
      </c>
      <c r="L258" s="4">
        <v>655.83299999999997</v>
      </c>
      <c r="M258" s="4">
        <v>666.00400000000002</v>
      </c>
      <c r="N258" s="4">
        <v>673.95799999999997</v>
      </c>
      <c r="O258" s="4">
        <v>705.93100000000004</v>
      </c>
      <c r="P258" s="4">
        <v>728.90300000000002</v>
      </c>
      <c r="Q258" s="4">
        <v>737.01</v>
      </c>
      <c r="R258" s="4">
        <v>784.34500000000003</v>
      </c>
    </row>
    <row r="259" spans="1:18" x14ac:dyDescent="0.2">
      <c r="A259" s="3" t="s">
        <v>36</v>
      </c>
      <c r="B259" s="4">
        <v>276</v>
      </c>
      <c r="C259" s="4">
        <v>89</v>
      </c>
      <c r="D259" s="4">
        <v>294</v>
      </c>
      <c r="E259" s="4">
        <v>264</v>
      </c>
      <c r="F259" s="4">
        <v>319</v>
      </c>
      <c r="G259" s="4">
        <v>357</v>
      </c>
      <c r="H259" s="4">
        <v>361</v>
      </c>
      <c r="I259" s="4">
        <v>273</v>
      </c>
      <c r="J259" s="4">
        <v>157</v>
      </c>
      <c r="K259" s="4">
        <v>41</v>
      </c>
      <c r="L259" s="4">
        <v>37</v>
      </c>
      <c r="M259" s="4">
        <v>39</v>
      </c>
      <c r="N259" s="4">
        <v>40</v>
      </c>
      <c r="O259" s="4">
        <v>29</v>
      </c>
      <c r="P259" s="4">
        <v>20</v>
      </c>
      <c r="Q259" s="4">
        <v>62.920999999999999</v>
      </c>
      <c r="R259" s="4">
        <v>204.95</v>
      </c>
    </row>
    <row r="260" spans="1:18" x14ac:dyDescent="0.2">
      <c r="A260" s="3" t="s">
        <v>37</v>
      </c>
      <c r="B260" s="4">
        <v>1768</v>
      </c>
      <c r="C260" s="4">
        <v>1443</v>
      </c>
      <c r="D260" s="4">
        <v>1526</v>
      </c>
      <c r="E260" s="4">
        <v>1559</v>
      </c>
      <c r="F260" s="4">
        <v>1392</v>
      </c>
      <c r="G260" s="4">
        <v>1434</v>
      </c>
      <c r="H260" s="4">
        <v>1307</v>
      </c>
      <c r="I260" s="4">
        <v>1080</v>
      </c>
      <c r="J260" s="4">
        <v>1211</v>
      </c>
      <c r="K260" s="4">
        <v>1354</v>
      </c>
      <c r="L260" s="4">
        <v>1336</v>
      </c>
      <c r="M260" s="4">
        <v>1379</v>
      </c>
      <c r="N260" s="4">
        <v>1519</v>
      </c>
      <c r="O260" s="4">
        <v>1440</v>
      </c>
      <c r="P260" s="4">
        <v>1765</v>
      </c>
      <c r="Q260" s="4">
        <v>1983</v>
      </c>
      <c r="R260" s="4">
        <v>1895</v>
      </c>
    </row>
    <row r="261" spans="1:18" x14ac:dyDescent="0.2">
      <c r="A261" s="3" t="s">
        <v>38</v>
      </c>
      <c r="B261" s="4">
        <v>1766</v>
      </c>
      <c r="C261" s="4">
        <v>1668</v>
      </c>
      <c r="D261" s="4">
        <v>1702</v>
      </c>
      <c r="E261" s="4">
        <v>1653</v>
      </c>
      <c r="F261" s="4">
        <v>1624</v>
      </c>
      <c r="G261" s="4">
        <v>1658</v>
      </c>
      <c r="H261" s="4">
        <v>680</v>
      </c>
      <c r="I261" s="4">
        <v>552</v>
      </c>
      <c r="J261" s="4">
        <v>575</v>
      </c>
      <c r="K261" s="4">
        <v>1746.366</v>
      </c>
      <c r="L261" s="4">
        <v>1739.635</v>
      </c>
      <c r="M261" s="4">
        <v>1745.029</v>
      </c>
      <c r="N261" s="4">
        <v>1708.9860000000001</v>
      </c>
      <c r="O261" s="4">
        <v>1638.509</v>
      </c>
      <c r="P261" s="4">
        <v>1594.3309999999999</v>
      </c>
      <c r="Q261" s="4">
        <v>1629.502</v>
      </c>
      <c r="R261" s="4">
        <v>1610.0889999999999</v>
      </c>
    </row>
    <row r="262" spans="1:18" x14ac:dyDescent="0.2">
      <c r="A262" s="3" t="s">
        <v>39</v>
      </c>
      <c r="B262" s="4">
        <v>46</v>
      </c>
      <c r="C262" s="4">
        <v>57</v>
      </c>
      <c r="D262" s="4">
        <v>63</v>
      </c>
      <c r="E262" s="4">
        <v>56</v>
      </c>
      <c r="F262" s="4">
        <v>60</v>
      </c>
      <c r="G262" s="4">
        <v>58</v>
      </c>
      <c r="H262" s="4">
        <v>52</v>
      </c>
      <c r="I262" s="4">
        <v>57</v>
      </c>
      <c r="J262" s="4">
        <v>47</v>
      </c>
      <c r="K262" s="4">
        <v>40</v>
      </c>
      <c r="L262" s="4">
        <v>41</v>
      </c>
      <c r="M262" s="4">
        <v>42</v>
      </c>
      <c r="N262" s="4">
        <v>40</v>
      </c>
      <c r="O262" s="4">
        <v>44</v>
      </c>
      <c r="P262" s="4">
        <v>49</v>
      </c>
      <c r="Q262" s="4">
        <v>32.9</v>
      </c>
      <c r="R262" s="4">
        <v>28.8</v>
      </c>
    </row>
    <row r="263" spans="1:18" x14ac:dyDescent="0.2">
      <c r="A263" s="3" t="s">
        <v>40</v>
      </c>
      <c r="B263" s="4">
        <v>1042</v>
      </c>
      <c r="C263" s="4">
        <v>1060</v>
      </c>
      <c r="D263" s="4">
        <v>1099</v>
      </c>
      <c r="E263" s="4">
        <v>1065</v>
      </c>
      <c r="F263" s="4">
        <v>1087</v>
      </c>
      <c r="G263" s="4">
        <v>1065</v>
      </c>
      <c r="H263" s="4">
        <v>1027</v>
      </c>
      <c r="I263" s="4">
        <v>917</v>
      </c>
      <c r="J263" s="4">
        <v>880</v>
      </c>
      <c r="K263" s="4">
        <v>863</v>
      </c>
      <c r="L263" s="4">
        <v>742</v>
      </c>
      <c r="M263" s="4">
        <v>681</v>
      </c>
      <c r="N263" s="4">
        <v>643</v>
      </c>
      <c r="O263" s="4">
        <v>627</v>
      </c>
      <c r="P263" s="4">
        <v>609</v>
      </c>
      <c r="Q263" s="4">
        <v>605.50300000000004</v>
      </c>
      <c r="R263" s="4">
        <v>615.05999999999995</v>
      </c>
    </row>
    <row r="264" spans="1:18" x14ac:dyDescent="0.2">
      <c r="A264" s="3" t="s">
        <v>41</v>
      </c>
      <c r="B264" s="4">
        <v>12</v>
      </c>
      <c r="C264" s="4">
        <v>13</v>
      </c>
      <c r="D264" s="4">
        <v>20</v>
      </c>
      <c r="E264" s="4">
        <v>14</v>
      </c>
      <c r="F264" s="4">
        <v>16</v>
      </c>
      <c r="G264" s="4">
        <v>36</v>
      </c>
      <c r="H264" s="4">
        <v>39</v>
      </c>
      <c r="I264" s="4">
        <v>34</v>
      </c>
      <c r="J264" s="4">
        <v>34</v>
      </c>
      <c r="K264" s="4">
        <v>40</v>
      </c>
      <c r="L264" s="4">
        <v>35</v>
      </c>
      <c r="M264" s="4">
        <v>29</v>
      </c>
      <c r="N264" s="4">
        <v>29</v>
      </c>
      <c r="O264" s="4">
        <v>25</v>
      </c>
      <c r="P264" s="4">
        <v>29</v>
      </c>
      <c r="Q264" s="4">
        <v>29.335000000000001</v>
      </c>
      <c r="R264" s="4">
        <v>29.353999999999999</v>
      </c>
    </row>
    <row r="265" spans="1:18" x14ac:dyDescent="0.2">
      <c r="A265" s="3" t="s">
        <v>42</v>
      </c>
      <c r="B265" s="4">
        <v>8</v>
      </c>
      <c r="C265" s="4">
        <v>8</v>
      </c>
      <c r="D265" s="4">
        <v>9</v>
      </c>
      <c r="E265" s="4">
        <v>11</v>
      </c>
      <c r="F265" s="4">
        <v>13</v>
      </c>
      <c r="G265" s="4">
        <v>13</v>
      </c>
      <c r="H265" s="4">
        <v>12</v>
      </c>
      <c r="I265" s="4">
        <v>9</v>
      </c>
      <c r="J265" s="4">
        <v>18</v>
      </c>
      <c r="K265" s="4">
        <v>12</v>
      </c>
      <c r="L265" s="4">
        <v>11</v>
      </c>
      <c r="M265" s="4">
        <v>21</v>
      </c>
      <c r="N265" s="4">
        <v>14</v>
      </c>
      <c r="O265" s="4">
        <v>15</v>
      </c>
      <c r="P265" s="4">
        <v>12</v>
      </c>
      <c r="Q265" s="4">
        <v>27.687999999999999</v>
      </c>
      <c r="R265" s="4">
        <v>30.074999999999999</v>
      </c>
    </row>
    <row r="266" spans="1:18" x14ac:dyDescent="0.2">
      <c r="A266" s="3" t="s">
        <v>43</v>
      </c>
      <c r="B266" s="4">
        <v>30</v>
      </c>
      <c r="C266" s="4">
        <v>32</v>
      </c>
      <c r="D266" s="4">
        <v>35</v>
      </c>
      <c r="E266" s="4">
        <v>37</v>
      </c>
      <c r="F266" s="4">
        <v>40</v>
      </c>
      <c r="G266" s="4">
        <v>45</v>
      </c>
      <c r="H266" s="4">
        <v>42</v>
      </c>
      <c r="I266" s="4">
        <v>23</v>
      </c>
      <c r="J266" s="4">
        <v>24</v>
      </c>
      <c r="K266" s="4">
        <v>29</v>
      </c>
      <c r="L266" s="4">
        <v>25</v>
      </c>
      <c r="M266" s="4">
        <v>27</v>
      </c>
      <c r="N266" s="4">
        <v>26</v>
      </c>
      <c r="O266" s="4">
        <v>27</v>
      </c>
      <c r="P266" s="4">
        <v>29</v>
      </c>
      <c r="Q266" s="4">
        <v>30.9</v>
      </c>
      <c r="R266" s="4">
        <v>30.6</v>
      </c>
    </row>
    <row r="267" spans="1:18" x14ac:dyDescent="0.2">
      <c r="A267" s="3" t="s">
        <v>44</v>
      </c>
      <c r="B267" s="4">
        <v>17.215</v>
      </c>
      <c r="C267" s="4">
        <v>17.792000000000002</v>
      </c>
      <c r="D267" s="4">
        <v>15.371</v>
      </c>
      <c r="E267" s="4">
        <v>12.379</v>
      </c>
      <c r="F267" s="4">
        <v>12.385</v>
      </c>
      <c r="G267" s="4">
        <v>12.55</v>
      </c>
      <c r="H267" s="4">
        <v>12.885999999999999</v>
      </c>
      <c r="I267" s="4">
        <v>12.52</v>
      </c>
      <c r="J267" s="4">
        <v>11.233000000000001</v>
      </c>
      <c r="K267" s="4">
        <v>14.864000000000001</v>
      </c>
      <c r="L267" s="4">
        <v>12.11</v>
      </c>
      <c r="M267" s="4">
        <v>11.789</v>
      </c>
      <c r="N267" s="4">
        <v>13.305</v>
      </c>
      <c r="O267" s="4">
        <v>13.42</v>
      </c>
      <c r="P267" s="4">
        <v>11.358000000000001</v>
      </c>
      <c r="Q267" s="4">
        <v>8.4740000000000002</v>
      </c>
      <c r="R267" s="4">
        <v>9.0129999999999999</v>
      </c>
    </row>
    <row r="268" spans="1:18" x14ac:dyDescent="0.2">
      <c r="A268" s="3" t="s">
        <v>45</v>
      </c>
      <c r="B268" s="4">
        <v>41</v>
      </c>
      <c r="C268" s="4">
        <v>103</v>
      </c>
      <c r="D268" s="4">
        <v>68</v>
      </c>
      <c r="E268" s="4">
        <v>76</v>
      </c>
      <c r="F268" s="4">
        <v>70</v>
      </c>
      <c r="G268" s="4">
        <v>64</v>
      </c>
      <c r="H268" s="4">
        <v>55</v>
      </c>
      <c r="I268" s="4">
        <v>64</v>
      </c>
      <c r="J268" s="4">
        <v>56</v>
      </c>
      <c r="K268" s="4">
        <v>57</v>
      </c>
      <c r="L268" s="4">
        <v>92</v>
      </c>
      <c r="M268" s="4">
        <v>163</v>
      </c>
      <c r="N268" s="4">
        <v>87</v>
      </c>
      <c r="O268" s="4">
        <v>98</v>
      </c>
      <c r="P268" s="4">
        <v>96</v>
      </c>
      <c r="Q268" s="4">
        <v>100</v>
      </c>
      <c r="R268" s="4">
        <v>117</v>
      </c>
    </row>
    <row r="269" spans="1:18" x14ac:dyDescent="0.2">
      <c r="A269" s="3" t="s">
        <v>46</v>
      </c>
      <c r="B269" s="5">
        <v>0</v>
      </c>
      <c r="C269" s="5">
        <v>0</v>
      </c>
      <c r="D269" s="5">
        <v>0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4">
        <v>1</v>
      </c>
      <c r="K269" s="4">
        <v>1</v>
      </c>
      <c r="L269" s="4">
        <v>1</v>
      </c>
      <c r="M269" s="4">
        <v>1</v>
      </c>
      <c r="N269" s="4">
        <v>2</v>
      </c>
      <c r="O269" s="4">
        <v>1</v>
      </c>
      <c r="P269" s="4">
        <v>1</v>
      </c>
      <c r="Q269" s="4">
        <v>1.3919999999999999</v>
      </c>
      <c r="R269" s="4">
        <v>1.581</v>
      </c>
    </row>
    <row r="270" spans="1:18" x14ac:dyDescent="0.2">
      <c r="A270" s="3" t="s">
        <v>47</v>
      </c>
      <c r="B270" s="4">
        <v>201</v>
      </c>
      <c r="C270" s="4">
        <v>212</v>
      </c>
      <c r="D270" s="4">
        <v>189</v>
      </c>
      <c r="E270" s="4">
        <v>187</v>
      </c>
      <c r="F270" s="4">
        <v>286</v>
      </c>
      <c r="G270" s="4">
        <v>254</v>
      </c>
      <c r="H270" s="4">
        <v>330</v>
      </c>
      <c r="I270" s="4">
        <v>131</v>
      </c>
      <c r="J270" s="4">
        <v>439</v>
      </c>
      <c r="K270" s="4">
        <v>250</v>
      </c>
      <c r="L270" s="4">
        <v>244</v>
      </c>
      <c r="M270" s="4">
        <v>251</v>
      </c>
      <c r="N270" s="4">
        <v>201</v>
      </c>
      <c r="O270" s="4">
        <v>235.792</v>
      </c>
      <c r="P270" s="4">
        <v>247.13200000000001</v>
      </c>
      <c r="Q270" s="4">
        <v>247.958</v>
      </c>
      <c r="R270" s="4">
        <v>273.07600000000002</v>
      </c>
    </row>
    <row r="271" spans="1:18" x14ac:dyDescent="0.2">
      <c r="A271" s="3" t="s">
        <v>48</v>
      </c>
      <c r="B271" s="4">
        <v>646</v>
      </c>
      <c r="C271" s="4">
        <v>671</v>
      </c>
      <c r="D271" s="4">
        <v>683</v>
      </c>
      <c r="E271" s="4">
        <v>667.33900000000006</v>
      </c>
      <c r="F271" s="4">
        <v>744.36900000000003</v>
      </c>
      <c r="G271" s="4">
        <v>771.65599999999995</v>
      </c>
      <c r="H271" s="4">
        <v>764.95</v>
      </c>
      <c r="I271" s="4">
        <v>898.20500000000004</v>
      </c>
      <c r="J271" s="4">
        <v>1161.471</v>
      </c>
      <c r="K271" s="4">
        <v>1146.8630000000001</v>
      </c>
      <c r="L271" s="4">
        <v>1080.93</v>
      </c>
      <c r="M271" s="4">
        <v>1827.1659999999999</v>
      </c>
      <c r="N271" s="4">
        <v>1951.3230000000001</v>
      </c>
      <c r="O271" s="4">
        <v>1780.028</v>
      </c>
      <c r="P271" s="4">
        <v>1790.2049999999999</v>
      </c>
      <c r="Q271" s="4">
        <v>1984.0050000000001</v>
      </c>
      <c r="R271" s="4">
        <v>1986.646</v>
      </c>
    </row>
    <row r="272" spans="1:18" x14ac:dyDescent="0.2">
      <c r="A272" s="3" t="s">
        <v>49</v>
      </c>
      <c r="B272" s="4">
        <v>1299</v>
      </c>
      <c r="C272" s="4">
        <v>1290</v>
      </c>
      <c r="D272" s="4">
        <v>1329</v>
      </c>
      <c r="E272" s="4">
        <v>1313</v>
      </c>
      <c r="F272" s="4">
        <v>1383</v>
      </c>
      <c r="G272" s="4">
        <v>1439</v>
      </c>
      <c r="H272" s="4">
        <v>1421</v>
      </c>
      <c r="I272" s="4">
        <v>1389</v>
      </c>
      <c r="J272" s="4">
        <v>2149</v>
      </c>
      <c r="K272" s="4">
        <v>2224</v>
      </c>
      <c r="L272" s="4">
        <v>2191</v>
      </c>
      <c r="M272" s="4">
        <v>2437</v>
      </c>
      <c r="N272" s="4">
        <v>2387</v>
      </c>
      <c r="O272" s="4">
        <v>2612</v>
      </c>
      <c r="P272" s="4">
        <v>2704</v>
      </c>
      <c r="Q272" s="4">
        <v>2763.002</v>
      </c>
      <c r="R272" s="4">
        <v>2817.4879999999998</v>
      </c>
    </row>
    <row r="273" spans="1:18" x14ac:dyDescent="0.2">
      <c r="A273" s="3" t="s">
        <v>50</v>
      </c>
      <c r="B273" s="4">
        <v>440</v>
      </c>
      <c r="C273" s="4">
        <v>456</v>
      </c>
      <c r="D273" s="4">
        <v>480</v>
      </c>
      <c r="E273" s="4">
        <v>483</v>
      </c>
      <c r="F273" s="4">
        <v>526</v>
      </c>
      <c r="G273" s="4">
        <v>526</v>
      </c>
      <c r="H273" s="4">
        <v>556</v>
      </c>
      <c r="I273" s="4">
        <v>516</v>
      </c>
      <c r="J273" s="4">
        <v>555</v>
      </c>
      <c r="K273" s="4">
        <v>579</v>
      </c>
      <c r="L273" s="4">
        <v>566</v>
      </c>
      <c r="M273" s="4">
        <v>591</v>
      </c>
      <c r="N273" s="4">
        <v>613</v>
      </c>
      <c r="O273" s="4">
        <v>631</v>
      </c>
      <c r="P273" s="4">
        <v>435.5</v>
      </c>
      <c r="Q273" s="4">
        <v>427.245</v>
      </c>
      <c r="R273" s="4">
        <v>440.27100000000002</v>
      </c>
    </row>
    <row r="274" spans="1:18" x14ac:dyDescent="0.2">
      <c r="A274" s="3" t="s">
        <v>51</v>
      </c>
      <c r="B274" s="4">
        <v>614</v>
      </c>
      <c r="C274" s="4">
        <v>593</v>
      </c>
      <c r="D274" s="4">
        <v>504</v>
      </c>
      <c r="E274" s="4">
        <v>520</v>
      </c>
      <c r="F274" s="4">
        <v>343</v>
      </c>
      <c r="G274" s="4">
        <v>145</v>
      </c>
      <c r="H274" s="4">
        <v>151</v>
      </c>
      <c r="I274" s="4">
        <v>175</v>
      </c>
      <c r="J274" s="4">
        <v>250</v>
      </c>
      <c r="K274" s="4">
        <v>245</v>
      </c>
      <c r="L274" s="4">
        <v>227</v>
      </c>
      <c r="M274" s="4">
        <v>234</v>
      </c>
      <c r="N274" s="4">
        <v>200</v>
      </c>
      <c r="O274" s="4">
        <v>226</v>
      </c>
      <c r="P274" s="4">
        <v>250</v>
      </c>
      <c r="Q274" s="4">
        <v>263.65100000000001</v>
      </c>
      <c r="R274" s="4">
        <v>247.52</v>
      </c>
    </row>
    <row r="275" spans="1:18" x14ac:dyDescent="0.2">
      <c r="A275" s="3" t="s">
        <v>52</v>
      </c>
      <c r="B275" s="4">
        <v>36</v>
      </c>
      <c r="C275" s="4">
        <v>48</v>
      </c>
      <c r="D275" s="4">
        <v>47</v>
      </c>
      <c r="E275" s="4">
        <v>48</v>
      </c>
      <c r="F275" s="4">
        <v>68</v>
      </c>
      <c r="G275" s="4">
        <v>67</v>
      </c>
      <c r="H275" s="4">
        <v>78</v>
      </c>
      <c r="I275" s="4">
        <v>87</v>
      </c>
      <c r="J275" s="4">
        <v>98</v>
      </c>
      <c r="K275" s="4">
        <v>93</v>
      </c>
      <c r="L275" s="4">
        <v>99</v>
      </c>
      <c r="M275" s="4">
        <v>122</v>
      </c>
      <c r="N275" s="4">
        <v>133</v>
      </c>
      <c r="O275" s="4">
        <v>129</v>
      </c>
      <c r="P275" s="4">
        <v>131</v>
      </c>
      <c r="Q275" s="4">
        <v>147.15199999999999</v>
      </c>
      <c r="R275" s="4">
        <v>161.54900000000001</v>
      </c>
    </row>
    <row r="276" spans="1:18" x14ac:dyDescent="0.2">
      <c r="A276" s="3" t="s">
        <v>53</v>
      </c>
      <c r="B276" s="4">
        <v>119</v>
      </c>
      <c r="C276" s="4">
        <v>102</v>
      </c>
      <c r="D276" s="4">
        <v>100</v>
      </c>
      <c r="E276" s="4">
        <v>103</v>
      </c>
      <c r="F276" s="4">
        <v>109</v>
      </c>
      <c r="G276" s="4">
        <v>105</v>
      </c>
      <c r="H276" s="4">
        <v>96</v>
      </c>
      <c r="I276" s="4">
        <v>45</v>
      </c>
      <c r="J276" s="4">
        <v>45</v>
      </c>
      <c r="K276" s="4">
        <v>43</v>
      </c>
      <c r="L276" s="4">
        <v>37</v>
      </c>
      <c r="M276" s="4">
        <v>29</v>
      </c>
      <c r="N276" s="4">
        <v>30</v>
      </c>
      <c r="O276" s="4">
        <v>34</v>
      </c>
      <c r="P276" s="4">
        <v>44</v>
      </c>
      <c r="Q276" s="4">
        <v>41</v>
      </c>
      <c r="R276" s="4">
        <v>72</v>
      </c>
    </row>
    <row r="277" spans="1:18" x14ac:dyDescent="0.2">
      <c r="A277" s="3" t="s">
        <v>54</v>
      </c>
      <c r="B277" s="4">
        <v>585</v>
      </c>
      <c r="C277" s="4">
        <v>591</v>
      </c>
      <c r="D277" s="4">
        <v>614</v>
      </c>
      <c r="E277" s="4">
        <v>631</v>
      </c>
      <c r="F277" s="4">
        <v>670</v>
      </c>
      <c r="G277" s="4">
        <v>757</v>
      </c>
      <c r="H277" s="4">
        <v>812</v>
      </c>
      <c r="I277" s="4">
        <v>775</v>
      </c>
      <c r="J277" s="4">
        <v>941</v>
      </c>
      <c r="K277" s="4">
        <v>1094</v>
      </c>
      <c r="L277" s="4">
        <v>1340</v>
      </c>
      <c r="M277" s="4">
        <v>1422</v>
      </c>
      <c r="N277" s="4">
        <v>1471</v>
      </c>
      <c r="O277" s="4">
        <v>1549</v>
      </c>
      <c r="P277" s="4">
        <v>1871</v>
      </c>
      <c r="Q277" s="4">
        <v>1457</v>
      </c>
      <c r="R277" s="4">
        <v>1446</v>
      </c>
    </row>
    <row r="278" spans="1:18" x14ac:dyDescent="0.2">
      <c r="A278" s="3" t="s">
        <v>55</v>
      </c>
      <c r="B278" s="4">
        <v>2579</v>
      </c>
      <c r="C278" s="4">
        <v>2583</v>
      </c>
      <c r="D278" s="4">
        <v>2635</v>
      </c>
      <c r="E278" s="4">
        <v>2515</v>
      </c>
      <c r="F278" s="4">
        <v>2561</v>
      </c>
      <c r="G278" s="4">
        <v>2569</v>
      </c>
      <c r="H278" s="4">
        <v>3001</v>
      </c>
      <c r="I278" s="4">
        <v>2423</v>
      </c>
      <c r="J278" s="4">
        <v>3057</v>
      </c>
      <c r="K278" s="4">
        <v>3325</v>
      </c>
      <c r="L278" s="4">
        <v>3289</v>
      </c>
      <c r="M278" s="4">
        <v>3702</v>
      </c>
      <c r="N278" s="5">
        <v>0</v>
      </c>
      <c r="O278" s="4">
        <v>3530</v>
      </c>
      <c r="P278" s="4">
        <v>3612</v>
      </c>
      <c r="Q278" s="4">
        <v>3727</v>
      </c>
      <c r="R278" s="4">
        <v>3728</v>
      </c>
    </row>
    <row r="279" spans="1:18" x14ac:dyDescent="0.2">
      <c r="A279" s="3" t="s">
        <v>56</v>
      </c>
      <c r="B279" s="5">
        <v>0</v>
      </c>
      <c r="C279" s="5">
        <v>0</v>
      </c>
      <c r="D279" s="5">
        <v>0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4">
        <v>132</v>
      </c>
      <c r="K279" s="4">
        <v>115</v>
      </c>
      <c r="L279" s="4">
        <v>121</v>
      </c>
      <c r="M279" s="4">
        <v>150</v>
      </c>
      <c r="N279" s="4">
        <v>150</v>
      </c>
      <c r="O279" s="4">
        <v>105.92</v>
      </c>
      <c r="P279" s="4">
        <v>107.25</v>
      </c>
      <c r="Q279" s="4">
        <v>31.599</v>
      </c>
      <c r="R279" s="4">
        <v>115.107</v>
      </c>
    </row>
    <row r="280" spans="1:18" x14ac:dyDescent="0.2">
      <c r="A280" s="3" t="s">
        <v>57</v>
      </c>
      <c r="B280" s="4">
        <v>14</v>
      </c>
      <c r="C280" s="4">
        <v>15</v>
      </c>
      <c r="D280" s="4">
        <v>11</v>
      </c>
      <c r="E280" s="4">
        <v>1</v>
      </c>
      <c r="F280" s="4">
        <v>1</v>
      </c>
      <c r="G280" s="4">
        <v>1</v>
      </c>
      <c r="H280" s="4">
        <v>1</v>
      </c>
      <c r="I280" s="4">
        <v>1</v>
      </c>
      <c r="J280" s="4">
        <v>1</v>
      </c>
      <c r="K280" s="4">
        <v>1</v>
      </c>
      <c r="L280" s="4">
        <v>1</v>
      </c>
      <c r="M280" s="4">
        <v>1</v>
      </c>
      <c r="N280" s="4">
        <v>1</v>
      </c>
      <c r="O280" s="4">
        <v>2</v>
      </c>
      <c r="P280" s="4">
        <v>3</v>
      </c>
      <c r="Q280" s="4">
        <v>1.8879999999999999</v>
      </c>
      <c r="R280" s="4">
        <v>4.0549999999999997</v>
      </c>
    </row>
    <row r="281" spans="1:18" x14ac:dyDescent="0.2">
      <c r="A281" s="3" t="s">
        <v>58</v>
      </c>
      <c r="B281" s="4">
        <v>450</v>
      </c>
      <c r="C281" s="4">
        <v>462</v>
      </c>
      <c r="D281" s="4">
        <v>474</v>
      </c>
      <c r="E281" s="4">
        <v>455</v>
      </c>
      <c r="F281" s="4">
        <v>446</v>
      </c>
      <c r="G281" s="4">
        <v>466</v>
      </c>
      <c r="H281" s="4">
        <v>497</v>
      </c>
      <c r="I281" s="4">
        <v>436</v>
      </c>
      <c r="J281" s="4">
        <v>558</v>
      </c>
      <c r="K281" s="4">
        <v>609</v>
      </c>
      <c r="L281" s="4">
        <v>573</v>
      </c>
      <c r="M281" s="4">
        <v>584</v>
      </c>
      <c r="N281" s="4">
        <v>580</v>
      </c>
      <c r="O281" s="4">
        <v>532</v>
      </c>
      <c r="P281" s="4">
        <v>416</v>
      </c>
      <c r="Q281" s="4">
        <v>411</v>
      </c>
      <c r="R281" s="4">
        <v>399.24900000000002</v>
      </c>
    </row>
    <row r="282" spans="1:18" x14ac:dyDescent="0.2">
      <c r="A282" s="3" t="s">
        <v>59</v>
      </c>
      <c r="B282" s="5">
        <v>0</v>
      </c>
      <c r="C282" s="5">
        <v>0</v>
      </c>
      <c r="D282" s="4">
        <v>348</v>
      </c>
      <c r="E282" s="4">
        <v>356</v>
      </c>
      <c r="F282" s="4">
        <v>378</v>
      </c>
      <c r="G282" s="4">
        <v>354</v>
      </c>
      <c r="H282" s="4">
        <v>513</v>
      </c>
      <c r="I282" s="4">
        <v>431</v>
      </c>
      <c r="J282" s="4">
        <v>530</v>
      </c>
      <c r="K282" s="4">
        <v>687</v>
      </c>
      <c r="L282" s="4">
        <v>815</v>
      </c>
      <c r="M282" s="4">
        <v>825</v>
      </c>
      <c r="N282" s="4">
        <v>863</v>
      </c>
      <c r="O282" s="4">
        <v>843</v>
      </c>
      <c r="P282" s="4">
        <v>432</v>
      </c>
      <c r="Q282" s="4">
        <v>453.89800000000002</v>
      </c>
      <c r="R282" s="4">
        <v>407.21499999999997</v>
      </c>
    </row>
    <row r="284" spans="1:18" x14ac:dyDescent="0.2">
      <c r="A284" s="1" t="s">
        <v>61</v>
      </c>
    </row>
    <row r="285" spans="1:18" x14ac:dyDescent="0.2">
      <c r="A285" s="1" t="s">
        <v>60</v>
      </c>
      <c r="B285" s="1" t="s">
        <v>62</v>
      </c>
    </row>
    <row r="287" spans="1:18" x14ac:dyDescent="0.2">
      <c r="A287" s="1" t="s">
        <v>5</v>
      </c>
      <c r="B287" s="1" t="s">
        <v>69</v>
      </c>
    </row>
    <row r="288" spans="1:18" x14ac:dyDescent="0.2">
      <c r="A288" s="1" t="s">
        <v>7</v>
      </c>
      <c r="B288" s="1" t="s">
        <v>8</v>
      </c>
    </row>
    <row r="289" spans="1:18" x14ac:dyDescent="0.2">
      <c r="A289" s="1" t="s">
        <v>9</v>
      </c>
      <c r="B289" s="1" t="s">
        <v>10</v>
      </c>
    </row>
    <row r="291" spans="1:18" x14ac:dyDescent="0.2">
      <c r="A291" s="3" t="s">
        <v>11</v>
      </c>
      <c r="B291" s="3" t="s">
        <v>12</v>
      </c>
      <c r="C291" s="3" t="s">
        <v>13</v>
      </c>
      <c r="D291" s="3" t="s">
        <v>14</v>
      </c>
      <c r="E291" s="3" t="s">
        <v>15</v>
      </c>
      <c r="F291" s="3" t="s">
        <v>16</v>
      </c>
      <c r="G291" s="3" t="s">
        <v>17</v>
      </c>
      <c r="H291" s="3" t="s">
        <v>18</v>
      </c>
      <c r="I291" s="3" t="s">
        <v>19</v>
      </c>
      <c r="J291" s="3" t="s">
        <v>20</v>
      </c>
      <c r="K291" s="3" t="s">
        <v>21</v>
      </c>
      <c r="L291" s="3" t="s">
        <v>22</v>
      </c>
      <c r="M291" s="3" t="s">
        <v>23</v>
      </c>
      <c r="N291" s="3" t="s">
        <v>24</v>
      </c>
      <c r="O291" s="3" t="s">
        <v>25</v>
      </c>
      <c r="P291" s="3" t="s">
        <v>26</v>
      </c>
      <c r="Q291" s="3" t="s">
        <v>27</v>
      </c>
      <c r="R291" s="3" t="s">
        <v>28</v>
      </c>
    </row>
    <row r="292" spans="1:18" x14ac:dyDescent="0.2">
      <c r="A292" s="3" t="s">
        <v>29</v>
      </c>
      <c r="B292" s="4">
        <v>3907</v>
      </c>
      <c r="C292" s="4">
        <v>4005</v>
      </c>
      <c r="D292" s="4">
        <v>4083</v>
      </c>
      <c r="E292" s="4">
        <v>3991</v>
      </c>
      <c r="F292" s="4">
        <v>4427</v>
      </c>
      <c r="G292" s="4">
        <v>4574</v>
      </c>
      <c r="H292" s="4">
        <v>4448</v>
      </c>
      <c r="I292" s="4">
        <v>4650</v>
      </c>
      <c r="J292" s="4">
        <v>4720</v>
      </c>
      <c r="K292" s="4">
        <v>4817</v>
      </c>
      <c r="L292" s="4">
        <v>4925</v>
      </c>
      <c r="M292" s="4">
        <v>5398</v>
      </c>
      <c r="N292" s="4">
        <v>5562.1</v>
      </c>
      <c r="O292" s="4">
        <v>5560.6</v>
      </c>
      <c r="P292" s="4">
        <v>5740.4</v>
      </c>
      <c r="Q292" s="4">
        <v>5950.3</v>
      </c>
      <c r="R292" s="4">
        <v>6040.1</v>
      </c>
    </row>
    <row r="293" spans="1:18" x14ac:dyDescent="0.2">
      <c r="A293" s="3" t="s">
        <v>30</v>
      </c>
      <c r="B293" s="4">
        <v>854</v>
      </c>
      <c r="C293" s="4">
        <v>869</v>
      </c>
      <c r="D293" s="4">
        <v>1117</v>
      </c>
      <c r="E293" s="4">
        <v>1240</v>
      </c>
      <c r="F293" s="4">
        <v>1068</v>
      </c>
      <c r="G293" s="4">
        <v>1057</v>
      </c>
      <c r="H293" s="4">
        <v>1281</v>
      </c>
      <c r="I293" s="4">
        <v>1120</v>
      </c>
      <c r="J293" s="4">
        <v>1098</v>
      </c>
      <c r="K293" s="4">
        <v>1121</v>
      </c>
      <c r="L293" s="4">
        <v>1096</v>
      </c>
      <c r="M293" s="4">
        <v>1139</v>
      </c>
      <c r="N293" s="4">
        <v>1173</v>
      </c>
      <c r="O293" s="4">
        <v>1202</v>
      </c>
      <c r="P293" s="4">
        <v>1218</v>
      </c>
      <c r="Q293" s="4">
        <v>1254.4870000000001</v>
      </c>
      <c r="R293" s="4">
        <v>1329.0050000000001</v>
      </c>
    </row>
    <row r="294" spans="1:18" x14ac:dyDescent="0.2">
      <c r="A294" s="3" t="s">
        <v>31</v>
      </c>
      <c r="B294" s="4">
        <v>1534</v>
      </c>
      <c r="C294" s="4">
        <v>1557</v>
      </c>
      <c r="D294" s="4">
        <v>1594</v>
      </c>
      <c r="E294" s="4">
        <v>1590</v>
      </c>
      <c r="F294" s="4">
        <v>1603</v>
      </c>
      <c r="G294" s="4">
        <v>1572</v>
      </c>
      <c r="H294" s="4">
        <v>1722</v>
      </c>
      <c r="I294" s="4">
        <v>1632</v>
      </c>
      <c r="J294" s="4">
        <v>1593</v>
      </c>
      <c r="K294" s="4">
        <v>1625</v>
      </c>
      <c r="L294" s="4">
        <v>1620</v>
      </c>
      <c r="M294" s="4">
        <v>1468</v>
      </c>
      <c r="N294" s="4">
        <v>1483</v>
      </c>
      <c r="O294" s="4">
        <v>1585</v>
      </c>
      <c r="P294" s="4">
        <v>1589</v>
      </c>
      <c r="Q294" s="4">
        <v>1651.2339999999999</v>
      </c>
      <c r="R294" s="4">
        <v>1667.5170000000001</v>
      </c>
    </row>
    <row r="295" spans="1:18" x14ac:dyDescent="0.2">
      <c r="A295" s="3" t="s">
        <v>32</v>
      </c>
      <c r="B295" s="4">
        <v>2368</v>
      </c>
      <c r="C295" s="4">
        <v>2345</v>
      </c>
      <c r="D295" s="4">
        <v>2430</v>
      </c>
      <c r="E295" s="4">
        <v>2559</v>
      </c>
      <c r="F295" s="4">
        <v>2493</v>
      </c>
      <c r="G295" s="4">
        <v>2431</v>
      </c>
      <c r="H295" s="4">
        <v>2470</v>
      </c>
      <c r="I295" s="4">
        <v>2251</v>
      </c>
      <c r="J295" s="4">
        <v>2315</v>
      </c>
      <c r="K295" s="4">
        <v>2389</v>
      </c>
      <c r="L295" s="4">
        <v>2350</v>
      </c>
      <c r="M295" s="4">
        <v>2273</v>
      </c>
      <c r="N295" s="4">
        <v>2329</v>
      </c>
      <c r="O295" s="4">
        <v>2381.384</v>
      </c>
      <c r="P295" s="4">
        <v>2374.9749999999999</v>
      </c>
      <c r="Q295" s="4">
        <v>2411.413</v>
      </c>
      <c r="R295" s="4">
        <v>2409.0720000000001</v>
      </c>
    </row>
    <row r="296" spans="1:18" x14ac:dyDescent="0.2">
      <c r="A296" s="3" t="s">
        <v>33</v>
      </c>
      <c r="B296" s="4">
        <v>15957</v>
      </c>
      <c r="C296" s="4">
        <v>16582</v>
      </c>
      <c r="D296" s="4">
        <v>16405</v>
      </c>
      <c r="E296" s="4">
        <v>16906</v>
      </c>
      <c r="F296" s="4">
        <v>17266</v>
      </c>
      <c r="G296" s="4">
        <v>17213</v>
      </c>
      <c r="H296" s="4">
        <v>18015</v>
      </c>
      <c r="I296" s="4">
        <v>17832</v>
      </c>
      <c r="J296" s="4">
        <v>17525</v>
      </c>
      <c r="K296" s="4">
        <v>17770</v>
      </c>
      <c r="L296" s="4">
        <v>17981</v>
      </c>
      <c r="M296" s="4">
        <v>17821</v>
      </c>
      <c r="N296" s="4">
        <v>18074</v>
      </c>
      <c r="O296" s="4">
        <v>18194</v>
      </c>
      <c r="P296" s="4">
        <v>18522</v>
      </c>
      <c r="Q296" s="4">
        <v>18639</v>
      </c>
      <c r="R296" s="4">
        <v>18962</v>
      </c>
    </row>
    <row r="297" spans="1:18" x14ac:dyDescent="0.2">
      <c r="A297" s="3" t="s">
        <v>34</v>
      </c>
      <c r="B297" s="4">
        <v>292</v>
      </c>
      <c r="C297" s="4">
        <v>289</v>
      </c>
      <c r="D297" s="4">
        <v>300</v>
      </c>
      <c r="E297" s="4">
        <v>304</v>
      </c>
      <c r="F297" s="4">
        <v>294</v>
      </c>
      <c r="G297" s="4">
        <v>315</v>
      </c>
      <c r="H297" s="4">
        <v>310</v>
      </c>
      <c r="I297" s="4">
        <v>249</v>
      </c>
      <c r="J297" s="4">
        <v>278</v>
      </c>
      <c r="K297" s="4">
        <v>265</v>
      </c>
      <c r="L297" s="4">
        <v>321</v>
      </c>
      <c r="M297" s="4">
        <v>288</v>
      </c>
      <c r="N297" s="4">
        <v>318</v>
      </c>
      <c r="O297" s="4">
        <v>321</v>
      </c>
      <c r="P297" s="4">
        <v>320</v>
      </c>
      <c r="Q297" s="4">
        <v>309</v>
      </c>
      <c r="R297" s="4">
        <v>290</v>
      </c>
    </row>
    <row r="298" spans="1:18" x14ac:dyDescent="0.2">
      <c r="A298" s="3" t="s">
        <v>35</v>
      </c>
      <c r="B298" s="4">
        <v>1888.9739999999999</v>
      </c>
      <c r="C298" s="4">
        <v>1758.9</v>
      </c>
      <c r="D298" s="4">
        <v>1664.6079999999999</v>
      </c>
      <c r="E298" s="4">
        <v>1855.13</v>
      </c>
      <c r="F298" s="4">
        <v>1807.55</v>
      </c>
      <c r="G298" s="4">
        <v>1664.0440000000001</v>
      </c>
      <c r="H298" s="4">
        <v>1545.152</v>
      </c>
      <c r="I298" s="4">
        <v>1690.223</v>
      </c>
      <c r="J298" s="4">
        <v>1940.329</v>
      </c>
      <c r="K298" s="4">
        <v>2025.6569999999999</v>
      </c>
      <c r="L298" s="4">
        <v>1949.6410000000001</v>
      </c>
      <c r="M298" s="4">
        <v>1979.876</v>
      </c>
      <c r="N298" s="4">
        <v>2003.521</v>
      </c>
      <c r="O298" s="4">
        <v>2098.5700000000002</v>
      </c>
      <c r="P298" s="4">
        <v>2166.86</v>
      </c>
      <c r="Q298" s="4">
        <v>2190.962</v>
      </c>
      <c r="R298" s="4">
        <v>2331.6779999999999</v>
      </c>
    </row>
    <row r="299" spans="1:18" x14ac:dyDescent="0.2">
      <c r="A299" s="3" t="s">
        <v>36</v>
      </c>
      <c r="B299" s="4">
        <v>1285</v>
      </c>
      <c r="C299" s="4">
        <v>1875</v>
      </c>
      <c r="D299" s="4">
        <v>1899</v>
      </c>
      <c r="E299" s="4">
        <v>1896</v>
      </c>
      <c r="F299" s="4">
        <v>2006</v>
      </c>
      <c r="G299" s="4">
        <v>2242</v>
      </c>
      <c r="H299" s="4">
        <v>2230</v>
      </c>
      <c r="I299" s="4">
        <v>2184</v>
      </c>
      <c r="J299" s="4">
        <v>2155</v>
      </c>
      <c r="K299" s="4">
        <v>2676</v>
      </c>
      <c r="L299" s="4">
        <v>2210</v>
      </c>
      <c r="M299" s="4">
        <v>2113</v>
      </c>
      <c r="N299" s="4">
        <v>2175</v>
      </c>
      <c r="O299" s="4">
        <v>1852</v>
      </c>
      <c r="P299" s="4">
        <v>1401</v>
      </c>
      <c r="Q299" s="4">
        <v>1037.8610000000001</v>
      </c>
      <c r="R299" s="4">
        <v>1523.18</v>
      </c>
    </row>
    <row r="300" spans="1:18" x14ac:dyDescent="0.2">
      <c r="A300" s="3" t="s">
        <v>37</v>
      </c>
      <c r="B300" s="4">
        <v>9183</v>
      </c>
      <c r="C300" s="4">
        <v>10051</v>
      </c>
      <c r="D300" s="4">
        <v>10641</v>
      </c>
      <c r="E300" s="4">
        <v>11512</v>
      </c>
      <c r="F300" s="4">
        <v>10102</v>
      </c>
      <c r="G300" s="4">
        <v>10540</v>
      </c>
      <c r="H300" s="4">
        <v>10416</v>
      </c>
      <c r="I300" s="4">
        <v>10158</v>
      </c>
      <c r="J300" s="4">
        <v>10472</v>
      </c>
      <c r="K300" s="4">
        <v>9601</v>
      </c>
      <c r="L300" s="4">
        <v>9472</v>
      </c>
      <c r="M300" s="4">
        <v>9322</v>
      </c>
      <c r="N300" s="4">
        <v>10903</v>
      </c>
      <c r="O300" s="4">
        <v>10963</v>
      </c>
      <c r="P300" s="4">
        <v>11128</v>
      </c>
      <c r="Q300" s="4">
        <v>10541</v>
      </c>
      <c r="R300" s="4">
        <v>9994</v>
      </c>
    </row>
    <row r="301" spans="1:18" x14ac:dyDescent="0.2">
      <c r="A301" s="3" t="s">
        <v>38</v>
      </c>
      <c r="B301" s="4">
        <v>18931</v>
      </c>
      <c r="C301" s="4">
        <v>19595</v>
      </c>
      <c r="D301" s="4">
        <v>19259</v>
      </c>
      <c r="E301" s="4">
        <v>19748</v>
      </c>
      <c r="F301" s="4">
        <v>20100</v>
      </c>
      <c r="G301" s="4">
        <v>20294</v>
      </c>
      <c r="H301" s="4">
        <v>20380</v>
      </c>
      <c r="I301" s="4">
        <v>20087</v>
      </c>
      <c r="J301" s="4">
        <v>20102</v>
      </c>
      <c r="K301" s="4">
        <v>21147.565999999999</v>
      </c>
      <c r="L301" s="4">
        <v>22130.891</v>
      </c>
      <c r="M301" s="4">
        <v>22041.330999999998</v>
      </c>
      <c r="N301" s="4">
        <v>21951.3</v>
      </c>
      <c r="O301" s="4">
        <v>21960.723999999998</v>
      </c>
      <c r="P301" s="4">
        <v>22335.911</v>
      </c>
      <c r="Q301" s="4">
        <v>21649.350999999999</v>
      </c>
      <c r="R301" s="4">
        <v>22780.812000000002</v>
      </c>
    </row>
    <row r="302" spans="1:18" x14ac:dyDescent="0.2">
      <c r="A302" s="3" t="s">
        <v>39</v>
      </c>
      <c r="B302" s="4">
        <v>455</v>
      </c>
      <c r="C302" s="4">
        <v>528</v>
      </c>
      <c r="D302" s="4">
        <v>583</v>
      </c>
      <c r="E302" s="4">
        <v>530</v>
      </c>
      <c r="F302" s="4">
        <v>566</v>
      </c>
      <c r="G302" s="4">
        <v>588</v>
      </c>
      <c r="H302" s="4">
        <v>651</v>
      </c>
      <c r="I302" s="4">
        <v>629</v>
      </c>
      <c r="J302" s="4">
        <v>656</v>
      </c>
      <c r="K302" s="4">
        <v>659</v>
      </c>
      <c r="L302" s="4">
        <v>658</v>
      </c>
      <c r="M302" s="4">
        <v>676</v>
      </c>
      <c r="N302" s="4">
        <v>699</v>
      </c>
      <c r="O302" s="4">
        <v>710</v>
      </c>
      <c r="P302" s="4">
        <v>713</v>
      </c>
      <c r="Q302" s="4">
        <v>695.6</v>
      </c>
      <c r="R302" s="4">
        <v>679.1</v>
      </c>
    </row>
    <row r="303" spans="1:18" x14ac:dyDescent="0.2">
      <c r="A303" s="3" t="s">
        <v>40</v>
      </c>
      <c r="B303" s="4">
        <v>12360</v>
      </c>
      <c r="C303" s="4">
        <v>12535</v>
      </c>
      <c r="D303" s="4">
        <v>12702</v>
      </c>
      <c r="E303" s="4">
        <v>13004</v>
      </c>
      <c r="F303" s="4">
        <v>12843</v>
      </c>
      <c r="G303" s="4">
        <v>12855</v>
      </c>
      <c r="H303" s="4">
        <v>12826</v>
      </c>
      <c r="I303" s="4">
        <v>12558</v>
      </c>
      <c r="J303" s="4">
        <v>12788</v>
      </c>
      <c r="K303" s="4">
        <v>12617</v>
      </c>
      <c r="L303" s="4">
        <v>12060</v>
      </c>
      <c r="M303" s="4">
        <v>11953</v>
      </c>
      <c r="N303" s="4">
        <v>11972</v>
      </c>
      <c r="O303" s="4">
        <v>12148</v>
      </c>
      <c r="P303" s="4">
        <v>12170</v>
      </c>
      <c r="Q303" s="4">
        <v>12412.668</v>
      </c>
      <c r="R303" s="4">
        <v>12532.748</v>
      </c>
    </row>
    <row r="304" spans="1:18" x14ac:dyDescent="0.2">
      <c r="A304" s="3" t="s">
        <v>41</v>
      </c>
      <c r="B304" s="4">
        <v>147</v>
      </c>
      <c r="C304" s="4">
        <v>159</v>
      </c>
      <c r="D304" s="4">
        <v>162</v>
      </c>
      <c r="E304" s="4">
        <v>166</v>
      </c>
      <c r="F304" s="4">
        <v>171</v>
      </c>
      <c r="G304" s="4">
        <v>183</v>
      </c>
      <c r="H304" s="4">
        <v>195</v>
      </c>
      <c r="I304" s="4">
        <v>193</v>
      </c>
      <c r="J304" s="4">
        <v>197</v>
      </c>
      <c r="K304" s="4">
        <v>185</v>
      </c>
      <c r="L304" s="4">
        <v>184</v>
      </c>
      <c r="M304" s="4">
        <v>170</v>
      </c>
      <c r="N304" s="4">
        <v>161</v>
      </c>
      <c r="O304" s="4">
        <v>162</v>
      </c>
      <c r="P304" s="4">
        <v>170</v>
      </c>
      <c r="Q304" s="4">
        <v>176.16900000000001</v>
      </c>
      <c r="R304" s="4">
        <v>182.05600000000001</v>
      </c>
    </row>
    <row r="305" spans="1:18" x14ac:dyDescent="0.2">
      <c r="A305" s="3" t="s">
        <v>42</v>
      </c>
      <c r="B305" s="4">
        <v>308</v>
      </c>
      <c r="C305" s="4">
        <v>313</v>
      </c>
      <c r="D305" s="4">
        <v>298</v>
      </c>
      <c r="E305" s="4">
        <v>318</v>
      </c>
      <c r="F305" s="4">
        <v>323</v>
      </c>
      <c r="G305" s="4">
        <v>351</v>
      </c>
      <c r="H305" s="4">
        <v>346</v>
      </c>
      <c r="I305" s="4">
        <v>282</v>
      </c>
      <c r="J305" s="4">
        <v>292</v>
      </c>
      <c r="K305" s="4">
        <v>293</v>
      </c>
      <c r="L305" s="4">
        <v>258</v>
      </c>
      <c r="M305" s="4">
        <v>320</v>
      </c>
      <c r="N305" s="4">
        <v>280</v>
      </c>
      <c r="O305" s="4">
        <v>278</v>
      </c>
      <c r="P305" s="4">
        <v>277</v>
      </c>
      <c r="Q305" s="4">
        <v>288.18799999999999</v>
      </c>
      <c r="R305" s="4">
        <v>284.16000000000003</v>
      </c>
    </row>
    <row r="306" spans="1:18" x14ac:dyDescent="0.2">
      <c r="A306" s="3" t="s">
        <v>43</v>
      </c>
      <c r="B306" s="4">
        <v>454</v>
      </c>
      <c r="C306" s="4">
        <v>451</v>
      </c>
      <c r="D306" s="4">
        <v>453</v>
      </c>
      <c r="E306" s="4">
        <v>496</v>
      </c>
      <c r="F306" s="4">
        <v>513</v>
      </c>
      <c r="G306" s="4">
        <v>567</v>
      </c>
      <c r="H306" s="4">
        <v>540</v>
      </c>
      <c r="I306" s="4">
        <v>531</v>
      </c>
      <c r="J306" s="4">
        <v>545</v>
      </c>
      <c r="K306" s="4">
        <v>604</v>
      </c>
      <c r="L306" s="4">
        <v>605</v>
      </c>
      <c r="M306" s="4">
        <v>657</v>
      </c>
      <c r="N306" s="4">
        <v>683</v>
      </c>
      <c r="O306" s="4">
        <v>698</v>
      </c>
      <c r="P306" s="4">
        <v>729</v>
      </c>
      <c r="Q306" s="4">
        <v>786.2</v>
      </c>
      <c r="R306" s="4">
        <v>763.7</v>
      </c>
    </row>
    <row r="307" spans="1:18" x14ac:dyDescent="0.2">
      <c r="A307" s="3" t="s">
        <v>44</v>
      </c>
      <c r="B307" s="4">
        <v>191.434</v>
      </c>
      <c r="C307" s="4">
        <v>188.46700000000001</v>
      </c>
      <c r="D307" s="4">
        <v>164.815</v>
      </c>
      <c r="E307" s="4">
        <v>167.11099999999999</v>
      </c>
      <c r="F307" s="4">
        <v>149.24</v>
      </c>
      <c r="G307" s="4">
        <v>129.387</v>
      </c>
      <c r="H307" s="4">
        <v>133.624</v>
      </c>
      <c r="I307" s="4">
        <v>145.78</v>
      </c>
      <c r="J307" s="4">
        <v>145.37899999999999</v>
      </c>
      <c r="K307" s="4">
        <v>167.08699999999999</v>
      </c>
      <c r="L307" s="4">
        <v>155.04</v>
      </c>
      <c r="M307" s="4">
        <v>143.071</v>
      </c>
      <c r="N307" s="4">
        <v>214.81200000000001</v>
      </c>
      <c r="O307" s="4">
        <v>157.751</v>
      </c>
      <c r="P307" s="4">
        <v>176.45500000000001</v>
      </c>
      <c r="Q307" s="4">
        <v>139.119</v>
      </c>
      <c r="R307" s="4">
        <v>147.965</v>
      </c>
    </row>
    <row r="308" spans="1:18" x14ac:dyDescent="0.2">
      <c r="A308" s="3" t="s">
        <v>45</v>
      </c>
      <c r="B308" s="4">
        <v>1403</v>
      </c>
      <c r="C308" s="4">
        <v>1538</v>
      </c>
      <c r="D308" s="4">
        <v>1362</v>
      </c>
      <c r="E308" s="4">
        <v>1233</v>
      </c>
      <c r="F308" s="4">
        <v>1247</v>
      </c>
      <c r="G308" s="4">
        <v>1189</v>
      </c>
      <c r="H308" s="4">
        <v>1252</v>
      </c>
      <c r="I308" s="4">
        <v>1222</v>
      </c>
      <c r="J308" s="4">
        <v>1360</v>
      </c>
      <c r="K308" s="4">
        <v>1373</v>
      </c>
      <c r="L308" s="4">
        <v>2384</v>
      </c>
      <c r="M308" s="4">
        <v>2255</v>
      </c>
      <c r="N308" s="4">
        <v>2086</v>
      </c>
      <c r="O308" s="4">
        <v>2241</v>
      </c>
      <c r="P308" s="4">
        <v>2374</v>
      </c>
      <c r="Q308" s="4">
        <v>2453</v>
      </c>
      <c r="R308" s="4">
        <v>2526</v>
      </c>
    </row>
    <row r="309" spans="1:18" x14ac:dyDescent="0.2">
      <c r="A309" s="3" t="s">
        <v>46</v>
      </c>
      <c r="B309" s="5">
        <v>0</v>
      </c>
      <c r="C309" s="5">
        <v>0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4">
        <v>59</v>
      </c>
      <c r="K309" s="4">
        <v>59</v>
      </c>
      <c r="L309" s="4">
        <v>58</v>
      </c>
      <c r="M309" s="4">
        <v>57</v>
      </c>
      <c r="N309" s="4">
        <v>60</v>
      </c>
      <c r="O309" s="4">
        <v>62</v>
      </c>
      <c r="P309" s="4">
        <v>60</v>
      </c>
      <c r="Q309" s="4">
        <v>68.572000000000003</v>
      </c>
      <c r="R309" s="4">
        <v>72.515000000000001</v>
      </c>
    </row>
    <row r="310" spans="1:18" x14ac:dyDescent="0.2">
      <c r="A310" s="3" t="s">
        <v>47</v>
      </c>
      <c r="B310" s="4">
        <v>6696</v>
      </c>
      <c r="C310" s="4">
        <v>6591</v>
      </c>
      <c r="D310" s="4">
        <v>6532</v>
      </c>
      <c r="E310" s="4">
        <v>6567</v>
      </c>
      <c r="F310" s="4">
        <v>6888</v>
      </c>
      <c r="G310" s="4">
        <v>7203</v>
      </c>
      <c r="H310" s="4">
        <v>6844</v>
      </c>
      <c r="I310" s="4">
        <v>6098</v>
      </c>
      <c r="J310" s="4">
        <v>6372</v>
      </c>
      <c r="K310" s="4">
        <v>6424</v>
      </c>
      <c r="L310" s="4">
        <v>6306</v>
      </c>
      <c r="M310" s="4">
        <v>6186</v>
      </c>
      <c r="N310" s="4">
        <v>6338</v>
      </c>
      <c r="O310" s="4">
        <v>6394.1769999999997</v>
      </c>
      <c r="P310" s="4">
        <v>6859.4549999999999</v>
      </c>
      <c r="Q310" s="4">
        <v>7012.3059999999996</v>
      </c>
      <c r="R310" s="4">
        <v>6858.44</v>
      </c>
    </row>
    <row r="311" spans="1:18" x14ac:dyDescent="0.2">
      <c r="A311" s="3" t="s">
        <v>48</v>
      </c>
      <c r="B311" s="4">
        <v>1290</v>
      </c>
      <c r="C311" s="4">
        <v>1471</v>
      </c>
      <c r="D311" s="4">
        <v>1725</v>
      </c>
      <c r="E311" s="4">
        <v>1760.086</v>
      </c>
      <c r="F311" s="4">
        <v>1872.864</v>
      </c>
      <c r="G311" s="4">
        <v>1841.7260000000001</v>
      </c>
      <c r="H311" s="4">
        <v>1770.1569999999999</v>
      </c>
      <c r="I311" s="4">
        <v>1956.5419999999999</v>
      </c>
      <c r="J311" s="4">
        <v>2069.4940000000001</v>
      </c>
      <c r="K311" s="4">
        <v>2105.7359999999999</v>
      </c>
      <c r="L311" s="4">
        <v>2131.509</v>
      </c>
      <c r="M311" s="4">
        <v>1750.924</v>
      </c>
      <c r="N311" s="4">
        <v>2074.4540000000002</v>
      </c>
      <c r="O311" s="4">
        <v>1910.6610000000001</v>
      </c>
      <c r="P311" s="4">
        <v>1988.328</v>
      </c>
      <c r="Q311" s="4">
        <v>2006.9169999999999</v>
      </c>
      <c r="R311" s="4">
        <v>2068.098</v>
      </c>
    </row>
    <row r="312" spans="1:18" x14ac:dyDescent="0.2">
      <c r="A312" s="3" t="s">
        <v>49</v>
      </c>
      <c r="B312" s="4">
        <v>3980</v>
      </c>
      <c r="C312" s="4">
        <v>4259</v>
      </c>
      <c r="D312" s="4">
        <v>4319</v>
      </c>
      <c r="E312" s="4">
        <v>4442</v>
      </c>
      <c r="F312" s="4">
        <v>4493</v>
      </c>
      <c r="G312" s="4">
        <v>5073</v>
      </c>
      <c r="H312" s="4">
        <v>5061</v>
      </c>
      <c r="I312" s="4">
        <v>4947</v>
      </c>
      <c r="J312" s="4">
        <v>5087</v>
      </c>
      <c r="K312" s="4">
        <v>5099</v>
      </c>
      <c r="L312" s="4">
        <v>5410</v>
      </c>
      <c r="M312" s="4">
        <v>5634</v>
      </c>
      <c r="N312" s="4">
        <v>5744</v>
      </c>
      <c r="O312" s="4">
        <v>6240</v>
      </c>
      <c r="P312" s="4">
        <v>6517</v>
      </c>
      <c r="Q312" s="4">
        <v>6758.7790000000005</v>
      </c>
      <c r="R312" s="4">
        <v>7358.4530000000004</v>
      </c>
    </row>
    <row r="313" spans="1:18" x14ac:dyDescent="0.2">
      <c r="A313" s="3" t="s">
        <v>50</v>
      </c>
      <c r="B313" s="4">
        <v>1603</v>
      </c>
      <c r="C313" s="4">
        <v>1644</v>
      </c>
      <c r="D313" s="4">
        <v>1688</v>
      </c>
      <c r="E313" s="4">
        <v>1695</v>
      </c>
      <c r="F313" s="4">
        <v>1773</v>
      </c>
      <c r="G313" s="4">
        <v>1825</v>
      </c>
      <c r="H313" s="4">
        <v>1774</v>
      </c>
      <c r="I313" s="4">
        <v>1835</v>
      </c>
      <c r="J313" s="4">
        <v>1905</v>
      </c>
      <c r="K313" s="4">
        <v>1867</v>
      </c>
      <c r="L313" s="4">
        <v>1750</v>
      </c>
      <c r="M313" s="4">
        <v>1766</v>
      </c>
      <c r="N313" s="4">
        <v>1856</v>
      </c>
      <c r="O313" s="4">
        <v>1854</v>
      </c>
      <c r="P313" s="4">
        <v>1926.212</v>
      </c>
      <c r="Q313" s="4">
        <v>1975.9359999999999</v>
      </c>
      <c r="R313" s="4">
        <v>2032.8869999999999</v>
      </c>
    </row>
    <row r="314" spans="1:18" x14ac:dyDescent="0.2">
      <c r="A314" s="3" t="s">
        <v>51</v>
      </c>
      <c r="B314" s="4">
        <v>1536</v>
      </c>
      <c r="C314" s="4">
        <v>2570</v>
      </c>
      <c r="D314" s="4">
        <v>3343</v>
      </c>
      <c r="E314" s="4">
        <v>2905</v>
      </c>
      <c r="F314" s="4">
        <v>1418</v>
      </c>
      <c r="G314" s="4">
        <v>1424</v>
      </c>
      <c r="H314" s="4">
        <v>1686</v>
      </c>
      <c r="I314" s="4">
        <v>1554</v>
      </c>
      <c r="J314" s="4">
        <v>1562</v>
      </c>
      <c r="K314" s="4">
        <v>1590</v>
      </c>
      <c r="L314" s="4">
        <v>1650</v>
      </c>
      <c r="M314" s="4">
        <v>1673</v>
      </c>
      <c r="N314" s="4">
        <v>1769</v>
      </c>
      <c r="O314" s="4">
        <v>1824</v>
      </c>
      <c r="P314" s="4">
        <v>1867</v>
      </c>
      <c r="Q314" s="4">
        <v>1886.635</v>
      </c>
      <c r="R314" s="4">
        <v>1912.35</v>
      </c>
    </row>
    <row r="315" spans="1:18" x14ac:dyDescent="0.2">
      <c r="A315" s="3" t="s">
        <v>52</v>
      </c>
      <c r="B315" s="4">
        <v>254</v>
      </c>
      <c r="C315" s="4">
        <v>300</v>
      </c>
      <c r="D315" s="4">
        <v>284</v>
      </c>
      <c r="E315" s="4">
        <v>296</v>
      </c>
      <c r="F315" s="4">
        <v>352</v>
      </c>
      <c r="G315" s="4">
        <v>319</v>
      </c>
      <c r="H315" s="4">
        <v>296</v>
      </c>
      <c r="I315" s="4">
        <v>278</v>
      </c>
      <c r="J315" s="4">
        <v>276</v>
      </c>
      <c r="K315" s="4">
        <v>275</v>
      </c>
      <c r="L315" s="4">
        <v>274</v>
      </c>
      <c r="M315" s="4">
        <v>266</v>
      </c>
      <c r="N315" s="4">
        <v>281</v>
      </c>
      <c r="O315" s="4">
        <v>290</v>
      </c>
      <c r="P315" s="4">
        <v>286</v>
      </c>
      <c r="Q315" s="4">
        <v>300.29000000000002</v>
      </c>
      <c r="R315" s="4">
        <v>326.589</v>
      </c>
    </row>
    <row r="316" spans="1:18" x14ac:dyDescent="0.2">
      <c r="A316" s="3" t="s">
        <v>53</v>
      </c>
      <c r="B316" s="4">
        <v>1080</v>
      </c>
      <c r="C316" s="4">
        <v>529</v>
      </c>
      <c r="D316" s="4">
        <v>506</v>
      </c>
      <c r="E316" s="4">
        <v>543</v>
      </c>
      <c r="F316" s="4">
        <v>508</v>
      </c>
      <c r="G316" s="4">
        <v>520</v>
      </c>
      <c r="H316" s="4">
        <v>541</v>
      </c>
      <c r="I316" s="4">
        <v>478</v>
      </c>
      <c r="J316" s="4">
        <v>477</v>
      </c>
      <c r="K316" s="4">
        <v>435</v>
      </c>
      <c r="L316" s="4">
        <v>518</v>
      </c>
      <c r="M316" s="4">
        <v>504</v>
      </c>
      <c r="N316" s="4">
        <v>567</v>
      </c>
      <c r="O316" s="4">
        <v>537</v>
      </c>
      <c r="P316" s="4">
        <v>536</v>
      </c>
      <c r="Q316" s="4">
        <v>477</v>
      </c>
      <c r="R316" s="4">
        <v>490</v>
      </c>
    </row>
    <row r="317" spans="1:18" x14ac:dyDescent="0.2">
      <c r="A317" s="3" t="s">
        <v>54</v>
      </c>
      <c r="B317" s="4">
        <v>1564</v>
      </c>
      <c r="C317" s="4">
        <v>1547</v>
      </c>
      <c r="D317" s="4">
        <v>1493</v>
      </c>
      <c r="E317" s="4">
        <v>1462</v>
      </c>
      <c r="F317" s="4">
        <v>1583</v>
      </c>
      <c r="G317" s="4">
        <v>1468</v>
      </c>
      <c r="H317" s="4">
        <v>1233</v>
      </c>
      <c r="I317" s="4">
        <v>1844</v>
      </c>
      <c r="J317" s="4">
        <v>1646</v>
      </c>
      <c r="K317" s="4">
        <v>1634</v>
      </c>
      <c r="L317" s="4">
        <v>1572</v>
      </c>
      <c r="M317" s="4">
        <v>1666</v>
      </c>
      <c r="N317" s="4">
        <v>1774</v>
      </c>
      <c r="O317" s="4">
        <v>1683</v>
      </c>
      <c r="P317" s="4">
        <v>1705</v>
      </c>
      <c r="Q317" s="4">
        <v>1932</v>
      </c>
      <c r="R317" s="4">
        <v>2048</v>
      </c>
    </row>
    <row r="318" spans="1:18" x14ac:dyDescent="0.2">
      <c r="A318" s="3" t="s">
        <v>55</v>
      </c>
      <c r="B318" s="4">
        <v>2683</v>
      </c>
      <c r="C318" s="4">
        <v>2470</v>
      </c>
      <c r="D318" s="4">
        <v>2519</v>
      </c>
      <c r="E318" s="4">
        <v>2433</v>
      </c>
      <c r="F318" s="4">
        <v>2437</v>
      </c>
      <c r="G318" s="4">
        <v>2464</v>
      </c>
      <c r="H318" s="4">
        <v>2495</v>
      </c>
      <c r="I318" s="4">
        <v>2384</v>
      </c>
      <c r="J318" s="4">
        <v>2575</v>
      </c>
      <c r="K318" s="4">
        <v>2495</v>
      </c>
      <c r="L318" s="4">
        <v>2460</v>
      </c>
      <c r="M318" s="4">
        <v>2400</v>
      </c>
      <c r="N318" s="4">
        <v>2452</v>
      </c>
      <c r="O318" s="4">
        <v>2415</v>
      </c>
      <c r="P318" s="4">
        <v>2409</v>
      </c>
      <c r="Q318" s="4">
        <v>2397</v>
      </c>
      <c r="R318" s="4">
        <v>2373</v>
      </c>
    </row>
    <row r="319" spans="1:18" x14ac:dyDescent="0.2">
      <c r="A319" s="3" t="s">
        <v>56</v>
      </c>
      <c r="B319" s="4">
        <v>12166</v>
      </c>
      <c r="C319" s="4">
        <v>11449</v>
      </c>
      <c r="D319" s="4">
        <v>12048</v>
      </c>
      <c r="E319" s="4">
        <v>12273</v>
      </c>
      <c r="F319" s="4">
        <v>12117</v>
      </c>
      <c r="G319" s="4">
        <v>12082</v>
      </c>
      <c r="H319" s="4">
        <v>12257</v>
      </c>
      <c r="I319" s="4">
        <v>10741</v>
      </c>
      <c r="J319" s="4">
        <v>11520</v>
      </c>
      <c r="K319" s="4">
        <v>11322</v>
      </c>
      <c r="L319" s="4">
        <v>11137</v>
      </c>
      <c r="M319" s="4">
        <v>11083</v>
      </c>
      <c r="N319" s="4">
        <v>10644</v>
      </c>
      <c r="O319" s="4">
        <v>10778.108</v>
      </c>
      <c r="P319" s="4">
        <v>10959.531000000001</v>
      </c>
      <c r="Q319" s="4">
        <v>11056.885</v>
      </c>
      <c r="R319" s="4">
        <v>11818.438</v>
      </c>
    </row>
    <row r="320" spans="1:18" x14ac:dyDescent="0.2">
      <c r="A320" s="3" t="s">
        <v>57</v>
      </c>
      <c r="B320" s="4">
        <v>428</v>
      </c>
      <c r="C320" s="4">
        <v>478</v>
      </c>
      <c r="D320" s="4">
        <v>466</v>
      </c>
      <c r="E320" s="4">
        <v>442</v>
      </c>
      <c r="F320" s="4">
        <v>433</v>
      </c>
      <c r="G320" s="4">
        <v>393</v>
      </c>
      <c r="H320" s="4">
        <v>405</v>
      </c>
      <c r="I320" s="4">
        <v>410</v>
      </c>
      <c r="J320" s="4">
        <v>408</v>
      </c>
      <c r="K320" s="4">
        <v>433</v>
      </c>
      <c r="L320" s="4">
        <v>499</v>
      </c>
      <c r="M320" s="4">
        <v>532</v>
      </c>
      <c r="N320" s="4">
        <v>520</v>
      </c>
      <c r="O320" s="4">
        <v>622</v>
      </c>
      <c r="P320" s="4">
        <v>493</v>
      </c>
      <c r="Q320" s="4">
        <v>574.86599999999999</v>
      </c>
      <c r="R320" s="4">
        <v>625.37199999999996</v>
      </c>
    </row>
    <row r="321" spans="1:18" x14ac:dyDescent="0.2">
      <c r="A321" s="3" t="s">
        <v>58</v>
      </c>
      <c r="B321" s="4">
        <v>2920</v>
      </c>
      <c r="C321" s="4">
        <v>2743</v>
      </c>
      <c r="D321" s="4">
        <v>2956</v>
      </c>
      <c r="E321" s="4">
        <v>2811</v>
      </c>
      <c r="F321" s="4">
        <v>2811</v>
      </c>
      <c r="G321" s="4">
        <v>2800</v>
      </c>
      <c r="H321" s="4">
        <v>2886</v>
      </c>
      <c r="I321" s="4">
        <v>2503</v>
      </c>
      <c r="J321" s="4">
        <v>2716</v>
      </c>
      <c r="K321" s="4">
        <v>2638</v>
      </c>
      <c r="L321" s="4">
        <v>2518</v>
      </c>
      <c r="M321" s="4">
        <v>2596</v>
      </c>
      <c r="N321" s="4">
        <v>2645</v>
      </c>
      <c r="O321" s="4">
        <v>2696</v>
      </c>
      <c r="P321" s="4">
        <v>2895</v>
      </c>
      <c r="Q321" s="4">
        <v>2965</v>
      </c>
      <c r="R321" s="4">
        <v>2985.0650000000001</v>
      </c>
    </row>
    <row r="322" spans="1:18" x14ac:dyDescent="0.2">
      <c r="A322" s="3" t="s">
        <v>59</v>
      </c>
      <c r="B322" s="5">
        <v>0</v>
      </c>
      <c r="C322" s="5">
        <v>0</v>
      </c>
      <c r="D322" s="4">
        <v>835</v>
      </c>
      <c r="E322" s="4">
        <v>872</v>
      </c>
      <c r="F322" s="4">
        <v>1074</v>
      </c>
      <c r="G322" s="4">
        <v>1274</v>
      </c>
      <c r="H322" s="4">
        <v>1039</v>
      </c>
      <c r="I322" s="4">
        <v>845</v>
      </c>
      <c r="J322" s="4">
        <v>1099</v>
      </c>
      <c r="K322" s="4">
        <v>1199</v>
      </c>
      <c r="L322" s="4">
        <v>1303</v>
      </c>
      <c r="M322" s="4">
        <v>1461</v>
      </c>
      <c r="N322" s="4">
        <v>1431</v>
      </c>
      <c r="O322" s="4">
        <v>1522</v>
      </c>
      <c r="P322" s="4">
        <v>1548</v>
      </c>
      <c r="Q322" s="4">
        <v>1625.327</v>
      </c>
      <c r="R322" s="4">
        <v>1596.953</v>
      </c>
    </row>
    <row r="324" spans="1:18" x14ac:dyDescent="0.2">
      <c r="A324" s="1" t="s">
        <v>61</v>
      </c>
    </row>
    <row r="325" spans="1:18" x14ac:dyDescent="0.2">
      <c r="A325" s="1" t="s">
        <v>60</v>
      </c>
      <c r="B325" s="1" t="s">
        <v>62</v>
      </c>
    </row>
    <row r="327" spans="1:18" x14ac:dyDescent="0.2">
      <c r="A327" s="1" t="s">
        <v>5</v>
      </c>
      <c r="B327" s="1" t="s">
        <v>70</v>
      </c>
    </row>
    <row r="328" spans="1:18" x14ac:dyDescent="0.2">
      <c r="A328" s="1" t="s">
        <v>7</v>
      </c>
      <c r="B328" s="1" t="s">
        <v>8</v>
      </c>
    </row>
    <row r="329" spans="1:18" x14ac:dyDescent="0.2">
      <c r="A329" s="1" t="s">
        <v>9</v>
      </c>
      <c r="B329" s="1" t="s">
        <v>10</v>
      </c>
    </row>
    <row r="331" spans="1:18" x14ac:dyDescent="0.2">
      <c r="A331" s="3" t="s">
        <v>11</v>
      </c>
      <c r="B331" s="3" t="s">
        <v>12</v>
      </c>
      <c r="C331" s="3" t="s">
        <v>13</v>
      </c>
      <c r="D331" s="3" t="s">
        <v>14</v>
      </c>
      <c r="E331" s="3" t="s">
        <v>15</v>
      </c>
      <c r="F331" s="3" t="s">
        <v>16</v>
      </c>
      <c r="G331" s="3" t="s">
        <v>17</v>
      </c>
      <c r="H331" s="3" t="s">
        <v>18</v>
      </c>
      <c r="I331" s="3" t="s">
        <v>19</v>
      </c>
      <c r="J331" s="3" t="s">
        <v>20</v>
      </c>
      <c r="K331" s="3" t="s">
        <v>21</v>
      </c>
      <c r="L331" s="3" t="s">
        <v>22</v>
      </c>
      <c r="M331" s="3" t="s">
        <v>23</v>
      </c>
      <c r="N331" s="3" t="s">
        <v>24</v>
      </c>
      <c r="O331" s="3" t="s">
        <v>25</v>
      </c>
      <c r="P331" s="3" t="s">
        <v>26</v>
      </c>
      <c r="Q331" s="3" t="s">
        <v>27</v>
      </c>
      <c r="R331" s="3" t="s">
        <v>28</v>
      </c>
    </row>
    <row r="332" spans="1:18" x14ac:dyDescent="0.2">
      <c r="A332" s="3" t="s">
        <v>29</v>
      </c>
      <c r="B332" s="4">
        <v>2497</v>
      </c>
      <c r="C332" s="4">
        <v>2563</v>
      </c>
      <c r="D332" s="4">
        <v>2612</v>
      </c>
      <c r="E332" s="4">
        <v>2710</v>
      </c>
      <c r="F332" s="4">
        <v>2739</v>
      </c>
      <c r="G332" s="4">
        <v>2848</v>
      </c>
      <c r="H332" s="4">
        <v>2671</v>
      </c>
      <c r="I332" s="4">
        <v>2382</v>
      </c>
      <c r="J332" s="4">
        <v>2600</v>
      </c>
      <c r="K332" s="4">
        <v>2640</v>
      </c>
      <c r="L332" s="4">
        <v>2918</v>
      </c>
      <c r="M332" s="4">
        <v>2609</v>
      </c>
      <c r="N332" s="4">
        <v>2651.3</v>
      </c>
      <c r="O332" s="4">
        <v>2525.3000000000002</v>
      </c>
      <c r="P332" s="4">
        <v>2571.5</v>
      </c>
      <c r="Q332" s="4">
        <v>1867.4</v>
      </c>
      <c r="R332" s="4">
        <v>1870.3</v>
      </c>
    </row>
    <row r="333" spans="1:18" x14ac:dyDescent="0.2">
      <c r="A333" s="3" t="s">
        <v>30</v>
      </c>
      <c r="B333" s="4">
        <v>392</v>
      </c>
      <c r="C333" s="4">
        <v>464</v>
      </c>
      <c r="D333" s="4">
        <v>651</v>
      </c>
      <c r="E333" s="4">
        <v>490</v>
      </c>
      <c r="F333" s="4">
        <v>393</v>
      </c>
      <c r="G333" s="4">
        <v>320</v>
      </c>
      <c r="H333" s="4">
        <v>397</v>
      </c>
      <c r="I333" s="4">
        <v>239</v>
      </c>
      <c r="J333" s="4">
        <v>331</v>
      </c>
      <c r="K333" s="4">
        <v>343</v>
      </c>
      <c r="L333" s="4">
        <v>359</v>
      </c>
      <c r="M333" s="4">
        <v>396</v>
      </c>
      <c r="N333" s="4">
        <v>405</v>
      </c>
      <c r="O333" s="4">
        <v>404</v>
      </c>
      <c r="P333" s="4">
        <v>436</v>
      </c>
      <c r="Q333" s="4">
        <v>439.31299999999999</v>
      </c>
      <c r="R333" s="4">
        <v>448.62799999999999</v>
      </c>
    </row>
    <row r="334" spans="1:18" x14ac:dyDescent="0.2">
      <c r="A334" s="3" t="s">
        <v>31</v>
      </c>
      <c r="B334" s="4">
        <v>1877</v>
      </c>
      <c r="C334" s="4">
        <v>1239</v>
      </c>
      <c r="D334" s="4">
        <v>1766</v>
      </c>
      <c r="E334" s="4">
        <v>1888</v>
      </c>
      <c r="F334" s="4">
        <v>1904</v>
      </c>
      <c r="G334" s="4">
        <v>1917</v>
      </c>
      <c r="H334" s="4">
        <v>1826</v>
      </c>
      <c r="I334" s="4">
        <v>1722</v>
      </c>
      <c r="J334" s="4">
        <v>1648</v>
      </c>
      <c r="K334" s="4">
        <v>1607</v>
      </c>
      <c r="L334" s="4">
        <v>1656</v>
      </c>
      <c r="M334" s="4">
        <v>1525</v>
      </c>
      <c r="N334" s="4">
        <v>1713</v>
      </c>
      <c r="O334" s="4">
        <v>1696</v>
      </c>
      <c r="P334" s="4">
        <v>1741</v>
      </c>
      <c r="Q334" s="4">
        <v>1805.0820000000001</v>
      </c>
      <c r="R334" s="4">
        <v>1810.1489999999999</v>
      </c>
    </row>
    <row r="335" spans="1:18" x14ac:dyDescent="0.2">
      <c r="A335" s="3" t="s">
        <v>32</v>
      </c>
      <c r="B335" s="4">
        <v>644</v>
      </c>
      <c r="C335" s="4">
        <v>660</v>
      </c>
      <c r="D335" s="4">
        <v>686</v>
      </c>
      <c r="E335" s="4">
        <v>576</v>
      </c>
      <c r="F335" s="4">
        <v>602</v>
      </c>
      <c r="G335" s="4">
        <v>616</v>
      </c>
      <c r="H335" s="4">
        <v>604</v>
      </c>
      <c r="I335" s="4">
        <v>508</v>
      </c>
      <c r="J335" s="4">
        <v>506</v>
      </c>
      <c r="K335" s="4">
        <v>501</v>
      </c>
      <c r="L335" s="4">
        <v>330</v>
      </c>
      <c r="M335" s="4">
        <v>399</v>
      </c>
      <c r="N335" s="4">
        <v>345</v>
      </c>
      <c r="O335" s="4">
        <v>354.99400000000003</v>
      </c>
      <c r="P335" s="4">
        <v>314.24599999999998</v>
      </c>
      <c r="Q335" s="4">
        <v>319.06700000000001</v>
      </c>
      <c r="R335" s="4">
        <v>318.75700000000001</v>
      </c>
    </row>
    <row r="336" spans="1:18" x14ac:dyDescent="0.2">
      <c r="A336" s="3" t="s">
        <v>33</v>
      </c>
      <c r="B336" s="4">
        <v>22151</v>
      </c>
      <c r="C336" s="4">
        <v>22113</v>
      </c>
      <c r="D336" s="4">
        <v>25196</v>
      </c>
      <c r="E336" s="4">
        <v>26850</v>
      </c>
      <c r="F336" s="4">
        <v>25473</v>
      </c>
      <c r="G336" s="4">
        <v>26308</v>
      </c>
      <c r="H336" s="4">
        <v>24216</v>
      </c>
      <c r="I336" s="4">
        <v>23956</v>
      </c>
      <c r="J336" s="4">
        <v>24297</v>
      </c>
      <c r="K336" s="4">
        <v>23868</v>
      </c>
      <c r="L336" s="4">
        <v>23730</v>
      </c>
      <c r="M336" s="4">
        <v>22339</v>
      </c>
      <c r="N336" s="4">
        <v>21933</v>
      </c>
      <c r="O336" s="4">
        <v>21323</v>
      </c>
      <c r="P336" s="4">
        <v>21419</v>
      </c>
      <c r="Q336" s="4">
        <v>21406</v>
      </c>
      <c r="R336" s="4">
        <v>20856</v>
      </c>
    </row>
    <row r="337" spans="1:18" x14ac:dyDescent="0.2">
      <c r="A337" s="3" t="s">
        <v>34</v>
      </c>
      <c r="B337" s="4">
        <v>130</v>
      </c>
      <c r="C337" s="4">
        <v>127</v>
      </c>
      <c r="D337" s="4">
        <v>136</v>
      </c>
      <c r="E337" s="4">
        <v>140</v>
      </c>
      <c r="F337" s="4">
        <v>267</v>
      </c>
      <c r="G337" s="4">
        <v>345</v>
      </c>
      <c r="H337" s="4">
        <v>335</v>
      </c>
      <c r="I337" s="4">
        <v>275</v>
      </c>
      <c r="J337" s="4">
        <v>351</v>
      </c>
      <c r="K337" s="4">
        <v>337</v>
      </c>
      <c r="L337" s="4">
        <v>364</v>
      </c>
      <c r="M337" s="4">
        <v>355</v>
      </c>
      <c r="N337" s="4">
        <v>367</v>
      </c>
      <c r="O337" s="4">
        <v>369</v>
      </c>
      <c r="P337" s="4">
        <v>403</v>
      </c>
      <c r="Q337" s="4">
        <v>491</v>
      </c>
      <c r="R337" s="4">
        <v>482</v>
      </c>
    </row>
    <row r="338" spans="1:18" x14ac:dyDescent="0.2">
      <c r="A338" s="3" t="s">
        <v>35</v>
      </c>
      <c r="B338" s="4">
        <v>321.74900000000002</v>
      </c>
      <c r="C338" s="4">
        <v>299.59399999999999</v>
      </c>
      <c r="D338" s="4">
        <v>283.53300000000002</v>
      </c>
      <c r="E338" s="4">
        <v>315.98500000000001</v>
      </c>
      <c r="F338" s="4">
        <v>287.56900000000002</v>
      </c>
      <c r="G338" s="4">
        <v>190.59800000000001</v>
      </c>
      <c r="H338" s="4">
        <v>175.596</v>
      </c>
      <c r="I338" s="4">
        <v>192.08199999999999</v>
      </c>
      <c r="J338" s="4">
        <v>213.02500000000001</v>
      </c>
      <c r="K338" s="4">
        <v>222.393</v>
      </c>
      <c r="L338" s="4">
        <v>214.047</v>
      </c>
      <c r="M338" s="4">
        <v>217.36600000000001</v>
      </c>
      <c r="N338" s="4">
        <v>219.96199999999999</v>
      </c>
      <c r="O338" s="4">
        <v>230.39699999999999</v>
      </c>
      <c r="P338" s="4">
        <v>237.89500000000001</v>
      </c>
      <c r="Q338" s="4">
        <v>240.541</v>
      </c>
      <c r="R338" s="4">
        <v>255.99</v>
      </c>
    </row>
    <row r="339" spans="1:18" x14ac:dyDescent="0.2">
      <c r="A339" s="3" t="s">
        <v>36</v>
      </c>
      <c r="B339" s="4">
        <v>473</v>
      </c>
      <c r="C339" s="4">
        <v>576</v>
      </c>
      <c r="D339" s="4">
        <v>584</v>
      </c>
      <c r="E339" s="4">
        <v>543</v>
      </c>
      <c r="F339" s="4">
        <v>583</v>
      </c>
      <c r="G339" s="4">
        <v>652</v>
      </c>
      <c r="H339" s="4">
        <v>613</v>
      </c>
      <c r="I339" s="4">
        <v>580</v>
      </c>
      <c r="J339" s="4">
        <v>641</v>
      </c>
      <c r="K339" s="4">
        <v>402</v>
      </c>
      <c r="L339" s="4">
        <v>537</v>
      </c>
      <c r="M339" s="4">
        <v>526</v>
      </c>
      <c r="N339" s="4">
        <v>548</v>
      </c>
      <c r="O339" s="4">
        <v>498</v>
      </c>
      <c r="P339" s="4">
        <v>207</v>
      </c>
      <c r="Q339" s="4">
        <v>211.578</v>
      </c>
      <c r="R339" s="4">
        <v>203.76</v>
      </c>
    </row>
    <row r="340" spans="1:18" x14ac:dyDescent="0.2">
      <c r="A340" s="3" t="s">
        <v>37</v>
      </c>
      <c r="B340" s="4">
        <v>6898</v>
      </c>
      <c r="C340" s="4">
        <v>7307</v>
      </c>
      <c r="D340" s="4">
        <v>7663</v>
      </c>
      <c r="E340" s="4">
        <v>7873</v>
      </c>
      <c r="F340" s="4">
        <v>7268</v>
      </c>
      <c r="G340" s="4">
        <v>7779</v>
      </c>
      <c r="H340" s="4">
        <v>7649</v>
      </c>
      <c r="I340" s="4">
        <v>6551</v>
      </c>
      <c r="J340" s="4">
        <v>3959</v>
      </c>
      <c r="K340" s="4">
        <v>5250</v>
      </c>
      <c r="L340" s="4">
        <v>5180</v>
      </c>
      <c r="M340" s="4">
        <v>5753</v>
      </c>
      <c r="N340" s="4">
        <v>5821</v>
      </c>
      <c r="O340" s="4">
        <v>5880</v>
      </c>
      <c r="P340" s="4">
        <v>5803</v>
      </c>
      <c r="Q340" s="4">
        <v>5976</v>
      </c>
      <c r="R340" s="4">
        <v>5539</v>
      </c>
    </row>
    <row r="341" spans="1:18" x14ac:dyDescent="0.2">
      <c r="A341" s="3" t="s">
        <v>38</v>
      </c>
      <c r="B341" s="4">
        <v>13617</v>
      </c>
      <c r="C341" s="4">
        <v>13288</v>
      </c>
      <c r="D341" s="4">
        <v>13368</v>
      </c>
      <c r="E341" s="4">
        <v>13490</v>
      </c>
      <c r="F341" s="4">
        <v>13076</v>
      </c>
      <c r="G341" s="4">
        <v>12822</v>
      </c>
      <c r="H341" s="4">
        <v>10580</v>
      </c>
      <c r="I341" s="4">
        <v>9053</v>
      </c>
      <c r="J341" s="4">
        <v>9204</v>
      </c>
      <c r="K341" s="4">
        <v>10052.061</v>
      </c>
      <c r="L341" s="4">
        <v>9651.5920000000006</v>
      </c>
      <c r="M341" s="4">
        <v>9049.5550000000003</v>
      </c>
      <c r="N341" s="4">
        <v>8699.9179999999997</v>
      </c>
      <c r="O341" s="4">
        <v>8261.9429999999993</v>
      </c>
      <c r="P341" s="4">
        <v>8218.3580000000002</v>
      </c>
      <c r="Q341" s="4">
        <v>7991.0540000000001</v>
      </c>
      <c r="R341" s="4">
        <v>7937.3339999999998</v>
      </c>
    </row>
    <row r="342" spans="1:18" x14ac:dyDescent="0.2">
      <c r="A342" s="3" t="s">
        <v>39</v>
      </c>
      <c r="B342" s="4">
        <v>308</v>
      </c>
      <c r="C342" s="4">
        <v>322</v>
      </c>
      <c r="D342" s="4">
        <v>292</v>
      </c>
      <c r="E342" s="4">
        <v>312</v>
      </c>
      <c r="F342" s="4">
        <v>326</v>
      </c>
      <c r="G342" s="4">
        <v>332</v>
      </c>
      <c r="H342" s="4">
        <v>320</v>
      </c>
      <c r="I342" s="4">
        <v>317</v>
      </c>
      <c r="J342" s="4">
        <v>322</v>
      </c>
      <c r="K342" s="4">
        <v>323</v>
      </c>
      <c r="L342" s="4">
        <v>285</v>
      </c>
      <c r="M342" s="4">
        <v>250</v>
      </c>
      <c r="N342" s="4">
        <v>251</v>
      </c>
      <c r="O342" s="4">
        <v>279</v>
      </c>
      <c r="P342" s="4">
        <v>309</v>
      </c>
      <c r="Q342" s="4">
        <v>324.39999999999998</v>
      </c>
      <c r="R342" s="4">
        <v>317.39999999999998</v>
      </c>
    </row>
    <row r="343" spans="1:18" x14ac:dyDescent="0.2">
      <c r="A343" s="3" t="s">
        <v>40</v>
      </c>
      <c r="B343" s="4">
        <v>10480</v>
      </c>
      <c r="C343" s="4">
        <v>10787</v>
      </c>
      <c r="D343" s="4">
        <v>10807</v>
      </c>
      <c r="E343" s="4">
        <v>10939</v>
      </c>
      <c r="F343" s="4">
        <v>10879</v>
      </c>
      <c r="G343" s="4">
        <v>10649</v>
      </c>
      <c r="H343" s="4">
        <v>10279</v>
      </c>
      <c r="I343" s="4">
        <v>9376</v>
      </c>
      <c r="J343" s="4">
        <v>9760</v>
      </c>
      <c r="K343" s="4">
        <v>9597</v>
      </c>
      <c r="L343" s="4">
        <v>9104</v>
      </c>
      <c r="M343" s="4">
        <v>9079</v>
      </c>
      <c r="N343" s="4">
        <v>8672</v>
      </c>
      <c r="O343" s="4">
        <v>8736</v>
      </c>
      <c r="P343" s="4">
        <v>8647</v>
      </c>
      <c r="Q343" s="4">
        <v>8603.7549999999992</v>
      </c>
      <c r="R343" s="4">
        <v>8480.6059999999998</v>
      </c>
    </row>
    <row r="344" spans="1:18" x14ac:dyDescent="0.2">
      <c r="A344" s="3" t="s">
        <v>41</v>
      </c>
      <c r="B344" s="4">
        <v>16</v>
      </c>
      <c r="C344" s="4">
        <v>17</v>
      </c>
      <c r="D344" s="4">
        <v>18</v>
      </c>
      <c r="E344" s="4">
        <v>18</v>
      </c>
      <c r="F344" s="4">
        <v>20</v>
      </c>
      <c r="G344" s="4">
        <v>20</v>
      </c>
      <c r="H344" s="4">
        <v>22</v>
      </c>
      <c r="I344" s="4">
        <v>22</v>
      </c>
      <c r="J344" s="4">
        <v>21</v>
      </c>
      <c r="K344" s="4">
        <v>19</v>
      </c>
      <c r="L344" s="4">
        <v>20</v>
      </c>
      <c r="M344" s="4">
        <v>16</v>
      </c>
      <c r="N344" s="4">
        <v>16</v>
      </c>
      <c r="O344" s="4">
        <v>16</v>
      </c>
      <c r="P344" s="4">
        <v>16</v>
      </c>
      <c r="Q344" s="4">
        <v>16.318999999999999</v>
      </c>
      <c r="R344" s="4">
        <v>16.065000000000001</v>
      </c>
    </row>
    <row r="345" spans="1:18" x14ac:dyDescent="0.2">
      <c r="A345" s="3" t="s">
        <v>42</v>
      </c>
      <c r="B345" s="4">
        <v>36</v>
      </c>
      <c r="C345" s="4">
        <v>39</v>
      </c>
      <c r="D345" s="4">
        <v>42</v>
      </c>
      <c r="E345" s="4">
        <v>43</v>
      </c>
      <c r="F345" s="4">
        <v>38</v>
      </c>
      <c r="G345" s="4">
        <v>42</v>
      </c>
      <c r="H345" s="4">
        <v>41</v>
      </c>
      <c r="I345" s="4">
        <v>47</v>
      </c>
      <c r="J345" s="4">
        <v>32</v>
      </c>
      <c r="K345" s="4">
        <v>31</v>
      </c>
      <c r="L345" s="4">
        <v>32</v>
      </c>
      <c r="M345" s="4">
        <v>29</v>
      </c>
      <c r="N345" s="4">
        <v>30</v>
      </c>
      <c r="O345" s="4">
        <v>28</v>
      </c>
      <c r="P345" s="4">
        <v>26</v>
      </c>
      <c r="Q345" s="4">
        <v>27.765999999999998</v>
      </c>
      <c r="R345" s="4">
        <v>27.85</v>
      </c>
    </row>
    <row r="346" spans="1:18" x14ac:dyDescent="0.2">
      <c r="A346" s="3" t="s">
        <v>43</v>
      </c>
      <c r="B346" s="4">
        <v>99</v>
      </c>
      <c r="C346" s="4">
        <v>86</v>
      </c>
      <c r="D346" s="4">
        <v>86</v>
      </c>
      <c r="E346" s="4">
        <v>91</v>
      </c>
      <c r="F346" s="4">
        <v>97</v>
      </c>
      <c r="G346" s="4">
        <v>107</v>
      </c>
      <c r="H346" s="4">
        <v>99</v>
      </c>
      <c r="I346" s="4">
        <v>110</v>
      </c>
      <c r="J346" s="4">
        <v>237</v>
      </c>
      <c r="K346" s="4">
        <v>161</v>
      </c>
      <c r="L346" s="4">
        <v>127</v>
      </c>
      <c r="M346" s="4">
        <v>150</v>
      </c>
      <c r="N346" s="4">
        <v>156</v>
      </c>
      <c r="O346" s="4">
        <v>162</v>
      </c>
      <c r="P346" s="4">
        <v>157</v>
      </c>
      <c r="Q346" s="4">
        <v>191.4</v>
      </c>
      <c r="R346" s="4">
        <v>176.7</v>
      </c>
    </row>
    <row r="347" spans="1:18" x14ac:dyDescent="0.2">
      <c r="A347" s="3" t="s">
        <v>44</v>
      </c>
      <c r="B347" s="4">
        <v>152.089</v>
      </c>
      <c r="C347" s="4">
        <v>178.84299999999999</v>
      </c>
      <c r="D347" s="4">
        <v>156.697</v>
      </c>
      <c r="E347" s="4">
        <v>146.27799999999999</v>
      </c>
      <c r="F347" s="4">
        <v>112.676</v>
      </c>
      <c r="G347" s="4">
        <v>89.885999999999996</v>
      </c>
      <c r="H347" s="4">
        <v>99.787000000000006</v>
      </c>
      <c r="I347" s="4">
        <v>88.548000000000002</v>
      </c>
      <c r="J347" s="4">
        <v>66.941000000000003</v>
      </c>
      <c r="K347" s="4">
        <v>38.35</v>
      </c>
      <c r="L347" s="4">
        <v>39.954999999999998</v>
      </c>
      <c r="M347" s="4">
        <v>37.707000000000001</v>
      </c>
      <c r="N347" s="4">
        <v>38.069000000000003</v>
      </c>
      <c r="O347" s="4">
        <v>39.408000000000001</v>
      </c>
      <c r="P347" s="4">
        <v>39.049999999999997</v>
      </c>
      <c r="Q347" s="4">
        <v>35.283000000000001</v>
      </c>
      <c r="R347" s="4">
        <v>37.527000000000001</v>
      </c>
    </row>
    <row r="348" spans="1:18" x14ac:dyDescent="0.2">
      <c r="A348" s="3" t="s">
        <v>45</v>
      </c>
      <c r="B348" s="4">
        <v>451</v>
      </c>
      <c r="C348" s="4">
        <v>490</v>
      </c>
      <c r="D348" s="4">
        <v>511</v>
      </c>
      <c r="E348" s="4">
        <v>579</v>
      </c>
      <c r="F348" s="4">
        <v>560</v>
      </c>
      <c r="G348" s="4">
        <v>485</v>
      </c>
      <c r="H348" s="4">
        <v>453</v>
      </c>
      <c r="I348" s="4">
        <v>398</v>
      </c>
      <c r="J348" s="4">
        <v>560</v>
      </c>
      <c r="K348" s="4">
        <v>565</v>
      </c>
      <c r="L348" s="4">
        <v>773</v>
      </c>
      <c r="M348" s="4">
        <v>789</v>
      </c>
      <c r="N348" s="4">
        <v>798</v>
      </c>
      <c r="O348" s="4">
        <v>829</v>
      </c>
      <c r="P348" s="4">
        <v>843</v>
      </c>
      <c r="Q348" s="4">
        <v>886</v>
      </c>
      <c r="R348" s="4">
        <v>888</v>
      </c>
    </row>
    <row r="349" spans="1:18" x14ac:dyDescent="0.2">
      <c r="A349" s="3" t="s">
        <v>46</v>
      </c>
      <c r="B349" s="5">
        <v>0</v>
      </c>
      <c r="C349" s="5">
        <v>0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4">
        <v>20</v>
      </c>
      <c r="K349" s="4">
        <v>22</v>
      </c>
      <c r="L349" s="4">
        <v>22</v>
      </c>
      <c r="M349" s="4">
        <v>22</v>
      </c>
      <c r="N349" s="4">
        <v>23</v>
      </c>
      <c r="O349" s="4">
        <v>23</v>
      </c>
      <c r="P349" s="4">
        <v>24</v>
      </c>
      <c r="Q349" s="4">
        <v>25.196999999999999</v>
      </c>
      <c r="R349" s="4">
        <v>26.994</v>
      </c>
    </row>
    <row r="350" spans="1:18" x14ac:dyDescent="0.2">
      <c r="A350" s="3" t="s">
        <v>47</v>
      </c>
      <c r="B350" s="4">
        <v>3804</v>
      </c>
      <c r="C350" s="4">
        <v>3694</v>
      </c>
      <c r="D350" s="4">
        <v>3682</v>
      </c>
      <c r="E350" s="4">
        <v>3630</v>
      </c>
      <c r="F350" s="4">
        <v>3680</v>
      </c>
      <c r="G350" s="4">
        <v>3686</v>
      </c>
      <c r="H350" s="4">
        <v>3623</v>
      </c>
      <c r="I350" s="4">
        <v>2717</v>
      </c>
      <c r="J350" s="4">
        <v>2682</v>
      </c>
      <c r="K350" s="4">
        <v>2499</v>
      </c>
      <c r="L350" s="4">
        <v>2503</v>
      </c>
      <c r="M350" s="4">
        <v>2542</v>
      </c>
      <c r="N350" s="4">
        <v>2303</v>
      </c>
      <c r="O350" s="4">
        <v>2410.8110000000001</v>
      </c>
      <c r="P350" s="4">
        <v>2492.0990000000002</v>
      </c>
      <c r="Q350" s="4">
        <v>2493.2280000000001</v>
      </c>
      <c r="R350" s="4">
        <v>2247.1999999999998</v>
      </c>
    </row>
    <row r="351" spans="1:18" x14ac:dyDescent="0.2">
      <c r="A351" s="3" t="s">
        <v>48</v>
      </c>
      <c r="B351" s="4">
        <v>4759</v>
      </c>
      <c r="C351" s="4">
        <v>4547</v>
      </c>
      <c r="D351" s="4">
        <v>4884</v>
      </c>
      <c r="E351" s="4">
        <v>4935.3760000000002</v>
      </c>
      <c r="F351" s="4">
        <v>4944.9560000000001</v>
      </c>
      <c r="G351" s="4">
        <v>5007.0200000000004</v>
      </c>
      <c r="H351" s="4">
        <v>4803.192</v>
      </c>
      <c r="I351" s="4">
        <v>4365.0349999999999</v>
      </c>
      <c r="J351" s="4">
        <v>4709.8509999999997</v>
      </c>
      <c r="K351" s="4">
        <v>4658.2070000000003</v>
      </c>
      <c r="L351" s="4">
        <v>4773.38</v>
      </c>
      <c r="M351" s="4">
        <v>4902.0460000000003</v>
      </c>
      <c r="N351" s="4">
        <v>4786.1229999999996</v>
      </c>
      <c r="O351" s="4">
        <v>4808.9889999999996</v>
      </c>
      <c r="P351" s="4">
        <v>5018.6049999999996</v>
      </c>
      <c r="Q351" s="4">
        <v>4760.924</v>
      </c>
      <c r="R351" s="4">
        <v>4827.9859999999999</v>
      </c>
    </row>
    <row r="352" spans="1:18" x14ac:dyDescent="0.2">
      <c r="A352" s="3" t="s">
        <v>49</v>
      </c>
      <c r="B352" s="4">
        <v>2773</v>
      </c>
      <c r="C352" s="4">
        <v>3004</v>
      </c>
      <c r="D352" s="4">
        <v>2950</v>
      </c>
      <c r="E352" s="4">
        <v>3119</v>
      </c>
      <c r="F352" s="4">
        <v>3172</v>
      </c>
      <c r="G352" s="4">
        <v>3271</v>
      </c>
      <c r="H352" s="4">
        <v>3194</v>
      </c>
      <c r="I352" s="4">
        <v>3418</v>
      </c>
      <c r="J352" s="4">
        <v>3668</v>
      </c>
      <c r="K352" s="4">
        <v>3531</v>
      </c>
      <c r="L352" s="4">
        <v>3796</v>
      </c>
      <c r="M352" s="4">
        <v>4288</v>
      </c>
      <c r="N352" s="4">
        <v>4228</v>
      </c>
      <c r="O352" s="4">
        <v>4249</v>
      </c>
      <c r="P352" s="4">
        <v>4266</v>
      </c>
      <c r="Q352" s="4">
        <v>4665.4709999999995</v>
      </c>
      <c r="R352" s="4">
        <v>4648.6189999999997</v>
      </c>
    </row>
    <row r="353" spans="1:18" x14ac:dyDescent="0.2">
      <c r="A353" s="3" t="s">
        <v>50</v>
      </c>
      <c r="B353" s="4">
        <v>1995</v>
      </c>
      <c r="C353" s="4">
        <v>2229</v>
      </c>
      <c r="D353" s="4">
        <v>2346</v>
      </c>
      <c r="E353" s="4">
        <v>2470</v>
      </c>
      <c r="F353" s="4">
        <v>2500</v>
      </c>
      <c r="G353" s="4">
        <v>2568</v>
      </c>
      <c r="H353" s="4">
        <v>2583</v>
      </c>
      <c r="I353" s="4">
        <v>2719</v>
      </c>
      <c r="J353" s="4">
        <v>3056</v>
      </c>
      <c r="K353" s="4">
        <v>3075</v>
      </c>
      <c r="L353" s="4">
        <v>2834</v>
      </c>
      <c r="M353" s="4">
        <v>3061</v>
      </c>
      <c r="N353" s="4">
        <v>3053</v>
      </c>
      <c r="O353" s="4">
        <v>3046</v>
      </c>
      <c r="P353" s="4">
        <v>3012.5140000000001</v>
      </c>
      <c r="Q353" s="4">
        <v>3092.4259999999999</v>
      </c>
      <c r="R353" s="4">
        <v>3051.6289999999999</v>
      </c>
    </row>
    <row r="354" spans="1:18" x14ac:dyDescent="0.2">
      <c r="A354" s="3" t="s">
        <v>51</v>
      </c>
      <c r="B354" s="4">
        <v>694</v>
      </c>
      <c r="C354" s="4">
        <v>812</v>
      </c>
      <c r="D354" s="4">
        <v>707</v>
      </c>
      <c r="E354" s="4">
        <v>542</v>
      </c>
      <c r="F354" s="4">
        <v>655</v>
      </c>
      <c r="G354" s="4">
        <v>621</v>
      </c>
      <c r="H354" s="4">
        <v>438</v>
      </c>
      <c r="I354" s="4">
        <v>341</v>
      </c>
      <c r="J354" s="4">
        <v>570</v>
      </c>
      <c r="K354" s="4">
        <v>442</v>
      </c>
      <c r="L354" s="4">
        <v>412</v>
      </c>
      <c r="M354" s="4">
        <v>415</v>
      </c>
      <c r="N354" s="4">
        <v>553</v>
      </c>
      <c r="O354" s="4">
        <v>621</v>
      </c>
      <c r="P354" s="4">
        <v>664</v>
      </c>
      <c r="Q354" s="4">
        <v>749.02</v>
      </c>
      <c r="R354" s="4">
        <v>759.83399999999995</v>
      </c>
    </row>
    <row r="355" spans="1:18" x14ac:dyDescent="0.2">
      <c r="A355" s="3" t="s">
        <v>52</v>
      </c>
      <c r="B355" s="4">
        <v>669</v>
      </c>
      <c r="C355" s="4">
        <v>684</v>
      </c>
      <c r="D355" s="4">
        <v>734</v>
      </c>
      <c r="E355" s="4">
        <v>753</v>
      </c>
      <c r="F355" s="4">
        <v>744</v>
      </c>
      <c r="G355" s="4">
        <v>729</v>
      </c>
      <c r="H355" s="4">
        <v>669</v>
      </c>
      <c r="I355" s="4">
        <v>654</v>
      </c>
      <c r="J355" s="4">
        <v>647</v>
      </c>
      <c r="K355" s="4">
        <v>634</v>
      </c>
      <c r="L355" s="4">
        <v>643</v>
      </c>
      <c r="M355" s="4">
        <v>624</v>
      </c>
      <c r="N355" s="4">
        <v>677</v>
      </c>
      <c r="O355" s="4">
        <v>688</v>
      </c>
      <c r="P355" s="4">
        <v>682</v>
      </c>
      <c r="Q355" s="4">
        <v>699.20699999999999</v>
      </c>
      <c r="R355" s="4">
        <v>742.27300000000002</v>
      </c>
    </row>
    <row r="356" spans="1:18" x14ac:dyDescent="0.2">
      <c r="A356" s="3" t="s">
        <v>53</v>
      </c>
      <c r="B356" s="4">
        <v>801</v>
      </c>
      <c r="C356" s="4">
        <v>911</v>
      </c>
      <c r="D356" s="4">
        <v>1036</v>
      </c>
      <c r="E356" s="4">
        <v>1023</v>
      </c>
      <c r="F356" s="4">
        <v>1260</v>
      </c>
      <c r="G356" s="4">
        <v>1142</v>
      </c>
      <c r="H356" s="4">
        <v>1256</v>
      </c>
      <c r="I356" s="4">
        <v>1189</v>
      </c>
      <c r="J356" s="4">
        <v>1063</v>
      </c>
      <c r="K356" s="4">
        <v>1008</v>
      </c>
      <c r="L356" s="4">
        <v>1001</v>
      </c>
      <c r="M356" s="4">
        <v>1193</v>
      </c>
      <c r="N356" s="4">
        <v>755</v>
      </c>
      <c r="O356" s="4">
        <v>722</v>
      </c>
      <c r="P356" s="4">
        <v>740</v>
      </c>
      <c r="Q356" s="4">
        <v>797</v>
      </c>
      <c r="R356" s="4">
        <v>791</v>
      </c>
    </row>
    <row r="357" spans="1:18" x14ac:dyDescent="0.2">
      <c r="A357" s="3" t="s">
        <v>54</v>
      </c>
      <c r="B357" s="4">
        <v>24949</v>
      </c>
      <c r="C357" s="4">
        <v>25118</v>
      </c>
      <c r="D357" s="4">
        <v>26271</v>
      </c>
      <c r="E357" s="4">
        <v>23639</v>
      </c>
      <c r="F357" s="4">
        <v>26811</v>
      </c>
      <c r="G357" s="4">
        <v>26507</v>
      </c>
      <c r="H357" s="4">
        <v>23549</v>
      </c>
      <c r="I357" s="4">
        <v>18969</v>
      </c>
      <c r="J357" s="4">
        <v>20786</v>
      </c>
      <c r="K357" s="4">
        <v>20157</v>
      </c>
      <c r="L357" s="4">
        <v>19172</v>
      </c>
      <c r="M357" s="4">
        <v>19030</v>
      </c>
      <c r="N357" s="4">
        <v>18608</v>
      </c>
      <c r="O357" s="4">
        <v>18258</v>
      </c>
      <c r="P357" s="4">
        <v>17950</v>
      </c>
      <c r="Q357" s="4">
        <v>18107</v>
      </c>
      <c r="R357" s="4">
        <v>18285</v>
      </c>
    </row>
    <row r="358" spans="1:18" x14ac:dyDescent="0.2">
      <c r="A358" s="3" t="s">
        <v>55</v>
      </c>
      <c r="B358" s="4">
        <v>22729</v>
      </c>
      <c r="C358" s="4">
        <v>22590</v>
      </c>
      <c r="D358" s="4">
        <v>23042</v>
      </c>
      <c r="E358" s="4">
        <v>23104</v>
      </c>
      <c r="F358" s="4">
        <v>24186</v>
      </c>
      <c r="G358" s="4">
        <v>24766</v>
      </c>
      <c r="H358" s="4">
        <v>24523</v>
      </c>
      <c r="I358" s="4">
        <v>22305</v>
      </c>
      <c r="J358" s="4">
        <v>23021</v>
      </c>
      <c r="K358" s="4">
        <v>22851</v>
      </c>
      <c r="L358" s="4">
        <v>22972</v>
      </c>
      <c r="M358" s="4">
        <v>21656</v>
      </c>
      <c r="N358" s="5">
        <v>0</v>
      </c>
      <c r="O358" s="4">
        <v>20476</v>
      </c>
      <c r="P358" s="4">
        <v>20140</v>
      </c>
      <c r="Q358" s="4">
        <v>20272</v>
      </c>
      <c r="R358" s="4">
        <v>20030</v>
      </c>
    </row>
    <row r="359" spans="1:18" x14ac:dyDescent="0.2">
      <c r="A359" s="3" t="s">
        <v>56</v>
      </c>
      <c r="B359" s="4">
        <v>11988</v>
      </c>
      <c r="C359" s="4">
        <v>12550</v>
      </c>
      <c r="D359" s="4">
        <v>13171</v>
      </c>
      <c r="E359" s="4">
        <v>13225</v>
      </c>
      <c r="F359" s="4">
        <v>12906</v>
      </c>
      <c r="G359" s="4">
        <v>12741</v>
      </c>
      <c r="H359" s="4">
        <v>12865</v>
      </c>
      <c r="I359" s="4">
        <v>11069</v>
      </c>
      <c r="J359" s="4">
        <v>10954</v>
      </c>
      <c r="K359" s="4">
        <v>10940</v>
      </c>
      <c r="L359" s="4">
        <v>10866</v>
      </c>
      <c r="M359" s="4">
        <v>10806</v>
      </c>
      <c r="N359" s="4">
        <v>10725</v>
      </c>
      <c r="O359" s="4">
        <v>10602.243</v>
      </c>
      <c r="P359" s="4">
        <v>10563.918</v>
      </c>
      <c r="Q359" s="4">
        <v>10597.796</v>
      </c>
      <c r="R359" s="4">
        <v>10382.11</v>
      </c>
    </row>
    <row r="360" spans="1:18" x14ac:dyDescent="0.2">
      <c r="A360" s="3" t="s">
        <v>57</v>
      </c>
      <c r="B360" s="4">
        <v>16</v>
      </c>
      <c r="C360" s="4">
        <v>15</v>
      </c>
      <c r="D360" s="4">
        <v>17</v>
      </c>
      <c r="E360" s="4">
        <v>16</v>
      </c>
      <c r="F360" s="4">
        <v>19</v>
      </c>
      <c r="G360" s="4">
        <v>21</v>
      </c>
      <c r="H360" s="4">
        <v>17</v>
      </c>
      <c r="I360" s="4">
        <v>18</v>
      </c>
      <c r="J360" s="4">
        <v>17</v>
      </c>
      <c r="K360" s="4">
        <v>18</v>
      </c>
      <c r="L360" s="4">
        <v>17</v>
      </c>
      <c r="M360" s="4">
        <v>17</v>
      </c>
      <c r="N360" s="4">
        <v>16</v>
      </c>
      <c r="O360" s="4">
        <v>16</v>
      </c>
      <c r="P360" s="4">
        <v>16</v>
      </c>
      <c r="Q360" s="4">
        <v>15.29</v>
      </c>
      <c r="R360" s="4">
        <v>11.227</v>
      </c>
    </row>
    <row r="361" spans="1:18" x14ac:dyDescent="0.2">
      <c r="A361" s="3" t="s">
        <v>58</v>
      </c>
      <c r="B361" s="4">
        <v>6788</v>
      </c>
      <c r="C361" s="4">
        <v>6436</v>
      </c>
      <c r="D361" s="4">
        <v>6714</v>
      </c>
      <c r="E361" s="4">
        <v>6752</v>
      </c>
      <c r="F361" s="4">
        <v>6157</v>
      </c>
      <c r="G361" s="4">
        <v>6057</v>
      </c>
      <c r="H361" s="4">
        <v>5694</v>
      </c>
      <c r="I361" s="4">
        <v>4745</v>
      </c>
      <c r="J361" s="4">
        <v>5055</v>
      </c>
      <c r="K361" s="4">
        <v>4539</v>
      </c>
      <c r="L361" s="4">
        <v>4155</v>
      </c>
      <c r="M361" s="4">
        <v>3640</v>
      </c>
      <c r="N361" s="4">
        <v>3541</v>
      </c>
      <c r="O361" s="4">
        <v>3487</v>
      </c>
      <c r="P361" s="4">
        <v>3825</v>
      </c>
      <c r="Q361" s="4">
        <v>3908</v>
      </c>
      <c r="R361" s="4">
        <v>3866.6179999999999</v>
      </c>
    </row>
    <row r="362" spans="1:18" x14ac:dyDescent="0.2">
      <c r="A362" s="3" t="s">
        <v>59</v>
      </c>
      <c r="B362" s="5">
        <v>0</v>
      </c>
      <c r="C362" s="5">
        <v>0</v>
      </c>
      <c r="D362" s="4">
        <v>89</v>
      </c>
      <c r="E362" s="4">
        <v>83</v>
      </c>
      <c r="F362" s="4">
        <v>78</v>
      </c>
      <c r="G362" s="4">
        <v>231</v>
      </c>
      <c r="H362" s="4">
        <v>279</v>
      </c>
      <c r="I362" s="4">
        <v>938</v>
      </c>
      <c r="J362" s="4">
        <v>216</v>
      </c>
      <c r="K362" s="4">
        <v>248</v>
      </c>
      <c r="L362" s="4">
        <v>486</v>
      </c>
      <c r="M362" s="4">
        <v>410</v>
      </c>
      <c r="N362" s="4">
        <v>417</v>
      </c>
      <c r="O362" s="4">
        <v>359</v>
      </c>
      <c r="P362" s="4">
        <v>480</v>
      </c>
      <c r="Q362" s="4">
        <v>503.88400000000001</v>
      </c>
      <c r="R362" s="4">
        <v>417.29</v>
      </c>
    </row>
    <row r="364" spans="1:18" x14ac:dyDescent="0.2">
      <c r="A364" s="1" t="s">
        <v>61</v>
      </c>
    </row>
    <row r="365" spans="1:18" x14ac:dyDescent="0.2">
      <c r="A365" s="1" t="s">
        <v>60</v>
      </c>
      <c r="B365" s="1" t="s">
        <v>62</v>
      </c>
    </row>
    <row r="367" spans="1:18" x14ac:dyDescent="0.2">
      <c r="A367" s="1" t="s">
        <v>5</v>
      </c>
      <c r="B367" s="1" t="s">
        <v>71</v>
      </c>
    </row>
    <row r="368" spans="1:18" x14ac:dyDescent="0.2">
      <c r="A368" s="1" t="s">
        <v>7</v>
      </c>
      <c r="B368" s="1" t="s">
        <v>8</v>
      </c>
    </row>
    <row r="369" spans="1:18" x14ac:dyDescent="0.2">
      <c r="A369" s="1" t="s">
        <v>9</v>
      </c>
      <c r="B369" s="1" t="s">
        <v>10</v>
      </c>
    </row>
    <row r="371" spans="1:18" x14ac:dyDescent="0.2">
      <c r="A371" s="3" t="s">
        <v>11</v>
      </c>
      <c r="B371" s="3" t="s">
        <v>12</v>
      </c>
      <c r="C371" s="3" t="s">
        <v>13</v>
      </c>
      <c r="D371" s="3" t="s">
        <v>14</v>
      </c>
      <c r="E371" s="3" t="s">
        <v>15</v>
      </c>
      <c r="F371" s="3" t="s">
        <v>16</v>
      </c>
      <c r="G371" s="3" t="s">
        <v>17</v>
      </c>
      <c r="H371" s="3" t="s">
        <v>18</v>
      </c>
      <c r="I371" s="3" t="s">
        <v>19</v>
      </c>
      <c r="J371" s="3" t="s">
        <v>20</v>
      </c>
      <c r="K371" s="3" t="s">
        <v>21</v>
      </c>
      <c r="L371" s="3" t="s">
        <v>22</v>
      </c>
      <c r="M371" s="3" t="s">
        <v>23</v>
      </c>
      <c r="N371" s="3" t="s">
        <v>24</v>
      </c>
      <c r="O371" s="3" t="s">
        <v>25</v>
      </c>
      <c r="P371" s="3" t="s">
        <v>26</v>
      </c>
      <c r="Q371" s="3" t="s">
        <v>27</v>
      </c>
      <c r="R371" s="3" t="s">
        <v>28</v>
      </c>
    </row>
    <row r="372" spans="1:18" x14ac:dyDescent="0.2">
      <c r="A372" s="3" t="s">
        <v>29</v>
      </c>
      <c r="B372" s="4">
        <v>585</v>
      </c>
      <c r="C372" s="4">
        <v>601</v>
      </c>
      <c r="D372" s="4">
        <v>612</v>
      </c>
      <c r="E372" s="4">
        <v>1859</v>
      </c>
      <c r="F372" s="4">
        <v>1894</v>
      </c>
      <c r="G372" s="4">
        <v>1549</v>
      </c>
      <c r="H372" s="4">
        <v>1382</v>
      </c>
      <c r="I372" s="4">
        <v>778</v>
      </c>
      <c r="J372" s="4">
        <v>662</v>
      </c>
      <c r="K372" s="4">
        <v>393</v>
      </c>
      <c r="L372" s="4">
        <v>378</v>
      </c>
      <c r="M372" s="4">
        <v>376</v>
      </c>
      <c r="N372" s="4">
        <v>375.9</v>
      </c>
      <c r="O372" s="4">
        <v>384.6</v>
      </c>
      <c r="P372" s="4">
        <v>364.2</v>
      </c>
      <c r="Q372" s="4">
        <v>389.5</v>
      </c>
      <c r="R372" s="4">
        <v>407.5</v>
      </c>
    </row>
    <row r="373" spans="1:18" x14ac:dyDescent="0.2">
      <c r="A373" s="3" t="s">
        <v>30</v>
      </c>
      <c r="B373" s="4">
        <v>152</v>
      </c>
      <c r="C373" s="4">
        <v>168</v>
      </c>
      <c r="D373" s="4">
        <v>174</v>
      </c>
      <c r="E373" s="4">
        <v>137</v>
      </c>
      <c r="F373" s="4">
        <v>167</v>
      </c>
      <c r="G373" s="4">
        <v>176</v>
      </c>
      <c r="H373" s="4">
        <v>194</v>
      </c>
      <c r="I373" s="4">
        <v>144</v>
      </c>
      <c r="J373" s="4">
        <v>173</v>
      </c>
      <c r="K373" s="4">
        <v>183</v>
      </c>
      <c r="L373" s="4">
        <v>181</v>
      </c>
      <c r="M373" s="4">
        <v>180</v>
      </c>
      <c r="N373" s="4">
        <v>197</v>
      </c>
      <c r="O373" s="4">
        <v>207</v>
      </c>
      <c r="P373" s="4">
        <v>200</v>
      </c>
      <c r="Q373" s="4">
        <v>226.93</v>
      </c>
      <c r="R373" s="4">
        <v>251.08699999999999</v>
      </c>
    </row>
    <row r="374" spans="1:18" x14ac:dyDescent="0.2">
      <c r="A374" s="3" t="s">
        <v>31</v>
      </c>
      <c r="B374" s="4">
        <v>396</v>
      </c>
      <c r="C374" s="4">
        <v>398</v>
      </c>
      <c r="D374" s="4">
        <v>484</v>
      </c>
      <c r="E374" s="4">
        <v>538</v>
      </c>
      <c r="F374" s="4">
        <v>517</v>
      </c>
      <c r="G374" s="4">
        <v>549</v>
      </c>
      <c r="H374" s="4">
        <v>550</v>
      </c>
      <c r="I374" s="4">
        <v>480</v>
      </c>
      <c r="J374" s="4">
        <v>487</v>
      </c>
      <c r="K374" s="4">
        <v>461</v>
      </c>
      <c r="L374" s="4">
        <v>521</v>
      </c>
      <c r="M374" s="4">
        <v>515</v>
      </c>
      <c r="N374" s="4">
        <v>480</v>
      </c>
      <c r="O374" s="4">
        <v>481</v>
      </c>
      <c r="P374" s="4">
        <v>511</v>
      </c>
      <c r="Q374" s="4">
        <v>525.976</v>
      </c>
      <c r="R374" s="4">
        <v>559.351</v>
      </c>
    </row>
    <row r="375" spans="1:18" x14ac:dyDescent="0.2">
      <c r="A375" s="3" t="s">
        <v>32</v>
      </c>
      <c r="B375" s="4">
        <v>305</v>
      </c>
      <c r="C375" s="4">
        <v>319</v>
      </c>
      <c r="D375" s="4">
        <v>331</v>
      </c>
      <c r="E375" s="4">
        <v>328</v>
      </c>
      <c r="F375" s="4">
        <v>329</v>
      </c>
      <c r="G375" s="4">
        <v>321</v>
      </c>
      <c r="H375" s="4">
        <v>276</v>
      </c>
      <c r="I375" s="4">
        <v>226</v>
      </c>
      <c r="J375" s="4">
        <v>226</v>
      </c>
      <c r="K375" s="4">
        <v>238</v>
      </c>
      <c r="L375" s="4">
        <v>236</v>
      </c>
      <c r="M375" s="4">
        <v>219</v>
      </c>
      <c r="N375" s="4">
        <v>207</v>
      </c>
      <c r="O375" s="4">
        <v>205.071</v>
      </c>
      <c r="P375" s="4">
        <v>209.09399999999999</v>
      </c>
      <c r="Q375" s="4">
        <v>212.303</v>
      </c>
      <c r="R375" s="4">
        <v>212.096</v>
      </c>
    </row>
    <row r="376" spans="1:18" x14ac:dyDescent="0.2">
      <c r="A376" s="3" t="s">
        <v>33</v>
      </c>
      <c r="B376" s="4">
        <v>4075</v>
      </c>
      <c r="C376" s="4">
        <v>4136</v>
      </c>
      <c r="D376" s="4">
        <v>4429</v>
      </c>
      <c r="E376" s="4">
        <v>4413</v>
      </c>
      <c r="F376" s="4">
        <v>4561</v>
      </c>
      <c r="G376" s="4">
        <v>4864</v>
      </c>
      <c r="H376" s="4">
        <v>4678</v>
      </c>
      <c r="I376" s="4">
        <v>4474</v>
      </c>
      <c r="J376" s="4">
        <v>4510</v>
      </c>
      <c r="K376" s="4">
        <v>4552</v>
      </c>
      <c r="L376" s="4">
        <v>4332</v>
      </c>
      <c r="M376" s="4">
        <v>4317</v>
      </c>
      <c r="N376" s="4">
        <v>4278</v>
      </c>
      <c r="O376" s="4">
        <v>4492</v>
      </c>
      <c r="P376" s="4">
        <v>4637</v>
      </c>
      <c r="Q376" s="4">
        <v>4817</v>
      </c>
      <c r="R376" s="4">
        <v>4668</v>
      </c>
    </row>
    <row r="377" spans="1:18" x14ac:dyDescent="0.2">
      <c r="A377" s="3" t="s">
        <v>34</v>
      </c>
      <c r="B377" s="4">
        <v>243</v>
      </c>
      <c r="C377" s="4">
        <v>301</v>
      </c>
      <c r="D377" s="4">
        <v>341</v>
      </c>
      <c r="E377" s="4">
        <v>359</v>
      </c>
      <c r="F377" s="4">
        <v>364</v>
      </c>
      <c r="G377" s="4">
        <v>336</v>
      </c>
      <c r="H377" s="4">
        <v>288</v>
      </c>
      <c r="I377" s="4">
        <v>233</v>
      </c>
      <c r="J377" s="4">
        <v>278</v>
      </c>
      <c r="K377" s="4">
        <v>290</v>
      </c>
      <c r="L377" s="4">
        <v>314</v>
      </c>
      <c r="M377" s="4">
        <v>339</v>
      </c>
      <c r="N377" s="4">
        <v>365</v>
      </c>
      <c r="O377" s="4">
        <v>374</v>
      </c>
      <c r="P377" s="4">
        <v>412</v>
      </c>
      <c r="Q377" s="4">
        <v>499</v>
      </c>
      <c r="R377" s="4">
        <v>539</v>
      </c>
    </row>
    <row r="378" spans="1:18" x14ac:dyDescent="0.2">
      <c r="A378" s="3" t="s">
        <v>35</v>
      </c>
      <c r="B378" s="4">
        <v>341.82400000000001</v>
      </c>
      <c r="C378" s="4">
        <v>318.286</v>
      </c>
      <c r="D378" s="4">
        <v>301.22300000000001</v>
      </c>
      <c r="E378" s="4">
        <v>335.69900000000001</v>
      </c>
      <c r="F378" s="4">
        <v>366.78199999999998</v>
      </c>
      <c r="G378" s="4">
        <v>389.053</v>
      </c>
      <c r="H378" s="4">
        <v>301.33499999999998</v>
      </c>
      <c r="I378" s="4">
        <v>329.62599999999998</v>
      </c>
      <c r="J378" s="4">
        <v>390.31299999999999</v>
      </c>
      <c r="K378" s="4">
        <v>407.47800000000001</v>
      </c>
      <c r="L378" s="4">
        <v>392.18599999999998</v>
      </c>
      <c r="M378" s="4">
        <v>398.26799999999997</v>
      </c>
      <c r="N378" s="4">
        <v>403.02499999999998</v>
      </c>
      <c r="O378" s="4">
        <v>422.14499999999998</v>
      </c>
      <c r="P378" s="4">
        <v>435.88200000000001</v>
      </c>
      <c r="Q378" s="4">
        <v>440.73</v>
      </c>
      <c r="R378" s="4">
        <v>469.036</v>
      </c>
    </row>
    <row r="379" spans="1:18" x14ac:dyDescent="0.2">
      <c r="A379" s="3" t="s">
        <v>36</v>
      </c>
      <c r="B379" s="4">
        <v>150</v>
      </c>
      <c r="C379" s="4">
        <v>248</v>
      </c>
      <c r="D379" s="4">
        <v>273</v>
      </c>
      <c r="E379" s="4">
        <v>221</v>
      </c>
      <c r="F379" s="4">
        <v>237</v>
      </c>
      <c r="G379" s="4">
        <v>265</v>
      </c>
      <c r="H379" s="4">
        <v>270</v>
      </c>
      <c r="I379" s="4">
        <v>226</v>
      </c>
      <c r="J379" s="4">
        <v>222</v>
      </c>
      <c r="K379" s="4">
        <v>308</v>
      </c>
      <c r="L379" s="4">
        <v>200</v>
      </c>
      <c r="M379" s="4">
        <v>137</v>
      </c>
      <c r="N379" s="4">
        <v>130</v>
      </c>
      <c r="O379" s="4">
        <v>128</v>
      </c>
      <c r="P379" s="4">
        <v>54</v>
      </c>
      <c r="Q379" s="4">
        <v>65.814999999999998</v>
      </c>
      <c r="R379" s="4">
        <v>265.74</v>
      </c>
    </row>
    <row r="380" spans="1:18" x14ac:dyDescent="0.2">
      <c r="A380" s="3" t="s">
        <v>37</v>
      </c>
      <c r="B380" s="4">
        <v>1974</v>
      </c>
      <c r="C380" s="4">
        <v>2634</v>
      </c>
      <c r="D380" s="4">
        <v>2463</v>
      </c>
      <c r="E380" s="4">
        <v>2598</v>
      </c>
      <c r="F380" s="4">
        <v>2260</v>
      </c>
      <c r="G380" s="4">
        <v>2250</v>
      </c>
      <c r="H380" s="4">
        <v>2056</v>
      </c>
      <c r="I380" s="4">
        <v>1474</v>
      </c>
      <c r="J380" s="4">
        <v>1415</v>
      </c>
      <c r="K380" s="4">
        <v>1406</v>
      </c>
      <c r="L380" s="4">
        <v>1387</v>
      </c>
      <c r="M380" s="4">
        <v>1415</v>
      </c>
      <c r="N380" s="4">
        <v>1089</v>
      </c>
      <c r="O380" s="4">
        <v>1132</v>
      </c>
      <c r="P380" s="4">
        <v>1233</v>
      </c>
      <c r="Q380" s="4">
        <v>1593</v>
      </c>
      <c r="R380" s="4">
        <v>1414</v>
      </c>
    </row>
    <row r="381" spans="1:18" x14ac:dyDescent="0.2">
      <c r="A381" s="3" t="s">
        <v>38</v>
      </c>
      <c r="B381" s="4">
        <v>2168</v>
      </c>
      <c r="C381" s="4">
        <v>2221</v>
      </c>
      <c r="D381" s="4">
        <v>2276</v>
      </c>
      <c r="E381" s="4">
        <v>2276</v>
      </c>
      <c r="F381" s="4">
        <v>2300</v>
      </c>
      <c r="G381" s="4">
        <v>2293</v>
      </c>
      <c r="H381" s="4">
        <v>2442</v>
      </c>
      <c r="I381" s="4">
        <v>2138</v>
      </c>
      <c r="J381" s="4">
        <v>2248</v>
      </c>
      <c r="K381" s="4">
        <v>2218.509</v>
      </c>
      <c r="L381" s="4">
        <v>2277.7330000000002</v>
      </c>
      <c r="M381" s="4">
        <v>2248.9389999999999</v>
      </c>
      <c r="N381" s="4">
        <v>2187.7089999999998</v>
      </c>
      <c r="O381" s="4">
        <v>2228.9259999999999</v>
      </c>
      <c r="P381" s="4">
        <v>2198.0279999999998</v>
      </c>
      <c r="Q381" s="4">
        <v>2208.7809999999999</v>
      </c>
      <c r="R381" s="4">
        <v>2245.2109999999998</v>
      </c>
    </row>
    <row r="382" spans="1:18" x14ac:dyDescent="0.2">
      <c r="A382" s="3" t="s">
        <v>39</v>
      </c>
      <c r="B382" s="4">
        <v>95</v>
      </c>
      <c r="C382" s="4">
        <v>102</v>
      </c>
      <c r="D382" s="4">
        <v>124</v>
      </c>
      <c r="E382" s="4">
        <v>146</v>
      </c>
      <c r="F382" s="4">
        <v>159</v>
      </c>
      <c r="G382" s="4">
        <v>150</v>
      </c>
      <c r="H382" s="4">
        <v>165</v>
      </c>
      <c r="I382" s="4">
        <v>159</v>
      </c>
      <c r="J382" s="4">
        <v>179</v>
      </c>
      <c r="K382" s="4">
        <v>198</v>
      </c>
      <c r="L382" s="4">
        <v>198</v>
      </c>
      <c r="M382" s="4">
        <v>224</v>
      </c>
      <c r="N382" s="4">
        <v>238</v>
      </c>
      <c r="O382" s="4">
        <v>265</v>
      </c>
      <c r="P382" s="4">
        <v>279</v>
      </c>
      <c r="Q382" s="4">
        <v>310.5</v>
      </c>
      <c r="R382" s="4">
        <v>316.39999999999998</v>
      </c>
    </row>
    <row r="383" spans="1:18" x14ac:dyDescent="0.2">
      <c r="A383" s="3" t="s">
        <v>40</v>
      </c>
      <c r="B383" s="4">
        <v>4255</v>
      </c>
      <c r="C383" s="4">
        <v>4250</v>
      </c>
      <c r="D383" s="4">
        <v>4333</v>
      </c>
      <c r="E383" s="4">
        <v>4373</v>
      </c>
      <c r="F383" s="4">
        <v>4490</v>
      </c>
      <c r="G383" s="4">
        <v>4456</v>
      </c>
      <c r="H383" s="4">
        <v>4324</v>
      </c>
      <c r="I383" s="4">
        <v>3804</v>
      </c>
      <c r="J383" s="4">
        <v>3913</v>
      </c>
      <c r="K383" s="4">
        <v>3605</v>
      </c>
      <c r="L383" s="4">
        <v>3195</v>
      </c>
      <c r="M383" s="4">
        <v>2980</v>
      </c>
      <c r="N383" s="4">
        <v>2894</v>
      </c>
      <c r="O383" s="4">
        <v>3009</v>
      </c>
      <c r="P383" s="4">
        <v>2965</v>
      </c>
      <c r="Q383" s="4">
        <v>2979.0590000000002</v>
      </c>
      <c r="R383" s="4">
        <v>2988.6869999999999</v>
      </c>
    </row>
    <row r="384" spans="1:18" x14ac:dyDescent="0.2">
      <c r="A384" s="3" t="s">
        <v>41</v>
      </c>
      <c r="B384" s="4">
        <v>7</v>
      </c>
      <c r="C384" s="4">
        <v>8</v>
      </c>
      <c r="D384" s="4">
        <v>8</v>
      </c>
      <c r="E384" s="4">
        <v>8</v>
      </c>
      <c r="F384" s="4">
        <v>8</v>
      </c>
      <c r="G384" s="4">
        <v>9</v>
      </c>
      <c r="H384" s="4">
        <v>9</v>
      </c>
      <c r="I384" s="4">
        <v>9</v>
      </c>
      <c r="J384" s="4">
        <v>9</v>
      </c>
      <c r="K384" s="4">
        <v>8</v>
      </c>
      <c r="L384" s="4">
        <v>7</v>
      </c>
      <c r="M384" s="4">
        <v>5</v>
      </c>
      <c r="N384" s="4">
        <v>5</v>
      </c>
      <c r="O384" s="4">
        <v>5</v>
      </c>
      <c r="P384" s="4">
        <v>6</v>
      </c>
      <c r="Q384" s="4">
        <v>6.0010000000000003</v>
      </c>
      <c r="R384" s="4">
        <v>6.1920000000000002</v>
      </c>
    </row>
    <row r="385" spans="1:18" x14ac:dyDescent="0.2">
      <c r="A385" s="3" t="s">
        <v>42</v>
      </c>
      <c r="B385" s="4">
        <v>284</v>
      </c>
      <c r="C385" s="4">
        <v>318</v>
      </c>
      <c r="D385" s="4">
        <v>359</v>
      </c>
      <c r="E385" s="4">
        <v>388</v>
      </c>
      <c r="F385" s="4">
        <v>429</v>
      </c>
      <c r="G385" s="4">
        <v>439</v>
      </c>
      <c r="H385" s="4">
        <v>408</v>
      </c>
      <c r="I385" s="4">
        <v>458</v>
      </c>
      <c r="J385" s="4">
        <v>477</v>
      </c>
      <c r="K385" s="4">
        <v>498</v>
      </c>
      <c r="L385" s="4">
        <v>560</v>
      </c>
      <c r="M385" s="4">
        <v>625</v>
      </c>
      <c r="N385" s="4">
        <v>681</v>
      </c>
      <c r="O385" s="4">
        <v>724</v>
      </c>
      <c r="P385" s="4">
        <v>738</v>
      </c>
      <c r="Q385" s="4">
        <v>762.08299999999997</v>
      </c>
      <c r="R385" s="4">
        <v>806.59699999999998</v>
      </c>
    </row>
    <row r="386" spans="1:18" x14ac:dyDescent="0.2">
      <c r="A386" s="3" t="s">
        <v>43</v>
      </c>
      <c r="B386" s="4">
        <v>202</v>
      </c>
      <c r="C386" s="4">
        <v>218</v>
      </c>
      <c r="D386" s="4">
        <v>256</v>
      </c>
      <c r="E386" s="4">
        <v>280</v>
      </c>
      <c r="F386" s="4">
        <v>292</v>
      </c>
      <c r="G386" s="4">
        <v>301</v>
      </c>
      <c r="H386" s="4">
        <v>283</v>
      </c>
      <c r="I386" s="4">
        <v>234</v>
      </c>
      <c r="J386" s="4">
        <v>250</v>
      </c>
      <c r="K386" s="4">
        <v>219</v>
      </c>
      <c r="L386" s="4">
        <v>275</v>
      </c>
      <c r="M386" s="4">
        <v>261</v>
      </c>
      <c r="N386" s="4">
        <v>299</v>
      </c>
      <c r="O386" s="4">
        <v>343</v>
      </c>
      <c r="P386" s="4">
        <v>366</v>
      </c>
      <c r="Q386" s="4">
        <v>364.9</v>
      </c>
      <c r="R386" s="4">
        <v>355.7</v>
      </c>
    </row>
    <row r="387" spans="1:18" x14ac:dyDescent="0.2">
      <c r="A387" s="3" t="s">
        <v>44</v>
      </c>
      <c r="B387" s="4">
        <v>20.154</v>
      </c>
      <c r="C387" s="4">
        <v>22.346</v>
      </c>
      <c r="D387" s="4">
        <v>23.282</v>
      </c>
      <c r="E387" s="4">
        <v>22.780999999999999</v>
      </c>
      <c r="F387" s="4">
        <v>18.904</v>
      </c>
      <c r="G387" s="4">
        <v>18.949000000000002</v>
      </c>
      <c r="H387" s="4">
        <v>16.564</v>
      </c>
      <c r="I387" s="4">
        <v>17.271000000000001</v>
      </c>
      <c r="J387" s="4">
        <v>17.02</v>
      </c>
      <c r="K387" s="4">
        <v>7.5839999999999996</v>
      </c>
      <c r="L387" s="4">
        <v>4.7130000000000001</v>
      </c>
      <c r="M387" s="4">
        <v>0.86199999999999999</v>
      </c>
      <c r="N387" s="4">
        <v>3.125</v>
      </c>
      <c r="O387" s="4">
        <v>6.4379999999999997</v>
      </c>
      <c r="P387" s="4">
        <v>4.117</v>
      </c>
      <c r="Q387" s="4">
        <v>15.1</v>
      </c>
      <c r="R387" s="4">
        <v>15.782</v>
      </c>
    </row>
    <row r="388" spans="1:18" x14ac:dyDescent="0.2">
      <c r="A388" s="3" t="s">
        <v>45</v>
      </c>
      <c r="B388" s="4">
        <v>137</v>
      </c>
      <c r="C388" s="4">
        <v>148</v>
      </c>
      <c r="D388" s="4">
        <v>153</v>
      </c>
      <c r="E388" s="4">
        <v>149</v>
      </c>
      <c r="F388" s="4">
        <v>146</v>
      </c>
      <c r="G388" s="4">
        <v>159</v>
      </c>
      <c r="H388" s="4">
        <v>170</v>
      </c>
      <c r="I388" s="4">
        <v>119</v>
      </c>
      <c r="J388" s="4">
        <v>153</v>
      </c>
      <c r="K388" s="4">
        <v>154</v>
      </c>
      <c r="L388" s="4">
        <v>265</v>
      </c>
      <c r="M388" s="4">
        <v>328</v>
      </c>
      <c r="N388" s="4">
        <v>245</v>
      </c>
      <c r="O388" s="4">
        <v>258</v>
      </c>
      <c r="P388" s="4">
        <v>280</v>
      </c>
      <c r="Q388" s="4">
        <v>337</v>
      </c>
      <c r="R388" s="4">
        <v>378</v>
      </c>
    </row>
    <row r="389" spans="1:18" x14ac:dyDescent="0.2">
      <c r="A389" s="3" t="s">
        <v>46</v>
      </c>
      <c r="B389" s="5">
        <v>0</v>
      </c>
      <c r="C389" s="5">
        <v>0</v>
      </c>
      <c r="D389" s="5">
        <v>0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4">
        <v>1</v>
      </c>
      <c r="K389" s="4">
        <v>1</v>
      </c>
      <c r="L389" s="4">
        <v>1</v>
      </c>
      <c r="M389" s="4">
        <v>1</v>
      </c>
      <c r="N389" s="4">
        <v>2</v>
      </c>
      <c r="O389" s="4">
        <v>2</v>
      </c>
      <c r="P389" s="4">
        <v>2</v>
      </c>
      <c r="Q389" s="4">
        <v>2.0880000000000001</v>
      </c>
      <c r="R389" s="4">
        <v>2.2890000000000001</v>
      </c>
    </row>
    <row r="390" spans="1:18" x14ac:dyDescent="0.2">
      <c r="A390" s="3" t="s">
        <v>47</v>
      </c>
      <c r="B390" s="4">
        <v>257</v>
      </c>
      <c r="C390" s="4">
        <v>225</v>
      </c>
      <c r="D390" s="4">
        <v>205</v>
      </c>
      <c r="E390" s="4">
        <v>242</v>
      </c>
      <c r="F390" s="4">
        <v>262</v>
      </c>
      <c r="G390" s="4">
        <v>278</v>
      </c>
      <c r="H390" s="4">
        <v>288</v>
      </c>
      <c r="I390" s="4">
        <v>284</v>
      </c>
      <c r="J390" s="4">
        <v>243</v>
      </c>
      <c r="K390" s="4">
        <v>223</v>
      </c>
      <c r="L390" s="4">
        <v>239</v>
      </c>
      <c r="M390" s="4">
        <v>171</v>
      </c>
      <c r="N390" s="4">
        <v>197</v>
      </c>
      <c r="O390" s="4">
        <v>235.78100000000001</v>
      </c>
      <c r="P390" s="4">
        <v>201.518</v>
      </c>
      <c r="Q390" s="4">
        <v>155.77600000000001</v>
      </c>
      <c r="R390" s="4">
        <v>145.12200000000001</v>
      </c>
    </row>
    <row r="391" spans="1:18" x14ac:dyDescent="0.2">
      <c r="A391" s="3" t="s">
        <v>48</v>
      </c>
      <c r="B391" s="4">
        <v>1047</v>
      </c>
      <c r="C391" s="4">
        <v>1226</v>
      </c>
      <c r="D391" s="4">
        <v>1320</v>
      </c>
      <c r="E391" s="4">
        <v>1616.864</v>
      </c>
      <c r="F391" s="4">
        <v>1819.5920000000001</v>
      </c>
      <c r="G391" s="4">
        <v>1931.2950000000001</v>
      </c>
      <c r="H391" s="4">
        <v>1793.133</v>
      </c>
      <c r="I391" s="4">
        <v>1616.51</v>
      </c>
      <c r="J391" s="4">
        <v>1682.4549999999999</v>
      </c>
      <c r="K391" s="4">
        <v>1739.1379999999999</v>
      </c>
      <c r="L391" s="4">
        <v>1804.5319999999999</v>
      </c>
      <c r="M391" s="4">
        <v>1924.998</v>
      </c>
      <c r="N391" s="4">
        <v>1796.5609999999999</v>
      </c>
      <c r="O391" s="4">
        <v>1802.2139999999999</v>
      </c>
      <c r="P391" s="4">
        <v>1813.21</v>
      </c>
      <c r="Q391" s="4">
        <v>1856.8050000000001</v>
      </c>
      <c r="R391" s="4">
        <v>1821.5719999999999</v>
      </c>
    </row>
    <row r="392" spans="1:18" x14ac:dyDescent="0.2">
      <c r="A392" s="3" t="s">
        <v>49</v>
      </c>
      <c r="B392" s="4">
        <v>1538</v>
      </c>
      <c r="C392" s="4">
        <v>1228</v>
      </c>
      <c r="D392" s="4">
        <v>1608</v>
      </c>
      <c r="E392" s="4">
        <v>1584</v>
      </c>
      <c r="F392" s="4">
        <v>1398</v>
      </c>
      <c r="G392" s="4">
        <v>1537</v>
      </c>
      <c r="H392" s="4">
        <v>1824</v>
      </c>
      <c r="I392" s="4">
        <v>1815</v>
      </c>
      <c r="J392" s="4">
        <v>1855</v>
      </c>
      <c r="K392" s="4">
        <v>1849</v>
      </c>
      <c r="L392" s="4">
        <v>1886</v>
      </c>
      <c r="M392" s="4">
        <v>1988</v>
      </c>
      <c r="N392" s="4">
        <v>1967</v>
      </c>
      <c r="O392" s="4">
        <v>2086</v>
      </c>
      <c r="P392" s="4">
        <v>2421</v>
      </c>
      <c r="Q392" s="4">
        <v>2400.4169999999999</v>
      </c>
      <c r="R392" s="4">
        <v>2518.636</v>
      </c>
    </row>
    <row r="393" spans="1:18" x14ac:dyDescent="0.2">
      <c r="A393" s="3" t="s">
        <v>50</v>
      </c>
      <c r="B393" s="4">
        <v>946</v>
      </c>
      <c r="C393" s="4">
        <v>678</v>
      </c>
      <c r="D393" s="4">
        <v>608</v>
      </c>
      <c r="E393" s="4">
        <v>715</v>
      </c>
      <c r="F393" s="4">
        <v>722</v>
      </c>
      <c r="G393" s="4">
        <v>728</v>
      </c>
      <c r="H393" s="4">
        <v>669</v>
      </c>
      <c r="I393" s="4">
        <v>557</v>
      </c>
      <c r="J393" s="4">
        <v>581</v>
      </c>
      <c r="K393" s="4">
        <v>573</v>
      </c>
      <c r="L393" s="4">
        <v>535</v>
      </c>
      <c r="M393" s="4">
        <v>509</v>
      </c>
      <c r="N393" s="4">
        <v>491</v>
      </c>
      <c r="O393" s="4">
        <v>511</v>
      </c>
      <c r="P393" s="4">
        <v>700.23099999999999</v>
      </c>
      <c r="Q393" s="4">
        <v>702.39599999999996</v>
      </c>
      <c r="R393" s="4">
        <v>723.75400000000002</v>
      </c>
    </row>
    <row r="394" spans="1:18" x14ac:dyDescent="0.2">
      <c r="A394" s="3" t="s">
        <v>51</v>
      </c>
      <c r="B394" s="4">
        <v>544</v>
      </c>
      <c r="C394" s="4">
        <v>293</v>
      </c>
      <c r="D394" s="4">
        <v>715</v>
      </c>
      <c r="E394" s="4">
        <v>549</v>
      </c>
      <c r="F394" s="4">
        <v>735</v>
      </c>
      <c r="G394" s="4">
        <v>653</v>
      </c>
      <c r="H394" s="4">
        <v>879</v>
      </c>
      <c r="I394" s="4">
        <v>740</v>
      </c>
      <c r="J394" s="4">
        <v>701</v>
      </c>
      <c r="K394" s="4">
        <v>718</v>
      </c>
      <c r="L394" s="4">
        <v>847</v>
      </c>
      <c r="M394" s="4">
        <v>940</v>
      </c>
      <c r="N394" s="4">
        <v>912</v>
      </c>
      <c r="O394" s="4">
        <v>980</v>
      </c>
      <c r="P394" s="4">
        <v>968</v>
      </c>
      <c r="Q394" s="4">
        <v>1053.046</v>
      </c>
      <c r="R394" s="4">
        <v>1035.8240000000001</v>
      </c>
    </row>
    <row r="395" spans="1:18" x14ac:dyDescent="0.2">
      <c r="A395" s="3" t="s">
        <v>52</v>
      </c>
      <c r="B395" s="4">
        <v>162</v>
      </c>
      <c r="C395" s="4">
        <v>169</v>
      </c>
      <c r="D395" s="4">
        <v>193</v>
      </c>
      <c r="E395" s="4">
        <v>217</v>
      </c>
      <c r="F395" s="4">
        <v>205</v>
      </c>
      <c r="G395" s="4">
        <v>203</v>
      </c>
      <c r="H395" s="4">
        <v>185</v>
      </c>
      <c r="I395" s="4">
        <v>158</v>
      </c>
      <c r="J395" s="4">
        <v>168</v>
      </c>
      <c r="K395" s="4">
        <v>173</v>
      </c>
      <c r="L395" s="4">
        <v>175</v>
      </c>
      <c r="M395" s="4">
        <v>152</v>
      </c>
      <c r="N395" s="4">
        <v>161</v>
      </c>
      <c r="O395" s="4">
        <v>168</v>
      </c>
      <c r="P395" s="4">
        <v>163</v>
      </c>
      <c r="Q395" s="4">
        <v>154.922</v>
      </c>
      <c r="R395" s="4">
        <v>172.96199999999999</v>
      </c>
    </row>
    <row r="396" spans="1:18" x14ac:dyDescent="0.2">
      <c r="A396" s="3" t="s">
        <v>53</v>
      </c>
      <c r="B396" s="4">
        <v>178</v>
      </c>
      <c r="C396" s="4">
        <v>156</v>
      </c>
      <c r="D396" s="4">
        <v>182</v>
      </c>
      <c r="E396" s="4">
        <v>167</v>
      </c>
      <c r="F396" s="4">
        <v>161</v>
      </c>
      <c r="G396" s="4">
        <v>221</v>
      </c>
      <c r="H396" s="4">
        <v>225</v>
      </c>
      <c r="I396" s="4">
        <v>194</v>
      </c>
      <c r="J396" s="4">
        <v>164</v>
      </c>
      <c r="K396" s="4">
        <v>167</v>
      </c>
      <c r="L396" s="4">
        <v>158</v>
      </c>
      <c r="M396" s="4">
        <v>134</v>
      </c>
      <c r="N396" s="4">
        <v>145</v>
      </c>
      <c r="O396" s="4">
        <v>151</v>
      </c>
      <c r="P396" s="4">
        <v>154</v>
      </c>
      <c r="Q396" s="4">
        <v>191</v>
      </c>
      <c r="R396" s="4">
        <v>194</v>
      </c>
    </row>
    <row r="397" spans="1:18" x14ac:dyDescent="0.2">
      <c r="A397" s="3" t="s">
        <v>54</v>
      </c>
      <c r="B397" s="4">
        <v>1564</v>
      </c>
      <c r="C397" s="4">
        <v>1630</v>
      </c>
      <c r="D397" s="4">
        <v>1652</v>
      </c>
      <c r="E397" s="4">
        <v>1625</v>
      </c>
      <c r="F397" s="4">
        <v>1694</v>
      </c>
      <c r="G397" s="4">
        <v>1837</v>
      </c>
      <c r="H397" s="4">
        <v>1581</v>
      </c>
      <c r="I397" s="4">
        <v>1535</v>
      </c>
      <c r="J397" s="4">
        <v>1544</v>
      </c>
      <c r="K397" s="4">
        <v>1694</v>
      </c>
      <c r="L397" s="4">
        <v>1488</v>
      </c>
      <c r="M397" s="4">
        <v>1484</v>
      </c>
      <c r="N397" s="4">
        <v>1268</v>
      </c>
      <c r="O397" s="4">
        <v>1281</v>
      </c>
      <c r="P397" s="4">
        <v>1299</v>
      </c>
      <c r="Q397" s="4">
        <v>1618</v>
      </c>
      <c r="R397" s="4">
        <v>1661</v>
      </c>
    </row>
    <row r="398" spans="1:18" x14ac:dyDescent="0.2">
      <c r="A398" s="3" t="s">
        <v>55</v>
      </c>
      <c r="B398" s="4">
        <v>2282</v>
      </c>
      <c r="C398" s="4">
        <v>2245</v>
      </c>
      <c r="D398" s="4">
        <v>2290</v>
      </c>
      <c r="E398" s="4">
        <v>2202</v>
      </c>
      <c r="F398" s="4">
        <v>2166</v>
      </c>
      <c r="G398" s="4">
        <v>2231</v>
      </c>
      <c r="H398" s="4">
        <v>2223</v>
      </c>
      <c r="I398" s="4">
        <v>2067</v>
      </c>
      <c r="J398" s="4">
        <v>2225</v>
      </c>
      <c r="K398" s="4">
        <v>2031</v>
      </c>
      <c r="L398" s="4">
        <v>1927</v>
      </c>
      <c r="M398" s="4">
        <v>1837</v>
      </c>
      <c r="N398" s="4">
        <v>1877</v>
      </c>
      <c r="O398" s="4">
        <v>1879</v>
      </c>
      <c r="P398" s="4">
        <v>1871</v>
      </c>
      <c r="Q398" s="4">
        <v>1851</v>
      </c>
      <c r="R398" s="4">
        <v>1825</v>
      </c>
    </row>
    <row r="399" spans="1:18" x14ac:dyDescent="0.2">
      <c r="A399" s="3" t="s">
        <v>56</v>
      </c>
      <c r="B399" s="5">
        <v>0</v>
      </c>
      <c r="C399" s="5">
        <v>0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4">
        <v>537</v>
      </c>
      <c r="K399" s="4">
        <v>533</v>
      </c>
      <c r="L399" s="4">
        <v>521</v>
      </c>
      <c r="M399" s="4">
        <v>522</v>
      </c>
      <c r="N399" s="4">
        <v>502</v>
      </c>
      <c r="O399" s="5">
        <v>0</v>
      </c>
      <c r="P399" s="5">
        <v>0</v>
      </c>
      <c r="Q399" s="5">
        <v>0</v>
      </c>
      <c r="R399" s="5">
        <v>0</v>
      </c>
    </row>
    <row r="400" spans="1:18" x14ac:dyDescent="0.2">
      <c r="A400" s="3" t="s">
        <v>57</v>
      </c>
      <c r="B400" s="4">
        <v>7</v>
      </c>
      <c r="C400" s="4">
        <v>7</v>
      </c>
      <c r="D400" s="4">
        <v>7</v>
      </c>
      <c r="E400" s="4">
        <v>7</v>
      </c>
      <c r="F400" s="4">
        <v>5</v>
      </c>
      <c r="G400" s="4">
        <v>5</v>
      </c>
      <c r="H400" s="4">
        <v>5</v>
      </c>
      <c r="I400" s="4">
        <v>4</v>
      </c>
      <c r="J400" s="4">
        <v>3</v>
      </c>
      <c r="K400" s="4">
        <v>4</v>
      </c>
      <c r="L400" s="4">
        <v>4</v>
      </c>
      <c r="M400" s="4">
        <v>3</v>
      </c>
      <c r="N400" s="4">
        <v>3</v>
      </c>
      <c r="O400" s="4">
        <v>4</v>
      </c>
      <c r="P400" s="4">
        <v>4</v>
      </c>
      <c r="Q400" s="4">
        <v>3.8220000000000001</v>
      </c>
      <c r="R400" s="4">
        <v>3.12</v>
      </c>
    </row>
    <row r="401" spans="1:18" x14ac:dyDescent="0.2">
      <c r="A401" s="3" t="s">
        <v>58</v>
      </c>
      <c r="B401" s="4">
        <v>763</v>
      </c>
      <c r="C401" s="4">
        <v>689</v>
      </c>
      <c r="D401" s="4">
        <v>705</v>
      </c>
      <c r="E401" s="4">
        <v>716</v>
      </c>
      <c r="F401" s="4">
        <v>711</v>
      </c>
      <c r="G401" s="4">
        <v>807</v>
      </c>
      <c r="H401" s="4">
        <v>741</v>
      </c>
      <c r="I401" s="4">
        <v>558</v>
      </c>
      <c r="J401" s="4">
        <v>717</v>
      </c>
      <c r="K401" s="4">
        <v>640</v>
      </c>
      <c r="L401" s="4">
        <v>658</v>
      </c>
      <c r="M401" s="4">
        <v>609</v>
      </c>
      <c r="N401" s="4">
        <v>629</v>
      </c>
      <c r="O401" s="4">
        <v>641</v>
      </c>
      <c r="P401" s="4">
        <v>675</v>
      </c>
      <c r="Q401" s="4">
        <v>615</v>
      </c>
      <c r="R401" s="4">
        <v>612.89</v>
      </c>
    </row>
    <row r="402" spans="1:18" x14ac:dyDescent="0.2">
      <c r="A402" s="3" t="s">
        <v>59</v>
      </c>
      <c r="B402" s="5">
        <v>0</v>
      </c>
      <c r="C402" s="5">
        <v>0</v>
      </c>
      <c r="D402" s="4">
        <v>54</v>
      </c>
      <c r="E402" s="4">
        <v>55</v>
      </c>
      <c r="F402" s="4">
        <v>48</v>
      </c>
      <c r="G402" s="4">
        <v>58</v>
      </c>
      <c r="H402" s="4">
        <v>82</v>
      </c>
      <c r="I402" s="4">
        <v>23</v>
      </c>
      <c r="J402" s="4">
        <v>73</v>
      </c>
      <c r="K402" s="4">
        <v>85</v>
      </c>
      <c r="L402" s="4">
        <v>42</v>
      </c>
      <c r="M402" s="4">
        <v>92</v>
      </c>
      <c r="N402" s="4">
        <v>122</v>
      </c>
      <c r="O402" s="4">
        <v>128</v>
      </c>
      <c r="P402" s="4">
        <v>126</v>
      </c>
      <c r="Q402" s="4">
        <v>132.21899999999999</v>
      </c>
      <c r="R402" s="4">
        <v>105.792</v>
      </c>
    </row>
    <row r="404" spans="1:18" x14ac:dyDescent="0.2">
      <c r="A404" s="1" t="s">
        <v>61</v>
      </c>
    </row>
    <row r="405" spans="1:18" x14ac:dyDescent="0.2">
      <c r="A405" s="1" t="s">
        <v>60</v>
      </c>
      <c r="B405" s="1" t="s">
        <v>62</v>
      </c>
    </row>
    <row r="407" spans="1:18" x14ac:dyDescent="0.2">
      <c r="A407" s="1" t="s">
        <v>5</v>
      </c>
      <c r="B407" s="1" t="s">
        <v>72</v>
      </c>
    </row>
    <row r="408" spans="1:18" x14ac:dyDescent="0.2">
      <c r="A408" s="1" t="s">
        <v>7</v>
      </c>
      <c r="B408" s="1" t="s">
        <v>8</v>
      </c>
    </row>
    <row r="409" spans="1:18" x14ac:dyDescent="0.2">
      <c r="A409" s="1" t="s">
        <v>9</v>
      </c>
      <c r="B409" s="1" t="s">
        <v>10</v>
      </c>
    </row>
    <row r="411" spans="1:18" x14ac:dyDescent="0.2">
      <c r="A411" s="3" t="s">
        <v>11</v>
      </c>
      <c r="B411" s="3" t="s">
        <v>12</v>
      </c>
      <c r="C411" s="3" t="s">
        <v>13</v>
      </c>
      <c r="D411" s="3" t="s">
        <v>14</v>
      </c>
      <c r="E411" s="3" t="s">
        <v>15</v>
      </c>
      <c r="F411" s="3" t="s">
        <v>16</v>
      </c>
      <c r="G411" s="3" t="s">
        <v>17</v>
      </c>
      <c r="H411" s="3" t="s">
        <v>18</v>
      </c>
      <c r="I411" s="3" t="s">
        <v>19</v>
      </c>
      <c r="J411" s="3" t="s">
        <v>20</v>
      </c>
      <c r="K411" s="3" t="s">
        <v>21</v>
      </c>
      <c r="L411" s="3" t="s">
        <v>22</v>
      </c>
      <c r="M411" s="3" t="s">
        <v>23</v>
      </c>
      <c r="N411" s="3" t="s">
        <v>24</v>
      </c>
      <c r="O411" s="3" t="s">
        <v>25</v>
      </c>
      <c r="P411" s="3" t="s">
        <v>26</v>
      </c>
      <c r="Q411" s="3" t="s">
        <v>27</v>
      </c>
      <c r="R411" s="3" t="s">
        <v>28</v>
      </c>
    </row>
    <row r="412" spans="1:18" x14ac:dyDescent="0.2">
      <c r="A412" s="3" t="s">
        <v>29</v>
      </c>
      <c r="B412" s="4">
        <v>324</v>
      </c>
      <c r="C412" s="4">
        <v>320</v>
      </c>
      <c r="D412" s="4">
        <v>327</v>
      </c>
      <c r="E412" s="4">
        <v>321</v>
      </c>
      <c r="F412" s="4">
        <v>825</v>
      </c>
      <c r="G412" s="4">
        <v>788</v>
      </c>
      <c r="H412" s="4">
        <v>872</v>
      </c>
      <c r="I412" s="4">
        <v>1278</v>
      </c>
      <c r="J412" s="4">
        <v>1410</v>
      </c>
      <c r="K412" s="4">
        <v>900</v>
      </c>
      <c r="L412" s="4">
        <v>798</v>
      </c>
      <c r="M412" s="4">
        <v>929</v>
      </c>
      <c r="N412" s="4">
        <v>812.3</v>
      </c>
      <c r="O412" s="4">
        <v>845.4</v>
      </c>
      <c r="P412" s="4">
        <v>859.6</v>
      </c>
      <c r="Q412" s="4">
        <v>873.4</v>
      </c>
      <c r="R412" s="4">
        <v>929.4</v>
      </c>
    </row>
    <row r="413" spans="1:18" x14ac:dyDescent="0.2">
      <c r="A413" s="3" t="s">
        <v>30</v>
      </c>
      <c r="B413" s="4">
        <v>129</v>
      </c>
      <c r="C413" s="4">
        <v>164</v>
      </c>
      <c r="D413" s="4">
        <v>151</v>
      </c>
      <c r="E413" s="4">
        <v>169</v>
      </c>
      <c r="F413" s="4">
        <v>216</v>
      </c>
      <c r="G413" s="4">
        <v>278</v>
      </c>
      <c r="H413" s="4">
        <v>410</v>
      </c>
      <c r="I413" s="4">
        <v>368</v>
      </c>
      <c r="J413" s="4">
        <v>303</v>
      </c>
      <c r="K413" s="4">
        <v>368</v>
      </c>
      <c r="L413" s="4">
        <v>277</v>
      </c>
      <c r="M413" s="4">
        <v>299</v>
      </c>
      <c r="N413" s="4">
        <v>260</v>
      </c>
      <c r="O413" s="4">
        <v>261</v>
      </c>
      <c r="P413" s="4">
        <v>251</v>
      </c>
      <c r="Q413" s="4">
        <v>250.09800000000001</v>
      </c>
      <c r="R413" s="4">
        <v>229.422</v>
      </c>
    </row>
    <row r="414" spans="1:18" x14ac:dyDescent="0.2">
      <c r="A414" s="3" t="s">
        <v>31</v>
      </c>
      <c r="B414" s="4">
        <v>320</v>
      </c>
      <c r="C414" s="4">
        <v>302</v>
      </c>
      <c r="D414" s="4">
        <v>412</v>
      </c>
      <c r="E414" s="4">
        <v>398</v>
      </c>
      <c r="F414" s="4">
        <v>476</v>
      </c>
      <c r="G414" s="4">
        <v>454</v>
      </c>
      <c r="H414" s="4">
        <v>476</v>
      </c>
      <c r="I414" s="4">
        <v>486</v>
      </c>
      <c r="J414" s="4">
        <v>511</v>
      </c>
      <c r="K414" s="4">
        <v>492</v>
      </c>
      <c r="L414" s="4">
        <v>456</v>
      </c>
      <c r="M414" s="4">
        <v>424</v>
      </c>
      <c r="N414" s="4">
        <v>450</v>
      </c>
      <c r="O414" s="4">
        <v>476</v>
      </c>
      <c r="P414" s="4">
        <v>492</v>
      </c>
      <c r="Q414" s="4">
        <v>544.87800000000004</v>
      </c>
      <c r="R414" s="4">
        <v>619.68600000000004</v>
      </c>
    </row>
    <row r="415" spans="1:18" x14ac:dyDescent="0.2">
      <c r="A415" s="3" t="s">
        <v>32</v>
      </c>
      <c r="B415" s="4">
        <v>339</v>
      </c>
      <c r="C415" s="4">
        <v>329</v>
      </c>
      <c r="D415" s="4">
        <v>338</v>
      </c>
      <c r="E415" s="4">
        <v>354</v>
      </c>
      <c r="F415" s="4">
        <v>378</v>
      </c>
      <c r="G415" s="4">
        <v>406</v>
      </c>
      <c r="H415" s="4">
        <v>435</v>
      </c>
      <c r="I415" s="4">
        <v>373</v>
      </c>
      <c r="J415" s="4">
        <v>381</v>
      </c>
      <c r="K415" s="4">
        <v>357</v>
      </c>
      <c r="L415" s="4">
        <v>374</v>
      </c>
      <c r="M415" s="4">
        <v>361</v>
      </c>
      <c r="N415" s="4">
        <v>357</v>
      </c>
      <c r="O415" s="4">
        <v>361</v>
      </c>
      <c r="P415" s="4">
        <v>373</v>
      </c>
      <c r="Q415" s="4">
        <v>402.72300000000001</v>
      </c>
      <c r="R415" s="4">
        <v>409.346</v>
      </c>
    </row>
    <row r="416" spans="1:18" x14ac:dyDescent="0.2">
      <c r="A416" s="3" t="s">
        <v>33</v>
      </c>
      <c r="B416" s="4">
        <v>826</v>
      </c>
      <c r="C416" s="5">
        <v>0</v>
      </c>
      <c r="D416" s="5">
        <v>0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4">
        <v>3975</v>
      </c>
      <c r="K416" s="4">
        <v>4429</v>
      </c>
      <c r="L416" s="4">
        <v>4353</v>
      </c>
      <c r="M416" s="4">
        <v>3581</v>
      </c>
      <c r="N416" s="4">
        <v>4089</v>
      </c>
      <c r="O416" s="4">
        <v>3945</v>
      </c>
      <c r="P416" s="4">
        <v>3976</v>
      </c>
      <c r="Q416" s="4">
        <v>4136</v>
      </c>
      <c r="R416" s="4">
        <v>4460</v>
      </c>
    </row>
    <row r="417" spans="1:18" x14ac:dyDescent="0.2">
      <c r="A417" s="3" t="s">
        <v>34</v>
      </c>
      <c r="B417" s="4">
        <v>94</v>
      </c>
      <c r="C417" s="4">
        <v>96</v>
      </c>
      <c r="D417" s="4">
        <v>95</v>
      </c>
      <c r="E417" s="4">
        <v>97</v>
      </c>
      <c r="F417" s="4">
        <v>107</v>
      </c>
      <c r="G417" s="4">
        <v>106</v>
      </c>
      <c r="H417" s="4">
        <v>101</v>
      </c>
      <c r="I417" s="4">
        <v>78</v>
      </c>
      <c r="J417" s="4">
        <v>62</v>
      </c>
      <c r="K417" s="4">
        <v>71</v>
      </c>
      <c r="L417" s="4">
        <v>82</v>
      </c>
      <c r="M417" s="4">
        <v>84</v>
      </c>
      <c r="N417" s="4">
        <v>78</v>
      </c>
      <c r="O417" s="4">
        <v>81</v>
      </c>
      <c r="P417" s="4">
        <v>83</v>
      </c>
      <c r="Q417" s="4">
        <v>82</v>
      </c>
      <c r="R417" s="4">
        <v>71</v>
      </c>
    </row>
    <row r="418" spans="1:18" x14ac:dyDescent="0.2">
      <c r="A418" s="3" t="s">
        <v>35</v>
      </c>
      <c r="B418" s="4">
        <v>84</v>
      </c>
      <c r="C418" s="4">
        <v>73</v>
      </c>
      <c r="D418" s="4">
        <v>73</v>
      </c>
      <c r="E418" s="4">
        <v>73</v>
      </c>
      <c r="F418" s="4">
        <v>73</v>
      </c>
      <c r="G418" s="4">
        <v>73</v>
      </c>
      <c r="H418" s="4">
        <v>73</v>
      </c>
      <c r="I418" s="4">
        <v>73</v>
      </c>
      <c r="J418" s="4">
        <v>73</v>
      </c>
      <c r="K418" s="4">
        <v>73</v>
      </c>
      <c r="L418" s="4">
        <v>73</v>
      </c>
      <c r="M418" s="4">
        <v>73</v>
      </c>
      <c r="N418" s="4">
        <v>73</v>
      </c>
      <c r="O418" s="4">
        <v>73</v>
      </c>
      <c r="P418" s="4">
        <v>73</v>
      </c>
      <c r="Q418" s="4">
        <v>73</v>
      </c>
      <c r="R418" s="4">
        <v>73</v>
      </c>
    </row>
    <row r="419" spans="1:18" x14ac:dyDescent="0.2">
      <c r="A419" s="3" t="s">
        <v>36</v>
      </c>
      <c r="B419" s="4">
        <v>98</v>
      </c>
      <c r="C419" s="4">
        <v>33</v>
      </c>
      <c r="D419" s="4">
        <v>2</v>
      </c>
      <c r="E419" s="4">
        <v>5</v>
      </c>
      <c r="F419" s="4">
        <v>6</v>
      </c>
      <c r="G419" s="4">
        <v>7</v>
      </c>
      <c r="H419" s="4">
        <v>7</v>
      </c>
      <c r="I419" s="4">
        <v>1</v>
      </c>
      <c r="J419" s="4">
        <v>1</v>
      </c>
      <c r="K419" s="4">
        <v>1</v>
      </c>
      <c r="L419" s="4">
        <v>1</v>
      </c>
      <c r="M419" s="4">
        <v>1</v>
      </c>
      <c r="N419" s="4">
        <v>1</v>
      </c>
      <c r="O419" s="5">
        <v>0</v>
      </c>
      <c r="P419" s="4">
        <v>2</v>
      </c>
      <c r="Q419" s="4">
        <v>496.733</v>
      </c>
      <c r="R419" s="4">
        <v>468.15</v>
      </c>
    </row>
    <row r="420" spans="1:18" x14ac:dyDescent="0.2">
      <c r="A420" s="3" t="s">
        <v>37</v>
      </c>
      <c r="B420" s="4">
        <v>1913</v>
      </c>
      <c r="C420" s="4">
        <v>2017</v>
      </c>
      <c r="D420" s="4">
        <v>2263</v>
      </c>
      <c r="E420" s="4">
        <v>2643</v>
      </c>
      <c r="F420" s="4">
        <v>2591</v>
      </c>
      <c r="G420" s="4">
        <v>2859</v>
      </c>
      <c r="H420" s="4">
        <v>3229</v>
      </c>
      <c r="I420" s="4">
        <v>3005</v>
      </c>
      <c r="J420" s="4">
        <v>2767</v>
      </c>
      <c r="K420" s="4">
        <v>2513</v>
      </c>
      <c r="L420" s="4">
        <v>2479</v>
      </c>
      <c r="M420" s="4">
        <v>2871</v>
      </c>
      <c r="N420" s="4">
        <v>2390</v>
      </c>
      <c r="O420" s="4">
        <v>2070</v>
      </c>
      <c r="P420" s="4">
        <v>2027</v>
      </c>
      <c r="Q420" s="4">
        <v>2425</v>
      </c>
      <c r="R420" s="4">
        <v>3052</v>
      </c>
    </row>
    <row r="421" spans="1:18" x14ac:dyDescent="0.2">
      <c r="A421" s="3" t="s">
        <v>38</v>
      </c>
      <c r="B421" s="4">
        <v>1457</v>
      </c>
      <c r="C421" s="4">
        <v>1587</v>
      </c>
      <c r="D421" s="4">
        <v>1650</v>
      </c>
      <c r="E421" s="4">
        <v>1735</v>
      </c>
      <c r="F421" s="4">
        <v>1859</v>
      </c>
      <c r="G421" s="4">
        <v>1956</v>
      </c>
      <c r="H421" s="4">
        <v>2539</v>
      </c>
      <c r="I421" s="4">
        <v>1899</v>
      </c>
      <c r="J421" s="4">
        <v>2169</v>
      </c>
      <c r="K421" s="4">
        <v>7590.4920000000002</v>
      </c>
      <c r="L421" s="4">
        <v>7919.893</v>
      </c>
      <c r="M421" s="4">
        <v>7909.0020000000004</v>
      </c>
      <c r="N421" s="4">
        <v>7045.9639999999999</v>
      </c>
      <c r="O421" s="4">
        <v>6817.56</v>
      </c>
      <c r="P421" s="4">
        <v>6865.6930000000002</v>
      </c>
      <c r="Q421" s="4">
        <v>6808.7879999999996</v>
      </c>
      <c r="R421" s="4">
        <v>6989.973</v>
      </c>
    </row>
    <row r="422" spans="1:18" x14ac:dyDescent="0.2">
      <c r="A422" s="3" t="s">
        <v>39</v>
      </c>
      <c r="B422" s="4">
        <v>77</v>
      </c>
      <c r="C422" s="4">
        <v>91</v>
      </c>
      <c r="D422" s="4">
        <v>94</v>
      </c>
      <c r="E422" s="4">
        <v>93</v>
      </c>
      <c r="F422" s="4">
        <v>99</v>
      </c>
      <c r="G422" s="4">
        <v>99</v>
      </c>
      <c r="H422" s="4">
        <v>118</v>
      </c>
      <c r="I422" s="4">
        <v>118</v>
      </c>
      <c r="J422" s="4">
        <v>109</v>
      </c>
      <c r="K422" s="4">
        <v>96</v>
      </c>
      <c r="L422" s="4">
        <v>92</v>
      </c>
      <c r="M422" s="4">
        <v>85</v>
      </c>
      <c r="N422" s="4">
        <v>81</v>
      </c>
      <c r="O422" s="4">
        <v>76</v>
      </c>
      <c r="P422" s="4">
        <v>78</v>
      </c>
      <c r="Q422" s="4">
        <v>76.599999999999994</v>
      </c>
      <c r="R422" s="4">
        <v>77.900000000000006</v>
      </c>
    </row>
    <row r="423" spans="1:18" x14ac:dyDescent="0.2">
      <c r="A423" s="3" t="s">
        <v>40</v>
      </c>
      <c r="B423" s="4">
        <v>1325</v>
      </c>
      <c r="C423" s="4">
        <v>1509</v>
      </c>
      <c r="D423" s="4">
        <v>1608</v>
      </c>
      <c r="E423" s="4">
        <v>1709</v>
      </c>
      <c r="F423" s="4">
        <v>1755</v>
      </c>
      <c r="G423" s="4">
        <v>1797</v>
      </c>
      <c r="H423" s="4">
        <v>1888</v>
      </c>
      <c r="I423" s="4">
        <v>1808</v>
      </c>
      <c r="J423" s="4">
        <v>1752</v>
      </c>
      <c r="K423" s="4">
        <v>1640</v>
      </c>
      <c r="L423" s="4">
        <v>1446</v>
      </c>
      <c r="M423" s="4">
        <v>1290</v>
      </c>
      <c r="N423" s="4">
        <v>1251</v>
      </c>
      <c r="O423" s="4">
        <v>1355</v>
      </c>
      <c r="P423" s="4">
        <v>1353</v>
      </c>
      <c r="Q423" s="4">
        <v>1385.999</v>
      </c>
      <c r="R423" s="4">
        <v>1419.489</v>
      </c>
    </row>
    <row r="424" spans="1:18" x14ac:dyDescent="0.2">
      <c r="A424" s="3" t="s">
        <v>41</v>
      </c>
      <c r="B424" s="4">
        <v>4</v>
      </c>
      <c r="C424" s="4">
        <v>6</v>
      </c>
      <c r="D424" s="4">
        <v>7</v>
      </c>
      <c r="E424" s="4">
        <v>8</v>
      </c>
      <c r="F424" s="4">
        <v>9</v>
      </c>
      <c r="G424" s="4">
        <v>10</v>
      </c>
      <c r="H424" s="4">
        <v>12</v>
      </c>
      <c r="I424" s="4">
        <v>11</v>
      </c>
      <c r="J424" s="4">
        <v>12</v>
      </c>
      <c r="K424" s="4">
        <v>12</v>
      </c>
      <c r="L424" s="4">
        <v>10</v>
      </c>
      <c r="M424" s="4">
        <v>6</v>
      </c>
      <c r="N424" s="4">
        <v>5</v>
      </c>
      <c r="O424" s="4">
        <v>4</v>
      </c>
      <c r="P424" s="4">
        <v>4</v>
      </c>
      <c r="Q424" s="4">
        <v>4.899</v>
      </c>
      <c r="R424" s="4">
        <v>6.7569999999999997</v>
      </c>
    </row>
    <row r="425" spans="1:18" x14ac:dyDescent="0.2">
      <c r="A425" s="3" t="s">
        <v>42</v>
      </c>
      <c r="B425" s="4">
        <v>72</v>
      </c>
      <c r="C425" s="4">
        <v>81</v>
      </c>
      <c r="D425" s="4">
        <v>88</v>
      </c>
      <c r="E425" s="4">
        <v>103</v>
      </c>
      <c r="F425" s="4">
        <v>119</v>
      </c>
      <c r="G425" s="4">
        <v>111</v>
      </c>
      <c r="H425" s="4">
        <v>146</v>
      </c>
      <c r="I425" s="4">
        <v>117</v>
      </c>
      <c r="J425" s="4">
        <v>106</v>
      </c>
      <c r="K425" s="4">
        <v>91</v>
      </c>
      <c r="L425" s="4">
        <v>84</v>
      </c>
      <c r="M425" s="4">
        <v>70</v>
      </c>
      <c r="N425" s="4">
        <v>78</v>
      </c>
      <c r="O425" s="4">
        <v>74</v>
      </c>
      <c r="P425" s="4">
        <v>66</v>
      </c>
      <c r="Q425" s="4">
        <v>67.581999999999994</v>
      </c>
      <c r="R425" s="4">
        <v>70.355999999999995</v>
      </c>
    </row>
    <row r="426" spans="1:18" x14ac:dyDescent="0.2">
      <c r="A426" s="3" t="s">
        <v>43</v>
      </c>
      <c r="B426" s="4">
        <v>98</v>
      </c>
      <c r="C426" s="4">
        <v>102</v>
      </c>
      <c r="D426" s="4">
        <v>109</v>
      </c>
      <c r="E426" s="4">
        <v>117</v>
      </c>
      <c r="F426" s="4">
        <v>123</v>
      </c>
      <c r="G426" s="4">
        <v>131</v>
      </c>
      <c r="H426" s="4">
        <v>130</v>
      </c>
      <c r="I426" s="4">
        <v>103</v>
      </c>
      <c r="J426" s="4">
        <v>106</v>
      </c>
      <c r="K426" s="4">
        <v>102</v>
      </c>
      <c r="L426" s="4">
        <v>100</v>
      </c>
      <c r="M426" s="4">
        <v>108</v>
      </c>
      <c r="N426" s="4">
        <v>102</v>
      </c>
      <c r="O426" s="4">
        <v>143</v>
      </c>
      <c r="P426" s="4">
        <v>148</v>
      </c>
      <c r="Q426" s="4">
        <v>138.69999999999999</v>
      </c>
      <c r="R426" s="4">
        <v>157.1</v>
      </c>
    </row>
    <row r="427" spans="1:18" x14ac:dyDescent="0.2">
      <c r="A427" s="3" t="s">
        <v>44</v>
      </c>
      <c r="B427" s="4">
        <v>203.268</v>
      </c>
      <c r="C427" s="4">
        <v>395.47800000000001</v>
      </c>
      <c r="D427" s="4">
        <v>270.15800000000002</v>
      </c>
      <c r="E427" s="4">
        <v>258.91800000000001</v>
      </c>
      <c r="F427" s="4">
        <v>255.70500000000001</v>
      </c>
      <c r="G427" s="4">
        <v>237.304</v>
      </c>
      <c r="H427" s="4">
        <v>257.32100000000003</v>
      </c>
      <c r="I427" s="4">
        <v>177.154</v>
      </c>
      <c r="J427" s="4">
        <v>165.57300000000001</v>
      </c>
      <c r="K427" s="4">
        <v>125.967</v>
      </c>
      <c r="L427" s="4">
        <v>124.149</v>
      </c>
      <c r="M427" s="4">
        <v>123.76</v>
      </c>
      <c r="N427" s="4">
        <v>140.19499999999999</v>
      </c>
      <c r="O427" s="4">
        <v>143.24600000000001</v>
      </c>
      <c r="P427" s="4">
        <v>175.43100000000001</v>
      </c>
      <c r="Q427" s="4">
        <v>180.739</v>
      </c>
      <c r="R427" s="4">
        <v>192.23099999999999</v>
      </c>
    </row>
    <row r="428" spans="1:18" x14ac:dyDescent="0.2">
      <c r="A428" s="3" t="s">
        <v>45</v>
      </c>
      <c r="B428" s="4">
        <v>58</v>
      </c>
      <c r="C428" s="4">
        <v>89</v>
      </c>
      <c r="D428" s="4">
        <v>56</v>
      </c>
      <c r="E428" s="4">
        <v>74</v>
      </c>
      <c r="F428" s="4">
        <v>73</v>
      </c>
      <c r="G428" s="4">
        <v>67</v>
      </c>
      <c r="H428" s="4">
        <v>78</v>
      </c>
      <c r="I428" s="4">
        <v>78</v>
      </c>
      <c r="J428" s="4">
        <v>115</v>
      </c>
      <c r="K428" s="4">
        <v>116</v>
      </c>
      <c r="L428" s="4">
        <v>447</v>
      </c>
      <c r="M428" s="4">
        <v>327</v>
      </c>
      <c r="N428" s="4">
        <v>261</v>
      </c>
      <c r="O428" s="4">
        <v>288</v>
      </c>
      <c r="P428" s="4">
        <v>323</v>
      </c>
      <c r="Q428" s="4">
        <v>336</v>
      </c>
      <c r="R428" s="4">
        <v>466</v>
      </c>
    </row>
    <row r="429" spans="1:18" x14ac:dyDescent="0.2">
      <c r="A429" s="3" t="s">
        <v>46</v>
      </c>
      <c r="B429" s="5">
        <v>0</v>
      </c>
      <c r="C429" s="5">
        <v>0</v>
      </c>
      <c r="D429" s="5">
        <v>0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4">
        <v>16</v>
      </c>
      <c r="K429" s="4">
        <v>16</v>
      </c>
      <c r="L429" s="4">
        <v>18</v>
      </c>
      <c r="M429" s="4">
        <v>20</v>
      </c>
      <c r="N429" s="4">
        <v>26</v>
      </c>
      <c r="O429" s="4">
        <v>28</v>
      </c>
      <c r="P429" s="4">
        <v>24</v>
      </c>
      <c r="Q429" s="4">
        <v>26.635000000000002</v>
      </c>
      <c r="R429" s="4">
        <v>27.37</v>
      </c>
    </row>
    <row r="430" spans="1:18" x14ac:dyDescent="0.2">
      <c r="A430" s="3" t="s">
        <v>47</v>
      </c>
      <c r="B430" s="4">
        <v>1035</v>
      </c>
      <c r="C430" s="4">
        <v>992</v>
      </c>
      <c r="D430" s="4">
        <v>974</v>
      </c>
      <c r="E430" s="4">
        <v>972</v>
      </c>
      <c r="F430" s="4">
        <v>981</v>
      </c>
      <c r="G430" s="4">
        <v>1013</v>
      </c>
      <c r="H430" s="4">
        <v>1030</v>
      </c>
      <c r="I430" s="4">
        <v>1018</v>
      </c>
      <c r="J430" s="4">
        <v>1009</v>
      </c>
      <c r="K430" s="4">
        <v>943</v>
      </c>
      <c r="L430" s="4">
        <v>900.38900000000001</v>
      </c>
      <c r="M430" s="4">
        <v>948.57899999999995</v>
      </c>
      <c r="N430" s="4">
        <v>875.34699999999998</v>
      </c>
      <c r="O430" s="4">
        <v>889.71799999999996</v>
      </c>
      <c r="P430" s="4">
        <v>893.447</v>
      </c>
      <c r="Q430" s="4">
        <v>973.76800000000003</v>
      </c>
      <c r="R430" s="4">
        <v>1037.4749999999999</v>
      </c>
    </row>
    <row r="431" spans="1:18" x14ac:dyDescent="0.2">
      <c r="A431" s="3" t="s">
        <v>48</v>
      </c>
      <c r="B431" s="4">
        <v>374</v>
      </c>
      <c r="C431" s="4">
        <v>512</v>
      </c>
      <c r="D431" s="4">
        <v>646</v>
      </c>
      <c r="E431" s="4">
        <v>694.75400000000002</v>
      </c>
      <c r="F431" s="4">
        <v>740.08199999999999</v>
      </c>
      <c r="G431" s="4">
        <v>676.85400000000004</v>
      </c>
      <c r="H431" s="4">
        <v>553.51599999999996</v>
      </c>
      <c r="I431" s="4">
        <v>686.88699999999994</v>
      </c>
      <c r="J431" s="4">
        <v>611.49300000000005</v>
      </c>
      <c r="K431" s="4">
        <v>640.05200000000002</v>
      </c>
      <c r="L431" s="4">
        <v>640.30499999999995</v>
      </c>
      <c r="M431" s="4">
        <v>606.10299999999995</v>
      </c>
      <c r="N431" s="4">
        <v>508.28199999999998</v>
      </c>
      <c r="O431" s="4">
        <v>469.78</v>
      </c>
      <c r="P431" s="4">
        <v>489.096</v>
      </c>
      <c r="Q431" s="4">
        <v>565.50800000000004</v>
      </c>
      <c r="R431" s="4">
        <v>540.13400000000001</v>
      </c>
    </row>
    <row r="432" spans="1:18" x14ac:dyDescent="0.2">
      <c r="A432" s="3" t="s">
        <v>49</v>
      </c>
      <c r="B432" s="4">
        <v>649</v>
      </c>
      <c r="C432" s="4">
        <v>666</v>
      </c>
      <c r="D432" s="4">
        <v>509</v>
      </c>
      <c r="E432" s="4">
        <v>522</v>
      </c>
      <c r="F432" s="4">
        <v>571</v>
      </c>
      <c r="G432" s="4">
        <v>780</v>
      </c>
      <c r="H432" s="4">
        <v>674</v>
      </c>
      <c r="I432" s="4">
        <v>746</v>
      </c>
      <c r="J432" s="4">
        <v>770</v>
      </c>
      <c r="K432" s="4">
        <v>796</v>
      </c>
      <c r="L432" s="4">
        <v>809</v>
      </c>
      <c r="M432" s="4">
        <v>784</v>
      </c>
      <c r="N432" s="4">
        <v>754</v>
      </c>
      <c r="O432" s="4">
        <v>825</v>
      </c>
      <c r="P432" s="4">
        <v>860</v>
      </c>
      <c r="Q432" s="4">
        <v>903</v>
      </c>
      <c r="R432" s="4">
        <v>984.80499999999995</v>
      </c>
    </row>
    <row r="433" spans="1:18" x14ac:dyDescent="0.2">
      <c r="A433" s="3" t="s">
        <v>50</v>
      </c>
      <c r="B433" s="4">
        <v>672</v>
      </c>
      <c r="C433" s="4">
        <v>680</v>
      </c>
      <c r="D433" s="4">
        <v>689</v>
      </c>
      <c r="E433" s="4">
        <v>651</v>
      </c>
      <c r="F433" s="4">
        <v>688</v>
      </c>
      <c r="G433" s="4">
        <v>636</v>
      </c>
      <c r="H433" s="4">
        <v>622</v>
      </c>
      <c r="I433" s="4">
        <v>647</v>
      </c>
      <c r="J433" s="4">
        <v>610</v>
      </c>
      <c r="K433" s="4">
        <v>564</v>
      </c>
      <c r="L433" s="4">
        <v>462</v>
      </c>
      <c r="M433" s="4">
        <v>360</v>
      </c>
      <c r="N433" s="4">
        <v>325</v>
      </c>
      <c r="O433" s="4">
        <v>314</v>
      </c>
      <c r="P433" s="4">
        <v>559.40200000000004</v>
      </c>
      <c r="Q433" s="4">
        <v>584.654</v>
      </c>
      <c r="R433" s="4">
        <v>511.70699999999999</v>
      </c>
    </row>
    <row r="434" spans="1:18" x14ac:dyDescent="0.2">
      <c r="A434" s="3" t="s">
        <v>51</v>
      </c>
      <c r="B434" s="4">
        <v>1029</v>
      </c>
      <c r="C434" s="4">
        <v>1062</v>
      </c>
      <c r="D434" s="4">
        <v>680</v>
      </c>
      <c r="E434" s="4">
        <v>703</v>
      </c>
      <c r="F434" s="4">
        <v>813</v>
      </c>
      <c r="G434" s="4">
        <v>934</v>
      </c>
      <c r="H434" s="4">
        <v>842</v>
      </c>
      <c r="I434" s="4">
        <v>793</v>
      </c>
      <c r="J434" s="4">
        <v>697</v>
      </c>
      <c r="K434" s="4">
        <v>691</v>
      </c>
      <c r="L434" s="4">
        <v>720</v>
      </c>
      <c r="M434" s="4">
        <v>526</v>
      </c>
      <c r="N434" s="4">
        <v>483</v>
      </c>
      <c r="O434" s="4">
        <v>450</v>
      </c>
      <c r="P434" s="4">
        <v>429</v>
      </c>
      <c r="Q434" s="4">
        <v>403.46499999999997</v>
      </c>
      <c r="R434" s="4">
        <v>387.899</v>
      </c>
    </row>
    <row r="435" spans="1:18" x14ac:dyDescent="0.2">
      <c r="A435" s="3" t="s">
        <v>52</v>
      </c>
      <c r="B435" s="4">
        <v>105</v>
      </c>
      <c r="C435" s="4">
        <v>46</v>
      </c>
      <c r="D435" s="4">
        <v>61</v>
      </c>
      <c r="E435" s="4">
        <v>142</v>
      </c>
      <c r="F435" s="4">
        <v>132</v>
      </c>
      <c r="G435" s="4">
        <v>78</v>
      </c>
      <c r="H435" s="4">
        <v>74</v>
      </c>
      <c r="I435" s="4">
        <v>64</v>
      </c>
      <c r="J435" s="4">
        <v>56</v>
      </c>
      <c r="K435" s="4">
        <v>53</v>
      </c>
      <c r="L435" s="4">
        <v>43</v>
      </c>
      <c r="M435" s="4">
        <v>41</v>
      </c>
      <c r="N435" s="4">
        <v>38</v>
      </c>
      <c r="O435" s="4">
        <v>45</v>
      </c>
      <c r="P435" s="4">
        <v>45</v>
      </c>
      <c r="Q435" s="4">
        <v>48.728000000000002</v>
      </c>
      <c r="R435" s="4">
        <v>80.132999999999996</v>
      </c>
    </row>
    <row r="436" spans="1:18" x14ac:dyDescent="0.2">
      <c r="A436" s="3" t="s">
        <v>53</v>
      </c>
      <c r="B436" s="4">
        <v>124</v>
      </c>
      <c r="C436" s="4">
        <v>80</v>
      </c>
      <c r="D436" s="4">
        <v>74</v>
      </c>
      <c r="E436" s="4">
        <v>77</v>
      </c>
      <c r="F436" s="4">
        <v>74</v>
      </c>
      <c r="G436" s="4">
        <v>90</v>
      </c>
      <c r="H436" s="4">
        <v>122</v>
      </c>
      <c r="I436" s="4">
        <v>204</v>
      </c>
      <c r="J436" s="4">
        <v>169</v>
      </c>
      <c r="K436" s="4">
        <v>226</v>
      </c>
      <c r="L436" s="4">
        <v>60</v>
      </c>
      <c r="M436" s="4">
        <v>60</v>
      </c>
      <c r="N436" s="4">
        <v>59</v>
      </c>
      <c r="O436" s="4">
        <v>69</v>
      </c>
      <c r="P436" s="4">
        <v>71</v>
      </c>
      <c r="Q436" s="4">
        <v>73</v>
      </c>
      <c r="R436" s="4">
        <v>104</v>
      </c>
    </row>
    <row r="437" spans="1:18" x14ac:dyDescent="0.2">
      <c r="A437" s="3" t="s">
        <v>54</v>
      </c>
      <c r="B437" s="4">
        <v>245</v>
      </c>
      <c r="C437" s="4">
        <v>242</v>
      </c>
      <c r="D437" s="4">
        <v>256</v>
      </c>
      <c r="E437" s="4">
        <v>270</v>
      </c>
      <c r="F437" s="4">
        <v>300</v>
      </c>
      <c r="G437" s="4">
        <v>349</v>
      </c>
      <c r="H437" s="4">
        <v>319</v>
      </c>
      <c r="I437" s="4">
        <v>314</v>
      </c>
      <c r="J437" s="4">
        <v>354</v>
      </c>
      <c r="K437" s="4">
        <v>349</v>
      </c>
      <c r="L437" s="4">
        <v>368</v>
      </c>
      <c r="M437" s="4">
        <v>378</v>
      </c>
      <c r="N437" s="4">
        <v>433</v>
      </c>
      <c r="O437" s="4">
        <v>372</v>
      </c>
      <c r="P437" s="4">
        <v>416</v>
      </c>
      <c r="Q437" s="4">
        <v>450</v>
      </c>
      <c r="R437" s="4">
        <v>415</v>
      </c>
    </row>
    <row r="438" spans="1:18" x14ac:dyDescent="0.2">
      <c r="A438" s="3" t="s">
        <v>55</v>
      </c>
      <c r="B438" s="4">
        <v>861</v>
      </c>
      <c r="C438" s="4">
        <v>806</v>
      </c>
      <c r="D438" s="4">
        <v>822</v>
      </c>
      <c r="E438" s="4">
        <v>803</v>
      </c>
      <c r="F438" s="4">
        <v>871</v>
      </c>
      <c r="G438" s="4">
        <v>885</v>
      </c>
      <c r="H438" s="4">
        <v>920</v>
      </c>
      <c r="I438" s="4">
        <v>1074</v>
      </c>
      <c r="J438" s="4">
        <v>1207</v>
      </c>
      <c r="K438" s="4">
        <v>1107</v>
      </c>
      <c r="L438" s="4">
        <v>1096</v>
      </c>
      <c r="M438" s="4">
        <v>1120</v>
      </c>
      <c r="N438" s="4">
        <v>1079</v>
      </c>
      <c r="O438" s="4">
        <v>1212</v>
      </c>
      <c r="P438" s="4">
        <v>1337</v>
      </c>
      <c r="Q438" s="4">
        <v>1378</v>
      </c>
      <c r="R438" s="4">
        <v>1483</v>
      </c>
    </row>
    <row r="439" spans="1:18" x14ac:dyDescent="0.2">
      <c r="A439" s="3" t="s">
        <v>56</v>
      </c>
      <c r="B439" s="4">
        <v>1700</v>
      </c>
      <c r="C439" s="4">
        <v>1701</v>
      </c>
      <c r="D439" s="4">
        <v>1804</v>
      </c>
      <c r="E439" s="4">
        <v>1929</v>
      </c>
      <c r="F439" s="4">
        <v>1840</v>
      </c>
      <c r="G439" s="4">
        <v>1798</v>
      </c>
      <c r="H439" s="4">
        <v>1817</v>
      </c>
      <c r="I439" s="4">
        <v>1586</v>
      </c>
      <c r="J439" s="4">
        <v>1621</v>
      </c>
      <c r="K439" s="4">
        <v>1539</v>
      </c>
      <c r="L439" s="4">
        <v>1494</v>
      </c>
      <c r="M439" s="4">
        <v>1464</v>
      </c>
      <c r="N439" s="4">
        <v>1393</v>
      </c>
      <c r="O439" s="4">
        <v>1363.7349999999999</v>
      </c>
      <c r="P439" s="4">
        <v>1308.7829999999999</v>
      </c>
      <c r="Q439" s="4">
        <v>1416.8140000000001</v>
      </c>
      <c r="R439" s="4">
        <v>1395.6420000000001</v>
      </c>
    </row>
    <row r="440" spans="1:18" x14ac:dyDescent="0.2">
      <c r="A440" s="3" t="s">
        <v>57</v>
      </c>
      <c r="B440" s="4">
        <v>28</v>
      </c>
      <c r="C440" s="4">
        <v>17</v>
      </c>
      <c r="D440" s="4">
        <v>66</v>
      </c>
      <c r="E440" s="4">
        <v>112</v>
      </c>
      <c r="F440" s="4">
        <v>157</v>
      </c>
      <c r="G440" s="4">
        <v>133</v>
      </c>
      <c r="H440" s="4">
        <v>73</v>
      </c>
      <c r="I440" s="4">
        <v>40</v>
      </c>
      <c r="J440" s="4">
        <v>20</v>
      </c>
      <c r="K440" s="4">
        <v>22</v>
      </c>
      <c r="L440" s="4">
        <v>29</v>
      </c>
      <c r="M440" s="4">
        <v>28</v>
      </c>
      <c r="N440" s="4">
        <v>27</v>
      </c>
      <c r="O440" s="4">
        <v>33</v>
      </c>
      <c r="P440" s="4">
        <v>38</v>
      </c>
      <c r="Q440" s="4">
        <v>38.277000000000001</v>
      </c>
      <c r="R440" s="4">
        <v>37.97</v>
      </c>
    </row>
    <row r="441" spans="1:18" x14ac:dyDescent="0.2">
      <c r="A441" s="3" t="s">
        <v>58</v>
      </c>
      <c r="B441" s="4">
        <v>775</v>
      </c>
      <c r="C441" s="4">
        <v>657</v>
      </c>
      <c r="D441" s="4">
        <v>549</v>
      </c>
      <c r="E441" s="4">
        <v>707</v>
      </c>
      <c r="F441" s="4">
        <v>714</v>
      </c>
      <c r="G441" s="4">
        <v>761</v>
      </c>
      <c r="H441" s="4">
        <v>1038</v>
      </c>
      <c r="I441" s="4">
        <v>1073</v>
      </c>
      <c r="J441" s="4">
        <v>1150</v>
      </c>
      <c r="K441" s="4">
        <v>1112</v>
      </c>
      <c r="L441" s="4">
        <v>1240</v>
      </c>
      <c r="M441" s="4">
        <v>1284</v>
      </c>
      <c r="N441" s="4">
        <v>1256</v>
      </c>
      <c r="O441" s="4">
        <v>1293</v>
      </c>
      <c r="P441" s="4">
        <v>1340</v>
      </c>
      <c r="Q441" s="4">
        <v>1391</v>
      </c>
      <c r="R441" s="4">
        <v>1414.2049999999999</v>
      </c>
    </row>
    <row r="442" spans="1:18" x14ac:dyDescent="0.2">
      <c r="A442" s="3" t="s">
        <v>59</v>
      </c>
      <c r="B442" s="5">
        <v>0</v>
      </c>
      <c r="C442" s="5">
        <v>0</v>
      </c>
      <c r="D442" s="4">
        <v>318</v>
      </c>
      <c r="E442" s="4">
        <v>297</v>
      </c>
      <c r="F442" s="4">
        <v>190</v>
      </c>
      <c r="G442" s="4">
        <v>214</v>
      </c>
      <c r="H442" s="4">
        <v>206</v>
      </c>
      <c r="I442" s="4">
        <v>310</v>
      </c>
      <c r="J442" s="4">
        <v>160</v>
      </c>
      <c r="K442" s="4">
        <v>326</v>
      </c>
      <c r="L442" s="4">
        <v>317</v>
      </c>
      <c r="M442" s="4">
        <v>310</v>
      </c>
      <c r="N442" s="4">
        <v>306</v>
      </c>
      <c r="O442" s="4">
        <v>318</v>
      </c>
      <c r="P442" s="4">
        <v>321</v>
      </c>
      <c r="Q442" s="4">
        <v>339.87</v>
      </c>
      <c r="R442" s="4">
        <v>339.1</v>
      </c>
    </row>
    <row r="444" spans="1:18" x14ac:dyDescent="0.2">
      <c r="A444" s="1" t="s">
        <v>61</v>
      </c>
    </row>
    <row r="445" spans="1:18" x14ac:dyDescent="0.2">
      <c r="A445" s="1" t="s">
        <v>60</v>
      </c>
      <c r="B445" s="1" t="s">
        <v>62</v>
      </c>
    </row>
    <row r="447" spans="1:18" x14ac:dyDescent="0.2">
      <c r="A447" s="1" t="s">
        <v>5</v>
      </c>
      <c r="B447" s="1" t="s">
        <v>73</v>
      </c>
    </row>
    <row r="448" spans="1:18" x14ac:dyDescent="0.2">
      <c r="A448" s="1" t="s">
        <v>7</v>
      </c>
      <c r="B448" s="1" t="s">
        <v>8</v>
      </c>
    </row>
    <row r="449" spans="1:18" x14ac:dyDescent="0.2">
      <c r="A449" s="1" t="s">
        <v>9</v>
      </c>
      <c r="B449" s="1" t="s">
        <v>10</v>
      </c>
    </row>
    <row r="451" spans="1:18" x14ac:dyDescent="0.2">
      <c r="A451" s="3" t="s">
        <v>11</v>
      </c>
      <c r="B451" s="3" t="s">
        <v>12</v>
      </c>
      <c r="C451" s="3" t="s">
        <v>13</v>
      </c>
      <c r="D451" s="3" t="s">
        <v>14</v>
      </c>
      <c r="E451" s="3" t="s">
        <v>15</v>
      </c>
      <c r="F451" s="3" t="s">
        <v>16</v>
      </c>
      <c r="G451" s="3" t="s">
        <v>17</v>
      </c>
      <c r="H451" s="3" t="s">
        <v>18</v>
      </c>
      <c r="I451" s="3" t="s">
        <v>19</v>
      </c>
      <c r="J451" s="3" t="s">
        <v>20</v>
      </c>
      <c r="K451" s="3" t="s">
        <v>21</v>
      </c>
      <c r="L451" s="3" t="s">
        <v>22</v>
      </c>
      <c r="M451" s="3" t="s">
        <v>23</v>
      </c>
      <c r="N451" s="3" t="s">
        <v>24</v>
      </c>
      <c r="O451" s="3" t="s">
        <v>25</v>
      </c>
      <c r="P451" s="3" t="s">
        <v>26</v>
      </c>
      <c r="Q451" s="3" t="s">
        <v>27</v>
      </c>
      <c r="R451" s="3" t="s">
        <v>28</v>
      </c>
    </row>
    <row r="452" spans="1:18" x14ac:dyDescent="0.2">
      <c r="A452" s="3" t="s">
        <v>29</v>
      </c>
      <c r="B452" s="4">
        <v>1918</v>
      </c>
      <c r="C452" s="4">
        <v>1962</v>
      </c>
      <c r="D452" s="4">
        <v>2000</v>
      </c>
      <c r="E452" s="4">
        <v>1231</v>
      </c>
      <c r="F452" s="4">
        <v>1714</v>
      </c>
      <c r="G452" s="4">
        <v>1686</v>
      </c>
      <c r="H452" s="4">
        <v>1537</v>
      </c>
      <c r="I452" s="4">
        <v>1251</v>
      </c>
      <c r="J452" s="4">
        <v>1253</v>
      </c>
      <c r="K452" s="4">
        <v>1057</v>
      </c>
      <c r="L452" s="4">
        <v>1064</v>
      </c>
      <c r="M452" s="4">
        <v>1137</v>
      </c>
      <c r="N452" s="4">
        <v>1120.8</v>
      </c>
      <c r="O452" s="4">
        <v>1160.0999999999999</v>
      </c>
      <c r="P452" s="4">
        <v>1116.5</v>
      </c>
      <c r="Q452" s="4">
        <v>1070.3</v>
      </c>
      <c r="R452" s="4">
        <v>1094.4000000000001</v>
      </c>
    </row>
    <row r="453" spans="1:18" x14ac:dyDescent="0.2">
      <c r="A453" s="3" t="s">
        <v>30</v>
      </c>
      <c r="B453" s="4">
        <v>444</v>
      </c>
      <c r="C453" s="4">
        <v>509</v>
      </c>
      <c r="D453" s="4">
        <v>553</v>
      </c>
      <c r="E453" s="4">
        <v>562</v>
      </c>
      <c r="F453" s="4">
        <v>597</v>
      </c>
      <c r="G453" s="4">
        <v>621</v>
      </c>
      <c r="H453" s="4">
        <v>540</v>
      </c>
      <c r="I453" s="4">
        <v>492</v>
      </c>
      <c r="J453" s="4">
        <v>386</v>
      </c>
      <c r="K453" s="4">
        <v>395</v>
      </c>
      <c r="L453" s="4">
        <v>379</v>
      </c>
      <c r="M453" s="4">
        <v>384</v>
      </c>
      <c r="N453" s="4">
        <v>367</v>
      </c>
      <c r="O453" s="4">
        <v>380</v>
      </c>
      <c r="P453" s="4">
        <v>372</v>
      </c>
      <c r="Q453" s="4">
        <v>365.774</v>
      </c>
      <c r="R453" s="4">
        <v>363.24900000000002</v>
      </c>
    </row>
    <row r="454" spans="1:18" x14ac:dyDescent="0.2">
      <c r="A454" s="3" t="s">
        <v>31</v>
      </c>
      <c r="B454" s="4">
        <v>1292</v>
      </c>
      <c r="C454" s="4">
        <v>1134</v>
      </c>
      <c r="D454" s="4">
        <v>1123</v>
      </c>
      <c r="E454" s="4">
        <v>1155</v>
      </c>
      <c r="F454" s="4">
        <v>1005</v>
      </c>
      <c r="G454" s="4">
        <v>966</v>
      </c>
      <c r="H454" s="4">
        <v>897</v>
      </c>
      <c r="I454" s="4">
        <v>704</v>
      </c>
      <c r="J454" s="4">
        <v>723</v>
      </c>
      <c r="K454" s="4">
        <v>752</v>
      </c>
      <c r="L454" s="4">
        <v>728</v>
      </c>
      <c r="M454" s="4">
        <v>721</v>
      </c>
      <c r="N454" s="4">
        <v>728</v>
      </c>
      <c r="O454" s="4">
        <v>714</v>
      </c>
      <c r="P454" s="4">
        <v>713</v>
      </c>
      <c r="Q454" s="4">
        <v>736.52200000000005</v>
      </c>
      <c r="R454" s="4">
        <v>757.11500000000001</v>
      </c>
    </row>
    <row r="455" spans="1:18" x14ac:dyDescent="0.2">
      <c r="A455" s="3" t="s">
        <v>32</v>
      </c>
      <c r="B455" s="4">
        <v>213</v>
      </c>
      <c r="C455" s="4">
        <v>212</v>
      </c>
      <c r="D455" s="4">
        <v>221</v>
      </c>
      <c r="E455" s="4">
        <v>183</v>
      </c>
      <c r="F455" s="4">
        <v>174</v>
      </c>
      <c r="G455" s="4">
        <v>171</v>
      </c>
      <c r="H455" s="4">
        <v>169</v>
      </c>
      <c r="I455" s="4">
        <v>157</v>
      </c>
      <c r="J455" s="4">
        <v>157</v>
      </c>
      <c r="K455" s="4">
        <v>155</v>
      </c>
      <c r="L455" s="4">
        <v>120</v>
      </c>
      <c r="M455" s="4">
        <v>128</v>
      </c>
      <c r="N455" s="4">
        <v>118</v>
      </c>
      <c r="O455" s="4">
        <v>117.098</v>
      </c>
      <c r="P455" s="4">
        <v>109.986</v>
      </c>
      <c r="Q455" s="4">
        <v>111.67400000000001</v>
      </c>
      <c r="R455" s="4">
        <v>111.565</v>
      </c>
    </row>
    <row r="456" spans="1:18" x14ac:dyDescent="0.2">
      <c r="A456" s="3" t="s">
        <v>33</v>
      </c>
      <c r="B456" s="4">
        <v>4373</v>
      </c>
      <c r="C456" s="4">
        <v>3381</v>
      </c>
      <c r="D456" s="4">
        <v>3230</v>
      </c>
      <c r="E456" s="4">
        <v>3359</v>
      </c>
      <c r="F456" s="4">
        <v>2982</v>
      </c>
      <c r="G456" s="4">
        <v>3196</v>
      </c>
      <c r="H456" s="4">
        <v>2668</v>
      </c>
      <c r="I456" s="4">
        <v>2313</v>
      </c>
      <c r="J456" s="4">
        <v>2482</v>
      </c>
      <c r="K456" s="4">
        <v>2521</v>
      </c>
      <c r="L456" s="4">
        <v>2382</v>
      </c>
      <c r="M456" s="4">
        <v>2243</v>
      </c>
      <c r="N456" s="4">
        <v>2193</v>
      </c>
      <c r="O456" s="4">
        <v>2259</v>
      </c>
      <c r="P456" s="4">
        <v>2191</v>
      </c>
      <c r="Q456" s="4">
        <v>2178</v>
      </c>
      <c r="R456" s="4">
        <v>2132</v>
      </c>
    </row>
    <row r="457" spans="1:18" x14ac:dyDescent="0.2">
      <c r="A457" s="3" t="s">
        <v>34</v>
      </c>
      <c r="B457" s="4">
        <v>242</v>
      </c>
      <c r="C457" s="4">
        <v>255</v>
      </c>
      <c r="D457" s="4">
        <v>261</v>
      </c>
      <c r="E457" s="4">
        <v>195</v>
      </c>
      <c r="F457" s="4">
        <v>195</v>
      </c>
      <c r="G457" s="4">
        <v>150</v>
      </c>
      <c r="H457" s="4">
        <v>133</v>
      </c>
      <c r="I457" s="4">
        <v>116</v>
      </c>
      <c r="J457" s="4">
        <v>123</v>
      </c>
      <c r="K457" s="4">
        <v>124</v>
      </c>
      <c r="L457" s="4">
        <v>118</v>
      </c>
      <c r="M457" s="4">
        <v>111</v>
      </c>
      <c r="N457" s="4">
        <v>115</v>
      </c>
      <c r="O457" s="4">
        <v>98</v>
      </c>
      <c r="P457" s="4">
        <v>74</v>
      </c>
      <c r="Q457" s="4">
        <v>58</v>
      </c>
      <c r="R457" s="4">
        <v>61</v>
      </c>
    </row>
    <row r="458" spans="1:18" x14ac:dyDescent="0.2">
      <c r="A458" s="3" t="s">
        <v>35</v>
      </c>
      <c r="B458" s="4">
        <v>183.392</v>
      </c>
      <c r="C458" s="4">
        <v>170.76400000000001</v>
      </c>
      <c r="D458" s="4">
        <v>161.61000000000001</v>
      </c>
      <c r="E458" s="4">
        <v>180.10599999999999</v>
      </c>
      <c r="F458" s="4">
        <v>95.626000000000005</v>
      </c>
      <c r="G458" s="4">
        <v>85.045000000000002</v>
      </c>
      <c r="H458" s="4">
        <v>73.105999999999995</v>
      </c>
      <c r="I458" s="4">
        <v>79.968999999999994</v>
      </c>
      <c r="J458" s="4">
        <v>116.122</v>
      </c>
      <c r="K458" s="4">
        <v>121.22799999999999</v>
      </c>
      <c r="L458" s="4">
        <v>116.679</v>
      </c>
      <c r="M458" s="4">
        <v>118.488</v>
      </c>
      <c r="N458" s="4">
        <v>119.90300000000001</v>
      </c>
      <c r="O458" s="4">
        <v>125.592</v>
      </c>
      <c r="P458" s="4">
        <v>129.679</v>
      </c>
      <c r="Q458" s="4">
        <v>131.12100000000001</v>
      </c>
      <c r="R458" s="4">
        <v>139.542</v>
      </c>
    </row>
    <row r="459" spans="1:18" x14ac:dyDescent="0.2">
      <c r="A459" s="3" t="s">
        <v>36</v>
      </c>
      <c r="B459" s="4">
        <v>965</v>
      </c>
      <c r="C459" s="4">
        <v>1013</v>
      </c>
      <c r="D459" s="4">
        <v>941</v>
      </c>
      <c r="E459" s="4">
        <v>759</v>
      </c>
      <c r="F459" s="4">
        <v>739</v>
      </c>
      <c r="G459" s="4">
        <v>826</v>
      </c>
      <c r="H459" s="4">
        <v>842</v>
      </c>
      <c r="I459" s="4">
        <v>612</v>
      </c>
      <c r="J459" s="4">
        <v>613</v>
      </c>
      <c r="K459" s="4">
        <v>545</v>
      </c>
      <c r="L459" s="4">
        <v>320</v>
      </c>
      <c r="M459" s="4">
        <v>298</v>
      </c>
      <c r="N459" s="4">
        <v>197</v>
      </c>
      <c r="O459" s="4">
        <v>203</v>
      </c>
      <c r="P459" s="4">
        <v>313</v>
      </c>
      <c r="Q459" s="4">
        <v>229.91499999999999</v>
      </c>
      <c r="R459" s="4">
        <v>869.99</v>
      </c>
    </row>
    <row r="460" spans="1:18" x14ac:dyDescent="0.2">
      <c r="A460" s="3" t="s">
        <v>37</v>
      </c>
      <c r="B460" s="4">
        <v>4589</v>
      </c>
      <c r="C460" s="4">
        <v>4526</v>
      </c>
      <c r="D460" s="4">
        <v>4429</v>
      </c>
      <c r="E460" s="4">
        <v>4290</v>
      </c>
      <c r="F460" s="4">
        <v>2947</v>
      </c>
      <c r="G460" s="4">
        <v>2971</v>
      </c>
      <c r="H460" s="4">
        <v>2501</v>
      </c>
      <c r="I460" s="4">
        <v>2052</v>
      </c>
      <c r="J460" s="4">
        <v>2162</v>
      </c>
      <c r="K460" s="4">
        <v>2020</v>
      </c>
      <c r="L460" s="4">
        <v>1993</v>
      </c>
      <c r="M460" s="4">
        <v>1853</v>
      </c>
      <c r="N460" s="4">
        <v>1671</v>
      </c>
      <c r="O460" s="4">
        <v>1738</v>
      </c>
      <c r="P460" s="4">
        <v>1662</v>
      </c>
      <c r="Q460" s="4">
        <v>1673</v>
      </c>
      <c r="R460" s="4">
        <v>1533</v>
      </c>
    </row>
    <row r="461" spans="1:18" x14ac:dyDescent="0.2">
      <c r="A461" s="3" t="s">
        <v>38</v>
      </c>
      <c r="B461" s="4">
        <v>3151</v>
      </c>
      <c r="C461" s="4">
        <v>2942</v>
      </c>
      <c r="D461" s="4">
        <v>2825</v>
      </c>
      <c r="E461" s="4">
        <v>2567</v>
      </c>
      <c r="F461" s="4">
        <v>2398</v>
      </c>
      <c r="G461" s="4">
        <v>2271</v>
      </c>
      <c r="H461" s="4">
        <v>2069</v>
      </c>
      <c r="I461" s="4">
        <v>1714</v>
      </c>
      <c r="J461" s="4">
        <v>1758</v>
      </c>
      <c r="K461" s="4">
        <v>1795.1489999999999</v>
      </c>
      <c r="L461" s="4">
        <v>1782.479</v>
      </c>
      <c r="M461" s="4">
        <v>1718.201</v>
      </c>
      <c r="N461" s="4">
        <v>1686.306</v>
      </c>
      <c r="O461" s="4">
        <v>1606.597</v>
      </c>
      <c r="P461" s="4">
        <v>1641.08</v>
      </c>
      <c r="Q461" s="4">
        <v>1628.42</v>
      </c>
      <c r="R461" s="4">
        <v>1625.527</v>
      </c>
    </row>
    <row r="462" spans="1:18" x14ac:dyDescent="0.2">
      <c r="A462" s="3" t="s">
        <v>39</v>
      </c>
      <c r="B462" s="4">
        <v>159</v>
      </c>
      <c r="C462" s="4">
        <v>144</v>
      </c>
      <c r="D462" s="4">
        <v>173</v>
      </c>
      <c r="E462" s="4">
        <v>170</v>
      </c>
      <c r="F462" s="4">
        <v>170</v>
      </c>
      <c r="G462" s="4">
        <v>171</v>
      </c>
      <c r="H462" s="4">
        <v>162</v>
      </c>
      <c r="I462" s="4">
        <v>152</v>
      </c>
      <c r="J462" s="4">
        <v>147</v>
      </c>
      <c r="K462" s="4">
        <v>158</v>
      </c>
      <c r="L462" s="4">
        <v>155</v>
      </c>
      <c r="M462" s="4">
        <v>150</v>
      </c>
      <c r="N462" s="4">
        <v>159</v>
      </c>
      <c r="O462" s="4">
        <v>166</v>
      </c>
      <c r="P462" s="4">
        <v>149</v>
      </c>
      <c r="Q462" s="4">
        <v>153</v>
      </c>
      <c r="R462" s="4">
        <v>148</v>
      </c>
    </row>
    <row r="463" spans="1:18" x14ac:dyDescent="0.2">
      <c r="A463" s="3" t="s">
        <v>40</v>
      </c>
      <c r="B463" s="4">
        <v>11058</v>
      </c>
      <c r="C463" s="4">
        <v>10537</v>
      </c>
      <c r="D463" s="4">
        <v>9788</v>
      </c>
      <c r="E463" s="4">
        <v>9119</v>
      </c>
      <c r="F463" s="4">
        <v>8936</v>
      </c>
      <c r="G463" s="4">
        <v>8410</v>
      </c>
      <c r="H463" s="4">
        <v>7568</v>
      </c>
      <c r="I463" s="4">
        <v>6197</v>
      </c>
      <c r="J463" s="4">
        <v>6334</v>
      </c>
      <c r="K463" s="4">
        <v>6064</v>
      </c>
      <c r="L463" s="4">
        <v>5523</v>
      </c>
      <c r="M463" s="4">
        <v>5343</v>
      </c>
      <c r="N463" s="4">
        <v>5237</v>
      </c>
      <c r="O463" s="4">
        <v>5232</v>
      </c>
      <c r="P463" s="4">
        <v>5153</v>
      </c>
      <c r="Q463" s="4">
        <v>5164.2939999999999</v>
      </c>
      <c r="R463" s="4">
        <v>5119.7640000000001</v>
      </c>
    </row>
    <row r="464" spans="1:18" x14ac:dyDescent="0.2">
      <c r="A464" s="3" t="s">
        <v>41</v>
      </c>
      <c r="B464" s="4">
        <v>13</v>
      </c>
      <c r="C464" s="4">
        <v>13</v>
      </c>
      <c r="D464" s="4">
        <v>11</v>
      </c>
      <c r="E464" s="4">
        <v>11</v>
      </c>
      <c r="F464" s="4">
        <v>10</v>
      </c>
      <c r="G464" s="4">
        <v>9</v>
      </c>
      <c r="H464" s="4">
        <v>9</v>
      </c>
      <c r="I464" s="4">
        <v>9</v>
      </c>
      <c r="J464" s="4">
        <v>8</v>
      </c>
      <c r="K464" s="4">
        <v>7</v>
      </c>
      <c r="L464" s="4">
        <v>6</v>
      </c>
      <c r="M464" s="4">
        <v>6</v>
      </c>
      <c r="N464" s="4">
        <v>5</v>
      </c>
      <c r="O464" s="4">
        <v>5</v>
      </c>
      <c r="P464" s="4">
        <v>5</v>
      </c>
      <c r="Q464" s="4">
        <v>4.8769999999999998</v>
      </c>
      <c r="R464" s="4">
        <v>4.9660000000000002</v>
      </c>
    </row>
    <row r="465" spans="1:18" x14ac:dyDescent="0.2">
      <c r="A465" s="3" t="s">
        <v>42</v>
      </c>
      <c r="B465" s="4">
        <v>213</v>
      </c>
      <c r="C465" s="4">
        <v>212</v>
      </c>
      <c r="D465" s="4">
        <v>190</v>
      </c>
      <c r="E465" s="4">
        <v>114</v>
      </c>
      <c r="F465" s="4">
        <v>99</v>
      </c>
      <c r="G465" s="4">
        <v>103</v>
      </c>
      <c r="H465" s="4">
        <v>70</v>
      </c>
      <c r="I465" s="4">
        <v>51</v>
      </c>
      <c r="J465" s="4">
        <v>40</v>
      </c>
      <c r="K465" s="4">
        <v>42</v>
      </c>
      <c r="L465" s="4">
        <v>36</v>
      </c>
      <c r="M465" s="4">
        <v>41</v>
      </c>
      <c r="N465" s="4">
        <v>33</v>
      </c>
      <c r="O465" s="4">
        <v>29</v>
      </c>
      <c r="P465" s="4">
        <v>30</v>
      </c>
      <c r="Q465" s="4">
        <v>30.099</v>
      </c>
      <c r="R465" s="4">
        <v>29.384</v>
      </c>
    </row>
    <row r="466" spans="1:18" x14ac:dyDescent="0.2">
      <c r="A466" s="3" t="s">
        <v>43</v>
      </c>
      <c r="B466" s="4">
        <v>321</v>
      </c>
      <c r="C466" s="4">
        <v>315</v>
      </c>
      <c r="D466" s="4">
        <v>292</v>
      </c>
      <c r="E466" s="4">
        <v>252</v>
      </c>
      <c r="F466" s="4">
        <v>266</v>
      </c>
      <c r="G466" s="4">
        <v>248</v>
      </c>
      <c r="H466" s="4">
        <v>158</v>
      </c>
      <c r="I466" s="4">
        <v>204</v>
      </c>
      <c r="J466" s="4">
        <v>160</v>
      </c>
      <c r="K466" s="4">
        <v>147</v>
      </c>
      <c r="L466" s="4">
        <v>155</v>
      </c>
      <c r="M466" s="4">
        <v>150</v>
      </c>
      <c r="N466" s="4">
        <v>145</v>
      </c>
      <c r="O466" s="4">
        <v>158</v>
      </c>
      <c r="P466" s="4">
        <v>168</v>
      </c>
      <c r="Q466" s="4">
        <v>163.19999999999999</v>
      </c>
      <c r="R466" s="4">
        <v>158.9</v>
      </c>
    </row>
    <row r="467" spans="1:18" x14ac:dyDescent="0.2">
      <c r="A467" s="3" t="s">
        <v>44</v>
      </c>
      <c r="B467" s="4">
        <v>186.584</v>
      </c>
      <c r="C467" s="4">
        <v>158.191</v>
      </c>
      <c r="D467" s="4">
        <v>153.64599999999999</v>
      </c>
      <c r="E467" s="4">
        <v>155.96799999999999</v>
      </c>
      <c r="F467" s="4">
        <v>129.13300000000001</v>
      </c>
      <c r="G467" s="4">
        <v>119.732</v>
      </c>
      <c r="H467" s="4">
        <v>133.37100000000001</v>
      </c>
      <c r="I467" s="4">
        <v>116.956</v>
      </c>
      <c r="J467" s="4">
        <v>141.30099999999999</v>
      </c>
      <c r="K467" s="4">
        <v>128.053</v>
      </c>
      <c r="L467" s="4">
        <v>108.575</v>
      </c>
      <c r="M467" s="4">
        <v>105.679</v>
      </c>
      <c r="N467" s="4">
        <v>86.183000000000007</v>
      </c>
      <c r="O467" s="4">
        <v>100.982</v>
      </c>
      <c r="P467" s="4">
        <v>100.804</v>
      </c>
      <c r="Q467" s="4">
        <v>88.808000000000007</v>
      </c>
      <c r="R467" s="4">
        <v>94.454999999999998</v>
      </c>
    </row>
    <row r="468" spans="1:18" x14ac:dyDescent="0.2">
      <c r="A468" s="3" t="s">
        <v>45</v>
      </c>
      <c r="B468" s="4">
        <v>249</v>
      </c>
      <c r="C468" s="4">
        <v>215</v>
      </c>
      <c r="D468" s="4">
        <v>212</v>
      </c>
      <c r="E468" s="4">
        <v>186</v>
      </c>
      <c r="F468" s="4">
        <v>145</v>
      </c>
      <c r="G468" s="4">
        <v>135</v>
      </c>
      <c r="H468" s="4">
        <v>119</v>
      </c>
      <c r="I468" s="4">
        <v>95</v>
      </c>
      <c r="J468" s="4">
        <v>133</v>
      </c>
      <c r="K468" s="4">
        <v>134</v>
      </c>
      <c r="L468" s="4">
        <v>240</v>
      </c>
      <c r="M468" s="4">
        <v>194</v>
      </c>
      <c r="N468" s="4">
        <v>196</v>
      </c>
      <c r="O468" s="4">
        <v>219</v>
      </c>
      <c r="P468" s="4">
        <v>239</v>
      </c>
      <c r="Q468" s="4">
        <v>226</v>
      </c>
      <c r="R468" s="4">
        <v>244</v>
      </c>
    </row>
    <row r="469" spans="1:18" x14ac:dyDescent="0.2">
      <c r="A469" s="3" t="s">
        <v>46</v>
      </c>
      <c r="B469" s="5">
        <v>0</v>
      </c>
      <c r="C469" s="5">
        <v>0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4">
        <v>47</v>
      </c>
      <c r="K469" s="4">
        <v>47</v>
      </c>
      <c r="L469" s="4">
        <v>46</v>
      </c>
      <c r="M469" s="4">
        <v>39</v>
      </c>
      <c r="N469" s="4">
        <v>30</v>
      </c>
      <c r="O469" s="4">
        <v>33</v>
      </c>
      <c r="P469" s="4">
        <v>28</v>
      </c>
      <c r="Q469" s="4">
        <v>31.22</v>
      </c>
      <c r="R469" s="4">
        <v>32.131</v>
      </c>
    </row>
    <row r="470" spans="1:18" x14ac:dyDescent="0.2">
      <c r="A470" s="3" t="s">
        <v>47</v>
      </c>
      <c r="B470" s="4">
        <v>574</v>
      </c>
      <c r="C470" s="4">
        <v>548</v>
      </c>
      <c r="D470" s="4">
        <v>499</v>
      </c>
      <c r="E470" s="4">
        <v>407</v>
      </c>
      <c r="F470" s="4">
        <v>395</v>
      </c>
      <c r="G470" s="4">
        <v>388</v>
      </c>
      <c r="H470" s="4">
        <v>357</v>
      </c>
      <c r="I470" s="4">
        <v>320</v>
      </c>
      <c r="J470" s="4">
        <v>385</v>
      </c>
      <c r="K470" s="4">
        <v>363</v>
      </c>
      <c r="L470" s="4">
        <v>350</v>
      </c>
      <c r="M470" s="4">
        <v>377</v>
      </c>
      <c r="N470" s="4">
        <v>338</v>
      </c>
      <c r="O470" s="4">
        <v>362.46699999999998</v>
      </c>
      <c r="P470" s="4">
        <v>355.26</v>
      </c>
      <c r="Q470" s="4">
        <v>370.202</v>
      </c>
      <c r="R470" s="4">
        <v>402.57400000000001</v>
      </c>
    </row>
    <row r="471" spans="1:18" x14ac:dyDescent="0.2">
      <c r="A471" s="3" t="s">
        <v>48</v>
      </c>
      <c r="B471" s="4">
        <v>599</v>
      </c>
      <c r="C471" s="4">
        <v>626</v>
      </c>
      <c r="D471" s="4">
        <v>640</v>
      </c>
      <c r="E471" s="4">
        <v>610.58100000000002</v>
      </c>
      <c r="F471" s="4">
        <v>591.79100000000005</v>
      </c>
      <c r="G471" s="4">
        <v>567.97299999999996</v>
      </c>
      <c r="H471" s="4">
        <v>520.30600000000004</v>
      </c>
      <c r="I471" s="4">
        <v>442.23099999999999</v>
      </c>
      <c r="J471" s="4">
        <v>436.81299999999999</v>
      </c>
      <c r="K471" s="4">
        <v>448.67899999999997</v>
      </c>
      <c r="L471" s="4">
        <v>443.488</v>
      </c>
      <c r="M471" s="4">
        <v>508.089</v>
      </c>
      <c r="N471" s="4">
        <v>437.17899999999997</v>
      </c>
      <c r="O471" s="4">
        <v>401.262</v>
      </c>
      <c r="P471" s="4">
        <v>372.69799999999998</v>
      </c>
      <c r="Q471" s="4">
        <v>347.94099999999997</v>
      </c>
      <c r="R471" s="4">
        <v>314.464</v>
      </c>
    </row>
    <row r="472" spans="1:18" x14ac:dyDescent="0.2">
      <c r="A472" s="3" t="s">
        <v>49</v>
      </c>
      <c r="B472" s="4">
        <v>1161</v>
      </c>
      <c r="C472" s="4">
        <v>1137</v>
      </c>
      <c r="D472" s="4">
        <v>1178</v>
      </c>
      <c r="E472" s="4">
        <v>1026</v>
      </c>
      <c r="F472" s="4">
        <v>907</v>
      </c>
      <c r="G472" s="4">
        <v>918</v>
      </c>
      <c r="H472" s="4">
        <v>782</v>
      </c>
      <c r="I472" s="4">
        <v>573</v>
      </c>
      <c r="J472" s="4">
        <v>567</v>
      </c>
      <c r="K472" s="4">
        <v>512</v>
      </c>
      <c r="L472" s="4">
        <v>491</v>
      </c>
      <c r="M472" s="4">
        <v>534</v>
      </c>
      <c r="N472" s="4">
        <v>540</v>
      </c>
      <c r="O472" s="4">
        <v>570</v>
      </c>
      <c r="P472" s="4">
        <v>609</v>
      </c>
      <c r="Q472" s="4">
        <v>606.24400000000003</v>
      </c>
      <c r="R472" s="4">
        <v>824.81500000000005</v>
      </c>
    </row>
    <row r="473" spans="1:18" x14ac:dyDescent="0.2">
      <c r="A473" s="3" t="s">
        <v>50</v>
      </c>
      <c r="B473" s="4">
        <v>2332</v>
      </c>
      <c r="C473" s="4">
        <v>2077</v>
      </c>
      <c r="D473" s="4">
        <v>1904</v>
      </c>
      <c r="E473" s="4">
        <v>1791</v>
      </c>
      <c r="F473" s="4">
        <v>1686</v>
      </c>
      <c r="G473" s="4">
        <v>1698</v>
      </c>
      <c r="H473" s="4">
        <v>1538</v>
      </c>
      <c r="I473" s="4">
        <v>1294</v>
      </c>
      <c r="J473" s="4">
        <v>1459</v>
      </c>
      <c r="K473" s="4">
        <v>1219</v>
      </c>
      <c r="L473" s="4">
        <v>1204</v>
      </c>
      <c r="M473" s="4">
        <v>1231</v>
      </c>
      <c r="N473" s="4">
        <v>1333</v>
      </c>
      <c r="O473" s="4">
        <v>1331</v>
      </c>
      <c r="P473" s="4">
        <v>1244.1179999999999</v>
      </c>
      <c r="Q473" s="4">
        <v>1269.06</v>
      </c>
      <c r="R473" s="4">
        <v>1279.829</v>
      </c>
    </row>
    <row r="474" spans="1:18" x14ac:dyDescent="0.2">
      <c r="A474" s="3" t="s">
        <v>51</v>
      </c>
      <c r="B474" s="4">
        <v>1206</v>
      </c>
      <c r="C474" s="4">
        <v>990</v>
      </c>
      <c r="D474" s="4">
        <v>998</v>
      </c>
      <c r="E474" s="4">
        <v>605</v>
      </c>
      <c r="F474" s="4">
        <v>822</v>
      </c>
      <c r="G474" s="4">
        <v>849</v>
      </c>
      <c r="H474" s="4">
        <v>1133</v>
      </c>
      <c r="I474" s="4">
        <v>659</v>
      </c>
      <c r="J474" s="4">
        <v>813</v>
      </c>
      <c r="K474" s="4">
        <v>778</v>
      </c>
      <c r="L474" s="4">
        <v>730</v>
      </c>
      <c r="M474" s="4">
        <v>794</v>
      </c>
      <c r="N474" s="4">
        <v>851</v>
      </c>
      <c r="O474" s="4">
        <v>745</v>
      </c>
      <c r="P474" s="4">
        <v>707</v>
      </c>
      <c r="Q474" s="4">
        <v>680.71600000000001</v>
      </c>
      <c r="R474" s="4">
        <v>663.19799999999998</v>
      </c>
    </row>
    <row r="475" spans="1:18" x14ac:dyDescent="0.2">
      <c r="A475" s="3" t="s">
        <v>52</v>
      </c>
      <c r="B475" s="4">
        <v>256</v>
      </c>
      <c r="C475" s="4">
        <v>273</v>
      </c>
      <c r="D475" s="4">
        <v>261</v>
      </c>
      <c r="E475" s="4">
        <v>250</v>
      </c>
      <c r="F475" s="4">
        <v>248</v>
      </c>
      <c r="G475" s="4">
        <v>245</v>
      </c>
      <c r="H475" s="4">
        <v>187</v>
      </c>
      <c r="I475" s="4">
        <v>147</v>
      </c>
      <c r="J475" s="4">
        <v>150</v>
      </c>
      <c r="K475" s="4">
        <v>126</v>
      </c>
      <c r="L475" s="4">
        <v>115</v>
      </c>
      <c r="M475" s="4">
        <v>121</v>
      </c>
      <c r="N475" s="4">
        <v>106</v>
      </c>
      <c r="O475" s="4">
        <v>95</v>
      </c>
      <c r="P475" s="4">
        <v>102</v>
      </c>
      <c r="Q475" s="4">
        <v>103.57299999999999</v>
      </c>
      <c r="R475" s="4">
        <v>96.914000000000001</v>
      </c>
    </row>
    <row r="476" spans="1:18" x14ac:dyDescent="0.2">
      <c r="A476" s="3" t="s">
        <v>53</v>
      </c>
      <c r="B476" s="4">
        <v>189</v>
      </c>
      <c r="C476" s="4">
        <v>175</v>
      </c>
      <c r="D476" s="4">
        <v>197</v>
      </c>
      <c r="E476" s="4">
        <v>227</v>
      </c>
      <c r="F476" s="4">
        <v>185</v>
      </c>
      <c r="G476" s="4">
        <v>181</v>
      </c>
      <c r="H476" s="4">
        <v>154</v>
      </c>
      <c r="I476" s="4">
        <v>143</v>
      </c>
      <c r="J476" s="4">
        <v>134</v>
      </c>
      <c r="K476" s="4">
        <v>150</v>
      </c>
      <c r="L476" s="4">
        <v>125</v>
      </c>
      <c r="M476" s="4">
        <v>126</v>
      </c>
      <c r="N476" s="4">
        <v>137</v>
      </c>
      <c r="O476" s="4">
        <v>130</v>
      </c>
      <c r="P476" s="4">
        <v>125</v>
      </c>
      <c r="Q476" s="4">
        <v>128</v>
      </c>
      <c r="R476" s="4">
        <v>130</v>
      </c>
    </row>
    <row r="477" spans="1:18" x14ac:dyDescent="0.2">
      <c r="A477" s="3" t="s">
        <v>54</v>
      </c>
      <c r="B477" s="4">
        <v>249</v>
      </c>
      <c r="C477" s="4">
        <v>229</v>
      </c>
      <c r="D477" s="4">
        <v>223</v>
      </c>
      <c r="E477" s="4">
        <v>209</v>
      </c>
      <c r="F477" s="4">
        <v>203</v>
      </c>
      <c r="G477" s="4">
        <v>182</v>
      </c>
      <c r="H477" s="4">
        <v>163</v>
      </c>
      <c r="I477" s="4">
        <v>178</v>
      </c>
      <c r="J477" s="4">
        <v>134</v>
      </c>
      <c r="K477" s="4">
        <v>137</v>
      </c>
      <c r="L477" s="4">
        <v>207</v>
      </c>
      <c r="M477" s="4">
        <v>162</v>
      </c>
      <c r="N477" s="4">
        <v>119</v>
      </c>
      <c r="O477" s="4">
        <v>123</v>
      </c>
      <c r="P477" s="4">
        <v>124</v>
      </c>
      <c r="Q477" s="4">
        <v>109</v>
      </c>
      <c r="R477" s="4">
        <v>114</v>
      </c>
    </row>
    <row r="478" spans="1:18" x14ac:dyDescent="0.2">
      <c r="A478" s="3" t="s">
        <v>55</v>
      </c>
      <c r="B478" s="4">
        <v>368</v>
      </c>
      <c r="C478" s="4">
        <v>323</v>
      </c>
      <c r="D478" s="4">
        <v>329</v>
      </c>
      <c r="E478" s="4">
        <v>255</v>
      </c>
      <c r="F478" s="4">
        <v>242</v>
      </c>
      <c r="G478" s="4">
        <v>208</v>
      </c>
      <c r="H478" s="4">
        <v>270</v>
      </c>
      <c r="I478" s="4">
        <v>172</v>
      </c>
      <c r="J478" s="4">
        <v>189</v>
      </c>
      <c r="K478" s="4">
        <v>155</v>
      </c>
      <c r="L478" s="4">
        <v>145</v>
      </c>
      <c r="M478" s="4">
        <v>140</v>
      </c>
      <c r="N478" s="4">
        <v>190</v>
      </c>
      <c r="O478" s="4">
        <v>198</v>
      </c>
      <c r="P478" s="4">
        <v>204</v>
      </c>
      <c r="Q478" s="4">
        <v>203</v>
      </c>
      <c r="R478" s="4">
        <v>200</v>
      </c>
    </row>
    <row r="479" spans="1:18" x14ac:dyDescent="0.2">
      <c r="A479" s="3" t="s">
        <v>56</v>
      </c>
      <c r="B479" s="4">
        <v>3463</v>
      </c>
      <c r="C479" s="4">
        <v>3403</v>
      </c>
      <c r="D479" s="4">
        <v>3333</v>
      </c>
      <c r="E479" s="4">
        <v>3393</v>
      </c>
      <c r="F479" s="4">
        <v>3360</v>
      </c>
      <c r="G479" s="4">
        <v>3349</v>
      </c>
      <c r="H479" s="4">
        <v>3395</v>
      </c>
      <c r="I479" s="4">
        <v>3013</v>
      </c>
      <c r="J479" s="4">
        <v>3050</v>
      </c>
      <c r="K479" s="4">
        <v>2992</v>
      </c>
      <c r="L479" s="4">
        <v>2910</v>
      </c>
      <c r="M479" s="4">
        <v>2894</v>
      </c>
      <c r="N479" s="4">
        <v>2721</v>
      </c>
      <c r="O479" s="4">
        <v>2692.2719999999999</v>
      </c>
      <c r="P479" s="4">
        <v>2693.7579999999998</v>
      </c>
      <c r="Q479" s="4">
        <v>2718.35</v>
      </c>
      <c r="R479" s="4">
        <v>2721.4169999999999</v>
      </c>
    </row>
    <row r="480" spans="1:18" x14ac:dyDescent="0.2">
      <c r="A480" s="3" t="s">
        <v>57</v>
      </c>
      <c r="B480" s="4">
        <v>18</v>
      </c>
      <c r="C480" s="4">
        <v>16</v>
      </c>
      <c r="D480" s="4">
        <v>16</v>
      </c>
      <c r="E480" s="4">
        <v>13</v>
      </c>
      <c r="F480" s="4">
        <v>4</v>
      </c>
      <c r="G480" s="4">
        <v>3</v>
      </c>
      <c r="H480" s="4">
        <v>3</v>
      </c>
      <c r="I480" s="4">
        <v>3</v>
      </c>
      <c r="J480" s="4">
        <v>3</v>
      </c>
      <c r="K480" s="4">
        <v>3</v>
      </c>
      <c r="L480" s="4">
        <v>3</v>
      </c>
      <c r="M480" s="4">
        <v>3</v>
      </c>
      <c r="N480" s="4">
        <v>2</v>
      </c>
      <c r="O480" s="4">
        <v>2</v>
      </c>
      <c r="P480" s="4">
        <v>3</v>
      </c>
      <c r="Q480" s="4">
        <v>2.6320000000000001</v>
      </c>
      <c r="R480" s="4">
        <v>3.246</v>
      </c>
    </row>
    <row r="481" spans="1:18" x14ac:dyDescent="0.2">
      <c r="A481" s="3" t="s">
        <v>58</v>
      </c>
      <c r="B481" s="4">
        <v>190</v>
      </c>
      <c r="C481" s="4">
        <v>189</v>
      </c>
      <c r="D481" s="4">
        <v>172</v>
      </c>
      <c r="E481" s="4">
        <v>172</v>
      </c>
      <c r="F481" s="4">
        <v>172</v>
      </c>
      <c r="G481" s="4">
        <v>158</v>
      </c>
      <c r="H481" s="4">
        <v>139</v>
      </c>
      <c r="I481" s="4">
        <v>89</v>
      </c>
      <c r="J481" s="4">
        <v>82</v>
      </c>
      <c r="K481" s="4">
        <v>88</v>
      </c>
      <c r="L481" s="4">
        <v>90</v>
      </c>
      <c r="M481" s="4">
        <v>82</v>
      </c>
      <c r="N481" s="4">
        <v>78</v>
      </c>
      <c r="O481" s="4">
        <v>89</v>
      </c>
      <c r="P481" s="4">
        <v>73</v>
      </c>
      <c r="Q481" s="4">
        <v>69</v>
      </c>
      <c r="R481" s="4">
        <v>73.125</v>
      </c>
    </row>
    <row r="482" spans="1:18" x14ac:dyDescent="0.2">
      <c r="A482" s="3" t="s">
        <v>59</v>
      </c>
      <c r="B482" s="5">
        <v>0</v>
      </c>
      <c r="C482" s="5">
        <v>0</v>
      </c>
      <c r="D482" s="4">
        <v>181</v>
      </c>
      <c r="E482" s="4">
        <v>153</v>
      </c>
      <c r="F482" s="4">
        <v>135</v>
      </c>
      <c r="G482" s="4">
        <v>238</v>
      </c>
      <c r="H482" s="4">
        <v>195</v>
      </c>
      <c r="I482" s="4">
        <v>103</v>
      </c>
      <c r="J482" s="4">
        <v>117</v>
      </c>
      <c r="K482" s="4">
        <v>129</v>
      </c>
      <c r="L482" s="4">
        <v>140</v>
      </c>
      <c r="M482" s="4">
        <v>156</v>
      </c>
      <c r="N482" s="4">
        <v>296</v>
      </c>
      <c r="O482" s="4">
        <v>272</v>
      </c>
      <c r="P482" s="4">
        <v>358</v>
      </c>
      <c r="Q482" s="4">
        <v>375.69600000000003</v>
      </c>
      <c r="R482" s="4">
        <v>343.404</v>
      </c>
    </row>
    <row r="484" spans="1:18" x14ac:dyDescent="0.2">
      <c r="A484" s="1" t="s">
        <v>61</v>
      </c>
    </row>
    <row r="485" spans="1:18" x14ac:dyDescent="0.2">
      <c r="A485" s="1" t="s">
        <v>60</v>
      </c>
      <c r="B485" s="1" t="s">
        <v>62</v>
      </c>
    </row>
    <row r="487" spans="1:18" x14ac:dyDescent="0.2">
      <c r="A487" s="1" t="s">
        <v>5</v>
      </c>
      <c r="B487" s="1" t="s">
        <v>74</v>
      </c>
    </row>
    <row r="488" spans="1:18" x14ac:dyDescent="0.2">
      <c r="A488" s="1" t="s">
        <v>7</v>
      </c>
      <c r="B488" s="1" t="s">
        <v>8</v>
      </c>
    </row>
    <row r="489" spans="1:18" x14ac:dyDescent="0.2">
      <c r="A489" s="1" t="s">
        <v>9</v>
      </c>
      <c r="B489" s="1" t="s">
        <v>10</v>
      </c>
    </row>
    <row r="491" spans="1:18" x14ac:dyDescent="0.2">
      <c r="A491" s="3" t="s">
        <v>11</v>
      </c>
      <c r="B491" s="3" t="s">
        <v>12</v>
      </c>
      <c r="C491" s="3" t="s">
        <v>13</v>
      </c>
      <c r="D491" s="3" t="s">
        <v>14</v>
      </c>
      <c r="E491" s="3" t="s">
        <v>15</v>
      </c>
      <c r="F491" s="3" t="s">
        <v>16</v>
      </c>
      <c r="G491" s="3" t="s">
        <v>17</v>
      </c>
      <c r="H491" s="3" t="s">
        <v>18</v>
      </c>
      <c r="I491" s="3" t="s">
        <v>19</v>
      </c>
      <c r="J491" s="3" t="s">
        <v>20</v>
      </c>
      <c r="K491" s="3" t="s">
        <v>21</v>
      </c>
      <c r="L491" s="3" t="s">
        <v>22</v>
      </c>
      <c r="M491" s="3" t="s">
        <v>23</v>
      </c>
      <c r="N491" s="3" t="s">
        <v>24</v>
      </c>
      <c r="O491" s="3" t="s">
        <v>25</v>
      </c>
      <c r="P491" s="3" t="s">
        <v>26</v>
      </c>
      <c r="Q491" s="3" t="s">
        <v>27</v>
      </c>
      <c r="R491" s="3" t="s">
        <v>28</v>
      </c>
    </row>
    <row r="492" spans="1:18" x14ac:dyDescent="0.2">
      <c r="A492" s="3" t="s">
        <v>29</v>
      </c>
      <c r="B492" s="4">
        <v>1842</v>
      </c>
      <c r="C492" s="4">
        <v>1933</v>
      </c>
      <c r="D492" s="4">
        <v>1807</v>
      </c>
      <c r="E492" s="4">
        <v>1801</v>
      </c>
      <c r="F492" s="4">
        <v>1543</v>
      </c>
      <c r="G492" s="4">
        <v>288</v>
      </c>
      <c r="H492" s="4">
        <v>843</v>
      </c>
      <c r="I492" s="4">
        <v>1766</v>
      </c>
      <c r="J492" s="4">
        <v>1026</v>
      </c>
      <c r="K492" s="4">
        <v>1709</v>
      </c>
      <c r="L492" s="4">
        <v>1581</v>
      </c>
      <c r="M492" s="4">
        <v>2059</v>
      </c>
      <c r="N492" s="4">
        <v>2026.3</v>
      </c>
      <c r="O492" s="4">
        <v>2093.1</v>
      </c>
      <c r="P492" s="4">
        <v>2109.6999999999998</v>
      </c>
      <c r="Q492" s="4">
        <v>1760.7</v>
      </c>
      <c r="R492" s="4">
        <v>1866.9</v>
      </c>
    </row>
    <row r="493" spans="1:18" x14ac:dyDescent="0.2">
      <c r="A493" s="3" t="s">
        <v>30</v>
      </c>
      <c r="B493" s="4">
        <v>240</v>
      </c>
      <c r="C493" s="4">
        <v>359</v>
      </c>
      <c r="D493" s="4">
        <v>412</v>
      </c>
      <c r="E493" s="4">
        <v>406</v>
      </c>
      <c r="F493" s="4">
        <v>417</v>
      </c>
      <c r="G493" s="4">
        <v>423</v>
      </c>
      <c r="H493" s="4">
        <v>524</v>
      </c>
      <c r="I493" s="4">
        <v>431</v>
      </c>
      <c r="J493" s="4">
        <v>409</v>
      </c>
      <c r="K493" s="4">
        <v>477</v>
      </c>
      <c r="L493" s="4">
        <v>523</v>
      </c>
      <c r="M493" s="4">
        <v>512</v>
      </c>
      <c r="N493" s="4">
        <v>555</v>
      </c>
      <c r="O493" s="4">
        <v>595</v>
      </c>
      <c r="P493" s="4">
        <v>609</v>
      </c>
      <c r="Q493" s="4">
        <v>686.31299999999999</v>
      </c>
      <c r="R493" s="4">
        <v>715.28200000000004</v>
      </c>
    </row>
    <row r="494" spans="1:18" x14ac:dyDescent="0.2">
      <c r="A494" s="3" t="s">
        <v>31</v>
      </c>
      <c r="B494" s="4">
        <v>1944</v>
      </c>
      <c r="C494" s="4">
        <v>2014</v>
      </c>
      <c r="D494" s="4">
        <v>2079</v>
      </c>
      <c r="E494" s="4">
        <v>2206</v>
      </c>
      <c r="F494" s="4">
        <v>2453</v>
      </c>
      <c r="G494" s="4">
        <v>2658</v>
      </c>
      <c r="H494" s="4">
        <v>2467</v>
      </c>
      <c r="I494" s="4">
        <v>2432</v>
      </c>
      <c r="J494" s="4">
        <v>1918</v>
      </c>
      <c r="K494" s="4">
        <v>1911</v>
      </c>
      <c r="L494" s="4">
        <v>1998</v>
      </c>
      <c r="M494" s="4">
        <v>1918</v>
      </c>
      <c r="N494" s="4">
        <v>1972</v>
      </c>
      <c r="O494" s="4">
        <v>2031</v>
      </c>
      <c r="P494" s="4">
        <v>2217</v>
      </c>
      <c r="Q494" s="4">
        <v>2297.6320000000001</v>
      </c>
      <c r="R494" s="4">
        <v>2371.5520000000001</v>
      </c>
    </row>
    <row r="495" spans="1:18" x14ac:dyDescent="0.2">
      <c r="A495" s="3" t="s">
        <v>32</v>
      </c>
      <c r="B495" s="4">
        <v>1225</v>
      </c>
      <c r="C495" s="4">
        <v>1339</v>
      </c>
      <c r="D495" s="4">
        <v>1392</v>
      </c>
      <c r="E495" s="4">
        <v>1431</v>
      </c>
      <c r="F495" s="4">
        <v>1353</v>
      </c>
      <c r="G495" s="4">
        <v>1216</v>
      </c>
      <c r="H495" s="4">
        <v>1111</v>
      </c>
      <c r="I495" s="4">
        <v>939</v>
      </c>
      <c r="J495" s="4">
        <v>956</v>
      </c>
      <c r="K495" s="4">
        <v>946</v>
      </c>
      <c r="L495" s="4">
        <v>853</v>
      </c>
      <c r="M495" s="4">
        <v>835</v>
      </c>
      <c r="N495" s="4">
        <v>810</v>
      </c>
      <c r="O495" s="4">
        <v>835.81299999999999</v>
      </c>
      <c r="P495" s="4">
        <v>825.5</v>
      </c>
      <c r="Q495" s="4">
        <v>838.16499999999996</v>
      </c>
      <c r="R495" s="4">
        <v>837.351</v>
      </c>
    </row>
    <row r="496" spans="1:18" x14ac:dyDescent="0.2">
      <c r="A496" s="3" t="s">
        <v>33</v>
      </c>
      <c r="B496" s="4">
        <v>32199</v>
      </c>
      <c r="C496" s="4">
        <v>21730</v>
      </c>
      <c r="D496" s="4">
        <v>23036</v>
      </c>
      <c r="E496" s="4">
        <v>22295</v>
      </c>
      <c r="F496" s="4">
        <v>23985</v>
      </c>
      <c r="G496" s="4">
        <v>26827</v>
      </c>
      <c r="H496" s="4">
        <v>17750</v>
      </c>
      <c r="I496" s="4">
        <v>16315</v>
      </c>
      <c r="J496" s="4">
        <v>17501</v>
      </c>
      <c r="K496" s="4">
        <v>17719</v>
      </c>
      <c r="L496" s="4">
        <v>17578</v>
      </c>
      <c r="M496" s="4">
        <v>17313</v>
      </c>
      <c r="N496" s="4">
        <v>17342</v>
      </c>
      <c r="O496" s="4">
        <v>17241</v>
      </c>
      <c r="P496" s="4">
        <v>17624</v>
      </c>
      <c r="Q496" s="4">
        <v>17653</v>
      </c>
      <c r="R496" s="4">
        <v>17515</v>
      </c>
    </row>
    <row r="497" spans="1:18" x14ac:dyDescent="0.2">
      <c r="A497" s="3" t="s">
        <v>34</v>
      </c>
      <c r="B497" s="4">
        <v>214</v>
      </c>
      <c r="C497" s="4">
        <v>215</v>
      </c>
      <c r="D497" s="4">
        <v>210</v>
      </c>
      <c r="E497" s="4">
        <v>224</v>
      </c>
      <c r="F497" s="4">
        <v>229</v>
      </c>
      <c r="G497" s="4">
        <v>240</v>
      </c>
      <c r="H497" s="4">
        <v>246</v>
      </c>
      <c r="I497" s="4">
        <v>167</v>
      </c>
      <c r="J497" s="4">
        <v>179</v>
      </c>
      <c r="K497" s="4">
        <v>195</v>
      </c>
      <c r="L497" s="4">
        <v>209</v>
      </c>
      <c r="M497" s="4">
        <v>177</v>
      </c>
      <c r="N497" s="4">
        <v>181</v>
      </c>
      <c r="O497" s="4">
        <v>185</v>
      </c>
      <c r="P497" s="4">
        <v>200</v>
      </c>
      <c r="Q497" s="4">
        <v>192</v>
      </c>
      <c r="R497" s="4">
        <v>179</v>
      </c>
    </row>
    <row r="498" spans="1:18" x14ac:dyDescent="0.2">
      <c r="A498" s="3" t="s">
        <v>35</v>
      </c>
      <c r="B498" s="4">
        <v>540.62900000000002</v>
      </c>
      <c r="C498" s="4">
        <v>508.61700000000002</v>
      </c>
      <c r="D498" s="4">
        <v>477.43700000000001</v>
      </c>
      <c r="E498" s="4">
        <v>540.43799999999999</v>
      </c>
      <c r="F498" s="4">
        <v>740.81799999999998</v>
      </c>
      <c r="G498" s="4">
        <v>1004.086</v>
      </c>
      <c r="H498" s="4">
        <v>999.26700000000005</v>
      </c>
      <c r="I498" s="4">
        <v>1099.94</v>
      </c>
      <c r="J498" s="4">
        <v>1210.509</v>
      </c>
      <c r="K498" s="4">
        <v>1266.953</v>
      </c>
      <c r="L498" s="4">
        <v>1216.6690000000001</v>
      </c>
      <c r="M498" s="4">
        <v>1236.6690000000001</v>
      </c>
      <c r="N498" s="4">
        <v>1252.31</v>
      </c>
      <c r="O498" s="4">
        <v>1315.184</v>
      </c>
      <c r="P498" s="4">
        <v>1360.357</v>
      </c>
      <c r="Q498" s="4">
        <v>1376.3</v>
      </c>
      <c r="R498" s="4">
        <v>1469.383</v>
      </c>
    </row>
    <row r="499" spans="1:18" x14ac:dyDescent="0.2">
      <c r="A499" s="3" t="s">
        <v>36</v>
      </c>
      <c r="B499" s="4">
        <v>1527</v>
      </c>
      <c r="C499" s="4">
        <v>1269</v>
      </c>
      <c r="D499" s="4">
        <v>767</v>
      </c>
      <c r="E499" s="4">
        <v>766</v>
      </c>
      <c r="F499" s="4">
        <v>818</v>
      </c>
      <c r="G499" s="4">
        <v>914</v>
      </c>
      <c r="H499" s="4">
        <v>1669</v>
      </c>
      <c r="I499" s="4">
        <v>2003</v>
      </c>
      <c r="J499" s="4">
        <v>1191</v>
      </c>
      <c r="K499" s="4">
        <v>2669</v>
      </c>
      <c r="L499" s="4">
        <v>799</v>
      </c>
      <c r="M499" s="4">
        <v>768</v>
      </c>
      <c r="N499" s="4">
        <v>2230</v>
      </c>
      <c r="O499" s="4">
        <v>2567</v>
      </c>
      <c r="P499" s="4">
        <v>2780</v>
      </c>
      <c r="Q499" s="4">
        <v>2448.87</v>
      </c>
      <c r="R499" s="4">
        <v>218.85</v>
      </c>
    </row>
    <row r="500" spans="1:18" x14ac:dyDescent="0.2">
      <c r="A500" s="3" t="s">
        <v>37</v>
      </c>
      <c r="B500" s="4">
        <v>5202</v>
      </c>
      <c r="C500" s="4">
        <v>4591</v>
      </c>
      <c r="D500" s="4">
        <v>6999</v>
      </c>
      <c r="E500" s="4">
        <v>7506</v>
      </c>
      <c r="F500" s="4">
        <v>6388</v>
      </c>
      <c r="G500" s="4">
        <v>7499</v>
      </c>
      <c r="H500" s="4">
        <v>8044</v>
      </c>
      <c r="I500" s="4">
        <v>5715</v>
      </c>
      <c r="J500" s="4">
        <v>5521</v>
      </c>
      <c r="K500" s="4">
        <v>5592</v>
      </c>
      <c r="L500" s="4">
        <v>5517</v>
      </c>
      <c r="M500" s="4">
        <v>4212</v>
      </c>
      <c r="N500" s="4">
        <v>3562</v>
      </c>
      <c r="O500" s="4">
        <v>6807</v>
      </c>
      <c r="P500" s="4">
        <v>6788</v>
      </c>
      <c r="Q500" s="4">
        <v>7026</v>
      </c>
      <c r="R500" s="4">
        <v>6179</v>
      </c>
    </row>
    <row r="501" spans="1:18" x14ac:dyDescent="0.2">
      <c r="A501" s="3" t="s">
        <v>38</v>
      </c>
      <c r="B501" s="4">
        <v>9748</v>
      </c>
      <c r="C501" s="4">
        <v>12714</v>
      </c>
      <c r="D501" s="4">
        <v>13683</v>
      </c>
      <c r="E501" s="4">
        <v>18689</v>
      </c>
      <c r="F501" s="4">
        <v>12163</v>
      </c>
      <c r="G501" s="4">
        <v>10942</v>
      </c>
      <c r="H501" s="4">
        <v>3471</v>
      </c>
      <c r="I501" s="4">
        <v>3116</v>
      </c>
      <c r="J501" s="4">
        <v>3393</v>
      </c>
      <c r="K501" s="4">
        <v>11279.714</v>
      </c>
      <c r="L501" s="4">
        <v>12373.695</v>
      </c>
      <c r="M501" s="4">
        <v>12330.442999999999</v>
      </c>
      <c r="N501" s="4">
        <v>11707.764999999999</v>
      </c>
      <c r="O501" s="4">
        <v>11893.432000000001</v>
      </c>
      <c r="P501" s="4">
        <v>12265.981</v>
      </c>
      <c r="Q501" s="4">
        <v>12275.835999999999</v>
      </c>
      <c r="R501" s="4">
        <v>11760.182000000001</v>
      </c>
    </row>
    <row r="502" spans="1:18" x14ac:dyDescent="0.2">
      <c r="A502" s="3" t="s">
        <v>39</v>
      </c>
      <c r="B502" s="4">
        <v>127</v>
      </c>
      <c r="C502" s="4">
        <v>142</v>
      </c>
      <c r="D502" s="4">
        <v>162</v>
      </c>
      <c r="E502" s="4">
        <v>181</v>
      </c>
      <c r="F502" s="4">
        <v>211</v>
      </c>
      <c r="G502" s="4">
        <v>248</v>
      </c>
      <c r="H502" s="4">
        <v>246</v>
      </c>
      <c r="I502" s="4">
        <v>236</v>
      </c>
      <c r="J502" s="4">
        <v>224</v>
      </c>
      <c r="K502" s="4">
        <v>215</v>
      </c>
      <c r="L502" s="4">
        <v>233</v>
      </c>
      <c r="M502" s="4">
        <v>244</v>
      </c>
      <c r="N502" s="4">
        <v>268</v>
      </c>
      <c r="O502" s="4">
        <v>289</v>
      </c>
      <c r="P502" s="4">
        <v>330</v>
      </c>
      <c r="Q502" s="4">
        <v>334.9</v>
      </c>
      <c r="R502" s="4">
        <v>338.4</v>
      </c>
    </row>
    <row r="503" spans="1:18" x14ac:dyDescent="0.2">
      <c r="A503" s="3" t="s">
        <v>40</v>
      </c>
      <c r="B503" s="4">
        <v>16390</v>
      </c>
      <c r="C503" s="4">
        <v>16950</v>
      </c>
      <c r="D503" s="4">
        <v>16965</v>
      </c>
      <c r="E503" s="4">
        <v>17045</v>
      </c>
      <c r="F503" s="4">
        <v>17648</v>
      </c>
      <c r="G503" s="4">
        <v>18446</v>
      </c>
      <c r="H503" s="4">
        <v>17627</v>
      </c>
      <c r="I503" s="4">
        <v>16084</v>
      </c>
      <c r="J503" s="4">
        <v>16658</v>
      </c>
      <c r="K503" s="4">
        <v>16628</v>
      </c>
      <c r="L503" s="4">
        <v>16245</v>
      </c>
      <c r="M503" s="4">
        <v>15523</v>
      </c>
      <c r="N503" s="4">
        <v>15123</v>
      </c>
      <c r="O503" s="4">
        <v>15225</v>
      </c>
      <c r="P503" s="4">
        <v>15146</v>
      </c>
      <c r="Q503" s="4">
        <v>15509.521000000001</v>
      </c>
      <c r="R503" s="4">
        <v>15383.273999999999</v>
      </c>
    </row>
    <row r="504" spans="1:18" x14ac:dyDescent="0.2">
      <c r="A504" s="3" t="s">
        <v>41</v>
      </c>
      <c r="B504" s="4">
        <v>45</v>
      </c>
      <c r="C504" s="4">
        <v>47</v>
      </c>
      <c r="D504" s="4">
        <v>46</v>
      </c>
      <c r="E504" s="4">
        <v>45</v>
      </c>
      <c r="F504" s="4">
        <v>47</v>
      </c>
      <c r="G504" s="4">
        <v>48</v>
      </c>
      <c r="H504" s="4">
        <v>53</v>
      </c>
      <c r="I504" s="4">
        <v>52</v>
      </c>
      <c r="J504" s="4">
        <v>52</v>
      </c>
      <c r="K504" s="4">
        <v>45</v>
      </c>
      <c r="L504" s="4">
        <v>36</v>
      </c>
      <c r="M504" s="4">
        <v>32</v>
      </c>
      <c r="N504" s="4">
        <v>33</v>
      </c>
      <c r="O504" s="4">
        <v>33</v>
      </c>
      <c r="P504" s="4">
        <v>35</v>
      </c>
      <c r="Q504" s="4">
        <v>37.417999999999999</v>
      </c>
      <c r="R504" s="4">
        <v>39.155999999999999</v>
      </c>
    </row>
    <row r="505" spans="1:18" x14ac:dyDescent="0.2">
      <c r="A505" s="3" t="s">
        <v>42</v>
      </c>
      <c r="B505" s="4">
        <v>91</v>
      </c>
      <c r="C505" s="4">
        <v>103</v>
      </c>
      <c r="D505" s="4">
        <v>110</v>
      </c>
      <c r="E505" s="4">
        <v>114</v>
      </c>
      <c r="F505" s="4">
        <v>125</v>
      </c>
      <c r="G505" s="4">
        <v>138</v>
      </c>
      <c r="H505" s="4">
        <v>70</v>
      </c>
      <c r="I505" s="4">
        <v>48</v>
      </c>
      <c r="J505" s="4">
        <v>64</v>
      </c>
      <c r="K505" s="4">
        <v>60</v>
      </c>
      <c r="L505" s="4">
        <v>60</v>
      </c>
      <c r="M505" s="4">
        <v>63</v>
      </c>
      <c r="N505" s="4">
        <v>66</v>
      </c>
      <c r="O505" s="4">
        <v>68</v>
      </c>
      <c r="P505" s="4">
        <v>75</v>
      </c>
      <c r="Q505" s="4">
        <v>78.194000000000003</v>
      </c>
      <c r="R505" s="4">
        <v>90.111000000000004</v>
      </c>
    </row>
    <row r="506" spans="1:18" x14ac:dyDescent="0.2">
      <c r="A506" s="3" t="s">
        <v>43</v>
      </c>
      <c r="B506" s="4">
        <v>172</v>
      </c>
      <c r="C506" s="4">
        <v>206</v>
      </c>
      <c r="D506" s="4">
        <v>285</v>
      </c>
      <c r="E506" s="4">
        <v>317</v>
      </c>
      <c r="F506" s="4">
        <v>347</v>
      </c>
      <c r="G506" s="4">
        <v>366</v>
      </c>
      <c r="H506" s="4">
        <v>358</v>
      </c>
      <c r="I506" s="4">
        <v>291</v>
      </c>
      <c r="J506" s="4">
        <v>309</v>
      </c>
      <c r="K506" s="4">
        <v>363</v>
      </c>
      <c r="L506" s="4">
        <v>397</v>
      </c>
      <c r="M506" s="4">
        <v>448</v>
      </c>
      <c r="N506" s="4">
        <v>490</v>
      </c>
      <c r="O506" s="4">
        <v>606</v>
      </c>
      <c r="P506" s="4">
        <v>594</v>
      </c>
      <c r="Q506" s="4">
        <v>598.1</v>
      </c>
      <c r="R506" s="4">
        <v>686.8</v>
      </c>
    </row>
    <row r="507" spans="1:18" x14ac:dyDescent="0.2">
      <c r="A507" s="3" t="s">
        <v>44</v>
      </c>
      <c r="B507" s="4">
        <v>51.607999999999997</v>
      </c>
      <c r="C507" s="4">
        <v>88.611000000000004</v>
      </c>
      <c r="D507" s="4">
        <v>76.450999999999993</v>
      </c>
      <c r="E507" s="4">
        <v>77.16</v>
      </c>
      <c r="F507" s="4">
        <v>70.364999999999995</v>
      </c>
      <c r="G507" s="4">
        <v>78.629000000000005</v>
      </c>
      <c r="H507" s="4">
        <v>95.603999999999999</v>
      </c>
      <c r="I507" s="4">
        <v>94.713999999999999</v>
      </c>
      <c r="J507" s="4">
        <v>115.428</v>
      </c>
      <c r="K507" s="4">
        <v>265.17200000000003</v>
      </c>
      <c r="L507" s="4">
        <v>264.64999999999998</v>
      </c>
      <c r="M507" s="4">
        <v>288.55500000000001</v>
      </c>
      <c r="N507" s="4">
        <v>316.98599999999999</v>
      </c>
      <c r="O507" s="4">
        <v>341.92200000000003</v>
      </c>
      <c r="P507" s="4">
        <v>366.10300000000001</v>
      </c>
      <c r="Q507" s="4">
        <v>291.98899999999998</v>
      </c>
      <c r="R507" s="4">
        <v>277.48500000000001</v>
      </c>
    </row>
    <row r="508" spans="1:18" x14ac:dyDescent="0.2">
      <c r="A508" s="3" t="s">
        <v>45</v>
      </c>
      <c r="B508" s="4">
        <v>690</v>
      </c>
      <c r="C508" s="4">
        <v>737</v>
      </c>
      <c r="D508" s="4">
        <v>648</v>
      </c>
      <c r="E508" s="4">
        <v>261</v>
      </c>
      <c r="F508" s="4">
        <v>395</v>
      </c>
      <c r="G508" s="4">
        <v>395</v>
      </c>
      <c r="H508" s="4">
        <v>450</v>
      </c>
      <c r="I508" s="4">
        <v>638</v>
      </c>
      <c r="J508" s="4">
        <v>741</v>
      </c>
      <c r="K508" s="4">
        <v>748</v>
      </c>
      <c r="L508" s="4">
        <v>1670</v>
      </c>
      <c r="M508" s="4">
        <v>1757</v>
      </c>
      <c r="N508" s="4">
        <v>1707</v>
      </c>
      <c r="O508" s="4">
        <v>1820</v>
      </c>
      <c r="P508" s="4">
        <v>1884</v>
      </c>
      <c r="Q508" s="4">
        <v>2036</v>
      </c>
      <c r="R508" s="4">
        <v>2122</v>
      </c>
    </row>
    <row r="509" spans="1:18" x14ac:dyDescent="0.2">
      <c r="A509" s="3" t="s">
        <v>46</v>
      </c>
      <c r="B509" s="4">
        <v>510</v>
      </c>
      <c r="C509" s="4">
        <v>556</v>
      </c>
      <c r="D509" s="4">
        <v>551</v>
      </c>
      <c r="E509" s="4">
        <v>483</v>
      </c>
      <c r="F509" s="4">
        <v>530</v>
      </c>
      <c r="G509" s="4">
        <v>530</v>
      </c>
      <c r="H509" s="4">
        <v>558</v>
      </c>
      <c r="I509" s="4">
        <v>509</v>
      </c>
      <c r="J509" s="4">
        <v>85</v>
      </c>
      <c r="K509" s="4">
        <v>89</v>
      </c>
      <c r="L509" s="4">
        <v>87</v>
      </c>
      <c r="M509" s="4">
        <v>87</v>
      </c>
      <c r="N509" s="4">
        <v>81</v>
      </c>
      <c r="O509" s="4">
        <v>83</v>
      </c>
      <c r="P509" s="4">
        <v>93</v>
      </c>
      <c r="Q509" s="4">
        <v>109.84</v>
      </c>
      <c r="R509" s="4">
        <v>123.111</v>
      </c>
    </row>
    <row r="510" spans="1:18" x14ac:dyDescent="0.2">
      <c r="A510" s="3" t="s">
        <v>47</v>
      </c>
      <c r="B510" s="4">
        <v>2355</v>
      </c>
      <c r="C510" s="4">
        <v>2169</v>
      </c>
      <c r="D510" s="4">
        <v>2311</v>
      </c>
      <c r="E510" s="4">
        <v>2273</v>
      </c>
      <c r="F510" s="4">
        <v>2289</v>
      </c>
      <c r="G510" s="4">
        <v>2165</v>
      </c>
      <c r="H510" s="4">
        <v>2164</v>
      </c>
      <c r="I510" s="4">
        <v>1819</v>
      </c>
      <c r="J510" s="4">
        <v>1864</v>
      </c>
      <c r="K510" s="4">
        <v>1919</v>
      </c>
      <c r="L510" s="4">
        <v>1974.413</v>
      </c>
      <c r="M510" s="4">
        <v>1930.528</v>
      </c>
      <c r="N510" s="4">
        <v>1937.712</v>
      </c>
      <c r="O510" s="4">
        <v>2162.6759999999999</v>
      </c>
      <c r="P510" s="4">
        <v>2203.0369999999998</v>
      </c>
      <c r="Q510" s="4">
        <v>1978.91</v>
      </c>
      <c r="R510" s="4">
        <v>2236.4789999999998</v>
      </c>
    </row>
    <row r="511" spans="1:18" x14ac:dyDescent="0.2">
      <c r="A511" s="3" t="s">
        <v>48</v>
      </c>
      <c r="B511" s="4">
        <v>1140</v>
      </c>
      <c r="C511" s="4">
        <v>1424</v>
      </c>
      <c r="D511" s="4">
        <v>1713</v>
      </c>
      <c r="E511" s="4">
        <v>1637.835</v>
      </c>
      <c r="F511" s="4">
        <v>1677.0640000000001</v>
      </c>
      <c r="G511" s="4">
        <v>1772.54</v>
      </c>
      <c r="H511" s="4">
        <v>1672.6759999999999</v>
      </c>
      <c r="I511" s="4">
        <v>1543.934</v>
      </c>
      <c r="J511" s="4">
        <v>1629.7639999999999</v>
      </c>
      <c r="K511" s="4">
        <v>1691.5409999999999</v>
      </c>
      <c r="L511" s="4">
        <v>1667.7349999999999</v>
      </c>
      <c r="M511" s="4">
        <v>1262.443</v>
      </c>
      <c r="N511" s="4">
        <v>1183.6780000000001</v>
      </c>
      <c r="O511" s="4">
        <v>1265.9000000000001</v>
      </c>
      <c r="P511" s="4">
        <v>1290.8789999999999</v>
      </c>
      <c r="Q511" s="4">
        <v>1314.5160000000001</v>
      </c>
      <c r="R511" s="4">
        <v>1372.5029999999999</v>
      </c>
    </row>
    <row r="512" spans="1:18" x14ac:dyDescent="0.2">
      <c r="A512" s="3" t="s">
        <v>49</v>
      </c>
      <c r="B512" s="4">
        <v>2003</v>
      </c>
      <c r="C512" s="4">
        <v>2278</v>
      </c>
      <c r="D512" s="4">
        <v>2519</v>
      </c>
      <c r="E512" s="4">
        <v>2640</v>
      </c>
      <c r="F512" s="4">
        <v>2702</v>
      </c>
      <c r="G512" s="4">
        <v>2850</v>
      </c>
      <c r="H512" s="4">
        <v>2800</v>
      </c>
      <c r="I512" s="4">
        <v>2481</v>
      </c>
      <c r="J512" s="4">
        <v>2811</v>
      </c>
      <c r="K512" s="4">
        <v>3325</v>
      </c>
      <c r="L512" s="4">
        <v>3231</v>
      </c>
      <c r="M512" s="4">
        <v>4073</v>
      </c>
      <c r="N512" s="4">
        <v>4260</v>
      </c>
      <c r="O512" s="4">
        <v>4397</v>
      </c>
      <c r="P512" s="4">
        <v>4779</v>
      </c>
      <c r="Q512" s="4">
        <v>5348.7479999999996</v>
      </c>
      <c r="R512" s="4">
        <v>5301.0079999999998</v>
      </c>
    </row>
    <row r="513" spans="1:18" x14ac:dyDescent="0.2">
      <c r="A513" s="3" t="s">
        <v>50</v>
      </c>
      <c r="B513" s="4">
        <v>1274</v>
      </c>
      <c r="C513" s="4">
        <v>1526</v>
      </c>
      <c r="D513" s="4">
        <v>1517</v>
      </c>
      <c r="E513" s="4">
        <v>1395</v>
      </c>
      <c r="F513" s="4">
        <v>1448</v>
      </c>
      <c r="G513" s="4">
        <v>1375</v>
      </c>
      <c r="H513" s="4">
        <v>1545</v>
      </c>
      <c r="I513" s="4">
        <v>1492</v>
      </c>
      <c r="J513" s="4">
        <v>1590</v>
      </c>
      <c r="K513" s="4">
        <v>1528</v>
      </c>
      <c r="L513" s="4">
        <v>1340</v>
      </c>
      <c r="M513" s="4">
        <v>1271</v>
      </c>
      <c r="N513" s="4">
        <v>490</v>
      </c>
      <c r="O513" s="4">
        <v>503</v>
      </c>
      <c r="P513" s="4">
        <v>507.59300000000002</v>
      </c>
      <c r="Q513" s="4">
        <v>516.82100000000003</v>
      </c>
      <c r="R513" s="4">
        <v>536.68100000000004</v>
      </c>
    </row>
    <row r="514" spans="1:18" x14ac:dyDescent="0.2">
      <c r="A514" s="3" t="s">
        <v>51</v>
      </c>
      <c r="B514" s="4">
        <v>1373</v>
      </c>
      <c r="C514" s="4">
        <v>1236</v>
      </c>
      <c r="D514" s="4">
        <v>1474</v>
      </c>
      <c r="E514" s="4">
        <v>1554</v>
      </c>
      <c r="F514" s="4">
        <v>1008</v>
      </c>
      <c r="G514" s="4">
        <v>1251</v>
      </c>
      <c r="H514" s="4">
        <v>1025</v>
      </c>
      <c r="I514" s="4">
        <v>896</v>
      </c>
      <c r="J514" s="4">
        <v>962</v>
      </c>
      <c r="K514" s="4">
        <v>1267</v>
      </c>
      <c r="L514" s="4">
        <v>979</v>
      </c>
      <c r="M514" s="4">
        <v>1144</v>
      </c>
      <c r="N514" s="4">
        <v>1074</v>
      </c>
      <c r="O514" s="4">
        <v>1080</v>
      </c>
      <c r="P514" s="4">
        <v>1157</v>
      </c>
      <c r="Q514" s="4">
        <v>1157.864</v>
      </c>
      <c r="R514" s="4">
        <v>1140.7190000000001</v>
      </c>
    </row>
    <row r="515" spans="1:18" x14ac:dyDescent="0.2">
      <c r="A515" s="3" t="s">
        <v>52</v>
      </c>
      <c r="B515" s="4">
        <v>336</v>
      </c>
      <c r="C515" s="4">
        <v>411</v>
      </c>
      <c r="D515" s="4">
        <v>429</v>
      </c>
      <c r="E515" s="4">
        <v>457</v>
      </c>
      <c r="F515" s="4">
        <v>548</v>
      </c>
      <c r="G515" s="4">
        <v>533</v>
      </c>
      <c r="H515" s="4">
        <v>455</v>
      </c>
      <c r="I515" s="4">
        <v>400</v>
      </c>
      <c r="J515" s="4">
        <v>433</v>
      </c>
      <c r="K515" s="4">
        <v>417</v>
      </c>
      <c r="L515" s="4">
        <v>392</v>
      </c>
      <c r="M515" s="4">
        <v>408</v>
      </c>
      <c r="N515" s="4">
        <v>422</v>
      </c>
      <c r="O515" s="4">
        <v>428</v>
      </c>
      <c r="P515" s="4">
        <v>465</v>
      </c>
      <c r="Q515" s="4">
        <v>494.25</v>
      </c>
      <c r="R515" s="4">
        <v>537.428</v>
      </c>
    </row>
    <row r="516" spans="1:18" x14ac:dyDescent="0.2">
      <c r="A516" s="3" t="s">
        <v>53</v>
      </c>
      <c r="B516" s="4">
        <v>384</v>
      </c>
      <c r="C516" s="4">
        <v>468</v>
      </c>
      <c r="D516" s="4">
        <v>480</v>
      </c>
      <c r="E516" s="4">
        <v>728</v>
      </c>
      <c r="F516" s="4">
        <v>556</v>
      </c>
      <c r="G516" s="4">
        <v>580</v>
      </c>
      <c r="H516" s="4">
        <v>720</v>
      </c>
      <c r="I516" s="4">
        <v>690</v>
      </c>
      <c r="J516" s="4">
        <v>778</v>
      </c>
      <c r="K516" s="4">
        <v>777</v>
      </c>
      <c r="L516" s="4">
        <v>808</v>
      </c>
      <c r="M516" s="4">
        <v>686</v>
      </c>
      <c r="N516" s="4">
        <v>898</v>
      </c>
      <c r="O516" s="4">
        <v>900</v>
      </c>
      <c r="P516" s="4">
        <v>982</v>
      </c>
      <c r="Q516" s="4">
        <v>1044</v>
      </c>
      <c r="R516" s="4">
        <v>1033</v>
      </c>
    </row>
    <row r="517" spans="1:18" x14ac:dyDescent="0.2">
      <c r="A517" s="3" t="s">
        <v>54</v>
      </c>
      <c r="B517" s="4">
        <v>1893</v>
      </c>
      <c r="C517" s="4">
        <v>1796</v>
      </c>
      <c r="D517" s="4">
        <v>1907</v>
      </c>
      <c r="E517" s="4">
        <v>1912</v>
      </c>
      <c r="F517" s="4">
        <v>1900</v>
      </c>
      <c r="G517" s="4">
        <v>1460</v>
      </c>
      <c r="H517" s="4">
        <v>1706</v>
      </c>
      <c r="I517" s="4">
        <v>491</v>
      </c>
      <c r="J517" s="4">
        <v>1550</v>
      </c>
      <c r="K517" s="4">
        <v>629</v>
      </c>
      <c r="L517" s="4">
        <v>963</v>
      </c>
      <c r="M517" s="4">
        <v>761</v>
      </c>
      <c r="N517" s="4">
        <v>767</v>
      </c>
      <c r="O517" s="4">
        <v>749</v>
      </c>
      <c r="P517" s="4">
        <v>780</v>
      </c>
      <c r="Q517" s="4">
        <v>1001</v>
      </c>
      <c r="R517" s="4">
        <v>951</v>
      </c>
    </row>
    <row r="518" spans="1:18" x14ac:dyDescent="0.2">
      <c r="A518" s="3" t="s">
        <v>55</v>
      </c>
      <c r="B518" s="4">
        <v>6786</v>
      </c>
      <c r="C518" s="4">
        <v>5328</v>
      </c>
      <c r="D518" s="4">
        <v>5399</v>
      </c>
      <c r="E518" s="4">
        <v>5587</v>
      </c>
      <c r="F518" s="4">
        <v>4639</v>
      </c>
      <c r="G518" s="4">
        <v>4847</v>
      </c>
      <c r="H518" s="4">
        <v>5256</v>
      </c>
      <c r="I518" s="4">
        <v>5837</v>
      </c>
      <c r="J518" s="4">
        <v>3302</v>
      </c>
      <c r="K518" s="4">
        <v>2464</v>
      </c>
      <c r="L518" s="4">
        <v>3296</v>
      </c>
      <c r="M518" s="4">
        <v>2617</v>
      </c>
      <c r="N518" s="4">
        <v>26842</v>
      </c>
      <c r="O518" s="4">
        <v>2624</v>
      </c>
      <c r="P518" s="4">
        <v>2587</v>
      </c>
      <c r="Q518" s="4">
        <v>2584</v>
      </c>
      <c r="R518" s="4">
        <v>2678</v>
      </c>
    </row>
    <row r="519" spans="1:18" x14ac:dyDescent="0.2">
      <c r="A519" s="3" t="s">
        <v>56</v>
      </c>
      <c r="B519" s="4">
        <v>21599</v>
      </c>
      <c r="C519" s="4">
        <v>20186</v>
      </c>
      <c r="D519" s="4">
        <v>20166</v>
      </c>
      <c r="E519" s="4">
        <v>21495</v>
      </c>
      <c r="F519" s="4">
        <v>21449</v>
      </c>
      <c r="G519" s="4">
        <v>21028</v>
      </c>
      <c r="H519" s="4">
        <v>21729</v>
      </c>
      <c r="I519" s="4">
        <v>19771</v>
      </c>
      <c r="J519" s="4">
        <v>20959</v>
      </c>
      <c r="K519" s="4">
        <v>20784</v>
      </c>
      <c r="L519" s="4">
        <v>20327</v>
      </c>
      <c r="M519" s="4">
        <v>20366</v>
      </c>
      <c r="N519" s="4">
        <v>19559</v>
      </c>
      <c r="O519" s="4">
        <v>20571.917000000001</v>
      </c>
      <c r="P519" s="4">
        <v>22009.074000000001</v>
      </c>
      <c r="Q519" s="4">
        <v>20893.605</v>
      </c>
      <c r="R519" s="4">
        <v>21107.757000000001</v>
      </c>
    </row>
    <row r="520" spans="1:18" x14ac:dyDescent="0.2">
      <c r="A520" s="3" t="s">
        <v>57</v>
      </c>
      <c r="B520" s="4">
        <v>24</v>
      </c>
      <c r="C520" s="4">
        <v>24</v>
      </c>
      <c r="D520" s="4">
        <v>25</v>
      </c>
      <c r="E520" s="4">
        <v>26</v>
      </c>
      <c r="F520" s="4">
        <v>25</v>
      </c>
      <c r="G520" s="4">
        <v>15</v>
      </c>
      <c r="H520" s="4">
        <v>13</v>
      </c>
      <c r="I520" s="4">
        <v>13</v>
      </c>
      <c r="J520" s="4">
        <v>12</v>
      </c>
      <c r="K520" s="4">
        <v>11</v>
      </c>
      <c r="L520" s="4">
        <v>10</v>
      </c>
      <c r="M520" s="4">
        <v>31</v>
      </c>
      <c r="N520" s="4">
        <v>43</v>
      </c>
      <c r="O520" s="4">
        <v>16</v>
      </c>
      <c r="P520" s="4">
        <v>18</v>
      </c>
      <c r="Q520" s="4">
        <v>23.573</v>
      </c>
      <c r="R520" s="4">
        <v>12.161</v>
      </c>
    </row>
    <row r="521" spans="1:18" x14ac:dyDescent="0.2">
      <c r="A521" s="3" t="s">
        <v>58</v>
      </c>
      <c r="B521" s="4">
        <v>499</v>
      </c>
      <c r="C521" s="4">
        <v>484</v>
      </c>
      <c r="D521" s="4">
        <v>494</v>
      </c>
      <c r="E521" s="4">
        <v>558</v>
      </c>
      <c r="F521" s="4">
        <v>536</v>
      </c>
      <c r="G521" s="4">
        <v>635</v>
      </c>
      <c r="H521" s="4">
        <v>635</v>
      </c>
      <c r="I521" s="4">
        <v>410</v>
      </c>
      <c r="J521" s="4">
        <v>497</v>
      </c>
      <c r="K521" s="4">
        <v>451</v>
      </c>
      <c r="L521" s="4">
        <v>486</v>
      </c>
      <c r="M521" s="4">
        <v>468</v>
      </c>
      <c r="N521" s="4">
        <v>394</v>
      </c>
      <c r="O521" s="4">
        <v>408</v>
      </c>
      <c r="P521" s="4">
        <v>396</v>
      </c>
      <c r="Q521" s="4">
        <v>432</v>
      </c>
      <c r="R521" s="4">
        <v>492.14100000000002</v>
      </c>
    </row>
    <row r="522" spans="1:18" x14ac:dyDescent="0.2">
      <c r="A522" s="3" t="s">
        <v>59</v>
      </c>
      <c r="B522" s="4">
        <v>6299</v>
      </c>
      <c r="C522" s="4">
        <v>5887</v>
      </c>
      <c r="D522" s="4">
        <v>369</v>
      </c>
      <c r="E522" s="4">
        <v>356</v>
      </c>
      <c r="F522" s="4">
        <v>379</v>
      </c>
      <c r="G522" s="4">
        <v>346</v>
      </c>
      <c r="H522" s="4">
        <v>398</v>
      </c>
      <c r="I522" s="4">
        <v>262</v>
      </c>
      <c r="J522" s="4">
        <v>1963</v>
      </c>
      <c r="K522" s="4">
        <v>373</v>
      </c>
      <c r="L522" s="4">
        <v>415</v>
      </c>
      <c r="M522" s="4">
        <v>464</v>
      </c>
      <c r="N522" s="4">
        <v>437</v>
      </c>
      <c r="O522" s="4">
        <v>521</v>
      </c>
      <c r="P522" s="4">
        <v>647</v>
      </c>
      <c r="Q522" s="4">
        <v>678.83199999999999</v>
      </c>
      <c r="R522" s="4">
        <v>789.24099999999999</v>
      </c>
    </row>
    <row r="524" spans="1:18" x14ac:dyDescent="0.2">
      <c r="A524" s="1" t="s">
        <v>61</v>
      </c>
    </row>
    <row r="525" spans="1:18" x14ac:dyDescent="0.2">
      <c r="A525" s="1" t="s">
        <v>60</v>
      </c>
      <c r="B525" s="1" t="s">
        <v>62</v>
      </c>
    </row>
    <row r="527" spans="1:18" x14ac:dyDescent="0.2">
      <c r="A527" s="1" t="s">
        <v>5</v>
      </c>
      <c r="B527" s="1" t="s">
        <v>75</v>
      </c>
    </row>
    <row r="528" spans="1:18" x14ac:dyDescent="0.2">
      <c r="A528" s="1" t="s">
        <v>7</v>
      </c>
      <c r="B528" s="1" t="s">
        <v>8</v>
      </c>
    </row>
    <row r="529" spans="1:18" x14ac:dyDescent="0.2">
      <c r="A529" s="1" t="s">
        <v>9</v>
      </c>
      <c r="B529" s="1" t="s">
        <v>10</v>
      </c>
    </row>
    <row r="531" spans="1:18" x14ac:dyDescent="0.2">
      <c r="A531" s="3" t="s">
        <v>11</v>
      </c>
      <c r="B531" s="3" t="s">
        <v>12</v>
      </c>
      <c r="C531" s="3" t="s">
        <v>13</v>
      </c>
      <c r="D531" s="3" t="s">
        <v>14</v>
      </c>
      <c r="E531" s="3" t="s">
        <v>15</v>
      </c>
      <c r="F531" s="3" t="s">
        <v>16</v>
      </c>
      <c r="G531" s="3" t="s">
        <v>17</v>
      </c>
      <c r="H531" s="3" t="s">
        <v>18</v>
      </c>
      <c r="I531" s="3" t="s">
        <v>19</v>
      </c>
      <c r="J531" s="3" t="s">
        <v>20</v>
      </c>
      <c r="K531" s="3" t="s">
        <v>21</v>
      </c>
      <c r="L531" s="3" t="s">
        <v>22</v>
      </c>
      <c r="M531" s="3" t="s">
        <v>23</v>
      </c>
      <c r="N531" s="3" t="s">
        <v>24</v>
      </c>
      <c r="O531" s="3" t="s">
        <v>25</v>
      </c>
      <c r="P531" s="3" t="s">
        <v>26</v>
      </c>
      <c r="Q531" s="3" t="s">
        <v>27</v>
      </c>
      <c r="R531" s="3" t="s">
        <v>28</v>
      </c>
    </row>
    <row r="532" spans="1:18" x14ac:dyDescent="0.2">
      <c r="A532" s="3" t="s">
        <v>29</v>
      </c>
      <c r="B532" s="4">
        <v>11858</v>
      </c>
      <c r="C532" s="4">
        <v>11906</v>
      </c>
      <c r="D532" s="4">
        <v>11928</v>
      </c>
      <c r="E532" s="4">
        <v>12703</v>
      </c>
      <c r="F532" s="4">
        <v>17148</v>
      </c>
      <c r="G532" s="4">
        <v>18147</v>
      </c>
      <c r="H532" s="4">
        <v>20830</v>
      </c>
      <c r="I532" s="4">
        <v>21476</v>
      </c>
      <c r="J532" s="4">
        <v>22182</v>
      </c>
      <c r="K532" s="4">
        <v>21653</v>
      </c>
      <c r="L532" s="4">
        <v>21954</v>
      </c>
      <c r="M532" s="4">
        <v>22262</v>
      </c>
      <c r="N532" s="4">
        <v>21322.7</v>
      </c>
      <c r="O532" s="4">
        <v>21669.1</v>
      </c>
      <c r="P532" s="4">
        <v>21807.5</v>
      </c>
      <c r="Q532" s="4">
        <v>21767.1</v>
      </c>
      <c r="R532" s="4">
        <v>22047.9</v>
      </c>
    </row>
    <row r="533" spans="1:18" x14ac:dyDescent="0.2">
      <c r="A533" s="3" t="s">
        <v>30</v>
      </c>
      <c r="B533" s="4">
        <v>5641</v>
      </c>
      <c r="C533" s="4">
        <v>5989</v>
      </c>
      <c r="D533" s="4">
        <v>5768</v>
      </c>
      <c r="E533" s="4">
        <v>6143</v>
      </c>
      <c r="F533" s="4">
        <v>6887</v>
      </c>
      <c r="G533" s="4">
        <v>6993</v>
      </c>
      <c r="H533" s="4">
        <v>7479</v>
      </c>
      <c r="I533" s="4">
        <v>7433</v>
      </c>
      <c r="J533" s="4">
        <v>8101</v>
      </c>
      <c r="K533" s="4">
        <v>8437</v>
      </c>
      <c r="L533" s="4">
        <v>8170</v>
      </c>
      <c r="M533" s="4">
        <v>7954</v>
      </c>
      <c r="N533" s="4">
        <v>7831</v>
      </c>
      <c r="O533" s="4">
        <v>8076</v>
      </c>
      <c r="P533" s="4">
        <v>8505</v>
      </c>
      <c r="Q533" s="4">
        <v>8433.7720000000008</v>
      </c>
      <c r="R533" s="4">
        <v>8470.5470000000005</v>
      </c>
    </row>
    <row r="534" spans="1:18" x14ac:dyDescent="0.2">
      <c r="A534" s="3" t="s">
        <v>31</v>
      </c>
      <c r="B534" s="4">
        <v>11379</v>
      </c>
      <c r="C534" s="4">
        <v>12592</v>
      </c>
      <c r="D534" s="4">
        <v>12600</v>
      </c>
      <c r="E534" s="4">
        <v>12911</v>
      </c>
      <c r="F534" s="4">
        <v>13392</v>
      </c>
      <c r="G534" s="4">
        <v>13769</v>
      </c>
      <c r="H534" s="4">
        <v>14336</v>
      </c>
      <c r="I534" s="4">
        <v>14038</v>
      </c>
      <c r="J534" s="4">
        <v>14851</v>
      </c>
      <c r="K534" s="4">
        <v>14471</v>
      </c>
      <c r="L534" s="4">
        <v>14469</v>
      </c>
      <c r="M534" s="4">
        <v>14809</v>
      </c>
      <c r="N534" s="4">
        <v>14464</v>
      </c>
      <c r="O534" s="4">
        <v>14875</v>
      </c>
      <c r="P534" s="4">
        <v>15327</v>
      </c>
      <c r="Q534" s="4">
        <v>15618.21</v>
      </c>
      <c r="R534" s="4">
        <v>16027.522999999999</v>
      </c>
    </row>
    <row r="535" spans="1:18" x14ac:dyDescent="0.2">
      <c r="A535" s="3" t="s">
        <v>32</v>
      </c>
      <c r="B535" s="4">
        <v>10247</v>
      </c>
      <c r="C535" s="4">
        <v>10189</v>
      </c>
      <c r="D535" s="4">
        <v>10399</v>
      </c>
      <c r="E535" s="4">
        <v>10472</v>
      </c>
      <c r="F535" s="4">
        <v>10737</v>
      </c>
      <c r="G535" s="4">
        <v>10989</v>
      </c>
      <c r="H535" s="4">
        <v>10976</v>
      </c>
      <c r="I535" s="4">
        <v>10680</v>
      </c>
      <c r="J535" s="4">
        <v>10835</v>
      </c>
      <c r="K535" s="4">
        <v>10656</v>
      </c>
      <c r="L535" s="4">
        <v>10481</v>
      </c>
      <c r="M535" s="4">
        <v>10227</v>
      </c>
      <c r="N535" s="4">
        <v>10288</v>
      </c>
      <c r="O535" s="4">
        <v>10087.23</v>
      </c>
      <c r="P535" s="4">
        <v>10216.535</v>
      </c>
      <c r="Q535" s="4">
        <v>10685.246999999999</v>
      </c>
      <c r="R535" s="4">
        <v>10594.387000000001</v>
      </c>
    </row>
    <row r="536" spans="1:18" x14ac:dyDescent="0.2">
      <c r="A536" s="3" t="s">
        <v>33</v>
      </c>
      <c r="B536" s="4">
        <v>135238</v>
      </c>
      <c r="C536" s="4">
        <v>142237</v>
      </c>
      <c r="D536" s="4">
        <v>141219</v>
      </c>
      <c r="E536" s="4">
        <v>137410</v>
      </c>
      <c r="F536" s="4">
        <v>142151</v>
      </c>
      <c r="G536" s="4">
        <v>137885</v>
      </c>
      <c r="H536" s="4">
        <v>142193</v>
      </c>
      <c r="I536" s="4">
        <v>144673</v>
      </c>
      <c r="J536" s="4">
        <v>143862</v>
      </c>
      <c r="K536" s="4">
        <v>136306</v>
      </c>
      <c r="L536" s="4">
        <v>139210</v>
      </c>
      <c r="M536" s="4">
        <v>142062</v>
      </c>
      <c r="N536" s="4">
        <v>131515</v>
      </c>
      <c r="O536" s="4">
        <v>140736</v>
      </c>
      <c r="P536" s="4">
        <v>141585</v>
      </c>
      <c r="Q536" s="4">
        <v>141479</v>
      </c>
      <c r="R536" s="4">
        <v>137097</v>
      </c>
    </row>
    <row r="537" spans="1:18" x14ac:dyDescent="0.2">
      <c r="A537" s="3" t="s">
        <v>34</v>
      </c>
      <c r="B537" s="4">
        <v>1570</v>
      </c>
      <c r="C537" s="4">
        <v>1664</v>
      </c>
      <c r="D537" s="4">
        <v>1850</v>
      </c>
      <c r="E537" s="4">
        <v>1929</v>
      </c>
      <c r="F537" s="4">
        <v>2176</v>
      </c>
      <c r="G537" s="4">
        <v>2358</v>
      </c>
      <c r="H537" s="4">
        <v>2553</v>
      </c>
      <c r="I537" s="4">
        <v>2559</v>
      </c>
      <c r="J537" s="4">
        <v>2511</v>
      </c>
      <c r="K537" s="4">
        <v>2378</v>
      </c>
      <c r="L537" s="4">
        <v>2536</v>
      </c>
      <c r="M537" s="4">
        <v>2530</v>
      </c>
      <c r="N537" s="4">
        <v>2795</v>
      </c>
      <c r="O537" s="4">
        <v>2813</v>
      </c>
      <c r="P537" s="4">
        <v>2971</v>
      </c>
      <c r="Q537" s="4">
        <v>2715.4920000000002</v>
      </c>
      <c r="R537" s="4">
        <v>2933</v>
      </c>
    </row>
    <row r="538" spans="1:18" x14ac:dyDescent="0.2">
      <c r="A538" s="3" t="s">
        <v>35</v>
      </c>
      <c r="B538" s="4">
        <v>6748</v>
      </c>
      <c r="C538" s="4">
        <v>8163</v>
      </c>
      <c r="D538" s="4">
        <v>8167.23</v>
      </c>
      <c r="E538" s="4">
        <v>8465.1540000000005</v>
      </c>
      <c r="F538" s="4">
        <v>8133.0280000000002</v>
      </c>
      <c r="G538" s="4">
        <v>8710.2330000000002</v>
      </c>
      <c r="H538" s="4">
        <v>9556.3449999999993</v>
      </c>
      <c r="I538" s="4">
        <v>7944.2860000000001</v>
      </c>
      <c r="J538" s="4">
        <v>7165.85</v>
      </c>
      <c r="K538" s="4">
        <v>6501.2939999999999</v>
      </c>
      <c r="L538" s="4">
        <v>6278.7060000000001</v>
      </c>
      <c r="M538" s="4">
        <v>6366.0950000000003</v>
      </c>
      <c r="N538" s="4">
        <v>6438.8909999999996</v>
      </c>
      <c r="O538" s="4">
        <v>6745.8609999999999</v>
      </c>
      <c r="P538" s="4">
        <v>6951.1149999999998</v>
      </c>
      <c r="Q538" s="4">
        <v>7027.0330000000004</v>
      </c>
      <c r="R538" s="4">
        <v>7462.2259999999997</v>
      </c>
    </row>
    <row r="539" spans="1:18" x14ac:dyDescent="0.2">
      <c r="A539" s="3" t="s">
        <v>36</v>
      </c>
      <c r="B539" s="4">
        <v>13989</v>
      </c>
      <c r="C539" s="4">
        <v>15005</v>
      </c>
      <c r="D539" s="4">
        <v>15872</v>
      </c>
      <c r="E539" s="4">
        <v>16479</v>
      </c>
      <c r="F539" s="4">
        <v>17757</v>
      </c>
      <c r="G539" s="4">
        <v>18773</v>
      </c>
      <c r="H539" s="4">
        <v>19691</v>
      </c>
      <c r="I539" s="4">
        <v>19769</v>
      </c>
      <c r="J539" s="4">
        <v>18000</v>
      </c>
      <c r="K539" s="4">
        <v>16839</v>
      </c>
      <c r="L539" s="4">
        <v>18470</v>
      </c>
      <c r="M539" s="4">
        <v>17008</v>
      </c>
      <c r="N539" s="4">
        <v>16802</v>
      </c>
      <c r="O539" s="4">
        <v>17926</v>
      </c>
      <c r="P539" s="4">
        <v>19448</v>
      </c>
      <c r="Q539" s="4">
        <v>19243.437000000002</v>
      </c>
      <c r="R539" s="4">
        <v>17807.75</v>
      </c>
    </row>
    <row r="540" spans="1:18" x14ac:dyDescent="0.2">
      <c r="A540" s="3" t="s">
        <v>37</v>
      </c>
      <c r="B540" s="4">
        <v>53227</v>
      </c>
      <c r="C540" s="4">
        <v>57232</v>
      </c>
      <c r="D540" s="4">
        <v>60671</v>
      </c>
      <c r="E540" s="4">
        <v>63823</v>
      </c>
      <c r="F540" s="4">
        <v>73130</v>
      </c>
      <c r="G540" s="4">
        <v>74050</v>
      </c>
      <c r="H540" s="4">
        <v>79769</v>
      </c>
      <c r="I540" s="4">
        <v>81019</v>
      </c>
      <c r="J540" s="4">
        <v>83892</v>
      </c>
      <c r="K540" s="4">
        <v>81825</v>
      </c>
      <c r="L540" s="4">
        <v>80752</v>
      </c>
      <c r="M540" s="4">
        <v>76302</v>
      </c>
      <c r="N540" s="4">
        <v>70562</v>
      </c>
      <c r="O540" s="4">
        <v>74108</v>
      </c>
      <c r="P540" s="4">
        <v>73388</v>
      </c>
      <c r="Q540" s="4">
        <v>75307</v>
      </c>
      <c r="R540" s="4">
        <v>74513</v>
      </c>
    </row>
    <row r="541" spans="1:18" x14ac:dyDescent="0.2">
      <c r="A541" s="3" t="s">
        <v>38</v>
      </c>
      <c r="B541" s="4">
        <v>108712</v>
      </c>
      <c r="C541" s="4">
        <v>116183</v>
      </c>
      <c r="D541" s="4">
        <v>120337</v>
      </c>
      <c r="E541" s="4">
        <v>125188</v>
      </c>
      <c r="F541" s="4">
        <v>129924</v>
      </c>
      <c r="G541" s="4">
        <v>133217</v>
      </c>
      <c r="H541" s="4">
        <v>132482</v>
      </c>
      <c r="I541" s="4">
        <v>136668</v>
      </c>
      <c r="J541" s="4">
        <v>144664</v>
      </c>
      <c r="K541" s="4">
        <v>135741.87</v>
      </c>
      <c r="L541" s="4">
        <v>141858.549</v>
      </c>
      <c r="M541" s="4">
        <v>142102.28700000001</v>
      </c>
      <c r="N541" s="4">
        <v>135993.97700000001</v>
      </c>
      <c r="O541" s="4">
        <v>139343.10999999999</v>
      </c>
      <c r="P541" s="4">
        <v>139851.70199999999</v>
      </c>
      <c r="Q541" s="4">
        <v>139382.383</v>
      </c>
      <c r="R541" s="4">
        <v>138487.65400000001</v>
      </c>
    </row>
    <row r="542" spans="1:18" x14ac:dyDescent="0.2">
      <c r="A542" s="3" t="s">
        <v>39</v>
      </c>
      <c r="B542" s="4">
        <v>3484</v>
      </c>
      <c r="C542" s="4">
        <v>3757</v>
      </c>
      <c r="D542" s="4">
        <v>4030</v>
      </c>
      <c r="E542" s="4">
        <v>4413</v>
      </c>
      <c r="F542" s="4">
        <v>4686</v>
      </c>
      <c r="G542" s="4">
        <v>4873</v>
      </c>
      <c r="H542" s="4">
        <v>5288</v>
      </c>
      <c r="I542" s="4">
        <v>5311</v>
      </c>
      <c r="J542" s="4">
        <v>5385</v>
      </c>
      <c r="K542" s="4">
        <v>5516</v>
      </c>
      <c r="L542" s="4">
        <v>5513</v>
      </c>
      <c r="M542" s="4">
        <v>5387</v>
      </c>
      <c r="N542" s="4">
        <v>5215</v>
      </c>
      <c r="O542" s="4">
        <v>5405</v>
      </c>
      <c r="P542" s="4">
        <v>5433</v>
      </c>
      <c r="Q542" s="4">
        <v>5777.1</v>
      </c>
      <c r="R542" s="4">
        <v>5945.2</v>
      </c>
    </row>
    <row r="543" spans="1:18" x14ac:dyDescent="0.2">
      <c r="A543" s="3" t="s">
        <v>40</v>
      </c>
      <c r="B543" s="4">
        <v>62830</v>
      </c>
      <c r="C543" s="4">
        <v>67426</v>
      </c>
      <c r="D543" s="4">
        <v>69955</v>
      </c>
      <c r="E543" s="4">
        <v>73875</v>
      </c>
      <c r="F543" s="4">
        <v>78057</v>
      </c>
      <c r="G543" s="4">
        <v>79865</v>
      </c>
      <c r="H543" s="4">
        <v>82773</v>
      </c>
      <c r="I543" s="4">
        <v>84300</v>
      </c>
      <c r="J543" s="4">
        <v>85619</v>
      </c>
      <c r="K543" s="4">
        <v>86912</v>
      </c>
      <c r="L543" s="4">
        <v>90279</v>
      </c>
      <c r="M543" s="4">
        <v>88982</v>
      </c>
      <c r="N543" s="4">
        <v>88489</v>
      </c>
      <c r="O543" s="4">
        <v>92085</v>
      </c>
      <c r="P543" s="4">
        <v>91736</v>
      </c>
      <c r="Q543" s="4">
        <v>93491.933999999994</v>
      </c>
      <c r="R543" s="4">
        <v>94489.797999999995</v>
      </c>
    </row>
    <row r="544" spans="1:18" x14ac:dyDescent="0.2">
      <c r="A544" s="3" t="s">
        <v>41</v>
      </c>
      <c r="B544" s="4">
        <v>1584</v>
      </c>
      <c r="C544" s="4">
        <v>1664</v>
      </c>
      <c r="D544" s="4">
        <v>1712.355</v>
      </c>
      <c r="E544" s="4">
        <v>1786.355</v>
      </c>
      <c r="F544" s="4">
        <v>1858.355</v>
      </c>
      <c r="G544" s="4">
        <v>1952.355</v>
      </c>
      <c r="H544" s="4">
        <v>2067.355</v>
      </c>
      <c r="I544" s="4">
        <v>2164.355</v>
      </c>
      <c r="J544" s="4">
        <v>2256.355</v>
      </c>
      <c r="K544" s="4">
        <v>2138.4140000000002</v>
      </c>
      <c r="L544" s="4">
        <v>2000.4290000000001</v>
      </c>
      <c r="M544" s="4">
        <v>1786.4290000000001</v>
      </c>
      <c r="N544" s="4">
        <v>1838.4290000000001</v>
      </c>
      <c r="O544" s="4">
        <v>1886.4290000000001</v>
      </c>
      <c r="P544" s="4">
        <v>2065.4290000000001</v>
      </c>
      <c r="Q544" s="4">
        <v>2096.6610000000001</v>
      </c>
      <c r="R544" s="4">
        <v>2174.0340000000001</v>
      </c>
    </row>
    <row r="545" spans="1:18" x14ac:dyDescent="0.2">
      <c r="A545" s="3" t="s">
        <v>42</v>
      </c>
      <c r="B545" s="4">
        <v>1727</v>
      </c>
      <c r="C545" s="4">
        <v>1865</v>
      </c>
      <c r="D545" s="4">
        <v>1988</v>
      </c>
      <c r="E545" s="4">
        <v>2142</v>
      </c>
      <c r="F545" s="4">
        <v>2331</v>
      </c>
      <c r="G545" s="4">
        <v>2704</v>
      </c>
      <c r="H545" s="4">
        <v>2628</v>
      </c>
      <c r="I545" s="4">
        <v>2335</v>
      </c>
      <c r="J545" s="4">
        <v>2420</v>
      </c>
      <c r="K545" s="4">
        <v>2487</v>
      </c>
      <c r="L545" s="4">
        <v>2798</v>
      </c>
      <c r="M545" s="4">
        <v>2703</v>
      </c>
      <c r="N545" s="4">
        <v>2882</v>
      </c>
      <c r="O545" s="4">
        <v>2725</v>
      </c>
      <c r="P545" s="4">
        <v>2733</v>
      </c>
      <c r="Q545" s="4">
        <v>2764.703</v>
      </c>
      <c r="R545" s="4">
        <v>2856.0070000000001</v>
      </c>
    </row>
    <row r="546" spans="1:18" x14ac:dyDescent="0.2">
      <c r="A546" s="3" t="s">
        <v>43</v>
      </c>
      <c r="B546" s="4">
        <v>2096</v>
      </c>
      <c r="C546" s="4">
        <v>2375</v>
      </c>
      <c r="D546" s="4">
        <v>2543</v>
      </c>
      <c r="E546" s="4">
        <v>2686</v>
      </c>
      <c r="F546" s="4">
        <v>2836</v>
      </c>
      <c r="G546" s="4">
        <v>3012</v>
      </c>
      <c r="H546" s="4">
        <v>3240</v>
      </c>
      <c r="I546" s="4">
        <v>2955</v>
      </c>
      <c r="J546" s="4">
        <v>2839</v>
      </c>
      <c r="K546" s="4">
        <v>2953</v>
      </c>
      <c r="L546" s="4">
        <v>3114</v>
      </c>
      <c r="M546" s="4">
        <v>3130</v>
      </c>
      <c r="N546" s="4">
        <v>3218</v>
      </c>
      <c r="O546" s="4">
        <v>3110</v>
      </c>
      <c r="P546" s="4">
        <v>3280</v>
      </c>
      <c r="Q546" s="4">
        <v>3307.3</v>
      </c>
      <c r="R546" s="4">
        <v>3436.5</v>
      </c>
    </row>
    <row r="547" spans="1:18" x14ac:dyDescent="0.2">
      <c r="A547" s="3" t="s">
        <v>44</v>
      </c>
      <c r="B547" s="4">
        <v>1560.481</v>
      </c>
      <c r="C547" s="4">
        <v>1692.502</v>
      </c>
      <c r="D547" s="4">
        <v>1580.412</v>
      </c>
      <c r="E547" s="4">
        <v>1750.8389999999999</v>
      </c>
      <c r="F547" s="4">
        <v>1777.163</v>
      </c>
      <c r="G547" s="4">
        <v>2126.0250000000001</v>
      </c>
      <c r="H547" s="4">
        <v>2076.7939999999999</v>
      </c>
      <c r="I547" s="4">
        <v>1962.146</v>
      </c>
      <c r="J547" s="4">
        <v>1993.5340000000001</v>
      </c>
      <c r="K547" s="4">
        <v>1880.5709999999999</v>
      </c>
      <c r="L547" s="4">
        <v>1946.136</v>
      </c>
      <c r="M547" s="4">
        <v>1999.3019999999999</v>
      </c>
      <c r="N547" s="4">
        <v>1932.0830000000001</v>
      </c>
      <c r="O547" s="4">
        <v>1920.4</v>
      </c>
      <c r="P547" s="4">
        <v>1793.7170000000001</v>
      </c>
      <c r="Q547" s="4">
        <v>2252.107</v>
      </c>
      <c r="R547" s="4">
        <v>2261.9299999999998</v>
      </c>
    </row>
    <row r="548" spans="1:18" x14ac:dyDescent="0.2">
      <c r="A548" s="3" t="s">
        <v>45</v>
      </c>
      <c r="B548" s="4">
        <v>8723</v>
      </c>
      <c r="C548" s="4">
        <v>8647</v>
      </c>
      <c r="D548" s="4">
        <v>9124</v>
      </c>
      <c r="E548" s="4">
        <v>9931</v>
      </c>
      <c r="F548" s="4">
        <v>10298</v>
      </c>
      <c r="G548" s="4">
        <v>10853</v>
      </c>
      <c r="H548" s="4">
        <v>10827</v>
      </c>
      <c r="I548" s="4">
        <v>11363</v>
      </c>
      <c r="J548" s="4">
        <v>11355</v>
      </c>
      <c r="K548" s="4">
        <v>11466</v>
      </c>
      <c r="L548" s="4">
        <v>7817</v>
      </c>
      <c r="M548" s="4">
        <v>7507</v>
      </c>
      <c r="N548" s="4">
        <v>7647</v>
      </c>
      <c r="O548" s="4">
        <v>7937</v>
      </c>
      <c r="P548" s="4">
        <v>8045</v>
      </c>
      <c r="Q548" s="4">
        <v>8323</v>
      </c>
      <c r="R548" s="4">
        <v>8540</v>
      </c>
    </row>
    <row r="549" spans="1:18" x14ac:dyDescent="0.2">
      <c r="A549" s="3" t="s">
        <v>46</v>
      </c>
      <c r="B549" s="4">
        <v>577</v>
      </c>
      <c r="C549" s="4">
        <v>621</v>
      </c>
      <c r="D549" s="4">
        <v>624</v>
      </c>
      <c r="E549" s="4">
        <v>563</v>
      </c>
      <c r="F549" s="4">
        <v>664</v>
      </c>
      <c r="G549" s="4">
        <v>663</v>
      </c>
      <c r="H549" s="4">
        <v>650</v>
      </c>
      <c r="I549" s="4">
        <v>627</v>
      </c>
      <c r="J549" s="4">
        <v>797</v>
      </c>
      <c r="K549" s="4">
        <v>829</v>
      </c>
      <c r="L549" s="4">
        <v>888</v>
      </c>
      <c r="M549" s="4">
        <v>896</v>
      </c>
      <c r="N549" s="4">
        <v>943</v>
      </c>
      <c r="O549" s="4">
        <v>1002</v>
      </c>
      <c r="P549" s="4">
        <v>992.40599999999995</v>
      </c>
      <c r="Q549" s="4">
        <v>1092.5350000000001</v>
      </c>
      <c r="R549" s="4">
        <v>1117.828</v>
      </c>
    </row>
    <row r="550" spans="1:18" x14ac:dyDescent="0.2">
      <c r="A550" s="3" t="s">
        <v>47</v>
      </c>
      <c r="B550" s="4">
        <v>30421</v>
      </c>
      <c r="C550" s="4">
        <v>31815</v>
      </c>
      <c r="D550" s="4">
        <v>32942</v>
      </c>
      <c r="E550" s="4">
        <v>33698</v>
      </c>
      <c r="F550" s="4">
        <v>34627</v>
      </c>
      <c r="G550" s="4">
        <v>35417</v>
      </c>
      <c r="H550" s="4">
        <v>35889</v>
      </c>
      <c r="I550" s="4">
        <v>36547</v>
      </c>
      <c r="J550" s="4">
        <v>36766</v>
      </c>
      <c r="K550" s="4">
        <v>36911</v>
      </c>
      <c r="L550" s="4">
        <v>36129.586000000003</v>
      </c>
      <c r="M550" s="4">
        <v>36282.525999999998</v>
      </c>
      <c r="N550" s="4">
        <v>35589.983</v>
      </c>
      <c r="O550" s="4">
        <v>36173.955999999998</v>
      </c>
      <c r="P550" s="4">
        <v>36165.339</v>
      </c>
      <c r="Q550" s="4">
        <v>36615.023999999998</v>
      </c>
      <c r="R550" s="4">
        <v>36907.129000000001</v>
      </c>
    </row>
    <row r="551" spans="1:18" x14ac:dyDescent="0.2">
      <c r="A551" s="3" t="s">
        <v>48</v>
      </c>
      <c r="B551" s="4">
        <v>11327</v>
      </c>
      <c r="C551" s="4">
        <v>11672</v>
      </c>
      <c r="D551" s="4">
        <v>10687</v>
      </c>
      <c r="E551" s="4">
        <v>12573.75</v>
      </c>
      <c r="F551" s="4">
        <v>12623.959000000001</v>
      </c>
      <c r="G551" s="4">
        <v>12357.696</v>
      </c>
      <c r="H551" s="4">
        <v>13364.093000000001</v>
      </c>
      <c r="I551" s="4">
        <v>11539.986999999999</v>
      </c>
      <c r="J551" s="4">
        <v>11814.789000000001</v>
      </c>
      <c r="K551" s="4">
        <v>11697.398999999999</v>
      </c>
      <c r="L551" s="4">
        <v>12005.47</v>
      </c>
      <c r="M551" s="4">
        <v>12004.215</v>
      </c>
      <c r="N551" s="4">
        <v>12256.793</v>
      </c>
      <c r="O551" s="4">
        <v>12274.313</v>
      </c>
      <c r="P551" s="4">
        <v>11541.174999999999</v>
      </c>
      <c r="Q551" s="4">
        <v>12214.653</v>
      </c>
      <c r="R551" s="4">
        <v>12253.928</v>
      </c>
    </row>
    <row r="552" spans="1:18" x14ac:dyDescent="0.2">
      <c r="A552" s="3" t="s">
        <v>49</v>
      </c>
      <c r="B552" s="4">
        <v>28640</v>
      </c>
      <c r="C552" s="4">
        <v>29892</v>
      </c>
      <c r="D552" s="4">
        <v>31017</v>
      </c>
      <c r="E552" s="4">
        <v>33357</v>
      </c>
      <c r="F552" s="4">
        <v>36711</v>
      </c>
      <c r="G552" s="4">
        <v>37189</v>
      </c>
      <c r="H552" s="4">
        <v>41090</v>
      </c>
      <c r="I552" s="4">
        <v>40552</v>
      </c>
      <c r="J552" s="4">
        <v>43669</v>
      </c>
      <c r="K552" s="4">
        <v>44190</v>
      </c>
      <c r="L552" s="4">
        <v>44378</v>
      </c>
      <c r="M552" s="4">
        <v>43130</v>
      </c>
      <c r="N552" s="4">
        <v>45171.472999999998</v>
      </c>
      <c r="O552" s="4">
        <v>45442.62</v>
      </c>
      <c r="P552" s="4">
        <v>47799.5</v>
      </c>
      <c r="Q552" s="4">
        <v>47018.758000000002</v>
      </c>
      <c r="R552" s="4">
        <v>49441.15</v>
      </c>
    </row>
    <row r="553" spans="1:18" x14ac:dyDescent="0.2">
      <c r="A553" s="3" t="s">
        <v>50</v>
      </c>
      <c r="B553" s="4">
        <v>12363</v>
      </c>
      <c r="C553" s="4">
        <v>13185</v>
      </c>
      <c r="D553" s="4">
        <v>13705</v>
      </c>
      <c r="E553" s="4">
        <v>14407</v>
      </c>
      <c r="F553" s="4">
        <v>15240</v>
      </c>
      <c r="G553" s="4">
        <v>15606</v>
      </c>
      <c r="H553" s="4">
        <v>15775</v>
      </c>
      <c r="I553" s="4">
        <v>15973</v>
      </c>
      <c r="J553" s="4">
        <v>16397</v>
      </c>
      <c r="K553" s="4">
        <v>16270</v>
      </c>
      <c r="L553" s="4">
        <v>16007</v>
      </c>
      <c r="M553" s="4">
        <v>15707</v>
      </c>
      <c r="N553" s="4">
        <v>16756</v>
      </c>
      <c r="O553" s="4">
        <v>17193</v>
      </c>
      <c r="P553" s="4">
        <v>16456.566999999999</v>
      </c>
      <c r="Q553" s="4">
        <v>16369.539000000001</v>
      </c>
      <c r="R553" s="4">
        <v>16749.644</v>
      </c>
    </row>
    <row r="554" spans="1:18" x14ac:dyDescent="0.2">
      <c r="A554" s="3" t="s">
        <v>51</v>
      </c>
      <c r="B554" s="4">
        <v>2741</v>
      </c>
      <c r="C554" s="4">
        <v>4749</v>
      </c>
      <c r="D554" s="4">
        <v>3586</v>
      </c>
      <c r="E554" s="4">
        <v>4000</v>
      </c>
      <c r="F554" s="4">
        <v>4900</v>
      </c>
      <c r="G554" s="4">
        <v>5721</v>
      </c>
      <c r="H554" s="4">
        <v>6432</v>
      </c>
      <c r="I554" s="4">
        <v>6526</v>
      </c>
      <c r="J554" s="4">
        <v>7581</v>
      </c>
      <c r="K554" s="4">
        <v>7869</v>
      </c>
      <c r="L554" s="4">
        <v>7897</v>
      </c>
      <c r="M554" s="4">
        <v>7961</v>
      </c>
      <c r="N554" s="4">
        <v>8223</v>
      </c>
      <c r="O554" s="4">
        <v>8407</v>
      </c>
      <c r="P554" s="4">
        <v>8581</v>
      </c>
      <c r="Q554" s="4">
        <v>8547.5400000000009</v>
      </c>
      <c r="R554" s="4">
        <v>8752.6859999999997</v>
      </c>
    </row>
    <row r="555" spans="1:18" x14ac:dyDescent="0.2">
      <c r="A555" s="3" t="s">
        <v>52</v>
      </c>
      <c r="B555" s="4">
        <v>2986</v>
      </c>
      <c r="C555" s="4">
        <v>2272</v>
      </c>
      <c r="D555" s="4">
        <v>2589</v>
      </c>
      <c r="E555" s="4">
        <v>2421</v>
      </c>
      <c r="F555" s="4">
        <v>2472</v>
      </c>
      <c r="G555" s="4">
        <v>2580</v>
      </c>
      <c r="H555" s="4">
        <v>3117</v>
      </c>
      <c r="I555" s="4">
        <v>3034</v>
      </c>
      <c r="J555" s="4">
        <v>3066</v>
      </c>
      <c r="K555" s="4">
        <v>3261</v>
      </c>
      <c r="L555" s="4">
        <v>3168</v>
      </c>
      <c r="M555" s="4">
        <v>3218</v>
      </c>
      <c r="N555" s="4">
        <v>3141</v>
      </c>
      <c r="O555" s="4">
        <v>3232</v>
      </c>
      <c r="P555" s="4">
        <v>3365</v>
      </c>
      <c r="Q555" s="4">
        <v>3523.8670000000002</v>
      </c>
      <c r="R555" s="4">
        <v>3269.0990000000002</v>
      </c>
    </row>
    <row r="556" spans="1:18" x14ac:dyDescent="0.2">
      <c r="A556" s="3" t="s">
        <v>53</v>
      </c>
      <c r="B556" s="4">
        <v>7350</v>
      </c>
      <c r="C556" s="4">
        <v>6471</v>
      </c>
      <c r="D556" s="4">
        <v>7353</v>
      </c>
      <c r="E556" s="4">
        <v>6151</v>
      </c>
      <c r="F556" s="4">
        <v>6267</v>
      </c>
      <c r="G556" s="4">
        <v>6844</v>
      </c>
      <c r="H556" s="4">
        <v>6790</v>
      </c>
      <c r="I556" s="4">
        <v>7079</v>
      </c>
      <c r="J556" s="4">
        <v>8014</v>
      </c>
      <c r="K556" s="4">
        <v>8232</v>
      </c>
      <c r="L556" s="4">
        <v>6450</v>
      </c>
      <c r="M556" s="4">
        <v>7549</v>
      </c>
      <c r="N556" s="4">
        <v>6145</v>
      </c>
      <c r="O556" s="4">
        <v>6866</v>
      </c>
      <c r="P556" s="4">
        <v>6946</v>
      </c>
      <c r="Q556" s="4">
        <v>7674</v>
      </c>
      <c r="R556" s="4">
        <v>7218</v>
      </c>
    </row>
    <row r="557" spans="1:18" x14ac:dyDescent="0.2">
      <c r="A557" s="3" t="s">
        <v>54</v>
      </c>
      <c r="B557" s="4">
        <v>14646</v>
      </c>
      <c r="C557" s="4">
        <v>14673</v>
      </c>
      <c r="D557" s="4">
        <v>15173</v>
      </c>
      <c r="E557" s="4">
        <v>15523</v>
      </c>
      <c r="F557" s="4">
        <v>15937</v>
      </c>
      <c r="G557" s="4">
        <v>16200</v>
      </c>
      <c r="H557" s="4">
        <v>16549</v>
      </c>
      <c r="I557" s="4">
        <v>17254</v>
      </c>
      <c r="J557" s="4">
        <v>17846</v>
      </c>
      <c r="K557" s="4">
        <v>17263</v>
      </c>
      <c r="L557" s="4">
        <v>17857</v>
      </c>
      <c r="M557" s="4">
        <v>17505</v>
      </c>
      <c r="N557" s="4">
        <v>17459</v>
      </c>
      <c r="O557" s="4">
        <v>17450</v>
      </c>
      <c r="P557" s="4">
        <v>17645</v>
      </c>
      <c r="Q557" s="4">
        <v>17520</v>
      </c>
      <c r="R557" s="4">
        <v>18200</v>
      </c>
    </row>
    <row r="558" spans="1:18" x14ac:dyDescent="0.2">
      <c r="A558" s="3" t="s">
        <v>55</v>
      </c>
      <c r="B558" s="4">
        <v>28002</v>
      </c>
      <c r="C558" s="4">
        <v>27263</v>
      </c>
      <c r="D558" s="4">
        <v>27557</v>
      </c>
      <c r="E558" s="4">
        <v>26135</v>
      </c>
      <c r="F558" s="4">
        <v>27139</v>
      </c>
      <c r="G558" s="4">
        <v>28457</v>
      </c>
      <c r="H558" s="4">
        <v>28096</v>
      </c>
      <c r="I558" s="4">
        <v>26744</v>
      </c>
      <c r="J558" s="4">
        <v>27187</v>
      </c>
      <c r="K558" s="4">
        <v>24636</v>
      </c>
      <c r="L558" s="4">
        <v>25741</v>
      </c>
      <c r="M558" s="4">
        <v>25504</v>
      </c>
      <c r="N558" s="4">
        <v>26347</v>
      </c>
      <c r="O558" s="4">
        <v>27736</v>
      </c>
      <c r="P558" s="4">
        <v>28733</v>
      </c>
      <c r="Q558" s="4">
        <v>27563</v>
      </c>
      <c r="R558" s="4">
        <v>28012</v>
      </c>
    </row>
    <row r="559" spans="1:18" x14ac:dyDescent="0.2">
      <c r="A559" s="3" t="s">
        <v>56</v>
      </c>
      <c r="B559" s="4">
        <v>93620</v>
      </c>
      <c r="C559" s="4">
        <v>91722</v>
      </c>
      <c r="D559" s="4">
        <v>95178</v>
      </c>
      <c r="E559" s="4">
        <v>98878</v>
      </c>
      <c r="F559" s="4">
        <v>97618</v>
      </c>
      <c r="G559" s="4">
        <v>97764</v>
      </c>
      <c r="H559" s="4">
        <v>99861</v>
      </c>
      <c r="I559" s="4">
        <v>95628</v>
      </c>
      <c r="J559" s="4">
        <v>97372</v>
      </c>
      <c r="K559" s="4">
        <v>95718</v>
      </c>
      <c r="L559" s="4">
        <v>96802</v>
      </c>
      <c r="M559" s="4">
        <v>97652</v>
      </c>
      <c r="N559" s="4">
        <v>93356</v>
      </c>
      <c r="O559" s="4">
        <v>94144.376999999993</v>
      </c>
      <c r="P559" s="4">
        <v>93692.277000000002</v>
      </c>
      <c r="Q559" s="4">
        <v>92792.122000000003</v>
      </c>
      <c r="R559" s="4">
        <v>92256.781000000003</v>
      </c>
    </row>
    <row r="560" spans="1:18" x14ac:dyDescent="0.2">
      <c r="A560" s="3" t="s">
        <v>57</v>
      </c>
      <c r="B560" s="4">
        <v>802</v>
      </c>
      <c r="C560" s="4">
        <v>784</v>
      </c>
      <c r="D560" s="4">
        <v>882</v>
      </c>
      <c r="E560" s="4">
        <v>916</v>
      </c>
      <c r="F560" s="4">
        <v>957</v>
      </c>
      <c r="G560" s="4">
        <v>989</v>
      </c>
      <c r="H560" s="4">
        <v>1063</v>
      </c>
      <c r="I560" s="4">
        <v>1021</v>
      </c>
      <c r="J560" s="4">
        <v>1023</v>
      </c>
      <c r="K560" s="4">
        <v>1019</v>
      </c>
      <c r="L560" s="4">
        <v>1037</v>
      </c>
      <c r="M560" s="4">
        <v>1040</v>
      </c>
      <c r="N560" s="4">
        <v>1026</v>
      </c>
      <c r="O560" s="4">
        <v>1217</v>
      </c>
      <c r="P560" s="4">
        <v>1263</v>
      </c>
      <c r="Q560" s="4">
        <v>1331.617</v>
      </c>
      <c r="R560" s="4">
        <v>1714.0719999999999</v>
      </c>
    </row>
    <row r="561" spans="1:18" x14ac:dyDescent="0.2">
      <c r="A561" s="3" t="s">
        <v>58</v>
      </c>
      <c r="B561" s="4">
        <v>24323</v>
      </c>
      <c r="C561" s="4">
        <v>20833</v>
      </c>
      <c r="D561" s="4">
        <v>21586</v>
      </c>
      <c r="E561" s="4">
        <v>21954</v>
      </c>
      <c r="F561" s="4">
        <v>21160</v>
      </c>
      <c r="G561" s="4">
        <v>23322</v>
      </c>
      <c r="H561" s="4">
        <v>23656</v>
      </c>
      <c r="I561" s="4">
        <v>26892</v>
      </c>
      <c r="J561" s="4">
        <v>26188</v>
      </c>
      <c r="K561" s="4">
        <v>24863</v>
      </c>
      <c r="L561" s="4">
        <v>25856</v>
      </c>
      <c r="M561" s="4">
        <v>26056</v>
      </c>
      <c r="N561" s="4">
        <v>24659</v>
      </c>
      <c r="O561" s="4">
        <v>24660</v>
      </c>
      <c r="P561" s="4">
        <v>26133</v>
      </c>
      <c r="Q561" s="4">
        <v>25012</v>
      </c>
      <c r="R561" s="4">
        <v>25446.355</v>
      </c>
    </row>
    <row r="562" spans="1:18" x14ac:dyDescent="0.2">
      <c r="A562" s="3" t="s">
        <v>59</v>
      </c>
      <c r="B562" s="4">
        <v>335</v>
      </c>
      <c r="C562" s="4">
        <v>313</v>
      </c>
      <c r="D562" s="4">
        <v>4590</v>
      </c>
      <c r="E562" s="4">
        <v>4956</v>
      </c>
      <c r="F562" s="4">
        <v>5195</v>
      </c>
      <c r="G562" s="4">
        <v>5369</v>
      </c>
      <c r="H562" s="4">
        <v>5615</v>
      </c>
      <c r="I562" s="4">
        <v>4828</v>
      </c>
      <c r="J562" s="4">
        <v>4957</v>
      </c>
      <c r="K562" s="4">
        <v>5003</v>
      </c>
      <c r="L562" s="4">
        <v>4918</v>
      </c>
      <c r="M562" s="4">
        <v>4899</v>
      </c>
      <c r="N562" s="4">
        <v>4566</v>
      </c>
      <c r="O562" s="4">
        <v>4920</v>
      </c>
      <c r="P562" s="4">
        <v>5005</v>
      </c>
      <c r="Q562" s="4">
        <v>5190.2700000000004</v>
      </c>
      <c r="R562" s="4">
        <v>5183.1689999999999</v>
      </c>
    </row>
    <row r="564" spans="1:18" x14ac:dyDescent="0.2">
      <c r="A564" s="1" t="s">
        <v>61</v>
      </c>
    </row>
    <row r="565" spans="1:18" x14ac:dyDescent="0.2">
      <c r="A565" s="1" t="s">
        <v>60</v>
      </c>
      <c r="B565" s="1" t="s">
        <v>62</v>
      </c>
    </row>
    <row r="567" spans="1:18" x14ac:dyDescent="0.2">
      <c r="A567" s="1" t="s">
        <v>5</v>
      </c>
      <c r="B567" s="1" t="s">
        <v>76</v>
      </c>
    </row>
    <row r="568" spans="1:18" x14ac:dyDescent="0.2">
      <c r="A568" s="1" t="s">
        <v>7</v>
      </c>
      <c r="B568" s="1" t="s">
        <v>8</v>
      </c>
    </row>
    <row r="569" spans="1:18" x14ac:dyDescent="0.2">
      <c r="A569" s="1" t="s">
        <v>9</v>
      </c>
      <c r="B569" s="1" t="s">
        <v>10</v>
      </c>
    </row>
    <row r="571" spans="1:18" x14ac:dyDescent="0.2">
      <c r="A571" s="3" t="s">
        <v>11</v>
      </c>
      <c r="B571" s="3" t="s">
        <v>12</v>
      </c>
      <c r="C571" s="3" t="s">
        <v>13</v>
      </c>
      <c r="D571" s="3" t="s">
        <v>14</v>
      </c>
      <c r="E571" s="3" t="s">
        <v>15</v>
      </c>
      <c r="F571" s="3" t="s">
        <v>16</v>
      </c>
      <c r="G571" s="3" t="s">
        <v>17</v>
      </c>
      <c r="H571" s="3" t="s">
        <v>18</v>
      </c>
      <c r="I571" s="3" t="s">
        <v>19</v>
      </c>
      <c r="J571" s="3" t="s">
        <v>20</v>
      </c>
      <c r="K571" s="3" t="s">
        <v>21</v>
      </c>
      <c r="L571" s="3" t="s">
        <v>22</v>
      </c>
      <c r="M571" s="3" t="s">
        <v>23</v>
      </c>
      <c r="N571" s="3" t="s">
        <v>24</v>
      </c>
      <c r="O571" s="3" t="s">
        <v>25</v>
      </c>
      <c r="P571" s="3" t="s">
        <v>26</v>
      </c>
      <c r="Q571" s="3" t="s">
        <v>27</v>
      </c>
      <c r="R571" s="3" t="s">
        <v>28</v>
      </c>
    </row>
    <row r="572" spans="1:18" x14ac:dyDescent="0.2">
      <c r="A572" s="3" t="s">
        <v>29</v>
      </c>
      <c r="B572" s="4">
        <v>25921</v>
      </c>
      <c r="C572" s="4">
        <v>26026</v>
      </c>
      <c r="D572" s="4">
        <v>26543</v>
      </c>
      <c r="E572" s="4">
        <v>26007</v>
      </c>
      <c r="F572" s="4">
        <v>22722</v>
      </c>
      <c r="G572" s="4">
        <v>21856</v>
      </c>
      <c r="H572" s="4">
        <v>19982</v>
      </c>
      <c r="I572" s="4">
        <v>20210</v>
      </c>
      <c r="J572" s="4">
        <v>20276</v>
      </c>
      <c r="K572" s="4">
        <v>19257</v>
      </c>
      <c r="L572" s="4">
        <v>19848</v>
      </c>
      <c r="M572" s="4">
        <v>19810</v>
      </c>
      <c r="N572" s="4">
        <v>18992.2</v>
      </c>
      <c r="O572" s="4">
        <v>18862.2</v>
      </c>
      <c r="P572" s="4">
        <v>18884.599999999999</v>
      </c>
      <c r="Q572" s="4">
        <v>18567.599999999999</v>
      </c>
      <c r="R572" s="4">
        <v>18440.8</v>
      </c>
    </row>
    <row r="573" spans="1:18" x14ac:dyDescent="0.2">
      <c r="A573" s="3" t="s">
        <v>30</v>
      </c>
      <c r="B573" s="4">
        <v>9306</v>
      </c>
      <c r="C573" s="4">
        <v>9311</v>
      </c>
      <c r="D573" s="4">
        <v>8770</v>
      </c>
      <c r="E573" s="4">
        <v>9046</v>
      </c>
      <c r="F573" s="4">
        <v>9305</v>
      </c>
      <c r="G573" s="4">
        <v>9376</v>
      </c>
      <c r="H573" s="4">
        <v>10027</v>
      </c>
      <c r="I573" s="4">
        <v>10302</v>
      </c>
      <c r="J573" s="4">
        <v>10559</v>
      </c>
      <c r="K573" s="4">
        <v>10912</v>
      </c>
      <c r="L573" s="4">
        <v>10838</v>
      </c>
      <c r="M573" s="4">
        <v>10537</v>
      </c>
      <c r="N573" s="4">
        <v>10590</v>
      </c>
      <c r="O573" s="4">
        <v>10644</v>
      </c>
      <c r="P573" s="4">
        <v>10733</v>
      </c>
      <c r="Q573" s="4">
        <v>11137.538</v>
      </c>
      <c r="R573" s="4">
        <v>10963.025</v>
      </c>
    </row>
    <row r="574" spans="1:18" x14ac:dyDescent="0.2">
      <c r="A574" s="3" t="s">
        <v>31</v>
      </c>
      <c r="B574" s="4">
        <v>14121</v>
      </c>
      <c r="C574" s="4">
        <v>14508</v>
      </c>
      <c r="D574" s="4">
        <v>14525</v>
      </c>
      <c r="E574" s="4">
        <v>14719</v>
      </c>
      <c r="F574" s="4">
        <v>15198</v>
      </c>
      <c r="G574" s="4">
        <v>14646</v>
      </c>
      <c r="H574" s="4">
        <v>14703</v>
      </c>
      <c r="I574" s="4">
        <v>14687</v>
      </c>
      <c r="J574" s="4">
        <v>15028</v>
      </c>
      <c r="K574" s="4">
        <v>14200</v>
      </c>
      <c r="L574" s="4">
        <v>14581</v>
      </c>
      <c r="M574" s="4">
        <v>14716</v>
      </c>
      <c r="N574" s="4">
        <v>14125</v>
      </c>
      <c r="O574" s="4">
        <v>14382</v>
      </c>
      <c r="P574" s="4">
        <v>14935</v>
      </c>
      <c r="Q574" s="4">
        <v>15211.27</v>
      </c>
      <c r="R574" s="4">
        <v>15049.536</v>
      </c>
    </row>
    <row r="575" spans="1:18" x14ac:dyDescent="0.2">
      <c r="A575" s="3" t="s">
        <v>32</v>
      </c>
      <c r="B575" s="4">
        <v>10190</v>
      </c>
      <c r="C575" s="4">
        <v>10262</v>
      </c>
      <c r="D575" s="4">
        <v>10332</v>
      </c>
      <c r="E575" s="4">
        <v>10449</v>
      </c>
      <c r="F575" s="4">
        <v>10573</v>
      </c>
      <c r="G575" s="4">
        <v>10349</v>
      </c>
      <c r="H575" s="4">
        <v>10280</v>
      </c>
      <c r="I575" s="4">
        <v>10096</v>
      </c>
      <c r="J575" s="4">
        <v>10389</v>
      </c>
      <c r="K575" s="4">
        <v>10111</v>
      </c>
      <c r="L575" s="4">
        <v>9989</v>
      </c>
      <c r="M575" s="4">
        <v>10307</v>
      </c>
      <c r="N575" s="4">
        <v>10104</v>
      </c>
      <c r="O575" s="4">
        <v>10176.653</v>
      </c>
      <c r="P575" s="4">
        <v>10296.171</v>
      </c>
      <c r="Q575" s="4">
        <v>9863.9269999999997</v>
      </c>
      <c r="R575" s="4">
        <v>9772.9310000000005</v>
      </c>
    </row>
    <row r="576" spans="1:18" x14ac:dyDescent="0.2">
      <c r="A576" s="3" t="s">
        <v>33</v>
      </c>
      <c r="B576" s="4">
        <v>136500</v>
      </c>
      <c r="C576" s="4">
        <v>139100</v>
      </c>
      <c r="D576" s="4">
        <v>140400</v>
      </c>
      <c r="E576" s="4">
        <v>141300</v>
      </c>
      <c r="F576" s="4">
        <v>141500</v>
      </c>
      <c r="G576" s="4">
        <v>140100</v>
      </c>
      <c r="H576" s="4">
        <v>139500</v>
      </c>
      <c r="I576" s="4">
        <v>139200</v>
      </c>
      <c r="J576" s="4">
        <v>141700</v>
      </c>
      <c r="K576" s="4">
        <v>136600</v>
      </c>
      <c r="L576" s="4">
        <v>137000</v>
      </c>
      <c r="M576" s="4">
        <v>136000</v>
      </c>
      <c r="N576" s="4">
        <v>129600</v>
      </c>
      <c r="O576" s="4">
        <v>128700</v>
      </c>
      <c r="P576" s="4">
        <v>128200</v>
      </c>
      <c r="Q576" s="4">
        <v>128200</v>
      </c>
      <c r="R576" s="4">
        <v>128200</v>
      </c>
    </row>
    <row r="577" spans="1:18" x14ac:dyDescent="0.2">
      <c r="A577" s="3" t="s">
        <v>34</v>
      </c>
      <c r="B577" s="4">
        <v>1584</v>
      </c>
      <c r="C577" s="4">
        <v>1594</v>
      </c>
      <c r="D577" s="4">
        <v>1618</v>
      </c>
      <c r="E577" s="4">
        <v>1620</v>
      </c>
      <c r="F577" s="4">
        <v>1675</v>
      </c>
      <c r="G577" s="4">
        <v>1773</v>
      </c>
      <c r="H577" s="4">
        <v>1845</v>
      </c>
      <c r="I577" s="4">
        <v>1884</v>
      </c>
      <c r="J577" s="4">
        <v>2023</v>
      </c>
      <c r="K577" s="4">
        <v>1934</v>
      </c>
      <c r="L577" s="4">
        <v>1956</v>
      </c>
      <c r="M577" s="4">
        <v>1865</v>
      </c>
      <c r="N577" s="4">
        <v>1739</v>
      </c>
      <c r="O577" s="4">
        <v>1728</v>
      </c>
      <c r="P577" s="4">
        <v>1913</v>
      </c>
      <c r="Q577" s="4">
        <v>1940</v>
      </c>
      <c r="R577" s="4">
        <v>1860</v>
      </c>
    </row>
    <row r="578" spans="1:18" x14ac:dyDescent="0.2">
      <c r="A578" s="3" t="s">
        <v>35</v>
      </c>
      <c r="B578" s="4">
        <v>6579</v>
      </c>
      <c r="C578" s="4">
        <v>6966</v>
      </c>
      <c r="D578" s="4">
        <v>7346</v>
      </c>
      <c r="E578" s="4">
        <v>7511.598</v>
      </c>
      <c r="F578" s="4">
        <v>8082.7259999999997</v>
      </c>
      <c r="G578" s="4">
        <v>8062.94</v>
      </c>
      <c r="H578" s="4">
        <v>8525.6540000000005</v>
      </c>
      <c r="I578" s="4">
        <v>8123.1729999999998</v>
      </c>
      <c r="J578" s="4">
        <v>8545.9689999999991</v>
      </c>
      <c r="K578" s="4">
        <v>8283.2289999999994</v>
      </c>
      <c r="L578" s="4">
        <v>8120.4669999999996</v>
      </c>
      <c r="M578" s="4">
        <v>7947.7430000000004</v>
      </c>
      <c r="N578" s="4">
        <v>7703.799</v>
      </c>
      <c r="O578" s="4">
        <v>7880.7610000000004</v>
      </c>
      <c r="P578" s="4">
        <v>7872.7449999999999</v>
      </c>
      <c r="Q578" s="4">
        <v>7959.0190000000002</v>
      </c>
      <c r="R578" s="4">
        <v>8173.7759999999998</v>
      </c>
    </row>
    <row r="579" spans="1:18" x14ac:dyDescent="0.2">
      <c r="A579" s="3" t="s">
        <v>36</v>
      </c>
      <c r="B579" s="4">
        <v>15775</v>
      </c>
      <c r="C579" s="4">
        <v>16444</v>
      </c>
      <c r="D579" s="4">
        <v>16852</v>
      </c>
      <c r="E579" s="4">
        <v>16875</v>
      </c>
      <c r="F579" s="4">
        <v>17676</v>
      </c>
      <c r="G579" s="4">
        <v>17957</v>
      </c>
      <c r="H579" s="4">
        <v>18126</v>
      </c>
      <c r="I579" s="4">
        <v>18131</v>
      </c>
      <c r="J579" s="4">
        <v>18130</v>
      </c>
      <c r="K579" s="4">
        <v>17628</v>
      </c>
      <c r="L579" s="4">
        <v>19058</v>
      </c>
      <c r="M579" s="4">
        <v>17446</v>
      </c>
      <c r="N579" s="4">
        <v>17151</v>
      </c>
      <c r="O579" s="4">
        <v>17538</v>
      </c>
      <c r="P579" s="4">
        <v>19997</v>
      </c>
      <c r="Q579" s="4">
        <v>19627.851999999999</v>
      </c>
      <c r="R579" s="4">
        <v>16762.61</v>
      </c>
    </row>
    <row r="580" spans="1:18" x14ac:dyDescent="0.2">
      <c r="A580" s="3" t="s">
        <v>37</v>
      </c>
      <c r="B580" s="4">
        <v>50636</v>
      </c>
      <c r="C580" s="4">
        <v>54235</v>
      </c>
      <c r="D580" s="4">
        <v>58046</v>
      </c>
      <c r="E580" s="4">
        <v>62584</v>
      </c>
      <c r="F580" s="4">
        <v>67882</v>
      </c>
      <c r="G580" s="4">
        <v>68214</v>
      </c>
      <c r="H580" s="4">
        <v>69438</v>
      </c>
      <c r="I580" s="4">
        <v>71411</v>
      </c>
      <c r="J580" s="4">
        <v>75679</v>
      </c>
      <c r="K580" s="4">
        <v>76107</v>
      </c>
      <c r="L580" s="4">
        <v>75088</v>
      </c>
      <c r="M580" s="4">
        <v>71060</v>
      </c>
      <c r="N580" s="4">
        <v>70710</v>
      </c>
      <c r="O580" s="4">
        <v>70069</v>
      </c>
      <c r="P580" s="4">
        <v>69648</v>
      </c>
      <c r="Q580" s="4">
        <v>71393</v>
      </c>
      <c r="R580" s="4">
        <v>75006</v>
      </c>
    </row>
    <row r="581" spans="1:18" x14ac:dyDescent="0.2">
      <c r="A581" s="3" t="s">
        <v>38</v>
      </c>
      <c r="B581" s="4">
        <v>132998</v>
      </c>
      <c r="C581" s="4">
        <v>141554</v>
      </c>
      <c r="D581" s="4">
        <v>143380</v>
      </c>
      <c r="E581" s="4">
        <v>138483</v>
      </c>
      <c r="F581" s="4">
        <v>143327</v>
      </c>
      <c r="G581" s="4">
        <v>141589</v>
      </c>
      <c r="H581" s="4">
        <v>152652</v>
      </c>
      <c r="I581" s="4">
        <v>149032</v>
      </c>
      <c r="J581" s="4">
        <v>161520</v>
      </c>
      <c r="K581" s="4">
        <v>146269.61300000001</v>
      </c>
      <c r="L581" s="4">
        <v>158184.20199999999</v>
      </c>
      <c r="M581" s="4">
        <v>166129.611</v>
      </c>
      <c r="N581" s="4">
        <v>149021.302</v>
      </c>
      <c r="O581" s="4">
        <v>155430.87599999999</v>
      </c>
      <c r="P581" s="4">
        <v>161164.253</v>
      </c>
      <c r="Q581" s="4">
        <v>159206.60500000001</v>
      </c>
      <c r="R581" s="4">
        <v>158330.128</v>
      </c>
    </row>
    <row r="582" spans="1:18" x14ac:dyDescent="0.2">
      <c r="A582" s="3" t="s">
        <v>39</v>
      </c>
      <c r="B582" s="4">
        <v>5954</v>
      </c>
      <c r="C582" s="4">
        <v>5694</v>
      </c>
      <c r="D582" s="4">
        <v>6072</v>
      </c>
      <c r="E582" s="4">
        <v>6333</v>
      </c>
      <c r="F582" s="4">
        <v>6520</v>
      </c>
      <c r="G582" s="4">
        <v>6392</v>
      </c>
      <c r="H582" s="4">
        <v>6711</v>
      </c>
      <c r="I582" s="4">
        <v>6471</v>
      </c>
      <c r="J582" s="4">
        <v>6664</v>
      </c>
      <c r="K582" s="4">
        <v>6541</v>
      </c>
      <c r="L582" s="4">
        <v>6486</v>
      </c>
      <c r="M582" s="4">
        <v>6237</v>
      </c>
      <c r="N582" s="4">
        <v>6033</v>
      </c>
      <c r="O582" s="4">
        <v>6202</v>
      </c>
      <c r="P582" s="4">
        <v>6128</v>
      </c>
      <c r="Q582" s="4">
        <v>6265.7</v>
      </c>
      <c r="R582" s="4">
        <v>6201.7</v>
      </c>
    </row>
    <row r="583" spans="1:18" x14ac:dyDescent="0.2">
      <c r="A583" s="3" t="s">
        <v>40</v>
      </c>
      <c r="B583" s="4">
        <v>62957</v>
      </c>
      <c r="C583" s="4">
        <v>65016</v>
      </c>
      <c r="D583" s="4">
        <v>66592</v>
      </c>
      <c r="E583" s="4">
        <v>66960</v>
      </c>
      <c r="F583" s="4">
        <v>67635</v>
      </c>
      <c r="G583" s="4">
        <v>67220</v>
      </c>
      <c r="H583" s="4">
        <v>68389</v>
      </c>
      <c r="I583" s="4">
        <v>68924</v>
      </c>
      <c r="J583" s="4">
        <v>69550</v>
      </c>
      <c r="K583" s="4">
        <v>70140</v>
      </c>
      <c r="L583" s="4">
        <v>69457</v>
      </c>
      <c r="M583" s="4">
        <v>66983</v>
      </c>
      <c r="N583" s="4">
        <v>64255</v>
      </c>
      <c r="O583" s="4">
        <v>66187</v>
      </c>
      <c r="P583" s="4">
        <v>64304</v>
      </c>
      <c r="Q583" s="4">
        <v>65490.697999999997</v>
      </c>
      <c r="R583" s="4">
        <v>65137.794999999998</v>
      </c>
    </row>
    <row r="584" spans="1:18" x14ac:dyDescent="0.2">
      <c r="A584" s="3" t="s">
        <v>41</v>
      </c>
      <c r="B584" s="4">
        <v>1157</v>
      </c>
      <c r="C584" s="4">
        <v>1295</v>
      </c>
      <c r="D584" s="4">
        <v>1316</v>
      </c>
      <c r="E584" s="4">
        <v>1433</v>
      </c>
      <c r="F584" s="4">
        <v>1500</v>
      </c>
      <c r="G584" s="4">
        <v>1608</v>
      </c>
      <c r="H584" s="4">
        <v>1683</v>
      </c>
      <c r="I584" s="4">
        <v>1722</v>
      </c>
      <c r="J584" s="4">
        <v>1738</v>
      </c>
      <c r="K584" s="4">
        <v>1723</v>
      </c>
      <c r="L584" s="4">
        <v>1673</v>
      </c>
      <c r="M584" s="4">
        <v>1437</v>
      </c>
      <c r="N584" s="4">
        <v>1425</v>
      </c>
      <c r="O584" s="4">
        <v>1515</v>
      </c>
      <c r="P584" s="4">
        <v>1585</v>
      </c>
      <c r="Q584" s="4">
        <v>1664.4739999999999</v>
      </c>
      <c r="R584" s="4">
        <v>1688.278</v>
      </c>
    </row>
    <row r="585" spans="1:18" x14ac:dyDescent="0.2">
      <c r="A585" s="3" t="s">
        <v>42</v>
      </c>
      <c r="B585" s="4">
        <v>1317</v>
      </c>
      <c r="C585" s="4">
        <v>1421</v>
      </c>
      <c r="D585" s="4">
        <v>1467</v>
      </c>
      <c r="E585" s="4">
        <v>1572</v>
      </c>
      <c r="F585" s="4">
        <v>1728</v>
      </c>
      <c r="G585" s="4">
        <v>1794</v>
      </c>
      <c r="H585" s="4">
        <v>2031</v>
      </c>
      <c r="I585" s="4">
        <v>2000</v>
      </c>
      <c r="J585" s="4">
        <v>1938</v>
      </c>
      <c r="K585" s="4">
        <v>1772</v>
      </c>
      <c r="L585" s="4">
        <v>1776</v>
      </c>
      <c r="M585" s="4">
        <v>1783</v>
      </c>
      <c r="N585" s="4">
        <v>1747</v>
      </c>
      <c r="O585" s="4">
        <v>1759</v>
      </c>
      <c r="P585" s="4">
        <v>1793</v>
      </c>
      <c r="Q585" s="4">
        <v>1656.4739999999999</v>
      </c>
      <c r="R585" s="4">
        <v>1670.0830000000001</v>
      </c>
    </row>
    <row r="586" spans="1:18" x14ac:dyDescent="0.2">
      <c r="A586" s="3" t="s">
        <v>43</v>
      </c>
      <c r="B586" s="4">
        <v>1811</v>
      </c>
      <c r="C586" s="4">
        <v>1918</v>
      </c>
      <c r="D586" s="4">
        <v>2090</v>
      </c>
      <c r="E586" s="4">
        <v>2162</v>
      </c>
      <c r="F586" s="4">
        <v>2374</v>
      </c>
      <c r="G586" s="4">
        <v>2489</v>
      </c>
      <c r="H586" s="4">
        <v>2730</v>
      </c>
      <c r="I586" s="4">
        <v>2725</v>
      </c>
      <c r="J586" s="4">
        <v>2590</v>
      </c>
      <c r="K586" s="4">
        <v>2618</v>
      </c>
      <c r="L586" s="4">
        <v>2642</v>
      </c>
      <c r="M586" s="4">
        <v>2591</v>
      </c>
      <c r="N586" s="4">
        <v>2656</v>
      </c>
      <c r="O586" s="4">
        <v>2660</v>
      </c>
      <c r="P586" s="4">
        <v>2775</v>
      </c>
      <c r="Q586" s="4">
        <v>2837.6</v>
      </c>
      <c r="R586" s="4">
        <v>2984.5</v>
      </c>
    </row>
    <row r="587" spans="1:18" x14ac:dyDescent="0.2">
      <c r="A587" s="3" t="s">
        <v>44</v>
      </c>
      <c r="B587" s="4">
        <v>808.46400000000006</v>
      </c>
      <c r="C587" s="4">
        <v>822.38300000000004</v>
      </c>
      <c r="D587" s="4">
        <v>838.76499999999999</v>
      </c>
      <c r="E587" s="4">
        <v>845.08600000000001</v>
      </c>
      <c r="F587" s="4">
        <v>830.98599999999999</v>
      </c>
      <c r="G587" s="4">
        <v>843.57</v>
      </c>
      <c r="H587" s="4">
        <v>776.42700000000002</v>
      </c>
      <c r="I587" s="4">
        <v>904.44799999999998</v>
      </c>
      <c r="J587" s="4">
        <v>815.15499999999997</v>
      </c>
      <c r="K587" s="4">
        <v>851.61500000000001</v>
      </c>
      <c r="L587" s="4">
        <v>916.49300000000005</v>
      </c>
      <c r="M587" s="4">
        <v>979.40300000000002</v>
      </c>
      <c r="N587" s="4">
        <v>1011.248</v>
      </c>
      <c r="O587" s="4">
        <v>989.68600000000004</v>
      </c>
      <c r="P587" s="4">
        <v>976.49</v>
      </c>
      <c r="Q587" s="4">
        <v>970.45899999999995</v>
      </c>
      <c r="R587" s="4">
        <v>930.64099999999996</v>
      </c>
    </row>
    <row r="588" spans="1:18" x14ac:dyDescent="0.2">
      <c r="A588" s="3" t="s">
        <v>45</v>
      </c>
      <c r="B588" s="4">
        <v>10440</v>
      </c>
      <c r="C588" s="4">
        <v>11063</v>
      </c>
      <c r="D588" s="4">
        <v>11032</v>
      </c>
      <c r="E588" s="4">
        <v>11115</v>
      </c>
      <c r="F588" s="4">
        <v>11451</v>
      </c>
      <c r="G588" s="4">
        <v>11250</v>
      </c>
      <c r="H588" s="4">
        <v>11460</v>
      </c>
      <c r="I588" s="4">
        <v>11235</v>
      </c>
      <c r="J588" s="4">
        <v>11202</v>
      </c>
      <c r="K588" s="4">
        <v>11312</v>
      </c>
      <c r="L588" s="4">
        <v>10620</v>
      </c>
      <c r="M588" s="4">
        <v>10580</v>
      </c>
      <c r="N588" s="4">
        <v>10423</v>
      </c>
      <c r="O588" s="4">
        <v>10839</v>
      </c>
      <c r="P588" s="4">
        <v>10954</v>
      </c>
      <c r="Q588" s="4">
        <v>11249</v>
      </c>
      <c r="R588" s="4">
        <v>11370</v>
      </c>
    </row>
    <row r="589" spans="1:18" x14ac:dyDescent="0.2">
      <c r="A589" s="3" t="s">
        <v>46</v>
      </c>
      <c r="B589" s="4">
        <v>570</v>
      </c>
      <c r="C589" s="4">
        <v>629</v>
      </c>
      <c r="D589" s="4">
        <v>615</v>
      </c>
      <c r="E589" s="4">
        <v>623</v>
      </c>
      <c r="F589" s="4">
        <v>659</v>
      </c>
      <c r="G589" s="4">
        <v>658</v>
      </c>
      <c r="H589" s="4">
        <v>645</v>
      </c>
      <c r="I589" s="4">
        <v>570</v>
      </c>
      <c r="J589" s="4">
        <v>589</v>
      </c>
      <c r="K589" s="4">
        <v>594</v>
      </c>
      <c r="L589" s="4">
        <v>614</v>
      </c>
      <c r="M589" s="4">
        <v>609</v>
      </c>
      <c r="N589" s="4">
        <v>615</v>
      </c>
      <c r="O589" s="4">
        <v>656</v>
      </c>
      <c r="P589" s="4">
        <v>665.94399999999996</v>
      </c>
      <c r="Q589" s="4">
        <v>727.83799999999997</v>
      </c>
      <c r="R589" s="4">
        <v>755.61599999999999</v>
      </c>
    </row>
    <row r="590" spans="1:18" x14ac:dyDescent="0.2">
      <c r="A590" s="3" t="s">
        <v>47</v>
      </c>
      <c r="B590" s="4">
        <v>20945</v>
      </c>
      <c r="C590" s="4">
        <v>21418</v>
      </c>
      <c r="D590" s="4">
        <v>21518</v>
      </c>
      <c r="E590" s="4">
        <v>21796</v>
      </c>
      <c r="F590" s="4">
        <v>22081</v>
      </c>
      <c r="G590" s="4">
        <v>22268</v>
      </c>
      <c r="H590" s="4">
        <v>22501</v>
      </c>
      <c r="I590" s="4">
        <v>22872</v>
      </c>
      <c r="J590" s="4">
        <v>22994</v>
      </c>
      <c r="K590" s="4">
        <v>23043</v>
      </c>
      <c r="L590" s="4">
        <v>23363.329000000002</v>
      </c>
      <c r="M590" s="4">
        <v>23360.958999999999</v>
      </c>
      <c r="N590" s="4">
        <v>22829.305</v>
      </c>
      <c r="O590" s="4">
        <v>22620.42</v>
      </c>
      <c r="P590" s="4">
        <v>22584.579000000002</v>
      </c>
      <c r="Q590" s="4">
        <v>22596.661</v>
      </c>
      <c r="R590" s="4">
        <v>22970.68</v>
      </c>
    </row>
    <row r="591" spans="1:18" x14ac:dyDescent="0.2">
      <c r="A591" s="3" t="s">
        <v>48</v>
      </c>
      <c r="B591" s="4">
        <v>16730</v>
      </c>
      <c r="C591" s="4">
        <v>17275</v>
      </c>
      <c r="D591" s="4">
        <v>17119</v>
      </c>
      <c r="E591" s="4">
        <v>16417.681</v>
      </c>
      <c r="F591" s="4">
        <v>16441.653999999999</v>
      </c>
      <c r="G591" s="4">
        <v>16483.886999999999</v>
      </c>
      <c r="H591" s="4">
        <v>16616.866999999998</v>
      </c>
      <c r="I591" s="4">
        <v>17233.268</v>
      </c>
      <c r="J591" s="4">
        <v>17657.492999999999</v>
      </c>
      <c r="K591" s="4">
        <v>17273.638999999999</v>
      </c>
      <c r="L591" s="4">
        <v>17550.883000000002</v>
      </c>
      <c r="M591" s="4">
        <v>17649.164000000001</v>
      </c>
      <c r="N591" s="4">
        <v>16704.824000000001</v>
      </c>
      <c r="O591" s="4">
        <v>17262.511999999999</v>
      </c>
      <c r="P591" s="4">
        <v>17880.723000000002</v>
      </c>
      <c r="Q591" s="4">
        <v>17980.802</v>
      </c>
      <c r="R591" s="4">
        <v>17711.332999999999</v>
      </c>
    </row>
    <row r="592" spans="1:18" x14ac:dyDescent="0.2">
      <c r="A592" s="3" t="s">
        <v>49</v>
      </c>
      <c r="B592" s="4">
        <v>21659</v>
      </c>
      <c r="C592" s="4">
        <v>24852</v>
      </c>
      <c r="D592" s="4">
        <v>25476</v>
      </c>
      <c r="E592" s="4">
        <v>25253</v>
      </c>
      <c r="F592" s="4">
        <v>26467</v>
      </c>
      <c r="G592" s="4">
        <v>26369</v>
      </c>
      <c r="H592" s="4">
        <v>27115</v>
      </c>
      <c r="I592" s="4">
        <v>27534</v>
      </c>
      <c r="J592" s="4">
        <v>28615</v>
      </c>
      <c r="K592" s="4">
        <v>28258</v>
      </c>
      <c r="L592" s="4">
        <v>28318</v>
      </c>
      <c r="M592" s="4">
        <v>28442</v>
      </c>
      <c r="N592" s="4">
        <v>28083</v>
      </c>
      <c r="O592" s="4">
        <v>28280</v>
      </c>
      <c r="P592" s="4">
        <v>28909</v>
      </c>
      <c r="Q592" s="4">
        <v>29181</v>
      </c>
      <c r="R592" s="4">
        <v>29284</v>
      </c>
    </row>
    <row r="593" spans="1:18" x14ac:dyDescent="0.2">
      <c r="A593" s="3" t="s">
        <v>50</v>
      </c>
      <c r="B593" s="4">
        <v>11382</v>
      </c>
      <c r="C593" s="4">
        <v>11835</v>
      </c>
      <c r="D593" s="4">
        <v>12432</v>
      </c>
      <c r="E593" s="4">
        <v>13242</v>
      </c>
      <c r="F593" s="4">
        <v>13406</v>
      </c>
      <c r="G593" s="4">
        <v>13863</v>
      </c>
      <c r="H593" s="4">
        <v>13444</v>
      </c>
      <c r="I593" s="4">
        <v>14190</v>
      </c>
      <c r="J593" s="4">
        <v>14522</v>
      </c>
      <c r="K593" s="4">
        <v>13752</v>
      </c>
      <c r="L593" s="4">
        <v>12898</v>
      </c>
      <c r="M593" s="4">
        <v>12314</v>
      </c>
      <c r="N593" s="4">
        <v>11915</v>
      </c>
      <c r="O593" s="4">
        <v>11974</v>
      </c>
      <c r="P593" s="4">
        <v>12972.684999999999</v>
      </c>
      <c r="Q593" s="4">
        <v>12589.675999999999</v>
      </c>
      <c r="R593" s="4">
        <v>13212.525</v>
      </c>
    </row>
    <row r="594" spans="1:18" x14ac:dyDescent="0.2">
      <c r="A594" s="3" t="s">
        <v>51</v>
      </c>
      <c r="B594" s="4">
        <v>7771</v>
      </c>
      <c r="C594" s="4">
        <v>8243</v>
      </c>
      <c r="D594" s="4">
        <v>8043</v>
      </c>
      <c r="E594" s="4">
        <v>9234</v>
      </c>
      <c r="F594" s="4">
        <v>9999</v>
      </c>
      <c r="G594" s="4">
        <v>10389</v>
      </c>
      <c r="H594" s="4">
        <v>10400</v>
      </c>
      <c r="I594" s="4">
        <v>11021</v>
      </c>
      <c r="J594" s="4">
        <v>11329</v>
      </c>
      <c r="K594" s="4">
        <v>11577</v>
      </c>
      <c r="L594" s="4">
        <v>12035</v>
      </c>
      <c r="M594" s="4">
        <v>11896</v>
      </c>
      <c r="N594" s="4">
        <v>11910</v>
      </c>
      <c r="O594" s="4">
        <v>12095</v>
      </c>
      <c r="P594" s="4">
        <v>12067</v>
      </c>
      <c r="Q594" s="4">
        <v>12596.669</v>
      </c>
      <c r="R594" s="4">
        <v>12779.884</v>
      </c>
    </row>
    <row r="595" spans="1:18" x14ac:dyDescent="0.2">
      <c r="A595" s="3" t="s">
        <v>52</v>
      </c>
      <c r="B595" s="4">
        <v>2704</v>
      </c>
      <c r="C595" s="4">
        <v>3008</v>
      </c>
      <c r="D595" s="4">
        <v>3012</v>
      </c>
      <c r="E595" s="4">
        <v>2951</v>
      </c>
      <c r="F595" s="4">
        <v>3055</v>
      </c>
      <c r="G595" s="4">
        <v>3021</v>
      </c>
      <c r="H595" s="4">
        <v>3182</v>
      </c>
      <c r="I595" s="4">
        <v>3137</v>
      </c>
      <c r="J595" s="4">
        <v>3219</v>
      </c>
      <c r="K595" s="4">
        <v>3211</v>
      </c>
      <c r="L595" s="4">
        <v>3179</v>
      </c>
      <c r="M595" s="4">
        <v>3229</v>
      </c>
      <c r="N595" s="4">
        <v>3125</v>
      </c>
      <c r="O595" s="4">
        <v>3205</v>
      </c>
      <c r="P595" s="4">
        <v>3260</v>
      </c>
      <c r="Q595" s="4">
        <v>3327.0160000000001</v>
      </c>
      <c r="R595" s="4">
        <v>3367.8139999999999</v>
      </c>
    </row>
    <row r="596" spans="1:18" x14ac:dyDescent="0.2">
      <c r="A596" s="3" t="s">
        <v>53</v>
      </c>
      <c r="B596" s="4">
        <v>5157</v>
      </c>
      <c r="C596" s="4">
        <v>5039</v>
      </c>
      <c r="D596" s="4">
        <v>4817</v>
      </c>
      <c r="E596" s="4">
        <v>4701</v>
      </c>
      <c r="F596" s="4">
        <v>4577</v>
      </c>
      <c r="G596" s="4">
        <v>4602</v>
      </c>
      <c r="H596" s="4">
        <v>4531</v>
      </c>
      <c r="I596" s="4">
        <v>4428</v>
      </c>
      <c r="J596" s="4">
        <v>4370</v>
      </c>
      <c r="K596" s="4">
        <v>4503</v>
      </c>
      <c r="L596" s="4">
        <v>4734</v>
      </c>
      <c r="M596" s="4">
        <v>4930</v>
      </c>
      <c r="N596" s="4">
        <v>4917</v>
      </c>
      <c r="O596" s="4">
        <v>5035</v>
      </c>
      <c r="P596" s="4">
        <v>5097</v>
      </c>
      <c r="Q596" s="4">
        <v>4916</v>
      </c>
      <c r="R596" s="4">
        <v>5095</v>
      </c>
    </row>
    <row r="597" spans="1:18" x14ac:dyDescent="0.2">
      <c r="A597" s="3" t="s">
        <v>54</v>
      </c>
      <c r="B597" s="4">
        <v>19094</v>
      </c>
      <c r="C597" s="4">
        <v>19913</v>
      </c>
      <c r="D597" s="4">
        <v>19786</v>
      </c>
      <c r="E597" s="4">
        <v>20271</v>
      </c>
      <c r="F597" s="4">
        <v>20676</v>
      </c>
      <c r="G597" s="4">
        <v>20666</v>
      </c>
      <c r="H597" s="4">
        <v>20395</v>
      </c>
      <c r="I597" s="4">
        <v>21346</v>
      </c>
      <c r="J597" s="4">
        <v>22904</v>
      </c>
      <c r="K597" s="4">
        <v>21426</v>
      </c>
      <c r="L597" s="4">
        <v>22382</v>
      </c>
      <c r="M597" s="4">
        <v>21510</v>
      </c>
      <c r="N597" s="4">
        <v>21264</v>
      </c>
      <c r="O597" s="4">
        <v>20918</v>
      </c>
      <c r="P597" s="4">
        <v>22518</v>
      </c>
      <c r="Q597" s="4">
        <v>22512</v>
      </c>
      <c r="R597" s="4">
        <v>22731</v>
      </c>
    </row>
    <row r="598" spans="1:18" x14ac:dyDescent="0.2">
      <c r="A598" s="3" t="s">
        <v>55</v>
      </c>
      <c r="B598" s="4">
        <v>41473</v>
      </c>
      <c r="C598" s="4">
        <v>41998</v>
      </c>
      <c r="D598" s="4">
        <v>41375</v>
      </c>
      <c r="E598" s="4">
        <v>42663</v>
      </c>
      <c r="F598" s="4">
        <v>41490</v>
      </c>
      <c r="G598" s="4">
        <v>39638</v>
      </c>
      <c r="H598" s="4">
        <v>38929</v>
      </c>
      <c r="I598" s="4">
        <v>40946</v>
      </c>
      <c r="J598" s="4">
        <v>45982</v>
      </c>
      <c r="K598" s="4">
        <v>42354</v>
      </c>
      <c r="L598" s="4">
        <v>43909</v>
      </c>
      <c r="M598" s="4">
        <v>43504</v>
      </c>
      <c r="N598" s="4">
        <v>41300</v>
      </c>
      <c r="O598" s="4">
        <v>42987</v>
      </c>
      <c r="P598" s="4">
        <v>44519</v>
      </c>
      <c r="Q598" s="4">
        <v>45132</v>
      </c>
      <c r="R598" s="4">
        <v>45068</v>
      </c>
    </row>
    <row r="599" spans="1:18" x14ac:dyDescent="0.2">
      <c r="A599" s="3" t="s">
        <v>56</v>
      </c>
      <c r="B599" s="4">
        <v>114534</v>
      </c>
      <c r="C599" s="4">
        <v>123001</v>
      </c>
      <c r="D599" s="4">
        <v>124200</v>
      </c>
      <c r="E599" s="4">
        <v>125711</v>
      </c>
      <c r="F599" s="4">
        <v>124704</v>
      </c>
      <c r="G599" s="4">
        <v>123076</v>
      </c>
      <c r="H599" s="4">
        <v>119800</v>
      </c>
      <c r="I599" s="4">
        <v>118541</v>
      </c>
      <c r="J599" s="4">
        <v>118832</v>
      </c>
      <c r="K599" s="4">
        <v>111586</v>
      </c>
      <c r="L599" s="4">
        <v>114663</v>
      </c>
      <c r="M599" s="4">
        <v>113412</v>
      </c>
      <c r="N599" s="4">
        <v>108076</v>
      </c>
      <c r="O599" s="4">
        <v>107763.848</v>
      </c>
      <c r="P599" s="4">
        <v>108025.04300000001</v>
      </c>
      <c r="Q599" s="4">
        <v>105367.901</v>
      </c>
      <c r="R599" s="4">
        <v>105064.54700000001</v>
      </c>
    </row>
    <row r="600" spans="1:18" x14ac:dyDescent="0.2">
      <c r="A600" s="3" t="s">
        <v>57</v>
      </c>
      <c r="B600" s="4">
        <v>637</v>
      </c>
      <c r="C600" s="4">
        <v>612</v>
      </c>
      <c r="D600" s="4">
        <v>672</v>
      </c>
      <c r="E600" s="4">
        <v>690</v>
      </c>
      <c r="F600" s="4">
        <v>797</v>
      </c>
      <c r="G600" s="4">
        <v>827</v>
      </c>
      <c r="H600" s="4">
        <v>860</v>
      </c>
      <c r="I600" s="4">
        <v>882</v>
      </c>
      <c r="J600" s="4">
        <v>929</v>
      </c>
      <c r="K600" s="4">
        <v>859</v>
      </c>
      <c r="L600" s="4">
        <v>852</v>
      </c>
      <c r="M600" s="4">
        <v>837</v>
      </c>
      <c r="N600" s="4">
        <v>840.91800000000001</v>
      </c>
      <c r="O600" s="4">
        <v>822.23500000000001</v>
      </c>
      <c r="P600" s="4">
        <v>838.50900000000001</v>
      </c>
      <c r="Q600" s="4">
        <v>810.697</v>
      </c>
      <c r="R600" s="4">
        <v>847.83199999999999</v>
      </c>
    </row>
    <row r="601" spans="1:18" x14ac:dyDescent="0.2">
      <c r="A601" s="3" t="s">
        <v>58</v>
      </c>
      <c r="B601" s="4">
        <v>34647</v>
      </c>
      <c r="C601" s="4">
        <v>32023</v>
      </c>
      <c r="D601" s="4">
        <v>32405</v>
      </c>
      <c r="E601" s="4">
        <v>34006</v>
      </c>
      <c r="F601" s="4">
        <v>33646</v>
      </c>
      <c r="G601" s="4">
        <v>34948</v>
      </c>
      <c r="H601" s="4">
        <v>34889</v>
      </c>
      <c r="I601" s="4">
        <v>36313</v>
      </c>
      <c r="J601" s="4">
        <v>39732</v>
      </c>
      <c r="K601" s="4">
        <v>36059</v>
      </c>
      <c r="L601" s="4">
        <v>38250</v>
      </c>
      <c r="M601" s="4">
        <v>38904</v>
      </c>
      <c r="N601" s="4">
        <v>36885</v>
      </c>
      <c r="O601" s="4">
        <v>38609</v>
      </c>
      <c r="P601" s="4">
        <v>38821</v>
      </c>
      <c r="Q601" s="4">
        <v>39700</v>
      </c>
      <c r="R601" s="4">
        <v>40299.33</v>
      </c>
    </row>
    <row r="602" spans="1:18" x14ac:dyDescent="0.2">
      <c r="A602" s="3" t="s">
        <v>59</v>
      </c>
      <c r="B602" s="4">
        <v>16300</v>
      </c>
      <c r="C602" s="4">
        <v>16300</v>
      </c>
      <c r="D602" s="4">
        <v>13626</v>
      </c>
      <c r="E602" s="4">
        <v>14191</v>
      </c>
      <c r="F602" s="4">
        <v>14062</v>
      </c>
      <c r="G602" s="4">
        <v>13933</v>
      </c>
      <c r="H602" s="4">
        <v>14098</v>
      </c>
      <c r="I602" s="4">
        <v>14412</v>
      </c>
      <c r="J602" s="4">
        <v>14645</v>
      </c>
      <c r="K602" s="4">
        <v>14665</v>
      </c>
      <c r="L602" s="4">
        <v>14517</v>
      </c>
      <c r="M602" s="4">
        <v>14146</v>
      </c>
      <c r="N602" s="4">
        <v>13802</v>
      </c>
      <c r="O602" s="4">
        <v>14062</v>
      </c>
      <c r="P602" s="4">
        <v>13931</v>
      </c>
      <c r="Q602" s="4">
        <v>13815.01</v>
      </c>
      <c r="R602" s="4">
        <v>13414.571</v>
      </c>
    </row>
    <row r="604" spans="1:18" x14ac:dyDescent="0.2">
      <c r="A604" s="1" t="s">
        <v>61</v>
      </c>
    </row>
    <row r="605" spans="1:18" x14ac:dyDescent="0.2">
      <c r="A605" s="1" t="s">
        <v>60</v>
      </c>
      <c r="B605" s="1" t="s">
        <v>62</v>
      </c>
    </row>
  </sheetData>
  <pageMargins left="0.78740157499999996" right="0.78740157499999996" top="0.984251969" bottom="0.984251969" header="0.5" footer="0.5"/>
  <pageSetup paperSize="9" scale="0" firstPageNumber="0" fitToWidth="0" fitToHeight="0" pageOrder="overThenDown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40"/>
  <sheetViews>
    <sheetView workbookViewId="0">
      <selection activeCell="C28" sqref="C28"/>
    </sheetView>
  </sheetViews>
  <sheetFormatPr baseColWidth="10" defaultRowHeight="15" x14ac:dyDescent="0.25"/>
  <cols>
    <col min="1" max="1" width="38.75" style="10" customWidth="1"/>
    <col min="2" max="2" width="41.75" style="10" customWidth="1"/>
    <col min="3" max="3" width="44.5" style="10" customWidth="1"/>
    <col min="4" max="16384" width="11" style="10"/>
  </cols>
  <sheetData>
    <row r="1" spans="1:3" x14ac:dyDescent="0.25">
      <c r="A1" s="32" t="s">
        <v>86</v>
      </c>
      <c r="B1" s="32"/>
      <c r="C1" s="32"/>
    </row>
    <row r="2" spans="1:3" x14ac:dyDescent="0.25">
      <c r="A2" s="11" t="s">
        <v>87</v>
      </c>
      <c r="B2" s="11" t="s">
        <v>80</v>
      </c>
      <c r="C2" s="11" t="s">
        <v>88</v>
      </c>
    </row>
    <row r="3" spans="1:3" x14ac:dyDescent="0.25">
      <c r="A3" s="10" t="s">
        <v>89</v>
      </c>
      <c r="B3" s="10" t="s">
        <v>90</v>
      </c>
      <c r="C3" s="10" t="s">
        <v>91</v>
      </c>
    </row>
    <row r="4" spans="1:3" x14ac:dyDescent="0.25">
      <c r="A4" s="10" t="s">
        <v>92</v>
      </c>
      <c r="B4" s="10" t="s">
        <v>90</v>
      </c>
      <c r="C4" s="10" t="s">
        <v>93</v>
      </c>
    </row>
    <row r="5" spans="1:3" x14ac:dyDescent="0.25">
      <c r="A5" s="10" t="s">
        <v>94</v>
      </c>
      <c r="B5" s="10" t="s">
        <v>90</v>
      </c>
      <c r="C5" s="10" t="s">
        <v>95</v>
      </c>
    </row>
    <row r="6" spans="1:3" x14ac:dyDescent="0.25">
      <c r="A6" s="10" t="s">
        <v>96</v>
      </c>
      <c r="B6" s="10" t="s">
        <v>90</v>
      </c>
      <c r="C6" s="10" t="s">
        <v>97</v>
      </c>
    </row>
    <row r="7" spans="1:3" x14ac:dyDescent="0.25">
      <c r="A7" s="10" t="s">
        <v>98</v>
      </c>
      <c r="B7" s="10" t="s">
        <v>90</v>
      </c>
      <c r="C7" s="10" t="s">
        <v>99</v>
      </c>
    </row>
    <row r="8" spans="1:3" x14ac:dyDescent="0.25">
      <c r="A8" s="10" t="s">
        <v>100</v>
      </c>
      <c r="B8" s="10" t="s">
        <v>90</v>
      </c>
      <c r="C8" s="10" t="s">
        <v>101</v>
      </c>
    </row>
    <row r="9" spans="1:3" x14ac:dyDescent="0.25">
      <c r="A9" s="10" t="s">
        <v>102</v>
      </c>
      <c r="B9" s="10" t="s">
        <v>90</v>
      </c>
      <c r="C9" s="10" t="s">
        <v>103</v>
      </c>
    </row>
    <row r="10" spans="1:3" x14ac:dyDescent="0.25">
      <c r="A10" s="10" t="s">
        <v>104</v>
      </c>
      <c r="B10" s="10" t="s">
        <v>90</v>
      </c>
      <c r="C10" s="10" t="s">
        <v>105</v>
      </c>
    </row>
    <row r="11" spans="1:3" x14ac:dyDescent="0.25">
      <c r="A11" s="10" t="s">
        <v>106</v>
      </c>
      <c r="B11" s="10" t="s">
        <v>90</v>
      </c>
      <c r="C11" s="10" t="s">
        <v>107</v>
      </c>
    </row>
    <row r="12" spans="1:3" x14ac:dyDescent="0.25">
      <c r="A12" s="10" t="s">
        <v>108</v>
      </c>
      <c r="B12" s="10" t="s">
        <v>90</v>
      </c>
      <c r="C12" s="10" t="s">
        <v>109</v>
      </c>
    </row>
    <row r="13" spans="1:3" x14ac:dyDescent="0.25">
      <c r="A13" s="10" t="s">
        <v>110</v>
      </c>
      <c r="B13" s="10" t="s">
        <v>90</v>
      </c>
      <c r="C13" s="10" t="s">
        <v>111</v>
      </c>
    </row>
    <row r="14" spans="1:3" x14ac:dyDescent="0.25">
      <c r="A14" s="10" t="s">
        <v>112</v>
      </c>
      <c r="B14" s="10" t="s">
        <v>90</v>
      </c>
      <c r="C14" s="10" t="s">
        <v>113</v>
      </c>
    </row>
    <row r="15" spans="1:3" x14ac:dyDescent="0.25">
      <c r="A15" s="10" t="s">
        <v>114</v>
      </c>
      <c r="B15" s="10" t="s">
        <v>90</v>
      </c>
      <c r="C15" s="10" t="s">
        <v>115</v>
      </c>
    </row>
    <row r="16" spans="1:3" x14ac:dyDescent="0.25">
      <c r="A16" s="10" t="s">
        <v>116</v>
      </c>
      <c r="B16" s="10" t="s">
        <v>90</v>
      </c>
      <c r="C16" s="10" t="s">
        <v>117</v>
      </c>
    </row>
    <row r="17" spans="1:3" x14ac:dyDescent="0.25">
      <c r="A17" s="10" t="s">
        <v>118</v>
      </c>
      <c r="B17" s="10" t="s">
        <v>119</v>
      </c>
      <c r="C17" s="10" t="s">
        <v>91</v>
      </c>
    </row>
    <row r="18" spans="1:3" x14ac:dyDescent="0.25">
      <c r="A18" s="10" t="s">
        <v>120</v>
      </c>
      <c r="B18" s="10" t="s">
        <v>119</v>
      </c>
      <c r="C18" s="10" t="s">
        <v>121</v>
      </c>
    </row>
    <row r="19" spans="1:3" x14ac:dyDescent="0.25">
      <c r="A19" s="10" t="s">
        <v>122</v>
      </c>
      <c r="B19" s="10" t="s">
        <v>119</v>
      </c>
      <c r="C19" s="10" t="s">
        <v>123</v>
      </c>
    </row>
    <row r="20" spans="1:3" x14ac:dyDescent="0.25">
      <c r="A20" s="10" t="s">
        <v>124</v>
      </c>
      <c r="B20" s="10" t="s">
        <v>119</v>
      </c>
      <c r="C20" s="10" t="s">
        <v>125</v>
      </c>
    </row>
    <row r="21" spans="1:3" x14ac:dyDescent="0.25">
      <c r="A21" s="10" t="s">
        <v>126</v>
      </c>
      <c r="B21" s="10" t="s">
        <v>119</v>
      </c>
      <c r="C21" s="10" t="s">
        <v>127</v>
      </c>
    </row>
    <row r="22" spans="1:3" x14ac:dyDescent="0.25">
      <c r="A22" s="10" t="s">
        <v>128</v>
      </c>
      <c r="B22" s="10" t="s">
        <v>119</v>
      </c>
      <c r="C22" s="10" t="s">
        <v>129</v>
      </c>
    </row>
    <row r="23" spans="1:3" x14ac:dyDescent="0.25">
      <c r="A23" s="10" t="s">
        <v>130</v>
      </c>
      <c r="B23" s="10" t="s">
        <v>119</v>
      </c>
      <c r="C23" s="10" t="s">
        <v>131</v>
      </c>
    </row>
    <row r="24" spans="1:3" x14ac:dyDescent="0.25">
      <c r="A24" s="10" t="s">
        <v>132</v>
      </c>
      <c r="B24" s="10" t="s">
        <v>119</v>
      </c>
      <c r="C24" s="10" t="s">
        <v>133</v>
      </c>
    </row>
    <row r="25" spans="1:3" x14ac:dyDescent="0.25">
      <c r="A25" s="10" t="s">
        <v>134</v>
      </c>
      <c r="B25" s="10" t="s">
        <v>119</v>
      </c>
      <c r="C25" s="10" t="s">
        <v>135</v>
      </c>
    </row>
    <row r="26" spans="1:3" x14ac:dyDescent="0.25">
      <c r="A26" s="10" t="s">
        <v>136</v>
      </c>
      <c r="B26" s="10" t="s">
        <v>119</v>
      </c>
      <c r="C26" s="10" t="s">
        <v>137</v>
      </c>
    </row>
    <row r="27" spans="1:3" x14ac:dyDescent="0.25">
      <c r="A27" s="10" t="s">
        <v>138</v>
      </c>
      <c r="B27" s="10" t="s">
        <v>119</v>
      </c>
      <c r="C27" s="10" t="s">
        <v>139</v>
      </c>
    </row>
    <row r="28" spans="1:3" x14ac:dyDescent="0.25">
      <c r="A28" s="10" t="s">
        <v>140</v>
      </c>
      <c r="B28" s="10" t="s">
        <v>119</v>
      </c>
      <c r="C28" s="10" t="s">
        <v>141</v>
      </c>
    </row>
    <row r="29" spans="1:3" x14ac:dyDescent="0.25">
      <c r="A29" s="10" t="s">
        <v>142</v>
      </c>
      <c r="B29" s="10" t="s">
        <v>119</v>
      </c>
      <c r="C29" s="10" t="s">
        <v>143</v>
      </c>
    </row>
    <row r="30" spans="1:3" x14ac:dyDescent="0.25">
      <c r="A30" s="10" t="s">
        <v>144</v>
      </c>
      <c r="B30" s="10" t="s">
        <v>119</v>
      </c>
      <c r="C30" s="10" t="s">
        <v>117</v>
      </c>
    </row>
    <row r="31" spans="1:3" x14ac:dyDescent="0.25">
      <c r="A31" s="10" t="s">
        <v>145</v>
      </c>
      <c r="B31" s="10" t="s">
        <v>146</v>
      </c>
      <c r="C31" s="10" t="s">
        <v>91</v>
      </c>
    </row>
    <row r="32" spans="1:3" x14ac:dyDescent="0.25">
      <c r="A32" s="10" t="s">
        <v>147</v>
      </c>
      <c r="B32" s="10" t="s">
        <v>146</v>
      </c>
      <c r="C32" s="10" t="s">
        <v>148</v>
      </c>
    </row>
    <row r="33" spans="1:3" x14ac:dyDescent="0.25">
      <c r="A33" s="10" t="s">
        <v>149</v>
      </c>
      <c r="B33" s="10" t="s">
        <v>146</v>
      </c>
      <c r="C33" s="10" t="s">
        <v>150</v>
      </c>
    </row>
    <row r="34" spans="1:3" x14ac:dyDescent="0.25">
      <c r="A34" s="10" t="s">
        <v>151</v>
      </c>
      <c r="B34" s="10" t="s">
        <v>146</v>
      </c>
      <c r="C34" s="10" t="s">
        <v>152</v>
      </c>
    </row>
    <row r="35" spans="1:3" x14ac:dyDescent="0.25">
      <c r="A35" s="10" t="s">
        <v>153</v>
      </c>
      <c r="B35" s="10" t="s">
        <v>146</v>
      </c>
      <c r="C35" s="10" t="s">
        <v>117</v>
      </c>
    </row>
    <row r="36" spans="1:3" x14ac:dyDescent="0.25">
      <c r="A36" s="10" t="s">
        <v>154</v>
      </c>
      <c r="B36" s="10" t="s">
        <v>155</v>
      </c>
      <c r="C36" s="10" t="s">
        <v>156</v>
      </c>
    </row>
    <row r="37" spans="1:3" x14ac:dyDescent="0.25">
      <c r="A37" s="10" t="s">
        <v>157</v>
      </c>
      <c r="B37" s="10" t="s">
        <v>155</v>
      </c>
      <c r="C37" s="10" t="s">
        <v>158</v>
      </c>
    </row>
    <row r="38" spans="1:3" x14ac:dyDescent="0.25">
      <c r="A38" s="10" t="s">
        <v>159</v>
      </c>
      <c r="B38" s="10" t="s">
        <v>155</v>
      </c>
      <c r="C38" s="10" t="s">
        <v>160</v>
      </c>
    </row>
    <row r="39" spans="1:3" x14ac:dyDescent="0.25">
      <c r="A39" s="10" t="s">
        <v>161</v>
      </c>
      <c r="B39" s="10" t="s">
        <v>155</v>
      </c>
      <c r="C39" s="10" t="s">
        <v>162</v>
      </c>
    </row>
    <row r="40" spans="1:3" x14ac:dyDescent="0.25">
      <c r="A40" s="10" t="s">
        <v>163</v>
      </c>
      <c r="B40" s="10" t="s">
        <v>155</v>
      </c>
      <c r="C40" s="10" t="s">
        <v>117</v>
      </c>
    </row>
  </sheetData>
  <mergeCells count="1">
    <mergeCell ref="A1:C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1"/>
  <sheetViews>
    <sheetView workbookViewId="0">
      <selection activeCell="C34" sqref="C34"/>
    </sheetView>
  </sheetViews>
  <sheetFormatPr baseColWidth="10" defaultRowHeight="14.25" x14ac:dyDescent="0.2"/>
  <sheetData>
    <row r="1" spans="1:4" x14ac:dyDescent="0.2">
      <c r="A1" s="12" t="s">
        <v>77</v>
      </c>
      <c r="B1" s="12" t="s">
        <v>200</v>
      </c>
      <c r="C1" s="12" t="s">
        <v>83</v>
      </c>
      <c r="D1" s="12" t="s">
        <v>84</v>
      </c>
    </row>
    <row r="2" spans="1:4" ht="15" x14ac:dyDescent="0.25">
      <c r="A2" s="28" t="s">
        <v>168</v>
      </c>
      <c r="B2" s="28" t="s">
        <v>169</v>
      </c>
      <c r="C2" s="28" t="s">
        <v>26</v>
      </c>
      <c r="D2" s="28">
        <v>10505930</v>
      </c>
    </row>
    <row r="3" spans="1:4" ht="15" x14ac:dyDescent="0.25">
      <c r="A3" s="28" t="s">
        <v>168</v>
      </c>
      <c r="B3" s="28" t="s">
        <v>169</v>
      </c>
      <c r="C3" s="28" t="s">
        <v>27</v>
      </c>
      <c r="D3" s="28">
        <v>10852721</v>
      </c>
    </row>
    <row r="4" spans="1:4" ht="15" x14ac:dyDescent="0.25">
      <c r="A4" s="28" t="s">
        <v>168</v>
      </c>
      <c r="B4" s="28" t="s">
        <v>169</v>
      </c>
      <c r="C4" s="28" t="s">
        <v>28</v>
      </c>
      <c r="D4" s="28">
        <v>14964610</v>
      </c>
    </row>
    <row r="5" spans="1:4" ht="15" x14ac:dyDescent="0.25">
      <c r="A5" s="28" t="s">
        <v>170</v>
      </c>
      <c r="B5" s="28" t="s">
        <v>169</v>
      </c>
      <c r="C5" s="28" t="s">
        <v>26</v>
      </c>
      <c r="D5" s="28">
        <v>2377838</v>
      </c>
    </row>
    <row r="6" spans="1:4" ht="15" x14ac:dyDescent="0.25">
      <c r="A6" s="28" t="s">
        <v>170</v>
      </c>
      <c r="B6" s="28" t="s">
        <v>169</v>
      </c>
      <c r="C6" s="28" t="s">
        <v>27</v>
      </c>
      <c r="D6" s="28">
        <v>2503789</v>
      </c>
    </row>
    <row r="7" spans="1:4" ht="15" x14ac:dyDescent="0.25">
      <c r="A7" s="28" t="s">
        <v>170</v>
      </c>
      <c r="B7" s="28" t="s">
        <v>169</v>
      </c>
      <c r="C7" s="28" t="s">
        <v>28</v>
      </c>
      <c r="D7" s="28">
        <v>2590215</v>
      </c>
    </row>
    <row r="8" spans="1:4" ht="15" x14ac:dyDescent="0.25">
      <c r="A8" s="28" t="s">
        <v>171</v>
      </c>
      <c r="B8" s="28" t="s">
        <v>169</v>
      </c>
      <c r="C8" s="28" t="s">
        <v>26</v>
      </c>
      <c r="D8" s="28">
        <v>0</v>
      </c>
    </row>
    <row r="9" spans="1:4" ht="15" x14ac:dyDescent="0.25">
      <c r="A9" s="28" t="s">
        <v>171</v>
      </c>
      <c r="B9" s="28" t="s">
        <v>169</v>
      </c>
      <c r="C9" s="28" t="s">
        <v>27</v>
      </c>
      <c r="D9" s="28">
        <v>0</v>
      </c>
    </row>
    <row r="10" spans="1:4" ht="15" x14ac:dyDescent="0.25">
      <c r="A10" s="28" t="s">
        <v>171</v>
      </c>
      <c r="B10" s="28" t="s">
        <v>169</v>
      </c>
      <c r="C10" s="28" t="s">
        <v>28</v>
      </c>
      <c r="D10" s="28">
        <v>0</v>
      </c>
    </row>
    <row r="11" spans="1:4" ht="15" x14ac:dyDescent="0.25">
      <c r="A11" s="28" t="s">
        <v>172</v>
      </c>
      <c r="B11" s="28" t="s">
        <v>169</v>
      </c>
      <c r="C11" s="28" t="s">
        <v>26</v>
      </c>
      <c r="D11" s="28">
        <v>4183694</v>
      </c>
    </row>
    <row r="12" spans="1:4" ht="15" x14ac:dyDescent="0.25">
      <c r="A12" s="28" t="s">
        <v>172</v>
      </c>
      <c r="B12" s="28" t="s">
        <v>169</v>
      </c>
      <c r="C12" s="28" t="s">
        <v>27</v>
      </c>
      <c r="D12" s="28">
        <v>4545514</v>
      </c>
    </row>
    <row r="13" spans="1:4" ht="15" x14ac:dyDescent="0.25">
      <c r="A13" s="28" t="s">
        <v>172</v>
      </c>
      <c r="B13" s="28" t="s">
        <v>169</v>
      </c>
      <c r="C13" s="28" t="s">
        <v>28</v>
      </c>
      <c r="D13" s="28">
        <v>4968416</v>
      </c>
    </row>
    <row r="14" spans="1:4" ht="15" x14ac:dyDescent="0.25">
      <c r="A14" s="28" t="s">
        <v>173</v>
      </c>
      <c r="B14" s="28" t="s">
        <v>169</v>
      </c>
      <c r="C14" s="28" t="s">
        <v>26</v>
      </c>
      <c r="D14" s="28">
        <v>0</v>
      </c>
    </row>
    <row r="15" spans="1:4" ht="15" x14ac:dyDescent="0.25">
      <c r="A15" s="28" t="s">
        <v>173</v>
      </c>
      <c r="B15" s="28" t="s">
        <v>169</v>
      </c>
      <c r="C15" s="28" t="s">
        <v>27</v>
      </c>
      <c r="D15" s="28">
        <v>0</v>
      </c>
    </row>
    <row r="16" spans="1:4" ht="15" x14ac:dyDescent="0.25">
      <c r="A16" s="28" t="s">
        <v>173</v>
      </c>
      <c r="B16" s="28" t="s">
        <v>169</v>
      </c>
      <c r="C16" s="28" t="s">
        <v>28</v>
      </c>
      <c r="D16" s="28">
        <v>0</v>
      </c>
    </row>
    <row r="17" spans="1:4" ht="15" x14ac:dyDescent="0.25">
      <c r="A17" s="28" t="s">
        <v>174</v>
      </c>
      <c r="B17" s="28" t="s">
        <v>169</v>
      </c>
      <c r="C17" s="28" t="s">
        <v>26</v>
      </c>
      <c r="D17" s="28">
        <v>2698096</v>
      </c>
    </row>
    <row r="18" spans="1:4" ht="15" x14ac:dyDescent="0.25">
      <c r="A18" s="28" t="s">
        <v>174</v>
      </c>
      <c r="B18" s="28" t="s">
        <v>169</v>
      </c>
      <c r="C18" s="28" t="s">
        <v>27</v>
      </c>
      <c r="D18" s="28">
        <v>2971077</v>
      </c>
    </row>
    <row r="19" spans="1:4" ht="15" x14ac:dyDescent="0.25">
      <c r="A19" s="28" t="s">
        <v>174</v>
      </c>
      <c r="B19" s="28" t="s">
        <v>169</v>
      </c>
      <c r="C19" s="28" t="s">
        <v>28</v>
      </c>
      <c r="D19" s="28">
        <v>2872601</v>
      </c>
    </row>
    <row r="20" spans="1:4" ht="15" x14ac:dyDescent="0.25">
      <c r="A20" s="28" t="s">
        <v>175</v>
      </c>
      <c r="B20" s="28" t="s">
        <v>169</v>
      </c>
      <c r="C20" s="28" t="s">
        <v>26</v>
      </c>
      <c r="D20" s="28">
        <v>58237337</v>
      </c>
    </row>
    <row r="21" spans="1:4" ht="15" x14ac:dyDescent="0.25">
      <c r="A21" s="28" t="s">
        <v>175</v>
      </c>
      <c r="B21" s="28" t="s">
        <v>169</v>
      </c>
      <c r="C21" s="28" t="s">
        <v>27</v>
      </c>
      <c r="D21" s="28">
        <v>56043346</v>
      </c>
    </row>
    <row r="22" spans="1:4" ht="15" x14ac:dyDescent="0.25">
      <c r="A22" s="28" t="s">
        <v>175</v>
      </c>
      <c r="B22" s="28" t="s">
        <v>169</v>
      </c>
      <c r="C22" s="28" t="s">
        <v>28</v>
      </c>
      <c r="D22" s="28">
        <v>63035107</v>
      </c>
    </row>
    <row r="23" spans="1:4" ht="15" x14ac:dyDescent="0.25">
      <c r="A23" s="28" t="s">
        <v>176</v>
      </c>
      <c r="B23" s="28" t="s">
        <v>169</v>
      </c>
      <c r="C23" s="28" t="s">
        <v>26</v>
      </c>
      <c r="D23" s="28">
        <v>78921</v>
      </c>
    </row>
    <row r="24" spans="1:4" ht="15" x14ac:dyDescent="0.25">
      <c r="A24" s="28" t="s">
        <v>176</v>
      </c>
      <c r="B24" s="28" t="s">
        <v>169</v>
      </c>
      <c r="C24" s="28" t="s">
        <v>27</v>
      </c>
      <c r="D24" s="28">
        <v>210614</v>
      </c>
    </row>
    <row r="25" spans="1:4" ht="15" x14ac:dyDescent="0.25">
      <c r="A25" s="28" t="s">
        <v>176</v>
      </c>
      <c r="B25" s="28" t="s">
        <v>169</v>
      </c>
      <c r="C25" s="28" t="s">
        <v>28</v>
      </c>
      <c r="D25" s="28">
        <v>213151.61845999997</v>
      </c>
    </row>
    <row r="26" spans="1:4" ht="15" x14ac:dyDescent="0.25">
      <c r="A26" s="28" t="s">
        <v>177</v>
      </c>
      <c r="B26" s="28" t="s">
        <v>169</v>
      </c>
      <c r="C26" s="28" t="s">
        <v>26</v>
      </c>
      <c r="D26" s="28">
        <v>620696</v>
      </c>
    </row>
    <row r="27" spans="1:4" ht="15" x14ac:dyDescent="0.25">
      <c r="A27" s="28" t="s">
        <v>177</v>
      </c>
      <c r="B27" s="28" t="s">
        <v>169</v>
      </c>
      <c r="C27" s="28" t="s">
        <v>27</v>
      </c>
      <c r="D27" s="28">
        <v>2897117</v>
      </c>
    </row>
    <row r="28" spans="1:4" ht="15" x14ac:dyDescent="0.25">
      <c r="A28" s="28" t="s">
        <v>177</v>
      </c>
      <c r="B28" s="28" t="s">
        <v>169</v>
      </c>
      <c r="C28" s="28" t="s">
        <v>28</v>
      </c>
      <c r="D28" s="28">
        <v>3499533</v>
      </c>
    </row>
    <row r="29" spans="1:4" ht="15" x14ac:dyDescent="0.25">
      <c r="A29" s="28" t="s">
        <v>178</v>
      </c>
      <c r="B29" s="28" t="s">
        <v>169</v>
      </c>
      <c r="C29" s="28" t="s">
        <v>26</v>
      </c>
      <c r="D29" s="28">
        <v>14621681</v>
      </c>
    </row>
    <row r="30" spans="1:4" ht="15" x14ac:dyDescent="0.25">
      <c r="A30" s="28" t="s">
        <v>178</v>
      </c>
      <c r="B30" s="28" t="s">
        <v>169</v>
      </c>
      <c r="C30" s="28" t="s">
        <v>27</v>
      </c>
      <c r="D30" s="28">
        <v>16347808</v>
      </c>
    </row>
    <row r="31" spans="1:4" ht="15" x14ac:dyDescent="0.25">
      <c r="A31" s="28" t="s">
        <v>178</v>
      </c>
      <c r="B31" s="28" t="s">
        <v>169</v>
      </c>
      <c r="C31" s="28" t="s">
        <v>28</v>
      </c>
      <c r="D31" s="28">
        <v>18811551</v>
      </c>
    </row>
    <row r="32" spans="1:4" ht="15" x14ac:dyDescent="0.25">
      <c r="A32" s="28" t="s">
        <v>179</v>
      </c>
      <c r="B32" s="28" t="s">
        <v>169</v>
      </c>
      <c r="C32" s="28" t="s">
        <v>26</v>
      </c>
      <c r="D32" s="28">
        <v>16037121</v>
      </c>
    </row>
    <row r="33" spans="1:4" ht="15" x14ac:dyDescent="0.25">
      <c r="A33" s="28" t="s">
        <v>179</v>
      </c>
      <c r="B33" s="28" t="s">
        <v>169</v>
      </c>
      <c r="C33" s="28" t="s">
        <v>27</v>
      </c>
      <c r="D33" s="28">
        <v>19371001</v>
      </c>
    </row>
    <row r="34" spans="1:4" ht="15" x14ac:dyDescent="0.25">
      <c r="A34" s="28" t="s">
        <v>179</v>
      </c>
      <c r="B34" s="28" t="s">
        <v>169</v>
      </c>
      <c r="C34" s="28" t="s">
        <v>28</v>
      </c>
      <c r="D34" s="28">
        <v>18852959</v>
      </c>
    </row>
    <row r="35" spans="1:4" ht="15" x14ac:dyDescent="0.25">
      <c r="A35" s="28" t="s">
        <v>180</v>
      </c>
      <c r="B35" s="28" t="s">
        <v>169</v>
      </c>
      <c r="C35" s="28" t="s">
        <v>26</v>
      </c>
      <c r="D35" s="28">
        <v>1691639</v>
      </c>
    </row>
    <row r="36" spans="1:4" ht="15" x14ac:dyDescent="0.25">
      <c r="A36" s="28" t="s">
        <v>180</v>
      </c>
      <c r="B36" s="28" t="s">
        <v>169</v>
      </c>
      <c r="C36" s="28" t="s">
        <v>27</v>
      </c>
      <c r="D36" s="28">
        <v>2031853</v>
      </c>
    </row>
    <row r="37" spans="1:4" ht="15" x14ac:dyDescent="0.25">
      <c r="A37" s="28" t="s">
        <v>180</v>
      </c>
      <c r="B37" s="28" t="s">
        <v>169</v>
      </c>
      <c r="C37" s="28" t="s">
        <v>28</v>
      </c>
      <c r="D37" s="28">
        <v>1923821</v>
      </c>
    </row>
    <row r="38" spans="1:4" ht="15" x14ac:dyDescent="0.25">
      <c r="A38" s="28" t="s">
        <v>181</v>
      </c>
      <c r="B38" s="28" t="s">
        <v>169</v>
      </c>
      <c r="C38" s="28" t="s">
        <v>26</v>
      </c>
      <c r="D38" s="28">
        <v>47495237</v>
      </c>
    </row>
    <row r="39" spans="1:4" ht="15" x14ac:dyDescent="0.25">
      <c r="A39" s="28" t="s">
        <v>181</v>
      </c>
      <c r="B39" s="28" t="s">
        <v>169</v>
      </c>
      <c r="C39" s="28" t="s">
        <v>27</v>
      </c>
      <c r="D39" s="28">
        <v>78875350</v>
      </c>
    </row>
    <row r="40" spans="1:4" ht="15" x14ac:dyDescent="0.25">
      <c r="A40" s="28" t="s">
        <v>181</v>
      </c>
      <c r="B40" s="28" t="s">
        <v>169</v>
      </c>
      <c r="C40" s="28" t="s">
        <v>28</v>
      </c>
      <c r="D40" s="28">
        <v>102254536</v>
      </c>
    </row>
    <row r="41" spans="1:4" ht="15" x14ac:dyDescent="0.25">
      <c r="A41" s="28" t="s">
        <v>182</v>
      </c>
      <c r="B41" s="28" t="s">
        <v>169</v>
      </c>
      <c r="C41" s="28" t="s">
        <v>26</v>
      </c>
      <c r="D41" s="28">
        <v>24908710</v>
      </c>
    </row>
    <row r="42" spans="1:4" ht="15" x14ac:dyDescent="0.25">
      <c r="A42" s="28" t="s">
        <v>182</v>
      </c>
      <c r="B42" s="28" t="s">
        <v>169</v>
      </c>
      <c r="C42" s="28" t="s">
        <v>27</v>
      </c>
      <c r="D42" s="28">
        <v>25603169</v>
      </c>
    </row>
    <row r="43" spans="1:4" ht="15" x14ac:dyDescent="0.25">
      <c r="A43" s="28" t="s">
        <v>182</v>
      </c>
      <c r="B43" s="28" t="s">
        <v>169</v>
      </c>
      <c r="C43" s="28" t="s">
        <v>28</v>
      </c>
      <c r="D43" s="28">
        <v>29015374</v>
      </c>
    </row>
    <row r="44" spans="1:4" ht="15" x14ac:dyDescent="0.25">
      <c r="A44" s="28" t="s">
        <v>183</v>
      </c>
      <c r="B44" s="28" t="s">
        <v>169</v>
      </c>
      <c r="C44" s="28" t="s">
        <v>26</v>
      </c>
      <c r="D44" s="28">
        <v>39816428</v>
      </c>
    </row>
    <row r="45" spans="1:4" ht="15" x14ac:dyDescent="0.25">
      <c r="A45" s="28" t="s">
        <v>183</v>
      </c>
      <c r="B45" s="28" t="s">
        <v>169</v>
      </c>
      <c r="C45" s="28" t="s">
        <v>27</v>
      </c>
      <c r="D45" s="28">
        <v>45206289</v>
      </c>
    </row>
    <row r="46" spans="1:4" ht="15" x14ac:dyDescent="0.25">
      <c r="A46" s="28" t="s">
        <v>183</v>
      </c>
      <c r="B46" s="28" t="s">
        <v>169</v>
      </c>
      <c r="C46" s="28" t="s">
        <v>28</v>
      </c>
      <c r="D46" s="28">
        <v>52710997</v>
      </c>
    </row>
    <row r="47" spans="1:4" ht="15" x14ac:dyDescent="0.25">
      <c r="A47" s="28" t="s">
        <v>184</v>
      </c>
      <c r="B47" s="28" t="s">
        <v>169</v>
      </c>
      <c r="C47" s="28" t="s">
        <v>26</v>
      </c>
      <c r="D47" s="28">
        <v>0</v>
      </c>
    </row>
    <row r="48" spans="1:4" ht="15" x14ac:dyDescent="0.25">
      <c r="A48" s="28" t="s">
        <v>184</v>
      </c>
      <c r="B48" s="28" t="s">
        <v>169</v>
      </c>
      <c r="C48" s="28" t="s">
        <v>27</v>
      </c>
      <c r="D48" s="28">
        <v>0</v>
      </c>
    </row>
    <row r="49" spans="1:4" ht="15" x14ac:dyDescent="0.25">
      <c r="A49" s="28" t="s">
        <v>184</v>
      </c>
      <c r="B49" s="28" t="s">
        <v>169</v>
      </c>
      <c r="C49" s="28" t="s">
        <v>28</v>
      </c>
      <c r="D49" s="28">
        <v>0</v>
      </c>
    </row>
    <row r="50" spans="1:4" ht="15" x14ac:dyDescent="0.25">
      <c r="A50" s="28" t="s">
        <v>185</v>
      </c>
      <c r="B50" s="28" t="s">
        <v>169</v>
      </c>
      <c r="C50" s="28" t="s">
        <v>26</v>
      </c>
      <c r="D50" s="28">
        <v>603336</v>
      </c>
    </row>
    <row r="51" spans="1:4" ht="15" x14ac:dyDescent="0.25">
      <c r="A51" s="28" t="s">
        <v>185</v>
      </c>
      <c r="B51" s="28" t="s">
        <v>169</v>
      </c>
      <c r="C51" s="28" t="s">
        <v>27</v>
      </c>
      <c r="D51" s="28">
        <v>1738230</v>
      </c>
    </row>
    <row r="52" spans="1:4" ht="15" x14ac:dyDescent="0.25">
      <c r="A52" s="28" t="s">
        <v>185</v>
      </c>
      <c r="B52" s="28" t="s">
        <v>169</v>
      </c>
      <c r="C52" s="28" t="s">
        <v>28</v>
      </c>
      <c r="D52" s="28">
        <v>2623851</v>
      </c>
    </row>
    <row r="53" spans="1:4" ht="15" x14ac:dyDescent="0.25">
      <c r="A53" s="28" t="s">
        <v>186</v>
      </c>
      <c r="B53" s="28" t="s">
        <v>169</v>
      </c>
      <c r="C53" s="28" t="s">
        <v>26</v>
      </c>
      <c r="D53" s="28">
        <v>2176944</v>
      </c>
    </row>
    <row r="54" spans="1:4" ht="15" x14ac:dyDescent="0.25">
      <c r="A54" s="28" t="s">
        <v>186</v>
      </c>
      <c r="B54" s="28" t="s">
        <v>169</v>
      </c>
      <c r="C54" s="28" t="s">
        <v>27</v>
      </c>
      <c r="D54" s="28">
        <v>2021089</v>
      </c>
    </row>
    <row r="55" spans="1:4" ht="15" x14ac:dyDescent="0.25">
      <c r="A55" s="28" t="s">
        <v>186</v>
      </c>
      <c r="B55" s="28" t="s">
        <v>169</v>
      </c>
      <c r="C55" s="28" t="s">
        <v>28</v>
      </c>
      <c r="D55" s="28">
        <v>2055457</v>
      </c>
    </row>
    <row r="56" spans="1:4" ht="15" x14ac:dyDescent="0.25">
      <c r="A56" s="28" t="s">
        <v>187</v>
      </c>
      <c r="B56" s="28" t="s">
        <v>169</v>
      </c>
      <c r="C56" s="28" t="s">
        <v>26</v>
      </c>
      <c r="D56" s="28">
        <v>9196668</v>
      </c>
    </row>
    <row r="57" spans="1:4" ht="15" x14ac:dyDescent="0.25">
      <c r="A57" s="28" t="s">
        <v>187</v>
      </c>
      <c r="B57" s="28" t="s">
        <v>169</v>
      </c>
      <c r="C57" s="28" t="s">
        <v>27</v>
      </c>
      <c r="D57" s="28">
        <v>20081290</v>
      </c>
    </row>
    <row r="58" spans="1:4" ht="15" x14ac:dyDescent="0.25">
      <c r="A58" s="28" t="s">
        <v>187</v>
      </c>
      <c r="B58" s="28" t="s">
        <v>169</v>
      </c>
      <c r="C58" s="28" t="s">
        <v>28</v>
      </c>
      <c r="D58" s="28">
        <v>19421167</v>
      </c>
    </row>
    <row r="59" spans="1:4" ht="15" x14ac:dyDescent="0.25">
      <c r="A59" s="28" t="s">
        <v>188</v>
      </c>
      <c r="B59" s="28" t="s">
        <v>169</v>
      </c>
      <c r="C59" s="28" t="s">
        <v>26</v>
      </c>
      <c r="D59" s="28">
        <v>73676345</v>
      </c>
    </row>
    <row r="60" spans="1:4" ht="15" x14ac:dyDescent="0.25">
      <c r="A60" s="28" t="s">
        <v>188</v>
      </c>
      <c r="B60" s="28" t="s">
        <v>169</v>
      </c>
      <c r="C60" s="28" t="s">
        <v>27</v>
      </c>
      <c r="D60" s="28">
        <v>71273042</v>
      </c>
    </row>
    <row r="61" spans="1:4" ht="15" x14ac:dyDescent="0.25">
      <c r="A61" s="28" t="s">
        <v>188</v>
      </c>
      <c r="B61" s="28" t="s">
        <v>169</v>
      </c>
      <c r="C61" s="28" t="s">
        <v>28</v>
      </c>
      <c r="D61" s="28">
        <v>91299884</v>
      </c>
    </row>
    <row r="62" spans="1:4" ht="15" x14ac:dyDescent="0.25">
      <c r="A62" s="28" t="s">
        <v>189</v>
      </c>
      <c r="B62" s="28" t="s">
        <v>169</v>
      </c>
      <c r="C62" s="28" t="s">
        <v>26</v>
      </c>
      <c r="D62" s="28">
        <v>0</v>
      </c>
    </row>
    <row r="63" spans="1:4" ht="15" x14ac:dyDescent="0.25">
      <c r="A63" s="28" t="s">
        <v>189</v>
      </c>
      <c r="B63" s="28" t="s">
        <v>169</v>
      </c>
      <c r="C63" s="28" t="s">
        <v>27</v>
      </c>
      <c r="D63" s="28">
        <v>0</v>
      </c>
    </row>
    <row r="64" spans="1:4" ht="15" x14ac:dyDescent="0.25">
      <c r="A64" s="28" t="s">
        <v>189</v>
      </c>
      <c r="B64" s="28" t="s">
        <v>169</v>
      </c>
      <c r="C64" s="28" t="s">
        <v>28</v>
      </c>
      <c r="D64" s="28">
        <v>358638</v>
      </c>
    </row>
    <row r="65" spans="1:4" ht="15" x14ac:dyDescent="0.25">
      <c r="A65" s="28" t="s">
        <v>190</v>
      </c>
      <c r="B65" s="28" t="s">
        <v>169</v>
      </c>
      <c r="C65" s="28" t="s">
        <v>26</v>
      </c>
      <c r="D65" s="28">
        <v>147728</v>
      </c>
    </row>
    <row r="66" spans="1:4" ht="15" x14ac:dyDescent="0.25">
      <c r="A66" s="28" t="s">
        <v>190</v>
      </c>
      <c r="B66" s="28" t="s">
        <v>169</v>
      </c>
      <c r="C66" s="28" t="s">
        <v>27</v>
      </c>
      <c r="D66" s="28">
        <v>106055</v>
      </c>
    </row>
    <row r="67" spans="1:4" ht="15" x14ac:dyDescent="0.25">
      <c r="A67" s="28" t="s">
        <v>190</v>
      </c>
      <c r="B67" s="28" t="s">
        <v>169</v>
      </c>
      <c r="C67" s="28" t="s">
        <v>28</v>
      </c>
      <c r="D67" s="28">
        <v>171062</v>
      </c>
    </row>
    <row r="68" spans="1:4" ht="15" x14ac:dyDescent="0.25">
      <c r="A68" s="28" t="s">
        <v>191</v>
      </c>
      <c r="B68" s="28" t="s">
        <v>169</v>
      </c>
      <c r="C68" s="28" t="s">
        <v>26</v>
      </c>
      <c r="D68" s="28">
        <v>13837637</v>
      </c>
    </row>
    <row r="69" spans="1:4" ht="15" x14ac:dyDescent="0.25">
      <c r="A69" s="28" t="s">
        <v>191</v>
      </c>
      <c r="B69" s="28" t="s">
        <v>169</v>
      </c>
      <c r="C69" s="28" t="s">
        <v>27</v>
      </c>
      <c r="D69" s="28">
        <v>15700924</v>
      </c>
    </row>
    <row r="70" spans="1:4" ht="15" x14ac:dyDescent="0.25">
      <c r="A70" s="28" t="s">
        <v>191</v>
      </c>
      <c r="B70" s="28" t="s">
        <v>169</v>
      </c>
      <c r="C70" s="28" t="s">
        <v>28</v>
      </c>
      <c r="D70" s="28">
        <v>23608943</v>
      </c>
    </row>
    <row r="71" spans="1:4" ht="15" x14ac:dyDescent="0.25">
      <c r="A71" s="28" t="s">
        <v>192</v>
      </c>
      <c r="B71" s="28" t="s">
        <v>169</v>
      </c>
      <c r="C71" s="28" t="s">
        <v>26</v>
      </c>
      <c r="D71" s="28">
        <v>138459470</v>
      </c>
    </row>
    <row r="72" spans="1:4" ht="15" x14ac:dyDescent="0.25">
      <c r="A72" s="28" t="s">
        <v>192</v>
      </c>
      <c r="B72" s="28" t="s">
        <v>169</v>
      </c>
      <c r="C72" s="28" t="s">
        <v>27</v>
      </c>
      <c r="D72" s="28">
        <v>134952185</v>
      </c>
    </row>
    <row r="73" spans="1:4" ht="15" x14ac:dyDescent="0.25">
      <c r="A73" s="28" t="s">
        <v>192</v>
      </c>
      <c r="B73" s="28" t="s">
        <v>169</v>
      </c>
      <c r="C73" s="28" t="s">
        <v>28</v>
      </c>
      <c r="D73" s="28">
        <v>138006496</v>
      </c>
    </row>
    <row r="74" spans="1:4" ht="15" x14ac:dyDescent="0.25">
      <c r="A74" s="28" t="s">
        <v>50</v>
      </c>
      <c r="B74" s="28" t="s">
        <v>169</v>
      </c>
      <c r="C74" s="28" t="s">
        <v>26</v>
      </c>
      <c r="D74" s="28">
        <v>0</v>
      </c>
    </row>
    <row r="75" spans="1:4" ht="15" x14ac:dyDescent="0.25">
      <c r="A75" s="28" t="s">
        <v>50</v>
      </c>
      <c r="B75" s="28" t="s">
        <v>169</v>
      </c>
      <c r="C75" s="28" t="s">
        <v>27</v>
      </c>
      <c r="D75" s="28">
        <v>0</v>
      </c>
    </row>
    <row r="76" spans="1:4" ht="15" x14ac:dyDescent="0.25">
      <c r="A76" s="28" t="s">
        <v>50</v>
      </c>
      <c r="B76" s="28" t="s">
        <v>169</v>
      </c>
      <c r="C76" s="28" t="s">
        <v>28</v>
      </c>
      <c r="D76" s="28">
        <v>0</v>
      </c>
    </row>
    <row r="77" spans="1:4" ht="15" x14ac:dyDescent="0.25">
      <c r="A77" s="28" t="s">
        <v>193</v>
      </c>
      <c r="B77" s="28" t="s">
        <v>169</v>
      </c>
      <c r="C77" s="28" t="s">
        <v>26</v>
      </c>
      <c r="D77" s="28">
        <v>0</v>
      </c>
    </row>
    <row r="78" spans="1:4" ht="15" x14ac:dyDescent="0.25">
      <c r="A78" s="28" t="s">
        <v>193</v>
      </c>
      <c r="B78" s="28" t="s">
        <v>169</v>
      </c>
      <c r="C78" s="28" t="s">
        <v>27</v>
      </c>
      <c r="D78" s="28">
        <v>0</v>
      </c>
    </row>
    <row r="79" spans="1:4" ht="15" x14ac:dyDescent="0.25">
      <c r="A79" s="28" t="s">
        <v>193</v>
      </c>
      <c r="B79" s="28" t="s">
        <v>169</v>
      </c>
      <c r="C79" s="28" t="s">
        <v>28</v>
      </c>
      <c r="D79" s="28">
        <v>395</v>
      </c>
    </row>
    <row r="80" spans="1:4" ht="15" x14ac:dyDescent="0.25">
      <c r="A80" s="28" t="s">
        <v>194</v>
      </c>
      <c r="B80" s="28" t="s">
        <v>169</v>
      </c>
      <c r="C80" s="28" t="s">
        <v>26</v>
      </c>
      <c r="D80" s="28">
        <v>31384598</v>
      </c>
    </row>
    <row r="81" spans="1:4" ht="15" x14ac:dyDescent="0.25">
      <c r="A81" s="28" t="s">
        <v>194</v>
      </c>
      <c r="B81" s="28" t="s">
        <v>169</v>
      </c>
      <c r="C81" s="28" t="s">
        <v>27</v>
      </c>
      <c r="D81" s="28">
        <v>39473491</v>
      </c>
    </row>
    <row r="82" spans="1:4" ht="15" x14ac:dyDescent="0.25">
      <c r="A82" s="28" t="s">
        <v>194</v>
      </c>
      <c r="B82" s="28" t="s">
        <v>169</v>
      </c>
      <c r="C82" s="28" t="s">
        <v>28</v>
      </c>
      <c r="D82" s="28">
        <v>55747861</v>
      </c>
    </row>
    <row r="83" spans="1:4" ht="15" x14ac:dyDescent="0.25">
      <c r="A83" s="28" t="s">
        <v>195</v>
      </c>
      <c r="B83" s="28" t="s">
        <v>169</v>
      </c>
      <c r="C83" s="28" t="s">
        <v>26</v>
      </c>
      <c r="D83" s="28">
        <v>4293000</v>
      </c>
    </row>
    <row r="84" spans="1:4" ht="15" x14ac:dyDescent="0.25">
      <c r="A84" s="28" t="s">
        <v>195</v>
      </c>
      <c r="B84" s="28" t="s">
        <v>169</v>
      </c>
      <c r="C84" s="28" t="s">
        <v>27</v>
      </c>
      <c r="D84" s="28">
        <v>2734000</v>
      </c>
    </row>
    <row r="85" spans="1:4" ht="15" x14ac:dyDescent="0.25">
      <c r="A85" s="28" t="s">
        <v>195</v>
      </c>
      <c r="B85" s="28" t="s">
        <v>169</v>
      </c>
      <c r="C85" s="28" t="s">
        <v>28</v>
      </c>
      <c r="D85" s="28">
        <v>3660000</v>
      </c>
    </row>
    <row r="86" spans="1:4" ht="15" x14ac:dyDescent="0.25">
      <c r="A86" s="28" t="s">
        <v>196</v>
      </c>
      <c r="B86" s="28" t="s">
        <v>169</v>
      </c>
      <c r="C86" s="28" t="s">
        <v>26</v>
      </c>
      <c r="D86" s="28">
        <v>0</v>
      </c>
    </row>
    <row r="87" spans="1:4" ht="15" x14ac:dyDescent="0.25">
      <c r="A87" s="28" t="s">
        <v>196</v>
      </c>
      <c r="B87" s="28" t="s">
        <v>169</v>
      </c>
      <c r="C87" s="28" t="s">
        <v>27</v>
      </c>
      <c r="D87" s="28">
        <v>0</v>
      </c>
    </row>
    <row r="88" spans="1:4" ht="15" x14ac:dyDescent="0.25">
      <c r="A88" s="28" t="s">
        <v>196</v>
      </c>
      <c r="B88" s="28" t="s">
        <v>169</v>
      </c>
      <c r="C88" s="28" t="s">
        <v>28</v>
      </c>
      <c r="D88" s="28">
        <v>0</v>
      </c>
    </row>
    <row r="89" spans="1:4" ht="15" x14ac:dyDescent="0.25">
      <c r="A89" s="28" t="s">
        <v>197</v>
      </c>
      <c r="B89" s="28" t="s">
        <v>169</v>
      </c>
      <c r="C89" s="28" t="s">
        <v>26</v>
      </c>
      <c r="D89" s="28">
        <v>0</v>
      </c>
    </row>
    <row r="90" spans="1:4" ht="15" x14ac:dyDescent="0.25">
      <c r="A90" s="28" t="s">
        <v>197</v>
      </c>
      <c r="B90" s="28" t="s">
        <v>169</v>
      </c>
      <c r="C90" s="28" t="s">
        <v>27</v>
      </c>
      <c r="D90" s="28">
        <v>0</v>
      </c>
    </row>
    <row r="91" spans="1:4" ht="15" x14ac:dyDescent="0.25">
      <c r="A91" s="28" t="s">
        <v>197</v>
      </c>
      <c r="B91" s="28" t="s">
        <v>169</v>
      </c>
      <c r="C91" s="28" t="s">
        <v>28</v>
      </c>
      <c r="D91" s="28"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FFC000"/>
  </sheetPr>
  <dimension ref="A1:AB7906"/>
  <sheetViews>
    <sheetView tabSelected="1" topLeftCell="J361" zoomScale="85" zoomScaleNormal="85" workbookViewId="0">
      <selection activeCell="Q400" sqref="Q400"/>
    </sheetView>
  </sheetViews>
  <sheetFormatPr baseColWidth="10" defaultRowHeight="14.25" x14ac:dyDescent="0.2"/>
  <cols>
    <col min="1" max="1" width="41" bestFit="1" customWidth="1"/>
    <col min="2" max="2" width="91.75" bestFit="1" customWidth="1"/>
    <col min="3" max="3" width="21.125" bestFit="1" customWidth="1"/>
    <col min="4" max="4" width="13.5" bestFit="1" customWidth="1"/>
    <col min="5" max="5" width="6.75" bestFit="1" customWidth="1"/>
    <col min="6" max="6" width="16.625" customWidth="1"/>
    <col min="7" max="7" width="10.875" bestFit="1" customWidth="1"/>
    <col min="10" max="10" width="46.125" bestFit="1" customWidth="1"/>
    <col min="11" max="11" width="14.75" customWidth="1"/>
    <col min="12" max="20" width="9.25" customWidth="1"/>
    <col min="21" max="28" width="10.25" customWidth="1"/>
    <col min="29" max="29" width="15.5" bestFit="1" customWidth="1"/>
  </cols>
  <sheetData>
    <row r="1" spans="1:28" ht="15" x14ac:dyDescent="0.25">
      <c r="A1" s="13" t="s">
        <v>77</v>
      </c>
      <c r="B1" s="14" t="s">
        <v>80</v>
      </c>
      <c r="C1" s="14" t="s">
        <v>78</v>
      </c>
      <c r="D1" s="14" t="s">
        <v>79</v>
      </c>
      <c r="E1" s="14" t="s">
        <v>83</v>
      </c>
      <c r="F1" s="14" t="s">
        <v>85</v>
      </c>
      <c r="G1" s="15" t="s">
        <v>84</v>
      </c>
      <c r="J1" s="22" t="s">
        <v>165</v>
      </c>
      <c r="L1" s="22" t="s">
        <v>83</v>
      </c>
    </row>
    <row r="2" spans="1:28" x14ac:dyDescent="0.2">
      <c r="A2" s="16" t="s">
        <v>29</v>
      </c>
      <c r="B2" s="17" t="s">
        <v>72</v>
      </c>
      <c r="C2" s="17" t="s">
        <v>8</v>
      </c>
      <c r="D2" s="17" t="s">
        <v>10</v>
      </c>
      <c r="E2" s="17" t="s">
        <v>12</v>
      </c>
      <c r="F2" s="17" t="str">
        <f>INDEX(nrg_cb_e!$A$3:$A$40,MATCH(LEFT(MID('Industriesektor GWh'!$B2,41,1000),SEARCH(" - ",MID('Industriesektor GWh'!$B2,41,1000))-1),nrg_cb_e!$C$3:$C$40,0))</f>
        <v>FC_IND_CON_E</v>
      </c>
      <c r="G2" s="18">
        <v>324</v>
      </c>
      <c r="J2" s="22" t="s">
        <v>77</v>
      </c>
      <c r="K2" s="22" t="s">
        <v>85</v>
      </c>
      <c r="L2" s="24" t="s">
        <v>12</v>
      </c>
      <c r="M2" s="24" t="s">
        <v>13</v>
      </c>
      <c r="N2" s="24" t="s">
        <v>14</v>
      </c>
      <c r="O2" s="24" t="s">
        <v>15</v>
      </c>
      <c r="P2" s="24" t="s">
        <v>16</v>
      </c>
      <c r="Q2" s="24" t="s">
        <v>17</v>
      </c>
      <c r="R2" s="24" t="s">
        <v>18</v>
      </c>
      <c r="S2" s="24" t="s">
        <v>19</v>
      </c>
      <c r="T2" s="24" t="s">
        <v>20</v>
      </c>
      <c r="U2" s="24" t="s">
        <v>21</v>
      </c>
      <c r="V2" s="24" t="s">
        <v>22</v>
      </c>
      <c r="W2" s="24" t="s">
        <v>23</v>
      </c>
      <c r="X2" s="24" t="s">
        <v>24</v>
      </c>
      <c r="Y2" s="24" t="s">
        <v>25</v>
      </c>
      <c r="Z2" s="24" t="s">
        <v>26</v>
      </c>
      <c r="AA2" s="24" t="s">
        <v>27</v>
      </c>
      <c r="AB2" s="24" t="s">
        <v>28</v>
      </c>
    </row>
    <row r="3" spans="1:28" x14ac:dyDescent="0.2">
      <c r="A3" s="19" t="s">
        <v>29</v>
      </c>
      <c r="B3" s="20" t="s">
        <v>72</v>
      </c>
      <c r="C3" s="20" t="s">
        <v>8</v>
      </c>
      <c r="D3" s="20" t="s">
        <v>10</v>
      </c>
      <c r="E3" s="20" t="s">
        <v>13</v>
      </c>
      <c r="F3" s="20" t="str">
        <f>INDEX(nrg_cb_e!$A$3:$A$40,MATCH(LEFT(MID('Industriesektor GWh'!$B3,41,1000),SEARCH(" - ",MID('Industriesektor GWh'!$B3,41,1000))-1),nrg_cb_e!$C$3:$C$40,0))</f>
        <v>FC_IND_CON_E</v>
      </c>
      <c r="G3" s="21">
        <v>320</v>
      </c>
      <c r="J3" t="s">
        <v>29</v>
      </c>
      <c r="K3" t="s">
        <v>140</v>
      </c>
      <c r="L3" s="23">
        <v>324</v>
      </c>
      <c r="M3" s="23">
        <v>320</v>
      </c>
      <c r="N3" s="23">
        <v>327</v>
      </c>
      <c r="O3" s="23">
        <v>321</v>
      </c>
      <c r="P3" s="23">
        <v>825</v>
      </c>
      <c r="Q3" s="23">
        <v>788</v>
      </c>
      <c r="R3" s="23">
        <v>872</v>
      </c>
      <c r="S3" s="23">
        <v>1278</v>
      </c>
      <c r="T3" s="23">
        <v>1410</v>
      </c>
      <c r="U3" s="23">
        <v>900</v>
      </c>
      <c r="V3" s="23">
        <v>798</v>
      </c>
      <c r="W3" s="23">
        <v>929</v>
      </c>
      <c r="X3" s="23">
        <v>812.3</v>
      </c>
      <c r="Y3" s="23">
        <v>845.4</v>
      </c>
      <c r="Z3" s="23">
        <v>859.6</v>
      </c>
      <c r="AA3" s="23">
        <v>873.4</v>
      </c>
      <c r="AB3" s="23">
        <v>929.4</v>
      </c>
    </row>
    <row r="4" spans="1:28" x14ac:dyDescent="0.2">
      <c r="A4" s="16" t="s">
        <v>29</v>
      </c>
      <c r="B4" s="17" t="s">
        <v>72</v>
      </c>
      <c r="C4" s="17" t="s">
        <v>8</v>
      </c>
      <c r="D4" s="17" t="s">
        <v>10</v>
      </c>
      <c r="E4" s="17" t="s">
        <v>14</v>
      </c>
      <c r="F4" s="17" t="str">
        <f>INDEX(nrg_cb_e!$A$3:$A$40,MATCH(LEFT(MID('Industriesektor GWh'!$B4,41,1000),SEARCH(" - ",MID('Industriesektor GWh'!$B4,41,1000))-1),nrg_cb_e!$C$3:$C$40,0))</f>
        <v>FC_IND_CON_E</v>
      </c>
      <c r="G4" s="18">
        <v>327</v>
      </c>
      <c r="J4" t="s">
        <v>29</v>
      </c>
      <c r="K4" t="s">
        <v>122</v>
      </c>
      <c r="L4" s="23">
        <v>13177</v>
      </c>
      <c r="M4" s="23">
        <v>13537</v>
      </c>
      <c r="N4" s="23">
        <v>13473</v>
      </c>
      <c r="O4" s="23">
        <v>13767</v>
      </c>
      <c r="P4" s="23">
        <v>11766</v>
      </c>
      <c r="Q4" s="23">
        <v>13176</v>
      </c>
      <c r="R4" s="23">
        <v>12222</v>
      </c>
      <c r="S4" s="23">
        <v>8678</v>
      </c>
      <c r="T4" s="23">
        <v>13500</v>
      </c>
      <c r="U4" s="23">
        <v>12829</v>
      </c>
      <c r="V4" s="23">
        <v>11357</v>
      </c>
      <c r="W4" s="23">
        <v>12770</v>
      </c>
      <c r="X4" s="23">
        <v>12922.5</v>
      </c>
      <c r="Y4" s="23">
        <v>13172.8</v>
      </c>
      <c r="Z4" s="23">
        <v>13575.1</v>
      </c>
      <c r="AA4" s="23">
        <v>14861</v>
      </c>
      <c r="AB4" s="23">
        <v>14678.2</v>
      </c>
    </row>
    <row r="5" spans="1:28" x14ac:dyDescent="0.2">
      <c r="A5" s="19" t="s">
        <v>29</v>
      </c>
      <c r="B5" s="20" t="s">
        <v>72</v>
      </c>
      <c r="C5" s="20" t="s">
        <v>8</v>
      </c>
      <c r="D5" s="20" t="s">
        <v>10</v>
      </c>
      <c r="E5" s="20" t="s">
        <v>15</v>
      </c>
      <c r="F5" s="20" t="str">
        <f>INDEX(nrg_cb_e!$A$3:$A$40,MATCH(LEFT(MID('Industriesektor GWh'!$B5,41,1000),SEARCH(" - ",MID('Industriesektor GWh'!$B5,41,1000))-1),nrg_cb_e!$C$3:$C$40,0))</f>
        <v>FC_IND_CON_E</v>
      </c>
      <c r="G5" s="21">
        <v>321</v>
      </c>
      <c r="J5" t="s">
        <v>29</v>
      </c>
      <c r="K5" t="s">
        <v>134</v>
      </c>
      <c r="L5" s="23">
        <v>3907</v>
      </c>
      <c r="M5" s="23">
        <v>4005</v>
      </c>
      <c r="N5" s="23">
        <v>4083</v>
      </c>
      <c r="O5" s="23">
        <v>3991</v>
      </c>
      <c r="P5" s="23">
        <v>4427</v>
      </c>
      <c r="Q5" s="23">
        <v>4574</v>
      </c>
      <c r="R5" s="23">
        <v>4448</v>
      </c>
      <c r="S5" s="23">
        <v>4650</v>
      </c>
      <c r="T5" s="23">
        <v>4720</v>
      </c>
      <c r="U5" s="23">
        <v>4817</v>
      </c>
      <c r="V5" s="23">
        <v>4925</v>
      </c>
      <c r="W5" s="23">
        <v>5398</v>
      </c>
      <c r="X5" s="23">
        <v>5562.1</v>
      </c>
      <c r="Y5" s="23">
        <v>5560.6</v>
      </c>
      <c r="Z5" s="23">
        <v>5740.4</v>
      </c>
      <c r="AA5" s="23">
        <v>5950.3</v>
      </c>
      <c r="AB5" s="23">
        <v>6040.1</v>
      </c>
    </row>
    <row r="6" spans="1:28" x14ac:dyDescent="0.2">
      <c r="A6" s="16" t="s">
        <v>29</v>
      </c>
      <c r="B6" s="17" t="s">
        <v>72</v>
      </c>
      <c r="C6" s="17" t="s">
        <v>8</v>
      </c>
      <c r="D6" s="17" t="s">
        <v>10</v>
      </c>
      <c r="E6" s="17" t="s">
        <v>16</v>
      </c>
      <c r="F6" s="17" t="str">
        <f>INDEX(nrg_cb_e!$A$3:$A$40,MATCH(LEFT(MID('Industriesektor GWh'!$B6,41,1000),SEARCH(" - ",MID('Industriesektor GWh'!$B6,41,1000))-1),nrg_cb_e!$C$3:$C$40,0))</f>
        <v>FC_IND_CON_E</v>
      </c>
      <c r="G6" s="18">
        <v>825</v>
      </c>
      <c r="J6" t="s">
        <v>29</v>
      </c>
      <c r="K6" t="s">
        <v>120</v>
      </c>
      <c r="L6" s="23">
        <v>6833</v>
      </c>
      <c r="M6" s="23">
        <v>7015</v>
      </c>
      <c r="N6" s="23">
        <v>7061</v>
      </c>
      <c r="O6" s="23">
        <v>5997</v>
      </c>
      <c r="P6" s="23">
        <v>6193</v>
      </c>
      <c r="Q6" s="23">
        <v>6486</v>
      </c>
      <c r="R6" s="23">
        <v>6346</v>
      </c>
      <c r="S6" s="23">
        <v>5198</v>
      </c>
      <c r="T6" s="23">
        <v>5986</v>
      </c>
      <c r="U6" s="23">
        <v>5028</v>
      </c>
      <c r="V6" s="23">
        <v>5668</v>
      </c>
      <c r="W6" s="23">
        <v>4551</v>
      </c>
      <c r="X6" s="23">
        <v>4358.3</v>
      </c>
      <c r="Y6" s="23">
        <v>4426.2</v>
      </c>
      <c r="Z6" s="23">
        <v>4345.3</v>
      </c>
      <c r="AA6" s="23">
        <v>4425.2</v>
      </c>
      <c r="AB6" s="23">
        <v>4357</v>
      </c>
    </row>
    <row r="7" spans="1:28" x14ac:dyDescent="0.2">
      <c r="A7" s="19" t="s">
        <v>29</v>
      </c>
      <c r="B7" s="20" t="s">
        <v>72</v>
      </c>
      <c r="C7" s="20" t="s">
        <v>8</v>
      </c>
      <c r="D7" s="20" t="s">
        <v>10</v>
      </c>
      <c r="E7" s="20" t="s">
        <v>17</v>
      </c>
      <c r="F7" s="20" t="str">
        <f>INDEX(nrg_cb_e!$A$3:$A$40,MATCH(LEFT(MID('Industriesektor GWh'!$B7,41,1000),SEARCH(" - ",MID('Industriesektor GWh'!$B7,41,1000))-1),nrg_cb_e!$C$3:$C$40,0))</f>
        <v>FC_IND_CON_E</v>
      </c>
      <c r="G7" s="21">
        <v>788</v>
      </c>
      <c r="J7" t="s">
        <v>29</v>
      </c>
      <c r="K7" t="s">
        <v>130</v>
      </c>
      <c r="L7" s="23">
        <v>2025</v>
      </c>
      <c r="M7" s="23">
        <v>2082</v>
      </c>
      <c r="N7" s="23">
        <v>2122</v>
      </c>
      <c r="O7" s="23">
        <v>2169</v>
      </c>
      <c r="P7" s="23">
        <v>2176</v>
      </c>
      <c r="Q7" s="23">
        <v>2149</v>
      </c>
      <c r="R7" s="23">
        <v>2188</v>
      </c>
      <c r="S7" s="23">
        <v>1762</v>
      </c>
      <c r="T7" s="23">
        <v>1899</v>
      </c>
      <c r="U7" s="23">
        <v>1873</v>
      </c>
      <c r="V7" s="23">
        <v>2030</v>
      </c>
      <c r="W7" s="23">
        <v>1954</v>
      </c>
      <c r="X7" s="23">
        <v>1924.7</v>
      </c>
      <c r="Y7" s="23">
        <v>1864.3</v>
      </c>
      <c r="Z7" s="23">
        <v>1756</v>
      </c>
      <c r="AA7" s="23">
        <v>1835.2</v>
      </c>
      <c r="AB7" s="23">
        <v>1838.1</v>
      </c>
    </row>
    <row r="8" spans="1:28" x14ac:dyDescent="0.2">
      <c r="A8" s="16" t="s">
        <v>29</v>
      </c>
      <c r="B8" s="17" t="s">
        <v>72</v>
      </c>
      <c r="C8" s="17" t="s">
        <v>8</v>
      </c>
      <c r="D8" s="17" t="s">
        <v>10</v>
      </c>
      <c r="E8" s="17" t="s">
        <v>18</v>
      </c>
      <c r="F8" s="17" t="str">
        <f>INDEX(nrg_cb_e!$A$3:$A$40,MATCH(LEFT(MID('Industriesektor GWh'!$B8,41,1000),SEARCH(" - ",MID('Industriesektor GWh'!$B8,41,1000))-1),nrg_cb_e!$C$3:$C$40,0))</f>
        <v>FC_IND_CON_E</v>
      </c>
      <c r="G8" s="18">
        <v>872</v>
      </c>
      <c r="J8" t="s">
        <v>29</v>
      </c>
      <c r="K8" t="s">
        <v>132</v>
      </c>
      <c r="L8" s="23">
        <v>354</v>
      </c>
      <c r="M8" s="23">
        <v>361</v>
      </c>
      <c r="N8" s="23">
        <v>513</v>
      </c>
      <c r="O8" s="23">
        <v>529</v>
      </c>
      <c r="P8" s="23">
        <v>875</v>
      </c>
      <c r="Q8" s="23">
        <v>723</v>
      </c>
      <c r="R8" s="23">
        <v>757</v>
      </c>
      <c r="S8" s="23">
        <v>629</v>
      </c>
      <c r="T8" s="23">
        <v>1186</v>
      </c>
      <c r="U8" s="23">
        <v>422</v>
      </c>
      <c r="V8" s="23">
        <v>422</v>
      </c>
      <c r="W8" s="23">
        <v>431</v>
      </c>
      <c r="X8" s="23">
        <v>439</v>
      </c>
      <c r="Y8" s="23">
        <v>430</v>
      </c>
      <c r="Z8" s="23">
        <v>440</v>
      </c>
      <c r="AA8" s="23">
        <v>452.3</v>
      </c>
      <c r="AB8" s="23">
        <v>454.5</v>
      </c>
    </row>
    <row r="9" spans="1:28" x14ac:dyDescent="0.2">
      <c r="A9" s="19" t="s">
        <v>29</v>
      </c>
      <c r="B9" s="20" t="s">
        <v>72</v>
      </c>
      <c r="C9" s="20" t="s">
        <v>8</v>
      </c>
      <c r="D9" s="20" t="s">
        <v>10</v>
      </c>
      <c r="E9" s="20" t="s">
        <v>19</v>
      </c>
      <c r="F9" s="20" t="str">
        <f>INDEX(nrg_cb_e!$A$3:$A$40,MATCH(LEFT(MID('Industriesektor GWh'!$B9,41,1000),SEARCH(" - ",MID('Industriesektor GWh'!$B9,41,1000))-1),nrg_cb_e!$C$3:$C$40,0))</f>
        <v>FC_IND_CON_E</v>
      </c>
      <c r="G9" s="21">
        <v>1278</v>
      </c>
      <c r="J9" t="s">
        <v>29</v>
      </c>
      <c r="K9" t="s">
        <v>124</v>
      </c>
      <c r="L9" s="23">
        <v>1997</v>
      </c>
      <c r="M9" s="23">
        <v>2083</v>
      </c>
      <c r="N9" s="23">
        <v>2123</v>
      </c>
      <c r="O9" s="23">
        <v>1729</v>
      </c>
      <c r="P9" s="23">
        <v>2468</v>
      </c>
      <c r="Q9" s="23">
        <v>2298</v>
      </c>
      <c r="R9" s="23">
        <v>2207</v>
      </c>
      <c r="S9" s="23">
        <v>1328</v>
      </c>
      <c r="T9" s="23">
        <v>1775</v>
      </c>
      <c r="U9" s="23">
        <v>1859</v>
      </c>
      <c r="V9" s="23">
        <v>1911</v>
      </c>
      <c r="W9" s="23">
        <v>1882</v>
      </c>
      <c r="X9" s="23">
        <v>1936.6</v>
      </c>
      <c r="Y9" s="23">
        <v>1922.2</v>
      </c>
      <c r="Z9" s="23">
        <v>1862</v>
      </c>
      <c r="AA9" s="23">
        <v>1994</v>
      </c>
      <c r="AB9" s="23">
        <v>2121</v>
      </c>
    </row>
    <row r="10" spans="1:28" x14ac:dyDescent="0.2">
      <c r="A10" s="16" t="s">
        <v>29</v>
      </c>
      <c r="B10" s="17" t="s">
        <v>72</v>
      </c>
      <c r="C10" s="17" t="s">
        <v>8</v>
      </c>
      <c r="D10" s="17" t="s">
        <v>10</v>
      </c>
      <c r="E10" s="17" t="s">
        <v>20</v>
      </c>
      <c r="F10" s="17" t="str">
        <f>INDEX(nrg_cb_e!$A$3:$A$40,MATCH(LEFT(MID('Industriesektor GWh'!$B10,41,1000),SEARCH(" - ",MID('Industriesektor GWh'!$B10,41,1000))-1),nrg_cb_e!$C$3:$C$40,0))</f>
        <v>FC_IND_CON_E</v>
      </c>
      <c r="G10" s="18">
        <v>1410</v>
      </c>
      <c r="J10" t="s">
        <v>29</v>
      </c>
      <c r="K10" t="s">
        <v>126</v>
      </c>
      <c r="L10" s="23">
        <v>2515</v>
      </c>
      <c r="M10" s="23">
        <v>2563</v>
      </c>
      <c r="N10" s="23">
        <v>2613</v>
      </c>
      <c r="O10" s="23">
        <v>2325</v>
      </c>
      <c r="P10" s="23">
        <v>2411</v>
      </c>
      <c r="Q10" s="23">
        <v>2370</v>
      </c>
      <c r="R10" s="23">
        <v>2449</v>
      </c>
      <c r="S10" s="23">
        <v>1959</v>
      </c>
      <c r="T10" s="23">
        <v>1059</v>
      </c>
      <c r="U10" s="23">
        <v>2967</v>
      </c>
      <c r="V10" s="23">
        <v>3699</v>
      </c>
      <c r="W10" s="23">
        <v>2829</v>
      </c>
      <c r="X10" s="23">
        <v>2865.4</v>
      </c>
      <c r="Y10" s="23">
        <v>2791.9</v>
      </c>
      <c r="Z10" s="23">
        <v>2766.8</v>
      </c>
      <c r="AA10" s="23">
        <v>2422.1999999999998</v>
      </c>
      <c r="AB10" s="23">
        <v>2437.6999999999998</v>
      </c>
    </row>
    <row r="11" spans="1:28" x14ac:dyDescent="0.2">
      <c r="A11" s="19" t="s">
        <v>29</v>
      </c>
      <c r="B11" s="20" t="s">
        <v>72</v>
      </c>
      <c r="C11" s="20" t="s">
        <v>8</v>
      </c>
      <c r="D11" s="20" t="s">
        <v>10</v>
      </c>
      <c r="E11" s="20" t="s">
        <v>21</v>
      </c>
      <c r="F11" s="20" t="str">
        <f>INDEX(nrg_cb_e!$A$3:$A$40,MATCH(LEFT(MID('Industriesektor GWh'!$B11,41,1000),SEARCH(" - ",MID('Industriesektor GWh'!$B11,41,1000))-1),nrg_cb_e!$C$3:$C$40,0))</f>
        <v>FC_IND_CON_E</v>
      </c>
      <c r="G11" s="21">
        <v>900</v>
      </c>
      <c r="J11" t="s">
        <v>29</v>
      </c>
      <c r="K11" t="s">
        <v>136</v>
      </c>
      <c r="L11" s="23">
        <v>2497</v>
      </c>
      <c r="M11" s="23">
        <v>2563</v>
      </c>
      <c r="N11" s="23">
        <v>2612</v>
      </c>
      <c r="O11" s="23">
        <v>2710</v>
      </c>
      <c r="P11" s="23">
        <v>2739</v>
      </c>
      <c r="Q11" s="23">
        <v>2848</v>
      </c>
      <c r="R11" s="23">
        <v>2671</v>
      </c>
      <c r="S11" s="23">
        <v>2382</v>
      </c>
      <c r="T11" s="23">
        <v>2600</v>
      </c>
      <c r="U11" s="23">
        <v>2640</v>
      </c>
      <c r="V11" s="23">
        <v>2918</v>
      </c>
      <c r="W11" s="23">
        <v>2609</v>
      </c>
      <c r="X11" s="23">
        <v>2651.3</v>
      </c>
      <c r="Y11" s="23">
        <v>2525.3000000000002</v>
      </c>
      <c r="Z11" s="23">
        <v>2571.5</v>
      </c>
      <c r="AA11" s="23">
        <v>1867.4</v>
      </c>
      <c r="AB11" s="23">
        <v>1870.3</v>
      </c>
    </row>
    <row r="12" spans="1:28" x14ac:dyDescent="0.2">
      <c r="A12" s="16" t="s">
        <v>29</v>
      </c>
      <c r="B12" s="17" t="s">
        <v>72</v>
      </c>
      <c r="C12" s="17" t="s">
        <v>8</v>
      </c>
      <c r="D12" s="17" t="s">
        <v>10</v>
      </c>
      <c r="E12" s="17" t="s">
        <v>22</v>
      </c>
      <c r="F12" s="17" t="str">
        <f>INDEX(nrg_cb_e!$A$3:$A$40,MATCH(LEFT(MID('Industriesektor GWh'!$B12,41,1000),SEARCH(" - ",MID('Industriesektor GWh'!$B12,41,1000))-1),nrg_cb_e!$C$3:$C$40,0))</f>
        <v>FC_IND_CON_E</v>
      </c>
      <c r="G12" s="18">
        <v>798</v>
      </c>
      <c r="J12" t="s">
        <v>29</v>
      </c>
      <c r="K12" t="s">
        <v>128</v>
      </c>
      <c r="L12" s="23">
        <v>959</v>
      </c>
      <c r="M12" s="23">
        <v>1001</v>
      </c>
      <c r="N12" s="23">
        <v>1021</v>
      </c>
      <c r="O12" s="23">
        <v>994</v>
      </c>
      <c r="P12" s="23">
        <v>1180</v>
      </c>
      <c r="Q12" s="23">
        <v>1199</v>
      </c>
      <c r="R12" s="23">
        <v>1097</v>
      </c>
      <c r="S12" s="23">
        <v>1017</v>
      </c>
      <c r="T12" s="23">
        <v>1061</v>
      </c>
      <c r="U12" s="23">
        <v>767</v>
      </c>
      <c r="V12" s="23">
        <v>739</v>
      </c>
      <c r="W12" s="23">
        <v>862</v>
      </c>
      <c r="X12" s="23">
        <v>824.6</v>
      </c>
      <c r="Y12" s="23">
        <v>799.6</v>
      </c>
      <c r="Z12" s="23">
        <v>757.8</v>
      </c>
      <c r="AA12" s="23">
        <v>811.2</v>
      </c>
      <c r="AB12" s="23">
        <v>803.1</v>
      </c>
    </row>
    <row r="13" spans="1:28" x14ac:dyDescent="0.2">
      <c r="A13" s="19" t="s">
        <v>29</v>
      </c>
      <c r="B13" s="20" t="s">
        <v>72</v>
      </c>
      <c r="C13" s="20" t="s">
        <v>8</v>
      </c>
      <c r="D13" s="20" t="s">
        <v>10</v>
      </c>
      <c r="E13" s="20" t="s">
        <v>23</v>
      </c>
      <c r="F13" s="20" t="str">
        <f>INDEX(nrg_cb_e!$A$3:$A$40,MATCH(LEFT(MID('Industriesektor GWh'!$B13,41,1000),SEARCH(" - ",MID('Industriesektor GWh'!$B13,41,1000))-1),nrg_cb_e!$C$3:$C$40,0))</f>
        <v>FC_IND_CON_E</v>
      </c>
      <c r="G13" s="21">
        <v>929</v>
      </c>
      <c r="J13" t="s">
        <v>29</v>
      </c>
      <c r="K13" t="s">
        <v>142</v>
      </c>
      <c r="L13" s="23">
        <v>1918</v>
      </c>
      <c r="M13" s="23">
        <v>1962</v>
      </c>
      <c r="N13" s="23">
        <v>2000</v>
      </c>
      <c r="O13" s="23">
        <v>1231</v>
      </c>
      <c r="P13" s="23">
        <v>1714</v>
      </c>
      <c r="Q13" s="23">
        <v>1686</v>
      </c>
      <c r="R13" s="23">
        <v>1537</v>
      </c>
      <c r="S13" s="23">
        <v>1251</v>
      </c>
      <c r="T13" s="23">
        <v>1253</v>
      </c>
      <c r="U13" s="23">
        <v>1057</v>
      </c>
      <c r="V13" s="23">
        <v>1064</v>
      </c>
      <c r="W13" s="23">
        <v>1137</v>
      </c>
      <c r="X13" s="23">
        <v>1120.8</v>
      </c>
      <c r="Y13" s="23">
        <v>1160.0999999999999</v>
      </c>
      <c r="Z13" s="23">
        <v>1116.5</v>
      </c>
      <c r="AA13" s="23">
        <v>1070.3</v>
      </c>
      <c r="AB13" s="23">
        <v>1094.4000000000001</v>
      </c>
    </row>
    <row r="14" spans="1:28" x14ac:dyDescent="0.2">
      <c r="A14" s="16" t="s">
        <v>29</v>
      </c>
      <c r="B14" s="17" t="s">
        <v>72</v>
      </c>
      <c r="C14" s="17" t="s">
        <v>8</v>
      </c>
      <c r="D14" s="17" t="s">
        <v>10</v>
      </c>
      <c r="E14" s="17" t="s">
        <v>24</v>
      </c>
      <c r="F14" s="17" t="str">
        <f>INDEX(nrg_cb_e!$A$3:$A$40,MATCH(LEFT(MID('Industriesektor GWh'!$B14,41,1000),SEARCH(" - ",MID('Industriesektor GWh'!$B14,41,1000))-1),nrg_cb_e!$C$3:$C$40,0))</f>
        <v>FC_IND_CON_E</v>
      </c>
      <c r="G14" s="18">
        <v>812.3</v>
      </c>
      <c r="J14" t="s">
        <v>29</v>
      </c>
      <c r="K14" t="s">
        <v>138</v>
      </c>
      <c r="L14" s="23">
        <v>585</v>
      </c>
      <c r="M14" s="23">
        <v>601</v>
      </c>
      <c r="N14" s="23">
        <v>612</v>
      </c>
      <c r="O14" s="23">
        <v>1859</v>
      </c>
      <c r="P14" s="23">
        <v>1894</v>
      </c>
      <c r="Q14" s="23">
        <v>1549</v>
      </c>
      <c r="R14" s="23">
        <v>1382</v>
      </c>
      <c r="S14" s="23">
        <v>778</v>
      </c>
      <c r="T14" s="23">
        <v>662</v>
      </c>
      <c r="U14" s="23">
        <v>393</v>
      </c>
      <c r="V14" s="23">
        <v>378</v>
      </c>
      <c r="W14" s="23">
        <v>376</v>
      </c>
      <c r="X14" s="23">
        <v>375.9</v>
      </c>
      <c r="Y14" s="23">
        <v>384.6</v>
      </c>
      <c r="Z14" s="23">
        <v>364.2</v>
      </c>
      <c r="AA14" s="23">
        <v>389.5</v>
      </c>
      <c r="AB14" s="23">
        <v>407.5</v>
      </c>
    </row>
    <row r="15" spans="1:28" x14ac:dyDescent="0.2">
      <c r="A15" s="19" t="s">
        <v>29</v>
      </c>
      <c r="B15" s="20" t="s">
        <v>72</v>
      </c>
      <c r="C15" s="20" t="s">
        <v>8</v>
      </c>
      <c r="D15" s="20" t="s">
        <v>10</v>
      </c>
      <c r="E15" s="20" t="s">
        <v>25</v>
      </c>
      <c r="F15" s="20" t="str">
        <f>INDEX(nrg_cb_e!$A$3:$A$40,MATCH(LEFT(MID('Industriesektor GWh'!$B15,41,1000),SEARCH(" - ",MID('Industriesektor GWh'!$B15,41,1000))-1),nrg_cb_e!$C$3:$C$40,0))</f>
        <v>FC_IND_CON_E</v>
      </c>
      <c r="G15" s="21">
        <v>845.4</v>
      </c>
      <c r="J15" t="s">
        <v>29</v>
      </c>
      <c r="K15" t="s">
        <v>116</v>
      </c>
      <c r="L15" s="23">
        <v>1842</v>
      </c>
      <c r="M15" s="23">
        <v>1933</v>
      </c>
      <c r="N15" s="23">
        <v>1807</v>
      </c>
      <c r="O15" s="23">
        <v>1801</v>
      </c>
      <c r="P15" s="23">
        <v>1543</v>
      </c>
      <c r="Q15" s="23">
        <v>288</v>
      </c>
      <c r="R15" s="23">
        <v>843</v>
      </c>
      <c r="S15" s="23">
        <v>1766</v>
      </c>
      <c r="T15" s="23">
        <v>1026</v>
      </c>
      <c r="U15" s="23">
        <v>1709</v>
      </c>
      <c r="V15" s="23">
        <v>1581</v>
      </c>
      <c r="W15" s="23">
        <v>2059</v>
      </c>
      <c r="X15" s="23">
        <v>2026.3</v>
      </c>
      <c r="Y15" s="23">
        <v>2093.1</v>
      </c>
      <c r="Z15" s="23">
        <v>2109.6999999999998</v>
      </c>
      <c r="AA15" s="23">
        <v>1760.7</v>
      </c>
      <c r="AB15" s="23">
        <v>1866.9</v>
      </c>
    </row>
    <row r="16" spans="1:28" x14ac:dyDescent="0.2">
      <c r="A16" s="16" t="s">
        <v>29</v>
      </c>
      <c r="B16" s="17" t="s">
        <v>72</v>
      </c>
      <c r="C16" s="17" t="s">
        <v>8</v>
      </c>
      <c r="D16" s="17" t="s">
        <v>10</v>
      </c>
      <c r="E16" s="17" t="s">
        <v>26</v>
      </c>
      <c r="F16" s="17" t="str">
        <f>INDEX(nrg_cb_e!$A$3:$A$40,MATCH(LEFT(MID('Industriesektor GWh'!$B16,41,1000),SEARCH(" - ",MID('Industriesektor GWh'!$B16,41,1000))-1),nrg_cb_e!$C$3:$C$40,0))</f>
        <v>FC_IND_CON_E</v>
      </c>
      <c r="G16" s="18">
        <v>859.6</v>
      </c>
      <c r="J16" t="s">
        <v>30</v>
      </c>
      <c r="K16" t="s">
        <v>140</v>
      </c>
      <c r="L16" s="23">
        <v>129</v>
      </c>
      <c r="M16" s="23">
        <v>164</v>
      </c>
      <c r="N16" s="23">
        <v>151</v>
      </c>
      <c r="O16" s="23">
        <v>169</v>
      </c>
      <c r="P16" s="23">
        <v>216</v>
      </c>
      <c r="Q16" s="23">
        <v>278</v>
      </c>
      <c r="R16" s="23">
        <v>410</v>
      </c>
      <c r="S16" s="23">
        <v>368</v>
      </c>
      <c r="T16" s="23">
        <v>303</v>
      </c>
      <c r="U16" s="23">
        <v>368</v>
      </c>
      <c r="V16" s="23">
        <v>277</v>
      </c>
      <c r="W16" s="23">
        <v>299</v>
      </c>
      <c r="X16" s="23">
        <v>260</v>
      </c>
      <c r="Y16" s="23">
        <v>261</v>
      </c>
      <c r="Z16" s="23">
        <v>251</v>
      </c>
      <c r="AA16" s="23">
        <v>250.09800000000001</v>
      </c>
      <c r="AB16" s="23">
        <v>229.422</v>
      </c>
    </row>
    <row r="17" spans="1:28" x14ac:dyDescent="0.2">
      <c r="A17" s="19" t="s">
        <v>29</v>
      </c>
      <c r="B17" s="20" t="s">
        <v>72</v>
      </c>
      <c r="C17" s="20" t="s">
        <v>8</v>
      </c>
      <c r="D17" s="20" t="s">
        <v>10</v>
      </c>
      <c r="E17" s="20" t="s">
        <v>27</v>
      </c>
      <c r="F17" s="20" t="str">
        <f>INDEX(nrg_cb_e!$A$3:$A$40,MATCH(LEFT(MID('Industriesektor GWh'!$B17,41,1000),SEARCH(" - ",MID('Industriesektor GWh'!$B17,41,1000))-1),nrg_cb_e!$C$3:$C$40,0))</f>
        <v>FC_IND_CON_E</v>
      </c>
      <c r="G17" s="21">
        <v>873.4</v>
      </c>
      <c r="J17" t="s">
        <v>30</v>
      </c>
      <c r="K17" t="s">
        <v>122</v>
      </c>
      <c r="L17" s="23">
        <v>1583</v>
      </c>
      <c r="M17" s="23">
        <v>1536</v>
      </c>
      <c r="N17" s="23">
        <v>1580</v>
      </c>
      <c r="O17" s="23">
        <v>1677</v>
      </c>
      <c r="P17" s="23">
        <v>1742</v>
      </c>
      <c r="Q17" s="23">
        <v>1807</v>
      </c>
      <c r="R17" s="23">
        <v>1634</v>
      </c>
      <c r="S17" s="23">
        <v>1220</v>
      </c>
      <c r="T17" s="23">
        <v>939</v>
      </c>
      <c r="U17" s="23">
        <v>1005</v>
      </c>
      <c r="V17" s="23">
        <v>1156</v>
      </c>
      <c r="W17" s="23">
        <v>1234</v>
      </c>
      <c r="X17" s="23">
        <v>1236</v>
      </c>
      <c r="Y17" s="23">
        <v>1410</v>
      </c>
      <c r="Z17" s="23">
        <v>1435</v>
      </c>
      <c r="AA17" s="23">
        <v>1486.09</v>
      </c>
      <c r="AB17" s="23">
        <v>1363.568</v>
      </c>
    </row>
    <row r="18" spans="1:28" x14ac:dyDescent="0.2">
      <c r="A18" s="16" t="s">
        <v>29</v>
      </c>
      <c r="B18" s="17" t="s">
        <v>72</v>
      </c>
      <c r="C18" s="17" t="s">
        <v>8</v>
      </c>
      <c r="D18" s="17" t="s">
        <v>10</v>
      </c>
      <c r="E18" s="17" t="s">
        <v>28</v>
      </c>
      <c r="F18" s="17" t="str">
        <f>INDEX(nrg_cb_e!$A$3:$A$40,MATCH(LEFT(MID('Industriesektor GWh'!$B18,41,1000),SEARCH(" - ",MID('Industriesektor GWh'!$B18,41,1000))-1),nrg_cb_e!$C$3:$C$40,0))</f>
        <v>FC_IND_CON_E</v>
      </c>
      <c r="G18" s="18">
        <v>929.4</v>
      </c>
      <c r="J18" t="s">
        <v>30</v>
      </c>
      <c r="K18" t="s">
        <v>134</v>
      </c>
      <c r="L18" s="23">
        <v>854</v>
      </c>
      <c r="M18" s="23">
        <v>869</v>
      </c>
      <c r="N18" s="23">
        <v>1117</v>
      </c>
      <c r="O18" s="23">
        <v>1240</v>
      </c>
      <c r="P18" s="23">
        <v>1068</v>
      </c>
      <c r="Q18" s="23">
        <v>1057</v>
      </c>
      <c r="R18" s="23">
        <v>1281</v>
      </c>
      <c r="S18" s="23">
        <v>1120</v>
      </c>
      <c r="T18" s="23">
        <v>1098</v>
      </c>
      <c r="U18" s="23">
        <v>1121</v>
      </c>
      <c r="V18" s="23">
        <v>1096</v>
      </c>
      <c r="W18" s="23">
        <v>1139</v>
      </c>
      <c r="X18" s="23">
        <v>1173</v>
      </c>
      <c r="Y18" s="23">
        <v>1202</v>
      </c>
      <c r="Z18" s="23">
        <v>1218</v>
      </c>
      <c r="AA18" s="23">
        <v>1254.4870000000001</v>
      </c>
      <c r="AB18" s="23">
        <v>1329.0050000000001</v>
      </c>
    </row>
    <row r="19" spans="1:28" x14ac:dyDescent="0.2">
      <c r="A19" s="19" t="s">
        <v>30</v>
      </c>
      <c r="B19" s="20" t="s">
        <v>72</v>
      </c>
      <c r="C19" s="20" t="s">
        <v>8</v>
      </c>
      <c r="D19" s="20" t="s">
        <v>10</v>
      </c>
      <c r="E19" s="20" t="s">
        <v>12</v>
      </c>
      <c r="F19" s="20" t="str">
        <f>INDEX(nrg_cb_e!$A$3:$A$40,MATCH(LEFT(MID('Industriesektor GWh'!$B19,41,1000),SEARCH(" - ",MID('Industriesektor GWh'!$B19,41,1000))-1),nrg_cb_e!$C$3:$C$40,0))</f>
        <v>FC_IND_CON_E</v>
      </c>
      <c r="G19" s="21">
        <v>129</v>
      </c>
      <c r="J19" t="s">
        <v>30</v>
      </c>
      <c r="K19" t="s">
        <v>120</v>
      </c>
      <c r="L19" s="23">
        <v>1644</v>
      </c>
      <c r="M19" s="23">
        <v>1959</v>
      </c>
      <c r="N19" s="23">
        <v>1868</v>
      </c>
      <c r="O19" s="23">
        <v>1740</v>
      </c>
      <c r="P19" s="23">
        <v>1944</v>
      </c>
      <c r="Q19" s="23">
        <v>1791</v>
      </c>
      <c r="R19" s="23">
        <v>1595</v>
      </c>
      <c r="S19" s="23">
        <v>1113</v>
      </c>
      <c r="T19" s="23">
        <v>838</v>
      </c>
      <c r="U19" s="23">
        <v>867</v>
      </c>
      <c r="V19" s="23">
        <v>715</v>
      </c>
      <c r="W19" s="23">
        <v>655</v>
      </c>
      <c r="X19" s="23">
        <v>716</v>
      </c>
      <c r="Y19" s="23">
        <v>707</v>
      </c>
      <c r="Z19" s="23">
        <v>724</v>
      </c>
      <c r="AA19" s="23">
        <v>787.23599999999999</v>
      </c>
      <c r="AB19" s="23">
        <v>817.30499999999995</v>
      </c>
    </row>
    <row r="20" spans="1:28" x14ac:dyDescent="0.2">
      <c r="A20" s="16" t="s">
        <v>30</v>
      </c>
      <c r="B20" s="17" t="s">
        <v>72</v>
      </c>
      <c r="C20" s="17" t="s">
        <v>8</v>
      </c>
      <c r="D20" s="17" t="s">
        <v>10</v>
      </c>
      <c r="E20" s="17" t="s">
        <v>13</v>
      </c>
      <c r="F20" s="17" t="str">
        <f>INDEX(nrg_cb_e!$A$3:$A$40,MATCH(LEFT(MID('Industriesektor GWh'!$B20,41,1000),SEARCH(" - ",MID('Industriesektor GWh'!$B20,41,1000))-1),nrg_cb_e!$C$3:$C$40,0))</f>
        <v>FC_IND_CON_E</v>
      </c>
      <c r="G20" s="18">
        <v>164</v>
      </c>
      <c r="J20" t="s">
        <v>30</v>
      </c>
      <c r="K20" t="s">
        <v>130</v>
      </c>
      <c r="L20" s="23">
        <v>750</v>
      </c>
      <c r="M20" s="23">
        <v>802</v>
      </c>
      <c r="N20" s="23">
        <v>760</v>
      </c>
      <c r="O20" s="23">
        <v>819</v>
      </c>
      <c r="P20" s="23">
        <v>795</v>
      </c>
      <c r="Q20" s="23">
        <v>848</v>
      </c>
      <c r="R20" s="23">
        <v>891</v>
      </c>
      <c r="S20" s="23">
        <v>685</v>
      </c>
      <c r="T20" s="23">
        <v>738</v>
      </c>
      <c r="U20" s="23">
        <v>912</v>
      </c>
      <c r="V20" s="23">
        <v>901</v>
      </c>
      <c r="W20" s="23">
        <v>905</v>
      </c>
      <c r="X20" s="23">
        <v>902</v>
      </c>
      <c r="Y20" s="23">
        <v>931</v>
      </c>
      <c r="Z20" s="23">
        <v>984</v>
      </c>
      <c r="AA20" s="23">
        <v>1035.056</v>
      </c>
      <c r="AB20" s="23">
        <v>1070.636</v>
      </c>
    </row>
    <row r="21" spans="1:28" x14ac:dyDescent="0.2">
      <c r="A21" s="19" t="s">
        <v>30</v>
      </c>
      <c r="B21" s="20" t="s">
        <v>72</v>
      </c>
      <c r="C21" s="20" t="s">
        <v>8</v>
      </c>
      <c r="D21" s="20" t="s">
        <v>10</v>
      </c>
      <c r="E21" s="20" t="s">
        <v>14</v>
      </c>
      <c r="F21" s="20" t="str">
        <f>INDEX(nrg_cb_e!$A$3:$A$40,MATCH(LEFT(MID('Industriesektor GWh'!$B21,41,1000),SEARCH(" - ",MID('Industriesektor GWh'!$B21,41,1000))-1),nrg_cb_e!$C$3:$C$40,0))</f>
        <v>FC_IND_CON_E</v>
      </c>
      <c r="G21" s="21">
        <v>151</v>
      </c>
      <c r="J21" t="s">
        <v>30</v>
      </c>
      <c r="K21" t="s">
        <v>132</v>
      </c>
      <c r="L21" s="23">
        <v>898</v>
      </c>
      <c r="M21" s="23">
        <v>875</v>
      </c>
      <c r="N21" s="23">
        <v>827</v>
      </c>
      <c r="O21" s="23">
        <v>884</v>
      </c>
      <c r="P21" s="23">
        <v>891</v>
      </c>
      <c r="Q21" s="23">
        <v>931</v>
      </c>
      <c r="R21" s="23">
        <v>955</v>
      </c>
      <c r="S21" s="23">
        <v>878</v>
      </c>
      <c r="T21" s="23">
        <v>842</v>
      </c>
      <c r="U21" s="23">
        <v>931</v>
      </c>
      <c r="V21" s="23">
        <v>956</v>
      </c>
      <c r="W21" s="23">
        <v>964</v>
      </c>
      <c r="X21" s="23">
        <v>944</v>
      </c>
      <c r="Y21" s="23">
        <v>1069</v>
      </c>
      <c r="Z21" s="23">
        <v>1083</v>
      </c>
      <c r="AA21" s="23">
        <v>1103.932</v>
      </c>
      <c r="AB21" s="23">
        <v>1123.423</v>
      </c>
    </row>
    <row r="22" spans="1:28" x14ac:dyDescent="0.2">
      <c r="A22" s="16" t="s">
        <v>30</v>
      </c>
      <c r="B22" s="17" t="s">
        <v>72</v>
      </c>
      <c r="C22" s="17" t="s">
        <v>8</v>
      </c>
      <c r="D22" s="17" t="s">
        <v>10</v>
      </c>
      <c r="E22" s="17" t="s">
        <v>15</v>
      </c>
      <c r="F22" s="17" t="str">
        <f>INDEX(nrg_cb_e!$A$3:$A$40,MATCH(LEFT(MID('Industriesektor GWh'!$B22,41,1000),SEARCH(" - ",MID('Industriesektor GWh'!$B22,41,1000))-1),nrg_cb_e!$C$3:$C$40,0))</f>
        <v>FC_IND_CON_E</v>
      </c>
      <c r="G22" s="18">
        <v>169</v>
      </c>
      <c r="J22" t="s">
        <v>30</v>
      </c>
      <c r="K22" t="s">
        <v>124</v>
      </c>
      <c r="L22" s="23">
        <v>608</v>
      </c>
      <c r="M22" s="23">
        <v>753</v>
      </c>
      <c r="N22" s="23">
        <v>820</v>
      </c>
      <c r="O22" s="23">
        <v>816</v>
      </c>
      <c r="P22" s="23">
        <v>833</v>
      </c>
      <c r="Q22" s="23">
        <v>849</v>
      </c>
      <c r="R22" s="23">
        <v>929</v>
      </c>
      <c r="S22" s="23">
        <v>880</v>
      </c>
      <c r="T22" s="23">
        <v>917</v>
      </c>
      <c r="U22" s="23">
        <v>952</v>
      </c>
      <c r="V22" s="23">
        <v>862</v>
      </c>
      <c r="W22" s="23">
        <v>1003</v>
      </c>
      <c r="X22" s="23">
        <v>1004</v>
      </c>
      <c r="Y22" s="23">
        <v>863</v>
      </c>
      <c r="Z22" s="23">
        <v>770</v>
      </c>
      <c r="AA22" s="23">
        <v>1049.3510000000001</v>
      </c>
      <c r="AB22" s="23">
        <v>1081.7370000000001</v>
      </c>
    </row>
    <row r="23" spans="1:28" x14ac:dyDescent="0.2">
      <c r="A23" s="19" t="s">
        <v>30</v>
      </c>
      <c r="B23" s="20" t="s">
        <v>72</v>
      </c>
      <c r="C23" s="20" t="s">
        <v>8</v>
      </c>
      <c r="D23" s="20" t="s">
        <v>10</v>
      </c>
      <c r="E23" s="20" t="s">
        <v>16</v>
      </c>
      <c r="F23" s="20" t="str">
        <f>INDEX(nrg_cb_e!$A$3:$A$40,MATCH(LEFT(MID('Industriesektor GWh'!$B23,41,1000),SEARCH(" - ",MID('Industriesektor GWh'!$B23,41,1000))-1),nrg_cb_e!$C$3:$C$40,0))</f>
        <v>FC_IND_CON_E</v>
      </c>
      <c r="G23" s="21">
        <v>216</v>
      </c>
      <c r="J23" t="s">
        <v>30</v>
      </c>
      <c r="K23" t="s">
        <v>126</v>
      </c>
      <c r="L23" s="23">
        <v>606</v>
      </c>
      <c r="M23" s="23">
        <v>638</v>
      </c>
      <c r="N23" s="23">
        <v>698</v>
      </c>
      <c r="O23" s="23">
        <v>790</v>
      </c>
      <c r="P23" s="23">
        <v>877</v>
      </c>
      <c r="Q23" s="23">
        <v>983</v>
      </c>
      <c r="R23" s="23">
        <v>977</v>
      </c>
      <c r="S23" s="23">
        <v>728</v>
      </c>
      <c r="T23" s="23">
        <v>755</v>
      </c>
      <c r="U23" s="23">
        <v>755</v>
      </c>
      <c r="V23" s="23">
        <v>750</v>
      </c>
      <c r="W23" s="23">
        <v>738</v>
      </c>
      <c r="X23" s="23">
        <v>845</v>
      </c>
      <c r="Y23" s="23">
        <v>886</v>
      </c>
      <c r="Z23" s="23">
        <v>892</v>
      </c>
      <c r="AA23" s="23">
        <v>934.13900000000001</v>
      </c>
      <c r="AB23" s="23">
        <v>944.58699999999999</v>
      </c>
    </row>
    <row r="24" spans="1:28" x14ac:dyDescent="0.2">
      <c r="A24" s="16" t="s">
        <v>30</v>
      </c>
      <c r="B24" s="17" t="s">
        <v>72</v>
      </c>
      <c r="C24" s="17" t="s">
        <v>8</v>
      </c>
      <c r="D24" s="17" t="s">
        <v>10</v>
      </c>
      <c r="E24" s="17" t="s">
        <v>17</v>
      </c>
      <c r="F24" s="17" t="str">
        <f>INDEX(nrg_cb_e!$A$3:$A$40,MATCH(LEFT(MID('Industriesektor GWh'!$B24,41,1000),SEARCH(" - ",MID('Industriesektor GWh'!$B24,41,1000))-1),nrg_cb_e!$C$3:$C$40,0))</f>
        <v>FC_IND_CON_E</v>
      </c>
      <c r="G24" s="18">
        <v>278</v>
      </c>
      <c r="J24" t="s">
        <v>30</v>
      </c>
      <c r="K24" t="s">
        <v>136</v>
      </c>
      <c r="L24" s="23">
        <v>392</v>
      </c>
      <c r="M24" s="23">
        <v>464</v>
      </c>
      <c r="N24" s="23">
        <v>651</v>
      </c>
      <c r="O24" s="23">
        <v>490</v>
      </c>
      <c r="P24" s="23">
        <v>393</v>
      </c>
      <c r="Q24" s="23">
        <v>320</v>
      </c>
      <c r="R24" s="23">
        <v>397</v>
      </c>
      <c r="S24" s="23">
        <v>239</v>
      </c>
      <c r="T24" s="23">
        <v>331</v>
      </c>
      <c r="U24" s="23">
        <v>343</v>
      </c>
      <c r="V24" s="23">
        <v>359</v>
      </c>
      <c r="W24" s="23">
        <v>396</v>
      </c>
      <c r="X24" s="23">
        <v>405</v>
      </c>
      <c r="Y24" s="23">
        <v>404</v>
      </c>
      <c r="Z24" s="23">
        <v>436</v>
      </c>
      <c r="AA24" s="23">
        <v>439.31299999999999</v>
      </c>
      <c r="AB24" s="23">
        <v>448.62799999999999</v>
      </c>
    </row>
    <row r="25" spans="1:28" x14ac:dyDescent="0.2">
      <c r="A25" s="19" t="s">
        <v>30</v>
      </c>
      <c r="B25" s="20" t="s">
        <v>72</v>
      </c>
      <c r="C25" s="20" t="s">
        <v>8</v>
      </c>
      <c r="D25" s="20" t="s">
        <v>10</v>
      </c>
      <c r="E25" s="20" t="s">
        <v>18</v>
      </c>
      <c r="F25" s="20" t="str">
        <f>INDEX(nrg_cb_e!$A$3:$A$40,MATCH(LEFT(MID('Industriesektor GWh'!$B25,41,1000),SEARCH(" - ",MID('Industriesektor GWh'!$B25,41,1000))-1),nrg_cb_e!$C$3:$C$40,0))</f>
        <v>FC_IND_CON_E</v>
      </c>
      <c r="G25" s="21">
        <v>410</v>
      </c>
      <c r="J25" t="s">
        <v>30</v>
      </c>
      <c r="K25" t="s">
        <v>128</v>
      </c>
      <c r="L25" s="23">
        <v>179</v>
      </c>
      <c r="M25" s="23">
        <v>101</v>
      </c>
      <c r="N25" s="23">
        <v>102</v>
      </c>
      <c r="O25" s="23">
        <v>108</v>
      </c>
      <c r="P25" s="23">
        <v>94</v>
      </c>
      <c r="Q25" s="23">
        <v>95</v>
      </c>
      <c r="R25" s="23">
        <v>114</v>
      </c>
      <c r="S25" s="23">
        <v>95</v>
      </c>
      <c r="T25" s="23">
        <v>89</v>
      </c>
      <c r="U25" s="23">
        <v>113</v>
      </c>
      <c r="V25" s="23">
        <v>112</v>
      </c>
      <c r="W25" s="23">
        <v>102</v>
      </c>
      <c r="X25" s="23">
        <v>102</v>
      </c>
      <c r="Y25" s="23">
        <v>118</v>
      </c>
      <c r="Z25" s="23">
        <v>109</v>
      </c>
      <c r="AA25" s="23">
        <v>118.56100000000001</v>
      </c>
      <c r="AB25" s="23">
        <v>133.72499999999999</v>
      </c>
    </row>
    <row r="26" spans="1:28" x14ac:dyDescent="0.2">
      <c r="A26" s="16" t="s">
        <v>30</v>
      </c>
      <c r="B26" s="17" t="s">
        <v>72</v>
      </c>
      <c r="C26" s="17" t="s">
        <v>8</v>
      </c>
      <c r="D26" s="17" t="s">
        <v>10</v>
      </c>
      <c r="E26" s="17" t="s">
        <v>19</v>
      </c>
      <c r="F26" s="17" t="str">
        <f>INDEX(nrg_cb_e!$A$3:$A$40,MATCH(LEFT(MID('Industriesektor GWh'!$B26,41,1000),SEARCH(" - ",MID('Industriesektor GWh'!$B26,41,1000))-1),nrg_cb_e!$C$3:$C$40,0))</f>
        <v>FC_IND_CON_E</v>
      </c>
      <c r="G26" s="18">
        <v>368</v>
      </c>
      <c r="J26" t="s">
        <v>30</v>
      </c>
      <c r="K26" t="s">
        <v>142</v>
      </c>
      <c r="L26" s="23">
        <v>444</v>
      </c>
      <c r="M26" s="23">
        <v>509</v>
      </c>
      <c r="N26" s="23">
        <v>553</v>
      </c>
      <c r="O26" s="23">
        <v>562</v>
      </c>
      <c r="P26" s="23">
        <v>597</v>
      </c>
      <c r="Q26" s="23">
        <v>621</v>
      </c>
      <c r="R26" s="23">
        <v>540</v>
      </c>
      <c r="S26" s="23">
        <v>492</v>
      </c>
      <c r="T26" s="23">
        <v>386</v>
      </c>
      <c r="U26" s="23">
        <v>395</v>
      </c>
      <c r="V26" s="23">
        <v>379</v>
      </c>
      <c r="W26" s="23">
        <v>384</v>
      </c>
      <c r="X26" s="23">
        <v>367</v>
      </c>
      <c r="Y26" s="23">
        <v>380</v>
      </c>
      <c r="Z26" s="23">
        <v>372</v>
      </c>
      <c r="AA26" s="23">
        <v>365.774</v>
      </c>
      <c r="AB26" s="23">
        <v>363.24900000000002</v>
      </c>
    </row>
    <row r="27" spans="1:28" x14ac:dyDescent="0.2">
      <c r="A27" s="19" t="s">
        <v>30</v>
      </c>
      <c r="B27" s="20" t="s">
        <v>72</v>
      </c>
      <c r="C27" s="20" t="s">
        <v>8</v>
      </c>
      <c r="D27" s="20" t="s">
        <v>10</v>
      </c>
      <c r="E27" s="20" t="s">
        <v>20</v>
      </c>
      <c r="F27" s="20" t="str">
        <f>INDEX(nrg_cb_e!$A$3:$A$40,MATCH(LEFT(MID('Industriesektor GWh'!$B27,41,1000),SEARCH(" - ",MID('Industriesektor GWh'!$B27,41,1000))-1),nrg_cb_e!$C$3:$C$40,0))</f>
        <v>FC_IND_CON_E</v>
      </c>
      <c r="G27" s="21">
        <v>303</v>
      </c>
      <c r="J27" t="s">
        <v>30</v>
      </c>
      <c r="K27" t="s">
        <v>138</v>
      </c>
      <c r="L27" s="23">
        <v>152</v>
      </c>
      <c r="M27" s="23">
        <v>168</v>
      </c>
      <c r="N27" s="23">
        <v>174</v>
      </c>
      <c r="O27" s="23">
        <v>137</v>
      </c>
      <c r="P27" s="23">
        <v>167</v>
      </c>
      <c r="Q27" s="23">
        <v>176</v>
      </c>
      <c r="R27" s="23">
        <v>194</v>
      </c>
      <c r="S27" s="23">
        <v>144</v>
      </c>
      <c r="T27" s="23">
        <v>173</v>
      </c>
      <c r="U27" s="23">
        <v>183</v>
      </c>
      <c r="V27" s="23">
        <v>181</v>
      </c>
      <c r="W27" s="23">
        <v>180</v>
      </c>
      <c r="X27" s="23">
        <v>197</v>
      </c>
      <c r="Y27" s="23">
        <v>207</v>
      </c>
      <c r="Z27" s="23">
        <v>200</v>
      </c>
      <c r="AA27" s="23">
        <v>226.93</v>
      </c>
      <c r="AB27" s="23">
        <v>251.08699999999999</v>
      </c>
    </row>
    <row r="28" spans="1:28" x14ac:dyDescent="0.2">
      <c r="A28" s="16" t="s">
        <v>30</v>
      </c>
      <c r="B28" s="17" t="s">
        <v>72</v>
      </c>
      <c r="C28" s="17" t="s">
        <v>8</v>
      </c>
      <c r="D28" s="17" t="s">
        <v>10</v>
      </c>
      <c r="E28" s="17" t="s">
        <v>21</v>
      </c>
      <c r="F28" s="17" t="str">
        <f>INDEX(nrg_cb_e!$A$3:$A$40,MATCH(LEFT(MID('Industriesektor GWh'!$B28,41,1000),SEARCH(" - ",MID('Industriesektor GWh'!$B28,41,1000))-1),nrg_cb_e!$C$3:$C$40,0))</f>
        <v>FC_IND_CON_E</v>
      </c>
      <c r="G28" s="18">
        <v>368</v>
      </c>
      <c r="J28" t="s">
        <v>30</v>
      </c>
      <c r="K28" t="s">
        <v>116</v>
      </c>
      <c r="L28" s="23">
        <v>240</v>
      </c>
      <c r="M28" s="23">
        <v>359</v>
      </c>
      <c r="N28" s="23">
        <v>412</v>
      </c>
      <c r="O28" s="23">
        <v>406</v>
      </c>
      <c r="P28" s="23">
        <v>417</v>
      </c>
      <c r="Q28" s="23">
        <v>423</v>
      </c>
      <c r="R28" s="23">
        <v>524</v>
      </c>
      <c r="S28" s="23">
        <v>431</v>
      </c>
      <c r="T28" s="23">
        <v>409</v>
      </c>
      <c r="U28" s="23">
        <v>477</v>
      </c>
      <c r="V28" s="23">
        <v>523</v>
      </c>
      <c r="W28" s="23">
        <v>512</v>
      </c>
      <c r="X28" s="23">
        <v>555</v>
      </c>
      <c r="Y28" s="23">
        <v>595</v>
      </c>
      <c r="Z28" s="23">
        <v>609</v>
      </c>
      <c r="AA28" s="23">
        <v>686.31299999999999</v>
      </c>
      <c r="AB28" s="23">
        <v>715.28200000000004</v>
      </c>
    </row>
    <row r="29" spans="1:28" x14ac:dyDescent="0.2">
      <c r="A29" s="19" t="s">
        <v>30</v>
      </c>
      <c r="B29" s="20" t="s">
        <v>72</v>
      </c>
      <c r="C29" s="20" t="s">
        <v>8</v>
      </c>
      <c r="D29" s="20" t="s">
        <v>10</v>
      </c>
      <c r="E29" s="20" t="s">
        <v>22</v>
      </c>
      <c r="F29" s="20" t="str">
        <f>INDEX(nrg_cb_e!$A$3:$A$40,MATCH(LEFT(MID('Industriesektor GWh'!$B29,41,1000),SEARCH(" - ",MID('Industriesektor GWh'!$B29,41,1000))-1),nrg_cb_e!$C$3:$C$40,0))</f>
        <v>FC_IND_CON_E</v>
      </c>
      <c r="G29" s="21">
        <v>277</v>
      </c>
      <c r="J29" t="s">
        <v>32</v>
      </c>
      <c r="K29" t="s">
        <v>140</v>
      </c>
      <c r="L29" s="23">
        <v>339</v>
      </c>
      <c r="M29" s="23">
        <v>329</v>
      </c>
      <c r="N29" s="23">
        <v>338</v>
      </c>
      <c r="O29" s="23">
        <v>354</v>
      </c>
      <c r="P29" s="23">
        <v>378</v>
      </c>
      <c r="Q29" s="23">
        <v>406</v>
      </c>
      <c r="R29" s="23">
        <v>435</v>
      </c>
      <c r="S29" s="23">
        <v>373</v>
      </c>
      <c r="T29" s="23">
        <v>381</v>
      </c>
      <c r="U29" s="23">
        <v>357</v>
      </c>
      <c r="V29" s="23">
        <v>374</v>
      </c>
      <c r="W29" s="23">
        <v>361</v>
      </c>
      <c r="X29" s="23">
        <v>357</v>
      </c>
      <c r="Y29" s="23">
        <v>361</v>
      </c>
      <c r="Z29" s="23">
        <v>373</v>
      </c>
      <c r="AA29" s="23">
        <v>402.72300000000001</v>
      </c>
      <c r="AB29" s="23">
        <v>409.346</v>
      </c>
    </row>
    <row r="30" spans="1:28" x14ac:dyDescent="0.2">
      <c r="A30" s="16" t="s">
        <v>30</v>
      </c>
      <c r="B30" s="17" t="s">
        <v>72</v>
      </c>
      <c r="C30" s="17" t="s">
        <v>8</v>
      </c>
      <c r="D30" s="17" t="s">
        <v>10</v>
      </c>
      <c r="E30" s="17" t="s">
        <v>23</v>
      </c>
      <c r="F30" s="17" t="str">
        <f>INDEX(nrg_cb_e!$A$3:$A$40,MATCH(LEFT(MID('Industriesektor GWh'!$B30,41,1000),SEARCH(" - ",MID('Industriesektor GWh'!$B30,41,1000))-1),nrg_cb_e!$C$3:$C$40,0))</f>
        <v>FC_IND_CON_E</v>
      </c>
      <c r="G30" s="18">
        <v>299</v>
      </c>
      <c r="J30" t="s">
        <v>32</v>
      </c>
      <c r="K30" t="s">
        <v>122</v>
      </c>
      <c r="L30" s="23">
        <v>1384</v>
      </c>
      <c r="M30" s="23">
        <v>1270</v>
      </c>
      <c r="N30" s="23">
        <v>1266</v>
      </c>
      <c r="O30" s="23">
        <v>1389</v>
      </c>
      <c r="P30" s="23">
        <v>1331</v>
      </c>
      <c r="Q30" s="23">
        <v>1239</v>
      </c>
      <c r="R30" s="23">
        <v>1305</v>
      </c>
      <c r="S30" s="23">
        <v>1228</v>
      </c>
      <c r="T30" s="23">
        <v>1249</v>
      </c>
      <c r="U30" s="23">
        <v>1300</v>
      </c>
      <c r="V30" s="23">
        <v>1425</v>
      </c>
      <c r="W30" s="23">
        <v>1353</v>
      </c>
      <c r="X30" s="23">
        <v>1312</v>
      </c>
      <c r="Y30" s="23">
        <v>1339.6880000000001</v>
      </c>
      <c r="Z30" s="23">
        <v>1512.0070000000001</v>
      </c>
      <c r="AA30" s="23">
        <v>1535.2049999999999</v>
      </c>
      <c r="AB30" s="23">
        <v>1533.7139999999999</v>
      </c>
    </row>
    <row r="31" spans="1:28" x14ac:dyDescent="0.2">
      <c r="A31" s="19" t="s">
        <v>30</v>
      </c>
      <c r="B31" s="20" t="s">
        <v>72</v>
      </c>
      <c r="C31" s="20" t="s">
        <v>8</v>
      </c>
      <c r="D31" s="20" t="s">
        <v>10</v>
      </c>
      <c r="E31" s="20" t="s">
        <v>24</v>
      </c>
      <c r="F31" s="20" t="str">
        <f>INDEX(nrg_cb_e!$A$3:$A$40,MATCH(LEFT(MID('Industriesektor GWh'!$B31,41,1000),SEARCH(" - ",MID('Industriesektor GWh'!$B31,41,1000))-1),nrg_cb_e!$C$3:$C$40,0))</f>
        <v>FC_IND_CON_E</v>
      </c>
      <c r="G31" s="21">
        <v>260</v>
      </c>
      <c r="J31" t="s">
        <v>32</v>
      </c>
      <c r="K31" t="s">
        <v>134</v>
      </c>
      <c r="L31" s="23">
        <v>2368</v>
      </c>
      <c r="M31" s="23">
        <v>2345</v>
      </c>
      <c r="N31" s="23">
        <v>2430</v>
      </c>
      <c r="O31" s="23">
        <v>2559</v>
      </c>
      <c r="P31" s="23">
        <v>2493</v>
      </c>
      <c r="Q31" s="23">
        <v>2431</v>
      </c>
      <c r="R31" s="23">
        <v>2470</v>
      </c>
      <c r="S31" s="23">
        <v>2251</v>
      </c>
      <c r="T31" s="23">
        <v>2315</v>
      </c>
      <c r="U31" s="23">
        <v>2389</v>
      </c>
      <c r="V31" s="23">
        <v>2350</v>
      </c>
      <c r="W31" s="23">
        <v>2273</v>
      </c>
      <c r="X31" s="23">
        <v>2329</v>
      </c>
      <c r="Y31" s="23">
        <v>2381.384</v>
      </c>
      <c r="Z31" s="23">
        <v>2374.9749999999999</v>
      </c>
      <c r="AA31" s="23">
        <v>2411.413</v>
      </c>
      <c r="AB31" s="23">
        <v>2409.0720000000001</v>
      </c>
    </row>
    <row r="32" spans="1:28" x14ac:dyDescent="0.2">
      <c r="A32" s="16" t="s">
        <v>30</v>
      </c>
      <c r="B32" s="17" t="s">
        <v>72</v>
      </c>
      <c r="C32" s="17" t="s">
        <v>8</v>
      </c>
      <c r="D32" s="17" t="s">
        <v>10</v>
      </c>
      <c r="E32" s="17" t="s">
        <v>25</v>
      </c>
      <c r="F32" s="17" t="str">
        <f>INDEX(nrg_cb_e!$A$3:$A$40,MATCH(LEFT(MID('Industriesektor GWh'!$B32,41,1000),SEARCH(" - ",MID('Industriesektor GWh'!$B32,41,1000))-1),nrg_cb_e!$C$3:$C$40,0))</f>
        <v>FC_IND_CON_E</v>
      </c>
      <c r="G32" s="18">
        <v>261</v>
      </c>
      <c r="J32" t="s">
        <v>32</v>
      </c>
      <c r="K32" t="s">
        <v>120</v>
      </c>
      <c r="L32" s="23">
        <v>645</v>
      </c>
      <c r="M32" s="23">
        <v>502</v>
      </c>
      <c r="N32" s="23">
        <v>522</v>
      </c>
      <c r="O32" s="23">
        <v>574</v>
      </c>
      <c r="P32" s="23">
        <v>519</v>
      </c>
      <c r="Q32" s="23">
        <v>454</v>
      </c>
      <c r="R32" s="23">
        <v>418</v>
      </c>
      <c r="S32" s="23">
        <v>227</v>
      </c>
      <c r="T32" s="23">
        <v>238</v>
      </c>
      <c r="U32" s="23">
        <v>279</v>
      </c>
      <c r="V32" s="23">
        <v>402</v>
      </c>
      <c r="W32" s="23">
        <v>397</v>
      </c>
      <c r="X32" s="23">
        <v>438</v>
      </c>
      <c r="Y32" s="23">
        <v>434.80399999999997</v>
      </c>
      <c r="Z32" s="23">
        <v>415.77199999999999</v>
      </c>
      <c r="AA32" s="23">
        <v>422.15100000000001</v>
      </c>
      <c r="AB32" s="23">
        <v>421.74099999999999</v>
      </c>
    </row>
    <row r="33" spans="1:28" x14ac:dyDescent="0.2">
      <c r="A33" s="19" t="s">
        <v>30</v>
      </c>
      <c r="B33" s="20" t="s">
        <v>72</v>
      </c>
      <c r="C33" s="20" t="s">
        <v>8</v>
      </c>
      <c r="D33" s="20" t="s">
        <v>10</v>
      </c>
      <c r="E33" s="20" t="s">
        <v>26</v>
      </c>
      <c r="F33" s="20" t="str">
        <f>INDEX(nrg_cb_e!$A$3:$A$40,MATCH(LEFT(MID('Industriesektor GWh'!$B33,41,1000),SEARCH(" - ",MID('Industriesektor GWh'!$B33,41,1000))-1),nrg_cb_e!$C$3:$C$40,0))</f>
        <v>FC_IND_CON_E</v>
      </c>
      <c r="G33" s="21">
        <v>251</v>
      </c>
      <c r="J33" t="s">
        <v>32</v>
      </c>
      <c r="K33" t="s">
        <v>130</v>
      </c>
      <c r="L33" s="23">
        <v>1567</v>
      </c>
      <c r="M33" s="23">
        <v>1556</v>
      </c>
      <c r="N33" s="23">
        <v>1618</v>
      </c>
      <c r="O33" s="23">
        <v>1647</v>
      </c>
      <c r="P33" s="23">
        <v>1695</v>
      </c>
      <c r="Q33" s="23">
        <v>1732</v>
      </c>
      <c r="R33" s="23">
        <v>1667</v>
      </c>
      <c r="S33" s="23">
        <v>1551</v>
      </c>
      <c r="T33" s="23">
        <v>1552</v>
      </c>
      <c r="U33" s="23">
        <v>1548</v>
      </c>
      <c r="V33" s="23">
        <v>1496</v>
      </c>
      <c r="W33" s="23">
        <v>1432</v>
      </c>
      <c r="X33" s="23">
        <v>1400</v>
      </c>
      <c r="Y33" s="23">
        <v>1409.174</v>
      </c>
      <c r="Z33" s="23">
        <v>1319.8330000000001</v>
      </c>
      <c r="AA33" s="23">
        <v>1340.0830000000001</v>
      </c>
      <c r="AB33" s="23">
        <v>1338.7809999999999</v>
      </c>
    </row>
    <row r="34" spans="1:28" x14ac:dyDescent="0.2">
      <c r="A34" s="16" t="s">
        <v>30</v>
      </c>
      <c r="B34" s="17" t="s">
        <v>72</v>
      </c>
      <c r="C34" s="17" t="s">
        <v>8</v>
      </c>
      <c r="D34" s="17" t="s">
        <v>10</v>
      </c>
      <c r="E34" s="17" t="s">
        <v>27</v>
      </c>
      <c r="F34" s="17" t="str">
        <f>INDEX(nrg_cb_e!$A$3:$A$40,MATCH(LEFT(MID('Industriesektor GWh'!$B34,41,1000),SEARCH(" - ",MID('Industriesektor GWh'!$B34,41,1000))-1),nrg_cb_e!$C$3:$C$40,0))</f>
        <v>FC_IND_CON_E</v>
      </c>
      <c r="G34" s="18">
        <v>250.09800000000001</v>
      </c>
      <c r="J34" t="s">
        <v>32</v>
      </c>
      <c r="K34" t="s">
        <v>132</v>
      </c>
      <c r="L34" s="23">
        <v>100</v>
      </c>
      <c r="M34" s="23">
        <v>89</v>
      </c>
      <c r="N34" s="23">
        <v>94</v>
      </c>
      <c r="O34" s="23">
        <v>83</v>
      </c>
      <c r="P34" s="23">
        <v>80</v>
      </c>
      <c r="Q34" s="23">
        <v>78</v>
      </c>
      <c r="R34" s="23">
        <v>76</v>
      </c>
      <c r="S34" s="23">
        <v>70</v>
      </c>
      <c r="T34" s="23">
        <v>71</v>
      </c>
      <c r="U34" s="23">
        <v>80</v>
      </c>
      <c r="V34" s="23">
        <v>102</v>
      </c>
      <c r="W34" s="23">
        <v>88</v>
      </c>
      <c r="X34" s="23">
        <v>77</v>
      </c>
      <c r="Y34" s="23">
        <v>90.826999999999998</v>
      </c>
      <c r="Z34" s="23">
        <v>90.882999999999996</v>
      </c>
      <c r="AA34" s="23">
        <v>92.278000000000006</v>
      </c>
      <c r="AB34" s="23">
        <v>92.188000000000002</v>
      </c>
    </row>
    <row r="35" spans="1:28" x14ac:dyDescent="0.2">
      <c r="A35" s="19" t="s">
        <v>30</v>
      </c>
      <c r="B35" s="20" t="s">
        <v>72</v>
      </c>
      <c r="C35" s="20" t="s">
        <v>8</v>
      </c>
      <c r="D35" s="20" t="s">
        <v>10</v>
      </c>
      <c r="E35" s="20" t="s">
        <v>28</v>
      </c>
      <c r="F35" s="20" t="str">
        <f>INDEX(nrg_cb_e!$A$3:$A$40,MATCH(LEFT(MID('Industriesektor GWh'!$B35,41,1000),SEARCH(" - ",MID('Industriesektor GWh'!$B35,41,1000))-1),nrg_cb_e!$C$3:$C$40,0))</f>
        <v>FC_IND_CON_E</v>
      </c>
      <c r="G35" s="21">
        <v>229.422</v>
      </c>
      <c r="J35" t="s">
        <v>32</v>
      </c>
      <c r="K35" t="s">
        <v>124</v>
      </c>
      <c r="L35" s="23">
        <v>0</v>
      </c>
      <c r="M35" s="23">
        <v>0</v>
      </c>
      <c r="N35" s="23">
        <v>0</v>
      </c>
      <c r="O35" s="23">
        <v>0</v>
      </c>
      <c r="P35" s="23">
        <v>0</v>
      </c>
      <c r="Q35" s="23">
        <v>0</v>
      </c>
      <c r="R35" s="23">
        <v>0</v>
      </c>
      <c r="S35" s="23">
        <v>0</v>
      </c>
      <c r="T35" s="23">
        <v>0</v>
      </c>
      <c r="U35" s="23">
        <v>0</v>
      </c>
      <c r="V35" s="23">
        <v>0</v>
      </c>
      <c r="W35" s="23">
        <v>0</v>
      </c>
      <c r="X35" s="23">
        <v>0</v>
      </c>
      <c r="Y35" s="23">
        <v>0</v>
      </c>
      <c r="Z35" s="23">
        <v>0</v>
      </c>
      <c r="AA35" s="23">
        <v>0</v>
      </c>
      <c r="AB35" s="23">
        <v>0</v>
      </c>
    </row>
    <row r="36" spans="1:28" x14ac:dyDescent="0.2">
      <c r="A36" s="16" t="s">
        <v>31</v>
      </c>
      <c r="B36" s="17" t="s">
        <v>72</v>
      </c>
      <c r="C36" s="17" t="s">
        <v>8</v>
      </c>
      <c r="D36" s="17" t="s">
        <v>10</v>
      </c>
      <c r="E36" s="17" t="s">
        <v>12</v>
      </c>
      <c r="F36" s="17" t="str">
        <f>INDEX(nrg_cb_e!$A$3:$A$40,MATCH(LEFT(MID('Industriesektor GWh'!$B36,41,1000),SEARCH(" - ",MID('Industriesektor GWh'!$B36,41,1000))-1),nrg_cb_e!$C$3:$C$40,0))</f>
        <v>FC_IND_CON_E</v>
      </c>
      <c r="G36" s="18">
        <v>320</v>
      </c>
      <c r="J36" t="s">
        <v>32</v>
      </c>
      <c r="K36" t="s">
        <v>126</v>
      </c>
      <c r="L36" s="23">
        <v>881</v>
      </c>
      <c r="M36" s="23">
        <v>870</v>
      </c>
      <c r="N36" s="23">
        <v>904</v>
      </c>
      <c r="O36" s="23">
        <v>946</v>
      </c>
      <c r="P36" s="23">
        <v>963</v>
      </c>
      <c r="Q36" s="23">
        <v>974</v>
      </c>
      <c r="R36" s="23">
        <v>806</v>
      </c>
      <c r="S36" s="23">
        <v>664</v>
      </c>
      <c r="T36" s="23">
        <v>659</v>
      </c>
      <c r="U36" s="23">
        <v>688</v>
      </c>
      <c r="V36" s="23">
        <v>758</v>
      </c>
      <c r="W36" s="23">
        <v>736</v>
      </c>
      <c r="X36" s="23">
        <v>731</v>
      </c>
      <c r="Y36" s="23">
        <v>744.21699999999998</v>
      </c>
      <c r="Z36" s="23">
        <v>789.24099999999999</v>
      </c>
      <c r="AA36" s="23">
        <v>801.35</v>
      </c>
      <c r="AB36" s="23">
        <v>800.572</v>
      </c>
    </row>
    <row r="37" spans="1:28" x14ac:dyDescent="0.2">
      <c r="A37" s="19" t="s">
        <v>31</v>
      </c>
      <c r="B37" s="20" t="s">
        <v>72</v>
      </c>
      <c r="C37" s="20" t="s">
        <v>8</v>
      </c>
      <c r="D37" s="20" t="s">
        <v>10</v>
      </c>
      <c r="E37" s="20" t="s">
        <v>13</v>
      </c>
      <c r="F37" s="20" t="str">
        <f>INDEX(nrg_cb_e!$A$3:$A$40,MATCH(LEFT(MID('Industriesektor GWh'!$B37,41,1000),SEARCH(" - ",MID('Industriesektor GWh'!$B37,41,1000))-1),nrg_cb_e!$C$3:$C$40,0))</f>
        <v>FC_IND_CON_E</v>
      </c>
      <c r="G37" s="21">
        <v>302</v>
      </c>
      <c r="J37" t="s">
        <v>32</v>
      </c>
      <c r="K37" t="s">
        <v>136</v>
      </c>
      <c r="L37" s="23">
        <v>644</v>
      </c>
      <c r="M37" s="23">
        <v>660</v>
      </c>
      <c r="N37" s="23">
        <v>686</v>
      </c>
      <c r="O37" s="23">
        <v>576</v>
      </c>
      <c r="P37" s="23">
        <v>602</v>
      </c>
      <c r="Q37" s="23">
        <v>616</v>
      </c>
      <c r="R37" s="23">
        <v>604</v>
      </c>
      <c r="S37" s="23">
        <v>508</v>
      </c>
      <c r="T37" s="23">
        <v>506</v>
      </c>
      <c r="U37" s="23">
        <v>501</v>
      </c>
      <c r="V37" s="23">
        <v>330</v>
      </c>
      <c r="W37" s="23">
        <v>399</v>
      </c>
      <c r="X37" s="23">
        <v>345</v>
      </c>
      <c r="Y37" s="23">
        <v>354.99400000000003</v>
      </c>
      <c r="Z37" s="23">
        <v>314.24599999999998</v>
      </c>
      <c r="AA37" s="23">
        <v>319.06700000000001</v>
      </c>
      <c r="AB37" s="23">
        <v>318.75700000000001</v>
      </c>
    </row>
    <row r="38" spans="1:28" x14ac:dyDescent="0.2">
      <c r="A38" s="16" t="s">
        <v>31</v>
      </c>
      <c r="B38" s="17" t="s">
        <v>72</v>
      </c>
      <c r="C38" s="17" t="s">
        <v>8</v>
      </c>
      <c r="D38" s="17" t="s">
        <v>10</v>
      </c>
      <c r="E38" s="17" t="s">
        <v>14</v>
      </c>
      <c r="F38" s="17" t="str">
        <f>INDEX(nrg_cb_e!$A$3:$A$40,MATCH(LEFT(MID('Industriesektor GWh'!$B38,41,1000),SEARCH(" - ",MID('Industriesektor GWh'!$B38,41,1000))-1),nrg_cb_e!$C$3:$C$40,0))</f>
        <v>FC_IND_CON_E</v>
      </c>
      <c r="G38" s="18">
        <v>412</v>
      </c>
      <c r="J38" t="s">
        <v>32</v>
      </c>
      <c r="K38" t="s">
        <v>128</v>
      </c>
      <c r="L38" s="23">
        <v>188</v>
      </c>
      <c r="M38" s="23">
        <v>166</v>
      </c>
      <c r="N38" s="23">
        <v>173</v>
      </c>
      <c r="O38" s="23">
        <v>191</v>
      </c>
      <c r="P38" s="23">
        <v>221</v>
      </c>
      <c r="Q38" s="23">
        <v>256</v>
      </c>
      <c r="R38" s="23">
        <v>227</v>
      </c>
      <c r="S38" s="23">
        <v>204</v>
      </c>
      <c r="T38" s="23">
        <v>204</v>
      </c>
      <c r="U38" s="23">
        <v>167</v>
      </c>
      <c r="V38" s="23">
        <v>97</v>
      </c>
      <c r="W38" s="23">
        <v>138</v>
      </c>
      <c r="X38" s="23">
        <v>90</v>
      </c>
      <c r="Y38" s="23">
        <v>89.619</v>
      </c>
      <c r="Z38" s="23">
        <v>87.022000000000006</v>
      </c>
      <c r="AA38" s="23">
        <v>88.356999999999999</v>
      </c>
      <c r="AB38" s="23">
        <v>88.271000000000001</v>
      </c>
    </row>
    <row r="39" spans="1:28" x14ac:dyDescent="0.2">
      <c r="A39" s="19" t="s">
        <v>31</v>
      </c>
      <c r="B39" s="20" t="s">
        <v>72</v>
      </c>
      <c r="C39" s="20" t="s">
        <v>8</v>
      </c>
      <c r="D39" s="20" t="s">
        <v>10</v>
      </c>
      <c r="E39" s="20" t="s">
        <v>15</v>
      </c>
      <c r="F39" s="20" t="str">
        <f>INDEX(nrg_cb_e!$A$3:$A$40,MATCH(LEFT(MID('Industriesektor GWh'!$B39,41,1000),SEARCH(" - ",MID('Industriesektor GWh'!$B39,41,1000))-1),nrg_cb_e!$C$3:$C$40,0))</f>
        <v>FC_IND_CON_E</v>
      </c>
      <c r="G39" s="21">
        <v>398</v>
      </c>
      <c r="J39" t="s">
        <v>32</v>
      </c>
      <c r="K39" t="s">
        <v>142</v>
      </c>
      <c r="L39" s="23">
        <v>213</v>
      </c>
      <c r="M39" s="23">
        <v>212</v>
      </c>
      <c r="N39" s="23">
        <v>221</v>
      </c>
      <c r="O39" s="23">
        <v>183</v>
      </c>
      <c r="P39" s="23">
        <v>174</v>
      </c>
      <c r="Q39" s="23">
        <v>171</v>
      </c>
      <c r="R39" s="23">
        <v>169</v>
      </c>
      <c r="S39" s="23">
        <v>157</v>
      </c>
      <c r="T39" s="23">
        <v>157</v>
      </c>
      <c r="U39" s="23">
        <v>155</v>
      </c>
      <c r="V39" s="23">
        <v>120</v>
      </c>
      <c r="W39" s="23">
        <v>128</v>
      </c>
      <c r="X39" s="23">
        <v>118</v>
      </c>
      <c r="Y39" s="23">
        <v>117.098</v>
      </c>
      <c r="Z39" s="23">
        <v>109.986</v>
      </c>
      <c r="AA39" s="23">
        <v>111.67400000000001</v>
      </c>
      <c r="AB39" s="23">
        <v>111.565</v>
      </c>
    </row>
    <row r="40" spans="1:28" x14ac:dyDescent="0.2">
      <c r="A40" s="16" t="s">
        <v>31</v>
      </c>
      <c r="B40" s="17" t="s">
        <v>72</v>
      </c>
      <c r="C40" s="17" t="s">
        <v>8</v>
      </c>
      <c r="D40" s="17" t="s">
        <v>10</v>
      </c>
      <c r="E40" s="17" t="s">
        <v>16</v>
      </c>
      <c r="F40" s="17" t="str">
        <f>INDEX(nrg_cb_e!$A$3:$A$40,MATCH(LEFT(MID('Industriesektor GWh'!$B40,41,1000),SEARCH(" - ",MID('Industriesektor GWh'!$B40,41,1000))-1),nrg_cb_e!$C$3:$C$40,0))</f>
        <v>FC_IND_CON_E</v>
      </c>
      <c r="G40" s="18">
        <v>476</v>
      </c>
      <c r="J40" t="s">
        <v>32</v>
      </c>
      <c r="K40" t="s">
        <v>138</v>
      </c>
      <c r="L40" s="23">
        <v>305</v>
      </c>
      <c r="M40" s="23">
        <v>319</v>
      </c>
      <c r="N40" s="23">
        <v>331</v>
      </c>
      <c r="O40" s="23">
        <v>328</v>
      </c>
      <c r="P40" s="23">
        <v>329</v>
      </c>
      <c r="Q40" s="23">
        <v>321</v>
      </c>
      <c r="R40" s="23">
        <v>276</v>
      </c>
      <c r="S40" s="23">
        <v>226</v>
      </c>
      <c r="T40" s="23">
        <v>226</v>
      </c>
      <c r="U40" s="23">
        <v>238</v>
      </c>
      <c r="V40" s="23">
        <v>236</v>
      </c>
      <c r="W40" s="23">
        <v>219</v>
      </c>
      <c r="X40" s="23">
        <v>207</v>
      </c>
      <c r="Y40" s="23">
        <v>205.071</v>
      </c>
      <c r="Z40" s="23">
        <v>209.09399999999999</v>
      </c>
      <c r="AA40" s="23">
        <v>212.303</v>
      </c>
      <c r="AB40" s="23">
        <v>212.096</v>
      </c>
    </row>
    <row r="41" spans="1:28" x14ac:dyDescent="0.2">
      <c r="A41" s="19" t="s">
        <v>31</v>
      </c>
      <c r="B41" s="20" t="s">
        <v>72</v>
      </c>
      <c r="C41" s="20" t="s">
        <v>8</v>
      </c>
      <c r="D41" s="20" t="s">
        <v>10</v>
      </c>
      <c r="E41" s="20" t="s">
        <v>17</v>
      </c>
      <c r="F41" s="20" t="str">
        <f>INDEX(nrg_cb_e!$A$3:$A$40,MATCH(LEFT(MID('Industriesektor GWh'!$B41,41,1000),SEARCH(" - ",MID('Industriesektor GWh'!$B41,41,1000))-1),nrg_cb_e!$C$3:$C$40,0))</f>
        <v>FC_IND_CON_E</v>
      </c>
      <c r="G41" s="21">
        <v>454</v>
      </c>
      <c r="J41" t="s">
        <v>32</v>
      </c>
      <c r="K41" t="s">
        <v>116</v>
      </c>
      <c r="L41" s="23">
        <v>1225</v>
      </c>
      <c r="M41" s="23">
        <v>1339</v>
      </c>
      <c r="N41" s="23">
        <v>1392</v>
      </c>
      <c r="O41" s="23">
        <v>1431</v>
      </c>
      <c r="P41" s="23">
        <v>1353</v>
      </c>
      <c r="Q41" s="23">
        <v>1216</v>
      </c>
      <c r="R41" s="23">
        <v>1111</v>
      </c>
      <c r="S41" s="23">
        <v>939</v>
      </c>
      <c r="T41" s="23">
        <v>956</v>
      </c>
      <c r="U41" s="23">
        <v>946</v>
      </c>
      <c r="V41" s="23">
        <v>853</v>
      </c>
      <c r="W41" s="23">
        <v>835</v>
      </c>
      <c r="X41" s="23">
        <v>810</v>
      </c>
      <c r="Y41" s="23">
        <v>835.81299999999999</v>
      </c>
      <c r="Z41" s="23">
        <v>825.5</v>
      </c>
      <c r="AA41" s="23">
        <v>838.16499999999996</v>
      </c>
      <c r="AB41" s="23">
        <v>837.351</v>
      </c>
    </row>
    <row r="42" spans="1:28" x14ac:dyDescent="0.2">
      <c r="A42" s="16" t="s">
        <v>31</v>
      </c>
      <c r="B42" s="17" t="s">
        <v>72</v>
      </c>
      <c r="C42" s="17" t="s">
        <v>8</v>
      </c>
      <c r="D42" s="17" t="s">
        <v>10</v>
      </c>
      <c r="E42" s="17" t="s">
        <v>18</v>
      </c>
      <c r="F42" s="17" t="str">
        <f>INDEX(nrg_cb_e!$A$3:$A$40,MATCH(LEFT(MID('Industriesektor GWh'!$B42,41,1000),SEARCH(" - ",MID('Industriesektor GWh'!$B42,41,1000))-1),nrg_cb_e!$C$3:$C$40,0))</f>
        <v>FC_IND_CON_E</v>
      </c>
      <c r="G42" s="18">
        <v>476</v>
      </c>
      <c r="J42" t="s">
        <v>33</v>
      </c>
      <c r="K42" t="s">
        <v>140</v>
      </c>
      <c r="L42" s="23">
        <v>826</v>
      </c>
      <c r="M42" s="23">
        <v>0</v>
      </c>
      <c r="N42" s="23">
        <v>0</v>
      </c>
      <c r="O42" s="23">
        <v>0</v>
      </c>
      <c r="P42" s="23">
        <v>0</v>
      </c>
      <c r="Q42" s="23">
        <v>0</v>
      </c>
      <c r="R42" s="23">
        <v>0</v>
      </c>
      <c r="S42" s="23">
        <v>0</v>
      </c>
      <c r="T42" s="23">
        <v>3975</v>
      </c>
      <c r="U42" s="23">
        <v>4429</v>
      </c>
      <c r="V42" s="23">
        <v>4353</v>
      </c>
      <c r="W42" s="23">
        <v>3581</v>
      </c>
      <c r="X42" s="23">
        <v>4089</v>
      </c>
      <c r="Y42" s="23">
        <v>3945</v>
      </c>
      <c r="Z42" s="23">
        <v>3976</v>
      </c>
      <c r="AA42" s="23">
        <v>4136</v>
      </c>
      <c r="AB42" s="23">
        <v>4460</v>
      </c>
    </row>
    <row r="43" spans="1:28" x14ac:dyDescent="0.2">
      <c r="A43" s="19" t="s">
        <v>31</v>
      </c>
      <c r="B43" s="20" t="s">
        <v>72</v>
      </c>
      <c r="C43" s="20" t="s">
        <v>8</v>
      </c>
      <c r="D43" s="20" t="s">
        <v>10</v>
      </c>
      <c r="E43" s="20" t="s">
        <v>19</v>
      </c>
      <c r="F43" s="20" t="str">
        <f>INDEX(nrg_cb_e!$A$3:$A$40,MATCH(LEFT(MID('Industriesektor GWh'!$B43,41,1000),SEARCH(" - ",MID('Industriesektor GWh'!$B43,41,1000))-1),nrg_cb_e!$C$3:$C$40,0))</f>
        <v>FC_IND_CON_E</v>
      </c>
      <c r="G43" s="21">
        <v>486</v>
      </c>
      <c r="J43" t="s">
        <v>33</v>
      </c>
      <c r="K43" t="s">
        <v>122</v>
      </c>
      <c r="L43" s="23">
        <v>50185</v>
      </c>
      <c r="M43" s="23">
        <v>51012</v>
      </c>
      <c r="N43" s="23">
        <v>50867</v>
      </c>
      <c r="O43" s="23">
        <v>52857</v>
      </c>
      <c r="P43" s="23">
        <v>52335</v>
      </c>
      <c r="Q43" s="23">
        <v>53400</v>
      </c>
      <c r="R43" s="23">
        <v>51728</v>
      </c>
      <c r="S43" s="23">
        <v>44863</v>
      </c>
      <c r="T43" s="23">
        <v>52337</v>
      </c>
      <c r="U43" s="23">
        <v>52522</v>
      </c>
      <c r="V43" s="23">
        <v>52151</v>
      </c>
      <c r="W43" s="23">
        <v>51729</v>
      </c>
      <c r="X43" s="23">
        <v>53487</v>
      </c>
      <c r="Y43" s="23">
        <v>53465</v>
      </c>
      <c r="Z43" s="23">
        <v>53577</v>
      </c>
      <c r="AA43" s="23">
        <v>54219</v>
      </c>
      <c r="AB43" s="23">
        <v>53566</v>
      </c>
    </row>
    <row r="44" spans="1:28" x14ac:dyDescent="0.2">
      <c r="A44" s="16" t="s">
        <v>31</v>
      </c>
      <c r="B44" s="17" t="s">
        <v>72</v>
      </c>
      <c r="C44" s="17" t="s">
        <v>8</v>
      </c>
      <c r="D44" s="17" t="s">
        <v>10</v>
      </c>
      <c r="E44" s="17" t="s">
        <v>20</v>
      </c>
      <c r="F44" s="17" t="str">
        <f>INDEX(nrg_cb_e!$A$3:$A$40,MATCH(LEFT(MID('Industriesektor GWh'!$B44,41,1000),SEARCH(" - ",MID('Industriesektor GWh'!$B44,41,1000))-1),nrg_cb_e!$C$3:$C$40,0))</f>
        <v>FC_IND_CON_E</v>
      </c>
      <c r="G44" s="18">
        <v>511</v>
      </c>
      <c r="J44" t="s">
        <v>33</v>
      </c>
      <c r="K44" t="s">
        <v>134</v>
      </c>
      <c r="L44" s="23">
        <v>15957</v>
      </c>
      <c r="M44" s="23">
        <v>16582</v>
      </c>
      <c r="N44" s="23">
        <v>16405</v>
      </c>
      <c r="O44" s="23">
        <v>16906</v>
      </c>
      <c r="P44" s="23">
        <v>17266</v>
      </c>
      <c r="Q44" s="23">
        <v>17213</v>
      </c>
      <c r="R44" s="23">
        <v>18015</v>
      </c>
      <c r="S44" s="23">
        <v>17832</v>
      </c>
      <c r="T44" s="23">
        <v>17525</v>
      </c>
      <c r="U44" s="23">
        <v>17770</v>
      </c>
      <c r="V44" s="23">
        <v>17981</v>
      </c>
      <c r="W44" s="23">
        <v>17821</v>
      </c>
      <c r="X44" s="23">
        <v>18074</v>
      </c>
      <c r="Y44" s="23">
        <v>18194</v>
      </c>
      <c r="Z44" s="23">
        <v>18522</v>
      </c>
      <c r="AA44" s="23">
        <v>18639</v>
      </c>
      <c r="AB44" s="23">
        <v>18962</v>
      </c>
    </row>
    <row r="45" spans="1:28" x14ac:dyDescent="0.2">
      <c r="A45" s="19" t="s">
        <v>31</v>
      </c>
      <c r="B45" s="20" t="s">
        <v>72</v>
      </c>
      <c r="C45" s="20" t="s">
        <v>8</v>
      </c>
      <c r="D45" s="20" t="s">
        <v>10</v>
      </c>
      <c r="E45" s="20" t="s">
        <v>21</v>
      </c>
      <c r="F45" s="20" t="str">
        <f>INDEX(nrg_cb_e!$A$3:$A$40,MATCH(LEFT(MID('Industriesektor GWh'!$B45,41,1000),SEARCH(" - ",MID('Industriesektor GWh'!$B45,41,1000))-1),nrg_cb_e!$C$3:$C$40,0))</f>
        <v>FC_IND_CON_E</v>
      </c>
      <c r="G45" s="21">
        <v>492</v>
      </c>
      <c r="J45" t="s">
        <v>33</v>
      </c>
      <c r="K45" t="s">
        <v>120</v>
      </c>
      <c r="L45" s="23">
        <v>25070</v>
      </c>
      <c r="M45" s="23">
        <v>26233</v>
      </c>
      <c r="N45" s="23">
        <v>27423</v>
      </c>
      <c r="O45" s="23">
        <v>27654</v>
      </c>
      <c r="P45" s="23">
        <v>29876</v>
      </c>
      <c r="Q45" s="23">
        <v>28581</v>
      </c>
      <c r="R45" s="23">
        <v>28357</v>
      </c>
      <c r="S45" s="23">
        <v>22393</v>
      </c>
      <c r="T45" s="23">
        <v>27093</v>
      </c>
      <c r="U45" s="23">
        <v>28220</v>
      </c>
      <c r="V45" s="23">
        <v>26873</v>
      </c>
      <c r="W45" s="23">
        <v>26144</v>
      </c>
      <c r="X45" s="23">
        <v>26321</v>
      </c>
      <c r="Y45" s="23">
        <v>26063</v>
      </c>
      <c r="Z45" s="23">
        <v>27062</v>
      </c>
      <c r="AA45" s="23">
        <v>26695</v>
      </c>
      <c r="AB45" s="23">
        <v>26341</v>
      </c>
    </row>
    <row r="46" spans="1:28" x14ac:dyDescent="0.2">
      <c r="A46" s="16" t="s">
        <v>31</v>
      </c>
      <c r="B46" s="17" t="s">
        <v>72</v>
      </c>
      <c r="C46" s="17" t="s">
        <v>8</v>
      </c>
      <c r="D46" s="17" t="s">
        <v>10</v>
      </c>
      <c r="E46" s="17" t="s">
        <v>22</v>
      </c>
      <c r="F46" s="17" t="str">
        <f>INDEX(nrg_cb_e!$A$3:$A$40,MATCH(LEFT(MID('Industriesektor GWh'!$B46,41,1000),SEARCH(" - ",MID('Industriesektor GWh'!$B46,41,1000))-1),nrg_cb_e!$C$3:$C$40,0))</f>
        <v>FC_IND_CON_E</v>
      </c>
      <c r="G46" s="18">
        <v>456</v>
      </c>
      <c r="J46" t="s">
        <v>33</v>
      </c>
      <c r="K46" t="s">
        <v>130</v>
      </c>
      <c r="L46" s="23">
        <v>10415</v>
      </c>
      <c r="M46" s="23">
        <v>24573</v>
      </c>
      <c r="N46" s="23">
        <v>24347</v>
      </c>
      <c r="O46" s="23">
        <v>24293</v>
      </c>
      <c r="P46" s="23">
        <v>25438</v>
      </c>
      <c r="Q46" s="23">
        <v>26559</v>
      </c>
      <c r="R46" s="23">
        <v>36547</v>
      </c>
      <c r="S46" s="23">
        <v>29222</v>
      </c>
      <c r="T46" s="23">
        <v>32910</v>
      </c>
      <c r="U46" s="23">
        <v>36361</v>
      </c>
      <c r="V46" s="23">
        <v>36452</v>
      </c>
      <c r="W46" s="23">
        <v>37202</v>
      </c>
      <c r="X46" s="23">
        <v>39303</v>
      </c>
      <c r="Y46" s="23">
        <v>33421</v>
      </c>
      <c r="Z46" s="23">
        <v>33466</v>
      </c>
      <c r="AA46" s="23">
        <v>33908</v>
      </c>
      <c r="AB46" s="23">
        <v>34020</v>
      </c>
    </row>
    <row r="47" spans="1:28" x14ac:dyDescent="0.2">
      <c r="A47" s="19" t="s">
        <v>31</v>
      </c>
      <c r="B47" s="20" t="s">
        <v>72</v>
      </c>
      <c r="C47" s="20" t="s">
        <v>8</v>
      </c>
      <c r="D47" s="20" t="s">
        <v>10</v>
      </c>
      <c r="E47" s="20" t="s">
        <v>23</v>
      </c>
      <c r="F47" s="20" t="str">
        <f>INDEX(nrg_cb_e!$A$3:$A$40,MATCH(LEFT(MID('Industriesektor GWh'!$B47,41,1000),SEARCH(" - ",MID('Industriesektor GWh'!$B47,41,1000))-1),nrg_cb_e!$C$3:$C$40,0))</f>
        <v>FC_IND_CON_E</v>
      </c>
      <c r="G47" s="21">
        <v>424</v>
      </c>
      <c r="J47" t="s">
        <v>33</v>
      </c>
      <c r="K47" t="s">
        <v>132</v>
      </c>
      <c r="L47" s="23">
        <v>2092</v>
      </c>
      <c r="M47" s="23">
        <v>1932</v>
      </c>
      <c r="N47" s="23">
        <v>1966</v>
      </c>
      <c r="O47" s="23">
        <v>1902</v>
      </c>
      <c r="P47" s="23">
        <v>1927</v>
      </c>
      <c r="Q47" s="23">
        <v>1962</v>
      </c>
      <c r="R47" s="23">
        <v>2373</v>
      </c>
      <c r="S47" s="23">
        <v>2101</v>
      </c>
      <c r="T47" s="23">
        <v>2158</v>
      </c>
      <c r="U47" s="23">
        <v>1920</v>
      </c>
      <c r="V47" s="23">
        <v>1800</v>
      </c>
      <c r="W47" s="23">
        <v>1747</v>
      </c>
      <c r="X47" s="23">
        <v>1768</v>
      </c>
      <c r="Y47" s="23">
        <v>1740</v>
      </c>
      <c r="Z47" s="23">
        <v>1783</v>
      </c>
      <c r="AA47" s="23">
        <v>1768</v>
      </c>
      <c r="AB47" s="23">
        <v>1774</v>
      </c>
    </row>
    <row r="48" spans="1:28" x14ac:dyDescent="0.2">
      <c r="A48" s="16" t="s">
        <v>31</v>
      </c>
      <c r="B48" s="17" t="s">
        <v>72</v>
      </c>
      <c r="C48" s="17" t="s">
        <v>8</v>
      </c>
      <c r="D48" s="17" t="s">
        <v>10</v>
      </c>
      <c r="E48" s="17" t="s">
        <v>24</v>
      </c>
      <c r="F48" s="17" t="str">
        <f>INDEX(nrg_cb_e!$A$3:$A$40,MATCH(LEFT(MID('Industriesektor GWh'!$B48,41,1000),SEARCH(" - ",MID('Industriesektor GWh'!$B48,41,1000))-1),nrg_cb_e!$C$3:$C$40,0))</f>
        <v>FC_IND_CON_E</v>
      </c>
      <c r="G48" s="18">
        <v>450</v>
      </c>
      <c r="J48" t="s">
        <v>33</v>
      </c>
      <c r="K48" t="s">
        <v>124</v>
      </c>
      <c r="L48" s="23">
        <v>18827</v>
      </c>
      <c r="M48" s="23">
        <v>17795</v>
      </c>
      <c r="N48" s="23">
        <v>18163</v>
      </c>
      <c r="O48" s="23">
        <v>17897</v>
      </c>
      <c r="P48" s="23">
        <v>15920</v>
      </c>
      <c r="Q48" s="23">
        <v>16563</v>
      </c>
      <c r="R48" s="23">
        <v>17299</v>
      </c>
      <c r="S48" s="23">
        <v>11080</v>
      </c>
      <c r="T48" s="23">
        <v>13645</v>
      </c>
      <c r="U48" s="23">
        <v>13255</v>
      </c>
      <c r="V48" s="23">
        <v>12745</v>
      </c>
      <c r="W48" s="23">
        <v>12864</v>
      </c>
      <c r="X48" s="23">
        <v>13418</v>
      </c>
      <c r="Y48" s="23">
        <v>15871</v>
      </c>
      <c r="Z48" s="23">
        <v>15979</v>
      </c>
      <c r="AA48" s="23">
        <v>16276</v>
      </c>
      <c r="AB48" s="23">
        <v>15785</v>
      </c>
    </row>
    <row r="49" spans="1:28" x14ac:dyDescent="0.2">
      <c r="A49" s="19" t="s">
        <v>31</v>
      </c>
      <c r="B49" s="20" t="s">
        <v>72</v>
      </c>
      <c r="C49" s="20" t="s">
        <v>8</v>
      </c>
      <c r="D49" s="20" t="s">
        <v>10</v>
      </c>
      <c r="E49" s="20" t="s">
        <v>25</v>
      </c>
      <c r="F49" s="20" t="str">
        <f>INDEX(nrg_cb_e!$A$3:$A$40,MATCH(LEFT(MID('Industriesektor GWh'!$B49,41,1000),SEARCH(" - ",MID('Industriesektor GWh'!$B49,41,1000))-1),nrg_cb_e!$C$3:$C$40,0))</f>
        <v>FC_IND_CON_E</v>
      </c>
      <c r="G49" s="21">
        <v>476</v>
      </c>
      <c r="J49" t="s">
        <v>33</v>
      </c>
      <c r="K49" t="s">
        <v>126</v>
      </c>
      <c r="L49" s="23">
        <v>15087</v>
      </c>
      <c r="M49" s="23">
        <v>12515</v>
      </c>
      <c r="N49" s="23">
        <v>12743</v>
      </c>
      <c r="O49" s="23">
        <v>12459</v>
      </c>
      <c r="P49" s="23">
        <v>12791</v>
      </c>
      <c r="Q49" s="23">
        <v>14168</v>
      </c>
      <c r="R49" s="23">
        <v>12803</v>
      </c>
      <c r="S49" s="23">
        <v>11628</v>
      </c>
      <c r="T49" s="23">
        <v>12234</v>
      </c>
      <c r="U49" s="23">
        <v>12918</v>
      </c>
      <c r="V49" s="23">
        <v>12275</v>
      </c>
      <c r="W49" s="23">
        <v>12230</v>
      </c>
      <c r="X49" s="23">
        <v>12120</v>
      </c>
      <c r="Y49" s="23">
        <v>12296</v>
      </c>
      <c r="Z49" s="23">
        <v>12318</v>
      </c>
      <c r="AA49" s="23">
        <v>12751</v>
      </c>
      <c r="AB49" s="23">
        <v>12701</v>
      </c>
    </row>
    <row r="50" spans="1:28" x14ac:dyDescent="0.2">
      <c r="A50" s="16" t="s">
        <v>31</v>
      </c>
      <c r="B50" s="17" t="s">
        <v>72</v>
      </c>
      <c r="C50" s="17" t="s">
        <v>8</v>
      </c>
      <c r="D50" s="17" t="s">
        <v>10</v>
      </c>
      <c r="E50" s="17" t="s">
        <v>26</v>
      </c>
      <c r="F50" s="17" t="str">
        <f>INDEX(nrg_cb_e!$A$3:$A$40,MATCH(LEFT(MID('Industriesektor GWh'!$B50,41,1000),SEARCH(" - ",MID('Industriesektor GWh'!$B50,41,1000))-1),nrg_cb_e!$C$3:$C$40,0))</f>
        <v>FC_IND_CON_E</v>
      </c>
      <c r="G50" s="18">
        <v>492</v>
      </c>
      <c r="J50" t="s">
        <v>33</v>
      </c>
      <c r="K50" t="s">
        <v>136</v>
      </c>
      <c r="L50" s="23">
        <v>22151</v>
      </c>
      <c r="M50" s="23">
        <v>22113</v>
      </c>
      <c r="N50" s="23">
        <v>25196</v>
      </c>
      <c r="O50" s="23">
        <v>26850</v>
      </c>
      <c r="P50" s="23">
        <v>25473</v>
      </c>
      <c r="Q50" s="23">
        <v>26308</v>
      </c>
      <c r="R50" s="23">
        <v>24216</v>
      </c>
      <c r="S50" s="23">
        <v>23956</v>
      </c>
      <c r="T50" s="23">
        <v>24297</v>
      </c>
      <c r="U50" s="23">
        <v>23868</v>
      </c>
      <c r="V50" s="23">
        <v>23730</v>
      </c>
      <c r="W50" s="23">
        <v>22339</v>
      </c>
      <c r="X50" s="23">
        <v>21933</v>
      </c>
      <c r="Y50" s="23">
        <v>21323</v>
      </c>
      <c r="Z50" s="23">
        <v>21419</v>
      </c>
      <c r="AA50" s="23">
        <v>21406</v>
      </c>
      <c r="AB50" s="23">
        <v>20856</v>
      </c>
    </row>
    <row r="51" spans="1:28" x14ac:dyDescent="0.2">
      <c r="A51" s="19" t="s">
        <v>31</v>
      </c>
      <c r="B51" s="20" t="s">
        <v>72</v>
      </c>
      <c r="C51" s="20" t="s">
        <v>8</v>
      </c>
      <c r="D51" s="20" t="s">
        <v>10</v>
      </c>
      <c r="E51" s="20" t="s">
        <v>27</v>
      </c>
      <c r="F51" s="20" t="str">
        <f>INDEX(nrg_cb_e!$A$3:$A$40,MATCH(LEFT(MID('Industriesektor GWh'!$B51,41,1000),SEARCH(" - ",MID('Industriesektor GWh'!$B51,41,1000))-1),nrg_cb_e!$C$3:$C$40,0))</f>
        <v>FC_IND_CON_E</v>
      </c>
      <c r="G51" s="21">
        <v>544.87800000000004</v>
      </c>
      <c r="J51" t="s">
        <v>33</v>
      </c>
      <c r="K51" t="s">
        <v>128</v>
      </c>
      <c r="L51" s="23">
        <v>19323</v>
      </c>
      <c r="M51" s="23">
        <v>18500</v>
      </c>
      <c r="N51" s="23">
        <v>19299</v>
      </c>
      <c r="O51" s="23">
        <v>19676</v>
      </c>
      <c r="P51" s="23">
        <v>19249</v>
      </c>
      <c r="Q51" s="23">
        <v>19666</v>
      </c>
      <c r="R51" s="23">
        <v>18532</v>
      </c>
      <c r="S51" s="23">
        <v>15844</v>
      </c>
      <c r="T51" s="23">
        <v>17838</v>
      </c>
      <c r="U51" s="23">
        <v>18179</v>
      </c>
      <c r="V51" s="23">
        <v>17940</v>
      </c>
      <c r="W51" s="23">
        <v>18320</v>
      </c>
      <c r="X51" s="23">
        <v>18536</v>
      </c>
      <c r="Y51" s="23">
        <v>18515</v>
      </c>
      <c r="Z51" s="23">
        <v>18020</v>
      </c>
      <c r="AA51" s="23">
        <v>17781</v>
      </c>
      <c r="AB51" s="23">
        <v>17747</v>
      </c>
    </row>
    <row r="52" spans="1:28" x14ac:dyDescent="0.2">
      <c r="A52" s="16" t="s">
        <v>31</v>
      </c>
      <c r="B52" s="17" t="s">
        <v>72</v>
      </c>
      <c r="C52" s="17" t="s">
        <v>8</v>
      </c>
      <c r="D52" s="17" t="s">
        <v>10</v>
      </c>
      <c r="E52" s="17" t="s">
        <v>28</v>
      </c>
      <c r="F52" s="17" t="str">
        <f>INDEX(nrg_cb_e!$A$3:$A$40,MATCH(LEFT(MID('Industriesektor GWh'!$B52,41,1000),SEARCH(" - ",MID('Industriesektor GWh'!$B52,41,1000))-1),nrg_cb_e!$C$3:$C$40,0))</f>
        <v>FC_IND_CON_E</v>
      </c>
      <c r="G52" s="18">
        <v>619.68600000000004</v>
      </c>
      <c r="J52" t="s">
        <v>33</v>
      </c>
      <c r="K52" t="s">
        <v>142</v>
      </c>
      <c r="L52" s="23">
        <v>4373</v>
      </c>
      <c r="M52" s="23">
        <v>3381</v>
      </c>
      <c r="N52" s="23">
        <v>3230</v>
      </c>
      <c r="O52" s="23">
        <v>3359</v>
      </c>
      <c r="P52" s="23">
        <v>2982</v>
      </c>
      <c r="Q52" s="23">
        <v>3196</v>
      </c>
      <c r="R52" s="23">
        <v>2668</v>
      </c>
      <c r="S52" s="23">
        <v>2313</v>
      </c>
      <c r="T52" s="23">
        <v>2482</v>
      </c>
      <c r="U52" s="23">
        <v>2521</v>
      </c>
      <c r="V52" s="23">
        <v>2382</v>
      </c>
      <c r="W52" s="23">
        <v>2243</v>
      </c>
      <c r="X52" s="23">
        <v>2193</v>
      </c>
      <c r="Y52" s="23">
        <v>2259</v>
      </c>
      <c r="Z52" s="23">
        <v>2191</v>
      </c>
      <c r="AA52" s="23">
        <v>2178</v>
      </c>
      <c r="AB52" s="23">
        <v>2132</v>
      </c>
    </row>
    <row r="53" spans="1:28" x14ac:dyDescent="0.2">
      <c r="A53" s="19" t="s">
        <v>32</v>
      </c>
      <c r="B53" s="20" t="s">
        <v>72</v>
      </c>
      <c r="C53" s="20" t="s">
        <v>8</v>
      </c>
      <c r="D53" s="20" t="s">
        <v>10</v>
      </c>
      <c r="E53" s="20" t="s">
        <v>12</v>
      </c>
      <c r="F53" s="20" t="str">
        <f>INDEX(nrg_cb_e!$A$3:$A$40,MATCH(LEFT(MID('Industriesektor GWh'!$B53,41,1000),SEARCH(" - ",MID('Industriesektor GWh'!$B53,41,1000))-1),nrg_cb_e!$C$3:$C$40,0))</f>
        <v>FC_IND_CON_E</v>
      </c>
      <c r="G53" s="21">
        <v>339</v>
      </c>
      <c r="J53" t="s">
        <v>33</v>
      </c>
      <c r="K53" t="s">
        <v>138</v>
      </c>
      <c r="L53" s="23">
        <v>4075</v>
      </c>
      <c r="M53" s="23">
        <v>4136</v>
      </c>
      <c r="N53" s="23">
        <v>4429</v>
      </c>
      <c r="O53" s="23">
        <v>4413</v>
      </c>
      <c r="P53" s="23">
        <v>4561</v>
      </c>
      <c r="Q53" s="23">
        <v>4864</v>
      </c>
      <c r="R53" s="23">
        <v>4678</v>
      </c>
      <c r="S53" s="23">
        <v>4474</v>
      </c>
      <c r="T53" s="23">
        <v>4510</v>
      </c>
      <c r="U53" s="23">
        <v>4552</v>
      </c>
      <c r="V53" s="23">
        <v>4332</v>
      </c>
      <c r="W53" s="23">
        <v>4317</v>
      </c>
      <c r="X53" s="23">
        <v>4278</v>
      </c>
      <c r="Y53" s="23">
        <v>4492</v>
      </c>
      <c r="Z53" s="23">
        <v>4637</v>
      </c>
      <c r="AA53" s="23">
        <v>4817</v>
      </c>
      <c r="AB53" s="23">
        <v>4668</v>
      </c>
    </row>
    <row r="54" spans="1:28" x14ac:dyDescent="0.2">
      <c r="A54" s="16" t="s">
        <v>32</v>
      </c>
      <c r="B54" s="17" t="s">
        <v>72</v>
      </c>
      <c r="C54" s="17" t="s">
        <v>8</v>
      </c>
      <c r="D54" s="17" t="s">
        <v>10</v>
      </c>
      <c r="E54" s="17" t="s">
        <v>13</v>
      </c>
      <c r="F54" s="17" t="str">
        <f>INDEX(nrg_cb_e!$A$3:$A$40,MATCH(LEFT(MID('Industriesektor GWh'!$B54,41,1000),SEARCH(" - ",MID('Industriesektor GWh'!$B54,41,1000))-1),nrg_cb_e!$C$3:$C$40,0))</f>
        <v>FC_IND_CON_E</v>
      </c>
      <c r="G54" s="18">
        <v>329</v>
      </c>
      <c r="J54" t="s">
        <v>33</v>
      </c>
      <c r="K54" t="s">
        <v>116</v>
      </c>
      <c r="L54" s="23">
        <v>32199</v>
      </c>
      <c r="M54" s="23">
        <v>21730</v>
      </c>
      <c r="N54" s="23">
        <v>23036</v>
      </c>
      <c r="O54" s="23">
        <v>22295</v>
      </c>
      <c r="P54" s="23">
        <v>23985</v>
      </c>
      <c r="Q54" s="23">
        <v>26827</v>
      </c>
      <c r="R54" s="23">
        <v>17750</v>
      </c>
      <c r="S54" s="23">
        <v>16315</v>
      </c>
      <c r="T54" s="23">
        <v>17501</v>
      </c>
      <c r="U54" s="23">
        <v>17719</v>
      </c>
      <c r="V54" s="23">
        <v>17578</v>
      </c>
      <c r="W54" s="23">
        <v>17313</v>
      </c>
      <c r="X54" s="23">
        <v>17342</v>
      </c>
      <c r="Y54" s="23">
        <v>17241</v>
      </c>
      <c r="Z54" s="23">
        <v>17624</v>
      </c>
      <c r="AA54" s="23">
        <v>17653</v>
      </c>
      <c r="AB54" s="23">
        <v>17515</v>
      </c>
    </row>
    <row r="55" spans="1:28" x14ac:dyDescent="0.2">
      <c r="A55" s="19" t="s">
        <v>32</v>
      </c>
      <c r="B55" s="20" t="s">
        <v>72</v>
      </c>
      <c r="C55" s="20" t="s">
        <v>8</v>
      </c>
      <c r="D55" s="20" t="s">
        <v>10</v>
      </c>
      <c r="E55" s="20" t="s">
        <v>14</v>
      </c>
      <c r="F55" s="20" t="str">
        <f>INDEX(nrg_cb_e!$A$3:$A$40,MATCH(LEFT(MID('Industriesektor GWh'!$B55,41,1000),SEARCH(" - ",MID('Industriesektor GWh'!$B55,41,1000))-1),nrg_cb_e!$C$3:$C$40,0))</f>
        <v>FC_IND_CON_E</v>
      </c>
      <c r="G55" s="21">
        <v>338</v>
      </c>
      <c r="J55" t="s">
        <v>34</v>
      </c>
      <c r="K55" t="s">
        <v>140</v>
      </c>
      <c r="L55" s="23">
        <v>94</v>
      </c>
      <c r="M55" s="23">
        <v>96</v>
      </c>
      <c r="N55" s="23">
        <v>95</v>
      </c>
      <c r="O55" s="23">
        <v>97</v>
      </c>
      <c r="P55" s="23">
        <v>107</v>
      </c>
      <c r="Q55" s="23">
        <v>106</v>
      </c>
      <c r="R55" s="23">
        <v>101</v>
      </c>
      <c r="S55" s="23">
        <v>78</v>
      </c>
      <c r="T55" s="23">
        <v>62</v>
      </c>
      <c r="U55" s="23">
        <v>71</v>
      </c>
      <c r="V55" s="23">
        <v>82</v>
      </c>
      <c r="W55" s="23">
        <v>84</v>
      </c>
      <c r="X55" s="23">
        <v>78</v>
      </c>
      <c r="Y55" s="23">
        <v>81</v>
      </c>
      <c r="Z55" s="23">
        <v>83</v>
      </c>
      <c r="AA55" s="23">
        <v>82</v>
      </c>
      <c r="AB55" s="23">
        <v>71</v>
      </c>
    </row>
    <row r="56" spans="1:28" x14ac:dyDescent="0.2">
      <c r="A56" s="16" t="s">
        <v>32</v>
      </c>
      <c r="B56" s="17" t="s">
        <v>72</v>
      </c>
      <c r="C56" s="17" t="s">
        <v>8</v>
      </c>
      <c r="D56" s="17" t="s">
        <v>10</v>
      </c>
      <c r="E56" s="17" t="s">
        <v>15</v>
      </c>
      <c r="F56" s="17" t="str">
        <f>INDEX(nrg_cb_e!$A$3:$A$40,MATCH(LEFT(MID('Industriesektor GWh'!$B56,41,1000),SEARCH(" - ",MID('Industriesektor GWh'!$B56,41,1000))-1),nrg_cb_e!$C$3:$C$40,0))</f>
        <v>FC_IND_CON_E</v>
      </c>
      <c r="G56" s="18">
        <v>354</v>
      </c>
      <c r="J56" t="s">
        <v>34</v>
      </c>
      <c r="K56" t="s">
        <v>122</v>
      </c>
      <c r="L56" s="23">
        <v>282</v>
      </c>
      <c r="M56" s="23">
        <v>305</v>
      </c>
      <c r="N56" s="23">
        <v>330</v>
      </c>
      <c r="O56" s="23">
        <v>358</v>
      </c>
      <c r="P56" s="23">
        <v>361</v>
      </c>
      <c r="Q56" s="23">
        <v>320</v>
      </c>
      <c r="R56" s="23">
        <v>354</v>
      </c>
      <c r="S56" s="23">
        <v>321</v>
      </c>
      <c r="T56" s="23">
        <v>252</v>
      </c>
      <c r="U56" s="23">
        <v>199</v>
      </c>
      <c r="V56" s="23">
        <v>198</v>
      </c>
      <c r="W56" s="23">
        <v>253</v>
      </c>
      <c r="X56" s="23">
        <v>151</v>
      </c>
      <c r="Y56" s="23">
        <v>134</v>
      </c>
      <c r="Z56" s="23">
        <v>114</v>
      </c>
      <c r="AA56" s="23">
        <v>114</v>
      </c>
      <c r="AB56" s="23">
        <v>116</v>
      </c>
    </row>
    <row r="57" spans="1:28" x14ac:dyDescent="0.2">
      <c r="A57" s="19" t="s">
        <v>32</v>
      </c>
      <c r="B57" s="20" t="s">
        <v>72</v>
      </c>
      <c r="C57" s="20" t="s">
        <v>8</v>
      </c>
      <c r="D57" s="20" t="s">
        <v>10</v>
      </c>
      <c r="E57" s="20" t="s">
        <v>16</v>
      </c>
      <c r="F57" s="20" t="str">
        <f>INDEX(nrg_cb_e!$A$3:$A$40,MATCH(LEFT(MID('Industriesektor GWh'!$B57,41,1000),SEARCH(" - ",MID('Industriesektor GWh'!$B57,41,1000))-1),nrg_cb_e!$C$3:$C$40,0))</f>
        <v>FC_IND_CON_E</v>
      </c>
      <c r="G57" s="21">
        <v>378</v>
      </c>
      <c r="J57" t="s">
        <v>34</v>
      </c>
      <c r="K57" t="s">
        <v>134</v>
      </c>
      <c r="L57" s="23">
        <v>292</v>
      </c>
      <c r="M57" s="23">
        <v>289</v>
      </c>
      <c r="N57" s="23">
        <v>300</v>
      </c>
      <c r="O57" s="23">
        <v>304</v>
      </c>
      <c r="P57" s="23">
        <v>294</v>
      </c>
      <c r="Q57" s="23">
        <v>315</v>
      </c>
      <c r="R57" s="23">
        <v>310</v>
      </c>
      <c r="S57" s="23">
        <v>249</v>
      </c>
      <c r="T57" s="23">
        <v>278</v>
      </c>
      <c r="U57" s="23">
        <v>265</v>
      </c>
      <c r="V57" s="23">
        <v>321</v>
      </c>
      <c r="W57" s="23">
        <v>288</v>
      </c>
      <c r="X57" s="23">
        <v>318</v>
      </c>
      <c r="Y57" s="23">
        <v>321</v>
      </c>
      <c r="Z57" s="23">
        <v>320</v>
      </c>
      <c r="AA57" s="23">
        <v>309</v>
      </c>
      <c r="AB57" s="23">
        <v>290</v>
      </c>
    </row>
    <row r="58" spans="1:28" x14ac:dyDescent="0.2">
      <c r="A58" s="16" t="s">
        <v>32</v>
      </c>
      <c r="B58" s="17" t="s">
        <v>72</v>
      </c>
      <c r="C58" s="17" t="s">
        <v>8</v>
      </c>
      <c r="D58" s="17" t="s">
        <v>10</v>
      </c>
      <c r="E58" s="17" t="s">
        <v>17</v>
      </c>
      <c r="F58" s="17" t="str">
        <f>INDEX(nrg_cb_e!$A$3:$A$40,MATCH(LEFT(MID('Industriesektor GWh'!$B58,41,1000),SEARCH(" - ",MID('Industriesektor GWh'!$B58,41,1000))-1),nrg_cb_e!$C$3:$C$40,0))</f>
        <v>FC_IND_CON_E</v>
      </c>
      <c r="G58" s="18">
        <v>406</v>
      </c>
      <c r="J58" t="s">
        <v>34</v>
      </c>
      <c r="K58" t="s">
        <v>120</v>
      </c>
      <c r="L58" s="23">
        <v>4</v>
      </c>
      <c r="M58" s="23">
        <v>4</v>
      </c>
      <c r="N58" s="23">
        <v>3</v>
      </c>
      <c r="O58" s="23">
        <v>5</v>
      </c>
      <c r="P58" s="23">
        <v>6</v>
      </c>
      <c r="Q58" s="23">
        <v>5</v>
      </c>
      <c r="R58" s="23">
        <v>4</v>
      </c>
      <c r="S58" s="23">
        <v>3</v>
      </c>
      <c r="T58" s="23">
        <v>3</v>
      </c>
      <c r="U58" s="23">
        <v>3</v>
      </c>
      <c r="V58" s="23">
        <v>1</v>
      </c>
      <c r="W58" s="23">
        <v>1</v>
      </c>
      <c r="X58" s="23">
        <v>1</v>
      </c>
      <c r="Y58" s="23">
        <v>1</v>
      </c>
      <c r="Z58" s="23">
        <v>1</v>
      </c>
      <c r="AA58" s="23">
        <v>2</v>
      </c>
      <c r="AB58" s="23">
        <v>3</v>
      </c>
    </row>
    <row r="59" spans="1:28" x14ac:dyDescent="0.2">
      <c r="A59" s="19" t="s">
        <v>32</v>
      </c>
      <c r="B59" s="20" t="s">
        <v>72</v>
      </c>
      <c r="C59" s="20" t="s">
        <v>8</v>
      </c>
      <c r="D59" s="20" t="s">
        <v>10</v>
      </c>
      <c r="E59" s="20" t="s">
        <v>18</v>
      </c>
      <c r="F59" s="20" t="str">
        <f>INDEX(nrg_cb_e!$A$3:$A$40,MATCH(LEFT(MID('Industriesektor GWh'!$B59,41,1000),SEARCH(" - ",MID('Industriesektor GWh'!$B59,41,1000))-1),nrg_cb_e!$C$3:$C$40,0))</f>
        <v>FC_IND_CON_E</v>
      </c>
      <c r="G59" s="21">
        <v>435</v>
      </c>
      <c r="J59" t="s">
        <v>34</v>
      </c>
      <c r="K59" t="s">
        <v>130</v>
      </c>
      <c r="L59" s="23">
        <v>157</v>
      </c>
      <c r="M59" s="23">
        <v>182</v>
      </c>
      <c r="N59" s="23">
        <v>200</v>
      </c>
      <c r="O59" s="23">
        <v>207</v>
      </c>
      <c r="P59" s="23">
        <v>216</v>
      </c>
      <c r="Q59" s="23">
        <v>230</v>
      </c>
      <c r="R59" s="23">
        <v>248</v>
      </c>
      <c r="S59" s="23">
        <v>234</v>
      </c>
      <c r="T59" s="23">
        <v>294</v>
      </c>
      <c r="U59" s="23">
        <v>293</v>
      </c>
      <c r="V59" s="23">
        <v>285</v>
      </c>
      <c r="W59" s="23">
        <v>260</v>
      </c>
      <c r="X59" s="23">
        <v>248</v>
      </c>
      <c r="Y59" s="23">
        <v>250</v>
      </c>
      <c r="Z59" s="23">
        <v>294</v>
      </c>
      <c r="AA59" s="23">
        <v>302</v>
      </c>
      <c r="AB59" s="23">
        <v>320</v>
      </c>
    </row>
    <row r="60" spans="1:28" x14ac:dyDescent="0.2">
      <c r="A60" s="16" t="s">
        <v>32</v>
      </c>
      <c r="B60" s="17" t="s">
        <v>72</v>
      </c>
      <c r="C60" s="17" t="s">
        <v>8</v>
      </c>
      <c r="D60" s="17" t="s">
        <v>10</v>
      </c>
      <c r="E60" s="17" t="s">
        <v>19</v>
      </c>
      <c r="F60" s="17" t="str">
        <f>INDEX(nrg_cb_e!$A$3:$A$40,MATCH(LEFT(MID('Industriesektor GWh'!$B60,41,1000),SEARCH(" - ",MID('Industriesektor GWh'!$B60,41,1000))-1),nrg_cb_e!$C$3:$C$40,0))</f>
        <v>FC_IND_CON_E</v>
      </c>
      <c r="G60" s="18">
        <v>373</v>
      </c>
      <c r="J60" t="s">
        <v>34</v>
      </c>
      <c r="K60" t="s">
        <v>132</v>
      </c>
      <c r="L60" s="23">
        <v>12</v>
      </c>
      <c r="M60" s="23">
        <v>17</v>
      </c>
      <c r="N60" s="23">
        <v>19</v>
      </c>
      <c r="O60" s="23">
        <v>20</v>
      </c>
      <c r="P60" s="23">
        <v>20</v>
      </c>
      <c r="Q60" s="23">
        <v>20</v>
      </c>
      <c r="R60" s="23">
        <v>19</v>
      </c>
      <c r="S60" s="23">
        <v>16</v>
      </c>
      <c r="T60" s="23">
        <v>15</v>
      </c>
      <c r="U60" s="23">
        <v>16</v>
      </c>
      <c r="V60" s="23">
        <v>19</v>
      </c>
      <c r="W60" s="23">
        <v>19</v>
      </c>
      <c r="X60" s="23">
        <v>18</v>
      </c>
      <c r="Y60" s="23">
        <v>18</v>
      </c>
      <c r="Z60" s="23">
        <v>18</v>
      </c>
      <c r="AA60" s="23">
        <v>10</v>
      </c>
      <c r="AB60" s="23">
        <v>20</v>
      </c>
    </row>
    <row r="61" spans="1:28" x14ac:dyDescent="0.2">
      <c r="A61" s="19" t="s">
        <v>32</v>
      </c>
      <c r="B61" s="20" t="s">
        <v>72</v>
      </c>
      <c r="C61" s="20" t="s">
        <v>8</v>
      </c>
      <c r="D61" s="20" t="s">
        <v>10</v>
      </c>
      <c r="E61" s="20" t="s">
        <v>20</v>
      </c>
      <c r="F61" s="20" t="str">
        <f>INDEX(nrg_cb_e!$A$3:$A$40,MATCH(LEFT(MID('Industriesektor GWh'!$B61,41,1000),SEARCH(" - ",MID('Industriesektor GWh'!$B61,41,1000))-1),nrg_cb_e!$C$3:$C$40,0))</f>
        <v>FC_IND_CON_E</v>
      </c>
      <c r="G61" s="21">
        <v>381</v>
      </c>
      <c r="J61" t="s">
        <v>34</v>
      </c>
      <c r="K61" t="s">
        <v>124</v>
      </c>
      <c r="L61" s="23">
        <v>3</v>
      </c>
      <c r="M61" s="23">
        <v>4</v>
      </c>
      <c r="N61" s="23">
        <v>3</v>
      </c>
      <c r="O61" s="23">
        <v>7</v>
      </c>
      <c r="P61" s="23">
        <v>7</v>
      </c>
      <c r="Q61" s="23">
        <v>9</v>
      </c>
      <c r="R61" s="23">
        <v>9</v>
      </c>
      <c r="S61" s="23">
        <v>6</v>
      </c>
      <c r="T61" s="23">
        <v>10</v>
      </c>
      <c r="U61" s="23">
        <v>7</v>
      </c>
      <c r="V61" s="23">
        <v>9</v>
      </c>
      <c r="W61" s="23">
        <v>5</v>
      </c>
      <c r="X61" s="23">
        <v>5</v>
      </c>
      <c r="Y61" s="23">
        <v>4</v>
      </c>
      <c r="Z61" s="23">
        <v>5</v>
      </c>
      <c r="AA61" s="23">
        <v>0</v>
      </c>
      <c r="AB61" s="23">
        <v>3</v>
      </c>
    </row>
    <row r="62" spans="1:28" x14ac:dyDescent="0.2">
      <c r="A62" s="16" t="s">
        <v>32</v>
      </c>
      <c r="B62" s="17" t="s">
        <v>72</v>
      </c>
      <c r="C62" s="17" t="s">
        <v>8</v>
      </c>
      <c r="D62" s="17" t="s">
        <v>10</v>
      </c>
      <c r="E62" s="17" t="s">
        <v>21</v>
      </c>
      <c r="F62" s="17" t="str">
        <f>INDEX(nrg_cb_e!$A$3:$A$40,MATCH(LEFT(MID('Industriesektor GWh'!$B62,41,1000),SEARCH(" - ",MID('Industriesektor GWh'!$B62,41,1000))-1),nrg_cb_e!$C$3:$C$40,0))</f>
        <v>FC_IND_CON_E</v>
      </c>
      <c r="G62" s="18">
        <v>357</v>
      </c>
      <c r="J62" t="s">
        <v>34</v>
      </c>
      <c r="K62" t="s">
        <v>126</v>
      </c>
      <c r="L62" s="23">
        <v>172</v>
      </c>
      <c r="M62" s="23">
        <v>194</v>
      </c>
      <c r="N62" s="23">
        <v>200</v>
      </c>
      <c r="O62" s="23">
        <v>205</v>
      </c>
      <c r="P62" s="23">
        <v>218</v>
      </c>
      <c r="Q62" s="23">
        <v>262</v>
      </c>
      <c r="R62" s="23">
        <v>245</v>
      </c>
      <c r="S62" s="23">
        <v>205</v>
      </c>
      <c r="T62" s="23">
        <v>210</v>
      </c>
      <c r="U62" s="23">
        <v>202</v>
      </c>
      <c r="V62" s="23">
        <v>206</v>
      </c>
      <c r="W62" s="23">
        <v>194</v>
      </c>
      <c r="X62" s="23">
        <v>209</v>
      </c>
      <c r="Y62" s="23">
        <v>159</v>
      </c>
      <c r="Z62" s="23">
        <v>161</v>
      </c>
      <c r="AA62" s="23">
        <v>150</v>
      </c>
      <c r="AB62" s="23">
        <v>194</v>
      </c>
    </row>
    <row r="63" spans="1:28" x14ac:dyDescent="0.2">
      <c r="A63" s="19" t="s">
        <v>32</v>
      </c>
      <c r="B63" s="20" t="s">
        <v>72</v>
      </c>
      <c r="C63" s="20" t="s">
        <v>8</v>
      </c>
      <c r="D63" s="20" t="s">
        <v>10</v>
      </c>
      <c r="E63" s="20" t="s">
        <v>22</v>
      </c>
      <c r="F63" s="20" t="str">
        <f>INDEX(nrg_cb_e!$A$3:$A$40,MATCH(LEFT(MID('Industriesektor GWh'!$B63,41,1000),SEARCH(" - ",MID('Industriesektor GWh'!$B63,41,1000))-1),nrg_cb_e!$C$3:$C$40,0))</f>
        <v>FC_IND_CON_E</v>
      </c>
      <c r="G63" s="21">
        <v>374</v>
      </c>
      <c r="J63" t="s">
        <v>34</v>
      </c>
      <c r="K63" t="s">
        <v>136</v>
      </c>
      <c r="L63" s="23">
        <v>130</v>
      </c>
      <c r="M63" s="23">
        <v>127</v>
      </c>
      <c r="N63" s="23">
        <v>136</v>
      </c>
      <c r="O63" s="23">
        <v>140</v>
      </c>
      <c r="P63" s="23">
        <v>267</v>
      </c>
      <c r="Q63" s="23">
        <v>345</v>
      </c>
      <c r="R63" s="23">
        <v>335</v>
      </c>
      <c r="S63" s="23">
        <v>275</v>
      </c>
      <c r="T63" s="23">
        <v>351</v>
      </c>
      <c r="U63" s="23">
        <v>337</v>
      </c>
      <c r="V63" s="23">
        <v>364</v>
      </c>
      <c r="W63" s="23">
        <v>355</v>
      </c>
      <c r="X63" s="23">
        <v>367</v>
      </c>
      <c r="Y63" s="23">
        <v>369</v>
      </c>
      <c r="Z63" s="23">
        <v>403</v>
      </c>
      <c r="AA63" s="23">
        <v>491</v>
      </c>
      <c r="AB63" s="23">
        <v>482</v>
      </c>
    </row>
    <row r="64" spans="1:28" x14ac:dyDescent="0.2">
      <c r="A64" s="16" t="s">
        <v>32</v>
      </c>
      <c r="B64" s="17" t="s">
        <v>72</v>
      </c>
      <c r="C64" s="17" t="s">
        <v>8</v>
      </c>
      <c r="D64" s="17" t="s">
        <v>10</v>
      </c>
      <c r="E64" s="17" t="s">
        <v>23</v>
      </c>
      <c r="F64" s="17" t="str">
        <f>INDEX(nrg_cb_e!$A$3:$A$40,MATCH(LEFT(MID('Industriesektor GWh'!$B64,41,1000),SEARCH(" - ",MID('Industriesektor GWh'!$B64,41,1000))-1),nrg_cb_e!$C$3:$C$40,0))</f>
        <v>FC_IND_CON_E</v>
      </c>
      <c r="G64" s="18">
        <v>361</v>
      </c>
      <c r="J64" t="s">
        <v>34</v>
      </c>
      <c r="K64" t="s">
        <v>128</v>
      </c>
      <c r="L64" s="23">
        <v>39</v>
      </c>
      <c r="M64" s="23">
        <v>42</v>
      </c>
      <c r="N64" s="23">
        <v>46</v>
      </c>
      <c r="O64" s="23">
        <v>47</v>
      </c>
      <c r="P64" s="23">
        <v>55</v>
      </c>
      <c r="Q64" s="23">
        <v>54</v>
      </c>
      <c r="R64" s="23">
        <v>43</v>
      </c>
      <c r="S64" s="23">
        <v>38</v>
      </c>
      <c r="T64" s="23">
        <v>40</v>
      </c>
      <c r="U64" s="23">
        <v>44</v>
      </c>
      <c r="V64" s="23">
        <v>61</v>
      </c>
      <c r="W64" s="23">
        <v>70</v>
      </c>
      <c r="X64" s="23">
        <v>61</v>
      </c>
      <c r="Y64" s="23">
        <v>65</v>
      </c>
      <c r="Z64" s="23">
        <v>67</v>
      </c>
      <c r="AA64" s="23">
        <v>72</v>
      </c>
      <c r="AB64" s="23">
        <v>82</v>
      </c>
    </row>
    <row r="65" spans="1:28" x14ac:dyDescent="0.2">
      <c r="A65" s="19" t="s">
        <v>32</v>
      </c>
      <c r="B65" s="20" t="s">
        <v>72</v>
      </c>
      <c r="C65" s="20" t="s">
        <v>8</v>
      </c>
      <c r="D65" s="20" t="s">
        <v>10</v>
      </c>
      <c r="E65" s="20" t="s">
        <v>24</v>
      </c>
      <c r="F65" s="20" t="str">
        <f>INDEX(nrg_cb_e!$A$3:$A$40,MATCH(LEFT(MID('Industriesektor GWh'!$B65,41,1000),SEARCH(" - ",MID('Industriesektor GWh'!$B65,41,1000))-1),nrg_cb_e!$C$3:$C$40,0))</f>
        <v>FC_IND_CON_E</v>
      </c>
      <c r="G65" s="21">
        <v>357</v>
      </c>
      <c r="J65" t="s">
        <v>34</v>
      </c>
      <c r="K65" t="s">
        <v>142</v>
      </c>
      <c r="L65" s="23">
        <v>242</v>
      </c>
      <c r="M65" s="23">
        <v>255</v>
      </c>
      <c r="N65" s="23">
        <v>261</v>
      </c>
      <c r="O65" s="23">
        <v>195</v>
      </c>
      <c r="P65" s="23">
        <v>195</v>
      </c>
      <c r="Q65" s="23">
        <v>150</v>
      </c>
      <c r="R65" s="23">
        <v>133</v>
      </c>
      <c r="S65" s="23">
        <v>116</v>
      </c>
      <c r="T65" s="23">
        <v>123</v>
      </c>
      <c r="U65" s="23">
        <v>124</v>
      </c>
      <c r="V65" s="23">
        <v>118</v>
      </c>
      <c r="W65" s="23">
        <v>111</v>
      </c>
      <c r="X65" s="23">
        <v>115</v>
      </c>
      <c r="Y65" s="23">
        <v>98</v>
      </c>
      <c r="Z65" s="23">
        <v>74</v>
      </c>
      <c r="AA65" s="23">
        <v>58</v>
      </c>
      <c r="AB65" s="23">
        <v>61</v>
      </c>
    </row>
    <row r="66" spans="1:28" x14ac:dyDescent="0.2">
      <c r="A66" s="16" t="s">
        <v>32</v>
      </c>
      <c r="B66" s="17" t="s">
        <v>72</v>
      </c>
      <c r="C66" s="17" t="s">
        <v>8</v>
      </c>
      <c r="D66" s="17" t="s">
        <v>10</v>
      </c>
      <c r="E66" s="17" t="s">
        <v>25</v>
      </c>
      <c r="F66" s="17" t="str">
        <f>INDEX(nrg_cb_e!$A$3:$A$40,MATCH(LEFT(MID('Industriesektor GWh'!$B66,41,1000),SEARCH(" - ",MID('Industriesektor GWh'!$B66,41,1000))-1),nrg_cb_e!$C$3:$C$40,0))</f>
        <v>FC_IND_CON_E</v>
      </c>
      <c r="G66" s="18">
        <v>361</v>
      </c>
      <c r="J66" t="s">
        <v>34</v>
      </c>
      <c r="K66" t="s">
        <v>138</v>
      </c>
      <c r="L66" s="23">
        <v>243</v>
      </c>
      <c r="M66" s="23">
        <v>301</v>
      </c>
      <c r="N66" s="23">
        <v>341</v>
      </c>
      <c r="O66" s="23">
        <v>359</v>
      </c>
      <c r="P66" s="23">
        <v>364</v>
      </c>
      <c r="Q66" s="23">
        <v>336</v>
      </c>
      <c r="R66" s="23">
        <v>288</v>
      </c>
      <c r="S66" s="23">
        <v>233</v>
      </c>
      <c r="T66" s="23">
        <v>278</v>
      </c>
      <c r="U66" s="23">
        <v>290</v>
      </c>
      <c r="V66" s="23">
        <v>314</v>
      </c>
      <c r="W66" s="23">
        <v>339</v>
      </c>
      <c r="X66" s="23">
        <v>365</v>
      </c>
      <c r="Y66" s="23">
        <v>374</v>
      </c>
      <c r="Z66" s="23">
        <v>412</v>
      </c>
      <c r="AA66" s="23">
        <v>499</v>
      </c>
      <c r="AB66" s="23">
        <v>539</v>
      </c>
    </row>
    <row r="67" spans="1:28" x14ac:dyDescent="0.2">
      <c r="A67" s="19" t="s">
        <v>32</v>
      </c>
      <c r="B67" s="20" t="s">
        <v>72</v>
      </c>
      <c r="C67" s="20" t="s">
        <v>8</v>
      </c>
      <c r="D67" s="20" t="s">
        <v>10</v>
      </c>
      <c r="E67" s="20" t="s">
        <v>26</v>
      </c>
      <c r="F67" s="20" t="str">
        <f>INDEX(nrg_cb_e!$A$3:$A$40,MATCH(LEFT(MID('Industriesektor GWh'!$B67,41,1000),SEARCH(" - ",MID('Industriesektor GWh'!$B67,41,1000))-1),nrg_cb_e!$C$3:$C$40,0))</f>
        <v>FC_IND_CON_E</v>
      </c>
      <c r="G67" s="21">
        <v>373</v>
      </c>
      <c r="J67" t="s">
        <v>34</v>
      </c>
      <c r="K67" t="s">
        <v>116</v>
      </c>
      <c r="L67" s="23">
        <v>214</v>
      </c>
      <c r="M67" s="23">
        <v>215</v>
      </c>
      <c r="N67" s="23">
        <v>210</v>
      </c>
      <c r="O67" s="23">
        <v>224</v>
      </c>
      <c r="P67" s="23">
        <v>229</v>
      </c>
      <c r="Q67" s="23">
        <v>240</v>
      </c>
      <c r="R67" s="23">
        <v>246</v>
      </c>
      <c r="S67" s="23">
        <v>167</v>
      </c>
      <c r="T67" s="23">
        <v>179</v>
      </c>
      <c r="U67" s="23">
        <v>195</v>
      </c>
      <c r="V67" s="23">
        <v>209</v>
      </c>
      <c r="W67" s="23">
        <v>177</v>
      </c>
      <c r="X67" s="23">
        <v>181</v>
      </c>
      <c r="Y67" s="23">
        <v>185</v>
      </c>
      <c r="Z67" s="23">
        <v>200</v>
      </c>
      <c r="AA67" s="23">
        <v>192</v>
      </c>
      <c r="AB67" s="23">
        <v>179</v>
      </c>
    </row>
    <row r="68" spans="1:28" x14ac:dyDescent="0.2">
      <c r="A68" s="16" t="s">
        <v>32</v>
      </c>
      <c r="B68" s="17" t="s">
        <v>72</v>
      </c>
      <c r="C68" s="17" t="s">
        <v>8</v>
      </c>
      <c r="D68" s="17" t="s">
        <v>10</v>
      </c>
      <c r="E68" s="17" t="s">
        <v>27</v>
      </c>
      <c r="F68" s="17" t="str">
        <f>INDEX(nrg_cb_e!$A$3:$A$40,MATCH(LEFT(MID('Industriesektor GWh'!$B68,41,1000),SEARCH(" - ",MID('Industriesektor GWh'!$B68,41,1000))-1),nrg_cb_e!$C$3:$C$40,0))</f>
        <v>FC_IND_CON_E</v>
      </c>
      <c r="G68" s="18">
        <v>402.72300000000001</v>
      </c>
      <c r="J68" t="s">
        <v>54</v>
      </c>
      <c r="K68" t="s">
        <v>140</v>
      </c>
      <c r="L68" s="23">
        <v>245</v>
      </c>
      <c r="M68" s="23">
        <v>242</v>
      </c>
      <c r="N68" s="23">
        <v>256</v>
      </c>
      <c r="O68" s="23">
        <v>270</v>
      </c>
      <c r="P68" s="23">
        <v>300</v>
      </c>
      <c r="Q68" s="23">
        <v>349</v>
      </c>
      <c r="R68" s="23">
        <v>319</v>
      </c>
      <c r="S68" s="23">
        <v>314</v>
      </c>
      <c r="T68" s="23">
        <v>354</v>
      </c>
      <c r="U68" s="23">
        <v>349</v>
      </c>
      <c r="V68" s="23">
        <v>368</v>
      </c>
      <c r="W68" s="23">
        <v>378</v>
      </c>
      <c r="X68" s="23">
        <v>433</v>
      </c>
      <c r="Y68" s="23">
        <v>372</v>
      </c>
      <c r="Z68" s="23">
        <v>416</v>
      </c>
      <c r="AA68" s="23">
        <v>450</v>
      </c>
      <c r="AB68" s="23">
        <v>415</v>
      </c>
    </row>
    <row r="69" spans="1:28" x14ac:dyDescent="0.2">
      <c r="A69" s="19" t="s">
        <v>32</v>
      </c>
      <c r="B69" s="20" t="s">
        <v>72</v>
      </c>
      <c r="C69" s="20" t="s">
        <v>8</v>
      </c>
      <c r="D69" s="20" t="s">
        <v>10</v>
      </c>
      <c r="E69" s="20" t="s">
        <v>28</v>
      </c>
      <c r="F69" s="20" t="str">
        <f>INDEX(nrg_cb_e!$A$3:$A$40,MATCH(LEFT(MID('Industriesektor GWh'!$B69,41,1000),SEARCH(" - ",MID('Industriesektor GWh'!$B69,41,1000))-1),nrg_cb_e!$C$3:$C$40,0))</f>
        <v>FC_IND_CON_E</v>
      </c>
      <c r="G69" s="21">
        <v>409.346</v>
      </c>
      <c r="J69" t="s">
        <v>54</v>
      </c>
      <c r="K69" t="s">
        <v>122</v>
      </c>
      <c r="L69" s="23">
        <v>4568</v>
      </c>
      <c r="M69" s="23">
        <v>4621</v>
      </c>
      <c r="N69" s="23">
        <v>4770</v>
      </c>
      <c r="O69" s="23">
        <v>4619</v>
      </c>
      <c r="P69" s="23">
        <v>4878</v>
      </c>
      <c r="Q69" s="23">
        <v>5064</v>
      </c>
      <c r="R69" s="23">
        <v>4768</v>
      </c>
      <c r="S69" s="23">
        <v>4299</v>
      </c>
      <c r="T69" s="23">
        <v>4595</v>
      </c>
      <c r="U69" s="23">
        <v>4745</v>
      </c>
      <c r="V69" s="23">
        <v>4637</v>
      </c>
      <c r="W69" s="23">
        <v>4751</v>
      </c>
      <c r="X69" s="23">
        <v>4679</v>
      </c>
      <c r="Y69" s="23">
        <v>4695</v>
      </c>
      <c r="Z69" s="23">
        <v>5004</v>
      </c>
      <c r="AA69" s="23">
        <v>4614</v>
      </c>
      <c r="AB69" s="23">
        <v>4887</v>
      </c>
    </row>
    <row r="70" spans="1:28" x14ac:dyDescent="0.2">
      <c r="A70" s="16" t="s">
        <v>33</v>
      </c>
      <c r="B70" s="17" t="s">
        <v>72</v>
      </c>
      <c r="C70" s="17" t="s">
        <v>8</v>
      </c>
      <c r="D70" s="17" t="s">
        <v>10</v>
      </c>
      <c r="E70" s="17" t="s">
        <v>12</v>
      </c>
      <c r="F70" s="17" t="str">
        <f>INDEX(nrg_cb_e!$A$3:$A$40,MATCH(LEFT(MID('Industriesektor GWh'!$B70,41,1000),SEARCH(" - ",MID('Industriesektor GWh'!$B70,41,1000))-1),nrg_cb_e!$C$3:$C$40,0))</f>
        <v>FC_IND_CON_E</v>
      </c>
      <c r="G70" s="18">
        <v>826</v>
      </c>
      <c r="J70" t="s">
        <v>54</v>
      </c>
      <c r="K70" t="s">
        <v>134</v>
      </c>
      <c r="L70" s="23">
        <v>1564</v>
      </c>
      <c r="M70" s="23">
        <v>1547</v>
      </c>
      <c r="N70" s="23">
        <v>1493</v>
      </c>
      <c r="O70" s="23">
        <v>1462</v>
      </c>
      <c r="P70" s="23">
        <v>1583</v>
      </c>
      <c r="Q70" s="23">
        <v>1468</v>
      </c>
      <c r="R70" s="23">
        <v>1233</v>
      </c>
      <c r="S70" s="23">
        <v>1844</v>
      </c>
      <c r="T70" s="23">
        <v>1646</v>
      </c>
      <c r="U70" s="23">
        <v>1634</v>
      </c>
      <c r="V70" s="23">
        <v>1572</v>
      </c>
      <c r="W70" s="23">
        <v>1666</v>
      </c>
      <c r="X70" s="23">
        <v>1774</v>
      </c>
      <c r="Y70" s="23">
        <v>1683</v>
      </c>
      <c r="Z70" s="23">
        <v>1705</v>
      </c>
      <c r="AA70" s="23">
        <v>1932</v>
      </c>
      <c r="AB70" s="23">
        <v>2048</v>
      </c>
    </row>
    <row r="71" spans="1:28" x14ac:dyDescent="0.2">
      <c r="A71" s="19" t="s">
        <v>33</v>
      </c>
      <c r="B71" s="20" t="s">
        <v>72</v>
      </c>
      <c r="C71" s="20" t="s">
        <v>8</v>
      </c>
      <c r="D71" s="20" t="s">
        <v>10</v>
      </c>
      <c r="E71" s="20" t="s">
        <v>13</v>
      </c>
      <c r="F71" s="20" t="str">
        <f>INDEX(nrg_cb_e!$A$3:$A$40,MATCH(LEFT(MID('Industriesektor GWh'!$B71,41,1000),SEARCH(" - ",MID('Industriesektor GWh'!$B71,41,1000))-1),nrg_cb_e!$C$3:$C$40,0))</f>
        <v>FC_IND_CON_E</v>
      </c>
      <c r="G71" s="21">
        <v>0</v>
      </c>
      <c r="J71" t="s">
        <v>54</v>
      </c>
      <c r="K71" t="s">
        <v>120</v>
      </c>
      <c r="L71" s="23">
        <v>3024</v>
      </c>
      <c r="M71" s="23">
        <v>3231</v>
      </c>
      <c r="N71" s="23">
        <v>3410</v>
      </c>
      <c r="O71" s="23">
        <v>3448</v>
      </c>
      <c r="P71" s="23">
        <v>3630</v>
      </c>
      <c r="Q71" s="23">
        <v>3445</v>
      </c>
      <c r="R71" s="23">
        <v>3284</v>
      </c>
      <c r="S71" s="23">
        <v>2651</v>
      </c>
      <c r="T71" s="23">
        <v>3276</v>
      </c>
      <c r="U71" s="23">
        <v>3497</v>
      </c>
      <c r="V71" s="23">
        <v>3349</v>
      </c>
      <c r="W71" s="23">
        <v>3902</v>
      </c>
      <c r="X71" s="23">
        <v>4002</v>
      </c>
      <c r="Y71" s="23">
        <v>4353</v>
      </c>
      <c r="Z71" s="23">
        <v>4414</v>
      </c>
      <c r="AA71" s="23">
        <v>4222</v>
      </c>
      <c r="AB71" s="23">
        <v>4308</v>
      </c>
    </row>
    <row r="72" spans="1:28" x14ac:dyDescent="0.2">
      <c r="A72" s="16" t="s">
        <v>33</v>
      </c>
      <c r="B72" s="17" t="s">
        <v>72</v>
      </c>
      <c r="C72" s="17" t="s">
        <v>8</v>
      </c>
      <c r="D72" s="17" t="s">
        <v>10</v>
      </c>
      <c r="E72" s="17" t="s">
        <v>14</v>
      </c>
      <c r="F72" s="17" t="str">
        <f>INDEX(nrg_cb_e!$A$3:$A$40,MATCH(LEFT(MID('Industriesektor GWh'!$B72,41,1000),SEARCH(" - ",MID('Industriesektor GWh'!$B72,41,1000))-1),nrg_cb_e!$C$3:$C$40,0))</f>
        <v>FC_IND_CON_E</v>
      </c>
      <c r="G72" s="18">
        <v>0</v>
      </c>
      <c r="J72" t="s">
        <v>54</v>
      </c>
      <c r="K72" t="s">
        <v>130</v>
      </c>
      <c r="L72" s="23">
        <v>2077</v>
      </c>
      <c r="M72" s="23">
        <v>2165</v>
      </c>
      <c r="N72" s="23">
        <v>2208</v>
      </c>
      <c r="O72" s="23">
        <v>2097</v>
      </c>
      <c r="P72" s="23">
        <v>2145</v>
      </c>
      <c r="Q72" s="23">
        <v>2252</v>
      </c>
      <c r="R72" s="23">
        <v>2530</v>
      </c>
      <c r="S72" s="23">
        <v>2397</v>
      </c>
      <c r="T72" s="23">
        <v>2446</v>
      </c>
      <c r="U72" s="23">
        <v>2373</v>
      </c>
      <c r="V72" s="23">
        <v>2145</v>
      </c>
      <c r="W72" s="23">
        <v>2196</v>
      </c>
      <c r="X72" s="23">
        <v>2163</v>
      </c>
      <c r="Y72" s="23">
        <v>1994</v>
      </c>
      <c r="Z72" s="23">
        <v>2029</v>
      </c>
      <c r="AA72" s="23">
        <v>2158</v>
      </c>
      <c r="AB72" s="23">
        <v>2338</v>
      </c>
    </row>
    <row r="73" spans="1:28" x14ac:dyDescent="0.2">
      <c r="A73" s="19" t="s">
        <v>33</v>
      </c>
      <c r="B73" s="20" t="s">
        <v>72</v>
      </c>
      <c r="C73" s="20" t="s">
        <v>8</v>
      </c>
      <c r="D73" s="20" t="s">
        <v>10</v>
      </c>
      <c r="E73" s="20" t="s">
        <v>15</v>
      </c>
      <c r="F73" s="20" t="str">
        <f>INDEX(nrg_cb_e!$A$3:$A$40,MATCH(LEFT(MID('Industriesektor GWh'!$B73,41,1000),SEARCH(" - ",MID('Industriesektor GWh'!$B73,41,1000))-1),nrg_cb_e!$C$3:$C$40,0))</f>
        <v>FC_IND_CON_E</v>
      </c>
      <c r="G73" s="21">
        <v>0</v>
      </c>
      <c r="I73" s="9" t="str">
        <f>LEFT(MID('Industriesektor GWh'!$B73,41,1000),SEARCH(" - ",MID('Industriesektor GWh'!$B73,41,1000))-1)</f>
        <v>Bauwesen</v>
      </c>
      <c r="J73" t="s">
        <v>54</v>
      </c>
      <c r="K73" t="s">
        <v>132</v>
      </c>
      <c r="L73" s="23">
        <v>585</v>
      </c>
      <c r="M73" s="23">
        <v>591</v>
      </c>
      <c r="N73" s="23">
        <v>614</v>
      </c>
      <c r="O73" s="23">
        <v>631</v>
      </c>
      <c r="P73" s="23">
        <v>670</v>
      </c>
      <c r="Q73" s="23">
        <v>757</v>
      </c>
      <c r="R73" s="23">
        <v>812</v>
      </c>
      <c r="S73" s="23">
        <v>775</v>
      </c>
      <c r="T73" s="23">
        <v>941</v>
      </c>
      <c r="U73" s="23">
        <v>1094</v>
      </c>
      <c r="V73" s="23">
        <v>1340</v>
      </c>
      <c r="W73" s="23">
        <v>1422</v>
      </c>
      <c r="X73" s="23">
        <v>1471</v>
      </c>
      <c r="Y73" s="23">
        <v>1549</v>
      </c>
      <c r="Z73" s="23">
        <v>1871</v>
      </c>
      <c r="AA73" s="23">
        <v>1457</v>
      </c>
      <c r="AB73" s="23">
        <v>1446</v>
      </c>
    </row>
    <row r="74" spans="1:28" x14ac:dyDescent="0.2">
      <c r="A74" s="16" t="s">
        <v>33</v>
      </c>
      <c r="B74" s="17" t="s">
        <v>72</v>
      </c>
      <c r="C74" s="17" t="s">
        <v>8</v>
      </c>
      <c r="D74" s="17" t="s">
        <v>10</v>
      </c>
      <c r="E74" s="17" t="s">
        <v>16</v>
      </c>
      <c r="F74" s="17" t="str">
        <f>INDEX(nrg_cb_e!$A$3:$A$40,MATCH(LEFT(MID('Industriesektor GWh'!$B74,41,1000),SEARCH(" - ",MID('Industriesektor GWh'!$B74,41,1000))-1),nrg_cb_e!$C$3:$C$40,0))</f>
        <v>FC_IND_CON_E</v>
      </c>
      <c r="G74" s="18">
        <v>0</v>
      </c>
      <c r="I74" s="12" t="s">
        <v>141</v>
      </c>
      <c r="J74" t="s">
        <v>54</v>
      </c>
      <c r="K74" t="s">
        <v>124</v>
      </c>
      <c r="L74" s="23">
        <v>1659</v>
      </c>
      <c r="M74" s="23">
        <v>1888</v>
      </c>
      <c r="N74" s="23">
        <v>2063</v>
      </c>
      <c r="O74" s="23">
        <v>1874</v>
      </c>
      <c r="P74" s="23">
        <v>2004</v>
      </c>
      <c r="Q74" s="23">
        <v>2026</v>
      </c>
      <c r="R74" s="23">
        <v>1909</v>
      </c>
      <c r="S74" s="23">
        <v>1667</v>
      </c>
      <c r="T74" s="23">
        <v>1908</v>
      </c>
      <c r="U74" s="23">
        <v>1779</v>
      </c>
      <c r="V74" s="23">
        <v>1856</v>
      </c>
      <c r="W74" s="23">
        <v>1913</v>
      </c>
      <c r="X74" s="23">
        <v>1910</v>
      </c>
      <c r="Y74" s="23">
        <v>1851</v>
      </c>
      <c r="Z74" s="23">
        <v>1850</v>
      </c>
      <c r="AA74" s="23">
        <v>1895</v>
      </c>
      <c r="AB74" s="23">
        <v>1933</v>
      </c>
    </row>
    <row r="75" spans="1:28" x14ac:dyDescent="0.2">
      <c r="A75" s="19" t="s">
        <v>33</v>
      </c>
      <c r="B75" s="20" t="s">
        <v>72</v>
      </c>
      <c r="C75" s="20" t="s">
        <v>8</v>
      </c>
      <c r="D75" s="20" t="s">
        <v>10</v>
      </c>
      <c r="E75" s="20" t="s">
        <v>17</v>
      </c>
      <c r="F75" s="20" t="str">
        <f>INDEX(nrg_cb_e!$A$3:$A$40,MATCH(LEFT(MID('Industriesektor GWh'!$B75,41,1000),SEARCH(" - ",MID('Industriesektor GWh'!$B75,41,1000))-1),nrg_cb_e!$C$3:$C$40,0))</f>
        <v>FC_IND_CON_E</v>
      </c>
      <c r="G75" s="21">
        <v>0</v>
      </c>
      <c r="J75" t="s">
        <v>54</v>
      </c>
      <c r="K75" t="s">
        <v>126</v>
      </c>
      <c r="L75" s="23">
        <v>929</v>
      </c>
      <c r="M75" s="23">
        <v>942</v>
      </c>
      <c r="N75" s="23">
        <v>981</v>
      </c>
      <c r="O75" s="23">
        <v>981</v>
      </c>
      <c r="P75" s="23">
        <v>1043</v>
      </c>
      <c r="Q75" s="23">
        <v>1019</v>
      </c>
      <c r="R75" s="23">
        <v>979</v>
      </c>
      <c r="S75" s="23">
        <v>734</v>
      </c>
      <c r="T75" s="23">
        <v>780</v>
      </c>
      <c r="U75" s="23">
        <v>855</v>
      </c>
      <c r="V75" s="23">
        <v>784</v>
      </c>
      <c r="W75" s="23">
        <v>767</v>
      </c>
      <c r="X75" s="23">
        <v>699</v>
      </c>
      <c r="Y75" s="23">
        <v>660</v>
      </c>
      <c r="Z75" s="23">
        <v>711</v>
      </c>
      <c r="AA75" s="23">
        <v>820</v>
      </c>
      <c r="AB75" s="23">
        <v>806</v>
      </c>
    </row>
    <row r="76" spans="1:28" x14ac:dyDescent="0.2">
      <c r="A76" s="16" t="s">
        <v>33</v>
      </c>
      <c r="B76" s="17" t="s">
        <v>72</v>
      </c>
      <c r="C76" s="17" t="s">
        <v>8</v>
      </c>
      <c r="D76" s="17" t="s">
        <v>10</v>
      </c>
      <c r="E76" s="17" t="s">
        <v>18</v>
      </c>
      <c r="F76" s="17" t="str">
        <f>INDEX(nrg_cb_e!$A$3:$A$40,MATCH(LEFT(MID('Industriesektor GWh'!$B76,41,1000),SEARCH(" - ",MID('Industriesektor GWh'!$B76,41,1000))-1),nrg_cb_e!$C$3:$C$40,0))</f>
        <v>FC_IND_CON_E</v>
      </c>
      <c r="G76" s="18">
        <v>0</v>
      </c>
      <c r="J76" t="s">
        <v>54</v>
      </c>
      <c r="K76" t="s">
        <v>136</v>
      </c>
      <c r="L76" s="23">
        <v>24949</v>
      </c>
      <c r="M76" s="23">
        <v>25118</v>
      </c>
      <c r="N76" s="23">
        <v>26271</v>
      </c>
      <c r="O76" s="23">
        <v>23639</v>
      </c>
      <c r="P76" s="23">
        <v>26811</v>
      </c>
      <c r="Q76" s="23">
        <v>26507</v>
      </c>
      <c r="R76" s="23">
        <v>23549</v>
      </c>
      <c r="S76" s="23">
        <v>18969</v>
      </c>
      <c r="T76" s="23">
        <v>20786</v>
      </c>
      <c r="U76" s="23">
        <v>20157</v>
      </c>
      <c r="V76" s="23">
        <v>19172</v>
      </c>
      <c r="W76" s="23">
        <v>19030</v>
      </c>
      <c r="X76" s="23">
        <v>18608</v>
      </c>
      <c r="Y76" s="23">
        <v>18258</v>
      </c>
      <c r="Z76" s="23">
        <v>17950</v>
      </c>
      <c r="AA76" s="23">
        <v>18107</v>
      </c>
      <c r="AB76" s="23">
        <v>18285</v>
      </c>
    </row>
    <row r="77" spans="1:28" x14ac:dyDescent="0.2">
      <c r="A77" s="19" t="s">
        <v>33</v>
      </c>
      <c r="B77" s="20" t="s">
        <v>72</v>
      </c>
      <c r="C77" s="20" t="s">
        <v>8</v>
      </c>
      <c r="D77" s="20" t="s">
        <v>10</v>
      </c>
      <c r="E77" s="20" t="s">
        <v>19</v>
      </c>
      <c r="F77" s="20" t="str">
        <f>INDEX(nrg_cb_e!$A$3:$A$40,MATCH(LEFT(MID('Industriesektor GWh'!$B77,41,1000),SEARCH(" - ",MID('Industriesektor GWh'!$B77,41,1000))-1),nrg_cb_e!$C$3:$C$40,0))</f>
        <v>FC_IND_CON_E</v>
      </c>
      <c r="G77" s="21">
        <v>0</v>
      </c>
      <c r="J77" t="s">
        <v>54</v>
      </c>
      <c r="K77" t="s">
        <v>128</v>
      </c>
      <c r="L77" s="23">
        <v>350</v>
      </c>
      <c r="M77" s="23">
        <v>302</v>
      </c>
      <c r="N77" s="23">
        <v>263</v>
      </c>
      <c r="O77" s="23">
        <v>289</v>
      </c>
      <c r="P77" s="23">
        <v>314</v>
      </c>
      <c r="Q77" s="23">
        <v>397</v>
      </c>
      <c r="R77" s="23">
        <v>369</v>
      </c>
      <c r="S77" s="23">
        <v>310</v>
      </c>
      <c r="T77" s="23">
        <v>400</v>
      </c>
      <c r="U77" s="23">
        <v>298</v>
      </c>
      <c r="V77" s="23">
        <v>284</v>
      </c>
      <c r="W77" s="23">
        <v>273</v>
      </c>
      <c r="X77" s="23">
        <v>280</v>
      </c>
      <c r="Y77" s="23">
        <v>325</v>
      </c>
      <c r="Z77" s="23">
        <v>350</v>
      </c>
      <c r="AA77" s="23">
        <v>326</v>
      </c>
      <c r="AB77" s="23">
        <v>295</v>
      </c>
    </row>
    <row r="78" spans="1:28" x14ac:dyDescent="0.2">
      <c r="A78" s="16" t="s">
        <v>33</v>
      </c>
      <c r="B78" s="17" t="s">
        <v>72</v>
      </c>
      <c r="C78" s="17" t="s">
        <v>8</v>
      </c>
      <c r="D78" s="17" t="s">
        <v>10</v>
      </c>
      <c r="E78" s="17" t="s">
        <v>20</v>
      </c>
      <c r="F78" s="17" t="str">
        <f>INDEX(nrg_cb_e!$A$3:$A$40,MATCH(LEFT(MID('Industriesektor GWh'!$B78,41,1000),SEARCH(" - ",MID('Industriesektor GWh'!$B78,41,1000))-1),nrg_cb_e!$C$3:$C$40,0))</f>
        <v>FC_IND_CON_E</v>
      </c>
      <c r="G78" s="18">
        <v>3975</v>
      </c>
      <c r="J78" t="s">
        <v>54</v>
      </c>
      <c r="K78" t="s">
        <v>142</v>
      </c>
      <c r="L78" s="23">
        <v>249</v>
      </c>
      <c r="M78" s="23">
        <v>229</v>
      </c>
      <c r="N78" s="23">
        <v>223</v>
      </c>
      <c r="O78" s="23">
        <v>209</v>
      </c>
      <c r="P78" s="23">
        <v>203</v>
      </c>
      <c r="Q78" s="23">
        <v>182</v>
      </c>
      <c r="R78" s="23">
        <v>163</v>
      </c>
      <c r="S78" s="23">
        <v>178</v>
      </c>
      <c r="T78" s="23">
        <v>134</v>
      </c>
      <c r="U78" s="23">
        <v>137</v>
      </c>
      <c r="V78" s="23">
        <v>207</v>
      </c>
      <c r="W78" s="23">
        <v>162</v>
      </c>
      <c r="X78" s="23">
        <v>119</v>
      </c>
      <c r="Y78" s="23">
        <v>123</v>
      </c>
      <c r="Z78" s="23">
        <v>124</v>
      </c>
      <c r="AA78" s="23">
        <v>109</v>
      </c>
      <c r="AB78" s="23">
        <v>114</v>
      </c>
    </row>
    <row r="79" spans="1:28" x14ac:dyDescent="0.2">
      <c r="A79" s="19" t="s">
        <v>33</v>
      </c>
      <c r="B79" s="20" t="s">
        <v>72</v>
      </c>
      <c r="C79" s="20" t="s">
        <v>8</v>
      </c>
      <c r="D79" s="20" t="s">
        <v>10</v>
      </c>
      <c r="E79" s="20" t="s">
        <v>21</v>
      </c>
      <c r="F79" s="20" t="str">
        <f>INDEX(nrg_cb_e!$A$3:$A$40,MATCH(LEFT(MID('Industriesektor GWh'!$B79,41,1000),SEARCH(" - ",MID('Industriesektor GWh'!$B79,41,1000))-1),nrg_cb_e!$C$3:$C$40,0))</f>
        <v>FC_IND_CON_E</v>
      </c>
      <c r="G79" s="21">
        <v>4429</v>
      </c>
      <c r="J79" t="s">
        <v>54</v>
      </c>
      <c r="K79" t="s">
        <v>138</v>
      </c>
      <c r="L79" s="23">
        <v>1564</v>
      </c>
      <c r="M79" s="23">
        <v>1630</v>
      </c>
      <c r="N79" s="23">
        <v>1652</v>
      </c>
      <c r="O79" s="23">
        <v>1625</v>
      </c>
      <c r="P79" s="23">
        <v>1694</v>
      </c>
      <c r="Q79" s="23">
        <v>1837</v>
      </c>
      <c r="R79" s="23">
        <v>1581</v>
      </c>
      <c r="S79" s="23">
        <v>1535</v>
      </c>
      <c r="T79" s="23">
        <v>1544</v>
      </c>
      <c r="U79" s="23">
        <v>1694</v>
      </c>
      <c r="V79" s="23">
        <v>1488</v>
      </c>
      <c r="W79" s="23">
        <v>1484</v>
      </c>
      <c r="X79" s="23">
        <v>1268</v>
      </c>
      <c r="Y79" s="23">
        <v>1281</v>
      </c>
      <c r="Z79" s="23">
        <v>1299</v>
      </c>
      <c r="AA79" s="23">
        <v>1618</v>
      </c>
      <c r="AB79" s="23">
        <v>1661</v>
      </c>
    </row>
    <row r="80" spans="1:28" x14ac:dyDescent="0.2">
      <c r="A80" s="16" t="s">
        <v>33</v>
      </c>
      <c r="B80" s="17" t="s">
        <v>72</v>
      </c>
      <c r="C80" s="17" t="s">
        <v>8</v>
      </c>
      <c r="D80" s="17" t="s">
        <v>10</v>
      </c>
      <c r="E80" s="17" t="s">
        <v>22</v>
      </c>
      <c r="F80" s="17" t="str">
        <f>INDEX(nrg_cb_e!$A$3:$A$40,MATCH(LEFT(MID('Industriesektor GWh'!$B80,41,1000),SEARCH(" - ",MID('Industriesektor GWh'!$B80,41,1000))-1),nrg_cb_e!$C$3:$C$40,0))</f>
        <v>FC_IND_CON_E</v>
      </c>
      <c r="G80" s="18">
        <v>4353</v>
      </c>
      <c r="J80" t="s">
        <v>54</v>
      </c>
      <c r="K80" t="s">
        <v>116</v>
      </c>
      <c r="L80" s="23">
        <v>1893</v>
      </c>
      <c r="M80" s="23">
        <v>1796</v>
      </c>
      <c r="N80" s="23">
        <v>1907</v>
      </c>
      <c r="O80" s="23">
        <v>1912</v>
      </c>
      <c r="P80" s="23">
        <v>1900</v>
      </c>
      <c r="Q80" s="23">
        <v>1460</v>
      </c>
      <c r="R80" s="23">
        <v>1706</v>
      </c>
      <c r="S80" s="23">
        <v>491</v>
      </c>
      <c r="T80" s="23">
        <v>1550</v>
      </c>
      <c r="U80" s="23">
        <v>629</v>
      </c>
      <c r="V80" s="23">
        <v>963</v>
      </c>
      <c r="W80" s="23">
        <v>761</v>
      </c>
      <c r="X80" s="23">
        <v>767</v>
      </c>
      <c r="Y80" s="23">
        <v>749</v>
      </c>
      <c r="Z80" s="23">
        <v>780</v>
      </c>
      <c r="AA80" s="23">
        <v>1001</v>
      </c>
      <c r="AB80" s="23">
        <v>951</v>
      </c>
    </row>
    <row r="81" spans="1:28" x14ac:dyDescent="0.2">
      <c r="A81" s="19" t="s">
        <v>33</v>
      </c>
      <c r="B81" s="20" t="s">
        <v>72</v>
      </c>
      <c r="C81" s="20" t="s">
        <v>8</v>
      </c>
      <c r="D81" s="20" t="s">
        <v>10</v>
      </c>
      <c r="E81" s="20" t="s">
        <v>23</v>
      </c>
      <c r="F81" s="20" t="str">
        <f>INDEX(nrg_cb_e!$A$3:$A$40,MATCH(LEFT(MID('Industriesektor GWh'!$B81,41,1000),SEARCH(" - ",MID('Industriesektor GWh'!$B81,41,1000))-1),nrg_cb_e!$C$3:$C$40,0))</f>
        <v>FC_IND_CON_E</v>
      </c>
      <c r="G81" s="21">
        <v>3581</v>
      </c>
      <c r="J81" t="s">
        <v>38</v>
      </c>
      <c r="K81" t="s">
        <v>140</v>
      </c>
      <c r="L81" s="23">
        <v>1457</v>
      </c>
      <c r="M81" s="23">
        <v>1587</v>
      </c>
      <c r="N81" s="23">
        <v>1650</v>
      </c>
      <c r="O81" s="23">
        <v>1735</v>
      </c>
      <c r="P81" s="23">
        <v>1859</v>
      </c>
      <c r="Q81" s="23">
        <v>1956</v>
      </c>
      <c r="R81" s="23">
        <v>2539</v>
      </c>
      <c r="S81" s="23">
        <v>1899</v>
      </c>
      <c r="T81" s="23">
        <v>2169</v>
      </c>
      <c r="U81" s="23">
        <v>7590.4920000000002</v>
      </c>
      <c r="V81" s="23">
        <v>7919.893</v>
      </c>
      <c r="W81" s="23">
        <v>7909.0020000000004</v>
      </c>
      <c r="X81" s="23">
        <v>7045.9639999999999</v>
      </c>
      <c r="Y81" s="23">
        <v>6817.56</v>
      </c>
      <c r="Z81" s="23">
        <v>6865.6930000000002</v>
      </c>
      <c r="AA81" s="23">
        <v>6808.7879999999996</v>
      </c>
      <c r="AB81" s="23">
        <v>6989.973</v>
      </c>
    </row>
    <row r="82" spans="1:28" x14ac:dyDescent="0.2">
      <c r="A82" s="16" t="s">
        <v>33</v>
      </c>
      <c r="B82" s="17" t="s">
        <v>72</v>
      </c>
      <c r="C82" s="17" t="s">
        <v>8</v>
      </c>
      <c r="D82" s="17" t="s">
        <v>10</v>
      </c>
      <c r="E82" s="17" t="s">
        <v>24</v>
      </c>
      <c r="F82" s="17" t="str">
        <f>INDEX(nrg_cb_e!$A$3:$A$40,MATCH(LEFT(MID('Industriesektor GWh'!$B82,41,1000),SEARCH(" - ",MID('Industriesektor GWh'!$B82,41,1000))-1),nrg_cb_e!$C$3:$C$40,0))</f>
        <v>FC_IND_CON_E</v>
      </c>
      <c r="G82" s="18">
        <v>4089</v>
      </c>
      <c r="J82" t="s">
        <v>38</v>
      </c>
      <c r="K82" t="s">
        <v>122</v>
      </c>
      <c r="L82" s="23">
        <v>24738</v>
      </c>
      <c r="M82" s="23">
        <v>23566</v>
      </c>
      <c r="N82" s="23">
        <v>24035</v>
      </c>
      <c r="O82" s="23">
        <v>24932</v>
      </c>
      <c r="P82" s="23">
        <v>24720</v>
      </c>
      <c r="Q82" s="23">
        <v>24844</v>
      </c>
      <c r="R82" s="23">
        <v>30704</v>
      </c>
      <c r="S82" s="23">
        <v>26559</v>
      </c>
      <c r="T82" s="23">
        <v>27640</v>
      </c>
      <c r="U82" s="23">
        <v>20232.866999999998</v>
      </c>
      <c r="V82" s="23">
        <v>19719.856</v>
      </c>
      <c r="W82" s="23">
        <v>19586.636999999999</v>
      </c>
      <c r="X82" s="23">
        <v>20257.506000000001</v>
      </c>
      <c r="Y82" s="23">
        <v>19952.143</v>
      </c>
      <c r="Z82" s="23">
        <v>19964.786</v>
      </c>
      <c r="AA82" s="23">
        <v>20377.413</v>
      </c>
      <c r="AB82" s="23">
        <v>20070.468000000001</v>
      </c>
    </row>
    <row r="83" spans="1:28" x14ac:dyDescent="0.2">
      <c r="A83" s="19" t="s">
        <v>33</v>
      </c>
      <c r="B83" s="20" t="s">
        <v>72</v>
      </c>
      <c r="C83" s="20" t="s">
        <v>8</v>
      </c>
      <c r="D83" s="20" t="s">
        <v>10</v>
      </c>
      <c r="E83" s="20" t="s">
        <v>25</v>
      </c>
      <c r="F83" s="20" t="str">
        <f>INDEX(nrg_cb_e!$A$3:$A$40,MATCH(LEFT(MID('Industriesektor GWh'!$B83,41,1000),SEARCH(" - ",MID('Industriesektor GWh'!$B83,41,1000))-1),nrg_cb_e!$C$3:$C$40,0))</f>
        <v>FC_IND_CON_E</v>
      </c>
      <c r="G83" s="21">
        <v>3945</v>
      </c>
      <c r="J83" t="s">
        <v>38</v>
      </c>
      <c r="K83" t="s">
        <v>134</v>
      </c>
      <c r="L83" s="23">
        <v>18931</v>
      </c>
      <c r="M83" s="23">
        <v>19595</v>
      </c>
      <c r="N83" s="23">
        <v>19259</v>
      </c>
      <c r="O83" s="23">
        <v>19748</v>
      </c>
      <c r="P83" s="23">
        <v>20100</v>
      </c>
      <c r="Q83" s="23">
        <v>20294</v>
      </c>
      <c r="R83" s="23">
        <v>20380</v>
      </c>
      <c r="S83" s="23">
        <v>20087</v>
      </c>
      <c r="T83" s="23">
        <v>20102</v>
      </c>
      <c r="U83" s="23">
        <v>21147.565999999999</v>
      </c>
      <c r="V83" s="23">
        <v>22130.891</v>
      </c>
      <c r="W83" s="23">
        <v>22041.330999999998</v>
      </c>
      <c r="X83" s="23">
        <v>21951.3</v>
      </c>
      <c r="Y83" s="23">
        <v>21960.723999999998</v>
      </c>
      <c r="Z83" s="23">
        <v>22335.911</v>
      </c>
      <c r="AA83" s="23">
        <v>21649.350999999999</v>
      </c>
      <c r="AB83" s="23">
        <v>22780.812000000002</v>
      </c>
    </row>
    <row r="84" spans="1:28" x14ac:dyDescent="0.2">
      <c r="A84" s="16" t="s">
        <v>33</v>
      </c>
      <c r="B84" s="17" t="s">
        <v>72</v>
      </c>
      <c r="C84" s="17" t="s">
        <v>8</v>
      </c>
      <c r="D84" s="17" t="s">
        <v>10</v>
      </c>
      <c r="E84" s="17" t="s">
        <v>26</v>
      </c>
      <c r="F84" s="17" t="str">
        <f>INDEX(nrg_cb_e!$A$3:$A$40,MATCH(LEFT(MID('Industriesektor GWh'!$B84,41,1000),SEARCH(" - ",MID('Industriesektor GWh'!$B84,41,1000))-1),nrg_cb_e!$C$3:$C$40,0))</f>
        <v>FC_IND_CON_E</v>
      </c>
      <c r="G84" s="18">
        <v>3976</v>
      </c>
      <c r="J84" t="s">
        <v>38</v>
      </c>
      <c r="K84" t="s">
        <v>120</v>
      </c>
      <c r="L84" s="23">
        <v>16162</v>
      </c>
      <c r="M84" s="23">
        <v>15561</v>
      </c>
      <c r="N84" s="23">
        <v>16362</v>
      </c>
      <c r="O84" s="23">
        <v>15611</v>
      </c>
      <c r="P84" s="23">
        <v>15924</v>
      </c>
      <c r="Q84" s="23">
        <v>15861</v>
      </c>
      <c r="R84" s="23">
        <v>11897</v>
      </c>
      <c r="S84" s="23">
        <v>8821</v>
      </c>
      <c r="T84" s="23">
        <v>10217</v>
      </c>
      <c r="U84" s="23">
        <v>12677.449000000001</v>
      </c>
      <c r="V84" s="23">
        <v>12581.119000000001</v>
      </c>
      <c r="W84" s="23">
        <v>12389.322</v>
      </c>
      <c r="X84" s="23">
        <v>12607.163</v>
      </c>
      <c r="Y84" s="23">
        <v>12052.245000000001</v>
      </c>
      <c r="Z84" s="23">
        <v>12299.036</v>
      </c>
      <c r="AA84" s="23">
        <v>11871.609</v>
      </c>
      <c r="AB84" s="23">
        <v>12067.746999999999</v>
      </c>
    </row>
    <row r="85" spans="1:28" x14ac:dyDescent="0.2">
      <c r="A85" s="19" t="s">
        <v>33</v>
      </c>
      <c r="B85" s="20" t="s">
        <v>72</v>
      </c>
      <c r="C85" s="20" t="s">
        <v>8</v>
      </c>
      <c r="D85" s="20" t="s">
        <v>10</v>
      </c>
      <c r="E85" s="20" t="s">
        <v>27</v>
      </c>
      <c r="F85" s="20" t="str">
        <f>INDEX(nrg_cb_e!$A$3:$A$40,MATCH(LEFT(MID('Industriesektor GWh'!$B85,41,1000),SEARCH(" - ",MID('Industriesektor GWh'!$B85,41,1000))-1),nrg_cb_e!$C$3:$C$40,0))</f>
        <v>FC_IND_CON_E</v>
      </c>
      <c r="G85" s="21">
        <v>4136</v>
      </c>
      <c r="J85" t="s">
        <v>38</v>
      </c>
      <c r="K85" t="s">
        <v>130</v>
      </c>
      <c r="L85" s="23">
        <v>14497</v>
      </c>
      <c r="M85" s="23">
        <v>13826</v>
      </c>
      <c r="N85" s="23">
        <v>13815</v>
      </c>
      <c r="O85" s="23">
        <v>11917</v>
      </c>
      <c r="P85" s="23">
        <v>13587</v>
      </c>
      <c r="Q85" s="23">
        <v>13572</v>
      </c>
      <c r="R85" s="23">
        <v>17299</v>
      </c>
      <c r="S85" s="23">
        <v>14662</v>
      </c>
      <c r="T85" s="23">
        <v>15936</v>
      </c>
      <c r="U85" s="23">
        <v>13733.833000000001</v>
      </c>
      <c r="V85" s="23">
        <v>13652.545</v>
      </c>
      <c r="W85" s="23">
        <v>13595.088</v>
      </c>
      <c r="X85" s="23">
        <v>13024.382</v>
      </c>
      <c r="Y85" s="23">
        <v>12974.174999999999</v>
      </c>
      <c r="Z85" s="23">
        <v>13020.529</v>
      </c>
      <c r="AA85" s="23">
        <v>13001.168</v>
      </c>
      <c r="AB85" s="23">
        <v>12912.174999999999</v>
      </c>
    </row>
    <row r="86" spans="1:28" x14ac:dyDescent="0.2">
      <c r="A86" s="16" t="s">
        <v>33</v>
      </c>
      <c r="B86" s="17" t="s">
        <v>72</v>
      </c>
      <c r="C86" s="17" t="s">
        <v>8</v>
      </c>
      <c r="D86" s="17" t="s">
        <v>10</v>
      </c>
      <c r="E86" s="17" t="s">
        <v>28</v>
      </c>
      <c r="F86" s="17" t="str">
        <f>INDEX(nrg_cb_e!$A$3:$A$40,MATCH(LEFT(MID('Industriesektor GWh'!$B86,41,1000),SEARCH(" - ",MID('Industriesektor GWh'!$B86,41,1000))-1),nrg_cb_e!$C$3:$C$40,0))</f>
        <v>FC_IND_CON_E</v>
      </c>
      <c r="G86" s="18">
        <v>4460</v>
      </c>
      <c r="J86" t="s">
        <v>38</v>
      </c>
      <c r="K86" t="s">
        <v>132</v>
      </c>
      <c r="L86" s="23">
        <v>1766</v>
      </c>
      <c r="M86" s="23">
        <v>1668</v>
      </c>
      <c r="N86" s="23">
        <v>1702</v>
      </c>
      <c r="O86" s="23">
        <v>1653</v>
      </c>
      <c r="P86" s="23">
        <v>1624</v>
      </c>
      <c r="Q86" s="23">
        <v>1658</v>
      </c>
      <c r="R86" s="23">
        <v>680</v>
      </c>
      <c r="S86" s="23">
        <v>552</v>
      </c>
      <c r="T86" s="23">
        <v>575</v>
      </c>
      <c r="U86" s="23">
        <v>1746.366</v>
      </c>
      <c r="V86" s="23">
        <v>1739.635</v>
      </c>
      <c r="W86" s="23">
        <v>1745.029</v>
      </c>
      <c r="X86" s="23">
        <v>1708.9860000000001</v>
      </c>
      <c r="Y86" s="23">
        <v>1638.509</v>
      </c>
      <c r="Z86" s="23">
        <v>1594.3309999999999</v>
      </c>
      <c r="AA86" s="23">
        <v>1629.502</v>
      </c>
      <c r="AB86" s="23">
        <v>1610.0889999999999</v>
      </c>
    </row>
    <row r="87" spans="1:28" x14ac:dyDescent="0.2">
      <c r="A87" s="19" t="s">
        <v>34</v>
      </c>
      <c r="B87" s="20" t="s">
        <v>72</v>
      </c>
      <c r="C87" s="20" t="s">
        <v>8</v>
      </c>
      <c r="D87" s="20" t="s">
        <v>10</v>
      </c>
      <c r="E87" s="20" t="s">
        <v>12</v>
      </c>
      <c r="F87" s="20" t="str">
        <f>INDEX(nrg_cb_e!$A$3:$A$40,MATCH(LEFT(MID('Industriesektor GWh'!$B87,41,1000),SEARCH(" - ",MID('Industriesektor GWh'!$B87,41,1000))-1),nrg_cb_e!$C$3:$C$40,0))</f>
        <v>FC_IND_CON_E</v>
      </c>
      <c r="G87" s="21">
        <v>94</v>
      </c>
      <c r="J87" t="s">
        <v>38</v>
      </c>
      <c r="K87" t="s">
        <v>124</v>
      </c>
      <c r="L87" s="23">
        <v>10211</v>
      </c>
      <c r="M87" s="23">
        <v>9919</v>
      </c>
      <c r="N87" s="23">
        <v>10197</v>
      </c>
      <c r="O87" s="23">
        <v>9833</v>
      </c>
      <c r="P87" s="23">
        <v>9548</v>
      </c>
      <c r="Q87" s="23">
        <v>9287</v>
      </c>
      <c r="R87" s="23">
        <v>7902</v>
      </c>
      <c r="S87" s="23">
        <v>7152</v>
      </c>
      <c r="T87" s="23">
        <v>7468</v>
      </c>
      <c r="U87" s="23">
        <v>8126.527</v>
      </c>
      <c r="V87" s="23">
        <v>7963.1180000000004</v>
      </c>
      <c r="W87" s="23">
        <v>7848.4709999999995</v>
      </c>
      <c r="X87" s="23">
        <v>8287.5779999999995</v>
      </c>
      <c r="Y87" s="23">
        <v>8734.6119999999992</v>
      </c>
      <c r="Z87" s="23">
        <v>8838.5040000000008</v>
      </c>
      <c r="AA87" s="23">
        <v>8933.1149999999998</v>
      </c>
      <c r="AB87" s="23">
        <v>8235.6280000000006</v>
      </c>
    </row>
    <row r="88" spans="1:28" x14ac:dyDescent="0.2">
      <c r="A88" s="16" t="s">
        <v>34</v>
      </c>
      <c r="B88" s="17" t="s">
        <v>72</v>
      </c>
      <c r="C88" s="17" t="s">
        <v>8</v>
      </c>
      <c r="D88" s="17" t="s">
        <v>10</v>
      </c>
      <c r="E88" s="17" t="s">
        <v>13</v>
      </c>
      <c r="F88" s="17" t="str">
        <f>INDEX(nrg_cb_e!$A$3:$A$40,MATCH(LEFT(MID('Industriesektor GWh'!$B88,41,1000),SEARCH(" - ",MID('Industriesektor GWh'!$B88,41,1000))-1),nrg_cb_e!$C$3:$C$40,0))</f>
        <v>FC_IND_CON_E</v>
      </c>
      <c r="G88" s="18">
        <v>96</v>
      </c>
      <c r="J88" t="s">
        <v>38</v>
      </c>
      <c r="K88" t="s">
        <v>126</v>
      </c>
      <c r="L88" s="23">
        <v>8550</v>
      </c>
      <c r="M88" s="23">
        <v>8582</v>
      </c>
      <c r="N88" s="23">
        <v>9013</v>
      </c>
      <c r="O88" s="23">
        <v>8832</v>
      </c>
      <c r="P88" s="23">
        <v>9005</v>
      </c>
      <c r="Q88" s="23">
        <v>8918</v>
      </c>
      <c r="R88" s="23">
        <v>10010</v>
      </c>
      <c r="S88" s="23">
        <v>8664</v>
      </c>
      <c r="T88" s="23">
        <v>9174</v>
      </c>
      <c r="U88" s="23">
        <v>8659.8780000000006</v>
      </c>
      <c r="V88" s="23">
        <v>8480.2909999999993</v>
      </c>
      <c r="W88" s="23">
        <v>8341.3619999999992</v>
      </c>
      <c r="X88" s="23">
        <v>8122.6809999999996</v>
      </c>
      <c r="Y88" s="23">
        <v>7949.47</v>
      </c>
      <c r="Z88" s="23">
        <v>8174.7039999999997</v>
      </c>
      <c r="AA88" s="23">
        <v>8228.7049999999999</v>
      </c>
      <c r="AB88" s="23">
        <v>8249.7440000000006</v>
      </c>
    </row>
    <row r="89" spans="1:28" x14ac:dyDescent="0.2">
      <c r="A89" s="19" t="s">
        <v>34</v>
      </c>
      <c r="B89" s="20" t="s">
        <v>72</v>
      </c>
      <c r="C89" s="20" t="s">
        <v>8</v>
      </c>
      <c r="D89" s="20" t="s">
        <v>10</v>
      </c>
      <c r="E89" s="20" t="s">
        <v>14</v>
      </c>
      <c r="F89" s="20" t="str">
        <f>INDEX(nrg_cb_e!$A$3:$A$40,MATCH(LEFT(MID('Industriesektor GWh'!$B89,41,1000),SEARCH(" - ",MID('Industriesektor GWh'!$B89,41,1000))-1),nrg_cb_e!$C$3:$C$40,0))</f>
        <v>FC_IND_CON_E</v>
      </c>
      <c r="G89" s="21">
        <v>95</v>
      </c>
      <c r="J89" t="s">
        <v>38</v>
      </c>
      <c r="K89" t="s">
        <v>136</v>
      </c>
      <c r="L89" s="23">
        <v>13617</v>
      </c>
      <c r="M89" s="23">
        <v>13288</v>
      </c>
      <c r="N89" s="23">
        <v>13368</v>
      </c>
      <c r="O89" s="23">
        <v>13490</v>
      </c>
      <c r="P89" s="23">
        <v>13076</v>
      </c>
      <c r="Q89" s="23">
        <v>12822</v>
      </c>
      <c r="R89" s="23">
        <v>10580</v>
      </c>
      <c r="S89" s="23">
        <v>9053</v>
      </c>
      <c r="T89" s="23">
        <v>9204</v>
      </c>
      <c r="U89" s="23">
        <v>10052.061</v>
      </c>
      <c r="V89" s="23">
        <v>9651.5920000000006</v>
      </c>
      <c r="W89" s="23">
        <v>9049.5550000000003</v>
      </c>
      <c r="X89" s="23">
        <v>8699.9179999999997</v>
      </c>
      <c r="Y89" s="23">
        <v>8261.9429999999993</v>
      </c>
      <c r="Z89" s="23">
        <v>8218.3580000000002</v>
      </c>
      <c r="AA89" s="23">
        <v>7991.0540000000001</v>
      </c>
      <c r="AB89" s="23">
        <v>7937.3339999999998</v>
      </c>
    </row>
    <row r="90" spans="1:28" x14ac:dyDescent="0.2">
      <c r="A90" s="16" t="s">
        <v>34</v>
      </c>
      <c r="B90" s="17" t="s">
        <v>72</v>
      </c>
      <c r="C90" s="17" t="s">
        <v>8</v>
      </c>
      <c r="D90" s="17" t="s">
        <v>10</v>
      </c>
      <c r="E90" s="17" t="s">
        <v>15</v>
      </c>
      <c r="F90" s="17" t="str">
        <f>INDEX(nrg_cb_e!$A$3:$A$40,MATCH(LEFT(MID('Industriesektor GWh'!$B90,41,1000),SEARCH(" - ",MID('Industriesektor GWh'!$B90,41,1000))-1),nrg_cb_e!$C$3:$C$40,0))</f>
        <v>FC_IND_CON_E</v>
      </c>
      <c r="G90" s="18">
        <v>97</v>
      </c>
      <c r="J90" t="s">
        <v>38</v>
      </c>
      <c r="K90" t="s">
        <v>128</v>
      </c>
      <c r="L90" s="23">
        <v>8354</v>
      </c>
      <c r="M90" s="23">
        <v>8371</v>
      </c>
      <c r="N90" s="23">
        <v>8403</v>
      </c>
      <c r="O90" s="23">
        <v>8264</v>
      </c>
      <c r="P90" s="23">
        <v>7960</v>
      </c>
      <c r="Q90" s="23">
        <v>7881</v>
      </c>
      <c r="R90" s="23">
        <v>8671</v>
      </c>
      <c r="S90" s="23">
        <v>7305</v>
      </c>
      <c r="T90" s="23">
        <v>7560</v>
      </c>
      <c r="U90" s="23">
        <v>6881.9880000000003</v>
      </c>
      <c r="V90" s="23">
        <v>6860.8419999999996</v>
      </c>
      <c r="W90" s="23">
        <v>6741.91</v>
      </c>
      <c r="X90" s="23">
        <v>6639.6059999999998</v>
      </c>
      <c r="Y90" s="23">
        <v>6692.3969999999999</v>
      </c>
      <c r="Z90" s="23">
        <v>7300.0309999999999</v>
      </c>
      <c r="AA90" s="23">
        <v>7213.7030000000004</v>
      </c>
      <c r="AB90" s="23">
        <v>7352</v>
      </c>
    </row>
    <row r="91" spans="1:28" x14ac:dyDescent="0.2">
      <c r="A91" s="19" t="s">
        <v>34</v>
      </c>
      <c r="B91" s="20" t="s">
        <v>72</v>
      </c>
      <c r="C91" s="20" t="s">
        <v>8</v>
      </c>
      <c r="D91" s="20" t="s">
        <v>10</v>
      </c>
      <c r="E91" s="20" t="s">
        <v>16</v>
      </c>
      <c r="F91" s="20" t="str">
        <f>INDEX(nrg_cb_e!$A$3:$A$40,MATCH(LEFT(MID('Industriesektor GWh'!$B91,41,1000),SEARCH(" - ",MID('Industriesektor GWh'!$B91,41,1000))-1),nrg_cb_e!$C$3:$C$40,0))</f>
        <v>FC_IND_CON_E</v>
      </c>
      <c r="G91" s="21">
        <v>107</v>
      </c>
      <c r="J91" t="s">
        <v>38</v>
      </c>
      <c r="K91" t="s">
        <v>142</v>
      </c>
      <c r="L91" s="23">
        <v>3151</v>
      </c>
      <c r="M91" s="23">
        <v>2942</v>
      </c>
      <c r="N91" s="23">
        <v>2825</v>
      </c>
      <c r="O91" s="23">
        <v>2567</v>
      </c>
      <c r="P91" s="23">
        <v>2398</v>
      </c>
      <c r="Q91" s="23">
        <v>2271</v>
      </c>
      <c r="R91" s="23">
        <v>2069</v>
      </c>
      <c r="S91" s="23">
        <v>1714</v>
      </c>
      <c r="T91" s="23">
        <v>1758</v>
      </c>
      <c r="U91" s="23">
        <v>1795.1489999999999</v>
      </c>
      <c r="V91" s="23">
        <v>1782.479</v>
      </c>
      <c r="W91" s="23">
        <v>1718.201</v>
      </c>
      <c r="X91" s="23">
        <v>1686.306</v>
      </c>
      <c r="Y91" s="23">
        <v>1606.597</v>
      </c>
      <c r="Z91" s="23">
        <v>1641.08</v>
      </c>
      <c r="AA91" s="23">
        <v>1628.42</v>
      </c>
      <c r="AB91" s="23">
        <v>1625.527</v>
      </c>
    </row>
    <row r="92" spans="1:28" x14ac:dyDescent="0.2">
      <c r="A92" s="16" t="s">
        <v>34</v>
      </c>
      <c r="B92" s="17" t="s">
        <v>72</v>
      </c>
      <c r="C92" s="17" t="s">
        <v>8</v>
      </c>
      <c r="D92" s="17" t="s">
        <v>10</v>
      </c>
      <c r="E92" s="17" t="s">
        <v>17</v>
      </c>
      <c r="F92" s="17" t="str">
        <f>INDEX(nrg_cb_e!$A$3:$A$40,MATCH(LEFT(MID('Industriesektor GWh'!$B92,41,1000),SEARCH(" - ",MID('Industriesektor GWh'!$B92,41,1000))-1),nrg_cb_e!$C$3:$C$40,0))</f>
        <v>FC_IND_CON_E</v>
      </c>
      <c r="G92" s="18">
        <v>106</v>
      </c>
      <c r="J92" t="s">
        <v>38</v>
      </c>
      <c r="K92" t="s">
        <v>138</v>
      </c>
      <c r="L92" s="23">
        <v>2168</v>
      </c>
      <c r="M92" s="23">
        <v>2221</v>
      </c>
      <c r="N92" s="23">
        <v>2276</v>
      </c>
      <c r="O92" s="23">
        <v>2276</v>
      </c>
      <c r="P92" s="23">
        <v>2300</v>
      </c>
      <c r="Q92" s="23">
        <v>2293</v>
      </c>
      <c r="R92" s="23">
        <v>2442</v>
      </c>
      <c r="S92" s="23">
        <v>2138</v>
      </c>
      <c r="T92" s="23">
        <v>2248</v>
      </c>
      <c r="U92" s="23">
        <v>2218.509</v>
      </c>
      <c r="V92" s="23">
        <v>2277.7330000000002</v>
      </c>
      <c r="W92" s="23">
        <v>2248.9389999999999</v>
      </c>
      <c r="X92" s="23">
        <v>2187.7089999999998</v>
      </c>
      <c r="Y92" s="23">
        <v>2228.9259999999999</v>
      </c>
      <c r="Z92" s="23">
        <v>2198.0279999999998</v>
      </c>
      <c r="AA92" s="23">
        <v>2208.7809999999999</v>
      </c>
      <c r="AB92" s="23">
        <v>2245.2109999999998</v>
      </c>
    </row>
    <row r="93" spans="1:28" x14ac:dyDescent="0.2">
      <c r="A93" s="19" t="s">
        <v>34</v>
      </c>
      <c r="B93" s="20" t="s">
        <v>72</v>
      </c>
      <c r="C93" s="20" t="s">
        <v>8</v>
      </c>
      <c r="D93" s="20" t="s">
        <v>10</v>
      </c>
      <c r="E93" s="20" t="s">
        <v>18</v>
      </c>
      <c r="F93" s="20" t="str">
        <f>INDEX(nrg_cb_e!$A$3:$A$40,MATCH(LEFT(MID('Industriesektor GWh'!$B93,41,1000),SEARCH(" - ",MID('Industriesektor GWh'!$B93,41,1000))-1),nrg_cb_e!$C$3:$C$40,0))</f>
        <v>FC_IND_CON_E</v>
      </c>
      <c r="G93" s="21">
        <v>101</v>
      </c>
      <c r="J93" t="s">
        <v>38</v>
      </c>
      <c r="K93" t="s">
        <v>116</v>
      </c>
      <c r="L93" s="23">
        <v>9748</v>
      </c>
      <c r="M93" s="23">
        <v>12714</v>
      </c>
      <c r="N93" s="23">
        <v>13683</v>
      </c>
      <c r="O93" s="23">
        <v>18689</v>
      </c>
      <c r="P93" s="23">
        <v>12163</v>
      </c>
      <c r="Q93" s="23">
        <v>10942</v>
      </c>
      <c r="R93" s="23">
        <v>3471</v>
      </c>
      <c r="S93" s="23">
        <v>3116</v>
      </c>
      <c r="T93" s="23">
        <v>3393</v>
      </c>
      <c r="U93" s="23">
        <v>11279.714</v>
      </c>
      <c r="V93" s="23">
        <v>12373.695</v>
      </c>
      <c r="W93" s="23">
        <v>12330.442999999999</v>
      </c>
      <c r="X93" s="23">
        <v>11707.764999999999</v>
      </c>
      <c r="Y93" s="23">
        <v>11893.432000000001</v>
      </c>
      <c r="Z93" s="23">
        <v>12265.981</v>
      </c>
      <c r="AA93" s="23">
        <v>12275.835999999999</v>
      </c>
      <c r="AB93" s="23">
        <v>11760.182000000001</v>
      </c>
    </row>
    <row r="94" spans="1:28" x14ac:dyDescent="0.2">
      <c r="A94" s="16" t="s">
        <v>34</v>
      </c>
      <c r="B94" s="17" t="s">
        <v>72</v>
      </c>
      <c r="C94" s="17" t="s">
        <v>8</v>
      </c>
      <c r="D94" s="17" t="s">
        <v>10</v>
      </c>
      <c r="E94" s="17" t="s">
        <v>19</v>
      </c>
      <c r="F94" s="17" t="str">
        <f>INDEX(nrg_cb_e!$A$3:$A$40,MATCH(LEFT(MID('Industriesektor GWh'!$B94,41,1000),SEARCH(" - ",MID('Industriesektor GWh'!$B94,41,1000))-1),nrg_cb_e!$C$3:$C$40,0))</f>
        <v>FC_IND_CON_E</v>
      </c>
      <c r="G94" s="18">
        <v>78</v>
      </c>
      <c r="J94" t="s">
        <v>36</v>
      </c>
      <c r="K94" t="s">
        <v>140</v>
      </c>
      <c r="L94" s="23">
        <v>98</v>
      </c>
      <c r="M94" s="23">
        <v>33</v>
      </c>
      <c r="N94" s="23">
        <v>2</v>
      </c>
      <c r="O94" s="23">
        <v>5</v>
      </c>
      <c r="P94" s="23">
        <v>6</v>
      </c>
      <c r="Q94" s="23">
        <v>7</v>
      </c>
      <c r="R94" s="23">
        <v>7</v>
      </c>
      <c r="S94" s="23">
        <v>1</v>
      </c>
      <c r="T94" s="23">
        <v>1</v>
      </c>
      <c r="U94" s="23">
        <v>1</v>
      </c>
      <c r="V94" s="23">
        <v>1</v>
      </c>
      <c r="W94" s="23">
        <v>1</v>
      </c>
      <c r="X94" s="23">
        <v>1</v>
      </c>
      <c r="Y94" s="23">
        <v>0</v>
      </c>
      <c r="Z94" s="23">
        <v>2</v>
      </c>
      <c r="AA94" s="23">
        <v>496.733</v>
      </c>
      <c r="AB94" s="23">
        <v>468.15</v>
      </c>
    </row>
    <row r="95" spans="1:28" x14ac:dyDescent="0.2">
      <c r="A95" s="19" t="s">
        <v>34</v>
      </c>
      <c r="B95" s="20" t="s">
        <v>72</v>
      </c>
      <c r="C95" s="20" t="s">
        <v>8</v>
      </c>
      <c r="D95" s="20" t="s">
        <v>10</v>
      </c>
      <c r="E95" s="20" t="s">
        <v>20</v>
      </c>
      <c r="F95" s="20" t="str">
        <f>INDEX(nrg_cb_e!$A$3:$A$40,MATCH(LEFT(MID('Industriesektor GWh'!$B95,41,1000),SEARCH(" - ",MID('Industriesektor GWh'!$B95,41,1000))-1),nrg_cb_e!$C$3:$C$40,0))</f>
        <v>FC_IND_CON_E</v>
      </c>
      <c r="G95" s="21">
        <v>62</v>
      </c>
      <c r="J95" t="s">
        <v>36</v>
      </c>
      <c r="K95" t="s">
        <v>122</v>
      </c>
      <c r="L95" s="23">
        <v>1154</v>
      </c>
      <c r="M95" s="23">
        <v>627</v>
      </c>
      <c r="N95" s="23">
        <v>524</v>
      </c>
      <c r="O95" s="23">
        <v>569</v>
      </c>
      <c r="P95" s="23">
        <v>529</v>
      </c>
      <c r="Q95" s="23">
        <v>98</v>
      </c>
      <c r="R95" s="23">
        <v>763</v>
      </c>
      <c r="S95" s="23">
        <v>729</v>
      </c>
      <c r="T95" s="23">
        <v>527</v>
      </c>
      <c r="U95" s="23">
        <v>467</v>
      </c>
      <c r="V95" s="23">
        <v>625</v>
      </c>
      <c r="W95" s="23">
        <v>600</v>
      </c>
      <c r="X95" s="23">
        <v>660</v>
      </c>
      <c r="Y95" s="23">
        <v>643</v>
      </c>
      <c r="Z95" s="23">
        <v>184</v>
      </c>
      <c r="AA95" s="23">
        <v>668.71799999999996</v>
      </c>
      <c r="AB95" s="23">
        <v>936.39</v>
      </c>
    </row>
    <row r="96" spans="1:28" x14ac:dyDescent="0.2">
      <c r="A96" s="16" t="s">
        <v>34</v>
      </c>
      <c r="B96" s="17" t="s">
        <v>72</v>
      </c>
      <c r="C96" s="17" t="s">
        <v>8</v>
      </c>
      <c r="D96" s="17" t="s">
        <v>10</v>
      </c>
      <c r="E96" s="17" t="s">
        <v>21</v>
      </c>
      <c r="F96" s="17" t="str">
        <f>INDEX(nrg_cb_e!$A$3:$A$40,MATCH(LEFT(MID('Industriesektor GWh'!$B96,41,1000),SEARCH(" - ",MID('Industriesektor GWh'!$B96,41,1000))-1),nrg_cb_e!$C$3:$C$40,0))</f>
        <v>FC_IND_CON_E</v>
      </c>
      <c r="G96" s="18">
        <v>71</v>
      </c>
      <c r="J96" t="s">
        <v>36</v>
      </c>
      <c r="K96" t="s">
        <v>134</v>
      </c>
      <c r="L96" s="23">
        <v>1285</v>
      </c>
      <c r="M96" s="23">
        <v>1875</v>
      </c>
      <c r="N96" s="23">
        <v>1899</v>
      </c>
      <c r="O96" s="23">
        <v>1896</v>
      </c>
      <c r="P96" s="23">
        <v>2006</v>
      </c>
      <c r="Q96" s="23">
        <v>2242</v>
      </c>
      <c r="R96" s="23">
        <v>2230</v>
      </c>
      <c r="S96" s="23">
        <v>2184</v>
      </c>
      <c r="T96" s="23">
        <v>2155</v>
      </c>
      <c r="U96" s="23">
        <v>2676</v>
      </c>
      <c r="V96" s="23">
        <v>2210</v>
      </c>
      <c r="W96" s="23">
        <v>2113</v>
      </c>
      <c r="X96" s="23">
        <v>2175</v>
      </c>
      <c r="Y96" s="23">
        <v>1852</v>
      </c>
      <c r="Z96" s="23">
        <v>1401</v>
      </c>
      <c r="AA96" s="23">
        <v>1037.8610000000001</v>
      </c>
      <c r="AB96" s="23">
        <v>1523.18</v>
      </c>
    </row>
    <row r="97" spans="1:28" x14ac:dyDescent="0.2">
      <c r="A97" s="19" t="s">
        <v>34</v>
      </c>
      <c r="B97" s="20" t="s">
        <v>72</v>
      </c>
      <c r="C97" s="20" t="s">
        <v>8</v>
      </c>
      <c r="D97" s="20" t="s">
        <v>10</v>
      </c>
      <c r="E97" s="20" t="s">
        <v>22</v>
      </c>
      <c r="F97" s="20" t="str">
        <f>INDEX(nrg_cb_e!$A$3:$A$40,MATCH(LEFT(MID('Industriesektor GWh'!$B97,41,1000),SEARCH(" - ",MID('Industriesektor GWh'!$B97,41,1000))-1),nrg_cb_e!$C$3:$C$40,0))</f>
        <v>FC_IND_CON_E</v>
      </c>
      <c r="G97" s="21">
        <v>82</v>
      </c>
      <c r="J97" t="s">
        <v>36</v>
      </c>
      <c r="K97" t="s">
        <v>120</v>
      </c>
      <c r="L97" s="23">
        <v>1416</v>
      </c>
      <c r="M97" s="23">
        <v>1550</v>
      </c>
      <c r="N97" s="23">
        <v>1506</v>
      </c>
      <c r="O97" s="23">
        <v>1683</v>
      </c>
      <c r="P97" s="23">
        <v>1776</v>
      </c>
      <c r="Q97" s="23">
        <v>1985</v>
      </c>
      <c r="R97" s="23">
        <v>1693</v>
      </c>
      <c r="S97" s="23">
        <v>1413</v>
      </c>
      <c r="T97" s="23">
        <v>1302</v>
      </c>
      <c r="U97" s="23">
        <v>1398</v>
      </c>
      <c r="V97" s="23">
        <v>919</v>
      </c>
      <c r="W97" s="23">
        <v>761</v>
      </c>
      <c r="X97" s="23">
        <v>777</v>
      </c>
      <c r="Y97" s="23">
        <v>706</v>
      </c>
      <c r="Z97" s="23">
        <v>870</v>
      </c>
      <c r="AA97" s="23">
        <v>1001</v>
      </c>
      <c r="AB97" s="23">
        <v>1063</v>
      </c>
    </row>
    <row r="98" spans="1:28" x14ac:dyDescent="0.2">
      <c r="A98" s="16" t="s">
        <v>34</v>
      </c>
      <c r="B98" s="17" t="s">
        <v>72</v>
      </c>
      <c r="C98" s="17" t="s">
        <v>8</v>
      </c>
      <c r="D98" s="17" t="s">
        <v>10</v>
      </c>
      <c r="E98" s="17" t="s">
        <v>23</v>
      </c>
      <c r="F98" s="17" t="str">
        <f>INDEX(nrg_cb_e!$A$3:$A$40,MATCH(LEFT(MID('Industriesektor GWh'!$B98,41,1000),SEARCH(" - ",MID('Industriesektor GWh'!$B98,41,1000))-1),nrg_cb_e!$C$3:$C$40,0))</f>
        <v>FC_IND_CON_E</v>
      </c>
      <c r="G98" s="18">
        <v>84</v>
      </c>
      <c r="J98" t="s">
        <v>36</v>
      </c>
      <c r="K98" t="s">
        <v>130</v>
      </c>
      <c r="L98" s="23">
        <v>636</v>
      </c>
      <c r="M98" s="23">
        <v>879</v>
      </c>
      <c r="N98" s="23">
        <v>561</v>
      </c>
      <c r="O98" s="23">
        <v>566</v>
      </c>
      <c r="P98" s="23">
        <v>603</v>
      </c>
      <c r="Q98" s="23">
        <v>674</v>
      </c>
      <c r="R98" s="23">
        <v>680</v>
      </c>
      <c r="S98" s="23">
        <v>51</v>
      </c>
      <c r="T98" s="23">
        <v>140</v>
      </c>
      <c r="U98" s="23">
        <v>475</v>
      </c>
      <c r="V98" s="23">
        <v>191</v>
      </c>
      <c r="W98" s="23">
        <v>205</v>
      </c>
      <c r="X98" s="23">
        <v>198</v>
      </c>
      <c r="Y98" s="23">
        <v>175</v>
      </c>
      <c r="Z98" s="23">
        <v>151</v>
      </c>
      <c r="AA98" s="23">
        <v>425.05900000000003</v>
      </c>
      <c r="AB98" s="23">
        <v>554.47</v>
      </c>
    </row>
    <row r="99" spans="1:28" x14ac:dyDescent="0.2">
      <c r="A99" s="19" t="s">
        <v>34</v>
      </c>
      <c r="B99" s="20" t="s">
        <v>72</v>
      </c>
      <c r="C99" s="20" t="s">
        <v>8</v>
      </c>
      <c r="D99" s="20" t="s">
        <v>10</v>
      </c>
      <c r="E99" s="20" t="s">
        <v>24</v>
      </c>
      <c r="F99" s="20" t="str">
        <f>INDEX(nrg_cb_e!$A$3:$A$40,MATCH(LEFT(MID('Industriesektor GWh'!$B99,41,1000),SEARCH(" - ",MID('Industriesektor GWh'!$B99,41,1000))-1),nrg_cb_e!$C$3:$C$40,0))</f>
        <v>FC_IND_CON_E</v>
      </c>
      <c r="G99" s="21">
        <v>78</v>
      </c>
      <c r="J99" t="s">
        <v>36</v>
      </c>
      <c r="K99" t="s">
        <v>132</v>
      </c>
      <c r="L99" s="23">
        <v>276</v>
      </c>
      <c r="M99" s="23">
        <v>89</v>
      </c>
      <c r="N99" s="23">
        <v>294</v>
      </c>
      <c r="O99" s="23">
        <v>264</v>
      </c>
      <c r="P99" s="23">
        <v>319</v>
      </c>
      <c r="Q99" s="23">
        <v>357</v>
      </c>
      <c r="R99" s="23">
        <v>361</v>
      </c>
      <c r="S99" s="23">
        <v>273</v>
      </c>
      <c r="T99" s="23">
        <v>157</v>
      </c>
      <c r="U99" s="23">
        <v>41</v>
      </c>
      <c r="V99" s="23">
        <v>37</v>
      </c>
      <c r="W99" s="23">
        <v>39</v>
      </c>
      <c r="X99" s="23">
        <v>40</v>
      </c>
      <c r="Y99" s="23">
        <v>29</v>
      </c>
      <c r="Z99" s="23">
        <v>20</v>
      </c>
      <c r="AA99" s="23">
        <v>62.920999999999999</v>
      </c>
      <c r="AB99" s="23">
        <v>204.95</v>
      </c>
    </row>
    <row r="100" spans="1:28" x14ac:dyDescent="0.2">
      <c r="A100" s="16" t="s">
        <v>34</v>
      </c>
      <c r="B100" s="17" t="s">
        <v>72</v>
      </c>
      <c r="C100" s="17" t="s">
        <v>8</v>
      </c>
      <c r="D100" s="17" t="s">
        <v>10</v>
      </c>
      <c r="E100" s="17" t="s">
        <v>25</v>
      </c>
      <c r="F100" s="17" t="str">
        <f>INDEX(nrg_cb_e!$A$3:$A$40,MATCH(LEFT(MID('Industriesektor GWh'!$B100,41,1000),SEARCH(" - ",MID('Industriesektor GWh'!$B100,41,1000))-1),nrg_cb_e!$C$3:$C$40,0))</f>
        <v>FC_IND_CON_E</v>
      </c>
      <c r="G100" s="18">
        <v>81</v>
      </c>
      <c r="J100" t="s">
        <v>36</v>
      </c>
      <c r="K100" t="s">
        <v>124</v>
      </c>
      <c r="L100" s="23">
        <v>3929</v>
      </c>
      <c r="M100" s="23">
        <v>3752</v>
      </c>
      <c r="N100" s="23">
        <v>4237</v>
      </c>
      <c r="O100" s="23">
        <v>4615</v>
      </c>
      <c r="P100" s="23">
        <v>4111</v>
      </c>
      <c r="Q100" s="23">
        <v>4594</v>
      </c>
      <c r="R100" s="23">
        <v>3956</v>
      </c>
      <c r="S100" s="23">
        <v>4051</v>
      </c>
      <c r="T100" s="23">
        <v>5396</v>
      </c>
      <c r="U100" s="23">
        <v>4262</v>
      </c>
      <c r="V100" s="23">
        <v>4644</v>
      </c>
      <c r="W100" s="23">
        <v>4710</v>
      </c>
      <c r="X100" s="23">
        <v>4710</v>
      </c>
      <c r="Y100" s="23">
        <v>4770</v>
      </c>
      <c r="Z100" s="23">
        <v>4366</v>
      </c>
      <c r="AA100" s="23">
        <v>4570.5370000000003</v>
      </c>
      <c r="AB100" s="23">
        <v>4867.25</v>
      </c>
    </row>
    <row r="101" spans="1:28" x14ac:dyDescent="0.2">
      <c r="A101" s="19" t="s">
        <v>34</v>
      </c>
      <c r="B101" s="20" t="s">
        <v>72</v>
      </c>
      <c r="C101" s="20" t="s">
        <v>8</v>
      </c>
      <c r="D101" s="20" t="s">
        <v>10</v>
      </c>
      <c r="E101" s="20" t="s">
        <v>26</v>
      </c>
      <c r="F101" s="20" t="str">
        <f>INDEX(nrg_cb_e!$A$3:$A$40,MATCH(LEFT(MID('Industriesektor GWh'!$B101,41,1000),SEARCH(" - ",MID('Industriesektor GWh'!$B101,41,1000))-1),nrg_cb_e!$C$3:$C$40,0))</f>
        <v>FC_IND_CON_E</v>
      </c>
      <c r="G101" s="21">
        <v>83</v>
      </c>
      <c r="J101" t="s">
        <v>36</v>
      </c>
      <c r="K101" t="s">
        <v>126</v>
      </c>
      <c r="L101" s="23">
        <v>2049</v>
      </c>
      <c r="M101" s="23">
        <v>2072</v>
      </c>
      <c r="N101" s="23">
        <v>2240</v>
      </c>
      <c r="O101" s="23">
        <v>2407</v>
      </c>
      <c r="P101" s="23">
        <v>2311</v>
      </c>
      <c r="Q101" s="23">
        <v>2582</v>
      </c>
      <c r="R101" s="23">
        <v>2245</v>
      </c>
      <c r="S101" s="23">
        <v>1784</v>
      </c>
      <c r="T101" s="23">
        <v>1712</v>
      </c>
      <c r="U101" s="23">
        <v>1066</v>
      </c>
      <c r="V101" s="23">
        <v>952</v>
      </c>
      <c r="W101" s="23">
        <v>1091</v>
      </c>
      <c r="X101" s="23">
        <v>1098</v>
      </c>
      <c r="Y101" s="23">
        <v>992</v>
      </c>
      <c r="Z101" s="23">
        <v>898</v>
      </c>
      <c r="AA101" s="23">
        <v>1011.638</v>
      </c>
      <c r="AB101" s="23">
        <v>1163.05</v>
      </c>
    </row>
    <row r="102" spans="1:28" x14ac:dyDescent="0.2">
      <c r="A102" s="16" t="s">
        <v>34</v>
      </c>
      <c r="B102" s="17" t="s">
        <v>72</v>
      </c>
      <c r="C102" s="17" t="s">
        <v>8</v>
      </c>
      <c r="D102" s="17" t="s">
        <v>10</v>
      </c>
      <c r="E102" s="17" t="s">
        <v>27</v>
      </c>
      <c r="F102" s="17" t="str">
        <f>INDEX(nrg_cb_e!$A$3:$A$40,MATCH(LEFT(MID('Industriesektor GWh'!$B102,41,1000),SEARCH(" - ",MID('Industriesektor GWh'!$B102,41,1000))-1),nrg_cb_e!$C$3:$C$40,0))</f>
        <v>FC_IND_CON_E</v>
      </c>
      <c r="G102" s="18">
        <v>82</v>
      </c>
      <c r="J102" t="s">
        <v>36</v>
      </c>
      <c r="K102" t="s">
        <v>136</v>
      </c>
      <c r="L102" s="23">
        <v>473</v>
      </c>
      <c r="M102" s="23">
        <v>576</v>
      </c>
      <c r="N102" s="23">
        <v>584</v>
      </c>
      <c r="O102" s="23">
        <v>543</v>
      </c>
      <c r="P102" s="23">
        <v>583</v>
      </c>
      <c r="Q102" s="23">
        <v>652</v>
      </c>
      <c r="R102" s="23">
        <v>613</v>
      </c>
      <c r="S102" s="23">
        <v>580</v>
      </c>
      <c r="T102" s="23">
        <v>641</v>
      </c>
      <c r="U102" s="23">
        <v>402</v>
      </c>
      <c r="V102" s="23">
        <v>537</v>
      </c>
      <c r="W102" s="23">
        <v>526</v>
      </c>
      <c r="X102" s="23">
        <v>548</v>
      </c>
      <c r="Y102" s="23">
        <v>498</v>
      </c>
      <c r="Z102" s="23">
        <v>207</v>
      </c>
      <c r="AA102" s="23">
        <v>211.578</v>
      </c>
      <c r="AB102" s="23">
        <v>203.76</v>
      </c>
    </row>
    <row r="103" spans="1:28" x14ac:dyDescent="0.2">
      <c r="A103" s="19" t="s">
        <v>34</v>
      </c>
      <c r="B103" s="20" t="s">
        <v>72</v>
      </c>
      <c r="C103" s="20" t="s">
        <v>8</v>
      </c>
      <c r="D103" s="20" t="s">
        <v>10</v>
      </c>
      <c r="E103" s="20" t="s">
        <v>28</v>
      </c>
      <c r="F103" s="20" t="str">
        <f>INDEX(nrg_cb_e!$A$3:$A$40,MATCH(LEFT(MID('Industriesektor GWh'!$B103,41,1000),SEARCH(" - ",MID('Industriesektor GWh'!$B103,41,1000))-1),nrg_cb_e!$C$3:$C$40,0))</f>
        <v>FC_IND_CON_E</v>
      </c>
      <c r="G103" s="21">
        <v>71</v>
      </c>
      <c r="J103" t="s">
        <v>36</v>
      </c>
      <c r="K103" t="s">
        <v>128</v>
      </c>
      <c r="L103" s="23">
        <v>172</v>
      </c>
      <c r="M103" s="23">
        <v>173</v>
      </c>
      <c r="N103" s="23">
        <v>159</v>
      </c>
      <c r="O103" s="23">
        <v>125</v>
      </c>
      <c r="P103" s="23">
        <v>118</v>
      </c>
      <c r="Q103" s="23">
        <v>132</v>
      </c>
      <c r="R103" s="23">
        <v>156</v>
      </c>
      <c r="S103" s="23">
        <v>160</v>
      </c>
      <c r="T103" s="23">
        <v>85</v>
      </c>
      <c r="U103" s="23">
        <v>330</v>
      </c>
      <c r="V103" s="23">
        <v>138</v>
      </c>
      <c r="W103" s="23">
        <v>117</v>
      </c>
      <c r="X103" s="23">
        <v>105</v>
      </c>
      <c r="Y103" s="23">
        <v>105</v>
      </c>
      <c r="Z103" s="23">
        <v>39</v>
      </c>
      <c r="AA103" s="23">
        <v>53.357999999999997</v>
      </c>
      <c r="AB103" s="23">
        <v>74.72</v>
      </c>
    </row>
    <row r="104" spans="1:28" x14ac:dyDescent="0.2">
      <c r="A104" s="16" t="s">
        <v>35</v>
      </c>
      <c r="B104" s="17" t="s">
        <v>72</v>
      </c>
      <c r="C104" s="17" t="s">
        <v>8</v>
      </c>
      <c r="D104" s="17" t="s">
        <v>10</v>
      </c>
      <c r="E104" s="17" t="s">
        <v>12</v>
      </c>
      <c r="F104" s="17" t="str">
        <f>INDEX(nrg_cb_e!$A$3:$A$40,MATCH(LEFT(MID('Industriesektor GWh'!$B104,41,1000),SEARCH(" - ",MID('Industriesektor GWh'!$B104,41,1000))-1),nrg_cb_e!$C$3:$C$40,0))</f>
        <v>FC_IND_CON_E</v>
      </c>
      <c r="G104" s="18">
        <v>84</v>
      </c>
      <c r="J104" t="s">
        <v>36</v>
      </c>
      <c r="K104" t="s">
        <v>142</v>
      </c>
      <c r="L104" s="23">
        <v>965</v>
      </c>
      <c r="M104" s="23">
        <v>1013</v>
      </c>
      <c r="N104" s="23">
        <v>941</v>
      </c>
      <c r="O104" s="23">
        <v>759</v>
      </c>
      <c r="P104" s="23">
        <v>739</v>
      </c>
      <c r="Q104" s="23">
        <v>826</v>
      </c>
      <c r="R104" s="23">
        <v>842</v>
      </c>
      <c r="S104" s="23">
        <v>612</v>
      </c>
      <c r="T104" s="23">
        <v>613</v>
      </c>
      <c r="U104" s="23">
        <v>545</v>
      </c>
      <c r="V104" s="23">
        <v>320</v>
      </c>
      <c r="W104" s="23">
        <v>298</v>
      </c>
      <c r="X104" s="23">
        <v>197</v>
      </c>
      <c r="Y104" s="23">
        <v>203</v>
      </c>
      <c r="Z104" s="23">
        <v>313</v>
      </c>
      <c r="AA104" s="23">
        <v>229.91499999999999</v>
      </c>
      <c r="AB104" s="23">
        <v>869.99</v>
      </c>
    </row>
    <row r="105" spans="1:28" x14ac:dyDescent="0.2">
      <c r="A105" s="19" t="s">
        <v>35</v>
      </c>
      <c r="B105" s="20" t="s">
        <v>72</v>
      </c>
      <c r="C105" s="20" t="s">
        <v>8</v>
      </c>
      <c r="D105" s="20" t="s">
        <v>10</v>
      </c>
      <c r="E105" s="20" t="s">
        <v>13</v>
      </c>
      <c r="F105" s="20" t="str">
        <f>INDEX(nrg_cb_e!$A$3:$A$40,MATCH(LEFT(MID('Industriesektor GWh'!$B105,41,1000),SEARCH(" - ",MID('Industriesektor GWh'!$B105,41,1000))-1),nrg_cb_e!$C$3:$C$40,0))</f>
        <v>FC_IND_CON_E</v>
      </c>
      <c r="G105" s="21">
        <v>73</v>
      </c>
      <c r="J105" t="s">
        <v>36</v>
      </c>
      <c r="K105" t="s">
        <v>138</v>
      </c>
      <c r="L105" s="23">
        <v>150</v>
      </c>
      <c r="M105" s="23">
        <v>248</v>
      </c>
      <c r="N105" s="23">
        <v>273</v>
      </c>
      <c r="O105" s="23">
        <v>221</v>
      </c>
      <c r="P105" s="23">
        <v>237</v>
      </c>
      <c r="Q105" s="23">
        <v>265</v>
      </c>
      <c r="R105" s="23">
        <v>270</v>
      </c>
      <c r="S105" s="23">
        <v>226</v>
      </c>
      <c r="T105" s="23">
        <v>222</v>
      </c>
      <c r="U105" s="23">
        <v>308</v>
      </c>
      <c r="V105" s="23">
        <v>200</v>
      </c>
      <c r="W105" s="23">
        <v>137</v>
      </c>
      <c r="X105" s="23">
        <v>130</v>
      </c>
      <c r="Y105" s="23">
        <v>128</v>
      </c>
      <c r="Z105" s="23">
        <v>54</v>
      </c>
      <c r="AA105" s="23">
        <v>65.814999999999998</v>
      </c>
      <c r="AB105" s="23">
        <v>265.74</v>
      </c>
    </row>
    <row r="106" spans="1:28" x14ac:dyDescent="0.2">
      <c r="A106" s="16" t="s">
        <v>35</v>
      </c>
      <c r="B106" s="17" t="s">
        <v>72</v>
      </c>
      <c r="C106" s="17" t="s">
        <v>8</v>
      </c>
      <c r="D106" s="17" t="s">
        <v>10</v>
      </c>
      <c r="E106" s="17" t="s">
        <v>14</v>
      </c>
      <c r="F106" s="17" t="str">
        <f>INDEX(nrg_cb_e!$A$3:$A$40,MATCH(LEFT(MID('Industriesektor GWh'!$B106,41,1000),SEARCH(" - ",MID('Industriesektor GWh'!$B106,41,1000))-1),nrg_cb_e!$C$3:$C$40,0))</f>
        <v>FC_IND_CON_E</v>
      </c>
      <c r="G106" s="18">
        <v>73</v>
      </c>
      <c r="J106" t="s">
        <v>36</v>
      </c>
      <c r="K106" t="s">
        <v>116</v>
      </c>
      <c r="L106" s="23">
        <v>1527</v>
      </c>
      <c r="M106" s="23">
        <v>1269</v>
      </c>
      <c r="N106" s="23">
        <v>767</v>
      </c>
      <c r="O106" s="23">
        <v>766</v>
      </c>
      <c r="P106" s="23">
        <v>818</v>
      </c>
      <c r="Q106" s="23">
        <v>914</v>
      </c>
      <c r="R106" s="23">
        <v>1669</v>
      </c>
      <c r="S106" s="23">
        <v>2003</v>
      </c>
      <c r="T106" s="23">
        <v>1191</v>
      </c>
      <c r="U106" s="23">
        <v>2669</v>
      </c>
      <c r="V106" s="23">
        <v>799</v>
      </c>
      <c r="W106" s="23">
        <v>768</v>
      </c>
      <c r="X106" s="23">
        <v>2230</v>
      </c>
      <c r="Y106" s="23">
        <v>2567</v>
      </c>
      <c r="Z106" s="23">
        <v>2780</v>
      </c>
      <c r="AA106" s="23">
        <v>2448.87</v>
      </c>
      <c r="AB106" s="23">
        <v>218.85</v>
      </c>
    </row>
    <row r="107" spans="1:28" x14ac:dyDescent="0.2">
      <c r="A107" s="19" t="s">
        <v>35</v>
      </c>
      <c r="B107" s="20" t="s">
        <v>72</v>
      </c>
      <c r="C107" s="20" t="s">
        <v>8</v>
      </c>
      <c r="D107" s="20" t="s">
        <v>10</v>
      </c>
      <c r="E107" s="20" t="s">
        <v>15</v>
      </c>
      <c r="F107" s="20" t="str">
        <f>INDEX(nrg_cb_e!$A$3:$A$40,MATCH(LEFT(MID('Industriesektor GWh'!$B107,41,1000),SEARCH(" - ",MID('Industriesektor GWh'!$B107,41,1000))-1),nrg_cb_e!$C$3:$C$40,0))</f>
        <v>FC_IND_CON_E</v>
      </c>
      <c r="G107" s="21">
        <v>73</v>
      </c>
      <c r="J107" t="s">
        <v>35</v>
      </c>
      <c r="K107" t="s">
        <v>140</v>
      </c>
      <c r="L107" s="23">
        <v>84</v>
      </c>
      <c r="M107" s="23">
        <v>73</v>
      </c>
      <c r="N107" s="23">
        <v>73</v>
      </c>
      <c r="O107" s="23">
        <v>73</v>
      </c>
      <c r="P107" s="23">
        <v>73</v>
      </c>
      <c r="Q107" s="23">
        <v>73</v>
      </c>
      <c r="R107" s="23">
        <v>73</v>
      </c>
      <c r="S107" s="23">
        <v>73</v>
      </c>
      <c r="T107" s="23">
        <v>73</v>
      </c>
      <c r="U107" s="23">
        <v>73</v>
      </c>
      <c r="V107" s="23">
        <v>73</v>
      </c>
      <c r="W107" s="23">
        <v>73</v>
      </c>
      <c r="X107" s="23">
        <v>73</v>
      </c>
      <c r="Y107" s="23">
        <v>73</v>
      </c>
      <c r="Z107" s="23">
        <v>73</v>
      </c>
      <c r="AA107" s="23">
        <v>73</v>
      </c>
      <c r="AB107" s="23">
        <v>73</v>
      </c>
    </row>
    <row r="108" spans="1:28" x14ac:dyDescent="0.2">
      <c r="A108" s="16" t="s">
        <v>35</v>
      </c>
      <c r="B108" s="17" t="s">
        <v>72</v>
      </c>
      <c r="C108" s="17" t="s">
        <v>8</v>
      </c>
      <c r="D108" s="17" t="s">
        <v>10</v>
      </c>
      <c r="E108" s="17" t="s">
        <v>16</v>
      </c>
      <c r="F108" s="17" t="str">
        <f>INDEX(nrg_cb_e!$A$3:$A$40,MATCH(LEFT(MID('Industriesektor GWh'!$B108,41,1000),SEARCH(" - ",MID('Industriesektor GWh'!$B108,41,1000))-1),nrg_cb_e!$C$3:$C$40,0))</f>
        <v>FC_IND_CON_E</v>
      </c>
      <c r="G108" s="18">
        <v>73</v>
      </c>
      <c r="J108" t="s">
        <v>35</v>
      </c>
      <c r="K108" t="s">
        <v>122</v>
      </c>
      <c r="L108" s="23">
        <v>1388.527</v>
      </c>
      <c r="M108" s="23">
        <v>1292.913</v>
      </c>
      <c r="N108" s="23">
        <v>1223.6020000000001</v>
      </c>
      <c r="O108" s="23">
        <v>1363.6489999999999</v>
      </c>
      <c r="P108" s="23">
        <v>1376.876</v>
      </c>
      <c r="Q108" s="23">
        <v>1377.9680000000001</v>
      </c>
      <c r="R108" s="23">
        <v>1379.7470000000001</v>
      </c>
      <c r="S108" s="23">
        <v>1509.288</v>
      </c>
      <c r="T108" s="23">
        <v>1653.2929999999999</v>
      </c>
      <c r="U108" s="23">
        <v>1725.999</v>
      </c>
      <c r="V108" s="23">
        <v>1661.2280000000001</v>
      </c>
      <c r="W108" s="23">
        <v>1686.99</v>
      </c>
      <c r="X108" s="23">
        <v>1707.1369999999999</v>
      </c>
      <c r="Y108" s="23">
        <v>1788.126</v>
      </c>
      <c r="Z108" s="23">
        <v>1846.3130000000001</v>
      </c>
      <c r="AA108" s="23">
        <v>1866.85</v>
      </c>
      <c r="AB108" s="23">
        <v>1986.75</v>
      </c>
    </row>
    <row r="109" spans="1:28" x14ac:dyDescent="0.2">
      <c r="A109" s="19" t="s">
        <v>35</v>
      </c>
      <c r="B109" s="20" t="s">
        <v>72</v>
      </c>
      <c r="C109" s="20" t="s">
        <v>8</v>
      </c>
      <c r="D109" s="20" t="s">
        <v>10</v>
      </c>
      <c r="E109" s="20" t="s">
        <v>17</v>
      </c>
      <c r="F109" s="20" t="str">
        <f>INDEX(nrg_cb_e!$A$3:$A$40,MATCH(LEFT(MID('Industriesektor GWh'!$B109,41,1000),SEARCH(" - ",MID('Industriesektor GWh'!$B109,41,1000))-1),nrg_cb_e!$C$3:$C$40,0))</f>
        <v>FC_IND_CON_E</v>
      </c>
      <c r="G109" s="21">
        <v>73</v>
      </c>
      <c r="J109" t="s">
        <v>35</v>
      </c>
      <c r="K109" t="s">
        <v>134</v>
      </c>
      <c r="L109" s="23">
        <v>1888.9739999999999</v>
      </c>
      <c r="M109" s="23">
        <v>1758.9</v>
      </c>
      <c r="N109" s="23">
        <v>1664.6079999999999</v>
      </c>
      <c r="O109" s="23">
        <v>1855.13</v>
      </c>
      <c r="P109" s="23">
        <v>1807.55</v>
      </c>
      <c r="Q109" s="23">
        <v>1664.0440000000001</v>
      </c>
      <c r="R109" s="23">
        <v>1545.152</v>
      </c>
      <c r="S109" s="23">
        <v>1690.223</v>
      </c>
      <c r="T109" s="23">
        <v>1940.329</v>
      </c>
      <c r="U109" s="23">
        <v>2025.6569999999999</v>
      </c>
      <c r="V109" s="23">
        <v>1949.6410000000001</v>
      </c>
      <c r="W109" s="23">
        <v>1979.876</v>
      </c>
      <c r="X109" s="23">
        <v>2003.521</v>
      </c>
      <c r="Y109" s="23">
        <v>2098.5700000000002</v>
      </c>
      <c r="Z109" s="23">
        <v>2166.86</v>
      </c>
      <c r="AA109" s="23">
        <v>2190.962</v>
      </c>
      <c r="AB109" s="23">
        <v>2331.6779999999999</v>
      </c>
    </row>
    <row r="110" spans="1:28" x14ac:dyDescent="0.2">
      <c r="A110" s="16" t="s">
        <v>35</v>
      </c>
      <c r="B110" s="17" t="s">
        <v>72</v>
      </c>
      <c r="C110" s="17" t="s">
        <v>8</v>
      </c>
      <c r="D110" s="17" t="s">
        <v>10</v>
      </c>
      <c r="E110" s="17" t="s">
        <v>18</v>
      </c>
      <c r="F110" s="17" t="str">
        <f>INDEX(nrg_cb_e!$A$3:$A$40,MATCH(LEFT(MID('Industriesektor GWh'!$B110,41,1000),SEARCH(" - ",MID('Industriesektor GWh'!$B110,41,1000))-1),nrg_cb_e!$C$3:$C$40,0))</f>
        <v>FC_IND_CON_E</v>
      </c>
      <c r="G110" s="18">
        <v>73</v>
      </c>
      <c r="J110" t="s">
        <v>35</v>
      </c>
      <c r="K110" t="s">
        <v>120</v>
      </c>
      <c r="L110" s="23">
        <v>22</v>
      </c>
      <c r="M110" s="23">
        <v>12</v>
      </c>
      <c r="N110" s="23">
        <v>12</v>
      </c>
      <c r="O110" s="23">
        <v>12</v>
      </c>
      <c r="P110" s="23">
        <v>12</v>
      </c>
      <c r="Q110" s="23">
        <v>0</v>
      </c>
      <c r="R110" s="23">
        <v>0</v>
      </c>
      <c r="S110" s="23">
        <v>0</v>
      </c>
      <c r="T110" s="23">
        <v>0</v>
      </c>
      <c r="U110" s="23">
        <v>0</v>
      </c>
      <c r="V110" s="23">
        <v>0</v>
      </c>
      <c r="W110" s="23">
        <v>0</v>
      </c>
      <c r="X110" s="23">
        <v>0</v>
      </c>
      <c r="Y110" s="23">
        <v>0</v>
      </c>
      <c r="Z110" s="23">
        <v>0</v>
      </c>
      <c r="AA110" s="23">
        <v>0</v>
      </c>
      <c r="AB110" s="23">
        <v>0</v>
      </c>
    </row>
    <row r="111" spans="1:28" x14ac:dyDescent="0.2">
      <c r="A111" s="19" t="s">
        <v>35</v>
      </c>
      <c r="B111" s="20" t="s">
        <v>72</v>
      </c>
      <c r="C111" s="20" t="s">
        <v>8</v>
      </c>
      <c r="D111" s="20" t="s">
        <v>10</v>
      </c>
      <c r="E111" s="20" t="s">
        <v>19</v>
      </c>
      <c r="F111" s="20" t="str">
        <f>INDEX(nrg_cb_e!$A$3:$A$40,MATCH(LEFT(MID('Industriesektor GWh'!$B111,41,1000),SEARCH(" - ",MID('Industriesektor GWh'!$B111,41,1000))-1),nrg_cb_e!$C$3:$C$40,0))</f>
        <v>FC_IND_CON_E</v>
      </c>
      <c r="G111" s="21">
        <v>73</v>
      </c>
      <c r="J111" t="s">
        <v>35</v>
      </c>
      <c r="K111" t="s">
        <v>130</v>
      </c>
      <c r="L111" s="23">
        <v>1416.683</v>
      </c>
      <c r="M111" s="23">
        <v>1327.616</v>
      </c>
      <c r="N111" s="23">
        <v>1255.8019999999999</v>
      </c>
      <c r="O111" s="23">
        <v>1400.9069999999999</v>
      </c>
      <c r="P111" s="23">
        <v>1926.3579999999999</v>
      </c>
      <c r="Q111" s="23">
        <v>1418.7639999999999</v>
      </c>
      <c r="R111" s="23">
        <v>1345.422</v>
      </c>
      <c r="S111" s="23">
        <v>1471.741</v>
      </c>
      <c r="T111" s="23">
        <v>1355.4670000000001</v>
      </c>
      <c r="U111" s="23">
        <v>1415.075</v>
      </c>
      <c r="V111" s="23">
        <v>1361.972</v>
      </c>
      <c r="W111" s="23">
        <v>1383.0930000000001</v>
      </c>
      <c r="X111" s="23">
        <v>1399.6110000000001</v>
      </c>
      <c r="Y111" s="23">
        <v>1466.01</v>
      </c>
      <c r="Z111" s="23">
        <v>1513.7159999999999</v>
      </c>
      <c r="AA111" s="23">
        <v>1530.5530000000001</v>
      </c>
      <c r="AB111" s="23">
        <v>1628.854</v>
      </c>
    </row>
    <row r="112" spans="1:28" x14ac:dyDescent="0.2">
      <c r="A112" s="16" t="s">
        <v>35</v>
      </c>
      <c r="B112" s="17" t="s">
        <v>72</v>
      </c>
      <c r="C112" s="17" t="s">
        <v>8</v>
      </c>
      <c r="D112" s="17" t="s">
        <v>10</v>
      </c>
      <c r="E112" s="17" t="s">
        <v>20</v>
      </c>
      <c r="F112" s="17" t="str">
        <f>INDEX(nrg_cb_e!$A$3:$A$40,MATCH(LEFT(MID('Industriesektor GWh'!$B112,41,1000),SEARCH(" - ",MID('Industriesektor GWh'!$B112,41,1000))-1),nrg_cb_e!$C$3:$C$40,0))</f>
        <v>FC_IND_CON_E</v>
      </c>
      <c r="G112" s="18">
        <v>73</v>
      </c>
      <c r="J112" t="s">
        <v>35</v>
      </c>
      <c r="K112" t="s">
        <v>132</v>
      </c>
      <c r="L112" s="23">
        <v>465.17399999999998</v>
      </c>
      <c r="M112" s="23">
        <v>433.142</v>
      </c>
      <c r="N112" s="23">
        <v>409.92200000000003</v>
      </c>
      <c r="O112" s="23">
        <v>456.839</v>
      </c>
      <c r="P112" s="23">
        <v>649.64400000000001</v>
      </c>
      <c r="Q112" s="23">
        <v>675.10799999999995</v>
      </c>
      <c r="R112" s="23">
        <v>588.01300000000003</v>
      </c>
      <c r="S112" s="23">
        <v>643.221</v>
      </c>
      <c r="T112" s="23">
        <v>652.70100000000002</v>
      </c>
      <c r="U112" s="23">
        <v>681.404</v>
      </c>
      <c r="V112" s="23">
        <v>655.83299999999997</v>
      </c>
      <c r="W112" s="23">
        <v>666.00400000000002</v>
      </c>
      <c r="X112" s="23">
        <v>673.95799999999997</v>
      </c>
      <c r="Y112" s="23">
        <v>705.93100000000004</v>
      </c>
      <c r="Z112" s="23">
        <v>728.90300000000002</v>
      </c>
      <c r="AA112" s="23">
        <v>737.01</v>
      </c>
      <c r="AB112" s="23">
        <v>784.34500000000003</v>
      </c>
    </row>
    <row r="113" spans="1:28" x14ac:dyDescent="0.2">
      <c r="A113" s="19" t="s">
        <v>35</v>
      </c>
      <c r="B113" s="20" t="s">
        <v>72</v>
      </c>
      <c r="C113" s="20" t="s">
        <v>8</v>
      </c>
      <c r="D113" s="20" t="s">
        <v>10</v>
      </c>
      <c r="E113" s="20" t="s">
        <v>21</v>
      </c>
      <c r="F113" s="20" t="str">
        <f>INDEX(nrg_cb_e!$A$3:$A$40,MATCH(LEFT(MID('Industriesektor GWh'!$B113,41,1000),SEARCH(" - ",MID('Industriesektor GWh'!$B113,41,1000))-1),nrg_cb_e!$C$3:$C$40,0))</f>
        <v>FC_IND_CON_E</v>
      </c>
      <c r="G113" s="21">
        <v>73</v>
      </c>
      <c r="J113" t="s">
        <v>35</v>
      </c>
      <c r="K113" t="s">
        <v>124</v>
      </c>
      <c r="L113" s="23">
        <v>459.13</v>
      </c>
      <c r="M113" s="23">
        <v>427.51400000000001</v>
      </c>
      <c r="N113" s="23">
        <v>404.596</v>
      </c>
      <c r="O113" s="23">
        <v>450.904</v>
      </c>
      <c r="P113" s="23">
        <v>568.25400000000002</v>
      </c>
      <c r="Q113" s="23">
        <v>582.78700000000003</v>
      </c>
      <c r="R113" s="23">
        <v>584.05200000000002</v>
      </c>
      <c r="S113" s="23">
        <v>510.471</v>
      </c>
      <c r="T113" s="23">
        <v>729.15099999999995</v>
      </c>
      <c r="U113" s="23">
        <v>740.82899999999995</v>
      </c>
      <c r="V113" s="23">
        <v>744.22400000000005</v>
      </c>
      <c r="W113" s="23">
        <v>741.20600000000002</v>
      </c>
      <c r="X113" s="23">
        <v>747.03300000000002</v>
      </c>
      <c r="Y113" s="23">
        <v>784.66600000000005</v>
      </c>
      <c r="Z113" s="23">
        <v>789.38499999999999</v>
      </c>
      <c r="AA113" s="23">
        <v>796.12400000000002</v>
      </c>
      <c r="AB113" s="23">
        <v>823.72900000000004</v>
      </c>
    </row>
    <row r="114" spans="1:28" x14ac:dyDescent="0.2">
      <c r="A114" s="16" t="s">
        <v>35</v>
      </c>
      <c r="B114" s="17" t="s">
        <v>72</v>
      </c>
      <c r="C114" s="17" t="s">
        <v>8</v>
      </c>
      <c r="D114" s="17" t="s">
        <v>10</v>
      </c>
      <c r="E114" s="17" t="s">
        <v>22</v>
      </c>
      <c r="F114" s="17" t="str">
        <f>INDEX(nrg_cb_e!$A$3:$A$40,MATCH(LEFT(MID('Industriesektor GWh'!$B114,41,1000),SEARCH(" - ",MID('Industriesektor GWh'!$B114,41,1000))-1),nrg_cb_e!$C$3:$C$40,0))</f>
        <v>FC_IND_CON_E</v>
      </c>
      <c r="G114" s="18">
        <v>73</v>
      </c>
      <c r="J114" t="s">
        <v>35</v>
      </c>
      <c r="K114" t="s">
        <v>126</v>
      </c>
      <c r="L114" s="23">
        <v>581.62599999999998</v>
      </c>
      <c r="M114" s="23">
        <v>541.57500000000005</v>
      </c>
      <c r="N114" s="23">
        <v>512.54200000000003</v>
      </c>
      <c r="O114" s="23">
        <v>571.20500000000004</v>
      </c>
      <c r="P114" s="23">
        <v>957.37400000000002</v>
      </c>
      <c r="Q114" s="23">
        <v>946.42</v>
      </c>
      <c r="R114" s="23">
        <v>818.74400000000003</v>
      </c>
      <c r="S114" s="23">
        <v>895.61400000000003</v>
      </c>
      <c r="T114" s="23">
        <v>578.85199999999998</v>
      </c>
      <c r="U114" s="23">
        <v>604.30799999999999</v>
      </c>
      <c r="V114" s="23">
        <v>581.63</v>
      </c>
      <c r="W114" s="23">
        <v>590.65</v>
      </c>
      <c r="X114" s="23">
        <v>597.70399999999995</v>
      </c>
      <c r="Y114" s="23">
        <v>626.05899999999997</v>
      </c>
      <c r="Z114" s="23">
        <v>646.43200000000002</v>
      </c>
      <c r="AA114" s="23">
        <v>653.62199999999996</v>
      </c>
      <c r="AB114" s="23">
        <v>695.60199999999998</v>
      </c>
    </row>
    <row r="115" spans="1:28" x14ac:dyDescent="0.2">
      <c r="A115" s="19" t="s">
        <v>35</v>
      </c>
      <c r="B115" s="20" t="s">
        <v>72</v>
      </c>
      <c r="C115" s="20" t="s">
        <v>8</v>
      </c>
      <c r="D115" s="20" t="s">
        <v>10</v>
      </c>
      <c r="E115" s="20" t="s">
        <v>23</v>
      </c>
      <c r="F115" s="20" t="str">
        <f>INDEX(nrg_cb_e!$A$3:$A$40,MATCH(LEFT(MID('Industriesektor GWh'!$B115,41,1000),SEARCH(" - ",MID('Industriesektor GWh'!$B115,41,1000))-1),nrg_cb_e!$C$3:$C$40,0))</f>
        <v>FC_IND_CON_E</v>
      </c>
      <c r="G115" s="21">
        <v>73</v>
      </c>
      <c r="J115" t="s">
        <v>35</v>
      </c>
      <c r="K115" t="s">
        <v>136</v>
      </c>
      <c r="L115" s="23">
        <v>321.74900000000002</v>
      </c>
      <c r="M115" s="23">
        <v>299.59399999999999</v>
      </c>
      <c r="N115" s="23">
        <v>283.53300000000002</v>
      </c>
      <c r="O115" s="23">
        <v>315.98500000000001</v>
      </c>
      <c r="P115" s="23">
        <v>287.56900000000002</v>
      </c>
      <c r="Q115" s="23">
        <v>190.59800000000001</v>
      </c>
      <c r="R115" s="23">
        <v>175.596</v>
      </c>
      <c r="S115" s="23">
        <v>192.08199999999999</v>
      </c>
      <c r="T115" s="23">
        <v>213.02500000000001</v>
      </c>
      <c r="U115" s="23">
        <v>222.393</v>
      </c>
      <c r="V115" s="23">
        <v>214.047</v>
      </c>
      <c r="W115" s="23">
        <v>217.36600000000001</v>
      </c>
      <c r="X115" s="23">
        <v>219.96199999999999</v>
      </c>
      <c r="Y115" s="23">
        <v>230.39699999999999</v>
      </c>
      <c r="Z115" s="23">
        <v>237.89500000000001</v>
      </c>
      <c r="AA115" s="23">
        <v>240.541</v>
      </c>
      <c r="AB115" s="23">
        <v>255.99</v>
      </c>
    </row>
    <row r="116" spans="1:28" x14ac:dyDescent="0.2">
      <c r="A116" s="16" t="s">
        <v>35</v>
      </c>
      <c r="B116" s="17" t="s">
        <v>72</v>
      </c>
      <c r="C116" s="17" t="s">
        <v>8</v>
      </c>
      <c r="D116" s="17" t="s">
        <v>10</v>
      </c>
      <c r="E116" s="17" t="s">
        <v>24</v>
      </c>
      <c r="F116" s="17" t="str">
        <f>INDEX(nrg_cb_e!$A$3:$A$40,MATCH(LEFT(MID('Industriesektor GWh'!$B116,41,1000),SEARCH(" - ",MID('Industriesektor GWh'!$B116,41,1000))-1),nrg_cb_e!$C$3:$C$40,0))</f>
        <v>FC_IND_CON_E</v>
      </c>
      <c r="G116" s="18">
        <v>73</v>
      </c>
      <c r="J116" t="s">
        <v>35</v>
      </c>
      <c r="K116" t="s">
        <v>128</v>
      </c>
      <c r="L116" s="23">
        <v>119.29300000000001</v>
      </c>
      <c r="M116" s="23">
        <v>111.07899999999999</v>
      </c>
      <c r="N116" s="23">
        <v>105.124</v>
      </c>
      <c r="O116" s="23">
        <v>117.15600000000001</v>
      </c>
      <c r="P116" s="23">
        <v>129.94300000000001</v>
      </c>
      <c r="Q116" s="23">
        <v>70.545000000000002</v>
      </c>
      <c r="R116" s="23">
        <v>93.915999999999997</v>
      </c>
      <c r="S116" s="23">
        <v>102.733</v>
      </c>
      <c r="T116" s="23">
        <v>192.19900000000001</v>
      </c>
      <c r="U116" s="23">
        <v>200.65100000000001</v>
      </c>
      <c r="V116" s="23">
        <v>193.12100000000001</v>
      </c>
      <c r="W116" s="23">
        <v>196.11600000000001</v>
      </c>
      <c r="X116" s="23">
        <v>198.458</v>
      </c>
      <c r="Y116" s="23">
        <v>207.87299999999999</v>
      </c>
      <c r="Z116" s="23">
        <v>214.63800000000001</v>
      </c>
      <c r="AA116" s="23">
        <v>217.02500000000001</v>
      </c>
      <c r="AB116" s="23">
        <v>230.964</v>
      </c>
    </row>
    <row r="117" spans="1:28" x14ac:dyDescent="0.2">
      <c r="A117" s="19" t="s">
        <v>35</v>
      </c>
      <c r="B117" s="20" t="s">
        <v>72</v>
      </c>
      <c r="C117" s="20" t="s">
        <v>8</v>
      </c>
      <c r="D117" s="20" t="s">
        <v>10</v>
      </c>
      <c r="E117" s="20" t="s">
        <v>25</v>
      </c>
      <c r="F117" s="20" t="str">
        <f>INDEX(nrg_cb_e!$A$3:$A$40,MATCH(LEFT(MID('Industriesektor GWh'!$B117,41,1000),SEARCH(" - ",MID('Industriesektor GWh'!$B117,41,1000))-1),nrg_cb_e!$C$3:$C$40,0))</f>
        <v>FC_IND_CON_E</v>
      </c>
      <c r="G117" s="21">
        <v>73</v>
      </c>
      <c r="J117" t="s">
        <v>35</v>
      </c>
      <c r="K117" t="s">
        <v>142</v>
      </c>
      <c r="L117" s="23">
        <v>183.392</v>
      </c>
      <c r="M117" s="23">
        <v>170.76400000000001</v>
      </c>
      <c r="N117" s="23">
        <v>161.61000000000001</v>
      </c>
      <c r="O117" s="23">
        <v>180.10599999999999</v>
      </c>
      <c r="P117" s="23">
        <v>95.626000000000005</v>
      </c>
      <c r="Q117" s="23">
        <v>85.045000000000002</v>
      </c>
      <c r="R117" s="23">
        <v>73.105999999999995</v>
      </c>
      <c r="S117" s="23">
        <v>79.968999999999994</v>
      </c>
      <c r="T117" s="23">
        <v>116.122</v>
      </c>
      <c r="U117" s="23">
        <v>121.22799999999999</v>
      </c>
      <c r="V117" s="23">
        <v>116.679</v>
      </c>
      <c r="W117" s="23">
        <v>118.488</v>
      </c>
      <c r="X117" s="23">
        <v>119.90300000000001</v>
      </c>
      <c r="Y117" s="23">
        <v>125.592</v>
      </c>
      <c r="Z117" s="23">
        <v>129.679</v>
      </c>
      <c r="AA117" s="23">
        <v>131.12100000000001</v>
      </c>
      <c r="AB117" s="23">
        <v>139.542</v>
      </c>
    </row>
    <row r="118" spans="1:28" x14ac:dyDescent="0.2">
      <c r="A118" s="16" t="s">
        <v>35</v>
      </c>
      <c r="B118" s="17" t="s">
        <v>72</v>
      </c>
      <c r="C118" s="17" t="s">
        <v>8</v>
      </c>
      <c r="D118" s="17" t="s">
        <v>10</v>
      </c>
      <c r="E118" s="17" t="s">
        <v>26</v>
      </c>
      <c r="F118" s="17" t="str">
        <f>INDEX(nrg_cb_e!$A$3:$A$40,MATCH(LEFT(MID('Industriesektor GWh'!$B118,41,1000),SEARCH(" - ",MID('Industriesektor GWh'!$B118,41,1000))-1),nrg_cb_e!$C$3:$C$40,0))</f>
        <v>FC_IND_CON_E</v>
      </c>
      <c r="G118" s="18">
        <v>73</v>
      </c>
      <c r="J118" t="s">
        <v>35</v>
      </c>
      <c r="K118" t="s">
        <v>138</v>
      </c>
      <c r="L118" s="23">
        <v>341.82400000000001</v>
      </c>
      <c r="M118" s="23">
        <v>318.286</v>
      </c>
      <c r="N118" s="23">
        <v>301.22300000000001</v>
      </c>
      <c r="O118" s="23">
        <v>335.69900000000001</v>
      </c>
      <c r="P118" s="23">
        <v>366.78199999999998</v>
      </c>
      <c r="Q118" s="23">
        <v>389.053</v>
      </c>
      <c r="R118" s="23">
        <v>301.33499999999998</v>
      </c>
      <c r="S118" s="23">
        <v>329.62599999999998</v>
      </c>
      <c r="T118" s="23">
        <v>390.31299999999999</v>
      </c>
      <c r="U118" s="23">
        <v>407.47800000000001</v>
      </c>
      <c r="V118" s="23">
        <v>392.18599999999998</v>
      </c>
      <c r="W118" s="23">
        <v>398.26799999999997</v>
      </c>
      <c r="X118" s="23">
        <v>403.02499999999998</v>
      </c>
      <c r="Y118" s="23">
        <v>422.14499999999998</v>
      </c>
      <c r="Z118" s="23">
        <v>435.88200000000001</v>
      </c>
      <c r="AA118" s="23">
        <v>440.73</v>
      </c>
      <c r="AB118" s="23">
        <v>469.036</v>
      </c>
    </row>
    <row r="119" spans="1:28" x14ac:dyDescent="0.2">
      <c r="A119" s="19" t="s">
        <v>35</v>
      </c>
      <c r="B119" s="20" t="s">
        <v>72</v>
      </c>
      <c r="C119" s="20" t="s">
        <v>8</v>
      </c>
      <c r="D119" s="20" t="s">
        <v>10</v>
      </c>
      <c r="E119" s="20" t="s">
        <v>27</v>
      </c>
      <c r="F119" s="20" t="str">
        <f>INDEX(nrg_cb_e!$A$3:$A$40,MATCH(LEFT(MID('Industriesektor GWh'!$B119,41,1000),SEARCH(" - ",MID('Industriesektor GWh'!$B119,41,1000))-1),nrg_cb_e!$C$3:$C$40,0))</f>
        <v>FC_IND_CON_E</v>
      </c>
      <c r="G119" s="21">
        <v>73</v>
      </c>
      <c r="J119" t="s">
        <v>35</v>
      </c>
      <c r="K119" t="s">
        <v>116</v>
      </c>
      <c r="L119" s="23">
        <v>540.62900000000002</v>
      </c>
      <c r="M119" s="23">
        <v>508.61700000000002</v>
      </c>
      <c r="N119" s="23">
        <v>477.43700000000001</v>
      </c>
      <c r="O119" s="23">
        <v>540.43799999999999</v>
      </c>
      <c r="P119" s="23">
        <v>740.81799999999998</v>
      </c>
      <c r="Q119" s="23">
        <v>1004.086</v>
      </c>
      <c r="R119" s="23">
        <v>999.26700000000005</v>
      </c>
      <c r="S119" s="23">
        <v>1099.94</v>
      </c>
      <c r="T119" s="23">
        <v>1210.509</v>
      </c>
      <c r="U119" s="23">
        <v>1266.953</v>
      </c>
      <c r="V119" s="23">
        <v>1216.6690000000001</v>
      </c>
      <c r="W119" s="23">
        <v>1236.6690000000001</v>
      </c>
      <c r="X119" s="23">
        <v>1252.31</v>
      </c>
      <c r="Y119" s="23">
        <v>1315.184</v>
      </c>
      <c r="Z119" s="23">
        <v>1360.357</v>
      </c>
      <c r="AA119" s="23">
        <v>1376.3</v>
      </c>
      <c r="AB119" s="23">
        <v>1469.383</v>
      </c>
    </row>
    <row r="120" spans="1:28" x14ac:dyDescent="0.2">
      <c r="A120" s="16" t="s">
        <v>35</v>
      </c>
      <c r="B120" s="17" t="s">
        <v>72</v>
      </c>
      <c r="C120" s="17" t="s">
        <v>8</v>
      </c>
      <c r="D120" s="17" t="s">
        <v>10</v>
      </c>
      <c r="E120" s="17" t="s">
        <v>28</v>
      </c>
      <c r="F120" s="17" t="str">
        <f>INDEX(nrg_cb_e!$A$3:$A$40,MATCH(LEFT(MID('Industriesektor GWh'!$B120,41,1000),SEARCH(" - ",MID('Industriesektor GWh'!$B120,41,1000))-1),nrg_cb_e!$C$3:$C$40,0))</f>
        <v>FC_IND_CON_E</v>
      </c>
      <c r="G120" s="18">
        <v>73</v>
      </c>
      <c r="J120" t="s">
        <v>57</v>
      </c>
      <c r="K120" t="s">
        <v>140</v>
      </c>
      <c r="L120" s="23">
        <v>28</v>
      </c>
      <c r="M120" s="23">
        <v>17</v>
      </c>
      <c r="N120" s="23">
        <v>66</v>
      </c>
      <c r="O120" s="23">
        <v>112</v>
      </c>
      <c r="P120" s="23">
        <v>157</v>
      </c>
      <c r="Q120" s="23">
        <v>133</v>
      </c>
      <c r="R120" s="23">
        <v>73</v>
      </c>
      <c r="S120" s="23">
        <v>40</v>
      </c>
      <c r="T120" s="23">
        <v>20</v>
      </c>
      <c r="U120" s="23">
        <v>22</v>
      </c>
      <c r="V120" s="23">
        <v>29</v>
      </c>
      <c r="W120" s="23">
        <v>28</v>
      </c>
      <c r="X120" s="23">
        <v>27</v>
      </c>
      <c r="Y120" s="23">
        <v>33</v>
      </c>
      <c r="Z120" s="23">
        <v>38</v>
      </c>
      <c r="AA120" s="23">
        <v>38.277000000000001</v>
      </c>
      <c r="AB120" s="23">
        <v>37.97</v>
      </c>
    </row>
    <row r="121" spans="1:28" x14ac:dyDescent="0.2">
      <c r="A121" s="19" t="s">
        <v>36</v>
      </c>
      <c r="B121" s="20" t="s">
        <v>72</v>
      </c>
      <c r="C121" s="20" t="s">
        <v>8</v>
      </c>
      <c r="D121" s="20" t="s">
        <v>10</v>
      </c>
      <c r="E121" s="20" t="s">
        <v>12</v>
      </c>
      <c r="F121" s="20" t="str">
        <f>INDEX(nrg_cb_e!$A$3:$A$40,MATCH(LEFT(MID('Industriesektor GWh'!$B121,41,1000),SEARCH(" - ",MID('Industriesektor GWh'!$B121,41,1000))-1),nrg_cb_e!$C$3:$C$40,0))</f>
        <v>FC_IND_CON_E</v>
      </c>
      <c r="G121" s="21">
        <v>98</v>
      </c>
      <c r="J121" t="s">
        <v>57</v>
      </c>
      <c r="K121" t="s">
        <v>122</v>
      </c>
      <c r="L121" s="23">
        <v>29</v>
      </c>
      <c r="M121" s="23">
        <v>20</v>
      </c>
      <c r="N121" s="23">
        <v>20</v>
      </c>
      <c r="O121" s="23">
        <v>19</v>
      </c>
      <c r="P121" s="23">
        <v>20</v>
      </c>
      <c r="Q121" s="23">
        <v>50</v>
      </c>
      <c r="R121" s="23">
        <v>37</v>
      </c>
      <c r="S121" s="23">
        <v>39</v>
      </c>
      <c r="T121" s="23">
        <v>43</v>
      </c>
      <c r="U121" s="23">
        <v>46</v>
      </c>
      <c r="V121" s="23">
        <v>57</v>
      </c>
      <c r="W121" s="23">
        <v>39</v>
      </c>
      <c r="X121" s="23">
        <v>66</v>
      </c>
      <c r="Y121" s="23">
        <v>81</v>
      </c>
      <c r="Z121" s="23">
        <v>87</v>
      </c>
      <c r="AA121" s="23">
        <v>84.272000000000006</v>
      </c>
      <c r="AB121" s="23">
        <v>96.326999999999998</v>
      </c>
    </row>
    <row r="122" spans="1:28" x14ac:dyDescent="0.2">
      <c r="A122" s="16" t="s">
        <v>36</v>
      </c>
      <c r="B122" s="17" t="s">
        <v>72</v>
      </c>
      <c r="C122" s="17" t="s">
        <v>8</v>
      </c>
      <c r="D122" s="17" t="s">
        <v>10</v>
      </c>
      <c r="E122" s="17" t="s">
        <v>13</v>
      </c>
      <c r="F122" s="17" t="str">
        <f>INDEX(nrg_cb_e!$A$3:$A$40,MATCH(LEFT(MID('Industriesektor GWh'!$B122,41,1000),SEARCH(" - ",MID('Industriesektor GWh'!$B122,41,1000))-1),nrg_cb_e!$C$3:$C$40,0))</f>
        <v>FC_IND_CON_E</v>
      </c>
      <c r="G122" s="18">
        <v>33</v>
      </c>
      <c r="J122" t="s">
        <v>57</v>
      </c>
      <c r="K122" t="s">
        <v>134</v>
      </c>
      <c r="L122" s="23">
        <v>428</v>
      </c>
      <c r="M122" s="23">
        <v>478</v>
      </c>
      <c r="N122" s="23">
        <v>466</v>
      </c>
      <c r="O122" s="23">
        <v>442</v>
      </c>
      <c r="P122" s="23">
        <v>433</v>
      </c>
      <c r="Q122" s="23">
        <v>393</v>
      </c>
      <c r="R122" s="23">
        <v>405</v>
      </c>
      <c r="S122" s="23">
        <v>410</v>
      </c>
      <c r="T122" s="23">
        <v>408</v>
      </c>
      <c r="U122" s="23">
        <v>433</v>
      </c>
      <c r="V122" s="23">
        <v>499</v>
      </c>
      <c r="W122" s="23">
        <v>532</v>
      </c>
      <c r="X122" s="23">
        <v>520</v>
      </c>
      <c r="Y122" s="23">
        <v>622</v>
      </c>
      <c r="Z122" s="23">
        <v>493</v>
      </c>
      <c r="AA122" s="23">
        <v>574.86599999999999</v>
      </c>
      <c r="AB122" s="23">
        <v>625.37199999999996</v>
      </c>
    </row>
    <row r="123" spans="1:28" x14ac:dyDescent="0.2">
      <c r="A123" s="19" t="s">
        <v>36</v>
      </c>
      <c r="B123" s="20" t="s">
        <v>72</v>
      </c>
      <c r="C123" s="20" t="s">
        <v>8</v>
      </c>
      <c r="D123" s="20" t="s">
        <v>10</v>
      </c>
      <c r="E123" s="20" t="s">
        <v>14</v>
      </c>
      <c r="F123" s="20" t="str">
        <f>INDEX(nrg_cb_e!$A$3:$A$40,MATCH(LEFT(MID('Industriesektor GWh'!$B123,41,1000),SEARCH(" - ",MID('Industriesektor GWh'!$B123,41,1000))-1),nrg_cb_e!$C$3:$C$40,0))</f>
        <v>FC_IND_CON_E</v>
      </c>
      <c r="G123" s="21">
        <v>2</v>
      </c>
      <c r="J123" t="s">
        <v>57</v>
      </c>
      <c r="K123" t="s">
        <v>120</v>
      </c>
      <c r="L123" s="23">
        <v>1039</v>
      </c>
      <c r="M123" s="23">
        <v>1050</v>
      </c>
      <c r="N123" s="23">
        <v>1031</v>
      </c>
      <c r="O123" s="23">
        <v>981</v>
      </c>
      <c r="P123" s="23">
        <v>983</v>
      </c>
      <c r="Q123" s="23">
        <v>1006</v>
      </c>
      <c r="R123" s="23">
        <v>888</v>
      </c>
      <c r="S123" s="23">
        <v>898</v>
      </c>
      <c r="T123" s="23">
        <v>933</v>
      </c>
      <c r="U123" s="23">
        <v>947</v>
      </c>
      <c r="V123" s="23">
        <v>1035</v>
      </c>
      <c r="W123" s="23">
        <v>1066</v>
      </c>
      <c r="X123" s="23">
        <v>985</v>
      </c>
      <c r="Y123" s="23">
        <v>1046</v>
      </c>
      <c r="Z123" s="23">
        <v>1045</v>
      </c>
      <c r="AA123" s="23">
        <v>1012.704</v>
      </c>
      <c r="AB123" s="23">
        <v>1013.978</v>
      </c>
    </row>
    <row r="124" spans="1:28" x14ac:dyDescent="0.2">
      <c r="A124" s="16" t="s">
        <v>36</v>
      </c>
      <c r="B124" s="17" t="s">
        <v>72</v>
      </c>
      <c r="C124" s="17" t="s">
        <v>8</v>
      </c>
      <c r="D124" s="17" t="s">
        <v>10</v>
      </c>
      <c r="E124" s="17" t="s">
        <v>15</v>
      </c>
      <c r="F124" s="17" t="str">
        <f>INDEX(nrg_cb_e!$A$3:$A$40,MATCH(LEFT(MID('Industriesektor GWh'!$B124,41,1000),SEARCH(" - ",MID('Industriesektor GWh'!$B124,41,1000))-1),nrg_cb_e!$C$3:$C$40,0))</f>
        <v>FC_IND_CON_E</v>
      </c>
      <c r="G124" s="18">
        <v>5</v>
      </c>
      <c r="J124" t="s">
        <v>57</v>
      </c>
      <c r="K124" t="s">
        <v>130</v>
      </c>
      <c r="L124" s="23">
        <v>9</v>
      </c>
      <c r="M124" s="23">
        <v>8</v>
      </c>
      <c r="N124" s="23">
        <v>9</v>
      </c>
      <c r="O124" s="23">
        <v>11</v>
      </c>
      <c r="P124" s="23">
        <v>10</v>
      </c>
      <c r="Q124" s="23">
        <v>11</v>
      </c>
      <c r="R124" s="23">
        <v>11</v>
      </c>
      <c r="S124" s="23">
        <v>9</v>
      </c>
      <c r="T124" s="23">
        <v>10</v>
      </c>
      <c r="U124" s="23">
        <v>10</v>
      </c>
      <c r="V124" s="23">
        <v>11</v>
      </c>
      <c r="W124" s="23">
        <v>11</v>
      </c>
      <c r="X124" s="23">
        <v>10</v>
      </c>
      <c r="Y124" s="23">
        <v>10</v>
      </c>
      <c r="Z124" s="23">
        <v>11</v>
      </c>
      <c r="AA124" s="23">
        <v>10.872</v>
      </c>
      <c r="AB124" s="23">
        <v>10.853999999999999</v>
      </c>
    </row>
    <row r="125" spans="1:28" x14ac:dyDescent="0.2">
      <c r="A125" s="19" t="s">
        <v>36</v>
      </c>
      <c r="B125" s="20" t="s">
        <v>72</v>
      </c>
      <c r="C125" s="20" t="s">
        <v>8</v>
      </c>
      <c r="D125" s="20" t="s">
        <v>10</v>
      </c>
      <c r="E125" s="20" t="s">
        <v>16</v>
      </c>
      <c r="F125" s="20" t="str">
        <f>INDEX(nrg_cb_e!$A$3:$A$40,MATCH(LEFT(MID('Industriesektor GWh'!$B125,41,1000),SEARCH(" - ",MID('Industriesektor GWh'!$B125,41,1000))-1),nrg_cb_e!$C$3:$C$40,0))</f>
        <v>FC_IND_CON_E</v>
      </c>
      <c r="G125" s="21">
        <v>6</v>
      </c>
      <c r="J125" t="s">
        <v>57</v>
      </c>
      <c r="K125" t="s">
        <v>132</v>
      </c>
      <c r="L125" s="23">
        <v>14</v>
      </c>
      <c r="M125" s="23">
        <v>15</v>
      </c>
      <c r="N125" s="23">
        <v>11</v>
      </c>
      <c r="O125" s="23">
        <v>1</v>
      </c>
      <c r="P125" s="23">
        <v>1</v>
      </c>
      <c r="Q125" s="23">
        <v>1</v>
      </c>
      <c r="R125" s="23">
        <v>1</v>
      </c>
      <c r="S125" s="23">
        <v>1</v>
      </c>
      <c r="T125" s="23">
        <v>1</v>
      </c>
      <c r="U125" s="23">
        <v>1</v>
      </c>
      <c r="V125" s="23">
        <v>1</v>
      </c>
      <c r="W125" s="23">
        <v>1</v>
      </c>
      <c r="X125" s="23">
        <v>1</v>
      </c>
      <c r="Y125" s="23">
        <v>2</v>
      </c>
      <c r="Z125" s="23">
        <v>3</v>
      </c>
      <c r="AA125" s="23">
        <v>1.8879999999999999</v>
      </c>
      <c r="AB125" s="23">
        <v>4.0549999999999997</v>
      </c>
    </row>
    <row r="126" spans="1:28" x14ac:dyDescent="0.2">
      <c r="A126" s="16" t="s">
        <v>36</v>
      </c>
      <c r="B126" s="17" t="s">
        <v>72</v>
      </c>
      <c r="C126" s="17" t="s">
        <v>8</v>
      </c>
      <c r="D126" s="17" t="s">
        <v>10</v>
      </c>
      <c r="E126" s="17" t="s">
        <v>17</v>
      </c>
      <c r="F126" s="17" t="str">
        <f>INDEX(nrg_cb_e!$A$3:$A$40,MATCH(LEFT(MID('Industriesektor GWh'!$B126,41,1000),SEARCH(" - ",MID('Industriesektor GWh'!$B126,41,1000))-1),nrg_cb_e!$C$3:$C$40,0))</f>
        <v>FC_IND_CON_E</v>
      </c>
      <c r="G126" s="18">
        <v>7</v>
      </c>
      <c r="J126" t="s">
        <v>57</v>
      </c>
      <c r="K126" t="s">
        <v>124</v>
      </c>
      <c r="L126" s="23">
        <v>4170</v>
      </c>
      <c r="M126" s="23">
        <v>4180</v>
      </c>
      <c r="N126" s="23">
        <v>4202</v>
      </c>
      <c r="O126" s="23">
        <v>4211</v>
      </c>
      <c r="P126" s="23">
        <v>5287</v>
      </c>
      <c r="Q126" s="23">
        <v>7112</v>
      </c>
      <c r="R126" s="23">
        <v>11551</v>
      </c>
      <c r="S126" s="23">
        <v>12031</v>
      </c>
      <c r="T126" s="23">
        <v>12021</v>
      </c>
      <c r="U126" s="23">
        <v>12343</v>
      </c>
      <c r="V126" s="23">
        <v>12508</v>
      </c>
      <c r="W126" s="23">
        <v>12918</v>
      </c>
      <c r="X126" s="23">
        <v>12981</v>
      </c>
      <c r="Y126" s="23">
        <v>13263</v>
      </c>
      <c r="Z126" s="23">
        <v>13072</v>
      </c>
      <c r="AA126" s="23">
        <v>13491.017</v>
      </c>
      <c r="AB126" s="23">
        <v>13525.048000000001</v>
      </c>
    </row>
    <row r="127" spans="1:28" x14ac:dyDescent="0.2">
      <c r="A127" s="19" t="s">
        <v>36</v>
      </c>
      <c r="B127" s="20" t="s">
        <v>72</v>
      </c>
      <c r="C127" s="20" t="s">
        <v>8</v>
      </c>
      <c r="D127" s="20" t="s">
        <v>10</v>
      </c>
      <c r="E127" s="20" t="s">
        <v>18</v>
      </c>
      <c r="F127" s="20" t="str">
        <f>INDEX(nrg_cb_e!$A$3:$A$40,MATCH(LEFT(MID('Industriesektor GWh'!$B127,41,1000),SEARCH(" - ",MID('Industriesektor GWh'!$B127,41,1000))-1),nrg_cb_e!$C$3:$C$40,0))</f>
        <v>FC_IND_CON_E</v>
      </c>
      <c r="G127" s="21">
        <v>7</v>
      </c>
      <c r="J127" t="s">
        <v>57</v>
      </c>
      <c r="K127" t="s">
        <v>126</v>
      </c>
      <c r="L127" s="23">
        <v>32</v>
      </c>
      <c r="M127" s="23">
        <v>31</v>
      </c>
      <c r="N127" s="23">
        <v>41</v>
      </c>
      <c r="O127" s="23">
        <v>45</v>
      </c>
      <c r="P127" s="23">
        <v>42</v>
      </c>
      <c r="Q127" s="23">
        <v>51</v>
      </c>
      <c r="R127" s="23">
        <v>47</v>
      </c>
      <c r="S127" s="23">
        <v>31</v>
      </c>
      <c r="T127" s="23">
        <v>23</v>
      </c>
      <c r="U127" s="23">
        <v>26</v>
      </c>
      <c r="V127" s="23">
        <v>22</v>
      </c>
      <c r="W127" s="23">
        <v>24</v>
      </c>
      <c r="X127" s="23">
        <v>23</v>
      </c>
      <c r="Y127" s="23">
        <v>28</v>
      </c>
      <c r="Z127" s="23">
        <v>45</v>
      </c>
      <c r="AA127" s="23">
        <v>123.994</v>
      </c>
      <c r="AB127" s="23">
        <v>176.78</v>
      </c>
    </row>
    <row r="128" spans="1:28" x14ac:dyDescent="0.2">
      <c r="A128" s="16" t="s">
        <v>36</v>
      </c>
      <c r="B128" s="17" t="s">
        <v>72</v>
      </c>
      <c r="C128" s="17" t="s">
        <v>8</v>
      </c>
      <c r="D128" s="17" t="s">
        <v>10</v>
      </c>
      <c r="E128" s="17" t="s">
        <v>19</v>
      </c>
      <c r="F128" s="17" t="str">
        <f>INDEX(nrg_cb_e!$A$3:$A$40,MATCH(LEFT(MID('Industriesektor GWh'!$B128,41,1000),SEARCH(" - ",MID('Industriesektor GWh'!$B128,41,1000))-1),nrg_cb_e!$C$3:$C$40,0))</f>
        <v>FC_IND_CON_E</v>
      </c>
      <c r="G128" s="18">
        <v>1</v>
      </c>
      <c r="J128" t="s">
        <v>57</v>
      </c>
      <c r="K128" t="s">
        <v>136</v>
      </c>
      <c r="L128" s="23">
        <v>16</v>
      </c>
      <c r="M128" s="23">
        <v>15</v>
      </c>
      <c r="N128" s="23">
        <v>17</v>
      </c>
      <c r="O128" s="23">
        <v>16</v>
      </c>
      <c r="P128" s="23">
        <v>19</v>
      </c>
      <c r="Q128" s="23">
        <v>21</v>
      </c>
      <c r="R128" s="23">
        <v>17</v>
      </c>
      <c r="S128" s="23">
        <v>18</v>
      </c>
      <c r="T128" s="23">
        <v>17</v>
      </c>
      <c r="U128" s="23">
        <v>18</v>
      </c>
      <c r="V128" s="23">
        <v>17</v>
      </c>
      <c r="W128" s="23">
        <v>17</v>
      </c>
      <c r="X128" s="23">
        <v>16</v>
      </c>
      <c r="Y128" s="23">
        <v>16</v>
      </c>
      <c r="Z128" s="23">
        <v>16</v>
      </c>
      <c r="AA128" s="23">
        <v>15.29</v>
      </c>
      <c r="AB128" s="23">
        <v>11.227</v>
      </c>
    </row>
    <row r="129" spans="1:28" x14ac:dyDescent="0.2">
      <c r="A129" s="19" t="s">
        <v>36</v>
      </c>
      <c r="B129" s="20" t="s">
        <v>72</v>
      </c>
      <c r="C129" s="20" t="s">
        <v>8</v>
      </c>
      <c r="D129" s="20" t="s">
        <v>10</v>
      </c>
      <c r="E129" s="20" t="s">
        <v>20</v>
      </c>
      <c r="F129" s="20" t="str">
        <f>INDEX(nrg_cb_e!$A$3:$A$40,MATCH(LEFT(MID('Industriesektor GWh'!$B129,41,1000),SEARCH(" - ",MID('Industriesektor GWh'!$B129,41,1000))-1),nrg_cb_e!$C$3:$C$40,0))</f>
        <v>FC_IND_CON_E</v>
      </c>
      <c r="G129" s="21">
        <v>1</v>
      </c>
      <c r="J129" t="s">
        <v>57</v>
      </c>
      <c r="K129" t="s">
        <v>128</v>
      </c>
      <c r="L129" s="23">
        <v>8</v>
      </c>
      <c r="M129" s="23">
        <v>6</v>
      </c>
      <c r="N129" s="23">
        <v>6</v>
      </c>
      <c r="O129" s="23">
        <v>5</v>
      </c>
      <c r="P129" s="23">
        <v>5</v>
      </c>
      <c r="Q129" s="23">
        <v>5</v>
      </c>
      <c r="R129" s="23">
        <v>5</v>
      </c>
      <c r="S129" s="23">
        <v>5</v>
      </c>
      <c r="T129" s="23">
        <v>4</v>
      </c>
      <c r="U129" s="23">
        <v>4</v>
      </c>
      <c r="V129" s="23">
        <v>5</v>
      </c>
      <c r="W129" s="23">
        <v>5</v>
      </c>
      <c r="X129" s="23">
        <v>5</v>
      </c>
      <c r="Y129" s="23">
        <v>6</v>
      </c>
      <c r="Z129" s="23">
        <v>5</v>
      </c>
      <c r="AA129" s="23">
        <v>5.2469999999999999</v>
      </c>
      <c r="AB129" s="23">
        <v>4.6609999999999996</v>
      </c>
    </row>
    <row r="130" spans="1:28" x14ac:dyDescent="0.2">
      <c r="A130" s="16" t="s">
        <v>36</v>
      </c>
      <c r="B130" s="17" t="s">
        <v>72</v>
      </c>
      <c r="C130" s="17" t="s">
        <v>8</v>
      </c>
      <c r="D130" s="17" t="s">
        <v>10</v>
      </c>
      <c r="E130" s="17" t="s">
        <v>21</v>
      </c>
      <c r="F130" s="17" t="str">
        <f>INDEX(nrg_cb_e!$A$3:$A$40,MATCH(LEFT(MID('Industriesektor GWh'!$B130,41,1000),SEARCH(" - ",MID('Industriesektor GWh'!$B130,41,1000))-1),nrg_cb_e!$C$3:$C$40,0))</f>
        <v>FC_IND_CON_E</v>
      </c>
      <c r="G130" s="18">
        <v>1</v>
      </c>
      <c r="J130" t="s">
        <v>57</v>
      </c>
      <c r="K130" t="s">
        <v>142</v>
      </c>
      <c r="L130" s="23">
        <v>18</v>
      </c>
      <c r="M130" s="23">
        <v>16</v>
      </c>
      <c r="N130" s="23">
        <v>16</v>
      </c>
      <c r="O130" s="23">
        <v>13</v>
      </c>
      <c r="P130" s="23">
        <v>4</v>
      </c>
      <c r="Q130" s="23">
        <v>3</v>
      </c>
      <c r="R130" s="23">
        <v>3</v>
      </c>
      <c r="S130" s="23">
        <v>3</v>
      </c>
      <c r="T130" s="23">
        <v>3</v>
      </c>
      <c r="U130" s="23">
        <v>3</v>
      </c>
      <c r="V130" s="23">
        <v>3</v>
      </c>
      <c r="W130" s="23">
        <v>3</v>
      </c>
      <c r="X130" s="23">
        <v>2</v>
      </c>
      <c r="Y130" s="23">
        <v>2</v>
      </c>
      <c r="Z130" s="23">
        <v>3</v>
      </c>
      <c r="AA130" s="23">
        <v>2.6320000000000001</v>
      </c>
      <c r="AB130" s="23">
        <v>3.246</v>
      </c>
    </row>
    <row r="131" spans="1:28" x14ac:dyDescent="0.2">
      <c r="A131" s="19" t="s">
        <v>36</v>
      </c>
      <c r="B131" s="20" t="s">
        <v>72</v>
      </c>
      <c r="C131" s="20" t="s">
        <v>8</v>
      </c>
      <c r="D131" s="20" t="s">
        <v>10</v>
      </c>
      <c r="E131" s="20" t="s">
        <v>22</v>
      </c>
      <c r="F131" s="20" t="str">
        <f>INDEX(nrg_cb_e!$A$3:$A$40,MATCH(LEFT(MID('Industriesektor GWh'!$B131,41,1000),SEARCH(" - ",MID('Industriesektor GWh'!$B131,41,1000))-1),nrg_cb_e!$C$3:$C$40,0))</f>
        <v>FC_IND_CON_E</v>
      </c>
      <c r="G131" s="21">
        <v>1</v>
      </c>
      <c r="J131" t="s">
        <v>57</v>
      </c>
      <c r="K131" t="s">
        <v>138</v>
      </c>
      <c r="L131" s="23">
        <v>7</v>
      </c>
      <c r="M131" s="23">
        <v>7</v>
      </c>
      <c r="N131" s="23">
        <v>7</v>
      </c>
      <c r="O131" s="23">
        <v>7</v>
      </c>
      <c r="P131" s="23">
        <v>5</v>
      </c>
      <c r="Q131" s="23">
        <v>5</v>
      </c>
      <c r="R131" s="23">
        <v>5</v>
      </c>
      <c r="S131" s="23">
        <v>4</v>
      </c>
      <c r="T131" s="23">
        <v>3</v>
      </c>
      <c r="U131" s="23">
        <v>4</v>
      </c>
      <c r="V131" s="23">
        <v>4</v>
      </c>
      <c r="W131" s="23">
        <v>3</v>
      </c>
      <c r="X131" s="23">
        <v>3</v>
      </c>
      <c r="Y131" s="23">
        <v>4</v>
      </c>
      <c r="Z131" s="23">
        <v>4</v>
      </c>
      <c r="AA131" s="23">
        <v>3.8220000000000001</v>
      </c>
      <c r="AB131" s="23">
        <v>3.12</v>
      </c>
    </row>
    <row r="132" spans="1:28" x14ac:dyDescent="0.2">
      <c r="A132" s="16" t="s">
        <v>36</v>
      </c>
      <c r="B132" s="17" t="s">
        <v>72</v>
      </c>
      <c r="C132" s="17" t="s">
        <v>8</v>
      </c>
      <c r="D132" s="17" t="s">
        <v>10</v>
      </c>
      <c r="E132" s="17" t="s">
        <v>23</v>
      </c>
      <c r="F132" s="17" t="str">
        <f>INDEX(nrg_cb_e!$A$3:$A$40,MATCH(LEFT(MID('Industriesektor GWh'!$B132,41,1000),SEARCH(" - ",MID('Industriesektor GWh'!$B132,41,1000))-1),nrg_cb_e!$C$3:$C$40,0))</f>
        <v>FC_IND_CON_E</v>
      </c>
      <c r="G132" s="18">
        <v>1</v>
      </c>
      <c r="J132" t="s">
        <v>57</v>
      </c>
      <c r="K132" t="s">
        <v>116</v>
      </c>
      <c r="L132" s="23">
        <v>24</v>
      </c>
      <c r="M132" s="23">
        <v>24</v>
      </c>
      <c r="N132" s="23">
        <v>25</v>
      </c>
      <c r="O132" s="23">
        <v>26</v>
      </c>
      <c r="P132" s="23">
        <v>25</v>
      </c>
      <c r="Q132" s="23">
        <v>15</v>
      </c>
      <c r="R132" s="23">
        <v>13</v>
      </c>
      <c r="S132" s="23">
        <v>13</v>
      </c>
      <c r="T132" s="23">
        <v>12</v>
      </c>
      <c r="U132" s="23">
        <v>11</v>
      </c>
      <c r="V132" s="23">
        <v>10</v>
      </c>
      <c r="W132" s="23">
        <v>31</v>
      </c>
      <c r="X132" s="23">
        <v>43</v>
      </c>
      <c r="Y132" s="23">
        <v>16</v>
      </c>
      <c r="Z132" s="23">
        <v>18</v>
      </c>
      <c r="AA132" s="23">
        <v>23.573</v>
      </c>
      <c r="AB132" s="23">
        <v>12.161</v>
      </c>
    </row>
    <row r="133" spans="1:28" x14ac:dyDescent="0.2">
      <c r="A133" s="19" t="s">
        <v>36</v>
      </c>
      <c r="B133" s="20" t="s">
        <v>72</v>
      </c>
      <c r="C133" s="20" t="s">
        <v>8</v>
      </c>
      <c r="D133" s="20" t="s">
        <v>10</v>
      </c>
      <c r="E133" s="20" t="s">
        <v>24</v>
      </c>
      <c r="F133" s="20" t="str">
        <f>INDEX(nrg_cb_e!$A$3:$A$40,MATCH(LEFT(MID('Industriesektor GWh'!$B133,41,1000),SEARCH(" - ",MID('Industriesektor GWh'!$B133,41,1000))-1),nrg_cb_e!$C$3:$C$40,0))</f>
        <v>FC_IND_CON_E</v>
      </c>
      <c r="G133" s="21">
        <v>1</v>
      </c>
      <c r="J133" t="s">
        <v>40</v>
      </c>
      <c r="K133" t="s">
        <v>140</v>
      </c>
      <c r="L133" s="23">
        <v>1325</v>
      </c>
      <c r="M133" s="23">
        <v>1509</v>
      </c>
      <c r="N133" s="23">
        <v>1608</v>
      </c>
      <c r="O133" s="23">
        <v>1709</v>
      </c>
      <c r="P133" s="23">
        <v>1755</v>
      </c>
      <c r="Q133" s="23">
        <v>1797</v>
      </c>
      <c r="R133" s="23">
        <v>1888</v>
      </c>
      <c r="S133" s="23">
        <v>1808</v>
      </c>
      <c r="T133" s="23">
        <v>1752</v>
      </c>
      <c r="U133" s="23">
        <v>1640</v>
      </c>
      <c r="V133" s="23">
        <v>1446</v>
      </c>
      <c r="W133" s="23">
        <v>1290</v>
      </c>
      <c r="X133" s="23">
        <v>1251</v>
      </c>
      <c r="Y133" s="23">
        <v>1355</v>
      </c>
      <c r="Z133" s="23">
        <v>1353</v>
      </c>
      <c r="AA133" s="23">
        <v>1385.999</v>
      </c>
      <c r="AB133" s="23">
        <v>1419.489</v>
      </c>
    </row>
    <row r="134" spans="1:28" x14ac:dyDescent="0.2">
      <c r="A134" s="16" t="s">
        <v>36</v>
      </c>
      <c r="B134" s="17" t="s">
        <v>72</v>
      </c>
      <c r="C134" s="17" t="s">
        <v>8</v>
      </c>
      <c r="D134" s="17" t="s">
        <v>10</v>
      </c>
      <c r="E134" s="17" t="s">
        <v>25</v>
      </c>
      <c r="F134" s="17" t="str">
        <f>INDEX(nrg_cb_e!$A$3:$A$40,MATCH(LEFT(MID('Industriesektor GWh'!$B134,41,1000),SEARCH(" - ",MID('Industriesektor GWh'!$B134,41,1000))-1),nrg_cb_e!$C$3:$C$40,0))</f>
        <v>FC_IND_CON_E</v>
      </c>
      <c r="G134" s="18">
        <v>0</v>
      </c>
      <c r="J134" t="s">
        <v>40</v>
      </c>
      <c r="K134" t="s">
        <v>122</v>
      </c>
      <c r="L134" s="23">
        <v>20236</v>
      </c>
      <c r="M134" s="23">
        <v>20110</v>
      </c>
      <c r="N134" s="23">
        <v>19431</v>
      </c>
      <c r="O134" s="23">
        <v>19015</v>
      </c>
      <c r="P134" s="23">
        <v>18838</v>
      </c>
      <c r="Q134" s="23">
        <v>18192</v>
      </c>
      <c r="R134" s="23">
        <v>17525</v>
      </c>
      <c r="S134" s="23">
        <v>14591</v>
      </c>
      <c r="T134" s="23">
        <v>15541</v>
      </c>
      <c r="U134" s="23">
        <v>15085</v>
      </c>
      <c r="V134" s="23">
        <v>14864</v>
      </c>
      <c r="W134" s="23">
        <v>14843</v>
      </c>
      <c r="X134" s="23">
        <v>14203</v>
      </c>
      <c r="Y134" s="23">
        <v>13961</v>
      </c>
      <c r="Z134" s="23">
        <v>13911</v>
      </c>
      <c r="AA134" s="23">
        <v>14283.61</v>
      </c>
      <c r="AB134" s="23">
        <v>14463.6</v>
      </c>
    </row>
    <row r="135" spans="1:28" x14ac:dyDescent="0.2">
      <c r="A135" s="19" t="s">
        <v>36</v>
      </c>
      <c r="B135" s="20" t="s">
        <v>72</v>
      </c>
      <c r="C135" s="20" t="s">
        <v>8</v>
      </c>
      <c r="D135" s="20" t="s">
        <v>10</v>
      </c>
      <c r="E135" s="20" t="s">
        <v>26</v>
      </c>
      <c r="F135" s="20" t="str">
        <f>INDEX(nrg_cb_e!$A$3:$A$40,MATCH(LEFT(MID('Industriesektor GWh'!$B135,41,1000),SEARCH(" - ",MID('Industriesektor GWh'!$B135,41,1000))-1),nrg_cb_e!$C$3:$C$40,0))</f>
        <v>FC_IND_CON_E</v>
      </c>
      <c r="G135" s="21">
        <v>2</v>
      </c>
      <c r="J135" t="s">
        <v>40</v>
      </c>
      <c r="K135" t="s">
        <v>134</v>
      </c>
      <c r="L135" s="23">
        <v>12360</v>
      </c>
      <c r="M135" s="23">
        <v>12535</v>
      </c>
      <c r="N135" s="23">
        <v>12702</v>
      </c>
      <c r="O135" s="23">
        <v>13004</v>
      </c>
      <c r="P135" s="23">
        <v>12843</v>
      </c>
      <c r="Q135" s="23">
        <v>12855</v>
      </c>
      <c r="R135" s="23">
        <v>12826</v>
      </c>
      <c r="S135" s="23">
        <v>12558</v>
      </c>
      <c r="T135" s="23">
        <v>12788</v>
      </c>
      <c r="U135" s="23">
        <v>12617</v>
      </c>
      <c r="V135" s="23">
        <v>12060</v>
      </c>
      <c r="W135" s="23">
        <v>11953</v>
      </c>
      <c r="X135" s="23">
        <v>11972</v>
      </c>
      <c r="Y135" s="23">
        <v>12148</v>
      </c>
      <c r="Z135" s="23">
        <v>12170</v>
      </c>
      <c r="AA135" s="23">
        <v>12412.668</v>
      </c>
      <c r="AB135" s="23">
        <v>12532.748</v>
      </c>
    </row>
    <row r="136" spans="1:28" x14ac:dyDescent="0.2">
      <c r="A136" s="16" t="s">
        <v>36</v>
      </c>
      <c r="B136" s="17" t="s">
        <v>72</v>
      </c>
      <c r="C136" s="17" t="s">
        <v>8</v>
      </c>
      <c r="D136" s="17" t="s">
        <v>10</v>
      </c>
      <c r="E136" s="17" t="s">
        <v>27</v>
      </c>
      <c r="F136" s="17" t="str">
        <f>INDEX(nrg_cb_e!$A$3:$A$40,MATCH(LEFT(MID('Industriesektor GWh'!$B136,41,1000),SEARCH(" - ",MID('Industriesektor GWh'!$B136,41,1000))-1),nrg_cb_e!$C$3:$C$40,0))</f>
        <v>FC_IND_CON_E</v>
      </c>
      <c r="G136" s="18">
        <v>496.733</v>
      </c>
      <c r="J136" t="s">
        <v>40</v>
      </c>
      <c r="K136" t="s">
        <v>120</v>
      </c>
      <c r="L136" s="23">
        <v>19966</v>
      </c>
      <c r="M136" s="23">
        <v>19887</v>
      </c>
      <c r="N136" s="23">
        <v>20045</v>
      </c>
      <c r="O136" s="23">
        <v>20395</v>
      </c>
      <c r="P136" s="23">
        <v>21688</v>
      </c>
      <c r="Q136" s="23">
        <v>21676</v>
      </c>
      <c r="R136" s="23">
        <v>21625</v>
      </c>
      <c r="S136" s="23">
        <v>15731</v>
      </c>
      <c r="T136" s="23">
        <v>18675</v>
      </c>
      <c r="U136" s="23">
        <v>20640</v>
      </c>
      <c r="V136" s="23">
        <v>19772</v>
      </c>
      <c r="W136" s="23">
        <v>18300</v>
      </c>
      <c r="X136" s="23">
        <v>18355</v>
      </c>
      <c r="Y136" s="23">
        <v>17439</v>
      </c>
      <c r="Z136" s="23">
        <v>18262</v>
      </c>
      <c r="AA136" s="23">
        <v>18724.677</v>
      </c>
      <c r="AB136" s="23">
        <v>18908.468000000001</v>
      </c>
    </row>
    <row r="137" spans="1:28" x14ac:dyDescent="0.2">
      <c r="A137" s="19" t="s">
        <v>36</v>
      </c>
      <c r="B137" s="20" t="s">
        <v>72</v>
      </c>
      <c r="C137" s="20" t="s">
        <v>8</v>
      </c>
      <c r="D137" s="20" t="s">
        <v>10</v>
      </c>
      <c r="E137" s="20" t="s">
        <v>28</v>
      </c>
      <c r="F137" s="20" t="str">
        <f>INDEX(nrg_cb_e!$A$3:$A$40,MATCH(LEFT(MID('Industriesektor GWh'!$B137,41,1000),SEARCH(" - ",MID('Industriesektor GWh'!$B137,41,1000))-1),nrg_cb_e!$C$3:$C$40,0))</f>
        <v>FC_IND_CON_E</v>
      </c>
      <c r="G137" s="21">
        <v>468.15</v>
      </c>
      <c r="J137" t="s">
        <v>40</v>
      </c>
      <c r="K137" t="s">
        <v>130</v>
      </c>
      <c r="L137" s="23">
        <v>21631</v>
      </c>
      <c r="M137" s="23">
        <v>22328</v>
      </c>
      <c r="N137" s="23">
        <v>23037</v>
      </c>
      <c r="O137" s="23">
        <v>23550</v>
      </c>
      <c r="P137" s="23">
        <v>24076</v>
      </c>
      <c r="Q137" s="23">
        <v>23802</v>
      </c>
      <c r="R137" s="23">
        <v>23129</v>
      </c>
      <c r="S137" s="23">
        <v>19105</v>
      </c>
      <c r="T137" s="23">
        <v>21336</v>
      </c>
      <c r="U137" s="23">
        <v>21590</v>
      </c>
      <c r="V137" s="23">
        <v>20241</v>
      </c>
      <c r="W137" s="23">
        <v>19787</v>
      </c>
      <c r="X137" s="23">
        <v>19531</v>
      </c>
      <c r="Y137" s="23">
        <v>19944</v>
      </c>
      <c r="Z137" s="23">
        <v>20128</v>
      </c>
      <c r="AA137" s="23">
        <v>20888.474999999999</v>
      </c>
      <c r="AB137" s="23">
        <v>21138.065999999999</v>
      </c>
    </row>
    <row r="138" spans="1:28" x14ac:dyDescent="0.2">
      <c r="A138" s="16" t="s">
        <v>37</v>
      </c>
      <c r="B138" s="17" t="s">
        <v>72</v>
      </c>
      <c r="C138" s="17" t="s">
        <v>8</v>
      </c>
      <c r="D138" s="17" t="s">
        <v>10</v>
      </c>
      <c r="E138" s="17" t="s">
        <v>12</v>
      </c>
      <c r="F138" s="17" t="str">
        <f>INDEX(nrg_cb_e!$A$3:$A$40,MATCH(LEFT(MID('Industriesektor GWh'!$B138,41,1000),SEARCH(" - ",MID('Industriesektor GWh'!$B138,41,1000))-1),nrg_cb_e!$C$3:$C$40,0))</f>
        <v>FC_IND_CON_E</v>
      </c>
      <c r="G138" s="18">
        <v>1913</v>
      </c>
      <c r="J138" t="s">
        <v>40</v>
      </c>
      <c r="K138" t="s">
        <v>132</v>
      </c>
      <c r="L138" s="23">
        <v>1042</v>
      </c>
      <c r="M138" s="23">
        <v>1060</v>
      </c>
      <c r="N138" s="23">
        <v>1099</v>
      </c>
      <c r="O138" s="23">
        <v>1065</v>
      </c>
      <c r="P138" s="23">
        <v>1087</v>
      </c>
      <c r="Q138" s="23">
        <v>1065</v>
      </c>
      <c r="R138" s="23">
        <v>1027</v>
      </c>
      <c r="S138" s="23">
        <v>917</v>
      </c>
      <c r="T138" s="23">
        <v>880</v>
      </c>
      <c r="U138" s="23">
        <v>863</v>
      </c>
      <c r="V138" s="23">
        <v>742</v>
      </c>
      <c r="W138" s="23">
        <v>681</v>
      </c>
      <c r="X138" s="23">
        <v>643</v>
      </c>
      <c r="Y138" s="23">
        <v>627</v>
      </c>
      <c r="Z138" s="23">
        <v>609</v>
      </c>
      <c r="AA138" s="23">
        <v>605.50300000000004</v>
      </c>
      <c r="AB138" s="23">
        <v>615.05999999999995</v>
      </c>
    </row>
    <row r="139" spans="1:28" x14ac:dyDescent="0.2">
      <c r="A139" s="19" t="s">
        <v>37</v>
      </c>
      <c r="B139" s="20" t="s">
        <v>72</v>
      </c>
      <c r="C139" s="20" t="s">
        <v>8</v>
      </c>
      <c r="D139" s="20" t="s">
        <v>10</v>
      </c>
      <c r="E139" s="20" t="s">
        <v>13</v>
      </c>
      <c r="F139" s="20" t="str">
        <f>INDEX(nrg_cb_e!$A$3:$A$40,MATCH(LEFT(MID('Industriesektor GWh'!$B139,41,1000),SEARCH(" - ",MID('Industriesektor GWh'!$B139,41,1000))-1),nrg_cb_e!$C$3:$C$40,0))</f>
        <v>FC_IND_CON_E</v>
      </c>
      <c r="G139" s="21">
        <v>2017</v>
      </c>
      <c r="J139" t="s">
        <v>40</v>
      </c>
      <c r="K139" t="s">
        <v>124</v>
      </c>
      <c r="L139" s="23">
        <v>5619</v>
      </c>
      <c r="M139" s="23">
        <v>5464</v>
      </c>
      <c r="N139" s="23">
        <v>5538</v>
      </c>
      <c r="O139" s="23">
        <v>5635</v>
      </c>
      <c r="P139" s="23">
        <v>5753</v>
      </c>
      <c r="Q139" s="23">
        <v>5553</v>
      </c>
      <c r="R139" s="23">
        <v>5598</v>
      </c>
      <c r="S139" s="23">
        <v>5092</v>
      </c>
      <c r="T139" s="23">
        <v>4573</v>
      </c>
      <c r="U139" s="23">
        <v>4628</v>
      </c>
      <c r="V139" s="23">
        <v>3825</v>
      </c>
      <c r="W139" s="23">
        <v>2416</v>
      </c>
      <c r="X139" s="23">
        <v>2522</v>
      </c>
      <c r="Y139" s="23">
        <v>2483</v>
      </c>
      <c r="Z139" s="23">
        <v>2477</v>
      </c>
      <c r="AA139" s="23">
        <v>2556.2249999999999</v>
      </c>
      <c r="AB139" s="23">
        <v>2528.1849999999999</v>
      </c>
    </row>
    <row r="140" spans="1:28" x14ac:dyDescent="0.2">
      <c r="A140" s="16" t="s">
        <v>37</v>
      </c>
      <c r="B140" s="17" t="s">
        <v>72</v>
      </c>
      <c r="C140" s="17" t="s">
        <v>8</v>
      </c>
      <c r="D140" s="17" t="s">
        <v>10</v>
      </c>
      <c r="E140" s="17" t="s">
        <v>14</v>
      </c>
      <c r="F140" s="17" t="str">
        <f>INDEX(nrg_cb_e!$A$3:$A$40,MATCH(LEFT(MID('Industriesektor GWh'!$B140,41,1000),SEARCH(" - ",MID('Industriesektor GWh'!$B140,41,1000))-1),nrg_cb_e!$C$3:$C$40,0))</f>
        <v>FC_IND_CON_E</v>
      </c>
      <c r="G140" s="18">
        <v>2263</v>
      </c>
      <c r="J140" t="s">
        <v>40</v>
      </c>
      <c r="K140" t="s">
        <v>126</v>
      </c>
      <c r="L140" s="23">
        <v>14312</v>
      </c>
      <c r="M140" s="23">
        <v>14543</v>
      </c>
      <c r="N140" s="23">
        <v>14606</v>
      </c>
      <c r="O140" s="23">
        <v>14678</v>
      </c>
      <c r="P140" s="23">
        <v>14943</v>
      </c>
      <c r="Q140" s="23">
        <v>14790</v>
      </c>
      <c r="R140" s="23">
        <v>13973</v>
      </c>
      <c r="S140" s="23">
        <v>11714</v>
      </c>
      <c r="T140" s="23">
        <v>11870</v>
      </c>
      <c r="U140" s="23">
        <v>11474</v>
      </c>
      <c r="V140" s="23">
        <v>9992</v>
      </c>
      <c r="W140" s="23">
        <v>9461</v>
      </c>
      <c r="X140" s="23">
        <v>9175</v>
      </c>
      <c r="Y140" s="23">
        <v>8988</v>
      </c>
      <c r="Z140" s="23">
        <v>8826</v>
      </c>
      <c r="AA140" s="23">
        <v>8905.1450000000004</v>
      </c>
      <c r="AB140" s="23">
        <v>8926.027</v>
      </c>
    </row>
    <row r="141" spans="1:28" x14ac:dyDescent="0.2">
      <c r="A141" s="19" t="s">
        <v>37</v>
      </c>
      <c r="B141" s="20" t="s">
        <v>72</v>
      </c>
      <c r="C141" s="20" t="s">
        <v>8</v>
      </c>
      <c r="D141" s="20" t="s">
        <v>10</v>
      </c>
      <c r="E141" s="20" t="s">
        <v>15</v>
      </c>
      <c r="F141" s="20" t="str">
        <f>INDEX(nrg_cb_e!$A$3:$A$40,MATCH(LEFT(MID('Industriesektor GWh'!$B141,41,1000),SEARCH(" - ",MID('Industriesektor GWh'!$B141,41,1000))-1),nrg_cb_e!$C$3:$C$40,0))</f>
        <v>FC_IND_CON_E</v>
      </c>
      <c r="G141" s="21">
        <v>2643</v>
      </c>
      <c r="J141" t="s">
        <v>40</v>
      </c>
      <c r="K141" t="s">
        <v>136</v>
      </c>
      <c r="L141" s="23">
        <v>10480</v>
      </c>
      <c r="M141" s="23">
        <v>10787</v>
      </c>
      <c r="N141" s="23">
        <v>10807</v>
      </c>
      <c r="O141" s="23">
        <v>10939</v>
      </c>
      <c r="P141" s="23">
        <v>10879</v>
      </c>
      <c r="Q141" s="23">
        <v>10649</v>
      </c>
      <c r="R141" s="23">
        <v>10279</v>
      </c>
      <c r="S141" s="23">
        <v>9376</v>
      </c>
      <c r="T141" s="23">
        <v>9760</v>
      </c>
      <c r="U141" s="23">
        <v>9597</v>
      </c>
      <c r="V141" s="23">
        <v>9104</v>
      </c>
      <c r="W141" s="23">
        <v>9079</v>
      </c>
      <c r="X141" s="23">
        <v>8672</v>
      </c>
      <c r="Y141" s="23">
        <v>8736</v>
      </c>
      <c r="Z141" s="23">
        <v>8647</v>
      </c>
      <c r="AA141" s="23">
        <v>8603.7549999999992</v>
      </c>
      <c r="AB141" s="23">
        <v>8480.6059999999998</v>
      </c>
    </row>
    <row r="142" spans="1:28" x14ac:dyDescent="0.2">
      <c r="A142" s="16" t="s">
        <v>37</v>
      </c>
      <c r="B142" s="17" t="s">
        <v>72</v>
      </c>
      <c r="C142" s="17" t="s">
        <v>8</v>
      </c>
      <c r="D142" s="17" t="s">
        <v>10</v>
      </c>
      <c r="E142" s="17" t="s">
        <v>16</v>
      </c>
      <c r="F142" s="17" t="str">
        <f>INDEX(nrg_cb_e!$A$3:$A$40,MATCH(LEFT(MID('Industriesektor GWh'!$B142,41,1000),SEARCH(" - ",MID('Industriesektor GWh'!$B142,41,1000))-1),nrg_cb_e!$C$3:$C$40,0))</f>
        <v>FC_IND_CON_E</v>
      </c>
      <c r="G142" s="18">
        <v>2591</v>
      </c>
      <c r="J142" t="s">
        <v>40</v>
      </c>
      <c r="K142" t="s">
        <v>128</v>
      </c>
      <c r="L142" s="23">
        <v>4433</v>
      </c>
      <c r="M142" s="23">
        <v>4408</v>
      </c>
      <c r="N142" s="23">
        <v>4238</v>
      </c>
      <c r="O142" s="23">
        <v>4236</v>
      </c>
      <c r="P142" s="23">
        <v>4426</v>
      </c>
      <c r="Q142" s="23">
        <v>4479</v>
      </c>
      <c r="R142" s="23">
        <v>4257</v>
      </c>
      <c r="S142" s="23">
        <v>3630</v>
      </c>
      <c r="T142" s="23">
        <v>3788</v>
      </c>
      <c r="U142" s="23">
        <v>3645</v>
      </c>
      <c r="V142" s="23">
        <v>3314</v>
      </c>
      <c r="W142" s="23">
        <v>3325</v>
      </c>
      <c r="X142" s="23">
        <v>3340</v>
      </c>
      <c r="Y142" s="23">
        <v>3518</v>
      </c>
      <c r="Z142" s="23">
        <v>3610</v>
      </c>
      <c r="AA142" s="23">
        <v>3590.4969999999998</v>
      </c>
      <c r="AB142" s="23">
        <v>3566.1669999999999</v>
      </c>
    </row>
    <row r="143" spans="1:28" x14ac:dyDescent="0.2">
      <c r="A143" s="19" t="s">
        <v>37</v>
      </c>
      <c r="B143" s="20" t="s">
        <v>72</v>
      </c>
      <c r="C143" s="20" t="s">
        <v>8</v>
      </c>
      <c r="D143" s="20" t="s">
        <v>10</v>
      </c>
      <c r="E143" s="20" t="s">
        <v>17</v>
      </c>
      <c r="F143" s="20" t="str">
        <f>INDEX(nrg_cb_e!$A$3:$A$40,MATCH(LEFT(MID('Industriesektor GWh'!$B143,41,1000),SEARCH(" - ",MID('Industriesektor GWh'!$B143,41,1000))-1),nrg_cb_e!$C$3:$C$40,0))</f>
        <v>FC_IND_CON_E</v>
      </c>
      <c r="G143" s="21">
        <v>2859</v>
      </c>
      <c r="J143" t="s">
        <v>40</v>
      </c>
      <c r="K143" t="s">
        <v>142</v>
      </c>
      <c r="L143" s="23">
        <v>11058</v>
      </c>
      <c r="M143" s="23">
        <v>10537</v>
      </c>
      <c r="N143" s="23">
        <v>9788</v>
      </c>
      <c r="O143" s="23">
        <v>9119</v>
      </c>
      <c r="P143" s="23">
        <v>8936</v>
      </c>
      <c r="Q143" s="23">
        <v>8410</v>
      </c>
      <c r="R143" s="23">
        <v>7568</v>
      </c>
      <c r="S143" s="23">
        <v>6197</v>
      </c>
      <c r="T143" s="23">
        <v>6334</v>
      </c>
      <c r="U143" s="23">
        <v>6064</v>
      </c>
      <c r="V143" s="23">
        <v>5523</v>
      </c>
      <c r="W143" s="23">
        <v>5343</v>
      </c>
      <c r="X143" s="23">
        <v>5237</v>
      </c>
      <c r="Y143" s="23">
        <v>5232</v>
      </c>
      <c r="Z143" s="23">
        <v>5153</v>
      </c>
      <c r="AA143" s="23">
        <v>5164.2939999999999</v>
      </c>
      <c r="AB143" s="23">
        <v>5119.7640000000001</v>
      </c>
    </row>
    <row r="144" spans="1:28" x14ac:dyDescent="0.2">
      <c r="A144" s="16" t="s">
        <v>37</v>
      </c>
      <c r="B144" s="17" t="s">
        <v>72</v>
      </c>
      <c r="C144" s="17" t="s">
        <v>8</v>
      </c>
      <c r="D144" s="17" t="s">
        <v>10</v>
      </c>
      <c r="E144" s="17" t="s">
        <v>18</v>
      </c>
      <c r="F144" s="17" t="str">
        <f>INDEX(nrg_cb_e!$A$3:$A$40,MATCH(LEFT(MID('Industriesektor GWh'!$B144,41,1000),SEARCH(" - ",MID('Industriesektor GWh'!$B144,41,1000))-1),nrg_cb_e!$C$3:$C$40,0))</f>
        <v>FC_IND_CON_E</v>
      </c>
      <c r="G144" s="18">
        <v>3229</v>
      </c>
      <c r="J144" t="s">
        <v>40</v>
      </c>
      <c r="K144" t="s">
        <v>138</v>
      </c>
      <c r="L144" s="23">
        <v>4255</v>
      </c>
      <c r="M144" s="23">
        <v>4250</v>
      </c>
      <c r="N144" s="23">
        <v>4333</v>
      </c>
      <c r="O144" s="23">
        <v>4373</v>
      </c>
      <c r="P144" s="23">
        <v>4490</v>
      </c>
      <c r="Q144" s="23">
        <v>4456</v>
      </c>
      <c r="R144" s="23">
        <v>4324</v>
      </c>
      <c r="S144" s="23">
        <v>3804</v>
      </c>
      <c r="T144" s="23">
        <v>3913</v>
      </c>
      <c r="U144" s="23">
        <v>3605</v>
      </c>
      <c r="V144" s="23">
        <v>3195</v>
      </c>
      <c r="W144" s="23">
        <v>2980</v>
      </c>
      <c r="X144" s="23">
        <v>2894</v>
      </c>
      <c r="Y144" s="23">
        <v>3009</v>
      </c>
      <c r="Z144" s="23">
        <v>2965</v>
      </c>
      <c r="AA144" s="23">
        <v>2979.0590000000002</v>
      </c>
      <c r="AB144" s="23">
        <v>2988.6869999999999</v>
      </c>
    </row>
    <row r="145" spans="1:28" x14ac:dyDescent="0.2">
      <c r="A145" s="19" t="s">
        <v>37</v>
      </c>
      <c r="B145" s="20" t="s">
        <v>72</v>
      </c>
      <c r="C145" s="20" t="s">
        <v>8</v>
      </c>
      <c r="D145" s="20" t="s">
        <v>10</v>
      </c>
      <c r="E145" s="20" t="s">
        <v>19</v>
      </c>
      <c r="F145" s="20" t="str">
        <f>INDEX(nrg_cb_e!$A$3:$A$40,MATCH(LEFT(MID('Industriesektor GWh'!$B145,41,1000),SEARCH(" - ",MID('Industriesektor GWh'!$B145,41,1000))-1),nrg_cb_e!$C$3:$C$40,0))</f>
        <v>FC_IND_CON_E</v>
      </c>
      <c r="G145" s="21">
        <v>3005</v>
      </c>
      <c r="J145" t="s">
        <v>40</v>
      </c>
      <c r="K145" t="s">
        <v>116</v>
      </c>
      <c r="L145" s="23">
        <v>16390</v>
      </c>
      <c r="M145" s="23">
        <v>16950</v>
      </c>
      <c r="N145" s="23">
        <v>16965</v>
      </c>
      <c r="O145" s="23">
        <v>17045</v>
      </c>
      <c r="P145" s="23">
        <v>17648</v>
      </c>
      <c r="Q145" s="23">
        <v>18446</v>
      </c>
      <c r="R145" s="23">
        <v>17627</v>
      </c>
      <c r="S145" s="23">
        <v>16084</v>
      </c>
      <c r="T145" s="23">
        <v>16658</v>
      </c>
      <c r="U145" s="23">
        <v>16628</v>
      </c>
      <c r="V145" s="23">
        <v>16245</v>
      </c>
      <c r="W145" s="23">
        <v>15523</v>
      </c>
      <c r="X145" s="23">
        <v>15123</v>
      </c>
      <c r="Y145" s="23">
        <v>15225</v>
      </c>
      <c r="Z145" s="23">
        <v>15146</v>
      </c>
      <c r="AA145" s="23">
        <v>15509.521000000001</v>
      </c>
      <c r="AB145" s="23">
        <v>15383.273999999999</v>
      </c>
    </row>
    <row r="146" spans="1:28" x14ac:dyDescent="0.2">
      <c r="A146" s="16" t="s">
        <v>37</v>
      </c>
      <c r="B146" s="17" t="s">
        <v>72</v>
      </c>
      <c r="C146" s="17" t="s">
        <v>8</v>
      </c>
      <c r="D146" s="17" t="s">
        <v>10</v>
      </c>
      <c r="E146" s="17" t="s">
        <v>20</v>
      </c>
      <c r="F146" s="17" t="str">
        <f>INDEX(nrg_cb_e!$A$3:$A$40,MATCH(LEFT(MID('Industriesektor GWh'!$B146,41,1000),SEARCH(" - ",MID('Industriesektor GWh'!$B146,41,1000))-1),nrg_cb_e!$C$3:$C$40,0))</f>
        <v>FC_IND_CON_E</v>
      </c>
      <c r="G146" s="18">
        <v>2767</v>
      </c>
      <c r="J146" t="s">
        <v>39</v>
      </c>
      <c r="K146" t="s">
        <v>140</v>
      </c>
      <c r="L146" s="23">
        <v>77</v>
      </c>
      <c r="M146" s="23">
        <v>91</v>
      </c>
      <c r="N146" s="23">
        <v>94</v>
      </c>
      <c r="O146" s="23">
        <v>93</v>
      </c>
      <c r="P146" s="23">
        <v>99</v>
      </c>
      <c r="Q146" s="23">
        <v>99</v>
      </c>
      <c r="R146" s="23">
        <v>118</v>
      </c>
      <c r="S146" s="23">
        <v>118</v>
      </c>
      <c r="T146" s="23">
        <v>109</v>
      </c>
      <c r="U146" s="23">
        <v>96</v>
      </c>
      <c r="V146" s="23">
        <v>92</v>
      </c>
      <c r="W146" s="23">
        <v>85</v>
      </c>
      <c r="X146" s="23">
        <v>81</v>
      </c>
      <c r="Y146" s="23">
        <v>76</v>
      </c>
      <c r="Z146" s="23">
        <v>78</v>
      </c>
      <c r="AA146" s="23">
        <v>76.599999999999994</v>
      </c>
      <c r="AB146" s="23">
        <v>77.900000000000006</v>
      </c>
    </row>
    <row r="147" spans="1:28" x14ac:dyDescent="0.2">
      <c r="A147" s="19" t="s">
        <v>37</v>
      </c>
      <c r="B147" s="20" t="s">
        <v>72</v>
      </c>
      <c r="C147" s="20" t="s">
        <v>8</v>
      </c>
      <c r="D147" s="20" t="s">
        <v>10</v>
      </c>
      <c r="E147" s="20" t="s">
        <v>21</v>
      </c>
      <c r="F147" s="20" t="str">
        <f>INDEX(nrg_cb_e!$A$3:$A$40,MATCH(LEFT(MID('Industriesektor GWh'!$B147,41,1000),SEARCH(" - ",MID('Industriesektor GWh'!$B147,41,1000))-1),nrg_cb_e!$C$3:$C$40,0))</f>
        <v>FC_IND_CON_E</v>
      </c>
      <c r="G147" s="21">
        <v>2513</v>
      </c>
      <c r="J147" t="s">
        <v>39</v>
      </c>
      <c r="K147" t="s">
        <v>122</v>
      </c>
      <c r="L147" s="23">
        <v>495</v>
      </c>
      <c r="M147" s="23">
        <v>530</v>
      </c>
      <c r="N147" s="23">
        <v>470</v>
      </c>
      <c r="O147" s="23">
        <v>474</v>
      </c>
      <c r="P147" s="23">
        <v>477</v>
      </c>
      <c r="Q147" s="23">
        <v>592</v>
      </c>
      <c r="R147" s="23">
        <v>488</v>
      </c>
      <c r="S147" s="23">
        <v>451</v>
      </c>
      <c r="T147" s="23">
        <v>476</v>
      </c>
      <c r="U147" s="23">
        <v>410</v>
      </c>
      <c r="V147" s="23">
        <v>257</v>
      </c>
      <c r="W147" s="23">
        <v>269</v>
      </c>
      <c r="X147" s="23">
        <v>272</v>
      </c>
      <c r="Y147" s="23">
        <v>306</v>
      </c>
      <c r="Z147" s="23">
        <v>305</v>
      </c>
      <c r="AA147" s="23">
        <v>307.5</v>
      </c>
      <c r="AB147" s="23">
        <v>312.10000000000002</v>
      </c>
    </row>
    <row r="148" spans="1:28" x14ac:dyDescent="0.2">
      <c r="A148" s="16" t="s">
        <v>37</v>
      </c>
      <c r="B148" s="17" t="s">
        <v>72</v>
      </c>
      <c r="C148" s="17" t="s">
        <v>8</v>
      </c>
      <c r="D148" s="17" t="s">
        <v>10</v>
      </c>
      <c r="E148" s="17" t="s">
        <v>22</v>
      </c>
      <c r="F148" s="17" t="str">
        <f>INDEX(nrg_cb_e!$A$3:$A$40,MATCH(LEFT(MID('Industriesektor GWh'!$B148,41,1000),SEARCH(" - ",MID('Industriesektor GWh'!$B148,41,1000))-1),nrg_cb_e!$C$3:$C$40,0))</f>
        <v>FC_IND_CON_E</v>
      </c>
      <c r="G148" s="18">
        <v>2479</v>
      </c>
      <c r="J148" t="s">
        <v>39</v>
      </c>
      <c r="K148" t="s">
        <v>134</v>
      </c>
      <c r="L148" s="23">
        <v>455</v>
      </c>
      <c r="M148" s="23">
        <v>528</v>
      </c>
      <c r="N148" s="23">
        <v>583</v>
      </c>
      <c r="O148" s="23">
        <v>530</v>
      </c>
      <c r="P148" s="23">
        <v>566</v>
      </c>
      <c r="Q148" s="23">
        <v>588</v>
      </c>
      <c r="R148" s="23">
        <v>651</v>
      </c>
      <c r="S148" s="23">
        <v>629</v>
      </c>
      <c r="T148" s="23">
        <v>656</v>
      </c>
      <c r="U148" s="23">
        <v>659</v>
      </c>
      <c r="V148" s="23">
        <v>658</v>
      </c>
      <c r="W148" s="23">
        <v>676</v>
      </c>
      <c r="X148" s="23">
        <v>699</v>
      </c>
      <c r="Y148" s="23">
        <v>710</v>
      </c>
      <c r="Z148" s="23">
        <v>713</v>
      </c>
      <c r="AA148" s="23">
        <v>695.6</v>
      </c>
      <c r="AB148" s="23">
        <v>679.1</v>
      </c>
    </row>
    <row r="149" spans="1:28" x14ac:dyDescent="0.2">
      <c r="A149" s="19" t="s">
        <v>37</v>
      </c>
      <c r="B149" s="20" t="s">
        <v>72</v>
      </c>
      <c r="C149" s="20" t="s">
        <v>8</v>
      </c>
      <c r="D149" s="20" t="s">
        <v>10</v>
      </c>
      <c r="E149" s="20" t="s">
        <v>23</v>
      </c>
      <c r="F149" s="20" t="str">
        <f>INDEX(nrg_cb_e!$A$3:$A$40,MATCH(LEFT(MID('Industriesektor GWh'!$B149,41,1000),SEARCH(" - ",MID('Industriesektor GWh'!$B149,41,1000))-1),nrg_cb_e!$C$3:$C$40,0))</f>
        <v>FC_IND_CON_E</v>
      </c>
      <c r="G149" s="21">
        <v>2871</v>
      </c>
      <c r="J149" t="s">
        <v>39</v>
      </c>
      <c r="K149" t="s">
        <v>120</v>
      </c>
      <c r="L149" s="23">
        <v>122</v>
      </c>
      <c r="M149" s="23">
        <v>137</v>
      </c>
      <c r="N149" s="23">
        <v>188</v>
      </c>
      <c r="O149" s="23">
        <v>180</v>
      </c>
      <c r="P149" s="23">
        <v>206</v>
      </c>
      <c r="Q149" s="23">
        <v>203</v>
      </c>
      <c r="R149" s="23">
        <v>245</v>
      </c>
      <c r="S149" s="23">
        <v>139</v>
      </c>
      <c r="T149" s="23">
        <v>181</v>
      </c>
      <c r="U149" s="23">
        <v>176</v>
      </c>
      <c r="V149" s="23">
        <v>82</v>
      </c>
      <c r="W149" s="23">
        <v>168</v>
      </c>
      <c r="X149" s="23">
        <v>176</v>
      </c>
      <c r="Y149" s="23">
        <v>170</v>
      </c>
      <c r="Z149" s="23">
        <v>50</v>
      </c>
      <c r="AA149" s="23">
        <v>53.7</v>
      </c>
      <c r="AB149" s="23">
        <v>175.3</v>
      </c>
    </row>
    <row r="150" spans="1:28" x14ac:dyDescent="0.2">
      <c r="A150" s="16" t="s">
        <v>37</v>
      </c>
      <c r="B150" s="17" t="s">
        <v>72</v>
      </c>
      <c r="C150" s="17" t="s">
        <v>8</v>
      </c>
      <c r="D150" s="17" t="s">
        <v>10</v>
      </c>
      <c r="E150" s="17" t="s">
        <v>24</v>
      </c>
      <c r="F150" s="17" t="str">
        <f>INDEX(nrg_cb_e!$A$3:$A$40,MATCH(LEFT(MID('Industriesektor GWh'!$B150,41,1000),SEARCH(" - ",MID('Industriesektor GWh'!$B150,41,1000))-1),nrg_cb_e!$C$3:$C$40,0))</f>
        <v>FC_IND_CON_E</v>
      </c>
      <c r="G150" s="18">
        <v>2390</v>
      </c>
      <c r="J150" t="s">
        <v>39</v>
      </c>
      <c r="K150" t="s">
        <v>130</v>
      </c>
      <c r="L150" s="23">
        <v>165</v>
      </c>
      <c r="M150" s="23">
        <v>189</v>
      </c>
      <c r="N150" s="23">
        <v>219</v>
      </c>
      <c r="O150" s="23">
        <v>241</v>
      </c>
      <c r="P150" s="23">
        <v>276</v>
      </c>
      <c r="Q150" s="23">
        <v>311</v>
      </c>
      <c r="R150" s="23">
        <v>360</v>
      </c>
      <c r="S150" s="23">
        <v>301</v>
      </c>
      <c r="T150" s="23">
        <v>313</v>
      </c>
      <c r="U150" s="23">
        <v>321</v>
      </c>
      <c r="V150" s="23">
        <v>319</v>
      </c>
      <c r="W150" s="23">
        <v>330</v>
      </c>
      <c r="X150" s="23">
        <v>400</v>
      </c>
      <c r="Y150" s="23">
        <v>428</v>
      </c>
      <c r="Z150" s="23">
        <v>466</v>
      </c>
      <c r="AA150" s="23">
        <v>456.6</v>
      </c>
      <c r="AB150" s="23">
        <v>413.7</v>
      </c>
    </row>
    <row r="151" spans="1:28" x14ac:dyDescent="0.2">
      <c r="A151" s="19" t="s">
        <v>37</v>
      </c>
      <c r="B151" s="20" t="s">
        <v>72</v>
      </c>
      <c r="C151" s="20" t="s">
        <v>8</v>
      </c>
      <c r="D151" s="20" t="s">
        <v>10</v>
      </c>
      <c r="E151" s="20" t="s">
        <v>25</v>
      </c>
      <c r="F151" s="20" t="str">
        <f>INDEX(nrg_cb_e!$A$3:$A$40,MATCH(LEFT(MID('Industriesektor GWh'!$B151,41,1000),SEARCH(" - ",MID('Industriesektor GWh'!$B151,41,1000))-1),nrg_cb_e!$C$3:$C$40,0))</f>
        <v>FC_IND_CON_E</v>
      </c>
      <c r="G151" s="21">
        <v>2070</v>
      </c>
      <c r="J151" t="s">
        <v>39</v>
      </c>
      <c r="K151" t="s">
        <v>132</v>
      </c>
      <c r="L151" s="23">
        <v>46</v>
      </c>
      <c r="M151" s="23">
        <v>57</v>
      </c>
      <c r="N151" s="23">
        <v>63</v>
      </c>
      <c r="O151" s="23">
        <v>56</v>
      </c>
      <c r="P151" s="23">
        <v>60</v>
      </c>
      <c r="Q151" s="23">
        <v>58</v>
      </c>
      <c r="R151" s="23">
        <v>52</v>
      </c>
      <c r="S151" s="23">
        <v>57</v>
      </c>
      <c r="T151" s="23">
        <v>47</v>
      </c>
      <c r="U151" s="23">
        <v>40</v>
      </c>
      <c r="V151" s="23">
        <v>41</v>
      </c>
      <c r="W151" s="23">
        <v>42</v>
      </c>
      <c r="X151" s="23">
        <v>40</v>
      </c>
      <c r="Y151" s="23">
        <v>44</v>
      </c>
      <c r="Z151" s="23">
        <v>49</v>
      </c>
      <c r="AA151" s="23">
        <v>32.9</v>
      </c>
      <c r="AB151" s="23">
        <v>28.8</v>
      </c>
    </row>
    <row r="152" spans="1:28" x14ac:dyDescent="0.2">
      <c r="A152" s="16" t="s">
        <v>37</v>
      </c>
      <c r="B152" s="17" t="s">
        <v>72</v>
      </c>
      <c r="C152" s="17" t="s">
        <v>8</v>
      </c>
      <c r="D152" s="17" t="s">
        <v>10</v>
      </c>
      <c r="E152" s="17" t="s">
        <v>26</v>
      </c>
      <c r="F152" s="17" t="str">
        <f>INDEX(nrg_cb_e!$A$3:$A$40,MATCH(LEFT(MID('Industriesektor GWh'!$B152,41,1000),SEARCH(" - ",MID('Industriesektor GWh'!$B152,41,1000))-1),nrg_cb_e!$C$3:$C$40,0))</f>
        <v>FC_IND_CON_E</v>
      </c>
      <c r="G152" s="18">
        <v>2027</v>
      </c>
      <c r="J152" t="s">
        <v>39</v>
      </c>
      <c r="K152" t="s">
        <v>124</v>
      </c>
      <c r="L152" s="23">
        <v>92</v>
      </c>
      <c r="M152" s="23">
        <v>80</v>
      </c>
      <c r="N152" s="23">
        <v>80</v>
      </c>
      <c r="O152" s="23">
        <v>93</v>
      </c>
      <c r="P152" s="23">
        <v>91</v>
      </c>
      <c r="Q152" s="23">
        <v>96</v>
      </c>
      <c r="R152" s="23">
        <v>78</v>
      </c>
      <c r="S152" s="23">
        <v>77</v>
      </c>
      <c r="T152" s="23">
        <v>71</v>
      </c>
      <c r="U152" s="23">
        <v>82</v>
      </c>
      <c r="V152" s="23">
        <v>86</v>
      </c>
      <c r="W152" s="23">
        <v>86</v>
      </c>
      <c r="X152" s="23">
        <v>79</v>
      </c>
      <c r="Y152" s="23">
        <v>36</v>
      </c>
      <c r="Z152" s="23">
        <v>32</v>
      </c>
      <c r="AA152" s="23">
        <v>86.2</v>
      </c>
      <c r="AB152" s="23">
        <v>98.7</v>
      </c>
    </row>
    <row r="153" spans="1:28" x14ac:dyDescent="0.2">
      <c r="A153" s="19" t="s">
        <v>37</v>
      </c>
      <c r="B153" s="20" t="s">
        <v>72</v>
      </c>
      <c r="C153" s="20" t="s">
        <v>8</v>
      </c>
      <c r="D153" s="20" t="s">
        <v>10</v>
      </c>
      <c r="E153" s="20" t="s">
        <v>27</v>
      </c>
      <c r="F153" s="20" t="str">
        <f>INDEX(nrg_cb_e!$A$3:$A$40,MATCH(LEFT(MID('Industriesektor GWh'!$B153,41,1000),SEARCH(" - ",MID('Industriesektor GWh'!$B153,41,1000))-1),nrg_cb_e!$C$3:$C$40,0))</f>
        <v>FC_IND_CON_E</v>
      </c>
      <c r="G153" s="21">
        <v>2425</v>
      </c>
      <c r="J153" t="s">
        <v>39</v>
      </c>
      <c r="K153" t="s">
        <v>126</v>
      </c>
      <c r="L153" s="23">
        <v>621</v>
      </c>
      <c r="M153" s="23">
        <v>698</v>
      </c>
      <c r="N153" s="23">
        <v>654</v>
      </c>
      <c r="O153" s="23">
        <v>685</v>
      </c>
      <c r="P153" s="23">
        <v>722</v>
      </c>
      <c r="Q153" s="23">
        <v>733</v>
      </c>
      <c r="R153" s="23">
        <v>742</v>
      </c>
      <c r="S153" s="23">
        <v>622</v>
      </c>
      <c r="T153" s="23">
        <v>625</v>
      </c>
      <c r="U153" s="23">
        <v>547</v>
      </c>
      <c r="V153" s="23">
        <v>522</v>
      </c>
      <c r="W153" s="23">
        <v>534</v>
      </c>
      <c r="X153" s="23">
        <v>552</v>
      </c>
      <c r="Y153" s="23">
        <v>578</v>
      </c>
      <c r="Z153" s="23">
        <v>575</v>
      </c>
      <c r="AA153" s="23">
        <v>677</v>
      </c>
      <c r="AB153" s="23">
        <v>684.2</v>
      </c>
    </row>
    <row r="154" spans="1:28" x14ac:dyDescent="0.2">
      <c r="A154" s="16" t="s">
        <v>37</v>
      </c>
      <c r="B154" s="17" t="s">
        <v>72</v>
      </c>
      <c r="C154" s="17" t="s">
        <v>8</v>
      </c>
      <c r="D154" s="17" t="s">
        <v>10</v>
      </c>
      <c r="E154" s="17" t="s">
        <v>28</v>
      </c>
      <c r="F154" s="17" t="str">
        <f>INDEX(nrg_cb_e!$A$3:$A$40,MATCH(LEFT(MID('Industriesektor GWh'!$B154,41,1000),SEARCH(" - ",MID('Industriesektor GWh'!$B154,41,1000))-1),nrg_cb_e!$C$3:$C$40,0))</f>
        <v>FC_IND_CON_E</v>
      </c>
      <c r="G154" s="18">
        <v>3052</v>
      </c>
      <c r="J154" t="s">
        <v>39</v>
      </c>
      <c r="K154" t="s">
        <v>136</v>
      </c>
      <c r="L154" s="23">
        <v>308</v>
      </c>
      <c r="M154" s="23">
        <v>322</v>
      </c>
      <c r="N154" s="23">
        <v>292</v>
      </c>
      <c r="O154" s="23">
        <v>312</v>
      </c>
      <c r="P154" s="23">
        <v>326</v>
      </c>
      <c r="Q154" s="23">
        <v>332</v>
      </c>
      <c r="R154" s="23">
        <v>320</v>
      </c>
      <c r="S154" s="23">
        <v>317</v>
      </c>
      <c r="T154" s="23">
        <v>322</v>
      </c>
      <c r="U154" s="23">
        <v>323</v>
      </c>
      <c r="V154" s="23">
        <v>285</v>
      </c>
      <c r="W154" s="23">
        <v>250</v>
      </c>
      <c r="X154" s="23">
        <v>251</v>
      </c>
      <c r="Y154" s="23">
        <v>279</v>
      </c>
      <c r="Z154" s="23">
        <v>309</v>
      </c>
      <c r="AA154" s="23">
        <v>324.39999999999998</v>
      </c>
      <c r="AB154" s="23">
        <v>317.39999999999998</v>
      </c>
    </row>
    <row r="155" spans="1:28" x14ac:dyDescent="0.2">
      <c r="A155" s="19" t="s">
        <v>38</v>
      </c>
      <c r="B155" s="20" t="s">
        <v>72</v>
      </c>
      <c r="C155" s="20" t="s">
        <v>8</v>
      </c>
      <c r="D155" s="20" t="s">
        <v>10</v>
      </c>
      <c r="E155" s="20" t="s">
        <v>12</v>
      </c>
      <c r="F155" s="20" t="str">
        <f>INDEX(nrg_cb_e!$A$3:$A$40,MATCH(LEFT(MID('Industriesektor GWh'!$B155,41,1000),SEARCH(" - ",MID('Industriesektor GWh'!$B155,41,1000))-1),nrg_cb_e!$C$3:$C$40,0))</f>
        <v>FC_IND_CON_E</v>
      </c>
      <c r="G155" s="21">
        <v>1457</v>
      </c>
      <c r="J155" t="s">
        <v>39</v>
      </c>
      <c r="K155" t="s">
        <v>128</v>
      </c>
      <c r="L155" s="23">
        <v>191</v>
      </c>
      <c r="M155" s="23">
        <v>190</v>
      </c>
      <c r="N155" s="23">
        <v>191</v>
      </c>
      <c r="O155" s="23">
        <v>182</v>
      </c>
      <c r="P155" s="23">
        <v>176</v>
      </c>
      <c r="Q155" s="23">
        <v>193</v>
      </c>
      <c r="R155" s="23">
        <v>165</v>
      </c>
      <c r="S155" s="23">
        <v>134</v>
      </c>
      <c r="T155" s="23">
        <v>128</v>
      </c>
      <c r="U155" s="23">
        <v>124</v>
      </c>
      <c r="V155" s="23">
        <v>111</v>
      </c>
      <c r="W155" s="23">
        <v>90</v>
      </c>
      <c r="X155" s="23">
        <v>76</v>
      </c>
      <c r="Y155" s="23">
        <v>82</v>
      </c>
      <c r="Z155" s="23">
        <v>91</v>
      </c>
      <c r="AA155" s="23">
        <v>98</v>
      </c>
      <c r="AB155" s="23">
        <v>93</v>
      </c>
    </row>
    <row r="156" spans="1:28" x14ac:dyDescent="0.2">
      <c r="A156" s="16" t="s">
        <v>38</v>
      </c>
      <c r="B156" s="17" t="s">
        <v>72</v>
      </c>
      <c r="C156" s="17" t="s">
        <v>8</v>
      </c>
      <c r="D156" s="17" t="s">
        <v>10</v>
      </c>
      <c r="E156" s="17" t="s">
        <v>13</v>
      </c>
      <c r="F156" s="17" t="str">
        <f>INDEX(nrg_cb_e!$A$3:$A$40,MATCH(LEFT(MID('Industriesektor GWh'!$B156,41,1000),SEARCH(" - ",MID('Industriesektor GWh'!$B156,41,1000))-1),nrg_cb_e!$C$3:$C$40,0))</f>
        <v>FC_IND_CON_E</v>
      </c>
      <c r="G156" s="18">
        <v>1587</v>
      </c>
      <c r="J156" t="s">
        <v>39</v>
      </c>
      <c r="K156" t="s">
        <v>142</v>
      </c>
      <c r="L156" s="23">
        <v>159</v>
      </c>
      <c r="M156" s="23">
        <v>144</v>
      </c>
      <c r="N156" s="23">
        <v>173</v>
      </c>
      <c r="O156" s="23">
        <v>170</v>
      </c>
      <c r="P156" s="23">
        <v>170</v>
      </c>
      <c r="Q156" s="23">
        <v>171</v>
      </c>
      <c r="R156" s="23">
        <v>162</v>
      </c>
      <c r="S156" s="23">
        <v>152</v>
      </c>
      <c r="T156" s="23">
        <v>147</v>
      </c>
      <c r="U156" s="23">
        <v>158</v>
      </c>
      <c r="V156" s="23">
        <v>155</v>
      </c>
      <c r="W156" s="23">
        <v>150</v>
      </c>
      <c r="X156" s="23">
        <v>159</v>
      </c>
      <c r="Y156" s="23">
        <v>166</v>
      </c>
      <c r="Z156" s="23">
        <v>149</v>
      </c>
      <c r="AA156" s="23">
        <v>153</v>
      </c>
      <c r="AB156" s="23">
        <v>148</v>
      </c>
    </row>
    <row r="157" spans="1:28" x14ac:dyDescent="0.2">
      <c r="A157" s="19" t="s">
        <v>38</v>
      </c>
      <c r="B157" s="20" t="s">
        <v>72</v>
      </c>
      <c r="C157" s="20" t="s">
        <v>8</v>
      </c>
      <c r="D157" s="20" t="s">
        <v>10</v>
      </c>
      <c r="E157" s="20" t="s">
        <v>14</v>
      </c>
      <c r="F157" s="20" t="str">
        <f>INDEX(nrg_cb_e!$A$3:$A$40,MATCH(LEFT(MID('Industriesektor GWh'!$B157,41,1000),SEARCH(" - ",MID('Industriesektor GWh'!$B157,41,1000))-1),nrg_cb_e!$C$3:$C$40,0))</f>
        <v>FC_IND_CON_E</v>
      </c>
      <c r="G157" s="21">
        <v>1650</v>
      </c>
      <c r="J157" t="s">
        <v>39</v>
      </c>
      <c r="K157" t="s">
        <v>138</v>
      </c>
      <c r="L157" s="23">
        <v>95</v>
      </c>
      <c r="M157" s="23">
        <v>102</v>
      </c>
      <c r="N157" s="23">
        <v>124</v>
      </c>
      <c r="O157" s="23">
        <v>146</v>
      </c>
      <c r="P157" s="23">
        <v>159</v>
      </c>
      <c r="Q157" s="23">
        <v>150</v>
      </c>
      <c r="R157" s="23">
        <v>165</v>
      </c>
      <c r="S157" s="23">
        <v>159</v>
      </c>
      <c r="T157" s="23">
        <v>179</v>
      </c>
      <c r="U157" s="23">
        <v>198</v>
      </c>
      <c r="V157" s="23">
        <v>198</v>
      </c>
      <c r="W157" s="23">
        <v>224</v>
      </c>
      <c r="X157" s="23">
        <v>238</v>
      </c>
      <c r="Y157" s="23">
        <v>265</v>
      </c>
      <c r="Z157" s="23">
        <v>279</v>
      </c>
      <c r="AA157" s="23">
        <v>310.5</v>
      </c>
      <c r="AB157" s="23">
        <v>316.39999999999998</v>
      </c>
    </row>
    <row r="158" spans="1:28" x14ac:dyDescent="0.2">
      <c r="A158" s="16" t="s">
        <v>38</v>
      </c>
      <c r="B158" s="17" t="s">
        <v>72</v>
      </c>
      <c r="C158" s="17" t="s">
        <v>8</v>
      </c>
      <c r="D158" s="17" t="s">
        <v>10</v>
      </c>
      <c r="E158" s="17" t="s">
        <v>15</v>
      </c>
      <c r="F158" s="17" t="str">
        <f>INDEX(nrg_cb_e!$A$3:$A$40,MATCH(LEFT(MID('Industriesektor GWh'!$B158,41,1000),SEARCH(" - ",MID('Industriesektor GWh'!$B158,41,1000))-1),nrg_cb_e!$C$3:$C$40,0))</f>
        <v>FC_IND_CON_E</v>
      </c>
      <c r="G158" s="18">
        <v>1735</v>
      </c>
      <c r="J158" t="s">
        <v>39</v>
      </c>
      <c r="K158" t="s">
        <v>116</v>
      </c>
      <c r="L158" s="23">
        <v>127</v>
      </c>
      <c r="M158" s="23">
        <v>142</v>
      </c>
      <c r="N158" s="23">
        <v>162</v>
      </c>
      <c r="O158" s="23">
        <v>181</v>
      </c>
      <c r="P158" s="23">
        <v>211</v>
      </c>
      <c r="Q158" s="23">
        <v>248</v>
      </c>
      <c r="R158" s="23">
        <v>246</v>
      </c>
      <c r="S158" s="23">
        <v>236</v>
      </c>
      <c r="T158" s="23">
        <v>224</v>
      </c>
      <c r="U158" s="23">
        <v>215</v>
      </c>
      <c r="V158" s="23">
        <v>233</v>
      </c>
      <c r="W158" s="23">
        <v>244</v>
      </c>
      <c r="X158" s="23">
        <v>268</v>
      </c>
      <c r="Y158" s="23">
        <v>289</v>
      </c>
      <c r="Z158" s="23">
        <v>330</v>
      </c>
      <c r="AA158" s="23">
        <v>334.9</v>
      </c>
      <c r="AB158" s="23">
        <v>338.4</v>
      </c>
    </row>
    <row r="159" spans="1:28" x14ac:dyDescent="0.2">
      <c r="A159" s="19" t="s">
        <v>38</v>
      </c>
      <c r="B159" s="20" t="s">
        <v>72</v>
      </c>
      <c r="C159" s="20" t="s">
        <v>8</v>
      </c>
      <c r="D159" s="20" t="s">
        <v>10</v>
      </c>
      <c r="E159" s="20" t="s">
        <v>16</v>
      </c>
      <c r="F159" s="20" t="str">
        <f>INDEX(nrg_cb_e!$A$3:$A$40,MATCH(LEFT(MID('Industriesektor GWh'!$B159,41,1000),SEARCH(" - ",MID('Industriesektor GWh'!$B159,41,1000))-1),nrg_cb_e!$C$3:$C$40,0))</f>
        <v>FC_IND_CON_E</v>
      </c>
      <c r="G159" s="21">
        <v>1859</v>
      </c>
      <c r="J159" t="s">
        <v>42</v>
      </c>
      <c r="K159" t="s">
        <v>140</v>
      </c>
      <c r="L159" s="23">
        <v>72</v>
      </c>
      <c r="M159" s="23">
        <v>81</v>
      </c>
      <c r="N159" s="23">
        <v>88</v>
      </c>
      <c r="O159" s="23">
        <v>103</v>
      </c>
      <c r="P159" s="23">
        <v>119</v>
      </c>
      <c r="Q159" s="23">
        <v>111</v>
      </c>
      <c r="R159" s="23">
        <v>146</v>
      </c>
      <c r="S159" s="23">
        <v>117</v>
      </c>
      <c r="T159" s="23">
        <v>106</v>
      </c>
      <c r="U159" s="23">
        <v>91</v>
      </c>
      <c r="V159" s="23">
        <v>84</v>
      </c>
      <c r="W159" s="23">
        <v>70</v>
      </c>
      <c r="X159" s="23">
        <v>78</v>
      </c>
      <c r="Y159" s="23">
        <v>74</v>
      </c>
      <c r="Z159" s="23">
        <v>66</v>
      </c>
      <c r="AA159" s="23">
        <v>67.581999999999994</v>
      </c>
      <c r="AB159" s="23">
        <v>70.355999999999995</v>
      </c>
    </row>
    <row r="160" spans="1:28" x14ac:dyDescent="0.2">
      <c r="A160" s="16" t="s">
        <v>38</v>
      </c>
      <c r="B160" s="17" t="s">
        <v>72</v>
      </c>
      <c r="C160" s="17" t="s">
        <v>8</v>
      </c>
      <c r="D160" s="17" t="s">
        <v>10</v>
      </c>
      <c r="E160" s="17" t="s">
        <v>17</v>
      </c>
      <c r="F160" s="17" t="str">
        <f>INDEX(nrg_cb_e!$A$3:$A$40,MATCH(LEFT(MID('Industriesektor GWh'!$B160,41,1000),SEARCH(" - ",MID('Industriesektor GWh'!$B160,41,1000))-1),nrg_cb_e!$C$3:$C$40,0))</f>
        <v>FC_IND_CON_E</v>
      </c>
      <c r="G160" s="18">
        <v>1956</v>
      </c>
      <c r="J160" t="s">
        <v>42</v>
      </c>
      <c r="K160" t="s">
        <v>122</v>
      </c>
      <c r="L160" s="23">
        <v>75</v>
      </c>
      <c r="M160" s="23">
        <v>75</v>
      </c>
      <c r="N160" s="23">
        <v>66</v>
      </c>
      <c r="O160" s="23">
        <v>72</v>
      </c>
      <c r="P160" s="23">
        <v>75</v>
      </c>
      <c r="Q160" s="23">
        <v>59</v>
      </c>
      <c r="R160" s="23">
        <v>65</v>
      </c>
      <c r="S160" s="23">
        <v>59</v>
      </c>
      <c r="T160" s="23">
        <v>63</v>
      </c>
      <c r="U160" s="23">
        <v>69</v>
      </c>
      <c r="V160" s="23">
        <v>72</v>
      </c>
      <c r="W160" s="23">
        <v>72</v>
      </c>
      <c r="X160" s="23">
        <v>60</v>
      </c>
      <c r="Y160" s="23">
        <v>62</v>
      </c>
      <c r="Z160" s="23">
        <v>62</v>
      </c>
      <c r="AA160" s="23">
        <v>64.498999999999995</v>
      </c>
      <c r="AB160" s="23">
        <v>65.269000000000005</v>
      </c>
    </row>
    <row r="161" spans="1:28" x14ac:dyDescent="0.2">
      <c r="A161" s="19" t="s">
        <v>38</v>
      </c>
      <c r="B161" s="20" t="s">
        <v>72</v>
      </c>
      <c r="C161" s="20" t="s">
        <v>8</v>
      </c>
      <c r="D161" s="20" t="s">
        <v>10</v>
      </c>
      <c r="E161" s="20" t="s">
        <v>18</v>
      </c>
      <c r="F161" s="20" t="str">
        <f>INDEX(nrg_cb_e!$A$3:$A$40,MATCH(LEFT(MID('Industriesektor GWh'!$B161,41,1000),SEARCH(" - ",MID('Industriesektor GWh'!$B161,41,1000))-1),nrg_cb_e!$C$3:$C$40,0))</f>
        <v>FC_IND_CON_E</v>
      </c>
      <c r="G161" s="21">
        <v>2539</v>
      </c>
      <c r="J161" t="s">
        <v>42</v>
      </c>
      <c r="K161" t="s">
        <v>134</v>
      </c>
      <c r="L161" s="23">
        <v>308</v>
      </c>
      <c r="M161" s="23">
        <v>313</v>
      </c>
      <c r="N161" s="23">
        <v>298</v>
      </c>
      <c r="O161" s="23">
        <v>318</v>
      </c>
      <c r="P161" s="23">
        <v>323</v>
      </c>
      <c r="Q161" s="23">
        <v>351</v>
      </c>
      <c r="R161" s="23">
        <v>346</v>
      </c>
      <c r="S161" s="23">
        <v>282</v>
      </c>
      <c r="T161" s="23">
        <v>292</v>
      </c>
      <c r="U161" s="23">
        <v>293</v>
      </c>
      <c r="V161" s="23">
        <v>258</v>
      </c>
      <c r="W161" s="23">
        <v>320</v>
      </c>
      <c r="X161" s="23">
        <v>280</v>
      </c>
      <c r="Y161" s="23">
        <v>278</v>
      </c>
      <c r="Z161" s="23">
        <v>277</v>
      </c>
      <c r="AA161" s="23">
        <v>288.18799999999999</v>
      </c>
      <c r="AB161" s="23">
        <v>284.16000000000003</v>
      </c>
    </row>
    <row r="162" spans="1:28" x14ac:dyDescent="0.2">
      <c r="A162" s="16" t="s">
        <v>38</v>
      </c>
      <c r="B162" s="17" t="s">
        <v>72</v>
      </c>
      <c r="C162" s="17" t="s">
        <v>8</v>
      </c>
      <c r="D162" s="17" t="s">
        <v>10</v>
      </c>
      <c r="E162" s="17" t="s">
        <v>19</v>
      </c>
      <c r="F162" s="17" t="str">
        <f>INDEX(nrg_cb_e!$A$3:$A$40,MATCH(LEFT(MID('Industriesektor GWh'!$B162,41,1000),SEARCH(" - ",MID('Industriesektor GWh'!$B162,41,1000))-1),nrg_cb_e!$C$3:$C$40,0))</f>
        <v>FC_IND_CON_E</v>
      </c>
      <c r="G162" s="18">
        <v>1899</v>
      </c>
      <c r="J162" t="s">
        <v>42</v>
      </c>
      <c r="K162" t="s">
        <v>120</v>
      </c>
      <c r="L162" s="23">
        <v>137</v>
      </c>
      <c r="M162" s="23">
        <v>137</v>
      </c>
      <c r="N162" s="23">
        <v>147</v>
      </c>
      <c r="O162" s="23">
        <v>144</v>
      </c>
      <c r="P162" s="23">
        <v>157</v>
      </c>
      <c r="Q162" s="23">
        <v>147</v>
      </c>
      <c r="R162" s="23">
        <v>142</v>
      </c>
      <c r="S162" s="23">
        <v>134</v>
      </c>
      <c r="T162" s="23">
        <v>148</v>
      </c>
      <c r="U162" s="23">
        <v>189</v>
      </c>
      <c r="V162" s="23">
        <v>486</v>
      </c>
      <c r="W162" s="23">
        <v>141</v>
      </c>
      <c r="X162" s="23">
        <v>15</v>
      </c>
      <c r="Y162" s="23">
        <v>49</v>
      </c>
      <c r="Z162" s="23">
        <v>14</v>
      </c>
      <c r="AA162" s="23">
        <v>14.581</v>
      </c>
      <c r="AB162" s="23">
        <v>13.706</v>
      </c>
    </row>
    <row r="163" spans="1:28" x14ac:dyDescent="0.2">
      <c r="A163" s="19" t="s">
        <v>38</v>
      </c>
      <c r="B163" s="20" t="s">
        <v>72</v>
      </c>
      <c r="C163" s="20" t="s">
        <v>8</v>
      </c>
      <c r="D163" s="20" t="s">
        <v>10</v>
      </c>
      <c r="E163" s="20" t="s">
        <v>20</v>
      </c>
      <c r="F163" s="20" t="str">
        <f>INDEX(nrg_cb_e!$A$3:$A$40,MATCH(LEFT(MID('Industriesektor GWh'!$B163,41,1000),SEARCH(" - ",MID('Industriesektor GWh'!$B163,41,1000))-1),nrg_cb_e!$C$3:$C$40,0))</f>
        <v>FC_IND_CON_E</v>
      </c>
      <c r="G163" s="21">
        <v>2169</v>
      </c>
      <c r="J163" t="s">
        <v>42</v>
      </c>
      <c r="K163" t="s">
        <v>130</v>
      </c>
      <c r="L163" s="23">
        <v>139</v>
      </c>
      <c r="M163" s="23">
        <v>145</v>
      </c>
      <c r="N163" s="23">
        <v>153</v>
      </c>
      <c r="O163" s="23">
        <v>157</v>
      </c>
      <c r="P163" s="23">
        <v>161</v>
      </c>
      <c r="Q163" s="23">
        <v>140</v>
      </c>
      <c r="R163" s="23">
        <v>136</v>
      </c>
      <c r="S163" s="23">
        <v>86</v>
      </c>
      <c r="T163" s="23">
        <v>96</v>
      </c>
      <c r="U163" s="23">
        <v>108</v>
      </c>
      <c r="V163" s="23">
        <v>110</v>
      </c>
      <c r="W163" s="23">
        <v>116</v>
      </c>
      <c r="X163" s="23">
        <v>108</v>
      </c>
      <c r="Y163" s="23">
        <v>93</v>
      </c>
      <c r="Z163" s="23">
        <v>97</v>
      </c>
      <c r="AA163" s="23">
        <v>89.174000000000007</v>
      </c>
      <c r="AB163" s="23">
        <v>91.846999999999994</v>
      </c>
    </row>
    <row r="164" spans="1:28" x14ac:dyDescent="0.2">
      <c r="A164" s="16" t="s">
        <v>38</v>
      </c>
      <c r="B164" s="17" t="s">
        <v>72</v>
      </c>
      <c r="C164" s="17" t="s">
        <v>8</v>
      </c>
      <c r="D164" s="17" t="s">
        <v>10</v>
      </c>
      <c r="E164" s="17" t="s">
        <v>21</v>
      </c>
      <c r="F164" s="17" t="str">
        <f>INDEX(nrg_cb_e!$A$3:$A$40,MATCH(LEFT(MID('Industriesektor GWh'!$B164,41,1000),SEARCH(" - ",MID('Industriesektor GWh'!$B164,41,1000))-1),nrg_cb_e!$C$3:$C$40,0))</f>
        <v>FC_IND_CON_E</v>
      </c>
      <c r="G164" s="18">
        <v>7590.4920000000002</v>
      </c>
      <c r="J164" t="s">
        <v>42</v>
      </c>
      <c r="K164" t="s">
        <v>132</v>
      </c>
      <c r="L164" s="23">
        <v>8</v>
      </c>
      <c r="M164" s="23">
        <v>8</v>
      </c>
      <c r="N164" s="23">
        <v>9</v>
      </c>
      <c r="O164" s="23">
        <v>11</v>
      </c>
      <c r="P164" s="23">
        <v>13</v>
      </c>
      <c r="Q164" s="23">
        <v>13</v>
      </c>
      <c r="R164" s="23">
        <v>12</v>
      </c>
      <c r="S164" s="23">
        <v>9</v>
      </c>
      <c r="T164" s="23">
        <v>18</v>
      </c>
      <c r="U164" s="23">
        <v>12</v>
      </c>
      <c r="V164" s="23">
        <v>11</v>
      </c>
      <c r="W164" s="23">
        <v>21</v>
      </c>
      <c r="X164" s="23">
        <v>14</v>
      </c>
      <c r="Y164" s="23">
        <v>15</v>
      </c>
      <c r="Z164" s="23">
        <v>12</v>
      </c>
      <c r="AA164" s="23">
        <v>27.687999999999999</v>
      </c>
      <c r="AB164" s="23">
        <v>30.074999999999999</v>
      </c>
    </row>
    <row r="165" spans="1:28" x14ac:dyDescent="0.2">
      <c r="A165" s="19" t="s">
        <v>38</v>
      </c>
      <c r="B165" s="20" t="s">
        <v>72</v>
      </c>
      <c r="C165" s="20" t="s">
        <v>8</v>
      </c>
      <c r="D165" s="20" t="s">
        <v>10</v>
      </c>
      <c r="E165" s="20" t="s">
        <v>22</v>
      </c>
      <c r="F165" s="20" t="str">
        <f>INDEX(nrg_cb_e!$A$3:$A$40,MATCH(LEFT(MID('Industriesektor GWh'!$B165,41,1000),SEARCH(" - ",MID('Industriesektor GWh'!$B165,41,1000))-1),nrg_cb_e!$C$3:$C$40,0))</f>
        <v>FC_IND_CON_E</v>
      </c>
      <c r="G165" s="21">
        <v>7919.893</v>
      </c>
      <c r="J165" t="s">
        <v>42</v>
      </c>
      <c r="K165" t="s">
        <v>124</v>
      </c>
      <c r="L165" s="23">
        <v>3</v>
      </c>
      <c r="M165" s="23">
        <v>3</v>
      </c>
      <c r="N165" s="23">
        <v>3</v>
      </c>
      <c r="O165" s="23">
        <v>3</v>
      </c>
      <c r="P165" s="23">
        <v>2</v>
      </c>
      <c r="Q165" s="23">
        <v>2</v>
      </c>
      <c r="R165" s="23">
        <v>1</v>
      </c>
      <c r="S165" s="23">
        <v>1</v>
      </c>
      <c r="T165" s="23">
        <v>1</v>
      </c>
      <c r="U165" s="23">
        <v>2</v>
      </c>
      <c r="V165" s="23">
        <v>2</v>
      </c>
      <c r="W165" s="23">
        <v>1</v>
      </c>
      <c r="X165" s="23">
        <v>1</v>
      </c>
      <c r="Y165" s="23">
        <v>0</v>
      </c>
      <c r="Z165" s="23">
        <v>0</v>
      </c>
      <c r="AA165" s="23">
        <v>4.867</v>
      </c>
      <c r="AB165" s="23">
        <v>5.0039999999999996</v>
      </c>
    </row>
    <row r="166" spans="1:28" x14ac:dyDescent="0.2">
      <c r="A166" s="16" t="s">
        <v>38</v>
      </c>
      <c r="B166" s="17" t="s">
        <v>72</v>
      </c>
      <c r="C166" s="17" t="s">
        <v>8</v>
      </c>
      <c r="D166" s="17" t="s">
        <v>10</v>
      </c>
      <c r="E166" s="17" t="s">
        <v>23</v>
      </c>
      <c r="F166" s="17" t="str">
        <f>INDEX(nrg_cb_e!$A$3:$A$40,MATCH(LEFT(MID('Industriesektor GWh'!$B166,41,1000),SEARCH(" - ",MID('Industriesektor GWh'!$B166,41,1000))-1),nrg_cb_e!$C$3:$C$40,0))</f>
        <v>FC_IND_CON_E</v>
      </c>
      <c r="G166" s="18">
        <v>7909.0020000000004</v>
      </c>
      <c r="J166" t="s">
        <v>42</v>
      </c>
      <c r="K166" t="s">
        <v>126</v>
      </c>
      <c r="L166" s="23">
        <v>100</v>
      </c>
      <c r="M166" s="23">
        <v>105</v>
      </c>
      <c r="N166" s="23">
        <v>105</v>
      </c>
      <c r="O166" s="23">
        <v>164</v>
      </c>
      <c r="P166" s="23">
        <v>155</v>
      </c>
      <c r="Q166" s="23">
        <v>184</v>
      </c>
      <c r="R166" s="23">
        <v>192</v>
      </c>
      <c r="S166" s="23">
        <v>176</v>
      </c>
      <c r="T166" s="23">
        <v>222</v>
      </c>
      <c r="U166" s="23">
        <v>239</v>
      </c>
      <c r="V166" s="23">
        <v>244</v>
      </c>
      <c r="W166" s="23">
        <v>256</v>
      </c>
      <c r="X166" s="23">
        <v>266</v>
      </c>
      <c r="Y166" s="23">
        <v>239</v>
      </c>
      <c r="Z166" s="23">
        <v>225</v>
      </c>
      <c r="AA166" s="23">
        <v>261.18400000000003</v>
      </c>
      <c r="AB166" s="23">
        <v>281.08600000000001</v>
      </c>
    </row>
    <row r="167" spans="1:28" x14ac:dyDescent="0.2">
      <c r="A167" s="19" t="s">
        <v>38</v>
      </c>
      <c r="B167" s="20" t="s">
        <v>72</v>
      </c>
      <c r="C167" s="20" t="s">
        <v>8</v>
      </c>
      <c r="D167" s="20" t="s">
        <v>10</v>
      </c>
      <c r="E167" s="20" t="s">
        <v>24</v>
      </c>
      <c r="F167" s="20" t="str">
        <f>INDEX(nrg_cb_e!$A$3:$A$40,MATCH(LEFT(MID('Industriesektor GWh'!$B167,41,1000),SEARCH(" - ",MID('Industriesektor GWh'!$B167,41,1000))-1),nrg_cb_e!$C$3:$C$40,0))</f>
        <v>FC_IND_CON_E</v>
      </c>
      <c r="G167" s="21">
        <v>7045.9639999999999</v>
      </c>
      <c r="J167" t="s">
        <v>42</v>
      </c>
      <c r="K167" t="s">
        <v>136</v>
      </c>
      <c r="L167" s="23">
        <v>36</v>
      </c>
      <c r="M167" s="23">
        <v>39</v>
      </c>
      <c r="N167" s="23">
        <v>42</v>
      </c>
      <c r="O167" s="23">
        <v>43</v>
      </c>
      <c r="P167" s="23">
        <v>38</v>
      </c>
      <c r="Q167" s="23">
        <v>42</v>
      </c>
      <c r="R167" s="23">
        <v>41</v>
      </c>
      <c r="S167" s="23">
        <v>47</v>
      </c>
      <c r="T167" s="23">
        <v>32</v>
      </c>
      <c r="U167" s="23">
        <v>31</v>
      </c>
      <c r="V167" s="23">
        <v>32</v>
      </c>
      <c r="W167" s="23">
        <v>29</v>
      </c>
      <c r="X167" s="23">
        <v>30</v>
      </c>
      <c r="Y167" s="23">
        <v>28</v>
      </c>
      <c r="Z167" s="23">
        <v>26</v>
      </c>
      <c r="AA167" s="23">
        <v>27.765999999999998</v>
      </c>
      <c r="AB167" s="23">
        <v>27.85</v>
      </c>
    </row>
    <row r="168" spans="1:28" x14ac:dyDescent="0.2">
      <c r="A168" s="16" t="s">
        <v>38</v>
      </c>
      <c r="B168" s="17" t="s">
        <v>72</v>
      </c>
      <c r="C168" s="17" t="s">
        <v>8</v>
      </c>
      <c r="D168" s="17" t="s">
        <v>10</v>
      </c>
      <c r="E168" s="17" t="s">
        <v>25</v>
      </c>
      <c r="F168" s="17" t="str">
        <f>INDEX(nrg_cb_e!$A$3:$A$40,MATCH(LEFT(MID('Industriesektor GWh'!$B168,41,1000),SEARCH(" - ",MID('Industriesektor GWh'!$B168,41,1000))-1),nrg_cb_e!$C$3:$C$40,0))</f>
        <v>FC_IND_CON_E</v>
      </c>
      <c r="G168" s="18">
        <v>6817.56</v>
      </c>
      <c r="J168" t="s">
        <v>42</v>
      </c>
      <c r="K168" t="s">
        <v>128</v>
      </c>
      <c r="L168" s="23">
        <v>60</v>
      </c>
      <c r="M168" s="23">
        <v>66</v>
      </c>
      <c r="N168" s="23">
        <v>64</v>
      </c>
      <c r="O168" s="23">
        <v>69</v>
      </c>
      <c r="P168" s="23">
        <v>63</v>
      </c>
      <c r="Q168" s="23">
        <v>87</v>
      </c>
      <c r="R168" s="23">
        <v>56</v>
      </c>
      <c r="S168" s="23">
        <v>38</v>
      </c>
      <c r="T168" s="23">
        <v>31</v>
      </c>
      <c r="U168" s="23">
        <v>36</v>
      </c>
      <c r="V168" s="23">
        <v>38</v>
      </c>
      <c r="W168" s="23">
        <v>53</v>
      </c>
      <c r="X168" s="23">
        <v>35</v>
      </c>
      <c r="Y168" s="23">
        <v>44</v>
      </c>
      <c r="Z168" s="23">
        <v>45</v>
      </c>
      <c r="AA168" s="23">
        <v>46.738999999999997</v>
      </c>
      <c r="AB168" s="23">
        <v>46.521999999999998</v>
      </c>
    </row>
    <row r="169" spans="1:28" x14ac:dyDescent="0.2">
      <c r="A169" s="19" t="s">
        <v>38</v>
      </c>
      <c r="B169" s="20" t="s">
        <v>72</v>
      </c>
      <c r="C169" s="20" t="s">
        <v>8</v>
      </c>
      <c r="D169" s="20" t="s">
        <v>10</v>
      </c>
      <c r="E169" s="20" t="s">
        <v>26</v>
      </c>
      <c r="F169" s="20" t="str">
        <f>INDEX(nrg_cb_e!$A$3:$A$40,MATCH(LEFT(MID('Industriesektor GWh'!$B169,41,1000),SEARCH(" - ",MID('Industriesektor GWh'!$B169,41,1000))-1),nrg_cb_e!$C$3:$C$40,0))</f>
        <v>FC_IND_CON_E</v>
      </c>
      <c r="G169" s="21">
        <v>6865.6930000000002</v>
      </c>
      <c r="J169" t="s">
        <v>42</v>
      </c>
      <c r="K169" t="s">
        <v>142</v>
      </c>
      <c r="L169" s="23">
        <v>213</v>
      </c>
      <c r="M169" s="23">
        <v>212</v>
      </c>
      <c r="N169" s="23">
        <v>190</v>
      </c>
      <c r="O169" s="23">
        <v>114</v>
      </c>
      <c r="P169" s="23">
        <v>99</v>
      </c>
      <c r="Q169" s="23">
        <v>103</v>
      </c>
      <c r="R169" s="23">
        <v>70</v>
      </c>
      <c r="S169" s="23">
        <v>51</v>
      </c>
      <c r="T169" s="23">
        <v>40</v>
      </c>
      <c r="U169" s="23">
        <v>42</v>
      </c>
      <c r="V169" s="23">
        <v>36</v>
      </c>
      <c r="W169" s="23">
        <v>41</v>
      </c>
      <c r="X169" s="23">
        <v>33</v>
      </c>
      <c r="Y169" s="23">
        <v>29</v>
      </c>
      <c r="Z169" s="23">
        <v>30</v>
      </c>
      <c r="AA169" s="23">
        <v>30.099</v>
      </c>
      <c r="AB169" s="23">
        <v>29.384</v>
      </c>
    </row>
    <row r="170" spans="1:28" x14ac:dyDescent="0.2">
      <c r="A170" s="16" t="s">
        <v>38</v>
      </c>
      <c r="B170" s="17" t="s">
        <v>72</v>
      </c>
      <c r="C170" s="17" t="s">
        <v>8</v>
      </c>
      <c r="D170" s="17" t="s">
        <v>10</v>
      </c>
      <c r="E170" s="17" t="s">
        <v>27</v>
      </c>
      <c r="F170" s="17" t="str">
        <f>INDEX(nrg_cb_e!$A$3:$A$40,MATCH(LEFT(MID('Industriesektor GWh'!$B170,41,1000),SEARCH(" - ",MID('Industriesektor GWh'!$B170,41,1000))-1),nrg_cb_e!$C$3:$C$40,0))</f>
        <v>FC_IND_CON_E</v>
      </c>
      <c r="G170" s="18">
        <v>6808.7879999999996</v>
      </c>
      <c r="J170" t="s">
        <v>42</v>
      </c>
      <c r="K170" t="s">
        <v>138</v>
      </c>
      <c r="L170" s="23">
        <v>284</v>
      </c>
      <c r="M170" s="23">
        <v>318</v>
      </c>
      <c r="N170" s="23">
        <v>359</v>
      </c>
      <c r="O170" s="23">
        <v>388</v>
      </c>
      <c r="P170" s="23">
        <v>429</v>
      </c>
      <c r="Q170" s="23">
        <v>439</v>
      </c>
      <c r="R170" s="23">
        <v>408</v>
      </c>
      <c r="S170" s="23">
        <v>458</v>
      </c>
      <c r="T170" s="23">
        <v>477</v>
      </c>
      <c r="U170" s="23">
        <v>498</v>
      </c>
      <c r="V170" s="23">
        <v>560</v>
      </c>
      <c r="W170" s="23">
        <v>625</v>
      </c>
      <c r="X170" s="23">
        <v>681</v>
      </c>
      <c r="Y170" s="23">
        <v>724</v>
      </c>
      <c r="Z170" s="23">
        <v>738</v>
      </c>
      <c r="AA170" s="23">
        <v>762.08299999999997</v>
      </c>
      <c r="AB170" s="23">
        <v>806.59699999999998</v>
      </c>
    </row>
    <row r="171" spans="1:28" x14ac:dyDescent="0.2">
      <c r="A171" s="19" t="s">
        <v>38</v>
      </c>
      <c r="B171" s="20" t="s">
        <v>72</v>
      </c>
      <c r="C171" s="20" t="s">
        <v>8</v>
      </c>
      <c r="D171" s="20" t="s">
        <v>10</v>
      </c>
      <c r="E171" s="20" t="s">
        <v>28</v>
      </c>
      <c r="F171" s="20" t="str">
        <f>INDEX(nrg_cb_e!$A$3:$A$40,MATCH(LEFT(MID('Industriesektor GWh'!$B171,41,1000),SEARCH(" - ",MID('Industriesektor GWh'!$B171,41,1000))-1),nrg_cb_e!$C$3:$C$40,0))</f>
        <v>FC_IND_CON_E</v>
      </c>
      <c r="G171" s="21">
        <v>6989.973</v>
      </c>
      <c r="J171" t="s">
        <v>42</v>
      </c>
      <c r="K171" t="s">
        <v>116</v>
      </c>
      <c r="L171" s="23">
        <v>91</v>
      </c>
      <c r="M171" s="23">
        <v>103</v>
      </c>
      <c r="N171" s="23">
        <v>110</v>
      </c>
      <c r="O171" s="23">
        <v>114</v>
      </c>
      <c r="P171" s="23">
        <v>125</v>
      </c>
      <c r="Q171" s="23">
        <v>138</v>
      </c>
      <c r="R171" s="23">
        <v>70</v>
      </c>
      <c r="S171" s="23">
        <v>48</v>
      </c>
      <c r="T171" s="23">
        <v>64</v>
      </c>
      <c r="U171" s="23">
        <v>60</v>
      </c>
      <c r="V171" s="23">
        <v>60</v>
      </c>
      <c r="W171" s="23">
        <v>63</v>
      </c>
      <c r="X171" s="23">
        <v>66</v>
      </c>
      <c r="Y171" s="23">
        <v>68</v>
      </c>
      <c r="Z171" s="23">
        <v>75</v>
      </c>
      <c r="AA171" s="23">
        <v>78.194000000000003</v>
      </c>
      <c r="AB171" s="23">
        <v>90.111000000000004</v>
      </c>
    </row>
    <row r="172" spans="1:28" x14ac:dyDescent="0.2">
      <c r="A172" s="16" t="s">
        <v>39</v>
      </c>
      <c r="B172" s="17" t="s">
        <v>72</v>
      </c>
      <c r="C172" s="17" t="s">
        <v>8</v>
      </c>
      <c r="D172" s="17" t="s">
        <v>10</v>
      </c>
      <c r="E172" s="17" t="s">
        <v>12</v>
      </c>
      <c r="F172" s="17" t="str">
        <f>INDEX(nrg_cb_e!$A$3:$A$40,MATCH(LEFT(MID('Industriesektor GWh'!$B172,41,1000),SEARCH(" - ",MID('Industriesektor GWh'!$B172,41,1000))-1),nrg_cb_e!$C$3:$C$40,0))</f>
        <v>FC_IND_CON_E</v>
      </c>
      <c r="G172" s="18">
        <v>77</v>
      </c>
      <c r="J172" t="s">
        <v>43</v>
      </c>
      <c r="K172" t="s">
        <v>140</v>
      </c>
      <c r="L172" s="23">
        <v>98</v>
      </c>
      <c r="M172" s="23">
        <v>102</v>
      </c>
      <c r="N172" s="23">
        <v>109</v>
      </c>
      <c r="O172" s="23">
        <v>117</v>
      </c>
      <c r="P172" s="23">
        <v>123</v>
      </c>
      <c r="Q172" s="23">
        <v>131</v>
      </c>
      <c r="R172" s="23">
        <v>130</v>
      </c>
      <c r="S172" s="23">
        <v>103</v>
      </c>
      <c r="T172" s="23">
        <v>106</v>
      </c>
      <c r="U172" s="23">
        <v>102</v>
      </c>
      <c r="V172" s="23">
        <v>100</v>
      </c>
      <c r="W172" s="23">
        <v>108</v>
      </c>
      <c r="X172" s="23">
        <v>102</v>
      </c>
      <c r="Y172" s="23">
        <v>143</v>
      </c>
      <c r="Z172" s="23">
        <v>148</v>
      </c>
      <c r="AA172" s="23">
        <v>138.69999999999999</v>
      </c>
      <c r="AB172" s="23">
        <v>157.1</v>
      </c>
    </row>
    <row r="173" spans="1:28" x14ac:dyDescent="0.2">
      <c r="A173" s="19" t="s">
        <v>39</v>
      </c>
      <c r="B173" s="20" t="s">
        <v>72</v>
      </c>
      <c r="C173" s="20" t="s">
        <v>8</v>
      </c>
      <c r="D173" s="20" t="s">
        <v>10</v>
      </c>
      <c r="E173" s="20" t="s">
        <v>13</v>
      </c>
      <c r="F173" s="20" t="str">
        <f>INDEX(nrg_cb_e!$A$3:$A$40,MATCH(LEFT(MID('Industriesektor GWh'!$B173,41,1000),SEARCH(" - ",MID('Industriesektor GWh'!$B173,41,1000))-1),nrg_cb_e!$C$3:$C$40,0))</f>
        <v>FC_IND_CON_E</v>
      </c>
      <c r="G173" s="21">
        <v>91</v>
      </c>
      <c r="J173" t="s">
        <v>43</v>
      </c>
      <c r="K173" t="s">
        <v>122</v>
      </c>
      <c r="L173" s="23">
        <v>507</v>
      </c>
      <c r="M173" s="23">
        <v>551</v>
      </c>
      <c r="N173" s="23">
        <v>554</v>
      </c>
      <c r="O173" s="23">
        <v>598</v>
      </c>
      <c r="P173" s="23">
        <v>671</v>
      </c>
      <c r="Q173" s="23">
        <v>780</v>
      </c>
      <c r="R173" s="23">
        <v>736</v>
      </c>
      <c r="S173" s="23">
        <v>624</v>
      </c>
      <c r="T173" s="23">
        <v>680</v>
      </c>
      <c r="U173" s="23">
        <v>770</v>
      </c>
      <c r="V173" s="23">
        <v>785</v>
      </c>
      <c r="W173" s="23">
        <v>730</v>
      </c>
      <c r="X173" s="23">
        <v>750</v>
      </c>
      <c r="Y173" s="23">
        <v>713</v>
      </c>
      <c r="Z173" s="23">
        <v>746</v>
      </c>
      <c r="AA173" s="23">
        <v>831.4</v>
      </c>
      <c r="AB173" s="23">
        <v>804.7</v>
      </c>
    </row>
    <row r="174" spans="1:28" x14ac:dyDescent="0.2">
      <c r="A174" s="16" t="s">
        <v>39</v>
      </c>
      <c r="B174" s="17" t="s">
        <v>72</v>
      </c>
      <c r="C174" s="17" t="s">
        <v>8</v>
      </c>
      <c r="D174" s="17" t="s">
        <v>10</v>
      </c>
      <c r="E174" s="17" t="s">
        <v>14</v>
      </c>
      <c r="F174" s="17" t="str">
        <f>INDEX(nrg_cb_e!$A$3:$A$40,MATCH(LEFT(MID('Industriesektor GWh'!$B174,41,1000),SEARCH(" - ",MID('Industriesektor GWh'!$B174,41,1000))-1),nrg_cb_e!$C$3:$C$40,0))</f>
        <v>FC_IND_CON_E</v>
      </c>
      <c r="G174" s="18">
        <v>94</v>
      </c>
      <c r="J174" t="s">
        <v>43</v>
      </c>
      <c r="K174" t="s">
        <v>134</v>
      </c>
      <c r="L174" s="23">
        <v>454</v>
      </c>
      <c r="M174" s="23">
        <v>451</v>
      </c>
      <c r="N174" s="23">
        <v>453</v>
      </c>
      <c r="O174" s="23">
        <v>496</v>
      </c>
      <c r="P174" s="23">
        <v>513</v>
      </c>
      <c r="Q174" s="23">
        <v>567</v>
      </c>
      <c r="R174" s="23">
        <v>540</v>
      </c>
      <c r="S174" s="23">
        <v>531</v>
      </c>
      <c r="T174" s="23">
        <v>545</v>
      </c>
      <c r="U174" s="23">
        <v>604</v>
      </c>
      <c r="V174" s="23">
        <v>605</v>
      </c>
      <c r="W174" s="23">
        <v>657</v>
      </c>
      <c r="X174" s="23">
        <v>683</v>
      </c>
      <c r="Y174" s="23">
        <v>698</v>
      </c>
      <c r="Z174" s="23">
        <v>729</v>
      </c>
      <c r="AA174" s="23">
        <v>786.2</v>
      </c>
      <c r="AB174" s="23">
        <v>763.7</v>
      </c>
    </row>
    <row r="175" spans="1:28" x14ac:dyDescent="0.2">
      <c r="A175" s="19" t="s">
        <v>39</v>
      </c>
      <c r="B175" s="20" t="s">
        <v>72</v>
      </c>
      <c r="C175" s="20" t="s">
        <v>8</v>
      </c>
      <c r="D175" s="20" t="s">
        <v>10</v>
      </c>
      <c r="E175" s="20" t="s">
        <v>15</v>
      </c>
      <c r="F175" s="20" t="str">
        <f>INDEX(nrg_cb_e!$A$3:$A$40,MATCH(LEFT(MID('Industriesektor GWh'!$B175,41,1000),SEARCH(" - ",MID('Industriesektor GWh'!$B175,41,1000))-1),nrg_cb_e!$C$3:$C$40,0))</f>
        <v>FC_IND_CON_E</v>
      </c>
      <c r="G175" s="21">
        <v>93</v>
      </c>
      <c r="J175" t="s">
        <v>43</v>
      </c>
      <c r="K175" t="s">
        <v>120</v>
      </c>
      <c r="L175" s="23">
        <v>40</v>
      </c>
      <c r="M175" s="23">
        <v>34</v>
      </c>
      <c r="N175" s="23">
        <v>32</v>
      </c>
      <c r="O175" s="23">
        <v>29</v>
      </c>
      <c r="P175" s="23">
        <v>25</v>
      </c>
      <c r="Q175" s="23">
        <v>36</v>
      </c>
      <c r="R175" s="23">
        <v>19</v>
      </c>
      <c r="S175" s="23">
        <v>22</v>
      </c>
      <c r="T175" s="23">
        <v>19</v>
      </c>
      <c r="U175" s="23">
        <v>21</v>
      </c>
      <c r="V175" s="23">
        <v>24</v>
      </c>
      <c r="W175" s="23">
        <v>21</v>
      </c>
      <c r="X175" s="23">
        <v>20</v>
      </c>
      <c r="Y175" s="23">
        <v>19</v>
      </c>
      <c r="Z175" s="23">
        <v>19</v>
      </c>
      <c r="AA175" s="23">
        <v>19.100000000000001</v>
      </c>
      <c r="AB175" s="23">
        <v>16.600000000000001</v>
      </c>
    </row>
    <row r="176" spans="1:28" x14ac:dyDescent="0.2">
      <c r="A176" s="16" t="s">
        <v>39</v>
      </c>
      <c r="B176" s="17" t="s">
        <v>72</v>
      </c>
      <c r="C176" s="17" t="s">
        <v>8</v>
      </c>
      <c r="D176" s="17" t="s">
        <v>10</v>
      </c>
      <c r="E176" s="17" t="s">
        <v>16</v>
      </c>
      <c r="F176" s="17" t="str">
        <f>INDEX(nrg_cb_e!$A$3:$A$40,MATCH(LEFT(MID('Industriesektor GWh'!$B176,41,1000),SEARCH(" - ",MID('Industriesektor GWh'!$B176,41,1000))-1),nrg_cb_e!$C$3:$C$40,0))</f>
        <v>FC_IND_CON_E</v>
      </c>
      <c r="G176" s="18">
        <v>99</v>
      </c>
      <c r="J176" t="s">
        <v>43</v>
      </c>
      <c r="K176" t="s">
        <v>130</v>
      </c>
      <c r="L176" s="23">
        <v>325</v>
      </c>
      <c r="M176" s="23">
        <v>336</v>
      </c>
      <c r="N176" s="23">
        <v>374</v>
      </c>
      <c r="O176" s="23">
        <v>335</v>
      </c>
      <c r="P176" s="23">
        <v>234</v>
      </c>
      <c r="Q176" s="23">
        <v>173</v>
      </c>
      <c r="R176" s="23">
        <v>136</v>
      </c>
      <c r="S176" s="23">
        <v>92</v>
      </c>
      <c r="T176" s="23">
        <v>108</v>
      </c>
      <c r="U176" s="23">
        <v>125</v>
      </c>
      <c r="V176" s="23">
        <v>173</v>
      </c>
      <c r="W176" s="23">
        <v>167</v>
      </c>
      <c r="X176" s="23">
        <v>165</v>
      </c>
      <c r="Y176" s="23">
        <v>171</v>
      </c>
      <c r="Z176" s="23">
        <v>185</v>
      </c>
      <c r="AA176" s="23">
        <v>244.3</v>
      </c>
      <c r="AB176" s="23">
        <v>219</v>
      </c>
    </row>
    <row r="177" spans="1:28" x14ac:dyDescent="0.2">
      <c r="A177" s="19" t="s">
        <v>39</v>
      </c>
      <c r="B177" s="20" t="s">
        <v>72</v>
      </c>
      <c r="C177" s="20" t="s">
        <v>8</v>
      </c>
      <c r="D177" s="20" t="s">
        <v>10</v>
      </c>
      <c r="E177" s="20" t="s">
        <v>17</v>
      </c>
      <c r="F177" s="20" t="str">
        <f>INDEX(nrg_cb_e!$A$3:$A$40,MATCH(LEFT(MID('Industriesektor GWh'!$B177,41,1000),SEARCH(" - ",MID('Industriesektor GWh'!$B177,41,1000))-1),nrg_cb_e!$C$3:$C$40,0))</f>
        <v>FC_IND_CON_E</v>
      </c>
      <c r="G177" s="21">
        <v>99</v>
      </c>
      <c r="J177" t="s">
        <v>43</v>
      </c>
      <c r="K177" t="s">
        <v>132</v>
      </c>
      <c r="L177" s="23">
        <v>30</v>
      </c>
      <c r="M177" s="23">
        <v>32</v>
      </c>
      <c r="N177" s="23">
        <v>35</v>
      </c>
      <c r="O177" s="23">
        <v>37</v>
      </c>
      <c r="P177" s="23">
        <v>40</v>
      </c>
      <c r="Q177" s="23">
        <v>45</v>
      </c>
      <c r="R177" s="23">
        <v>42</v>
      </c>
      <c r="S177" s="23">
        <v>23</v>
      </c>
      <c r="T177" s="23">
        <v>24</v>
      </c>
      <c r="U177" s="23">
        <v>29</v>
      </c>
      <c r="V177" s="23">
        <v>25</v>
      </c>
      <c r="W177" s="23">
        <v>27</v>
      </c>
      <c r="X177" s="23">
        <v>26</v>
      </c>
      <c r="Y177" s="23">
        <v>27</v>
      </c>
      <c r="Z177" s="23">
        <v>29</v>
      </c>
      <c r="AA177" s="23">
        <v>30.9</v>
      </c>
      <c r="AB177" s="23">
        <v>30.6</v>
      </c>
    </row>
    <row r="178" spans="1:28" x14ac:dyDescent="0.2">
      <c r="A178" s="16" t="s">
        <v>39</v>
      </c>
      <c r="B178" s="17" t="s">
        <v>72</v>
      </c>
      <c r="C178" s="17" t="s">
        <v>8</v>
      </c>
      <c r="D178" s="17" t="s">
        <v>10</v>
      </c>
      <c r="E178" s="17" t="s">
        <v>18</v>
      </c>
      <c r="F178" s="17" t="str">
        <f>INDEX(nrg_cb_e!$A$3:$A$40,MATCH(LEFT(MID('Industriesektor GWh'!$B178,41,1000),SEARCH(" - ",MID('Industriesektor GWh'!$B178,41,1000))-1),nrg_cb_e!$C$3:$C$40,0))</f>
        <v>FC_IND_CON_E</v>
      </c>
      <c r="G178" s="18">
        <v>118</v>
      </c>
      <c r="J178" t="s">
        <v>43</v>
      </c>
      <c r="K178" t="s">
        <v>124</v>
      </c>
      <c r="L178" s="23">
        <v>0</v>
      </c>
      <c r="M178" s="23">
        <v>0</v>
      </c>
      <c r="N178" s="23">
        <v>0</v>
      </c>
      <c r="O178" s="23">
        <v>0</v>
      </c>
      <c r="P178" s="23">
        <v>0</v>
      </c>
      <c r="Q178" s="23">
        <v>0</v>
      </c>
      <c r="R178" s="23">
        <v>0</v>
      </c>
      <c r="S178" s="23">
        <v>0</v>
      </c>
      <c r="T178" s="23">
        <v>0</v>
      </c>
      <c r="U178" s="23">
        <v>0</v>
      </c>
      <c r="V178" s="23">
        <v>0</v>
      </c>
      <c r="W178" s="23">
        <v>0</v>
      </c>
      <c r="X178" s="23">
        <v>0</v>
      </c>
      <c r="Y178" s="23">
        <v>0</v>
      </c>
      <c r="Z178" s="23">
        <v>0</v>
      </c>
      <c r="AA178" s="23">
        <v>0</v>
      </c>
      <c r="AB178" s="23">
        <v>0</v>
      </c>
    </row>
    <row r="179" spans="1:28" x14ac:dyDescent="0.2">
      <c r="A179" s="19" t="s">
        <v>39</v>
      </c>
      <c r="B179" s="20" t="s">
        <v>72</v>
      </c>
      <c r="C179" s="20" t="s">
        <v>8</v>
      </c>
      <c r="D179" s="20" t="s">
        <v>10</v>
      </c>
      <c r="E179" s="20" t="s">
        <v>19</v>
      </c>
      <c r="F179" s="20" t="str">
        <f>INDEX(nrg_cb_e!$A$3:$A$40,MATCH(LEFT(MID('Industriesektor GWh'!$B179,41,1000),SEARCH(" - ",MID('Industriesektor GWh'!$B179,41,1000))-1),nrg_cb_e!$C$3:$C$40,0))</f>
        <v>FC_IND_CON_E</v>
      </c>
      <c r="G179" s="21">
        <v>118</v>
      </c>
      <c r="J179" t="s">
        <v>43</v>
      </c>
      <c r="K179" t="s">
        <v>126</v>
      </c>
      <c r="L179" s="23">
        <v>232</v>
      </c>
      <c r="M179" s="23">
        <v>236</v>
      </c>
      <c r="N179" s="23">
        <v>211</v>
      </c>
      <c r="O179" s="23">
        <v>230</v>
      </c>
      <c r="P179" s="23">
        <v>272</v>
      </c>
      <c r="Q179" s="23">
        <v>275</v>
      </c>
      <c r="R179" s="23">
        <v>251</v>
      </c>
      <c r="S179" s="23">
        <v>159</v>
      </c>
      <c r="T179" s="23">
        <v>185</v>
      </c>
      <c r="U179" s="23">
        <v>200</v>
      </c>
      <c r="V179" s="23">
        <v>222</v>
      </c>
      <c r="W179" s="23">
        <v>248</v>
      </c>
      <c r="X179" s="23">
        <v>258</v>
      </c>
      <c r="Y179" s="23">
        <v>243</v>
      </c>
      <c r="Z179" s="23">
        <v>252</v>
      </c>
      <c r="AA179" s="23">
        <v>244</v>
      </c>
      <c r="AB179" s="23">
        <v>283.8</v>
      </c>
    </row>
    <row r="180" spans="1:28" x14ac:dyDescent="0.2">
      <c r="A180" s="16" t="s">
        <v>39</v>
      </c>
      <c r="B180" s="17" t="s">
        <v>72</v>
      </c>
      <c r="C180" s="17" t="s">
        <v>8</v>
      </c>
      <c r="D180" s="17" t="s">
        <v>10</v>
      </c>
      <c r="E180" s="17" t="s">
        <v>20</v>
      </c>
      <c r="F180" s="17" t="str">
        <f>INDEX(nrg_cb_e!$A$3:$A$40,MATCH(LEFT(MID('Industriesektor GWh'!$B180,41,1000),SEARCH(" - ",MID('Industriesektor GWh'!$B180,41,1000))-1),nrg_cb_e!$C$3:$C$40,0))</f>
        <v>FC_IND_CON_E</v>
      </c>
      <c r="G180" s="18">
        <v>109</v>
      </c>
      <c r="J180" t="s">
        <v>43</v>
      </c>
      <c r="K180" t="s">
        <v>136</v>
      </c>
      <c r="L180" s="23">
        <v>99</v>
      </c>
      <c r="M180" s="23">
        <v>86</v>
      </c>
      <c r="N180" s="23">
        <v>86</v>
      </c>
      <c r="O180" s="23">
        <v>91</v>
      </c>
      <c r="P180" s="23">
        <v>97</v>
      </c>
      <c r="Q180" s="23">
        <v>107</v>
      </c>
      <c r="R180" s="23">
        <v>99</v>
      </c>
      <c r="S180" s="23">
        <v>110</v>
      </c>
      <c r="T180" s="23">
        <v>237</v>
      </c>
      <c r="U180" s="23">
        <v>161</v>
      </c>
      <c r="V180" s="23">
        <v>127</v>
      </c>
      <c r="W180" s="23">
        <v>150</v>
      </c>
      <c r="X180" s="23">
        <v>156</v>
      </c>
      <c r="Y180" s="23">
        <v>162</v>
      </c>
      <c r="Z180" s="23">
        <v>157</v>
      </c>
      <c r="AA180" s="23">
        <v>191.4</v>
      </c>
      <c r="AB180" s="23">
        <v>176.7</v>
      </c>
    </row>
    <row r="181" spans="1:28" x14ac:dyDescent="0.2">
      <c r="A181" s="19" t="s">
        <v>39</v>
      </c>
      <c r="B181" s="20" t="s">
        <v>72</v>
      </c>
      <c r="C181" s="20" t="s">
        <v>8</v>
      </c>
      <c r="D181" s="20" t="s">
        <v>10</v>
      </c>
      <c r="E181" s="20" t="s">
        <v>21</v>
      </c>
      <c r="F181" s="20" t="str">
        <f>INDEX(nrg_cb_e!$A$3:$A$40,MATCH(LEFT(MID('Industriesektor GWh'!$B181,41,1000),SEARCH(" - ",MID('Industriesektor GWh'!$B181,41,1000))-1),nrg_cb_e!$C$3:$C$40,0))</f>
        <v>FC_IND_CON_E</v>
      </c>
      <c r="G181" s="21">
        <v>96</v>
      </c>
      <c r="J181" t="s">
        <v>43</v>
      </c>
      <c r="K181" t="s">
        <v>128</v>
      </c>
      <c r="L181" s="23">
        <v>66</v>
      </c>
      <c r="M181" s="23">
        <v>63</v>
      </c>
      <c r="N181" s="23">
        <v>57</v>
      </c>
      <c r="O181" s="23">
        <v>51</v>
      </c>
      <c r="P181" s="23">
        <v>53</v>
      </c>
      <c r="Q181" s="23">
        <v>52</v>
      </c>
      <c r="R181" s="23">
        <v>43</v>
      </c>
      <c r="S181" s="23">
        <v>37</v>
      </c>
      <c r="T181" s="23">
        <v>31</v>
      </c>
      <c r="U181" s="23">
        <v>27</v>
      </c>
      <c r="V181" s="23">
        <v>20</v>
      </c>
      <c r="W181" s="23">
        <v>19</v>
      </c>
      <c r="X181" s="23">
        <v>25</v>
      </c>
      <c r="Y181" s="23">
        <v>30</v>
      </c>
      <c r="Z181" s="23">
        <v>24</v>
      </c>
      <c r="AA181" s="23">
        <v>23.1</v>
      </c>
      <c r="AB181" s="23">
        <v>32.1</v>
      </c>
    </row>
    <row r="182" spans="1:28" x14ac:dyDescent="0.2">
      <c r="A182" s="16" t="s">
        <v>39</v>
      </c>
      <c r="B182" s="17" t="s">
        <v>72</v>
      </c>
      <c r="C182" s="17" t="s">
        <v>8</v>
      </c>
      <c r="D182" s="17" t="s">
        <v>10</v>
      </c>
      <c r="E182" s="17" t="s">
        <v>22</v>
      </c>
      <c r="F182" s="17" t="str">
        <f>INDEX(nrg_cb_e!$A$3:$A$40,MATCH(LEFT(MID('Industriesektor GWh'!$B182,41,1000),SEARCH(" - ",MID('Industriesektor GWh'!$B182,41,1000))-1),nrg_cb_e!$C$3:$C$40,0))</f>
        <v>FC_IND_CON_E</v>
      </c>
      <c r="G182" s="18">
        <v>92</v>
      </c>
      <c r="J182" t="s">
        <v>43</v>
      </c>
      <c r="K182" t="s">
        <v>142</v>
      </c>
      <c r="L182" s="23">
        <v>321</v>
      </c>
      <c r="M182" s="23">
        <v>315</v>
      </c>
      <c r="N182" s="23">
        <v>292</v>
      </c>
      <c r="O182" s="23">
        <v>252</v>
      </c>
      <c r="P182" s="23">
        <v>266</v>
      </c>
      <c r="Q182" s="23">
        <v>248</v>
      </c>
      <c r="R182" s="23">
        <v>158</v>
      </c>
      <c r="S182" s="23">
        <v>204</v>
      </c>
      <c r="T182" s="23">
        <v>160</v>
      </c>
      <c r="U182" s="23">
        <v>147</v>
      </c>
      <c r="V182" s="23">
        <v>155</v>
      </c>
      <c r="W182" s="23">
        <v>150</v>
      </c>
      <c r="X182" s="23">
        <v>145</v>
      </c>
      <c r="Y182" s="23">
        <v>158</v>
      </c>
      <c r="Z182" s="23">
        <v>168</v>
      </c>
      <c r="AA182" s="23">
        <v>163.19999999999999</v>
      </c>
      <c r="AB182" s="23">
        <v>158.9</v>
      </c>
    </row>
    <row r="183" spans="1:28" x14ac:dyDescent="0.2">
      <c r="A183" s="19" t="s">
        <v>39</v>
      </c>
      <c r="B183" s="20" t="s">
        <v>72</v>
      </c>
      <c r="C183" s="20" t="s">
        <v>8</v>
      </c>
      <c r="D183" s="20" t="s">
        <v>10</v>
      </c>
      <c r="E183" s="20" t="s">
        <v>23</v>
      </c>
      <c r="F183" s="20" t="str">
        <f>INDEX(nrg_cb_e!$A$3:$A$40,MATCH(LEFT(MID('Industriesektor GWh'!$B183,41,1000),SEARCH(" - ",MID('Industriesektor GWh'!$B183,41,1000))-1),nrg_cb_e!$C$3:$C$40,0))</f>
        <v>FC_IND_CON_E</v>
      </c>
      <c r="G183" s="21">
        <v>85</v>
      </c>
      <c r="J183" t="s">
        <v>43</v>
      </c>
      <c r="K183" t="s">
        <v>138</v>
      </c>
      <c r="L183" s="23">
        <v>202</v>
      </c>
      <c r="M183" s="23">
        <v>218</v>
      </c>
      <c r="N183" s="23">
        <v>256</v>
      </c>
      <c r="O183" s="23">
        <v>280</v>
      </c>
      <c r="P183" s="23">
        <v>292</v>
      </c>
      <c r="Q183" s="23">
        <v>301</v>
      </c>
      <c r="R183" s="23">
        <v>283</v>
      </c>
      <c r="S183" s="23">
        <v>234</v>
      </c>
      <c r="T183" s="23">
        <v>250</v>
      </c>
      <c r="U183" s="23">
        <v>219</v>
      </c>
      <c r="V183" s="23">
        <v>275</v>
      </c>
      <c r="W183" s="23">
        <v>261</v>
      </c>
      <c r="X183" s="23">
        <v>299</v>
      </c>
      <c r="Y183" s="23">
        <v>343</v>
      </c>
      <c r="Z183" s="23">
        <v>366</v>
      </c>
      <c r="AA183" s="23">
        <v>364.9</v>
      </c>
      <c r="AB183" s="23">
        <v>355.7</v>
      </c>
    </row>
    <row r="184" spans="1:28" x14ac:dyDescent="0.2">
      <c r="A184" s="16" t="s">
        <v>39</v>
      </c>
      <c r="B184" s="17" t="s">
        <v>72</v>
      </c>
      <c r="C184" s="17" t="s">
        <v>8</v>
      </c>
      <c r="D184" s="17" t="s">
        <v>10</v>
      </c>
      <c r="E184" s="17" t="s">
        <v>24</v>
      </c>
      <c r="F184" s="17" t="str">
        <f>INDEX(nrg_cb_e!$A$3:$A$40,MATCH(LEFT(MID('Industriesektor GWh'!$B184,41,1000),SEARCH(" - ",MID('Industriesektor GWh'!$B184,41,1000))-1),nrg_cb_e!$C$3:$C$40,0))</f>
        <v>FC_IND_CON_E</v>
      </c>
      <c r="G184" s="18">
        <v>81</v>
      </c>
      <c r="J184" t="s">
        <v>43</v>
      </c>
      <c r="K184" t="s">
        <v>116</v>
      </c>
      <c r="L184" s="23">
        <v>172</v>
      </c>
      <c r="M184" s="23">
        <v>206</v>
      </c>
      <c r="N184" s="23">
        <v>285</v>
      </c>
      <c r="O184" s="23">
        <v>317</v>
      </c>
      <c r="P184" s="23">
        <v>347</v>
      </c>
      <c r="Q184" s="23">
        <v>366</v>
      </c>
      <c r="R184" s="23">
        <v>358</v>
      </c>
      <c r="S184" s="23">
        <v>291</v>
      </c>
      <c r="T184" s="23">
        <v>309</v>
      </c>
      <c r="U184" s="23">
        <v>363</v>
      </c>
      <c r="V184" s="23">
        <v>397</v>
      </c>
      <c r="W184" s="23">
        <v>448</v>
      </c>
      <c r="X184" s="23">
        <v>490</v>
      </c>
      <c r="Y184" s="23">
        <v>606</v>
      </c>
      <c r="Z184" s="23">
        <v>594</v>
      </c>
      <c r="AA184" s="23">
        <v>598.1</v>
      </c>
      <c r="AB184" s="23">
        <v>686.8</v>
      </c>
    </row>
    <row r="185" spans="1:28" x14ac:dyDescent="0.2">
      <c r="A185" s="19" t="s">
        <v>39</v>
      </c>
      <c r="B185" s="20" t="s">
        <v>72</v>
      </c>
      <c r="C185" s="20" t="s">
        <v>8</v>
      </c>
      <c r="D185" s="20" t="s">
        <v>10</v>
      </c>
      <c r="E185" s="20" t="s">
        <v>25</v>
      </c>
      <c r="F185" s="20" t="str">
        <f>INDEX(nrg_cb_e!$A$3:$A$40,MATCH(LEFT(MID('Industriesektor GWh'!$B185,41,1000),SEARCH(" - ",MID('Industriesektor GWh'!$B185,41,1000))-1),nrg_cb_e!$C$3:$C$40,0))</f>
        <v>FC_IND_CON_E</v>
      </c>
      <c r="G185" s="21">
        <v>76</v>
      </c>
      <c r="J185" t="s">
        <v>44</v>
      </c>
      <c r="K185" t="s">
        <v>140</v>
      </c>
      <c r="L185" s="23">
        <v>203.268</v>
      </c>
      <c r="M185" s="23">
        <v>395.47800000000001</v>
      </c>
      <c r="N185" s="23">
        <v>270.15800000000002</v>
      </c>
      <c r="O185" s="23">
        <v>258.91800000000001</v>
      </c>
      <c r="P185" s="23">
        <v>255.70500000000001</v>
      </c>
      <c r="Q185" s="23">
        <v>237.304</v>
      </c>
      <c r="R185" s="23">
        <v>257.32100000000003</v>
      </c>
      <c r="S185" s="23">
        <v>177.154</v>
      </c>
      <c r="T185" s="23">
        <v>165.57300000000001</v>
      </c>
      <c r="U185" s="23">
        <v>125.967</v>
      </c>
      <c r="V185" s="23">
        <v>124.149</v>
      </c>
      <c r="W185" s="23">
        <v>123.76</v>
      </c>
      <c r="X185" s="23">
        <v>140.19499999999999</v>
      </c>
      <c r="Y185" s="23">
        <v>143.24600000000001</v>
      </c>
      <c r="Z185" s="23">
        <v>175.43100000000001</v>
      </c>
      <c r="AA185" s="23">
        <v>180.739</v>
      </c>
      <c r="AB185" s="23">
        <v>192.23099999999999</v>
      </c>
    </row>
    <row r="186" spans="1:28" x14ac:dyDescent="0.2">
      <c r="A186" s="16" t="s">
        <v>39</v>
      </c>
      <c r="B186" s="17" t="s">
        <v>72</v>
      </c>
      <c r="C186" s="17" t="s">
        <v>8</v>
      </c>
      <c r="D186" s="17" t="s">
        <v>10</v>
      </c>
      <c r="E186" s="17" t="s">
        <v>26</v>
      </c>
      <c r="F186" s="17" t="str">
        <f>INDEX(nrg_cb_e!$A$3:$A$40,MATCH(LEFT(MID('Industriesektor GWh'!$B186,41,1000),SEARCH(" - ",MID('Industriesektor GWh'!$B186,41,1000))-1),nrg_cb_e!$C$3:$C$40,0))</f>
        <v>FC_IND_CON_E</v>
      </c>
      <c r="G186" s="18">
        <v>78</v>
      </c>
      <c r="J186" t="s">
        <v>44</v>
      </c>
      <c r="K186" t="s">
        <v>122</v>
      </c>
      <c r="L186" s="23">
        <v>280.858</v>
      </c>
      <c r="M186" s="23">
        <v>477.59800000000001</v>
      </c>
      <c r="N186" s="23">
        <v>477.74299999999999</v>
      </c>
      <c r="O186" s="23">
        <v>530.09400000000005</v>
      </c>
      <c r="P186" s="23">
        <v>462.44799999999998</v>
      </c>
      <c r="Q186" s="23">
        <v>445.09199999999998</v>
      </c>
      <c r="R186" s="23">
        <v>396.89600000000002</v>
      </c>
      <c r="S186" s="23">
        <v>311.01600000000002</v>
      </c>
      <c r="T186" s="23">
        <v>349.89</v>
      </c>
      <c r="U186" s="23">
        <v>400.79500000000002</v>
      </c>
      <c r="V186" s="23">
        <v>389.6</v>
      </c>
      <c r="W186" s="23">
        <v>406.983</v>
      </c>
      <c r="X186" s="23">
        <v>368.471</v>
      </c>
      <c r="Y186" s="23">
        <v>379.84800000000001</v>
      </c>
      <c r="Z186" s="23">
        <v>383.47800000000001</v>
      </c>
      <c r="AA186" s="23">
        <v>335.54</v>
      </c>
      <c r="AB186" s="23">
        <v>356.875</v>
      </c>
    </row>
    <row r="187" spans="1:28" x14ac:dyDescent="0.2">
      <c r="A187" s="19" t="s">
        <v>39</v>
      </c>
      <c r="B187" s="20" t="s">
        <v>72</v>
      </c>
      <c r="C187" s="20" t="s">
        <v>8</v>
      </c>
      <c r="D187" s="20" t="s">
        <v>10</v>
      </c>
      <c r="E187" s="20" t="s">
        <v>27</v>
      </c>
      <c r="F187" s="20" t="str">
        <f>INDEX(nrg_cb_e!$A$3:$A$40,MATCH(LEFT(MID('Industriesektor GWh'!$B187,41,1000),SEARCH(" - ",MID('Industriesektor GWh'!$B187,41,1000))-1),nrg_cb_e!$C$3:$C$40,0))</f>
        <v>FC_IND_CON_E</v>
      </c>
      <c r="G187" s="21">
        <v>76.599999999999994</v>
      </c>
      <c r="J187" t="s">
        <v>44</v>
      </c>
      <c r="K187" t="s">
        <v>134</v>
      </c>
      <c r="L187" s="23">
        <v>191.434</v>
      </c>
      <c r="M187" s="23">
        <v>188.46700000000001</v>
      </c>
      <c r="N187" s="23">
        <v>164.815</v>
      </c>
      <c r="O187" s="23">
        <v>167.11099999999999</v>
      </c>
      <c r="P187" s="23">
        <v>149.24</v>
      </c>
      <c r="Q187" s="23">
        <v>129.387</v>
      </c>
      <c r="R187" s="23">
        <v>133.624</v>
      </c>
      <c r="S187" s="23">
        <v>145.78</v>
      </c>
      <c r="T187" s="23">
        <v>145.37899999999999</v>
      </c>
      <c r="U187" s="23">
        <v>167.08699999999999</v>
      </c>
      <c r="V187" s="23">
        <v>155.04</v>
      </c>
      <c r="W187" s="23">
        <v>143.071</v>
      </c>
      <c r="X187" s="23">
        <v>214.81200000000001</v>
      </c>
      <c r="Y187" s="23">
        <v>157.751</v>
      </c>
      <c r="Z187" s="23">
        <v>176.45500000000001</v>
      </c>
      <c r="AA187" s="23">
        <v>139.119</v>
      </c>
      <c r="AB187" s="23">
        <v>147.965</v>
      </c>
    </row>
    <row r="188" spans="1:28" x14ac:dyDescent="0.2">
      <c r="A188" s="16" t="s">
        <v>39</v>
      </c>
      <c r="B188" s="17" t="s">
        <v>72</v>
      </c>
      <c r="C188" s="17" t="s">
        <v>8</v>
      </c>
      <c r="D188" s="17" t="s">
        <v>10</v>
      </c>
      <c r="E188" s="17" t="s">
        <v>28</v>
      </c>
      <c r="F188" s="17" t="str">
        <f>INDEX(nrg_cb_e!$A$3:$A$40,MATCH(LEFT(MID('Industriesektor GWh'!$B188,41,1000),SEARCH(" - ",MID('Industriesektor GWh'!$B188,41,1000))-1),nrg_cb_e!$C$3:$C$40,0))</f>
        <v>FC_IND_CON_E</v>
      </c>
      <c r="G188" s="18">
        <v>77.900000000000006</v>
      </c>
      <c r="J188" t="s">
        <v>44</v>
      </c>
      <c r="K188" t="s">
        <v>120</v>
      </c>
      <c r="L188" s="23">
        <v>1794.5509999999999</v>
      </c>
      <c r="M188" s="23">
        <v>1595.393</v>
      </c>
      <c r="N188" s="23">
        <v>2127.7399999999998</v>
      </c>
      <c r="O188" s="23">
        <v>1698.146</v>
      </c>
      <c r="P188" s="23">
        <v>2337.0250000000001</v>
      </c>
      <c r="Q188" s="23">
        <v>2127.9690000000001</v>
      </c>
      <c r="R188" s="23">
        <v>2135.5940000000001</v>
      </c>
      <c r="S188" s="23">
        <v>1839.5160000000001</v>
      </c>
      <c r="T188" s="23">
        <v>2311.46</v>
      </c>
      <c r="U188" s="23">
        <v>2025.5940000000001</v>
      </c>
      <c r="V188" s="23">
        <v>1733.8019999999999</v>
      </c>
      <c r="W188" s="23">
        <v>1600.211</v>
      </c>
      <c r="X188" s="23">
        <v>1536.4760000000001</v>
      </c>
      <c r="Y188" s="23">
        <v>1626.6130000000001</v>
      </c>
      <c r="Z188" s="23">
        <v>1839.587</v>
      </c>
      <c r="AA188" s="23">
        <v>1611.578</v>
      </c>
      <c r="AB188" s="23">
        <v>1614.242</v>
      </c>
    </row>
    <row r="189" spans="1:28" x14ac:dyDescent="0.2">
      <c r="A189" s="19" t="s">
        <v>40</v>
      </c>
      <c r="B189" s="20" t="s">
        <v>72</v>
      </c>
      <c r="C189" s="20" t="s">
        <v>8</v>
      </c>
      <c r="D189" s="20" t="s">
        <v>10</v>
      </c>
      <c r="E189" s="20" t="s">
        <v>12</v>
      </c>
      <c r="F189" s="20" t="str">
        <f>INDEX(nrg_cb_e!$A$3:$A$40,MATCH(LEFT(MID('Industriesektor GWh'!$B189,41,1000),SEARCH(" - ",MID('Industriesektor GWh'!$B189,41,1000))-1),nrg_cb_e!$C$3:$C$40,0))</f>
        <v>FC_IND_CON_E</v>
      </c>
      <c r="G189" s="21">
        <v>1325</v>
      </c>
      <c r="J189" t="s">
        <v>44</v>
      </c>
      <c r="K189" t="s">
        <v>130</v>
      </c>
      <c r="L189" s="23">
        <v>112.23699999999999</v>
      </c>
      <c r="M189" s="23">
        <v>159.494</v>
      </c>
      <c r="N189" s="23">
        <v>148.596</v>
      </c>
      <c r="O189" s="23">
        <v>137.38900000000001</v>
      </c>
      <c r="P189" s="23">
        <v>132.92099999999999</v>
      </c>
      <c r="Q189" s="23">
        <v>140.46700000000001</v>
      </c>
      <c r="R189" s="23">
        <v>143.601</v>
      </c>
      <c r="S189" s="23">
        <v>131.68</v>
      </c>
      <c r="T189" s="23">
        <v>150.88499999999999</v>
      </c>
      <c r="U189" s="23">
        <v>99.28</v>
      </c>
      <c r="V189" s="23">
        <v>94.769000000000005</v>
      </c>
      <c r="W189" s="23">
        <v>91.099000000000004</v>
      </c>
      <c r="X189" s="23">
        <v>82.635000000000005</v>
      </c>
      <c r="Y189" s="23">
        <v>83.316999999999993</v>
      </c>
      <c r="Z189" s="23">
        <v>90.113</v>
      </c>
      <c r="AA189" s="23">
        <v>74.468999999999994</v>
      </c>
      <c r="AB189" s="23">
        <v>79.203999999999994</v>
      </c>
    </row>
    <row r="190" spans="1:28" x14ac:dyDescent="0.2">
      <c r="A190" s="16" t="s">
        <v>40</v>
      </c>
      <c r="B190" s="17" t="s">
        <v>72</v>
      </c>
      <c r="C190" s="17" t="s">
        <v>8</v>
      </c>
      <c r="D190" s="17" t="s">
        <v>10</v>
      </c>
      <c r="E190" s="17" t="s">
        <v>13</v>
      </c>
      <c r="F190" s="17" t="str">
        <f>INDEX(nrg_cb_e!$A$3:$A$40,MATCH(LEFT(MID('Industriesektor GWh'!$B190,41,1000),SEARCH(" - ",MID('Industriesektor GWh'!$B190,41,1000))-1),nrg_cb_e!$C$3:$C$40,0))</f>
        <v>FC_IND_CON_E</v>
      </c>
      <c r="G190" s="18">
        <v>1509</v>
      </c>
      <c r="J190" t="s">
        <v>44</v>
      </c>
      <c r="K190" t="s">
        <v>132</v>
      </c>
      <c r="L190" s="23">
        <v>17.215</v>
      </c>
      <c r="M190" s="23">
        <v>17.792000000000002</v>
      </c>
      <c r="N190" s="23">
        <v>15.371</v>
      </c>
      <c r="O190" s="23">
        <v>12.379</v>
      </c>
      <c r="P190" s="23">
        <v>12.385</v>
      </c>
      <c r="Q190" s="23">
        <v>12.55</v>
      </c>
      <c r="R190" s="23">
        <v>12.885999999999999</v>
      </c>
      <c r="S190" s="23">
        <v>12.52</v>
      </c>
      <c r="T190" s="23">
        <v>11.233000000000001</v>
      </c>
      <c r="U190" s="23">
        <v>14.864000000000001</v>
      </c>
      <c r="V190" s="23">
        <v>12.11</v>
      </c>
      <c r="W190" s="23">
        <v>11.789</v>
      </c>
      <c r="X190" s="23">
        <v>13.305</v>
      </c>
      <c r="Y190" s="23">
        <v>13.42</v>
      </c>
      <c r="Z190" s="23">
        <v>11.358000000000001</v>
      </c>
      <c r="AA190" s="23">
        <v>8.4740000000000002</v>
      </c>
      <c r="AB190" s="23">
        <v>9.0129999999999999</v>
      </c>
    </row>
    <row r="191" spans="1:28" x14ac:dyDescent="0.2">
      <c r="A191" s="19" t="s">
        <v>40</v>
      </c>
      <c r="B191" s="20" t="s">
        <v>72</v>
      </c>
      <c r="C191" s="20" t="s">
        <v>8</v>
      </c>
      <c r="D191" s="20" t="s">
        <v>10</v>
      </c>
      <c r="E191" s="20" t="s">
        <v>14</v>
      </c>
      <c r="F191" s="20" t="str">
        <f>INDEX(nrg_cb_e!$A$3:$A$40,MATCH(LEFT(MID('Industriesektor GWh'!$B191,41,1000),SEARCH(" - ",MID('Industriesektor GWh'!$B191,41,1000))-1),nrg_cb_e!$C$3:$C$40,0))</f>
        <v>FC_IND_CON_E</v>
      </c>
      <c r="G191" s="21">
        <v>1608</v>
      </c>
      <c r="J191" t="s">
        <v>44</v>
      </c>
      <c r="K191" t="s">
        <v>124</v>
      </c>
      <c r="L191" s="23">
        <v>0</v>
      </c>
      <c r="M191" s="23">
        <v>0</v>
      </c>
      <c r="N191" s="23">
        <v>0</v>
      </c>
      <c r="O191" s="23">
        <v>0</v>
      </c>
      <c r="P191" s="23">
        <v>0</v>
      </c>
      <c r="Q191" s="23">
        <v>0</v>
      </c>
      <c r="R191" s="23">
        <v>0</v>
      </c>
      <c r="S191" s="23">
        <v>0</v>
      </c>
      <c r="T191" s="23">
        <v>0</v>
      </c>
      <c r="U191" s="23">
        <v>0</v>
      </c>
      <c r="V191" s="23">
        <v>0</v>
      </c>
      <c r="W191" s="23">
        <v>0</v>
      </c>
      <c r="X191" s="23">
        <v>0</v>
      </c>
      <c r="Y191" s="23">
        <v>0</v>
      </c>
      <c r="Z191" s="23">
        <v>0</v>
      </c>
      <c r="AA191" s="23">
        <v>0</v>
      </c>
      <c r="AB191" s="23">
        <v>0</v>
      </c>
    </row>
    <row r="192" spans="1:28" x14ac:dyDescent="0.2">
      <c r="A192" s="16" t="s">
        <v>40</v>
      </c>
      <c r="B192" s="17" t="s">
        <v>72</v>
      </c>
      <c r="C192" s="17" t="s">
        <v>8</v>
      </c>
      <c r="D192" s="17" t="s">
        <v>10</v>
      </c>
      <c r="E192" s="17" t="s">
        <v>15</v>
      </c>
      <c r="F192" s="17" t="str">
        <f>INDEX(nrg_cb_e!$A$3:$A$40,MATCH(LEFT(MID('Industriesektor GWh'!$B192,41,1000),SEARCH(" - ",MID('Industriesektor GWh'!$B192,41,1000))-1),nrg_cb_e!$C$3:$C$40,0))</f>
        <v>FC_IND_CON_E</v>
      </c>
      <c r="G192" s="18">
        <v>1709</v>
      </c>
      <c r="J192" t="s">
        <v>44</v>
      </c>
      <c r="K192" t="s">
        <v>126</v>
      </c>
      <c r="L192" s="23">
        <v>419.166</v>
      </c>
      <c r="M192" s="23">
        <v>266.93200000000002</v>
      </c>
      <c r="N192" s="23">
        <v>228.208</v>
      </c>
      <c r="O192" s="23">
        <v>205.625</v>
      </c>
      <c r="P192" s="23">
        <v>158.881</v>
      </c>
      <c r="Q192" s="23">
        <v>142.63900000000001</v>
      </c>
      <c r="R192" s="23">
        <v>137.30699999999999</v>
      </c>
      <c r="S192" s="23">
        <v>133.059</v>
      </c>
      <c r="T192" s="23">
        <v>125.476</v>
      </c>
      <c r="U192" s="23">
        <v>290.95699999999999</v>
      </c>
      <c r="V192" s="23">
        <v>266.82799999999997</v>
      </c>
      <c r="W192" s="23">
        <v>229.881</v>
      </c>
      <c r="X192" s="23">
        <v>271.48599999999999</v>
      </c>
      <c r="Y192" s="23">
        <v>243.94200000000001</v>
      </c>
      <c r="Z192" s="23">
        <v>232.875</v>
      </c>
      <c r="AA192" s="23">
        <v>210.91800000000001</v>
      </c>
      <c r="AB192" s="23">
        <v>224.32900000000001</v>
      </c>
    </row>
    <row r="193" spans="1:28" x14ac:dyDescent="0.2">
      <c r="A193" s="19" t="s">
        <v>40</v>
      </c>
      <c r="B193" s="20" t="s">
        <v>72</v>
      </c>
      <c r="C193" s="20" t="s">
        <v>8</v>
      </c>
      <c r="D193" s="20" t="s">
        <v>10</v>
      </c>
      <c r="E193" s="20" t="s">
        <v>16</v>
      </c>
      <c r="F193" s="20" t="str">
        <f>INDEX(nrg_cb_e!$A$3:$A$40,MATCH(LEFT(MID('Industriesektor GWh'!$B193,41,1000),SEARCH(" - ",MID('Industriesektor GWh'!$B193,41,1000))-1),nrg_cb_e!$C$3:$C$40,0))</f>
        <v>FC_IND_CON_E</v>
      </c>
      <c r="G193" s="21">
        <v>1755</v>
      </c>
      <c r="J193" t="s">
        <v>44</v>
      </c>
      <c r="K193" t="s">
        <v>136</v>
      </c>
      <c r="L193" s="23">
        <v>152.089</v>
      </c>
      <c r="M193" s="23">
        <v>178.84299999999999</v>
      </c>
      <c r="N193" s="23">
        <v>156.697</v>
      </c>
      <c r="O193" s="23">
        <v>146.27799999999999</v>
      </c>
      <c r="P193" s="23">
        <v>112.676</v>
      </c>
      <c r="Q193" s="23">
        <v>89.885999999999996</v>
      </c>
      <c r="R193" s="23">
        <v>99.787000000000006</v>
      </c>
      <c r="S193" s="23">
        <v>88.548000000000002</v>
      </c>
      <c r="T193" s="23">
        <v>66.941000000000003</v>
      </c>
      <c r="U193" s="23">
        <v>38.35</v>
      </c>
      <c r="V193" s="23">
        <v>39.954999999999998</v>
      </c>
      <c r="W193" s="23">
        <v>37.707000000000001</v>
      </c>
      <c r="X193" s="23">
        <v>38.069000000000003</v>
      </c>
      <c r="Y193" s="23">
        <v>39.408000000000001</v>
      </c>
      <c r="Z193" s="23">
        <v>39.049999999999997</v>
      </c>
      <c r="AA193" s="23">
        <v>35.283000000000001</v>
      </c>
      <c r="AB193" s="23">
        <v>37.527000000000001</v>
      </c>
    </row>
    <row r="194" spans="1:28" x14ac:dyDescent="0.2">
      <c r="A194" s="16" t="s">
        <v>40</v>
      </c>
      <c r="B194" s="17" t="s">
        <v>72</v>
      </c>
      <c r="C194" s="17" t="s">
        <v>8</v>
      </c>
      <c r="D194" s="17" t="s">
        <v>10</v>
      </c>
      <c r="E194" s="17" t="s">
        <v>17</v>
      </c>
      <c r="F194" s="17" t="str">
        <f>INDEX(nrg_cb_e!$A$3:$A$40,MATCH(LEFT(MID('Industriesektor GWh'!$B194,41,1000),SEARCH(" - ",MID('Industriesektor GWh'!$B194,41,1000))-1),nrg_cb_e!$C$3:$C$40,0))</f>
        <v>FC_IND_CON_E</v>
      </c>
      <c r="G194" s="18">
        <v>1797</v>
      </c>
      <c r="J194" t="s">
        <v>44</v>
      </c>
      <c r="K194" t="s">
        <v>128</v>
      </c>
      <c r="L194" s="23">
        <v>5.0709999999999997</v>
      </c>
      <c r="M194" s="23">
        <v>13.439</v>
      </c>
      <c r="N194" s="23">
        <v>16.201000000000001</v>
      </c>
      <c r="O194" s="23">
        <v>18.398</v>
      </c>
      <c r="P194" s="23">
        <v>24.207000000000001</v>
      </c>
      <c r="Q194" s="23">
        <v>34.058999999999997</v>
      </c>
      <c r="R194" s="23">
        <v>38.674999999999997</v>
      </c>
      <c r="S194" s="23">
        <v>28.713999999999999</v>
      </c>
      <c r="T194" s="23">
        <v>24.780999999999999</v>
      </c>
      <c r="U194" s="23">
        <v>12.590999999999999</v>
      </c>
      <c r="V194" s="23">
        <v>12.597</v>
      </c>
      <c r="W194" s="23">
        <v>11.548999999999999</v>
      </c>
      <c r="X194" s="23">
        <v>5.3129999999999997</v>
      </c>
      <c r="Y194" s="23">
        <v>9.2119999999999997</v>
      </c>
      <c r="Z194" s="23">
        <v>12.535</v>
      </c>
      <c r="AA194" s="23">
        <v>11.795</v>
      </c>
      <c r="AB194" s="23">
        <v>12.545</v>
      </c>
    </row>
    <row r="195" spans="1:28" x14ac:dyDescent="0.2">
      <c r="A195" s="19" t="s">
        <v>40</v>
      </c>
      <c r="B195" s="20" t="s">
        <v>72</v>
      </c>
      <c r="C195" s="20" t="s">
        <v>8</v>
      </c>
      <c r="D195" s="20" t="s">
        <v>10</v>
      </c>
      <c r="E195" s="20" t="s">
        <v>18</v>
      </c>
      <c r="F195" s="20" t="str">
        <f>INDEX(nrg_cb_e!$A$3:$A$40,MATCH(LEFT(MID('Industriesektor GWh'!$B195,41,1000),SEARCH(" - ",MID('Industriesektor GWh'!$B195,41,1000))-1),nrg_cb_e!$C$3:$C$40,0))</f>
        <v>FC_IND_CON_E</v>
      </c>
      <c r="G195" s="21">
        <v>1888</v>
      </c>
      <c r="J195" t="s">
        <v>44</v>
      </c>
      <c r="K195" t="s">
        <v>142</v>
      </c>
      <c r="L195" s="23">
        <v>186.584</v>
      </c>
      <c r="M195" s="23">
        <v>158.191</v>
      </c>
      <c r="N195" s="23">
        <v>153.64599999999999</v>
      </c>
      <c r="O195" s="23">
        <v>155.96799999999999</v>
      </c>
      <c r="P195" s="23">
        <v>129.13300000000001</v>
      </c>
      <c r="Q195" s="23">
        <v>119.732</v>
      </c>
      <c r="R195" s="23">
        <v>133.37100000000001</v>
      </c>
      <c r="S195" s="23">
        <v>116.956</v>
      </c>
      <c r="T195" s="23">
        <v>141.30099999999999</v>
      </c>
      <c r="U195" s="23">
        <v>128.053</v>
      </c>
      <c r="V195" s="23">
        <v>108.575</v>
      </c>
      <c r="W195" s="23">
        <v>105.679</v>
      </c>
      <c r="X195" s="23">
        <v>86.183000000000007</v>
      </c>
      <c r="Y195" s="23">
        <v>100.982</v>
      </c>
      <c r="Z195" s="23">
        <v>100.804</v>
      </c>
      <c r="AA195" s="23">
        <v>88.808000000000007</v>
      </c>
      <c r="AB195" s="23">
        <v>94.454999999999998</v>
      </c>
    </row>
    <row r="196" spans="1:28" x14ac:dyDescent="0.2">
      <c r="A196" s="16" t="s">
        <v>40</v>
      </c>
      <c r="B196" s="17" t="s">
        <v>72</v>
      </c>
      <c r="C196" s="17" t="s">
        <v>8</v>
      </c>
      <c r="D196" s="17" t="s">
        <v>10</v>
      </c>
      <c r="E196" s="17" t="s">
        <v>19</v>
      </c>
      <c r="F196" s="17" t="str">
        <f>INDEX(nrg_cb_e!$A$3:$A$40,MATCH(LEFT(MID('Industriesektor GWh'!$B196,41,1000),SEARCH(" - ",MID('Industriesektor GWh'!$B196,41,1000))-1),nrg_cb_e!$C$3:$C$40,0))</f>
        <v>FC_IND_CON_E</v>
      </c>
      <c r="G196" s="18">
        <v>1808</v>
      </c>
      <c r="J196" t="s">
        <v>44</v>
      </c>
      <c r="K196" t="s">
        <v>138</v>
      </c>
      <c r="L196" s="23">
        <v>20.154</v>
      </c>
      <c r="M196" s="23">
        <v>22.346</v>
      </c>
      <c r="N196" s="23">
        <v>23.282</v>
      </c>
      <c r="O196" s="23">
        <v>22.780999999999999</v>
      </c>
      <c r="P196" s="23">
        <v>18.904</v>
      </c>
      <c r="Q196" s="23">
        <v>18.949000000000002</v>
      </c>
      <c r="R196" s="23">
        <v>16.564</v>
      </c>
      <c r="S196" s="23">
        <v>17.271000000000001</v>
      </c>
      <c r="T196" s="23">
        <v>17.02</v>
      </c>
      <c r="U196" s="23">
        <v>7.5839999999999996</v>
      </c>
      <c r="V196" s="23">
        <v>4.7130000000000001</v>
      </c>
      <c r="W196" s="23">
        <v>0.86199999999999999</v>
      </c>
      <c r="X196" s="23">
        <v>3.125</v>
      </c>
      <c r="Y196" s="23">
        <v>6.4379999999999997</v>
      </c>
      <c r="Z196" s="23">
        <v>4.117</v>
      </c>
      <c r="AA196" s="23">
        <v>15.1</v>
      </c>
      <c r="AB196" s="23">
        <v>15.782</v>
      </c>
    </row>
    <row r="197" spans="1:28" x14ac:dyDescent="0.2">
      <c r="A197" s="19" t="s">
        <v>40</v>
      </c>
      <c r="B197" s="20" t="s">
        <v>72</v>
      </c>
      <c r="C197" s="20" t="s">
        <v>8</v>
      </c>
      <c r="D197" s="20" t="s">
        <v>10</v>
      </c>
      <c r="E197" s="20" t="s">
        <v>20</v>
      </c>
      <c r="F197" s="20" t="str">
        <f>INDEX(nrg_cb_e!$A$3:$A$40,MATCH(LEFT(MID('Industriesektor GWh'!$B197,41,1000),SEARCH(" - ",MID('Industriesektor GWh'!$B197,41,1000))-1),nrg_cb_e!$C$3:$C$40,0))</f>
        <v>FC_IND_CON_E</v>
      </c>
      <c r="G197" s="21">
        <v>1752</v>
      </c>
      <c r="J197" t="s">
        <v>44</v>
      </c>
      <c r="K197" t="s">
        <v>116</v>
      </c>
      <c r="L197" s="23">
        <v>51.607999999999997</v>
      </c>
      <c r="M197" s="23">
        <v>88.611000000000004</v>
      </c>
      <c r="N197" s="23">
        <v>76.450999999999993</v>
      </c>
      <c r="O197" s="23">
        <v>77.16</v>
      </c>
      <c r="P197" s="23">
        <v>70.364999999999995</v>
      </c>
      <c r="Q197" s="23">
        <v>78.629000000000005</v>
      </c>
      <c r="R197" s="23">
        <v>95.603999999999999</v>
      </c>
      <c r="S197" s="23">
        <v>94.713999999999999</v>
      </c>
      <c r="T197" s="23">
        <v>115.428</v>
      </c>
      <c r="U197" s="23">
        <v>265.17200000000003</v>
      </c>
      <c r="V197" s="23">
        <v>264.64999999999998</v>
      </c>
      <c r="W197" s="23">
        <v>288.55500000000001</v>
      </c>
      <c r="X197" s="23">
        <v>316.98599999999999</v>
      </c>
      <c r="Y197" s="23">
        <v>341.92200000000003</v>
      </c>
      <c r="Z197" s="23">
        <v>366.10300000000001</v>
      </c>
      <c r="AA197" s="23">
        <v>291.98899999999998</v>
      </c>
      <c r="AB197" s="23">
        <v>277.48500000000001</v>
      </c>
    </row>
    <row r="198" spans="1:28" x14ac:dyDescent="0.2">
      <c r="A198" s="16" t="s">
        <v>40</v>
      </c>
      <c r="B198" s="17" t="s">
        <v>72</v>
      </c>
      <c r="C198" s="17" t="s">
        <v>8</v>
      </c>
      <c r="D198" s="17" t="s">
        <v>10</v>
      </c>
      <c r="E198" s="17" t="s">
        <v>21</v>
      </c>
      <c r="F198" s="17" t="str">
        <f>INDEX(nrg_cb_e!$A$3:$A$40,MATCH(LEFT(MID('Industriesektor GWh'!$B198,41,1000),SEARCH(" - ",MID('Industriesektor GWh'!$B198,41,1000))-1),nrg_cb_e!$C$3:$C$40,0))</f>
        <v>FC_IND_CON_E</v>
      </c>
      <c r="G198" s="18">
        <v>1640</v>
      </c>
      <c r="J198" t="s">
        <v>46</v>
      </c>
      <c r="K198" t="s">
        <v>140</v>
      </c>
      <c r="L198" s="23">
        <v>0</v>
      </c>
      <c r="M198" s="23">
        <v>0</v>
      </c>
      <c r="N198" s="23">
        <v>0</v>
      </c>
      <c r="O198" s="23">
        <v>0</v>
      </c>
      <c r="P198" s="23">
        <v>0</v>
      </c>
      <c r="Q198" s="23">
        <v>0</v>
      </c>
      <c r="R198" s="23">
        <v>0</v>
      </c>
      <c r="S198" s="23">
        <v>0</v>
      </c>
      <c r="T198" s="23">
        <v>16</v>
      </c>
      <c r="U198" s="23">
        <v>16</v>
      </c>
      <c r="V198" s="23">
        <v>18</v>
      </c>
      <c r="W198" s="23">
        <v>20</v>
      </c>
      <c r="X198" s="23">
        <v>26</v>
      </c>
      <c r="Y198" s="23">
        <v>28</v>
      </c>
      <c r="Z198" s="23">
        <v>24</v>
      </c>
      <c r="AA198" s="23">
        <v>26.635000000000002</v>
      </c>
      <c r="AB198" s="23">
        <v>27.37</v>
      </c>
    </row>
    <row r="199" spans="1:28" x14ac:dyDescent="0.2">
      <c r="A199" s="19" t="s">
        <v>40</v>
      </c>
      <c r="B199" s="20" t="s">
        <v>72</v>
      </c>
      <c r="C199" s="20" t="s">
        <v>8</v>
      </c>
      <c r="D199" s="20" t="s">
        <v>10</v>
      </c>
      <c r="E199" s="20" t="s">
        <v>22</v>
      </c>
      <c r="F199" s="20" t="str">
        <f>INDEX(nrg_cb_e!$A$3:$A$40,MATCH(LEFT(MID('Industriesektor GWh'!$B199,41,1000),SEARCH(" - ",MID('Industriesektor GWh'!$B199,41,1000))-1),nrg_cb_e!$C$3:$C$40,0))</f>
        <v>FC_IND_CON_E</v>
      </c>
      <c r="G199" s="21">
        <v>1446</v>
      </c>
      <c r="J199" t="s">
        <v>46</v>
      </c>
      <c r="K199" t="s">
        <v>122</v>
      </c>
      <c r="L199" s="23">
        <v>0</v>
      </c>
      <c r="M199" s="23">
        <v>0</v>
      </c>
      <c r="N199" s="23">
        <v>0</v>
      </c>
      <c r="O199" s="23">
        <v>0</v>
      </c>
      <c r="P199" s="23">
        <v>0</v>
      </c>
      <c r="Q199" s="23">
        <v>0</v>
      </c>
      <c r="R199" s="23">
        <v>0</v>
      </c>
      <c r="S199" s="23">
        <v>0</v>
      </c>
      <c r="T199" s="23">
        <v>38</v>
      </c>
      <c r="U199" s="23">
        <v>38</v>
      </c>
      <c r="V199" s="23">
        <v>40</v>
      </c>
      <c r="W199" s="23">
        <v>40</v>
      </c>
      <c r="X199" s="23">
        <v>41</v>
      </c>
      <c r="Y199" s="23">
        <v>41</v>
      </c>
      <c r="Z199" s="23">
        <v>45</v>
      </c>
      <c r="AA199" s="23">
        <v>50.593000000000004</v>
      </c>
      <c r="AB199" s="23">
        <v>47.232999999999997</v>
      </c>
    </row>
    <row r="200" spans="1:28" x14ac:dyDescent="0.2">
      <c r="A200" s="16" t="s">
        <v>40</v>
      </c>
      <c r="B200" s="17" t="s">
        <v>72</v>
      </c>
      <c r="C200" s="17" t="s">
        <v>8</v>
      </c>
      <c r="D200" s="17" t="s">
        <v>10</v>
      </c>
      <c r="E200" s="17" t="s">
        <v>23</v>
      </c>
      <c r="F200" s="17" t="str">
        <f>INDEX(nrg_cb_e!$A$3:$A$40,MATCH(LEFT(MID('Industriesektor GWh'!$B200,41,1000),SEARCH(" - ",MID('Industriesektor GWh'!$B200,41,1000))-1),nrg_cb_e!$C$3:$C$40,0))</f>
        <v>FC_IND_CON_E</v>
      </c>
      <c r="G200" s="18">
        <v>1290</v>
      </c>
      <c r="J200" t="s">
        <v>46</v>
      </c>
      <c r="K200" t="s">
        <v>134</v>
      </c>
      <c r="L200" s="23">
        <v>0</v>
      </c>
      <c r="M200" s="23">
        <v>0</v>
      </c>
      <c r="N200" s="23">
        <v>0</v>
      </c>
      <c r="O200" s="23">
        <v>0</v>
      </c>
      <c r="P200" s="23">
        <v>0</v>
      </c>
      <c r="Q200" s="23">
        <v>0</v>
      </c>
      <c r="R200" s="23">
        <v>0</v>
      </c>
      <c r="S200" s="23">
        <v>0</v>
      </c>
      <c r="T200" s="23">
        <v>59</v>
      </c>
      <c r="U200" s="23">
        <v>59</v>
      </c>
      <c r="V200" s="23">
        <v>58</v>
      </c>
      <c r="W200" s="23">
        <v>57</v>
      </c>
      <c r="X200" s="23">
        <v>60</v>
      </c>
      <c r="Y200" s="23">
        <v>62</v>
      </c>
      <c r="Z200" s="23">
        <v>60</v>
      </c>
      <c r="AA200" s="23">
        <v>68.572000000000003</v>
      </c>
      <c r="AB200" s="23">
        <v>72.515000000000001</v>
      </c>
    </row>
    <row r="201" spans="1:28" x14ac:dyDescent="0.2">
      <c r="A201" s="19" t="s">
        <v>40</v>
      </c>
      <c r="B201" s="20" t="s">
        <v>72</v>
      </c>
      <c r="C201" s="20" t="s">
        <v>8</v>
      </c>
      <c r="D201" s="20" t="s">
        <v>10</v>
      </c>
      <c r="E201" s="20" t="s">
        <v>24</v>
      </c>
      <c r="F201" s="20" t="str">
        <f>INDEX(nrg_cb_e!$A$3:$A$40,MATCH(LEFT(MID('Industriesektor GWh'!$B201,41,1000),SEARCH(" - ",MID('Industriesektor GWh'!$B201,41,1000))-1),nrg_cb_e!$C$3:$C$40,0))</f>
        <v>FC_IND_CON_E</v>
      </c>
      <c r="G201" s="21">
        <v>1251</v>
      </c>
      <c r="J201" t="s">
        <v>46</v>
      </c>
      <c r="K201" t="s">
        <v>120</v>
      </c>
      <c r="L201" s="23">
        <v>0</v>
      </c>
      <c r="M201" s="23">
        <v>0</v>
      </c>
      <c r="N201" s="23">
        <v>0</v>
      </c>
      <c r="O201" s="23">
        <v>0</v>
      </c>
      <c r="P201" s="23">
        <v>0</v>
      </c>
      <c r="Q201" s="23">
        <v>0</v>
      </c>
      <c r="R201" s="23">
        <v>0</v>
      </c>
      <c r="S201" s="23">
        <v>0</v>
      </c>
      <c r="T201" s="23">
        <v>0</v>
      </c>
      <c r="U201" s="23">
        <v>0</v>
      </c>
      <c r="V201" s="23">
        <v>0</v>
      </c>
      <c r="W201" s="23">
        <v>0</v>
      </c>
      <c r="X201" s="23">
        <v>0</v>
      </c>
      <c r="Y201" s="23">
        <v>0</v>
      </c>
      <c r="Z201" s="23">
        <v>0</v>
      </c>
      <c r="AA201" s="23">
        <v>6.0000000000000001E-3</v>
      </c>
      <c r="AB201" s="23">
        <v>5.0000000000000001E-3</v>
      </c>
    </row>
    <row r="202" spans="1:28" x14ac:dyDescent="0.2">
      <c r="A202" s="16" t="s">
        <v>40</v>
      </c>
      <c r="B202" s="17" t="s">
        <v>72</v>
      </c>
      <c r="C202" s="17" t="s">
        <v>8</v>
      </c>
      <c r="D202" s="17" t="s">
        <v>10</v>
      </c>
      <c r="E202" s="17" t="s">
        <v>25</v>
      </c>
      <c r="F202" s="17" t="str">
        <f>INDEX(nrg_cb_e!$A$3:$A$40,MATCH(LEFT(MID('Industriesektor GWh'!$B202,41,1000),SEARCH(" - ",MID('Industriesektor GWh'!$B202,41,1000))-1),nrg_cb_e!$C$3:$C$40,0))</f>
        <v>FC_IND_CON_E</v>
      </c>
      <c r="G202" s="18">
        <v>1355</v>
      </c>
      <c r="J202" t="s">
        <v>46</v>
      </c>
      <c r="K202" t="s">
        <v>130</v>
      </c>
      <c r="L202" s="23">
        <v>0</v>
      </c>
      <c r="M202" s="23">
        <v>0</v>
      </c>
      <c r="N202" s="23">
        <v>0</v>
      </c>
      <c r="O202" s="23">
        <v>0</v>
      </c>
      <c r="P202" s="23">
        <v>0</v>
      </c>
      <c r="Q202" s="23">
        <v>0</v>
      </c>
      <c r="R202" s="23">
        <v>0</v>
      </c>
      <c r="S202" s="23">
        <v>0</v>
      </c>
      <c r="T202" s="23">
        <v>110</v>
      </c>
      <c r="U202" s="23">
        <v>109</v>
      </c>
      <c r="V202" s="23">
        <v>108</v>
      </c>
      <c r="W202" s="23">
        <v>114</v>
      </c>
      <c r="X202" s="23">
        <v>116</v>
      </c>
      <c r="Y202" s="23">
        <v>115</v>
      </c>
      <c r="Z202" s="23">
        <v>109</v>
      </c>
      <c r="AA202" s="23">
        <v>116.47199999999999</v>
      </c>
      <c r="AB202" s="23">
        <v>119.71899999999999</v>
      </c>
    </row>
    <row r="203" spans="1:28" x14ac:dyDescent="0.2">
      <c r="A203" s="19" t="s">
        <v>40</v>
      </c>
      <c r="B203" s="20" t="s">
        <v>72</v>
      </c>
      <c r="C203" s="20" t="s">
        <v>8</v>
      </c>
      <c r="D203" s="20" t="s">
        <v>10</v>
      </c>
      <c r="E203" s="20" t="s">
        <v>26</v>
      </c>
      <c r="F203" s="20" t="str">
        <f>INDEX(nrg_cb_e!$A$3:$A$40,MATCH(LEFT(MID('Industriesektor GWh'!$B203,41,1000),SEARCH(" - ",MID('Industriesektor GWh'!$B203,41,1000))-1),nrg_cb_e!$C$3:$C$40,0))</f>
        <v>FC_IND_CON_E</v>
      </c>
      <c r="G203" s="21">
        <v>1353</v>
      </c>
      <c r="J203" t="s">
        <v>46</v>
      </c>
      <c r="K203" t="s">
        <v>132</v>
      </c>
      <c r="L203" s="23">
        <v>0</v>
      </c>
      <c r="M203" s="23">
        <v>0</v>
      </c>
      <c r="N203" s="23">
        <v>0</v>
      </c>
      <c r="O203" s="23">
        <v>0</v>
      </c>
      <c r="P203" s="23">
        <v>0</v>
      </c>
      <c r="Q203" s="23">
        <v>0</v>
      </c>
      <c r="R203" s="23">
        <v>0</v>
      </c>
      <c r="S203" s="23">
        <v>0</v>
      </c>
      <c r="T203" s="23">
        <v>1</v>
      </c>
      <c r="U203" s="23">
        <v>1</v>
      </c>
      <c r="V203" s="23">
        <v>1</v>
      </c>
      <c r="W203" s="23">
        <v>1</v>
      </c>
      <c r="X203" s="23">
        <v>2</v>
      </c>
      <c r="Y203" s="23">
        <v>1</v>
      </c>
      <c r="Z203" s="23">
        <v>1</v>
      </c>
      <c r="AA203" s="23">
        <v>1.3919999999999999</v>
      </c>
      <c r="AB203" s="23">
        <v>1.581</v>
      </c>
    </row>
    <row r="204" spans="1:28" x14ac:dyDescent="0.2">
      <c r="A204" s="16" t="s">
        <v>40</v>
      </c>
      <c r="B204" s="17" t="s">
        <v>72</v>
      </c>
      <c r="C204" s="17" t="s">
        <v>8</v>
      </c>
      <c r="D204" s="17" t="s">
        <v>10</v>
      </c>
      <c r="E204" s="17" t="s">
        <v>27</v>
      </c>
      <c r="F204" s="17" t="str">
        <f>INDEX(nrg_cb_e!$A$3:$A$40,MATCH(LEFT(MID('Industriesektor GWh'!$B204,41,1000),SEARCH(" - ",MID('Industriesektor GWh'!$B204,41,1000))-1),nrg_cb_e!$C$3:$C$40,0))</f>
        <v>FC_IND_CON_E</v>
      </c>
      <c r="G204" s="18">
        <v>1385.999</v>
      </c>
      <c r="J204" t="s">
        <v>46</v>
      </c>
      <c r="K204" t="s">
        <v>124</v>
      </c>
      <c r="L204" s="23">
        <v>0</v>
      </c>
      <c r="M204" s="23">
        <v>0</v>
      </c>
      <c r="N204" s="23">
        <v>0</v>
      </c>
      <c r="O204" s="23">
        <v>0</v>
      </c>
      <c r="P204" s="23">
        <v>0</v>
      </c>
      <c r="Q204" s="23">
        <v>0</v>
      </c>
      <c r="R204" s="23">
        <v>0</v>
      </c>
      <c r="S204" s="23">
        <v>0</v>
      </c>
      <c r="T204" s="23">
        <v>0</v>
      </c>
      <c r="U204" s="23">
        <v>0</v>
      </c>
      <c r="V204" s="23">
        <v>0</v>
      </c>
      <c r="W204" s="23">
        <v>0</v>
      </c>
      <c r="X204" s="23">
        <v>0</v>
      </c>
      <c r="Y204" s="23">
        <v>0</v>
      </c>
      <c r="Z204" s="23">
        <v>0</v>
      </c>
      <c r="AA204" s="23">
        <v>0</v>
      </c>
      <c r="AB204" s="23">
        <v>0</v>
      </c>
    </row>
    <row r="205" spans="1:28" x14ac:dyDescent="0.2">
      <c r="A205" s="19" t="s">
        <v>40</v>
      </c>
      <c r="B205" s="20" t="s">
        <v>72</v>
      </c>
      <c r="C205" s="20" t="s">
        <v>8</v>
      </c>
      <c r="D205" s="20" t="s">
        <v>10</v>
      </c>
      <c r="E205" s="20" t="s">
        <v>28</v>
      </c>
      <c r="F205" s="20" t="str">
        <f>INDEX(nrg_cb_e!$A$3:$A$40,MATCH(LEFT(MID('Industriesektor GWh'!$B205,41,1000),SEARCH(" - ",MID('Industriesektor GWh'!$B205,41,1000))-1),nrg_cb_e!$C$3:$C$40,0))</f>
        <v>FC_IND_CON_E</v>
      </c>
      <c r="G205" s="21">
        <v>1419.489</v>
      </c>
      <c r="J205" t="s">
        <v>46</v>
      </c>
      <c r="K205" t="s">
        <v>126</v>
      </c>
      <c r="L205" s="23">
        <v>0</v>
      </c>
      <c r="M205" s="23">
        <v>0</v>
      </c>
      <c r="N205" s="23">
        <v>0</v>
      </c>
      <c r="O205" s="23">
        <v>0</v>
      </c>
      <c r="P205" s="23">
        <v>0</v>
      </c>
      <c r="Q205" s="23">
        <v>0</v>
      </c>
      <c r="R205" s="23">
        <v>0</v>
      </c>
      <c r="S205" s="23">
        <v>0</v>
      </c>
      <c r="T205" s="23">
        <v>6</v>
      </c>
      <c r="U205" s="23">
        <v>6</v>
      </c>
      <c r="V205" s="23">
        <v>6</v>
      </c>
      <c r="W205" s="23">
        <v>6</v>
      </c>
      <c r="X205" s="23">
        <v>6</v>
      </c>
      <c r="Y205" s="23">
        <v>7</v>
      </c>
      <c r="Z205" s="23">
        <v>6</v>
      </c>
      <c r="AA205" s="23">
        <v>5.6349999999999998</v>
      </c>
      <c r="AB205" s="23">
        <v>5.8259999999999996</v>
      </c>
    </row>
    <row r="206" spans="1:28" x14ac:dyDescent="0.2">
      <c r="A206" s="16" t="s">
        <v>41</v>
      </c>
      <c r="B206" s="17" t="s">
        <v>72</v>
      </c>
      <c r="C206" s="17" t="s">
        <v>8</v>
      </c>
      <c r="D206" s="17" t="s">
        <v>10</v>
      </c>
      <c r="E206" s="17" t="s">
        <v>12</v>
      </c>
      <c r="F206" s="17" t="str">
        <f>INDEX(nrg_cb_e!$A$3:$A$40,MATCH(LEFT(MID('Industriesektor GWh'!$B206,41,1000),SEARCH(" - ",MID('Industriesektor GWh'!$B206,41,1000))-1),nrg_cb_e!$C$3:$C$40,0))</f>
        <v>FC_IND_CON_E</v>
      </c>
      <c r="G206" s="18">
        <v>4</v>
      </c>
      <c r="J206" t="s">
        <v>46</v>
      </c>
      <c r="K206" t="s">
        <v>136</v>
      </c>
      <c r="L206" s="23">
        <v>0</v>
      </c>
      <c r="M206" s="23">
        <v>0</v>
      </c>
      <c r="N206" s="23">
        <v>0</v>
      </c>
      <c r="O206" s="23">
        <v>0</v>
      </c>
      <c r="P206" s="23">
        <v>0</v>
      </c>
      <c r="Q206" s="23">
        <v>0</v>
      </c>
      <c r="R206" s="23">
        <v>0</v>
      </c>
      <c r="S206" s="23">
        <v>0</v>
      </c>
      <c r="T206" s="23">
        <v>20</v>
      </c>
      <c r="U206" s="23">
        <v>22</v>
      </c>
      <c r="V206" s="23">
        <v>22</v>
      </c>
      <c r="W206" s="23">
        <v>22</v>
      </c>
      <c r="X206" s="23">
        <v>23</v>
      </c>
      <c r="Y206" s="23">
        <v>23</v>
      </c>
      <c r="Z206" s="23">
        <v>24</v>
      </c>
      <c r="AA206" s="23">
        <v>25.196999999999999</v>
      </c>
      <c r="AB206" s="23">
        <v>26.994</v>
      </c>
    </row>
    <row r="207" spans="1:28" x14ac:dyDescent="0.2">
      <c r="A207" s="19" t="s">
        <v>41</v>
      </c>
      <c r="B207" s="20" t="s">
        <v>72</v>
      </c>
      <c r="C207" s="20" t="s">
        <v>8</v>
      </c>
      <c r="D207" s="20" t="s">
        <v>10</v>
      </c>
      <c r="E207" s="20" t="s">
        <v>13</v>
      </c>
      <c r="F207" s="20" t="str">
        <f>INDEX(nrg_cb_e!$A$3:$A$40,MATCH(LEFT(MID('Industriesektor GWh'!$B207,41,1000),SEARCH(" - ",MID('Industriesektor GWh'!$B207,41,1000))-1),nrg_cb_e!$C$3:$C$40,0))</f>
        <v>FC_IND_CON_E</v>
      </c>
      <c r="G207" s="21">
        <v>6</v>
      </c>
      <c r="J207" t="s">
        <v>46</v>
      </c>
      <c r="K207" t="s">
        <v>128</v>
      </c>
      <c r="L207" s="23">
        <v>0</v>
      </c>
      <c r="M207" s="23">
        <v>0</v>
      </c>
      <c r="N207" s="23">
        <v>0</v>
      </c>
      <c r="O207" s="23">
        <v>0</v>
      </c>
      <c r="P207" s="23">
        <v>0</v>
      </c>
      <c r="Q207" s="23">
        <v>0</v>
      </c>
      <c r="R207" s="23">
        <v>0</v>
      </c>
      <c r="S207" s="23">
        <v>0</v>
      </c>
      <c r="T207" s="23">
        <v>14</v>
      </c>
      <c r="U207" s="23">
        <v>15</v>
      </c>
      <c r="V207" s="23">
        <v>16</v>
      </c>
      <c r="W207" s="23">
        <v>17</v>
      </c>
      <c r="X207" s="23">
        <v>19</v>
      </c>
      <c r="Y207" s="23">
        <v>20</v>
      </c>
      <c r="Z207" s="23">
        <v>19</v>
      </c>
      <c r="AA207" s="23">
        <v>21.472000000000001</v>
      </c>
      <c r="AB207" s="23">
        <v>21.067</v>
      </c>
    </row>
    <row r="208" spans="1:28" x14ac:dyDescent="0.2">
      <c r="A208" s="16" t="s">
        <v>41</v>
      </c>
      <c r="B208" s="17" t="s">
        <v>72</v>
      </c>
      <c r="C208" s="17" t="s">
        <v>8</v>
      </c>
      <c r="D208" s="17" t="s">
        <v>10</v>
      </c>
      <c r="E208" s="17" t="s">
        <v>14</v>
      </c>
      <c r="F208" s="17" t="str">
        <f>INDEX(nrg_cb_e!$A$3:$A$40,MATCH(LEFT(MID('Industriesektor GWh'!$B208,41,1000),SEARCH(" - ",MID('Industriesektor GWh'!$B208,41,1000))-1),nrg_cb_e!$C$3:$C$40,0))</f>
        <v>FC_IND_CON_E</v>
      </c>
      <c r="G208" s="18">
        <v>7</v>
      </c>
      <c r="J208" t="s">
        <v>46</v>
      </c>
      <c r="K208" t="s">
        <v>142</v>
      </c>
      <c r="L208" s="23">
        <v>0</v>
      </c>
      <c r="M208" s="23">
        <v>0</v>
      </c>
      <c r="N208" s="23">
        <v>0</v>
      </c>
      <c r="O208" s="23">
        <v>0</v>
      </c>
      <c r="P208" s="23">
        <v>0</v>
      </c>
      <c r="Q208" s="23">
        <v>0</v>
      </c>
      <c r="R208" s="23">
        <v>0</v>
      </c>
      <c r="S208" s="23">
        <v>0</v>
      </c>
      <c r="T208" s="23">
        <v>47</v>
      </c>
      <c r="U208" s="23">
        <v>47</v>
      </c>
      <c r="V208" s="23">
        <v>46</v>
      </c>
      <c r="W208" s="23">
        <v>39</v>
      </c>
      <c r="X208" s="23">
        <v>30</v>
      </c>
      <c r="Y208" s="23">
        <v>33</v>
      </c>
      <c r="Z208" s="23">
        <v>28</v>
      </c>
      <c r="AA208" s="23">
        <v>31.22</v>
      </c>
      <c r="AB208" s="23">
        <v>32.131</v>
      </c>
    </row>
    <row r="209" spans="1:28" x14ac:dyDescent="0.2">
      <c r="A209" s="19" t="s">
        <v>41</v>
      </c>
      <c r="B209" s="20" t="s">
        <v>72</v>
      </c>
      <c r="C209" s="20" t="s">
        <v>8</v>
      </c>
      <c r="D209" s="20" t="s">
        <v>10</v>
      </c>
      <c r="E209" s="20" t="s">
        <v>15</v>
      </c>
      <c r="F209" s="20" t="str">
        <f>INDEX(nrg_cb_e!$A$3:$A$40,MATCH(LEFT(MID('Industriesektor GWh'!$B209,41,1000),SEARCH(" - ",MID('Industriesektor GWh'!$B209,41,1000))-1),nrg_cb_e!$C$3:$C$40,0))</f>
        <v>FC_IND_CON_E</v>
      </c>
      <c r="G209" s="21">
        <v>8</v>
      </c>
      <c r="J209" t="s">
        <v>46</v>
      </c>
      <c r="K209" t="s">
        <v>138</v>
      </c>
      <c r="L209" s="23">
        <v>0</v>
      </c>
      <c r="M209" s="23">
        <v>0</v>
      </c>
      <c r="N209" s="23">
        <v>0</v>
      </c>
      <c r="O209" s="23">
        <v>0</v>
      </c>
      <c r="P209" s="23">
        <v>0</v>
      </c>
      <c r="Q209" s="23">
        <v>0</v>
      </c>
      <c r="R209" s="23">
        <v>0</v>
      </c>
      <c r="S209" s="23">
        <v>0</v>
      </c>
      <c r="T209" s="23">
        <v>1</v>
      </c>
      <c r="U209" s="23">
        <v>1</v>
      </c>
      <c r="V209" s="23">
        <v>1</v>
      </c>
      <c r="W209" s="23">
        <v>1</v>
      </c>
      <c r="X209" s="23">
        <v>2</v>
      </c>
      <c r="Y209" s="23">
        <v>2</v>
      </c>
      <c r="Z209" s="23">
        <v>2</v>
      </c>
      <c r="AA209" s="23">
        <v>2.0880000000000001</v>
      </c>
      <c r="AB209" s="23">
        <v>2.2890000000000001</v>
      </c>
    </row>
    <row r="210" spans="1:28" x14ac:dyDescent="0.2">
      <c r="A210" s="16" t="s">
        <v>41</v>
      </c>
      <c r="B210" s="17" t="s">
        <v>72</v>
      </c>
      <c r="C210" s="17" t="s">
        <v>8</v>
      </c>
      <c r="D210" s="17" t="s">
        <v>10</v>
      </c>
      <c r="E210" s="17" t="s">
        <v>16</v>
      </c>
      <c r="F210" s="17" t="str">
        <f>INDEX(nrg_cb_e!$A$3:$A$40,MATCH(LEFT(MID('Industriesektor GWh'!$B210,41,1000),SEARCH(" - ",MID('Industriesektor GWh'!$B210,41,1000))-1),nrg_cb_e!$C$3:$C$40,0))</f>
        <v>FC_IND_CON_E</v>
      </c>
      <c r="G210" s="18">
        <v>9</v>
      </c>
      <c r="J210" t="s">
        <v>46</v>
      </c>
      <c r="K210" t="s">
        <v>116</v>
      </c>
      <c r="L210" s="23">
        <v>510</v>
      </c>
      <c r="M210" s="23">
        <v>556</v>
      </c>
      <c r="N210" s="23">
        <v>551</v>
      </c>
      <c r="O210" s="23">
        <v>483</v>
      </c>
      <c r="P210" s="23">
        <v>530</v>
      </c>
      <c r="Q210" s="23">
        <v>530</v>
      </c>
      <c r="R210" s="23">
        <v>558</v>
      </c>
      <c r="S210" s="23">
        <v>509</v>
      </c>
      <c r="T210" s="23">
        <v>85</v>
      </c>
      <c r="U210" s="23">
        <v>89</v>
      </c>
      <c r="V210" s="23">
        <v>87</v>
      </c>
      <c r="W210" s="23">
        <v>87</v>
      </c>
      <c r="X210" s="23">
        <v>81</v>
      </c>
      <c r="Y210" s="23">
        <v>83</v>
      </c>
      <c r="Z210" s="23">
        <v>93</v>
      </c>
      <c r="AA210" s="23">
        <v>109.84</v>
      </c>
      <c r="AB210" s="23">
        <v>123.111</v>
      </c>
    </row>
    <row r="211" spans="1:28" x14ac:dyDescent="0.2">
      <c r="A211" s="19" t="s">
        <v>41</v>
      </c>
      <c r="B211" s="20" t="s">
        <v>72</v>
      </c>
      <c r="C211" s="20" t="s">
        <v>8</v>
      </c>
      <c r="D211" s="20" t="s">
        <v>10</v>
      </c>
      <c r="E211" s="20" t="s">
        <v>17</v>
      </c>
      <c r="F211" s="20" t="str">
        <f>INDEX(nrg_cb_e!$A$3:$A$40,MATCH(LEFT(MID('Industriesektor GWh'!$B211,41,1000),SEARCH(" - ",MID('Industriesektor GWh'!$B211,41,1000))-1),nrg_cb_e!$C$3:$C$40,0))</f>
        <v>FC_IND_CON_E</v>
      </c>
      <c r="G211" s="21">
        <v>10</v>
      </c>
      <c r="J211" t="s">
        <v>47</v>
      </c>
      <c r="K211" t="s">
        <v>140</v>
      </c>
      <c r="L211" s="23">
        <v>1035</v>
      </c>
      <c r="M211" s="23">
        <v>992</v>
      </c>
      <c r="N211" s="23">
        <v>974</v>
      </c>
      <c r="O211" s="23">
        <v>972</v>
      </c>
      <c r="P211" s="23">
        <v>981</v>
      </c>
      <c r="Q211" s="23">
        <v>1013</v>
      </c>
      <c r="R211" s="23">
        <v>1030</v>
      </c>
      <c r="S211" s="23">
        <v>1018</v>
      </c>
      <c r="T211" s="23">
        <v>1009</v>
      </c>
      <c r="U211" s="23">
        <v>943</v>
      </c>
      <c r="V211" s="23">
        <v>900.38900000000001</v>
      </c>
      <c r="W211" s="23">
        <v>948.57899999999995</v>
      </c>
      <c r="X211" s="23">
        <v>875.34699999999998</v>
      </c>
      <c r="Y211" s="23">
        <v>889.71799999999996</v>
      </c>
      <c r="Z211" s="23">
        <v>893.447</v>
      </c>
      <c r="AA211" s="23">
        <v>973.76800000000003</v>
      </c>
      <c r="AB211" s="23">
        <v>1037.4749999999999</v>
      </c>
    </row>
    <row r="212" spans="1:28" x14ac:dyDescent="0.2">
      <c r="A212" s="16" t="s">
        <v>41</v>
      </c>
      <c r="B212" s="17" t="s">
        <v>72</v>
      </c>
      <c r="C212" s="17" t="s">
        <v>8</v>
      </c>
      <c r="D212" s="17" t="s">
        <v>10</v>
      </c>
      <c r="E212" s="17" t="s">
        <v>18</v>
      </c>
      <c r="F212" s="17" t="str">
        <f>INDEX(nrg_cb_e!$A$3:$A$40,MATCH(LEFT(MID('Industriesektor GWh'!$B212,41,1000),SEARCH(" - ",MID('Industriesektor GWh'!$B212,41,1000))-1),nrg_cb_e!$C$3:$C$40,0))</f>
        <v>FC_IND_CON_E</v>
      </c>
      <c r="G212" s="18">
        <v>12</v>
      </c>
      <c r="J212" t="s">
        <v>47</v>
      </c>
      <c r="K212" t="s">
        <v>122</v>
      </c>
      <c r="L212" s="23">
        <v>12198</v>
      </c>
      <c r="M212" s="23">
        <v>12228</v>
      </c>
      <c r="N212" s="23">
        <v>12385</v>
      </c>
      <c r="O212" s="23">
        <v>12626</v>
      </c>
      <c r="P212" s="23">
        <v>12863</v>
      </c>
      <c r="Q212" s="23">
        <v>13160</v>
      </c>
      <c r="R212" s="23">
        <v>12520</v>
      </c>
      <c r="S212" s="23">
        <v>12324</v>
      </c>
      <c r="T212" s="23">
        <v>13218</v>
      </c>
      <c r="U212" s="23">
        <v>12990</v>
      </c>
      <c r="V212" s="23">
        <v>12484.800999999999</v>
      </c>
      <c r="W212" s="23">
        <v>12560.067999999999</v>
      </c>
      <c r="X212" s="23">
        <v>12202.724</v>
      </c>
      <c r="Y212" s="23">
        <v>12371.800999999999</v>
      </c>
      <c r="Z212" s="23">
        <v>12860.609</v>
      </c>
      <c r="AA212" s="23">
        <v>12842.906999999999</v>
      </c>
      <c r="AB212" s="23">
        <v>12925.1</v>
      </c>
    </row>
    <row r="213" spans="1:28" x14ac:dyDescent="0.2">
      <c r="A213" s="19" t="s">
        <v>41</v>
      </c>
      <c r="B213" s="20" t="s">
        <v>72</v>
      </c>
      <c r="C213" s="20" t="s">
        <v>8</v>
      </c>
      <c r="D213" s="20" t="s">
        <v>10</v>
      </c>
      <c r="E213" s="20" t="s">
        <v>19</v>
      </c>
      <c r="F213" s="20" t="str">
        <f>INDEX(nrg_cb_e!$A$3:$A$40,MATCH(LEFT(MID('Industriesektor GWh'!$B213,41,1000),SEARCH(" - ",MID('Industriesektor GWh'!$B213,41,1000))-1),nrg_cb_e!$C$3:$C$40,0))</f>
        <v>FC_IND_CON_E</v>
      </c>
      <c r="G213" s="21">
        <v>11</v>
      </c>
      <c r="J213" t="s">
        <v>47</v>
      </c>
      <c r="K213" t="s">
        <v>134</v>
      </c>
      <c r="L213" s="23">
        <v>6696</v>
      </c>
      <c r="M213" s="23">
        <v>6591</v>
      </c>
      <c r="N213" s="23">
        <v>6532</v>
      </c>
      <c r="O213" s="23">
        <v>6567</v>
      </c>
      <c r="P213" s="23">
        <v>6888</v>
      </c>
      <c r="Q213" s="23">
        <v>7203</v>
      </c>
      <c r="R213" s="23">
        <v>6844</v>
      </c>
      <c r="S213" s="23">
        <v>6098</v>
      </c>
      <c r="T213" s="23">
        <v>6372</v>
      </c>
      <c r="U213" s="23">
        <v>6424</v>
      </c>
      <c r="V213" s="23">
        <v>6306</v>
      </c>
      <c r="W213" s="23">
        <v>6186</v>
      </c>
      <c r="X213" s="23">
        <v>6338</v>
      </c>
      <c r="Y213" s="23">
        <v>6394.1769999999997</v>
      </c>
      <c r="Z213" s="23">
        <v>6859.4549999999999</v>
      </c>
      <c r="AA213" s="23">
        <v>7012.3059999999996</v>
      </c>
      <c r="AB213" s="23">
        <v>6858.44</v>
      </c>
    </row>
    <row r="214" spans="1:28" x14ac:dyDescent="0.2">
      <c r="A214" s="16" t="s">
        <v>41</v>
      </c>
      <c r="B214" s="17" t="s">
        <v>72</v>
      </c>
      <c r="C214" s="17" t="s">
        <v>8</v>
      </c>
      <c r="D214" s="17" t="s">
        <v>10</v>
      </c>
      <c r="E214" s="17" t="s">
        <v>20</v>
      </c>
      <c r="F214" s="17" t="str">
        <f>INDEX(nrg_cb_e!$A$3:$A$40,MATCH(LEFT(MID('Industriesektor GWh'!$B214,41,1000),SEARCH(" - ",MID('Industriesektor GWh'!$B214,41,1000))-1),nrg_cb_e!$C$3:$C$40,0))</f>
        <v>FC_IND_CON_E</v>
      </c>
      <c r="G214" s="18">
        <v>12</v>
      </c>
      <c r="J214" t="s">
        <v>47</v>
      </c>
      <c r="K214" t="s">
        <v>120</v>
      </c>
      <c r="L214" s="23">
        <v>2573</v>
      </c>
      <c r="M214" s="23">
        <v>2654</v>
      </c>
      <c r="N214" s="23">
        <v>2708</v>
      </c>
      <c r="O214" s="23">
        <v>2717</v>
      </c>
      <c r="P214" s="23">
        <v>2679</v>
      </c>
      <c r="Q214" s="23">
        <v>2752</v>
      </c>
      <c r="R214" s="23">
        <v>2659</v>
      </c>
      <c r="S214" s="23">
        <v>2381</v>
      </c>
      <c r="T214" s="23">
        <v>2638</v>
      </c>
      <c r="U214" s="23">
        <v>2691</v>
      </c>
      <c r="V214" s="23">
        <v>2706</v>
      </c>
      <c r="W214" s="23">
        <v>2648</v>
      </c>
      <c r="X214" s="23">
        <v>2704</v>
      </c>
      <c r="Y214" s="23">
        <v>2687.663</v>
      </c>
      <c r="Z214" s="23">
        <v>2605.9549999999999</v>
      </c>
      <c r="AA214" s="23">
        <v>2584.8040000000001</v>
      </c>
      <c r="AB214" s="23">
        <v>2498.0410000000002</v>
      </c>
    </row>
    <row r="215" spans="1:28" x14ac:dyDescent="0.2">
      <c r="A215" s="19" t="s">
        <v>41</v>
      </c>
      <c r="B215" s="20" t="s">
        <v>72</v>
      </c>
      <c r="C215" s="20" t="s">
        <v>8</v>
      </c>
      <c r="D215" s="20" t="s">
        <v>10</v>
      </c>
      <c r="E215" s="20" t="s">
        <v>21</v>
      </c>
      <c r="F215" s="20" t="str">
        <f>INDEX(nrg_cb_e!$A$3:$A$40,MATCH(LEFT(MID('Industriesektor GWh'!$B215,41,1000),SEARCH(" - ",MID('Industriesektor GWh'!$B215,41,1000))-1),nrg_cb_e!$C$3:$C$40,0))</f>
        <v>FC_IND_CON_E</v>
      </c>
      <c r="G215" s="21">
        <v>12</v>
      </c>
      <c r="J215" t="s">
        <v>47</v>
      </c>
      <c r="K215" t="s">
        <v>130</v>
      </c>
      <c r="L215" s="23">
        <v>3645</v>
      </c>
      <c r="M215" s="23">
        <v>3358</v>
      </c>
      <c r="N215" s="23">
        <v>3450</v>
      </c>
      <c r="O215" s="23">
        <v>3573</v>
      </c>
      <c r="P215" s="23">
        <v>3537</v>
      </c>
      <c r="Q215" s="23">
        <v>3265</v>
      </c>
      <c r="R215" s="23">
        <v>3549</v>
      </c>
      <c r="S215" s="23">
        <v>3460</v>
      </c>
      <c r="T215" s="23">
        <v>3416</v>
      </c>
      <c r="U215" s="23">
        <v>2850</v>
      </c>
      <c r="V215" s="23">
        <v>2848</v>
      </c>
      <c r="W215" s="23">
        <v>2688</v>
      </c>
      <c r="X215" s="23">
        <v>2853</v>
      </c>
      <c r="Y215" s="23">
        <v>2809.09</v>
      </c>
      <c r="Z215" s="23">
        <v>3003.8910000000001</v>
      </c>
      <c r="AA215" s="23">
        <v>3250.57</v>
      </c>
      <c r="AB215" s="23">
        <v>3145.5630000000001</v>
      </c>
    </row>
    <row r="216" spans="1:28" x14ac:dyDescent="0.2">
      <c r="A216" s="16" t="s">
        <v>41</v>
      </c>
      <c r="B216" s="17" t="s">
        <v>72</v>
      </c>
      <c r="C216" s="17" t="s">
        <v>8</v>
      </c>
      <c r="D216" s="17" t="s">
        <v>10</v>
      </c>
      <c r="E216" s="17" t="s">
        <v>22</v>
      </c>
      <c r="F216" s="17" t="str">
        <f>INDEX(nrg_cb_e!$A$3:$A$40,MATCH(LEFT(MID('Industriesektor GWh'!$B216,41,1000),SEARCH(" - ",MID('Industriesektor GWh'!$B216,41,1000))-1),nrg_cb_e!$C$3:$C$40,0))</f>
        <v>FC_IND_CON_E</v>
      </c>
      <c r="G216" s="18">
        <v>10</v>
      </c>
      <c r="J216" t="s">
        <v>47</v>
      </c>
      <c r="K216" t="s">
        <v>132</v>
      </c>
      <c r="L216" s="23">
        <v>201</v>
      </c>
      <c r="M216" s="23">
        <v>212</v>
      </c>
      <c r="N216" s="23">
        <v>189</v>
      </c>
      <c r="O216" s="23">
        <v>187</v>
      </c>
      <c r="P216" s="23">
        <v>286</v>
      </c>
      <c r="Q216" s="23">
        <v>254</v>
      </c>
      <c r="R216" s="23">
        <v>330</v>
      </c>
      <c r="S216" s="23">
        <v>131</v>
      </c>
      <c r="T216" s="23">
        <v>439</v>
      </c>
      <c r="U216" s="23">
        <v>250</v>
      </c>
      <c r="V216" s="23">
        <v>244</v>
      </c>
      <c r="W216" s="23">
        <v>251</v>
      </c>
      <c r="X216" s="23">
        <v>201</v>
      </c>
      <c r="Y216" s="23">
        <v>235.792</v>
      </c>
      <c r="Z216" s="23">
        <v>247.13200000000001</v>
      </c>
      <c r="AA216" s="23">
        <v>247.958</v>
      </c>
      <c r="AB216" s="23">
        <v>273.07600000000002</v>
      </c>
    </row>
    <row r="217" spans="1:28" x14ac:dyDescent="0.2">
      <c r="A217" s="19" t="s">
        <v>41</v>
      </c>
      <c r="B217" s="20" t="s">
        <v>72</v>
      </c>
      <c r="C217" s="20" t="s">
        <v>8</v>
      </c>
      <c r="D217" s="20" t="s">
        <v>10</v>
      </c>
      <c r="E217" s="20" t="s">
        <v>23</v>
      </c>
      <c r="F217" s="20" t="str">
        <f>INDEX(nrg_cb_e!$A$3:$A$40,MATCH(LEFT(MID('Industriesektor GWh'!$B217,41,1000),SEARCH(" - ",MID('Industriesektor GWh'!$B217,41,1000))-1),nrg_cb_e!$C$3:$C$40,0))</f>
        <v>FC_IND_CON_E</v>
      </c>
      <c r="G217" s="21">
        <v>6</v>
      </c>
      <c r="J217" t="s">
        <v>47</v>
      </c>
      <c r="K217" t="s">
        <v>124</v>
      </c>
      <c r="L217" s="23">
        <v>5747</v>
      </c>
      <c r="M217" s="23">
        <v>5828</v>
      </c>
      <c r="N217" s="23">
        <v>6328</v>
      </c>
      <c r="O217" s="23">
        <v>6332</v>
      </c>
      <c r="P217" s="23">
        <v>5722</v>
      </c>
      <c r="Q217" s="23">
        <v>6005</v>
      </c>
      <c r="R217" s="23">
        <v>6390</v>
      </c>
      <c r="S217" s="23">
        <v>3838</v>
      </c>
      <c r="T217" s="23">
        <v>4777</v>
      </c>
      <c r="U217" s="23">
        <v>6114</v>
      </c>
      <c r="V217" s="23">
        <v>2774</v>
      </c>
      <c r="W217" s="23">
        <v>2838</v>
      </c>
      <c r="X217" s="23">
        <v>1630</v>
      </c>
      <c r="Y217" s="23">
        <v>2037.0830000000001</v>
      </c>
      <c r="Z217" s="23">
        <v>2222.39</v>
      </c>
      <c r="AA217" s="23">
        <v>1994.8209999999999</v>
      </c>
      <c r="AB217" s="23">
        <v>2237.9940000000001</v>
      </c>
    </row>
    <row r="218" spans="1:28" x14ac:dyDescent="0.2">
      <c r="A218" s="16" t="s">
        <v>41</v>
      </c>
      <c r="B218" s="17" t="s">
        <v>72</v>
      </c>
      <c r="C218" s="17" t="s">
        <v>8</v>
      </c>
      <c r="D218" s="17" t="s">
        <v>10</v>
      </c>
      <c r="E218" s="17" t="s">
        <v>24</v>
      </c>
      <c r="F218" s="17" t="str">
        <f>INDEX(nrg_cb_e!$A$3:$A$40,MATCH(LEFT(MID('Industriesektor GWh'!$B218,41,1000),SEARCH(" - ",MID('Industriesektor GWh'!$B218,41,1000))-1),nrg_cb_e!$C$3:$C$40,0))</f>
        <v>FC_IND_CON_E</v>
      </c>
      <c r="G218" s="18">
        <v>5</v>
      </c>
      <c r="J218" t="s">
        <v>47</v>
      </c>
      <c r="K218" t="s">
        <v>126</v>
      </c>
      <c r="L218" s="23">
        <v>1544</v>
      </c>
      <c r="M218" s="23">
        <v>1475</v>
      </c>
      <c r="N218" s="23">
        <v>1429</v>
      </c>
      <c r="O218" s="23">
        <v>1437</v>
      </c>
      <c r="P218" s="23">
        <v>1446</v>
      </c>
      <c r="Q218" s="23">
        <v>1512</v>
      </c>
      <c r="R218" s="23">
        <v>1553</v>
      </c>
      <c r="S218" s="23">
        <v>1454</v>
      </c>
      <c r="T218" s="23">
        <v>1457</v>
      </c>
      <c r="U218" s="23">
        <v>1285</v>
      </c>
      <c r="V218" s="23">
        <v>1228</v>
      </c>
      <c r="W218" s="23">
        <v>1221</v>
      </c>
      <c r="X218" s="23">
        <v>1167</v>
      </c>
      <c r="Y218" s="23">
        <v>1176.704</v>
      </c>
      <c r="Z218" s="23">
        <v>1292.9290000000001</v>
      </c>
      <c r="AA218" s="23">
        <v>1264.2049999999999</v>
      </c>
      <c r="AB218" s="23">
        <v>1334.076</v>
      </c>
    </row>
    <row r="219" spans="1:28" x14ac:dyDescent="0.2">
      <c r="A219" s="19" t="s">
        <v>41</v>
      </c>
      <c r="B219" s="20" t="s">
        <v>72</v>
      </c>
      <c r="C219" s="20" t="s">
        <v>8</v>
      </c>
      <c r="D219" s="20" t="s">
        <v>10</v>
      </c>
      <c r="E219" s="20" t="s">
        <v>25</v>
      </c>
      <c r="F219" s="20" t="str">
        <f>INDEX(nrg_cb_e!$A$3:$A$40,MATCH(LEFT(MID('Industriesektor GWh'!$B219,41,1000),SEARCH(" - ",MID('Industriesektor GWh'!$B219,41,1000))-1),nrg_cb_e!$C$3:$C$40,0))</f>
        <v>FC_IND_CON_E</v>
      </c>
      <c r="G219" s="21">
        <v>4</v>
      </c>
      <c r="J219" t="s">
        <v>47</v>
      </c>
      <c r="K219" t="s">
        <v>136</v>
      </c>
      <c r="L219" s="23">
        <v>3804</v>
      </c>
      <c r="M219" s="23">
        <v>3694</v>
      </c>
      <c r="N219" s="23">
        <v>3682</v>
      </c>
      <c r="O219" s="23">
        <v>3630</v>
      </c>
      <c r="P219" s="23">
        <v>3680</v>
      </c>
      <c r="Q219" s="23">
        <v>3686</v>
      </c>
      <c r="R219" s="23">
        <v>3623</v>
      </c>
      <c r="S219" s="23">
        <v>2717</v>
      </c>
      <c r="T219" s="23">
        <v>2682</v>
      </c>
      <c r="U219" s="23">
        <v>2499</v>
      </c>
      <c r="V219" s="23">
        <v>2503</v>
      </c>
      <c r="W219" s="23">
        <v>2542</v>
      </c>
      <c r="X219" s="23">
        <v>2303</v>
      </c>
      <c r="Y219" s="23">
        <v>2410.8110000000001</v>
      </c>
      <c r="Z219" s="23">
        <v>2492.0990000000002</v>
      </c>
      <c r="AA219" s="23">
        <v>2493.2280000000001</v>
      </c>
      <c r="AB219" s="23">
        <v>2247.1999999999998</v>
      </c>
    </row>
    <row r="220" spans="1:28" x14ac:dyDescent="0.2">
      <c r="A220" s="16" t="s">
        <v>41</v>
      </c>
      <c r="B220" s="17" t="s">
        <v>72</v>
      </c>
      <c r="C220" s="17" t="s">
        <v>8</v>
      </c>
      <c r="D220" s="17" t="s">
        <v>10</v>
      </c>
      <c r="E220" s="17" t="s">
        <v>26</v>
      </c>
      <c r="F220" s="17" t="str">
        <f>INDEX(nrg_cb_e!$A$3:$A$40,MATCH(LEFT(MID('Industriesektor GWh'!$B220,41,1000),SEARCH(" - ",MID('Industriesektor GWh'!$B220,41,1000))-1),nrg_cb_e!$C$3:$C$40,0))</f>
        <v>FC_IND_CON_E</v>
      </c>
      <c r="G220" s="18">
        <v>4</v>
      </c>
      <c r="J220" t="s">
        <v>47</v>
      </c>
      <c r="K220" t="s">
        <v>128</v>
      </c>
      <c r="L220" s="23">
        <v>703</v>
      </c>
      <c r="M220" s="23">
        <v>666</v>
      </c>
      <c r="N220" s="23">
        <v>628</v>
      </c>
      <c r="O220" s="23">
        <v>579</v>
      </c>
      <c r="P220" s="23">
        <v>584</v>
      </c>
      <c r="Q220" s="23">
        <v>605</v>
      </c>
      <c r="R220" s="23">
        <v>681</v>
      </c>
      <c r="S220" s="23">
        <v>721</v>
      </c>
      <c r="T220" s="23">
        <v>710</v>
      </c>
      <c r="U220" s="23">
        <v>571</v>
      </c>
      <c r="V220" s="23">
        <v>520</v>
      </c>
      <c r="W220" s="23">
        <v>545</v>
      </c>
      <c r="X220" s="23">
        <v>548</v>
      </c>
      <c r="Y220" s="23">
        <v>555.48</v>
      </c>
      <c r="Z220" s="23">
        <v>608.74599999999998</v>
      </c>
      <c r="AA220" s="23">
        <v>589.154</v>
      </c>
      <c r="AB220" s="23">
        <v>717.30399999999997</v>
      </c>
    </row>
    <row r="221" spans="1:28" x14ac:dyDescent="0.2">
      <c r="A221" s="19" t="s">
        <v>41</v>
      </c>
      <c r="B221" s="20" t="s">
        <v>72</v>
      </c>
      <c r="C221" s="20" t="s">
        <v>8</v>
      </c>
      <c r="D221" s="20" t="s">
        <v>10</v>
      </c>
      <c r="E221" s="20" t="s">
        <v>27</v>
      </c>
      <c r="F221" s="20" t="str">
        <f>INDEX(nrg_cb_e!$A$3:$A$40,MATCH(LEFT(MID('Industriesektor GWh'!$B221,41,1000),SEARCH(" - ",MID('Industriesektor GWh'!$B221,41,1000))-1),nrg_cb_e!$C$3:$C$40,0))</f>
        <v>FC_IND_CON_E</v>
      </c>
      <c r="G221" s="21">
        <v>4.899</v>
      </c>
      <c r="J221" t="s">
        <v>47</v>
      </c>
      <c r="K221" t="s">
        <v>142</v>
      </c>
      <c r="L221" s="23">
        <v>574</v>
      </c>
      <c r="M221" s="23">
        <v>548</v>
      </c>
      <c r="N221" s="23">
        <v>499</v>
      </c>
      <c r="O221" s="23">
        <v>407</v>
      </c>
      <c r="P221" s="23">
        <v>395</v>
      </c>
      <c r="Q221" s="23">
        <v>388</v>
      </c>
      <c r="R221" s="23">
        <v>357</v>
      </c>
      <c r="S221" s="23">
        <v>320</v>
      </c>
      <c r="T221" s="23">
        <v>385</v>
      </c>
      <c r="U221" s="23">
        <v>363</v>
      </c>
      <c r="V221" s="23">
        <v>350</v>
      </c>
      <c r="W221" s="23">
        <v>377</v>
      </c>
      <c r="X221" s="23">
        <v>338</v>
      </c>
      <c r="Y221" s="23">
        <v>362.46699999999998</v>
      </c>
      <c r="Z221" s="23">
        <v>355.26</v>
      </c>
      <c r="AA221" s="23">
        <v>370.202</v>
      </c>
      <c r="AB221" s="23">
        <v>402.57400000000001</v>
      </c>
    </row>
    <row r="222" spans="1:28" x14ac:dyDescent="0.2">
      <c r="A222" s="16" t="s">
        <v>41</v>
      </c>
      <c r="B222" s="17" t="s">
        <v>72</v>
      </c>
      <c r="C222" s="17" t="s">
        <v>8</v>
      </c>
      <c r="D222" s="17" t="s">
        <v>10</v>
      </c>
      <c r="E222" s="17" t="s">
        <v>28</v>
      </c>
      <c r="F222" s="17" t="str">
        <f>INDEX(nrg_cb_e!$A$3:$A$40,MATCH(LEFT(MID('Industriesektor GWh'!$B222,41,1000),SEARCH(" - ",MID('Industriesektor GWh'!$B222,41,1000))-1),nrg_cb_e!$C$3:$C$40,0))</f>
        <v>FC_IND_CON_E</v>
      </c>
      <c r="G222" s="18">
        <v>6.7569999999999997</v>
      </c>
      <c r="J222" t="s">
        <v>47</v>
      </c>
      <c r="K222" t="s">
        <v>138</v>
      </c>
      <c r="L222" s="23">
        <v>257</v>
      </c>
      <c r="M222" s="23">
        <v>225</v>
      </c>
      <c r="N222" s="23">
        <v>205</v>
      </c>
      <c r="O222" s="23">
        <v>242</v>
      </c>
      <c r="P222" s="23">
        <v>262</v>
      </c>
      <c r="Q222" s="23">
        <v>278</v>
      </c>
      <c r="R222" s="23">
        <v>288</v>
      </c>
      <c r="S222" s="23">
        <v>284</v>
      </c>
      <c r="T222" s="23">
        <v>243</v>
      </c>
      <c r="U222" s="23">
        <v>223</v>
      </c>
      <c r="V222" s="23">
        <v>239</v>
      </c>
      <c r="W222" s="23">
        <v>171</v>
      </c>
      <c r="X222" s="23">
        <v>197</v>
      </c>
      <c r="Y222" s="23">
        <v>235.78100000000001</v>
      </c>
      <c r="Z222" s="23">
        <v>201.518</v>
      </c>
      <c r="AA222" s="23">
        <v>155.77600000000001</v>
      </c>
      <c r="AB222" s="23">
        <v>145.12200000000001</v>
      </c>
    </row>
    <row r="223" spans="1:28" x14ac:dyDescent="0.2">
      <c r="A223" s="19" t="s">
        <v>42</v>
      </c>
      <c r="B223" s="20" t="s">
        <v>72</v>
      </c>
      <c r="C223" s="20" t="s">
        <v>8</v>
      </c>
      <c r="D223" s="20" t="s">
        <v>10</v>
      </c>
      <c r="E223" s="20" t="s">
        <v>12</v>
      </c>
      <c r="F223" s="20" t="str">
        <f>INDEX(nrg_cb_e!$A$3:$A$40,MATCH(LEFT(MID('Industriesektor GWh'!$B223,41,1000),SEARCH(" - ",MID('Industriesektor GWh'!$B223,41,1000))-1),nrg_cb_e!$C$3:$C$40,0))</f>
        <v>FC_IND_CON_E</v>
      </c>
      <c r="G223" s="21">
        <v>72</v>
      </c>
      <c r="J223" t="s">
        <v>47</v>
      </c>
      <c r="K223" t="s">
        <v>116</v>
      </c>
      <c r="L223" s="23">
        <v>2355</v>
      </c>
      <c r="M223" s="23">
        <v>2169</v>
      </c>
      <c r="N223" s="23">
        <v>2311</v>
      </c>
      <c r="O223" s="23">
        <v>2273</v>
      </c>
      <c r="P223" s="23">
        <v>2289</v>
      </c>
      <c r="Q223" s="23">
        <v>2165</v>
      </c>
      <c r="R223" s="23">
        <v>2164</v>
      </c>
      <c r="S223" s="23">
        <v>1819</v>
      </c>
      <c r="T223" s="23">
        <v>1864</v>
      </c>
      <c r="U223" s="23">
        <v>1919</v>
      </c>
      <c r="V223" s="23">
        <v>1974.413</v>
      </c>
      <c r="W223" s="23">
        <v>1930.528</v>
      </c>
      <c r="X223" s="23">
        <v>1937.712</v>
      </c>
      <c r="Y223" s="23">
        <v>2162.6759999999999</v>
      </c>
      <c r="Z223" s="23">
        <v>2203.0369999999998</v>
      </c>
      <c r="AA223" s="23">
        <v>1978.91</v>
      </c>
      <c r="AB223" s="23">
        <v>2236.4789999999998</v>
      </c>
    </row>
    <row r="224" spans="1:28" x14ac:dyDescent="0.2">
      <c r="A224" s="16" t="s">
        <v>42</v>
      </c>
      <c r="B224" s="17" t="s">
        <v>72</v>
      </c>
      <c r="C224" s="17" t="s">
        <v>8</v>
      </c>
      <c r="D224" s="17" t="s">
        <v>10</v>
      </c>
      <c r="E224" s="17" t="s">
        <v>13</v>
      </c>
      <c r="F224" s="17" t="str">
        <f>INDEX(nrg_cb_e!$A$3:$A$40,MATCH(LEFT(MID('Industriesektor GWh'!$B224,41,1000),SEARCH(" - ",MID('Industriesektor GWh'!$B224,41,1000))-1),nrg_cb_e!$C$3:$C$40,0))</f>
        <v>FC_IND_CON_E</v>
      </c>
      <c r="G224" s="18">
        <v>81</v>
      </c>
      <c r="J224" t="s">
        <v>58</v>
      </c>
      <c r="K224" t="s">
        <v>140</v>
      </c>
      <c r="L224" s="23">
        <v>775</v>
      </c>
      <c r="M224" s="23">
        <v>657</v>
      </c>
      <c r="N224" s="23">
        <v>549</v>
      </c>
      <c r="O224" s="23">
        <v>707</v>
      </c>
      <c r="P224" s="23">
        <v>714</v>
      </c>
      <c r="Q224" s="23">
        <v>761</v>
      </c>
      <c r="R224" s="23">
        <v>1038</v>
      </c>
      <c r="S224" s="23">
        <v>1073</v>
      </c>
      <c r="T224" s="23">
        <v>1150</v>
      </c>
      <c r="U224" s="23">
        <v>1112</v>
      </c>
      <c r="V224" s="23">
        <v>1240</v>
      </c>
      <c r="W224" s="23">
        <v>1284</v>
      </c>
      <c r="X224" s="23">
        <v>1256</v>
      </c>
      <c r="Y224" s="23">
        <v>1293</v>
      </c>
      <c r="Z224" s="23">
        <v>1340</v>
      </c>
      <c r="AA224" s="23">
        <v>1391</v>
      </c>
      <c r="AB224" s="23">
        <v>1414.2049999999999</v>
      </c>
    </row>
    <row r="225" spans="1:28" x14ac:dyDescent="0.2">
      <c r="A225" s="19" t="s">
        <v>42</v>
      </c>
      <c r="B225" s="20" t="s">
        <v>72</v>
      </c>
      <c r="C225" s="20" t="s">
        <v>8</v>
      </c>
      <c r="D225" s="20" t="s">
        <v>10</v>
      </c>
      <c r="E225" s="20" t="s">
        <v>14</v>
      </c>
      <c r="F225" s="20" t="str">
        <f>INDEX(nrg_cb_e!$A$3:$A$40,MATCH(LEFT(MID('Industriesektor GWh'!$B225,41,1000),SEARCH(" - ",MID('Industriesektor GWh'!$B225,41,1000))-1),nrg_cb_e!$C$3:$C$40,0))</f>
        <v>FC_IND_CON_E</v>
      </c>
      <c r="G225" s="21">
        <v>88</v>
      </c>
      <c r="J225" t="s">
        <v>58</v>
      </c>
      <c r="K225" t="s">
        <v>122</v>
      </c>
      <c r="L225" s="23">
        <v>6808</v>
      </c>
      <c r="M225" s="23">
        <v>6834</v>
      </c>
      <c r="N225" s="23">
        <v>7093</v>
      </c>
      <c r="O225" s="23">
        <v>7617</v>
      </c>
      <c r="P225" s="23">
        <v>7476</v>
      </c>
      <c r="Q225" s="23">
        <v>7226</v>
      </c>
      <c r="R225" s="23">
        <v>7856</v>
      </c>
      <c r="S225" s="23">
        <v>6519</v>
      </c>
      <c r="T225" s="23">
        <v>7811</v>
      </c>
      <c r="U225" s="23">
        <v>7688</v>
      </c>
      <c r="V225" s="23">
        <v>7252</v>
      </c>
      <c r="W225" s="23">
        <v>7229</v>
      </c>
      <c r="X225" s="23">
        <v>7650</v>
      </c>
      <c r="Y225" s="23">
        <v>7829</v>
      </c>
      <c r="Z225" s="23">
        <v>7748</v>
      </c>
      <c r="AA225" s="23">
        <v>7454</v>
      </c>
      <c r="AB225" s="23">
        <v>7638.9120000000003</v>
      </c>
    </row>
    <row r="226" spans="1:28" x14ac:dyDescent="0.2">
      <c r="A226" s="16" t="s">
        <v>42</v>
      </c>
      <c r="B226" s="17" t="s">
        <v>72</v>
      </c>
      <c r="C226" s="17" t="s">
        <v>8</v>
      </c>
      <c r="D226" s="17" t="s">
        <v>10</v>
      </c>
      <c r="E226" s="17" t="s">
        <v>15</v>
      </c>
      <c r="F226" s="17" t="str">
        <f>INDEX(nrg_cb_e!$A$3:$A$40,MATCH(LEFT(MID('Industriesektor GWh'!$B226,41,1000),SEARCH(" - ",MID('Industriesektor GWh'!$B226,41,1000))-1),nrg_cb_e!$C$3:$C$40,0))</f>
        <v>FC_IND_CON_E</v>
      </c>
      <c r="G226" s="18">
        <v>103</v>
      </c>
      <c r="J226" t="s">
        <v>58</v>
      </c>
      <c r="K226" t="s">
        <v>134</v>
      </c>
      <c r="L226" s="23">
        <v>2920</v>
      </c>
      <c r="M226" s="23">
        <v>2743</v>
      </c>
      <c r="N226" s="23">
        <v>2956</v>
      </c>
      <c r="O226" s="23">
        <v>2811</v>
      </c>
      <c r="P226" s="23">
        <v>2811</v>
      </c>
      <c r="Q226" s="23">
        <v>2800</v>
      </c>
      <c r="R226" s="23">
        <v>2886</v>
      </c>
      <c r="S226" s="23">
        <v>2503</v>
      </c>
      <c r="T226" s="23">
        <v>2716</v>
      </c>
      <c r="U226" s="23">
        <v>2638</v>
      </c>
      <c r="V226" s="23">
        <v>2518</v>
      </c>
      <c r="W226" s="23">
        <v>2596</v>
      </c>
      <c r="X226" s="23">
        <v>2645</v>
      </c>
      <c r="Y226" s="23">
        <v>2696</v>
      </c>
      <c r="Z226" s="23">
        <v>2895</v>
      </c>
      <c r="AA226" s="23">
        <v>2965</v>
      </c>
      <c r="AB226" s="23">
        <v>2985.0650000000001</v>
      </c>
    </row>
    <row r="227" spans="1:28" x14ac:dyDescent="0.2">
      <c r="A227" s="19" t="s">
        <v>42</v>
      </c>
      <c r="B227" s="20" t="s">
        <v>72</v>
      </c>
      <c r="C227" s="20" t="s">
        <v>8</v>
      </c>
      <c r="D227" s="20" t="s">
        <v>10</v>
      </c>
      <c r="E227" s="20" t="s">
        <v>16</v>
      </c>
      <c r="F227" s="20" t="str">
        <f>INDEX(nrg_cb_e!$A$3:$A$40,MATCH(LEFT(MID('Industriesektor GWh'!$B227,41,1000),SEARCH(" - ",MID('Industriesektor GWh'!$B227,41,1000))-1),nrg_cb_e!$C$3:$C$40,0))</f>
        <v>FC_IND_CON_E</v>
      </c>
      <c r="G227" s="21">
        <v>119</v>
      </c>
      <c r="J227" t="s">
        <v>58</v>
      </c>
      <c r="K227" t="s">
        <v>120</v>
      </c>
      <c r="L227" s="23">
        <v>6352</v>
      </c>
      <c r="M227" s="23">
        <v>5927</v>
      </c>
      <c r="N227" s="23">
        <v>6885</v>
      </c>
      <c r="O227" s="23">
        <v>5646</v>
      </c>
      <c r="P227" s="23">
        <v>4257</v>
      </c>
      <c r="Q227" s="23">
        <v>4964</v>
      </c>
      <c r="R227" s="23">
        <v>5177</v>
      </c>
      <c r="S227" s="23">
        <v>3643</v>
      </c>
      <c r="T227" s="23">
        <v>4678</v>
      </c>
      <c r="U227" s="23">
        <v>5154</v>
      </c>
      <c r="V227" s="23">
        <v>5048</v>
      </c>
      <c r="W227" s="23">
        <v>5022</v>
      </c>
      <c r="X227" s="23">
        <v>5280</v>
      </c>
      <c r="Y227" s="23">
        <v>5053</v>
      </c>
      <c r="Z227" s="23">
        <v>5175</v>
      </c>
      <c r="AA227" s="23">
        <v>5542</v>
      </c>
      <c r="AB227" s="23">
        <v>5446.9589999999998</v>
      </c>
    </row>
    <row r="228" spans="1:28" x14ac:dyDescent="0.2">
      <c r="A228" s="16" t="s">
        <v>42</v>
      </c>
      <c r="B228" s="17" t="s">
        <v>72</v>
      </c>
      <c r="C228" s="17" t="s">
        <v>8</v>
      </c>
      <c r="D228" s="17" t="s">
        <v>10</v>
      </c>
      <c r="E228" s="17" t="s">
        <v>17</v>
      </c>
      <c r="F228" s="17" t="str">
        <f>INDEX(nrg_cb_e!$A$3:$A$40,MATCH(LEFT(MID('Industriesektor GWh'!$B228,41,1000),SEARCH(" - ",MID('Industriesektor GWh'!$B228,41,1000))-1),nrg_cb_e!$C$3:$C$40,0))</f>
        <v>FC_IND_CON_E</v>
      </c>
      <c r="G228" s="18">
        <v>111</v>
      </c>
      <c r="J228" t="s">
        <v>58</v>
      </c>
      <c r="K228" t="s">
        <v>130</v>
      </c>
      <c r="L228" s="23">
        <v>1324</v>
      </c>
      <c r="M228" s="23">
        <v>1178</v>
      </c>
      <c r="N228" s="23">
        <v>1208</v>
      </c>
      <c r="O228" s="23">
        <v>1224</v>
      </c>
      <c r="P228" s="23">
        <v>1246</v>
      </c>
      <c r="Q228" s="23">
        <v>1317</v>
      </c>
      <c r="R228" s="23">
        <v>1317</v>
      </c>
      <c r="S228" s="23">
        <v>963</v>
      </c>
      <c r="T228" s="23">
        <v>1171</v>
      </c>
      <c r="U228" s="23">
        <v>1117</v>
      </c>
      <c r="V228" s="23">
        <v>1109</v>
      </c>
      <c r="W228" s="23">
        <v>1164</v>
      </c>
      <c r="X228" s="23">
        <v>1195</v>
      </c>
      <c r="Y228" s="23">
        <v>1241</v>
      </c>
      <c r="Z228" s="23">
        <v>1148</v>
      </c>
      <c r="AA228" s="23">
        <v>1060</v>
      </c>
      <c r="AB228" s="23">
        <v>1010.635</v>
      </c>
    </row>
    <row r="229" spans="1:28" x14ac:dyDescent="0.2">
      <c r="A229" s="19" t="s">
        <v>42</v>
      </c>
      <c r="B229" s="20" t="s">
        <v>72</v>
      </c>
      <c r="C229" s="20" t="s">
        <v>8</v>
      </c>
      <c r="D229" s="20" t="s">
        <v>10</v>
      </c>
      <c r="E229" s="20" t="s">
        <v>18</v>
      </c>
      <c r="F229" s="20" t="str">
        <f>INDEX(nrg_cb_e!$A$3:$A$40,MATCH(LEFT(MID('Industriesektor GWh'!$B229,41,1000),SEARCH(" - ",MID('Industriesektor GWh'!$B229,41,1000))-1),nrg_cb_e!$C$3:$C$40,0))</f>
        <v>FC_IND_CON_E</v>
      </c>
      <c r="G229" s="21">
        <v>146</v>
      </c>
      <c r="J229" t="s">
        <v>58</v>
      </c>
      <c r="K229" t="s">
        <v>132</v>
      </c>
      <c r="L229" s="23">
        <v>450</v>
      </c>
      <c r="M229" s="23">
        <v>462</v>
      </c>
      <c r="N229" s="23">
        <v>474</v>
      </c>
      <c r="O229" s="23">
        <v>455</v>
      </c>
      <c r="P229" s="23">
        <v>446</v>
      </c>
      <c r="Q229" s="23">
        <v>466</v>
      </c>
      <c r="R229" s="23">
        <v>497</v>
      </c>
      <c r="S229" s="23">
        <v>436</v>
      </c>
      <c r="T229" s="23">
        <v>558</v>
      </c>
      <c r="U229" s="23">
        <v>609</v>
      </c>
      <c r="V229" s="23">
        <v>573</v>
      </c>
      <c r="W229" s="23">
        <v>584</v>
      </c>
      <c r="X229" s="23">
        <v>580</v>
      </c>
      <c r="Y229" s="23">
        <v>532</v>
      </c>
      <c r="Z229" s="23">
        <v>416</v>
      </c>
      <c r="AA229" s="23">
        <v>411</v>
      </c>
      <c r="AB229" s="23">
        <v>399.24900000000002</v>
      </c>
    </row>
    <row r="230" spans="1:28" x14ac:dyDescent="0.2">
      <c r="A230" s="16" t="s">
        <v>42</v>
      </c>
      <c r="B230" s="17" t="s">
        <v>72</v>
      </c>
      <c r="C230" s="17" t="s">
        <v>8</v>
      </c>
      <c r="D230" s="17" t="s">
        <v>10</v>
      </c>
      <c r="E230" s="17" t="s">
        <v>19</v>
      </c>
      <c r="F230" s="17" t="str">
        <f>INDEX(nrg_cb_e!$A$3:$A$40,MATCH(LEFT(MID('Industriesektor GWh'!$B230,41,1000),SEARCH(" - ",MID('Industriesektor GWh'!$B230,41,1000))-1),nrg_cb_e!$C$3:$C$40,0))</f>
        <v>FC_IND_CON_E</v>
      </c>
      <c r="G230" s="18">
        <v>117</v>
      </c>
      <c r="J230" t="s">
        <v>58</v>
      </c>
      <c r="K230" t="s">
        <v>124</v>
      </c>
      <c r="L230" s="23">
        <v>18809</v>
      </c>
      <c r="M230" s="23">
        <v>20599</v>
      </c>
      <c r="N230" s="23">
        <v>22418</v>
      </c>
      <c r="O230" s="23">
        <v>23757</v>
      </c>
      <c r="P230" s="23">
        <v>23590</v>
      </c>
      <c r="Q230" s="23">
        <v>22869</v>
      </c>
      <c r="R230" s="23">
        <v>22982</v>
      </c>
      <c r="S230" s="23">
        <v>19115</v>
      </c>
      <c r="T230" s="23">
        <v>18675</v>
      </c>
      <c r="U230" s="23">
        <v>18785</v>
      </c>
      <c r="V230" s="23">
        <v>19029</v>
      </c>
      <c r="W230" s="23">
        <v>19237</v>
      </c>
      <c r="X230" s="23">
        <v>19662</v>
      </c>
      <c r="Y230" s="23">
        <v>20386</v>
      </c>
      <c r="Z230" s="23">
        <v>20764</v>
      </c>
      <c r="AA230" s="23">
        <v>20828</v>
      </c>
      <c r="AB230" s="23">
        <v>21651.188999999998</v>
      </c>
    </row>
    <row r="231" spans="1:28" x14ac:dyDescent="0.2">
      <c r="A231" s="19" t="s">
        <v>42</v>
      </c>
      <c r="B231" s="20" t="s">
        <v>72</v>
      </c>
      <c r="C231" s="20" t="s">
        <v>8</v>
      </c>
      <c r="D231" s="20" t="s">
        <v>10</v>
      </c>
      <c r="E231" s="20" t="s">
        <v>20</v>
      </c>
      <c r="F231" s="20" t="str">
        <f>INDEX(nrg_cb_e!$A$3:$A$40,MATCH(LEFT(MID('Industriesektor GWh'!$B231,41,1000),SEARCH(" - ",MID('Industriesektor GWh'!$B231,41,1000))-1),nrg_cb_e!$C$3:$C$40,0))</f>
        <v>FC_IND_CON_E</v>
      </c>
      <c r="G231" s="21">
        <v>106</v>
      </c>
      <c r="J231" t="s">
        <v>58</v>
      </c>
      <c r="K231" t="s">
        <v>126</v>
      </c>
      <c r="L231" s="23">
        <v>843</v>
      </c>
      <c r="M231" s="23">
        <v>834</v>
      </c>
      <c r="N231" s="23">
        <v>853</v>
      </c>
      <c r="O231" s="23">
        <v>886</v>
      </c>
      <c r="P231" s="23">
        <v>928</v>
      </c>
      <c r="Q231" s="23">
        <v>936</v>
      </c>
      <c r="R231" s="23">
        <v>980</v>
      </c>
      <c r="S231" s="23">
        <v>736</v>
      </c>
      <c r="T231" s="23">
        <v>857</v>
      </c>
      <c r="U231" s="23">
        <v>871</v>
      </c>
      <c r="V231" s="23">
        <v>836</v>
      </c>
      <c r="W231" s="23">
        <v>892</v>
      </c>
      <c r="X231" s="23">
        <v>913</v>
      </c>
      <c r="Y231" s="23">
        <v>944</v>
      </c>
      <c r="Z231" s="23">
        <v>868</v>
      </c>
      <c r="AA231" s="23">
        <v>938</v>
      </c>
      <c r="AB231" s="23">
        <v>981.33100000000002</v>
      </c>
    </row>
    <row r="232" spans="1:28" x14ac:dyDescent="0.2">
      <c r="A232" s="16" t="s">
        <v>42</v>
      </c>
      <c r="B232" s="17" t="s">
        <v>72</v>
      </c>
      <c r="C232" s="17" t="s">
        <v>8</v>
      </c>
      <c r="D232" s="17" t="s">
        <v>10</v>
      </c>
      <c r="E232" s="17" t="s">
        <v>21</v>
      </c>
      <c r="F232" s="17" t="str">
        <f>INDEX(nrg_cb_e!$A$3:$A$40,MATCH(LEFT(MID('Industriesektor GWh'!$B232,41,1000),SEARCH(" - ",MID('Industriesektor GWh'!$B232,41,1000))-1),nrg_cb_e!$C$3:$C$40,0))</f>
        <v>FC_IND_CON_E</v>
      </c>
      <c r="G232" s="18">
        <v>91</v>
      </c>
      <c r="J232" t="s">
        <v>58</v>
      </c>
      <c r="K232" t="s">
        <v>136</v>
      </c>
      <c r="L232" s="23">
        <v>6788</v>
      </c>
      <c r="M232" s="23">
        <v>6436</v>
      </c>
      <c r="N232" s="23">
        <v>6714</v>
      </c>
      <c r="O232" s="23">
        <v>6752</v>
      </c>
      <c r="P232" s="23">
        <v>6157</v>
      </c>
      <c r="Q232" s="23">
        <v>6057</v>
      </c>
      <c r="R232" s="23">
        <v>5694</v>
      </c>
      <c r="S232" s="23">
        <v>4745</v>
      </c>
      <c r="T232" s="23">
        <v>5055</v>
      </c>
      <c r="U232" s="23">
        <v>4539</v>
      </c>
      <c r="V232" s="23">
        <v>4155</v>
      </c>
      <c r="W232" s="23">
        <v>3640</v>
      </c>
      <c r="X232" s="23">
        <v>3541</v>
      </c>
      <c r="Y232" s="23">
        <v>3487</v>
      </c>
      <c r="Z232" s="23">
        <v>3825</v>
      </c>
      <c r="AA232" s="23">
        <v>3908</v>
      </c>
      <c r="AB232" s="23">
        <v>3866.6179999999999</v>
      </c>
    </row>
    <row r="233" spans="1:28" x14ac:dyDescent="0.2">
      <c r="A233" s="19" t="s">
        <v>42</v>
      </c>
      <c r="B233" s="20" t="s">
        <v>72</v>
      </c>
      <c r="C233" s="20" t="s">
        <v>8</v>
      </c>
      <c r="D233" s="20" t="s">
        <v>10</v>
      </c>
      <c r="E233" s="20" t="s">
        <v>22</v>
      </c>
      <c r="F233" s="20" t="str">
        <f>INDEX(nrg_cb_e!$A$3:$A$40,MATCH(LEFT(MID('Industriesektor GWh'!$B233,41,1000),SEARCH(" - ",MID('Industriesektor GWh'!$B233,41,1000))-1),nrg_cb_e!$C$3:$C$40,0))</f>
        <v>FC_IND_CON_E</v>
      </c>
      <c r="G233" s="21">
        <v>84</v>
      </c>
      <c r="J233" t="s">
        <v>58</v>
      </c>
      <c r="K233" t="s">
        <v>128</v>
      </c>
      <c r="L233" s="23">
        <v>876</v>
      </c>
      <c r="M233" s="23">
        <v>731</v>
      </c>
      <c r="N233" s="23">
        <v>717</v>
      </c>
      <c r="O233" s="23">
        <v>724</v>
      </c>
      <c r="P233" s="23">
        <v>852</v>
      </c>
      <c r="Q233" s="23">
        <v>662</v>
      </c>
      <c r="R233" s="23">
        <v>714</v>
      </c>
      <c r="S233" s="23">
        <v>499</v>
      </c>
      <c r="T233" s="23">
        <v>557</v>
      </c>
      <c r="U233" s="23">
        <v>503</v>
      </c>
      <c r="V233" s="23">
        <v>498</v>
      </c>
      <c r="W233" s="23">
        <v>541</v>
      </c>
      <c r="X233" s="23">
        <v>623</v>
      </c>
      <c r="Y233" s="23">
        <v>413</v>
      </c>
      <c r="Z233" s="23">
        <v>433</v>
      </c>
      <c r="AA233" s="23">
        <v>397</v>
      </c>
      <c r="AB233" s="23">
        <v>431.99900000000002</v>
      </c>
    </row>
    <row r="234" spans="1:28" x14ac:dyDescent="0.2">
      <c r="A234" s="16" t="s">
        <v>42</v>
      </c>
      <c r="B234" s="17" t="s">
        <v>72</v>
      </c>
      <c r="C234" s="17" t="s">
        <v>8</v>
      </c>
      <c r="D234" s="17" t="s">
        <v>10</v>
      </c>
      <c r="E234" s="17" t="s">
        <v>23</v>
      </c>
      <c r="F234" s="17" t="str">
        <f>INDEX(nrg_cb_e!$A$3:$A$40,MATCH(LEFT(MID('Industriesektor GWh'!$B234,41,1000),SEARCH(" - ",MID('Industriesektor GWh'!$B234,41,1000))-1),nrg_cb_e!$C$3:$C$40,0))</f>
        <v>FC_IND_CON_E</v>
      </c>
      <c r="G234" s="18">
        <v>70</v>
      </c>
      <c r="J234" t="s">
        <v>58</v>
      </c>
      <c r="K234" t="s">
        <v>142</v>
      </c>
      <c r="L234" s="23">
        <v>190</v>
      </c>
      <c r="M234" s="23">
        <v>189</v>
      </c>
      <c r="N234" s="23">
        <v>172</v>
      </c>
      <c r="O234" s="23">
        <v>172</v>
      </c>
      <c r="P234" s="23">
        <v>172</v>
      </c>
      <c r="Q234" s="23">
        <v>158</v>
      </c>
      <c r="R234" s="23">
        <v>139</v>
      </c>
      <c r="S234" s="23">
        <v>89</v>
      </c>
      <c r="T234" s="23">
        <v>82</v>
      </c>
      <c r="U234" s="23">
        <v>88</v>
      </c>
      <c r="V234" s="23">
        <v>90</v>
      </c>
      <c r="W234" s="23">
        <v>82</v>
      </c>
      <c r="X234" s="23">
        <v>78</v>
      </c>
      <c r="Y234" s="23">
        <v>89</v>
      </c>
      <c r="Z234" s="23">
        <v>73</v>
      </c>
      <c r="AA234" s="23">
        <v>69</v>
      </c>
      <c r="AB234" s="23">
        <v>73.125</v>
      </c>
    </row>
    <row r="235" spans="1:28" x14ac:dyDescent="0.2">
      <c r="A235" s="19" t="s">
        <v>42</v>
      </c>
      <c r="B235" s="20" t="s">
        <v>72</v>
      </c>
      <c r="C235" s="20" t="s">
        <v>8</v>
      </c>
      <c r="D235" s="20" t="s">
        <v>10</v>
      </c>
      <c r="E235" s="20" t="s">
        <v>24</v>
      </c>
      <c r="F235" s="20" t="str">
        <f>INDEX(nrg_cb_e!$A$3:$A$40,MATCH(LEFT(MID('Industriesektor GWh'!$B235,41,1000),SEARCH(" - ",MID('Industriesektor GWh'!$B235,41,1000))-1),nrg_cb_e!$C$3:$C$40,0))</f>
        <v>FC_IND_CON_E</v>
      </c>
      <c r="G235" s="21">
        <v>78</v>
      </c>
      <c r="J235" t="s">
        <v>58</v>
      </c>
      <c r="K235" t="s">
        <v>138</v>
      </c>
      <c r="L235" s="23">
        <v>763</v>
      </c>
      <c r="M235" s="23">
        <v>689</v>
      </c>
      <c r="N235" s="23">
        <v>705</v>
      </c>
      <c r="O235" s="23">
        <v>716</v>
      </c>
      <c r="P235" s="23">
        <v>711</v>
      </c>
      <c r="Q235" s="23">
        <v>807</v>
      </c>
      <c r="R235" s="23">
        <v>741</v>
      </c>
      <c r="S235" s="23">
        <v>558</v>
      </c>
      <c r="T235" s="23">
        <v>717</v>
      </c>
      <c r="U235" s="23">
        <v>640</v>
      </c>
      <c r="V235" s="23">
        <v>658</v>
      </c>
      <c r="W235" s="23">
        <v>609</v>
      </c>
      <c r="X235" s="23">
        <v>629</v>
      </c>
      <c r="Y235" s="23">
        <v>641</v>
      </c>
      <c r="Z235" s="23">
        <v>675</v>
      </c>
      <c r="AA235" s="23">
        <v>615</v>
      </c>
      <c r="AB235" s="23">
        <v>612.89</v>
      </c>
    </row>
    <row r="236" spans="1:28" x14ac:dyDescent="0.2">
      <c r="A236" s="16" t="s">
        <v>42</v>
      </c>
      <c r="B236" s="17" t="s">
        <v>72</v>
      </c>
      <c r="C236" s="17" t="s">
        <v>8</v>
      </c>
      <c r="D236" s="17" t="s">
        <v>10</v>
      </c>
      <c r="E236" s="17" t="s">
        <v>25</v>
      </c>
      <c r="F236" s="17" t="str">
        <f>INDEX(nrg_cb_e!$A$3:$A$40,MATCH(LEFT(MID('Industriesektor GWh'!$B236,41,1000),SEARCH(" - ",MID('Industriesektor GWh'!$B236,41,1000))-1),nrg_cb_e!$C$3:$C$40,0))</f>
        <v>FC_IND_CON_E</v>
      </c>
      <c r="G236" s="18">
        <v>74</v>
      </c>
      <c r="J236" t="s">
        <v>58</v>
      </c>
      <c r="K236" t="s">
        <v>116</v>
      </c>
      <c r="L236" s="23">
        <v>499</v>
      </c>
      <c r="M236" s="23">
        <v>484</v>
      </c>
      <c r="N236" s="23">
        <v>494</v>
      </c>
      <c r="O236" s="23">
        <v>558</v>
      </c>
      <c r="P236" s="23">
        <v>536</v>
      </c>
      <c r="Q236" s="23">
        <v>635</v>
      </c>
      <c r="R236" s="23">
        <v>635</v>
      </c>
      <c r="S236" s="23">
        <v>410</v>
      </c>
      <c r="T236" s="23">
        <v>497</v>
      </c>
      <c r="U236" s="23">
        <v>451</v>
      </c>
      <c r="V236" s="23">
        <v>486</v>
      </c>
      <c r="W236" s="23">
        <v>468</v>
      </c>
      <c r="X236" s="23">
        <v>394</v>
      </c>
      <c r="Y236" s="23">
        <v>408</v>
      </c>
      <c r="Z236" s="23">
        <v>396</v>
      </c>
      <c r="AA236" s="23">
        <v>432</v>
      </c>
      <c r="AB236" s="23">
        <v>492.14100000000002</v>
      </c>
    </row>
    <row r="237" spans="1:28" x14ac:dyDescent="0.2">
      <c r="A237" s="19" t="s">
        <v>42</v>
      </c>
      <c r="B237" s="20" t="s">
        <v>72</v>
      </c>
      <c r="C237" s="20" t="s">
        <v>8</v>
      </c>
      <c r="D237" s="20" t="s">
        <v>10</v>
      </c>
      <c r="E237" s="20" t="s">
        <v>26</v>
      </c>
      <c r="F237" s="20" t="str">
        <f>INDEX(nrg_cb_e!$A$3:$A$40,MATCH(LEFT(MID('Industriesektor GWh'!$B237,41,1000),SEARCH(" - ",MID('Industriesektor GWh'!$B237,41,1000))-1),nrg_cb_e!$C$3:$C$40,0))</f>
        <v>FC_IND_CON_E</v>
      </c>
      <c r="G237" s="21">
        <v>66</v>
      </c>
      <c r="J237" t="s">
        <v>48</v>
      </c>
      <c r="K237" t="s">
        <v>140</v>
      </c>
      <c r="L237" s="23">
        <v>374</v>
      </c>
      <c r="M237" s="23">
        <v>512</v>
      </c>
      <c r="N237" s="23">
        <v>646</v>
      </c>
      <c r="O237" s="23">
        <v>694.75400000000002</v>
      </c>
      <c r="P237" s="23">
        <v>740.08199999999999</v>
      </c>
      <c r="Q237" s="23">
        <v>676.85400000000004</v>
      </c>
      <c r="R237" s="23">
        <v>553.51599999999996</v>
      </c>
      <c r="S237" s="23">
        <v>686.88699999999994</v>
      </c>
      <c r="T237" s="23">
        <v>611.49300000000005</v>
      </c>
      <c r="U237" s="23">
        <v>640.05200000000002</v>
      </c>
      <c r="V237" s="23">
        <v>640.30499999999995</v>
      </c>
      <c r="W237" s="23">
        <v>606.10299999999995</v>
      </c>
      <c r="X237" s="23">
        <v>508.28199999999998</v>
      </c>
      <c r="Y237" s="23">
        <v>469.78</v>
      </c>
      <c r="Z237" s="23">
        <v>489.096</v>
      </c>
      <c r="AA237" s="23">
        <v>565.50800000000004</v>
      </c>
      <c r="AB237" s="23">
        <v>540.13400000000001</v>
      </c>
    </row>
    <row r="238" spans="1:28" x14ac:dyDescent="0.2">
      <c r="A238" s="16" t="s">
        <v>42</v>
      </c>
      <c r="B238" s="17" t="s">
        <v>72</v>
      </c>
      <c r="C238" s="17" t="s">
        <v>8</v>
      </c>
      <c r="D238" s="17" t="s">
        <v>10</v>
      </c>
      <c r="E238" s="17" t="s">
        <v>27</v>
      </c>
      <c r="F238" s="17" t="str">
        <f>INDEX(nrg_cb_e!$A$3:$A$40,MATCH(LEFT(MID('Industriesektor GWh'!$B238,41,1000),SEARCH(" - ",MID('Industriesektor GWh'!$B238,41,1000))-1),nrg_cb_e!$C$3:$C$40,0))</f>
        <v>FC_IND_CON_E</v>
      </c>
      <c r="G238" s="18">
        <v>67.581999999999994</v>
      </c>
      <c r="J238" t="s">
        <v>48</v>
      </c>
      <c r="K238" t="s">
        <v>122</v>
      </c>
      <c r="L238" s="23">
        <v>3337</v>
      </c>
      <c r="M238" s="23">
        <v>3360</v>
      </c>
      <c r="N238" s="23">
        <v>3540</v>
      </c>
      <c r="O238" s="23">
        <v>3569.8150000000001</v>
      </c>
      <c r="P238" s="23">
        <v>3687.9569999999999</v>
      </c>
      <c r="Q238" s="23">
        <v>3865.489</v>
      </c>
      <c r="R238" s="23">
        <v>3901.0309999999999</v>
      </c>
      <c r="S238" s="23">
        <v>3944.5259999999998</v>
      </c>
      <c r="T238" s="23">
        <v>4270.8220000000001</v>
      </c>
      <c r="U238" s="23">
        <v>4267.4480000000003</v>
      </c>
      <c r="V238" s="23">
        <v>4368.8029999999999</v>
      </c>
      <c r="W238" s="23">
        <v>4290.2370000000001</v>
      </c>
      <c r="X238" s="23">
        <v>4396.5209999999997</v>
      </c>
      <c r="Y238" s="23">
        <v>4541.8559999999998</v>
      </c>
      <c r="Z238" s="23">
        <v>4815.6570000000002</v>
      </c>
      <c r="AA238" s="23">
        <v>4736.1279999999997</v>
      </c>
      <c r="AB238" s="23">
        <v>4634.7719999999999</v>
      </c>
    </row>
    <row r="239" spans="1:28" x14ac:dyDescent="0.2">
      <c r="A239" s="19" t="s">
        <v>42</v>
      </c>
      <c r="B239" s="20" t="s">
        <v>72</v>
      </c>
      <c r="C239" s="20" t="s">
        <v>8</v>
      </c>
      <c r="D239" s="20" t="s">
        <v>10</v>
      </c>
      <c r="E239" s="20" t="s">
        <v>28</v>
      </c>
      <c r="F239" s="20" t="str">
        <f>INDEX(nrg_cb_e!$A$3:$A$40,MATCH(LEFT(MID('Industriesektor GWh'!$B239,41,1000),SEARCH(" - ",MID('Industriesektor GWh'!$B239,41,1000))-1),nrg_cb_e!$C$3:$C$40,0))</f>
        <v>FC_IND_CON_E</v>
      </c>
      <c r="G239" s="21">
        <v>70.355999999999995</v>
      </c>
      <c r="J239" t="s">
        <v>48</v>
      </c>
      <c r="K239" t="s">
        <v>134</v>
      </c>
      <c r="L239" s="23">
        <v>1290</v>
      </c>
      <c r="M239" s="23">
        <v>1471</v>
      </c>
      <c r="N239" s="23">
        <v>1725</v>
      </c>
      <c r="O239" s="23">
        <v>1760.086</v>
      </c>
      <c r="P239" s="23">
        <v>1872.864</v>
      </c>
      <c r="Q239" s="23">
        <v>1841.7260000000001</v>
      </c>
      <c r="R239" s="23">
        <v>1770.1569999999999</v>
      </c>
      <c r="S239" s="23">
        <v>1956.5419999999999</v>
      </c>
      <c r="T239" s="23">
        <v>2069.4940000000001</v>
      </c>
      <c r="U239" s="23">
        <v>2105.7359999999999</v>
      </c>
      <c r="V239" s="23">
        <v>2131.509</v>
      </c>
      <c r="W239" s="23">
        <v>1750.924</v>
      </c>
      <c r="X239" s="23">
        <v>2074.4540000000002</v>
      </c>
      <c r="Y239" s="23">
        <v>1910.6610000000001</v>
      </c>
      <c r="Z239" s="23">
        <v>1988.328</v>
      </c>
      <c r="AA239" s="23">
        <v>2006.9169999999999</v>
      </c>
      <c r="AB239" s="23">
        <v>2068.098</v>
      </c>
    </row>
    <row r="240" spans="1:28" x14ac:dyDescent="0.2">
      <c r="A240" s="16" t="s">
        <v>43</v>
      </c>
      <c r="B240" s="17" t="s">
        <v>72</v>
      </c>
      <c r="C240" s="17" t="s">
        <v>8</v>
      </c>
      <c r="D240" s="17" t="s">
        <v>10</v>
      </c>
      <c r="E240" s="17" t="s">
        <v>12</v>
      </c>
      <c r="F240" s="17" t="str">
        <f>INDEX(nrg_cb_e!$A$3:$A$40,MATCH(LEFT(MID('Industriesektor GWh'!$B240,41,1000),SEARCH(" - ",MID('Industriesektor GWh'!$B240,41,1000))-1),nrg_cb_e!$C$3:$C$40,0))</f>
        <v>FC_IND_CON_E</v>
      </c>
      <c r="G240" s="18">
        <v>98</v>
      </c>
      <c r="J240" t="s">
        <v>48</v>
      </c>
      <c r="K240" t="s">
        <v>120</v>
      </c>
      <c r="L240" s="23">
        <v>2745</v>
      </c>
      <c r="M240" s="23">
        <v>2680</v>
      </c>
      <c r="N240" s="23">
        <v>3074</v>
      </c>
      <c r="O240" s="23">
        <v>2026.2270000000001</v>
      </c>
      <c r="P240" s="23">
        <v>2093.5439999999999</v>
      </c>
      <c r="Q240" s="23">
        <v>2250.4299999999998</v>
      </c>
      <c r="R240" s="23">
        <v>2030.749</v>
      </c>
      <c r="S240" s="23">
        <v>2004.038</v>
      </c>
      <c r="T240" s="23">
        <v>2284.3890000000001</v>
      </c>
      <c r="U240" s="23">
        <v>2340.0650000000001</v>
      </c>
      <c r="V240" s="23">
        <v>2386.0169999999998</v>
      </c>
      <c r="W240" s="23">
        <v>2429.3719999999998</v>
      </c>
      <c r="X240" s="23">
        <v>2370.0659999999998</v>
      </c>
      <c r="Y240" s="23">
        <v>2592.491</v>
      </c>
      <c r="Z240" s="23">
        <v>2597.5940000000001</v>
      </c>
      <c r="AA240" s="23">
        <v>2579.9009999999998</v>
      </c>
      <c r="AB240" s="23">
        <v>2500.17</v>
      </c>
    </row>
    <row r="241" spans="1:28" x14ac:dyDescent="0.2">
      <c r="A241" s="19" t="s">
        <v>43</v>
      </c>
      <c r="B241" s="20" t="s">
        <v>72</v>
      </c>
      <c r="C241" s="20" t="s">
        <v>8</v>
      </c>
      <c r="D241" s="20" t="s">
        <v>10</v>
      </c>
      <c r="E241" s="20" t="s">
        <v>13</v>
      </c>
      <c r="F241" s="20" t="str">
        <f>INDEX(nrg_cb_e!$A$3:$A$40,MATCH(LEFT(MID('Industriesektor GWh'!$B241,41,1000),SEARCH(" - ",MID('Industriesektor GWh'!$B241,41,1000))-1),nrg_cb_e!$C$3:$C$40,0))</f>
        <v>FC_IND_CON_E</v>
      </c>
      <c r="G241" s="21">
        <v>102</v>
      </c>
      <c r="J241" t="s">
        <v>48</v>
      </c>
      <c r="K241" t="s">
        <v>130</v>
      </c>
      <c r="L241" s="23">
        <v>2312</v>
      </c>
      <c r="M241" s="23">
        <v>2402</v>
      </c>
      <c r="N241" s="23">
        <v>2800</v>
      </c>
      <c r="O241" s="23">
        <v>2934.3069999999998</v>
      </c>
      <c r="P241" s="23">
        <v>3134.5120000000002</v>
      </c>
      <c r="Q241" s="23">
        <v>3272.09</v>
      </c>
      <c r="R241" s="23">
        <v>3298.7080000000001</v>
      </c>
      <c r="S241" s="23">
        <v>3228.45</v>
      </c>
      <c r="T241" s="23">
        <v>3556.623</v>
      </c>
      <c r="U241" s="23">
        <v>3750.3359999999998</v>
      </c>
      <c r="V241" s="23">
        <v>3807.33</v>
      </c>
      <c r="W241" s="23">
        <v>3419.3009999999999</v>
      </c>
      <c r="X241" s="23">
        <v>3315.3969999999999</v>
      </c>
      <c r="Y241" s="23">
        <v>3497.8240000000001</v>
      </c>
      <c r="Z241" s="23">
        <v>3723.7170000000001</v>
      </c>
      <c r="AA241" s="23">
        <v>3686.375</v>
      </c>
      <c r="AB241" s="23">
        <v>4129.4470000000001</v>
      </c>
    </row>
    <row r="242" spans="1:28" x14ac:dyDescent="0.2">
      <c r="A242" s="16" t="s">
        <v>43</v>
      </c>
      <c r="B242" s="17" t="s">
        <v>72</v>
      </c>
      <c r="C242" s="17" t="s">
        <v>8</v>
      </c>
      <c r="D242" s="17" t="s">
        <v>10</v>
      </c>
      <c r="E242" s="17" t="s">
        <v>14</v>
      </c>
      <c r="F242" s="17" t="str">
        <f>INDEX(nrg_cb_e!$A$3:$A$40,MATCH(LEFT(MID('Industriesektor GWh'!$B242,41,1000),SEARCH(" - ",MID('Industriesektor GWh'!$B242,41,1000))-1),nrg_cb_e!$C$3:$C$40,0))</f>
        <v>FC_IND_CON_E</v>
      </c>
      <c r="G242" s="18">
        <v>109</v>
      </c>
      <c r="J242" t="s">
        <v>48</v>
      </c>
      <c r="K242" t="s">
        <v>132</v>
      </c>
      <c r="L242" s="23">
        <v>646</v>
      </c>
      <c r="M242" s="23">
        <v>671</v>
      </c>
      <c r="N242" s="23">
        <v>683</v>
      </c>
      <c r="O242" s="23">
        <v>667.33900000000006</v>
      </c>
      <c r="P242" s="23">
        <v>744.36900000000003</v>
      </c>
      <c r="Q242" s="23">
        <v>771.65599999999995</v>
      </c>
      <c r="R242" s="23">
        <v>764.95</v>
      </c>
      <c r="S242" s="23">
        <v>898.20500000000004</v>
      </c>
      <c r="T242" s="23">
        <v>1161.471</v>
      </c>
      <c r="U242" s="23">
        <v>1146.8630000000001</v>
      </c>
      <c r="V242" s="23">
        <v>1080.93</v>
      </c>
      <c r="W242" s="23">
        <v>1827.1659999999999</v>
      </c>
      <c r="X242" s="23">
        <v>1951.3230000000001</v>
      </c>
      <c r="Y242" s="23">
        <v>1780.028</v>
      </c>
      <c r="Z242" s="23">
        <v>1790.2049999999999</v>
      </c>
      <c r="AA242" s="23">
        <v>1984.0050000000001</v>
      </c>
      <c r="AB242" s="23">
        <v>1986.646</v>
      </c>
    </row>
    <row r="243" spans="1:28" x14ac:dyDescent="0.2">
      <c r="A243" s="19" t="s">
        <v>43</v>
      </c>
      <c r="B243" s="20" t="s">
        <v>72</v>
      </c>
      <c r="C243" s="20" t="s">
        <v>8</v>
      </c>
      <c r="D243" s="20" t="s">
        <v>10</v>
      </c>
      <c r="E243" s="20" t="s">
        <v>15</v>
      </c>
      <c r="F243" s="20" t="str">
        <f>INDEX(nrg_cb_e!$A$3:$A$40,MATCH(LEFT(MID('Industriesektor GWh'!$B243,41,1000),SEARCH(" - ",MID('Industriesektor GWh'!$B243,41,1000))-1),nrg_cb_e!$C$3:$C$40,0))</f>
        <v>FC_IND_CON_E</v>
      </c>
      <c r="G243" s="21">
        <v>117</v>
      </c>
      <c r="J243" t="s">
        <v>48</v>
      </c>
      <c r="K243" t="s">
        <v>124</v>
      </c>
      <c r="L243" s="23">
        <v>662</v>
      </c>
      <c r="M243" s="23">
        <v>704</v>
      </c>
      <c r="N243" s="23">
        <v>776</v>
      </c>
      <c r="O243" s="23">
        <v>798.08500000000004</v>
      </c>
      <c r="P243" s="23">
        <v>829.12199999999996</v>
      </c>
      <c r="Q243" s="23">
        <v>882.66300000000001</v>
      </c>
      <c r="R243" s="23">
        <v>860.91899999999998</v>
      </c>
      <c r="S243" s="23">
        <v>782.13900000000001</v>
      </c>
      <c r="T243" s="23">
        <v>852.12300000000005</v>
      </c>
      <c r="U243" s="23">
        <v>966.35599999999999</v>
      </c>
      <c r="V243" s="23">
        <v>986.80399999999997</v>
      </c>
      <c r="W243" s="23">
        <v>952.995</v>
      </c>
      <c r="X243" s="23">
        <v>992.66</v>
      </c>
      <c r="Y243" s="23">
        <v>962.60500000000002</v>
      </c>
      <c r="Z243" s="23">
        <v>1034.4570000000001</v>
      </c>
      <c r="AA243" s="23">
        <v>1045.556</v>
      </c>
      <c r="AB243" s="23">
        <v>1060.201</v>
      </c>
    </row>
    <row r="244" spans="1:28" x14ac:dyDescent="0.2">
      <c r="A244" s="16" t="s">
        <v>43</v>
      </c>
      <c r="B244" s="17" t="s">
        <v>72</v>
      </c>
      <c r="C244" s="17" t="s">
        <v>8</v>
      </c>
      <c r="D244" s="17" t="s">
        <v>10</v>
      </c>
      <c r="E244" s="17" t="s">
        <v>16</v>
      </c>
      <c r="F244" s="17" t="str">
        <f>INDEX(nrg_cb_e!$A$3:$A$40,MATCH(LEFT(MID('Industriesektor GWh'!$B244,41,1000),SEARCH(" - ",MID('Industriesektor GWh'!$B244,41,1000))-1),nrg_cb_e!$C$3:$C$40,0))</f>
        <v>FC_IND_CON_E</v>
      </c>
      <c r="G244" s="18">
        <v>123</v>
      </c>
      <c r="J244" t="s">
        <v>48</v>
      </c>
      <c r="K244" t="s">
        <v>126</v>
      </c>
      <c r="L244" s="23">
        <v>2032</v>
      </c>
      <c r="M244" s="23">
        <v>1963</v>
      </c>
      <c r="N244" s="23">
        <v>1866</v>
      </c>
      <c r="O244" s="23">
        <v>1949.5229999999999</v>
      </c>
      <c r="P244" s="23">
        <v>1978.2149999999999</v>
      </c>
      <c r="Q244" s="23">
        <v>2002.26</v>
      </c>
      <c r="R244" s="23">
        <v>2044.877</v>
      </c>
      <c r="S244" s="23">
        <v>1804.913</v>
      </c>
      <c r="T244" s="23">
        <v>1875.663</v>
      </c>
      <c r="U244" s="23">
        <v>1845.99</v>
      </c>
      <c r="V244" s="23">
        <v>1839.5830000000001</v>
      </c>
      <c r="W244" s="23">
        <v>2618.6390000000001</v>
      </c>
      <c r="X244" s="23">
        <v>2418.63</v>
      </c>
      <c r="Y244" s="23">
        <v>2491.5300000000002</v>
      </c>
      <c r="Z244" s="23">
        <v>2404.7860000000001</v>
      </c>
      <c r="AA244" s="23">
        <v>2394.4430000000002</v>
      </c>
      <c r="AB244" s="23">
        <v>2453.116</v>
      </c>
    </row>
    <row r="245" spans="1:28" x14ac:dyDescent="0.2">
      <c r="A245" s="19" t="s">
        <v>43</v>
      </c>
      <c r="B245" s="20" t="s">
        <v>72</v>
      </c>
      <c r="C245" s="20" t="s">
        <v>8</v>
      </c>
      <c r="D245" s="20" t="s">
        <v>10</v>
      </c>
      <c r="E245" s="20" t="s">
        <v>17</v>
      </c>
      <c r="F245" s="20" t="str">
        <f>INDEX(nrg_cb_e!$A$3:$A$40,MATCH(LEFT(MID('Industriesektor GWh'!$B245,41,1000),SEARCH(" - ",MID('Industriesektor GWh'!$B245,41,1000))-1),nrg_cb_e!$C$3:$C$40,0))</f>
        <v>FC_IND_CON_E</v>
      </c>
      <c r="G245" s="21">
        <v>131</v>
      </c>
      <c r="J245" t="s">
        <v>48</v>
      </c>
      <c r="K245" t="s">
        <v>136</v>
      </c>
      <c r="L245" s="23">
        <v>4759</v>
      </c>
      <c r="M245" s="23">
        <v>4547</v>
      </c>
      <c r="N245" s="23">
        <v>4884</v>
      </c>
      <c r="O245" s="23">
        <v>4935.3760000000002</v>
      </c>
      <c r="P245" s="23">
        <v>4944.9560000000001</v>
      </c>
      <c r="Q245" s="23">
        <v>5007.0200000000004</v>
      </c>
      <c r="R245" s="23">
        <v>4803.192</v>
      </c>
      <c r="S245" s="23">
        <v>4365.0349999999999</v>
      </c>
      <c r="T245" s="23">
        <v>4709.8509999999997</v>
      </c>
      <c r="U245" s="23">
        <v>4658.2070000000003</v>
      </c>
      <c r="V245" s="23">
        <v>4773.38</v>
      </c>
      <c r="W245" s="23">
        <v>4902.0460000000003</v>
      </c>
      <c r="X245" s="23">
        <v>4786.1229999999996</v>
      </c>
      <c r="Y245" s="23">
        <v>4808.9889999999996</v>
      </c>
      <c r="Z245" s="23">
        <v>5018.6049999999996</v>
      </c>
      <c r="AA245" s="23">
        <v>4760.924</v>
      </c>
      <c r="AB245" s="23">
        <v>4827.9859999999999</v>
      </c>
    </row>
    <row r="246" spans="1:28" x14ac:dyDescent="0.2">
      <c r="A246" s="16" t="s">
        <v>43</v>
      </c>
      <c r="B246" s="17" t="s">
        <v>72</v>
      </c>
      <c r="C246" s="17" t="s">
        <v>8</v>
      </c>
      <c r="D246" s="17" t="s">
        <v>10</v>
      </c>
      <c r="E246" s="17" t="s">
        <v>18</v>
      </c>
      <c r="F246" s="17" t="str">
        <f>INDEX(nrg_cb_e!$A$3:$A$40,MATCH(LEFT(MID('Industriesektor GWh'!$B246,41,1000),SEARCH(" - ",MID('Industriesektor GWh'!$B246,41,1000))-1),nrg_cb_e!$C$3:$C$40,0))</f>
        <v>FC_IND_CON_E</v>
      </c>
      <c r="G246" s="18">
        <v>130</v>
      </c>
      <c r="J246" t="s">
        <v>48</v>
      </c>
      <c r="K246" t="s">
        <v>128</v>
      </c>
      <c r="L246" s="23">
        <v>701</v>
      </c>
      <c r="M246" s="23">
        <v>758</v>
      </c>
      <c r="N246" s="23">
        <v>916</v>
      </c>
      <c r="O246" s="23">
        <v>952.88499999999999</v>
      </c>
      <c r="P246" s="23">
        <v>955.82299999999998</v>
      </c>
      <c r="Q246" s="23">
        <v>928.96299999999997</v>
      </c>
      <c r="R246" s="23">
        <v>872.94899999999996</v>
      </c>
      <c r="S246" s="23">
        <v>719.13699999999994</v>
      </c>
      <c r="T246" s="23">
        <v>846.52099999999996</v>
      </c>
      <c r="U246" s="23">
        <v>961.42200000000003</v>
      </c>
      <c r="V246" s="23">
        <v>904.38199999999995</v>
      </c>
      <c r="W246" s="23">
        <v>771.04899999999998</v>
      </c>
      <c r="X246" s="23">
        <v>837.66300000000001</v>
      </c>
      <c r="Y246" s="23">
        <v>828.71900000000005</v>
      </c>
      <c r="Z246" s="23">
        <v>886.42700000000002</v>
      </c>
      <c r="AA246" s="23">
        <v>968.99900000000002</v>
      </c>
      <c r="AB246" s="23">
        <v>960.976</v>
      </c>
    </row>
    <row r="247" spans="1:28" x14ac:dyDescent="0.2">
      <c r="A247" s="19" t="s">
        <v>43</v>
      </c>
      <c r="B247" s="20" t="s">
        <v>72</v>
      </c>
      <c r="C247" s="20" t="s">
        <v>8</v>
      </c>
      <c r="D247" s="20" t="s">
        <v>10</v>
      </c>
      <c r="E247" s="20" t="s">
        <v>19</v>
      </c>
      <c r="F247" s="20" t="str">
        <f>INDEX(nrg_cb_e!$A$3:$A$40,MATCH(LEFT(MID('Industriesektor GWh'!$B247,41,1000),SEARCH(" - ",MID('Industriesektor GWh'!$B247,41,1000))-1),nrg_cb_e!$C$3:$C$40,0))</f>
        <v>FC_IND_CON_E</v>
      </c>
      <c r="G247" s="21">
        <v>103</v>
      </c>
      <c r="J247" t="s">
        <v>48</v>
      </c>
      <c r="K247" t="s">
        <v>142</v>
      </c>
      <c r="L247" s="23">
        <v>599</v>
      </c>
      <c r="M247" s="23">
        <v>626</v>
      </c>
      <c r="N247" s="23">
        <v>640</v>
      </c>
      <c r="O247" s="23">
        <v>610.58100000000002</v>
      </c>
      <c r="P247" s="23">
        <v>591.79100000000005</v>
      </c>
      <c r="Q247" s="23">
        <v>567.97299999999996</v>
      </c>
      <c r="R247" s="23">
        <v>520.30600000000004</v>
      </c>
      <c r="S247" s="23">
        <v>442.23099999999999</v>
      </c>
      <c r="T247" s="23">
        <v>436.81299999999999</v>
      </c>
      <c r="U247" s="23">
        <v>448.67899999999997</v>
      </c>
      <c r="V247" s="23">
        <v>443.488</v>
      </c>
      <c r="W247" s="23">
        <v>508.089</v>
      </c>
      <c r="X247" s="23">
        <v>437.17899999999997</v>
      </c>
      <c r="Y247" s="23">
        <v>401.262</v>
      </c>
      <c r="Z247" s="23">
        <v>372.69799999999998</v>
      </c>
      <c r="AA247" s="23">
        <v>347.94099999999997</v>
      </c>
      <c r="AB247" s="23">
        <v>314.464</v>
      </c>
    </row>
    <row r="248" spans="1:28" x14ac:dyDescent="0.2">
      <c r="A248" s="16" t="s">
        <v>43</v>
      </c>
      <c r="B248" s="17" t="s">
        <v>72</v>
      </c>
      <c r="C248" s="17" t="s">
        <v>8</v>
      </c>
      <c r="D248" s="17" t="s">
        <v>10</v>
      </c>
      <c r="E248" s="17" t="s">
        <v>20</v>
      </c>
      <c r="F248" s="17" t="str">
        <f>INDEX(nrg_cb_e!$A$3:$A$40,MATCH(LEFT(MID('Industriesektor GWh'!$B248,41,1000),SEARCH(" - ",MID('Industriesektor GWh'!$B248,41,1000))-1),nrg_cb_e!$C$3:$C$40,0))</f>
        <v>FC_IND_CON_E</v>
      </c>
      <c r="G248" s="18">
        <v>106</v>
      </c>
      <c r="J248" t="s">
        <v>48</v>
      </c>
      <c r="K248" t="s">
        <v>138</v>
      </c>
      <c r="L248" s="23">
        <v>1047</v>
      </c>
      <c r="M248" s="23">
        <v>1226</v>
      </c>
      <c r="N248" s="23">
        <v>1320</v>
      </c>
      <c r="O248" s="23">
        <v>1616.864</v>
      </c>
      <c r="P248" s="23">
        <v>1819.5920000000001</v>
      </c>
      <c r="Q248" s="23">
        <v>1931.2950000000001</v>
      </c>
      <c r="R248" s="23">
        <v>1793.133</v>
      </c>
      <c r="S248" s="23">
        <v>1616.51</v>
      </c>
      <c r="T248" s="23">
        <v>1682.4549999999999</v>
      </c>
      <c r="U248" s="23">
        <v>1739.1379999999999</v>
      </c>
      <c r="V248" s="23">
        <v>1804.5319999999999</v>
      </c>
      <c r="W248" s="23">
        <v>1924.998</v>
      </c>
      <c r="X248" s="23">
        <v>1796.5609999999999</v>
      </c>
      <c r="Y248" s="23">
        <v>1802.2139999999999</v>
      </c>
      <c r="Z248" s="23">
        <v>1813.21</v>
      </c>
      <c r="AA248" s="23">
        <v>1856.8050000000001</v>
      </c>
      <c r="AB248" s="23">
        <v>1821.5719999999999</v>
      </c>
    </row>
    <row r="249" spans="1:28" x14ac:dyDescent="0.2">
      <c r="A249" s="19" t="s">
        <v>43</v>
      </c>
      <c r="B249" s="20" t="s">
        <v>72</v>
      </c>
      <c r="C249" s="20" t="s">
        <v>8</v>
      </c>
      <c r="D249" s="20" t="s">
        <v>10</v>
      </c>
      <c r="E249" s="20" t="s">
        <v>21</v>
      </c>
      <c r="F249" s="20" t="str">
        <f>INDEX(nrg_cb_e!$A$3:$A$40,MATCH(LEFT(MID('Industriesektor GWh'!$B249,41,1000),SEARCH(" - ",MID('Industriesektor GWh'!$B249,41,1000))-1),nrg_cb_e!$C$3:$C$40,0))</f>
        <v>FC_IND_CON_E</v>
      </c>
      <c r="G249" s="21">
        <v>102</v>
      </c>
      <c r="J249" t="s">
        <v>48</v>
      </c>
      <c r="K249" t="s">
        <v>116</v>
      </c>
      <c r="L249" s="23">
        <v>1140</v>
      </c>
      <c r="M249" s="23">
        <v>1424</v>
      </c>
      <c r="N249" s="23">
        <v>1713</v>
      </c>
      <c r="O249" s="23">
        <v>1637.835</v>
      </c>
      <c r="P249" s="23">
        <v>1677.0640000000001</v>
      </c>
      <c r="Q249" s="23">
        <v>1772.54</v>
      </c>
      <c r="R249" s="23">
        <v>1672.6759999999999</v>
      </c>
      <c r="S249" s="23">
        <v>1543.934</v>
      </c>
      <c r="T249" s="23">
        <v>1629.7639999999999</v>
      </c>
      <c r="U249" s="23">
        <v>1691.5409999999999</v>
      </c>
      <c r="V249" s="23">
        <v>1667.7349999999999</v>
      </c>
      <c r="W249" s="23">
        <v>1262.443</v>
      </c>
      <c r="X249" s="23">
        <v>1183.6780000000001</v>
      </c>
      <c r="Y249" s="23">
        <v>1265.9000000000001</v>
      </c>
      <c r="Z249" s="23">
        <v>1290.8789999999999</v>
      </c>
      <c r="AA249" s="23">
        <v>1314.5160000000001</v>
      </c>
      <c r="AB249" s="23">
        <v>1372.5029999999999</v>
      </c>
    </row>
    <row r="250" spans="1:28" x14ac:dyDescent="0.2">
      <c r="A250" s="16" t="s">
        <v>43</v>
      </c>
      <c r="B250" s="17" t="s">
        <v>72</v>
      </c>
      <c r="C250" s="17" t="s">
        <v>8</v>
      </c>
      <c r="D250" s="17" t="s">
        <v>10</v>
      </c>
      <c r="E250" s="17" t="s">
        <v>22</v>
      </c>
      <c r="F250" s="17" t="str">
        <f>INDEX(nrg_cb_e!$A$3:$A$40,MATCH(LEFT(MID('Industriesektor GWh'!$B250,41,1000),SEARCH(" - ",MID('Industriesektor GWh'!$B250,41,1000))-1),nrg_cb_e!$C$3:$C$40,0))</f>
        <v>FC_IND_CON_E</v>
      </c>
      <c r="G250" s="18">
        <v>100</v>
      </c>
      <c r="J250" t="s">
        <v>49</v>
      </c>
      <c r="K250" t="s">
        <v>140</v>
      </c>
      <c r="L250" s="23">
        <v>649</v>
      </c>
      <c r="M250" s="23">
        <v>666</v>
      </c>
      <c r="N250" s="23">
        <v>509</v>
      </c>
      <c r="O250" s="23">
        <v>522</v>
      </c>
      <c r="P250" s="23">
        <v>571</v>
      </c>
      <c r="Q250" s="23">
        <v>780</v>
      </c>
      <c r="R250" s="23">
        <v>674</v>
      </c>
      <c r="S250" s="23">
        <v>746</v>
      </c>
      <c r="T250" s="23">
        <v>770</v>
      </c>
      <c r="U250" s="23">
        <v>796</v>
      </c>
      <c r="V250" s="23">
        <v>809</v>
      </c>
      <c r="W250" s="23">
        <v>784</v>
      </c>
      <c r="X250" s="23">
        <v>754</v>
      </c>
      <c r="Y250" s="23">
        <v>825</v>
      </c>
      <c r="Z250" s="23">
        <v>860</v>
      </c>
      <c r="AA250" s="23">
        <v>903</v>
      </c>
      <c r="AB250" s="23">
        <v>984.80499999999995</v>
      </c>
    </row>
    <row r="251" spans="1:28" x14ac:dyDescent="0.2">
      <c r="A251" s="19" t="s">
        <v>43</v>
      </c>
      <c r="B251" s="20" t="s">
        <v>72</v>
      </c>
      <c r="C251" s="20" t="s">
        <v>8</v>
      </c>
      <c r="D251" s="20" t="s">
        <v>10</v>
      </c>
      <c r="E251" s="20" t="s">
        <v>23</v>
      </c>
      <c r="F251" s="20" t="str">
        <f>INDEX(nrg_cb_e!$A$3:$A$40,MATCH(LEFT(MID('Industriesektor GWh'!$B251,41,1000),SEARCH(" - ",MID('Industriesektor GWh'!$B251,41,1000))-1),nrg_cb_e!$C$3:$C$40,0))</f>
        <v>FC_IND_CON_E</v>
      </c>
      <c r="G251" s="21">
        <v>108</v>
      </c>
      <c r="J251" t="s">
        <v>49</v>
      </c>
      <c r="K251" t="s">
        <v>122</v>
      </c>
      <c r="L251" s="23">
        <v>7473</v>
      </c>
      <c r="M251" s="23">
        <v>8089</v>
      </c>
      <c r="N251" s="23">
        <v>8212</v>
      </c>
      <c r="O251" s="23">
        <v>7905</v>
      </c>
      <c r="P251" s="23">
        <v>8424</v>
      </c>
      <c r="Q251" s="23">
        <v>8442</v>
      </c>
      <c r="R251" s="23">
        <v>8033</v>
      </c>
      <c r="S251" s="23">
        <v>7630</v>
      </c>
      <c r="T251" s="23">
        <v>7181</v>
      </c>
      <c r="U251" s="23">
        <v>7785</v>
      </c>
      <c r="V251" s="23">
        <v>8133</v>
      </c>
      <c r="W251" s="23">
        <v>8312</v>
      </c>
      <c r="X251" s="23">
        <v>8159</v>
      </c>
      <c r="Y251" s="23">
        <v>8366</v>
      </c>
      <c r="Z251" s="23">
        <v>8303</v>
      </c>
      <c r="AA251" s="23">
        <v>8733.7189999999991</v>
      </c>
      <c r="AB251" s="23">
        <v>8867.232</v>
      </c>
    </row>
    <row r="252" spans="1:28" x14ac:dyDescent="0.2">
      <c r="A252" s="16" t="s">
        <v>43</v>
      </c>
      <c r="B252" s="17" t="s">
        <v>72</v>
      </c>
      <c r="C252" s="17" t="s">
        <v>8</v>
      </c>
      <c r="D252" s="17" t="s">
        <v>10</v>
      </c>
      <c r="E252" s="17" t="s">
        <v>24</v>
      </c>
      <c r="F252" s="17" t="str">
        <f>INDEX(nrg_cb_e!$A$3:$A$40,MATCH(LEFT(MID('Industriesektor GWh'!$B252,41,1000),SEARCH(" - ",MID('Industriesektor GWh'!$B252,41,1000))-1),nrg_cb_e!$C$3:$C$40,0))</f>
        <v>FC_IND_CON_E</v>
      </c>
      <c r="G252" s="18">
        <v>102</v>
      </c>
      <c r="J252" t="s">
        <v>49</v>
      </c>
      <c r="K252" t="s">
        <v>134</v>
      </c>
      <c r="L252" s="23">
        <v>3980</v>
      </c>
      <c r="M252" s="23">
        <v>4259</v>
      </c>
      <c r="N252" s="23">
        <v>4319</v>
      </c>
      <c r="O252" s="23">
        <v>4442</v>
      </c>
      <c r="P252" s="23">
        <v>4493</v>
      </c>
      <c r="Q252" s="23">
        <v>5073</v>
      </c>
      <c r="R252" s="23">
        <v>5061</v>
      </c>
      <c r="S252" s="23">
        <v>4947</v>
      </c>
      <c r="T252" s="23">
        <v>5087</v>
      </c>
      <c r="U252" s="23">
        <v>5099</v>
      </c>
      <c r="V252" s="23">
        <v>5410</v>
      </c>
      <c r="W252" s="23">
        <v>5634</v>
      </c>
      <c r="X252" s="23">
        <v>5744</v>
      </c>
      <c r="Y252" s="23">
        <v>6240</v>
      </c>
      <c r="Z252" s="23">
        <v>6517</v>
      </c>
      <c r="AA252" s="23">
        <v>6758.7790000000005</v>
      </c>
      <c r="AB252" s="23">
        <v>7358.4530000000004</v>
      </c>
    </row>
    <row r="253" spans="1:28" x14ac:dyDescent="0.2">
      <c r="A253" s="19" t="s">
        <v>43</v>
      </c>
      <c r="B253" s="20" t="s">
        <v>72</v>
      </c>
      <c r="C253" s="20" t="s">
        <v>8</v>
      </c>
      <c r="D253" s="20" t="s">
        <v>10</v>
      </c>
      <c r="E253" s="20" t="s">
        <v>25</v>
      </c>
      <c r="F253" s="20" t="str">
        <f>INDEX(nrg_cb_e!$A$3:$A$40,MATCH(LEFT(MID('Industriesektor GWh'!$B253,41,1000),SEARCH(" - ",MID('Industriesektor GWh'!$B253,41,1000))-1),nrg_cb_e!$C$3:$C$40,0))</f>
        <v>FC_IND_CON_E</v>
      </c>
      <c r="G253" s="21">
        <v>143</v>
      </c>
      <c r="J253" t="s">
        <v>49</v>
      </c>
      <c r="K253" t="s">
        <v>120</v>
      </c>
      <c r="L253" s="23">
        <v>5446</v>
      </c>
      <c r="M253" s="23">
        <v>6148</v>
      </c>
      <c r="N253" s="23">
        <v>7204</v>
      </c>
      <c r="O253" s="23">
        <v>5921</v>
      </c>
      <c r="P253" s="23">
        <v>6262</v>
      </c>
      <c r="Q253" s="23">
        <v>7012</v>
      </c>
      <c r="R253" s="23">
        <v>6733</v>
      </c>
      <c r="S253" s="23">
        <v>4995</v>
      </c>
      <c r="T253" s="23">
        <v>5888</v>
      </c>
      <c r="U253" s="23">
        <v>6323</v>
      </c>
      <c r="V253" s="23">
        <v>6323</v>
      </c>
      <c r="W253" s="23">
        <v>6085</v>
      </c>
      <c r="X253" s="23">
        <v>6015</v>
      </c>
      <c r="Y253" s="23">
        <v>6236</v>
      </c>
      <c r="Z253" s="23">
        <v>6149</v>
      </c>
      <c r="AA253" s="23">
        <v>6808.4459999999999</v>
      </c>
      <c r="AB253" s="23">
        <v>6827.1440000000002</v>
      </c>
    </row>
    <row r="254" spans="1:28" x14ac:dyDescent="0.2">
      <c r="A254" s="16" t="s">
        <v>43</v>
      </c>
      <c r="B254" s="17" t="s">
        <v>72</v>
      </c>
      <c r="C254" s="17" t="s">
        <v>8</v>
      </c>
      <c r="D254" s="17" t="s">
        <v>10</v>
      </c>
      <c r="E254" s="17" t="s">
        <v>26</v>
      </c>
      <c r="F254" s="17" t="str">
        <f>INDEX(nrg_cb_e!$A$3:$A$40,MATCH(LEFT(MID('Industriesektor GWh'!$B254,41,1000),SEARCH(" - ",MID('Industriesektor GWh'!$B254,41,1000))-1),nrg_cb_e!$C$3:$C$40,0))</f>
        <v>FC_IND_CON_E</v>
      </c>
      <c r="G254" s="18">
        <v>148</v>
      </c>
      <c r="J254" t="s">
        <v>49</v>
      </c>
      <c r="K254" t="s">
        <v>130</v>
      </c>
      <c r="L254" s="23">
        <v>3354</v>
      </c>
      <c r="M254" s="23">
        <v>3384</v>
      </c>
      <c r="N254" s="23">
        <v>3370</v>
      </c>
      <c r="O254" s="23">
        <v>3533</v>
      </c>
      <c r="P254" s="23">
        <v>3755</v>
      </c>
      <c r="Q254" s="23">
        <v>3992</v>
      </c>
      <c r="R254" s="23">
        <v>3847</v>
      </c>
      <c r="S254" s="23">
        <v>3255</v>
      </c>
      <c r="T254" s="23">
        <v>3630</v>
      </c>
      <c r="U254" s="23">
        <v>3974</v>
      </c>
      <c r="V254" s="23">
        <v>3918</v>
      </c>
      <c r="W254" s="23">
        <v>4251</v>
      </c>
      <c r="X254" s="23">
        <v>4397</v>
      </c>
      <c r="Y254" s="23">
        <v>4543</v>
      </c>
      <c r="Z254" s="23">
        <v>4581</v>
      </c>
      <c r="AA254" s="23">
        <v>4804.0309999999999</v>
      </c>
      <c r="AB254" s="23">
        <v>5125.9539999999997</v>
      </c>
    </row>
    <row r="255" spans="1:28" x14ac:dyDescent="0.2">
      <c r="A255" s="19" t="s">
        <v>43</v>
      </c>
      <c r="B255" s="20" t="s">
        <v>72</v>
      </c>
      <c r="C255" s="20" t="s">
        <v>8</v>
      </c>
      <c r="D255" s="20" t="s">
        <v>10</v>
      </c>
      <c r="E255" s="20" t="s">
        <v>27</v>
      </c>
      <c r="F255" s="20" t="str">
        <f>INDEX(nrg_cb_e!$A$3:$A$40,MATCH(LEFT(MID('Industriesektor GWh'!$B255,41,1000),SEARCH(" - ",MID('Industriesektor GWh'!$B255,41,1000))-1),nrg_cb_e!$C$3:$C$40,0))</f>
        <v>FC_IND_CON_E</v>
      </c>
      <c r="G255" s="21">
        <v>138.69999999999999</v>
      </c>
      <c r="J255" t="s">
        <v>49</v>
      </c>
      <c r="K255" t="s">
        <v>132</v>
      </c>
      <c r="L255" s="23">
        <v>1299</v>
      </c>
      <c r="M255" s="23">
        <v>1290</v>
      </c>
      <c r="N255" s="23">
        <v>1329</v>
      </c>
      <c r="O255" s="23">
        <v>1313</v>
      </c>
      <c r="P255" s="23">
        <v>1383</v>
      </c>
      <c r="Q255" s="23">
        <v>1439</v>
      </c>
      <c r="R255" s="23">
        <v>1421</v>
      </c>
      <c r="S255" s="23">
        <v>1389</v>
      </c>
      <c r="T255" s="23">
        <v>2149</v>
      </c>
      <c r="U255" s="23">
        <v>2224</v>
      </c>
      <c r="V255" s="23">
        <v>2191</v>
      </c>
      <c r="W255" s="23">
        <v>2437</v>
      </c>
      <c r="X255" s="23">
        <v>2387</v>
      </c>
      <c r="Y255" s="23">
        <v>2612</v>
      </c>
      <c r="Z255" s="23">
        <v>2704</v>
      </c>
      <c r="AA255" s="23">
        <v>2763.002</v>
      </c>
      <c r="AB255" s="23">
        <v>2817.4879999999998</v>
      </c>
    </row>
    <row r="256" spans="1:28" x14ac:dyDescent="0.2">
      <c r="A256" s="16" t="s">
        <v>43</v>
      </c>
      <c r="B256" s="17" t="s">
        <v>72</v>
      </c>
      <c r="C256" s="17" t="s">
        <v>8</v>
      </c>
      <c r="D256" s="17" t="s">
        <v>10</v>
      </c>
      <c r="E256" s="17" t="s">
        <v>28</v>
      </c>
      <c r="F256" s="17" t="str">
        <f>INDEX(nrg_cb_e!$A$3:$A$40,MATCH(LEFT(MID('Industriesektor GWh'!$B256,41,1000),SEARCH(" - ",MID('Industriesektor GWh'!$B256,41,1000))-1),nrg_cb_e!$C$3:$C$40,0))</f>
        <v>FC_IND_CON_E</v>
      </c>
      <c r="G256" s="18">
        <v>157.1</v>
      </c>
      <c r="J256" t="s">
        <v>49</v>
      </c>
      <c r="K256" t="s">
        <v>124</v>
      </c>
      <c r="L256" s="23">
        <v>3523</v>
      </c>
      <c r="M256" s="23">
        <v>3511</v>
      </c>
      <c r="N256" s="23">
        <v>3559</v>
      </c>
      <c r="O256" s="23">
        <v>3483</v>
      </c>
      <c r="P256" s="23">
        <v>3565</v>
      </c>
      <c r="Q256" s="23">
        <v>3526</v>
      </c>
      <c r="R256" s="23">
        <v>2962</v>
      </c>
      <c r="S256" s="23">
        <v>2316</v>
      </c>
      <c r="T256" s="23">
        <v>1713</v>
      </c>
      <c r="U256" s="23">
        <v>1944</v>
      </c>
      <c r="V256" s="23">
        <v>1973</v>
      </c>
      <c r="W256" s="23">
        <v>1972</v>
      </c>
      <c r="X256" s="23">
        <v>2088</v>
      </c>
      <c r="Y256" s="23">
        <v>2115</v>
      </c>
      <c r="Z256" s="23">
        <v>2145</v>
      </c>
      <c r="AA256" s="23">
        <v>2339.7489999999998</v>
      </c>
      <c r="AB256" s="23">
        <v>2389.3789999999999</v>
      </c>
    </row>
    <row r="257" spans="1:28" x14ac:dyDescent="0.2">
      <c r="A257" s="19" t="s">
        <v>44</v>
      </c>
      <c r="B257" s="20" t="s">
        <v>72</v>
      </c>
      <c r="C257" s="20" t="s">
        <v>8</v>
      </c>
      <c r="D257" s="20" t="s">
        <v>10</v>
      </c>
      <c r="E257" s="20" t="s">
        <v>12</v>
      </c>
      <c r="F257" s="20" t="str">
        <f>INDEX(nrg_cb_e!$A$3:$A$40,MATCH(LEFT(MID('Industriesektor GWh'!$B257,41,1000),SEARCH(" - ",MID('Industriesektor GWh'!$B257,41,1000))-1),nrg_cb_e!$C$3:$C$40,0))</f>
        <v>FC_IND_CON_E</v>
      </c>
      <c r="G257" s="21">
        <v>203.268</v>
      </c>
      <c r="J257" t="s">
        <v>49</v>
      </c>
      <c r="K257" t="s">
        <v>126</v>
      </c>
      <c r="L257" s="23">
        <v>3047</v>
      </c>
      <c r="M257" s="23">
        <v>3148</v>
      </c>
      <c r="N257" s="23">
        <v>3450</v>
      </c>
      <c r="O257" s="23">
        <v>3480</v>
      </c>
      <c r="P257" s="23">
        <v>3698</v>
      </c>
      <c r="Q257" s="23">
        <v>4195</v>
      </c>
      <c r="R257" s="23">
        <v>4087</v>
      </c>
      <c r="S257" s="23">
        <v>4162</v>
      </c>
      <c r="T257" s="23">
        <v>4387</v>
      </c>
      <c r="U257" s="23">
        <v>4844</v>
      </c>
      <c r="V257" s="23">
        <v>4539</v>
      </c>
      <c r="W257" s="23">
        <v>4399</v>
      </c>
      <c r="X257" s="23">
        <v>4509</v>
      </c>
      <c r="Y257" s="23">
        <v>4681</v>
      </c>
      <c r="Z257" s="23">
        <v>5164</v>
      </c>
      <c r="AA257" s="23">
        <v>5483.42</v>
      </c>
      <c r="AB257" s="23">
        <v>5699.4769999999999</v>
      </c>
    </row>
    <row r="258" spans="1:28" x14ac:dyDescent="0.2">
      <c r="A258" s="16" t="s">
        <v>44</v>
      </c>
      <c r="B258" s="17" t="s">
        <v>72</v>
      </c>
      <c r="C258" s="17" t="s">
        <v>8</v>
      </c>
      <c r="D258" s="17" t="s">
        <v>10</v>
      </c>
      <c r="E258" s="17" t="s">
        <v>13</v>
      </c>
      <c r="F258" s="17" t="str">
        <f>INDEX(nrg_cb_e!$A$3:$A$40,MATCH(LEFT(MID('Industriesektor GWh'!$B258,41,1000),SEARCH(" - ",MID('Industriesektor GWh'!$B258,41,1000))-1),nrg_cb_e!$C$3:$C$40,0))</f>
        <v>FC_IND_CON_E</v>
      </c>
      <c r="G258" s="18">
        <v>395.47800000000001</v>
      </c>
      <c r="J258" t="s">
        <v>49</v>
      </c>
      <c r="K258" t="s">
        <v>136</v>
      </c>
      <c r="L258" s="23">
        <v>2773</v>
      </c>
      <c r="M258" s="23">
        <v>3004</v>
      </c>
      <c r="N258" s="23">
        <v>2950</v>
      </c>
      <c r="O258" s="23">
        <v>3119</v>
      </c>
      <c r="P258" s="23">
        <v>3172</v>
      </c>
      <c r="Q258" s="23">
        <v>3271</v>
      </c>
      <c r="R258" s="23">
        <v>3194</v>
      </c>
      <c r="S258" s="23">
        <v>3418</v>
      </c>
      <c r="T258" s="23">
        <v>3668</v>
      </c>
      <c r="U258" s="23">
        <v>3531</v>
      </c>
      <c r="V258" s="23">
        <v>3796</v>
      </c>
      <c r="W258" s="23">
        <v>4288</v>
      </c>
      <c r="X258" s="23">
        <v>4228</v>
      </c>
      <c r="Y258" s="23">
        <v>4249</v>
      </c>
      <c r="Z258" s="23">
        <v>4266</v>
      </c>
      <c r="AA258" s="23">
        <v>4665.4709999999995</v>
      </c>
      <c r="AB258" s="23">
        <v>4648.6189999999997</v>
      </c>
    </row>
    <row r="259" spans="1:28" x14ac:dyDescent="0.2">
      <c r="A259" s="19" t="s">
        <v>44</v>
      </c>
      <c r="B259" s="20" t="s">
        <v>72</v>
      </c>
      <c r="C259" s="20" t="s">
        <v>8</v>
      </c>
      <c r="D259" s="20" t="s">
        <v>10</v>
      </c>
      <c r="E259" s="20" t="s">
        <v>14</v>
      </c>
      <c r="F259" s="20" t="str">
        <f>INDEX(nrg_cb_e!$A$3:$A$40,MATCH(LEFT(MID('Industriesektor GWh'!$B259,41,1000),SEARCH(" - ",MID('Industriesektor GWh'!$B259,41,1000))-1),nrg_cb_e!$C$3:$C$40,0))</f>
        <v>FC_IND_CON_E</v>
      </c>
      <c r="G259" s="21">
        <v>270.15800000000002</v>
      </c>
      <c r="J259" t="s">
        <v>49</v>
      </c>
      <c r="K259" t="s">
        <v>128</v>
      </c>
      <c r="L259" s="23">
        <v>1351</v>
      </c>
      <c r="M259" s="23">
        <v>1561</v>
      </c>
      <c r="N259" s="23">
        <v>1745</v>
      </c>
      <c r="O259" s="23">
        <v>1938</v>
      </c>
      <c r="P259" s="23">
        <v>2052</v>
      </c>
      <c r="Q259" s="23">
        <v>2314</v>
      </c>
      <c r="R259" s="23">
        <v>2394</v>
      </c>
      <c r="S259" s="23">
        <v>1662</v>
      </c>
      <c r="T259" s="23">
        <v>1746</v>
      </c>
      <c r="U259" s="23">
        <v>1926</v>
      </c>
      <c r="V259" s="23">
        <v>2014</v>
      </c>
      <c r="W259" s="23">
        <v>2533</v>
      </c>
      <c r="X259" s="23">
        <v>2537</v>
      </c>
      <c r="Y259" s="23">
        <v>2562</v>
      </c>
      <c r="Z259" s="23">
        <v>2712</v>
      </c>
      <c r="AA259" s="23">
        <v>2928.1669999999999</v>
      </c>
      <c r="AB259" s="23">
        <v>3061.085</v>
      </c>
    </row>
    <row r="260" spans="1:28" x14ac:dyDescent="0.2">
      <c r="A260" s="16" t="s">
        <v>44</v>
      </c>
      <c r="B260" s="17" t="s">
        <v>72</v>
      </c>
      <c r="C260" s="17" t="s">
        <v>8</v>
      </c>
      <c r="D260" s="17" t="s">
        <v>10</v>
      </c>
      <c r="E260" s="17" t="s">
        <v>15</v>
      </c>
      <c r="F260" s="17" t="str">
        <f>INDEX(nrg_cb_e!$A$3:$A$40,MATCH(LEFT(MID('Industriesektor GWh'!$B260,41,1000),SEARCH(" - ",MID('Industriesektor GWh'!$B260,41,1000))-1),nrg_cb_e!$C$3:$C$40,0))</f>
        <v>FC_IND_CON_E</v>
      </c>
      <c r="G260" s="18">
        <v>258.91800000000001</v>
      </c>
      <c r="J260" t="s">
        <v>49</v>
      </c>
      <c r="K260" t="s">
        <v>142</v>
      </c>
      <c r="L260" s="23">
        <v>1161</v>
      </c>
      <c r="M260" s="23">
        <v>1137</v>
      </c>
      <c r="N260" s="23">
        <v>1178</v>
      </c>
      <c r="O260" s="23">
        <v>1026</v>
      </c>
      <c r="P260" s="23">
        <v>907</v>
      </c>
      <c r="Q260" s="23">
        <v>918</v>
      </c>
      <c r="R260" s="23">
        <v>782</v>
      </c>
      <c r="S260" s="23">
        <v>573</v>
      </c>
      <c r="T260" s="23">
        <v>567</v>
      </c>
      <c r="U260" s="23">
        <v>512</v>
      </c>
      <c r="V260" s="23">
        <v>491</v>
      </c>
      <c r="W260" s="23">
        <v>534</v>
      </c>
      <c r="X260" s="23">
        <v>540</v>
      </c>
      <c r="Y260" s="23">
        <v>570</v>
      </c>
      <c r="Z260" s="23">
        <v>609</v>
      </c>
      <c r="AA260" s="23">
        <v>606.24400000000003</v>
      </c>
      <c r="AB260" s="23">
        <v>824.81500000000005</v>
      </c>
    </row>
    <row r="261" spans="1:28" x14ac:dyDescent="0.2">
      <c r="A261" s="19" t="s">
        <v>44</v>
      </c>
      <c r="B261" s="20" t="s">
        <v>72</v>
      </c>
      <c r="C261" s="20" t="s">
        <v>8</v>
      </c>
      <c r="D261" s="20" t="s">
        <v>10</v>
      </c>
      <c r="E261" s="20" t="s">
        <v>16</v>
      </c>
      <c r="F261" s="20" t="str">
        <f>INDEX(nrg_cb_e!$A$3:$A$40,MATCH(LEFT(MID('Industriesektor GWh'!$B261,41,1000),SEARCH(" - ",MID('Industriesektor GWh'!$B261,41,1000))-1),nrg_cb_e!$C$3:$C$40,0))</f>
        <v>FC_IND_CON_E</v>
      </c>
      <c r="G261" s="21">
        <v>255.70500000000001</v>
      </c>
      <c r="J261" t="s">
        <v>49</v>
      </c>
      <c r="K261" t="s">
        <v>138</v>
      </c>
      <c r="L261" s="23">
        <v>1538</v>
      </c>
      <c r="M261" s="23">
        <v>1228</v>
      </c>
      <c r="N261" s="23">
        <v>1608</v>
      </c>
      <c r="O261" s="23">
        <v>1584</v>
      </c>
      <c r="P261" s="23">
        <v>1398</v>
      </c>
      <c r="Q261" s="23">
        <v>1537</v>
      </c>
      <c r="R261" s="23">
        <v>1824</v>
      </c>
      <c r="S261" s="23">
        <v>1815</v>
      </c>
      <c r="T261" s="23">
        <v>1855</v>
      </c>
      <c r="U261" s="23">
        <v>1849</v>
      </c>
      <c r="V261" s="23">
        <v>1886</v>
      </c>
      <c r="W261" s="23">
        <v>1988</v>
      </c>
      <c r="X261" s="23">
        <v>1967</v>
      </c>
      <c r="Y261" s="23">
        <v>2086</v>
      </c>
      <c r="Z261" s="23">
        <v>2421</v>
      </c>
      <c r="AA261" s="23">
        <v>2400.4169999999999</v>
      </c>
      <c r="AB261" s="23">
        <v>2518.636</v>
      </c>
    </row>
    <row r="262" spans="1:28" x14ac:dyDescent="0.2">
      <c r="A262" s="16" t="s">
        <v>44</v>
      </c>
      <c r="B262" s="17" t="s">
        <v>72</v>
      </c>
      <c r="C262" s="17" t="s">
        <v>8</v>
      </c>
      <c r="D262" s="17" t="s">
        <v>10</v>
      </c>
      <c r="E262" s="17" t="s">
        <v>17</v>
      </c>
      <c r="F262" s="17" t="str">
        <f>INDEX(nrg_cb_e!$A$3:$A$40,MATCH(LEFT(MID('Industriesektor GWh'!$B262,41,1000),SEARCH(" - ",MID('Industriesektor GWh'!$B262,41,1000))-1),nrg_cb_e!$C$3:$C$40,0))</f>
        <v>FC_IND_CON_E</v>
      </c>
      <c r="G262" s="18">
        <v>237.304</v>
      </c>
      <c r="J262" t="s">
        <v>49</v>
      </c>
      <c r="K262" t="s">
        <v>116</v>
      </c>
      <c r="L262" s="23">
        <v>2003</v>
      </c>
      <c r="M262" s="23">
        <v>2278</v>
      </c>
      <c r="N262" s="23">
        <v>2519</v>
      </c>
      <c r="O262" s="23">
        <v>2640</v>
      </c>
      <c r="P262" s="23">
        <v>2702</v>
      </c>
      <c r="Q262" s="23">
        <v>2850</v>
      </c>
      <c r="R262" s="23">
        <v>2800</v>
      </c>
      <c r="S262" s="23">
        <v>2481</v>
      </c>
      <c r="T262" s="23">
        <v>2811</v>
      </c>
      <c r="U262" s="23">
        <v>3325</v>
      </c>
      <c r="V262" s="23">
        <v>3231</v>
      </c>
      <c r="W262" s="23">
        <v>4073</v>
      </c>
      <c r="X262" s="23">
        <v>4260</v>
      </c>
      <c r="Y262" s="23">
        <v>4397</v>
      </c>
      <c r="Z262" s="23">
        <v>4779</v>
      </c>
      <c r="AA262" s="23">
        <v>5348.7479999999996</v>
      </c>
      <c r="AB262" s="23">
        <v>5301.0079999999998</v>
      </c>
    </row>
    <row r="263" spans="1:28" x14ac:dyDescent="0.2">
      <c r="A263" s="19" t="s">
        <v>44</v>
      </c>
      <c r="B263" s="20" t="s">
        <v>72</v>
      </c>
      <c r="C263" s="20" t="s">
        <v>8</v>
      </c>
      <c r="D263" s="20" t="s">
        <v>10</v>
      </c>
      <c r="E263" s="20" t="s">
        <v>18</v>
      </c>
      <c r="F263" s="20" t="str">
        <f>INDEX(nrg_cb_e!$A$3:$A$40,MATCH(LEFT(MID('Industriesektor GWh'!$B263,41,1000),SEARCH(" - ",MID('Industriesektor GWh'!$B263,41,1000))-1),nrg_cb_e!$C$3:$C$40,0))</f>
        <v>FC_IND_CON_E</v>
      </c>
      <c r="G263" s="21">
        <v>257.32100000000003</v>
      </c>
      <c r="J263" t="s">
        <v>50</v>
      </c>
      <c r="K263" t="s">
        <v>140</v>
      </c>
      <c r="L263" s="23">
        <v>672</v>
      </c>
      <c r="M263" s="23">
        <v>680</v>
      </c>
      <c r="N263" s="23">
        <v>689</v>
      </c>
      <c r="O263" s="23">
        <v>651</v>
      </c>
      <c r="P263" s="23">
        <v>688</v>
      </c>
      <c r="Q263" s="23">
        <v>636</v>
      </c>
      <c r="R263" s="23">
        <v>622</v>
      </c>
      <c r="S263" s="23">
        <v>647</v>
      </c>
      <c r="T263" s="23">
        <v>610</v>
      </c>
      <c r="U263" s="23">
        <v>564</v>
      </c>
      <c r="V263" s="23">
        <v>462</v>
      </c>
      <c r="W263" s="23">
        <v>360</v>
      </c>
      <c r="X263" s="23">
        <v>325</v>
      </c>
      <c r="Y263" s="23">
        <v>314</v>
      </c>
      <c r="Z263" s="23">
        <v>559.40200000000004</v>
      </c>
      <c r="AA263" s="23">
        <v>584.654</v>
      </c>
      <c r="AB263" s="23">
        <v>511.70699999999999</v>
      </c>
    </row>
    <row r="264" spans="1:28" x14ac:dyDescent="0.2">
      <c r="A264" s="16" t="s">
        <v>44</v>
      </c>
      <c r="B264" s="17" t="s">
        <v>72</v>
      </c>
      <c r="C264" s="17" t="s">
        <v>8</v>
      </c>
      <c r="D264" s="17" t="s">
        <v>10</v>
      </c>
      <c r="E264" s="17" t="s">
        <v>19</v>
      </c>
      <c r="F264" s="17" t="str">
        <f>INDEX(nrg_cb_e!$A$3:$A$40,MATCH(LEFT(MID('Industriesektor GWh'!$B264,41,1000),SEARCH(" - ",MID('Industriesektor GWh'!$B264,41,1000))-1),nrg_cb_e!$C$3:$C$40,0))</f>
        <v>FC_IND_CON_E</v>
      </c>
      <c r="G264" s="18">
        <v>177.154</v>
      </c>
      <c r="J264" t="s">
        <v>50</v>
      </c>
      <c r="K264" t="s">
        <v>122</v>
      </c>
      <c r="L264" s="23">
        <v>2331</v>
      </c>
      <c r="M264" s="23">
        <v>2480</v>
      </c>
      <c r="N264" s="23">
        <v>2555</v>
      </c>
      <c r="O264" s="23">
        <v>2561</v>
      </c>
      <c r="P264" s="23">
        <v>2637</v>
      </c>
      <c r="Q264" s="23">
        <v>2679</v>
      </c>
      <c r="R264" s="23">
        <v>2509</v>
      </c>
      <c r="S264" s="23">
        <v>2172</v>
      </c>
      <c r="T264" s="23">
        <v>2491</v>
      </c>
      <c r="U264" s="23">
        <v>2401</v>
      </c>
      <c r="V264" s="23">
        <v>2294</v>
      </c>
      <c r="W264" s="23">
        <v>2289</v>
      </c>
      <c r="X264" s="23">
        <v>2116</v>
      </c>
      <c r="Y264" s="23">
        <v>2119</v>
      </c>
      <c r="Z264" s="23">
        <v>2310.0419999999999</v>
      </c>
      <c r="AA264" s="23">
        <v>2375.1109999999999</v>
      </c>
      <c r="AB264" s="23">
        <v>2382.5909999999999</v>
      </c>
    </row>
    <row r="265" spans="1:28" x14ac:dyDescent="0.2">
      <c r="A265" s="19" t="s">
        <v>44</v>
      </c>
      <c r="B265" s="20" t="s">
        <v>72</v>
      </c>
      <c r="C265" s="20" t="s">
        <v>8</v>
      </c>
      <c r="D265" s="20" t="s">
        <v>10</v>
      </c>
      <c r="E265" s="20" t="s">
        <v>20</v>
      </c>
      <c r="F265" s="20" t="str">
        <f>INDEX(nrg_cb_e!$A$3:$A$40,MATCH(LEFT(MID('Industriesektor GWh'!$B265,41,1000),SEARCH(" - ",MID('Industriesektor GWh'!$B265,41,1000))-1),nrg_cb_e!$C$3:$C$40,0))</f>
        <v>FC_IND_CON_E</v>
      </c>
      <c r="G265" s="21">
        <v>165.57300000000001</v>
      </c>
      <c r="J265" t="s">
        <v>50</v>
      </c>
      <c r="K265" t="s">
        <v>134</v>
      </c>
      <c r="L265" s="23">
        <v>1603</v>
      </c>
      <c r="M265" s="23">
        <v>1644</v>
      </c>
      <c r="N265" s="23">
        <v>1688</v>
      </c>
      <c r="O265" s="23">
        <v>1695</v>
      </c>
      <c r="P265" s="23">
        <v>1773</v>
      </c>
      <c r="Q265" s="23">
        <v>1825</v>
      </c>
      <c r="R265" s="23">
        <v>1774</v>
      </c>
      <c r="S265" s="23">
        <v>1835</v>
      </c>
      <c r="T265" s="23">
        <v>1905</v>
      </c>
      <c r="U265" s="23">
        <v>1867</v>
      </c>
      <c r="V265" s="23">
        <v>1750</v>
      </c>
      <c r="W265" s="23">
        <v>1766</v>
      </c>
      <c r="X265" s="23">
        <v>1856</v>
      </c>
      <c r="Y265" s="23">
        <v>1854</v>
      </c>
      <c r="Z265" s="23">
        <v>1926.212</v>
      </c>
      <c r="AA265" s="23">
        <v>1975.9359999999999</v>
      </c>
      <c r="AB265" s="23">
        <v>2032.8869999999999</v>
      </c>
    </row>
    <row r="266" spans="1:28" x14ac:dyDescent="0.2">
      <c r="A266" s="16" t="s">
        <v>44</v>
      </c>
      <c r="B266" s="17" t="s">
        <v>72</v>
      </c>
      <c r="C266" s="17" t="s">
        <v>8</v>
      </c>
      <c r="D266" s="17" t="s">
        <v>10</v>
      </c>
      <c r="E266" s="17" t="s">
        <v>21</v>
      </c>
      <c r="F266" s="17" t="str">
        <f>INDEX(nrg_cb_e!$A$3:$A$40,MATCH(LEFT(MID('Industriesektor GWh'!$B266,41,1000),SEARCH(" - ",MID('Industriesektor GWh'!$B266,41,1000))-1),nrg_cb_e!$C$3:$C$40,0))</f>
        <v>FC_IND_CON_E</v>
      </c>
      <c r="G266" s="18">
        <v>125.967</v>
      </c>
      <c r="J266" t="s">
        <v>50</v>
      </c>
      <c r="K266" t="s">
        <v>120</v>
      </c>
      <c r="L266" s="23">
        <v>863</v>
      </c>
      <c r="M266" s="23">
        <v>1088</v>
      </c>
      <c r="N266" s="23">
        <v>1186</v>
      </c>
      <c r="O266" s="23">
        <v>1279</v>
      </c>
      <c r="P266" s="23">
        <v>1386</v>
      </c>
      <c r="Q266" s="23">
        <v>1471</v>
      </c>
      <c r="R266" s="23">
        <v>1492</v>
      </c>
      <c r="S266" s="23">
        <v>1086</v>
      </c>
      <c r="T266" s="23">
        <v>1103</v>
      </c>
      <c r="U266" s="23">
        <v>1286</v>
      </c>
      <c r="V266" s="23">
        <v>1353</v>
      </c>
      <c r="W266" s="23">
        <v>1377</v>
      </c>
      <c r="X266" s="23">
        <v>1401</v>
      </c>
      <c r="Y266" s="23">
        <v>1391</v>
      </c>
      <c r="Z266" s="23">
        <v>1495.6120000000001</v>
      </c>
      <c r="AA266" s="23">
        <v>1554.5519999999999</v>
      </c>
      <c r="AB266" s="23">
        <v>1681.4860000000001</v>
      </c>
    </row>
    <row r="267" spans="1:28" x14ac:dyDescent="0.2">
      <c r="A267" s="19" t="s">
        <v>44</v>
      </c>
      <c r="B267" s="20" t="s">
        <v>72</v>
      </c>
      <c r="C267" s="20" t="s">
        <v>8</v>
      </c>
      <c r="D267" s="20" t="s">
        <v>10</v>
      </c>
      <c r="E267" s="20" t="s">
        <v>22</v>
      </c>
      <c r="F267" s="20" t="str">
        <f>INDEX(nrg_cb_e!$A$3:$A$40,MATCH(LEFT(MID('Industriesektor GWh'!$B267,41,1000),SEARCH(" - ",MID('Industriesektor GWh'!$B267,41,1000))-1),nrg_cb_e!$C$3:$C$40,0))</f>
        <v>FC_IND_CON_E</v>
      </c>
      <c r="G267" s="21">
        <v>124.149</v>
      </c>
      <c r="J267" t="s">
        <v>50</v>
      </c>
      <c r="K267" t="s">
        <v>130</v>
      </c>
      <c r="L267" s="23">
        <v>1071</v>
      </c>
      <c r="M267" s="23">
        <v>1132</v>
      </c>
      <c r="N267" s="23">
        <v>1185</v>
      </c>
      <c r="O267" s="23">
        <v>1196</v>
      </c>
      <c r="P267" s="23">
        <v>1250</v>
      </c>
      <c r="Q267" s="23">
        <v>1272</v>
      </c>
      <c r="R267" s="23">
        <v>1272</v>
      </c>
      <c r="S267" s="23">
        <v>1240</v>
      </c>
      <c r="T267" s="23">
        <v>1346</v>
      </c>
      <c r="U267" s="23">
        <v>1316</v>
      </c>
      <c r="V267" s="23">
        <v>1274</v>
      </c>
      <c r="W267" s="23">
        <v>1272</v>
      </c>
      <c r="X267" s="23">
        <v>1307</v>
      </c>
      <c r="Y267" s="23">
        <v>1330</v>
      </c>
      <c r="Z267" s="23">
        <v>1076.6220000000001</v>
      </c>
      <c r="AA267" s="23">
        <v>1085.038</v>
      </c>
      <c r="AB267" s="23">
        <v>1162.7070000000001</v>
      </c>
    </row>
    <row r="268" spans="1:28" x14ac:dyDescent="0.2">
      <c r="A268" s="16" t="s">
        <v>44</v>
      </c>
      <c r="B268" s="17" t="s">
        <v>72</v>
      </c>
      <c r="C268" s="17" t="s">
        <v>8</v>
      </c>
      <c r="D268" s="17" t="s">
        <v>10</v>
      </c>
      <c r="E268" s="17" t="s">
        <v>23</v>
      </c>
      <c r="F268" s="17" t="str">
        <f>INDEX(nrg_cb_e!$A$3:$A$40,MATCH(LEFT(MID('Industriesektor GWh'!$B268,41,1000),SEARCH(" - ",MID('Industriesektor GWh'!$B268,41,1000))-1),nrg_cb_e!$C$3:$C$40,0))</f>
        <v>FC_IND_CON_E</v>
      </c>
      <c r="G268" s="18">
        <v>123.76</v>
      </c>
      <c r="J268" t="s">
        <v>50</v>
      </c>
      <c r="K268" t="s">
        <v>132</v>
      </c>
      <c r="L268" s="23">
        <v>440</v>
      </c>
      <c r="M268" s="23">
        <v>456</v>
      </c>
      <c r="N268" s="23">
        <v>480</v>
      </c>
      <c r="O268" s="23">
        <v>483</v>
      </c>
      <c r="P268" s="23">
        <v>526</v>
      </c>
      <c r="Q268" s="23">
        <v>526</v>
      </c>
      <c r="R268" s="23">
        <v>556</v>
      </c>
      <c r="S268" s="23">
        <v>516</v>
      </c>
      <c r="T268" s="23">
        <v>555</v>
      </c>
      <c r="U268" s="23">
        <v>579</v>
      </c>
      <c r="V268" s="23">
        <v>566</v>
      </c>
      <c r="W268" s="23">
        <v>591</v>
      </c>
      <c r="X268" s="23">
        <v>613</v>
      </c>
      <c r="Y268" s="23">
        <v>631</v>
      </c>
      <c r="Z268" s="23">
        <v>435.5</v>
      </c>
      <c r="AA268" s="23">
        <v>427.245</v>
      </c>
      <c r="AB268" s="23">
        <v>440.27100000000002</v>
      </c>
    </row>
    <row r="269" spans="1:28" x14ac:dyDescent="0.2">
      <c r="A269" s="19" t="s">
        <v>44</v>
      </c>
      <c r="B269" s="20" t="s">
        <v>72</v>
      </c>
      <c r="C269" s="20" t="s">
        <v>8</v>
      </c>
      <c r="D269" s="20" t="s">
        <v>10</v>
      </c>
      <c r="E269" s="20" t="s">
        <v>24</v>
      </c>
      <c r="F269" s="20" t="str">
        <f>INDEX(nrg_cb_e!$A$3:$A$40,MATCH(LEFT(MID('Industriesektor GWh'!$B269,41,1000),SEARCH(" - ",MID('Industriesektor GWh'!$B269,41,1000))-1),nrg_cb_e!$C$3:$C$40,0))</f>
        <v>FC_IND_CON_E</v>
      </c>
      <c r="G269" s="21">
        <v>140.19499999999999</v>
      </c>
      <c r="J269" t="s">
        <v>50</v>
      </c>
      <c r="K269" t="s">
        <v>124</v>
      </c>
      <c r="L269" s="23">
        <v>117</v>
      </c>
      <c r="M269" s="23">
        <v>116</v>
      </c>
      <c r="N269" s="23">
        <v>121</v>
      </c>
      <c r="O269" s="23">
        <v>122</v>
      </c>
      <c r="P269" s="23">
        <v>127</v>
      </c>
      <c r="Q269" s="23">
        <v>141</v>
      </c>
      <c r="R269" s="23">
        <v>139</v>
      </c>
      <c r="S269" s="23">
        <v>116</v>
      </c>
      <c r="T269" s="23">
        <v>136</v>
      </c>
      <c r="U269" s="23">
        <v>118</v>
      </c>
      <c r="V269" s="23">
        <v>115</v>
      </c>
      <c r="W269" s="23">
        <v>118</v>
      </c>
      <c r="X269" s="23">
        <v>122</v>
      </c>
      <c r="Y269" s="23">
        <v>126</v>
      </c>
      <c r="Z269" s="23">
        <v>109.595</v>
      </c>
      <c r="AA269" s="23">
        <v>114.92400000000001</v>
      </c>
      <c r="AB269" s="23">
        <v>111.753</v>
      </c>
    </row>
    <row r="270" spans="1:28" x14ac:dyDescent="0.2">
      <c r="A270" s="16" t="s">
        <v>44</v>
      </c>
      <c r="B270" s="17" t="s">
        <v>72</v>
      </c>
      <c r="C270" s="17" t="s">
        <v>8</v>
      </c>
      <c r="D270" s="17" t="s">
        <v>10</v>
      </c>
      <c r="E270" s="17" t="s">
        <v>25</v>
      </c>
      <c r="F270" s="17" t="str">
        <f>INDEX(nrg_cb_e!$A$3:$A$40,MATCH(LEFT(MID('Industriesektor GWh'!$B270,41,1000),SEARCH(" - ",MID('Industriesektor GWh'!$B270,41,1000))-1),nrg_cb_e!$C$3:$C$40,0))</f>
        <v>FC_IND_CON_E</v>
      </c>
      <c r="G270" s="18">
        <v>143.24600000000001</v>
      </c>
      <c r="J270" t="s">
        <v>50</v>
      </c>
      <c r="K270" t="s">
        <v>126</v>
      </c>
      <c r="L270" s="23">
        <v>2350</v>
      </c>
      <c r="M270" s="23">
        <v>2233</v>
      </c>
      <c r="N270" s="23">
        <v>2336</v>
      </c>
      <c r="O270" s="23">
        <v>2336</v>
      </c>
      <c r="P270" s="23">
        <v>2418</v>
      </c>
      <c r="Q270" s="23">
        <v>2578</v>
      </c>
      <c r="R270" s="23">
        <v>2437</v>
      </c>
      <c r="S270" s="23">
        <v>2088</v>
      </c>
      <c r="T270" s="23">
        <v>2194</v>
      </c>
      <c r="U270" s="23">
        <v>1998</v>
      </c>
      <c r="V270" s="23">
        <v>1831</v>
      </c>
      <c r="W270" s="23">
        <v>1801</v>
      </c>
      <c r="X270" s="23">
        <v>1930</v>
      </c>
      <c r="Y270" s="23">
        <v>1956</v>
      </c>
      <c r="Z270" s="23">
        <v>1820.049</v>
      </c>
      <c r="AA270" s="23">
        <v>1919.527</v>
      </c>
      <c r="AB270" s="23">
        <v>1930.202</v>
      </c>
    </row>
    <row r="271" spans="1:28" x14ac:dyDescent="0.2">
      <c r="A271" s="19" t="s">
        <v>44</v>
      </c>
      <c r="B271" s="20" t="s">
        <v>72</v>
      </c>
      <c r="C271" s="20" t="s">
        <v>8</v>
      </c>
      <c r="D271" s="20" t="s">
        <v>10</v>
      </c>
      <c r="E271" s="20" t="s">
        <v>26</v>
      </c>
      <c r="F271" s="20" t="str">
        <f>INDEX(nrg_cb_e!$A$3:$A$40,MATCH(LEFT(MID('Industriesektor GWh'!$B271,41,1000),SEARCH(" - ",MID('Industriesektor GWh'!$B271,41,1000))-1),nrg_cb_e!$C$3:$C$40,0))</f>
        <v>FC_IND_CON_E</v>
      </c>
      <c r="G271" s="21">
        <v>175.43100000000001</v>
      </c>
      <c r="J271" t="s">
        <v>50</v>
      </c>
      <c r="K271" t="s">
        <v>136</v>
      </c>
      <c r="L271" s="23">
        <v>1995</v>
      </c>
      <c r="M271" s="23">
        <v>2229</v>
      </c>
      <c r="N271" s="23">
        <v>2346</v>
      </c>
      <c r="O271" s="23">
        <v>2470</v>
      </c>
      <c r="P271" s="23">
        <v>2500</v>
      </c>
      <c r="Q271" s="23">
        <v>2568</v>
      </c>
      <c r="R271" s="23">
        <v>2583</v>
      </c>
      <c r="S271" s="23">
        <v>2719</v>
      </c>
      <c r="T271" s="23">
        <v>3056</v>
      </c>
      <c r="U271" s="23">
        <v>3075</v>
      </c>
      <c r="V271" s="23">
        <v>2834</v>
      </c>
      <c r="W271" s="23">
        <v>3061</v>
      </c>
      <c r="X271" s="23">
        <v>3053</v>
      </c>
      <c r="Y271" s="23">
        <v>3046</v>
      </c>
      <c r="Z271" s="23">
        <v>3012.5140000000001</v>
      </c>
      <c r="AA271" s="23">
        <v>3092.4259999999999</v>
      </c>
      <c r="AB271" s="23">
        <v>3051.6289999999999</v>
      </c>
    </row>
    <row r="272" spans="1:28" x14ac:dyDescent="0.2">
      <c r="A272" s="16" t="s">
        <v>44</v>
      </c>
      <c r="B272" s="17" t="s">
        <v>72</v>
      </c>
      <c r="C272" s="17" t="s">
        <v>8</v>
      </c>
      <c r="D272" s="17" t="s">
        <v>10</v>
      </c>
      <c r="E272" s="17" t="s">
        <v>27</v>
      </c>
      <c r="F272" s="17" t="str">
        <f>INDEX(nrg_cb_e!$A$3:$A$40,MATCH(LEFT(MID('Industriesektor GWh'!$B272,41,1000),SEARCH(" - ",MID('Industriesektor GWh'!$B272,41,1000))-1),nrg_cb_e!$C$3:$C$40,0))</f>
        <v>FC_IND_CON_E</v>
      </c>
      <c r="G272" s="18">
        <v>180.739</v>
      </c>
      <c r="J272" t="s">
        <v>50</v>
      </c>
      <c r="K272" t="s">
        <v>128</v>
      </c>
      <c r="L272" s="23">
        <v>476</v>
      </c>
      <c r="M272" s="23">
        <v>481</v>
      </c>
      <c r="N272" s="23">
        <v>471</v>
      </c>
      <c r="O272" s="23">
        <v>478</v>
      </c>
      <c r="P272" s="23">
        <v>483</v>
      </c>
      <c r="Q272" s="23">
        <v>494</v>
      </c>
      <c r="R272" s="23">
        <v>481</v>
      </c>
      <c r="S272" s="23">
        <v>411</v>
      </c>
      <c r="T272" s="23">
        <v>442</v>
      </c>
      <c r="U272" s="23">
        <v>433</v>
      </c>
      <c r="V272" s="23">
        <v>374</v>
      </c>
      <c r="W272" s="23">
        <v>347</v>
      </c>
      <c r="X272" s="23">
        <v>358</v>
      </c>
      <c r="Y272" s="23">
        <v>369</v>
      </c>
      <c r="Z272" s="23">
        <v>446.08800000000002</v>
      </c>
      <c r="AA272" s="23">
        <v>524.89700000000005</v>
      </c>
      <c r="AB272" s="23">
        <v>551.40099999999995</v>
      </c>
    </row>
    <row r="273" spans="1:28" x14ac:dyDescent="0.2">
      <c r="A273" s="19" t="s">
        <v>44</v>
      </c>
      <c r="B273" s="20" t="s">
        <v>72</v>
      </c>
      <c r="C273" s="20" t="s">
        <v>8</v>
      </c>
      <c r="D273" s="20" t="s">
        <v>10</v>
      </c>
      <c r="E273" s="20" t="s">
        <v>28</v>
      </c>
      <c r="F273" s="20" t="str">
        <f>INDEX(nrg_cb_e!$A$3:$A$40,MATCH(LEFT(MID('Industriesektor GWh'!$B273,41,1000),SEARCH(" - ",MID('Industriesektor GWh'!$B273,41,1000))-1),nrg_cb_e!$C$3:$C$40,0))</f>
        <v>FC_IND_CON_E</v>
      </c>
      <c r="G273" s="21">
        <v>192.23099999999999</v>
      </c>
      <c r="J273" t="s">
        <v>50</v>
      </c>
      <c r="K273" t="s">
        <v>142</v>
      </c>
      <c r="L273" s="23">
        <v>2332</v>
      </c>
      <c r="M273" s="23">
        <v>2077</v>
      </c>
      <c r="N273" s="23">
        <v>1904</v>
      </c>
      <c r="O273" s="23">
        <v>1791</v>
      </c>
      <c r="P273" s="23">
        <v>1686</v>
      </c>
      <c r="Q273" s="23">
        <v>1698</v>
      </c>
      <c r="R273" s="23">
        <v>1538</v>
      </c>
      <c r="S273" s="23">
        <v>1294</v>
      </c>
      <c r="T273" s="23">
        <v>1459</v>
      </c>
      <c r="U273" s="23">
        <v>1219</v>
      </c>
      <c r="V273" s="23">
        <v>1204</v>
      </c>
      <c r="W273" s="23">
        <v>1231</v>
      </c>
      <c r="X273" s="23">
        <v>1333</v>
      </c>
      <c r="Y273" s="23">
        <v>1331</v>
      </c>
      <c r="Z273" s="23">
        <v>1244.1179999999999</v>
      </c>
      <c r="AA273" s="23">
        <v>1269.06</v>
      </c>
      <c r="AB273" s="23">
        <v>1279.829</v>
      </c>
    </row>
    <row r="274" spans="1:28" x14ac:dyDescent="0.2">
      <c r="A274" s="16" t="s">
        <v>45</v>
      </c>
      <c r="B274" s="17" t="s">
        <v>72</v>
      </c>
      <c r="C274" s="17" t="s">
        <v>8</v>
      </c>
      <c r="D274" s="17" t="s">
        <v>10</v>
      </c>
      <c r="E274" s="17" t="s">
        <v>12</v>
      </c>
      <c r="F274" s="17" t="str">
        <f>INDEX(nrg_cb_e!$A$3:$A$40,MATCH(LEFT(MID('Industriesektor GWh'!$B274,41,1000),SEARCH(" - ",MID('Industriesektor GWh'!$B274,41,1000))-1),nrg_cb_e!$C$3:$C$40,0))</f>
        <v>FC_IND_CON_E</v>
      </c>
      <c r="G274" s="18">
        <v>58</v>
      </c>
      <c r="J274" t="s">
        <v>50</v>
      </c>
      <c r="K274" t="s">
        <v>138</v>
      </c>
      <c r="L274" s="23">
        <v>946</v>
      </c>
      <c r="M274" s="23">
        <v>678</v>
      </c>
      <c r="N274" s="23">
        <v>608</v>
      </c>
      <c r="O274" s="23">
        <v>715</v>
      </c>
      <c r="P274" s="23">
        <v>722</v>
      </c>
      <c r="Q274" s="23">
        <v>728</v>
      </c>
      <c r="R274" s="23">
        <v>669</v>
      </c>
      <c r="S274" s="23">
        <v>557</v>
      </c>
      <c r="T274" s="23">
        <v>581</v>
      </c>
      <c r="U274" s="23">
        <v>573</v>
      </c>
      <c r="V274" s="23">
        <v>535</v>
      </c>
      <c r="W274" s="23">
        <v>509</v>
      </c>
      <c r="X274" s="23">
        <v>491</v>
      </c>
      <c r="Y274" s="23">
        <v>511</v>
      </c>
      <c r="Z274" s="23">
        <v>700.23099999999999</v>
      </c>
      <c r="AA274" s="23">
        <v>702.39599999999996</v>
      </c>
      <c r="AB274" s="23">
        <v>723.75400000000002</v>
      </c>
    </row>
    <row r="275" spans="1:28" x14ac:dyDescent="0.2">
      <c r="A275" s="19" t="s">
        <v>45</v>
      </c>
      <c r="B275" s="20" t="s">
        <v>72</v>
      </c>
      <c r="C275" s="20" t="s">
        <v>8</v>
      </c>
      <c r="D275" s="20" t="s">
        <v>10</v>
      </c>
      <c r="E275" s="20" t="s">
        <v>13</v>
      </c>
      <c r="F275" s="20" t="str">
        <f>INDEX(nrg_cb_e!$A$3:$A$40,MATCH(LEFT(MID('Industriesektor GWh'!$B275,41,1000),SEARCH(" - ",MID('Industriesektor GWh'!$B275,41,1000))-1),nrg_cb_e!$C$3:$C$40,0))</f>
        <v>FC_IND_CON_E</v>
      </c>
      <c r="G275" s="21">
        <v>89</v>
      </c>
      <c r="J275" t="s">
        <v>50</v>
      </c>
      <c r="K275" t="s">
        <v>116</v>
      </c>
      <c r="L275" s="23">
        <v>1274</v>
      </c>
      <c r="M275" s="23">
        <v>1526</v>
      </c>
      <c r="N275" s="23">
        <v>1517</v>
      </c>
      <c r="O275" s="23">
        <v>1395</v>
      </c>
      <c r="P275" s="23">
        <v>1448</v>
      </c>
      <c r="Q275" s="23">
        <v>1375</v>
      </c>
      <c r="R275" s="23">
        <v>1545</v>
      </c>
      <c r="S275" s="23">
        <v>1492</v>
      </c>
      <c r="T275" s="23">
        <v>1590</v>
      </c>
      <c r="U275" s="23">
        <v>1528</v>
      </c>
      <c r="V275" s="23">
        <v>1340</v>
      </c>
      <c r="W275" s="23">
        <v>1271</v>
      </c>
      <c r="X275" s="23">
        <v>490</v>
      </c>
      <c r="Y275" s="23">
        <v>503</v>
      </c>
      <c r="Z275" s="23">
        <v>507.59300000000002</v>
      </c>
      <c r="AA275" s="23">
        <v>516.82100000000003</v>
      </c>
      <c r="AB275" s="23">
        <v>536.68100000000004</v>
      </c>
    </row>
    <row r="276" spans="1:28" x14ac:dyDescent="0.2">
      <c r="A276" s="16" t="s">
        <v>45</v>
      </c>
      <c r="B276" s="17" t="s">
        <v>72</v>
      </c>
      <c r="C276" s="17" t="s">
        <v>8</v>
      </c>
      <c r="D276" s="17" t="s">
        <v>10</v>
      </c>
      <c r="E276" s="17" t="s">
        <v>14</v>
      </c>
      <c r="F276" s="17" t="str">
        <f>INDEX(nrg_cb_e!$A$3:$A$40,MATCH(LEFT(MID('Industriesektor GWh'!$B276,41,1000),SEARCH(" - ",MID('Industriesektor GWh'!$B276,41,1000))-1),nrg_cb_e!$C$3:$C$40,0))</f>
        <v>FC_IND_CON_E</v>
      </c>
      <c r="G276" s="18">
        <v>56</v>
      </c>
      <c r="J276" t="s">
        <v>51</v>
      </c>
      <c r="K276" t="s">
        <v>140</v>
      </c>
      <c r="L276" s="23">
        <v>1029</v>
      </c>
      <c r="M276" s="23">
        <v>1062</v>
      </c>
      <c r="N276" s="23">
        <v>680</v>
      </c>
      <c r="O276" s="23">
        <v>703</v>
      </c>
      <c r="P276" s="23">
        <v>813</v>
      </c>
      <c r="Q276" s="23">
        <v>934</v>
      </c>
      <c r="R276" s="23">
        <v>842</v>
      </c>
      <c r="S276" s="23">
        <v>793</v>
      </c>
      <c r="T276" s="23">
        <v>697</v>
      </c>
      <c r="U276" s="23">
        <v>691</v>
      </c>
      <c r="V276" s="23">
        <v>720</v>
      </c>
      <c r="W276" s="23">
        <v>526</v>
      </c>
      <c r="X276" s="23">
        <v>483</v>
      </c>
      <c r="Y276" s="23">
        <v>450</v>
      </c>
      <c r="Z276" s="23">
        <v>429</v>
      </c>
      <c r="AA276" s="23">
        <v>403.46499999999997</v>
      </c>
      <c r="AB276" s="23">
        <v>387.899</v>
      </c>
    </row>
    <row r="277" spans="1:28" x14ac:dyDescent="0.2">
      <c r="A277" s="19" t="s">
        <v>45</v>
      </c>
      <c r="B277" s="20" t="s">
        <v>72</v>
      </c>
      <c r="C277" s="20" t="s">
        <v>8</v>
      </c>
      <c r="D277" s="20" t="s">
        <v>10</v>
      </c>
      <c r="E277" s="20" t="s">
        <v>15</v>
      </c>
      <c r="F277" s="20" t="str">
        <f>INDEX(nrg_cb_e!$A$3:$A$40,MATCH(LEFT(MID('Industriesektor GWh'!$B277,41,1000),SEARCH(" - ",MID('Industriesektor GWh'!$B277,41,1000))-1),nrg_cb_e!$C$3:$C$40,0))</f>
        <v>FC_IND_CON_E</v>
      </c>
      <c r="G277" s="21">
        <v>74</v>
      </c>
      <c r="J277" t="s">
        <v>51</v>
      </c>
      <c r="K277" t="s">
        <v>122</v>
      </c>
      <c r="L277" s="23">
        <v>3859</v>
      </c>
      <c r="M277" s="23">
        <v>3696</v>
      </c>
      <c r="N277" s="23">
        <v>3526</v>
      </c>
      <c r="O277" s="23">
        <v>3417</v>
      </c>
      <c r="P277" s="23">
        <v>4320</v>
      </c>
      <c r="Q277" s="23">
        <v>3734</v>
      </c>
      <c r="R277" s="23">
        <v>3916</v>
      </c>
      <c r="S277" s="23">
        <v>3299</v>
      </c>
      <c r="T277" s="23">
        <v>3468</v>
      </c>
      <c r="U277" s="23">
        <v>3876</v>
      </c>
      <c r="V277" s="23">
        <v>3647</v>
      </c>
      <c r="W277" s="23">
        <v>2998</v>
      </c>
      <c r="X277" s="23">
        <v>3314</v>
      </c>
      <c r="Y277" s="23">
        <v>3096</v>
      </c>
      <c r="Z277" s="23">
        <v>3010</v>
      </c>
      <c r="AA277" s="23">
        <v>3096.7449999999999</v>
      </c>
      <c r="AB277" s="23">
        <v>3240.2530000000002</v>
      </c>
    </row>
    <row r="278" spans="1:28" x14ac:dyDescent="0.2">
      <c r="A278" s="16" t="s">
        <v>45</v>
      </c>
      <c r="B278" s="17" t="s">
        <v>72</v>
      </c>
      <c r="C278" s="17" t="s">
        <v>8</v>
      </c>
      <c r="D278" s="17" t="s">
        <v>10</v>
      </c>
      <c r="E278" s="17" t="s">
        <v>16</v>
      </c>
      <c r="F278" s="17" t="str">
        <f>INDEX(nrg_cb_e!$A$3:$A$40,MATCH(LEFT(MID('Industriesektor GWh'!$B278,41,1000),SEARCH(" - ",MID('Industriesektor GWh'!$B278,41,1000))-1),nrg_cb_e!$C$3:$C$40,0))</f>
        <v>FC_IND_CON_E</v>
      </c>
      <c r="G278" s="18">
        <v>73</v>
      </c>
      <c r="J278" t="s">
        <v>51</v>
      </c>
      <c r="K278" t="s">
        <v>134</v>
      </c>
      <c r="L278" s="23">
        <v>1536</v>
      </c>
      <c r="M278" s="23">
        <v>2570</v>
      </c>
      <c r="N278" s="23">
        <v>3343</v>
      </c>
      <c r="O278" s="23">
        <v>2905</v>
      </c>
      <c r="P278" s="23">
        <v>1418</v>
      </c>
      <c r="Q278" s="23">
        <v>1424</v>
      </c>
      <c r="R278" s="23">
        <v>1686</v>
      </c>
      <c r="S278" s="23">
        <v>1554</v>
      </c>
      <c r="T278" s="23">
        <v>1562</v>
      </c>
      <c r="U278" s="23">
        <v>1590</v>
      </c>
      <c r="V278" s="23">
        <v>1650</v>
      </c>
      <c r="W278" s="23">
        <v>1673</v>
      </c>
      <c r="X278" s="23">
        <v>1769</v>
      </c>
      <c r="Y278" s="23">
        <v>1824</v>
      </c>
      <c r="Z278" s="23">
        <v>1867</v>
      </c>
      <c r="AA278" s="23">
        <v>1886.635</v>
      </c>
      <c r="AB278" s="23">
        <v>1912.35</v>
      </c>
    </row>
    <row r="279" spans="1:28" x14ac:dyDescent="0.2">
      <c r="A279" s="19" t="s">
        <v>45</v>
      </c>
      <c r="B279" s="20" t="s">
        <v>72</v>
      </c>
      <c r="C279" s="20" t="s">
        <v>8</v>
      </c>
      <c r="D279" s="20" t="s">
        <v>10</v>
      </c>
      <c r="E279" s="20" t="s">
        <v>17</v>
      </c>
      <c r="F279" s="20" t="str">
        <f>INDEX(nrg_cb_e!$A$3:$A$40,MATCH(LEFT(MID('Industriesektor GWh'!$B279,41,1000),SEARCH(" - ",MID('Industriesektor GWh'!$B279,41,1000))-1),nrg_cb_e!$C$3:$C$40,0))</f>
        <v>FC_IND_CON_E</v>
      </c>
      <c r="G279" s="21">
        <v>67</v>
      </c>
      <c r="J279" t="s">
        <v>51</v>
      </c>
      <c r="K279" t="s">
        <v>120</v>
      </c>
      <c r="L279" s="23">
        <v>6966</v>
      </c>
      <c r="M279" s="23">
        <v>7220</v>
      </c>
      <c r="N279" s="23">
        <v>8544</v>
      </c>
      <c r="O279" s="23">
        <v>8463</v>
      </c>
      <c r="P279" s="23">
        <v>8499</v>
      </c>
      <c r="Q279" s="23">
        <v>8327</v>
      </c>
      <c r="R279" s="23">
        <v>7826</v>
      </c>
      <c r="S279" s="23">
        <v>5540</v>
      </c>
      <c r="T279" s="23">
        <v>6703</v>
      </c>
      <c r="U279" s="23">
        <v>6757</v>
      </c>
      <c r="V279" s="23">
        <v>6352</v>
      </c>
      <c r="W279" s="23">
        <v>5263</v>
      </c>
      <c r="X279" s="23">
        <v>5375</v>
      </c>
      <c r="Y279" s="23">
        <v>5694</v>
      </c>
      <c r="Z279" s="23">
        <v>5635</v>
      </c>
      <c r="AA279" s="23">
        <v>2540.6489999999999</v>
      </c>
      <c r="AB279" s="23">
        <v>2414.2109999999998</v>
      </c>
    </row>
    <row r="280" spans="1:28" x14ac:dyDescent="0.2">
      <c r="A280" s="16" t="s">
        <v>45</v>
      </c>
      <c r="B280" s="17" t="s">
        <v>72</v>
      </c>
      <c r="C280" s="17" t="s">
        <v>8</v>
      </c>
      <c r="D280" s="17" t="s">
        <v>10</v>
      </c>
      <c r="E280" s="17" t="s">
        <v>18</v>
      </c>
      <c r="F280" s="17" t="str">
        <f>INDEX(nrg_cb_e!$A$3:$A$40,MATCH(LEFT(MID('Industriesektor GWh'!$B280,41,1000),SEARCH(" - ",MID('Industriesektor GWh'!$B280,41,1000))-1),nrg_cb_e!$C$3:$C$40,0))</f>
        <v>FC_IND_CON_E</v>
      </c>
      <c r="G280" s="18">
        <v>78</v>
      </c>
      <c r="J280" t="s">
        <v>51</v>
      </c>
      <c r="K280" t="s">
        <v>130</v>
      </c>
      <c r="L280" s="23">
        <v>2681</v>
      </c>
      <c r="M280" s="23">
        <v>2428</v>
      </c>
      <c r="N280" s="23">
        <v>2101</v>
      </c>
      <c r="O280" s="23">
        <v>1859</v>
      </c>
      <c r="P280" s="23">
        <v>1691</v>
      </c>
      <c r="Q280" s="23">
        <v>1789</v>
      </c>
      <c r="R280" s="23">
        <v>2108</v>
      </c>
      <c r="S280" s="23">
        <v>1623</v>
      </c>
      <c r="T280" s="23">
        <v>2265</v>
      </c>
      <c r="U280" s="23">
        <v>1823</v>
      </c>
      <c r="V280" s="23">
        <v>1937</v>
      </c>
      <c r="W280" s="23">
        <v>1835</v>
      </c>
      <c r="X280" s="23">
        <v>2024</v>
      </c>
      <c r="Y280" s="23">
        <v>2037</v>
      </c>
      <c r="Z280" s="23">
        <v>2190</v>
      </c>
      <c r="AA280" s="23">
        <v>2456.3519999999999</v>
      </c>
      <c r="AB280" s="23">
        <v>2758.6610000000001</v>
      </c>
    </row>
    <row r="281" spans="1:28" x14ac:dyDescent="0.2">
      <c r="A281" s="19" t="s">
        <v>45</v>
      </c>
      <c r="B281" s="20" t="s">
        <v>72</v>
      </c>
      <c r="C281" s="20" t="s">
        <v>8</v>
      </c>
      <c r="D281" s="20" t="s">
        <v>10</v>
      </c>
      <c r="E281" s="20" t="s">
        <v>19</v>
      </c>
      <c r="F281" s="20" t="str">
        <f>INDEX(nrg_cb_e!$A$3:$A$40,MATCH(LEFT(MID('Industriesektor GWh'!$B281,41,1000),SEARCH(" - ",MID('Industriesektor GWh'!$B281,41,1000))-1),nrg_cb_e!$C$3:$C$40,0))</f>
        <v>FC_IND_CON_E</v>
      </c>
      <c r="G281" s="21">
        <v>78</v>
      </c>
      <c r="J281" t="s">
        <v>51</v>
      </c>
      <c r="K281" t="s">
        <v>132</v>
      </c>
      <c r="L281" s="23">
        <v>614</v>
      </c>
      <c r="M281" s="23">
        <v>593</v>
      </c>
      <c r="N281" s="23">
        <v>504</v>
      </c>
      <c r="O281" s="23">
        <v>520</v>
      </c>
      <c r="P281" s="23">
        <v>343</v>
      </c>
      <c r="Q281" s="23">
        <v>145</v>
      </c>
      <c r="R281" s="23">
        <v>151</v>
      </c>
      <c r="S281" s="23">
        <v>175</v>
      </c>
      <c r="T281" s="23">
        <v>250</v>
      </c>
      <c r="U281" s="23">
        <v>245</v>
      </c>
      <c r="V281" s="23">
        <v>227</v>
      </c>
      <c r="W281" s="23">
        <v>234</v>
      </c>
      <c r="X281" s="23">
        <v>200</v>
      </c>
      <c r="Y281" s="23">
        <v>226</v>
      </c>
      <c r="Z281" s="23">
        <v>250</v>
      </c>
      <c r="AA281" s="23">
        <v>263.65100000000001</v>
      </c>
      <c r="AB281" s="23">
        <v>247.52</v>
      </c>
    </row>
    <row r="282" spans="1:28" x14ac:dyDescent="0.2">
      <c r="A282" s="16" t="s">
        <v>45</v>
      </c>
      <c r="B282" s="17" t="s">
        <v>72</v>
      </c>
      <c r="C282" s="17" t="s">
        <v>8</v>
      </c>
      <c r="D282" s="17" t="s">
        <v>10</v>
      </c>
      <c r="E282" s="17" t="s">
        <v>20</v>
      </c>
      <c r="F282" s="17" t="str">
        <f>INDEX(nrg_cb_e!$A$3:$A$40,MATCH(LEFT(MID('Industriesektor GWh'!$B282,41,1000),SEARCH(" - ",MID('Industriesektor GWh'!$B282,41,1000))-1),nrg_cb_e!$C$3:$C$40,0))</f>
        <v>FC_IND_CON_E</v>
      </c>
      <c r="G282" s="18">
        <v>115</v>
      </c>
      <c r="J282" t="s">
        <v>51</v>
      </c>
      <c r="K282" t="s">
        <v>124</v>
      </c>
      <c r="L282" s="23">
        <v>0</v>
      </c>
      <c r="M282" s="23">
        <v>0</v>
      </c>
      <c r="N282" s="23">
        <v>0</v>
      </c>
      <c r="O282" s="23">
        <v>0</v>
      </c>
      <c r="P282" s="23">
        <v>0</v>
      </c>
      <c r="Q282" s="23">
        <v>0</v>
      </c>
      <c r="R282" s="23">
        <v>0</v>
      </c>
      <c r="S282" s="23">
        <v>0</v>
      </c>
      <c r="T282" s="23">
        <v>0</v>
      </c>
      <c r="U282" s="23">
        <v>0</v>
      </c>
      <c r="V282" s="23">
        <v>0</v>
      </c>
      <c r="W282" s="23">
        <v>0</v>
      </c>
      <c r="X282" s="23">
        <v>0</v>
      </c>
      <c r="Y282" s="23">
        <v>0</v>
      </c>
      <c r="Z282" s="23">
        <v>0</v>
      </c>
      <c r="AA282" s="23">
        <v>3358.1179999999999</v>
      </c>
      <c r="AB282" s="23">
        <v>3485.1869999999999</v>
      </c>
    </row>
    <row r="283" spans="1:28" x14ac:dyDescent="0.2">
      <c r="A283" s="19" t="s">
        <v>45</v>
      </c>
      <c r="B283" s="20" t="s">
        <v>72</v>
      </c>
      <c r="C283" s="20" t="s">
        <v>8</v>
      </c>
      <c r="D283" s="20" t="s">
        <v>10</v>
      </c>
      <c r="E283" s="20" t="s">
        <v>21</v>
      </c>
      <c r="F283" s="20" t="str">
        <f>INDEX(nrg_cb_e!$A$3:$A$40,MATCH(LEFT(MID('Industriesektor GWh'!$B283,41,1000),SEARCH(" - ",MID('Industriesektor GWh'!$B283,41,1000))-1),nrg_cb_e!$C$3:$C$40,0))</f>
        <v>FC_IND_CON_E</v>
      </c>
      <c r="G283" s="21">
        <v>116</v>
      </c>
      <c r="J283" t="s">
        <v>51</v>
      </c>
      <c r="K283" t="s">
        <v>126</v>
      </c>
      <c r="L283" s="23">
        <v>1715</v>
      </c>
      <c r="M283" s="23">
        <v>1038</v>
      </c>
      <c r="N283" s="23">
        <v>2056</v>
      </c>
      <c r="O283" s="23">
        <v>2088</v>
      </c>
      <c r="P283" s="23">
        <v>3138</v>
      </c>
      <c r="Q283" s="23">
        <v>2196</v>
      </c>
      <c r="R283" s="23">
        <v>2092</v>
      </c>
      <c r="S283" s="23">
        <v>1714</v>
      </c>
      <c r="T283" s="23">
        <v>1914</v>
      </c>
      <c r="U283" s="23">
        <v>1924</v>
      </c>
      <c r="V283" s="23">
        <v>1893</v>
      </c>
      <c r="W283" s="23">
        <v>1775</v>
      </c>
      <c r="X283" s="23">
        <v>1903</v>
      </c>
      <c r="Y283" s="23">
        <v>2374</v>
      </c>
      <c r="Z283" s="23">
        <v>2556</v>
      </c>
      <c r="AA283" s="23">
        <v>2646.5450000000001</v>
      </c>
      <c r="AB283" s="23">
        <v>2521.5590000000002</v>
      </c>
    </row>
    <row r="284" spans="1:28" x14ac:dyDescent="0.2">
      <c r="A284" s="16" t="s">
        <v>45</v>
      </c>
      <c r="B284" s="17" t="s">
        <v>72</v>
      </c>
      <c r="C284" s="17" t="s">
        <v>8</v>
      </c>
      <c r="D284" s="17" t="s">
        <v>10</v>
      </c>
      <c r="E284" s="17" t="s">
        <v>22</v>
      </c>
      <c r="F284" s="17" t="str">
        <f>INDEX(nrg_cb_e!$A$3:$A$40,MATCH(LEFT(MID('Industriesektor GWh'!$B284,41,1000),SEARCH(" - ",MID('Industriesektor GWh'!$B284,41,1000))-1),nrg_cb_e!$C$3:$C$40,0))</f>
        <v>FC_IND_CON_E</v>
      </c>
      <c r="G284" s="18">
        <v>447</v>
      </c>
      <c r="J284" t="s">
        <v>51</v>
      </c>
      <c r="K284" t="s">
        <v>136</v>
      </c>
      <c r="L284" s="23">
        <v>694</v>
      </c>
      <c r="M284" s="23">
        <v>812</v>
      </c>
      <c r="N284" s="23">
        <v>707</v>
      </c>
      <c r="O284" s="23">
        <v>542</v>
      </c>
      <c r="P284" s="23">
        <v>655</v>
      </c>
      <c r="Q284" s="23">
        <v>621</v>
      </c>
      <c r="R284" s="23">
        <v>438</v>
      </c>
      <c r="S284" s="23">
        <v>341</v>
      </c>
      <c r="T284" s="23">
        <v>570</v>
      </c>
      <c r="U284" s="23">
        <v>442</v>
      </c>
      <c r="V284" s="23">
        <v>412</v>
      </c>
      <c r="W284" s="23">
        <v>415</v>
      </c>
      <c r="X284" s="23">
        <v>553</v>
      </c>
      <c r="Y284" s="23">
        <v>621</v>
      </c>
      <c r="Z284" s="23">
        <v>664</v>
      </c>
      <c r="AA284" s="23">
        <v>749.02</v>
      </c>
      <c r="AB284" s="23">
        <v>759.83399999999995</v>
      </c>
    </row>
    <row r="285" spans="1:28" x14ac:dyDescent="0.2">
      <c r="A285" s="19" t="s">
        <v>45</v>
      </c>
      <c r="B285" s="20" t="s">
        <v>72</v>
      </c>
      <c r="C285" s="20" t="s">
        <v>8</v>
      </c>
      <c r="D285" s="20" t="s">
        <v>10</v>
      </c>
      <c r="E285" s="20" t="s">
        <v>23</v>
      </c>
      <c r="F285" s="20" t="str">
        <f>INDEX(nrg_cb_e!$A$3:$A$40,MATCH(LEFT(MID('Industriesektor GWh'!$B285,41,1000),SEARCH(" - ",MID('Industriesektor GWh'!$B285,41,1000))-1),nrg_cb_e!$C$3:$C$40,0))</f>
        <v>FC_IND_CON_E</v>
      </c>
      <c r="G285" s="21">
        <v>327</v>
      </c>
      <c r="J285" t="s">
        <v>51</v>
      </c>
      <c r="K285" t="s">
        <v>128</v>
      </c>
      <c r="L285" s="23">
        <v>467</v>
      </c>
      <c r="M285" s="23">
        <v>399</v>
      </c>
      <c r="N285" s="23">
        <v>508</v>
      </c>
      <c r="O285" s="23">
        <v>479</v>
      </c>
      <c r="P285" s="23">
        <v>835</v>
      </c>
      <c r="Q285" s="23">
        <v>914</v>
      </c>
      <c r="R285" s="23">
        <v>891</v>
      </c>
      <c r="S285" s="23">
        <v>849</v>
      </c>
      <c r="T285" s="23">
        <v>476</v>
      </c>
      <c r="U285" s="23">
        <v>972</v>
      </c>
      <c r="V285" s="23">
        <v>1011</v>
      </c>
      <c r="W285" s="23">
        <v>1226</v>
      </c>
      <c r="X285" s="23">
        <v>1397</v>
      </c>
      <c r="Y285" s="23">
        <v>1398</v>
      </c>
      <c r="Z285" s="23">
        <v>1384</v>
      </c>
      <c r="AA285" s="23">
        <v>1431.107</v>
      </c>
      <c r="AB285" s="23">
        <v>1657.626</v>
      </c>
    </row>
    <row r="286" spans="1:28" x14ac:dyDescent="0.2">
      <c r="A286" s="16" t="s">
        <v>45</v>
      </c>
      <c r="B286" s="17" t="s">
        <v>72</v>
      </c>
      <c r="C286" s="17" t="s">
        <v>8</v>
      </c>
      <c r="D286" s="17" t="s">
        <v>10</v>
      </c>
      <c r="E286" s="17" t="s">
        <v>24</v>
      </c>
      <c r="F286" s="17" t="str">
        <f>INDEX(nrg_cb_e!$A$3:$A$40,MATCH(LEFT(MID('Industriesektor GWh'!$B286,41,1000),SEARCH(" - ",MID('Industriesektor GWh'!$B286,41,1000))-1),nrg_cb_e!$C$3:$C$40,0))</f>
        <v>FC_IND_CON_E</v>
      </c>
      <c r="G286" s="18">
        <v>261</v>
      </c>
      <c r="J286" t="s">
        <v>51</v>
      </c>
      <c r="K286" t="s">
        <v>142</v>
      </c>
      <c r="L286" s="23">
        <v>1206</v>
      </c>
      <c r="M286" s="23">
        <v>990</v>
      </c>
      <c r="N286" s="23">
        <v>998</v>
      </c>
      <c r="O286" s="23">
        <v>605</v>
      </c>
      <c r="P286" s="23">
        <v>822</v>
      </c>
      <c r="Q286" s="23">
        <v>849</v>
      </c>
      <c r="R286" s="23">
        <v>1133</v>
      </c>
      <c r="S286" s="23">
        <v>659</v>
      </c>
      <c r="T286" s="23">
        <v>813</v>
      </c>
      <c r="U286" s="23">
        <v>778</v>
      </c>
      <c r="V286" s="23">
        <v>730</v>
      </c>
      <c r="W286" s="23">
        <v>794</v>
      </c>
      <c r="X286" s="23">
        <v>851</v>
      </c>
      <c r="Y286" s="23">
        <v>745</v>
      </c>
      <c r="Z286" s="23">
        <v>707</v>
      </c>
      <c r="AA286" s="23">
        <v>680.71600000000001</v>
      </c>
      <c r="AB286" s="23">
        <v>663.19799999999998</v>
      </c>
    </row>
    <row r="287" spans="1:28" x14ac:dyDescent="0.2">
      <c r="A287" s="19" t="s">
        <v>45</v>
      </c>
      <c r="B287" s="20" t="s">
        <v>72</v>
      </c>
      <c r="C287" s="20" t="s">
        <v>8</v>
      </c>
      <c r="D287" s="20" t="s">
        <v>10</v>
      </c>
      <c r="E287" s="20" t="s">
        <v>25</v>
      </c>
      <c r="F287" s="20" t="str">
        <f>INDEX(nrg_cb_e!$A$3:$A$40,MATCH(LEFT(MID('Industriesektor GWh'!$B287,41,1000),SEARCH(" - ",MID('Industriesektor GWh'!$B287,41,1000))-1),nrg_cb_e!$C$3:$C$40,0))</f>
        <v>FC_IND_CON_E</v>
      </c>
      <c r="G287" s="21">
        <v>288</v>
      </c>
      <c r="J287" t="s">
        <v>51</v>
      </c>
      <c r="K287" t="s">
        <v>138</v>
      </c>
      <c r="L287" s="23">
        <v>544</v>
      </c>
      <c r="M287" s="23">
        <v>293</v>
      </c>
      <c r="N287" s="23">
        <v>715</v>
      </c>
      <c r="O287" s="23">
        <v>549</v>
      </c>
      <c r="P287" s="23">
        <v>735</v>
      </c>
      <c r="Q287" s="23">
        <v>653</v>
      </c>
      <c r="R287" s="23">
        <v>879</v>
      </c>
      <c r="S287" s="23">
        <v>740</v>
      </c>
      <c r="T287" s="23">
        <v>701</v>
      </c>
      <c r="U287" s="23">
        <v>718</v>
      </c>
      <c r="V287" s="23">
        <v>847</v>
      </c>
      <c r="W287" s="23">
        <v>940</v>
      </c>
      <c r="X287" s="23">
        <v>912</v>
      </c>
      <c r="Y287" s="23">
        <v>980</v>
      </c>
      <c r="Z287" s="23">
        <v>968</v>
      </c>
      <c r="AA287" s="23">
        <v>1053.046</v>
      </c>
      <c r="AB287" s="23">
        <v>1035.8240000000001</v>
      </c>
    </row>
    <row r="288" spans="1:28" x14ac:dyDescent="0.2">
      <c r="A288" s="16" t="s">
        <v>45</v>
      </c>
      <c r="B288" s="17" t="s">
        <v>72</v>
      </c>
      <c r="C288" s="17" t="s">
        <v>8</v>
      </c>
      <c r="D288" s="17" t="s">
        <v>10</v>
      </c>
      <c r="E288" s="17" t="s">
        <v>26</v>
      </c>
      <c r="F288" s="17" t="str">
        <f>INDEX(nrg_cb_e!$A$3:$A$40,MATCH(LEFT(MID('Industriesektor GWh'!$B288,41,1000),SEARCH(" - ",MID('Industriesektor GWh'!$B288,41,1000))-1),nrg_cb_e!$C$3:$C$40,0))</f>
        <v>FC_IND_CON_E</v>
      </c>
      <c r="G288" s="18">
        <v>323</v>
      </c>
      <c r="J288" t="s">
        <v>51</v>
      </c>
      <c r="K288" t="s">
        <v>116</v>
      </c>
      <c r="L288" s="23">
        <v>1373</v>
      </c>
      <c r="M288" s="23">
        <v>1236</v>
      </c>
      <c r="N288" s="23">
        <v>1474</v>
      </c>
      <c r="O288" s="23">
        <v>1554</v>
      </c>
      <c r="P288" s="23">
        <v>1008</v>
      </c>
      <c r="Q288" s="23">
        <v>1251</v>
      </c>
      <c r="R288" s="23">
        <v>1025</v>
      </c>
      <c r="S288" s="23">
        <v>896</v>
      </c>
      <c r="T288" s="23">
        <v>962</v>
      </c>
      <c r="U288" s="23">
        <v>1267</v>
      </c>
      <c r="V288" s="23">
        <v>979</v>
      </c>
      <c r="W288" s="23">
        <v>1144</v>
      </c>
      <c r="X288" s="23">
        <v>1074</v>
      </c>
      <c r="Y288" s="23">
        <v>1080</v>
      </c>
      <c r="Z288" s="23">
        <v>1157</v>
      </c>
      <c r="AA288" s="23">
        <v>1157.864</v>
      </c>
      <c r="AB288" s="23">
        <v>1140.7190000000001</v>
      </c>
    </row>
    <row r="289" spans="1:28" x14ac:dyDescent="0.2">
      <c r="A289" s="19" t="s">
        <v>45</v>
      </c>
      <c r="B289" s="20" t="s">
        <v>72</v>
      </c>
      <c r="C289" s="20" t="s">
        <v>8</v>
      </c>
      <c r="D289" s="20" t="s">
        <v>10</v>
      </c>
      <c r="E289" s="20" t="s">
        <v>27</v>
      </c>
      <c r="F289" s="20" t="str">
        <f>INDEX(nrg_cb_e!$A$3:$A$40,MATCH(LEFT(MID('Industriesektor GWh'!$B289,41,1000),SEARCH(" - ",MID('Industriesektor GWh'!$B289,41,1000))-1),nrg_cb_e!$C$3:$C$40,0))</f>
        <v>FC_IND_CON_E</v>
      </c>
      <c r="G289" s="21">
        <v>336</v>
      </c>
      <c r="J289" t="s">
        <v>55</v>
      </c>
      <c r="K289" t="s">
        <v>140</v>
      </c>
      <c r="L289" s="23">
        <v>861</v>
      </c>
      <c r="M289" s="23">
        <v>806</v>
      </c>
      <c r="N289" s="23">
        <v>822</v>
      </c>
      <c r="O289" s="23">
        <v>803</v>
      </c>
      <c r="P289" s="23">
        <v>871</v>
      </c>
      <c r="Q289" s="23">
        <v>885</v>
      </c>
      <c r="R289" s="23">
        <v>920</v>
      </c>
      <c r="S289" s="23">
        <v>1074</v>
      </c>
      <c r="T289" s="23">
        <v>1207</v>
      </c>
      <c r="U289" s="23">
        <v>1107</v>
      </c>
      <c r="V289" s="23">
        <v>1096</v>
      </c>
      <c r="W289" s="23">
        <v>1120</v>
      </c>
      <c r="X289" s="23">
        <v>1079</v>
      </c>
      <c r="Y289" s="23">
        <v>1212</v>
      </c>
      <c r="Z289" s="23">
        <v>1337</v>
      </c>
      <c r="AA289" s="23">
        <v>1378</v>
      </c>
      <c r="AB289" s="23">
        <v>1483</v>
      </c>
    </row>
    <row r="290" spans="1:28" x14ac:dyDescent="0.2">
      <c r="A290" s="16" t="s">
        <v>45</v>
      </c>
      <c r="B290" s="17" t="s">
        <v>72</v>
      </c>
      <c r="C290" s="17" t="s">
        <v>8</v>
      </c>
      <c r="D290" s="17" t="s">
        <v>10</v>
      </c>
      <c r="E290" s="17" t="s">
        <v>28</v>
      </c>
      <c r="F290" s="17" t="str">
        <f>INDEX(nrg_cb_e!$A$3:$A$40,MATCH(LEFT(MID('Industriesektor GWh'!$B290,41,1000),SEARCH(" - ",MID('Industriesektor GWh'!$B290,41,1000))-1),nrg_cb_e!$C$3:$C$40,0))</f>
        <v>FC_IND_CON_E</v>
      </c>
      <c r="G290" s="18">
        <v>466</v>
      </c>
      <c r="J290" t="s">
        <v>55</v>
      </c>
      <c r="K290" t="s">
        <v>122</v>
      </c>
      <c r="L290" s="23">
        <v>5560</v>
      </c>
      <c r="M290" s="23">
        <v>6663</v>
      </c>
      <c r="N290" s="23">
        <v>6796</v>
      </c>
      <c r="O290" s="23">
        <v>6635</v>
      </c>
      <c r="P290" s="23">
        <v>6353</v>
      </c>
      <c r="Q290" s="23">
        <v>6137</v>
      </c>
      <c r="R290" s="23">
        <v>5904</v>
      </c>
      <c r="S290" s="23">
        <v>4474</v>
      </c>
      <c r="T290" s="23">
        <v>4914</v>
      </c>
      <c r="U290" s="23">
        <v>4611</v>
      </c>
      <c r="V290" s="23">
        <v>4600</v>
      </c>
      <c r="W290" s="23">
        <v>4615</v>
      </c>
      <c r="X290" s="23">
        <v>4483</v>
      </c>
      <c r="Y290" s="23">
        <v>4400</v>
      </c>
      <c r="Z290" s="23">
        <v>4607</v>
      </c>
      <c r="AA290" s="23">
        <v>4655</v>
      </c>
      <c r="AB290" s="23">
        <v>4389</v>
      </c>
    </row>
    <row r="291" spans="1:28" x14ac:dyDescent="0.2">
      <c r="A291" s="19" t="s">
        <v>46</v>
      </c>
      <c r="B291" s="20" t="s">
        <v>72</v>
      </c>
      <c r="C291" s="20" t="s">
        <v>8</v>
      </c>
      <c r="D291" s="20" t="s">
        <v>10</v>
      </c>
      <c r="E291" s="20" t="s">
        <v>12</v>
      </c>
      <c r="F291" s="20" t="str">
        <f>INDEX(nrg_cb_e!$A$3:$A$40,MATCH(LEFT(MID('Industriesektor GWh'!$B291,41,1000),SEARCH(" - ",MID('Industriesektor GWh'!$B291,41,1000))-1),nrg_cb_e!$C$3:$C$40,0))</f>
        <v>FC_IND_CON_E</v>
      </c>
      <c r="G291" s="21">
        <v>0</v>
      </c>
      <c r="J291" t="s">
        <v>55</v>
      </c>
      <c r="K291" t="s">
        <v>134</v>
      </c>
      <c r="L291" s="23">
        <v>2683</v>
      </c>
      <c r="M291" s="23">
        <v>2470</v>
      </c>
      <c r="N291" s="23">
        <v>2519</v>
      </c>
      <c r="O291" s="23">
        <v>2433</v>
      </c>
      <c r="P291" s="23">
        <v>2437</v>
      </c>
      <c r="Q291" s="23">
        <v>2464</v>
      </c>
      <c r="R291" s="23">
        <v>2495</v>
      </c>
      <c r="S291" s="23">
        <v>2384</v>
      </c>
      <c r="T291" s="23">
        <v>2575</v>
      </c>
      <c r="U291" s="23">
        <v>2495</v>
      </c>
      <c r="V291" s="23">
        <v>2460</v>
      </c>
      <c r="W291" s="23">
        <v>2400</v>
      </c>
      <c r="X291" s="23">
        <v>2452</v>
      </c>
      <c r="Y291" s="23">
        <v>2415</v>
      </c>
      <c r="Z291" s="23">
        <v>2409</v>
      </c>
      <c r="AA291" s="23">
        <v>2397</v>
      </c>
      <c r="AB291" s="23">
        <v>2373</v>
      </c>
    </row>
    <row r="292" spans="1:28" x14ac:dyDescent="0.2">
      <c r="A292" s="16" t="s">
        <v>46</v>
      </c>
      <c r="B292" s="17" t="s">
        <v>72</v>
      </c>
      <c r="C292" s="17" t="s">
        <v>8</v>
      </c>
      <c r="D292" s="17" t="s">
        <v>10</v>
      </c>
      <c r="E292" s="17" t="s">
        <v>13</v>
      </c>
      <c r="F292" s="17" t="str">
        <f>INDEX(nrg_cb_e!$A$3:$A$40,MATCH(LEFT(MID('Industriesektor GWh'!$B292,41,1000),SEARCH(" - ",MID('Industriesektor GWh'!$B292,41,1000))-1),nrg_cb_e!$C$3:$C$40,0))</f>
        <v>FC_IND_CON_E</v>
      </c>
      <c r="G292" s="18">
        <v>0</v>
      </c>
      <c r="J292" t="s">
        <v>55</v>
      </c>
      <c r="K292" t="s">
        <v>120</v>
      </c>
      <c r="L292" s="23">
        <v>4873</v>
      </c>
      <c r="M292" s="23">
        <v>4850</v>
      </c>
      <c r="N292" s="23">
        <v>4947</v>
      </c>
      <c r="O292" s="23">
        <v>5356</v>
      </c>
      <c r="P292" s="23">
        <v>5287</v>
      </c>
      <c r="Q292" s="23">
        <v>5218</v>
      </c>
      <c r="R292" s="23">
        <v>5201</v>
      </c>
      <c r="S292" s="23">
        <v>3662</v>
      </c>
      <c r="T292" s="23">
        <v>4572</v>
      </c>
      <c r="U292" s="23">
        <v>4986</v>
      </c>
      <c r="V292" s="23">
        <v>4507</v>
      </c>
      <c r="W292" s="23">
        <v>4438</v>
      </c>
      <c r="X292" s="23">
        <v>4329</v>
      </c>
      <c r="Y292" s="23">
        <v>4399</v>
      </c>
      <c r="Z292" s="23">
        <v>4387</v>
      </c>
      <c r="AA292" s="23">
        <v>4562</v>
      </c>
      <c r="AB292" s="23">
        <v>4601</v>
      </c>
    </row>
    <row r="293" spans="1:28" x14ac:dyDescent="0.2">
      <c r="A293" s="19" t="s">
        <v>46</v>
      </c>
      <c r="B293" s="20" t="s">
        <v>72</v>
      </c>
      <c r="C293" s="20" t="s">
        <v>8</v>
      </c>
      <c r="D293" s="20" t="s">
        <v>10</v>
      </c>
      <c r="E293" s="20" t="s">
        <v>14</v>
      </c>
      <c r="F293" s="20" t="str">
        <f>INDEX(nrg_cb_e!$A$3:$A$40,MATCH(LEFT(MID('Industriesektor GWh'!$B293,41,1000),SEARCH(" - ",MID('Industriesektor GWh'!$B293,41,1000))-1),nrg_cb_e!$C$3:$C$40,0))</f>
        <v>FC_IND_CON_E</v>
      </c>
      <c r="G293" s="21">
        <v>0</v>
      </c>
      <c r="J293" t="s">
        <v>55</v>
      </c>
      <c r="K293" t="s">
        <v>130</v>
      </c>
      <c r="L293" s="23">
        <v>1803</v>
      </c>
      <c r="M293" s="23">
        <v>1781</v>
      </c>
      <c r="N293" s="23">
        <v>1817</v>
      </c>
      <c r="O293" s="23">
        <v>1746</v>
      </c>
      <c r="P293" s="23">
        <v>1851</v>
      </c>
      <c r="Q293" s="23">
        <v>1730</v>
      </c>
      <c r="R293" s="23">
        <v>1495</v>
      </c>
      <c r="S293" s="23">
        <v>2035</v>
      </c>
      <c r="T293" s="23">
        <v>3997</v>
      </c>
      <c r="U293" s="23">
        <v>3739</v>
      </c>
      <c r="V293" s="23">
        <v>3628</v>
      </c>
      <c r="W293" s="23">
        <v>3483</v>
      </c>
      <c r="X293" s="23">
        <v>3654</v>
      </c>
      <c r="Y293" s="23">
        <v>3381</v>
      </c>
      <c r="Z293" s="23">
        <v>3276</v>
      </c>
      <c r="AA293" s="23">
        <v>3330</v>
      </c>
      <c r="AB293" s="23">
        <v>3399</v>
      </c>
    </row>
    <row r="294" spans="1:28" x14ac:dyDescent="0.2">
      <c r="A294" s="16" t="s">
        <v>46</v>
      </c>
      <c r="B294" s="17" t="s">
        <v>72</v>
      </c>
      <c r="C294" s="17" t="s">
        <v>8</v>
      </c>
      <c r="D294" s="17" t="s">
        <v>10</v>
      </c>
      <c r="E294" s="17" t="s">
        <v>15</v>
      </c>
      <c r="F294" s="17" t="str">
        <f>INDEX(nrg_cb_e!$A$3:$A$40,MATCH(LEFT(MID('Industriesektor GWh'!$B294,41,1000),SEARCH(" - ",MID('Industriesektor GWh'!$B294,41,1000))-1),nrg_cb_e!$C$3:$C$40,0))</f>
        <v>FC_IND_CON_E</v>
      </c>
      <c r="G294" s="18">
        <v>0</v>
      </c>
      <c r="J294" t="s">
        <v>55</v>
      </c>
      <c r="K294" t="s">
        <v>132</v>
      </c>
      <c r="L294" s="23">
        <v>2579</v>
      </c>
      <c r="M294" s="23">
        <v>2583</v>
      </c>
      <c r="N294" s="23">
        <v>2635</v>
      </c>
      <c r="O294" s="23">
        <v>2515</v>
      </c>
      <c r="P294" s="23">
        <v>2561</v>
      </c>
      <c r="Q294" s="23">
        <v>2569</v>
      </c>
      <c r="R294" s="23">
        <v>3001</v>
      </c>
      <c r="S294" s="23">
        <v>2423</v>
      </c>
      <c r="T294" s="23">
        <v>3057</v>
      </c>
      <c r="U294" s="23">
        <v>3325</v>
      </c>
      <c r="V294" s="23">
        <v>3289</v>
      </c>
      <c r="W294" s="23">
        <v>3702</v>
      </c>
      <c r="X294" s="23">
        <v>0</v>
      </c>
      <c r="Y294" s="23">
        <v>3530</v>
      </c>
      <c r="Z294" s="23">
        <v>3612</v>
      </c>
      <c r="AA294" s="23">
        <v>3727</v>
      </c>
      <c r="AB294" s="23">
        <v>3728</v>
      </c>
    </row>
    <row r="295" spans="1:28" x14ac:dyDescent="0.2">
      <c r="A295" s="19" t="s">
        <v>46</v>
      </c>
      <c r="B295" s="20" t="s">
        <v>72</v>
      </c>
      <c r="C295" s="20" t="s">
        <v>8</v>
      </c>
      <c r="D295" s="20" t="s">
        <v>10</v>
      </c>
      <c r="E295" s="20" t="s">
        <v>16</v>
      </c>
      <c r="F295" s="20" t="str">
        <f>INDEX(nrg_cb_e!$A$3:$A$40,MATCH(LEFT(MID('Industriesektor GWh'!$B295,41,1000),SEARCH(" - ",MID('Industriesektor GWh'!$B295,41,1000))-1),nrg_cb_e!$C$3:$C$40,0))</f>
        <v>FC_IND_CON_E</v>
      </c>
      <c r="G295" s="21">
        <v>0</v>
      </c>
      <c r="J295" t="s">
        <v>55</v>
      </c>
      <c r="K295" t="s">
        <v>124</v>
      </c>
      <c r="L295" s="23">
        <v>2972</v>
      </c>
      <c r="M295" s="23">
        <v>2943</v>
      </c>
      <c r="N295" s="23">
        <v>3002</v>
      </c>
      <c r="O295" s="23">
        <v>3268</v>
      </c>
      <c r="P295" s="23">
        <v>3225</v>
      </c>
      <c r="Q295" s="23">
        <v>3275</v>
      </c>
      <c r="R295" s="23">
        <v>3034</v>
      </c>
      <c r="S295" s="23">
        <v>2300</v>
      </c>
      <c r="T295" s="23">
        <v>2395</v>
      </c>
      <c r="U295" s="23">
        <v>3005</v>
      </c>
      <c r="V295" s="23">
        <v>3200</v>
      </c>
      <c r="W295" s="23">
        <v>3106</v>
      </c>
      <c r="X295" s="23">
        <v>2907</v>
      </c>
      <c r="Y295" s="23">
        <v>2890</v>
      </c>
      <c r="Z295" s="23">
        <v>2935</v>
      </c>
      <c r="AA295" s="23">
        <v>2972</v>
      </c>
      <c r="AB295" s="23">
        <v>3003</v>
      </c>
    </row>
    <row r="296" spans="1:28" x14ac:dyDescent="0.2">
      <c r="A296" s="16" t="s">
        <v>46</v>
      </c>
      <c r="B296" s="17" t="s">
        <v>72</v>
      </c>
      <c r="C296" s="17" t="s">
        <v>8</v>
      </c>
      <c r="D296" s="17" t="s">
        <v>10</v>
      </c>
      <c r="E296" s="17" t="s">
        <v>17</v>
      </c>
      <c r="F296" s="17" t="str">
        <f>INDEX(nrg_cb_e!$A$3:$A$40,MATCH(LEFT(MID('Industriesektor GWh'!$B296,41,1000),SEARCH(" - ",MID('Industriesektor GWh'!$B296,41,1000))-1),nrg_cb_e!$C$3:$C$40,0))</f>
        <v>FC_IND_CON_E</v>
      </c>
      <c r="G296" s="18">
        <v>0</v>
      </c>
      <c r="J296" t="s">
        <v>55</v>
      </c>
      <c r="K296" t="s">
        <v>126</v>
      </c>
      <c r="L296" s="23">
        <v>1177</v>
      </c>
      <c r="M296" s="23">
        <v>1133</v>
      </c>
      <c r="N296" s="23">
        <v>1156</v>
      </c>
      <c r="O296" s="23">
        <v>1045</v>
      </c>
      <c r="P296" s="23">
        <v>1052</v>
      </c>
      <c r="Q296" s="23">
        <v>1135</v>
      </c>
      <c r="R296" s="23">
        <v>1233</v>
      </c>
      <c r="S296" s="23">
        <v>961</v>
      </c>
      <c r="T296" s="23">
        <v>1049</v>
      </c>
      <c r="U296" s="23">
        <v>1021</v>
      </c>
      <c r="V296" s="23">
        <v>1009</v>
      </c>
      <c r="W296" s="23">
        <v>939</v>
      </c>
      <c r="X296" s="23">
        <v>958</v>
      </c>
      <c r="Y296" s="23">
        <v>947</v>
      </c>
      <c r="Z296" s="23">
        <v>986</v>
      </c>
      <c r="AA296" s="23">
        <v>1031</v>
      </c>
      <c r="AB296" s="23">
        <v>1020</v>
      </c>
    </row>
    <row r="297" spans="1:28" x14ac:dyDescent="0.2">
      <c r="A297" s="19" t="s">
        <v>46</v>
      </c>
      <c r="B297" s="20" t="s">
        <v>72</v>
      </c>
      <c r="C297" s="20" t="s">
        <v>8</v>
      </c>
      <c r="D297" s="20" t="s">
        <v>10</v>
      </c>
      <c r="E297" s="20" t="s">
        <v>18</v>
      </c>
      <c r="F297" s="20" t="str">
        <f>INDEX(nrg_cb_e!$A$3:$A$40,MATCH(LEFT(MID('Industriesektor GWh'!$B297,41,1000),SEARCH(" - ",MID('Industriesektor GWh'!$B297,41,1000))-1),nrg_cb_e!$C$3:$C$40,0))</f>
        <v>FC_IND_CON_E</v>
      </c>
      <c r="G297" s="21">
        <v>0</v>
      </c>
      <c r="J297" t="s">
        <v>55</v>
      </c>
      <c r="K297" t="s">
        <v>136</v>
      </c>
      <c r="L297" s="23">
        <v>22729</v>
      </c>
      <c r="M297" s="23">
        <v>22590</v>
      </c>
      <c r="N297" s="23">
        <v>23042</v>
      </c>
      <c r="O297" s="23">
        <v>23104</v>
      </c>
      <c r="P297" s="23">
        <v>24186</v>
      </c>
      <c r="Q297" s="23">
        <v>24766</v>
      </c>
      <c r="R297" s="23">
        <v>24523</v>
      </c>
      <c r="S297" s="23">
        <v>22305</v>
      </c>
      <c r="T297" s="23">
        <v>23021</v>
      </c>
      <c r="U297" s="23">
        <v>22851</v>
      </c>
      <c r="V297" s="23">
        <v>22972</v>
      </c>
      <c r="W297" s="23">
        <v>21656</v>
      </c>
      <c r="X297" s="23">
        <v>0</v>
      </c>
      <c r="Y297" s="23">
        <v>20476</v>
      </c>
      <c r="Z297" s="23">
        <v>20140</v>
      </c>
      <c r="AA297" s="23">
        <v>20272</v>
      </c>
      <c r="AB297" s="23">
        <v>20030</v>
      </c>
    </row>
    <row r="298" spans="1:28" x14ac:dyDescent="0.2">
      <c r="A298" s="16" t="s">
        <v>46</v>
      </c>
      <c r="B298" s="17" t="s">
        <v>72</v>
      </c>
      <c r="C298" s="17" t="s">
        <v>8</v>
      </c>
      <c r="D298" s="17" t="s">
        <v>10</v>
      </c>
      <c r="E298" s="17" t="s">
        <v>19</v>
      </c>
      <c r="F298" s="17" t="str">
        <f>INDEX(nrg_cb_e!$A$3:$A$40,MATCH(LEFT(MID('Industriesektor GWh'!$B298,41,1000),SEARCH(" - ",MID('Industriesektor GWh'!$B298,41,1000))-1),nrg_cb_e!$C$3:$C$40,0))</f>
        <v>FC_IND_CON_E</v>
      </c>
      <c r="G298" s="18">
        <v>0</v>
      </c>
      <c r="J298" t="s">
        <v>55</v>
      </c>
      <c r="K298" t="s">
        <v>128</v>
      </c>
      <c r="L298" s="23">
        <v>2600</v>
      </c>
      <c r="M298" s="23">
        <v>2392</v>
      </c>
      <c r="N298" s="23">
        <v>2440</v>
      </c>
      <c r="O298" s="23">
        <v>2609</v>
      </c>
      <c r="P298" s="23">
        <v>2472</v>
      </c>
      <c r="Q298" s="23">
        <v>2518</v>
      </c>
      <c r="R298" s="23">
        <v>2109</v>
      </c>
      <c r="S298" s="23">
        <v>1737</v>
      </c>
      <c r="T298" s="23">
        <v>1883</v>
      </c>
      <c r="U298" s="23">
        <v>2012</v>
      </c>
      <c r="V298" s="23">
        <v>1948</v>
      </c>
      <c r="W298" s="23">
        <v>1961</v>
      </c>
      <c r="X298" s="23">
        <v>1959</v>
      </c>
      <c r="Y298" s="23">
        <v>1930</v>
      </c>
      <c r="Z298" s="23">
        <v>1938</v>
      </c>
      <c r="AA298" s="23">
        <v>1977</v>
      </c>
      <c r="AB298" s="23">
        <v>1990</v>
      </c>
    </row>
    <row r="299" spans="1:28" x14ac:dyDescent="0.2">
      <c r="A299" s="19" t="s">
        <v>46</v>
      </c>
      <c r="B299" s="20" t="s">
        <v>72</v>
      </c>
      <c r="C299" s="20" t="s">
        <v>8</v>
      </c>
      <c r="D299" s="20" t="s">
        <v>10</v>
      </c>
      <c r="E299" s="20" t="s">
        <v>20</v>
      </c>
      <c r="F299" s="20" t="str">
        <f>INDEX(nrg_cb_e!$A$3:$A$40,MATCH(LEFT(MID('Industriesektor GWh'!$B299,41,1000),SEARCH(" - ",MID('Industriesektor GWh'!$B299,41,1000))-1),nrg_cb_e!$C$3:$C$40,0))</f>
        <v>FC_IND_CON_E</v>
      </c>
      <c r="G299" s="21">
        <v>16</v>
      </c>
      <c r="J299" t="s">
        <v>55</v>
      </c>
      <c r="K299" t="s">
        <v>142</v>
      </c>
      <c r="L299" s="23">
        <v>368</v>
      </c>
      <c r="M299" s="23">
        <v>323</v>
      </c>
      <c r="N299" s="23">
        <v>329</v>
      </c>
      <c r="O299" s="23">
        <v>255</v>
      </c>
      <c r="P299" s="23">
        <v>242</v>
      </c>
      <c r="Q299" s="23">
        <v>208</v>
      </c>
      <c r="R299" s="23">
        <v>270</v>
      </c>
      <c r="S299" s="23">
        <v>172</v>
      </c>
      <c r="T299" s="23">
        <v>189</v>
      </c>
      <c r="U299" s="23">
        <v>155</v>
      </c>
      <c r="V299" s="23">
        <v>145</v>
      </c>
      <c r="W299" s="23">
        <v>140</v>
      </c>
      <c r="X299" s="23">
        <v>190</v>
      </c>
      <c r="Y299" s="23">
        <v>198</v>
      </c>
      <c r="Z299" s="23">
        <v>204</v>
      </c>
      <c r="AA299" s="23">
        <v>203</v>
      </c>
      <c r="AB299" s="23">
        <v>200</v>
      </c>
    </row>
    <row r="300" spans="1:28" x14ac:dyDescent="0.2">
      <c r="A300" s="16" t="s">
        <v>46</v>
      </c>
      <c r="B300" s="17" t="s">
        <v>72</v>
      </c>
      <c r="C300" s="17" t="s">
        <v>8</v>
      </c>
      <c r="D300" s="17" t="s">
        <v>10</v>
      </c>
      <c r="E300" s="17" t="s">
        <v>21</v>
      </c>
      <c r="F300" s="17" t="str">
        <f>INDEX(nrg_cb_e!$A$3:$A$40,MATCH(LEFT(MID('Industriesektor GWh'!$B300,41,1000),SEARCH(" - ",MID('Industriesektor GWh'!$B300,41,1000))-1),nrg_cb_e!$C$3:$C$40,0))</f>
        <v>FC_IND_CON_E</v>
      </c>
      <c r="G300" s="18">
        <v>16</v>
      </c>
      <c r="J300" t="s">
        <v>55</v>
      </c>
      <c r="K300" t="s">
        <v>138</v>
      </c>
      <c r="L300" s="23">
        <v>2282</v>
      </c>
      <c r="M300" s="23">
        <v>2245</v>
      </c>
      <c r="N300" s="23">
        <v>2290</v>
      </c>
      <c r="O300" s="23">
        <v>2202</v>
      </c>
      <c r="P300" s="23">
        <v>2166</v>
      </c>
      <c r="Q300" s="23">
        <v>2231</v>
      </c>
      <c r="R300" s="23">
        <v>2223</v>
      </c>
      <c r="S300" s="23">
        <v>2067</v>
      </c>
      <c r="T300" s="23">
        <v>2225</v>
      </c>
      <c r="U300" s="23">
        <v>2031</v>
      </c>
      <c r="V300" s="23">
        <v>1927</v>
      </c>
      <c r="W300" s="23">
        <v>1837</v>
      </c>
      <c r="X300" s="23">
        <v>1877</v>
      </c>
      <c r="Y300" s="23">
        <v>1879</v>
      </c>
      <c r="Z300" s="23">
        <v>1871</v>
      </c>
      <c r="AA300" s="23">
        <v>1851</v>
      </c>
      <c r="AB300" s="23">
        <v>1825</v>
      </c>
    </row>
    <row r="301" spans="1:28" x14ac:dyDescent="0.2">
      <c r="A301" s="19" t="s">
        <v>46</v>
      </c>
      <c r="B301" s="20" t="s">
        <v>72</v>
      </c>
      <c r="C301" s="20" t="s">
        <v>8</v>
      </c>
      <c r="D301" s="20" t="s">
        <v>10</v>
      </c>
      <c r="E301" s="20" t="s">
        <v>22</v>
      </c>
      <c r="F301" s="20" t="str">
        <f>INDEX(nrg_cb_e!$A$3:$A$40,MATCH(LEFT(MID('Industriesektor GWh'!$B301,41,1000),SEARCH(" - ",MID('Industriesektor GWh'!$B301,41,1000))-1),nrg_cb_e!$C$3:$C$40,0))</f>
        <v>FC_IND_CON_E</v>
      </c>
      <c r="G301" s="21">
        <v>18</v>
      </c>
      <c r="J301" t="s">
        <v>55</v>
      </c>
      <c r="K301" t="s">
        <v>116</v>
      </c>
      <c r="L301" s="23">
        <v>6786</v>
      </c>
      <c r="M301" s="23">
        <v>5328</v>
      </c>
      <c r="N301" s="23">
        <v>5399</v>
      </c>
      <c r="O301" s="23">
        <v>5587</v>
      </c>
      <c r="P301" s="23">
        <v>4639</v>
      </c>
      <c r="Q301" s="23">
        <v>4847</v>
      </c>
      <c r="R301" s="23">
        <v>5256</v>
      </c>
      <c r="S301" s="23">
        <v>5837</v>
      </c>
      <c r="T301" s="23">
        <v>3302</v>
      </c>
      <c r="U301" s="23">
        <v>2464</v>
      </c>
      <c r="V301" s="23">
        <v>3296</v>
      </c>
      <c r="W301" s="23">
        <v>2617</v>
      </c>
      <c r="X301" s="23">
        <v>26842</v>
      </c>
      <c r="Y301" s="23">
        <v>2624</v>
      </c>
      <c r="Z301" s="23">
        <v>2587</v>
      </c>
      <c r="AA301" s="23">
        <v>2584</v>
      </c>
      <c r="AB301" s="23">
        <v>2678</v>
      </c>
    </row>
    <row r="302" spans="1:28" x14ac:dyDescent="0.2">
      <c r="A302" s="16" t="s">
        <v>46</v>
      </c>
      <c r="B302" s="17" t="s">
        <v>72</v>
      </c>
      <c r="C302" s="17" t="s">
        <v>8</v>
      </c>
      <c r="D302" s="17" t="s">
        <v>10</v>
      </c>
      <c r="E302" s="17" t="s">
        <v>23</v>
      </c>
      <c r="F302" s="17" t="str">
        <f>INDEX(nrg_cb_e!$A$3:$A$40,MATCH(LEFT(MID('Industriesektor GWh'!$B302,41,1000),SEARCH(" - ",MID('Industriesektor GWh'!$B302,41,1000))-1),nrg_cb_e!$C$3:$C$40,0))</f>
        <v>FC_IND_CON_E</v>
      </c>
      <c r="G302" s="18">
        <v>20</v>
      </c>
      <c r="J302" t="s">
        <v>59</v>
      </c>
      <c r="K302" t="s">
        <v>140</v>
      </c>
      <c r="L302" s="23">
        <v>0</v>
      </c>
      <c r="M302" s="23">
        <v>0</v>
      </c>
      <c r="N302" s="23">
        <v>318</v>
      </c>
      <c r="O302" s="23">
        <v>297</v>
      </c>
      <c r="P302" s="23">
        <v>190</v>
      </c>
      <c r="Q302" s="23">
        <v>214</v>
      </c>
      <c r="R302" s="23">
        <v>206</v>
      </c>
      <c r="S302" s="23">
        <v>310</v>
      </c>
      <c r="T302" s="23">
        <v>160</v>
      </c>
      <c r="U302" s="23">
        <v>326</v>
      </c>
      <c r="V302" s="23">
        <v>317</v>
      </c>
      <c r="W302" s="23">
        <v>310</v>
      </c>
      <c r="X302" s="23">
        <v>306</v>
      </c>
      <c r="Y302" s="23">
        <v>318</v>
      </c>
      <c r="Z302" s="23">
        <v>321</v>
      </c>
      <c r="AA302" s="23">
        <v>339.87</v>
      </c>
      <c r="AB302" s="23">
        <v>339.1</v>
      </c>
    </row>
    <row r="303" spans="1:28" x14ac:dyDescent="0.2">
      <c r="A303" s="19" t="s">
        <v>46</v>
      </c>
      <c r="B303" s="20" t="s">
        <v>72</v>
      </c>
      <c r="C303" s="20" t="s">
        <v>8</v>
      </c>
      <c r="D303" s="20" t="s">
        <v>10</v>
      </c>
      <c r="E303" s="20" t="s">
        <v>24</v>
      </c>
      <c r="F303" s="20" t="str">
        <f>INDEX(nrg_cb_e!$A$3:$A$40,MATCH(LEFT(MID('Industriesektor GWh'!$B303,41,1000),SEARCH(" - ",MID('Industriesektor GWh'!$B303,41,1000))-1),nrg_cb_e!$C$3:$C$40,0))</f>
        <v>FC_IND_CON_E</v>
      </c>
      <c r="G303" s="21">
        <v>26</v>
      </c>
      <c r="J303" t="s">
        <v>59</v>
      </c>
      <c r="K303" t="s">
        <v>122</v>
      </c>
      <c r="L303" s="23">
        <v>463</v>
      </c>
      <c r="M303" s="23">
        <v>433</v>
      </c>
      <c r="N303" s="23">
        <v>957</v>
      </c>
      <c r="O303" s="23">
        <v>840</v>
      </c>
      <c r="P303" s="23">
        <v>930</v>
      </c>
      <c r="Q303" s="23">
        <v>858</v>
      </c>
      <c r="R303" s="23">
        <v>1147</v>
      </c>
      <c r="S303" s="23">
        <v>625</v>
      </c>
      <c r="T303" s="23">
        <v>951</v>
      </c>
      <c r="U303" s="23">
        <v>611</v>
      </c>
      <c r="V303" s="23">
        <v>825</v>
      </c>
      <c r="W303" s="23">
        <v>932</v>
      </c>
      <c r="X303" s="23">
        <v>903</v>
      </c>
      <c r="Y303" s="23">
        <v>922</v>
      </c>
      <c r="Z303" s="23">
        <v>1202</v>
      </c>
      <c r="AA303" s="23">
        <v>1261.7249999999999</v>
      </c>
      <c r="AB303" s="23">
        <v>1347.587</v>
      </c>
    </row>
    <row r="304" spans="1:28" x14ac:dyDescent="0.2">
      <c r="A304" s="16" t="s">
        <v>46</v>
      </c>
      <c r="B304" s="17" t="s">
        <v>72</v>
      </c>
      <c r="C304" s="17" t="s">
        <v>8</v>
      </c>
      <c r="D304" s="17" t="s">
        <v>10</v>
      </c>
      <c r="E304" s="17" t="s">
        <v>25</v>
      </c>
      <c r="F304" s="17" t="str">
        <f>INDEX(nrg_cb_e!$A$3:$A$40,MATCH(LEFT(MID('Industriesektor GWh'!$B304,41,1000),SEARCH(" - ",MID('Industriesektor GWh'!$B304,41,1000))-1),nrg_cb_e!$C$3:$C$40,0))</f>
        <v>FC_IND_CON_E</v>
      </c>
      <c r="G304" s="18">
        <v>28</v>
      </c>
      <c r="J304" t="s">
        <v>59</v>
      </c>
      <c r="K304" t="s">
        <v>134</v>
      </c>
      <c r="L304" s="23">
        <v>0</v>
      </c>
      <c r="M304" s="23">
        <v>0</v>
      </c>
      <c r="N304" s="23">
        <v>835</v>
      </c>
      <c r="O304" s="23">
        <v>872</v>
      </c>
      <c r="P304" s="23">
        <v>1074</v>
      </c>
      <c r="Q304" s="23">
        <v>1274</v>
      </c>
      <c r="R304" s="23">
        <v>1039</v>
      </c>
      <c r="S304" s="23">
        <v>845</v>
      </c>
      <c r="T304" s="23">
        <v>1099</v>
      </c>
      <c r="U304" s="23">
        <v>1199</v>
      </c>
      <c r="V304" s="23">
        <v>1303</v>
      </c>
      <c r="W304" s="23">
        <v>1461</v>
      </c>
      <c r="X304" s="23">
        <v>1431</v>
      </c>
      <c r="Y304" s="23">
        <v>1522</v>
      </c>
      <c r="Z304" s="23">
        <v>1548</v>
      </c>
      <c r="AA304" s="23">
        <v>1625.327</v>
      </c>
      <c r="AB304" s="23">
        <v>1596.953</v>
      </c>
    </row>
    <row r="305" spans="1:28" x14ac:dyDescent="0.2">
      <c r="A305" s="19" t="s">
        <v>46</v>
      </c>
      <c r="B305" s="20" t="s">
        <v>72</v>
      </c>
      <c r="C305" s="20" t="s">
        <v>8</v>
      </c>
      <c r="D305" s="20" t="s">
        <v>10</v>
      </c>
      <c r="E305" s="20" t="s">
        <v>26</v>
      </c>
      <c r="F305" s="20" t="str">
        <f>INDEX(nrg_cb_e!$A$3:$A$40,MATCH(LEFT(MID('Industriesektor GWh'!$B305,41,1000),SEARCH(" - ",MID('Industriesektor GWh'!$B305,41,1000))-1),nrg_cb_e!$C$3:$C$40,0))</f>
        <v>FC_IND_CON_E</v>
      </c>
      <c r="G305" s="21">
        <v>24</v>
      </c>
      <c r="J305" t="s">
        <v>59</v>
      </c>
      <c r="K305" t="s">
        <v>120</v>
      </c>
      <c r="L305" s="23">
        <v>389</v>
      </c>
      <c r="M305" s="23">
        <v>364</v>
      </c>
      <c r="N305" s="23">
        <v>777</v>
      </c>
      <c r="O305" s="23">
        <v>918</v>
      </c>
      <c r="P305" s="23">
        <v>1118</v>
      </c>
      <c r="Q305" s="23">
        <v>937</v>
      </c>
      <c r="R305" s="23">
        <v>857</v>
      </c>
      <c r="S305" s="23">
        <v>648</v>
      </c>
      <c r="T305" s="23">
        <v>759</v>
      </c>
      <c r="U305" s="23">
        <v>886</v>
      </c>
      <c r="V305" s="23">
        <v>756</v>
      </c>
      <c r="W305" s="23">
        <v>396</v>
      </c>
      <c r="X305" s="23">
        <v>557</v>
      </c>
      <c r="Y305" s="23">
        <v>732</v>
      </c>
      <c r="Z305" s="23">
        <v>876</v>
      </c>
      <c r="AA305" s="23">
        <v>919.89</v>
      </c>
      <c r="AB305" s="23">
        <v>1342.549</v>
      </c>
    </row>
    <row r="306" spans="1:28" x14ac:dyDescent="0.2">
      <c r="A306" s="16" t="s">
        <v>46</v>
      </c>
      <c r="B306" s="17" t="s">
        <v>72</v>
      </c>
      <c r="C306" s="17" t="s">
        <v>8</v>
      </c>
      <c r="D306" s="17" t="s">
        <v>10</v>
      </c>
      <c r="E306" s="17" t="s">
        <v>27</v>
      </c>
      <c r="F306" s="17" t="str">
        <f>INDEX(nrg_cb_e!$A$3:$A$40,MATCH(LEFT(MID('Industriesektor GWh'!$B306,41,1000),SEARCH(" - ",MID('Industriesektor GWh'!$B306,41,1000))-1),nrg_cb_e!$C$3:$C$40,0))</f>
        <v>FC_IND_CON_E</v>
      </c>
      <c r="G306" s="18">
        <v>26.635000000000002</v>
      </c>
      <c r="J306" t="s">
        <v>59</v>
      </c>
      <c r="K306" t="s">
        <v>130</v>
      </c>
      <c r="L306" s="23">
        <v>0</v>
      </c>
      <c r="M306" s="23">
        <v>0</v>
      </c>
      <c r="N306" s="23">
        <v>408</v>
      </c>
      <c r="O306" s="23">
        <v>434</v>
      </c>
      <c r="P306" s="23">
        <v>475</v>
      </c>
      <c r="Q306" s="23">
        <v>876</v>
      </c>
      <c r="R306" s="23">
        <v>1185</v>
      </c>
      <c r="S306" s="23">
        <v>551</v>
      </c>
      <c r="T306" s="23">
        <v>660</v>
      </c>
      <c r="U306" s="23">
        <v>2062</v>
      </c>
      <c r="V306" s="23">
        <v>816</v>
      </c>
      <c r="W306" s="23">
        <v>788</v>
      </c>
      <c r="X306" s="23">
        <v>715</v>
      </c>
      <c r="Y306" s="23">
        <v>686</v>
      </c>
      <c r="Z306" s="23">
        <v>626</v>
      </c>
      <c r="AA306" s="23">
        <v>657.06399999999996</v>
      </c>
      <c r="AB306" s="23">
        <v>654.90200000000004</v>
      </c>
    </row>
    <row r="307" spans="1:28" x14ac:dyDescent="0.2">
      <c r="A307" s="19" t="s">
        <v>46</v>
      </c>
      <c r="B307" s="20" t="s">
        <v>72</v>
      </c>
      <c r="C307" s="20" t="s">
        <v>8</v>
      </c>
      <c r="D307" s="20" t="s">
        <v>10</v>
      </c>
      <c r="E307" s="20" t="s">
        <v>28</v>
      </c>
      <c r="F307" s="20" t="str">
        <f>INDEX(nrg_cb_e!$A$3:$A$40,MATCH(LEFT(MID('Industriesektor GWh'!$B307,41,1000),SEARCH(" - ",MID('Industriesektor GWh'!$B307,41,1000))-1),nrg_cb_e!$C$3:$C$40,0))</f>
        <v>FC_IND_CON_E</v>
      </c>
      <c r="G307" s="21">
        <v>27.37</v>
      </c>
      <c r="J307" t="s">
        <v>59</v>
      </c>
      <c r="K307" t="s">
        <v>132</v>
      </c>
      <c r="L307" s="23">
        <v>0</v>
      </c>
      <c r="M307" s="23">
        <v>0</v>
      </c>
      <c r="N307" s="23">
        <v>348</v>
      </c>
      <c r="O307" s="23">
        <v>356</v>
      </c>
      <c r="P307" s="23">
        <v>378</v>
      </c>
      <c r="Q307" s="23">
        <v>354</v>
      </c>
      <c r="R307" s="23">
        <v>513</v>
      </c>
      <c r="S307" s="23">
        <v>431</v>
      </c>
      <c r="T307" s="23">
        <v>530</v>
      </c>
      <c r="U307" s="23">
        <v>687</v>
      </c>
      <c r="V307" s="23">
        <v>815</v>
      </c>
      <c r="W307" s="23">
        <v>825</v>
      </c>
      <c r="X307" s="23">
        <v>863</v>
      </c>
      <c r="Y307" s="23">
        <v>843</v>
      </c>
      <c r="Z307" s="23">
        <v>432</v>
      </c>
      <c r="AA307" s="23">
        <v>453.89800000000002</v>
      </c>
      <c r="AB307" s="23">
        <v>407.21499999999997</v>
      </c>
    </row>
    <row r="308" spans="1:28" x14ac:dyDescent="0.2">
      <c r="A308" s="16" t="s">
        <v>47</v>
      </c>
      <c r="B308" s="17" t="s">
        <v>72</v>
      </c>
      <c r="C308" s="17" t="s">
        <v>8</v>
      </c>
      <c r="D308" s="17" t="s">
        <v>10</v>
      </c>
      <c r="E308" s="17" t="s">
        <v>12</v>
      </c>
      <c r="F308" s="17" t="str">
        <f>INDEX(nrg_cb_e!$A$3:$A$40,MATCH(LEFT(MID('Industriesektor GWh'!$B308,41,1000),SEARCH(" - ",MID('Industriesektor GWh'!$B308,41,1000))-1),nrg_cb_e!$C$3:$C$40,0))</f>
        <v>FC_IND_CON_E</v>
      </c>
      <c r="G308" s="18">
        <v>1035</v>
      </c>
      <c r="J308" t="s">
        <v>59</v>
      </c>
      <c r="K308" t="s">
        <v>124</v>
      </c>
      <c r="L308" s="23">
        <v>0</v>
      </c>
      <c r="M308" s="23">
        <v>0</v>
      </c>
      <c r="N308" s="23">
        <v>301</v>
      </c>
      <c r="O308" s="23">
        <v>350</v>
      </c>
      <c r="P308" s="23">
        <v>379</v>
      </c>
      <c r="Q308" s="23">
        <v>290</v>
      </c>
      <c r="R308" s="23">
        <v>373</v>
      </c>
      <c r="S308" s="23">
        <v>193</v>
      </c>
      <c r="T308" s="23">
        <v>263</v>
      </c>
      <c r="U308" s="23">
        <v>316</v>
      </c>
      <c r="V308" s="23">
        <v>388</v>
      </c>
      <c r="W308" s="23">
        <v>400</v>
      </c>
      <c r="X308" s="23">
        <v>340</v>
      </c>
      <c r="Y308" s="23">
        <v>369</v>
      </c>
      <c r="Z308" s="23">
        <v>424</v>
      </c>
      <c r="AA308" s="23">
        <v>445.03</v>
      </c>
      <c r="AB308" s="23">
        <v>439.96</v>
      </c>
    </row>
    <row r="309" spans="1:28" x14ac:dyDescent="0.2">
      <c r="A309" s="19" t="s">
        <v>47</v>
      </c>
      <c r="B309" s="20" t="s">
        <v>72</v>
      </c>
      <c r="C309" s="20" t="s">
        <v>8</v>
      </c>
      <c r="D309" s="20" t="s">
        <v>10</v>
      </c>
      <c r="E309" s="20" t="s">
        <v>13</v>
      </c>
      <c r="F309" s="20" t="str">
        <f>INDEX(nrg_cb_e!$A$3:$A$40,MATCH(LEFT(MID('Industriesektor GWh'!$B309,41,1000),SEARCH(" - ",MID('Industriesektor GWh'!$B309,41,1000))-1),nrg_cb_e!$C$3:$C$40,0))</f>
        <v>FC_IND_CON_E</v>
      </c>
      <c r="G309" s="21">
        <v>992</v>
      </c>
      <c r="J309" t="s">
        <v>59</v>
      </c>
      <c r="K309" t="s">
        <v>126</v>
      </c>
      <c r="L309" s="23">
        <v>0</v>
      </c>
      <c r="M309" s="23">
        <v>0</v>
      </c>
      <c r="N309" s="23">
        <v>684</v>
      </c>
      <c r="O309" s="23">
        <v>670</v>
      </c>
      <c r="P309" s="23">
        <v>664</v>
      </c>
      <c r="Q309" s="23">
        <v>939</v>
      </c>
      <c r="R309" s="23">
        <v>428</v>
      </c>
      <c r="S309" s="23">
        <v>351</v>
      </c>
      <c r="T309" s="23">
        <v>550</v>
      </c>
      <c r="U309" s="23">
        <v>569</v>
      </c>
      <c r="V309" s="23">
        <v>567</v>
      </c>
      <c r="W309" s="23">
        <v>700</v>
      </c>
      <c r="X309" s="23">
        <v>576</v>
      </c>
      <c r="Y309" s="23">
        <v>654</v>
      </c>
      <c r="Z309" s="23">
        <v>717</v>
      </c>
      <c r="AA309" s="23">
        <v>752.197</v>
      </c>
      <c r="AB309" s="23">
        <v>738.024</v>
      </c>
    </row>
    <row r="310" spans="1:28" x14ac:dyDescent="0.2">
      <c r="A310" s="16" t="s">
        <v>47</v>
      </c>
      <c r="B310" s="17" t="s">
        <v>72</v>
      </c>
      <c r="C310" s="17" t="s">
        <v>8</v>
      </c>
      <c r="D310" s="17" t="s">
        <v>10</v>
      </c>
      <c r="E310" s="17" t="s">
        <v>14</v>
      </c>
      <c r="F310" s="17" t="str">
        <f>INDEX(nrg_cb_e!$A$3:$A$40,MATCH(LEFT(MID('Industriesektor GWh'!$B310,41,1000),SEARCH(" - ",MID('Industriesektor GWh'!$B310,41,1000))-1),nrg_cb_e!$C$3:$C$40,0))</f>
        <v>FC_IND_CON_E</v>
      </c>
      <c r="G310" s="18">
        <v>974</v>
      </c>
      <c r="J310" t="s">
        <v>59</v>
      </c>
      <c r="K310" t="s">
        <v>136</v>
      </c>
      <c r="L310" s="23">
        <v>0</v>
      </c>
      <c r="M310" s="23">
        <v>0</v>
      </c>
      <c r="N310" s="23">
        <v>89</v>
      </c>
      <c r="O310" s="23">
        <v>83</v>
      </c>
      <c r="P310" s="23">
        <v>78</v>
      </c>
      <c r="Q310" s="23">
        <v>231</v>
      </c>
      <c r="R310" s="23">
        <v>279</v>
      </c>
      <c r="S310" s="23">
        <v>938</v>
      </c>
      <c r="T310" s="23">
        <v>216</v>
      </c>
      <c r="U310" s="23">
        <v>248</v>
      </c>
      <c r="V310" s="23">
        <v>486</v>
      </c>
      <c r="W310" s="23">
        <v>410</v>
      </c>
      <c r="X310" s="23">
        <v>417</v>
      </c>
      <c r="Y310" s="23">
        <v>359</v>
      </c>
      <c r="Z310" s="23">
        <v>480</v>
      </c>
      <c r="AA310" s="23">
        <v>503.88400000000001</v>
      </c>
      <c r="AB310" s="23">
        <v>417.29</v>
      </c>
    </row>
    <row r="311" spans="1:28" x14ac:dyDescent="0.2">
      <c r="A311" s="19" t="s">
        <v>47</v>
      </c>
      <c r="B311" s="20" t="s">
        <v>72</v>
      </c>
      <c r="C311" s="20" t="s">
        <v>8</v>
      </c>
      <c r="D311" s="20" t="s">
        <v>10</v>
      </c>
      <c r="E311" s="20" t="s">
        <v>15</v>
      </c>
      <c r="F311" s="20" t="str">
        <f>INDEX(nrg_cb_e!$A$3:$A$40,MATCH(LEFT(MID('Industriesektor GWh'!$B311,41,1000),SEARCH(" - ",MID('Industriesektor GWh'!$B311,41,1000))-1),nrg_cb_e!$C$3:$C$40,0))</f>
        <v>FC_IND_CON_E</v>
      </c>
      <c r="G311" s="21">
        <v>972</v>
      </c>
      <c r="J311" t="s">
        <v>59</v>
      </c>
      <c r="K311" t="s">
        <v>128</v>
      </c>
      <c r="L311" s="23">
        <v>0</v>
      </c>
      <c r="M311" s="23">
        <v>0</v>
      </c>
      <c r="N311" s="23">
        <v>684</v>
      </c>
      <c r="O311" s="23">
        <v>670</v>
      </c>
      <c r="P311" s="23">
        <v>128</v>
      </c>
      <c r="Q311" s="23">
        <v>135</v>
      </c>
      <c r="R311" s="23">
        <v>364</v>
      </c>
      <c r="S311" s="23">
        <v>1492</v>
      </c>
      <c r="T311" s="23">
        <v>148</v>
      </c>
      <c r="U311" s="23">
        <v>194</v>
      </c>
      <c r="V311" s="23">
        <v>234</v>
      </c>
      <c r="W311" s="23">
        <v>317</v>
      </c>
      <c r="X311" s="23">
        <v>260</v>
      </c>
      <c r="Y311" s="23">
        <v>213</v>
      </c>
      <c r="Z311" s="23">
        <v>244</v>
      </c>
      <c r="AA311" s="23">
        <v>256.37599999999998</v>
      </c>
      <c r="AB311" s="23">
        <v>213.26300000000001</v>
      </c>
    </row>
    <row r="312" spans="1:28" x14ac:dyDescent="0.2">
      <c r="A312" s="16" t="s">
        <v>47</v>
      </c>
      <c r="B312" s="17" t="s">
        <v>72</v>
      </c>
      <c r="C312" s="17" t="s">
        <v>8</v>
      </c>
      <c r="D312" s="17" t="s">
        <v>10</v>
      </c>
      <c r="E312" s="17" t="s">
        <v>16</v>
      </c>
      <c r="F312" s="17" t="str">
        <f>INDEX(nrg_cb_e!$A$3:$A$40,MATCH(LEFT(MID('Industriesektor GWh'!$B312,41,1000),SEARCH(" - ",MID('Industriesektor GWh'!$B312,41,1000))-1),nrg_cb_e!$C$3:$C$40,0))</f>
        <v>FC_IND_CON_E</v>
      </c>
      <c r="G312" s="18">
        <v>981</v>
      </c>
      <c r="J312" t="s">
        <v>59</v>
      </c>
      <c r="K312" t="s">
        <v>142</v>
      </c>
      <c r="L312" s="23">
        <v>0</v>
      </c>
      <c r="M312" s="23">
        <v>0</v>
      </c>
      <c r="N312" s="23">
        <v>181</v>
      </c>
      <c r="O312" s="23">
        <v>153</v>
      </c>
      <c r="P312" s="23">
        <v>135</v>
      </c>
      <c r="Q312" s="23">
        <v>238</v>
      </c>
      <c r="R312" s="23">
        <v>195</v>
      </c>
      <c r="S312" s="23">
        <v>103</v>
      </c>
      <c r="T312" s="23">
        <v>117</v>
      </c>
      <c r="U312" s="23">
        <v>129</v>
      </c>
      <c r="V312" s="23">
        <v>140</v>
      </c>
      <c r="W312" s="23">
        <v>156</v>
      </c>
      <c r="X312" s="23">
        <v>296</v>
      </c>
      <c r="Y312" s="23">
        <v>272</v>
      </c>
      <c r="Z312" s="23">
        <v>358</v>
      </c>
      <c r="AA312" s="23">
        <v>375.69600000000003</v>
      </c>
      <c r="AB312" s="23">
        <v>343.404</v>
      </c>
    </row>
    <row r="313" spans="1:28" x14ac:dyDescent="0.2">
      <c r="A313" s="19" t="s">
        <v>47</v>
      </c>
      <c r="B313" s="20" t="s">
        <v>72</v>
      </c>
      <c r="C313" s="20" t="s">
        <v>8</v>
      </c>
      <c r="D313" s="20" t="s">
        <v>10</v>
      </c>
      <c r="E313" s="20" t="s">
        <v>17</v>
      </c>
      <c r="F313" s="20" t="str">
        <f>INDEX(nrg_cb_e!$A$3:$A$40,MATCH(LEFT(MID('Industriesektor GWh'!$B313,41,1000),SEARCH(" - ",MID('Industriesektor GWh'!$B313,41,1000))-1),nrg_cb_e!$C$3:$C$40,0))</f>
        <v>FC_IND_CON_E</v>
      </c>
      <c r="G313" s="21">
        <v>1013</v>
      </c>
      <c r="J313" t="s">
        <v>59</v>
      </c>
      <c r="K313" t="s">
        <v>138</v>
      </c>
      <c r="L313" s="23">
        <v>0</v>
      </c>
      <c r="M313" s="23">
        <v>0</v>
      </c>
      <c r="N313" s="23">
        <v>54</v>
      </c>
      <c r="O313" s="23">
        <v>55</v>
      </c>
      <c r="P313" s="23">
        <v>48</v>
      </c>
      <c r="Q313" s="23">
        <v>58</v>
      </c>
      <c r="R313" s="23">
        <v>82</v>
      </c>
      <c r="S313" s="23">
        <v>23</v>
      </c>
      <c r="T313" s="23">
        <v>73</v>
      </c>
      <c r="U313" s="23">
        <v>85</v>
      </c>
      <c r="V313" s="23">
        <v>42</v>
      </c>
      <c r="W313" s="23">
        <v>92</v>
      </c>
      <c r="X313" s="23">
        <v>122</v>
      </c>
      <c r="Y313" s="23">
        <v>128</v>
      </c>
      <c r="Z313" s="23">
        <v>126</v>
      </c>
      <c r="AA313" s="23">
        <v>132.21899999999999</v>
      </c>
      <c r="AB313" s="23">
        <v>105.792</v>
      </c>
    </row>
    <row r="314" spans="1:28" x14ac:dyDescent="0.2">
      <c r="A314" s="16" t="s">
        <v>47</v>
      </c>
      <c r="B314" s="17" t="s">
        <v>72</v>
      </c>
      <c r="C314" s="17" t="s">
        <v>8</v>
      </c>
      <c r="D314" s="17" t="s">
        <v>10</v>
      </c>
      <c r="E314" s="17" t="s">
        <v>18</v>
      </c>
      <c r="F314" s="17" t="str">
        <f>INDEX(nrg_cb_e!$A$3:$A$40,MATCH(LEFT(MID('Industriesektor GWh'!$B314,41,1000),SEARCH(" - ",MID('Industriesektor GWh'!$B314,41,1000))-1),nrg_cb_e!$C$3:$C$40,0))</f>
        <v>FC_IND_CON_E</v>
      </c>
      <c r="G314" s="18">
        <v>1030</v>
      </c>
      <c r="J314" t="s">
        <v>59</v>
      </c>
      <c r="K314" t="s">
        <v>116</v>
      </c>
      <c r="L314" s="23">
        <v>6299</v>
      </c>
      <c r="M314" s="23">
        <v>5887</v>
      </c>
      <c r="N314" s="23">
        <v>369</v>
      </c>
      <c r="O314" s="23">
        <v>356</v>
      </c>
      <c r="P314" s="23">
        <v>379</v>
      </c>
      <c r="Q314" s="23">
        <v>346</v>
      </c>
      <c r="R314" s="23">
        <v>398</v>
      </c>
      <c r="S314" s="23">
        <v>262</v>
      </c>
      <c r="T314" s="23">
        <v>1963</v>
      </c>
      <c r="U314" s="23">
        <v>373</v>
      </c>
      <c r="V314" s="23">
        <v>415</v>
      </c>
      <c r="W314" s="23">
        <v>464</v>
      </c>
      <c r="X314" s="23">
        <v>437</v>
      </c>
      <c r="Y314" s="23">
        <v>521</v>
      </c>
      <c r="Z314" s="23">
        <v>647</v>
      </c>
      <c r="AA314" s="23">
        <v>678.83199999999999</v>
      </c>
      <c r="AB314" s="23">
        <v>789.24099999999999</v>
      </c>
    </row>
    <row r="315" spans="1:28" x14ac:dyDescent="0.2">
      <c r="A315" s="19" t="s">
        <v>47</v>
      </c>
      <c r="B315" s="20" t="s">
        <v>72</v>
      </c>
      <c r="C315" s="20" t="s">
        <v>8</v>
      </c>
      <c r="D315" s="20" t="s">
        <v>10</v>
      </c>
      <c r="E315" s="20" t="s">
        <v>19</v>
      </c>
      <c r="F315" s="20" t="str">
        <f>INDEX(nrg_cb_e!$A$3:$A$40,MATCH(LEFT(MID('Industriesektor GWh'!$B315,41,1000),SEARCH(" - ",MID('Industriesektor GWh'!$B315,41,1000))-1),nrg_cb_e!$C$3:$C$40,0))</f>
        <v>FC_IND_CON_E</v>
      </c>
      <c r="G315" s="21">
        <v>1018</v>
      </c>
      <c r="J315" t="s">
        <v>53</v>
      </c>
      <c r="K315" t="s">
        <v>140</v>
      </c>
      <c r="L315" s="23">
        <v>124</v>
      </c>
      <c r="M315" s="23">
        <v>80</v>
      </c>
      <c r="N315" s="23">
        <v>74</v>
      </c>
      <c r="O315" s="23">
        <v>77</v>
      </c>
      <c r="P315" s="23">
        <v>74</v>
      </c>
      <c r="Q315" s="23">
        <v>90</v>
      </c>
      <c r="R315" s="23">
        <v>122</v>
      </c>
      <c r="S315" s="23">
        <v>204</v>
      </c>
      <c r="T315" s="23">
        <v>169</v>
      </c>
      <c r="U315" s="23">
        <v>226</v>
      </c>
      <c r="V315" s="23">
        <v>60</v>
      </c>
      <c r="W315" s="23">
        <v>60</v>
      </c>
      <c r="X315" s="23">
        <v>59</v>
      </c>
      <c r="Y315" s="23">
        <v>69</v>
      </c>
      <c r="Z315" s="23">
        <v>71</v>
      </c>
      <c r="AA315" s="23">
        <v>73</v>
      </c>
      <c r="AB315" s="23">
        <v>104</v>
      </c>
    </row>
    <row r="316" spans="1:28" x14ac:dyDescent="0.2">
      <c r="A316" s="16" t="s">
        <v>47</v>
      </c>
      <c r="B316" s="17" t="s">
        <v>72</v>
      </c>
      <c r="C316" s="17" t="s">
        <v>8</v>
      </c>
      <c r="D316" s="17" t="s">
        <v>10</v>
      </c>
      <c r="E316" s="17" t="s">
        <v>20</v>
      </c>
      <c r="F316" s="17" t="str">
        <f>INDEX(nrg_cb_e!$A$3:$A$40,MATCH(LEFT(MID('Industriesektor GWh'!$B316,41,1000),SEARCH(" - ",MID('Industriesektor GWh'!$B316,41,1000))-1),nrg_cb_e!$C$3:$C$40,0))</f>
        <v>FC_IND_CON_E</v>
      </c>
      <c r="G316" s="18">
        <v>1009</v>
      </c>
      <c r="J316" t="s">
        <v>53</v>
      </c>
      <c r="K316" t="s">
        <v>122</v>
      </c>
      <c r="L316" s="23">
        <v>1415</v>
      </c>
      <c r="M316" s="23">
        <v>1460</v>
      </c>
      <c r="N316" s="23">
        <v>1406</v>
      </c>
      <c r="O316" s="23">
        <v>1699</v>
      </c>
      <c r="P316" s="23">
        <v>1797</v>
      </c>
      <c r="Q316" s="23">
        <v>1774</v>
      </c>
      <c r="R316" s="23">
        <v>1564</v>
      </c>
      <c r="S316" s="23">
        <v>1387</v>
      </c>
      <c r="T316" s="23">
        <v>804</v>
      </c>
      <c r="U316" s="23">
        <v>917</v>
      </c>
      <c r="V316" s="23">
        <v>1403</v>
      </c>
      <c r="W316" s="23">
        <v>1347</v>
      </c>
      <c r="X316" s="23">
        <v>1203</v>
      </c>
      <c r="Y316" s="23">
        <v>1312</v>
      </c>
      <c r="Z316" s="23">
        <v>1264</v>
      </c>
      <c r="AA316" s="23">
        <v>1108</v>
      </c>
      <c r="AB316" s="23">
        <v>961</v>
      </c>
    </row>
    <row r="317" spans="1:28" x14ac:dyDescent="0.2">
      <c r="A317" s="19" t="s">
        <v>47</v>
      </c>
      <c r="B317" s="20" t="s">
        <v>72</v>
      </c>
      <c r="C317" s="20" t="s">
        <v>8</v>
      </c>
      <c r="D317" s="20" t="s">
        <v>10</v>
      </c>
      <c r="E317" s="20" t="s">
        <v>21</v>
      </c>
      <c r="F317" s="20" t="str">
        <f>INDEX(nrg_cb_e!$A$3:$A$40,MATCH(LEFT(MID('Industriesektor GWh'!$B317,41,1000),SEARCH(" - ",MID('Industriesektor GWh'!$B317,41,1000))-1),nrg_cb_e!$C$3:$C$40,0))</f>
        <v>FC_IND_CON_E</v>
      </c>
      <c r="G317" s="21">
        <v>943</v>
      </c>
      <c r="J317" t="s">
        <v>53</v>
      </c>
      <c r="K317" t="s">
        <v>134</v>
      </c>
      <c r="L317" s="23">
        <v>1080</v>
      </c>
      <c r="M317" s="23">
        <v>529</v>
      </c>
      <c r="N317" s="23">
        <v>506</v>
      </c>
      <c r="O317" s="23">
        <v>543</v>
      </c>
      <c r="P317" s="23">
        <v>508</v>
      </c>
      <c r="Q317" s="23">
        <v>520</v>
      </c>
      <c r="R317" s="23">
        <v>541</v>
      </c>
      <c r="S317" s="23">
        <v>478</v>
      </c>
      <c r="T317" s="23">
        <v>477</v>
      </c>
      <c r="U317" s="23">
        <v>435</v>
      </c>
      <c r="V317" s="23">
        <v>518</v>
      </c>
      <c r="W317" s="23">
        <v>504</v>
      </c>
      <c r="X317" s="23">
        <v>567</v>
      </c>
      <c r="Y317" s="23">
        <v>537</v>
      </c>
      <c r="Z317" s="23">
        <v>536</v>
      </c>
      <c r="AA317" s="23">
        <v>477</v>
      </c>
      <c r="AB317" s="23">
        <v>490</v>
      </c>
    </row>
    <row r="318" spans="1:28" x14ac:dyDescent="0.2">
      <c r="A318" s="16" t="s">
        <v>47</v>
      </c>
      <c r="B318" s="17" t="s">
        <v>72</v>
      </c>
      <c r="C318" s="17" t="s">
        <v>8</v>
      </c>
      <c r="D318" s="17" t="s">
        <v>10</v>
      </c>
      <c r="E318" s="17" t="s">
        <v>22</v>
      </c>
      <c r="F318" s="17" t="str">
        <f>INDEX(nrg_cb_e!$A$3:$A$40,MATCH(LEFT(MID('Industriesektor GWh'!$B318,41,1000),SEARCH(" - ",MID('Industriesektor GWh'!$B318,41,1000))-1),nrg_cb_e!$C$3:$C$40,0))</f>
        <v>FC_IND_CON_E</v>
      </c>
      <c r="G318" s="18">
        <v>900.38900000000001</v>
      </c>
      <c r="J318" t="s">
        <v>53</v>
      </c>
      <c r="K318" t="s">
        <v>120</v>
      </c>
      <c r="L318" s="23">
        <v>1541</v>
      </c>
      <c r="M318" s="23">
        <v>2415</v>
      </c>
      <c r="N318" s="23">
        <v>2602</v>
      </c>
      <c r="O318" s="23">
        <v>2292</v>
      </c>
      <c r="P318" s="23">
        <v>2563</v>
      </c>
      <c r="Q318" s="23">
        <v>2726</v>
      </c>
      <c r="R318" s="23">
        <v>2416</v>
      </c>
      <c r="S318" s="23">
        <v>1891</v>
      </c>
      <c r="T318" s="23">
        <v>2349</v>
      </c>
      <c r="U318" s="23">
        <v>2336</v>
      </c>
      <c r="V318" s="23">
        <v>2597</v>
      </c>
      <c r="W318" s="23">
        <v>2454</v>
      </c>
      <c r="X318" s="23">
        <v>2485</v>
      </c>
      <c r="Y318" s="23">
        <v>2337</v>
      </c>
      <c r="Z318" s="23">
        <v>2303</v>
      </c>
      <c r="AA318" s="23">
        <v>2614</v>
      </c>
      <c r="AB318" s="23">
        <v>2541</v>
      </c>
    </row>
    <row r="319" spans="1:28" x14ac:dyDescent="0.2">
      <c r="A319" s="19" t="s">
        <v>47</v>
      </c>
      <c r="B319" s="20" t="s">
        <v>72</v>
      </c>
      <c r="C319" s="20" t="s">
        <v>8</v>
      </c>
      <c r="D319" s="20" t="s">
        <v>10</v>
      </c>
      <c r="E319" s="20" t="s">
        <v>23</v>
      </c>
      <c r="F319" s="20" t="str">
        <f>INDEX(nrg_cb_e!$A$3:$A$40,MATCH(LEFT(MID('Industriesektor GWh'!$B319,41,1000),SEARCH(" - ",MID('Industriesektor GWh'!$B319,41,1000))-1),nrg_cb_e!$C$3:$C$40,0))</f>
        <v>FC_IND_CON_E</v>
      </c>
      <c r="G319" s="21">
        <v>948.57899999999995</v>
      </c>
      <c r="J319" t="s">
        <v>53</v>
      </c>
      <c r="K319" t="s">
        <v>130</v>
      </c>
      <c r="L319" s="23">
        <v>496</v>
      </c>
      <c r="M319" s="23">
        <v>742</v>
      </c>
      <c r="N319" s="23">
        <v>805</v>
      </c>
      <c r="O319" s="23">
        <v>766</v>
      </c>
      <c r="P319" s="23">
        <v>882</v>
      </c>
      <c r="Q319" s="23">
        <v>1062</v>
      </c>
      <c r="R319" s="23">
        <v>1390</v>
      </c>
      <c r="S319" s="23">
        <v>961</v>
      </c>
      <c r="T319" s="23">
        <v>1081</v>
      </c>
      <c r="U319" s="23">
        <v>1074</v>
      </c>
      <c r="V319" s="23">
        <v>1124</v>
      </c>
      <c r="W319" s="23">
        <v>1156</v>
      </c>
      <c r="X319" s="23">
        <v>1301</v>
      </c>
      <c r="Y319" s="23">
        <v>1329</v>
      </c>
      <c r="Z319" s="23">
        <v>1449</v>
      </c>
      <c r="AA319" s="23">
        <v>1693</v>
      </c>
      <c r="AB319" s="23">
        <v>1818</v>
      </c>
    </row>
    <row r="320" spans="1:28" x14ac:dyDescent="0.2">
      <c r="A320" s="16" t="s">
        <v>47</v>
      </c>
      <c r="B320" s="17" t="s">
        <v>72</v>
      </c>
      <c r="C320" s="17" t="s">
        <v>8</v>
      </c>
      <c r="D320" s="17" t="s">
        <v>10</v>
      </c>
      <c r="E320" s="17" t="s">
        <v>24</v>
      </c>
      <c r="F320" s="17" t="str">
        <f>INDEX(nrg_cb_e!$A$3:$A$40,MATCH(LEFT(MID('Industriesektor GWh'!$B320,41,1000),SEARCH(" - ",MID('Industriesektor GWh'!$B320,41,1000))-1),nrg_cb_e!$C$3:$C$40,0))</f>
        <v>FC_IND_CON_E</v>
      </c>
      <c r="G320" s="18">
        <v>875.34699999999998</v>
      </c>
      <c r="J320" t="s">
        <v>53</v>
      </c>
      <c r="K320" t="s">
        <v>132</v>
      </c>
      <c r="L320" s="23">
        <v>119</v>
      </c>
      <c r="M320" s="23">
        <v>102</v>
      </c>
      <c r="N320" s="23">
        <v>100</v>
      </c>
      <c r="O320" s="23">
        <v>103</v>
      </c>
      <c r="P320" s="23">
        <v>109</v>
      </c>
      <c r="Q320" s="23">
        <v>105</v>
      </c>
      <c r="R320" s="23">
        <v>96</v>
      </c>
      <c r="S320" s="23">
        <v>45</v>
      </c>
      <c r="T320" s="23">
        <v>45</v>
      </c>
      <c r="U320" s="23">
        <v>43</v>
      </c>
      <c r="V320" s="23">
        <v>37</v>
      </c>
      <c r="W320" s="23">
        <v>29</v>
      </c>
      <c r="X320" s="23">
        <v>30</v>
      </c>
      <c r="Y320" s="23">
        <v>34</v>
      </c>
      <c r="Z320" s="23">
        <v>44</v>
      </c>
      <c r="AA320" s="23">
        <v>41</v>
      </c>
      <c r="AB320" s="23">
        <v>72</v>
      </c>
    </row>
    <row r="321" spans="1:28" x14ac:dyDescent="0.2">
      <c r="A321" s="19" t="s">
        <v>47</v>
      </c>
      <c r="B321" s="20" t="s">
        <v>72</v>
      </c>
      <c r="C321" s="20" t="s">
        <v>8</v>
      </c>
      <c r="D321" s="20" t="s">
        <v>10</v>
      </c>
      <c r="E321" s="20" t="s">
        <v>25</v>
      </c>
      <c r="F321" s="20" t="str">
        <f>INDEX(nrg_cb_e!$A$3:$A$40,MATCH(LEFT(MID('Industriesektor GWh'!$B321,41,1000),SEARCH(" - ",MID('Industriesektor GWh'!$B321,41,1000))-1),nrg_cb_e!$C$3:$C$40,0))</f>
        <v>FC_IND_CON_E</v>
      </c>
      <c r="G321" s="21">
        <v>889.71799999999996</v>
      </c>
      <c r="J321" t="s">
        <v>53</v>
      </c>
      <c r="K321" t="s">
        <v>124</v>
      </c>
      <c r="L321" s="23">
        <v>1683</v>
      </c>
      <c r="M321" s="23">
        <v>2022</v>
      </c>
      <c r="N321" s="23">
        <v>2352</v>
      </c>
      <c r="O321" s="23">
        <v>2376</v>
      </c>
      <c r="P321" s="23">
        <v>2400</v>
      </c>
      <c r="Q321" s="23">
        <v>2120</v>
      </c>
      <c r="R321" s="23">
        <v>2502</v>
      </c>
      <c r="S321" s="23">
        <v>2249</v>
      </c>
      <c r="T321" s="23">
        <v>2455</v>
      </c>
      <c r="U321" s="23">
        <v>2454</v>
      </c>
      <c r="V321" s="23">
        <v>2476</v>
      </c>
      <c r="W321" s="23">
        <v>2478</v>
      </c>
      <c r="X321" s="23">
        <v>2523</v>
      </c>
      <c r="Y321" s="23">
        <v>2563</v>
      </c>
      <c r="Z321" s="23">
        <v>2586</v>
      </c>
      <c r="AA321" s="23">
        <v>2615</v>
      </c>
      <c r="AB321" s="23">
        <v>2530</v>
      </c>
    </row>
    <row r="322" spans="1:28" x14ac:dyDescent="0.2">
      <c r="A322" s="16" t="s">
        <v>47</v>
      </c>
      <c r="B322" s="17" t="s">
        <v>72</v>
      </c>
      <c r="C322" s="17" t="s">
        <v>8</v>
      </c>
      <c r="D322" s="17" t="s">
        <v>10</v>
      </c>
      <c r="E322" s="17" t="s">
        <v>26</v>
      </c>
      <c r="F322" s="17" t="str">
        <f>INDEX(nrg_cb_e!$A$3:$A$40,MATCH(LEFT(MID('Industriesektor GWh'!$B322,41,1000),SEARCH(" - ",MID('Industriesektor GWh'!$B322,41,1000))-1),nrg_cb_e!$C$3:$C$40,0))</f>
        <v>FC_IND_CON_E</v>
      </c>
      <c r="G322" s="18">
        <v>893.447</v>
      </c>
      <c r="J322" t="s">
        <v>53</v>
      </c>
      <c r="K322" t="s">
        <v>126</v>
      </c>
      <c r="L322" s="23">
        <v>855</v>
      </c>
      <c r="M322" s="23">
        <v>1013</v>
      </c>
      <c r="N322" s="23">
        <v>788</v>
      </c>
      <c r="O322" s="23">
        <v>800</v>
      </c>
      <c r="P322" s="23">
        <v>787</v>
      </c>
      <c r="Q322" s="23">
        <v>950</v>
      </c>
      <c r="R322" s="23">
        <v>831</v>
      </c>
      <c r="S322" s="23">
        <v>705</v>
      </c>
      <c r="T322" s="23">
        <v>671</v>
      </c>
      <c r="U322" s="23">
        <v>806</v>
      </c>
      <c r="V322" s="23">
        <v>662</v>
      </c>
      <c r="W322" s="23">
        <v>673</v>
      </c>
      <c r="X322" s="23">
        <v>675</v>
      </c>
      <c r="Y322" s="23">
        <v>552</v>
      </c>
      <c r="Z322" s="23">
        <v>759</v>
      </c>
      <c r="AA322" s="23">
        <v>606</v>
      </c>
      <c r="AB322" s="23">
        <v>773</v>
      </c>
    </row>
    <row r="323" spans="1:28" x14ac:dyDescent="0.2">
      <c r="A323" s="19" t="s">
        <v>47</v>
      </c>
      <c r="B323" s="20" t="s">
        <v>72</v>
      </c>
      <c r="C323" s="20" t="s">
        <v>8</v>
      </c>
      <c r="D323" s="20" t="s">
        <v>10</v>
      </c>
      <c r="E323" s="20" t="s">
        <v>27</v>
      </c>
      <c r="F323" s="20" t="str">
        <f>INDEX(nrg_cb_e!$A$3:$A$40,MATCH(LEFT(MID('Industriesektor GWh'!$B323,41,1000),SEARCH(" - ",MID('Industriesektor GWh'!$B323,41,1000))-1),nrg_cb_e!$C$3:$C$40,0))</f>
        <v>FC_IND_CON_E</v>
      </c>
      <c r="G323" s="21">
        <v>973.76800000000003</v>
      </c>
      <c r="J323" t="s">
        <v>53</v>
      </c>
      <c r="K323" t="s">
        <v>136</v>
      </c>
      <c r="L323" s="23">
        <v>801</v>
      </c>
      <c r="M323" s="23">
        <v>911</v>
      </c>
      <c r="N323" s="23">
        <v>1036</v>
      </c>
      <c r="O323" s="23">
        <v>1023</v>
      </c>
      <c r="P323" s="23">
        <v>1260</v>
      </c>
      <c r="Q323" s="23">
        <v>1142</v>
      </c>
      <c r="R323" s="23">
        <v>1256</v>
      </c>
      <c r="S323" s="23">
        <v>1189</v>
      </c>
      <c r="T323" s="23">
        <v>1063</v>
      </c>
      <c r="U323" s="23">
        <v>1008</v>
      </c>
      <c r="V323" s="23">
        <v>1001</v>
      </c>
      <c r="W323" s="23">
        <v>1193</v>
      </c>
      <c r="X323" s="23">
        <v>755</v>
      </c>
      <c r="Y323" s="23">
        <v>722</v>
      </c>
      <c r="Z323" s="23">
        <v>740</v>
      </c>
      <c r="AA323" s="23">
        <v>797</v>
      </c>
      <c r="AB323" s="23">
        <v>791</v>
      </c>
    </row>
    <row r="324" spans="1:28" x14ac:dyDescent="0.2">
      <c r="A324" s="16" t="s">
        <v>47</v>
      </c>
      <c r="B324" s="17" t="s">
        <v>72</v>
      </c>
      <c r="C324" s="17" t="s">
        <v>8</v>
      </c>
      <c r="D324" s="17" t="s">
        <v>10</v>
      </c>
      <c r="E324" s="17" t="s">
        <v>28</v>
      </c>
      <c r="F324" s="17" t="str">
        <f>INDEX(nrg_cb_e!$A$3:$A$40,MATCH(LEFT(MID('Industriesektor GWh'!$B324,41,1000),SEARCH(" - ",MID('Industriesektor GWh'!$B324,41,1000))-1),nrg_cb_e!$C$3:$C$40,0))</f>
        <v>FC_IND_CON_E</v>
      </c>
      <c r="G324" s="18">
        <v>1037.4749999999999</v>
      </c>
      <c r="J324" t="s">
        <v>53</v>
      </c>
      <c r="K324" t="s">
        <v>128</v>
      </c>
      <c r="L324" s="23">
        <v>154</v>
      </c>
      <c r="M324" s="23">
        <v>177</v>
      </c>
      <c r="N324" s="23">
        <v>196</v>
      </c>
      <c r="O324" s="23">
        <v>233</v>
      </c>
      <c r="P324" s="23">
        <v>563</v>
      </c>
      <c r="Q324" s="23">
        <v>715</v>
      </c>
      <c r="R324" s="23">
        <v>745</v>
      </c>
      <c r="S324" s="23">
        <v>632</v>
      </c>
      <c r="T324" s="23">
        <v>737</v>
      </c>
      <c r="U324" s="23">
        <v>848</v>
      </c>
      <c r="V324" s="23">
        <v>939</v>
      </c>
      <c r="W324" s="23">
        <v>945</v>
      </c>
      <c r="X324" s="23">
        <v>1459</v>
      </c>
      <c r="Y324" s="23">
        <v>969</v>
      </c>
      <c r="Z324" s="23">
        <v>1072</v>
      </c>
      <c r="AA324" s="23">
        <v>969</v>
      </c>
      <c r="AB324" s="23">
        <v>1357</v>
      </c>
    </row>
    <row r="325" spans="1:28" x14ac:dyDescent="0.2">
      <c r="A325" s="19" t="s">
        <v>48</v>
      </c>
      <c r="B325" s="20" t="s">
        <v>72</v>
      </c>
      <c r="C325" s="20" t="s">
        <v>8</v>
      </c>
      <c r="D325" s="20" t="s">
        <v>10</v>
      </c>
      <c r="E325" s="20" t="s">
        <v>12</v>
      </c>
      <c r="F325" s="20" t="str">
        <f>INDEX(nrg_cb_e!$A$3:$A$40,MATCH(LEFT(MID('Industriesektor GWh'!$B325,41,1000),SEARCH(" - ",MID('Industriesektor GWh'!$B325,41,1000))-1),nrg_cb_e!$C$3:$C$40,0))</f>
        <v>FC_IND_CON_E</v>
      </c>
      <c r="G325" s="21">
        <v>374</v>
      </c>
      <c r="J325" t="s">
        <v>53</v>
      </c>
      <c r="K325" t="s">
        <v>142</v>
      </c>
      <c r="L325" s="23">
        <v>189</v>
      </c>
      <c r="M325" s="23">
        <v>175</v>
      </c>
      <c r="N325" s="23">
        <v>197</v>
      </c>
      <c r="O325" s="23">
        <v>227</v>
      </c>
      <c r="P325" s="23">
        <v>185</v>
      </c>
      <c r="Q325" s="23">
        <v>181</v>
      </c>
      <c r="R325" s="23">
        <v>154</v>
      </c>
      <c r="S325" s="23">
        <v>143</v>
      </c>
      <c r="T325" s="23">
        <v>134</v>
      </c>
      <c r="U325" s="23">
        <v>150</v>
      </c>
      <c r="V325" s="23">
        <v>125</v>
      </c>
      <c r="W325" s="23">
        <v>126</v>
      </c>
      <c r="X325" s="23">
        <v>137</v>
      </c>
      <c r="Y325" s="23">
        <v>130</v>
      </c>
      <c r="Z325" s="23">
        <v>125</v>
      </c>
      <c r="AA325" s="23">
        <v>128</v>
      </c>
      <c r="AB325" s="23">
        <v>130</v>
      </c>
    </row>
    <row r="326" spans="1:28" x14ac:dyDescent="0.2">
      <c r="A326" s="16" t="s">
        <v>48</v>
      </c>
      <c r="B326" s="17" t="s">
        <v>72</v>
      </c>
      <c r="C326" s="17" t="s">
        <v>8</v>
      </c>
      <c r="D326" s="17" t="s">
        <v>10</v>
      </c>
      <c r="E326" s="17" t="s">
        <v>13</v>
      </c>
      <c r="F326" s="17" t="str">
        <f>INDEX(nrg_cb_e!$A$3:$A$40,MATCH(LEFT(MID('Industriesektor GWh'!$B326,41,1000),SEARCH(" - ",MID('Industriesektor GWh'!$B326,41,1000))-1),nrg_cb_e!$C$3:$C$40,0))</f>
        <v>FC_IND_CON_E</v>
      </c>
      <c r="G326" s="18">
        <v>512</v>
      </c>
      <c r="J326" t="s">
        <v>53</v>
      </c>
      <c r="K326" t="s">
        <v>138</v>
      </c>
      <c r="L326" s="23">
        <v>178</v>
      </c>
      <c r="M326" s="23">
        <v>156</v>
      </c>
      <c r="N326" s="23">
        <v>182</v>
      </c>
      <c r="O326" s="23">
        <v>167</v>
      </c>
      <c r="P326" s="23">
        <v>161</v>
      </c>
      <c r="Q326" s="23">
        <v>221</v>
      </c>
      <c r="R326" s="23">
        <v>225</v>
      </c>
      <c r="S326" s="23">
        <v>194</v>
      </c>
      <c r="T326" s="23">
        <v>164</v>
      </c>
      <c r="U326" s="23">
        <v>167</v>
      </c>
      <c r="V326" s="23">
        <v>158</v>
      </c>
      <c r="W326" s="23">
        <v>134</v>
      </c>
      <c r="X326" s="23">
        <v>145</v>
      </c>
      <c r="Y326" s="23">
        <v>151</v>
      </c>
      <c r="Z326" s="23">
        <v>154</v>
      </c>
      <c r="AA326" s="23">
        <v>191</v>
      </c>
      <c r="AB326" s="23">
        <v>194</v>
      </c>
    </row>
    <row r="327" spans="1:28" x14ac:dyDescent="0.2">
      <c r="A327" s="19" t="s">
        <v>48</v>
      </c>
      <c r="B327" s="20" t="s">
        <v>72</v>
      </c>
      <c r="C327" s="20" t="s">
        <v>8</v>
      </c>
      <c r="D327" s="20" t="s">
        <v>10</v>
      </c>
      <c r="E327" s="20" t="s">
        <v>14</v>
      </c>
      <c r="F327" s="20" t="str">
        <f>INDEX(nrg_cb_e!$A$3:$A$40,MATCH(LEFT(MID('Industriesektor GWh'!$B327,41,1000),SEARCH(" - ",MID('Industriesektor GWh'!$B327,41,1000))-1),nrg_cb_e!$C$3:$C$40,0))</f>
        <v>FC_IND_CON_E</v>
      </c>
      <c r="G327" s="21">
        <v>646</v>
      </c>
      <c r="J327" t="s">
        <v>53</v>
      </c>
      <c r="K327" t="s">
        <v>116</v>
      </c>
      <c r="L327" s="23">
        <v>384</v>
      </c>
      <c r="M327" s="23">
        <v>468</v>
      </c>
      <c r="N327" s="23">
        <v>480</v>
      </c>
      <c r="O327" s="23">
        <v>728</v>
      </c>
      <c r="P327" s="23">
        <v>556</v>
      </c>
      <c r="Q327" s="23">
        <v>580</v>
      </c>
      <c r="R327" s="23">
        <v>720</v>
      </c>
      <c r="S327" s="23">
        <v>690</v>
      </c>
      <c r="T327" s="23">
        <v>778</v>
      </c>
      <c r="U327" s="23">
        <v>777</v>
      </c>
      <c r="V327" s="23">
        <v>808</v>
      </c>
      <c r="W327" s="23">
        <v>686</v>
      </c>
      <c r="X327" s="23">
        <v>898</v>
      </c>
      <c r="Y327" s="23">
        <v>900</v>
      </c>
      <c r="Z327" s="23">
        <v>982</v>
      </c>
      <c r="AA327" s="23">
        <v>1044</v>
      </c>
      <c r="AB327" s="23">
        <v>1033</v>
      </c>
    </row>
    <row r="328" spans="1:28" x14ac:dyDescent="0.2">
      <c r="A328" s="16" t="s">
        <v>48</v>
      </c>
      <c r="B328" s="17" t="s">
        <v>72</v>
      </c>
      <c r="C328" s="17" t="s">
        <v>8</v>
      </c>
      <c r="D328" s="17" t="s">
        <v>10</v>
      </c>
      <c r="E328" s="17" t="s">
        <v>15</v>
      </c>
      <c r="F328" s="17" t="str">
        <f>INDEX(nrg_cb_e!$A$3:$A$40,MATCH(LEFT(MID('Industriesektor GWh'!$B328,41,1000),SEARCH(" - ",MID('Industriesektor GWh'!$B328,41,1000))-1),nrg_cb_e!$C$3:$C$40,0))</f>
        <v>FC_IND_CON_E</v>
      </c>
      <c r="G328" s="18">
        <v>694.75400000000002</v>
      </c>
      <c r="J328" t="s">
        <v>52</v>
      </c>
      <c r="K328" t="s">
        <v>140</v>
      </c>
      <c r="L328" s="23">
        <v>105</v>
      </c>
      <c r="M328" s="23">
        <v>46</v>
      </c>
      <c r="N328" s="23">
        <v>61</v>
      </c>
      <c r="O328" s="23">
        <v>142</v>
      </c>
      <c r="P328" s="23">
        <v>132</v>
      </c>
      <c r="Q328" s="23">
        <v>78</v>
      </c>
      <c r="R328" s="23">
        <v>74</v>
      </c>
      <c r="S328" s="23">
        <v>64</v>
      </c>
      <c r="T328" s="23">
        <v>56</v>
      </c>
      <c r="U328" s="23">
        <v>53</v>
      </c>
      <c r="V328" s="23">
        <v>43</v>
      </c>
      <c r="W328" s="23">
        <v>41</v>
      </c>
      <c r="X328" s="23">
        <v>38</v>
      </c>
      <c r="Y328" s="23">
        <v>45</v>
      </c>
      <c r="Z328" s="23">
        <v>45</v>
      </c>
      <c r="AA328" s="23">
        <v>48.728000000000002</v>
      </c>
      <c r="AB328" s="23">
        <v>80.132999999999996</v>
      </c>
    </row>
    <row r="329" spans="1:28" x14ac:dyDescent="0.2">
      <c r="A329" s="19" t="s">
        <v>48</v>
      </c>
      <c r="B329" s="20" t="s">
        <v>72</v>
      </c>
      <c r="C329" s="20" t="s">
        <v>8</v>
      </c>
      <c r="D329" s="20" t="s">
        <v>10</v>
      </c>
      <c r="E329" s="20" t="s">
        <v>16</v>
      </c>
      <c r="F329" s="20" t="str">
        <f>INDEX(nrg_cb_e!$A$3:$A$40,MATCH(LEFT(MID('Industriesektor GWh'!$B329,41,1000),SEARCH(" - ",MID('Industriesektor GWh'!$B329,41,1000))-1),nrg_cb_e!$C$3:$C$40,0))</f>
        <v>FC_IND_CON_E</v>
      </c>
      <c r="G329" s="21">
        <v>740.08199999999999</v>
      </c>
      <c r="J329" t="s">
        <v>52</v>
      </c>
      <c r="K329" t="s">
        <v>122</v>
      </c>
      <c r="L329" s="23">
        <v>479</v>
      </c>
      <c r="M329" s="23">
        <v>897</v>
      </c>
      <c r="N329" s="23">
        <v>903</v>
      </c>
      <c r="O329" s="23">
        <v>852</v>
      </c>
      <c r="P329" s="23">
        <v>832</v>
      </c>
      <c r="Q329" s="23">
        <v>900</v>
      </c>
      <c r="R329" s="23">
        <v>621</v>
      </c>
      <c r="S329" s="23">
        <v>615</v>
      </c>
      <c r="T329" s="23">
        <v>662</v>
      </c>
      <c r="U329" s="23">
        <v>647</v>
      </c>
      <c r="V329" s="23">
        <v>648</v>
      </c>
      <c r="W329" s="23">
        <v>621</v>
      </c>
      <c r="X329" s="23">
        <v>662</v>
      </c>
      <c r="Y329" s="23">
        <v>678</v>
      </c>
      <c r="Z329" s="23">
        <v>677</v>
      </c>
      <c r="AA329" s="23">
        <v>692.81799999999998</v>
      </c>
      <c r="AB329" s="23">
        <v>641.35599999999999</v>
      </c>
    </row>
    <row r="330" spans="1:28" x14ac:dyDescent="0.2">
      <c r="A330" s="16" t="s">
        <v>48</v>
      </c>
      <c r="B330" s="17" t="s">
        <v>72</v>
      </c>
      <c r="C330" s="17" t="s">
        <v>8</v>
      </c>
      <c r="D330" s="17" t="s">
        <v>10</v>
      </c>
      <c r="E330" s="17" t="s">
        <v>17</v>
      </c>
      <c r="F330" s="17" t="str">
        <f>INDEX(nrg_cb_e!$A$3:$A$40,MATCH(LEFT(MID('Industriesektor GWh'!$B330,41,1000),SEARCH(" - ",MID('Industriesektor GWh'!$B330,41,1000))-1),nrg_cb_e!$C$3:$C$40,0))</f>
        <v>FC_IND_CON_E</v>
      </c>
      <c r="G330" s="18">
        <v>676.85400000000004</v>
      </c>
      <c r="J330" t="s">
        <v>52</v>
      </c>
      <c r="K330" t="s">
        <v>134</v>
      </c>
      <c r="L330" s="23">
        <v>254</v>
      </c>
      <c r="M330" s="23">
        <v>300</v>
      </c>
      <c r="N330" s="23">
        <v>284</v>
      </c>
      <c r="O330" s="23">
        <v>296</v>
      </c>
      <c r="P330" s="23">
        <v>352</v>
      </c>
      <c r="Q330" s="23">
        <v>319</v>
      </c>
      <c r="R330" s="23">
        <v>296</v>
      </c>
      <c r="S330" s="23">
        <v>278</v>
      </c>
      <c r="T330" s="23">
        <v>276</v>
      </c>
      <c r="U330" s="23">
        <v>275</v>
      </c>
      <c r="V330" s="23">
        <v>274</v>
      </c>
      <c r="W330" s="23">
        <v>266</v>
      </c>
      <c r="X330" s="23">
        <v>281</v>
      </c>
      <c r="Y330" s="23">
        <v>290</v>
      </c>
      <c r="Z330" s="23">
        <v>286</v>
      </c>
      <c r="AA330" s="23">
        <v>300.29000000000002</v>
      </c>
      <c r="AB330" s="23">
        <v>326.589</v>
      </c>
    </row>
    <row r="331" spans="1:28" x14ac:dyDescent="0.2">
      <c r="A331" s="19" t="s">
        <v>48</v>
      </c>
      <c r="B331" s="20" t="s">
        <v>72</v>
      </c>
      <c r="C331" s="20" t="s">
        <v>8</v>
      </c>
      <c r="D331" s="20" t="s">
        <v>10</v>
      </c>
      <c r="E331" s="20" t="s">
        <v>18</v>
      </c>
      <c r="F331" s="20" t="str">
        <f>INDEX(nrg_cb_e!$A$3:$A$40,MATCH(LEFT(MID('Industriesektor GWh'!$B331,41,1000),SEARCH(" - ",MID('Industriesektor GWh'!$B331,41,1000))-1),nrg_cb_e!$C$3:$C$40,0))</f>
        <v>FC_IND_CON_E</v>
      </c>
      <c r="G331" s="21">
        <v>553.51599999999996</v>
      </c>
      <c r="J331" t="s">
        <v>52</v>
      </c>
      <c r="K331" t="s">
        <v>120</v>
      </c>
      <c r="L331" s="23">
        <v>860</v>
      </c>
      <c r="M331" s="23">
        <v>644</v>
      </c>
      <c r="N331" s="23">
        <v>657</v>
      </c>
      <c r="O331" s="23">
        <v>750</v>
      </c>
      <c r="P331" s="23">
        <v>819</v>
      </c>
      <c r="Q331" s="23">
        <v>601</v>
      </c>
      <c r="R331" s="23">
        <v>766</v>
      </c>
      <c r="S331" s="23">
        <v>588</v>
      </c>
      <c r="T331" s="23">
        <v>738</v>
      </c>
      <c r="U331" s="23">
        <v>728</v>
      </c>
      <c r="V331" s="23">
        <v>768</v>
      </c>
      <c r="W331" s="23">
        <v>769</v>
      </c>
      <c r="X331" s="23">
        <v>758</v>
      </c>
      <c r="Y331" s="23">
        <v>760</v>
      </c>
      <c r="Z331" s="23">
        <v>787</v>
      </c>
      <c r="AA331" s="23">
        <v>822.23900000000003</v>
      </c>
      <c r="AB331" s="23">
        <v>778.59</v>
      </c>
    </row>
    <row r="332" spans="1:28" x14ac:dyDescent="0.2">
      <c r="A332" s="16" t="s">
        <v>48</v>
      </c>
      <c r="B332" s="17" t="s">
        <v>72</v>
      </c>
      <c r="C332" s="17" t="s">
        <v>8</v>
      </c>
      <c r="D332" s="17" t="s">
        <v>10</v>
      </c>
      <c r="E332" s="17" t="s">
        <v>19</v>
      </c>
      <c r="F332" s="17" t="str">
        <f>INDEX(nrg_cb_e!$A$3:$A$40,MATCH(LEFT(MID('Industriesektor GWh'!$B332,41,1000),SEARCH(" - ",MID('Industriesektor GWh'!$B332,41,1000))-1),nrg_cb_e!$C$3:$C$40,0))</f>
        <v>FC_IND_CON_E</v>
      </c>
      <c r="G332" s="18">
        <v>686.88699999999994</v>
      </c>
      <c r="J332" t="s">
        <v>52</v>
      </c>
      <c r="K332" t="s">
        <v>130</v>
      </c>
      <c r="L332" s="23">
        <v>646</v>
      </c>
      <c r="M332" s="23">
        <v>757</v>
      </c>
      <c r="N332" s="23">
        <v>810</v>
      </c>
      <c r="O332" s="23">
        <v>880</v>
      </c>
      <c r="P332" s="23">
        <v>997</v>
      </c>
      <c r="Q332" s="23">
        <v>1091</v>
      </c>
      <c r="R332" s="23">
        <v>951</v>
      </c>
      <c r="S332" s="23">
        <v>779</v>
      </c>
      <c r="T332" s="23">
        <v>931</v>
      </c>
      <c r="U332" s="23">
        <v>914</v>
      </c>
      <c r="V332" s="23">
        <v>862</v>
      </c>
      <c r="W332" s="23">
        <v>887</v>
      </c>
      <c r="X332" s="23">
        <v>905</v>
      </c>
      <c r="Y332" s="23">
        <v>937</v>
      </c>
      <c r="Z332" s="23">
        <v>984</v>
      </c>
      <c r="AA332" s="23">
        <v>1005.197</v>
      </c>
      <c r="AB332" s="23">
        <v>1345.384</v>
      </c>
    </row>
    <row r="333" spans="1:28" x14ac:dyDescent="0.2">
      <c r="A333" s="19" t="s">
        <v>48</v>
      </c>
      <c r="B333" s="20" t="s">
        <v>72</v>
      </c>
      <c r="C333" s="20" t="s">
        <v>8</v>
      </c>
      <c r="D333" s="20" t="s">
        <v>10</v>
      </c>
      <c r="E333" s="20" t="s">
        <v>20</v>
      </c>
      <c r="F333" s="20" t="str">
        <f>INDEX(nrg_cb_e!$A$3:$A$40,MATCH(LEFT(MID('Industriesektor GWh'!$B333,41,1000),SEARCH(" - ",MID('Industriesektor GWh'!$B333,41,1000))-1),nrg_cb_e!$C$3:$C$40,0))</f>
        <v>FC_IND_CON_E</v>
      </c>
      <c r="G333" s="21">
        <v>611.49300000000005</v>
      </c>
      <c r="J333" t="s">
        <v>52</v>
      </c>
      <c r="K333" t="s">
        <v>132</v>
      </c>
      <c r="L333" s="23">
        <v>36</v>
      </c>
      <c r="M333" s="23">
        <v>48</v>
      </c>
      <c r="N333" s="23">
        <v>47</v>
      </c>
      <c r="O333" s="23">
        <v>48</v>
      </c>
      <c r="P333" s="23">
        <v>68</v>
      </c>
      <c r="Q333" s="23">
        <v>67</v>
      </c>
      <c r="R333" s="23">
        <v>78</v>
      </c>
      <c r="S333" s="23">
        <v>87</v>
      </c>
      <c r="T333" s="23">
        <v>98</v>
      </c>
      <c r="U333" s="23">
        <v>93</v>
      </c>
      <c r="V333" s="23">
        <v>99</v>
      </c>
      <c r="W333" s="23">
        <v>122</v>
      </c>
      <c r="X333" s="23">
        <v>133</v>
      </c>
      <c r="Y333" s="23">
        <v>129</v>
      </c>
      <c r="Z333" s="23">
        <v>131</v>
      </c>
      <c r="AA333" s="23">
        <v>147.15199999999999</v>
      </c>
      <c r="AB333" s="23">
        <v>161.54900000000001</v>
      </c>
    </row>
    <row r="334" spans="1:28" x14ac:dyDescent="0.2">
      <c r="A334" s="16" t="s">
        <v>48</v>
      </c>
      <c r="B334" s="17" t="s">
        <v>72</v>
      </c>
      <c r="C334" s="17" t="s">
        <v>8</v>
      </c>
      <c r="D334" s="17" t="s">
        <v>10</v>
      </c>
      <c r="E334" s="17" t="s">
        <v>21</v>
      </c>
      <c r="F334" s="17" t="str">
        <f>INDEX(nrg_cb_e!$A$3:$A$40,MATCH(LEFT(MID('Industriesektor GWh'!$B334,41,1000),SEARCH(" - ",MID('Industriesektor GWh'!$B334,41,1000))-1),nrg_cb_e!$C$3:$C$40,0))</f>
        <v>FC_IND_CON_E</v>
      </c>
      <c r="G334" s="18">
        <v>640.05200000000002</v>
      </c>
      <c r="J334" t="s">
        <v>52</v>
      </c>
      <c r="K334" t="s">
        <v>124</v>
      </c>
      <c r="L334" s="23">
        <v>1494</v>
      </c>
      <c r="M334" s="23">
        <v>1757</v>
      </c>
      <c r="N334" s="23">
        <v>1798</v>
      </c>
      <c r="O334" s="23">
        <v>1911</v>
      </c>
      <c r="P334" s="23">
        <v>1838</v>
      </c>
      <c r="Q334" s="23">
        <v>1963</v>
      </c>
      <c r="R334" s="23">
        <v>1284</v>
      </c>
      <c r="S334" s="23">
        <v>666</v>
      </c>
      <c r="T334" s="23">
        <v>707</v>
      </c>
      <c r="U334" s="23">
        <v>1201</v>
      </c>
      <c r="V334" s="23">
        <v>1302</v>
      </c>
      <c r="W334" s="23">
        <v>1302</v>
      </c>
      <c r="X334" s="23">
        <v>1312</v>
      </c>
      <c r="Y334" s="23">
        <v>1331</v>
      </c>
      <c r="Z334" s="23">
        <v>1351</v>
      </c>
      <c r="AA334" s="23">
        <v>1351.443</v>
      </c>
      <c r="AB334" s="23">
        <v>1324.769</v>
      </c>
    </row>
    <row r="335" spans="1:28" x14ac:dyDescent="0.2">
      <c r="A335" s="19" t="s">
        <v>48</v>
      </c>
      <c r="B335" s="20" t="s">
        <v>72</v>
      </c>
      <c r="C335" s="20" t="s">
        <v>8</v>
      </c>
      <c r="D335" s="20" t="s">
        <v>10</v>
      </c>
      <c r="E335" s="20" t="s">
        <v>22</v>
      </c>
      <c r="F335" s="20" t="str">
        <f>INDEX(nrg_cb_e!$A$3:$A$40,MATCH(LEFT(MID('Industriesektor GWh'!$B335,41,1000),SEARCH(" - ",MID('Industriesektor GWh'!$B335,41,1000))-1),nrg_cb_e!$C$3:$C$40,0))</f>
        <v>FC_IND_CON_E</v>
      </c>
      <c r="G335" s="21">
        <v>640.30499999999995</v>
      </c>
      <c r="J335" t="s">
        <v>52</v>
      </c>
      <c r="K335" t="s">
        <v>126</v>
      </c>
      <c r="L335" s="23">
        <v>412</v>
      </c>
      <c r="M335" s="23">
        <v>470</v>
      </c>
      <c r="N335" s="23">
        <v>443</v>
      </c>
      <c r="O335" s="23">
        <v>461</v>
      </c>
      <c r="P335" s="23">
        <v>492</v>
      </c>
      <c r="Q335" s="23">
        <v>523</v>
      </c>
      <c r="R335" s="23">
        <v>514</v>
      </c>
      <c r="S335" s="23">
        <v>329</v>
      </c>
      <c r="T335" s="23">
        <v>409</v>
      </c>
      <c r="U335" s="23">
        <v>386</v>
      </c>
      <c r="V335" s="23">
        <v>356</v>
      </c>
      <c r="W335" s="23">
        <v>354</v>
      </c>
      <c r="X335" s="23">
        <v>369</v>
      </c>
      <c r="Y335" s="23">
        <v>428</v>
      </c>
      <c r="Z335" s="23">
        <v>347</v>
      </c>
      <c r="AA335" s="23">
        <v>379.48200000000003</v>
      </c>
      <c r="AB335" s="23">
        <v>399.46100000000001</v>
      </c>
    </row>
    <row r="336" spans="1:28" x14ac:dyDescent="0.2">
      <c r="A336" s="16" t="s">
        <v>48</v>
      </c>
      <c r="B336" s="17" t="s">
        <v>72</v>
      </c>
      <c r="C336" s="17" t="s">
        <v>8</v>
      </c>
      <c r="D336" s="17" t="s">
        <v>10</v>
      </c>
      <c r="E336" s="17" t="s">
        <v>23</v>
      </c>
      <c r="F336" s="17" t="str">
        <f>INDEX(nrg_cb_e!$A$3:$A$40,MATCH(LEFT(MID('Industriesektor GWh'!$B336,41,1000),SEARCH(" - ",MID('Industriesektor GWh'!$B336,41,1000))-1),nrg_cb_e!$C$3:$C$40,0))</f>
        <v>FC_IND_CON_E</v>
      </c>
      <c r="G336" s="18">
        <v>606.10299999999995</v>
      </c>
      <c r="J336" t="s">
        <v>52</v>
      </c>
      <c r="K336" t="s">
        <v>136</v>
      </c>
      <c r="L336" s="23">
        <v>669</v>
      </c>
      <c r="M336" s="23">
        <v>684</v>
      </c>
      <c r="N336" s="23">
        <v>734</v>
      </c>
      <c r="O336" s="23">
        <v>753</v>
      </c>
      <c r="P336" s="23">
        <v>744</v>
      </c>
      <c r="Q336" s="23">
        <v>729</v>
      </c>
      <c r="R336" s="23">
        <v>669</v>
      </c>
      <c r="S336" s="23">
        <v>654</v>
      </c>
      <c r="T336" s="23">
        <v>647</v>
      </c>
      <c r="U336" s="23">
        <v>634</v>
      </c>
      <c r="V336" s="23">
        <v>643</v>
      </c>
      <c r="W336" s="23">
        <v>624</v>
      </c>
      <c r="X336" s="23">
        <v>677</v>
      </c>
      <c r="Y336" s="23">
        <v>688</v>
      </c>
      <c r="Z336" s="23">
        <v>682</v>
      </c>
      <c r="AA336" s="23">
        <v>699.20699999999999</v>
      </c>
      <c r="AB336" s="23">
        <v>742.27300000000002</v>
      </c>
    </row>
    <row r="337" spans="1:28" x14ac:dyDescent="0.2">
      <c r="A337" s="19" t="s">
        <v>48</v>
      </c>
      <c r="B337" s="20" t="s">
        <v>72</v>
      </c>
      <c r="C337" s="20" t="s">
        <v>8</v>
      </c>
      <c r="D337" s="20" t="s">
        <v>10</v>
      </c>
      <c r="E337" s="20" t="s">
        <v>24</v>
      </c>
      <c r="F337" s="20" t="str">
        <f>INDEX(nrg_cb_e!$A$3:$A$40,MATCH(LEFT(MID('Industriesektor GWh'!$B337,41,1000),SEARCH(" - ",MID('Industriesektor GWh'!$B337,41,1000))-1),nrg_cb_e!$C$3:$C$40,0))</f>
        <v>FC_IND_CON_E</v>
      </c>
      <c r="G337" s="21">
        <v>508.28199999999998</v>
      </c>
      <c r="J337" t="s">
        <v>52</v>
      </c>
      <c r="K337" t="s">
        <v>128</v>
      </c>
      <c r="L337" s="23">
        <v>118</v>
      </c>
      <c r="M337" s="23">
        <v>132</v>
      </c>
      <c r="N337" s="23">
        <v>135</v>
      </c>
      <c r="O337" s="23">
        <v>155</v>
      </c>
      <c r="P337" s="23">
        <v>165</v>
      </c>
      <c r="Q337" s="23">
        <v>216</v>
      </c>
      <c r="R337" s="23">
        <v>231</v>
      </c>
      <c r="S337" s="23">
        <v>201</v>
      </c>
      <c r="T337" s="23">
        <v>212</v>
      </c>
      <c r="U337" s="23">
        <v>217</v>
      </c>
      <c r="V337" s="23">
        <v>245</v>
      </c>
      <c r="W337" s="23">
        <v>211</v>
      </c>
      <c r="X337" s="23">
        <v>233</v>
      </c>
      <c r="Y337" s="23">
        <v>222</v>
      </c>
      <c r="Z337" s="23">
        <v>214</v>
      </c>
      <c r="AA337" s="23">
        <v>246.92500000000001</v>
      </c>
      <c r="AB337" s="23">
        <v>239.78800000000001</v>
      </c>
    </row>
    <row r="338" spans="1:28" x14ac:dyDescent="0.2">
      <c r="A338" s="16" t="s">
        <v>48</v>
      </c>
      <c r="B338" s="17" t="s">
        <v>72</v>
      </c>
      <c r="C338" s="17" t="s">
        <v>8</v>
      </c>
      <c r="D338" s="17" t="s">
        <v>10</v>
      </c>
      <c r="E338" s="17" t="s">
        <v>25</v>
      </c>
      <c r="F338" s="17" t="str">
        <f>INDEX(nrg_cb_e!$A$3:$A$40,MATCH(LEFT(MID('Industriesektor GWh'!$B338,41,1000),SEARCH(" - ",MID('Industriesektor GWh'!$B338,41,1000))-1),nrg_cb_e!$C$3:$C$40,0))</f>
        <v>FC_IND_CON_E</v>
      </c>
      <c r="G338" s="18">
        <v>469.78</v>
      </c>
      <c r="J338" t="s">
        <v>52</v>
      </c>
      <c r="K338" t="s">
        <v>142</v>
      </c>
      <c r="L338" s="23">
        <v>256</v>
      </c>
      <c r="M338" s="23">
        <v>273</v>
      </c>
      <c r="N338" s="23">
        <v>261</v>
      </c>
      <c r="O338" s="23">
        <v>250</v>
      </c>
      <c r="P338" s="23">
        <v>248</v>
      </c>
      <c r="Q338" s="23">
        <v>245</v>
      </c>
      <c r="R338" s="23">
        <v>187</v>
      </c>
      <c r="S338" s="23">
        <v>147</v>
      </c>
      <c r="T338" s="23">
        <v>150</v>
      </c>
      <c r="U338" s="23">
        <v>126</v>
      </c>
      <c r="V338" s="23">
        <v>115</v>
      </c>
      <c r="W338" s="23">
        <v>121</v>
      </c>
      <c r="X338" s="23">
        <v>106</v>
      </c>
      <c r="Y338" s="23">
        <v>95</v>
      </c>
      <c r="Z338" s="23">
        <v>102</v>
      </c>
      <c r="AA338" s="23">
        <v>103.57299999999999</v>
      </c>
      <c r="AB338" s="23">
        <v>96.914000000000001</v>
      </c>
    </row>
    <row r="339" spans="1:28" x14ac:dyDescent="0.2">
      <c r="A339" s="19" t="s">
        <v>48</v>
      </c>
      <c r="B339" s="20" t="s">
        <v>72</v>
      </c>
      <c r="C339" s="20" t="s">
        <v>8</v>
      </c>
      <c r="D339" s="20" t="s">
        <v>10</v>
      </c>
      <c r="E339" s="20" t="s">
        <v>26</v>
      </c>
      <c r="F339" s="20" t="str">
        <f>INDEX(nrg_cb_e!$A$3:$A$40,MATCH(LEFT(MID('Industriesektor GWh'!$B339,41,1000),SEARCH(" - ",MID('Industriesektor GWh'!$B339,41,1000))-1),nrg_cb_e!$C$3:$C$40,0))</f>
        <v>FC_IND_CON_E</v>
      </c>
      <c r="G339" s="21">
        <v>489.096</v>
      </c>
      <c r="J339" t="s">
        <v>52</v>
      </c>
      <c r="K339" t="s">
        <v>138</v>
      </c>
      <c r="L339" s="23">
        <v>162</v>
      </c>
      <c r="M339" s="23">
        <v>169</v>
      </c>
      <c r="N339" s="23">
        <v>193</v>
      </c>
      <c r="O339" s="23">
        <v>217</v>
      </c>
      <c r="P339" s="23">
        <v>205</v>
      </c>
      <c r="Q339" s="23">
        <v>203</v>
      </c>
      <c r="R339" s="23">
        <v>185</v>
      </c>
      <c r="S339" s="23">
        <v>158</v>
      </c>
      <c r="T339" s="23">
        <v>168</v>
      </c>
      <c r="U339" s="23">
        <v>173</v>
      </c>
      <c r="V339" s="23">
        <v>175</v>
      </c>
      <c r="W339" s="23">
        <v>152</v>
      </c>
      <c r="X339" s="23">
        <v>161</v>
      </c>
      <c r="Y339" s="23">
        <v>168</v>
      </c>
      <c r="Z339" s="23">
        <v>163</v>
      </c>
      <c r="AA339" s="23">
        <v>154.922</v>
      </c>
      <c r="AB339" s="23">
        <v>172.96199999999999</v>
      </c>
    </row>
    <row r="340" spans="1:28" x14ac:dyDescent="0.2">
      <c r="A340" s="16" t="s">
        <v>48</v>
      </c>
      <c r="B340" s="17" t="s">
        <v>72</v>
      </c>
      <c r="C340" s="17" t="s">
        <v>8</v>
      </c>
      <c r="D340" s="17" t="s">
        <v>10</v>
      </c>
      <c r="E340" s="17" t="s">
        <v>27</v>
      </c>
      <c r="F340" s="17" t="str">
        <f>INDEX(nrg_cb_e!$A$3:$A$40,MATCH(LEFT(MID('Industriesektor GWh'!$B340,41,1000),SEARCH(" - ",MID('Industriesektor GWh'!$B340,41,1000))-1),nrg_cb_e!$C$3:$C$40,0))</f>
        <v>FC_IND_CON_E</v>
      </c>
      <c r="G340" s="18">
        <v>565.50800000000004</v>
      </c>
      <c r="J340" t="s">
        <v>52</v>
      </c>
      <c r="K340" t="s">
        <v>116</v>
      </c>
      <c r="L340" s="23">
        <v>336</v>
      </c>
      <c r="M340" s="23">
        <v>411</v>
      </c>
      <c r="N340" s="23">
        <v>429</v>
      </c>
      <c r="O340" s="23">
        <v>457</v>
      </c>
      <c r="P340" s="23">
        <v>548</v>
      </c>
      <c r="Q340" s="23">
        <v>533</v>
      </c>
      <c r="R340" s="23">
        <v>455</v>
      </c>
      <c r="S340" s="23">
        <v>400</v>
      </c>
      <c r="T340" s="23">
        <v>433</v>
      </c>
      <c r="U340" s="23">
        <v>417</v>
      </c>
      <c r="V340" s="23">
        <v>392</v>
      </c>
      <c r="W340" s="23">
        <v>408</v>
      </c>
      <c r="X340" s="23">
        <v>422</v>
      </c>
      <c r="Y340" s="23">
        <v>428</v>
      </c>
      <c r="Z340" s="23">
        <v>465</v>
      </c>
      <c r="AA340" s="23">
        <v>494.25</v>
      </c>
      <c r="AB340" s="23">
        <v>537.428</v>
      </c>
    </row>
    <row r="341" spans="1:28" x14ac:dyDescent="0.2">
      <c r="A341" s="19" t="s">
        <v>48</v>
      </c>
      <c r="B341" s="20" t="s">
        <v>72</v>
      </c>
      <c r="C341" s="20" t="s">
        <v>8</v>
      </c>
      <c r="D341" s="20" t="s">
        <v>10</v>
      </c>
      <c r="E341" s="20" t="s">
        <v>28</v>
      </c>
      <c r="F341" s="20" t="str">
        <f>INDEX(nrg_cb_e!$A$3:$A$40,MATCH(LEFT(MID('Industriesektor GWh'!$B341,41,1000),SEARCH(" - ",MID('Industriesektor GWh'!$B341,41,1000))-1),nrg_cb_e!$C$3:$C$40,0))</f>
        <v>FC_IND_CON_E</v>
      </c>
      <c r="G341" s="21">
        <v>540.13400000000001</v>
      </c>
      <c r="J341" t="s">
        <v>37</v>
      </c>
      <c r="K341" t="s">
        <v>140</v>
      </c>
      <c r="L341" s="23">
        <v>1913</v>
      </c>
      <c r="M341" s="23">
        <v>2017</v>
      </c>
      <c r="N341" s="23">
        <v>2263</v>
      </c>
      <c r="O341" s="23">
        <v>2643</v>
      </c>
      <c r="P341" s="23">
        <v>2591</v>
      </c>
      <c r="Q341" s="23">
        <v>2859</v>
      </c>
      <c r="R341" s="23">
        <v>3229</v>
      </c>
      <c r="S341" s="23">
        <v>3005</v>
      </c>
      <c r="T341" s="23">
        <v>2767</v>
      </c>
      <c r="U341" s="23">
        <v>2513</v>
      </c>
      <c r="V341" s="23">
        <v>2479</v>
      </c>
      <c r="W341" s="23">
        <v>2871</v>
      </c>
      <c r="X341" s="23">
        <v>2390</v>
      </c>
      <c r="Y341" s="23">
        <v>2070</v>
      </c>
      <c r="Z341" s="23">
        <v>2027</v>
      </c>
      <c r="AA341" s="23">
        <v>2425</v>
      </c>
      <c r="AB341" s="23">
        <v>3052</v>
      </c>
    </row>
    <row r="342" spans="1:28" x14ac:dyDescent="0.2">
      <c r="A342" s="16" t="s">
        <v>49</v>
      </c>
      <c r="B342" s="17" t="s">
        <v>72</v>
      </c>
      <c r="C342" s="17" t="s">
        <v>8</v>
      </c>
      <c r="D342" s="17" t="s">
        <v>10</v>
      </c>
      <c r="E342" s="17" t="s">
        <v>12</v>
      </c>
      <c r="F342" s="17" t="str">
        <f>INDEX(nrg_cb_e!$A$3:$A$40,MATCH(LEFT(MID('Industriesektor GWh'!$B342,41,1000),SEARCH(" - ",MID('Industriesektor GWh'!$B342,41,1000))-1),nrg_cb_e!$C$3:$C$40,0))</f>
        <v>FC_IND_CON_E</v>
      </c>
      <c r="G342" s="18">
        <v>649</v>
      </c>
      <c r="J342" t="s">
        <v>37</v>
      </c>
      <c r="K342" t="s">
        <v>122</v>
      </c>
      <c r="L342" s="23">
        <v>12111</v>
      </c>
      <c r="M342" s="23">
        <v>12646</v>
      </c>
      <c r="N342" s="23">
        <v>13172</v>
      </c>
      <c r="O342" s="23">
        <v>13379</v>
      </c>
      <c r="P342" s="23">
        <v>12819</v>
      </c>
      <c r="Q342" s="23">
        <v>12130</v>
      </c>
      <c r="R342" s="23">
        <v>10999</v>
      </c>
      <c r="S342" s="23">
        <v>8845</v>
      </c>
      <c r="T342" s="23">
        <v>8638</v>
      </c>
      <c r="U342" s="23">
        <v>8524</v>
      </c>
      <c r="V342" s="23">
        <v>8410</v>
      </c>
      <c r="W342" s="23">
        <v>8966</v>
      </c>
      <c r="X342" s="23">
        <v>9155</v>
      </c>
      <c r="Y342" s="23">
        <v>9504</v>
      </c>
      <c r="Z342" s="23">
        <v>9761</v>
      </c>
      <c r="AA342" s="23">
        <v>9640</v>
      </c>
      <c r="AB342" s="23">
        <v>9140</v>
      </c>
    </row>
    <row r="343" spans="1:28" x14ac:dyDescent="0.2">
      <c r="A343" s="19" t="s">
        <v>49</v>
      </c>
      <c r="B343" s="20" t="s">
        <v>72</v>
      </c>
      <c r="C343" s="20" t="s">
        <v>8</v>
      </c>
      <c r="D343" s="20" t="s">
        <v>10</v>
      </c>
      <c r="E343" s="20" t="s">
        <v>13</v>
      </c>
      <c r="F343" s="20" t="str">
        <f>INDEX(nrg_cb_e!$A$3:$A$40,MATCH(LEFT(MID('Industriesektor GWh'!$B343,41,1000),SEARCH(" - ",MID('Industriesektor GWh'!$B343,41,1000))-1),nrg_cb_e!$C$3:$C$40,0))</f>
        <v>FC_IND_CON_E</v>
      </c>
      <c r="G343" s="21">
        <v>666</v>
      </c>
      <c r="J343" t="s">
        <v>37</v>
      </c>
      <c r="K343" t="s">
        <v>134</v>
      </c>
      <c r="L343" s="23">
        <v>9183</v>
      </c>
      <c r="M343" s="23">
        <v>10051</v>
      </c>
      <c r="N343" s="23">
        <v>10641</v>
      </c>
      <c r="O343" s="23">
        <v>11512</v>
      </c>
      <c r="P343" s="23">
        <v>10102</v>
      </c>
      <c r="Q343" s="23">
        <v>10540</v>
      </c>
      <c r="R343" s="23">
        <v>10416</v>
      </c>
      <c r="S343" s="23">
        <v>10158</v>
      </c>
      <c r="T343" s="23">
        <v>10472</v>
      </c>
      <c r="U343" s="23">
        <v>9601</v>
      </c>
      <c r="V343" s="23">
        <v>9472</v>
      </c>
      <c r="W343" s="23">
        <v>9322</v>
      </c>
      <c r="X343" s="23">
        <v>10903</v>
      </c>
      <c r="Y343" s="23">
        <v>10963</v>
      </c>
      <c r="Z343" s="23">
        <v>11128</v>
      </c>
      <c r="AA343" s="23">
        <v>10541</v>
      </c>
      <c r="AB343" s="23">
        <v>9994</v>
      </c>
    </row>
    <row r="344" spans="1:28" x14ac:dyDescent="0.2">
      <c r="A344" s="16" t="s">
        <v>49</v>
      </c>
      <c r="B344" s="17" t="s">
        <v>72</v>
      </c>
      <c r="C344" s="17" t="s">
        <v>8</v>
      </c>
      <c r="D344" s="17" t="s">
        <v>10</v>
      </c>
      <c r="E344" s="17" t="s">
        <v>14</v>
      </c>
      <c r="F344" s="17" t="str">
        <f>INDEX(nrg_cb_e!$A$3:$A$40,MATCH(LEFT(MID('Industriesektor GWh'!$B344,41,1000),SEARCH(" - ",MID('Industriesektor GWh'!$B344,41,1000))-1),nrg_cb_e!$C$3:$C$40,0))</f>
        <v>FC_IND_CON_E</v>
      </c>
      <c r="G344" s="18">
        <v>509</v>
      </c>
      <c r="J344" t="s">
        <v>37</v>
      </c>
      <c r="K344" t="s">
        <v>120</v>
      </c>
      <c r="L344" s="23">
        <v>16228</v>
      </c>
      <c r="M344" s="23">
        <v>17157</v>
      </c>
      <c r="N344" s="23">
        <v>17210</v>
      </c>
      <c r="O344" s="23">
        <v>18370</v>
      </c>
      <c r="P344" s="23">
        <v>16122</v>
      </c>
      <c r="Q344" s="23">
        <v>16571</v>
      </c>
      <c r="R344" s="23">
        <v>17151</v>
      </c>
      <c r="S344" s="23">
        <v>12271</v>
      </c>
      <c r="T344" s="23">
        <v>14318</v>
      </c>
      <c r="U344" s="23">
        <v>13434</v>
      </c>
      <c r="V344" s="23">
        <v>13254</v>
      </c>
      <c r="W344" s="23">
        <v>12326</v>
      </c>
      <c r="X344" s="23">
        <v>12310</v>
      </c>
      <c r="Y344" s="23">
        <v>12610</v>
      </c>
      <c r="Z344" s="23">
        <v>13499</v>
      </c>
      <c r="AA344" s="23">
        <v>14412</v>
      </c>
      <c r="AB344" s="23">
        <v>15136</v>
      </c>
    </row>
    <row r="345" spans="1:28" x14ac:dyDescent="0.2">
      <c r="A345" s="19" t="s">
        <v>49</v>
      </c>
      <c r="B345" s="20" t="s">
        <v>72</v>
      </c>
      <c r="C345" s="20" t="s">
        <v>8</v>
      </c>
      <c r="D345" s="20" t="s">
        <v>10</v>
      </c>
      <c r="E345" s="20" t="s">
        <v>15</v>
      </c>
      <c r="F345" s="20" t="str">
        <f>INDEX(nrg_cb_e!$A$3:$A$40,MATCH(LEFT(MID('Industriesektor GWh'!$B345,41,1000),SEARCH(" - ",MID('Industriesektor GWh'!$B345,41,1000))-1),nrg_cb_e!$C$3:$C$40,0))</f>
        <v>FC_IND_CON_E</v>
      </c>
      <c r="G345" s="21">
        <v>522</v>
      </c>
      <c r="J345" t="s">
        <v>37</v>
      </c>
      <c r="K345" t="s">
        <v>130</v>
      </c>
      <c r="L345" s="23">
        <v>6668</v>
      </c>
      <c r="M345" s="23">
        <v>6869</v>
      </c>
      <c r="N345" s="23">
        <v>7001</v>
      </c>
      <c r="O345" s="23">
        <v>7331</v>
      </c>
      <c r="P345" s="23">
        <v>6348</v>
      </c>
      <c r="Q345" s="23">
        <v>6650</v>
      </c>
      <c r="R345" s="23">
        <v>6547</v>
      </c>
      <c r="S345" s="23">
        <v>5126</v>
      </c>
      <c r="T345" s="23">
        <v>3826</v>
      </c>
      <c r="U345" s="23">
        <v>3797</v>
      </c>
      <c r="V345" s="23">
        <v>3746</v>
      </c>
      <c r="W345" s="23">
        <v>5241</v>
      </c>
      <c r="X345" s="23">
        <v>4799</v>
      </c>
      <c r="Y345" s="23">
        <v>4821</v>
      </c>
      <c r="Z345" s="23">
        <v>4768</v>
      </c>
      <c r="AA345" s="23">
        <v>4936</v>
      </c>
      <c r="AB345" s="23">
        <v>5015</v>
      </c>
    </row>
    <row r="346" spans="1:28" x14ac:dyDescent="0.2">
      <c r="A346" s="16" t="s">
        <v>49</v>
      </c>
      <c r="B346" s="17" t="s">
        <v>72</v>
      </c>
      <c r="C346" s="17" t="s">
        <v>8</v>
      </c>
      <c r="D346" s="17" t="s">
        <v>10</v>
      </c>
      <c r="E346" s="17" t="s">
        <v>16</v>
      </c>
      <c r="F346" s="17" t="str">
        <f>INDEX(nrg_cb_e!$A$3:$A$40,MATCH(LEFT(MID('Industriesektor GWh'!$B346,41,1000),SEARCH(" - ",MID('Industriesektor GWh'!$B346,41,1000))-1),nrg_cb_e!$C$3:$C$40,0))</f>
        <v>FC_IND_CON_E</v>
      </c>
      <c r="G346" s="18">
        <v>571</v>
      </c>
      <c r="J346" t="s">
        <v>37</v>
      </c>
      <c r="K346" t="s">
        <v>132</v>
      </c>
      <c r="L346" s="23">
        <v>1768</v>
      </c>
      <c r="M346" s="23">
        <v>1443</v>
      </c>
      <c r="N346" s="23">
        <v>1526</v>
      </c>
      <c r="O346" s="23">
        <v>1559</v>
      </c>
      <c r="P346" s="23">
        <v>1392</v>
      </c>
      <c r="Q346" s="23">
        <v>1434</v>
      </c>
      <c r="R346" s="23">
        <v>1307</v>
      </c>
      <c r="S346" s="23">
        <v>1080</v>
      </c>
      <c r="T346" s="23">
        <v>1211</v>
      </c>
      <c r="U346" s="23">
        <v>1354</v>
      </c>
      <c r="V346" s="23">
        <v>1336</v>
      </c>
      <c r="W346" s="23">
        <v>1379</v>
      </c>
      <c r="X346" s="23">
        <v>1519</v>
      </c>
      <c r="Y346" s="23">
        <v>1440</v>
      </c>
      <c r="Z346" s="23">
        <v>1765</v>
      </c>
      <c r="AA346" s="23">
        <v>1983</v>
      </c>
      <c r="AB346" s="23">
        <v>1895</v>
      </c>
    </row>
    <row r="347" spans="1:28" x14ac:dyDescent="0.2">
      <c r="A347" s="19" t="s">
        <v>49</v>
      </c>
      <c r="B347" s="20" t="s">
        <v>72</v>
      </c>
      <c r="C347" s="20" t="s">
        <v>8</v>
      </c>
      <c r="D347" s="20" t="s">
        <v>10</v>
      </c>
      <c r="E347" s="20" t="s">
        <v>17</v>
      </c>
      <c r="F347" s="20" t="str">
        <f>INDEX(nrg_cb_e!$A$3:$A$40,MATCH(LEFT(MID('Industriesektor GWh'!$B347,41,1000),SEARCH(" - ",MID('Industriesektor GWh'!$B347,41,1000))-1),nrg_cb_e!$C$3:$C$40,0))</f>
        <v>FC_IND_CON_E</v>
      </c>
      <c r="G347" s="21">
        <v>780</v>
      </c>
      <c r="J347" t="s">
        <v>37</v>
      </c>
      <c r="K347" t="s">
        <v>124</v>
      </c>
      <c r="L347" s="23">
        <v>10484</v>
      </c>
      <c r="M347" s="23">
        <v>10884</v>
      </c>
      <c r="N347" s="23">
        <v>11572</v>
      </c>
      <c r="O347" s="23">
        <v>10271</v>
      </c>
      <c r="P347" s="23">
        <v>10112</v>
      </c>
      <c r="Q347" s="23">
        <v>10744</v>
      </c>
      <c r="R347" s="23">
        <v>10071</v>
      </c>
      <c r="S347" s="23">
        <v>9512</v>
      </c>
      <c r="T347" s="23">
        <v>8651</v>
      </c>
      <c r="U347" s="23">
        <v>10728</v>
      </c>
      <c r="V347" s="23">
        <v>10584</v>
      </c>
      <c r="W347" s="23">
        <v>9012</v>
      </c>
      <c r="X347" s="23">
        <v>9362</v>
      </c>
      <c r="Y347" s="23">
        <v>9544</v>
      </c>
      <c r="Z347" s="23">
        <v>9333</v>
      </c>
      <c r="AA347" s="23">
        <v>10070</v>
      </c>
      <c r="AB347" s="23">
        <v>9137</v>
      </c>
    </row>
    <row r="348" spans="1:28" x14ac:dyDescent="0.2">
      <c r="A348" s="16" t="s">
        <v>49</v>
      </c>
      <c r="B348" s="17" t="s">
        <v>72</v>
      </c>
      <c r="C348" s="17" t="s">
        <v>8</v>
      </c>
      <c r="D348" s="17" t="s">
        <v>10</v>
      </c>
      <c r="E348" s="17" t="s">
        <v>18</v>
      </c>
      <c r="F348" s="17" t="str">
        <f>INDEX(nrg_cb_e!$A$3:$A$40,MATCH(LEFT(MID('Industriesektor GWh'!$B348,41,1000),SEARCH(" - ",MID('Industriesektor GWh'!$B348,41,1000))-1),nrg_cb_e!$C$3:$C$40,0))</f>
        <v>FC_IND_CON_E</v>
      </c>
      <c r="G348" s="18">
        <v>674</v>
      </c>
      <c r="J348" t="s">
        <v>37</v>
      </c>
      <c r="K348" t="s">
        <v>126</v>
      </c>
      <c r="L348" s="23">
        <v>11026</v>
      </c>
      <c r="M348" s="23">
        <v>12059</v>
      </c>
      <c r="N348" s="23">
        <v>12256</v>
      </c>
      <c r="O348" s="23">
        <v>13298</v>
      </c>
      <c r="P348" s="23">
        <v>11602</v>
      </c>
      <c r="Q348" s="23">
        <v>12029</v>
      </c>
      <c r="R348" s="23">
        <v>10581</v>
      </c>
      <c r="S348" s="23">
        <v>7836</v>
      </c>
      <c r="T348" s="23">
        <v>7699</v>
      </c>
      <c r="U348" s="23">
        <v>6539</v>
      </c>
      <c r="V348" s="23">
        <v>6451</v>
      </c>
      <c r="W348" s="23">
        <v>5494</v>
      </c>
      <c r="X348" s="23">
        <v>5608</v>
      </c>
      <c r="Y348" s="23">
        <v>5893</v>
      </c>
      <c r="Z348" s="23">
        <v>5924</v>
      </c>
      <c r="AA348" s="23">
        <v>6245</v>
      </c>
      <c r="AB348" s="23">
        <v>6290</v>
      </c>
    </row>
    <row r="349" spans="1:28" x14ac:dyDescent="0.2">
      <c r="A349" s="19" t="s">
        <v>49</v>
      </c>
      <c r="B349" s="20" t="s">
        <v>72</v>
      </c>
      <c r="C349" s="20" t="s">
        <v>8</v>
      </c>
      <c r="D349" s="20" t="s">
        <v>10</v>
      </c>
      <c r="E349" s="20" t="s">
        <v>19</v>
      </c>
      <c r="F349" s="20" t="str">
        <f>INDEX(nrg_cb_e!$A$3:$A$40,MATCH(LEFT(MID('Industriesektor GWh'!$B349,41,1000),SEARCH(" - ",MID('Industriesektor GWh'!$B349,41,1000))-1),nrg_cb_e!$C$3:$C$40,0))</f>
        <v>FC_IND_CON_E</v>
      </c>
      <c r="G349" s="21">
        <v>746</v>
      </c>
      <c r="J349" t="s">
        <v>37</v>
      </c>
      <c r="K349" t="s">
        <v>136</v>
      </c>
      <c r="L349" s="23">
        <v>6898</v>
      </c>
      <c r="M349" s="23">
        <v>7307</v>
      </c>
      <c r="N349" s="23">
        <v>7663</v>
      </c>
      <c r="O349" s="23">
        <v>7873</v>
      </c>
      <c r="P349" s="23">
        <v>7268</v>
      </c>
      <c r="Q349" s="23">
        <v>7779</v>
      </c>
      <c r="R349" s="23">
        <v>7649</v>
      </c>
      <c r="S349" s="23">
        <v>6551</v>
      </c>
      <c r="T349" s="23">
        <v>3959</v>
      </c>
      <c r="U349" s="23">
        <v>5250</v>
      </c>
      <c r="V349" s="23">
        <v>5180</v>
      </c>
      <c r="W349" s="23">
        <v>5753</v>
      </c>
      <c r="X349" s="23">
        <v>5821</v>
      </c>
      <c r="Y349" s="23">
        <v>5880</v>
      </c>
      <c r="Z349" s="23">
        <v>5803</v>
      </c>
      <c r="AA349" s="23">
        <v>5976</v>
      </c>
      <c r="AB349" s="23">
        <v>5539</v>
      </c>
    </row>
    <row r="350" spans="1:28" x14ac:dyDescent="0.2">
      <c r="A350" s="16" t="s">
        <v>49</v>
      </c>
      <c r="B350" s="17" t="s">
        <v>72</v>
      </c>
      <c r="C350" s="17" t="s">
        <v>8</v>
      </c>
      <c r="D350" s="17" t="s">
        <v>10</v>
      </c>
      <c r="E350" s="17" t="s">
        <v>20</v>
      </c>
      <c r="F350" s="17" t="str">
        <f>INDEX(nrg_cb_e!$A$3:$A$40,MATCH(LEFT(MID('Industriesektor GWh'!$B350,41,1000),SEARCH(" - ",MID('Industriesektor GWh'!$B350,41,1000))-1),nrg_cb_e!$C$3:$C$40,0))</f>
        <v>FC_IND_CON_E</v>
      </c>
      <c r="G350" s="18">
        <v>770</v>
      </c>
      <c r="J350" t="s">
        <v>37</v>
      </c>
      <c r="K350" t="s">
        <v>128</v>
      </c>
      <c r="L350" s="23">
        <v>3821</v>
      </c>
      <c r="M350" s="23">
        <v>4071</v>
      </c>
      <c r="N350" s="23">
        <v>4330</v>
      </c>
      <c r="O350" s="23">
        <v>4406</v>
      </c>
      <c r="P350" s="23">
        <v>3773</v>
      </c>
      <c r="Q350" s="23">
        <v>3836</v>
      </c>
      <c r="R350" s="23">
        <v>3639</v>
      </c>
      <c r="S350" s="23">
        <v>3171</v>
      </c>
      <c r="T350" s="23">
        <v>2851</v>
      </c>
      <c r="U350" s="23">
        <v>2693</v>
      </c>
      <c r="V350" s="23">
        <v>2657</v>
      </c>
      <c r="W350" s="23">
        <v>2984</v>
      </c>
      <c r="X350" s="23">
        <v>3468</v>
      </c>
      <c r="Y350" s="23">
        <v>3653</v>
      </c>
      <c r="Z350" s="23">
        <v>4208</v>
      </c>
      <c r="AA350" s="23">
        <v>4499</v>
      </c>
      <c r="AB350" s="23">
        <v>4335</v>
      </c>
    </row>
    <row r="351" spans="1:28" x14ac:dyDescent="0.2">
      <c r="A351" s="19" t="s">
        <v>49</v>
      </c>
      <c r="B351" s="20" t="s">
        <v>72</v>
      </c>
      <c r="C351" s="20" t="s">
        <v>8</v>
      </c>
      <c r="D351" s="20" t="s">
        <v>10</v>
      </c>
      <c r="E351" s="20" t="s">
        <v>21</v>
      </c>
      <c r="F351" s="20" t="str">
        <f>INDEX(nrg_cb_e!$A$3:$A$40,MATCH(LEFT(MID('Industriesektor GWh'!$B351,41,1000),SEARCH(" - ",MID('Industriesektor GWh'!$B351,41,1000))-1),nrg_cb_e!$C$3:$C$40,0))</f>
        <v>FC_IND_CON_E</v>
      </c>
      <c r="G351" s="21">
        <v>796</v>
      </c>
      <c r="J351" t="s">
        <v>37</v>
      </c>
      <c r="K351" t="s">
        <v>142</v>
      </c>
      <c r="L351" s="23">
        <v>4589</v>
      </c>
      <c r="M351" s="23">
        <v>4526</v>
      </c>
      <c r="N351" s="23">
        <v>4429</v>
      </c>
      <c r="O351" s="23">
        <v>4290</v>
      </c>
      <c r="P351" s="23">
        <v>2947</v>
      </c>
      <c r="Q351" s="23">
        <v>2971</v>
      </c>
      <c r="R351" s="23">
        <v>2501</v>
      </c>
      <c r="S351" s="23">
        <v>2052</v>
      </c>
      <c r="T351" s="23">
        <v>2162</v>
      </c>
      <c r="U351" s="23">
        <v>2020</v>
      </c>
      <c r="V351" s="23">
        <v>1993</v>
      </c>
      <c r="W351" s="23">
        <v>1853</v>
      </c>
      <c r="X351" s="23">
        <v>1671</v>
      </c>
      <c r="Y351" s="23">
        <v>1738</v>
      </c>
      <c r="Z351" s="23">
        <v>1662</v>
      </c>
      <c r="AA351" s="23">
        <v>1673</v>
      </c>
      <c r="AB351" s="23">
        <v>1533</v>
      </c>
    </row>
    <row r="352" spans="1:28" x14ac:dyDescent="0.2">
      <c r="A352" s="16" t="s">
        <v>49</v>
      </c>
      <c r="B352" s="17" t="s">
        <v>72</v>
      </c>
      <c r="C352" s="17" t="s">
        <v>8</v>
      </c>
      <c r="D352" s="17" t="s">
        <v>10</v>
      </c>
      <c r="E352" s="17" t="s">
        <v>22</v>
      </c>
      <c r="F352" s="17" t="str">
        <f>INDEX(nrg_cb_e!$A$3:$A$40,MATCH(LEFT(MID('Industriesektor GWh'!$B352,41,1000),SEARCH(" - ",MID('Industriesektor GWh'!$B352,41,1000))-1),nrg_cb_e!$C$3:$C$40,0))</f>
        <v>FC_IND_CON_E</v>
      </c>
      <c r="G352" s="18">
        <v>809</v>
      </c>
      <c r="J352" t="s">
        <v>37</v>
      </c>
      <c r="K352" t="s">
        <v>138</v>
      </c>
      <c r="L352" s="23">
        <v>1974</v>
      </c>
      <c r="M352" s="23">
        <v>2634</v>
      </c>
      <c r="N352" s="23">
        <v>2463</v>
      </c>
      <c r="O352" s="23">
        <v>2598</v>
      </c>
      <c r="P352" s="23">
        <v>2260</v>
      </c>
      <c r="Q352" s="23">
        <v>2250</v>
      </c>
      <c r="R352" s="23">
        <v>2056</v>
      </c>
      <c r="S352" s="23">
        <v>1474</v>
      </c>
      <c r="T352" s="23">
        <v>1415</v>
      </c>
      <c r="U352" s="23">
        <v>1406</v>
      </c>
      <c r="V352" s="23">
        <v>1387</v>
      </c>
      <c r="W352" s="23">
        <v>1415</v>
      </c>
      <c r="X352" s="23">
        <v>1089</v>
      </c>
      <c r="Y352" s="23">
        <v>1132</v>
      </c>
      <c r="Z352" s="23">
        <v>1233</v>
      </c>
      <c r="AA352" s="23">
        <v>1593</v>
      </c>
      <c r="AB352" s="23">
        <v>1414</v>
      </c>
    </row>
    <row r="353" spans="1:28" x14ac:dyDescent="0.2">
      <c r="A353" s="19" t="s">
        <v>49</v>
      </c>
      <c r="B353" s="20" t="s">
        <v>72</v>
      </c>
      <c r="C353" s="20" t="s">
        <v>8</v>
      </c>
      <c r="D353" s="20" t="s">
        <v>10</v>
      </c>
      <c r="E353" s="20" t="s">
        <v>23</v>
      </c>
      <c r="F353" s="20" t="str">
        <f>INDEX(nrg_cb_e!$A$3:$A$40,MATCH(LEFT(MID('Industriesektor GWh'!$B353,41,1000),SEARCH(" - ",MID('Industriesektor GWh'!$B353,41,1000))-1),nrg_cb_e!$C$3:$C$40,0))</f>
        <v>FC_IND_CON_E</v>
      </c>
      <c r="G353" s="21">
        <v>784</v>
      </c>
      <c r="J353" t="s">
        <v>37</v>
      </c>
      <c r="K353" t="s">
        <v>116</v>
      </c>
      <c r="L353" s="23">
        <v>5202</v>
      </c>
      <c r="M353" s="23">
        <v>4591</v>
      </c>
      <c r="N353" s="23">
        <v>6999</v>
      </c>
      <c r="O353" s="23">
        <v>7506</v>
      </c>
      <c r="P353" s="23">
        <v>6388</v>
      </c>
      <c r="Q353" s="23">
        <v>7499</v>
      </c>
      <c r="R353" s="23">
        <v>8044</v>
      </c>
      <c r="S353" s="23">
        <v>5715</v>
      </c>
      <c r="T353" s="23">
        <v>5521</v>
      </c>
      <c r="U353" s="23">
        <v>5592</v>
      </c>
      <c r="V353" s="23">
        <v>5517</v>
      </c>
      <c r="W353" s="23">
        <v>4212</v>
      </c>
      <c r="X353" s="23">
        <v>3562</v>
      </c>
      <c r="Y353" s="23">
        <v>6807</v>
      </c>
      <c r="Z353" s="23">
        <v>6788</v>
      </c>
      <c r="AA353" s="23">
        <v>7026</v>
      </c>
      <c r="AB353" s="23">
        <v>6179</v>
      </c>
    </row>
    <row r="354" spans="1:28" x14ac:dyDescent="0.2">
      <c r="A354" s="16" t="s">
        <v>49</v>
      </c>
      <c r="B354" s="17" t="s">
        <v>72</v>
      </c>
      <c r="C354" s="17" t="s">
        <v>8</v>
      </c>
      <c r="D354" s="17" t="s">
        <v>10</v>
      </c>
      <c r="E354" s="17" t="s">
        <v>24</v>
      </c>
      <c r="F354" s="17" t="str">
        <f>INDEX(nrg_cb_e!$A$3:$A$40,MATCH(LEFT(MID('Industriesektor GWh'!$B354,41,1000),SEARCH(" - ",MID('Industriesektor GWh'!$B354,41,1000))-1),nrg_cb_e!$C$3:$C$40,0))</f>
        <v>FC_IND_CON_E</v>
      </c>
      <c r="G354" s="18">
        <v>754</v>
      </c>
      <c r="J354" t="s">
        <v>31</v>
      </c>
      <c r="K354" t="s">
        <v>140</v>
      </c>
      <c r="L354" s="23">
        <v>320</v>
      </c>
      <c r="M354" s="23">
        <v>302</v>
      </c>
      <c r="N354" s="23">
        <v>412</v>
      </c>
      <c r="O354" s="23">
        <v>398</v>
      </c>
      <c r="P354" s="23">
        <v>476</v>
      </c>
      <c r="Q354" s="23">
        <v>454</v>
      </c>
      <c r="R354" s="23">
        <v>476</v>
      </c>
      <c r="S354" s="23">
        <v>486</v>
      </c>
      <c r="T354" s="23">
        <v>511</v>
      </c>
      <c r="U354" s="23">
        <v>492</v>
      </c>
      <c r="V354" s="23">
        <v>456</v>
      </c>
      <c r="W354" s="23">
        <v>424</v>
      </c>
      <c r="X354" s="23">
        <v>450</v>
      </c>
      <c r="Y354" s="23">
        <v>476</v>
      </c>
      <c r="Z354" s="23">
        <v>492</v>
      </c>
      <c r="AA354" s="23">
        <v>544.87800000000004</v>
      </c>
      <c r="AB354" s="23">
        <v>619.68600000000004</v>
      </c>
    </row>
    <row r="355" spans="1:28" x14ac:dyDescent="0.2">
      <c r="A355" s="19" t="s">
        <v>49</v>
      </c>
      <c r="B355" s="20" t="s">
        <v>72</v>
      </c>
      <c r="C355" s="20" t="s">
        <v>8</v>
      </c>
      <c r="D355" s="20" t="s">
        <v>10</v>
      </c>
      <c r="E355" s="20" t="s">
        <v>25</v>
      </c>
      <c r="F355" s="20" t="str">
        <f>INDEX(nrg_cb_e!$A$3:$A$40,MATCH(LEFT(MID('Industriesektor GWh'!$B355,41,1000),SEARCH(" - ",MID('Industriesektor GWh'!$B355,41,1000))-1),nrg_cb_e!$C$3:$C$40,0))</f>
        <v>FC_IND_CON_E</v>
      </c>
      <c r="G355" s="21">
        <v>825</v>
      </c>
      <c r="J355" t="s">
        <v>31</v>
      </c>
      <c r="K355" t="s">
        <v>122</v>
      </c>
      <c r="L355" s="23">
        <v>3211</v>
      </c>
      <c r="M355" s="23">
        <v>3641</v>
      </c>
      <c r="N355" s="23">
        <v>3771</v>
      </c>
      <c r="O355" s="23">
        <v>3881</v>
      </c>
      <c r="P355" s="23">
        <v>3881</v>
      </c>
      <c r="Q355" s="23">
        <v>3879</v>
      </c>
      <c r="R355" s="23">
        <v>3633</v>
      </c>
      <c r="S355" s="23">
        <v>3396</v>
      </c>
      <c r="T355" s="23">
        <v>3626</v>
      </c>
      <c r="U355" s="23">
        <v>3651</v>
      </c>
      <c r="V355" s="23">
        <v>3706</v>
      </c>
      <c r="W355" s="23">
        <v>3451</v>
      </c>
      <c r="X355" s="23">
        <v>3721</v>
      </c>
      <c r="Y355" s="23">
        <v>3538</v>
      </c>
      <c r="Z355" s="23">
        <v>3226</v>
      </c>
      <c r="AA355" s="23">
        <v>3384.1689999999999</v>
      </c>
      <c r="AB355" s="23">
        <v>3295.6959999999999</v>
      </c>
    </row>
    <row r="356" spans="1:28" x14ac:dyDescent="0.2">
      <c r="A356" s="16" t="s">
        <v>49</v>
      </c>
      <c r="B356" s="17" t="s">
        <v>72</v>
      </c>
      <c r="C356" s="17" t="s">
        <v>8</v>
      </c>
      <c r="D356" s="17" t="s">
        <v>10</v>
      </c>
      <c r="E356" s="17" t="s">
        <v>26</v>
      </c>
      <c r="F356" s="17" t="str">
        <f>INDEX(nrg_cb_e!$A$3:$A$40,MATCH(LEFT(MID('Industriesektor GWh'!$B356,41,1000),SEARCH(" - ",MID('Industriesektor GWh'!$B356,41,1000))-1),nrg_cb_e!$C$3:$C$40,0))</f>
        <v>FC_IND_CON_E</v>
      </c>
      <c r="G356" s="18">
        <v>860</v>
      </c>
      <c r="J356" t="s">
        <v>31</v>
      </c>
      <c r="K356" t="s">
        <v>134</v>
      </c>
      <c r="L356" s="23">
        <v>1534</v>
      </c>
      <c r="M356" s="23">
        <v>1557</v>
      </c>
      <c r="N356" s="23">
        <v>1594</v>
      </c>
      <c r="O356" s="23">
        <v>1590</v>
      </c>
      <c r="P356" s="23">
        <v>1603</v>
      </c>
      <c r="Q356" s="23">
        <v>1572</v>
      </c>
      <c r="R356" s="23">
        <v>1722</v>
      </c>
      <c r="S356" s="23">
        <v>1632</v>
      </c>
      <c r="T356" s="23">
        <v>1593</v>
      </c>
      <c r="U356" s="23">
        <v>1625</v>
      </c>
      <c r="V356" s="23">
        <v>1620</v>
      </c>
      <c r="W356" s="23">
        <v>1468</v>
      </c>
      <c r="X356" s="23">
        <v>1483</v>
      </c>
      <c r="Y356" s="23">
        <v>1585</v>
      </c>
      <c r="Z356" s="23">
        <v>1589</v>
      </c>
      <c r="AA356" s="23">
        <v>1651.2339999999999</v>
      </c>
      <c r="AB356" s="23">
        <v>1667.5170000000001</v>
      </c>
    </row>
    <row r="357" spans="1:28" x14ac:dyDescent="0.2">
      <c r="A357" s="19" t="s">
        <v>49</v>
      </c>
      <c r="B357" s="20" t="s">
        <v>72</v>
      </c>
      <c r="C357" s="20" t="s">
        <v>8</v>
      </c>
      <c r="D357" s="20" t="s">
        <v>10</v>
      </c>
      <c r="E357" s="20" t="s">
        <v>27</v>
      </c>
      <c r="F357" s="20" t="str">
        <f>INDEX(nrg_cb_e!$A$3:$A$40,MATCH(LEFT(MID('Industriesektor GWh'!$B357,41,1000),SEARCH(" - ",MID('Industriesektor GWh'!$B357,41,1000))-1),nrg_cb_e!$C$3:$C$40,0))</f>
        <v>FC_IND_CON_E</v>
      </c>
      <c r="G357" s="21">
        <v>903</v>
      </c>
      <c r="J357" t="s">
        <v>31</v>
      </c>
      <c r="K357" t="s">
        <v>120</v>
      </c>
      <c r="L357" s="23">
        <v>3751</v>
      </c>
      <c r="M357" s="23">
        <v>3530</v>
      </c>
      <c r="N357" s="23">
        <v>3560</v>
      </c>
      <c r="O357" s="23">
        <v>3439</v>
      </c>
      <c r="P357" s="23">
        <v>3389</v>
      </c>
      <c r="Q357" s="23">
        <v>3138</v>
      </c>
      <c r="R357" s="23">
        <v>3153</v>
      </c>
      <c r="S357" s="23">
        <v>3107</v>
      </c>
      <c r="T357" s="23">
        <v>2537</v>
      </c>
      <c r="U357" s="23">
        <v>2611</v>
      </c>
      <c r="V357" s="23">
        <v>2296</v>
      </c>
      <c r="W357" s="23">
        <v>2300</v>
      </c>
      <c r="X357" s="23">
        <v>2354</v>
      </c>
      <c r="Y357" s="23">
        <v>2346</v>
      </c>
      <c r="Z357" s="23">
        <v>2374</v>
      </c>
      <c r="AA357" s="23">
        <v>2316.4810000000002</v>
      </c>
      <c r="AB357" s="23">
        <v>2357.424</v>
      </c>
    </row>
    <row r="358" spans="1:28" x14ac:dyDescent="0.2">
      <c r="A358" s="16" t="s">
        <v>49</v>
      </c>
      <c r="B358" s="17" t="s">
        <v>72</v>
      </c>
      <c r="C358" s="17" t="s">
        <v>8</v>
      </c>
      <c r="D358" s="17" t="s">
        <v>10</v>
      </c>
      <c r="E358" s="17" t="s">
        <v>28</v>
      </c>
      <c r="F358" s="17" t="str">
        <f>INDEX(nrg_cb_e!$A$3:$A$40,MATCH(LEFT(MID('Industriesektor GWh'!$B358,41,1000),SEARCH(" - ",MID('Industriesektor GWh'!$B358,41,1000))-1),nrg_cb_e!$C$3:$C$40,0))</f>
        <v>FC_IND_CON_E</v>
      </c>
      <c r="G358" s="18">
        <v>984.80499999999995</v>
      </c>
      <c r="J358" t="s">
        <v>31</v>
      </c>
      <c r="K358" t="s">
        <v>130</v>
      </c>
      <c r="L358" s="23">
        <v>2571</v>
      </c>
      <c r="M358" s="23">
        <v>2711</v>
      </c>
      <c r="N358" s="23">
        <v>3163</v>
      </c>
      <c r="O358" s="23">
        <v>3403</v>
      </c>
      <c r="P358" s="23">
        <v>3521</v>
      </c>
      <c r="Q358" s="23">
        <v>3882</v>
      </c>
      <c r="R358" s="23">
        <v>4004</v>
      </c>
      <c r="S358" s="23">
        <v>3101</v>
      </c>
      <c r="T358" s="23">
        <v>3545</v>
      </c>
      <c r="U358" s="23">
        <v>3820</v>
      </c>
      <c r="V358" s="23">
        <v>3864</v>
      </c>
      <c r="W358" s="23">
        <v>3724</v>
      </c>
      <c r="X358" s="23">
        <v>3817</v>
      </c>
      <c r="Y358" s="23">
        <v>3996</v>
      </c>
      <c r="Z358" s="23">
        <v>4069</v>
      </c>
      <c r="AA358" s="23">
        <v>4343.018</v>
      </c>
      <c r="AB358" s="23">
        <v>4262.6899999999996</v>
      </c>
    </row>
    <row r="359" spans="1:28" x14ac:dyDescent="0.2">
      <c r="A359" s="19" t="s">
        <v>50</v>
      </c>
      <c r="B359" s="20" t="s">
        <v>72</v>
      </c>
      <c r="C359" s="20" t="s">
        <v>8</v>
      </c>
      <c r="D359" s="20" t="s">
        <v>10</v>
      </c>
      <c r="E359" s="20" t="s">
        <v>12</v>
      </c>
      <c r="F359" s="20" t="str">
        <f>INDEX(nrg_cb_e!$A$3:$A$40,MATCH(LEFT(MID('Industriesektor GWh'!$B359,41,1000),SEARCH(" - ",MID('Industriesektor GWh'!$B359,41,1000))-1),nrg_cb_e!$C$3:$C$40,0))</f>
        <v>FC_IND_CON_E</v>
      </c>
      <c r="G359" s="21">
        <v>672</v>
      </c>
      <c r="J359" t="s">
        <v>31</v>
      </c>
      <c r="K359" t="s">
        <v>132</v>
      </c>
      <c r="L359" s="23">
        <v>184</v>
      </c>
      <c r="M359" s="23">
        <v>201</v>
      </c>
      <c r="N359" s="23">
        <v>201</v>
      </c>
      <c r="O359" s="23">
        <v>201</v>
      </c>
      <c r="P359" s="23">
        <v>205</v>
      </c>
      <c r="Q359" s="23">
        <v>217</v>
      </c>
      <c r="R359" s="23">
        <v>333</v>
      </c>
      <c r="S359" s="23">
        <v>261</v>
      </c>
      <c r="T359" s="23">
        <v>412</v>
      </c>
      <c r="U359" s="23">
        <v>393</v>
      </c>
      <c r="V359" s="23">
        <v>362</v>
      </c>
      <c r="W359" s="23">
        <v>363</v>
      </c>
      <c r="X359" s="23">
        <v>354</v>
      </c>
      <c r="Y359" s="23">
        <v>350</v>
      </c>
      <c r="Z359" s="23">
        <v>372</v>
      </c>
      <c r="AA359" s="23">
        <v>375.99599999999998</v>
      </c>
      <c r="AB359" s="23">
        <v>372.09699999999998</v>
      </c>
    </row>
    <row r="360" spans="1:28" x14ac:dyDescent="0.2">
      <c r="A360" s="16" t="s">
        <v>50</v>
      </c>
      <c r="B360" s="17" t="s">
        <v>72</v>
      </c>
      <c r="C360" s="17" t="s">
        <v>8</v>
      </c>
      <c r="D360" s="17" t="s">
        <v>10</v>
      </c>
      <c r="E360" s="17" t="s">
        <v>13</v>
      </c>
      <c r="F360" s="17" t="str">
        <f>INDEX(nrg_cb_e!$A$3:$A$40,MATCH(LEFT(MID('Industriesektor GWh'!$B360,41,1000),SEARCH(" - ",MID('Industriesektor GWh'!$B360,41,1000))-1),nrg_cb_e!$C$3:$C$40,0))</f>
        <v>FC_IND_CON_E</v>
      </c>
      <c r="G360" s="18">
        <v>680</v>
      </c>
      <c r="J360" t="s">
        <v>31</v>
      </c>
      <c r="K360" t="s">
        <v>124</v>
      </c>
      <c r="L360" s="23">
        <v>104</v>
      </c>
      <c r="M360" s="23">
        <v>280</v>
      </c>
      <c r="N360" s="23">
        <v>291</v>
      </c>
      <c r="O360" s="23">
        <v>329</v>
      </c>
      <c r="P360" s="23">
        <v>336</v>
      </c>
      <c r="Q360" s="23">
        <v>306</v>
      </c>
      <c r="R360" s="23">
        <v>309</v>
      </c>
      <c r="S360" s="23">
        <v>262</v>
      </c>
      <c r="T360" s="23">
        <v>215</v>
      </c>
      <c r="U360" s="23">
        <v>262</v>
      </c>
      <c r="V360" s="23">
        <v>354</v>
      </c>
      <c r="W360" s="23">
        <v>349</v>
      </c>
      <c r="X360" s="23">
        <v>366</v>
      </c>
      <c r="Y360" s="23">
        <v>365</v>
      </c>
      <c r="Z360" s="23">
        <v>405</v>
      </c>
      <c r="AA360" s="23">
        <v>411.31299999999999</v>
      </c>
      <c r="AB360" s="23">
        <v>413.57</v>
      </c>
    </row>
    <row r="361" spans="1:28" x14ac:dyDescent="0.2">
      <c r="A361" s="19" t="s">
        <v>50</v>
      </c>
      <c r="B361" s="20" t="s">
        <v>72</v>
      </c>
      <c r="C361" s="20" t="s">
        <v>8</v>
      </c>
      <c r="D361" s="20" t="s">
        <v>10</v>
      </c>
      <c r="E361" s="20" t="s">
        <v>14</v>
      </c>
      <c r="F361" s="20" t="str">
        <f>INDEX(nrg_cb_e!$A$3:$A$40,MATCH(LEFT(MID('Industriesektor GWh'!$B361,41,1000),SEARCH(" - ",MID('Industriesektor GWh'!$B361,41,1000))-1),nrg_cb_e!$C$3:$C$40,0))</f>
        <v>FC_IND_CON_E</v>
      </c>
      <c r="G361" s="21">
        <v>689</v>
      </c>
      <c r="J361" t="s">
        <v>31</v>
      </c>
      <c r="K361" t="s">
        <v>126</v>
      </c>
      <c r="L361" s="23">
        <v>2162</v>
      </c>
      <c r="M361" s="23">
        <v>2381</v>
      </c>
      <c r="N361" s="23">
        <v>2432</v>
      </c>
      <c r="O361" s="23">
        <v>2537</v>
      </c>
      <c r="P361" s="23">
        <v>2489</v>
      </c>
      <c r="Q361" s="23">
        <v>2701</v>
      </c>
      <c r="R361" s="23">
        <v>2655</v>
      </c>
      <c r="S361" s="23">
        <v>1996</v>
      </c>
      <c r="T361" s="23">
        <v>2115</v>
      </c>
      <c r="U361" s="23">
        <v>2234</v>
      </c>
      <c r="V361" s="23">
        <v>2197</v>
      </c>
      <c r="W361" s="23">
        <v>2008</v>
      </c>
      <c r="X361" s="23">
        <v>2188</v>
      </c>
      <c r="Y361" s="23">
        <v>2279</v>
      </c>
      <c r="Z361" s="23">
        <v>2382</v>
      </c>
      <c r="AA361" s="23">
        <v>2431.2089999999998</v>
      </c>
      <c r="AB361" s="23">
        <v>2474.0619999999999</v>
      </c>
    </row>
    <row r="362" spans="1:28" x14ac:dyDescent="0.2">
      <c r="A362" s="16" t="s">
        <v>50</v>
      </c>
      <c r="B362" s="17" t="s">
        <v>72</v>
      </c>
      <c r="C362" s="17" t="s">
        <v>8</v>
      </c>
      <c r="D362" s="17" t="s">
        <v>10</v>
      </c>
      <c r="E362" s="17" t="s">
        <v>15</v>
      </c>
      <c r="F362" s="17" t="str">
        <f>INDEX(nrg_cb_e!$A$3:$A$40,MATCH(LEFT(MID('Industriesektor GWh'!$B362,41,1000),SEARCH(" - ",MID('Industriesektor GWh'!$B362,41,1000))-1),nrg_cb_e!$C$3:$C$40,0))</f>
        <v>FC_IND_CON_E</v>
      </c>
      <c r="G362" s="18">
        <v>651</v>
      </c>
      <c r="J362" t="s">
        <v>31</v>
      </c>
      <c r="K362" t="s">
        <v>136</v>
      </c>
      <c r="L362" s="23">
        <v>1877</v>
      </c>
      <c r="M362" s="23">
        <v>1239</v>
      </c>
      <c r="N362" s="23">
        <v>1766</v>
      </c>
      <c r="O362" s="23">
        <v>1888</v>
      </c>
      <c r="P362" s="23">
        <v>1904</v>
      </c>
      <c r="Q362" s="23">
        <v>1917</v>
      </c>
      <c r="R362" s="23">
        <v>1826</v>
      </c>
      <c r="S362" s="23">
        <v>1722</v>
      </c>
      <c r="T362" s="23">
        <v>1648</v>
      </c>
      <c r="U362" s="23">
        <v>1607</v>
      </c>
      <c r="V362" s="23">
        <v>1656</v>
      </c>
      <c r="W362" s="23">
        <v>1525</v>
      </c>
      <c r="X362" s="23">
        <v>1713</v>
      </c>
      <c r="Y362" s="23">
        <v>1696</v>
      </c>
      <c r="Z362" s="23">
        <v>1741</v>
      </c>
      <c r="AA362" s="23">
        <v>1805.0820000000001</v>
      </c>
      <c r="AB362" s="23">
        <v>1810.1489999999999</v>
      </c>
    </row>
    <row r="363" spans="1:28" x14ac:dyDescent="0.2">
      <c r="A363" s="19" t="s">
        <v>50</v>
      </c>
      <c r="B363" s="20" t="s">
        <v>72</v>
      </c>
      <c r="C363" s="20" t="s">
        <v>8</v>
      </c>
      <c r="D363" s="20" t="s">
        <v>10</v>
      </c>
      <c r="E363" s="20" t="s">
        <v>16</v>
      </c>
      <c r="F363" s="20" t="str">
        <f>INDEX(nrg_cb_e!$A$3:$A$40,MATCH(LEFT(MID('Industriesektor GWh'!$B363,41,1000),SEARCH(" - ",MID('Industriesektor GWh'!$B363,41,1000))-1),nrg_cb_e!$C$3:$C$40,0))</f>
        <v>FC_IND_CON_E</v>
      </c>
      <c r="G363" s="21">
        <v>688</v>
      </c>
      <c r="J363" t="s">
        <v>31</v>
      </c>
      <c r="K363" t="s">
        <v>128</v>
      </c>
      <c r="L363" s="23">
        <v>1212</v>
      </c>
      <c r="M363" s="23">
        <v>1162</v>
      </c>
      <c r="N363" s="23">
        <v>1482</v>
      </c>
      <c r="O363" s="23">
        <v>1580</v>
      </c>
      <c r="P363" s="23">
        <v>1834</v>
      </c>
      <c r="Q363" s="23">
        <v>1934</v>
      </c>
      <c r="R363" s="23">
        <v>2321</v>
      </c>
      <c r="S363" s="23">
        <v>2242</v>
      </c>
      <c r="T363" s="23">
        <v>2463</v>
      </c>
      <c r="U363" s="23">
        <v>2675</v>
      </c>
      <c r="V363" s="23">
        <v>2619</v>
      </c>
      <c r="W363" s="23">
        <v>2520</v>
      </c>
      <c r="X363" s="23">
        <v>2504</v>
      </c>
      <c r="Y363" s="23">
        <v>2788</v>
      </c>
      <c r="Z363" s="23">
        <v>2915</v>
      </c>
      <c r="AA363" s="23">
        <v>3050.855</v>
      </c>
      <c r="AB363" s="23">
        <v>3241.018</v>
      </c>
    </row>
    <row r="364" spans="1:28" x14ac:dyDescent="0.2">
      <c r="A364" s="16" t="s">
        <v>50</v>
      </c>
      <c r="B364" s="17" t="s">
        <v>72</v>
      </c>
      <c r="C364" s="17" t="s">
        <v>8</v>
      </c>
      <c r="D364" s="17" t="s">
        <v>10</v>
      </c>
      <c r="E364" s="17" t="s">
        <v>17</v>
      </c>
      <c r="F364" s="17" t="str">
        <f>INDEX(nrg_cb_e!$A$3:$A$40,MATCH(LEFT(MID('Industriesektor GWh'!$B364,41,1000),SEARCH(" - ",MID('Industriesektor GWh'!$B364,41,1000))-1),nrg_cb_e!$C$3:$C$40,0))</f>
        <v>FC_IND_CON_E</v>
      </c>
      <c r="G364" s="18">
        <v>636</v>
      </c>
      <c r="J364" t="s">
        <v>31</v>
      </c>
      <c r="K364" t="s">
        <v>142</v>
      </c>
      <c r="L364" s="23">
        <v>1292</v>
      </c>
      <c r="M364" s="23">
        <v>1134</v>
      </c>
      <c r="N364" s="23">
        <v>1123</v>
      </c>
      <c r="O364" s="23">
        <v>1155</v>
      </c>
      <c r="P364" s="23">
        <v>1005</v>
      </c>
      <c r="Q364" s="23">
        <v>966</v>
      </c>
      <c r="R364" s="23">
        <v>897</v>
      </c>
      <c r="S364" s="23">
        <v>704</v>
      </c>
      <c r="T364" s="23">
        <v>723</v>
      </c>
      <c r="U364" s="23">
        <v>752</v>
      </c>
      <c r="V364" s="23">
        <v>728</v>
      </c>
      <c r="W364" s="23">
        <v>721</v>
      </c>
      <c r="X364" s="23">
        <v>728</v>
      </c>
      <c r="Y364" s="23">
        <v>714</v>
      </c>
      <c r="Z364" s="23">
        <v>713</v>
      </c>
      <c r="AA364" s="23">
        <v>736.52200000000005</v>
      </c>
      <c r="AB364" s="23">
        <v>757.11500000000001</v>
      </c>
    </row>
    <row r="365" spans="1:28" x14ac:dyDescent="0.2">
      <c r="A365" s="19" t="s">
        <v>50</v>
      </c>
      <c r="B365" s="20" t="s">
        <v>72</v>
      </c>
      <c r="C365" s="20" t="s">
        <v>8</v>
      </c>
      <c r="D365" s="20" t="s">
        <v>10</v>
      </c>
      <c r="E365" s="20" t="s">
        <v>18</v>
      </c>
      <c r="F365" s="20" t="str">
        <f>INDEX(nrg_cb_e!$A$3:$A$40,MATCH(LEFT(MID('Industriesektor GWh'!$B365,41,1000),SEARCH(" - ",MID('Industriesektor GWh'!$B365,41,1000))-1),nrg_cb_e!$C$3:$C$40,0))</f>
        <v>FC_IND_CON_E</v>
      </c>
      <c r="G365" s="21">
        <v>622</v>
      </c>
      <c r="J365" t="s">
        <v>31</v>
      </c>
      <c r="K365" t="s">
        <v>138</v>
      </c>
      <c r="L365" s="23">
        <v>396</v>
      </c>
      <c r="M365" s="23">
        <v>398</v>
      </c>
      <c r="N365" s="23">
        <v>484</v>
      </c>
      <c r="O365" s="23">
        <v>538</v>
      </c>
      <c r="P365" s="23">
        <v>517</v>
      </c>
      <c r="Q365" s="23">
        <v>549</v>
      </c>
      <c r="R365" s="23">
        <v>550</v>
      </c>
      <c r="S365" s="23">
        <v>480</v>
      </c>
      <c r="T365" s="23">
        <v>487</v>
      </c>
      <c r="U365" s="23">
        <v>461</v>
      </c>
      <c r="V365" s="23">
        <v>521</v>
      </c>
      <c r="W365" s="23">
        <v>515</v>
      </c>
      <c r="X365" s="23">
        <v>480</v>
      </c>
      <c r="Y365" s="23">
        <v>481</v>
      </c>
      <c r="Z365" s="23">
        <v>511</v>
      </c>
      <c r="AA365" s="23">
        <v>525.976</v>
      </c>
      <c r="AB365" s="23">
        <v>559.351</v>
      </c>
    </row>
    <row r="366" spans="1:28" x14ac:dyDescent="0.2">
      <c r="A366" s="16" t="s">
        <v>50</v>
      </c>
      <c r="B366" s="17" t="s">
        <v>72</v>
      </c>
      <c r="C366" s="17" t="s">
        <v>8</v>
      </c>
      <c r="D366" s="17" t="s">
        <v>10</v>
      </c>
      <c r="E366" s="17" t="s">
        <v>19</v>
      </c>
      <c r="F366" s="17" t="str">
        <f>INDEX(nrg_cb_e!$A$3:$A$40,MATCH(LEFT(MID('Industriesektor GWh'!$B366,41,1000),SEARCH(" - ",MID('Industriesektor GWh'!$B366,41,1000))-1),nrg_cb_e!$C$3:$C$40,0))</f>
        <v>FC_IND_CON_E</v>
      </c>
      <c r="G366" s="18">
        <v>647</v>
      </c>
      <c r="J366" t="s">
        <v>31</v>
      </c>
      <c r="K366" t="s">
        <v>116</v>
      </c>
      <c r="L366" s="23">
        <v>1944</v>
      </c>
      <c r="M366" s="23">
        <v>2014</v>
      </c>
      <c r="N366" s="23">
        <v>2079</v>
      </c>
      <c r="O366" s="23">
        <v>2206</v>
      </c>
      <c r="P366" s="23">
        <v>2453</v>
      </c>
      <c r="Q366" s="23">
        <v>2658</v>
      </c>
      <c r="R366" s="23">
        <v>2467</v>
      </c>
      <c r="S366" s="23">
        <v>2432</v>
      </c>
      <c r="T366" s="23">
        <v>1918</v>
      </c>
      <c r="U366" s="23">
        <v>1911</v>
      </c>
      <c r="V366" s="23">
        <v>1998</v>
      </c>
      <c r="W366" s="23">
        <v>1918</v>
      </c>
      <c r="X366" s="23">
        <v>1972</v>
      </c>
      <c r="Y366" s="23">
        <v>2031</v>
      </c>
      <c r="Z366" s="23">
        <v>2217</v>
      </c>
      <c r="AA366" s="23">
        <v>2297.6320000000001</v>
      </c>
      <c r="AB366" s="23">
        <v>2371.5520000000001</v>
      </c>
    </row>
    <row r="367" spans="1:28" x14ac:dyDescent="0.2">
      <c r="A367" s="19" t="s">
        <v>50</v>
      </c>
      <c r="B367" s="20" t="s">
        <v>72</v>
      </c>
      <c r="C367" s="20" t="s">
        <v>8</v>
      </c>
      <c r="D367" s="20" t="s">
        <v>10</v>
      </c>
      <c r="E367" s="20" t="s">
        <v>20</v>
      </c>
      <c r="F367" s="20" t="str">
        <f>INDEX(nrg_cb_e!$A$3:$A$40,MATCH(LEFT(MID('Industriesektor GWh'!$B367,41,1000),SEARCH(" - ",MID('Industriesektor GWh'!$B367,41,1000))-1),nrg_cb_e!$C$3:$C$40,0))</f>
        <v>FC_IND_CON_E</v>
      </c>
      <c r="G367" s="21">
        <v>610</v>
      </c>
      <c r="J367" t="s">
        <v>45</v>
      </c>
      <c r="K367" t="s">
        <v>140</v>
      </c>
      <c r="L367" s="23">
        <v>58</v>
      </c>
      <c r="M367" s="23">
        <v>89</v>
      </c>
      <c r="N367" s="23">
        <v>56</v>
      </c>
      <c r="O367" s="23">
        <v>74</v>
      </c>
      <c r="P367" s="23">
        <v>73</v>
      </c>
      <c r="Q367" s="23">
        <v>67</v>
      </c>
      <c r="R367" s="23">
        <v>78</v>
      </c>
      <c r="S367" s="23">
        <v>78</v>
      </c>
      <c r="T367" s="23">
        <v>115</v>
      </c>
      <c r="U367" s="23">
        <v>116</v>
      </c>
      <c r="V367" s="23">
        <v>447</v>
      </c>
      <c r="W367" s="23">
        <v>327</v>
      </c>
      <c r="X367" s="23">
        <v>261</v>
      </c>
      <c r="Y367" s="23">
        <v>288</v>
      </c>
      <c r="Z367" s="23">
        <v>323</v>
      </c>
      <c r="AA367" s="23">
        <v>336</v>
      </c>
      <c r="AB367" s="23">
        <v>466</v>
      </c>
    </row>
    <row r="368" spans="1:28" x14ac:dyDescent="0.2">
      <c r="A368" s="16" t="s">
        <v>50</v>
      </c>
      <c r="B368" s="17" t="s">
        <v>72</v>
      </c>
      <c r="C368" s="17" t="s">
        <v>8</v>
      </c>
      <c r="D368" s="17" t="s">
        <v>10</v>
      </c>
      <c r="E368" s="17" t="s">
        <v>21</v>
      </c>
      <c r="F368" s="17" t="str">
        <f>INDEX(nrg_cb_e!$A$3:$A$40,MATCH(LEFT(MID('Industriesektor GWh'!$B368,41,1000),SEARCH(" - ",MID('Industriesektor GWh'!$B368,41,1000))-1),nrg_cb_e!$C$3:$C$40,0))</f>
        <v>FC_IND_CON_E</v>
      </c>
      <c r="G368" s="18">
        <v>564</v>
      </c>
      <c r="J368" t="s">
        <v>45</v>
      </c>
      <c r="K368" t="s">
        <v>122</v>
      </c>
      <c r="L368" s="23">
        <v>3048</v>
      </c>
      <c r="M368" s="23">
        <v>2050</v>
      </c>
      <c r="N368" s="23">
        <v>2102</v>
      </c>
      <c r="O368" s="23">
        <v>2127</v>
      </c>
      <c r="P368" s="23">
        <v>2407</v>
      </c>
      <c r="Q368" s="23">
        <v>2640</v>
      </c>
      <c r="R368" s="23">
        <v>2721</v>
      </c>
      <c r="S368" s="23">
        <v>2164</v>
      </c>
      <c r="T368" s="23">
        <v>2315</v>
      </c>
      <c r="U368" s="23">
        <v>2338</v>
      </c>
      <c r="V368" s="23">
        <v>2828</v>
      </c>
      <c r="W368" s="23">
        <v>3050</v>
      </c>
      <c r="X368" s="23">
        <v>3197</v>
      </c>
      <c r="Y368" s="23">
        <v>3277</v>
      </c>
      <c r="Z368" s="23">
        <v>3271</v>
      </c>
      <c r="AA368" s="23">
        <v>3372</v>
      </c>
      <c r="AB368" s="23">
        <v>3333</v>
      </c>
    </row>
    <row r="369" spans="1:28" x14ac:dyDescent="0.2">
      <c r="A369" s="19" t="s">
        <v>50</v>
      </c>
      <c r="B369" s="20" t="s">
        <v>72</v>
      </c>
      <c r="C369" s="20" t="s">
        <v>8</v>
      </c>
      <c r="D369" s="20" t="s">
        <v>10</v>
      </c>
      <c r="E369" s="20" t="s">
        <v>22</v>
      </c>
      <c r="F369" s="20" t="str">
        <f>INDEX(nrg_cb_e!$A$3:$A$40,MATCH(LEFT(MID('Industriesektor GWh'!$B369,41,1000),SEARCH(" - ",MID('Industriesektor GWh'!$B369,41,1000))-1),nrg_cb_e!$C$3:$C$40,0))</f>
        <v>FC_IND_CON_E</v>
      </c>
      <c r="G369" s="21">
        <v>462</v>
      </c>
      <c r="J369" t="s">
        <v>45</v>
      </c>
      <c r="K369" t="s">
        <v>134</v>
      </c>
      <c r="L369" s="23">
        <v>1403</v>
      </c>
      <c r="M369" s="23">
        <v>1538</v>
      </c>
      <c r="N369" s="23">
        <v>1362</v>
      </c>
      <c r="O369" s="23">
        <v>1233</v>
      </c>
      <c r="P369" s="23">
        <v>1247</v>
      </c>
      <c r="Q369" s="23">
        <v>1189</v>
      </c>
      <c r="R369" s="23">
        <v>1252</v>
      </c>
      <c r="S369" s="23">
        <v>1222</v>
      </c>
      <c r="T369" s="23">
        <v>1360</v>
      </c>
      <c r="U369" s="23">
        <v>1373</v>
      </c>
      <c r="V369" s="23">
        <v>2384</v>
      </c>
      <c r="W369" s="23">
        <v>2255</v>
      </c>
      <c r="X369" s="23">
        <v>2086</v>
      </c>
      <c r="Y369" s="23">
        <v>2241</v>
      </c>
      <c r="Z369" s="23">
        <v>2374</v>
      </c>
      <c r="AA369" s="23">
        <v>2453</v>
      </c>
      <c r="AB369" s="23">
        <v>2526</v>
      </c>
    </row>
    <row r="370" spans="1:28" x14ac:dyDescent="0.2">
      <c r="A370" s="16" t="s">
        <v>50</v>
      </c>
      <c r="B370" s="17" t="s">
        <v>72</v>
      </c>
      <c r="C370" s="17" t="s">
        <v>8</v>
      </c>
      <c r="D370" s="17" t="s">
        <v>10</v>
      </c>
      <c r="E370" s="17" t="s">
        <v>23</v>
      </c>
      <c r="F370" s="17" t="str">
        <f>INDEX(nrg_cb_e!$A$3:$A$40,MATCH(LEFT(MID('Industriesektor GWh'!$B370,41,1000),SEARCH(" - ",MID('Industriesektor GWh'!$B370,41,1000))-1),nrg_cb_e!$C$3:$C$40,0))</f>
        <v>FC_IND_CON_E</v>
      </c>
      <c r="G370" s="18">
        <v>360</v>
      </c>
      <c r="J370" t="s">
        <v>45</v>
      </c>
      <c r="K370" t="s">
        <v>120</v>
      </c>
      <c r="L370" s="23">
        <v>685</v>
      </c>
      <c r="M370" s="23">
        <v>645</v>
      </c>
      <c r="N370" s="23">
        <v>593</v>
      </c>
      <c r="O370" s="23">
        <v>759</v>
      </c>
      <c r="P370" s="23">
        <v>780</v>
      </c>
      <c r="Q370" s="23">
        <v>738</v>
      </c>
      <c r="R370" s="23">
        <v>752</v>
      </c>
      <c r="S370" s="23">
        <v>434</v>
      </c>
      <c r="T370" s="23">
        <v>517</v>
      </c>
      <c r="U370" s="23">
        <v>522</v>
      </c>
      <c r="V370" s="23">
        <v>544</v>
      </c>
      <c r="W370" s="23">
        <v>579</v>
      </c>
      <c r="X370" s="23">
        <v>592</v>
      </c>
      <c r="Y370" s="23">
        <v>613</v>
      </c>
      <c r="Z370" s="23">
        <v>613</v>
      </c>
      <c r="AA370" s="23">
        <v>688</v>
      </c>
      <c r="AB370" s="23">
        <v>732</v>
      </c>
    </row>
    <row r="371" spans="1:28" x14ac:dyDescent="0.2">
      <c r="A371" s="19" t="s">
        <v>50</v>
      </c>
      <c r="B371" s="20" t="s">
        <v>72</v>
      </c>
      <c r="C371" s="20" t="s">
        <v>8</v>
      </c>
      <c r="D371" s="20" t="s">
        <v>10</v>
      </c>
      <c r="E371" s="20" t="s">
        <v>24</v>
      </c>
      <c r="F371" s="20" t="str">
        <f>INDEX(nrg_cb_e!$A$3:$A$40,MATCH(LEFT(MID('Industriesektor GWh'!$B371,41,1000),SEARCH(" - ",MID('Industriesektor GWh'!$B371,41,1000))-1),nrg_cb_e!$C$3:$C$40,0))</f>
        <v>FC_IND_CON_E</v>
      </c>
      <c r="G371" s="21">
        <v>325</v>
      </c>
      <c r="J371" t="s">
        <v>45</v>
      </c>
      <c r="K371" t="s">
        <v>130</v>
      </c>
      <c r="L371" s="23">
        <v>837</v>
      </c>
      <c r="M371" s="23">
        <v>881</v>
      </c>
      <c r="N371" s="23">
        <v>1016</v>
      </c>
      <c r="O371" s="23">
        <v>1254</v>
      </c>
      <c r="P371" s="23">
        <v>1235</v>
      </c>
      <c r="Q371" s="23">
        <v>1257</v>
      </c>
      <c r="R371" s="23">
        <v>1309</v>
      </c>
      <c r="S371" s="23">
        <v>1292</v>
      </c>
      <c r="T371" s="23">
        <v>1544</v>
      </c>
      <c r="U371" s="23">
        <v>1559</v>
      </c>
      <c r="V371" s="23">
        <v>2506</v>
      </c>
      <c r="W371" s="23">
        <v>2410</v>
      </c>
      <c r="X371" s="23">
        <v>2469</v>
      </c>
      <c r="Y371" s="23">
        <v>2478</v>
      </c>
      <c r="Z371" s="23">
        <v>2574</v>
      </c>
      <c r="AA371" s="23">
        <v>2751</v>
      </c>
      <c r="AB371" s="23">
        <v>2827</v>
      </c>
    </row>
    <row r="372" spans="1:28" x14ac:dyDescent="0.2">
      <c r="A372" s="16" t="s">
        <v>50</v>
      </c>
      <c r="B372" s="17" t="s">
        <v>72</v>
      </c>
      <c r="C372" s="17" t="s">
        <v>8</v>
      </c>
      <c r="D372" s="17" t="s">
        <v>10</v>
      </c>
      <c r="E372" s="17" t="s">
        <v>25</v>
      </c>
      <c r="F372" s="17" t="str">
        <f>INDEX(nrg_cb_e!$A$3:$A$40,MATCH(LEFT(MID('Industriesektor GWh'!$B372,41,1000),SEARCH(" - ",MID('Industriesektor GWh'!$B372,41,1000))-1),nrg_cb_e!$C$3:$C$40,0))</f>
        <v>FC_IND_CON_E</v>
      </c>
      <c r="G372" s="18">
        <v>314</v>
      </c>
      <c r="J372" t="s">
        <v>45</v>
      </c>
      <c r="K372" t="s">
        <v>132</v>
      </c>
      <c r="L372" s="23">
        <v>41</v>
      </c>
      <c r="M372" s="23">
        <v>103</v>
      </c>
      <c r="N372" s="23">
        <v>68</v>
      </c>
      <c r="O372" s="23">
        <v>76</v>
      </c>
      <c r="P372" s="23">
        <v>70</v>
      </c>
      <c r="Q372" s="23">
        <v>64</v>
      </c>
      <c r="R372" s="23">
        <v>55</v>
      </c>
      <c r="S372" s="23">
        <v>64</v>
      </c>
      <c r="T372" s="23">
        <v>56</v>
      </c>
      <c r="U372" s="23">
        <v>57</v>
      </c>
      <c r="V372" s="23">
        <v>92</v>
      </c>
      <c r="W372" s="23">
        <v>163</v>
      </c>
      <c r="X372" s="23">
        <v>87</v>
      </c>
      <c r="Y372" s="23">
        <v>98</v>
      </c>
      <c r="Z372" s="23">
        <v>96</v>
      </c>
      <c r="AA372" s="23">
        <v>100</v>
      </c>
      <c r="AB372" s="23">
        <v>117</v>
      </c>
    </row>
    <row r="373" spans="1:28" x14ac:dyDescent="0.2">
      <c r="A373" s="19" t="s">
        <v>50</v>
      </c>
      <c r="B373" s="20" t="s">
        <v>72</v>
      </c>
      <c r="C373" s="20" t="s">
        <v>8</v>
      </c>
      <c r="D373" s="20" t="s">
        <v>10</v>
      </c>
      <c r="E373" s="20" t="s">
        <v>26</v>
      </c>
      <c r="F373" s="20" t="str">
        <f>INDEX(nrg_cb_e!$A$3:$A$40,MATCH(LEFT(MID('Industriesektor GWh'!$B373,41,1000),SEARCH(" - ",MID('Industriesektor GWh'!$B373,41,1000))-1),nrg_cb_e!$C$3:$C$40,0))</f>
        <v>FC_IND_CON_E</v>
      </c>
      <c r="G373" s="21">
        <v>559.40200000000004</v>
      </c>
      <c r="J373" t="s">
        <v>45</v>
      </c>
      <c r="K373" t="s">
        <v>124</v>
      </c>
      <c r="L373" s="23">
        <v>1085</v>
      </c>
      <c r="M373" s="23">
        <v>1053</v>
      </c>
      <c r="N373" s="23">
        <v>1058</v>
      </c>
      <c r="O373" s="23">
        <v>906</v>
      </c>
      <c r="P373" s="23">
        <v>508</v>
      </c>
      <c r="Q373" s="23">
        <v>470</v>
      </c>
      <c r="R373" s="23">
        <v>466</v>
      </c>
      <c r="S373" s="23">
        <v>362</v>
      </c>
      <c r="T373" s="23">
        <v>431</v>
      </c>
      <c r="U373" s="23">
        <v>435</v>
      </c>
      <c r="V373" s="23">
        <v>506</v>
      </c>
      <c r="W373" s="23">
        <v>470</v>
      </c>
      <c r="X373" s="23">
        <v>389</v>
      </c>
      <c r="Y373" s="23">
        <v>385</v>
      </c>
      <c r="Z373" s="23">
        <v>401</v>
      </c>
      <c r="AA373" s="23">
        <v>429</v>
      </c>
      <c r="AB373" s="23">
        <v>438</v>
      </c>
    </row>
    <row r="374" spans="1:28" x14ac:dyDescent="0.2">
      <c r="A374" s="16" t="s">
        <v>50</v>
      </c>
      <c r="B374" s="17" t="s">
        <v>72</v>
      </c>
      <c r="C374" s="17" t="s">
        <v>8</v>
      </c>
      <c r="D374" s="17" t="s">
        <v>10</v>
      </c>
      <c r="E374" s="17" t="s">
        <v>27</v>
      </c>
      <c r="F374" s="17" t="str">
        <f>INDEX(nrg_cb_e!$A$3:$A$40,MATCH(LEFT(MID('Industriesektor GWh'!$B374,41,1000),SEARCH(" - ",MID('Industriesektor GWh'!$B374,41,1000))-1),nrg_cb_e!$C$3:$C$40,0))</f>
        <v>FC_IND_CON_E</v>
      </c>
      <c r="G374" s="18">
        <v>584.654</v>
      </c>
      <c r="J374" t="s">
        <v>45</v>
      </c>
      <c r="K374" t="s">
        <v>126</v>
      </c>
      <c r="L374" s="23">
        <v>977</v>
      </c>
      <c r="M374" s="23">
        <v>966</v>
      </c>
      <c r="N374" s="23">
        <v>971</v>
      </c>
      <c r="O374" s="23">
        <v>913</v>
      </c>
      <c r="P374" s="23">
        <v>938</v>
      </c>
      <c r="Q374" s="23">
        <v>937</v>
      </c>
      <c r="R374" s="23">
        <v>1122</v>
      </c>
      <c r="S374" s="23">
        <v>919</v>
      </c>
      <c r="T374" s="23">
        <v>932</v>
      </c>
      <c r="U374" s="23">
        <v>941</v>
      </c>
      <c r="V374" s="23">
        <v>1184</v>
      </c>
      <c r="W374" s="23">
        <v>1043</v>
      </c>
      <c r="X374" s="23">
        <v>1203</v>
      </c>
      <c r="Y374" s="23">
        <v>1338</v>
      </c>
      <c r="Z374" s="23">
        <v>1449</v>
      </c>
      <c r="AA374" s="23">
        <v>1406</v>
      </c>
      <c r="AB374" s="23">
        <v>1426</v>
      </c>
    </row>
    <row r="375" spans="1:28" x14ac:dyDescent="0.2">
      <c r="A375" s="19" t="s">
        <v>50</v>
      </c>
      <c r="B375" s="20" t="s">
        <v>72</v>
      </c>
      <c r="C375" s="20" t="s">
        <v>8</v>
      </c>
      <c r="D375" s="20" t="s">
        <v>10</v>
      </c>
      <c r="E375" s="20" t="s">
        <v>28</v>
      </c>
      <c r="F375" s="20" t="str">
        <f>INDEX(nrg_cb_e!$A$3:$A$40,MATCH(LEFT(MID('Industriesektor GWh'!$B375,41,1000),SEARCH(" - ",MID('Industriesektor GWh'!$B375,41,1000))-1),nrg_cb_e!$C$3:$C$40,0))</f>
        <v>FC_IND_CON_E</v>
      </c>
      <c r="G375" s="21">
        <v>511.70699999999999</v>
      </c>
      <c r="J375" t="s">
        <v>45</v>
      </c>
      <c r="K375" t="s">
        <v>136</v>
      </c>
      <c r="L375" s="23">
        <v>451</v>
      </c>
      <c r="M375" s="23">
        <v>490</v>
      </c>
      <c r="N375" s="23">
        <v>511</v>
      </c>
      <c r="O375" s="23">
        <v>579</v>
      </c>
      <c r="P375" s="23">
        <v>560</v>
      </c>
      <c r="Q375" s="23">
        <v>485</v>
      </c>
      <c r="R375" s="23">
        <v>453</v>
      </c>
      <c r="S375" s="23">
        <v>398</v>
      </c>
      <c r="T375" s="23">
        <v>560</v>
      </c>
      <c r="U375" s="23">
        <v>565</v>
      </c>
      <c r="V375" s="23">
        <v>773</v>
      </c>
      <c r="W375" s="23">
        <v>789</v>
      </c>
      <c r="X375" s="23">
        <v>798</v>
      </c>
      <c r="Y375" s="23">
        <v>829</v>
      </c>
      <c r="Z375" s="23">
        <v>843</v>
      </c>
      <c r="AA375" s="23">
        <v>886</v>
      </c>
      <c r="AB375" s="23">
        <v>888</v>
      </c>
    </row>
    <row r="376" spans="1:28" x14ac:dyDescent="0.2">
      <c r="A376" s="16" t="s">
        <v>51</v>
      </c>
      <c r="B376" s="17" t="s">
        <v>72</v>
      </c>
      <c r="C376" s="17" t="s">
        <v>8</v>
      </c>
      <c r="D376" s="17" t="s">
        <v>10</v>
      </c>
      <c r="E376" s="17" t="s">
        <v>12</v>
      </c>
      <c r="F376" s="17" t="str">
        <f>INDEX(nrg_cb_e!$A$3:$A$40,MATCH(LEFT(MID('Industriesektor GWh'!$B376,41,1000),SEARCH(" - ",MID('Industriesektor GWh'!$B376,41,1000))-1),nrg_cb_e!$C$3:$C$40,0))</f>
        <v>FC_IND_CON_E</v>
      </c>
      <c r="G376" s="18">
        <v>1029</v>
      </c>
      <c r="J376" t="s">
        <v>45</v>
      </c>
      <c r="K376" t="s">
        <v>128</v>
      </c>
      <c r="L376" s="23">
        <v>595</v>
      </c>
      <c r="M376" s="23">
        <v>670</v>
      </c>
      <c r="N376" s="23">
        <v>747</v>
      </c>
      <c r="O376" s="23">
        <v>754</v>
      </c>
      <c r="P376" s="23">
        <v>890</v>
      </c>
      <c r="Q376" s="23">
        <v>935</v>
      </c>
      <c r="R376" s="23">
        <v>958</v>
      </c>
      <c r="S376" s="23">
        <v>776</v>
      </c>
      <c r="T376" s="23">
        <v>927</v>
      </c>
      <c r="U376" s="23">
        <v>936</v>
      </c>
      <c r="V376" s="23">
        <v>1363</v>
      </c>
      <c r="W376" s="23">
        <v>1475</v>
      </c>
      <c r="X376" s="23">
        <v>1466</v>
      </c>
      <c r="Y376" s="23">
        <v>1559</v>
      </c>
      <c r="Z376" s="23">
        <v>1655</v>
      </c>
      <c r="AA376" s="23">
        <v>1715</v>
      </c>
      <c r="AB376" s="23">
        <v>1760</v>
      </c>
    </row>
    <row r="377" spans="1:28" x14ac:dyDescent="0.2">
      <c r="A377" s="19" t="s">
        <v>51</v>
      </c>
      <c r="B377" s="20" t="s">
        <v>72</v>
      </c>
      <c r="C377" s="20" t="s">
        <v>8</v>
      </c>
      <c r="D377" s="20" t="s">
        <v>10</v>
      </c>
      <c r="E377" s="20" t="s">
        <v>13</v>
      </c>
      <c r="F377" s="20" t="str">
        <f>INDEX(nrg_cb_e!$A$3:$A$40,MATCH(LEFT(MID('Industriesektor GWh'!$B377,41,1000),SEARCH(" - ",MID('Industriesektor GWh'!$B377,41,1000))-1),nrg_cb_e!$C$3:$C$40,0))</f>
        <v>FC_IND_CON_E</v>
      </c>
      <c r="G377" s="21">
        <v>1062</v>
      </c>
      <c r="J377" t="s">
        <v>45</v>
      </c>
      <c r="K377" t="s">
        <v>142</v>
      </c>
      <c r="L377" s="23">
        <v>249</v>
      </c>
      <c r="M377" s="23">
        <v>215</v>
      </c>
      <c r="N377" s="23">
        <v>212</v>
      </c>
      <c r="O377" s="23">
        <v>186</v>
      </c>
      <c r="P377" s="23">
        <v>145</v>
      </c>
      <c r="Q377" s="23">
        <v>135</v>
      </c>
      <c r="R377" s="23">
        <v>119</v>
      </c>
      <c r="S377" s="23">
        <v>95</v>
      </c>
      <c r="T377" s="23">
        <v>133</v>
      </c>
      <c r="U377" s="23">
        <v>134</v>
      </c>
      <c r="V377" s="23">
        <v>240</v>
      </c>
      <c r="W377" s="23">
        <v>194</v>
      </c>
      <c r="X377" s="23">
        <v>196</v>
      </c>
      <c r="Y377" s="23">
        <v>219</v>
      </c>
      <c r="Z377" s="23">
        <v>239</v>
      </c>
      <c r="AA377" s="23">
        <v>226</v>
      </c>
      <c r="AB377" s="23">
        <v>244</v>
      </c>
    </row>
    <row r="378" spans="1:28" x14ac:dyDescent="0.2">
      <c r="A378" s="16" t="s">
        <v>51</v>
      </c>
      <c r="B378" s="17" t="s">
        <v>72</v>
      </c>
      <c r="C378" s="17" t="s">
        <v>8</v>
      </c>
      <c r="D378" s="17" t="s">
        <v>10</v>
      </c>
      <c r="E378" s="17" t="s">
        <v>14</v>
      </c>
      <c r="F378" s="17" t="str">
        <f>INDEX(nrg_cb_e!$A$3:$A$40,MATCH(LEFT(MID('Industriesektor GWh'!$B378,41,1000),SEARCH(" - ",MID('Industriesektor GWh'!$B378,41,1000))-1),nrg_cb_e!$C$3:$C$40,0))</f>
        <v>FC_IND_CON_E</v>
      </c>
      <c r="G378" s="18">
        <v>680</v>
      </c>
      <c r="J378" t="s">
        <v>45</v>
      </c>
      <c r="K378" t="s">
        <v>138</v>
      </c>
      <c r="L378" s="23">
        <v>137</v>
      </c>
      <c r="M378" s="23">
        <v>148</v>
      </c>
      <c r="N378" s="23">
        <v>153</v>
      </c>
      <c r="O378" s="23">
        <v>149</v>
      </c>
      <c r="P378" s="23">
        <v>146</v>
      </c>
      <c r="Q378" s="23">
        <v>159</v>
      </c>
      <c r="R378" s="23">
        <v>170</v>
      </c>
      <c r="S378" s="23">
        <v>119</v>
      </c>
      <c r="T378" s="23">
        <v>153</v>
      </c>
      <c r="U378" s="23">
        <v>154</v>
      </c>
      <c r="V378" s="23">
        <v>265</v>
      </c>
      <c r="W378" s="23">
        <v>328</v>
      </c>
      <c r="X378" s="23">
        <v>245</v>
      </c>
      <c r="Y378" s="23">
        <v>258</v>
      </c>
      <c r="Z378" s="23">
        <v>280</v>
      </c>
      <c r="AA378" s="23">
        <v>337</v>
      </c>
      <c r="AB378" s="23">
        <v>378</v>
      </c>
    </row>
    <row r="379" spans="1:28" x14ac:dyDescent="0.2">
      <c r="A379" s="19" t="s">
        <v>51</v>
      </c>
      <c r="B379" s="20" t="s">
        <v>72</v>
      </c>
      <c r="C379" s="20" t="s">
        <v>8</v>
      </c>
      <c r="D379" s="20" t="s">
        <v>10</v>
      </c>
      <c r="E379" s="20" t="s">
        <v>15</v>
      </c>
      <c r="F379" s="20" t="str">
        <f>INDEX(nrg_cb_e!$A$3:$A$40,MATCH(LEFT(MID('Industriesektor GWh'!$B379,41,1000),SEARCH(" - ",MID('Industriesektor GWh'!$B379,41,1000))-1),nrg_cb_e!$C$3:$C$40,0))</f>
        <v>FC_IND_CON_E</v>
      </c>
      <c r="G379" s="21">
        <v>703</v>
      </c>
      <c r="J379" t="s">
        <v>45</v>
      </c>
      <c r="K379" t="s">
        <v>116</v>
      </c>
      <c r="L379" s="23">
        <v>690</v>
      </c>
      <c r="M379" s="23">
        <v>737</v>
      </c>
      <c r="N379" s="23">
        <v>648</v>
      </c>
      <c r="O379" s="23">
        <v>261</v>
      </c>
      <c r="P379" s="23">
        <v>395</v>
      </c>
      <c r="Q379" s="23">
        <v>395</v>
      </c>
      <c r="R379" s="23">
        <v>450</v>
      </c>
      <c r="S379" s="23">
        <v>638</v>
      </c>
      <c r="T379" s="23">
        <v>741</v>
      </c>
      <c r="U379" s="23">
        <v>748</v>
      </c>
      <c r="V379" s="23">
        <v>1670</v>
      </c>
      <c r="W379" s="23">
        <v>1757</v>
      </c>
      <c r="X379" s="23">
        <v>1707</v>
      </c>
      <c r="Y379" s="23">
        <v>1820</v>
      </c>
      <c r="Z379" s="23">
        <v>1884</v>
      </c>
      <c r="AA379" s="23">
        <v>2036</v>
      </c>
      <c r="AB379" s="23">
        <v>2122</v>
      </c>
    </row>
    <row r="380" spans="1:28" x14ac:dyDescent="0.2">
      <c r="A380" s="16" t="s">
        <v>51</v>
      </c>
      <c r="B380" s="17" t="s">
        <v>72</v>
      </c>
      <c r="C380" s="17" t="s">
        <v>8</v>
      </c>
      <c r="D380" s="17" t="s">
        <v>10</v>
      </c>
      <c r="E380" s="17" t="s">
        <v>16</v>
      </c>
      <c r="F380" s="17" t="str">
        <f>INDEX(nrg_cb_e!$A$3:$A$40,MATCH(LEFT(MID('Industriesektor GWh'!$B380,41,1000),SEARCH(" - ",MID('Industriesektor GWh'!$B380,41,1000))-1),nrg_cb_e!$C$3:$C$40,0))</f>
        <v>FC_IND_CON_E</v>
      </c>
      <c r="G380" s="18">
        <v>813</v>
      </c>
      <c r="J380" t="s">
        <v>56</v>
      </c>
      <c r="K380" t="s">
        <v>140</v>
      </c>
      <c r="L380" s="23">
        <v>1700</v>
      </c>
      <c r="M380" s="23">
        <v>1701</v>
      </c>
      <c r="N380" s="23">
        <v>1804</v>
      </c>
      <c r="O380" s="23">
        <v>1929</v>
      </c>
      <c r="P380" s="23">
        <v>1840</v>
      </c>
      <c r="Q380" s="23">
        <v>1798</v>
      </c>
      <c r="R380" s="23">
        <v>1817</v>
      </c>
      <c r="S380" s="23">
        <v>1586</v>
      </c>
      <c r="T380" s="23">
        <v>1621</v>
      </c>
      <c r="U380" s="23">
        <v>1539</v>
      </c>
      <c r="V380" s="23">
        <v>1494</v>
      </c>
      <c r="W380" s="23">
        <v>1464</v>
      </c>
      <c r="X380" s="23">
        <v>1393</v>
      </c>
      <c r="Y380" s="23">
        <v>1363.7349999999999</v>
      </c>
      <c r="Z380" s="23">
        <v>1308.7829999999999</v>
      </c>
      <c r="AA380" s="23">
        <v>1416.8140000000001</v>
      </c>
      <c r="AB380" s="23">
        <v>1395.6420000000001</v>
      </c>
    </row>
    <row r="381" spans="1:28" x14ac:dyDescent="0.2">
      <c r="A381" s="19" t="s">
        <v>51</v>
      </c>
      <c r="B381" s="20" t="s">
        <v>72</v>
      </c>
      <c r="C381" s="20" t="s">
        <v>8</v>
      </c>
      <c r="D381" s="20" t="s">
        <v>10</v>
      </c>
      <c r="E381" s="20" t="s">
        <v>17</v>
      </c>
      <c r="F381" s="20" t="str">
        <f>INDEX(nrg_cb_e!$A$3:$A$40,MATCH(LEFT(MID('Industriesektor GWh'!$B381,41,1000),SEARCH(" - ",MID('Industriesektor GWh'!$B381,41,1000))-1),nrg_cb_e!$C$3:$C$40,0))</f>
        <v>FC_IND_CON_E</v>
      </c>
      <c r="G381" s="21">
        <v>934</v>
      </c>
      <c r="J381" t="s">
        <v>56</v>
      </c>
      <c r="K381" t="s">
        <v>122</v>
      </c>
      <c r="L381" s="23">
        <v>22861</v>
      </c>
      <c r="M381" s="23">
        <v>19741</v>
      </c>
      <c r="N381" s="23">
        <v>19928</v>
      </c>
      <c r="O381" s="23">
        <v>21125</v>
      </c>
      <c r="P381" s="23">
        <v>20391</v>
      </c>
      <c r="Q381" s="23">
        <v>20197</v>
      </c>
      <c r="R381" s="23">
        <v>20287</v>
      </c>
      <c r="S381" s="23">
        <v>17702</v>
      </c>
      <c r="T381" s="23">
        <v>18468</v>
      </c>
      <c r="U381" s="23">
        <v>17640</v>
      </c>
      <c r="V381" s="23">
        <v>17507</v>
      </c>
      <c r="W381" s="23">
        <v>16525</v>
      </c>
      <c r="X381" s="23">
        <v>15476</v>
      </c>
      <c r="Y381" s="23">
        <v>15614.878000000001</v>
      </c>
      <c r="Z381" s="23">
        <v>15088.12</v>
      </c>
      <c r="AA381" s="23">
        <v>15233.713</v>
      </c>
      <c r="AB381" s="23">
        <v>15268.031000000001</v>
      </c>
    </row>
    <row r="382" spans="1:28" x14ac:dyDescent="0.2">
      <c r="A382" s="16" t="s">
        <v>51</v>
      </c>
      <c r="B382" s="17" t="s">
        <v>72</v>
      </c>
      <c r="C382" s="17" t="s">
        <v>8</v>
      </c>
      <c r="D382" s="17" t="s">
        <v>10</v>
      </c>
      <c r="E382" s="17" t="s">
        <v>18</v>
      </c>
      <c r="F382" s="17" t="str">
        <f>INDEX(nrg_cb_e!$A$3:$A$40,MATCH(LEFT(MID('Industriesektor GWh'!$B382,41,1000),SEARCH(" - ",MID('Industriesektor GWh'!$B382,41,1000))-1),nrg_cb_e!$C$3:$C$40,0))</f>
        <v>FC_IND_CON_E</v>
      </c>
      <c r="G382" s="18">
        <v>842</v>
      </c>
      <c r="J382" t="s">
        <v>56</v>
      </c>
      <c r="K382" t="s">
        <v>134</v>
      </c>
      <c r="L382" s="23">
        <v>12166</v>
      </c>
      <c r="M382" s="23">
        <v>11449</v>
      </c>
      <c r="N382" s="23">
        <v>12048</v>
      </c>
      <c r="O382" s="23">
        <v>12273</v>
      </c>
      <c r="P382" s="23">
        <v>12117</v>
      </c>
      <c r="Q382" s="23">
        <v>12082</v>
      </c>
      <c r="R382" s="23">
        <v>12257</v>
      </c>
      <c r="S382" s="23">
        <v>10741</v>
      </c>
      <c r="T382" s="23">
        <v>11520</v>
      </c>
      <c r="U382" s="23">
        <v>11322</v>
      </c>
      <c r="V382" s="23">
        <v>11137</v>
      </c>
      <c r="W382" s="23">
        <v>11083</v>
      </c>
      <c r="X382" s="23">
        <v>10644</v>
      </c>
      <c r="Y382" s="23">
        <v>10778.108</v>
      </c>
      <c r="Z382" s="23">
        <v>10959.531000000001</v>
      </c>
      <c r="AA382" s="23">
        <v>11056.885</v>
      </c>
      <c r="AB382" s="23">
        <v>11818.438</v>
      </c>
    </row>
    <row r="383" spans="1:28" x14ac:dyDescent="0.2">
      <c r="A383" s="19" t="s">
        <v>51</v>
      </c>
      <c r="B383" s="20" t="s">
        <v>72</v>
      </c>
      <c r="C383" s="20" t="s">
        <v>8</v>
      </c>
      <c r="D383" s="20" t="s">
        <v>10</v>
      </c>
      <c r="E383" s="20" t="s">
        <v>19</v>
      </c>
      <c r="F383" s="20" t="str">
        <f>INDEX(nrg_cb_e!$A$3:$A$40,MATCH(LEFT(MID('Industriesektor GWh'!$B383,41,1000),SEARCH(" - ",MID('Industriesektor GWh'!$B383,41,1000))-1),nrg_cb_e!$C$3:$C$40,0))</f>
        <v>FC_IND_CON_E</v>
      </c>
      <c r="G383" s="21">
        <v>793</v>
      </c>
      <c r="J383" t="s">
        <v>56</v>
      </c>
      <c r="K383" t="s">
        <v>120</v>
      </c>
      <c r="L383" s="23">
        <v>5092</v>
      </c>
      <c r="M383" s="23">
        <v>5434</v>
      </c>
      <c r="N383" s="23">
        <v>5412</v>
      </c>
      <c r="O383" s="23">
        <v>5020</v>
      </c>
      <c r="P383" s="23">
        <v>5860</v>
      </c>
      <c r="Q383" s="23">
        <v>4937</v>
      </c>
      <c r="R383" s="23">
        <v>4657</v>
      </c>
      <c r="S383" s="23">
        <v>3615</v>
      </c>
      <c r="T383" s="23">
        <v>3842</v>
      </c>
      <c r="U383" s="23">
        <v>3852</v>
      </c>
      <c r="V383" s="23">
        <v>3579</v>
      </c>
      <c r="W383" s="23">
        <v>3799</v>
      </c>
      <c r="X383" s="23">
        <v>3787</v>
      </c>
      <c r="Y383" s="23">
        <v>3687.567</v>
      </c>
      <c r="Z383" s="23">
        <v>2830.1219999999998</v>
      </c>
      <c r="AA383" s="23">
        <v>2702.5819999999999</v>
      </c>
      <c r="AB383" s="23">
        <v>2560.2089999999998</v>
      </c>
    </row>
    <row r="384" spans="1:28" x14ac:dyDescent="0.2">
      <c r="A384" s="16" t="s">
        <v>51</v>
      </c>
      <c r="B384" s="17" t="s">
        <v>72</v>
      </c>
      <c r="C384" s="17" t="s">
        <v>8</v>
      </c>
      <c r="D384" s="17" t="s">
        <v>10</v>
      </c>
      <c r="E384" s="17" t="s">
        <v>20</v>
      </c>
      <c r="F384" s="17" t="str">
        <f>INDEX(nrg_cb_e!$A$3:$A$40,MATCH(LEFT(MID('Industriesektor GWh'!$B384,41,1000),SEARCH(" - ",MID('Industriesektor GWh'!$B384,41,1000))-1),nrg_cb_e!$C$3:$C$40,0))</f>
        <v>FC_IND_CON_E</v>
      </c>
      <c r="G384" s="18">
        <v>697</v>
      </c>
      <c r="J384" t="s">
        <v>56</v>
      </c>
      <c r="K384" t="s">
        <v>130</v>
      </c>
      <c r="L384" s="23">
        <v>14674</v>
      </c>
      <c r="M384" s="23">
        <v>14509</v>
      </c>
      <c r="N384" s="23">
        <v>15019</v>
      </c>
      <c r="O384" s="23">
        <v>16053</v>
      </c>
      <c r="P384" s="23">
        <v>15832</v>
      </c>
      <c r="Q384" s="23">
        <v>15748</v>
      </c>
      <c r="R384" s="23">
        <v>16010</v>
      </c>
      <c r="S384" s="23">
        <v>14143</v>
      </c>
      <c r="T384" s="23">
        <v>14309</v>
      </c>
      <c r="U384" s="23">
        <v>13645</v>
      </c>
      <c r="V384" s="23">
        <v>13261</v>
      </c>
      <c r="W384" s="23">
        <v>13235</v>
      </c>
      <c r="X384" s="23">
        <v>12627</v>
      </c>
      <c r="Y384" s="23">
        <v>12225.583000000001</v>
      </c>
      <c r="Z384" s="23">
        <v>12268.34</v>
      </c>
      <c r="AA384" s="23">
        <v>12456.5</v>
      </c>
      <c r="AB384" s="23">
        <v>12601.316999999999</v>
      </c>
    </row>
    <row r="385" spans="1:28" x14ac:dyDescent="0.2">
      <c r="A385" s="19" t="s">
        <v>51</v>
      </c>
      <c r="B385" s="20" t="s">
        <v>72</v>
      </c>
      <c r="C385" s="20" t="s">
        <v>8</v>
      </c>
      <c r="D385" s="20" t="s">
        <v>10</v>
      </c>
      <c r="E385" s="20" t="s">
        <v>21</v>
      </c>
      <c r="F385" s="20" t="str">
        <f>INDEX(nrg_cb_e!$A$3:$A$40,MATCH(LEFT(MID('Industriesektor GWh'!$B385,41,1000),SEARCH(" - ",MID('Industriesektor GWh'!$B385,41,1000))-1),nrg_cb_e!$C$3:$C$40,0))</f>
        <v>FC_IND_CON_E</v>
      </c>
      <c r="G385" s="21">
        <v>691</v>
      </c>
      <c r="J385" t="s">
        <v>56</v>
      </c>
      <c r="K385" t="s">
        <v>132</v>
      </c>
      <c r="L385" s="23">
        <v>0</v>
      </c>
      <c r="M385" s="23">
        <v>0</v>
      </c>
      <c r="N385" s="23">
        <v>0</v>
      </c>
      <c r="O385" s="23">
        <v>0</v>
      </c>
      <c r="P385" s="23">
        <v>0</v>
      </c>
      <c r="Q385" s="23">
        <v>0</v>
      </c>
      <c r="R385" s="23">
        <v>0</v>
      </c>
      <c r="S385" s="23">
        <v>0</v>
      </c>
      <c r="T385" s="23">
        <v>132</v>
      </c>
      <c r="U385" s="23">
        <v>115</v>
      </c>
      <c r="V385" s="23">
        <v>121</v>
      </c>
      <c r="W385" s="23">
        <v>150</v>
      </c>
      <c r="X385" s="23">
        <v>150</v>
      </c>
      <c r="Y385" s="23">
        <v>105.92</v>
      </c>
      <c r="Z385" s="23">
        <v>107.25</v>
      </c>
      <c r="AA385" s="23">
        <v>31.599</v>
      </c>
      <c r="AB385" s="23">
        <v>115.107</v>
      </c>
    </row>
    <row r="386" spans="1:28" x14ac:dyDescent="0.2">
      <c r="A386" s="16" t="s">
        <v>51</v>
      </c>
      <c r="B386" s="17" t="s">
        <v>72</v>
      </c>
      <c r="C386" s="17" t="s">
        <v>8</v>
      </c>
      <c r="D386" s="17" t="s">
        <v>10</v>
      </c>
      <c r="E386" s="17" t="s">
        <v>22</v>
      </c>
      <c r="F386" s="17" t="str">
        <f>INDEX(nrg_cb_e!$A$3:$A$40,MATCH(LEFT(MID('Industriesektor GWh'!$B386,41,1000),SEARCH(" - ",MID('Industriesektor GWh'!$B386,41,1000))-1),nrg_cb_e!$C$3:$C$40,0))</f>
        <v>FC_IND_CON_E</v>
      </c>
      <c r="G386" s="18">
        <v>720</v>
      </c>
      <c r="J386" t="s">
        <v>56</v>
      </c>
      <c r="K386" t="s">
        <v>124</v>
      </c>
      <c r="L386" s="23">
        <v>6365</v>
      </c>
      <c r="M386" s="23">
        <v>7244</v>
      </c>
      <c r="N386" s="23">
        <v>7468</v>
      </c>
      <c r="O386" s="23">
        <v>7693</v>
      </c>
      <c r="P386" s="23">
        <v>7524</v>
      </c>
      <c r="Q386" s="23">
        <v>7386</v>
      </c>
      <c r="R386" s="23">
        <v>7391</v>
      </c>
      <c r="S386" s="23">
        <v>6075</v>
      </c>
      <c r="T386" s="23">
        <v>6726</v>
      </c>
      <c r="U386" s="23">
        <v>6971</v>
      </c>
      <c r="V386" s="23">
        <v>5028</v>
      </c>
      <c r="W386" s="23">
        <v>4430</v>
      </c>
      <c r="X386" s="23">
        <v>4475</v>
      </c>
      <c r="Y386" s="23">
        <v>4424.2370000000001</v>
      </c>
      <c r="Z386" s="23">
        <v>4506.9049999999997</v>
      </c>
      <c r="AA386" s="23">
        <v>4305.8860000000004</v>
      </c>
      <c r="AB386" s="23">
        <v>4087.9450000000002</v>
      </c>
    </row>
    <row r="387" spans="1:28" x14ac:dyDescent="0.2">
      <c r="A387" s="19" t="s">
        <v>51</v>
      </c>
      <c r="B387" s="20" t="s">
        <v>72</v>
      </c>
      <c r="C387" s="20" t="s">
        <v>8</v>
      </c>
      <c r="D387" s="20" t="s">
        <v>10</v>
      </c>
      <c r="E387" s="20" t="s">
        <v>23</v>
      </c>
      <c r="F387" s="20" t="str">
        <f>INDEX(nrg_cb_e!$A$3:$A$40,MATCH(LEFT(MID('Industriesektor GWh'!$B387,41,1000),SEARCH(" - ",MID('Industriesektor GWh'!$B387,41,1000))-1),nrg_cb_e!$C$3:$C$40,0))</f>
        <v>FC_IND_CON_E</v>
      </c>
      <c r="G387" s="21">
        <v>526</v>
      </c>
      <c r="J387" t="s">
        <v>56</v>
      </c>
      <c r="K387" t="s">
        <v>126</v>
      </c>
      <c r="L387" s="23">
        <v>7115</v>
      </c>
      <c r="M387" s="23">
        <v>7451</v>
      </c>
      <c r="N387" s="23">
        <v>7535</v>
      </c>
      <c r="O387" s="23">
        <v>7978</v>
      </c>
      <c r="P387" s="23">
        <v>7869</v>
      </c>
      <c r="Q387" s="23">
        <v>7811</v>
      </c>
      <c r="R387" s="23">
        <v>7931</v>
      </c>
      <c r="S387" s="23">
        <v>7010</v>
      </c>
      <c r="T387" s="23">
        <v>7266</v>
      </c>
      <c r="U387" s="23">
        <v>7010</v>
      </c>
      <c r="V387" s="23">
        <v>6747</v>
      </c>
      <c r="W387" s="23">
        <v>6726</v>
      </c>
      <c r="X387" s="23">
        <v>6267</v>
      </c>
      <c r="Y387" s="23">
        <v>6101.85</v>
      </c>
      <c r="Z387" s="23">
        <v>6239.6059999999998</v>
      </c>
      <c r="AA387" s="23">
        <v>6169.9520000000002</v>
      </c>
      <c r="AB387" s="23">
        <v>6309.9059999999999</v>
      </c>
    </row>
    <row r="388" spans="1:28" x14ac:dyDescent="0.2">
      <c r="A388" s="16" t="s">
        <v>51</v>
      </c>
      <c r="B388" s="17" t="s">
        <v>72</v>
      </c>
      <c r="C388" s="17" t="s">
        <v>8</v>
      </c>
      <c r="D388" s="17" t="s">
        <v>10</v>
      </c>
      <c r="E388" s="17" t="s">
        <v>24</v>
      </c>
      <c r="F388" s="17" t="str">
        <f>INDEX(nrg_cb_e!$A$3:$A$40,MATCH(LEFT(MID('Industriesektor GWh'!$B388,41,1000),SEARCH(" - ",MID('Industriesektor GWh'!$B388,41,1000))-1),nrg_cb_e!$C$3:$C$40,0))</f>
        <v>FC_IND_CON_E</v>
      </c>
      <c r="G388" s="18">
        <v>483</v>
      </c>
      <c r="J388" t="s">
        <v>56</v>
      </c>
      <c r="K388" t="s">
        <v>136</v>
      </c>
      <c r="L388" s="23">
        <v>11988</v>
      </c>
      <c r="M388" s="23">
        <v>12550</v>
      </c>
      <c r="N388" s="23">
        <v>13171</v>
      </c>
      <c r="O388" s="23">
        <v>13225</v>
      </c>
      <c r="P388" s="23">
        <v>12906</v>
      </c>
      <c r="Q388" s="23">
        <v>12741</v>
      </c>
      <c r="R388" s="23">
        <v>12865</v>
      </c>
      <c r="S388" s="23">
        <v>11069</v>
      </c>
      <c r="T388" s="23">
        <v>10954</v>
      </c>
      <c r="U388" s="23">
        <v>10940</v>
      </c>
      <c r="V388" s="23">
        <v>10866</v>
      </c>
      <c r="W388" s="23">
        <v>10806</v>
      </c>
      <c r="X388" s="23">
        <v>10725</v>
      </c>
      <c r="Y388" s="23">
        <v>10602.243</v>
      </c>
      <c r="Z388" s="23">
        <v>10563.918</v>
      </c>
      <c r="AA388" s="23">
        <v>10597.796</v>
      </c>
      <c r="AB388" s="23">
        <v>10382.11</v>
      </c>
    </row>
    <row r="389" spans="1:28" x14ac:dyDescent="0.2">
      <c r="A389" s="19" t="s">
        <v>51</v>
      </c>
      <c r="B389" s="20" t="s">
        <v>72</v>
      </c>
      <c r="C389" s="20" t="s">
        <v>8</v>
      </c>
      <c r="D389" s="20" t="s">
        <v>10</v>
      </c>
      <c r="E389" s="20" t="s">
        <v>25</v>
      </c>
      <c r="F389" s="20" t="str">
        <f>INDEX(nrg_cb_e!$A$3:$A$40,MATCH(LEFT(MID('Industriesektor GWh'!$B389,41,1000),SEARCH(" - ",MID('Industriesektor GWh'!$B389,41,1000))-1),nrg_cb_e!$C$3:$C$40,0))</f>
        <v>FC_IND_CON_E</v>
      </c>
      <c r="G389" s="21">
        <v>450</v>
      </c>
      <c r="J389" t="s">
        <v>56</v>
      </c>
      <c r="K389" t="s">
        <v>128</v>
      </c>
      <c r="L389" s="23">
        <v>5625</v>
      </c>
      <c r="M389" s="23">
        <v>5610</v>
      </c>
      <c r="N389" s="23">
        <v>5582</v>
      </c>
      <c r="O389" s="23">
        <v>5841</v>
      </c>
      <c r="P389" s="23">
        <v>5748</v>
      </c>
      <c r="Q389" s="23">
        <v>5723</v>
      </c>
      <c r="R389" s="23">
        <v>5812</v>
      </c>
      <c r="S389" s="23">
        <v>5012</v>
      </c>
      <c r="T389" s="23">
        <v>5284</v>
      </c>
      <c r="U389" s="23">
        <v>5188</v>
      </c>
      <c r="V389" s="23">
        <v>5081</v>
      </c>
      <c r="W389" s="23">
        <v>5067</v>
      </c>
      <c r="X389" s="23">
        <v>4831</v>
      </c>
      <c r="Y389" s="23">
        <v>4875.9780000000001</v>
      </c>
      <c r="Z389" s="23">
        <v>4847.8609999999999</v>
      </c>
      <c r="AA389" s="23">
        <v>4756.2830000000004</v>
      </c>
      <c r="AB389" s="23">
        <v>4767.6450000000004</v>
      </c>
    </row>
    <row r="390" spans="1:28" x14ac:dyDescent="0.2">
      <c r="A390" s="16" t="s">
        <v>51</v>
      </c>
      <c r="B390" s="17" t="s">
        <v>72</v>
      </c>
      <c r="C390" s="17" t="s">
        <v>8</v>
      </c>
      <c r="D390" s="17" t="s">
        <v>10</v>
      </c>
      <c r="E390" s="17" t="s">
        <v>26</v>
      </c>
      <c r="F390" s="17" t="str">
        <f>INDEX(nrg_cb_e!$A$3:$A$40,MATCH(LEFT(MID('Industriesektor GWh'!$B390,41,1000),SEARCH(" - ",MID('Industriesektor GWh'!$B390,41,1000))-1),nrg_cb_e!$C$3:$C$40,0))</f>
        <v>FC_IND_CON_E</v>
      </c>
      <c r="G390" s="18">
        <v>429</v>
      </c>
      <c r="J390" t="s">
        <v>56</v>
      </c>
      <c r="K390" t="s">
        <v>142</v>
      </c>
      <c r="L390" s="23">
        <v>3463</v>
      </c>
      <c r="M390" s="23">
        <v>3403</v>
      </c>
      <c r="N390" s="23">
        <v>3333</v>
      </c>
      <c r="O390" s="23">
        <v>3393</v>
      </c>
      <c r="P390" s="23">
        <v>3360</v>
      </c>
      <c r="Q390" s="23">
        <v>3349</v>
      </c>
      <c r="R390" s="23">
        <v>3395</v>
      </c>
      <c r="S390" s="23">
        <v>3013</v>
      </c>
      <c r="T390" s="23">
        <v>3050</v>
      </c>
      <c r="U390" s="23">
        <v>2992</v>
      </c>
      <c r="V390" s="23">
        <v>2910</v>
      </c>
      <c r="W390" s="23">
        <v>2894</v>
      </c>
      <c r="X390" s="23">
        <v>2721</v>
      </c>
      <c r="Y390" s="23">
        <v>2692.2719999999999</v>
      </c>
      <c r="Z390" s="23">
        <v>2693.7579999999998</v>
      </c>
      <c r="AA390" s="23">
        <v>2718.35</v>
      </c>
      <c r="AB390" s="23">
        <v>2721.4169999999999</v>
      </c>
    </row>
    <row r="391" spans="1:28" x14ac:dyDescent="0.2">
      <c r="A391" s="19" t="s">
        <v>51</v>
      </c>
      <c r="B391" s="20" t="s">
        <v>72</v>
      </c>
      <c r="C391" s="20" t="s">
        <v>8</v>
      </c>
      <c r="D391" s="20" t="s">
        <v>10</v>
      </c>
      <c r="E391" s="20" t="s">
        <v>27</v>
      </c>
      <c r="F391" s="20" t="str">
        <f>INDEX(nrg_cb_e!$A$3:$A$40,MATCH(LEFT(MID('Industriesektor GWh'!$B391,41,1000),SEARCH(" - ",MID('Industriesektor GWh'!$B391,41,1000))-1),nrg_cb_e!$C$3:$C$40,0))</f>
        <v>FC_IND_CON_E</v>
      </c>
      <c r="G391" s="21">
        <v>403.46499999999997</v>
      </c>
      <c r="J391" t="s">
        <v>56</v>
      </c>
      <c r="K391" t="s">
        <v>138</v>
      </c>
      <c r="L391" s="23">
        <v>0</v>
      </c>
      <c r="M391" s="23">
        <v>0</v>
      </c>
      <c r="N391" s="23">
        <v>0</v>
      </c>
      <c r="O391" s="23">
        <v>0</v>
      </c>
      <c r="P391" s="23">
        <v>0</v>
      </c>
      <c r="Q391" s="23">
        <v>0</v>
      </c>
      <c r="R391" s="23">
        <v>0</v>
      </c>
      <c r="S391" s="23">
        <v>0</v>
      </c>
      <c r="T391" s="23">
        <v>537</v>
      </c>
      <c r="U391" s="23">
        <v>533</v>
      </c>
      <c r="V391" s="23">
        <v>521</v>
      </c>
      <c r="W391" s="23">
        <v>522</v>
      </c>
      <c r="X391" s="23">
        <v>502</v>
      </c>
      <c r="Y391" s="23">
        <v>0</v>
      </c>
      <c r="Z391" s="23">
        <v>0</v>
      </c>
      <c r="AA391" s="23">
        <v>0</v>
      </c>
      <c r="AB391" s="23">
        <v>0</v>
      </c>
    </row>
    <row r="392" spans="1:28" x14ac:dyDescent="0.2">
      <c r="A392" s="16" t="s">
        <v>51</v>
      </c>
      <c r="B392" s="17" t="s">
        <v>72</v>
      </c>
      <c r="C392" s="17" t="s">
        <v>8</v>
      </c>
      <c r="D392" s="17" t="s">
        <v>10</v>
      </c>
      <c r="E392" s="17" t="s">
        <v>28</v>
      </c>
      <c r="F392" s="17" t="str">
        <f>INDEX(nrg_cb_e!$A$3:$A$40,MATCH(LEFT(MID('Industriesektor GWh'!$B392,41,1000),SEARCH(" - ",MID('Industriesektor GWh'!$B392,41,1000))-1),nrg_cb_e!$C$3:$C$40,0))</f>
        <v>FC_IND_CON_E</v>
      </c>
      <c r="G392" s="18">
        <v>387.899</v>
      </c>
      <c r="J392" t="s">
        <v>56</v>
      </c>
      <c r="K392" t="s">
        <v>116</v>
      </c>
      <c r="L392" s="23">
        <v>21599</v>
      </c>
      <c r="M392" s="23">
        <v>20186</v>
      </c>
      <c r="N392" s="23">
        <v>20166</v>
      </c>
      <c r="O392" s="23">
        <v>21495</v>
      </c>
      <c r="P392" s="23">
        <v>21449</v>
      </c>
      <c r="Q392" s="23">
        <v>21028</v>
      </c>
      <c r="R392" s="23">
        <v>21729</v>
      </c>
      <c r="S392" s="23">
        <v>19771</v>
      </c>
      <c r="T392" s="23">
        <v>20959</v>
      </c>
      <c r="U392" s="23">
        <v>20784</v>
      </c>
      <c r="V392" s="23">
        <v>20327</v>
      </c>
      <c r="W392" s="23">
        <v>20366</v>
      </c>
      <c r="X392" s="23">
        <v>19559</v>
      </c>
      <c r="Y392" s="23">
        <v>20571.917000000001</v>
      </c>
      <c r="Z392" s="23">
        <v>22009.074000000001</v>
      </c>
      <c r="AA392" s="23">
        <v>20893.605</v>
      </c>
      <c r="AB392" s="23">
        <v>21107.757000000001</v>
      </c>
    </row>
    <row r="393" spans="1:28" x14ac:dyDescent="0.2">
      <c r="A393" s="19" t="s">
        <v>52</v>
      </c>
      <c r="B393" s="20" t="s">
        <v>72</v>
      </c>
      <c r="C393" s="20" t="s">
        <v>8</v>
      </c>
      <c r="D393" s="20" t="s">
        <v>10</v>
      </c>
      <c r="E393" s="20" t="s">
        <v>12</v>
      </c>
      <c r="F393" s="20" t="str">
        <f>INDEX(nrg_cb_e!$A$3:$A$40,MATCH(LEFT(MID('Industriesektor GWh'!$B393,41,1000),SEARCH(" - ",MID('Industriesektor GWh'!$B393,41,1000))-1),nrg_cb_e!$C$3:$C$40,0))</f>
        <v>FC_IND_CON_E</v>
      </c>
      <c r="G393" s="21">
        <v>105</v>
      </c>
      <c r="J393" t="s">
        <v>41</v>
      </c>
      <c r="K393" t="s">
        <v>140</v>
      </c>
      <c r="L393" s="23">
        <v>4</v>
      </c>
      <c r="M393" s="23">
        <v>6</v>
      </c>
      <c r="N393" s="23">
        <v>7</v>
      </c>
      <c r="O393" s="23">
        <v>8</v>
      </c>
      <c r="P393" s="23">
        <v>9</v>
      </c>
      <c r="Q393" s="23">
        <v>10</v>
      </c>
      <c r="R393" s="23">
        <v>12</v>
      </c>
      <c r="S393" s="23">
        <v>11</v>
      </c>
      <c r="T393" s="23">
        <v>12</v>
      </c>
      <c r="U393" s="23">
        <v>12</v>
      </c>
      <c r="V393" s="23">
        <v>10</v>
      </c>
      <c r="W393" s="23">
        <v>6</v>
      </c>
      <c r="X393" s="23">
        <v>5</v>
      </c>
      <c r="Y393" s="23">
        <v>4</v>
      </c>
      <c r="Z393" s="23">
        <v>4</v>
      </c>
      <c r="AA393" s="23">
        <v>4.899</v>
      </c>
      <c r="AB393" s="23">
        <v>6.7569999999999997</v>
      </c>
    </row>
    <row r="394" spans="1:28" x14ac:dyDescent="0.2">
      <c r="A394" s="16" t="s">
        <v>52</v>
      </c>
      <c r="B394" s="17" t="s">
        <v>72</v>
      </c>
      <c r="C394" s="17" t="s">
        <v>8</v>
      </c>
      <c r="D394" s="17" t="s">
        <v>10</v>
      </c>
      <c r="E394" s="17" t="s">
        <v>13</v>
      </c>
      <c r="F394" s="17" t="str">
        <f>INDEX(nrg_cb_e!$A$3:$A$40,MATCH(LEFT(MID('Industriesektor GWh'!$B394,41,1000),SEARCH(" - ",MID('Industriesektor GWh'!$B394,41,1000))-1),nrg_cb_e!$C$3:$C$40,0))</f>
        <v>FC_IND_CON_E</v>
      </c>
      <c r="G394" s="18">
        <v>46</v>
      </c>
      <c r="J394" t="s">
        <v>41</v>
      </c>
      <c r="K394" t="s">
        <v>122</v>
      </c>
      <c r="L394" s="23">
        <v>19</v>
      </c>
      <c r="M394" s="23">
        <v>20</v>
      </c>
      <c r="N394" s="23">
        <v>21</v>
      </c>
      <c r="O394" s="23">
        <v>24</v>
      </c>
      <c r="P394" s="23">
        <v>25</v>
      </c>
      <c r="Q394" s="23">
        <v>27</v>
      </c>
      <c r="R394" s="23">
        <v>28</v>
      </c>
      <c r="S394" s="23">
        <v>28</v>
      </c>
      <c r="T394" s="23">
        <v>30</v>
      </c>
      <c r="U394" s="23">
        <v>29</v>
      </c>
      <c r="V394" s="23">
        <v>32</v>
      </c>
      <c r="W394" s="23">
        <v>35</v>
      </c>
      <c r="X394" s="23">
        <v>38</v>
      </c>
      <c r="Y394" s="23">
        <v>40</v>
      </c>
      <c r="Z394" s="23">
        <v>43</v>
      </c>
      <c r="AA394" s="23">
        <v>43.801000000000002</v>
      </c>
      <c r="AB394" s="23">
        <v>44.654000000000003</v>
      </c>
    </row>
    <row r="395" spans="1:28" x14ac:dyDescent="0.2">
      <c r="A395" s="19" t="s">
        <v>52</v>
      </c>
      <c r="B395" s="20" t="s">
        <v>72</v>
      </c>
      <c r="C395" s="20" t="s">
        <v>8</v>
      </c>
      <c r="D395" s="20" t="s">
        <v>10</v>
      </c>
      <c r="E395" s="20" t="s">
        <v>14</v>
      </c>
      <c r="F395" s="20" t="str">
        <f>INDEX(nrg_cb_e!$A$3:$A$40,MATCH(LEFT(MID('Industriesektor GWh'!$B395,41,1000),SEARCH(" - ",MID('Industriesektor GWh'!$B395,41,1000))-1),nrg_cb_e!$C$3:$C$40,0))</f>
        <v>FC_IND_CON_E</v>
      </c>
      <c r="G395" s="21">
        <v>61</v>
      </c>
      <c r="J395" t="s">
        <v>41</v>
      </c>
      <c r="K395" t="s">
        <v>134</v>
      </c>
      <c r="L395" s="23">
        <v>147</v>
      </c>
      <c r="M395" s="23">
        <v>159</v>
      </c>
      <c r="N395" s="23">
        <v>162</v>
      </c>
      <c r="O395" s="23">
        <v>166</v>
      </c>
      <c r="P395" s="23">
        <v>171</v>
      </c>
      <c r="Q395" s="23">
        <v>183</v>
      </c>
      <c r="R395" s="23">
        <v>195</v>
      </c>
      <c r="S395" s="23">
        <v>193</v>
      </c>
      <c r="T395" s="23">
        <v>197</v>
      </c>
      <c r="U395" s="23">
        <v>185</v>
      </c>
      <c r="V395" s="23">
        <v>184</v>
      </c>
      <c r="W395" s="23">
        <v>170</v>
      </c>
      <c r="X395" s="23">
        <v>161</v>
      </c>
      <c r="Y395" s="23">
        <v>162</v>
      </c>
      <c r="Z395" s="23">
        <v>170</v>
      </c>
      <c r="AA395" s="23">
        <v>176.16900000000001</v>
      </c>
      <c r="AB395" s="23">
        <v>182.05600000000001</v>
      </c>
    </row>
    <row r="396" spans="1:28" x14ac:dyDescent="0.2">
      <c r="A396" s="16" t="s">
        <v>52</v>
      </c>
      <c r="B396" s="17" t="s">
        <v>72</v>
      </c>
      <c r="C396" s="17" t="s">
        <v>8</v>
      </c>
      <c r="D396" s="17" t="s">
        <v>10</v>
      </c>
      <c r="E396" s="17" t="s">
        <v>15</v>
      </c>
      <c r="F396" s="17" t="str">
        <f>INDEX(nrg_cb_e!$A$3:$A$40,MATCH(LEFT(MID('Industriesektor GWh'!$B396,41,1000),SEARCH(" - ",MID('Industriesektor GWh'!$B396,41,1000))-1),nrg_cb_e!$C$3:$C$40,0))</f>
        <v>FC_IND_CON_E</v>
      </c>
      <c r="G396" s="18">
        <v>142</v>
      </c>
      <c r="J396" t="s">
        <v>41</v>
      </c>
      <c r="K396" t="s">
        <v>120</v>
      </c>
      <c r="L396" s="23">
        <v>0</v>
      </c>
      <c r="M396" s="23">
        <v>0</v>
      </c>
      <c r="N396" s="23">
        <v>0</v>
      </c>
      <c r="O396" s="23">
        <v>1</v>
      </c>
      <c r="P396" s="23">
        <v>1</v>
      </c>
      <c r="Q396" s="23">
        <v>1</v>
      </c>
      <c r="R396" s="23">
        <v>2</v>
      </c>
      <c r="S396" s="23">
        <v>2</v>
      </c>
      <c r="T396" s="23">
        <v>2</v>
      </c>
      <c r="U396" s="23">
        <v>2</v>
      </c>
      <c r="V396" s="23">
        <v>2</v>
      </c>
      <c r="W396" s="23">
        <v>2</v>
      </c>
      <c r="X396" s="23">
        <v>2</v>
      </c>
      <c r="Y396" s="23">
        <v>2</v>
      </c>
      <c r="Z396" s="23">
        <v>2</v>
      </c>
      <c r="AA396" s="23">
        <v>2.024</v>
      </c>
      <c r="AB396" s="23">
        <v>2.2559999999999998</v>
      </c>
    </row>
    <row r="397" spans="1:28" x14ac:dyDescent="0.2">
      <c r="A397" s="19" t="s">
        <v>52</v>
      </c>
      <c r="B397" s="20" t="s">
        <v>72</v>
      </c>
      <c r="C397" s="20" t="s">
        <v>8</v>
      </c>
      <c r="D397" s="20" t="s">
        <v>10</v>
      </c>
      <c r="E397" s="20" t="s">
        <v>16</v>
      </c>
      <c r="F397" s="20" t="str">
        <f>INDEX(nrg_cb_e!$A$3:$A$40,MATCH(LEFT(MID('Industriesektor GWh'!$B397,41,1000),SEARCH(" - ",MID('Industriesektor GWh'!$B397,41,1000))-1),nrg_cb_e!$C$3:$C$40,0))</f>
        <v>FC_IND_CON_E</v>
      </c>
      <c r="G397" s="21">
        <v>132</v>
      </c>
      <c r="J397" t="s">
        <v>41</v>
      </c>
      <c r="K397" t="s">
        <v>130</v>
      </c>
      <c r="L397" s="23">
        <v>24</v>
      </c>
      <c r="M397" s="23">
        <v>23</v>
      </c>
      <c r="N397" s="23">
        <v>27</v>
      </c>
      <c r="O397" s="23">
        <v>29</v>
      </c>
      <c r="P397" s="23">
        <v>31</v>
      </c>
      <c r="Q397" s="23">
        <v>33</v>
      </c>
      <c r="R397" s="23">
        <v>34</v>
      </c>
      <c r="S397" s="23">
        <v>30</v>
      </c>
      <c r="T397" s="23">
        <v>29</v>
      </c>
      <c r="U397" s="23">
        <v>26</v>
      </c>
      <c r="V397" s="23">
        <v>24</v>
      </c>
      <c r="W397" s="23">
        <v>20</v>
      </c>
      <c r="X397" s="23">
        <v>17</v>
      </c>
      <c r="Y397" s="23">
        <v>17</v>
      </c>
      <c r="Z397" s="23">
        <v>20</v>
      </c>
      <c r="AA397" s="23">
        <v>20.681999999999999</v>
      </c>
      <c r="AB397" s="23">
        <v>24.297000000000001</v>
      </c>
    </row>
    <row r="398" spans="1:28" x14ac:dyDescent="0.2">
      <c r="A398" s="16" t="s">
        <v>52</v>
      </c>
      <c r="B398" s="17" t="s">
        <v>72</v>
      </c>
      <c r="C398" s="17" t="s">
        <v>8</v>
      </c>
      <c r="D398" s="17" t="s">
        <v>10</v>
      </c>
      <c r="E398" s="17" t="s">
        <v>17</v>
      </c>
      <c r="F398" s="17" t="str">
        <f>INDEX(nrg_cb_e!$A$3:$A$40,MATCH(LEFT(MID('Industriesektor GWh'!$B398,41,1000),SEARCH(" - ",MID('Industriesektor GWh'!$B398,41,1000))-1),nrg_cb_e!$C$3:$C$40,0))</f>
        <v>FC_IND_CON_E</v>
      </c>
      <c r="G398" s="18">
        <v>78</v>
      </c>
      <c r="J398" t="s">
        <v>41</v>
      </c>
      <c r="K398" t="s">
        <v>132</v>
      </c>
      <c r="L398" s="23">
        <v>12</v>
      </c>
      <c r="M398" s="23">
        <v>13</v>
      </c>
      <c r="N398" s="23">
        <v>20</v>
      </c>
      <c r="O398" s="23">
        <v>14</v>
      </c>
      <c r="P398" s="23">
        <v>16</v>
      </c>
      <c r="Q398" s="23">
        <v>36</v>
      </c>
      <c r="R398" s="23">
        <v>39</v>
      </c>
      <c r="S398" s="23">
        <v>34</v>
      </c>
      <c r="T398" s="23">
        <v>34</v>
      </c>
      <c r="U398" s="23">
        <v>40</v>
      </c>
      <c r="V398" s="23">
        <v>35</v>
      </c>
      <c r="W398" s="23">
        <v>29</v>
      </c>
      <c r="X398" s="23">
        <v>29</v>
      </c>
      <c r="Y398" s="23">
        <v>25</v>
      </c>
      <c r="Z398" s="23">
        <v>29</v>
      </c>
      <c r="AA398" s="23">
        <v>29.335000000000001</v>
      </c>
      <c r="AB398" s="23">
        <v>29.353999999999999</v>
      </c>
    </row>
    <row r="399" spans="1:28" x14ac:dyDescent="0.2">
      <c r="A399" s="19" t="s">
        <v>52</v>
      </c>
      <c r="B399" s="20" t="s">
        <v>72</v>
      </c>
      <c r="C399" s="20" t="s">
        <v>8</v>
      </c>
      <c r="D399" s="20" t="s">
        <v>10</v>
      </c>
      <c r="E399" s="20" t="s">
        <v>18</v>
      </c>
      <c r="F399" s="20" t="str">
        <f>INDEX(nrg_cb_e!$A$3:$A$40,MATCH(LEFT(MID('Industriesektor GWh'!$B399,41,1000),SEARCH(" - ",MID('Industriesektor GWh'!$B399,41,1000))-1),nrg_cb_e!$C$3:$C$40,0))</f>
        <v>FC_IND_CON_E</v>
      </c>
      <c r="G399" s="21">
        <v>74</v>
      </c>
      <c r="J399" t="s">
        <v>41</v>
      </c>
      <c r="K399" t="s">
        <v>124</v>
      </c>
      <c r="L399" s="23">
        <v>0</v>
      </c>
      <c r="M399" s="23">
        <v>0</v>
      </c>
      <c r="N399" s="23">
        <v>0</v>
      </c>
      <c r="O399" s="23">
        <v>0</v>
      </c>
      <c r="P399" s="23">
        <v>0</v>
      </c>
      <c r="Q399" s="23">
        <v>0</v>
      </c>
      <c r="R399" s="23">
        <v>0</v>
      </c>
      <c r="S399" s="23">
        <v>0</v>
      </c>
      <c r="T399" s="23">
        <v>0</v>
      </c>
      <c r="U399" s="23">
        <v>0</v>
      </c>
      <c r="V399" s="23">
        <v>0</v>
      </c>
      <c r="W399" s="23">
        <v>0</v>
      </c>
      <c r="X399" s="23">
        <v>0</v>
      </c>
      <c r="Y399" s="23">
        <v>0</v>
      </c>
      <c r="Z399" s="23">
        <v>0</v>
      </c>
      <c r="AA399" s="23">
        <v>0</v>
      </c>
      <c r="AB399" s="23">
        <v>0</v>
      </c>
    </row>
    <row r="400" spans="1:28" x14ac:dyDescent="0.2">
      <c r="A400" s="16" t="s">
        <v>52</v>
      </c>
      <c r="B400" s="17" t="s">
        <v>72</v>
      </c>
      <c r="C400" s="17" t="s">
        <v>8</v>
      </c>
      <c r="D400" s="17" t="s">
        <v>10</v>
      </c>
      <c r="E400" s="17" t="s">
        <v>19</v>
      </c>
      <c r="F400" s="17" t="str">
        <f>INDEX(nrg_cb_e!$A$3:$A$40,MATCH(LEFT(MID('Industriesektor GWh'!$B400,41,1000),SEARCH(" - ",MID('Industriesektor GWh'!$B400,41,1000))-1),nrg_cb_e!$C$3:$C$40,0))</f>
        <v>FC_IND_CON_E</v>
      </c>
      <c r="G400" s="18">
        <v>64</v>
      </c>
      <c r="J400" t="s">
        <v>41</v>
      </c>
      <c r="K400" t="s">
        <v>126</v>
      </c>
      <c r="L400" s="23">
        <v>186</v>
      </c>
      <c r="M400" s="23">
        <v>208</v>
      </c>
      <c r="N400" s="23">
        <v>216</v>
      </c>
      <c r="O400" s="23">
        <v>221</v>
      </c>
      <c r="P400" s="23">
        <v>225</v>
      </c>
      <c r="Q400" s="23">
        <v>225</v>
      </c>
      <c r="R400" s="23">
        <v>231</v>
      </c>
      <c r="S400" s="23">
        <v>200</v>
      </c>
      <c r="T400" s="23">
        <v>184</v>
      </c>
      <c r="U400" s="23">
        <v>155</v>
      </c>
      <c r="V400" s="23">
        <v>127</v>
      </c>
      <c r="W400" s="23">
        <v>139</v>
      </c>
      <c r="X400" s="23">
        <v>150</v>
      </c>
      <c r="Y400" s="23">
        <v>148</v>
      </c>
      <c r="Z400" s="23">
        <v>154</v>
      </c>
      <c r="AA400" s="23">
        <v>174.78700000000001</v>
      </c>
      <c r="AB400" s="23">
        <v>172.285</v>
      </c>
    </row>
    <row r="401" spans="1:28" x14ac:dyDescent="0.2">
      <c r="A401" s="19" t="s">
        <v>52</v>
      </c>
      <c r="B401" s="20" t="s">
        <v>72</v>
      </c>
      <c r="C401" s="20" t="s">
        <v>8</v>
      </c>
      <c r="D401" s="20" t="s">
        <v>10</v>
      </c>
      <c r="E401" s="20" t="s">
        <v>20</v>
      </c>
      <c r="F401" s="20" t="str">
        <f>INDEX(nrg_cb_e!$A$3:$A$40,MATCH(LEFT(MID('Industriesektor GWh'!$B401,41,1000),SEARCH(" - ",MID('Industriesektor GWh'!$B401,41,1000))-1),nrg_cb_e!$C$3:$C$40,0))</f>
        <v>FC_IND_CON_E</v>
      </c>
      <c r="G401" s="21">
        <v>56</v>
      </c>
      <c r="J401" t="s">
        <v>41</v>
      </c>
      <c r="K401" t="s">
        <v>136</v>
      </c>
      <c r="L401" s="23">
        <v>16</v>
      </c>
      <c r="M401" s="23">
        <v>17</v>
      </c>
      <c r="N401" s="23">
        <v>18</v>
      </c>
      <c r="O401" s="23">
        <v>18</v>
      </c>
      <c r="P401" s="23">
        <v>20</v>
      </c>
      <c r="Q401" s="23">
        <v>20</v>
      </c>
      <c r="R401" s="23">
        <v>22</v>
      </c>
      <c r="S401" s="23">
        <v>22</v>
      </c>
      <c r="T401" s="23">
        <v>21</v>
      </c>
      <c r="U401" s="23">
        <v>19</v>
      </c>
      <c r="V401" s="23">
        <v>20</v>
      </c>
      <c r="W401" s="23">
        <v>16</v>
      </c>
      <c r="X401" s="23">
        <v>16</v>
      </c>
      <c r="Y401" s="23">
        <v>16</v>
      </c>
      <c r="Z401" s="23">
        <v>16</v>
      </c>
      <c r="AA401" s="23">
        <v>16.318999999999999</v>
      </c>
      <c r="AB401" s="23">
        <v>16.065000000000001</v>
      </c>
    </row>
    <row r="402" spans="1:28" x14ac:dyDescent="0.2">
      <c r="A402" s="16" t="s">
        <v>52</v>
      </c>
      <c r="B402" s="17" t="s">
        <v>72</v>
      </c>
      <c r="C402" s="17" t="s">
        <v>8</v>
      </c>
      <c r="D402" s="17" t="s">
        <v>10</v>
      </c>
      <c r="E402" s="17" t="s">
        <v>21</v>
      </c>
      <c r="F402" s="17" t="str">
        <f>INDEX(nrg_cb_e!$A$3:$A$40,MATCH(LEFT(MID('Industriesektor GWh'!$B402,41,1000),SEARCH(" - ",MID('Industriesektor GWh'!$B402,41,1000))-1),nrg_cb_e!$C$3:$C$40,0))</f>
        <v>FC_IND_CON_E</v>
      </c>
      <c r="G402" s="18">
        <v>53</v>
      </c>
      <c r="J402" t="s">
        <v>41</v>
      </c>
      <c r="K402" t="s">
        <v>128</v>
      </c>
      <c r="L402" s="23">
        <v>1</v>
      </c>
      <c r="M402" s="23">
        <v>1</v>
      </c>
      <c r="N402" s="23">
        <v>1</v>
      </c>
      <c r="O402" s="23">
        <v>1</v>
      </c>
      <c r="P402" s="23">
        <v>1</v>
      </c>
      <c r="Q402" s="23">
        <v>1</v>
      </c>
      <c r="R402" s="23">
        <v>1</v>
      </c>
      <c r="S402" s="23">
        <v>1</v>
      </c>
      <c r="T402" s="23">
        <v>1</v>
      </c>
      <c r="U402" s="23">
        <v>1</v>
      </c>
      <c r="V402" s="23">
        <v>2</v>
      </c>
      <c r="W402" s="23">
        <v>2</v>
      </c>
      <c r="X402" s="23">
        <v>2</v>
      </c>
      <c r="Y402" s="23">
        <v>2</v>
      </c>
      <c r="Z402" s="23">
        <v>2</v>
      </c>
      <c r="AA402" s="23">
        <v>1.9330000000000001</v>
      </c>
      <c r="AB402" s="23">
        <v>1.9970000000000001</v>
      </c>
    </row>
    <row r="403" spans="1:28" x14ac:dyDescent="0.2">
      <c r="A403" s="19" t="s">
        <v>52</v>
      </c>
      <c r="B403" s="20" t="s">
        <v>72</v>
      </c>
      <c r="C403" s="20" t="s">
        <v>8</v>
      </c>
      <c r="D403" s="20" t="s">
        <v>10</v>
      </c>
      <c r="E403" s="20" t="s">
        <v>22</v>
      </c>
      <c r="F403" s="20" t="str">
        <f>INDEX(nrg_cb_e!$A$3:$A$40,MATCH(LEFT(MID('Industriesektor GWh'!$B403,41,1000),SEARCH(" - ",MID('Industriesektor GWh'!$B403,41,1000))-1),nrg_cb_e!$C$3:$C$40,0))</f>
        <v>FC_IND_CON_E</v>
      </c>
      <c r="G403" s="21">
        <v>43</v>
      </c>
      <c r="J403" t="s">
        <v>41</v>
      </c>
      <c r="K403" t="s">
        <v>142</v>
      </c>
      <c r="L403" s="23">
        <v>13</v>
      </c>
      <c r="M403" s="23">
        <v>13</v>
      </c>
      <c r="N403" s="23">
        <v>11</v>
      </c>
      <c r="O403" s="23">
        <v>11</v>
      </c>
      <c r="P403" s="23">
        <v>10</v>
      </c>
      <c r="Q403" s="23">
        <v>9</v>
      </c>
      <c r="R403" s="23">
        <v>9</v>
      </c>
      <c r="S403" s="23">
        <v>9</v>
      </c>
      <c r="T403" s="23">
        <v>8</v>
      </c>
      <c r="U403" s="23">
        <v>7</v>
      </c>
      <c r="V403" s="23">
        <v>6</v>
      </c>
      <c r="W403" s="23">
        <v>6</v>
      </c>
      <c r="X403" s="23">
        <v>5</v>
      </c>
      <c r="Y403" s="23">
        <v>5</v>
      </c>
      <c r="Z403" s="23">
        <v>5</v>
      </c>
      <c r="AA403" s="23">
        <v>4.8769999999999998</v>
      </c>
      <c r="AB403" s="23">
        <v>4.9660000000000002</v>
      </c>
    </row>
    <row r="404" spans="1:28" x14ac:dyDescent="0.2">
      <c r="A404" s="16" t="s">
        <v>52</v>
      </c>
      <c r="B404" s="17" t="s">
        <v>72</v>
      </c>
      <c r="C404" s="17" t="s">
        <v>8</v>
      </c>
      <c r="D404" s="17" t="s">
        <v>10</v>
      </c>
      <c r="E404" s="17" t="s">
        <v>23</v>
      </c>
      <c r="F404" s="17" t="str">
        <f>INDEX(nrg_cb_e!$A$3:$A$40,MATCH(LEFT(MID('Industriesektor GWh'!$B404,41,1000),SEARCH(" - ",MID('Industriesektor GWh'!$B404,41,1000))-1),nrg_cb_e!$C$3:$C$40,0))</f>
        <v>FC_IND_CON_E</v>
      </c>
      <c r="G404" s="18">
        <v>41</v>
      </c>
      <c r="J404" t="s">
        <v>41</v>
      </c>
      <c r="K404" t="s">
        <v>138</v>
      </c>
      <c r="L404" s="23">
        <v>7</v>
      </c>
      <c r="M404" s="23">
        <v>8</v>
      </c>
      <c r="N404" s="23">
        <v>8</v>
      </c>
      <c r="O404" s="23">
        <v>8</v>
      </c>
      <c r="P404" s="23">
        <v>8</v>
      </c>
      <c r="Q404" s="23">
        <v>9</v>
      </c>
      <c r="R404" s="23">
        <v>9</v>
      </c>
      <c r="S404" s="23">
        <v>9</v>
      </c>
      <c r="T404" s="23">
        <v>9</v>
      </c>
      <c r="U404" s="23">
        <v>8</v>
      </c>
      <c r="V404" s="23">
        <v>7</v>
      </c>
      <c r="W404" s="23">
        <v>5</v>
      </c>
      <c r="X404" s="23">
        <v>5</v>
      </c>
      <c r="Y404" s="23">
        <v>5</v>
      </c>
      <c r="Z404" s="23">
        <v>6</v>
      </c>
      <c r="AA404" s="23">
        <v>6.0010000000000003</v>
      </c>
      <c r="AB404" s="23">
        <v>6.1920000000000002</v>
      </c>
    </row>
    <row r="405" spans="1:28" x14ac:dyDescent="0.2">
      <c r="A405" s="19" t="s">
        <v>52</v>
      </c>
      <c r="B405" s="20" t="s">
        <v>72</v>
      </c>
      <c r="C405" s="20" t="s">
        <v>8</v>
      </c>
      <c r="D405" s="20" t="s">
        <v>10</v>
      </c>
      <c r="E405" s="20" t="s">
        <v>24</v>
      </c>
      <c r="F405" s="20" t="str">
        <f>INDEX(nrg_cb_e!$A$3:$A$40,MATCH(LEFT(MID('Industriesektor GWh'!$B405,41,1000),SEARCH(" - ",MID('Industriesektor GWh'!$B405,41,1000))-1),nrg_cb_e!$C$3:$C$40,0))</f>
        <v>FC_IND_CON_E</v>
      </c>
      <c r="G405" s="21">
        <v>38</v>
      </c>
      <c r="J405" t="s">
        <v>41</v>
      </c>
      <c r="K405" t="s">
        <v>116</v>
      </c>
      <c r="L405" s="23">
        <v>45</v>
      </c>
      <c r="M405" s="23">
        <v>47</v>
      </c>
      <c r="N405" s="23">
        <v>46</v>
      </c>
      <c r="O405" s="23">
        <v>45</v>
      </c>
      <c r="P405" s="23">
        <v>47</v>
      </c>
      <c r="Q405" s="23">
        <v>48</v>
      </c>
      <c r="R405" s="23">
        <v>53</v>
      </c>
      <c r="S405" s="23">
        <v>52</v>
      </c>
      <c r="T405" s="23">
        <v>52</v>
      </c>
      <c r="U405" s="23">
        <v>45</v>
      </c>
      <c r="V405" s="23">
        <v>36</v>
      </c>
      <c r="W405" s="23">
        <v>32</v>
      </c>
      <c r="X405" s="23">
        <v>33</v>
      </c>
      <c r="Y405" s="23">
        <v>33</v>
      </c>
      <c r="Z405" s="23">
        <v>35</v>
      </c>
      <c r="AA405" s="23">
        <v>37.417999999999999</v>
      </c>
      <c r="AB405" s="23">
        <v>39.155999999999999</v>
      </c>
    </row>
    <row r="406" spans="1:28" x14ac:dyDescent="0.2">
      <c r="A406" s="16" t="s">
        <v>52</v>
      </c>
      <c r="B406" s="17" t="s">
        <v>72</v>
      </c>
      <c r="C406" s="17" t="s">
        <v>8</v>
      </c>
      <c r="D406" s="17" t="s">
        <v>10</v>
      </c>
      <c r="E406" s="17" t="s">
        <v>25</v>
      </c>
      <c r="F406" s="17" t="str">
        <f>INDEX(nrg_cb_e!$A$3:$A$40,MATCH(LEFT(MID('Industriesektor GWh'!$B406,41,1000),SEARCH(" - ",MID('Industriesektor GWh'!$B406,41,1000))-1),nrg_cb_e!$C$3:$C$40,0))</f>
        <v>FC_IND_CON_E</v>
      </c>
      <c r="G406" s="18">
        <v>45</v>
      </c>
    </row>
    <row r="407" spans="1:28" x14ac:dyDescent="0.2">
      <c r="A407" s="19" t="s">
        <v>52</v>
      </c>
      <c r="B407" s="20" t="s">
        <v>72</v>
      </c>
      <c r="C407" s="20" t="s">
        <v>8</v>
      </c>
      <c r="D407" s="20" t="s">
        <v>10</v>
      </c>
      <c r="E407" s="20" t="s">
        <v>26</v>
      </c>
      <c r="F407" s="20" t="str">
        <f>INDEX(nrg_cb_e!$A$3:$A$40,MATCH(LEFT(MID('Industriesektor GWh'!$B407,41,1000),SEARCH(" - ",MID('Industriesektor GWh'!$B407,41,1000))-1),nrg_cb_e!$C$3:$C$40,0))</f>
        <v>FC_IND_CON_E</v>
      </c>
      <c r="G407" s="21">
        <v>45</v>
      </c>
    </row>
    <row r="408" spans="1:28" x14ac:dyDescent="0.2">
      <c r="A408" s="16" t="s">
        <v>52</v>
      </c>
      <c r="B408" s="17" t="s">
        <v>72</v>
      </c>
      <c r="C408" s="17" t="s">
        <v>8</v>
      </c>
      <c r="D408" s="17" t="s">
        <v>10</v>
      </c>
      <c r="E408" s="17" t="s">
        <v>27</v>
      </c>
      <c r="F408" s="17" t="str">
        <f>INDEX(nrg_cb_e!$A$3:$A$40,MATCH(LEFT(MID('Industriesektor GWh'!$B408,41,1000),SEARCH(" - ",MID('Industriesektor GWh'!$B408,41,1000))-1),nrg_cb_e!$C$3:$C$40,0))</f>
        <v>FC_IND_CON_E</v>
      </c>
      <c r="G408" s="18">
        <v>48.728000000000002</v>
      </c>
    </row>
    <row r="409" spans="1:28" x14ac:dyDescent="0.2">
      <c r="A409" s="19" t="s">
        <v>52</v>
      </c>
      <c r="B409" s="20" t="s">
        <v>72</v>
      </c>
      <c r="C409" s="20" t="s">
        <v>8</v>
      </c>
      <c r="D409" s="20" t="s">
        <v>10</v>
      </c>
      <c r="E409" s="20" t="s">
        <v>28</v>
      </c>
      <c r="F409" s="20" t="str">
        <f>INDEX(nrg_cb_e!$A$3:$A$40,MATCH(LEFT(MID('Industriesektor GWh'!$B409,41,1000),SEARCH(" - ",MID('Industriesektor GWh'!$B409,41,1000))-1),nrg_cb_e!$C$3:$C$40,0))</f>
        <v>FC_IND_CON_E</v>
      </c>
      <c r="G409" s="21">
        <v>80.132999999999996</v>
      </c>
    </row>
    <row r="410" spans="1:28" x14ac:dyDescent="0.2">
      <c r="A410" s="16" t="s">
        <v>53</v>
      </c>
      <c r="B410" s="17" t="s">
        <v>72</v>
      </c>
      <c r="C410" s="17" t="s">
        <v>8</v>
      </c>
      <c r="D410" s="17" t="s">
        <v>10</v>
      </c>
      <c r="E410" s="17" t="s">
        <v>12</v>
      </c>
      <c r="F410" s="17" t="str">
        <f>INDEX(nrg_cb_e!$A$3:$A$40,MATCH(LEFT(MID('Industriesektor GWh'!$B410,41,1000),SEARCH(" - ",MID('Industriesektor GWh'!$B410,41,1000))-1),nrg_cb_e!$C$3:$C$40,0))</f>
        <v>FC_IND_CON_E</v>
      </c>
      <c r="G410" s="18">
        <v>124</v>
      </c>
    </row>
    <row r="411" spans="1:28" x14ac:dyDescent="0.2">
      <c r="A411" s="19" t="s">
        <v>53</v>
      </c>
      <c r="B411" s="20" t="s">
        <v>72</v>
      </c>
      <c r="C411" s="20" t="s">
        <v>8</v>
      </c>
      <c r="D411" s="20" t="s">
        <v>10</v>
      </c>
      <c r="E411" s="20" t="s">
        <v>13</v>
      </c>
      <c r="F411" s="20" t="str">
        <f>INDEX(nrg_cb_e!$A$3:$A$40,MATCH(LEFT(MID('Industriesektor GWh'!$B411,41,1000),SEARCH(" - ",MID('Industriesektor GWh'!$B411,41,1000))-1),nrg_cb_e!$C$3:$C$40,0))</f>
        <v>FC_IND_CON_E</v>
      </c>
      <c r="G411" s="21">
        <v>80</v>
      </c>
    </row>
    <row r="412" spans="1:28" x14ac:dyDescent="0.2">
      <c r="A412" s="16" t="s">
        <v>53</v>
      </c>
      <c r="B412" s="17" t="s">
        <v>72</v>
      </c>
      <c r="C412" s="17" t="s">
        <v>8</v>
      </c>
      <c r="D412" s="17" t="s">
        <v>10</v>
      </c>
      <c r="E412" s="17" t="s">
        <v>14</v>
      </c>
      <c r="F412" s="17" t="str">
        <f>INDEX(nrg_cb_e!$A$3:$A$40,MATCH(LEFT(MID('Industriesektor GWh'!$B412,41,1000),SEARCH(" - ",MID('Industriesektor GWh'!$B412,41,1000))-1),nrg_cb_e!$C$3:$C$40,0))</f>
        <v>FC_IND_CON_E</v>
      </c>
      <c r="G412" s="18">
        <v>74</v>
      </c>
    </row>
    <row r="413" spans="1:28" x14ac:dyDescent="0.2">
      <c r="A413" s="19" t="s">
        <v>53</v>
      </c>
      <c r="B413" s="20" t="s">
        <v>72</v>
      </c>
      <c r="C413" s="20" t="s">
        <v>8</v>
      </c>
      <c r="D413" s="20" t="s">
        <v>10</v>
      </c>
      <c r="E413" s="20" t="s">
        <v>15</v>
      </c>
      <c r="F413" s="20" t="str">
        <f>INDEX(nrg_cb_e!$A$3:$A$40,MATCH(LEFT(MID('Industriesektor GWh'!$B413,41,1000),SEARCH(" - ",MID('Industriesektor GWh'!$B413,41,1000))-1),nrg_cb_e!$C$3:$C$40,0))</f>
        <v>FC_IND_CON_E</v>
      </c>
      <c r="G413" s="21">
        <v>77</v>
      </c>
    </row>
    <row r="414" spans="1:28" x14ac:dyDescent="0.2">
      <c r="A414" s="16" t="s">
        <v>53</v>
      </c>
      <c r="B414" s="17" t="s">
        <v>72</v>
      </c>
      <c r="C414" s="17" t="s">
        <v>8</v>
      </c>
      <c r="D414" s="17" t="s">
        <v>10</v>
      </c>
      <c r="E414" s="17" t="s">
        <v>16</v>
      </c>
      <c r="F414" s="17" t="str">
        <f>INDEX(nrg_cb_e!$A$3:$A$40,MATCH(LEFT(MID('Industriesektor GWh'!$B414,41,1000),SEARCH(" - ",MID('Industriesektor GWh'!$B414,41,1000))-1),nrg_cb_e!$C$3:$C$40,0))</f>
        <v>FC_IND_CON_E</v>
      </c>
      <c r="G414" s="18">
        <v>74</v>
      </c>
    </row>
    <row r="415" spans="1:28" x14ac:dyDescent="0.2">
      <c r="A415" s="19" t="s">
        <v>53</v>
      </c>
      <c r="B415" s="20" t="s">
        <v>72</v>
      </c>
      <c r="C415" s="20" t="s">
        <v>8</v>
      </c>
      <c r="D415" s="20" t="s">
        <v>10</v>
      </c>
      <c r="E415" s="20" t="s">
        <v>17</v>
      </c>
      <c r="F415" s="20" t="str">
        <f>INDEX(nrg_cb_e!$A$3:$A$40,MATCH(LEFT(MID('Industriesektor GWh'!$B415,41,1000),SEARCH(" - ",MID('Industriesektor GWh'!$B415,41,1000))-1),nrg_cb_e!$C$3:$C$40,0))</f>
        <v>FC_IND_CON_E</v>
      </c>
      <c r="G415" s="21">
        <v>90</v>
      </c>
    </row>
    <row r="416" spans="1:28" x14ac:dyDescent="0.2">
      <c r="A416" s="16" t="s">
        <v>53</v>
      </c>
      <c r="B416" s="17" t="s">
        <v>72</v>
      </c>
      <c r="C416" s="17" t="s">
        <v>8</v>
      </c>
      <c r="D416" s="17" t="s">
        <v>10</v>
      </c>
      <c r="E416" s="17" t="s">
        <v>18</v>
      </c>
      <c r="F416" s="17" t="str">
        <f>INDEX(nrg_cb_e!$A$3:$A$40,MATCH(LEFT(MID('Industriesektor GWh'!$B416,41,1000),SEARCH(" - ",MID('Industriesektor GWh'!$B416,41,1000))-1),nrg_cb_e!$C$3:$C$40,0))</f>
        <v>FC_IND_CON_E</v>
      </c>
      <c r="G416" s="18">
        <v>122</v>
      </c>
    </row>
    <row r="417" spans="1:7" x14ac:dyDescent="0.2">
      <c r="A417" s="19" t="s">
        <v>53</v>
      </c>
      <c r="B417" s="20" t="s">
        <v>72</v>
      </c>
      <c r="C417" s="20" t="s">
        <v>8</v>
      </c>
      <c r="D417" s="20" t="s">
        <v>10</v>
      </c>
      <c r="E417" s="20" t="s">
        <v>19</v>
      </c>
      <c r="F417" s="20" t="str">
        <f>INDEX(nrg_cb_e!$A$3:$A$40,MATCH(LEFT(MID('Industriesektor GWh'!$B417,41,1000),SEARCH(" - ",MID('Industriesektor GWh'!$B417,41,1000))-1),nrg_cb_e!$C$3:$C$40,0))</f>
        <v>FC_IND_CON_E</v>
      </c>
      <c r="G417" s="21">
        <v>204</v>
      </c>
    </row>
    <row r="418" spans="1:7" x14ac:dyDescent="0.2">
      <c r="A418" s="16" t="s">
        <v>53</v>
      </c>
      <c r="B418" s="17" t="s">
        <v>72</v>
      </c>
      <c r="C418" s="17" t="s">
        <v>8</v>
      </c>
      <c r="D418" s="17" t="s">
        <v>10</v>
      </c>
      <c r="E418" s="17" t="s">
        <v>20</v>
      </c>
      <c r="F418" s="17" t="str">
        <f>INDEX(nrg_cb_e!$A$3:$A$40,MATCH(LEFT(MID('Industriesektor GWh'!$B418,41,1000),SEARCH(" - ",MID('Industriesektor GWh'!$B418,41,1000))-1),nrg_cb_e!$C$3:$C$40,0))</f>
        <v>FC_IND_CON_E</v>
      </c>
      <c r="G418" s="18">
        <v>169</v>
      </c>
    </row>
    <row r="419" spans="1:7" x14ac:dyDescent="0.2">
      <c r="A419" s="19" t="s">
        <v>53</v>
      </c>
      <c r="B419" s="20" t="s">
        <v>72</v>
      </c>
      <c r="C419" s="20" t="s">
        <v>8</v>
      </c>
      <c r="D419" s="20" t="s">
        <v>10</v>
      </c>
      <c r="E419" s="20" t="s">
        <v>21</v>
      </c>
      <c r="F419" s="20" t="str">
        <f>INDEX(nrg_cb_e!$A$3:$A$40,MATCH(LEFT(MID('Industriesektor GWh'!$B419,41,1000),SEARCH(" - ",MID('Industriesektor GWh'!$B419,41,1000))-1),nrg_cb_e!$C$3:$C$40,0))</f>
        <v>FC_IND_CON_E</v>
      </c>
      <c r="G419" s="21">
        <v>226</v>
      </c>
    </row>
    <row r="420" spans="1:7" x14ac:dyDescent="0.2">
      <c r="A420" s="16" t="s">
        <v>53</v>
      </c>
      <c r="B420" s="17" t="s">
        <v>72</v>
      </c>
      <c r="C420" s="17" t="s">
        <v>8</v>
      </c>
      <c r="D420" s="17" t="s">
        <v>10</v>
      </c>
      <c r="E420" s="17" t="s">
        <v>22</v>
      </c>
      <c r="F420" s="17" t="str">
        <f>INDEX(nrg_cb_e!$A$3:$A$40,MATCH(LEFT(MID('Industriesektor GWh'!$B420,41,1000),SEARCH(" - ",MID('Industriesektor GWh'!$B420,41,1000))-1),nrg_cb_e!$C$3:$C$40,0))</f>
        <v>FC_IND_CON_E</v>
      </c>
      <c r="G420" s="18">
        <v>60</v>
      </c>
    </row>
    <row r="421" spans="1:7" x14ac:dyDescent="0.2">
      <c r="A421" s="19" t="s">
        <v>53</v>
      </c>
      <c r="B421" s="20" t="s">
        <v>72</v>
      </c>
      <c r="C421" s="20" t="s">
        <v>8</v>
      </c>
      <c r="D421" s="20" t="s">
        <v>10</v>
      </c>
      <c r="E421" s="20" t="s">
        <v>23</v>
      </c>
      <c r="F421" s="20" t="str">
        <f>INDEX(nrg_cb_e!$A$3:$A$40,MATCH(LEFT(MID('Industriesektor GWh'!$B421,41,1000),SEARCH(" - ",MID('Industriesektor GWh'!$B421,41,1000))-1),nrg_cb_e!$C$3:$C$40,0))</f>
        <v>FC_IND_CON_E</v>
      </c>
      <c r="G421" s="21">
        <v>60</v>
      </c>
    </row>
    <row r="422" spans="1:7" x14ac:dyDescent="0.2">
      <c r="A422" s="16" t="s">
        <v>53</v>
      </c>
      <c r="B422" s="17" t="s">
        <v>72</v>
      </c>
      <c r="C422" s="17" t="s">
        <v>8</v>
      </c>
      <c r="D422" s="17" t="s">
        <v>10</v>
      </c>
      <c r="E422" s="17" t="s">
        <v>24</v>
      </c>
      <c r="F422" s="17" t="str">
        <f>INDEX(nrg_cb_e!$A$3:$A$40,MATCH(LEFT(MID('Industriesektor GWh'!$B422,41,1000),SEARCH(" - ",MID('Industriesektor GWh'!$B422,41,1000))-1),nrg_cb_e!$C$3:$C$40,0))</f>
        <v>FC_IND_CON_E</v>
      </c>
      <c r="G422" s="18">
        <v>59</v>
      </c>
    </row>
    <row r="423" spans="1:7" x14ac:dyDescent="0.2">
      <c r="A423" s="19" t="s">
        <v>53</v>
      </c>
      <c r="B423" s="20" t="s">
        <v>72</v>
      </c>
      <c r="C423" s="20" t="s">
        <v>8</v>
      </c>
      <c r="D423" s="20" t="s">
        <v>10</v>
      </c>
      <c r="E423" s="20" t="s">
        <v>25</v>
      </c>
      <c r="F423" s="20" t="str">
        <f>INDEX(nrg_cb_e!$A$3:$A$40,MATCH(LEFT(MID('Industriesektor GWh'!$B423,41,1000),SEARCH(" - ",MID('Industriesektor GWh'!$B423,41,1000))-1),nrg_cb_e!$C$3:$C$40,0))</f>
        <v>FC_IND_CON_E</v>
      </c>
      <c r="G423" s="21">
        <v>69</v>
      </c>
    </row>
    <row r="424" spans="1:7" x14ac:dyDescent="0.2">
      <c r="A424" s="16" t="s">
        <v>53</v>
      </c>
      <c r="B424" s="17" t="s">
        <v>72</v>
      </c>
      <c r="C424" s="17" t="s">
        <v>8</v>
      </c>
      <c r="D424" s="17" t="s">
        <v>10</v>
      </c>
      <c r="E424" s="17" t="s">
        <v>26</v>
      </c>
      <c r="F424" s="17" t="str">
        <f>INDEX(nrg_cb_e!$A$3:$A$40,MATCH(LEFT(MID('Industriesektor GWh'!$B424,41,1000),SEARCH(" - ",MID('Industriesektor GWh'!$B424,41,1000))-1),nrg_cb_e!$C$3:$C$40,0))</f>
        <v>FC_IND_CON_E</v>
      </c>
      <c r="G424" s="18">
        <v>71</v>
      </c>
    </row>
    <row r="425" spans="1:7" x14ac:dyDescent="0.2">
      <c r="A425" s="19" t="s">
        <v>53</v>
      </c>
      <c r="B425" s="20" t="s">
        <v>72</v>
      </c>
      <c r="C425" s="20" t="s">
        <v>8</v>
      </c>
      <c r="D425" s="20" t="s">
        <v>10</v>
      </c>
      <c r="E425" s="20" t="s">
        <v>27</v>
      </c>
      <c r="F425" s="20" t="str">
        <f>INDEX(nrg_cb_e!$A$3:$A$40,MATCH(LEFT(MID('Industriesektor GWh'!$B425,41,1000),SEARCH(" - ",MID('Industriesektor GWh'!$B425,41,1000))-1),nrg_cb_e!$C$3:$C$40,0))</f>
        <v>FC_IND_CON_E</v>
      </c>
      <c r="G425" s="21">
        <v>73</v>
      </c>
    </row>
    <row r="426" spans="1:7" x14ac:dyDescent="0.2">
      <c r="A426" s="16" t="s">
        <v>53</v>
      </c>
      <c r="B426" s="17" t="s">
        <v>72</v>
      </c>
      <c r="C426" s="17" t="s">
        <v>8</v>
      </c>
      <c r="D426" s="17" t="s">
        <v>10</v>
      </c>
      <c r="E426" s="17" t="s">
        <v>28</v>
      </c>
      <c r="F426" s="17" t="str">
        <f>INDEX(nrg_cb_e!$A$3:$A$40,MATCH(LEFT(MID('Industriesektor GWh'!$B426,41,1000),SEARCH(" - ",MID('Industriesektor GWh'!$B426,41,1000))-1),nrg_cb_e!$C$3:$C$40,0))</f>
        <v>FC_IND_CON_E</v>
      </c>
      <c r="G426" s="18">
        <v>104</v>
      </c>
    </row>
    <row r="427" spans="1:7" x14ac:dyDescent="0.2">
      <c r="A427" s="19" t="s">
        <v>54</v>
      </c>
      <c r="B427" s="20" t="s">
        <v>72</v>
      </c>
      <c r="C427" s="20" t="s">
        <v>8</v>
      </c>
      <c r="D427" s="20" t="s">
        <v>10</v>
      </c>
      <c r="E427" s="20" t="s">
        <v>12</v>
      </c>
      <c r="F427" s="20" t="str">
        <f>INDEX(nrg_cb_e!$A$3:$A$40,MATCH(LEFT(MID('Industriesektor GWh'!$B427,41,1000),SEARCH(" - ",MID('Industriesektor GWh'!$B427,41,1000))-1),nrg_cb_e!$C$3:$C$40,0))</f>
        <v>FC_IND_CON_E</v>
      </c>
      <c r="G427" s="21">
        <v>245</v>
      </c>
    </row>
    <row r="428" spans="1:7" x14ac:dyDescent="0.2">
      <c r="A428" s="16" t="s">
        <v>54</v>
      </c>
      <c r="B428" s="17" t="s">
        <v>72</v>
      </c>
      <c r="C428" s="17" t="s">
        <v>8</v>
      </c>
      <c r="D428" s="17" t="s">
        <v>10</v>
      </c>
      <c r="E428" s="17" t="s">
        <v>13</v>
      </c>
      <c r="F428" s="17" t="str">
        <f>INDEX(nrg_cb_e!$A$3:$A$40,MATCH(LEFT(MID('Industriesektor GWh'!$B428,41,1000),SEARCH(" - ",MID('Industriesektor GWh'!$B428,41,1000))-1),nrg_cb_e!$C$3:$C$40,0))</f>
        <v>FC_IND_CON_E</v>
      </c>
      <c r="G428" s="18">
        <v>242</v>
      </c>
    </row>
    <row r="429" spans="1:7" x14ac:dyDescent="0.2">
      <c r="A429" s="19" t="s">
        <v>54</v>
      </c>
      <c r="B429" s="20" t="s">
        <v>72</v>
      </c>
      <c r="C429" s="20" t="s">
        <v>8</v>
      </c>
      <c r="D429" s="20" t="s">
        <v>10</v>
      </c>
      <c r="E429" s="20" t="s">
        <v>14</v>
      </c>
      <c r="F429" s="20" t="str">
        <f>INDEX(nrg_cb_e!$A$3:$A$40,MATCH(LEFT(MID('Industriesektor GWh'!$B429,41,1000),SEARCH(" - ",MID('Industriesektor GWh'!$B429,41,1000))-1),nrg_cb_e!$C$3:$C$40,0))</f>
        <v>FC_IND_CON_E</v>
      </c>
      <c r="G429" s="21">
        <v>256</v>
      </c>
    </row>
    <row r="430" spans="1:7" x14ac:dyDescent="0.2">
      <c r="A430" s="16" t="s">
        <v>54</v>
      </c>
      <c r="B430" s="17" t="s">
        <v>72</v>
      </c>
      <c r="C430" s="17" t="s">
        <v>8</v>
      </c>
      <c r="D430" s="17" t="s">
        <v>10</v>
      </c>
      <c r="E430" s="17" t="s">
        <v>15</v>
      </c>
      <c r="F430" s="17" t="str">
        <f>INDEX(nrg_cb_e!$A$3:$A$40,MATCH(LEFT(MID('Industriesektor GWh'!$B430,41,1000),SEARCH(" - ",MID('Industriesektor GWh'!$B430,41,1000))-1),nrg_cb_e!$C$3:$C$40,0))</f>
        <v>FC_IND_CON_E</v>
      </c>
      <c r="G430" s="18">
        <v>270</v>
      </c>
    </row>
    <row r="431" spans="1:7" x14ac:dyDescent="0.2">
      <c r="A431" s="19" t="s">
        <v>54</v>
      </c>
      <c r="B431" s="20" t="s">
        <v>72</v>
      </c>
      <c r="C431" s="20" t="s">
        <v>8</v>
      </c>
      <c r="D431" s="20" t="s">
        <v>10</v>
      </c>
      <c r="E431" s="20" t="s">
        <v>16</v>
      </c>
      <c r="F431" s="20" t="str">
        <f>INDEX(nrg_cb_e!$A$3:$A$40,MATCH(LEFT(MID('Industriesektor GWh'!$B431,41,1000),SEARCH(" - ",MID('Industriesektor GWh'!$B431,41,1000))-1),nrg_cb_e!$C$3:$C$40,0))</f>
        <v>FC_IND_CON_E</v>
      </c>
      <c r="G431" s="21">
        <v>300</v>
      </c>
    </row>
    <row r="432" spans="1:7" x14ac:dyDescent="0.2">
      <c r="A432" s="16" t="s">
        <v>54</v>
      </c>
      <c r="B432" s="17" t="s">
        <v>72</v>
      </c>
      <c r="C432" s="17" t="s">
        <v>8</v>
      </c>
      <c r="D432" s="17" t="s">
        <v>10</v>
      </c>
      <c r="E432" s="17" t="s">
        <v>17</v>
      </c>
      <c r="F432" s="17" t="str">
        <f>INDEX(nrg_cb_e!$A$3:$A$40,MATCH(LEFT(MID('Industriesektor GWh'!$B432,41,1000),SEARCH(" - ",MID('Industriesektor GWh'!$B432,41,1000))-1),nrg_cb_e!$C$3:$C$40,0))</f>
        <v>FC_IND_CON_E</v>
      </c>
      <c r="G432" s="18">
        <v>349</v>
      </c>
    </row>
    <row r="433" spans="1:7" x14ac:dyDescent="0.2">
      <c r="A433" s="19" t="s">
        <v>54</v>
      </c>
      <c r="B433" s="20" t="s">
        <v>72</v>
      </c>
      <c r="C433" s="20" t="s">
        <v>8</v>
      </c>
      <c r="D433" s="20" t="s">
        <v>10</v>
      </c>
      <c r="E433" s="20" t="s">
        <v>18</v>
      </c>
      <c r="F433" s="20" t="str">
        <f>INDEX(nrg_cb_e!$A$3:$A$40,MATCH(LEFT(MID('Industriesektor GWh'!$B433,41,1000),SEARCH(" - ",MID('Industriesektor GWh'!$B433,41,1000))-1),nrg_cb_e!$C$3:$C$40,0))</f>
        <v>FC_IND_CON_E</v>
      </c>
      <c r="G433" s="21">
        <v>319</v>
      </c>
    </row>
    <row r="434" spans="1:7" x14ac:dyDescent="0.2">
      <c r="A434" s="16" t="s">
        <v>54</v>
      </c>
      <c r="B434" s="17" t="s">
        <v>72</v>
      </c>
      <c r="C434" s="17" t="s">
        <v>8</v>
      </c>
      <c r="D434" s="17" t="s">
        <v>10</v>
      </c>
      <c r="E434" s="17" t="s">
        <v>19</v>
      </c>
      <c r="F434" s="17" t="str">
        <f>INDEX(nrg_cb_e!$A$3:$A$40,MATCH(LEFT(MID('Industriesektor GWh'!$B434,41,1000),SEARCH(" - ",MID('Industriesektor GWh'!$B434,41,1000))-1),nrg_cb_e!$C$3:$C$40,0))</f>
        <v>FC_IND_CON_E</v>
      </c>
      <c r="G434" s="18">
        <v>314</v>
      </c>
    </row>
    <row r="435" spans="1:7" x14ac:dyDescent="0.2">
      <c r="A435" s="19" t="s">
        <v>54</v>
      </c>
      <c r="B435" s="20" t="s">
        <v>72</v>
      </c>
      <c r="C435" s="20" t="s">
        <v>8</v>
      </c>
      <c r="D435" s="20" t="s">
        <v>10</v>
      </c>
      <c r="E435" s="20" t="s">
        <v>20</v>
      </c>
      <c r="F435" s="20" t="str">
        <f>INDEX(nrg_cb_e!$A$3:$A$40,MATCH(LEFT(MID('Industriesektor GWh'!$B435,41,1000),SEARCH(" - ",MID('Industriesektor GWh'!$B435,41,1000))-1),nrg_cb_e!$C$3:$C$40,0))</f>
        <v>FC_IND_CON_E</v>
      </c>
      <c r="G435" s="21">
        <v>354</v>
      </c>
    </row>
    <row r="436" spans="1:7" x14ac:dyDescent="0.2">
      <c r="A436" s="16" t="s">
        <v>54</v>
      </c>
      <c r="B436" s="17" t="s">
        <v>72</v>
      </c>
      <c r="C436" s="17" t="s">
        <v>8</v>
      </c>
      <c r="D436" s="17" t="s">
        <v>10</v>
      </c>
      <c r="E436" s="17" t="s">
        <v>21</v>
      </c>
      <c r="F436" s="17" t="str">
        <f>INDEX(nrg_cb_e!$A$3:$A$40,MATCH(LEFT(MID('Industriesektor GWh'!$B436,41,1000),SEARCH(" - ",MID('Industriesektor GWh'!$B436,41,1000))-1),nrg_cb_e!$C$3:$C$40,0))</f>
        <v>FC_IND_CON_E</v>
      </c>
      <c r="G436" s="18">
        <v>349</v>
      </c>
    </row>
    <row r="437" spans="1:7" x14ac:dyDescent="0.2">
      <c r="A437" s="19" t="s">
        <v>54</v>
      </c>
      <c r="B437" s="20" t="s">
        <v>72</v>
      </c>
      <c r="C437" s="20" t="s">
        <v>8</v>
      </c>
      <c r="D437" s="20" t="s">
        <v>10</v>
      </c>
      <c r="E437" s="20" t="s">
        <v>22</v>
      </c>
      <c r="F437" s="20" t="str">
        <f>INDEX(nrg_cb_e!$A$3:$A$40,MATCH(LEFT(MID('Industriesektor GWh'!$B437,41,1000),SEARCH(" - ",MID('Industriesektor GWh'!$B437,41,1000))-1),nrg_cb_e!$C$3:$C$40,0))</f>
        <v>FC_IND_CON_E</v>
      </c>
      <c r="G437" s="21">
        <v>368</v>
      </c>
    </row>
    <row r="438" spans="1:7" x14ac:dyDescent="0.2">
      <c r="A438" s="16" t="s">
        <v>54</v>
      </c>
      <c r="B438" s="17" t="s">
        <v>72</v>
      </c>
      <c r="C438" s="17" t="s">
        <v>8</v>
      </c>
      <c r="D438" s="17" t="s">
        <v>10</v>
      </c>
      <c r="E438" s="17" t="s">
        <v>23</v>
      </c>
      <c r="F438" s="17" t="str">
        <f>INDEX(nrg_cb_e!$A$3:$A$40,MATCH(LEFT(MID('Industriesektor GWh'!$B438,41,1000),SEARCH(" - ",MID('Industriesektor GWh'!$B438,41,1000))-1),nrg_cb_e!$C$3:$C$40,0))</f>
        <v>FC_IND_CON_E</v>
      </c>
      <c r="G438" s="18">
        <v>378</v>
      </c>
    </row>
    <row r="439" spans="1:7" x14ac:dyDescent="0.2">
      <c r="A439" s="19" t="s">
        <v>54</v>
      </c>
      <c r="B439" s="20" t="s">
        <v>72</v>
      </c>
      <c r="C439" s="20" t="s">
        <v>8</v>
      </c>
      <c r="D439" s="20" t="s">
        <v>10</v>
      </c>
      <c r="E439" s="20" t="s">
        <v>24</v>
      </c>
      <c r="F439" s="20" t="str">
        <f>INDEX(nrg_cb_e!$A$3:$A$40,MATCH(LEFT(MID('Industriesektor GWh'!$B439,41,1000),SEARCH(" - ",MID('Industriesektor GWh'!$B439,41,1000))-1),nrg_cb_e!$C$3:$C$40,0))</f>
        <v>FC_IND_CON_E</v>
      </c>
      <c r="G439" s="21">
        <v>433</v>
      </c>
    </row>
    <row r="440" spans="1:7" x14ac:dyDescent="0.2">
      <c r="A440" s="16" t="s">
        <v>54</v>
      </c>
      <c r="B440" s="17" t="s">
        <v>72</v>
      </c>
      <c r="C440" s="17" t="s">
        <v>8</v>
      </c>
      <c r="D440" s="17" t="s">
        <v>10</v>
      </c>
      <c r="E440" s="17" t="s">
        <v>25</v>
      </c>
      <c r="F440" s="17" t="str">
        <f>INDEX(nrg_cb_e!$A$3:$A$40,MATCH(LEFT(MID('Industriesektor GWh'!$B440,41,1000),SEARCH(" - ",MID('Industriesektor GWh'!$B440,41,1000))-1),nrg_cb_e!$C$3:$C$40,0))</f>
        <v>FC_IND_CON_E</v>
      </c>
      <c r="G440" s="18">
        <v>372</v>
      </c>
    </row>
    <row r="441" spans="1:7" x14ac:dyDescent="0.2">
      <c r="A441" s="19" t="s">
        <v>54</v>
      </c>
      <c r="B441" s="20" t="s">
        <v>72</v>
      </c>
      <c r="C441" s="20" t="s">
        <v>8</v>
      </c>
      <c r="D441" s="20" t="s">
        <v>10</v>
      </c>
      <c r="E441" s="20" t="s">
        <v>26</v>
      </c>
      <c r="F441" s="20" t="str">
        <f>INDEX(nrg_cb_e!$A$3:$A$40,MATCH(LEFT(MID('Industriesektor GWh'!$B441,41,1000),SEARCH(" - ",MID('Industriesektor GWh'!$B441,41,1000))-1),nrg_cb_e!$C$3:$C$40,0))</f>
        <v>FC_IND_CON_E</v>
      </c>
      <c r="G441" s="21">
        <v>416</v>
      </c>
    </row>
    <row r="442" spans="1:7" x14ac:dyDescent="0.2">
      <c r="A442" s="16" t="s">
        <v>54</v>
      </c>
      <c r="B442" s="17" t="s">
        <v>72</v>
      </c>
      <c r="C442" s="17" t="s">
        <v>8</v>
      </c>
      <c r="D442" s="17" t="s">
        <v>10</v>
      </c>
      <c r="E442" s="17" t="s">
        <v>27</v>
      </c>
      <c r="F442" s="17" t="str">
        <f>INDEX(nrg_cb_e!$A$3:$A$40,MATCH(LEFT(MID('Industriesektor GWh'!$B442,41,1000),SEARCH(" - ",MID('Industriesektor GWh'!$B442,41,1000))-1),nrg_cb_e!$C$3:$C$40,0))</f>
        <v>FC_IND_CON_E</v>
      </c>
      <c r="G442" s="18">
        <v>450</v>
      </c>
    </row>
    <row r="443" spans="1:7" x14ac:dyDescent="0.2">
      <c r="A443" s="19" t="s">
        <v>54</v>
      </c>
      <c r="B443" s="20" t="s">
        <v>72</v>
      </c>
      <c r="C443" s="20" t="s">
        <v>8</v>
      </c>
      <c r="D443" s="20" t="s">
        <v>10</v>
      </c>
      <c r="E443" s="20" t="s">
        <v>28</v>
      </c>
      <c r="F443" s="20" t="str">
        <f>INDEX(nrg_cb_e!$A$3:$A$40,MATCH(LEFT(MID('Industriesektor GWh'!$B443,41,1000),SEARCH(" - ",MID('Industriesektor GWh'!$B443,41,1000))-1),nrg_cb_e!$C$3:$C$40,0))</f>
        <v>FC_IND_CON_E</v>
      </c>
      <c r="G443" s="21">
        <v>415</v>
      </c>
    </row>
    <row r="444" spans="1:7" x14ac:dyDescent="0.2">
      <c r="A444" s="16" t="s">
        <v>55</v>
      </c>
      <c r="B444" s="17" t="s">
        <v>72</v>
      </c>
      <c r="C444" s="17" t="s">
        <v>8</v>
      </c>
      <c r="D444" s="17" t="s">
        <v>10</v>
      </c>
      <c r="E444" s="17" t="s">
        <v>12</v>
      </c>
      <c r="F444" s="17" t="str">
        <f>INDEX(nrg_cb_e!$A$3:$A$40,MATCH(LEFT(MID('Industriesektor GWh'!$B444,41,1000),SEARCH(" - ",MID('Industriesektor GWh'!$B444,41,1000))-1),nrg_cb_e!$C$3:$C$40,0))</f>
        <v>FC_IND_CON_E</v>
      </c>
      <c r="G444" s="18">
        <v>861</v>
      </c>
    </row>
    <row r="445" spans="1:7" x14ac:dyDescent="0.2">
      <c r="A445" s="19" t="s">
        <v>55</v>
      </c>
      <c r="B445" s="20" t="s">
        <v>72</v>
      </c>
      <c r="C445" s="20" t="s">
        <v>8</v>
      </c>
      <c r="D445" s="20" t="s">
        <v>10</v>
      </c>
      <c r="E445" s="20" t="s">
        <v>13</v>
      </c>
      <c r="F445" s="20" t="str">
        <f>INDEX(nrg_cb_e!$A$3:$A$40,MATCH(LEFT(MID('Industriesektor GWh'!$B445,41,1000),SEARCH(" - ",MID('Industriesektor GWh'!$B445,41,1000))-1),nrg_cb_e!$C$3:$C$40,0))</f>
        <v>FC_IND_CON_E</v>
      </c>
      <c r="G445" s="21">
        <v>806</v>
      </c>
    </row>
    <row r="446" spans="1:7" x14ac:dyDescent="0.2">
      <c r="A446" s="16" t="s">
        <v>55</v>
      </c>
      <c r="B446" s="17" t="s">
        <v>72</v>
      </c>
      <c r="C446" s="17" t="s">
        <v>8</v>
      </c>
      <c r="D446" s="17" t="s">
        <v>10</v>
      </c>
      <c r="E446" s="17" t="s">
        <v>14</v>
      </c>
      <c r="F446" s="17" t="str">
        <f>INDEX(nrg_cb_e!$A$3:$A$40,MATCH(LEFT(MID('Industriesektor GWh'!$B446,41,1000),SEARCH(" - ",MID('Industriesektor GWh'!$B446,41,1000))-1),nrg_cb_e!$C$3:$C$40,0))</f>
        <v>FC_IND_CON_E</v>
      </c>
      <c r="G446" s="18">
        <v>822</v>
      </c>
    </row>
    <row r="447" spans="1:7" x14ac:dyDescent="0.2">
      <c r="A447" s="19" t="s">
        <v>55</v>
      </c>
      <c r="B447" s="20" t="s">
        <v>72</v>
      </c>
      <c r="C447" s="20" t="s">
        <v>8</v>
      </c>
      <c r="D447" s="20" t="s">
        <v>10</v>
      </c>
      <c r="E447" s="20" t="s">
        <v>15</v>
      </c>
      <c r="F447" s="20" t="str">
        <f>INDEX(nrg_cb_e!$A$3:$A$40,MATCH(LEFT(MID('Industriesektor GWh'!$B447,41,1000),SEARCH(" - ",MID('Industriesektor GWh'!$B447,41,1000))-1),nrg_cb_e!$C$3:$C$40,0))</f>
        <v>FC_IND_CON_E</v>
      </c>
      <c r="G447" s="21">
        <v>803</v>
      </c>
    </row>
    <row r="448" spans="1:7" x14ac:dyDescent="0.2">
      <c r="A448" s="16" t="s">
        <v>55</v>
      </c>
      <c r="B448" s="17" t="s">
        <v>72</v>
      </c>
      <c r="C448" s="17" t="s">
        <v>8</v>
      </c>
      <c r="D448" s="17" t="s">
        <v>10</v>
      </c>
      <c r="E448" s="17" t="s">
        <v>16</v>
      </c>
      <c r="F448" s="17" t="str">
        <f>INDEX(nrg_cb_e!$A$3:$A$40,MATCH(LEFT(MID('Industriesektor GWh'!$B448,41,1000),SEARCH(" - ",MID('Industriesektor GWh'!$B448,41,1000))-1),nrg_cb_e!$C$3:$C$40,0))</f>
        <v>FC_IND_CON_E</v>
      </c>
      <c r="G448" s="18">
        <v>871</v>
      </c>
    </row>
    <row r="449" spans="1:7" x14ac:dyDescent="0.2">
      <c r="A449" s="19" t="s">
        <v>55</v>
      </c>
      <c r="B449" s="20" t="s">
        <v>72</v>
      </c>
      <c r="C449" s="20" t="s">
        <v>8</v>
      </c>
      <c r="D449" s="20" t="s">
        <v>10</v>
      </c>
      <c r="E449" s="20" t="s">
        <v>17</v>
      </c>
      <c r="F449" s="20" t="str">
        <f>INDEX(nrg_cb_e!$A$3:$A$40,MATCH(LEFT(MID('Industriesektor GWh'!$B449,41,1000),SEARCH(" - ",MID('Industriesektor GWh'!$B449,41,1000))-1),nrg_cb_e!$C$3:$C$40,0))</f>
        <v>FC_IND_CON_E</v>
      </c>
      <c r="G449" s="21">
        <v>885</v>
      </c>
    </row>
    <row r="450" spans="1:7" x14ac:dyDescent="0.2">
      <c r="A450" s="16" t="s">
        <v>55</v>
      </c>
      <c r="B450" s="17" t="s">
        <v>72</v>
      </c>
      <c r="C450" s="17" t="s">
        <v>8</v>
      </c>
      <c r="D450" s="17" t="s">
        <v>10</v>
      </c>
      <c r="E450" s="17" t="s">
        <v>18</v>
      </c>
      <c r="F450" s="17" t="str">
        <f>INDEX(nrg_cb_e!$A$3:$A$40,MATCH(LEFT(MID('Industriesektor GWh'!$B450,41,1000),SEARCH(" - ",MID('Industriesektor GWh'!$B450,41,1000))-1),nrg_cb_e!$C$3:$C$40,0))</f>
        <v>FC_IND_CON_E</v>
      </c>
      <c r="G450" s="18">
        <v>920</v>
      </c>
    </row>
    <row r="451" spans="1:7" x14ac:dyDescent="0.2">
      <c r="A451" s="19" t="s">
        <v>55</v>
      </c>
      <c r="B451" s="20" t="s">
        <v>72</v>
      </c>
      <c r="C451" s="20" t="s">
        <v>8</v>
      </c>
      <c r="D451" s="20" t="s">
        <v>10</v>
      </c>
      <c r="E451" s="20" t="s">
        <v>19</v>
      </c>
      <c r="F451" s="20" t="str">
        <f>INDEX(nrg_cb_e!$A$3:$A$40,MATCH(LEFT(MID('Industriesektor GWh'!$B451,41,1000),SEARCH(" - ",MID('Industriesektor GWh'!$B451,41,1000))-1),nrg_cb_e!$C$3:$C$40,0))</f>
        <v>FC_IND_CON_E</v>
      </c>
      <c r="G451" s="21">
        <v>1074</v>
      </c>
    </row>
    <row r="452" spans="1:7" x14ac:dyDescent="0.2">
      <c r="A452" s="16" t="s">
        <v>55</v>
      </c>
      <c r="B452" s="17" t="s">
        <v>72</v>
      </c>
      <c r="C452" s="17" t="s">
        <v>8</v>
      </c>
      <c r="D452" s="17" t="s">
        <v>10</v>
      </c>
      <c r="E452" s="17" t="s">
        <v>20</v>
      </c>
      <c r="F452" s="17" t="str">
        <f>INDEX(nrg_cb_e!$A$3:$A$40,MATCH(LEFT(MID('Industriesektor GWh'!$B452,41,1000),SEARCH(" - ",MID('Industriesektor GWh'!$B452,41,1000))-1),nrg_cb_e!$C$3:$C$40,0))</f>
        <v>FC_IND_CON_E</v>
      </c>
      <c r="G452" s="18">
        <v>1207</v>
      </c>
    </row>
    <row r="453" spans="1:7" x14ac:dyDescent="0.2">
      <c r="A453" s="19" t="s">
        <v>55</v>
      </c>
      <c r="B453" s="20" t="s">
        <v>72</v>
      </c>
      <c r="C453" s="20" t="s">
        <v>8</v>
      </c>
      <c r="D453" s="20" t="s">
        <v>10</v>
      </c>
      <c r="E453" s="20" t="s">
        <v>21</v>
      </c>
      <c r="F453" s="20" t="str">
        <f>INDEX(nrg_cb_e!$A$3:$A$40,MATCH(LEFT(MID('Industriesektor GWh'!$B453,41,1000),SEARCH(" - ",MID('Industriesektor GWh'!$B453,41,1000))-1),nrg_cb_e!$C$3:$C$40,0))</f>
        <v>FC_IND_CON_E</v>
      </c>
      <c r="G453" s="21">
        <v>1107</v>
      </c>
    </row>
    <row r="454" spans="1:7" x14ac:dyDescent="0.2">
      <c r="A454" s="16" t="s">
        <v>55</v>
      </c>
      <c r="B454" s="17" t="s">
        <v>72</v>
      </c>
      <c r="C454" s="17" t="s">
        <v>8</v>
      </c>
      <c r="D454" s="17" t="s">
        <v>10</v>
      </c>
      <c r="E454" s="17" t="s">
        <v>22</v>
      </c>
      <c r="F454" s="17" t="str">
        <f>INDEX(nrg_cb_e!$A$3:$A$40,MATCH(LEFT(MID('Industriesektor GWh'!$B454,41,1000),SEARCH(" - ",MID('Industriesektor GWh'!$B454,41,1000))-1),nrg_cb_e!$C$3:$C$40,0))</f>
        <v>FC_IND_CON_E</v>
      </c>
      <c r="G454" s="18">
        <v>1096</v>
      </c>
    </row>
    <row r="455" spans="1:7" x14ac:dyDescent="0.2">
      <c r="A455" s="19" t="s">
        <v>55</v>
      </c>
      <c r="B455" s="20" t="s">
        <v>72</v>
      </c>
      <c r="C455" s="20" t="s">
        <v>8</v>
      </c>
      <c r="D455" s="20" t="s">
        <v>10</v>
      </c>
      <c r="E455" s="20" t="s">
        <v>23</v>
      </c>
      <c r="F455" s="20" t="str">
        <f>INDEX(nrg_cb_e!$A$3:$A$40,MATCH(LEFT(MID('Industriesektor GWh'!$B455,41,1000),SEARCH(" - ",MID('Industriesektor GWh'!$B455,41,1000))-1),nrg_cb_e!$C$3:$C$40,0))</f>
        <v>FC_IND_CON_E</v>
      </c>
      <c r="G455" s="21">
        <v>1120</v>
      </c>
    </row>
    <row r="456" spans="1:7" x14ac:dyDescent="0.2">
      <c r="A456" s="16" t="s">
        <v>55</v>
      </c>
      <c r="B456" s="17" t="s">
        <v>72</v>
      </c>
      <c r="C456" s="17" t="s">
        <v>8</v>
      </c>
      <c r="D456" s="17" t="s">
        <v>10</v>
      </c>
      <c r="E456" s="17" t="s">
        <v>24</v>
      </c>
      <c r="F456" s="17" t="str">
        <f>INDEX(nrg_cb_e!$A$3:$A$40,MATCH(LEFT(MID('Industriesektor GWh'!$B456,41,1000),SEARCH(" - ",MID('Industriesektor GWh'!$B456,41,1000))-1),nrg_cb_e!$C$3:$C$40,0))</f>
        <v>FC_IND_CON_E</v>
      </c>
      <c r="G456" s="18">
        <v>1079</v>
      </c>
    </row>
    <row r="457" spans="1:7" x14ac:dyDescent="0.2">
      <c r="A457" s="19" t="s">
        <v>55</v>
      </c>
      <c r="B457" s="20" t="s">
        <v>72</v>
      </c>
      <c r="C457" s="20" t="s">
        <v>8</v>
      </c>
      <c r="D457" s="20" t="s">
        <v>10</v>
      </c>
      <c r="E457" s="20" t="s">
        <v>25</v>
      </c>
      <c r="F457" s="20" t="str">
        <f>INDEX(nrg_cb_e!$A$3:$A$40,MATCH(LEFT(MID('Industriesektor GWh'!$B457,41,1000),SEARCH(" - ",MID('Industriesektor GWh'!$B457,41,1000))-1),nrg_cb_e!$C$3:$C$40,0))</f>
        <v>FC_IND_CON_E</v>
      </c>
      <c r="G457" s="21">
        <v>1212</v>
      </c>
    </row>
    <row r="458" spans="1:7" x14ac:dyDescent="0.2">
      <c r="A458" s="16" t="s">
        <v>55</v>
      </c>
      <c r="B458" s="17" t="s">
        <v>72</v>
      </c>
      <c r="C458" s="17" t="s">
        <v>8</v>
      </c>
      <c r="D458" s="17" t="s">
        <v>10</v>
      </c>
      <c r="E458" s="17" t="s">
        <v>26</v>
      </c>
      <c r="F458" s="17" t="str">
        <f>INDEX(nrg_cb_e!$A$3:$A$40,MATCH(LEFT(MID('Industriesektor GWh'!$B458,41,1000),SEARCH(" - ",MID('Industriesektor GWh'!$B458,41,1000))-1),nrg_cb_e!$C$3:$C$40,0))</f>
        <v>FC_IND_CON_E</v>
      </c>
      <c r="G458" s="18">
        <v>1337</v>
      </c>
    </row>
    <row r="459" spans="1:7" x14ac:dyDescent="0.2">
      <c r="A459" s="19" t="s">
        <v>55</v>
      </c>
      <c r="B459" s="20" t="s">
        <v>72</v>
      </c>
      <c r="C459" s="20" t="s">
        <v>8</v>
      </c>
      <c r="D459" s="20" t="s">
        <v>10</v>
      </c>
      <c r="E459" s="20" t="s">
        <v>27</v>
      </c>
      <c r="F459" s="20" t="str">
        <f>INDEX(nrg_cb_e!$A$3:$A$40,MATCH(LEFT(MID('Industriesektor GWh'!$B459,41,1000),SEARCH(" - ",MID('Industriesektor GWh'!$B459,41,1000))-1),nrg_cb_e!$C$3:$C$40,0))</f>
        <v>FC_IND_CON_E</v>
      </c>
      <c r="G459" s="21">
        <v>1378</v>
      </c>
    </row>
    <row r="460" spans="1:7" x14ac:dyDescent="0.2">
      <c r="A460" s="16" t="s">
        <v>55</v>
      </c>
      <c r="B460" s="17" t="s">
        <v>72</v>
      </c>
      <c r="C460" s="17" t="s">
        <v>8</v>
      </c>
      <c r="D460" s="17" t="s">
        <v>10</v>
      </c>
      <c r="E460" s="17" t="s">
        <v>28</v>
      </c>
      <c r="F460" s="17" t="str">
        <f>INDEX(nrg_cb_e!$A$3:$A$40,MATCH(LEFT(MID('Industriesektor GWh'!$B460,41,1000),SEARCH(" - ",MID('Industriesektor GWh'!$B460,41,1000))-1),nrg_cb_e!$C$3:$C$40,0))</f>
        <v>FC_IND_CON_E</v>
      </c>
      <c r="G460" s="18">
        <v>1483</v>
      </c>
    </row>
    <row r="461" spans="1:7" x14ac:dyDescent="0.2">
      <c r="A461" s="19" t="s">
        <v>56</v>
      </c>
      <c r="B461" s="20" t="s">
        <v>72</v>
      </c>
      <c r="C461" s="20" t="s">
        <v>8</v>
      </c>
      <c r="D461" s="20" t="s">
        <v>10</v>
      </c>
      <c r="E461" s="20" t="s">
        <v>12</v>
      </c>
      <c r="F461" s="20" t="str">
        <f>INDEX(nrg_cb_e!$A$3:$A$40,MATCH(LEFT(MID('Industriesektor GWh'!$B461,41,1000),SEARCH(" - ",MID('Industriesektor GWh'!$B461,41,1000))-1),nrg_cb_e!$C$3:$C$40,0))</f>
        <v>FC_IND_CON_E</v>
      </c>
      <c r="G461" s="21">
        <v>1700</v>
      </c>
    </row>
    <row r="462" spans="1:7" x14ac:dyDescent="0.2">
      <c r="A462" s="16" t="s">
        <v>56</v>
      </c>
      <c r="B462" s="17" t="s">
        <v>72</v>
      </c>
      <c r="C462" s="17" t="s">
        <v>8</v>
      </c>
      <c r="D462" s="17" t="s">
        <v>10</v>
      </c>
      <c r="E462" s="17" t="s">
        <v>13</v>
      </c>
      <c r="F462" s="17" t="str">
        <f>INDEX(nrg_cb_e!$A$3:$A$40,MATCH(LEFT(MID('Industriesektor GWh'!$B462,41,1000),SEARCH(" - ",MID('Industriesektor GWh'!$B462,41,1000))-1),nrg_cb_e!$C$3:$C$40,0))</f>
        <v>FC_IND_CON_E</v>
      </c>
      <c r="G462" s="18">
        <v>1701</v>
      </c>
    </row>
    <row r="463" spans="1:7" x14ac:dyDescent="0.2">
      <c r="A463" s="19" t="s">
        <v>56</v>
      </c>
      <c r="B463" s="20" t="s">
        <v>72</v>
      </c>
      <c r="C463" s="20" t="s">
        <v>8</v>
      </c>
      <c r="D463" s="20" t="s">
        <v>10</v>
      </c>
      <c r="E463" s="20" t="s">
        <v>14</v>
      </c>
      <c r="F463" s="20" t="str">
        <f>INDEX(nrg_cb_e!$A$3:$A$40,MATCH(LEFT(MID('Industriesektor GWh'!$B463,41,1000),SEARCH(" - ",MID('Industriesektor GWh'!$B463,41,1000))-1),nrg_cb_e!$C$3:$C$40,0))</f>
        <v>FC_IND_CON_E</v>
      </c>
      <c r="G463" s="21">
        <v>1804</v>
      </c>
    </row>
    <row r="464" spans="1:7" x14ac:dyDescent="0.2">
      <c r="A464" s="16" t="s">
        <v>56</v>
      </c>
      <c r="B464" s="17" t="s">
        <v>72</v>
      </c>
      <c r="C464" s="17" t="s">
        <v>8</v>
      </c>
      <c r="D464" s="17" t="s">
        <v>10</v>
      </c>
      <c r="E464" s="17" t="s">
        <v>15</v>
      </c>
      <c r="F464" s="17" t="str">
        <f>INDEX(nrg_cb_e!$A$3:$A$40,MATCH(LEFT(MID('Industriesektor GWh'!$B464,41,1000),SEARCH(" - ",MID('Industriesektor GWh'!$B464,41,1000))-1),nrg_cb_e!$C$3:$C$40,0))</f>
        <v>FC_IND_CON_E</v>
      </c>
      <c r="G464" s="18">
        <v>1929</v>
      </c>
    </row>
    <row r="465" spans="1:7" x14ac:dyDescent="0.2">
      <c r="A465" s="19" t="s">
        <v>56</v>
      </c>
      <c r="B465" s="20" t="s">
        <v>72</v>
      </c>
      <c r="C465" s="20" t="s">
        <v>8</v>
      </c>
      <c r="D465" s="20" t="s">
        <v>10</v>
      </c>
      <c r="E465" s="20" t="s">
        <v>16</v>
      </c>
      <c r="F465" s="20" t="str">
        <f>INDEX(nrg_cb_e!$A$3:$A$40,MATCH(LEFT(MID('Industriesektor GWh'!$B465,41,1000),SEARCH(" - ",MID('Industriesektor GWh'!$B465,41,1000))-1),nrg_cb_e!$C$3:$C$40,0))</f>
        <v>FC_IND_CON_E</v>
      </c>
      <c r="G465" s="21">
        <v>1840</v>
      </c>
    </row>
    <row r="466" spans="1:7" x14ac:dyDescent="0.2">
      <c r="A466" s="16" t="s">
        <v>56</v>
      </c>
      <c r="B466" s="17" t="s">
        <v>72</v>
      </c>
      <c r="C466" s="17" t="s">
        <v>8</v>
      </c>
      <c r="D466" s="17" t="s">
        <v>10</v>
      </c>
      <c r="E466" s="17" t="s">
        <v>17</v>
      </c>
      <c r="F466" s="17" t="str">
        <f>INDEX(nrg_cb_e!$A$3:$A$40,MATCH(LEFT(MID('Industriesektor GWh'!$B466,41,1000),SEARCH(" - ",MID('Industriesektor GWh'!$B466,41,1000))-1),nrg_cb_e!$C$3:$C$40,0))</f>
        <v>FC_IND_CON_E</v>
      </c>
      <c r="G466" s="18">
        <v>1798</v>
      </c>
    </row>
    <row r="467" spans="1:7" x14ac:dyDescent="0.2">
      <c r="A467" s="19" t="s">
        <v>56</v>
      </c>
      <c r="B467" s="20" t="s">
        <v>72</v>
      </c>
      <c r="C467" s="20" t="s">
        <v>8</v>
      </c>
      <c r="D467" s="20" t="s">
        <v>10</v>
      </c>
      <c r="E467" s="20" t="s">
        <v>18</v>
      </c>
      <c r="F467" s="20" t="str">
        <f>INDEX(nrg_cb_e!$A$3:$A$40,MATCH(LEFT(MID('Industriesektor GWh'!$B467,41,1000),SEARCH(" - ",MID('Industriesektor GWh'!$B467,41,1000))-1),nrg_cb_e!$C$3:$C$40,0))</f>
        <v>FC_IND_CON_E</v>
      </c>
      <c r="G467" s="21">
        <v>1817</v>
      </c>
    </row>
    <row r="468" spans="1:7" x14ac:dyDescent="0.2">
      <c r="A468" s="16" t="s">
        <v>56</v>
      </c>
      <c r="B468" s="17" t="s">
        <v>72</v>
      </c>
      <c r="C468" s="17" t="s">
        <v>8</v>
      </c>
      <c r="D468" s="17" t="s">
        <v>10</v>
      </c>
      <c r="E468" s="17" t="s">
        <v>19</v>
      </c>
      <c r="F468" s="17" t="str">
        <f>INDEX(nrg_cb_e!$A$3:$A$40,MATCH(LEFT(MID('Industriesektor GWh'!$B468,41,1000),SEARCH(" - ",MID('Industriesektor GWh'!$B468,41,1000))-1),nrg_cb_e!$C$3:$C$40,0))</f>
        <v>FC_IND_CON_E</v>
      </c>
      <c r="G468" s="18">
        <v>1586</v>
      </c>
    </row>
    <row r="469" spans="1:7" x14ac:dyDescent="0.2">
      <c r="A469" s="19" t="s">
        <v>56</v>
      </c>
      <c r="B469" s="20" t="s">
        <v>72</v>
      </c>
      <c r="C469" s="20" t="s">
        <v>8</v>
      </c>
      <c r="D469" s="20" t="s">
        <v>10</v>
      </c>
      <c r="E469" s="20" t="s">
        <v>20</v>
      </c>
      <c r="F469" s="20" t="str">
        <f>INDEX(nrg_cb_e!$A$3:$A$40,MATCH(LEFT(MID('Industriesektor GWh'!$B469,41,1000),SEARCH(" - ",MID('Industriesektor GWh'!$B469,41,1000))-1),nrg_cb_e!$C$3:$C$40,0))</f>
        <v>FC_IND_CON_E</v>
      </c>
      <c r="G469" s="21">
        <v>1621</v>
      </c>
    </row>
    <row r="470" spans="1:7" x14ac:dyDescent="0.2">
      <c r="A470" s="16" t="s">
        <v>56</v>
      </c>
      <c r="B470" s="17" t="s">
        <v>72</v>
      </c>
      <c r="C470" s="17" t="s">
        <v>8</v>
      </c>
      <c r="D470" s="17" t="s">
        <v>10</v>
      </c>
      <c r="E470" s="17" t="s">
        <v>21</v>
      </c>
      <c r="F470" s="17" t="str">
        <f>INDEX(nrg_cb_e!$A$3:$A$40,MATCH(LEFT(MID('Industriesektor GWh'!$B470,41,1000),SEARCH(" - ",MID('Industriesektor GWh'!$B470,41,1000))-1),nrg_cb_e!$C$3:$C$40,0))</f>
        <v>FC_IND_CON_E</v>
      </c>
      <c r="G470" s="18">
        <v>1539</v>
      </c>
    </row>
    <row r="471" spans="1:7" x14ac:dyDescent="0.2">
      <c r="A471" s="19" t="s">
        <v>56</v>
      </c>
      <c r="B471" s="20" t="s">
        <v>72</v>
      </c>
      <c r="C471" s="20" t="s">
        <v>8</v>
      </c>
      <c r="D471" s="20" t="s">
        <v>10</v>
      </c>
      <c r="E471" s="20" t="s">
        <v>22</v>
      </c>
      <c r="F471" s="20" t="str">
        <f>INDEX(nrg_cb_e!$A$3:$A$40,MATCH(LEFT(MID('Industriesektor GWh'!$B471,41,1000),SEARCH(" - ",MID('Industriesektor GWh'!$B471,41,1000))-1),nrg_cb_e!$C$3:$C$40,0))</f>
        <v>FC_IND_CON_E</v>
      </c>
      <c r="G471" s="21">
        <v>1494</v>
      </c>
    </row>
    <row r="472" spans="1:7" x14ac:dyDescent="0.2">
      <c r="A472" s="16" t="s">
        <v>56</v>
      </c>
      <c r="B472" s="17" t="s">
        <v>72</v>
      </c>
      <c r="C472" s="17" t="s">
        <v>8</v>
      </c>
      <c r="D472" s="17" t="s">
        <v>10</v>
      </c>
      <c r="E472" s="17" t="s">
        <v>23</v>
      </c>
      <c r="F472" s="17" t="str">
        <f>INDEX(nrg_cb_e!$A$3:$A$40,MATCH(LEFT(MID('Industriesektor GWh'!$B472,41,1000),SEARCH(" - ",MID('Industriesektor GWh'!$B472,41,1000))-1),nrg_cb_e!$C$3:$C$40,0))</f>
        <v>FC_IND_CON_E</v>
      </c>
      <c r="G472" s="18">
        <v>1464</v>
      </c>
    </row>
    <row r="473" spans="1:7" x14ac:dyDescent="0.2">
      <c r="A473" s="19" t="s">
        <v>56</v>
      </c>
      <c r="B473" s="20" t="s">
        <v>72</v>
      </c>
      <c r="C473" s="20" t="s">
        <v>8</v>
      </c>
      <c r="D473" s="20" t="s">
        <v>10</v>
      </c>
      <c r="E473" s="20" t="s">
        <v>24</v>
      </c>
      <c r="F473" s="20" t="str">
        <f>INDEX(nrg_cb_e!$A$3:$A$40,MATCH(LEFT(MID('Industriesektor GWh'!$B473,41,1000),SEARCH(" - ",MID('Industriesektor GWh'!$B473,41,1000))-1),nrg_cb_e!$C$3:$C$40,0))</f>
        <v>FC_IND_CON_E</v>
      </c>
      <c r="G473" s="21">
        <v>1393</v>
      </c>
    </row>
    <row r="474" spans="1:7" x14ac:dyDescent="0.2">
      <c r="A474" s="16" t="s">
        <v>56</v>
      </c>
      <c r="B474" s="17" t="s">
        <v>72</v>
      </c>
      <c r="C474" s="17" t="s">
        <v>8</v>
      </c>
      <c r="D474" s="17" t="s">
        <v>10</v>
      </c>
      <c r="E474" s="17" t="s">
        <v>25</v>
      </c>
      <c r="F474" s="17" t="str">
        <f>INDEX(nrg_cb_e!$A$3:$A$40,MATCH(LEFT(MID('Industriesektor GWh'!$B474,41,1000),SEARCH(" - ",MID('Industriesektor GWh'!$B474,41,1000))-1),nrg_cb_e!$C$3:$C$40,0))</f>
        <v>FC_IND_CON_E</v>
      </c>
      <c r="G474" s="18">
        <v>1363.7349999999999</v>
      </c>
    </row>
    <row r="475" spans="1:7" x14ac:dyDescent="0.2">
      <c r="A475" s="19" t="s">
        <v>56</v>
      </c>
      <c r="B475" s="20" t="s">
        <v>72</v>
      </c>
      <c r="C475" s="20" t="s">
        <v>8</v>
      </c>
      <c r="D475" s="20" t="s">
        <v>10</v>
      </c>
      <c r="E475" s="20" t="s">
        <v>26</v>
      </c>
      <c r="F475" s="20" t="str">
        <f>INDEX(nrg_cb_e!$A$3:$A$40,MATCH(LEFT(MID('Industriesektor GWh'!$B475,41,1000),SEARCH(" - ",MID('Industriesektor GWh'!$B475,41,1000))-1),nrg_cb_e!$C$3:$C$40,0))</f>
        <v>FC_IND_CON_E</v>
      </c>
      <c r="G475" s="21">
        <v>1308.7829999999999</v>
      </c>
    </row>
    <row r="476" spans="1:7" x14ac:dyDescent="0.2">
      <c r="A476" s="16" t="s">
        <v>56</v>
      </c>
      <c r="B476" s="17" t="s">
        <v>72</v>
      </c>
      <c r="C476" s="17" t="s">
        <v>8</v>
      </c>
      <c r="D476" s="17" t="s">
        <v>10</v>
      </c>
      <c r="E476" s="17" t="s">
        <v>27</v>
      </c>
      <c r="F476" s="17" t="str">
        <f>INDEX(nrg_cb_e!$A$3:$A$40,MATCH(LEFT(MID('Industriesektor GWh'!$B476,41,1000),SEARCH(" - ",MID('Industriesektor GWh'!$B476,41,1000))-1),nrg_cb_e!$C$3:$C$40,0))</f>
        <v>FC_IND_CON_E</v>
      </c>
      <c r="G476" s="18">
        <v>1416.8140000000001</v>
      </c>
    </row>
    <row r="477" spans="1:7" x14ac:dyDescent="0.2">
      <c r="A477" s="19" t="s">
        <v>56</v>
      </c>
      <c r="B477" s="20" t="s">
        <v>72</v>
      </c>
      <c r="C477" s="20" t="s">
        <v>8</v>
      </c>
      <c r="D477" s="20" t="s">
        <v>10</v>
      </c>
      <c r="E477" s="20" t="s">
        <v>28</v>
      </c>
      <c r="F477" s="20" t="str">
        <f>INDEX(nrg_cb_e!$A$3:$A$40,MATCH(LEFT(MID('Industriesektor GWh'!$B477,41,1000),SEARCH(" - ",MID('Industriesektor GWh'!$B477,41,1000))-1),nrg_cb_e!$C$3:$C$40,0))</f>
        <v>FC_IND_CON_E</v>
      </c>
      <c r="G477" s="21">
        <v>1395.6420000000001</v>
      </c>
    </row>
    <row r="478" spans="1:7" x14ac:dyDescent="0.2">
      <c r="A478" s="16" t="s">
        <v>57</v>
      </c>
      <c r="B478" s="17" t="s">
        <v>72</v>
      </c>
      <c r="C478" s="17" t="s">
        <v>8</v>
      </c>
      <c r="D478" s="17" t="s">
        <v>10</v>
      </c>
      <c r="E478" s="17" t="s">
        <v>12</v>
      </c>
      <c r="F478" s="17" t="str">
        <f>INDEX(nrg_cb_e!$A$3:$A$40,MATCH(LEFT(MID('Industriesektor GWh'!$B478,41,1000),SEARCH(" - ",MID('Industriesektor GWh'!$B478,41,1000))-1),nrg_cb_e!$C$3:$C$40,0))</f>
        <v>FC_IND_CON_E</v>
      </c>
      <c r="G478" s="18">
        <v>28</v>
      </c>
    </row>
    <row r="479" spans="1:7" x14ac:dyDescent="0.2">
      <c r="A479" s="19" t="s">
        <v>57</v>
      </c>
      <c r="B479" s="20" t="s">
        <v>72</v>
      </c>
      <c r="C479" s="20" t="s">
        <v>8</v>
      </c>
      <c r="D479" s="20" t="s">
        <v>10</v>
      </c>
      <c r="E479" s="20" t="s">
        <v>13</v>
      </c>
      <c r="F479" s="20" t="str">
        <f>INDEX(nrg_cb_e!$A$3:$A$40,MATCH(LEFT(MID('Industriesektor GWh'!$B479,41,1000),SEARCH(" - ",MID('Industriesektor GWh'!$B479,41,1000))-1),nrg_cb_e!$C$3:$C$40,0))</f>
        <v>FC_IND_CON_E</v>
      </c>
      <c r="G479" s="21">
        <v>17</v>
      </c>
    </row>
    <row r="480" spans="1:7" x14ac:dyDescent="0.2">
      <c r="A480" s="16" t="s">
        <v>57</v>
      </c>
      <c r="B480" s="17" t="s">
        <v>72</v>
      </c>
      <c r="C480" s="17" t="s">
        <v>8</v>
      </c>
      <c r="D480" s="17" t="s">
        <v>10</v>
      </c>
      <c r="E480" s="17" t="s">
        <v>14</v>
      </c>
      <c r="F480" s="17" t="str">
        <f>INDEX(nrg_cb_e!$A$3:$A$40,MATCH(LEFT(MID('Industriesektor GWh'!$B480,41,1000),SEARCH(" - ",MID('Industriesektor GWh'!$B480,41,1000))-1),nrg_cb_e!$C$3:$C$40,0))</f>
        <v>FC_IND_CON_E</v>
      </c>
      <c r="G480" s="18">
        <v>66</v>
      </c>
    </row>
    <row r="481" spans="1:7" x14ac:dyDescent="0.2">
      <c r="A481" s="19" t="s">
        <v>57</v>
      </c>
      <c r="B481" s="20" t="s">
        <v>72</v>
      </c>
      <c r="C481" s="20" t="s">
        <v>8</v>
      </c>
      <c r="D481" s="20" t="s">
        <v>10</v>
      </c>
      <c r="E481" s="20" t="s">
        <v>15</v>
      </c>
      <c r="F481" s="20" t="str">
        <f>INDEX(nrg_cb_e!$A$3:$A$40,MATCH(LEFT(MID('Industriesektor GWh'!$B481,41,1000),SEARCH(" - ",MID('Industriesektor GWh'!$B481,41,1000))-1),nrg_cb_e!$C$3:$C$40,0))</f>
        <v>FC_IND_CON_E</v>
      </c>
      <c r="G481" s="21">
        <v>112</v>
      </c>
    </row>
    <row r="482" spans="1:7" x14ac:dyDescent="0.2">
      <c r="A482" s="16" t="s">
        <v>57</v>
      </c>
      <c r="B482" s="17" t="s">
        <v>72</v>
      </c>
      <c r="C482" s="17" t="s">
        <v>8</v>
      </c>
      <c r="D482" s="17" t="s">
        <v>10</v>
      </c>
      <c r="E482" s="17" t="s">
        <v>16</v>
      </c>
      <c r="F482" s="17" t="str">
        <f>INDEX(nrg_cb_e!$A$3:$A$40,MATCH(LEFT(MID('Industriesektor GWh'!$B482,41,1000),SEARCH(" - ",MID('Industriesektor GWh'!$B482,41,1000))-1),nrg_cb_e!$C$3:$C$40,0))</f>
        <v>FC_IND_CON_E</v>
      </c>
      <c r="G482" s="18">
        <v>157</v>
      </c>
    </row>
    <row r="483" spans="1:7" x14ac:dyDescent="0.2">
      <c r="A483" s="19" t="s">
        <v>57</v>
      </c>
      <c r="B483" s="20" t="s">
        <v>72</v>
      </c>
      <c r="C483" s="20" t="s">
        <v>8</v>
      </c>
      <c r="D483" s="20" t="s">
        <v>10</v>
      </c>
      <c r="E483" s="20" t="s">
        <v>17</v>
      </c>
      <c r="F483" s="20" t="str">
        <f>INDEX(nrg_cb_e!$A$3:$A$40,MATCH(LEFT(MID('Industriesektor GWh'!$B483,41,1000),SEARCH(" - ",MID('Industriesektor GWh'!$B483,41,1000))-1),nrg_cb_e!$C$3:$C$40,0))</f>
        <v>FC_IND_CON_E</v>
      </c>
      <c r="G483" s="21">
        <v>133</v>
      </c>
    </row>
    <row r="484" spans="1:7" x14ac:dyDescent="0.2">
      <c r="A484" s="16" t="s">
        <v>57</v>
      </c>
      <c r="B484" s="17" t="s">
        <v>72</v>
      </c>
      <c r="C484" s="17" t="s">
        <v>8</v>
      </c>
      <c r="D484" s="17" t="s">
        <v>10</v>
      </c>
      <c r="E484" s="17" t="s">
        <v>18</v>
      </c>
      <c r="F484" s="17" t="str">
        <f>INDEX(nrg_cb_e!$A$3:$A$40,MATCH(LEFT(MID('Industriesektor GWh'!$B484,41,1000),SEARCH(" - ",MID('Industriesektor GWh'!$B484,41,1000))-1),nrg_cb_e!$C$3:$C$40,0))</f>
        <v>FC_IND_CON_E</v>
      </c>
      <c r="G484" s="18">
        <v>73</v>
      </c>
    </row>
    <row r="485" spans="1:7" x14ac:dyDescent="0.2">
      <c r="A485" s="19" t="s">
        <v>57</v>
      </c>
      <c r="B485" s="20" t="s">
        <v>72</v>
      </c>
      <c r="C485" s="20" t="s">
        <v>8</v>
      </c>
      <c r="D485" s="20" t="s">
        <v>10</v>
      </c>
      <c r="E485" s="20" t="s">
        <v>19</v>
      </c>
      <c r="F485" s="20" t="str">
        <f>INDEX(nrg_cb_e!$A$3:$A$40,MATCH(LEFT(MID('Industriesektor GWh'!$B485,41,1000),SEARCH(" - ",MID('Industriesektor GWh'!$B485,41,1000))-1),nrg_cb_e!$C$3:$C$40,0))</f>
        <v>FC_IND_CON_E</v>
      </c>
      <c r="G485" s="21">
        <v>40</v>
      </c>
    </row>
    <row r="486" spans="1:7" x14ac:dyDescent="0.2">
      <c r="A486" s="16" t="s">
        <v>57</v>
      </c>
      <c r="B486" s="17" t="s">
        <v>72</v>
      </c>
      <c r="C486" s="17" t="s">
        <v>8</v>
      </c>
      <c r="D486" s="17" t="s">
        <v>10</v>
      </c>
      <c r="E486" s="17" t="s">
        <v>20</v>
      </c>
      <c r="F486" s="17" t="str">
        <f>INDEX(nrg_cb_e!$A$3:$A$40,MATCH(LEFT(MID('Industriesektor GWh'!$B486,41,1000),SEARCH(" - ",MID('Industriesektor GWh'!$B486,41,1000))-1),nrg_cb_e!$C$3:$C$40,0))</f>
        <v>FC_IND_CON_E</v>
      </c>
      <c r="G486" s="18">
        <v>20</v>
      </c>
    </row>
    <row r="487" spans="1:7" x14ac:dyDescent="0.2">
      <c r="A487" s="19" t="s">
        <v>57</v>
      </c>
      <c r="B487" s="20" t="s">
        <v>72</v>
      </c>
      <c r="C487" s="20" t="s">
        <v>8</v>
      </c>
      <c r="D487" s="20" t="s">
        <v>10</v>
      </c>
      <c r="E487" s="20" t="s">
        <v>21</v>
      </c>
      <c r="F487" s="20" t="str">
        <f>INDEX(nrg_cb_e!$A$3:$A$40,MATCH(LEFT(MID('Industriesektor GWh'!$B487,41,1000),SEARCH(" - ",MID('Industriesektor GWh'!$B487,41,1000))-1),nrg_cb_e!$C$3:$C$40,0))</f>
        <v>FC_IND_CON_E</v>
      </c>
      <c r="G487" s="21">
        <v>22</v>
      </c>
    </row>
    <row r="488" spans="1:7" x14ac:dyDescent="0.2">
      <c r="A488" s="16" t="s">
        <v>57</v>
      </c>
      <c r="B488" s="17" t="s">
        <v>72</v>
      </c>
      <c r="C488" s="17" t="s">
        <v>8</v>
      </c>
      <c r="D488" s="17" t="s">
        <v>10</v>
      </c>
      <c r="E488" s="17" t="s">
        <v>22</v>
      </c>
      <c r="F488" s="17" t="str">
        <f>INDEX(nrg_cb_e!$A$3:$A$40,MATCH(LEFT(MID('Industriesektor GWh'!$B488,41,1000),SEARCH(" - ",MID('Industriesektor GWh'!$B488,41,1000))-1),nrg_cb_e!$C$3:$C$40,0))</f>
        <v>FC_IND_CON_E</v>
      </c>
      <c r="G488" s="18">
        <v>29</v>
      </c>
    </row>
    <row r="489" spans="1:7" x14ac:dyDescent="0.2">
      <c r="A489" s="19" t="s">
        <v>57</v>
      </c>
      <c r="B489" s="20" t="s">
        <v>72</v>
      </c>
      <c r="C489" s="20" t="s">
        <v>8</v>
      </c>
      <c r="D489" s="20" t="s">
        <v>10</v>
      </c>
      <c r="E489" s="20" t="s">
        <v>23</v>
      </c>
      <c r="F489" s="20" t="str">
        <f>INDEX(nrg_cb_e!$A$3:$A$40,MATCH(LEFT(MID('Industriesektor GWh'!$B489,41,1000),SEARCH(" - ",MID('Industriesektor GWh'!$B489,41,1000))-1),nrg_cb_e!$C$3:$C$40,0))</f>
        <v>FC_IND_CON_E</v>
      </c>
      <c r="G489" s="21">
        <v>28</v>
      </c>
    </row>
    <row r="490" spans="1:7" x14ac:dyDescent="0.2">
      <c r="A490" s="16" t="s">
        <v>57</v>
      </c>
      <c r="B490" s="17" t="s">
        <v>72</v>
      </c>
      <c r="C490" s="17" t="s">
        <v>8</v>
      </c>
      <c r="D490" s="17" t="s">
        <v>10</v>
      </c>
      <c r="E490" s="17" t="s">
        <v>24</v>
      </c>
      <c r="F490" s="17" t="str">
        <f>INDEX(nrg_cb_e!$A$3:$A$40,MATCH(LEFT(MID('Industriesektor GWh'!$B490,41,1000),SEARCH(" - ",MID('Industriesektor GWh'!$B490,41,1000))-1),nrg_cb_e!$C$3:$C$40,0))</f>
        <v>FC_IND_CON_E</v>
      </c>
      <c r="G490" s="18">
        <v>27</v>
      </c>
    </row>
    <row r="491" spans="1:7" x14ac:dyDescent="0.2">
      <c r="A491" s="19" t="s">
        <v>57</v>
      </c>
      <c r="B491" s="20" t="s">
        <v>72</v>
      </c>
      <c r="C491" s="20" t="s">
        <v>8</v>
      </c>
      <c r="D491" s="20" t="s">
        <v>10</v>
      </c>
      <c r="E491" s="20" t="s">
        <v>25</v>
      </c>
      <c r="F491" s="20" t="str">
        <f>INDEX(nrg_cb_e!$A$3:$A$40,MATCH(LEFT(MID('Industriesektor GWh'!$B491,41,1000),SEARCH(" - ",MID('Industriesektor GWh'!$B491,41,1000))-1),nrg_cb_e!$C$3:$C$40,0))</f>
        <v>FC_IND_CON_E</v>
      </c>
      <c r="G491" s="21">
        <v>33</v>
      </c>
    </row>
    <row r="492" spans="1:7" x14ac:dyDescent="0.2">
      <c r="A492" s="16" t="s">
        <v>57</v>
      </c>
      <c r="B492" s="17" t="s">
        <v>72</v>
      </c>
      <c r="C492" s="17" t="s">
        <v>8</v>
      </c>
      <c r="D492" s="17" t="s">
        <v>10</v>
      </c>
      <c r="E492" s="17" t="s">
        <v>26</v>
      </c>
      <c r="F492" s="17" t="str">
        <f>INDEX(nrg_cb_e!$A$3:$A$40,MATCH(LEFT(MID('Industriesektor GWh'!$B492,41,1000),SEARCH(" - ",MID('Industriesektor GWh'!$B492,41,1000))-1),nrg_cb_e!$C$3:$C$40,0))</f>
        <v>FC_IND_CON_E</v>
      </c>
      <c r="G492" s="18">
        <v>38</v>
      </c>
    </row>
    <row r="493" spans="1:7" x14ac:dyDescent="0.2">
      <c r="A493" s="19" t="s">
        <v>57</v>
      </c>
      <c r="B493" s="20" t="s">
        <v>72</v>
      </c>
      <c r="C493" s="20" t="s">
        <v>8</v>
      </c>
      <c r="D493" s="20" t="s">
        <v>10</v>
      </c>
      <c r="E493" s="20" t="s">
        <v>27</v>
      </c>
      <c r="F493" s="20" t="str">
        <f>INDEX(nrg_cb_e!$A$3:$A$40,MATCH(LEFT(MID('Industriesektor GWh'!$B493,41,1000),SEARCH(" - ",MID('Industriesektor GWh'!$B493,41,1000))-1),nrg_cb_e!$C$3:$C$40,0))</f>
        <v>FC_IND_CON_E</v>
      </c>
      <c r="G493" s="21">
        <v>38.277000000000001</v>
      </c>
    </row>
    <row r="494" spans="1:7" x14ac:dyDescent="0.2">
      <c r="A494" s="16" t="s">
        <v>57</v>
      </c>
      <c r="B494" s="17" t="s">
        <v>72</v>
      </c>
      <c r="C494" s="17" t="s">
        <v>8</v>
      </c>
      <c r="D494" s="17" t="s">
        <v>10</v>
      </c>
      <c r="E494" s="17" t="s">
        <v>28</v>
      </c>
      <c r="F494" s="17" t="str">
        <f>INDEX(nrg_cb_e!$A$3:$A$40,MATCH(LEFT(MID('Industriesektor GWh'!$B494,41,1000),SEARCH(" - ",MID('Industriesektor GWh'!$B494,41,1000))-1),nrg_cb_e!$C$3:$C$40,0))</f>
        <v>FC_IND_CON_E</v>
      </c>
      <c r="G494" s="18">
        <v>37.97</v>
      </c>
    </row>
    <row r="495" spans="1:7" x14ac:dyDescent="0.2">
      <c r="A495" s="19" t="s">
        <v>58</v>
      </c>
      <c r="B495" s="20" t="s">
        <v>72</v>
      </c>
      <c r="C495" s="20" t="s">
        <v>8</v>
      </c>
      <c r="D495" s="20" t="s">
        <v>10</v>
      </c>
      <c r="E495" s="20" t="s">
        <v>12</v>
      </c>
      <c r="F495" s="20" t="str">
        <f>INDEX(nrg_cb_e!$A$3:$A$40,MATCH(LEFT(MID('Industriesektor GWh'!$B495,41,1000),SEARCH(" - ",MID('Industriesektor GWh'!$B495,41,1000))-1),nrg_cb_e!$C$3:$C$40,0))</f>
        <v>FC_IND_CON_E</v>
      </c>
      <c r="G495" s="21">
        <v>775</v>
      </c>
    </row>
    <row r="496" spans="1:7" x14ac:dyDescent="0.2">
      <c r="A496" s="16" t="s">
        <v>58</v>
      </c>
      <c r="B496" s="17" t="s">
        <v>72</v>
      </c>
      <c r="C496" s="17" t="s">
        <v>8</v>
      </c>
      <c r="D496" s="17" t="s">
        <v>10</v>
      </c>
      <c r="E496" s="17" t="s">
        <v>13</v>
      </c>
      <c r="F496" s="17" t="str">
        <f>INDEX(nrg_cb_e!$A$3:$A$40,MATCH(LEFT(MID('Industriesektor GWh'!$B496,41,1000),SEARCH(" - ",MID('Industriesektor GWh'!$B496,41,1000))-1),nrg_cb_e!$C$3:$C$40,0))</f>
        <v>FC_IND_CON_E</v>
      </c>
      <c r="G496" s="18">
        <v>657</v>
      </c>
    </row>
    <row r="497" spans="1:7" x14ac:dyDescent="0.2">
      <c r="A497" s="19" t="s">
        <v>58</v>
      </c>
      <c r="B497" s="20" t="s">
        <v>72</v>
      </c>
      <c r="C497" s="20" t="s">
        <v>8</v>
      </c>
      <c r="D497" s="20" t="s">
        <v>10</v>
      </c>
      <c r="E497" s="20" t="s">
        <v>14</v>
      </c>
      <c r="F497" s="20" t="str">
        <f>INDEX(nrg_cb_e!$A$3:$A$40,MATCH(LEFT(MID('Industriesektor GWh'!$B497,41,1000),SEARCH(" - ",MID('Industriesektor GWh'!$B497,41,1000))-1),nrg_cb_e!$C$3:$C$40,0))</f>
        <v>FC_IND_CON_E</v>
      </c>
      <c r="G497" s="21">
        <v>549</v>
      </c>
    </row>
    <row r="498" spans="1:7" x14ac:dyDescent="0.2">
      <c r="A498" s="16" t="s">
        <v>58</v>
      </c>
      <c r="B498" s="17" t="s">
        <v>72</v>
      </c>
      <c r="C498" s="17" t="s">
        <v>8</v>
      </c>
      <c r="D498" s="17" t="s">
        <v>10</v>
      </c>
      <c r="E498" s="17" t="s">
        <v>15</v>
      </c>
      <c r="F498" s="17" t="str">
        <f>INDEX(nrg_cb_e!$A$3:$A$40,MATCH(LEFT(MID('Industriesektor GWh'!$B498,41,1000),SEARCH(" - ",MID('Industriesektor GWh'!$B498,41,1000))-1),nrg_cb_e!$C$3:$C$40,0))</f>
        <v>FC_IND_CON_E</v>
      </c>
      <c r="G498" s="18">
        <v>707</v>
      </c>
    </row>
    <row r="499" spans="1:7" x14ac:dyDescent="0.2">
      <c r="A499" s="19" t="s">
        <v>58</v>
      </c>
      <c r="B499" s="20" t="s">
        <v>72</v>
      </c>
      <c r="C499" s="20" t="s">
        <v>8</v>
      </c>
      <c r="D499" s="20" t="s">
        <v>10</v>
      </c>
      <c r="E499" s="20" t="s">
        <v>16</v>
      </c>
      <c r="F499" s="20" t="str">
        <f>INDEX(nrg_cb_e!$A$3:$A$40,MATCH(LEFT(MID('Industriesektor GWh'!$B499,41,1000),SEARCH(" - ",MID('Industriesektor GWh'!$B499,41,1000))-1),nrg_cb_e!$C$3:$C$40,0))</f>
        <v>FC_IND_CON_E</v>
      </c>
      <c r="G499" s="21">
        <v>714</v>
      </c>
    </row>
    <row r="500" spans="1:7" x14ac:dyDescent="0.2">
      <c r="A500" s="16" t="s">
        <v>58</v>
      </c>
      <c r="B500" s="17" t="s">
        <v>72</v>
      </c>
      <c r="C500" s="17" t="s">
        <v>8</v>
      </c>
      <c r="D500" s="17" t="s">
        <v>10</v>
      </c>
      <c r="E500" s="17" t="s">
        <v>17</v>
      </c>
      <c r="F500" s="17" t="str">
        <f>INDEX(nrg_cb_e!$A$3:$A$40,MATCH(LEFT(MID('Industriesektor GWh'!$B500,41,1000),SEARCH(" - ",MID('Industriesektor GWh'!$B500,41,1000))-1),nrg_cb_e!$C$3:$C$40,0))</f>
        <v>FC_IND_CON_E</v>
      </c>
      <c r="G500" s="18">
        <v>761</v>
      </c>
    </row>
    <row r="501" spans="1:7" x14ac:dyDescent="0.2">
      <c r="A501" s="19" t="s">
        <v>58</v>
      </c>
      <c r="B501" s="20" t="s">
        <v>72</v>
      </c>
      <c r="C501" s="20" t="s">
        <v>8</v>
      </c>
      <c r="D501" s="20" t="s">
        <v>10</v>
      </c>
      <c r="E501" s="20" t="s">
        <v>18</v>
      </c>
      <c r="F501" s="20" t="str">
        <f>INDEX(nrg_cb_e!$A$3:$A$40,MATCH(LEFT(MID('Industriesektor GWh'!$B501,41,1000),SEARCH(" - ",MID('Industriesektor GWh'!$B501,41,1000))-1),nrg_cb_e!$C$3:$C$40,0))</f>
        <v>FC_IND_CON_E</v>
      </c>
      <c r="G501" s="21">
        <v>1038</v>
      </c>
    </row>
    <row r="502" spans="1:7" x14ac:dyDescent="0.2">
      <c r="A502" s="16" t="s">
        <v>58</v>
      </c>
      <c r="B502" s="17" t="s">
        <v>72</v>
      </c>
      <c r="C502" s="17" t="s">
        <v>8</v>
      </c>
      <c r="D502" s="17" t="s">
        <v>10</v>
      </c>
      <c r="E502" s="17" t="s">
        <v>19</v>
      </c>
      <c r="F502" s="17" t="str">
        <f>INDEX(nrg_cb_e!$A$3:$A$40,MATCH(LEFT(MID('Industriesektor GWh'!$B502,41,1000),SEARCH(" - ",MID('Industriesektor GWh'!$B502,41,1000))-1),nrg_cb_e!$C$3:$C$40,0))</f>
        <v>FC_IND_CON_E</v>
      </c>
      <c r="G502" s="18">
        <v>1073</v>
      </c>
    </row>
    <row r="503" spans="1:7" x14ac:dyDescent="0.2">
      <c r="A503" s="19" t="s">
        <v>58</v>
      </c>
      <c r="B503" s="20" t="s">
        <v>72</v>
      </c>
      <c r="C503" s="20" t="s">
        <v>8</v>
      </c>
      <c r="D503" s="20" t="s">
        <v>10</v>
      </c>
      <c r="E503" s="20" t="s">
        <v>20</v>
      </c>
      <c r="F503" s="20" t="str">
        <f>INDEX(nrg_cb_e!$A$3:$A$40,MATCH(LEFT(MID('Industriesektor GWh'!$B503,41,1000),SEARCH(" - ",MID('Industriesektor GWh'!$B503,41,1000))-1),nrg_cb_e!$C$3:$C$40,0))</f>
        <v>FC_IND_CON_E</v>
      </c>
      <c r="G503" s="21">
        <v>1150</v>
      </c>
    </row>
    <row r="504" spans="1:7" x14ac:dyDescent="0.2">
      <c r="A504" s="16" t="s">
        <v>58</v>
      </c>
      <c r="B504" s="17" t="s">
        <v>72</v>
      </c>
      <c r="C504" s="17" t="s">
        <v>8</v>
      </c>
      <c r="D504" s="17" t="s">
        <v>10</v>
      </c>
      <c r="E504" s="17" t="s">
        <v>21</v>
      </c>
      <c r="F504" s="17" t="str">
        <f>INDEX(nrg_cb_e!$A$3:$A$40,MATCH(LEFT(MID('Industriesektor GWh'!$B504,41,1000),SEARCH(" - ",MID('Industriesektor GWh'!$B504,41,1000))-1),nrg_cb_e!$C$3:$C$40,0))</f>
        <v>FC_IND_CON_E</v>
      </c>
      <c r="G504" s="18">
        <v>1112</v>
      </c>
    </row>
    <row r="505" spans="1:7" x14ac:dyDescent="0.2">
      <c r="A505" s="19" t="s">
        <v>58</v>
      </c>
      <c r="B505" s="20" t="s">
        <v>72</v>
      </c>
      <c r="C505" s="20" t="s">
        <v>8</v>
      </c>
      <c r="D505" s="20" t="s">
        <v>10</v>
      </c>
      <c r="E505" s="20" t="s">
        <v>22</v>
      </c>
      <c r="F505" s="20" t="str">
        <f>INDEX(nrg_cb_e!$A$3:$A$40,MATCH(LEFT(MID('Industriesektor GWh'!$B505,41,1000),SEARCH(" - ",MID('Industriesektor GWh'!$B505,41,1000))-1),nrg_cb_e!$C$3:$C$40,0))</f>
        <v>FC_IND_CON_E</v>
      </c>
      <c r="G505" s="21">
        <v>1240</v>
      </c>
    </row>
    <row r="506" spans="1:7" x14ac:dyDescent="0.2">
      <c r="A506" s="16" t="s">
        <v>58</v>
      </c>
      <c r="B506" s="17" t="s">
        <v>72</v>
      </c>
      <c r="C506" s="17" t="s">
        <v>8</v>
      </c>
      <c r="D506" s="17" t="s">
        <v>10</v>
      </c>
      <c r="E506" s="17" t="s">
        <v>23</v>
      </c>
      <c r="F506" s="17" t="str">
        <f>INDEX(nrg_cb_e!$A$3:$A$40,MATCH(LEFT(MID('Industriesektor GWh'!$B506,41,1000),SEARCH(" - ",MID('Industriesektor GWh'!$B506,41,1000))-1),nrg_cb_e!$C$3:$C$40,0))</f>
        <v>FC_IND_CON_E</v>
      </c>
      <c r="G506" s="18">
        <v>1284</v>
      </c>
    </row>
    <row r="507" spans="1:7" x14ac:dyDescent="0.2">
      <c r="A507" s="19" t="s">
        <v>58</v>
      </c>
      <c r="B507" s="20" t="s">
        <v>72</v>
      </c>
      <c r="C507" s="20" t="s">
        <v>8</v>
      </c>
      <c r="D507" s="20" t="s">
        <v>10</v>
      </c>
      <c r="E507" s="20" t="s">
        <v>24</v>
      </c>
      <c r="F507" s="20" t="str">
        <f>INDEX(nrg_cb_e!$A$3:$A$40,MATCH(LEFT(MID('Industriesektor GWh'!$B507,41,1000),SEARCH(" - ",MID('Industriesektor GWh'!$B507,41,1000))-1),nrg_cb_e!$C$3:$C$40,0))</f>
        <v>FC_IND_CON_E</v>
      </c>
      <c r="G507" s="21">
        <v>1256</v>
      </c>
    </row>
    <row r="508" spans="1:7" x14ac:dyDescent="0.2">
      <c r="A508" s="16" t="s">
        <v>58</v>
      </c>
      <c r="B508" s="17" t="s">
        <v>72</v>
      </c>
      <c r="C508" s="17" t="s">
        <v>8</v>
      </c>
      <c r="D508" s="17" t="s">
        <v>10</v>
      </c>
      <c r="E508" s="17" t="s">
        <v>25</v>
      </c>
      <c r="F508" s="17" t="str">
        <f>INDEX(nrg_cb_e!$A$3:$A$40,MATCH(LEFT(MID('Industriesektor GWh'!$B508,41,1000),SEARCH(" - ",MID('Industriesektor GWh'!$B508,41,1000))-1),nrg_cb_e!$C$3:$C$40,0))</f>
        <v>FC_IND_CON_E</v>
      </c>
      <c r="G508" s="18">
        <v>1293</v>
      </c>
    </row>
    <row r="509" spans="1:7" x14ac:dyDescent="0.2">
      <c r="A509" s="19" t="s">
        <v>58</v>
      </c>
      <c r="B509" s="20" t="s">
        <v>72</v>
      </c>
      <c r="C509" s="20" t="s">
        <v>8</v>
      </c>
      <c r="D509" s="20" t="s">
        <v>10</v>
      </c>
      <c r="E509" s="20" t="s">
        <v>26</v>
      </c>
      <c r="F509" s="20" t="str">
        <f>INDEX(nrg_cb_e!$A$3:$A$40,MATCH(LEFT(MID('Industriesektor GWh'!$B509,41,1000),SEARCH(" - ",MID('Industriesektor GWh'!$B509,41,1000))-1),nrg_cb_e!$C$3:$C$40,0))</f>
        <v>FC_IND_CON_E</v>
      </c>
      <c r="G509" s="21">
        <v>1340</v>
      </c>
    </row>
    <row r="510" spans="1:7" x14ac:dyDescent="0.2">
      <c r="A510" s="16" t="s">
        <v>58</v>
      </c>
      <c r="B510" s="17" t="s">
        <v>72</v>
      </c>
      <c r="C510" s="17" t="s">
        <v>8</v>
      </c>
      <c r="D510" s="17" t="s">
        <v>10</v>
      </c>
      <c r="E510" s="17" t="s">
        <v>27</v>
      </c>
      <c r="F510" s="17" t="str">
        <f>INDEX(nrg_cb_e!$A$3:$A$40,MATCH(LEFT(MID('Industriesektor GWh'!$B510,41,1000),SEARCH(" - ",MID('Industriesektor GWh'!$B510,41,1000))-1),nrg_cb_e!$C$3:$C$40,0))</f>
        <v>FC_IND_CON_E</v>
      </c>
      <c r="G510" s="18">
        <v>1391</v>
      </c>
    </row>
    <row r="511" spans="1:7" x14ac:dyDescent="0.2">
      <c r="A511" s="19" t="s">
        <v>58</v>
      </c>
      <c r="B511" s="20" t="s">
        <v>72</v>
      </c>
      <c r="C511" s="20" t="s">
        <v>8</v>
      </c>
      <c r="D511" s="20" t="s">
        <v>10</v>
      </c>
      <c r="E511" s="20" t="s">
        <v>28</v>
      </c>
      <c r="F511" s="20" t="str">
        <f>INDEX(nrg_cb_e!$A$3:$A$40,MATCH(LEFT(MID('Industriesektor GWh'!$B511,41,1000),SEARCH(" - ",MID('Industriesektor GWh'!$B511,41,1000))-1),nrg_cb_e!$C$3:$C$40,0))</f>
        <v>FC_IND_CON_E</v>
      </c>
      <c r="G511" s="21">
        <v>1414.2049999999999</v>
      </c>
    </row>
    <row r="512" spans="1:7" x14ac:dyDescent="0.2">
      <c r="A512" s="16" t="s">
        <v>59</v>
      </c>
      <c r="B512" s="17" t="s">
        <v>72</v>
      </c>
      <c r="C512" s="17" t="s">
        <v>8</v>
      </c>
      <c r="D512" s="17" t="s">
        <v>10</v>
      </c>
      <c r="E512" s="17" t="s">
        <v>12</v>
      </c>
      <c r="F512" s="17" t="str">
        <f>INDEX(nrg_cb_e!$A$3:$A$40,MATCH(LEFT(MID('Industriesektor GWh'!$B512,41,1000),SEARCH(" - ",MID('Industriesektor GWh'!$B512,41,1000))-1),nrg_cb_e!$C$3:$C$40,0))</f>
        <v>FC_IND_CON_E</v>
      </c>
      <c r="G512" s="18">
        <v>0</v>
      </c>
    </row>
    <row r="513" spans="1:7" x14ac:dyDescent="0.2">
      <c r="A513" s="19" t="s">
        <v>59</v>
      </c>
      <c r="B513" s="20" t="s">
        <v>72</v>
      </c>
      <c r="C513" s="20" t="s">
        <v>8</v>
      </c>
      <c r="D513" s="20" t="s">
        <v>10</v>
      </c>
      <c r="E513" s="20" t="s">
        <v>13</v>
      </c>
      <c r="F513" s="20" t="str">
        <f>INDEX(nrg_cb_e!$A$3:$A$40,MATCH(LEFT(MID('Industriesektor GWh'!$B513,41,1000),SEARCH(" - ",MID('Industriesektor GWh'!$B513,41,1000))-1),nrg_cb_e!$C$3:$C$40,0))</f>
        <v>FC_IND_CON_E</v>
      </c>
      <c r="G513" s="21">
        <v>0</v>
      </c>
    </row>
    <row r="514" spans="1:7" x14ac:dyDescent="0.2">
      <c r="A514" s="16" t="s">
        <v>59</v>
      </c>
      <c r="B514" s="17" t="s">
        <v>72</v>
      </c>
      <c r="C514" s="17" t="s">
        <v>8</v>
      </c>
      <c r="D514" s="17" t="s">
        <v>10</v>
      </c>
      <c r="E514" s="17" t="s">
        <v>14</v>
      </c>
      <c r="F514" s="17" t="str">
        <f>INDEX(nrg_cb_e!$A$3:$A$40,MATCH(LEFT(MID('Industriesektor GWh'!$B514,41,1000),SEARCH(" - ",MID('Industriesektor GWh'!$B514,41,1000))-1),nrg_cb_e!$C$3:$C$40,0))</f>
        <v>FC_IND_CON_E</v>
      </c>
      <c r="G514" s="18">
        <v>318</v>
      </c>
    </row>
    <row r="515" spans="1:7" x14ac:dyDescent="0.2">
      <c r="A515" s="19" t="s">
        <v>59</v>
      </c>
      <c r="B515" s="20" t="s">
        <v>72</v>
      </c>
      <c r="C515" s="20" t="s">
        <v>8</v>
      </c>
      <c r="D515" s="20" t="s">
        <v>10</v>
      </c>
      <c r="E515" s="20" t="s">
        <v>15</v>
      </c>
      <c r="F515" s="20" t="str">
        <f>INDEX(nrg_cb_e!$A$3:$A$40,MATCH(LEFT(MID('Industriesektor GWh'!$B515,41,1000),SEARCH(" - ",MID('Industriesektor GWh'!$B515,41,1000))-1),nrg_cb_e!$C$3:$C$40,0))</f>
        <v>FC_IND_CON_E</v>
      </c>
      <c r="G515" s="21">
        <v>297</v>
      </c>
    </row>
    <row r="516" spans="1:7" x14ac:dyDescent="0.2">
      <c r="A516" s="16" t="s">
        <v>59</v>
      </c>
      <c r="B516" s="17" t="s">
        <v>72</v>
      </c>
      <c r="C516" s="17" t="s">
        <v>8</v>
      </c>
      <c r="D516" s="17" t="s">
        <v>10</v>
      </c>
      <c r="E516" s="17" t="s">
        <v>16</v>
      </c>
      <c r="F516" s="17" t="str">
        <f>INDEX(nrg_cb_e!$A$3:$A$40,MATCH(LEFT(MID('Industriesektor GWh'!$B516,41,1000),SEARCH(" - ",MID('Industriesektor GWh'!$B516,41,1000))-1),nrg_cb_e!$C$3:$C$40,0))</f>
        <v>FC_IND_CON_E</v>
      </c>
      <c r="G516" s="18">
        <v>190</v>
      </c>
    </row>
    <row r="517" spans="1:7" x14ac:dyDescent="0.2">
      <c r="A517" s="19" t="s">
        <v>59</v>
      </c>
      <c r="B517" s="20" t="s">
        <v>72</v>
      </c>
      <c r="C517" s="20" t="s">
        <v>8</v>
      </c>
      <c r="D517" s="20" t="s">
        <v>10</v>
      </c>
      <c r="E517" s="20" t="s">
        <v>17</v>
      </c>
      <c r="F517" s="20" t="str">
        <f>INDEX(nrg_cb_e!$A$3:$A$40,MATCH(LEFT(MID('Industriesektor GWh'!$B517,41,1000),SEARCH(" - ",MID('Industriesektor GWh'!$B517,41,1000))-1),nrg_cb_e!$C$3:$C$40,0))</f>
        <v>FC_IND_CON_E</v>
      </c>
      <c r="G517" s="21">
        <v>214</v>
      </c>
    </row>
    <row r="518" spans="1:7" x14ac:dyDescent="0.2">
      <c r="A518" s="16" t="s">
        <v>59</v>
      </c>
      <c r="B518" s="17" t="s">
        <v>72</v>
      </c>
      <c r="C518" s="17" t="s">
        <v>8</v>
      </c>
      <c r="D518" s="17" t="s">
        <v>10</v>
      </c>
      <c r="E518" s="17" t="s">
        <v>18</v>
      </c>
      <c r="F518" s="17" t="str">
        <f>INDEX(nrg_cb_e!$A$3:$A$40,MATCH(LEFT(MID('Industriesektor GWh'!$B518,41,1000),SEARCH(" - ",MID('Industriesektor GWh'!$B518,41,1000))-1),nrg_cb_e!$C$3:$C$40,0))</f>
        <v>FC_IND_CON_E</v>
      </c>
      <c r="G518" s="18">
        <v>206</v>
      </c>
    </row>
    <row r="519" spans="1:7" x14ac:dyDescent="0.2">
      <c r="A519" s="19" t="s">
        <v>59</v>
      </c>
      <c r="B519" s="20" t="s">
        <v>72</v>
      </c>
      <c r="C519" s="20" t="s">
        <v>8</v>
      </c>
      <c r="D519" s="20" t="s">
        <v>10</v>
      </c>
      <c r="E519" s="20" t="s">
        <v>19</v>
      </c>
      <c r="F519" s="20" t="str">
        <f>INDEX(nrg_cb_e!$A$3:$A$40,MATCH(LEFT(MID('Industriesektor GWh'!$B519,41,1000),SEARCH(" - ",MID('Industriesektor GWh'!$B519,41,1000))-1),nrg_cb_e!$C$3:$C$40,0))</f>
        <v>FC_IND_CON_E</v>
      </c>
      <c r="G519" s="21">
        <v>310</v>
      </c>
    </row>
    <row r="520" spans="1:7" x14ac:dyDescent="0.2">
      <c r="A520" s="16" t="s">
        <v>59</v>
      </c>
      <c r="B520" s="17" t="s">
        <v>72</v>
      </c>
      <c r="C520" s="17" t="s">
        <v>8</v>
      </c>
      <c r="D520" s="17" t="s">
        <v>10</v>
      </c>
      <c r="E520" s="17" t="s">
        <v>20</v>
      </c>
      <c r="F520" s="17" t="str">
        <f>INDEX(nrg_cb_e!$A$3:$A$40,MATCH(LEFT(MID('Industriesektor GWh'!$B520,41,1000),SEARCH(" - ",MID('Industriesektor GWh'!$B520,41,1000))-1),nrg_cb_e!$C$3:$C$40,0))</f>
        <v>FC_IND_CON_E</v>
      </c>
      <c r="G520" s="18">
        <v>160</v>
      </c>
    </row>
    <row r="521" spans="1:7" x14ac:dyDescent="0.2">
      <c r="A521" s="19" t="s">
        <v>59</v>
      </c>
      <c r="B521" s="20" t="s">
        <v>72</v>
      </c>
      <c r="C521" s="20" t="s">
        <v>8</v>
      </c>
      <c r="D521" s="20" t="s">
        <v>10</v>
      </c>
      <c r="E521" s="20" t="s">
        <v>21</v>
      </c>
      <c r="F521" s="20" t="str">
        <f>INDEX(nrg_cb_e!$A$3:$A$40,MATCH(LEFT(MID('Industriesektor GWh'!$B521,41,1000),SEARCH(" - ",MID('Industriesektor GWh'!$B521,41,1000))-1),nrg_cb_e!$C$3:$C$40,0))</f>
        <v>FC_IND_CON_E</v>
      </c>
      <c r="G521" s="21">
        <v>326</v>
      </c>
    </row>
    <row r="522" spans="1:7" x14ac:dyDescent="0.2">
      <c r="A522" s="16" t="s">
        <v>59</v>
      </c>
      <c r="B522" s="17" t="s">
        <v>72</v>
      </c>
      <c r="C522" s="17" t="s">
        <v>8</v>
      </c>
      <c r="D522" s="17" t="s">
        <v>10</v>
      </c>
      <c r="E522" s="17" t="s">
        <v>22</v>
      </c>
      <c r="F522" s="17" t="str">
        <f>INDEX(nrg_cb_e!$A$3:$A$40,MATCH(LEFT(MID('Industriesektor GWh'!$B522,41,1000),SEARCH(" - ",MID('Industriesektor GWh'!$B522,41,1000))-1),nrg_cb_e!$C$3:$C$40,0))</f>
        <v>FC_IND_CON_E</v>
      </c>
      <c r="G522" s="18">
        <v>317</v>
      </c>
    </row>
    <row r="523" spans="1:7" x14ac:dyDescent="0.2">
      <c r="A523" s="19" t="s">
        <v>59</v>
      </c>
      <c r="B523" s="20" t="s">
        <v>72</v>
      </c>
      <c r="C523" s="20" t="s">
        <v>8</v>
      </c>
      <c r="D523" s="20" t="s">
        <v>10</v>
      </c>
      <c r="E523" s="20" t="s">
        <v>23</v>
      </c>
      <c r="F523" s="20" t="str">
        <f>INDEX(nrg_cb_e!$A$3:$A$40,MATCH(LEFT(MID('Industriesektor GWh'!$B523,41,1000),SEARCH(" - ",MID('Industriesektor GWh'!$B523,41,1000))-1),nrg_cb_e!$C$3:$C$40,0))</f>
        <v>FC_IND_CON_E</v>
      </c>
      <c r="G523" s="21">
        <v>310</v>
      </c>
    </row>
    <row r="524" spans="1:7" x14ac:dyDescent="0.2">
      <c r="A524" s="16" t="s">
        <v>59</v>
      </c>
      <c r="B524" s="17" t="s">
        <v>72</v>
      </c>
      <c r="C524" s="17" t="s">
        <v>8</v>
      </c>
      <c r="D524" s="17" t="s">
        <v>10</v>
      </c>
      <c r="E524" s="17" t="s">
        <v>24</v>
      </c>
      <c r="F524" s="17" t="str">
        <f>INDEX(nrg_cb_e!$A$3:$A$40,MATCH(LEFT(MID('Industriesektor GWh'!$B524,41,1000),SEARCH(" - ",MID('Industriesektor GWh'!$B524,41,1000))-1),nrg_cb_e!$C$3:$C$40,0))</f>
        <v>FC_IND_CON_E</v>
      </c>
      <c r="G524" s="18">
        <v>306</v>
      </c>
    </row>
    <row r="525" spans="1:7" x14ac:dyDescent="0.2">
      <c r="A525" s="19" t="s">
        <v>59</v>
      </c>
      <c r="B525" s="20" t="s">
        <v>72</v>
      </c>
      <c r="C525" s="20" t="s">
        <v>8</v>
      </c>
      <c r="D525" s="20" t="s">
        <v>10</v>
      </c>
      <c r="E525" s="20" t="s">
        <v>25</v>
      </c>
      <c r="F525" s="20" t="str">
        <f>INDEX(nrg_cb_e!$A$3:$A$40,MATCH(LEFT(MID('Industriesektor GWh'!$B525,41,1000),SEARCH(" - ",MID('Industriesektor GWh'!$B525,41,1000))-1),nrg_cb_e!$C$3:$C$40,0))</f>
        <v>FC_IND_CON_E</v>
      </c>
      <c r="G525" s="21">
        <v>318</v>
      </c>
    </row>
    <row r="526" spans="1:7" x14ac:dyDescent="0.2">
      <c r="A526" s="16" t="s">
        <v>59</v>
      </c>
      <c r="B526" s="17" t="s">
        <v>72</v>
      </c>
      <c r="C526" s="17" t="s">
        <v>8</v>
      </c>
      <c r="D526" s="17" t="s">
        <v>10</v>
      </c>
      <c r="E526" s="17" t="s">
        <v>26</v>
      </c>
      <c r="F526" s="17" t="str">
        <f>INDEX(nrg_cb_e!$A$3:$A$40,MATCH(LEFT(MID('Industriesektor GWh'!$B526,41,1000),SEARCH(" - ",MID('Industriesektor GWh'!$B526,41,1000))-1),nrg_cb_e!$C$3:$C$40,0))</f>
        <v>FC_IND_CON_E</v>
      </c>
      <c r="G526" s="18">
        <v>321</v>
      </c>
    </row>
    <row r="527" spans="1:7" x14ac:dyDescent="0.2">
      <c r="A527" s="19" t="s">
        <v>59</v>
      </c>
      <c r="B527" s="20" t="s">
        <v>72</v>
      </c>
      <c r="C527" s="20" t="s">
        <v>8</v>
      </c>
      <c r="D527" s="20" t="s">
        <v>10</v>
      </c>
      <c r="E527" s="20" t="s">
        <v>27</v>
      </c>
      <c r="F527" s="20" t="str">
        <f>INDEX(nrg_cb_e!$A$3:$A$40,MATCH(LEFT(MID('Industriesektor GWh'!$B527,41,1000),SEARCH(" - ",MID('Industriesektor GWh'!$B527,41,1000))-1),nrg_cb_e!$C$3:$C$40,0))</f>
        <v>FC_IND_CON_E</v>
      </c>
      <c r="G527" s="21">
        <v>339.87</v>
      </c>
    </row>
    <row r="528" spans="1:7" x14ac:dyDescent="0.2">
      <c r="A528" s="16" t="s">
        <v>59</v>
      </c>
      <c r="B528" s="17" t="s">
        <v>72</v>
      </c>
      <c r="C528" s="17" t="s">
        <v>8</v>
      </c>
      <c r="D528" s="17" t="s">
        <v>10</v>
      </c>
      <c r="E528" s="17" t="s">
        <v>28</v>
      </c>
      <c r="F528" s="17" t="str">
        <f>INDEX(nrg_cb_e!$A$3:$A$40,MATCH(LEFT(MID('Industriesektor GWh'!$B528,41,1000),SEARCH(" - ",MID('Industriesektor GWh'!$B528,41,1000))-1),nrg_cb_e!$C$3:$C$40,0))</f>
        <v>FC_IND_CON_E</v>
      </c>
      <c r="G528" s="18">
        <v>339.1</v>
      </c>
    </row>
    <row r="529" spans="1:7" x14ac:dyDescent="0.2">
      <c r="A529" s="19" t="s">
        <v>29</v>
      </c>
      <c r="B529" s="20" t="s">
        <v>68</v>
      </c>
      <c r="C529" s="20" t="s">
        <v>8</v>
      </c>
      <c r="D529" s="20" t="s">
        <v>10</v>
      </c>
      <c r="E529" s="20" t="s">
        <v>12</v>
      </c>
      <c r="F529" s="20" t="str">
        <f>INDEX(nrg_cb_e!$A$3:$A$40,MATCH(LEFT(MID('Industriesektor GWh'!$B529,41,1000),SEARCH(" - ",MID('Industriesektor GWh'!$B529,41,1000))-1),nrg_cb_e!$C$3:$C$40,0))</f>
        <v>FC_IND_MQ_E</v>
      </c>
      <c r="G529" s="21">
        <v>354</v>
      </c>
    </row>
    <row r="530" spans="1:7" x14ac:dyDescent="0.2">
      <c r="A530" s="16" t="s">
        <v>29</v>
      </c>
      <c r="B530" s="17" t="s">
        <v>68</v>
      </c>
      <c r="C530" s="17" t="s">
        <v>8</v>
      </c>
      <c r="D530" s="17" t="s">
        <v>10</v>
      </c>
      <c r="E530" s="17" t="s">
        <v>13</v>
      </c>
      <c r="F530" s="17" t="str">
        <f>INDEX(nrg_cb_e!$A$3:$A$40,MATCH(LEFT(MID('Industriesektor GWh'!$B530,41,1000),SEARCH(" - ",MID('Industriesektor GWh'!$B530,41,1000))-1),nrg_cb_e!$C$3:$C$40,0))</f>
        <v>FC_IND_MQ_E</v>
      </c>
      <c r="G530" s="18">
        <v>361</v>
      </c>
    </row>
    <row r="531" spans="1:7" x14ac:dyDescent="0.2">
      <c r="A531" s="19" t="s">
        <v>29</v>
      </c>
      <c r="B531" s="20" t="s">
        <v>68</v>
      </c>
      <c r="C531" s="20" t="s">
        <v>8</v>
      </c>
      <c r="D531" s="20" t="s">
        <v>10</v>
      </c>
      <c r="E531" s="20" t="s">
        <v>14</v>
      </c>
      <c r="F531" s="20" t="str">
        <f>INDEX(nrg_cb_e!$A$3:$A$40,MATCH(LEFT(MID('Industriesektor GWh'!$B531,41,1000),SEARCH(" - ",MID('Industriesektor GWh'!$B531,41,1000))-1),nrg_cb_e!$C$3:$C$40,0))</f>
        <v>FC_IND_MQ_E</v>
      </c>
      <c r="G531" s="21">
        <v>513</v>
      </c>
    </row>
    <row r="532" spans="1:7" x14ac:dyDescent="0.2">
      <c r="A532" s="16" t="s">
        <v>29</v>
      </c>
      <c r="B532" s="17" t="s">
        <v>68</v>
      </c>
      <c r="C532" s="17" t="s">
        <v>8</v>
      </c>
      <c r="D532" s="17" t="s">
        <v>10</v>
      </c>
      <c r="E532" s="17" t="s">
        <v>15</v>
      </c>
      <c r="F532" s="17" t="str">
        <f>INDEX(nrg_cb_e!$A$3:$A$40,MATCH(LEFT(MID('Industriesektor GWh'!$B532,41,1000),SEARCH(" - ",MID('Industriesektor GWh'!$B532,41,1000))-1),nrg_cb_e!$C$3:$C$40,0))</f>
        <v>FC_IND_MQ_E</v>
      </c>
      <c r="G532" s="18">
        <v>529</v>
      </c>
    </row>
    <row r="533" spans="1:7" x14ac:dyDescent="0.2">
      <c r="A533" s="19" t="s">
        <v>29</v>
      </c>
      <c r="B533" s="20" t="s">
        <v>68</v>
      </c>
      <c r="C533" s="20" t="s">
        <v>8</v>
      </c>
      <c r="D533" s="20" t="s">
        <v>10</v>
      </c>
      <c r="E533" s="20" t="s">
        <v>16</v>
      </c>
      <c r="F533" s="20" t="str">
        <f>INDEX(nrg_cb_e!$A$3:$A$40,MATCH(LEFT(MID('Industriesektor GWh'!$B533,41,1000),SEARCH(" - ",MID('Industriesektor GWh'!$B533,41,1000))-1),nrg_cb_e!$C$3:$C$40,0))</f>
        <v>FC_IND_MQ_E</v>
      </c>
      <c r="G533" s="21">
        <v>875</v>
      </c>
    </row>
    <row r="534" spans="1:7" x14ac:dyDescent="0.2">
      <c r="A534" s="16" t="s">
        <v>29</v>
      </c>
      <c r="B534" s="17" t="s">
        <v>68</v>
      </c>
      <c r="C534" s="17" t="s">
        <v>8</v>
      </c>
      <c r="D534" s="17" t="s">
        <v>10</v>
      </c>
      <c r="E534" s="17" t="s">
        <v>17</v>
      </c>
      <c r="F534" s="17" t="str">
        <f>INDEX(nrg_cb_e!$A$3:$A$40,MATCH(LEFT(MID('Industriesektor GWh'!$B534,41,1000),SEARCH(" - ",MID('Industriesektor GWh'!$B534,41,1000))-1),nrg_cb_e!$C$3:$C$40,0))</f>
        <v>FC_IND_MQ_E</v>
      </c>
      <c r="G534" s="18">
        <v>723</v>
      </c>
    </row>
    <row r="535" spans="1:7" x14ac:dyDescent="0.2">
      <c r="A535" s="19" t="s">
        <v>29</v>
      </c>
      <c r="B535" s="20" t="s">
        <v>68</v>
      </c>
      <c r="C535" s="20" t="s">
        <v>8</v>
      </c>
      <c r="D535" s="20" t="s">
        <v>10</v>
      </c>
      <c r="E535" s="20" t="s">
        <v>18</v>
      </c>
      <c r="F535" s="20" t="str">
        <f>INDEX(nrg_cb_e!$A$3:$A$40,MATCH(LEFT(MID('Industriesektor GWh'!$B535,41,1000),SEARCH(" - ",MID('Industriesektor GWh'!$B535,41,1000))-1),nrg_cb_e!$C$3:$C$40,0))</f>
        <v>FC_IND_MQ_E</v>
      </c>
      <c r="G535" s="21">
        <v>757</v>
      </c>
    </row>
    <row r="536" spans="1:7" x14ac:dyDescent="0.2">
      <c r="A536" s="16" t="s">
        <v>29</v>
      </c>
      <c r="B536" s="17" t="s">
        <v>68</v>
      </c>
      <c r="C536" s="17" t="s">
        <v>8</v>
      </c>
      <c r="D536" s="17" t="s">
        <v>10</v>
      </c>
      <c r="E536" s="17" t="s">
        <v>19</v>
      </c>
      <c r="F536" s="17" t="str">
        <f>INDEX(nrg_cb_e!$A$3:$A$40,MATCH(LEFT(MID('Industriesektor GWh'!$B536,41,1000),SEARCH(" - ",MID('Industriesektor GWh'!$B536,41,1000))-1),nrg_cb_e!$C$3:$C$40,0))</f>
        <v>FC_IND_MQ_E</v>
      </c>
      <c r="G536" s="18">
        <v>629</v>
      </c>
    </row>
    <row r="537" spans="1:7" x14ac:dyDescent="0.2">
      <c r="A537" s="19" t="s">
        <v>29</v>
      </c>
      <c r="B537" s="20" t="s">
        <v>68</v>
      </c>
      <c r="C537" s="20" t="s">
        <v>8</v>
      </c>
      <c r="D537" s="20" t="s">
        <v>10</v>
      </c>
      <c r="E537" s="20" t="s">
        <v>20</v>
      </c>
      <c r="F537" s="20" t="str">
        <f>INDEX(nrg_cb_e!$A$3:$A$40,MATCH(LEFT(MID('Industriesektor GWh'!$B537,41,1000),SEARCH(" - ",MID('Industriesektor GWh'!$B537,41,1000))-1),nrg_cb_e!$C$3:$C$40,0))</f>
        <v>FC_IND_MQ_E</v>
      </c>
      <c r="G537" s="21">
        <v>1186</v>
      </c>
    </row>
    <row r="538" spans="1:7" x14ac:dyDescent="0.2">
      <c r="A538" s="16" t="s">
        <v>29</v>
      </c>
      <c r="B538" s="17" t="s">
        <v>68</v>
      </c>
      <c r="C538" s="17" t="s">
        <v>8</v>
      </c>
      <c r="D538" s="17" t="s">
        <v>10</v>
      </c>
      <c r="E538" s="17" t="s">
        <v>21</v>
      </c>
      <c r="F538" s="17" t="str">
        <f>INDEX(nrg_cb_e!$A$3:$A$40,MATCH(LEFT(MID('Industriesektor GWh'!$B538,41,1000),SEARCH(" - ",MID('Industriesektor GWh'!$B538,41,1000))-1),nrg_cb_e!$C$3:$C$40,0))</f>
        <v>FC_IND_MQ_E</v>
      </c>
      <c r="G538" s="18">
        <v>422</v>
      </c>
    </row>
    <row r="539" spans="1:7" x14ac:dyDescent="0.2">
      <c r="A539" s="19" t="s">
        <v>29</v>
      </c>
      <c r="B539" s="20" t="s">
        <v>68</v>
      </c>
      <c r="C539" s="20" t="s">
        <v>8</v>
      </c>
      <c r="D539" s="20" t="s">
        <v>10</v>
      </c>
      <c r="E539" s="20" t="s">
        <v>22</v>
      </c>
      <c r="F539" s="20" t="str">
        <f>INDEX(nrg_cb_e!$A$3:$A$40,MATCH(LEFT(MID('Industriesektor GWh'!$B539,41,1000),SEARCH(" - ",MID('Industriesektor GWh'!$B539,41,1000))-1),nrg_cb_e!$C$3:$C$40,0))</f>
        <v>FC_IND_MQ_E</v>
      </c>
      <c r="G539" s="21">
        <v>422</v>
      </c>
    </row>
    <row r="540" spans="1:7" x14ac:dyDescent="0.2">
      <c r="A540" s="16" t="s">
        <v>29</v>
      </c>
      <c r="B540" s="17" t="s">
        <v>68</v>
      </c>
      <c r="C540" s="17" t="s">
        <v>8</v>
      </c>
      <c r="D540" s="17" t="s">
        <v>10</v>
      </c>
      <c r="E540" s="17" t="s">
        <v>23</v>
      </c>
      <c r="F540" s="17" t="str">
        <f>INDEX(nrg_cb_e!$A$3:$A$40,MATCH(LEFT(MID('Industriesektor GWh'!$B540,41,1000),SEARCH(" - ",MID('Industriesektor GWh'!$B540,41,1000))-1),nrg_cb_e!$C$3:$C$40,0))</f>
        <v>FC_IND_MQ_E</v>
      </c>
      <c r="G540" s="18">
        <v>431</v>
      </c>
    </row>
    <row r="541" spans="1:7" x14ac:dyDescent="0.2">
      <c r="A541" s="19" t="s">
        <v>29</v>
      </c>
      <c r="B541" s="20" t="s">
        <v>68</v>
      </c>
      <c r="C541" s="20" t="s">
        <v>8</v>
      </c>
      <c r="D541" s="20" t="s">
        <v>10</v>
      </c>
      <c r="E541" s="20" t="s">
        <v>24</v>
      </c>
      <c r="F541" s="20" t="str">
        <f>INDEX(nrg_cb_e!$A$3:$A$40,MATCH(LEFT(MID('Industriesektor GWh'!$B541,41,1000),SEARCH(" - ",MID('Industriesektor GWh'!$B541,41,1000))-1),nrg_cb_e!$C$3:$C$40,0))</f>
        <v>FC_IND_MQ_E</v>
      </c>
      <c r="G541" s="21">
        <v>439</v>
      </c>
    </row>
    <row r="542" spans="1:7" x14ac:dyDescent="0.2">
      <c r="A542" s="16" t="s">
        <v>29</v>
      </c>
      <c r="B542" s="17" t="s">
        <v>68</v>
      </c>
      <c r="C542" s="17" t="s">
        <v>8</v>
      </c>
      <c r="D542" s="17" t="s">
        <v>10</v>
      </c>
      <c r="E542" s="17" t="s">
        <v>25</v>
      </c>
      <c r="F542" s="17" t="str">
        <f>INDEX(nrg_cb_e!$A$3:$A$40,MATCH(LEFT(MID('Industriesektor GWh'!$B542,41,1000),SEARCH(" - ",MID('Industriesektor GWh'!$B542,41,1000))-1),nrg_cb_e!$C$3:$C$40,0))</f>
        <v>FC_IND_MQ_E</v>
      </c>
      <c r="G542" s="18">
        <v>430</v>
      </c>
    </row>
    <row r="543" spans="1:7" x14ac:dyDescent="0.2">
      <c r="A543" s="19" t="s">
        <v>29</v>
      </c>
      <c r="B543" s="20" t="s">
        <v>68</v>
      </c>
      <c r="C543" s="20" t="s">
        <v>8</v>
      </c>
      <c r="D543" s="20" t="s">
        <v>10</v>
      </c>
      <c r="E543" s="20" t="s">
        <v>26</v>
      </c>
      <c r="F543" s="20" t="str">
        <f>INDEX(nrg_cb_e!$A$3:$A$40,MATCH(LEFT(MID('Industriesektor GWh'!$B543,41,1000),SEARCH(" - ",MID('Industriesektor GWh'!$B543,41,1000))-1),nrg_cb_e!$C$3:$C$40,0))</f>
        <v>FC_IND_MQ_E</v>
      </c>
      <c r="G543" s="21">
        <v>440</v>
      </c>
    </row>
    <row r="544" spans="1:7" x14ac:dyDescent="0.2">
      <c r="A544" s="16" t="s">
        <v>29</v>
      </c>
      <c r="B544" s="17" t="s">
        <v>68</v>
      </c>
      <c r="C544" s="17" t="s">
        <v>8</v>
      </c>
      <c r="D544" s="17" t="s">
        <v>10</v>
      </c>
      <c r="E544" s="17" t="s">
        <v>27</v>
      </c>
      <c r="F544" s="17" t="str">
        <f>INDEX(nrg_cb_e!$A$3:$A$40,MATCH(LEFT(MID('Industriesektor GWh'!$B544,41,1000),SEARCH(" - ",MID('Industriesektor GWh'!$B544,41,1000))-1),nrg_cb_e!$C$3:$C$40,0))</f>
        <v>FC_IND_MQ_E</v>
      </c>
      <c r="G544" s="18">
        <v>452.3</v>
      </c>
    </row>
    <row r="545" spans="1:7" x14ac:dyDescent="0.2">
      <c r="A545" s="19" t="s">
        <v>29</v>
      </c>
      <c r="B545" s="20" t="s">
        <v>68</v>
      </c>
      <c r="C545" s="20" t="s">
        <v>8</v>
      </c>
      <c r="D545" s="20" t="s">
        <v>10</v>
      </c>
      <c r="E545" s="20" t="s">
        <v>28</v>
      </c>
      <c r="F545" s="20" t="str">
        <f>INDEX(nrg_cb_e!$A$3:$A$40,MATCH(LEFT(MID('Industriesektor GWh'!$B545,41,1000),SEARCH(" - ",MID('Industriesektor GWh'!$B545,41,1000))-1),nrg_cb_e!$C$3:$C$40,0))</f>
        <v>FC_IND_MQ_E</v>
      </c>
      <c r="G545" s="21">
        <v>454.5</v>
      </c>
    </row>
    <row r="546" spans="1:7" x14ac:dyDescent="0.2">
      <c r="A546" s="16" t="s">
        <v>30</v>
      </c>
      <c r="B546" s="17" t="s">
        <v>68</v>
      </c>
      <c r="C546" s="17" t="s">
        <v>8</v>
      </c>
      <c r="D546" s="17" t="s">
        <v>10</v>
      </c>
      <c r="E546" s="17" t="s">
        <v>12</v>
      </c>
      <c r="F546" s="17" t="str">
        <f>INDEX(nrg_cb_e!$A$3:$A$40,MATCH(LEFT(MID('Industriesektor GWh'!$B546,41,1000),SEARCH(" - ",MID('Industriesektor GWh'!$B546,41,1000))-1),nrg_cb_e!$C$3:$C$40,0))</f>
        <v>FC_IND_MQ_E</v>
      </c>
      <c r="G546" s="18">
        <v>898</v>
      </c>
    </row>
    <row r="547" spans="1:7" x14ac:dyDescent="0.2">
      <c r="A547" s="19" t="s">
        <v>30</v>
      </c>
      <c r="B547" s="20" t="s">
        <v>68</v>
      </c>
      <c r="C547" s="20" t="s">
        <v>8</v>
      </c>
      <c r="D547" s="20" t="s">
        <v>10</v>
      </c>
      <c r="E547" s="20" t="s">
        <v>13</v>
      </c>
      <c r="F547" s="20" t="str">
        <f>INDEX(nrg_cb_e!$A$3:$A$40,MATCH(LEFT(MID('Industriesektor GWh'!$B547,41,1000),SEARCH(" - ",MID('Industriesektor GWh'!$B547,41,1000))-1),nrg_cb_e!$C$3:$C$40,0))</f>
        <v>FC_IND_MQ_E</v>
      </c>
      <c r="G547" s="21">
        <v>875</v>
      </c>
    </row>
    <row r="548" spans="1:7" x14ac:dyDescent="0.2">
      <c r="A548" s="16" t="s">
        <v>30</v>
      </c>
      <c r="B548" s="17" t="s">
        <v>68</v>
      </c>
      <c r="C548" s="17" t="s">
        <v>8</v>
      </c>
      <c r="D548" s="17" t="s">
        <v>10</v>
      </c>
      <c r="E548" s="17" t="s">
        <v>14</v>
      </c>
      <c r="F548" s="17" t="str">
        <f>INDEX(nrg_cb_e!$A$3:$A$40,MATCH(LEFT(MID('Industriesektor GWh'!$B548,41,1000),SEARCH(" - ",MID('Industriesektor GWh'!$B548,41,1000))-1),nrg_cb_e!$C$3:$C$40,0))</f>
        <v>FC_IND_MQ_E</v>
      </c>
      <c r="G548" s="18">
        <v>827</v>
      </c>
    </row>
    <row r="549" spans="1:7" x14ac:dyDescent="0.2">
      <c r="A549" s="19" t="s">
        <v>30</v>
      </c>
      <c r="B549" s="20" t="s">
        <v>68</v>
      </c>
      <c r="C549" s="20" t="s">
        <v>8</v>
      </c>
      <c r="D549" s="20" t="s">
        <v>10</v>
      </c>
      <c r="E549" s="20" t="s">
        <v>15</v>
      </c>
      <c r="F549" s="20" t="str">
        <f>INDEX(nrg_cb_e!$A$3:$A$40,MATCH(LEFT(MID('Industriesektor GWh'!$B549,41,1000),SEARCH(" - ",MID('Industriesektor GWh'!$B549,41,1000))-1),nrg_cb_e!$C$3:$C$40,0))</f>
        <v>FC_IND_MQ_E</v>
      </c>
      <c r="G549" s="21">
        <v>884</v>
      </c>
    </row>
    <row r="550" spans="1:7" x14ac:dyDescent="0.2">
      <c r="A550" s="16" t="s">
        <v>30</v>
      </c>
      <c r="B550" s="17" t="s">
        <v>68</v>
      </c>
      <c r="C550" s="17" t="s">
        <v>8</v>
      </c>
      <c r="D550" s="17" t="s">
        <v>10</v>
      </c>
      <c r="E550" s="17" t="s">
        <v>16</v>
      </c>
      <c r="F550" s="17" t="str">
        <f>INDEX(nrg_cb_e!$A$3:$A$40,MATCH(LEFT(MID('Industriesektor GWh'!$B550,41,1000),SEARCH(" - ",MID('Industriesektor GWh'!$B550,41,1000))-1),nrg_cb_e!$C$3:$C$40,0))</f>
        <v>FC_IND_MQ_E</v>
      </c>
      <c r="G550" s="18">
        <v>891</v>
      </c>
    </row>
    <row r="551" spans="1:7" x14ac:dyDescent="0.2">
      <c r="A551" s="19" t="s">
        <v>30</v>
      </c>
      <c r="B551" s="20" t="s">
        <v>68</v>
      </c>
      <c r="C551" s="20" t="s">
        <v>8</v>
      </c>
      <c r="D551" s="20" t="s">
        <v>10</v>
      </c>
      <c r="E551" s="20" t="s">
        <v>17</v>
      </c>
      <c r="F551" s="20" t="str">
        <f>INDEX(nrg_cb_e!$A$3:$A$40,MATCH(LEFT(MID('Industriesektor GWh'!$B551,41,1000),SEARCH(" - ",MID('Industriesektor GWh'!$B551,41,1000))-1),nrg_cb_e!$C$3:$C$40,0))</f>
        <v>FC_IND_MQ_E</v>
      </c>
      <c r="G551" s="21">
        <v>931</v>
      </c>
    </row>
    <row r="552" spans="1:7" x14ac:dyDescent="0.2">
      <c r="A552" s="16" t="s">
        <v>30</v>
      </c>
      <c r="B552" s="17" t="s">
        <v>68</v>
      </c>
      <c r="C552" s="17" t="s">
        <v>8</v>
      </c>
      <c r="D552" s="17" t="s">
        <v>10</v>
      </c>
      <c r="E552" s="17" t="s">
        <v>18</v>
      </c>
      <c r="F552" s="17" t="str">
        <f>INDEX(nrg_cb_e!$A$3:$A$40,MATCH(LEFT(MID('Industriesektor GWh'!$B552,41,1000),SEARCH(" - ",MID('Industriesektor GWh'!$B552,41,1000))-1),nrg_cb_e!$C$3:$C$40,0))</f>
        <v>FC_IND_MQ_E</v>
      </c>
      <c r="G552" s="18">
        <v>955</v>
      </c>
    </row>
    <row r="553" spans="1:7" x14ac:dyDescent="0.2">
      <c r="A553" s="19" t="s">
        <v>30</v>
      </c>
      <c r="B553" s="20" t="s">
        <v>68</v>
      </c>
      <c r="C553" s="20" t="s">
        <v>8</v>
      </c>
      <c r="D553" s="20" t="s">
        <v>10</v>
      </c>
      <c r="E553" s="20" t="s">
        <v>19</v>
      </c>
      <c r="F553" s="20" t="str">
        <f>INDEX(nrg_cb_e!$A$3:$A$40,MATCH(LEFT(MID('Industriesektor GWh'!$B553,41,1000),SEARCH(" - ",MID('Industriesektor GWh'!$B553,41,1000))-1),nrg_cb_e!$C$3:$C$40,0))</f>
        <v>FC_IND_MQ_E</v>
      </c>
      <c r="G553" s="21">
        <v>878</v>
      </c>
    </row>
    <row r="554" spans="1:7" x14ac:dyDescent="0.2">
      <c r="A554" s="16" t="s">
        <v>30</v>
      </c>
      <c r="B554" s="17" t="s">
        <v>68</v>
      </c>
      <c r="C554" s="17" t="s">
        <v>8</v>
      </c>
      <c r="D554" s="17" t="s">
        <v>10</v>
      </c>
      <c r="E554" s="17" t="s">
        <v>20</v>
      </c>
      <c r="F554" s="17" t="str">
        <f>INDEX(nrg_cb_e!$A$3:$A$40,MATCH(LEFT(MID('Industriesektor GWh'!$B554,41,1000),SEARCH(" - ",MID('Industriesektor GWh'!$B554,41,1000))-1),nrg_cb_e!$C$3:$C$40,0))</f>
        <v>FC_IND_MQ_E</v>
      </c>
      <c r="G554" s="18">
        <v>842</v>
      </c>
    </row>
    <row r="555" spans="1:7" x14ac:dyDescent="0.2">
      <c r="A555" s="19" t="s">
        <v>30</v>
      </c>
      <c r="B555" s="20" t="s">
        <v>68</v>
      </c>
      <c r="C555" s="20" t="s">
        <v>8</v>
      </c>
      <c r="D555" s="20" t="s">
        <v>10</v>
      </c>
      <c r="E555" s="20" t="s">
        <v>21</v>
      </c>
      <c r="F555" s="20" t="str">
        <f>INDEX(nrg_cb_e!$A$3:$A$40,MATCH(LEFT(MID('Industriesektor GWh'!$B555,41,1000),SEARCH(" - ",MID('Industriesektor GWh'!$B555,41,1000))-1),nrg_cb_e!$C$3:$C$40,0))</f>
        <v>FC_IND_MQ_E</v>
      </c>
      <c r="G555" s="21">
        <v>931</v>
      </c>
    </row>
    <row r="556" spans="1:7" x14ac:dyDescent="0.2">
      <c r="A556" s="16" t="s">
        <v>30</v>
      </c>
      <c r="B556" s="17" t="s">
        <v>68</v>
      </c>
      <c r="C556" s="17" t="s">
        <v>8</v>
      </c>
      <c r="D556" s="17" t="s">
        <v>10</v>
      </c>
      <c r="E556" s="17" t="s">
        <v>22</v>
      </c>
      <c r="F556" s="17" t="str">
        <f>INDEX(nrg_cb_e!$A$3:$A$40,MATCH(LEFT(MID('Industriesektor GWh'!$B556,41,1000),SEARCH(" - ",MID('Industriesektor GWh'!$B556,41,1000))-1),nrg_cb_e!$C$3:$C$40,0))</f>
        <v>FC_IND_MQ_E</v>
      </c>
      <c r="G556" s="18">
        <v>956</v>
      </c>
    </row>
    <row r="557" spans="1:7" x14ac:dyDescent="0.2">
      <c r="A557" s="19" t="s">
        <v>30</v>
      </c>
      <c r="B557" s="20" t="s">
        <v>68</v>
      </c>
      <c r="C557" s="20" t="s">
        <v>8</v>
      </c>
      <c r="D557" s="20" t="s">
        <v>10</v>
      </c>
      <c r="E557" s="20" t="s">
        <v>23</v>
      </c>
      <c r="F557" s="20" t="str">
        <f>INDEX(nrg_cb_e!$A$3:$A$40,MATCH(LEFT(MID('Industriesektor GWh'!$B557,41,1000),SEARCH(" - ",MID('Industriesektor GWh'!$B557,41,1000))-1),nrg_cb_e!$C$3:$C$40,0))</f>
        <v>FC_IND_MQ_E</v>
      </c>
      <c r="G557" s="21">
        <v>964</v>
      </c>
    </row>
    <row r="558" spans="1:7" x14ac:dyDescent="0.2">
      <c r="A558" s="16" t="s">
        <v>30</v>
      </c>
      <c r="B558" s="17" t="s">
        <v>68</v>
      </c>
      <c r="C558" s="17" t="s">
        <v>8</v>
      </c>
      <c r="D558" s="17" t="s">
        <v>10</v>
      </c>
      <c r="E558" s="17" t="s">
        <v>24</v>
      </c>
      <c r="F558" s="17" t="str">
        <f>INDEX(nrg_cb_e!$A$3:$A$40,MATCH(LEFT(MID('Industriesektor GWh'!$B558,41,1000),SEARCH(" - ",MID('Industriesektor GWh'!$B558,41,1000))-1),nrg_cb_e!$C$3:$C$40,0))</f>
        <v>FC_IND_MQ_E</v>
      </c>
      <c r="G558" s="18">
        <v>944</v>
      </c>
    </row>
    <row r="559" spans="1:7" x14ac:dyDescent="0.2">
      <c r="A559" s="19" t="s">
        <v>30</v>
      </c>
      <c r="B559" s="20" t="s">
        <v>68</v>
      </c>
      <c r="C559" s="20" t="s">
        <v>8</v>
      </c>
      <c r="D559" s="20" t="s">
        <v>10</v>
      </c>
      <c r="E559" s="20" t="s">
        <v>25</v>
      </c>
      <c r="F559" s="20" t="str">
        <f>INDEX(nrg_cb_e!$A$3:$A$40,MATCH(LEFT(MID('Industriesektor GWh'!$B559,41,1000),SEARCH(" - ",MID('Industriesektor GWh'!$B559,41,1000))-1),nrg_cb_e!$C$3:$C$40,0))</f>
        <v>FC_IND_MQ_E</v>
      </c>
      <c r="G559" s="21">
        <v>1069</v>
      </c>
    </row>
    <row r="560" spans="1:7" x14ac:dyDescent="0.2">
      <c r="A560" s="16" t="s">
        <v>30</v>
      </c>
      <c r="B560" s="17" t="s">
        <v>68</v>
      </c>
      <c r="C560" s="17" t="s">
        <v>8</v>
      </c>
      <c r="D560" s="17" t="s">
        <v>10</v>
      </c>
      <c r="E560" s="17" t="s">
        <v>26</v>
      </c>
      <c r="F560" s="17" t="str">
        <f>INDEX(nrg_cb_e!$A$3:$A$40,MATCH(LEFT(MID('Industriesektor GWh'!$B560,41,1000),SEARCH(" - ",MID('Industriesektor GWh'!$B560,41,1000))-1),nrg_cb_e!$C$3:$C$40,0))</f>
        <v>FC_IND_MQ_E</v>
      </c>
      <c r="G560" s="18">
        <v>1083</v>
      </c>
    </row>
    <row r="561" spans="1:7" x14ac:dyDescent="0.2">
      <c r="A561" s="19" t="s">
        <v>30</v>
      </c>
      <c r="B561" s="20" t="s">
        <v>68</v>
      </c>
      <c r="C561" s="20" t="s">
        <v>8</v>
      </c>
      <c r="D561" s="20" t="s">
        <v>10</v>
      </c>
      <c r="E561" s="20" t="s">
        <v>27</v>
      </c>
      <c r="F561" s="20" t="str">
        <f>INDEX(nrg_cb_e!$A$3:$A$40,MATCH(LEFT(MID('Industriesektor GWh'!$B561,41,1000),SEARCH(" - ",MID('Industriesektor GWh'!$B561,41,1000))-1),nrg_cb_e!$C$3:$C$40,0))</f>
        <v>FC_IND_MQ_E</v>
      </c>
      <c r="G561" s="21">
        <v>1103.932</v>
      </c>
    </row>
    <row r="562" spans="1:7" x14ac:dyDescent="0.2">
      <c r="A562" s="16" t="s">
        <v>30</v>
      </c>
      <c r="B562" s="17" t="s">
        <v>68</v>
      </c>
      <c r="C562" s="17" t="s">
        <v>8</v>
      </c>
      <c r="D562" s="17" t="s">
        <v>10</v>
      </c>
      <c r="E562" s="17" t="s">
        <v>28</v>
      </c>
      <c r="F562" s="17" t="str">
        <f>INDEX(nrg_cb_e!$A$3:$A$40,MATCH(LEFT(MID('Industriesektor GWh'!$B562,41,1000),SEARCH(" - ",MID('Industriesektor GWh'!$B562,41,1000))-1),nrg_cb_e!$C$3:$C$40,0))</f>
        <v>FC_IND_MQ_E</v>
      </c>
      <c r="G562" s="18">
        <v>1123.423</v>
      </c>
    </row>
    <row r="563" spans="1:7" x14ac:dyDescent="0.2">
      <c r="A563" s="19" t="s">
        <v>31</v>
      </c>
      <c r="B563" s="20" t="s">
        <v>68</v>
      </c>
      <c r="C563" s="20" t="s">
        <v>8</v>
      </c>
      <c r="D563" s="20" t="s">
        <v>10</v>
      </c>
      <c r="E563" s="20" t="s">
        <v>12</v>
      </c>
      <c r="F563" s="20" t="str">
        <f>INDEX(nrg_cb_e!$A$3:$A$40,MATCH(LEFT(MID('Industriesektor GWh'!$B563,41,1000),SEARCH(" - ",MID('Industriesektor GWh'!$B563,41,1000))-1),nrg_cb_e!$C$3:$C$40,0))</f>
        <v>FC_IND_MQ_E</v>
      </c>
      <c r="G563" s="21">
        <v>184</v>
      </c>
    </row>
    <row r="564" spans="1:7" x14ac:dyDescent="0.2">
      <c r="A564" s="16" t="s">
        <v>31</v>
      </c>
      <c r="B564" s="17" t="s">
        <v>68</v>
      </c>
      <c r="C564" s="17" t="s">
        <v>8</v>
      </c>
      <c r="D564" s="17" t="s">
        <v>10</v>
      </c>
      <c r="E564" s="17" t="s">
        <v>13</v>
      </c>
      <c r="F564" s="17" t="str">
        <f>INDEX(nrg_cb_e!$A$3:$A$40,MATCH(LEFT(MID('Industriesektor GWh'!$B564,41,1000),SEARCH(" - ",MID('Industriesektor GWh'!$B564,41,1000))-1),nrg_cb_e!$C$3:$C$40,0))</f>
        <v>FC_IND_MQ_E</v>
      </c>
      <c r="G564" s="18">
        <v>201</v>
      </c>
    </row>
    <row r="565" spans="1:7" x14ac:dyDescent="0.2">
      <c r="A565" s="19" t="s">
        <v>31</v>
      </c>
      <c r="B565" s="20" t="s">
        <v>68</v>
      </c>
      <c r="C565" s="20" t="s">
        <v>8</v>
      </c>
      <c r="D565" s="20" t="s">
        <v>10</v>
      </c>
      <c r="E565" s="20" t="s">
        <v>14</v>
      </c>
      <c r="F565" s="20" t="str">
        <f>INDEX(nrg_cb_e!$A$3:$A$40,MATCH(LEFT(MID('Industriesektor GWh'!$B565,41,1000),SEARCH(" - ",MID('Industriesektor GWh'!$B565,41,1000))-1),nrg_cb_e!$C$3:$C$40,0))</f>
        <v>FC_IND_MQ_E</v>
      </c>
      <c r="G565" s="21">
        <v>201</v>
      </c>
    </row>
    <row r="566" spans="1:7" x14ac:dyDescent="0.2">
      <c r="A566" s="16" t="s">
        <v>31</v>
      </c>
      <c r="B566" s="17" t="s">
        <v>68</v>
      </c>
      <c r="C566" s="17" t="s">
        <v>8</v>
      </c>
      <c r="D566" s="17" t="s">
        <v>10</v>
      </c>
      <c r="E566" s="17" t="s">
        <v>15</v>
      </c>
      <c r="F566" s="17" t="str">
        <f>INDEX(nrg_cb_e!$A$3:$A$40,MATCH(LEFT(MID('Industriesektor GWh'!$B566,41,1000),SEARCH(" - ",MID('Industriesektor GWh'!$B566,41,1000))-1),nrg_cb_e!$C$3:$C$40,0))</f>
        <v>FC_IND_MQ_E</v>
      </c>
      <c r="G566" s="18">
        <v>201</v>
      </c>
    </row>
    <row r="567" spans="1:7" x14ac:dyDescent="0.2">
      <c r="A567" s="19" t="s">
        <v>31</v>
      </c>
      <c r="B567" s="20" t="s">
        <v>68</v>
      </c>
      <c r="C567" s="20" t="s">
        <v>8</v>
      </c>
      <c r="D567" s="20" t="s">
        <v>10</v>
      </c>
      <c r="E567" s="20" t="s">
        <v>16</v>
      </c>
      <c r="F567" s="20" t="str">
        <f>INDEX(nrg_cb_e!$A$3:$A$40,MATCH(LEFT(MID('Industriesektor GWh'!$B567,41,1000),SEARCH(" - ",MID('Industriesektor GWh'!$B567,41,1000))-1),nrg_cb_e!$C$3:$C$40,0))</f>
        <v>FC_IND_MQ_E</v>
      </c>
      <c r="G567" s="21">
        <v>205</v>
      </c>
    </row>
    <row r="568" spans="1:7" x14ac:dyDescent="0.2">
      <c r="A568" s="16" t="s">
        <v>31</v>
      </c>
      <c r="B568" s="17" t="s">
        <v>68</v>
      </c>
      <c r="C568" s="17" t="s">
        <v>8</v>
      </c>
      <c r="D568" s="17" t="s">
        <v>10</v>
      </c>
      <c r="E568" s="17" t="s">
        <v>17</v>
      </c>
      <c r="F568" s="17" t="str">
        <f>INDEX(nrg_cb_e!$A$3:$A$40,MATCH(LEFT(MID('Industriesektor GWh'!$B568,41,1000),SEARCH(" - ",MID('Industriesektor GWh'!$B568,41,1000))-1),nrg_cb_e!$C$3:$C$40,0))</f>
        <v>FC_IND_MQ_E</v>
      </c>
      <c r="G568" s="18">
        <v>217</v>
      </c>
    </row>
    <row r="569" spans="1:7" x14ac:dyDescent="0.2">
      <c r="A569" s="19" t="s">
        <v>31</v>
      </c>
      <c r="B569" s="20" t="s">
        <v>68</v>
      </c>
      <c r="C569" s="20" t="s">
        <v>8</v>
      </c>
      <c r="D569" s="20" t="s">
        <v>10</v>
      </c>
      <c r="E569" s="20" t="s">
        <v>18</v>
      </c>
      <c r="F569" s="20" t="str">
        <f>INDEX(nrg_cb_e!$A$3:$A$40,MATCH(LEFT(MID('Industriesektor GWh'!$B569,41,1000),SEARCH(" - ",MID('Industriesektor GWh'!$B569,41,1000))-1),nrg_cb_e!$C$3:$C$40,0))</f>
        <v>FC_IND_MQ_E</v>
      </c>
      <c r="G569" s="21">
        <v>333</v>
      </c>
    </row>
    <row r="570" spans="1:7" x14ac:dyDescent="0.2">
      <c r="A570" s="16" t="s">
        <v>31</v>
      </c>
      <c r="B570" s="17" t="s">
        <v>68</v>
      </c>
      <c r="C570" s="17" t="s">
        <v>8</v>
      </c>
      <c r="D570" s="17" t="s">
        <v>10</v>
      </c>
      <c r="E570" s="17" t="s">
        <v>19</v>
      </c>
      <c r="F570" s="17" t="str">
        <f>INDEX(nrg_cb_e!$A$3:$A$40,MATCH(LEFT(MID('Industriesektor GWh'!$B570,41,1000),SEARCH(" - ",MID('Industriesektor GWh'!$B570,41,1000))-1),nrg_cb_e!$C$3:$C$40,0))</f>
        <v>FC_IND_MQ_E</v>
      </c>
      <c r="G570" s="18">
        <v>261</v>
      </c>
    </row>
    <row r="571" spans="1:7" x14ac:dyDescent="0.2">
      <c r="A571" s="19" t="s">
        <v>31</v>
      </c>
      <c r="B571" s="20" t="s">
        <v>68</v>
      </c>
      <c r="C571" s="20" t="s">
        <v>8</v>
      </c>
      <c r="D571" s="20" t="s">
        <v>10</v>
      </c>
      <c r="E571" s="20" t="s">
        <v>20</v>
      </c>
      <c r="F571" s="20" t="str">
        <f>INDEX(nrg_cb_e!$A$3:$A$40,MATCH(LEFT(MID('Industriesektor GWh'!$B571,41,1000),SEARCH(" - ",MID('Industriesektor GWh'!$B571,41,1000))-1),nrg_cb_e!$C$3:$C$40,0))</f>
        <v>FC_IND_MQ_E</v>
      </c>
      <c r="G571" s="21">
        <v>412</v>
      </c>
    </row>
    <row r="572" spans="1:7" x14ac:dyDescent="0.2">
      <c r="A572" s="16" t="s">
        <v>31</v>
      </c>
      <c r="B572" s="17" t="s">
        <v>68</v>
      </c>
      <c r="C572" s="17" t="s">
        <v>8</v>
      </c>
      <c r="D572" s="17" t="s">
        <v>10</v>
      </c>
      <c r="E572" s="17" t="s">
        <v>21</v>
      </c>
      <c r="F572" s="17" t="str">
        <f>INDEX(nrg_cb_e!$A$3:$A$40,MATCH(LEFT(MID('Industriesektor GWh'!$B572,41,1000),SEARCH(" - ",MID('Industriesektor GWh'!$B572,41,1000))-1),nrg_cb_e!$C$3:$C$40,0))</f>
        <v>FC_IND_MQ_E</v>
      </c>
      <c r="G572" s="18">
        <v>393</v>
      </c>
    </row>
    <row r="573" spans="1:7" x14ac:dyDescent="0.2">
      <c r="A573" s="19" t="s">
        <v>31</v>
      </c>
      <c r="B573" s="20" t="s">
        <v>68</v>
      </c>
      <c r="C573" s="20" t="s">
        <v>8</v>
      </c>
      <c r="D573" s="20" t="s">
        <v>10</v>
      </c>
      <c r="E573" s="20" t="s">
        <v>22</v>
      </c>
      <c r="F573" s="20" t="str">
        <f>INDEX(nrg_cb_e!$A$3:$A$40,MATCH(LEFT(MID('Industriesektor GWh'!$B573,41,1000),SEARCH(" - ",MID('Industriesektor GWh'!$B573,41,1000))-1),nrg_cb_e!$C$3:$C$40,0))</f>
        <v>FC_IND_MQ_E</v>
      </c>
      <c r="G573" s="21">
        <v>362</v>
      </c>
    </row>
    <row r="574" spans="1:7" x14ac:dyDescent="0.2">
      <c r="A574" s="16" t="s">
        <v>31</v>
      </c>
      <c r="B574" s="17" t="s">
        <v>68</v>
      </c>
      <c r="C574" s="17" t="s">
        <v>8</v>
      </c>
      <c r="D574" s="17" t="s">
        <v>10</v>
      </c>
      <c r="E574" s="17" t="s">
        <v>23</v>
      </c>
      <c r="F574" s="17" t="str">
        <f>INDEX(nrg_cb_e!$A$3:$A$40,MATCH(LEFT(MID('Industriesektor GWh'!$B574,41,1000),SEARCH(" - ",MID('Industriesektor GWh'!$B574,41,1000))-1),nrg_cb_e!$C$3:$C$40,0))</f>
        <v>FC_IND_MQ_E</v>
      </c>
      <c r="G574" s="18">
        <v>363</v>
      </c>
    </row>
    <row r="575" spans="1:7" x14ac:dyDescent="0.2">
      <c r="A575" s="19" t="s">
        <v>31</v>
      </c>
      <c r="B575" s="20" t="s">
        <v>68</v>
      </c>
      <c r="C575" s="20" t="s">
        <v>8</v>
      </c>
      <c r="D575" s="20" t="s">
        <v>10</v>
      </c>
      <c r="E575" s="20" t="s">
        <v>24</v>
      </c>
      <c r="F575" s="20" t="str">
        <f>INDEX(nrg_cb_e!$A$3:$A$40,MATCH(LEFT(MID('Industriesektor GWh'!$B575,41,1000),SEARCH(" - ",MID('Industriesektor GWh'!$B575,41,1000))-1),nrg_cb_e!$C$3:$C$40,0))</f>
        <v>FC_IND_MQ_E</v>
      </c>
      <c r="G575" s="21">
        <v>354</v>
      </c>
    </row>
    <row r="576" spans="1:7" x14ac:dyDescent="0.2">
      <c r="A576" s="16" t="s">
        <v>31</v>
      </c>
      <c r="B576" s="17" t="s">
        <v>68</v>
      </c>
      <c r="C576" s="17" t="s">
        <v>8</v>
      </c>
      <c r="D576" s="17" t="s">
        <v>10</v>
      </c>
      <c r="E576" s="17" t="s">
        <v>25</v>
      </c>
      <c r="F576" s="17" t="str">
        <f>INDEX(nrg_cb_e!$A$3:$A$40,MATCH(LEFT(MID('Industriesektor GWh'!$B576,41,1000),SEARCH(" - ",MID('Industriesektor GWh'!$B576,41,1000))-1),nrg_cb_e!$C$3:$C$40,0))</f>
        <v>FC_IND_MQ_E</v>
      </c>
      <c r="G576" s="18">
        <v>350</v>
      </c>
    </row>
    <row r="577" spans="1:7" x14ac:dyDescent="0.2">
      <c r="A577" s="19" t="s">
        <v>31</v>
      </c>
      <c r="B577" s="20" t="s">
        <v>68</v>
      </c>
      <c r="C577" s="20" t="s">
        <v>8</v>
      </c>
      <c r="D577" s="20" t="s">
        <v>10</v>
      </c>
      <c r="E577" s="20" t="s">
        <v>26</v>
      </c>
      <c r="F577" s="20" t="str">
        <f>INDEX(nrg_cb_e!$A$3:$A$40,MATCH(LEFT(MID('Industriesektor GWh'!$B577,41,1000),SEARCH(" - ",MID('Industriesektor GWh'!$B577,41,1000))-1),nrg_cb_e!$C$3:$C$40,0))</f>
        <v>FC_IND_MQ_E</v>
      </c>
      <c r="G577" s="21">
        <v>372</v>
      </c>
    </row>
    <row r="578" spans="1:7" x14ac:dyDescent="0.2">
      <c r="A578" s="16" t="s">
        <v>31</v>
      </c>
      <c r="B578" s="17" t="s">
        <v>68</v>
      </c>
      <c r="C578" s="17" t="s">
        <v>8</v>
      </c>
      <c r="D578" s="17" t="s">
        <v>10</v>
      </c>
      <c r="E578" s="17" t="s">
        <v>27</v>
      </c>
      <c r="F578" s="17" t="str">
        <f>INDEX(nrg_cb_e!$A$3:$A$40,MATCH(LEFT(MID('Industriesektor GWh'!$B578,41,1000),SEARCH(" - ",MID('Industriesektor GWh'!$B578,41,1000))-1),nrg_cb_e!$C$3:$C$40,0))</f>
        <v>FC_IND_MQ_E</v>
      </c>
      <c r="G578" s="18">
        <v>375.99599999999998</v>
      </c>
    </row>
    <row r="579" spans="1:7" x14ac:dyDescent="0.2">
      <c r="A579" s="19" t="s">
        <v>31</v>
      </c>
      <c r="B579" s="20" t="s">
        <v>68</v>
      </c>
      <c r="C579" s="20" t="s">
        <v>8</v>
      </c>
      <c r="D579" s="20" t="s">
        <v>10</v>
      </c>
      <c r="E579" s="20" t="s">
        <v>28</v>
      </c>
      <c r="F579" s="20" t="str">
        <f>INDEX(nrg_cb_e!$A$3:$A$40,MATCH(LEFT(MID('Industriesektor GWh'!$B579,41,1000),SEARCH(" - ",MID('Industriesektor GWh'!$B579,41,1000))-1),nrg_cb_e!$C$3:$C$40,0))</f>
        <v>FC_IND_MQ_E</v>
      </c>
      <c r="G579" s="21">
        <v>372.09699999999998</v>
      </c>
    </row>
    <row r="580" spans="1:7" x14ac:dyDescent="0.2">
      <c r="A580" s="16" t="s">
        <v>32</v>
      </c>
      <c r="B580" s="17" t="s">
        <v>68</v>
      </c>
      <c r="C580" s="17" t="s">
        <v>8</v>
      </c>
      <c r="D580" s="17" t="s">
        <v>10</v>
      </c>
      <c r="E580" s="17" t="s">
        <v>12</v>
      </c>
      <c r="F580" s="17" t="str">
        <f>INDEX(nrg_cb_e!$A$3:$A$40,MATCH(LEFT(MID('Industriesektor GWh'!$B580,41,1000),SEARCH(" - ",MID('Industriesektor GWh'!$B580,41,1000))-1),nrg_cb_e!$C$3:$C$40,0))</f>
        <v>FC_IND_MQ_E</v>
      </c>
      <c r="G580" s="18">
        <v>100</v>
      </c>
    </row>
    <row r="581" spans="1:7" x14ac:dyDescent="0.2">
      <c r="A581" s="19" t="s">
        <v>32</v>
      </c>
      <c r="B581" s="20" t="s">
        <v>68</v>
      </c>
      <c r="C581" s="20" t="s">
        <v>8</v>
      </c>
      <c r="D581" s="20" t="s">
        <v>10</v>
      </c>
      <c r="E581" s="20" t="s">
        <v>13</v>
      </c>
      <c r="F581" s="20" t="str">
        <f>INDEX(nrg_cb_e!$A$3:$A$40,MATCH(LEFT(MID('Industriesektor GWh'!$B581,41,1000),SEARCH(" - ",MID('Industriesektor GWh'!$B581,41,1000))-1),nrg_cb_e!$C$3:$C$40,0))</f>
        <v>FC_IND_MQ_E</v>
      </c>
      <c r="G581" s="21">
        <v>89</v>
      </c>
    </row>
    <row r="582" spans="1:7" x14ac:dyDescent="0.2">
      <c r="A582" s="16" t="s">
        <v>32</v>
      </c>
      <c r="B582" s="17" t="s">
        <v>68</v>
      </c>
      <c r="C582" s="17" t="s">
        <v>8</v>
      </c>
      <c r="D582" s="17" t="s">
        <v>10</v>
      </c>
      <c r="E582" s="17" t="s">
        <v>14</v>
      </c>
      <c r="F582" s="17" t="str">
        <f>INDEX(nrg_cb_e!$A$3:$A$40,MATCH(LEFT(MID('Industriesektor GWh'!$B582,41,1000),SEARCH(" - ",MID('Industriesektor GWh'!$B582,41,1000))-1),nrg_cb_e!$C$3:$C$40,0))</f>
        <v>FC_IND_MQ_E</v>
      </c>
      <c r="G582" s="18">
        <v>94</v>
      </c>
    </row>
    <row r="583" spans="1:7" x14ac:dyDescent="0.2">
      <c r="A583" s="19" t="s">
        <v>32</v>
      </c>
      <c r="B583" s="20" t="s">
        <v>68</v>
      </c>
      <c r="C583" s="20" t="s">
        <v>8</v>
      </c>
      <c r="D583" s="20" t="s">
        <v>10</v>
      </c>
      <c r="E583" s="20" t="s">
        <v>15</v>
      </c>
      <c r="F583" s="20" t="str">
        <f>INDEX(nrg_cb_e!$A$3:$A$40,MATCH(LEFT(MID('Industriesektor GWh'!$B583,41,1000),SEARCH(" - ",MID('Industriesektor GWh'!$B583,41,1000))-1),nrg_cb_e!$C$3:$C$40,0))</f>
        <v>FC_IND_MQ_E</v>
      </c>
      <c r="G583" s="21">
        <v>83</v>
      </c>
    </row>
    <row r="584" spans="1:7" x14ac:dyDescent="0.2">
      <c r="A584" s="16" t="s">
        <v>32</v>
      </c>
      <c r="B584" s="17" t="s">
        <v>68</v>
      </c>
      <c r="C584" s="17" t="s">
        <v>8</v>
      </c>
      <c r="D584" s="17" t="s">
        <v>10</v>
      </c>
      <c r="E584" s="17" t="s">
        <v>16</v>
      </c>
      <c r="F584" s="17" t="str">
        <f>INDEX(nrg_cb_e!$A$3:$A$40,MATCH(LEFT(MID('Industriesektor GWh'!$B584,41,1000),SEARCH(" - ",MID('Industriesektor GWh'!$B584,41,1000))-1),nrg_cb_e!$C$3:$C$40,0))</f>
        <v>FC_IND_MQ_E</v>
      </c>
      <c r="G584" s="18">
        <v>80</v>
      </c>
    </row>
    <row r="585" spans="1:7" x14ac:dyDescent="0.2">
      <c r="A585" s="19" t="s">
        <v>32</v>
      </c>
      <c r="B585" s="20" t="s">
        <v>68</v>
      </c>
      <c r="C585" s="20" t="s">
        <v>8</v>
      </c>
      <c r="D585" s="20" t="s">
        <v>10</v>
      </c>
      <c r="E585" s="20" t="s">
        <v>17</v>
      </c>
      <c r="F585" s="20" t="str">
        <f>INDEX(nrg_cb_e!$A$3:$A$40,MATCH(LEFT(MID('Industriesektor GWh'!$B585,41,1000),SEARCH(" - ",MID('Industriesektor GWh'!$B585,41,1000))-1),nrg_cb_e!$C$3:$C$40,0))</f>
        <v>FC_IND_MQ_E</v>
      </c>
      <c r="G585" s="21">
        <v>78</v>
      </c>
    </row>
    <row r="586" spans="1:7" x14ac:dyDescent="0.2">
      <c r="A586" s="16" t="s">
        <v>32</v>
      </c>
      <c r="B586" s="17" t="s">
        <v>68</v>
      </c>
      <c r="C586" s="17" t="s">
        <v>8</v>
      </c>
      <c r="D586" s="17" t="s">
        <v>10</v>
      </c>
      <c r="E586" s="17" t="s">
        <v>18</v>
      </c>
      <c r="F586" s="17" t="str">
        <f>INDEX(nrg_cb_e!$A$3:$A$40,MATCH(LEFT(MID('Industriesektor GWh'!$B586,41,1000),SEARCH(" - ",MID('Industriesektor GWh'!$B586,41,1000))-1),nrg_cb_e!$C$3:$C$40,0))</f>
        <v>FC_IND_MQ_E</v>
      </c>
      <c r="G586" s="18">
        <v>76</v>
      </c>
    </row>
    <row r="587" spans="1:7" x14ac:dyDescent="0.2">
      <c r="A587" s="19" t="s">
        <v>32</v>
      </c>
      <c r="B587" s="20" t="s">
        <v>68</v>
      </c>
      <c r="C587" s="20" t="s">
        <v>8</v>
      </c>
      <c r="D587" s="20" t="s">
        <v>10</v>
      </c>
      <c r="E587" s="20" t="s">
        <v>19</v>
      </c>
      <c r="F587" s="20" t="str">
        <f>INDEX(nrg_cb_e!$A$3:$A$40,MATCH(LEFT(MID('Industriesektor GWh'!$B587,41,1000),SEARCH(" - ",MID('Industriesektor GWh'!$B587,41,1000))-1),nrg_cb_e!$C$3:$C$40,0))</f>
        <v>FC_IND_MQ_E</v>
      </c>
      <c r="G587" s="21">
        <v>70</v>
      </c>
    </row>
    <row r="588" spans="1:7" x14ac:dyDescent="0.2">
      <c r="A588" s="16" t="s">
        <v>32</v>
      </c>
      <c r="B588" s="17" t="s">
        <v>68</v>
      </c>
      <c r="C588" s="17" t="s">
        <v>8</v>
      </c>
      <c r="D588" s="17" t="s">
        <v>10</v>
      </c>
      <c r="E588" s="17" t="s">
        <v>20</v>
      </c>
      <c r="F588" s="17" t="str">
        <f>INDEX(nrg_cb_e!$A$3:$A$40,MATCH(LEFT(MID('Industriesektor GWh'!$B588,41,1000),SEARCH(" - ",MID('Industriesektor GWh'!$B588,41,1000))-1),nrg_cb_e!$C$3:$C$40,0))</f>
        <v>FC_IND_MQ_E</v>
      </c>
      <c r="G588" s="18">
        <v>71</v>
      </c>
    </row>
    <row r="589" spans="1:7" x14ac:dyDescent="0.2">
      <c r="A589" s="19" t="s">
        <v>32</v>
      </c>
      <c r="B589" s="20" t="s">
        <v>68</v>
      </c>
      <c r="C589" s="20" t="s">
        <v>8</v>
      </c>
      <c r="D589" s="20" t="s">
        <v>10</v>
      </c>
      <c r="E589" s="20" t="s">
        <v>21</v>
      </c>
      <c r="F589" s="20" t="str">
        <f>INDEX(nrg_cb_e!$A$3:$A$40,MATCH(LEFT(MID('Industriesektor GWh'!$B589,41,1000),SEARCH(" - ",MID('Industriesektor GWh'!$B589,41,1000))-1),nrg_cb_e!$C$3:$C$40,0))</f>
        <v>FC_IND_MQ_E</v>
      </c>
      <c r="G589" s="21">
        <v>80</v>
      </c>
    </row>
    <row r="590" spans="1:7" x14ac:dyDescent="0.2">
      <c r="A590" s="16" t="s">
        <v>32</v>
      </c>
      <c r="B590" s="17" t="s">
        <v>68</v>
      </c>
      <c r="C590" s="17" t="s">
        <v>8</v>
      </c>
      <c r="D590" s="17" t="s">
        <v>10</v>
      </c>
      <c r="E590" s="17" t="s">
        <v>22</v>
      </c>
      <c r="F590" s="17" t="str">
        <f>INDEX(nrg_cb_e!$A$3:$A$40,MATCH(LEFT(MID('Industriesektor GWh'!$B590,41,1000),SEARCH(" - ",MID('Industriesektor GWh'!$B590,41,1000))-1),nrg_cb_e!$C$3:$C$40,0))</f>
        <v>FC_IND_MQ_E</v>
      </c>
      <c r="G590" s="18">
        <v>102</v>
      </c>
    </row>
    <row r="591" spans="1:7" x14ac:dyDescent="0.2">
      <c r="A591" s="19" t="s">
        <v>32</v>
      </c>
      <c r="B591" s="20" t="s">
        <v>68</v>
      </c>
      <c r="C591" s="20" t="s">
        <v>8</v>
      </c>
      <c r="D591" s="20" t="s">
        <v>10</v>
      </c>
      <c r="E591" s="20" t="s">
        <v>23</v>
      </c>
      <c r="F591" s="20" t="str">
        <f>INDEX(nrg_cb_e!$A$3:$A$40,MATCH(LEFT(MID('Industriesektor GWh'!$B591,41,1000),SEARCH(" - ",MID('Industriesektor GWh'!$B591,41,1000))-1),nrg_cb_e!$C$3:$C$40,0))</f>
        <v>FC_IND_MQ_E</v>
      </c>
      <c r="G591" s="21">
        <v>88</v>
      </c>
    </row>
    <row r="592" spans="1:7" x14ac:dyDescent="0.2">
      <c r="A592" s="16" t="s">
        <v>32</v>
      </c>
      <c r="B592" s="17" t="s">
        <v>68</v>
      </c>
      <c r="C592" s="17" t="s">
        <v>8</v>
      </c>
      <c r="D592" s="17" t="s">
        <v>10</v>
      </c>
      <c r="E592" s="17" t="s">
        <v>24</v>
      </c>
      <c r="F592" s="17" t="str">
        <f>INDEX(nrg_cb_e!$A$3:$A$40,MATCH(LEFT(MID('Industriesektor GWh'!$B592,41,1000),SEARCH(" - ",MID('Industriesektor GWh'!$B592,41,1000))-1),nrg_cb_e!$C$3:$C$40,0))</f>
        <v>FC_IND_MQ_E</v>
      </c>
      <c r="G592" s="18">
        <v>77</v>
      </c>
    </row>
    <row r="593" spans="1:7" x14ac:dyDescent="0.2">
      <c r="A593" s="19" t="s">
        <v>32</v>
      </c>
      <c r="B593" s="20" t="s">
        <v>68</v>
      </c>
      <c r="C593" s="20" t="s">
        <v>8</v>
      </c>
      <c r="D593" s="20" t="s">
        <v>10</v>
      </c>
      <c r="E593" s="20" t="s">
        <v>25</v>
      </c>
      <c r="F593" s="20" t="str">
        <f>INDEX(nrg_cb_e!$A$3:$A$40,MATCH(LEFT(MID('Industriesektor GWh'!$B593,41,1000),SEARCH(" - ",MID('Industriesektor GWh'!$B593,41,1000))-1),nrg_cb_e!$C$3:$C$40,0))</f>
        <v>FC_IND_MQ_E</v>
      </c>
      <c r="G593" s="21">
        <v>90.826999999999998</v>
      </c>
    </row>
    <row r="594" spans="1:7" x14ac:dyDescent="0.2">
      <c r="A594" s="16" t="s">
        <v>32</v>
      </c>
      <c r="B594" s="17" t="s">
        <v>68</v>
      </c>
      <c r="C594" s="17" t="s">
        <v>8</v>
      </c>
      <c r="D594" s="17" t="s">
        <v>10</v>
      </c>
      <c r="E594" s="17" t="s">
        <v>26</v>
      </c>
      <c r="F594" s="17" t="str">
        <f>INDEX(nrg_cb_e!$A$3:$A$40,MATCH(LEFT(MID('Industriesektor GWh'!$B594,41,1000),SEARCH(" - ",MID('Industriesektor GWh'!$B594,41,1000))-1),nrg_cb_e!$C$3:$C$40,0))</f>
        <v>FC_IND_MQ_E</v>
      </c>
      <c r="G594" s="18">
        <v>90.882999999999996</v>
      </c>
    </row>
    <row r="595" spans="1:7" x14ac:dyDescent="0.2">
      <c r="A595" s="19" t="s">
        <v>32</v>
      </c>
      <c r="B595" s="20" t="s">
        <v>68</v>
      </c>
      <c r="C595" s="20" t="s">
        <v>8</v>
      </c>
      <c r="D595" s="20" t="s">
        <v>10</v>
      </c>
      <c r="E595" s="20" t="s">
        <v>27</v>
      </c>
      <c r="F595" s="20" t="str">
        <f>INDEX(nrg_cb_e!$A$3:$A$40,MATCH(LEFT(MID('Industriesektor GWh'!$B595,41,1000),SEARCH(" - ",MID('Industriesektor GWh'!$B595,41,1000))-1),nrg_cb_e!$C$3:$C$40,0))</f>
        <v>FC_IND_MQ_E</v>
      </c>
      <c r="G595" s="21">
        <v>92.278000000000006</v>
      </c>
    </row>
    <row r="596" spans="1:7" x14ac:dyDescent="0.2">
      <c r="A596" s="16" t="s">
        <v>32</v>
      </c>
      <c r="B596" s="17" t="s">
        <v>68</v>
      </c>
      <c r="C596" s="17" t="s">
        <v>8</v>
      </c>
      <c r="D596" s="17" t="s">
        <v>10</v>
      </c>
      <c r="E596" s="17" t="s">
        <v>28</v>
      </c>
      <c r="F596" s="17" t="str">
        <f>INDEX(nrg_cb_e!$A$3:$A$40,MATCH(LEFT(MID('Industriesektor GWh'!$B596,41,1000),SEARCH(" - ",MID('Industriesektor GWh'!$B596,41,1000))-1),nrg_cb_e!$C$3:$C$40,0))</f>
        <v>FC_IND_MQ_E</v>
      </c>
      <c r="G596" s="18">
        <v>92.188000000000002</v>
      </c>
    </row>
    <row r="597" spans="1:7" x14ac:dyDescent="0.2">
      <c r="A597" s="19" t="s">
        <v>33</v>
      </c>
      <c r="B597" s="20" t="s">
        <v>68</v>
      </c>
      <c r="C597" s="20" t="s">
        <v>8</v>
      </c>
      <c r="D597" s="20" t="s">
        <v>10</v>
      </c>
      <c r="E597" s="20" t="s">
        <v>12</v>
      </c>
      <c r="F597" s="20" t="str">
        <f>INDEX(nrg_cb_e!$A$3:$A$40,MATCH(LEFT(MID('Industriesektor GWh'!$B597,41,1000),SEARCH(" - ",MID('Industriesektor GWh'!$B597,41,1000))-1),nrg_cb_e!$C$3:$C$40,0))</f>
        <v>FC_IND_MQ_E</v>
      </c>
      <c r="G597" s="21">
        <v>2092</v>
      </c>
    </row>
    <row r="598" spans="1:7" x14ac:dyDescent="0.2">
      <c r="A598" s="16" t="s">
        <v>33</v>
      </c>
      <c r="B598" s="17" t="s">
        <v>68</v>
      </c>
      <c r="C598" s="17" t="s">
        <v>8</v>
      </c>
      <c r="D598" s="17" t="s">
        <v>10</v>
      </c>
      <c r="E598" s="17" t="s">
        <v>13</v>
      </c>
      <c r="F598" s="17" t="str">
        <f>INDEX(nrg_cb_e!$A$3:$A$40,MATCH(LEFT(MID('Industriesektor GWh'!$B598,41,1000),SEARCH(" - ",MID('Industriesektor GWh'!$B598,41,1000))-1),nrg_cb_e!$C$3:$C$40,0))</f>
        <v>FC_IND_MQ_E</v>
      </c>
      <c r="G598" s="18">
        <v>1932</v>
      </c>
    </row>
    <row r="599" spans="1:7" x14ac:dyDescent="0.2">
      <c r="A599" s="19" t="s">
        <v>33</v>
      </c>
      <c r="B599" s="20" t="s">
        <v>68</v>
      </c>
      <c r="C599" s="20" t="s">
        <v>8</v>
      </c>
      <c r="D599" s="20" t="s">
        <v>10</v>
      </c>
      <c r="E599" s="20" t="s">
        <v>14</v>
      </c>
      <c r="F599" s="20" t="str">
        <f>INDEX(nrg_cb_e!$A$3:$A$40,MATCH(LEFT(MID('Industriesektor GWh'!$B599,41,1000),SEARCH(" - ",MID('Industriesektor GWh'!$B599,41,1000))-1),nrg_cb_e!$C$3:$C$40,0))</f>
        <v>FC_IND_MQ_E</v>
      </c>
      <c r="G599" s="21">
        <v>1966</v>
      </c>
    </row>
    <row r="600" spans="1:7" x14ac:dyDescent="0.2">
      <c r="A600" s="16" t="s">
        <v>33</v>
      </c>
      <c r="B600" s="17" t="s">
        <v>68</v>
      </c>
      <c r="C600" s="17" t="s">
        <v>8</v>
      </c>
      <c r="D600" s="17" t="s">
        <v>10</v>
      </c>
      <c r="E600" s="17" t="s">
        <v>15</v>
      </c>
      <c r="F600" s="17" t="str">
        <f>INDEX(nrg_cb_e!$A$3:$A$40,MATCH(LEFT(MID('Industriesektor GWh'!$B600,41,1000),SEARCH(" - ",MID('Industriesektor GWh'!$B600,41,1000))-1),nrg_cb_e!$C$3:$C$40,0))</f>
        <v>FC_IND_MQ_E</v>
      </c>
      <c r="G600" s="18">
        <v>1902</v>
      </c>
    </row>
    <row r="601" spans="1:7" x14ac:dyDescent="0.2">
      <c r="A601" s="19" t="s">
        <v>33</v>
      </c>
      <c r="B601" s="20" t="s">
        <v>68</v>
      </c>
      <c r="C601" s="20" t="s">
        <v>8</v>
      </c>
      <c r="D601" s="20" t="s">
        <v>10</v>
      </c>
      <c r="E601" s="20" t="s">
        <v>16</v>
      </c>
      <c r="F601" s="20" t="str">
        <f>INDEX(nrg_cb_e!$A$3:$A$40,MATCH(LEFT(MID('Industriesektor GWh'!$B601,41,1000),SEARCH(" - ",MID('Industriesektor GWh'!$B601,41,1000))-1),nrg_cb_e!$C$3:$C$40,0))</f>
        <v>FC_IND_MQ_E</v>
      </c>
      <c r="G601" s="21">
        <v>1927</v>
      </c>
    </row>
    <row r="602" spans="1:7" x14ac:dyDescent="0.2">
      <c r="A602" s="16" t="s">
        <v>33</v>
      </c>
      <c r="B602" s="17" t="s">
        <v>68</v>
      </c>
      <c r="C602" s="17" t="s">
        <v>8</v>
      </c>
      <c r="D602" s="17" t="s">
        <v>10</v>
      </c>
      <c r="E602" s="17" t="s">
        <v>17</v>
      </c>
      <c r="F602" s="17" t="str">
        <f>INDEX(nrg_cb_e!$A$3:$A$40,MATCH(LEFT(MID('Industriesektor GWh'!$B602,41,1000),SEARCH(" - ",MID('Industriesektor GWh'!$B602,41,1000))-1),nrg_cb_e!$C$3:$C$40,0))</f>
        <v>FC_IND_MQ_E</v>
      </c>
      <c r="G602" s="18">
        <v>1962</v>
      </c>
    </row>
    <row r="603" spans="1:7" x14ac:dyDescent="0.2">
      <c r="A603" s="19" t="s">
        <v>33</v>
      </c>
      <c r="B603" s="20" t="s">
        <v>68</v>
      </c>
      <c r="C603" s="20" t="s">
        <v>8</v>
      </c>
      <c r="D603" s="20" t="s">
        <v>10</v>
      </c>
      <c r="E603" s="20" t="s">
        <v>18</v>
      </c>
      <c r="F603" s="20" t="str">
        <f>INDEX(nrg_cb_e!$A$3:$A$40,MATCH(LEFT(MID('Industriesektor GWh'!$B603,41,1000),SEARCH(" - ",MID('Industriesektor GWh'!$B603,41,1000))-1),nrg_cb_e!$C$3:$C$40,0))</f>
        <v>FC_IND_MQ_E</v>
      </c>
      <c r="G603" s="21">
        <v>2373</v>
      </c>
    </row>
    <row r="604" spans="1:7" x14ac:dyDescent="0.2">
      <c r="A604" s="16" t="s">
        <v>33</v>
      </c>
      <c r="B604" s="17" t="s">
        <v>68</v>
      </c>
      <c r="C604" s="17" t="s">
        <v>8</v>
      </c>
      <c r="D604" s="17" t="s">
        <v>10</v>
      </c>
      <c r="E604" s="17" t="s">
        <v>19</v>
      </c>
      <c r="F604" s="17" t="str">
        <f>INDEX(nrg_cb_e!$A$3:$A$40,MATCH(LEFT(MID('Industriesektor GWh'!$B604,41,1000),SEARCH(" - ",MID('Industriesektor GWh'!$B604,41,1000))-1),nrg_cb_e!$C$3:$C$40,0))</f>
        <v>FC_IND_MQ_E</v>
      </c>
      <c r="G604" s="18">
        <v>2101</v>
      </c>
    </row>
    <row r="605" spans="1:7" x14ac:dyDescent="0.2">
      <c r="A605" s="19" t="s">
        <v>33</v>
      </c>
      <c r="B605" s="20" t="s">
        <v>68</v>
      </c>
      <c r="C605" s="20" t="s">
        <v>8</v>
      </c>
      <c r="D605" s="20" t="s">
        <v>10</v>
      </c>
      <c r="E605" s="20" t="s">
        <v>20</v>
      </c>
      <c r="F605" s="20" t="str">
        <f>INDEX(nrg_cb_e!$A$3:$A$40,MATCH(LEFT(MID('Industriesektor GWh'!$B605,41,1000),SEARCH(" - ",MID('Industriesektor GWh'!$B605,41,1000))-1),nrg_cb_e!$C$3:$C$40,0))</f>
        <v>FC_IND_MQ_E</v>
      </c>
      <c r="G605" s="21">
        <v>2158</v>
      </c>
    </row>
    <row r="606" spans="1:7" x14ac:dyDescent="0.2">
      <c r="A606" s="16" t="s">
        <v>33</v>
      </c>
      <c r="B606" s="17" t="s">
        <v>68</v>
      </c>
      <c r="C606" s="17" t="s">
        <v>8</v>
      </c>
      <c r="D606" s="17" t="s">
        <v>10</v>
      </c>
      <c r="E606" s="17" t="s">
        <v>21</v>
      </c>
      <c r="F606" s="17" t="str">
        <f>INDEX(nrg_cb_e!$A$3:$A$40,MATCH(LEFT(MID('Industriesektor GWh'!$B606,41,1000),SEARCH(" - ",MID('Industriesektor GWh'!$B606,41,1000))-1),nrg_cb_e!$C$3:$C$40,0))</f>
        <v>FC_IND_MQ_E</v>
      </c>
      <c r="G606" s="18">
        <v>1920</v>
      </c>
    </row>
    <row r="607" spans="1:7" x14ac:dyDescent="0.2">
      <c r="A607" s="19" t="s">
        <v>33</v>
      </c>
      <c r="B607" s="20" t="s">
        <v>68</v>
      </c>
      <c r="C607" s="20" t="s">
        <v>8</v>
      </c>
      <c r="D607" s="20" t="s">
        <v>10</v>
      </c>
      <c r="E607" s="20" t="s">
        <v>22</v>
      </c>
      <c r="F607" s="20" t="str">
        <f>INDEX(nrg_cb_e!$A$3:$A$40,MATCH(LEFT(MID('Industriesektor GWh'!$B607,41,1000),SEARCH(" - ",MID('Industriesektor GWh'!$B607,41,1000))-1),nrg_cb_e!$C$3:$C$40,0))</f>
        <v>FC_IND_MQ_E</v>
      </c>
      <c r="G607" s="21">
        <v>1800</v>
      </c>
    </row>
    <row r="608" spans="1:7" x14ac:dyDescent="0.2">
      <c r="A608" s="16" t="s">
        <v>33</v>
      </c>
      <c r="B608" s="17" t="s">
        <v>68</v>
      </c>
      <c r="C608" s="17" t="s">
        <v>8</v>
      </c>
      <c r="D608" s="17" t="s">
        <v>10</v>
      </c>
      <c r="E608" s="17" t="s">
        <v>23</v>
      </c>
      <c r="F608" s="17" t="str">
        <f>INDEX(nrg_cb_e!$A$3:$A$40,MATCH(LEFT(MID('Industriesektor GWh'!$B608,41,1000),SEARCH(" - ",MID('Industriesektor GWh'!$B608,41,1000))-1),nrg_cb_e!$C$3:$C$40,0))</f>
        <v>FC_IND_MQ_E</v>
      </c>
      <c r="G608" s="18">
        <v>1747</v>
      </c>
    </row>
    <row r="609" spans="1:7" x14ac:dyDescent="0.2">
      <c r="A609" s="19" t="s">
        <v>33</v>
      </c>
      <c r="B609" s="20" t="s">
        <v>68</v>
      </c>
      <c r="C609" s="20" t="s">
        <v>8</v>
      </c>
      <c r="D609" s="20" t="s">
        <v>10</v>
      </c>
      <c r="E609" s="20" t="s">
        <v>24</v>
      </c>
      <c r="F609" s="20" t="str">
        <f>INDEX(nrg_cb_e!$A$3:$A$40,MATCH(LEFT(MID('Industriesektor GWh'!$B609,41,1000),SEARCH(" - ",MID('Industriesektor GWh'!$B609,41,1000))-1),nrg_cb_e!$C$3:$C$40,0))</f>
        <v>FC_IND_MQ_E</v>
      </c>
      <c r="G609" s="21">
        <v>1768</v>
      </c>
    </row>
    <row r="610" spans="1:7" x14ac:dyDescent="0.2">
      <c r="A610" s="16" t="s">
        <v>33</v>
      </c>
      <c r="B610" s="17" t="s">
        <v>68</v>
      </c>
      <c r="C610" s="17" t="s">
        <v>8</v>
      </c>
      <c r="D610" s="17" t="s">
        <v>10</v>
      </c>
      <c r="E610" s="17" t="s">
        <v>25</v>
      </c>
      <c r="F610" s="17" t="str">
        <f>INDEX(nrg_cb_e!$A$3:$A$40,MATCH(LEFT(MID('Industriesektor GWh'!$B610,41,1000),SEARCH(" - ",MID('Industriesektor GWh'!$B610,41,1000))-1),nrg_cb_e!$C$3:$C$40,0))</f>
        <v>FC_IND_MQ_E</v>
      </c>
      <c r="G610" s="18">
        <v>1740</v>
      </c>
    </row>
    <row r="611" spans="1:7" x14ac:dyDescent="0.2">
      <c r="A611" s="19" t="s">
        <v>33</v>
      </c>
      <c r="B611" s="20" t="s">
        <v>68</v>
      </c>
      <c r="C611" s="20" t="s">
        <v>8</v>
      </c>
      <c r="D611" s="20" t="s">
        <v>10</v>
      </c>
      <c r="E611" s="20" t="s">
        <v>26</v>
      </c>
      <c r="F611" s="20" t="str">
        <f>INDEX(nrg_cb_e!$A$3:$A$40,MATCH(LEFT(MID('Industriesektor GWh'!$B611,41,1000),SEARCH(" - ",MID('Industriesektor GWh'!$B611,41,1000))-1),nrg_cb_e!$C$3:$C$40,0))</f>
        <v>FC_IND_MQ_E</v>
      </c>
      <c r="G611" s="21">
        <v>1783</v>
      </c>
    </row>
    <row r="612" spans="1:7" x14ac:dyDescent="0.2">
      <c r="A612" s="16" t="s">
        <v>33</v>
      </c>
      <c r="B612" s="17" t="s">
        <v>68</v>
      </c>
      <c r="C612" s="17" t="s">
        <v>8</v>
      </c>
      <c r="D612" s="17" t="s">
        <v>10</v>
      </c>
      <c r="E612" s="17" t="s">
        <v>27</v>
      </c>
      <c r="F612" s="17" t="str">
        <f>INDEX(nrg_cb_e!$A$3:$A$40,MATCH(LEFT(MID('Industriesektor GWh'!$B612,41,1000),SEARCH(" - ",MID('Industriesektor GWh'!$B612,41,1000))-1),nrg_cb_e!$C$3:$C$40,0))</f>
        <v>FC_IND_MQ_E</v>
      </c>
      <c r="G612" s="18">
        <v>1768</v>
      </c>
    </row>
    <row r="613" spans="1:7" x14ac:dyDescent="0.2">
      <c r="A613" s="19" t="s">
        <v>33</v>
      </c>
      <c r="B613" s="20" t="s">
        <v>68</v>
      </c>
      <c r="C613" s="20" t="s">
        <v>8</v>
      </c>
      <c r="D613" s="20" t="s">
        <v>10</v>
      </c>
      <c r="E613" s="20" t="s">
        <v>28</v>
      </c>
      <c r="F613" s="20" t="str">
        <f>INDEX(nrg_cb_e!$A$3:$A$40,MATCH(LEFT(MID('Industriesektor GWh'!$B613,41,1000),SEARCH(" - ",MID('Industriesektor GWh'!$B613,41,1000))-1),nrg_cb_e!$C$3:$C$40,0))</f>
        <v>FC_IND_MQ_E</v>
      </c>
      <c r="G613" s="21">
        <v>1774</v>
      </c>
    </row>
    <row r="614" spans="1:7" x14ac:dyDescent="0.2">
      <c r="A614" s="16" t="s">
        <v>34</v>
      </c>
      <c r="B614" s="17" t="s">
        <v>68</v>
      </c>
      <c r="C614" s="17" t="s">
        <v>8</v>
      </c>
      <c r="D614" s="17" t="s">
        <v>10</v>
      </c>
      <c r="E614" s="17" t="s">
        <v>12</v>
      </c>
      <c r="F614" s="17" t="str">
        <f>INDEX(nrg_cb_e!$A$3:$A$40,MATCH(LEFT(MID('Industriesektor GWh'!$B614,41,1000),SEARCH(" - ",MID('Industriesektor GWh'!$B614,41,1000))-1),nrg_cb_e!$C$3:$C$40,0))</f>
        <v>FC_IND_MQ_E</v>
      </c>
      <c r="G614" s="18">
        <v>12</v>
      </c>
    </row>
    <row r="615" spans="1:7" x14ac:dyDescent="0.2">
      <c r="A615" s="19" t="s">
        <v>34</v>
      </c>
      <c r="B615" s="20" t="s">
        <v>68</v>
      </c>
      <c r="C615" s="20" t="s">
        <v>8</v>
      </c>
      <c r="D615" s="20" t="s">
        <v>10</v>
      </c>
      <c r="E615" s="20" t="s">
        <v>13</v>
      </c>
      <c r="F615" s="20" t="str">
        <f>INDEX(nrg_cb_e!$A$3:$A$40,MATCH(LEFT(MID('Industriesektor GWh'!$B615,41,1000),SEARCH(" - ",MID('Industriesektor GWh'!$B615,41,1000))-1),nrg_cb_e!$C$3:$C$40,0))</f>
        <v>FC_IND_MQ_E</v>
      </c>
      <c r="G615" s="21">
        <v>17</v>
      </c>
    </row>
    <row r="616" spans="1:7" x14ac:dyDescent="0.2">
      <c r="A616" s="16" t="s">
        <v>34</v>
      </c>
      <c r="B616" s="17" t="s">
        <v>68</v>
      </c>
      <c r="C616" s="17" t="s">
        <v>8</v>
      </c>
      <c r="D616" s="17" t="s">
        <v>10</v>
      </c>
      <c r="E616" s="17" t="s">
        <v>14</v>
      </c>
      <c r="F616" s="17" t="str">
        <f>INDEX(nrg_cb_e!$A$3:$A$40,MATCH(LEFT(MID('Industriesektor GWh'!$B616,41,1000),SEARCH(" - ",MID('Industriesektor GWh'!$B616,41,1000))-1),nrg_cb_e!$C$3:$C$40,0))</f>
        <v>FC_IND_MQ_E</v>
      </c>
      <c r="G616" s="18">
        <v>19</v>
      </c>
    </row>
    <row r="617" spans="1:7" x14ac:dyDescent="0.2">
      <c r="A617" s="19" t="s">
        <v>34</v>
      </c>
      <c r="B617" s="20" t="s">
        <v>68</v>
      </c>
      <c r="C617" s="20" t="s">
        <v>8</v>
      </c>
      <c r="D617" s="20" t="s">
        <v>10</v>
      </c>
      <c r="E617" s="20" t="s">
        <v>15</v>
      </c>
      <c r="F617" s="20" t="str">
        <f>INDEX(nrg_cb_e!$A$3:$A$40,MATCH(LEFT(MID('Industriesektor GWh'!$B617,41,1000),SEARCH(" - ",MID('Industriesektor GWh'!$B617,41,1000))-1),nrg_cb_e!$C$3:$C$40,0))</f>
        <v>FC_IND_MQ_E</v>
      </c>
      <c r="G617" s="21">
        <v>20</v>
      </c>
    </row>
    <row r="618" spans="1:7" x14ac:dyDescent="0.2">
      <c r="A618" s="16" t="s">
        <v>34</v>
      </c>
      <c r="B618" s="17" t="s">
        <v>68</v>
      </c>
      <c r="C618" s="17" t="s">
        <v>8</v>
      </c>
      <c r="D618" s="17" t="s">
        <v>10</v>
      </c>
      <c r="E618" s="17" t="s">
        <v>16</v>
      </c>
      <c r="F618" s="17" t="str">
        <f>INDEX(nrg_cb_e!$A$3:$A$40,MATCH(LEFT(MID('Industriesektor GWh'!$B618,41,1000),SEARCH(" - ",MID('Industriesektor GWh'!$B618,41,1000))-1),nrg_cb_e!$C$3:$C$40,0))</f>
        <v>FC_IND_MQ_E</v>
      </c>
      <c r="G618" s="18">
        <v>20</v>
      </c>
    </row>
    <row r="619" spans="1:7" x14ac:dyDescent="0.2">
      <c r="A619" s="19" t="s">
        <v>34</v>
      </c>
      <c r="B619" s="20" t="s">
        <v>68</v>
      </c>
      <c r="C619" s="20" t="s">
        <v>8</v>
      </c>
      <c r="D619" s="20" t="s">
        <v>10</v>
      </c>
      <c r="E619" s="20" t="s">
        <v>17</v>
      </c>
      <c r="F619" s="20" t="str">
        <f>INDEX(nrg_cb_e!$A$3:$A$40,MATCH(LEFT(MID('Industriesektor GWh'!$B619,41,1000),SEARCH(" - ",MID('Industriesektor GWh'!$B619,41,1000))-1),nrg_cb_e!$C$3:$C$40,0))</f>
        <v>FC_IND_MQ_E</v>
      </c>
      <c r="G619" s="21">
        <v>20</v>
      </c>
    </row>
    <row r="620" spans="1:7" x14ac:dyDescent="0.2">
      <c r="A620" s="16" t="s">
        <v>34</v>
      </c>
      <c r="B620" s="17" t="s">
        <v>68</v>
      </c>
      <c r="C620" s="17" t="s">
        <v>8</v>
      </c>
      <c r="D620" s="17" t="s">
        <v>10</v>
      </c>
      <c r="E620" s="17" t="s">
        <v>18</v>
      </c>
      <c r="F620" s="17" t="str">
        <f>INDEX(nrg_cb_e!$A$3:$A$40,MATCH(LEFT(MID('Industriesektor GWh'!$B620,41,1000),SEARCH(" - ",MID('Industriesektor GWh'!$B620,41,1000))-1),nrg_cb_e!$C$3:$C$40,0))</f>
        <v>FC_IND_MQ_E</v>
      </c>
      <c r="G620" s="18">
        <v>19</v>
      </c>
    </row>
    <row r="621" spans="1:7" x14ac:dyDescent="0.2">
      <c r="A621" s="19" t="s">
        <v>34</v>
      </c>
      <c r="B621" s="20" t="s">
        <v>68</v>
      </c>
      <c r="C621" s="20" t="s">
        <v>8</v>
      </c>
      <c r="D621" s="20" t="s">
        <v>10</v>
      </c>
      <c r="E621" s="20" t="s">
        <v>19</v>
      </c>
      <c r="F621" s="20" t="str">
        <f>INDEX(nrg_cb_e!$A$3:$A$40,MATCH(LEFT(MID('Industriesektor GWh'!$B621,41,1000),SEARCH(" - ",MID('Industriesektor GWh'!$B621,41,1000))-1),nrg_cb_e!$C$3:$C$40,0))</f>
        <v>FC_IND_MQ_E</v>
      </c>
      <c r="G621" s="21">
        <v>16</v>
      </c>
    </row>
    <row r="622" spans="1:7" x14ac:dyDescent="0.2">
      <c r="A622" s="16" t="s">
        <v>34</v>
      </c>
      <c r="B622" s="17" t="s">
        <v>68</v>
      </c>
      <c r="C622" s="17" t="s">
        <v>8</v>
      </c>
      <c r="D622" s="17" t="s">
        <v>10</v>
      </c>
      <c r="E622" s="17" t="s">
        <v>20</v>
      </c>
      <c r="F622" s="17" t="str">
        <f>INDEX(nrg_cb_e!$A$3:$A$40,MATCH(LEFT(MID('Industriesektor GWh'!$B622,41,1000),SEARCH(" - ",MID('Industriesektor GWh'!$B622,41,1000))-1),nrg_cb_e!$C$3:$C$40,0))</f>
        <v>FC_IND_MQ_E</v>
      </c>
      <c r="G622" s="18">
        <v>15</v>
      </c>
    </row>
    <row r="623" spans="1:7" x14ac:dyDescent="0.2">
      <c r="A623" s="19" t="s">
        <v>34</v>
      </c>
      <c r="B623" s="20" t="s">
        <v>68</v>
      </c>
      <c r="C623" s="20" t="s">
        <v>8</v>
      </c>
      <c r="D623" s="20" t="s">
        <v>10</v>
      </c>
      <c r="E623" s="20" t="s">
        <v>21</v>
      </c>
      <c r="F623" s="20" t="str">
        <f>INDEX(nrg_cb_e!$A$3:$A$40,MATCH(LEFT(MID('Industriesektor GWh'!$B623,41,1000),SEARCH(" - ",MID('Industriesektor GWh'!$B623,41,1000))-1),nrg_cb_e!$C$3:$C$40,0))</f>
        <v>FC_IND_MQ_E</v>
      </c>
      <c r="G623" s="21">
        <v>16</v>
      </c>
    </row>
    <row r="624" spans="1:7" x14ac:dyDescent="0.2">
      <c r="A624" s="16" t="s">
        <v>34</v>
      </c>
      <c r="B624" s="17" t="s">
        <v>68</v>
      </c>
      <c r="C624" s="17" t="s">
        <v>8</v>
      </c>
      <c r="D624" s="17" t="s">
        <v>10</v>
      </c>
      <c r="E624" s="17" t="s">
        <v>22</v>
      </c>
      <c r="F624" s="17" t="str">
        <f>INDEX(nrg_cb_e!$A$3:$A$40,MATCH(LEFT(MID('Industriesektor GWh'!$B624,41,1000),SEARCH(" - ",MID('Industriesektor GWh'!$B624,41,1000))-1),nrg_cb_e!$C$3:$C$40,0))</f>
        <v>FC_IND_MQ_E</v>
      </c>
      <c r="G624" s="18">
        <v>19</v>
      </c>
    </row>
    <row r="625" spans="1:7" x14ac:dyDescent="0.2">
      <c r="A625" s="19" t="s">
        <v>34</v>
      </c>
      <c r="B625" s="20" t="s">
        <v>68</v>
      </c>
      <c r="C625" s="20" t="s">
        <v>8</v>
      </c>
      <c r="D625" s="20" t="s">
        <v>10</v>
      </c>
      <c r="E625" s="20" t="s">
        <v>23</v>
      </c>
      <c r="F625" s="20" t="str">
        <f>INDEX(nrg_cb_e!$A$3:$A$40,MATCH(LEFT(MID('Industriesektor GWh'!$B625,41,1000),SEARCH(" - ",MID('Industriesektor GWh'!$B625,41,1000))-1),nrg_cb_e!$C$3:$C$40,0))</f>
        <v>FC_IND_MQ_E</v>
      </c>
      <c r="G625" s="21">
        <v>19</v>
      </c>
    </row>
    <row r="626" spans="1:7" x14ac:dyDescent="0.2">
      <c r="A626" s="16" t="s">
        <v>34</v>
      </c>
      <c r="B626" s="17" t="s">
        <v>68</v>
      </c>
      <c r="C626" s="17" t="s">
        <v>8</v>
      </c>
      <c r="D626" s="17" t="s">
        <v>10</v>
      </c>
      <c r="E626" s="17" t="s">
        <v>24</v>
      </c>
      <c r="F626" s="17" t="str">
        <f>INDEX(nrg_cb_e!$A$3:$A$40,MATCH(LEFT(MID('Industriesektor GWh'!$B626,41,1000),SEARCH(" - ",MID('Industriesektor GWh'!$B626,41,1000))-1),nrg_cb_e!$C$3:$C$40,0))</f>
        <v>FC_IND_MQ_E</v>
      </c>
      <c r="G626" s="18">
        <v>18</v>
      </c>
    </row>
    <row r="627" spans="1:7" x14ac:dyDescent="0.2">
      <c r="A627" s="19" t="s">
        <v>34</v>
      </c>
      <c r="B627" s="20" t="s">
        <v>68</v>
      </c>
      <c r="C627" s="20" t="s">
        <v>8</v>
      </c>
      <c r="D627" s="20" t="s">
        <v>10</v>
      </c>
      <c r="E627" s="20" t="s">
        <v>25</v>
      </c>
      <c r="F627" s="20" t="str">
        <f>INDEX(nrg_cb_e!$A$3:$A$40,MATCH(LEFT(MID('Industriesektor GWh'!$B627,41,1000),SEARCH(" - ",MID('Industriesektor GWh'!$B627,41,1000))-1),nrg_cb_e!$C$3:$C$40,0))</f>
        <v>FC_IND_MQ_E</v>
      </c>
      <c r="G627" s="21">
        <v>18</v>
      </c>
    </row>
    <row r="628" spans="1:7" x14ac:dyDescent="0.2">
      <c r="A628" s="16" t="s">
        <v>34</v>
      </c>
      <c r="B628" s="17" t="s">
        <v>68</v>
      </c>
      <c r="C628" s="17" t="s">
        <v>8</v>
      </c>
      <c r="D628" s="17" t="s">
        <v>10</v>
      </c>
      <c r="E628" s="17" t="s">
        <v>26</v>
      </c>
      <c r="F628" s="17" t="str">
        <f>INDEX(nrg_cb_e!$A$3:$A$40,MATCH(LEFT(MID('Industriesektor GWh'!$B628,41,1000),SEARCH(" - ",MID('Industriesektor GWh'!$B628,41,1000))-1),nrg_cb_e!$C$3:$C$40,0))</f>
        <v>FC_IND_MQ_E</v>
      </c>
      <c r="G628" s="18">
        <v>18</v>
      </c>
    </row>
    <row r="629" spans="1:7" x14ac:dyDescent="0.2">
      <c r="A629" s="19" t="s">
        <v>34</v>
      </c>
      <c r="B629" s="20" t="s">
        <v>68</v>
      </c>
      <c r="C629" s="20" t="s">
        <v>8</v>
      </c>
      <c r="D629" s="20" t="s">
        <v>10</v>
      </c>
      <c r="E629" s="20" t="s">
        <v>27</v>
      </c>
      <c r="F629" s="20" t="str">
        <f>INDEX(nrg_cb_e!$A$3:$A$40,MATCH(LEFT(MID('Industriesektor GWh'!$B629,41,1000),SEARCH(" - ",MID('Industriesektor GWh'!$B629,41,1000))-1),nrg_cb_e!$C$3:$C$40,0))</f>
        <v>FC_IND_MQ_E</v>
      </c>
      <c r="G629" s="21">
        <v>10</v>
      </c>
    </row>
    <row r="630" spans="1:7" x14ac:dyDescent="0.2">
      <c r="A630" s="16" t="s">
        <v>34</v>
      </c>
      <c r="B630" s="17" t="s">
        <v>68</v>
      </c>
      <c r="C630" s="17" t="s">
        <v>8</v>
      </c>
      <c r="D630" s="17" t="s">
        <v>10</v>
      </c>
      <c r="E630" s="17" t="s">
        <v>28</v>
      </c>
      <c r="F630" s="17" t="str">
        <f>INDEX(nrg_cb_e!$A$3:$A$40,MATCH(LEFT(MID('Industriesektor GWh'!$B630,41,1000),SEARCH(" - ",MID('Industriesektor GWh'!$B630,41,1000))-1),nrg_cb_e!$C$3:$C$40,0))</f>
        <v>FC_IND_MQ_E</v>
      </c>
      <c r="G630" s="18">
        <v>20</v>
      </c>
    </row>
    <row r="631" spans="1:7" x14ac:dyDescent="0.2">
      <c r="A631" s="19" t="s">
        <v>35</v>
      </c>
      <c r="B631" s="20" t="s">
        <v>68</v>
      </c>
      <c r="C631" s="20" t="s">
        <v>8</v>
      </c>
      <c r="D631" s="20" t="s">
        <v>10</v>
      </c>
      <c r="E631" s="20" t="s">
        <v>12</v>
      </c>
      <c r="F631" s="20" t="str">
        <f>INDEX(nrg_cb_e!$A$3:$A$40,MATCH(LEFT(MID('Industriesektor GWh'!$B631,41,1000),SEARCH(" - ",MID('Industriesektor GWh'!$B631,41,1000))-1),nrg_cb_e!$C$3:$C$40,0))</f>
        <v>FC_IND_MQ_E</v>
      </c>
      <c r="G631" s="21">
        <v>465.17399999999998</v>
      </c>
    </row>
    <row r="632" spans="1:7" x14ac:dyDescent="0.2">
      <c r="A632" s="16" t="s">
        <v>35</v>
      </c>
      <c r="B632" s="17" t="s">
        <v>68</v>
      </c>
      <c r="C632" s="17" t="s">
        <v>8</v>
      </c>
      <c r="D632" s="17" t="s">
        <v>10</v>
      </c>
      <c r="E632" s="17" t="s">
        <v>13</v>
      </c>
      <c r="F632" s="17" t="str">
        <f>INDEX(nrg_cb_e!$A$3:$A$40,MATCH(LEFT(MID('Industriesektor GWh'!$B632,41,1000),SEARCH(" - ",MID('Industriesektor GWh'!$B632,41,1000))-1),nrg_cb_e!$C$3:$C$40,0))</f>
        <v>FC_IND_MQ_E</v>
      </c>
      <c r="G632" s="18">
        <v>433.142</v>
      </c>
    </row>
    <row r="633" spans="1:7" x14ac:dyDescent="0.2">
      <c r="A633" s="19" t="s">
        <v>35</v>
      </c>
      <c r="B633" s="20" t="s">
        <v>68</v>
      </c>
      <c r="C633" s="20" t="s">
        <v>8</v>
      </c>
      <c r="D633" s="20" t="s">
        <v>10</v>
      </c>
      <c r="E633" s="20" t="s">
        <v>14</v>
      </c>
      <c r="F633" s="20" t="str">
        <f>INDEX(nrg_cb_e!$A$3:$A$40,MATCH(LEFT(MID('Industriesektor GWh'!$B633,41,1000),SEARCH(" - ",MID('Industriesektor GWh'!$B633,41,1000))-1),nrg_cb_e!$C$3:$C$40,0))</f>
        <v>FC_IND_MQ_E</v>
      </c>
      <c r="G633" s="21">
        <v>409.92200000000003</v>
      </c>
    </row>
    <row r="634" spans="1:7" x14ac:dyDescent="0.2">
      <c r="A634" s="16" t="s">
        <v>35</v>
      </c>
      <c r="B634" s="17" t="s">
        <v>68</v>
      </c>
      <c r="C634" s="17" t="s">
        <v>8</v>
      </c>
      <c r="D634" s="17" t="s">
        <v>10</v>
      </c>
      <c r="E634" s="17" t="s">
        <v>15</v>
      </c>
      <c r="F634" s="17" t="str">
        <f>INDEX(nrg_cb_e!$A$3:$A$40,MATCH(LEFT(MID('Industriesektor GWh'!$B634,41,1000),SEARCH(" - ",MID('Industriesektor GWh'!$B634,41,1000))-1),nrg_cb_e!$C$3:$C$40,0))</f>
        <v>FC_IND_MQ_E</v>
      </c>
      <c r="G634" s="18">
        <v>456.839</v>
      </c>
    </row>
    <row r="635" spans="1:7" x14ac:dyDescent="0.2">
      <c r="A635" s="19" t="s">
        <v>35</v>
      </c>
      <c r="B635" s="20" t="s">
        <v>68</v>
      </c>
      <c r="C635" s="20" t="s">
        <v>8</v>
      </c>
      <c r="D635" s="20" t="s">
        <v>10</v>
      </c>
      <c r="E635" s="20" t="s">
        <v>16</v>
      </c>
      <c r="F635" s="20" t="str">
        <f>INDEX(nrg_cb_e!$A$3:$A$40,MATCH(LEFT(MID('Industriesektor GWh'!$B635,41,1000),SEARCH(" - ",MID('Industriesektor GWh'!$B635,41,1000))-1),nrg_cb_e!$C$3:$C$40,0))</f>
        <v>FC_IND_MQ_E</v>
      </c>
      <c r="G635" s="21">
        <v>649.64400000000001</v>
      </c>
    </row>
    <row r="636" spans="1:7" x14ac:dyDescent="0.2">
      <c r="A636" s="16" t="s">
        <v>35</v>
      </c>
      <c r="B636" s="17" t="s">
        <v>68</v>
      </c>
      <c r="C636" s="17" t="s">
        <v>8</v>
      </c>
      <c r="D636" s="17" t="s">
        <v>10</v>
      </c>
      <c r="E636" s="17" t="s">
        <v>17</v>
      </c>
      <c r="F636" s="17" t="str">
        <f>INDEX(nrg_cb_e!$A$3:$A$40,MATCH(LEFT(MID('Industriesektor GWh'!$B636,41,1000),SEARCH(" - ",MID('Industriesektor GWh'!$B636,41,1000))-1),nrg_cb_e!$C$3:$C$40,0))</f>
        <v>FC_IND_MQ_E</v>
      </c>
      <c r="G636" s="18">
        <v>675.10799999999995</v>
      </c>
    </row>
    <row r="637" spans="1:7" x14ac:dyDescent="0.2">
      <c r="A637" s="19" t="s">
        <v>35</v>
      </c>
      <c r="B637" s="20" t="s">
        <v>68</v>
      </c>
      <c r="C637" s="20" t="s">
        <v>8</v>
      </c>
      <c r="D637" s="20" t="s">
        <v>10</v>
      </c>
      <c r="E637" s="20" t="s">
        <v>18</v>
      </c>
      <c r="F637" s="20" t="str">
        <f>INDEX(nrg_cb_e!$A$3:$A$40,MATCH(LEFT(MID('Industriesektor GWh'!$B637,41,1000),SEARCH(" - ",MID('Industriesektor GWh'!$B637,41,1000))-1),nrg_cb_e!$C$3:$C$40,0))</f>
        <v>FC_IND_MQ_E</v>
      </c>
      <c r="G637" s="21">
        <v>588.01300000000003</v>
      </c>
    </row>
    <row r="638" spans="1:7" x14ac:dyDescent="0.2">
      <c r="A638" s="16" t="s">
        <v>35</v>
      </c>
      <c r="B638" s="17" t="s">
        <v>68</v>
      </c>
      <c r="C638" s="17" t="s">
        <v>8</v>
      </c>
      <c r="D638" s="17" t="s">
        <v>10</v>
      </c>
      <c r="E638" s="17" t="s">
        <v>19</v>
      </c>
      <c r="F638" s="17" t="str">
        <f>INDEX(nrg_cb_e!$A$3:$A$40,MATCH(LEFT(MID('Industriesektor GWh'!$B638,41,1000),SEARCH(" - ",MID('Industriesektor GWh'!$B638,41,1000))-1),nrg_cb_e!$C$3:$C$40,0))</f>
        <v>FC_IND_MQ_E</v>
      </c>
      <c r="G638" s="18">
        <v>643.221</v>
      </c>
    </row>
    <row r="639" spans="1:7" x14ac:dyDescent="0.2">
      <c r="A639" s="19" t="s">
        <v>35</v>
      </c>
      <c r="B639" s="20" t="s">
        <v>68</v>
      </c>
      <c r="C639" s="20" t="s">
        <v>8</v>
      </c>
      <c r="D639" s="20" t="s">
        <v>10</v>
      </c>
      <c r="E639" s="20" t="s">
        <v>20</v>
      </c>
      <c r="F639" s="20" t="str">
        <f>INDEX(nrg_cb_e!$A$3:$A$40,MATCH(LEFT(MID('Industriesektor GWh'!$B639,41,1000),SEARCH(" - ",MID('Industriesektor GWh'!$B639,41,1000))-1),nrg_cb_e!$C$3:$C$40,0))</f>
        <v>FC_IND_MQ_E</v>
      </c>
      <c r="G639" s="21">
        <v>652.70100000000002</v>
      </c>
    </row>
    <row r="640" spans="1:7" x14ac:dyDescent="0.2">
      <c r="A640" s="16" t="s">
        <v>35</v>
      </c>
      <c r="B640" s="17" t="s">
        <v>68</v>
      </c>
      <c r="C640" s="17" t="s">
        <v>8</v>
      </c>
      <c r="D640" s="17" t="s">
        <v>10</v>
      </c>
      <c r="E640" s="17" t="s">
        <v>21</v>
      </c>
      <c r="F640" s="17" t="str">
        <f>INDEX(nrg_cb_e!$A$3:$A$40,MATCH(LEFT(MID('Industriesektor GWh'!$B640,41,1000),SEARCH(" - ",MID('Industriesektor GWh'!$B640,41,1000))-1),nrg_cb_e!$C$3:$C$40,0))</f>
        <v>FC_IND_MQ_E</v>
      </c>
      <c r="G640" s="18">
        <v>681.404</v>
      </c>
    </row>
    <row r="641" spans="1:7" x14ac:dyDescent="0.2">
      <c r="A641" s="19" t="s">
        <v>35</v>
      </c>
      <c r="B641" s="20" t="s">
        <v>68</v>
      </c>
      <c r="C641" s="20" t="s">
        <v>8</v>
      </c>
      <c r="D641" s="20" t="s">
        <v>10</v>
      </c>
      <c r="E641" s="20" t="s">
        <v>22</v>
      </c>
      <c r="F641" s="20" t="str">
        <f>INDEX(nrg_cb_e!$A$3:$A$40,MATCH(LEFT(MID('Industriesektor GWh'!$B641,41,1000),SEARCH(" - ",MID('Industriesektor GWh'!$B641,41,1000))-1),nrg_cb_e!$C$3:$C$40,0))</f>
        <v>FC_IND_MQ_E</v>
      </c>
      <c r="G641" s="21">
        <v>655.83299999999997</v>
      </c>
    </row>
    <row r="642" spans="1:7" x14ac:dyDescent="0.2">
      <c r="A642" s="16" t="s">
        <v>35</v>
      </c>
      <c r="B642" s="17" t="s">
        <v>68</v>
      </c>
      <c r="C642" s="17" t="s">
        <v>8</v>
      </c>
      <c r="D642" s="17" t="s">
        <v>10</v>
      </c>
      <c r="E642" s="17" t="s">
        <v>23</v>
      </c>
      <c r="F642" s="17" t="str">
        <f>INDEX(nrg_cb_e!$A$3:$A$40,MATCH(LEFT(MID('Industriesektor GWh'!$B642,41,1000),SEARCH(" - ",MID('Industriesektor GWh'!$B642,41,1000))-1),nrg_cb_e!$C$3:$C$40,0))</f>
        <v>FC_IND_MQ_E</v>
      </c>
      <c r="G642" s="18">
        <v>666.00400000000002</v>
      </c>
    </row>
    <row r="643" spans="1:7" x14ac:dyDescent="0.2">
      <c r="A643" s="19" t="s">
        <v>35</v>
      </c>
      <c r="B643" s="20" t="s">
        <v>68</v>
      </c>
      <c r="C643" s="20" t="s">
        <v>8</v>
      </c>
      <c r="D643" s="20" t="s">
        <v>10</v>
      </c>
      <c r="E643" s="20" t="s">
        <v>24</v>
      </c>
      <c r="F643" s="20" t="str">
        <f>INDEX(nrg_cb_e!$A$3:$A$40,MATCH(LEFT(MID('Industriesektor GWh'!$B643,41,1000),SEARCH(" - ",MID('Industriesektor GWh'!$B643,41,1000))-1),nrg_cb_e!$C$3:$C$40,0))</f>
        <v>FC_IND_MQ_E</v>
      </c>
      <c r="G643" s="21">
        <v>673.95799999999997</v>
      </c>
    </row>
    <row r="644" spans="1:7" x14ac:dyDescent="0.2">
      <c r="A644" s="16" t="s">
        <v>35</v>
      </c>
      <c r="B644" s="17" t="s">
        <v>68</v>
      </c>
      <c r="C644" s="17" t="s">
        <v>8</v>
      </c>
      <c r="D644" s="17" t="s">
        <v>10</v>
      </c>
      <c r="E644" s="17" t="s">
        <v>25</v>
      </c>
      <c r="F644" s="17" t="str">
        <f>INDEX(nrg_cb_e!$A$3:$A$40,MATCH(LEFT(MID('Industriesektor GWh'!$B644,41,1000),SEARCH(" - ",MID('Industriesektor GWh'!$B644,41,1000))-1),nrg_cb_e!$C$3:$C$40,0))</f>
        <v>FC_IND_MQ_E</v>
      </c>
      <c r="G644" s="18">
        <v>705.93100000000004</v>
      </c>
    </row>
    <row r="645" spans="1:7" x14ac:dyDescent="0.2">
      <c r="A645" s="19" t="s">
        <v>35</v>
      </c>
      <c r="B645" s="20" t="s">
        <v>68</v>
      </c>
      <c r="C645" s="20" t="s">
        <v>8</v>
      </c>
      <c r="D645" s="20" t="s">
        <v>10</v>
      </c>
      <c r="E645" s="20" t="s">
        <v>26</v>
      </c>
      <c r="F645" s="20" t="str">
        <f>INDEX(nrg_cb_e!$A$3:$A$40,MATCH(LEFT(MID('Industriesektor GWh'!$B645,41,1000),SEARCH(" - ",MID('Industriesektor GWh'!$B645,41,1000))-1),nrg_cb_e!$C$3:$C$40,0))</f>
        <v>FC_IND_MQ_E</v>
      </c>
      <c r="G645" s="21">
        <v>728.90300000000002</v>
      </c>
    </row>
    <row r="646" spans="1:7" x14ac:dyDescent="0.2">
      <c r="A646" s="16" t="s">
        <v>35</v>
      </c>
      <c r="B646" s="17" t="s">
        <v>68</v>
      </c>
      <c r="C646" s="17" t="s">
        <v>8</v>
      </c>
      <c r="D646" s="17" t="s">
        <v>10</v>
      </c>
      <c r="E646" s="17" t="s">
        <v>27</v>
      </c>
      <c r="F646" s="17" t="str">
        <f>INDEX(nrg_cb_e!$A$3:$A$40,MATCH(LEFT(MID('Industriesektor GWh'!$B646,41,1000),SEARCH(" - ",MID('Industriesektor GWh'!$B646,41,1000))-1),nrg_cb_e!$C$3:$C$40,0))</f>
        <v>FC_IND_MQ_E</v>
      </c>
      <c r="G646" s="18">
        <v>737.01</v>
      </c>
    </row>
    <row r="647" spans="1:7" x14ac:dyDescent="0.2">
      <c r="A647" s="19" t="s">
        <v>35</v>
      </c>
      <c r="B647" s="20" t="s">
        <v>68</v>
      </c>
      <c r="C647" s="20" t="s">
        <v>8</v>
      </c>
      <c r="D647" s="20" t="s">
        <v>10</v>
      </c>
      <c r="E647" s="20" t="s">
        <v>28</v>
      </c>
      <c r="F647" s="20" t="str">
        <f>INDEX(nrg_cb_e!$A$3:$A$40,MATCH(LEFT(MID('Industriesektor GWh'!$B647,41,1000),SEARCH(" - ",MID('Industriesektor GWh'!$B647,41,1000))-1),nrg_cb_e!$C$3:$C$40,0))</f>
        <v>FC_IND_MQ_E</v>
      </c>
      <c r="G647" s="21">
        <v>784.34500000000003</v>
      </c>
    </row>
    <row r="648" spans="1:7" x14ac:dyDescent="0.2">
      <c r="A648" s="16" t="s">
        <v>36</v>
      </c>
      <c r="B648" s="17" t="s">
        <v>68</v>
      </c>
      <c r="C648" s="17" t="s">
        <v>8</v>
      </c>
      <c r="D648" s="17" t="s">
        <v>10</v>
      </c>
      <c r="E648" s="17" t="s">
        <v>12</v>
      </c>
      <c r="F648" s="17" t="str">
        <f>INDEX(nrg_cb_e!$A$3:$A$40,MATCH(LEFT(MID('Industriesektor GWh'!$B648,41,1000),SEARCH(" - ",MID('Industriesektor GWh'!$B648,41,1000))-1),nrg_cb_e!$C$3:$C$40,0))</f>
        <v>FC_IND_MQ_E</v>
      </c>
      <c r="G648" s="18">
        <v>276</v>
      </c>
    </row>
    <row r="649" spans="1:7" x14ac:dyDescent="0.2">
      <c r="A649" s="19" t="s">
        <v>36</v>
      </c>
      <c r="B649" s="20" t="s">
        <v>68</v>
      </c>
      <c r="C649" s="20" t="s">
        <v>8</v>
      </c>
      <c r="D649" s="20" t="s">
        <v>10</v>
      </c>
      <c r="E649" s="20" t="s">
        <v>13</v>
      </c>
      <c r="F649" s="20" t="str">
        <f>INDEX(nrg_cb_e!$A$3:$A$40,MATCH(LEFT(MID('Industriesektor GWh'!$B649,41,1000),SEARCH(" - ",MID('Industriesektor GWh'!$B649,41,1000))-1),nrg_cb_e!$C$3:$C$40,0))</f>
        <v>FC_IND_MQ_E</v>
      </c>
      <c r="G649" s="21">
        <v>89</v>
      </c>
    </row>
    <row r="650" spans="1:7" x14ac:dyDescent="0.2">
      <c r="A650" s="16" t="s">
        <v>36</v>
      </c>
      <c r="B650" s="17" t="s">
        <v>68</v>
      </c>
      <c r="C650" s="17" t="s">
        <v>8</v>
      </c>
      <c r="D650" s="17" t="s">
        <v>10</v>
      </c>
      <c r="E650" s="17" t="s">
        <v>14</v>
      </c>
      <c r="F650" s="17" t="str">
        <f>INDEX(nrg_cb_e!$A$3:$A$40,MATCH(LEFT(MID('Industriesektor GWh'!$B650,41,1000),SEARCH(" - ",MID('Industriesektor GWh'!$B650,41,1000))-1),nrg_cb_e!$C$3:$C$40,0))</f>
        <v>FC_IND_MQ_E</v>
      </c>
      <c r="G650" s="18">
        <v>294</v>
      </c>
    </row>
    <row r="651" spans="1:7" x14ac:dyDescent="0.2">
      <c r="A651" s="19" t="s">
        <v>36</v>
      </c>
      <c r="B651" s="20" t="s">
        <v>68</v>
      </c>
      <c r="C651" s="20" t="s">
        <v>8</v>
      </c>
      <c r="D651" s="20" t="s">
        <v>10</v>
      </c>
      <c r="E651" s="20" t="s">
        <v>15</v>
      </c>
      <c r="F651" s="20" t="str">
        <f>INDEX(nrg_cb_e!$A$3:$A$40,MATCH(LEFT(MID('Industriesektor GWh'!$B651,41,1000),SEARCH(" - ",MID('Industriesektor GWh'!$B651,41,1000))-1),nrg_cb_e!$C$3:$C$40,0))</f>
        <v>FC_IND_MQ_E</v>
      </c>
      <c r="G651" s="21">
        <v>264</v>
      </c>
    </row>
    <row r="652" spans="1:7" x14ac:dyDescent="0.2">
      <c r="A652" s="16" t="s">
        <v>36</v>
      </c>
      <c r="B652" s="17" t="s">
        <v>68</v>
      </c>
      <c r="C652" s="17" t="s">
        <v>8</v>
      </c>
      <c r="D652" s="17" t="s">
        <v>10</v>
      </c>
      <c r="E652" s="17" t="s">
        <v>16</v>
      </c>
      <c r="F652" s="17" t="str">
        <f>INDEX(nrg_cb_e!$A$3:$A$40,MATCH(LEFT(MID('Industriesektor GWh'!$B652,41,1000),SEARCH(" - ",MID('Industriesektor GWh'!$B652,41,1000))-1),nrg_cb_e!$C$3:$C$40,0))</f>
        <v>FC_IND_MQ_E</v>
      </c>
      <c r="G652" s="18">
        <v>319</v>
      </c>
    </row>
    <row r="653" spans="1:7" x14ac:dyDescent="0.2">
      <c r="A653" s="19" t="s">
        <v>36</v>
      </c>
      <c r="B653" s="20" t="s">
        <v>68</v>
      </c>
      <c r="C653" s="20" t="s">
        <v>8</v>
      </c>
      <c r="D653" s="20" t="s">
        <v>10</v>
      </c>
      <c r="E653" s="20" t="s">
        <v>17</v>
      </c>
      <c r="F653" s="20" t="str">
        <f>INDEX(nrg_cb_e!$A$3:$A$40,MATCH(LEFT(MID('Industriesektor GWh'!$B653,41,1000),SEARCH(" - ",MID('Industriesektor GWh'!$B653,41,1000))-1),nrg_cb_e!$C$3:$C$40,0))</f>
        <v>FC_IND_MQ_E</v>
      </c>
      <c r="G653" s="21">
        <v>357</v>
      </c>
    </row>
    <row r="654" spans="1:7" x14ac:dyDescent="0.2">
      <c r="A654" s="16" t="s">
        <v>36</v>
      </c>
      <c r="B654" s="17" t="s">
        <v>68</v>
      </c>
      <c r="C654" s="17" t="s">
        <v>8</v>
      </c>
      <c r="D654" s="17" t="s">
        <v>10</v>
      </c>
      <c r="E654" s="17" t="s">
        <v>18</v>
      </c>
      <c r="F654" s="17" t="str">
        <f>INDEX(nrg_cb_e!$A$3:$A$40,MATCH(LEFT(MID('Industriesektor GWh'!$B654,41,1000),SEARCH(" - ",MID('Industriesektor GWh'!$B654,41,1000))-1),nrg_cb_e!$C$3:$C$40,0))</f>
        <v>FC_IND_MQ_E</v>
      </c>
      <c r="G654" s="18">
        <v>361</v>
      </c>
    </row>
    <row r="655" spans="1:7" x14ac:dyDescent="0.2">
      <c r="A655" s="19" t="s">
        <v>36</v>
      </c>
      <c r="B655" s="20" t="s">
        <v>68</v>
      </c>
      <c r="C655" s="20" t="s">
        <v>8</v>
      </c>
      <c r="D655" s="20" t="s">
        <v>10</v>
      </c>
      <c r="E655" s="20" t="s">
        <v>19</v>
      </c>
      <c r="F655" s="20" t="str">
        <f>INDEX(nrg_cb_e!$A$3:$A$40,MATCH(LEFT(MID('Industriesektor GWh'!$B655,41,1000),SEARCH(" - ",MID('Industriesektor GWh'!$B655,41,1000))-1),nrg_cb_e!$C$3:$C$40,0))</f>
        <v>FC_IND_MQ_E</v>
      </c>
      <c r="G655" s="21">
        <v>273</v>
      </c>
    </row>
    <row r="656" spans="1:7" x14ac:dyDescent="0.2">
      <c r="A656" s="16" t="s">
        <v>36</v>
      </c>
      <c r="B656" s="17" t="s">
        <v>68</v>
      </c>
      <c r="C656" s="17" t="s">
        <v>8</v>
      </c>
      <c r="D656" s="17" t="s">
        <v>10</v>
      </c>
      <c r="E656" s="17" t="s">
        <v>20</v>
      </c>
      <c r="F656" s="17" t="str">
        <f>INDEX(nrg_cb_e!$A$3:$A$40,MATCH(LEFT(MID('Industriesektor GWh'!$B656,41,1000),SEARCH(" - ",MID('Industriesektor GWh'!$B656,41,1000))-1),nrg_cb_e!$C$3:$C$40,0))</f>
        <v>FC_IND_MQ_E</v>
      </c>
      <c r="G656" s="18">
        <v>157</v>
      </c>
    </row>
    <row r="657" spans="1:7" x14ac:dyDescent="0.2">
      <c r="A657" s="19" t="s">
        <v>36</v>
      </c>
      <c r="B657" s="20" t="s">
        <v>68</v>
      </c>
      <c r="C657" s="20" t="s">
        <v>8</v>
      </c>
      <c r="D657" s="20" t="s">
        <v>10</v>
      </c>
      <c r="E657" s="20" t="s">
        <v>21</v>
      </c>
      <c r="F657" s="20" t="str">
        <f>INDEX(nrg_cb_e!$A$3:$A$40,MATCH(LEFT(MID('Industriesektor GWh'!$B657,41,1000),SEARCH(" - ",MID('Industriesektor GWh'!$B657,41,1000))-1),nrg_cb_e!$C$3:$C$40,0))</f>
        <v>FC_IND_MQ_E</v>
      </c>
      <c r="G657" s="21">
        <v>41</v>
      </c>
    </row>
    <row r="658" spans="1:7" x14ac:dyDescent="0.2">
      <c r="A658" s="16" t="s">
        <v>36</v>
      </c>
      <c r="B658" s="17" t="s">
        <v>68</v>
      </c>
      <c r="C658" s="17" t="s">
        <v>8</v>
      </c>
      <c r="D658" s="17" t="s">
        <v>10</v>
      </c>
      <c r="E658" s="17" t="s">
        <v>22</v>
      </c>
      <c r="F658" s="17" t="str">
        <f>INDEX(nrg_cb_e!$A$3:$A$40,MATCH(LEFT(MID('Industriesektor GWh'!$B658,41,1000),SEARCH(" - ",MID('Industriesektor GWh'!$B658,41,1000))-1),nrg_cb_e!$C$3:$C$40,0))</f>
        <v>FC_IND_MQ_E</v>
      </c>
      <c r="G658" s="18">
        <v>37</v>
      </c>
    </row>
    <row r="659" spans="1:7" x14ac:dyDescent="0.2">
      <c r="A659" s="19" t="s">
        <v>36</v>
      </c>
      <c r="B659" s="20" t="s">
        <v>68</v>
      </c>
      <c r="C659" s="20" t="s">
        <v>8</v>
      </c>
      <c r="D659" s="20" t="s">
        <v>10</v>
      </c>
      <c r="E659" s="20" t="s">
        <v>23</v>
      </c>
      <c r="F659" s="20" t="str">
        <f>INDEX(nrg_cb_e!$A$3:$A$40,MATCH(LEFT(MID('Industriesektor GWh'!$B659,41,1000),SEARCH(" - ",MID('Industriesektor GWh'!$B659,41,1000))-1),nrg_cb_e!$C$3:$C$40,0))</f>
        <v>FC_IND_MQ_E</v>
      </c>
      <c r="G659" s="21">
        <v>39</v>
      </c>
    </row>
    <row r="660" spans="1:7" x14ac:dyDescent="0.2">
      <c r="A660" s="16" t="s">
        <v>36</v>
      </c>
      <c r="B660" s="17" t="s">
        <v>68</v>
      </c>
      <c r="C660" s="17" t="s">
        <v>8</v>
      </c>
      <c r="D660" s="17" t="s">
        <v>10</v>
      </c>
      <c r="E660" s="17" t="s">
        <v>24</v>
      </c>
      <c r="F660" s="17" t="str">
        <f>INDEX(nrg_cb_e!$A$3:$A$40,MATCH(LEFT(MID('Industriesektor GWh'!$B660,41,1000),SEARCH(" - ",MID('Industriesektor GWh'!$B660,41,1000))-1),nrg_cb_e!$C$3:$C$40,0))</f>
        <v>FC_IND_MQ_E</v>
      </c>
      <c r="G660" s="18">
        <v>40</v>
      </c>
    </row>
    <row r="661" spans="1:7" x14ac:dyDescent="0.2">
      <c r="A661" s="19" t="s">
        <v>36</v>
      </c>
      <c r="B661" s="20" t="s">
        <v>68</v>
      </c>
      <c r="C661" s="20" t="s">
        <v>8</v>
      </c>
      <c r="D661" s="20" t="s">
        <v>10</v>
      </c>
      <c r="E661" s="20" t="s">
        <v>25</v>
      </c>
      <c r="F661" s="20" t="str">
        <f>INDEX(nrg_cb_e!$A$3:$A$40,MATCH(LEFT(MID('Industriesektor GWh'!$B661,41,1000),SEARCH(" - ",MID('Industriesektor GWh'!$B661,41,1000))-1),nrg_cb_e!$C$3:$C$40,0))</f>
        <v>FC_IND_MQ_E</v>
      </c>
      <c r="G661" s="21">
        <v>29</v>
      </c>
    </row>
    <row r="662" spans="1:7" x14ac:dyDescent="0.2">
      <c r="A662" s="16" t="s">
        <v>36</v>
      </c>
      <c r="B662" s="17" t="s">
        <v>68</v>
      </c>
      <c r="C662" s="17" t="s">
        <v>8</v>
      </c>
      <c r="D662" s="17" t="s">
        <v>10</v>
      </c>
      <c r="E662" s="17" t="s">
        <v>26</v>
      </c>
      <c r="F662" s="17" t="str">
        <f>INDEX(nrg_cb_e!$A$3:$A$40,MATCH(LEFT(MID('Industriesektor GWh'!$B662,41,1000),SEARCH(" - ",MID('Industriesektor GWh'!$B662,41,1000))-1),nrg_cb_e!$C$3:$C$40,0))</f>
        <v>FC_IND_MQ_E</v>
      </c>
      <c r="G662" s="18">
        <v>20</v>
      </c>
    </row>
    <row r="663" spans="1:7" x14ac:dyDescent="0.2">
      <c r="A663" s="19" t="s">
        <v>36</v>
      </c>
      <c r="B663" s="20" t="s">
        <v>68</v>
      </c>
      <c r="C663" s="20" t="s">
        <v>8</v>
      </c>
      <c r="D663" s="20" t="s">
        <v>10</v>
      </c>
      <c r="E663" s="20" t="s">
        <v>27</v>
      </c>
      <c r="F663" s="20" t="str">
        <f>INDEX(nrg_cb_e!$A$3:$A$40,MATCH(LEFT(MID('Industriesektor GWh'!$B663,41,1000),SEARCH(" - ",MID('Industriesektor GWh'!$B663,41,1000))-1),nrg_cb_e!$C$3:$C$40,0))</f>
        <v>FC_IND_MQ_E</v>
      </c>
      <c r="G663" s="21">
        <v>62.920999999999999</v>
      </c>
    </row>
    <row r="664" spans="1:7" x14ac:dyDescent="0.2">
      <c r="A664" s="16" t="s">
        <v>36</v>
      </c>
      <c r="B664" s="17" t="s">
        <v>68</v>
      </c>
      <c r="C664" s="17" t="s">
        <v>8</v>
      </c>
      <c r="D664" s="17" t="s">
        <v>10</v>
      </c>
      <c r="E664" s="17" t="s">
        <v>28</v>
      </c>
      <c r="F664" s="17" t="str">
        <f>INDEX(nrg_cb_e!$A$3:$A$40,MATCH(LEFT(MID('Industriesektor GWh'!$B664,41,1000),SEARCH(" - ",MID('Industriesektor GWh'!$B664,41,1000))-1),nrg_cb_e!$C$3:$C$40,0))</f>
        <v>FC_IND_MQ_E</v>
      </c>
      <c r="G664" s="18">
        <v>204.95</v>
      </c>
    </row>
    <row r="665" spans="1:7" x14ac:dyDescent="0.2">
      <c r="A665" s="19" t="s">
        <v>37</v>
      </c>
      <c r="B665" s="20" t="s">
        <v>68</v>
      </c>
      <c r="C665" s="20" t="s">
        <v>8</v>
      </c>
      <c r="D665" s="20" t="s">
        <v>10</v>
      </c>
      <c r="E665" s="20" t="s">
        <v>12</v>
      </c>
      <c r="F665" s="20" t="str">
        <f>INDEX(nrg_cb_e!$A$3:$A$40,MATCH(LEFT(MID('Industriesektor GWh'!$B665,41,1000),SEARCH(" - ",MID('Industriesektor GWh'!$B665,41,1000))-1),nrg_cb_e!$C$3:$C$40,0))</f>
        <v>FC_IND_MQ_E</v>
      </c>
      <c r="G665" s="21">
        <v>1768</v>
      </c>
    </row>
    <row r="666" spans="1:7" x14ac:dyDescent="0.2">
      <c r="A666" s="16" t="s">
        <v>37</v>
      </c>
      <c r="B666" s="17" t="s">
        <v>68</v>
      </c>
      <c r="C666" s="17" t="s">
        <v>8</v>
      </c>
      <c r="D666" s="17" t="s">
        <v>10</v>
      </c>
      <c r="E666" s="17" t="s">
        <v>13</v>
      </c>
      <c r="F666" s="17" t="str">
        <f>INDEX(nrg_cb_e!$A$3:$A$40,MATCH(LEFT(MID('Industriesektor GWh'!$B666,41,1000),SEARCH(" - ",MID('Industriesektor GWh'!$B666,41,1000))-1),nrg_cb_e!$C$3:$C$40,0))</f>
        <v>FC_IND_MQ_E</v>
      </c>
      <c r="G666" s="18">
        <v>1443</v>
      </c>
    </row>
    <row r="667" spans="1:7" x14ac:dyDescent="0.2">
      <c r="A667" s="19" t="s">
        <v>37</v>
      </c>
      <c r="B667" s="20" t="s">
        <v>68</v>
      </c>
      <c r="C667" s="20" t="s">
        <v>8</v>
      </c>
      <c r="D667" s="20" t="s">
        <v>10</v>
      </c>
      <c r="E667" s="20" t="s">
        <v>14</v>
      </c>
      <c r="F667" s="20" t="str">
        <f>INDEX(nrg_cb_e!$A$3:$A$40,MATCH(LEFT(MID('Industriesektor GWh'!$B667,41,1000),SEARCH(" - ",MID('Industriesektor GWh'!$B667,41,1000))-1),nrg_cb_e!$C$3:$C$40,0))</f>
        <v>FC_IND_MQ_E</v>
      </c>
      <c r="G667" s="21">
        <v>1526</v>
      </c>
    </row>
    <row r="668" spans="1:7" x14ac:dyDescent="0.2">
      <c r="A668" s="16" t="s">
        <v>37</v>
      </c>
      <c r="B668" s="17" t="s">
        <v>68</v>
      </c>
      <c r="C668" s="17" t="s">
        <v>8</v>
      </c>
      <c r="D668" s="17" t="s">
        <v>10</v>
      </c>
      <c r="E668" s="17" t="s">
        <v>15</v>
      </c>
      <c r="F668" s="17" t="str">
        <f>INDEX(nrg_cb_e!$A$3:$A$40,MATCH(LEFT(MID('Industriesektor GWh'!$B668,41,1000),SEARCH(" - ",MID('Industriesektor GWh'!$B668,41,1000))-1),nrg_cb_e!$C$3:$C$40,0))</f>
        <v>FC_IND_MQ_E</v>
      </c>
      <c r="G668" s="18">
        <v>1559</v>
      </c>
    </row>
    <row r="669" spans="1:7" x14ac:dyDescent="0.2">
      <c r="A669" s="19" t="s">
        <v>37</v>
      </c>
      <c r="B669" s="20" t="s">
        <v>68</v>
      </c>
      <c r="C669" s="20" t="s">
        <v>8</v>
      </c>
      <c r="D669" s="20" t="s">
        <v>10</v>
      </c>
      <c r="E669" s="20" t="s">
        <v>16</v>
      </c>
      <c r="F669" s="20" t="str">
        <f>INDEX(nrg_cb_e!$A$3:$A$40,MATCH(LEFT(MID('Industriesektor GWh'!$B669,41,1000),SEARCH(" - ",MID('Industriesektor GWh'!$B669,41,1000))-1),nrg_cb_e!$C$3:$C$40,0))</f>
        <v>FC_IND_MQ_E</v>
      </c>
      <c r="G669" s="21">
        <v>1392</v>
      </c>
    </row>
    <row r="670" spans="1:7" x14ac:dyDescent="0.2">
      <c r="A670" s="16" t="s">
        <v>37</v>
      </c>
      <c r="B670" s="17" t="s">
        <v>68</v>
      </c>
      <c r="C670" s="17" t="s">
        <v>8</v>
      </c>
      <c r="D670" s="17" t="s">
        <v>10</v>
      </c>
      <c r="E670" s="17" t="s">
        <v>17</v>
      </c>
      <c r="F670" s="17" t="str">
        <f>INDEX(nrg_cb_e!$A$3:$A$40,MATCH(LEFT(MID('Industriesektor GWh'!$B670,41,1000),SEARCH(" - ",MID('Industriesektor GWh'!$B670,41,1000))-1),nrg_cb_e!$C$3:$C$40,0))</f>
        <v>FC_IND_MQ_E</v>
      </c>
      <c r="G670" s="18">
        <v>1434</v>
      </c>
    </row>
    <row r="671" spans="1:7" x14ac:dyDescent="0.2">
      <c r="A671" s="19" t="s">
        <v>37</v>
      </c>
      <c r="B671" s="20" t="s">
        <v>68</v>
      </c>
      <c r="C671" s="20" t="s">
        <v>8</v>
      </c>
      <c r="D671" s="20" t="s">
        <v>10</v>
      </c>
      <c r="E671" s="20" t="s">
        <v>18</v>
      </c>
      <c r="F671" s="20" t="str">
        <f>INDEX(nrg_cb_e!$A$3:$A$40,MATCH(LEFT(MID('Industriesektor GWh'!$B671,41,1000),SEARCH(" - ",MID('Industriesektor GWh'!$B671,41,1000))-1),nrg_cb_e!$C$3:$C$40,0))</f>
        <v>FC_IND_MQ_E</v>
      </c>
      <c r="G671" s="21">
        <v>1307</v>
      </c>
    </row>
    <row r="672" spans="1:7" x14ac:dyDescent="0.2">
      <c r="A672" s="16" t="s">
        <v>37</v>
      </c>
      <c r="B672" s="17" t="s">
        <v>68</v>
      </c>
      <c r="C672" s="17" t="s">
        <v>8</v>
      </c>
      <c r="D672" s="17" t="s">
        <v>10</v>
      </c>
      <c r="E672" s="17" t="s">
        <v>19</v>
      </c>
      <c r="F672" s="17" t="str">
        <f>INDEX(nrg_cb_e!$A$3:$A$40,MATCH(LEFT(MID('Industriesektor GWh'!$B672,41,1000),SEARCH(" - ",MID('Industriesektor GWh'!$B672,41,1000))-1),nrg_cb_e!$C$3:$C$40,0))</f>
        <v>FC_IND_MQ_E</v>
      </c>
      <c r="G672" s="18">
        <v>1080</v>
      </c>
    </row>
    <row r="673" spans="1:7" x14ac:dyDescent="0.2">
      <c r="A673" s="19" t="s">
        <v>37</v>
      </c>
      <c r="B673" s="20" t="s">
        <v>68</v>
      </c>
      <c r="C673" s="20" t="s">
        <v>8</v>
      </c>
      <c r="D673" s="20" t="s">
        <v>10</v>
      </c>
      <c r="E673" s="20" t="s">
        <v>20</v>
      </c>
      <c r="F673" s="20" t="str">
        <f>INDEX(nrg_cb_e!$A$3:$A$40,MATCH(LEFT(MID('Industriesektor GWh'!$B673,41,1000),SEARCH(" - ",MID('Industriesektor GWh'!$B673,41,1000))-1),nrg_cb_e!$C$3:$C$40,0))</f>
        <v>FC_IND_MQ_E</v>
      </c>
      <c r="G673" s="21">
        <v>1211</v>
      </c>
    </row>
    <row r="674" spans="1:7" x14ac:dyDescent="0.2">
      <c r="A674" s="16" t="s">
        <v>37</v>
      </c>
      <c r="B674" s="17" t="s">
        <v>68</v>
      </c>
      <c r="C674" s="17" t="s">
        <v>8</v>
      </c>
      <c r="D674" s="17" t="s">
        <v>10</v>
      </c>
      <c r="E674" s="17" t="s">
        <v>21</v>
      </c>
      <c r="F674" s="17" t="str">
        <f>INDEX(nrg_cb_e!$A$3:$A$40,MATCH(LEFT(MID('Industriesektor GWh'!$B674,41,1000),SEARCH(" - ",MID('Industriesektor GWh'!$B674,41,1000))-1),nrg_cb_e!$C$3:$C$40,0))</f>
        <v>FC_IND_MQ_E</v>
      </c>
      <c r="G674" s="18">
        <v>1354</v>
      </c>
    </row>
    <row r="675" spans="1:7" x14ac:dyDescent="0.2">
      <c r="A675" s="19" t="s">
        <v>37</v>
      </c>
      <c r="B675" s="20" t="s">
        <v>68</v>
      </c>
      <c r="C675" s="20" t="s">
        <v>8</v>
      </c>
      <c r="D675" s="20" t="s">
        <v>10</v>
      </c>
      <c r="E675" s="20" t="s">
        <v>22</v>
      </c>
      <c r="F675" s="20" t="str">
        <f>INDEX(nrg_cb_e!$A$3:$A$40,MATCH(LEFT(MID('Industriesektor GWh'!$B675,41,1000),SEARCH(" - ",MID('Industriesektor GWh'!$B675,41,1000))-1),nrg_cb_e!$C$3:$C$40,0))</f>
        <v>FC_IND_MQ_E</v>
      </c>
      <c r="G675" s="21">
        <v>1336</v>
      </c>
    </row>
    <row r="676" spans="1:7" x14ac:dyDescent="0.2">
      <c r="A676" s="16" t="s">
        <v>37</v>
      </c>
      <c r="B676" s="17" t="s">
        <v>68</v>
      </c>
      <c r="C676" s="17" t="s">
        <v>8</v>
      </c>
      <c r="D676" s="17" t="s">
        <v>10</v>
      </c>
      <c r="E676" s="17" t="s">
        <v>23</v>
      </c>
      <c r="F676" s="17" t="str">
        <f>INDEX(nrg_cb_e!$A$3:$A$40,MATCH(LEFT(MID('Industriesektor GWh'!$B676,41,1000),SEARCH(" - ",MID('Industriesektor GWh'!$B676,41,1000))-1),nrg_cb_e!$C$3:$C$40,0))</f>
        <v>FC_IND_MQ_E</v>
      </c>
      <c r="G676" s="18">
        <v>1379</v>
      </c>
    </row>
    <row r="677" spans="1:7" x14ac:dyDescent="0.2">
      <c r="A677" s="19" t="s">
        <v>37</v>
      </c>
      <c r="B677" s="20" t="s">
        <v>68</v>
      </c>
      <c r="C677" s="20" t="s">
        <v>8</v>
      </c>
      <c r="D677" s="20" t="s">
        <v>10</v>
      </c>
      <c r="E677" s="20" t="s">
        <v>24</v>
      </c>
      <c r="F677" s="20" t="str">
        <f>INDEX(nrg_cb_e!$A$3:$A$40,MATCH(LEFT(MID('Industriesektor GWh'!$B677,41,1000),SEARCH(" - ",MID('Industriesektor GWh'!$B677,41,1000))-1),nrg_cb_e!$C$3:$C$40,0))</f>
        <v>FC_IND_MQ_E</v>
      </c>
      <c r="G677" s="21">
        <v>1519</v>
      </c>
    </row>
    <row r="678" spans="1:7" x14ac:dyDescent="0.2">
      <c r="A678" s="16" t="s">
        <v>37</v>
      </c>
      <c r="B678" s="17" t="s">
        <v>68</v>
      </c>
      <c r="C678" s="17" t="s">
        <v>8</v>
      </c>
      <c r="D678" s="17" t="s">
        <v>10</v>
      </c>
      <c r="E678" s="17" t="s">
        <v>25</v>
      </c>
      <c r="F678" s="17" t="str">
        <f>INDEX(nrg_cb_e!$A$3:$A$40,MATCH(LEFT(MID('Industriesektor GWh'!$B678,41,1000),SEARCH(" - ",MID('Industriesektor GWh'!$B678,41,1000))-1),nrg_cb_e!$C$3:$C$40,0))</f>
        <v>FC_IND_MQ_E</v>
      </c>
      <c r="G678" s="18">
        <v>1440</v>
      </c>
    </row>
    <row r="679" spans="1:7" x14ac:dyDescent="0.2">
      <c r="A679" s="19" t="s">
        <v>37</v>
      </c>
      <c r="B679" s="20" t="s">
        <v>68</v>
      </c>
      <c r="C679" s="20" t="s">
        <v>8</v>
      </c>
      <c r="D679" s="20" t="s">
        <v>10</v>
      </c>
      <c r="E679" s="20" t="s">
        <v>26</v>
      </c>
      <c r="F679" s="20" t="str">
        <f>INDEX(nrg_cb_e!$A$3:$A$40,MATCH(LEFT(MID('Industriesektor GWh'!$B679,41,1000),SEARCH(" - ",MID('Industriesektor GWh'!$B679,41,1000))-1),nrg_cb_e!$C$3:$C$40,0))</f>
        <v>FC_IND_MQ_E</v>
      </c>
      <c r="G679" s="21">
        <v>1765</v>
      </c>
    </row>
    <row r="680" spans="1:7" x14ac:dyDescent="0.2">
      <c r="A680" s="16" t="s">
        <v>37</v>
      </c>
      <c r="B680" s="17" t="s">
        <v>68</v>
      </c>
      <c r="C680" s="17" t="s">
        <v>8</v>
      </c>
      <c r="D680" s="17" t="s">
        <v>10</v>
      </c>
      <c r="E680" s="17" t="s">
        <v>27</v>
      </c>
      <c r="F680" s="17" t="str">
        <f>INDEX(nrg_cb_e!$A$3:$A$40,MATCH(LEFT(MID('Industriesektor GWh'!$B680,41,1000),SEARCH(" - ",MID('Industriesektor GWh'!$B680,41,1000))-1),nrg_cb_e!$C$3:$C$40,0))</f>
        <v>FC_IND_MQ_E</v>
      </c>
      <c r="G680" s="18">
        <v>1983</v>
      </c>
    </row>
    <row r="681" spans="1:7" x14ac:dyDescent="0.2">
      <c r="A681" s="19" t="s">
        <v>37</v>
      </c>
      <c r="B681" s="20" t="s">
        <v>68</v>
      </c>
      <c r="C681" s="20" t="s">
        <v>8</v>
      </c>
      <c r="D681" s="20" t="s">
        <v>10</v>
      </c>
      <c r="E681" s="20" t="s">
        <v>28</v>
      </c>
      <c r="F681" s="20" t="str">
        <f>INDEX(nrg_cb_e!$A$3:$A$40,MATCH(LEFT(MID('Industriesektor GWh'!$B681,41,1000),SEARCH(" - ",MID('Industriesektor GWh'!$B681,41,1000))-1),nrg_cb_e!$C$3:$C$40,0))</f>
        <v>FC_IND_MQ_E</v>
      </c>
      <c r="G681" s="21">
        <v>1895</v>
      </c>
    </row>
    <row r="682" spans="1:7" x14ac:dyDescent="0.2">
      <c r="A682" s="16" t="s">
        <v>38</v>
      </c>
      <c r="B682" s="17" t="s">
        <v>68</v>
      </c>
      <c r="C682" s="17" t="s">
        <v>8</v>
      </c>
      <c r="D682" s="17" t="s">
        <v>10</v>
      </c>
      <c r="E682" s="17" t="s">
        <v>12</v>
      </c>
      <c r="F682" s="17" t="str">
        <f>INDEX(nrg_cb_e!$A$3:$A$40,MATCH(LEFT(MID('Industriesektor GWh'!$B682,41,1000),SEARCH(" - ",MID('Industriesektor GWh'!$B682,41,1000))-1),nrg_cb_e!$C$3:$C$40,0))</f>
        <v>FC_IND_MQ_E</v>
      </c>
      <c r="G682" s="18">
        <v>1766</v>
      </c>
    </row>
    <row r="683" spans="1:7" x14ac:dyDescent="0.2">
      <c r="A683" s="19" t="s">
        <v>38</v>
      </c>
      <c r="B683" s="20" t="s">
        <v>68</v>
      </c>
      <c r="C683" s="20" t="s">
        <v>8</v>
      </c>
      <c r="D683" s="20" t="s">
        <v>10</v>
      </c>
      <c r="E683" s="20" t="s">
        <v>13</v>
      </c>
      <c r="F683" s="20" t="str">
        <f>INDEX(nrg_cb_e!$A$3:$A$40,MATCH(LEFT(MID('Industriesektor GWh'!$B683,41,1000),SEARCH(" - ",MID('Industriesektor GWh'!$B683,41,1000))-1),nrg_cb_e!$C$3:$C$40,0))</f>
        <v>FC_IND_MQ_E</v>
      </c>
      <c r="G683" s="21">
        <v>1668</v>
      </c>
    </row>
    <row r="684" spans="1:7" x14ac:dyDescent="0.2">
      <c r="A684" s="16" t="s">
        <v>38</v>
      </c>
      <c r="B684" s="17" t="s">
        <v>68</v>
      </c>
      <c r="C684" s="17" t="s">
        <v>8</v>
      </c>
      <c r="D684" s="17" t="s">
        <v>10</v>
      </c>
      <c r="E684" s="17" t="s">
        <v>14</v>
      </c>
      <c r="F684" s="17" t="str">
        <f>INDEX(nrg_cb_e!$A$3:$A$40,MATCH(LEFT(MID('Industriesektor GWh'!$B684,41,1000),SEARCH(" - ",MID('Industriesektor GWh'!$B684,41,1000))-1),nrg_cb_e!$C$3:$C$40,0))</f>
        <v>FC_IND_MQ_E</v>
      </c>
      <c r="G684" s="18">
        <v>1702</v>
      </c>
    </row>
    <row r="685" spans="1:7" x14ac:dyDescent="0.2">
      <c r="A685" s="19" t="s">
        <v>38</v>
      </c>
      <c r="B685" s="20" t="s">
        <v>68</v>
      </c>
      <c r="C685" s="20" t="s">
        <v>8</v>
      </c>
      <c r="D685" s="20" t="s">
        <v>10</v>
      </c>
      <c r="E685" s="20" t="s">
        <v>15</v>
      </c>
      <c r="F685" s="20" t="str">
        <f>INDEX(nrg_cb_e!$A$3:$A$40,MATCH(LEFT(MID('Industriesektor GWh'!$B685,41,1000),SEARCH(" - ",MID('Industriesektor GWh'!$B685,41,1000))-1),nrg_cb_e!$C$3:$C$40,0))</f>
        <v>FC_IND_MQ_E</v>
      </c>
      <c r="G685" s="21">
        <v>1653</v>
      </c>
    </row>
    <row r="686" spans="1:7" x14ac:dyDescent="0.2">
      <c r="A686" s="16" t="s">
        <v>38</v>
      </c>
      <c r="B686" s="17" t="s">
        <v>68</v>
      </c>
      <c r="C686" s="17" t="s">
        <v>8</v>
      </c>
      <c r="D686" s="17" t="s">
        <v>10</v>
      </c>
      <c r="E686" s="17" t="s">
        <v>16</v>
      </c>
      <c r="F686" s="17" t="str">
        <f>INDEX(nrg_cb_e!$A$3:$A$40,MATCH(LEFT(MID('Industriesektor GWh'!$B686,41,1000),SEARCH(" - ",MID('Industriesektor GWh'!$B686,41,1000))-1),nrg_cb_e!$C$3:$C$40,0))</f>
        <v>FC_IND_MQ_E</v>
      </c>
      <c r="G686" s="18">
        <v>1624</v>
      </c>
    </row>
    <row r="687" spans="1:7" x14ac:dyDescent="0.2">
      <c r="A687" s="19" t="s">
        <v>38</v>
      </c>
      <c r="B687" s="20" t="s">
        <v>68</v>
      </c>
      <c r="C687" s="20" t="s">
        <v>8</v>
      </c>
      <c r="D687" s="20" t="s">
        <v>10</v>
      </c>
      <c r="E687" s="20" t="s">
        <v>17</v>
      </c>
      <c r="F687" s="20" t="str">
        <f>INDEX(nrg_cb_e!$A$3:$A$40,MATCH(LEFT(MID('Industriesektor GWh'!$B687,41,1000),SEARCH(" - ",MID('Industriesektor GWh'!$B687,41,1000))-1),nrg_cb_e!$C$3:$C$40,0))</f>
        <v>FC_IND_MQ_E</v>
      </c>
      <c r="G687" s="21">
        <v>1658</v>
      </c>
    </row>
    <row r="688" spans="1:7" x14ac:dyDescent="0.2">
      <c r="A688" s="16" t="s">
        <v>38</v>
      </c>
      <c r="B688" s="17" t="s">
        <v>68</v>
      </c>
      <c r="C688" s="17" t="s">
        <v>8</v>
      </c>
      <c r="D688" s="17" t="s">
        <v>10</v>
      </c>
      <c r="E688" s="17" t="s">
        <v>18</v>
      </c>
      <c r="F688" s="17" t="str">
        <f>INDEX(nrg_cb_e!$A$3:$A$40,MATCH(LEFT(MID('Industriesektor GWh'!$B688,41,1000),SEARCH(" - ",MID('Industriesektor GWh'!$B688,41,1000))-1),nrg_cb_e!$C$3:$C$40,0))</f>
        <v>FC_IND_MQ_E</v>
      </c>
      <c r="G688" s="18">
        <v>680</v>
      </c>
    </row>
    <row r="689" spans="1:7" x14ac:dyDescent="0.2">
      <c r="A689" s="19" t="s">
        <v>38</v>
      </c>
      <c r="B689" s="20" t="s">
        <v>68</v>
      </c>
      <c r="C689" s="20" t="s">
        <v>8</v>
      </c>
      <c r="D689" s="20" t="s">
        <v>10</v>
      </c>
      <c r="E689" s="20" t="s">
        <v>19</v>
      </c>
      <c r="F689" s="20" t="str">
        <f>INDEX(nrg_cb_e!$A$3:$A$40,MATCH(LEFT(MID('Industriesektor GWh'!$B689,41,1000),SEARCH(" - ",MID('Industriesektor GWh'!$B689,41,1000))-1),nrg_cb_e!$C$3:$C$40,0))</f>
        <v>FC_IND_MQ_E</v>
      </c>
      <c r="G689" s="21">
        <v>552</v>
      </c>
    </row>
    <row r="690" spans="1:7" x14ac:dyDescent="0.2">
      <c r="A690" s="16" t="s">
        <v>38</v>
      </c>
      <c r="B690" s="17" t="s">
        <v>68</v>
      </c>
      <c r="C690" s="17" t="s">
        <v>8</v>
      </c>
      <c r="D690" s="17" t="s">
        <v>10</v>
      </c>
      <c r="E690" s="17" t="s">
        <v>20</v>
      </c>
      <c r="F690" s="17" t="str">
        <f>INDEX(nrg_cb_e!$A$3:$A$40,MATCH(LEFT(MID('Industriesektor GWh'!$B690,41,1000),SEARCH(" - ",MID('Industriesektor GWh'!$B690,41,1000))-1),nrg_cb_e!$C$3:$C$40,0))</f>
        <v>FC_IND_MQ_E</v>
      </c>
      <c r="G690" s="18">
        <v>575</v>
      </c>
    </row>
    <row r="691" spans="1:7" x14ac:dyDescent="0.2">
      <c r="A691" s="19" t="s">
        <v>38</v>
      </c>
      <c r="B691" s="20" t="s">
        <v>68</v>
      </c>
      <c r="C691" s="20" t="s">
        <v>8</v>
      </c>
      <c r="D691" s="20" t="s">
        <v>10</v>
      </c>
      <c r="E691" s="20" t="s">
        <v>21</v>
      </c>
      <c r="F691" s="20" t="str">
        <f>INDEX(nrg_cb_e!$A$3:$A$40,MATCH(LEFT(MID('Industriesektor GWh'!$B691,41,1000),SEARCH(" - ",MID('Industriesektor GWh'!$B691,41,1000))-1),nrg_cb_e!$C$3:$C$40,0))</f>
        <v>FC_IND_MQ_E</v>
      </c>
      <c r="G691" s="21">
        <v>1746.366</v>
      </c>
    </row>
    <row r="692" spans="1:7" x14ac:dyDescent="0.2">
      <c r="A692" s="16" t="s">
        <v>38</v>
      </c>
      <c r="B692" s="17" t="s">
        <v>68</v>
      </c>
      <c r="C692" s="17" t="s">
        <v>8</v>
      </c>
      <c r="D692" s="17" t="s">
        <v>10</v>
      </c>
      <c r="E692" s="17" t="s">
        <v>22</v>
      </c>
      <c r="F692" s="17" t="str">
        <f>INDEX(nrg_cb_e!$A$3:$A$40,MATCH(LEFT(MID('Industriesektor GWh'!$B692,41,1000),SEARCH(" - ",MID('Industriesektor GWh'!$B692,41,1000))-1),nrg_cb_e!$C$3:$C$40,0))</f>
        <v>FC_IND_MQ_E</v>
      </c>
      <c r="G692" s="18">
        <v>1739.635</v>
      </c>
    </row>
    <row r="693" spans="1:7" x14ac:dyDescent="0.2">
      <c r="A693" s="19" t="s">
        <v>38</v>
      </c>
      <c r="B693" s="20" t="s">
        <v>68</v>
      </c>
      <c r="C693" s="20" t="s">
        <v>8</v>
      </c>
      <c r="D693" s="20" t="s">
        <v>10</v>
      </c>
      <c r="E693" s="20" t="s">
        <v>23</v>
      </c>
      <c r="F693" s="20" t="str">
        <f>INDEX(nrg_cb_e!$A$3:$A$40,MATCH(LEFT(MID('Industriesektor GWh'!$B693,41,1000),SEARCH(" - ",MID('Industriesektor GWh'!$B693,41,1000))-1),nrg_cb_e!$C$3:$C$40,0))</f>
        <v>FC_IND_MQ_E</v>
      </c>
      <c r="G693" s="21">
        <v>1745.029</v>
      </c>
    </row>
    <row r="694" spans="1:7" x14ac:dyDescent="0.2">
      <c r="A694" s="16" t="s">
        <v>38</v>
      </c>
      <c r="B694" s="17" t="s">
        <v>68</v>
      </c>
      <c r="C694" s="17" t="s">
        <v>8</v>
      </c>
      <c r="D694" s="17" t="s">
        <v>10</v>
      </c>
      <c r="E694" s="17" t="s">
        <v>24</v>
      </c>
      <c r="F694" s="17" t="str">
        <f>INDEX(nrg_cb_e!$A$3:$A$40,MATCH(LEFT(MID('Industriesektor GWh'!$B694,41,1000),SEARCH(" - ",MID('Industriesektor GWh'!$B694,41,1000))-1),nrg_cb_e!$C$3:$C$40,0))</f>
        <v>FC_IND_MQ_E</v>
      </c>
      <c r="G694" s="18">
        <v>1708.9860000000001</v>
      </c>
    </row>
    <row r="695" spans="1:7" x14ac:dyDescent="0.2">
      <c r="A695" s="19" t="s">
        <v>38</v>
      </c>
      <c r="B695" s="20" t="s">
        <v>68</v>
      </c>
      <c r="C695" s="20" t="s">
        <v>8</v>
      </c>
      <c r="D695" s="20" t="s">
        <v>10</v>
      </c>
      <c r="E695" s="20" t="s">
        <v>25</v>
      </c>
      <c r="F695" s="20" t="str">
        <f>INDEX(nrg_cb_e!$A$3:$A$40,MATCH(LEFT(MID('Industriesektor GWh'!$B695,41,1000),SEARCH(" - ",MID('Industriesektor GWh'!$B695,41,1000))-1),nrg_cb_e!$C$3:$C$40,0))</f>
        <v>FC_IND_MQ_E</v>
      </c>
      <c r="G695" s="21">
        <v>1638.509</v>
      </c>
    </row>
    <row r="696" spans="1:7" x14ac:dyDescent="0.2">
      <c r="A696" s="16" t="s">
        <v>38</v>
      </c>
      <c r="B696" s="17" t="s">
        <v>68</v>
      </c>
      <c r="C696" s="17" t="s">
        <v>8</v>
      </c>
      <c r="D696" s="17" t="s">
        <v>10</v>
      </c>
      <c r="E696" s="17" t="s">
        <v>26</v>
      </c>
      <c r="F696" s="17" t="str">
        <f>INDEX(nrg_cb_e!$A$3:$A$40,MATCH(LEFT(MID('Industriesektor GWh'!$B696,41,1000),SEARCH(" - ",MID('Industriesektor GWh'!$B696,41,1000))-1),nrg_cb_e!$C$3:$C$40,0))</f>
        <v>FC_IND_MQ_E</v>
      </c>
      <c r="G696" s="18">
        <v>1594.3309999999999</v>
      </c>
    </row>
    <row r="697" spans="1:7" x14ac:dyDescent="0.2">
      <c r="A697" s="19" t="s">
        <v>38</v>
      </c>
      <c r="B697" s="20" t="s">
        <v>68</v>
      </c>
      <c r="C697" s="20" t="s">
        <v>8</v>
      </c>
      <c r="D697" s="20" t="s">
        <v>10</v>
      </c>
      <c r="E697" s="20" t="s">
        <v>27</v>
      </c>
      <c r="F697" s="20" t="str">
        <f>INDEX(nrg_cb_e!$A$3:$A$40,MATCH(LEFT(MID('Industriesektor GWh'!$B697,41,1000),SEARCH(" - ",MID('Industriesektor GWh'!$B697,41,1000))-1),nrg_cb_e!$C$3:$C$40,0))</f>
        <v>FC_IND_MQ_E</v>
      </c>
      <c r="G697" s="21">
        <v>1629.502</v>
      </c>
    </row>
    <row r="698" spans="1:7" x14ac:dyDescent="0.2">
      <c r="A698" s="16" t="s">
        <v>38</v>
      </c>
      <c r="B698" s="17" t="s">
        <v>68</v>
      </c>
      <c r="C698" s="17" t="s">
        <v>8</v>
      </c>
      <c r="D698" s="17" t="s">
        <v>10</v>
      </c>
      <c r="E698" s="17" t="s">
        <v>28</v>
      </c>
      <c r="F698" s="17" t="str">
        <f>INDEX(nrg_cb_e!$A$3:$A$40,MATCH(LEFT(MID('Industriesektor GWh'!$B698,41,1000),SEARCH(" - ",MID('Industriesektor GWh'!$B698,41,1000))-1),nrg_cb_e!$C$3:$C$40,0))</f>
        <v>FC_IND_MQ_E</v>
      </c>
      <c r="G698" s="18">
        <v>1610.0889999999999</v>
      </c>
    </row>
    <row r="699" spans="1:7" x14ac:dyDescent="0.2">
      <c r="A699" s="19" t="s">
        <v>39</v>
      </c>
      <c r="B699" s="20" t="s">
        <v>68</v>
      </c>
      <c r="C699" s="20" t="s">
        <v>8</v>
      </c>
      <c r="D699" s="20" t="s">
        <v>10</v>
      </c>
      <c r="E699" s="20" t="s">
        <v>12</v>
      </c>
      <c r="F699" s="20" t="str">
        <f>INDEX(nrg_cb_e!$A$3:$A$40,MATCH(LEFT(MID('Industriesektor GWh'!$B699,41,1000),SEARCH(" - ",MID('Industriesektor GWh'!$B699,41,1000))-1),nrg_cb_e!$C$3:$C$40,0))</f>
        <v>FC_IND_MQ_E</v>
      </c>
      <c r="G699" s="21">
        <v>46</v>
      </c>
    </row>
    <row r="700" spans="1:7" x14ac:dyDescent="0.2">
      <c r="A700" s="16" t="s">
        <v>39</v>
      </c>
      <c r="B700" s="17" t="s">
        <v>68</v>
      </c>
      <c r="C700" s="17" t="s">
        <v>8</v>
      </c>
      <c r="D700" s="17" t="s">
        <v>10</v>
      </c>
      <c r="E700" s="17" t="s">
        <v>13</v>
      </c>
      <c r="F700" s="17" t="str">
        <f>INDEX(nrg_cb_e!$A$3:$A$40,MATCH(LEFT(MID('Industriesektor GWh'!$B700,41,1000),SEARCH(" - ",MID('Industriesektor GWh'!$B700,41,1000))-1),nrg_cb_e!$C$3:$C$40,0))</f>
        <v>FC_IND_MQ_E</v>
      </c>
      <c r="G700" s="18">
        <v>57</v>
      </c>
    </row>
    <row r="701" spans="1:7" x14ac:dyDescent="0.2">
      <c r="A701" s="19" t="s">
        <v>39</v>
      </c>
      <c r="B701" s="20" t="s">
        <v>68</v>
      </c>
      <c r="C701" s="20" t="s">
        <v>8</v>
      </c>
      <c r="D701" s="20" t="s">
        <v>10</v>
      </c>
      <c r="E701" s="20" t="s">
        <v>14</v>
      </c>
      <c r="F701" s="20" t="str">
        <f>INDEX(nrg_cb_e!$A$3:$A$40,MATCH(LEFT(MID('Industriesektor GWh'!$B701,41,1000),SEARCH(" - ",MID('Industriesektor GWh'!$B701,41,1000))-1),nrg_cb_e!$C$3:$C$40,0))</f>
        <v>FC_IND_MQ_E</v>
      </c>
      <c r="G701" s="21">
        <v>63</v>
      </c>
    </row>
    <row r="702" spans="1:7" x14ac:dyDescent="0.2">
      <c r="A702" s="16" t="s">
        <v>39</v>
      </c>
      <c r="B702" s="17" t="s">
        <v>68</v>
      </c>
      <c r="C702" s="17" t="s">
        <v>8</v>
      </c>
      <c r="D702" s="17" t="s">
        <v>10</v>
      </c>
      <c r="E702" s="17" t="s">
        <v>15</v>
      </c>
      <c r="F702" s="17" t="str">
        <f>INDEX(nrg_cb_e!$A$3:$A$40,MATCH(LEFT(MID('Industriesektor GWh'!$B702,41,1000),SEARCH(" - ",MID('Industriesektor GWh'!$B702,41,1000))-1),nrg_cb_e!$C$3:$C$40,0))</f>
        <v>FC_IND_MQ_E</v>
      </c>
      <c r="G702" s="18">
        <v>56</v>
      </c>
    </row>
    <row r="703" spans="1:7" x14ac:dyDescent="0.2">
      <c r="A703" s="19" t="s">
        <v>39</v>
      </c>
      <c r="B703" s="20" t="s">
        <v>68</v>
      </c>
      <c r="C703" s="20" t="s">
        <v>8</v>
      </c>
      <c r="D703" s="20" t="s">
        <v>10</v>
      </c>
      <c r="E703" s="20" t="s">
        <v>16</v>
      </c>
      <c r="F703" s="20" t="str">
        <f>INDEX(nrg_cb_e!$A$3:$A$40,MATCH(LEFT(MID('Industriesektor GWh'!$B703,41,1000),SEARCH(" - ",MID('Industriesektor GWh'!$B703,41,1000))-1),nrg_cb_e!$C$3:$C$40,0))</f>
        <v>FC_IND_MQ_E</v>
      </c>
      <c r="G703" s="21">
        <v>60</v>
      </c>
    </row>
    <row r="704" spans="1:7" x14ac:dyDescent="0.2">
      <c r="A704" s="16" t="s">
        <v>39</v>
      </c>
      <c r="B704" s="17" t="s">
        <v>68</v>
      </c>
      <c r="C704" s="17" t="s">
        <v>8</v>
      </c>
      <c r="D704" s="17" t="s">
        <v>10</v>
      </c>
      <c r="E704" s="17" t="s">
        <v>17</v>
      </c>
      <c r="F704" s="17" t="str">
        <f>INDEX(nrg_cb_e!$A$3:$A$40,MATCH(LEFT(MID('Industriesektor GWh'!$B704,41,1000),SEARCH(" - ",MID('Industriesektor GWh'!$B704,41,1000))-1),nrg_cb_e!$C$3:$C$40,0))</f>
        <v>FC_IND_MQ_E</v>
      </c>
      <c r="G704" s="18">
        <v>58</v>
      </c>
    </row>
    <row r="705" spans="1:7" x14ac:dyDescent="0.2">
      <c r="A705" s="19" t="s">
        <v>39</v>
      </c>
      <c r="B705" s="20" t="s">
        <v>68</v>
      </c>
      <c r="C705" s="20" t="s">
        <v>8</v>
      </c>
      <c r="D705" s="20" t="s">
        <v>10</v>
      </c>
      <c r="E705" s="20" t="s">
        <v>18</v>
      </c>
      <c r="F705" s="20" t="str">
        <f>INDEX(nrg_cb_e!$A$3:$A$40,MATCH(LEFT(MID('Industriesektor GWh'!$B705,41,1000),SEARCH(" - ",MID('Industriesektor GWh'!$B705,41,1000))-1),nrg_cb_e!$C$3:$C$40,0))</f>
        <v>FC_IND_MQ_E</v>
      </c>
      <c r="G705" s="21">
        <v>52</v>
      </c>
    </row>
    <row r="706" spans="1:7" x14ac:dyDescent="0.2">
      <c r="A706" s="16" t="s">
        <v>39</v>
      </c>
      <c r="B706" s="17" t="s">
        <v>68</v>
      </c>
      <c r="C706" s="17" t="s">
        <v>8</v>
      </c>
      <c r="D706" s="17" t="s">
        <v>10</v>
      </c>
      <c r="E706" s="17" t="s">
        <v>19</v>
      </c>
      <c r="F706" s="17" t="str">
        <f>INDEX(nrg_cb_e!$A$3:$A$40,MATCH(LEFT(MID('Industriesektor GWh'!$B706,41,1000),SEARCH(" - ",MID('Industriesektor GWh'!$B706,41,1000))-1),nrg_cb_e!$C$3:$C$40,0))</f>
        <v>FC_IND_MQ_E</v>
      </c>
      <c r="G706" s="18">
        <v>57</v>
      </c>
    </row>
    <row r="707" spans="1:7" x14ac:dyDescent="0.2">
      <c r="A707" s="19" t="s">
        <v>39</v>
      </c>
      <c r="B707" s="20" t="s">
        <v>68</v>
      </c>
      <c r="C707" s="20" t="s">
        <v>8</v>
      </c>
      <c r="D707" s="20" t="s">
        <v>10</v>
      </c>
      <c r="E707" s="20" t="s">
        <v>20</v>
      </c>
      <c r="F707" s="20" t="str">
        <f>INDEX(nrg_cb_e!$A$3:$A$40,MATCH(LEFT(MID('Industriesektor GWh'!$B707,41,1000),SEARCH(" - ",MID('Industriesektor GWh'!$B707,41,1000))-1),nrg_cb_e!$C$3:$C$40,0))</f>
        <v>FC_IND_MQ_E</v>
      </c>
      <c r="G707" s="21">
        <v>47</v>
      </c>
    </row>
    <row r="708" spans="1:7" x14ac:dyDescent="0.2">
      <c r="A708" s="16" t="s">
        <v>39</v>
      </c>
      <c r="B708" s="17" t="s">
        <v>68</v>
      </c>
      <c r="C708" s="17" t="s">
        <v>8</v>
      </c>
      <c r="D708" s="17" t="s">
        <v>10</v>
      </c>
      <c r="E708" s="17" t="s">
        <v>21</v>
      </c>
      <c r="F708" s="17" t="str">
        <f>INDEX(nrg_cb_e!$A$3:$A$40,MATCH(LEFT(MID('Industriesektor GWh'!$B708,41,1000),SEARCH(" - ",MID('Industriesektor GWh'!$B708,41,1000))-1),nrg_cb_e!$C$3:$C$40,0))</f>
        <v>FC_IND_MQ_E</v>
      </c>
      <c r="G708" s="18">
        <v>40</v>
      </c>
    </row>
    <row r="709" spans="1:7" x14ac:dyDescent="0.2">
      <c r="A709" s="19" t="s">
        <v>39</v>
      </c>
      <c r="B709" s="20" t="s">
        <v>68</v>
      </c>
      <c r="C709" s="20" t="s">
        <v>8</v>
      </c>
      <c r="D709" s="20" t="s">
        <v>10</v>
      </c>
      <c r="E709" s="20" t="s">
        <v>22</v>
      </c>
      <c r="F709" s="20" t="str">
        <f>INDEX(nrg_cb_e!$A$3:$A$40,MATCH(LEFT(MID('Industriesektor GWh'!$B709,41,1000),SEARCH(" - ",MID('Industriesektor GWh'!$B709,41,1000))-1),nrg_cb_e!$C$3:$C$40,0))</f>
        <v>FC_IND_MQ_E</v>
      </c>
      <c r="G709" s="21">
        <v>41</v>
      </c>
    </row>
    <row r="710" spans="1:7" x14ac:dyDescent="0.2">
      <c r="A710" s="16" t="s">
        <v>39</v>
      </c>
      <c r="B710" s="17" t="s">
        <v>68</v>
      </c>
      <c r="C710" s="17" t="s">
        <v>8</v>
      </c>
      <c r="D710" s="17" t="s">
        <v>10</v>
      </c>
      <c r="E710" s="17" t="s">
        <v>23</v>
      </c>
      <c r="F710" s="17" t="str">
        <f>INDEX(nrg_cb_e!$A$3:$A$40,MATCH(LEFT(MID('Industriesektor GWh'!$B710,41,1000),SEARCH(" - ",MID('Industriesektor GWh'!$B710,41,1000))-1),nrg_cb_e!$C$3:$C$40,0))</f>
        <v>FC_IND_MQ_E</v>
      </c>
      <c r="G710" s="18">
        <v>42</v>
      </c>
    </row>
    <row r="711" spans="1:7" x14ac:dyDescent="0.2">
      <c r="A711" s="19" t="s">
        <v>39</v>
      </c>
      <c r="B711" s="20" t="s">
        <v>68</v>
      </c>
      <c r="C711" s="20" t="s">
        <v>8</v>
      </c>
      <c r="D711" s="20" t="s">
        <v>10</v>
      </c>
      <c r="E711" s="20" t="s">
        <v>24</v>
      </c>
      <c r="F711" s="20" t="str">
        <f>INDEX(nrg_cb_e!$A$3:$A$40,MATCH(LEFT(MID('Industriesektor GWh'!$B711,41,1000),SEARCH(" - ",MID('Industriesektor GWh'!$B711,41,1000))-1),nrg_cb_e!$C$3:$C$40,0))</f>
        <v>FC_IND_MQ_E</v>
      </c>
      <c r="G711" s="21">
        <v>40</v>
      </c>
    </row>
    <row r="712" spans="1:7" x14ac:dyDescent="0.2">
      <c r="A712" s="16" t="s">
        <v>39</v>
      </c>
      <c r="B712" s="17" t="s">
        <v>68</v>
      </c>
      <c r="C712" s="17" t="s">
        <v>8</v>
      </c>
      <c r="D712" s="17" t="s">
        <v>10</v>
      </c>
      <c r="E712" s="17" t="s">
        <v>25</v>
      </c>
      <c r="F712" s="17" t="str">
        <f>INDEX(nrg_cb_e!$A$3:$A$40,MATCH(LEFT(MID('Industriesektor GWh'!$B712,41,1000),SEARCH(" - ",MID('Industriesektor GWh'!$B712,41,1000))-1),nrg_cb_e!$C$3:$C$40,0))</f>
        <v>FC_IND_MQ_E</v>
      </c>
      <c r="G712" s="18">
        <v>44</v>
      </c>
    </row>
    <row r="713" spans="1:7" x14ac:dyDescent="0.2">
      <c r="A713" s="19" t="s">
        <v>39</v>
      </c>
      <c r="B713" s="20" t="s">
        <v>68</v>
      </c>
      <c r="C713" s="20" t="s">
        <v>8</v>
      </c>
      <c r="D713" s="20" t="s">
        <v>10</v>
      </c>
      <c r="E713" s="20" t="s">
        <v>26</v>
      </c>
      <c r="F713" s="20" t="str">
        <f>INDEX(nrg_cb_e!$A$3:$A$40,MATCH(LEFT(MID('Industriesektor GWh'!$B713,41,1000),SEARCH(" - ",MID('Industriesektor GWh'!$B713,41,1000))-1),nrg_cb_e!$C$3:$C$40,0))</f>
        <v>FC_IND_MQ_E</v>
      </c>
      <c r="G713" s="21">
        <v>49</v>
      </c>
    </row>
    <row r="714" spans="1:7" x14ac:dyDescent="0.2">
      <c r="A714" s="16" t="s">
        <v>39</v>
      </c>
      <c r="B714" s="17" t="s">
        <v>68</v>
      </c>
      <c r="C714" s="17" t="s">
        <v>8</v>
      </c>
      <c r="D714" s="17" t="s">
        <v>10</v>
      </c>
      <c r="E714" s="17" t="s">
        <v>27</v>
      </c>
      <c r="F714" s="17" t="str">
        <f>INDEX(nrg_cb_e!$A$3:$A$40,MATCH(LEFT(MID('Industriesektor GWh'!$B714,41,1000),SEARCH(" - ",MID('Industriesektor GWh'!$B714,41,1000))-1),nrg_cb_e!$C$3:$C$40,0))</f>
        <v>FC_IND_MQ_E</v>
      </c>
      <c r="G714" s="18">
        <v>32.9</v>
      </c>
    </row>
    <row r="715" spans="1:7" x14ac:dyDescent="0.2">
      <c r="A715" s="19" t="s">
        <v>39</v>
      </c>
      <c r="B715" s="20" t="s">
        <v>68</v>
      </c>
      <c r="C715" s="20" t="s">
        <v>8</v>
      </c>
      <c r="D715" s="20" t="s">
        <v>10</v>
      </c>
      <c r="E715" s="20" t="s">
        <v>28</v>
      </c>
      <c r="F715" s="20" t="str">
        <f>INDEX(nrg_cb_e!$A$3:$A$40,MATCH(LEFT(MID('Industriesektor GWh'!$B715,41,1000),SEARCH(" - ",MID('Industriesektor GWh'!$B715,41,1000))-1),nrg_cb_e!$C$3:$C$40,0))</f>
        <v>FC_IND_MQ_E</v>
      </c>
      <c r="G715" s="21">
        <v>28.8</v>
      </c>
    </row>
    <row r="716" spans="1:7" x14ac:dyDescent="0.2">
      <c r="A716" s="16" t="s">
        <v>40</v>
      </c>
      <c r="B716" s="17" t="s">
        <v>68</v>
      </c>
      <c r="C716" s="17" t="s">
        <v>8</v>
      </c>
      <c r="D716" s="17" t="s">
        <v>10</v>
      </c>
      <c r="E716" s="17" t="s">
        <v>12</v>
      </c>
      <c r="F716" s="17" t="str">
        <f>INDEX(nrg_cb_e!$A$3:$A$40,MATCH(LEFT(MID('Industriesektor GWh'!$B716,41,1000),SEARCH(" - ",MID('Industriesektor GWh'!$B716,41,1000))-1),nrg_cb_e!$C$3:$C$40,0))</f>
        <v>FC_IND_MQ_E</v>
      </c>
      <c r="G716" s="18">
        <v>1042</v>
      </c>
    </row>
    <row r="717" spans="1:7" x14ac:dyDescent="0.2">
      <c r="A717" s="19" t="s">
        <v>40</v>
      </c>
      <c r="B717" s="20" t="s">
        <v>68</v>
      </c>
      <c r="C717" s="20" t="s">
        <v>8</v>
      </c>
      <c r="D717" s="20" t="s">
        <v>10</v>
      </c>
      <c r="E717" s="20" t="s">
        <v>13</v>
      </c>
      <c r="F717" s="20" t="str">
        <f>INDEX(nrg_cb_e!$A$3:$A$40,MATCH(LEFT(MID('Industriesektor GWh'!$B717,41,1000),SEARCH(" - ",MID('Industriesektor GWh'!$B717,41,1000))-1),nrg_cb_e!$C$3:$C$40,0))</f>
        <v>FC_IND_MQ_E</v>
      </c>
      <c r="G717" s="21">
        <v>1060</v>
      </c>
    </row>
    <row r="718" spans="1:7" x14ac:dyDescent="0.2">
      <c r="A718" s="16" t="s">
        <v>40</v>
      </c>
      <c r="B718" s="17" t="s">
        <v>68</v>
      </c>
      <c r="C718" s="17" t="s">
        <v>8</v>
      </c>
      <c r="D718" s="17" t="s">
        <v>10</v>
      </c>
      <c r="E718" s="17" t="s">
        <v>14</v>
      </c>
      <c r="F718" s="17" t="str">
        <f>INDEX(nrg_cb_e!$A$3:$A$40,MATCH(LEFT(MID('Industriesektor GWh'!$B718,41,1000),SEARCH(" - ",MID('Industriesektor GWh'!$B718,41,1000))-1),nrg_cb_e!$C$3:$C$40,0))</f>
        <v>FC_IND_MQ_E</v>
      </c>
      <c r="G718" s="18">
        <v>1099</v>
      </c>
    </row>
    <row r="719" spans="1:7" x14ac:dyDescent="0.2">
      <c r="A719" s="19" t="s">
        <v>40</v>
      </c>
      <c r="B719" s="20" t="s">
        <v>68</v>
      </c>
      <c r="C719" s="20" t="s">
        <v>8</v>
      </c>
      <c r="D719" s="20" t="s">
        <v>10</v>
      </c>
      <c r="E719" s="20" t="s">
        <v>15</v>
      </c>
      <c r="F719" s="20" t="str">
        <f>INDEX(nrg_cb_e!$A$3:$A$40,MATCH(LEFT(MID('Industriesektor GWh'!$B719,41,1000),SEARCH(" - ",MID('Industriesektor GWh'!$B719,41,1000))-1),nrg_cb_e!$C$3:$C$40,0))</f>
        <v>FC_IND_MQ_E</v>
      </c>
      <c r="G719" s="21">
        <v>1065</v>
      </c>
    </row>
    <row r="720" spans="1:7" x14ac:dyDescent="0.2">
      <c r="A720" s="16" t="s">
        <v>40</v>
      </c>
      <c r="B720" s="17" t="s">
        <v>68</v>
      </c>
      <c r="C720" s="17" t="s">
        <v>8</v>
      </c>
      <c r="D720" s="17" t="s">
        <v>10</v>
      </c>
      <c r="E720" s="17" t="s">
        <v>16</v>
      </c>
      <c r="F720" s="17" t="str">
        <f>INDEX(nrg_cb_e!$A$3:$A$40,MATCH(LEFT(MID('Industriesektor GWh'!$B720,41,1000),SEARCH(" - ",MID('Industriesektor GWh'!$B720,41,1000))-1),nrg_cb_e!$C$3:$C$40,0))</f>
        <v>FC_IND_MQ_E</v>
      </c>
      <c r="G720" s="18">
        <v>1087</v>
      </c>
    </row>
    <row r="721" spans="1:7" x14ac:dyDescent="0.2">
      <c r="A721" s="19" t="s">
        <v>40</v>
      </c>
      <c r="B721" s="20" t="s">
        <v>68</v>
      </c>
      <c r="C721" s="20" t="s">
        <v>8</v>
      </c>
      <c r="D721" s="20" t="s">
        <v>10</v>
      </c>
      <c r="E721" s="20" t="s">
        <v>17</v>
      </c>
      <c r="F721" s="20" t="str">
        <f>INDEX(nrg_cb_e!$A$3:$A$40,MATCH(LEFT(MID('Industriesektor GWh'!$B721,41,1000),SEARCH(" - ",MID('Industriesektor GWh'!$B721,41,1000))-1),nrg_cb_e!$C$3:$C$40,0))</f>
        <v>FC_IND_MQ_E</v>
      </c>
      <c r="G721" s="21">
        <v>1065</v>
      </c>
    </row>
    <row r="722" spans="1:7" x14ac:dyDescent="0.2">
      <c r="A722" s="16" t="s">
        <v>40</v>
      </c>
      <c r="B722" s="17" t="s">
        <v>68</v>
      </c>
      <c r="C722" s="17" t="s">
        <v>8</v>
      </c>
      <c r="D722" s="17" t="s">
        <v>10</v>
      </c>
      <c r="E722" s="17" t="s">
        <v>18</v>
      </c>
      <c r="F722" s="17" t="str">
        <f>INDEX(nrg_cb_e!$A$3:$A$40,MATCH(LEFT(MID('Industriesektor GWh'!$B722,41,1000),SEARCH(" - ",MID('Industriesektor GWh'!$B722,41,1000))-1),nrg_cb_e!$C$3:$C$40,0))</f>
        <v>FC_IND_MQ_E</v>
      </c>
      <c r="G722" s="18">
        <v>1027</v>
      </c>
    </row>
    <row r="723" spans="1:7" x14ac:dyDescent="0.2">
      <c r="A723" s="19" t="s">
        <v>40</v>
      </c>
      <c r="B723" s="20" t="s">
        <v>68</v>
      </c>
      <c r="C723" s="20" t="s">
        <v>8</v>
      </c>
      <c r="D723" s="20" t="s">
        <v>10</v>
      </c>
      <c r="E723" s="20" t="s">
        <v>19</v>
      </c>
      <c r="F723" s="20" t="str">
        <f>INDEX(nrg_cb_e!$A$3:$A$40,MATCH(LEFT(MID('Industriesektor GWh'!$B723,41,1000),SEARCH(" - ",MID('Industriesektor GWh'!$B723,41,1000))-1),nrg_cb_e!$C$3:$C$40,0))</f>
        <v>FC_IND_MQ_E</v>
      </c>
      <c r="G723" s="21">
        <v>917</v>
      </c>
    </row>
    <row r="724" spans="1:7" x14ac:dyDescent="0.2">
      <c r="A724" s="16" t="s">
        <v>40</v>
      </c>
      <c r="B724" s="17" t="s">
        <v>68</v>
      </c>
      <c r="C724" s="17" t="s">
        <v>8</v>
      </c>
      <c r="D724" s="17" t="s">
        <v>10</v>
      </c>
      <c r="E724" s="17" t="s">
        <v>20</v>
      </c>
      <c r="F724" s="17" t="str">
        <f>INDEX(nrg_cb_e!$A$3:$A$40,MATCH(LEFT(MID('Industriesektor GWh'!$B724,41,1000),SEARCH(" - ",MID('Industriesektor GWh'!$B724,41,1000))-1),nrg_cb_e!$C$3:$C$40,0))</f>
        <v>FC_IND_MQ_E</v>
      </c>
      <c r="G724" s="18">
        <v>880</v>
      </c>
    </row>
    <row r="725" spans="1:7" x14ac:dyDescent="0.2">
      <c r="A725" s="19" t="s">
        <v>40</v>
      </c>
      <c r="B725" s="20" t="s">
        <v>68</v>
      </c>
      <c r="C725" s="20" t="s">
        <v>8</v>
      </c>
      <c r="D725" s="20" t="s">
        <v>10</v>
      </c>
      <c r="E725" s="20" t="s">
        <v>21</v>
      </c>
      <c r="F725" s="20" t="str">
        <f>INDEX(nrg_cb_e!$A$3:$A$40,MATCH(LEFT(MID('Industriesektor GWh'!$B725,41,1000),SEARCH(" - ",MID('Industriesektor GWh'!$B725,41,1000))-1),nrg_cb_e!$C$3:$C$40,0))</f>
        <v>FC_IND_MQ_E</v>
      </c>
      <c r="G725" s="21">
        <v>863</v>
      </c>
    </row>
    <row r="726" spans="1:7" x14ac:dyDescent="0.2">
      <c r="A726" s="16" t="s">
        <v>40</v>
      </c>
      <c r="B726" s="17" t="s">
        <v>68</v>
      </c>
      <c r="C726" s="17" t="s">
        <v>8</v>
      </c>
      <c r="D726" s="17" t="s">
        <v>10</v>
      </c>
      <c r="E726" s="17" t="s">
        <v>22</v>
      </c>
      <c r="F726" s="17" t="str">
        <f>INDEX(nrg_cb_e!$A$3:$A$40,MATCH(LEFT(MID('Industriesektor GWh'!$B726,41,1000),SEARCH(" - ",MID('Industriesektor GWh'!$B726,41,1000))-1),nrg_cb_e!$C$3:$C$40,0))</f>
        <v>FC_IND_MQ_E</v>
      </c>
      <c r="G726" s="18">
        <v>742</v>
      </c>
    </row>
    <row r="727" spans="1:7" x14ac:dyDescent="0.2">
      <c r="A727" s="19" t="s">
        <v>40</v>
      </c>
      <c r="B727" s="20" t="s">
        <v>68</v>
      </c>
      <c r="C727" s="20" t="s">
        <v>8</v>
      </c>
      <c r="D727" s="20" t="s">
        <v>10</v>
      </c>
      <c r="E727" s="20" t="s">
        <v>23</v>
      </c>
      <c r="F727" s="20" t="str">
        <f>INDEX(nrg_cb_e!$A$3:$A$40,MATCH(LEFT(MID('Industriesektor GWh'!$B727,41,1000),SEARCH(" - ",MID('Industriesektor GWh'!$B727,41,1000))-1),nrg_cb_e!$C$3:$C$40,0))</f>
        <v>FC_IND_MQ_E</v>
      </c>
      <c r="G727" s="21">
        <v>681</v>
      </c>
    </row>
    <row r="728" spans="1:7" x14ac:dyDescent="0.2">
      <c r="A728" s="16" t="s">
        <v>40</v>
      </c>
      <c r="B728" s="17" t="s">
        <v>68</v>
      </c>
      <c r="C728" s="17" t="s">
        <v>8</v>
      </c>
      <c r="D728" s="17" t="s">
        <v>10</v>
      </c>
      <c r="E728" s="17" t="s">
        <v>24</v>
      </c>
      <c r="F728" s="17" t="str">
        <f>INDEX(nrg_cb_e!$A$3:$A$40,MATCH(LEFT(MID('Industriesektor GWh'!$B728,41,1000),SEARCH(" - ",MID('Industriesektor GWh'!$B728,41,1000))-1),nrg_cb_e!$C$3:$C$40,0))</f>
        <v>FC_IND_MQ_E</v>
      </c>
      <c r="G728" s="18">
        <v>643</v>
      </c>
    </row>
    <row r="729" spans="1:7" x14ac:dyDescent="0.2">
      <c r="A729" s="19" t="s">
        <v>40</v>
      </c>
      <c r="B729" s="20" t="s">
        <v>68</v>
      </c>
      <c r="C729" s="20" t="s">
        <v>8</v>
      </c>
      <c r="D729" s="20" t="s">
        <v>10</v>
      </c>
      <c r="E729" s="20" t="s">
        <v>25</v>
      </c>
      <c r="F729" s="20" t="str">
        <f>INDEX(nrg_cb_e!$A$3:$A$40,MATCH(LEFT(MID('Industriesektor GWh'!$B729,41,1000),SEARCH(" - ",MID('Industriesektor GWh'!$B729,41,1000))-1),nrg_cb_e!$C$3:$C$40,0))</f>
        <v>FC_IND_MQ_E</v>
      </c>
      <c r="G729" s="21">
        <v>627</v>
      </c>
    </row>
    <row r="730" spans="1:7" x14ac:dyDescent="0.2">
      <c r="A730" s="16" t="s">
        <v>40</v>
      </c>
      <c r="B730" s="17" t="s">
        <v>68</v>
      </c>
      <c r="C730" s="17" t="s">
        <v>8</v>
      </c>
      <c r="D730" s="17" t="s">
        <v>10</v>
      </c>
      <c r="E730" s="17" t="s">
        <v>26</v>
      </c>
      <c r="F730" s="17" t="str">
        <f>INDEX(nrg_cb_e!$A$3:$A$40,MATCH(LEFT(MID('Industriesektor GWh'!$B730,41,1000),SEARCH(" - ",MID('Industriesektor GWh'!$B730,41,1000))-1),nrg_cb_e!$C$3:$C$40,0))</f>
        <v>FC_IND_MQ_E</v>
      </c>
      <c r="G730" s="18">
        <v>609</v>
      </c>
    </row>
    <row r="731" spans="1:7" x14ac:dyDescent="0.2">
      <c r="A731" s="19" t="s">
        <v>40</v>
      </c>
      <c r="B731" s="20" t="s">
        <v>68</v>
      </c>
      <c r="C731" s="20" t="s">
        <v>8</v>
      </c>
      <c r="D731" s="20" t="s">
        <v>10</v>
      </c>
      <c r="E731" s="20" t="s">
        <v>27</v>
      </c>
      <c r="F731" s="20" t="str">
        <f>INDEX(nrg_cb_e!$A$3:$A$40,MATCH(LEFT(MID('Industriesektor GWh'!$B731,41,1000),SEARCH(" - ",MID('Industriesektor GWh'!$B731,41,1000))-1),nrg_cb_e!$C$3:$C$40,0))</f>
        <v>FC_IND_MQ_E</v>
      </c>
      <c r="G731" s="21">
        <v>605.50300000000004</v>
      </c>
    </row>
    <row r="732" spans="1:7" x14ac:dyDescent="0.2">
      <c r="A732" s="16" t="s">
        <v>40</v>
      </c>
      <c r="B732" s="17" t="s">
        <v>68</v>
      </c>
      <c r="C732" s="17" t="s">
        <v>8</v>
      </c>
      <c r="D732" s="17" t="s">
        <v>10</v>
      </c>
      <c r="E732" s="17" t="s">
        <v>28</v>
      </c>
      <c r="F732" s="17" t="str">
        <f>INDEX(nrg_cb_e!$A$3:$A$40,MATCH(LEFT(MID('Industriesektor GWh'!$B732,41,1000),SEARCH(" - ",MID('Industriesektor GWh'!$B732,41,1000))-1),nrg_cb_e!$C$3:$C$40,0))</f>
        <v>FC_IND_MQ_E</v>
      </c>
      <c r="G732" s="18">
        <v>615.05999999999995</v>
      </c>
    </row>
    <row r="733" spans="1:7" x14ac:dyDescent="0.2">
      <c r="A733" s="19" t="s">
        <v>41</v>
      </c>
      <c r="B733" s="20" t="s">
        <v>68</v>
      </c>
      <c r="C733" s="20" t="s">
        <v>8</v>
      </c>
      <c r="D733" s="20" t="s">
        <v>10</v>
      </c>
      <c r="E733" s="20" t="s">
        <v>12</v>
      </c>
      <c r="F733" s="20" t="str">
        <f>INDEX(nrg_cb_e!$A$3:$A$40,MATCH(LEFT(MID('Industriesektor GWh'!$B733,41,1000),SEARCH(" - ",MID('Industriesektor GWh'!$B733,41,1000))-1),nrg_cb_e!$C$3:$C$40,0))</f>
        <v>FC_IND_MQ_E</v>
      </c>
      <c r="G733" s="21">
        <v>12</v>
      </c>
    </row>
    <row r="734" spans="1:7" x14ac:dyDescent="0.2">
      <c r="A734" s="16" t="s">
        <v>41</v>
      </c>
      <c r="B734" s="17" t="s">
        <v>68</v>
      </c>
      <c r="C734" s="17" t="s">
        <v>8</v>
      </c>
      <c r="D734" s="17" t="s">
        <v>10</v>
      </c>
      <c r="E734" s="17" t="s">
        <v>13</v>
      </c>
      <c r="F734" s="17" t="str">
        <f>INDEX(nrg_cb_e!$A$3:$A$40,MATCH(LEFT(MID('Industriesektor GWh'!$B734,41,1000),SEARCH(" - ",MID('Industriesektor GWh'!$B734,41,1000))-1),nrg_cb_e!$C$3:$C$40,0))</f>
        <v>FC_IND_MQ_E</v>
      </c>
      <c r="G734" s="18">
        <v>13</v>
      </c>
    </row>
    <row r="735" spans="1:7" x14ac:dyDescent="0.2">
      <c r="A735" s="19" t="s">
        <v>41</v>
      </c>
      <c r="B735" s="20" t="s">
        <v>68</v>
      </c>
      <c r="C735" s="20" t="s">
        <v>8</v>
      </c>
      <c r="D735" s="20" t="s">
        <v>10</v>
      </c>
      <c r="E735" s="20" t="s">
        <v>14</v>
      </c>
      <c r="F735" s="20" t="str">
        <f>INDEX(nrg_cb_e!$A$3:$A$40,MATCH(LEFT(MID('Industriesektor GWh'!$B735,41,1000),SEARCH(" - ",MID('Industriesektor GWh'!$B735,41,1000))-1),nrg_cb_e!$C$3:$C$40,0))</f>
        <v>FC_IND_MQ_E</v>
      </c>
      <c r="G735" s="21">
        <v>20</v>
      </c>
    </row>
    <row r="736" spans="1:7" x14ac:dyDescent="0.2">
      <c r="A736" s="16" t="s">
        <v>41</v>
      </c>
      <c r="B736" s="17" t="s">
        <v>68</v>
      </c>
      <c r="C736" s="17" t="s">
        <v>8</v>
      </c>
      <c r="D736" s="17" t="s">
        <v>10</v>
      </c>
      <c r="E736" s="17" t="s">
        <v>15</v>
      </c>
      <c r="F736" s="17" t="str">
        <f>INDEX(nrg_cb_e!$A$3:$A$40,MATCH(LEFT(MID('Industriesektor GWh'!$B736,41,1000),SEARCH(" - ",MID('Industriesektor GWh'!$B736,41,1000))-1),nrg_cb_e!$C$3:$C$40,0))</f>
        <v>FC_IND_MQ_E</v>
      </c>
      <c r="G736" s="18">
        <v>14</v>
      </c>
    </row>
    <row r="737" spans="1:7" x14ac:dyDescent="0.2">
      <c r="A737" s="19" t="s">
        <v>41</v>
      </c>
      <c r="B737" s="20" t="s">
        <v>68</v>
      </c>
      <c r="C737" s="20" t="s">
        <v>8</v>
      </c>
      <c r="D737" s="20" t="s">
        <v>10</v>
      </c>
      <c r="E737" s="20" t="s">
        <v>16</v>
      </c>
      <c r="F737" s="20" t="str">
        <f>INDEX(nrg_cb_e!$A$3:$A$40,MATCH(LEFT(MID('Industriesektor GWh'!$B737,41,1000),SEARCH(" - ",MID('Industriesektor GWh'!$B737,41,1000))-1),nrg_cb_e!$C$3:$C$40,0))</f>
        <v>FC_IND_MQ_E</v>
      </c>
      <c r="G737" s="21">
        <v>16</v>
      </c>
    </row>
    <row r="738" spans="1:7" x14ac:dyDescent="0.2">
      <c r="A738" s="16" t="s">
        <v>41</v>
      </c>
      <c r="B738" s="17" t="s">
        <v>68</v>
      </c>
      <c r="C738" s="17" t="s">
        <v>8</v>
      </c>
      <c r="D738" s="17" t="s">
        <v>10</v>
      </c>
      <c r="E738" s="17" t="s">
        <v>17</v>
      </c>
      <c r="F738" s="17" t="str">
        <f>INDEX(nrg_cb_e!$A$3:$A$40,MATCH(LEFT(MID('Industriesektor GWh'!$B738,41,1000),SEARCH(" - ",MID('Industriesektor GWh'!$B738,41,1000))-1),nrg_cb_e!$C$3:$C$40,0))</f>
        <v>FC_IND_MQ_E</v>
      </c>
      <c r="G738" s="18">
        <v>36</v>
      </c>
    </row>
    <row r="739" spans="1:7" x14ac:dyDescent="0.2">
      <c r="A739" s="19" t="s">
        <v>41</v>
      </c>
      <c r="B739" s="20" t="s">
        <v>68</v>
      </c>
      <c r="C739" s="20" t="s">
        <v>8</v>
      </c>
      <c r="D739" s="20" t="s">
        <v>10</v>
      </c>
      <c r="E739" s="20" t="s">
        <v>18</v>
      </c>
      <c r="F739" s="20" t="str">
        <f>INDEX(nrg_cb_e!$A$3:$A$40,MATCH(LEFT(MID('Industriesektor GWh'!$B739,41,1000),SEARCH(" - ",MID('Industriesektor GWh'!$B739,41,1000))-1),nrg_cb_e!$C$3:$C$40,0))</f>
        <v>FC_IND_MQ_E</v>
      </c>
      <c r="G739" s="21">
        <v>39</v>
      </c>
    </row>
    <row r="740" spans="1:7" x14ac:dyDescent="0.2">
      <c r="A740" s="16" t="s">
        <v>41</v>
      </c>
      <c r="B740" s="17" t="s">
        <v>68</v>
      </c>
      <c r="C740" s="17" t="s">
        <v>8</v>
      </c>
      <c r="D740" s="17" t="s">
        <v>10</v>
      </c>
      <c r="E740" s="17" t="s">
        <v>19</v>
      </c>
      <c r="F740" s="17" t="str">
        <f>INDEX(nrg_cb_e!$A$3:$A$40,MATCH(LEFT(MID('Industriesektor GWh'!$B740,41,1000),SEARCH(" - ",MID('Industriesektor GWh'!$B740,41,1000))-1),nrg_cb_e!$C$3:$C$40,0))</f>
        <v>FC_IND_MQ_E</v>
      </c>
      <c r="G740" s="18">
        <v>34</v>
      </c>
    </row>
    <row r="741" spans="1:7" x14ac:dyDescent="0.2">
      <c r="A741" s="19" t="s">
        <v>41</v>
      </c>
      <c r="B741" s="20" t="s">
        <v>68</v>
      </c>
      <c r="C741" s="20" t="s">
        <v>8</v>
      </c>
      <c r="D741" s="20" t="s">
        <v>10</v>
      </c>
      <c r="E741" s="20" t="s">
        <v>20</v>
      </c>
      <c r="F741" s="20" t="str">
        <f>INDEX(nrg_cb_e!$A$3:$A$40,MATCH(LEFT(MID('Industriesektor GWh'!$B741,41,1000),SEARCH(" - ",MID('Industriesektor GWh'!$B741,41,1000))-1),nrg_cb_e!$C$3:$C$40,0))</f>
        <v>FC_IND_MQ_E</v>
      </c>
      <c r="G741" s="21">
        <v>34</v>
      </c>
    </row>
    <row r="742" spans="1:7" x14ac:dyDescent="0.2">
      <c r="A742" s="16" t="s">
        <v>41</v>
      </c>
      <c r="B742" s="17" t="s">
        <v>68</v>
      </c>
      <c r="C742" s="17" t="s">
        <v>8</v>
      </c>
      <c r="D742" s="17" t="s">
        <v>10</v>
      </c>
      <c r="E742" s="17" t="s">
        <v>21</v>
      </c>
      <c r="F742" s="17" t="str">
        <f>INDEX(nrg_cb_e!$A$3:$A$40,MATCH(LEFT(MID('Industriesektor GWh'!$B742,41,1000),SEARCH(" - ",MID('Industriesektor GWh'!$B742,41,1000))-1),nrg_cb_e!$C$3:$C$40,0))</f>
        <v>FC_IND_MQ_E</v>
      </c>
      <c r="G742" s="18">
        <v>40</v>
      </c>
    </row>
    <row r="743" spans="1:7" x14ac:dyDescent="0.2">
      <c r="A743" s="19" t="s">
        <v>41</v>
      </c>
      <c r="B743" s="20" t="s">
        <v>68</v>
      </c>
      <c r="C743" s="20" t="s">
        <v>8</v>
      </c>
      <c r="D743" s="20" t="s">
        <v>10</v>
      </c>
      <c r="E743" s="20" t="s">
        <v>22</v>
      </c>
      <c r="F743" s="20" t="str">
        <f>INDEX(nrg_cb_e!$A$3:$A$40,MATCH(LEFT(MID('Industriesektor GWh'!$B743,41,1000),SEARCH(" - ",MID('Industriesektor GWh'!$B743,41,1000))-1),nrg_cb_e!$C$3:$C$40,0))</f>
        <v>FC_IND_MQ_E</v>
      </c>
      <c r="G743" s="21">
        <v>35</v>
      </c>
    </row>
    <row r="744" spans="1:7" x14ac:dyDescent="0.2">
      <c r="A744" s="16" t="s">
        <v>41</v>
      </c>
      <c r="B744" s="17" t="s">
        <v>68</v>
      </c>
      <c r="C744" s="17" t="s">
        <v>8</v>
      </c>
      <c r="D744" s="17" t="s">
        <v>10</v>
      </c>
      <c r="E744" s="17" t="s">
        <v>23</v>
      </c>
      <c r="F744" s="17" t="str">
        <f>INDEX(nrg_cb_e!$A$3:$A$40,MATCH(LEFT(MID('Industriesektor GWh'!$B744,41,1000),SEARCH(" - ",MID('Industriesektor GWh'!$B744,41,1000))-1),nrg_cb_e!$C$3:$C$40,0))</f>
        <v>FC_IND_MQ_E</v>
      </c>
      <c r="G744" s="18">
        <v>29</v>
      </c>
    </row>
    <row r="745" spans="1:7" x14ac:dyDescent="0.2">
      <c r="A745" s="19" t="s">
        <v>41</v>
      </c>
      <c r="B745" s="20" t="s">
        <v>68</v>
      </c>
      <c r="C745" s="20" t="s">
        <v>8</v>
      </c>
      <c r="D745" s="20" t="s">
        <v>10</v>
      </c>
      <c r="E745" s="20" t="s">
        <v>24</v>
      </c>
      <c r="F745" s="20" t="str">
        <f>INDEX(nrg_cb_e!$A$3:$A$40,MATCH(LEFT(MID('Industriesektor GWh'!$B745,41,1000),SEARCH(" - ",MID('Industriesektor GWh'!$B745,41,1000))-1),nrg_cb_e!$C$3:$C$40,0))</f>
        <v>FC_IND_MQ_E</v>
      </c>
      <c r="G745" s="21">
        <v>29</v>
      </c>
    </row>
    <row r="746" spans="1:7" x14ac:dyDescent="0.2">
      <c r="A746" s="16" t="s">
        <v>41</v>
      </c>
      <c r="B746" s="17" t="s">
        <v>68</v>
      </c>
      <c r="C746" s="17" t="s">
        <v>8</v>
      </c>
      <c r="D746" s="17" t="s">
        <v>10</v>
      </c>
      <c r="E746" s="17" t="s">
        <v>25</v>
      </c>
      <c r="F746" s="17" t="str">
        <f>INDEX(nrg_cb_e!$A$3:$A$40,MATCH(LEFT(MID('Industriesektor GWh'!$B746,41,1000),SEARCH(" - ",MID('Industriesektor GWh'!$B746,41,1000))-1),nrg_cb_e!$C$3:$C$40,0))</f>
        <v>FC_IND_MQ_E</v>
      </c>
      <c r="G746" s="18">
        <v>25</v>
      </c>
    </row>
    <row r="747" spans="1:7" x14ac:dyDescent="0.2">
      <c r="A747" s="19" t="s">
        <v>41</v>
      </c>
      <c r="B747" s="20" t="s">
        <v>68</v>
      </c>
      <c r="C747" s="20" t="s">
        <v>8</v>
      </c>
      <c r="D747" s="20" t="s">
        <v>10</v>
      </c>
      <c r="E747" s="20" t="s">
        <v>26</v>
      </c>
      <c r="F747" s="20" t="str">
        <f>INDEX(nrg_cb_e!$A$3:$A$40,MATCH(LEFT(MID('Industriesektor GWh'!$B747,41,1000),SEARCH(" - ",MID('Industriesektor GWh'!$B747,41,1000))-1),nrg_cb_e!$C$3:$C$40,0))</f>
        <v>FC_IND_MQ_E</v>
      </c>
      <c r="G747" s="21">
        <v>29</v>
      </c>
    </row>
    <row r="748" spans="1:7" x14ac:dyDescent="0.2">
      <c r="A748" s="16" t="s">
        <v>41</v>
      </c>
      <c r="B748" s="17" t="s">
        <v>68</v>
      </c>
      <c r="C748" s="17" t="s">
        <v>8</v>
      </c>
      <c r="D748" s="17" t="s">
        <v>10</v>
      </c>
      <c r="E748" s="17" t="s">
        <v>27</v>
      </c>
      <c r="F748" s="17" t="str">
        <f>INDEX(nrg_cb_e!$A$3:$A$40,MATCH(LEFT(MID('Industriesektor GWh'!$B748,41,1000),SEARCH(" - ",MID('Industriesektor GWh'!$B748,41,1000))-1),nrg_cb_e!$C$3:$C$40,0))</f>
        <v>FC_IND_MQ_E</v>
      </c>
      <c r="G748" s="18">
        <v>29.335000000000001</v>
      </c>
    </row>
    <row r="749" spans="1:7" x14ac:dyDescent="0.2">
      <c r="A749" s="19" t="s">
        <v>41</v>
      </c>
      <c r="B749" s="20" t="s">
        <v>68</v>
      </c>
      <c r="C749" s="20" t="s">
        <v>8</v>
      </c>
      <c r="D749" s="20" t="s">
        <v>10</v>
      </c>
      <c r="E749" s="20" t="s">
        <v>28</v>
      </c>
      <c r="F749" s="20" t="str">
        <f>INDEX(nrg_cb_e!$A$3:$A$40,MATCH(LEFT(MID('Industriesektor GWh'!$B749,41,1000),SEARCH(" - ",MID('Industriesektor GWh'!$B749,41,1000))-1),nrg_cb_e!$C$3:$C$40,0))</f>
        <v>FC_IND_MQ_E</v>
      </c>
      <c r="G749" s="21">
        <v>29.353999999999999</v>
      </c>
    </row>
    <row r="750" spans="1:7" x14ac:dyDescent="0.2">
      <c r="A750" s="16" t="s">
        <v>42</v>
      </c>
      <c r="B750" s="17" t="s">
        <v>68</v>
      </c>
      <c r="C750" s="17" t="s">
        <v>8</v>
      </c>
      <c r="D750" s="17" t="s">
        <v>10</v>
      </c>
      <c r="E750" s="17" t="s">
        <v>12</v>
      </c>
      <c r="F750" s="17" t="str">
        <f>INDEX(nrg_cb_e!$A$3:$A$40,MATCH(LEFT(MID('Industriesektor GWh'!$B750,41,1000),SEARCH(" - ",MID('Industriesektor GWh'!$B750,41,1000))-1),nrg_cb_e!$C$3:$C$40,0))</f>
        <v>FC_IND_MQ_E</v>
      </c>
      <c r="G750" s="18">
        <v>8</v>
      </c>
    </row>
    <row r="751" spans="1:7" x14ac:dyDescent="0.2">
      <c r="A751" s="19" t="s">
        <v>42</v>
      </c>
      <c r="B751" s="20" t="s">
        <v>68</v>
      </c>
      <c r="C751" s="20" t="s">
        <v>8</v>
      </c>
      <c r="D751" s="20" t="s">
        <v>10</v>
      </c>
      <c r="E751" s="20" t="s">
        <v>13</v>
      </c>
      <c r="F751" s="20" t="str">
        <f>INDEX(nrg_cb_e!$A$3:$A$40,MATCH(LEFT(MID('Industriesektor GWh'!$B751,41,1000),SEARCH(" - ",MID('Industriesektor GWh'!$B751,41,1000))-1),nrg_cb_e!$C$3:$C$40,0))</f>
        <v>FC_IND_MQ_E</v>
      </c>
      <c r="G751" s="21">
        <v>8</v>
      </c>
    </row>
    <row r="752" spans="1:7" x14ac:dyDescent="0.2">
      <c r="A752" s="16" t="s">
        <v>42</v>
      </c>
      <c r="B752" s="17" t="s">
        <v>68</v>
      </c>
      <c r="C752" s="17" t="s">
        <v>8</v>
      </c>
      <c r="D752" s="17" t="s">
        <v>10</v>
      </c>
      <c r="E752" s="17" t="s">
        <v>14</v>
      </c>
      <c r="F752" s="17" t="str">
        <f>INDEX(nrg_cb_e!$A$3:$A$40,MATCH(LEFT(MID('Industriesektor GWh'!$B752,41,1000),SEARCH(" - ",MID('Industriesektor GWh'!$B752,41,1000))-1),nrg_cb_e!$C$3:$C$40,0))</f>
        <v>FC_IND_MQ_E</v>
      </c>
      <c r="G752" s="18">
        <v>9</v>
      </c>
    </row>
    <row r="753" spans="1:7" x14ac:dyDescent="0.2">
      <c r="A753" s="19" t="s">
        <v>42</v>
      </c>
      <c r="B753" s="20" t="s">
        <v>68</v>
      </c>
      <c r="C753" s="20" t="s">
        <v>8</v>
      </c>
      <c r="D753" s="20" t="s">
        <v>10</v>
      </c>
      <c r="E753" s="20" t="s">
        <v>15</v>
      </c>
      <c r="F753" s="20" t="str">
        <f>INDEX(nrg_cb_e!$A$3:$A$40,MATCH(LEFT(MID('Industriesektor GWh'!$B753,41,1000),SEARCH(" - ",MID('Industriesektor GWh'!$B753,41,1000))-1),nrg_cb_e!$C$3:$C$40,0))</f>
        <v>FC_IND_MQ_E</v>
      </c>
      <c r="G753" s="21">
        <v>11</v>
      </c>
    </row>
    <row r="754" spans="1:7" x14ac:dyDescent="0.2">
      <c r="A754" s="16" t="s">
        <v>42</v>
      </c>
      <c r="B754" s="17" t="s">
        <v>68</v>
      </c>
      <c r="C754" s="17" t="s">
        <v>8</v>
      </c>
      <c r="D754" s="17" t="s">
        <v>10</v>
      </c>
      <c r="E754" s="17" t="s">
        <v>16</v>
      </c>
      <c r="F754" s="17" t="str">
        <f>INDEX(nrg_cb_e!$A$3:$A$40,MATCH(LEFT(MID('Industriesektor GWh'!$B754,41,1000),SEARCH(" - ",MID('Industriesektor GWh'!$B754,41,1000))-1),nrg_cb_e!$C$3:$C$40,0))</f>
        <v>FC_IND_MQ_E</v>
      </c>
      <c r="G754" s="18">
        <v>13</v>
      </c>
    </row>
    <row r="755" spans="1:7" x14ac:dyDescent="0.2">
      <c r="A755" s="19" t="s">
        <v>42</v>
      </c>
      <c r="B755" s="20" t="s">
        <v>68</v>
      </c>
      <c r="C755" s="20" t="s">
        <v>8</v>
      </c>
      <c r="D755" s="20" t="s">
        <v>10</v>
      </c>
      <c r="E755" s="20" t="s">
        <v>17</v>
      </c>
      <c r="F755" s="20" t="str">
        <f>INDEX(nrg_cb_e!$A$3:$A$40,MATCH(LEFT(MID('Industriesektor GWh'!$B755,41,1000),SEARCH(" - ",MID('Industriesektor GWh'!$B755,41,1000))-1),nrg_cb_e!$C$3:$C$40,0))</f>
        <v>FC_IND_MQ_E</v>
      </c>
      <c r="G755" s="21">
        <v>13</v>
      </c>
    </row>
    <row r="756" spans="1:7" x14ac:dyDescent="0.2">
      <c r="A756" s="16" t="s">
        <v>42</v>
      </c>
      <c r="B756" s="17" t="s">
        <v>68</v>
      </c>
      <c r="C756" s="17" t="s">
        <v>8</v>
      </c>
      <c r="D756" s="17" t="s">
        <v>10</v>
      </c>
      <c r="E756" s="17" t="s">
        <v>18</v>
      </c>
      <c r="F756" s="17" t="str">
        <f>INDEX(nrg_cb_e!$A$3:$A$40,MATCH(LEFT(MID('Industriesektor GWh'!$B756,41,1000),SEARCH(" - ",MID('Industriesektor GWh'!$B756,41,1000))-1),nrg_cb_e!$C$3:$C$40,0))</f>
        <v>FC_IND_MQ_E</v>
      </c>
      <c r="G756" s="18">
        <v>12</v>
      </c>
    </row>
    <row r="757" spans="1:7" x14ac:dyDescent="0.2">
      <c r="A757" s="19" t="s">
        <v>42</v>
      </c>
      <c r="B757" s="20" t="s">
        <v>68</v>
      </c>
      <c r="C757" s="20" t="s">
        <v>8</v>
      </c>
      <c r="D757" s="20" t="s">
        <v>10</v>
      </c>
      <c r="E757" s="20" t="s">
        <v>19</v>
      </c>
      <c r="F757" s="20" t="str">
        <f>INDEX(nrg_cb_e!$A$3:$A$40,MATCH(LEFT(MID('Industriesektor GWh'!$B757,41,1000),SEARCH(" - ",MID('Industriesektor GWh'!$B757,41,1000))-1),nrg_cb_e!$C$3:$C$40,0))</f>
        <v>FC_IND_MQ_E</v>
      </c>
      <c r="G757" s="21">
        <v>9</v>
      </c>
    </row>
    <row r="758" spans="1:7" x14ac:dyDescent="0.2">
      <c r="A758" s="16" t="s">
        <v>42</v>
      </c>
      <c r="B758" s="17" t="s">
        <v>68</v>
      </c>
      <c r="C758" s="17" t="s">
        <v>8</v>
      </c>
      <c r="D758" s="17" t="s">
        <v>10</v>
      </c>
      <c r="E758" s="17" t="s">
        <v>20</v>
      </c>
      <c r="F758" s="17" t="str">
        <f>INDEX(nrg_cb_e!$A$3:$A$40,MATCH(LEFT(MID('Industriesektor GWh'!$B758,41,1000),SEARCH(" - ",MID('Industriesektor GWh'!$B758,41,1000))-1),nrg_cb_e!$C$3:$C$40,0))</f>
        <v>FC_IND_MQ_E</v>
      </c>
      <c r="G758" s="18">
        <v>18</v>
      </c>
    </row>
    <row r="759" spans="1:7" x14ac:dyDescent="0.2">
      <c r="A759" s="19" t="s">
        <v>42</v>
      </c>
      <c r="B759" s="20" t="s">
        <v>68</v>
      </c>
      <c r="C759" s="20" t="s">
        <v>8</v>
      </c>
      <c r="D759" s="20" t="s">
        <v>10</v>
      </c>
      <c r="E759" s="20" t="s">
        <v>21</v>
      </c>
      <c r="F759" s="20" t="str">
        <f>INDEX(nrg_cb_e!$A$3:$A$40,MATCH(LEFT(MID('Industriesektor GWh'!$B759,41,1000),SEARCH(" - ",MID('Industriesektor GWh'!$B759,41,1000))-1),nrg_cb_e!$C$3:$C$40,0))</f>
        <v>FC_IND_MQ_E</v>
      </c>
      <c r="G759" s="21">
        <v>12</v>
      </c>
    </row>
    <row r="760" spans="1:7" x14ac:dyDescent="0.2">
      <c r="A760" s="16" t="s">
        <v>42</v>
      </c>
      <c r="B760" s="17" t="s">
        <v>68</v>
      </c>
      <c r="C760" s="17" t="s">
        <v>8</v>
      </c>
      <c r="D760" s="17" t="s">
        <v>10</v>
      </c>
      <c r="E760" s="17" t="s">
        <v>22</v>
      </c>
      <c r="F760" s="17" t="str">
        <f>INDEX(nrg_cb_e!$A$3:$A$40,MATCH(LEFT(MID('Industriesektor GWh'!$B760,41,1000),SEARCH(" - ",MID('Industriesektor GWh'!$B760,41,1000))-1),nrg_cb_e!$C$3:$C$40,0))</f>
        <v>FC_IND_MQ_E</v>
      </c>
      <c r="G760" s="18">
        <v>11</v>
      </c>
    </row>
    <row r="761" spans="1:7" x14ac:dyDescent="0.2">
      <c r="A761" s="19" t="s">
        <v>42</v>
      </c>
      <c r="B761" s="20" t="s">
        <v>68</v>
      </c>
      <c r="C761" s="20" t="s">
        <v>8</v>
      </c>
      <c r="D761" s="20" t="s">
        <v>10</v>
      </c>
      <c r="E761" s="20" t="s">
        <v>23</v>
      </c>
      <c r="F761" s="20" t="str">
        <f>INDEX(nrg_cb_e!$A$3:$A$40,MATCH(LEFT(MID('Industriesektor GWh'!$B761,41,1000),SEARCH(" - ",MID('Industriesektor GWh'!$B761,41,1000))-1),nrg_cb_e!$C$3:$C$40,0))</f>
        <v>FC_IND_MQ_E</v>
      </c>
      <c r="G761" s="21">
        <v>21</v>
      </c>
    </row>
    <row r="762" spans="1:7" x14ac:dyDescent="0.2">
      <c r="A762" s="16" t="s">
        <v>42</v>
      </c>
      <c r="B762" s="17" t="s">
        <v>68</v>
      </c>
      <c r="C762" s="17" t="s">
        <v>8</v>
      </c>
      <c r="D762" s="17" t="s">
        <v>10</v>
      </c>
      <c r="E762" s="17" t="s">
        <v>24</v>
      </c>
      <c r="F762" s="17" t="str">
        <f>INDEX(nrg_cb_e!$A$3:$A$40,MATCH(LEFT(MID('Industriesektor GWh'!$B762,41,1000),SEARCH(" - ",MID('Industriesektor GWh'!$B762,41,1000))-1),nrg_cb_e!$C$3:$C$40,0))</f>
        <v>FC_IND_MQ_E</v>
      </c>
      <c r="G762" s="18">
        <v>14</v>
      </c>
    </row>
    <row r="763" spans="1:7" x14ac:dyDescent="0.2">
      <c r="A763" s="19" t="s">
        <v>42</v>
      </c>
      <c r="B763" s="20" t="s">
        <v>68</v>
      </c>
      <c r="C763" s="20" t="s">
        <v>8</v>
      </c>
      <c r="D763" s="20" t="s">
        <v>10</v>
      </c>
      <c r="E763" s="20" t="s">
        <v>25</v>
      </c>
      <c r="F763" s="20" t="str">
        <f>INDEX(nrg_cb_e!$A$3:$A$40,MATCH(LEFT(MID('Industriesektor GWh'!$B763,41,1000),SEARCH(" - ",MID('Industriesektor GWh'!$B763,41,1000))-1),nrg_cb_e!$C$3:$C$40,0))</f>
        <v>FC_IND_MQ_E</v>
      </c>
      <c r="G763" s="21">
        <v>15</v>
      </c>
    </row>
    <row r="764" spans="1:7" x14ac:dyDescent="0.2">
      <c r="A764" s="16" t="s">
        <v>42</v>
      </c>
      <c r="B764" s="17" t="s">
        <v>68</v>
      </c>
      <c r="C764" s="17" t="s">
        <v>8</v>
      </c>
      <c r="D764" s="17" t="s">
        <v>10</v>
      </c>
      <c r="E764" s="17" t="s">
        <v>26</v>
      </c>
      <c r="F764" s="17" t="str">
        <f>INDEX(nrg_cb_e!$A$3:$A$40,MATCH(LEFT(MID('Industriesektor GWh'!$B764,41,1000),SEARCH(" - ",MID('Industriesektor GWh'!$B764,41,1000))-1),nrg_cb_e!$C$3:$C$40,0))</f>
        <v>FC_IND_MQ_E</v>
      </c>
      <c r="G764" s="18">
        <v>12</v>
      </c>
    </row>
    <row r="765" spans="1:7" x14ac:dyDescent="0.2">
      <c r="A765" s="19" t="s">
        <v>42</v>
      </c>
      <c r="B765" s="20" t="s">
        <v>68</v>
      </c>
      <c r="C765" s="20" t="s">
        <v>8</v>
      </c>
      <c r="D765" s="20" t="s">
        <v>10</v>
      </c>
      <c r="E765" s="20" t="s">
        <v>27</v>
      </c>
      <c r="F765" s="20" t="str">
        <f>INDEX(nrg_cb_e!$A$3:$A$40,MATCH(LEFT(MID('Industriesektor GWh'!$B765,41,1000),SEARCH(" - ",MID('Industriesektor GWh'!$B765,41,1000))-1),nrg_cb_e!$C$3:$C$40,0))</f>
        <v>FC_IND_MQ_E</v>
      </c>
      <c r="G765" s="21">
        <v>27.687999999999999</v>
      </c>
    </row>
    <row r="766" spans="1:7" x14ac:dyDescent="0.2">
      <c r="A766" s="16" t="s">
        <v>42</v>
      </c>
      <c r="B766" s="17" t="s">
        <v>68</v>
      </c>
      <c r="C766" s="17" t="s">
        <v>8</v>
      </c>
      <c r="D766" s="17" t="s">
        <v>10</v>
      </c>
      <c r="E766" s="17" t="s">
        <v>28</v>
      </c>
      <c r="F766" s="17" t="str">
        <f>INDEX(nrg_cb_e!$A$3:$A$40,MATCH(LEFT(MID('Industriesektor GWh'!$B766,41,1000),SEARCH(" - ",MID('Industriesektor GWh'!$B766,41,1000))-1),nrg_cb_e!$C$3:$C$40,0))</f>
        <v>FC_IND_MQ_E</v>
      </c>
      <c r="G766" s="18">
        <v>30.074999999999999</v>
      </c>
    </row>
    <row r="767" spans="1:7" x14ac:dyDescent="0.2">
      <c r="A767" s="19" t="s">
        <v>43</v>
      </c>
      <c r="B767" s="20" t="s">
        <v>68</v>
      </c>
      <c r="C767" s="20" t="s">
        <v>8</v>
      </c>
      <c r="D767" s="20" t="s">
        <v>10</v>
      </c>
      <c r="E767" s="20" t="s">
        <v>12</v>
      </c>
      <c r="F767" s="20" t="str">
        <f>INDEX(nrg_cb_e!$A$3:$A$40,MATCH(LEFT(MID('Industriesektor GWh'!$B767,41,1000),SEARCH(" - ",MID('Industriesektor GWh'!$B767,41,1000))-1),nrg_cb_e!$C$3:$C$40,0))</f>
        <v>FC_IND_MQ_E</v>
      </c>
      <c r="G767" s="21">
        <v>30</v>
      </c>
    </row>
    <row r="768" spans="1:7" x14ac:dyDescent="0.2">
      <c r="A768" s="16" t="s">
        <v>43</v>
      </c>
      <c r="B768" s="17" t="s">
        <v>68</v>
      </c>
      <c r="C768" s="17" t="s">
        <v>8</v>
      </c>
      <c r="D768" s="17" t="s">
        <v>10</v>
      </c>
      <c r="E768" s="17" t="s">
        <v>13</v>
      </c>
      <c r="F768" s="17" t="str">
        <f>INDEX(nrg_cb_e!$A$3:$A$40,MATCH(LEFT(MID('Industriesektor GWh'!$B768,41,1000),SEARCH(" - ",MID('Industriesektor GWh'!$B768,41,1000))-1),nrg_cb_e!$C$3:$C$40,0))</f>
        <v>FC_IND_MQ_E</v>
      </c>
      <c r="G768" s="18">
        <v>32</v>
      </c>
    </row>
    <row r="769" spans="1:7" x14ac:dyDescent="0.2">
      <c r="A769" s="19" t="s">
        <v>43</v>
      </c>
      <c r="B769" s="20" t="s">
        <v>68</v>
      </c>
      <c r="C769" s="20" t="s">
        <v>8</v>
      </c>
      <c r="D769" s="20" t="s">
        <v>10</v>
      </c>
      <c r="E769" s="20" t="s">
        <v>14</v>
      </c>
      <c r="F769" s="20" t="str">
        <f>INDEX(nrg_cb_e!$A$3:$A$40,MATCH(LEFT(MID('Industriesektor GWh'!$B769,41,1000),SEARCH(" - ",MID('Industriesektor GWh'!$B769,41,1000))-1),nrg_cb_e!$C$3:$C$40,0))</f>
        <v>FC_IND_MQ_E</v>
      </c>
      <c r="G769" s="21">
        <v>35</v>
      </c>
    </row>
    <row r="770" spans="1:7" x14ac:dyDescent="0.2">
      <c r="A770" s="16" t="s">
        <v>43</v>
      </c>
      <c r="B770" s="17" t="s">
        <v>68</v>
      </c>
      <c r="C770" s="17" t="s">
        <v>8</v>
      </c>
      <c r="D770" s="17" t="s">
        <v>10</v>
      </c>
      <c r="E770" s="17" t="s">
        <v>15</v>
      </c>
      <c r="F770" s="17" t="str">
        <f>INDEX(nrg_cb_e!$A$3:$A$40,MATCH(LEFT(MID('Industriesektor GWh'!$B770,41,1000),SEARCH(" - ",MID('Industriesektor GWh'!$B770,41,1000))-1),nrg_cb_e!$C$3:$C$40,0))</f>
        <v>FC_IND_MQ_E</v>
      </c>
      <c r="G770" s="18">
        <v>37</v>
      </c>
    </row>
    <row r="771" spans="1:7" x14ac:dyDescent="0.2">
      <c r="A771" s="19" t="s">
        <v>43</v>
      </c>
      <c r="B771" s="20" t="s">
        <v>68</v>
      </c>
      <c r="C771" s="20" t="s">
        <v>8</v>
      </c>
      <c r="D771" s="20" t="s">
        <v>10</v>
      </c>
      <c r="E771" s="20" t="s">
        <v>16</v>
      </c>
      <c r="F771" s="20" t="str">
        <f>INDEX(nrg_cb_e!$A$3:$A$40,MATCH(LEFT(MID('Industriesektor GWh'!$B771,41,1000),SEARCH(" - ",MID('Industriesektor GWh'!$B771,41,1000))-1),nrg_cb_e!$C$3:$C$40,0))</f>
        <v>FC_IND_MQ_E</v>
      </c>
      <c r="G771" s="21">
        <v>40</v>
      </c>
    </row>
    <row r="772" spans="1:7" x14ac:dyDescent="0.2">
      <c r="A772" s="16" t="s">
        <v>43</v>
      </c>
      <c r="B772" s="17" t="s">
        <v>68</v>
      </c>
      <c r="C772" s="17" t="s">
        <v>8</v>
      </c>
      <c r="D772" s="17" t="s">
        <v>10</v>
      </c>
      <c r="E772" s="17" t="s">
        <v>17</v>
      </c>
      <c r="F772" s="17" t="str">
        <f>INDEX(nrg_cb_e!$A$3:$A$40,MATCH(LEFT(MID('Industriesektor GWh'!$B772,41,1000),SEARCH(" - ",MID('Industriesektor GWh'!$B772,41,1000))-1),nrg_cb_e!$C$3:$C$40,0))</f>
        <v>FC_IND_MQ_E</v>
      </c>
      <c r="G772" s="18">
        <v>45</v>
      </c>
    </row>
    <row r="773" spans="1:7" x14ac:dyDescent="0.2">
      <c r="A773" s="19" t="s">
        <v>43</v>
      </c>
      <c r="B773" s="20" t="s">
        <v>68</v>
      </c>
      <c r="C773" s="20" t="s">
        <v>8</v>
      </c>
      <c r="D773" s="20" t="s">
        <v>10</v>
      </c>
      <c r="E773" s="20" t="s">
        <v>18</v>
      </c>
      <c r="F773" s="20" t="str">
        <f>INDEX(nrg_cb_e!$A$3:$A$40,MATCH(LEFT(MID('Industriesektor GWh'!$B773,41,1000),SEARCH(" - ",MID('Industriesektor GWh'!$B773,41,1000))-1),nrg_cb_e!$C$3:$C$40,0))</f>
        <v>FC_IND_MQ_E</v>
      </c>
      <c r="G773" s="21">
        <v>42</v>
      </c>
    </row>
    <row r="774" spans="1:7" x14ac:dyDescent="0.2">
      <c r="A774" s="16" t="s">
        <v>43</v>
      </c>
      <c r="B774" s="17" t="s">
        <v>68</v>
      </c>
      <c r="C774" s="17" t="s">
        <v>8</v>
      </c>
      <c r="D774" s="17" t="s">
        <v>10</v>
      </c>
      <c r="E774" s="17" t="s">
        <v>19</v>
      </c>
      <c r="F774" s="17" t="str">
        <f>INDEX(nrg_cb_e!$A$3:$A$40,MATCH(LEFT(MID('Industriesektor GWh'!$B774,41,1000),SEARCH(" - ",MID('Industriesektor GWh'!$B774,41,1000))-1),nrg_cb_e!$C$3:$C$40,0))</f>
        <v>FC_IND_MQ_E</v>
      </c>
      <c r="G774" s="18">
        <v>23</v>
      </c>
    </row>
    <row r="775" spans="1:7" x14ac:dyDescent="0.2">
      <c r="A775" s="19" t="s">
        <v>43</v>
      </c>
      <c r="B775" s="20" t="s">
        <v>68</v>
      </c>
      <c r="C775" s="20" t="s">
        <v>8</v>
      </c>
      <c r="D775" s="20" t="s">
        <v>10</v>
      </c>
      <c r="E775" s="20" t="s">
        <v>20</v>
      </c>
      <c r="F775" s="20" t="str">
        <f>INDEX(nrg_cb_e!$A$3:$A$40,MATCH(LEFT(MID('Industriesektor GWh'!$B775,41,1000),SEARCH(" - ",MID('Industriesektor GWh'!$B775,41,1000))-1),nrg_cb_e!$C$3:$C$40,0))</f>
        <v>FC_IND_MQ_E</v>
      </c>
      <c r="G775" s="21">
        <v>24</v>
      </c>
    </row>
    <row r="776" spans="1:7" x14ac:dyDescent="0.2">
      <c r="A776" s="16" t="s">
        <v>43</v>
      </c>
      <c r="B776" s="17" t="s">
        <v>68</v>
      </c>
      <c r="C776" s="17" t="s">
        <v>8</v>
      </c>
      <c r="D776" s="17" t="s">
        <v>10</v>
      </c>
      <c r="E776" s="17" t="s">
        <v>21</v>
      </c>
      <c r="F776" s="17" t="str">
        <f>INDEX(nrg_cb_e!$A$3:$A$40,MATCH(LEFT(MID('Industriesektor GWh'!$B776,41,1000),SEARCH(" - ",MID('Industriesektor GWh'!$B776,41,1000))-1),nrg_cb_e!$C$3:$C$40,0))</f>
        <v>FC_IND_MQ_E</v>
      </c>
      <c r="G776" s="18">
        <v>29</v>
      </c>
    </row>
    <row r="777" spans="1:7" x14ac:dyDescent="0.2">
      <c r="A777" s="19" t="s">
        <v>43</v>
      </c>
      <c r="B777" s="20" t="s">
        <v>68</v>
      </c>
      <c r="C777" s="20" t="s">
        <v>8</v>
      </c>
      <c r="D777" s="20" t="s">
        <v>10</v>
      </c>
      <c r="E777" s="20" t="s">
        <v>22</v>
      </c>
      <c r="F777" s="20" t="str">
        <f>INDEX(nrg_cb_e!$A$3:$A$40,MATCH(LEFT(MID('Industriesektor GWh'!$B777,41,1000),SEARCH(" - ",MID('Industriesektor GWh'!$B777,41,1000))-1),nrg_cb_e!$C$3:$C$40,0))</f>
        <v>FC_IND_MQ_E</v>
      </c>
      <c r="G777" s="21">
        <v>25</v>
      </c>
    </row>
    <row r="778" spans="1:7" x14ac:dyDescent="0.2">
      <c r="A778" s="16" t="s">
        <v>43</v>
      </c>
      <c r="B778" s="17" t="s">
        <v>68</v>
      </c>
      <c r="C778" s="17" t="s">
        <v>8</v>
      </c>
      <c r="D778" s="17" t="s">
        <v>10</v>
      </c>
      <c r="E778" s="17" t="s">
        <v>23</v>
      </c>
      <c r="F778" s="17" t="str">
        <f>INDEX(nrg_cb_e!$A$3:$A$40,MATCH(LEFT(MID('Industriesektor GWh'!$B778,41,1000),SEARCH(" - ",MID('Industriesektor GWh'!$B778,41,1000))-1),nrg_cb_e!$C$3:$C$40,0))</f>
        <v>FC_IND_MQ_E</v>
      </c>
      <c r="G778" s="18">
        <v>27</v>
      </c>
    </row>
    <row r="779" spans="1:7" x14ac:dyDescent="0.2">
      <c r="A779" s="19" t="s">
        <v>43</v>
      </c>
      <c r="B779" s="20" t="s">
        <v>68</v>
      </c>
      <c r="C779" s="20" t="s">
        <v>8</v>
      </c>
      <c r="D779" s="20" t="s">
        <v>10</v>
      </c>
      <c r="E779" s="20" t="s">
        <v>24</v>
      </c>
      <c r="F779" s="20" t="str">
        <f>INDEX(nrg_cb_e!$A$3:$A$40,MATCH(LEFT(MID('Industriesektor GWh'!$B779,41,1000),SEARCH(" - ",MID('Industriesektor GWh'!$B779,41,1000))-1),nrg_cb_e!$C$3:$C$40,0))</f>
        <v>FC_IND_MQ_E</v>
      </c>
      <c r="G779" s="21">
        <v>26</v>
      </c>
    </row>
    <row r="780" spans="1:7" x14ac:dyDescent="0.2">
      <c r="A780" s="16" t="s">
        <v>43</v>
      </c>
      <c r="B780" s="17" t="s">
        <v>68</v>
      </c>
      <c r="C780" s="17" t="s">
        <v>8</v>
      </c>
      <c r="D780" s="17" t="s">
        <v>10</v>
      </c>
      <c r="E780" s="17" t="s">
        <v>25</v>
      </c>
      <c r="F780" s="17" t="str">
        <f>INDEX(nrg_cb_e!$A$3:$A$40,MATCH(LEFT(MID('Industriesektor GWh'!$B780,41,1000),SEARCH(" - ",MID('Industriesektor GWh'!$B780,41,1000))-1),nrg_cb_e!$C$3:$C$40,0))</f>
        <v>FC_IND_MQ_E</v>
      </c>
      <c r="G780" s="18">
        <v>27</v>
      </c>
    </row>
    <row r="781" spans="1:7" x14ac:dyDescent="0.2">
      <c r="A781" s="19" t="s">
        <v>43</v>
      </c>
      <c r="B781" s="20" t="s">
        <v>68</v>
      </c>
      <c r="C781" s="20" t="s">
        <v>8</v>
      </c>
      <c r="D781" s="20" t="s">
        <v>10</v>
      </c>
      <c r="E781" s="20" t="s">
        <v>26</v>
      </c>
      <c r="F781" s="20" t="str">
        <f>INDEX(nrg_cb_e!$A$3:$A$40,MATCH(LEFT(MID('Industriesektor GWh'!$B781,41,1000),SEARCH(" - ",MID('Industriesektor GWh'!$B781,41,1000))-1),nrg_cb_e!$C$3:$C$40,0))</f>
        <v>FC_IND_MQ_E</v>
      </c>
      <c r="G781" s="21">
        <v>29</v>
      </c>
    </row>
    <row r="782" spans="1:7" x14ac:dyDescent="0.2">
      <c r="A782" s="16" t="s">
        <v>43</v>
      </c>
      <c r="B782" s="17" t="s">
        <v>68</v>
      </c>
      <c r="C782" s="17" t="s">
        <v>8</v>
      </c>
      <c r="D782" s="17" t="s">
        <v>10</v>
      </c>
      <c r="E782" s="17" t="s">
        <v>27</v>
      </c>
      <c r="F782" s="17" t="str">
        <f>INDEX(nrg_cb_e!$A$3:$A$40,MATCH(LEFT(MID('Industriesektor GWh'!$B782,41,1000),SEARCH(" - ",MID('Industriesektor GWh'!$B782,41,1000))-1),nrg_cb_e!$C$3:$C$40,0))</f>
        <v>FC_IND_MQ_E</v>
      </c>
      <c r="G782" s="18">
        <v>30.9</v>
      </c>
    </row>
    <row r="783" spans="1:7" x14ac:dyDescent="0.2">
      <c r="A783" s="19" t="s">
        <v>43</v>
      </c>
      <c r="B783" s="20" t="s">
        <v>68</v>
      </c>
      <c r="C783" s="20" t="s">
        <v>8</v>
      </c>
      <c r="D783" s="20" t="s">
        <v>10</v>
      </c>
      <c r="E783" s="20" t="s">
        <v>28</v>
      </c>
      <c r="F783" s="20" t="str">
        <f>INDEX(nrg_cb_e!$A$3:$A$40,MATCH(LEFT(MID('Industriesektor GWh'!$B783,41,1000),SEARCH(" - ",MID('Industriesektor GWh'!$B783,41,1000))-1),nrg_cb_e!$C$3:$C$40,0))</f>
        <v>FC_IND_MQ_E</v>
      </c>
      <c r="G783" s="21">
        <v>30.6</v>
      </c>
    </row>
    <row r="784" spans="1:7" x14ac:dyDescent="0.2">
      <c r="A784" s="16" t="s">
        <v>44</v>
      </c>
      <c r="B784" s="17" t="s">
        <v>68</v>
      </c>
      <c r="C784" s="17" t="s">
        <v>8</v>
      </c>
      <c r="D784" s="17" t="s">
        <v>10</v>
      </c>
      <c r="E784" s="17" t="s">
        <v>12</v>
      </c>
      <c r="F784" s="17" t="str">
        <f>INDEX(nrg_cb_e!$A$3:$A$40,MATCH(LEFT(MID('Industriesektor GWh'!$B784,41,1000),SEARCH(" - ",MID('Industriesektor GWh'!$B784,41,1000))-1),nrg_cb_e!$C$3:$C$40,0))</f>
        <v>FC_IND_MQ_E</v>
      </c>
      <c r="G784" s="18">
        <v>17.215</v>
      </c>
    </row>
    <row r="785" spans="1:7" x14ac:dyDescent="0.2">
      <c r="A785" s="19" t="s">
        <v>44</v>
      </c>
      <c r="B785" s="20" t="s">
        <v>68</v>
      </c>
      <c r="C785" s="20" t="s">
        <v>8</v>
      </c>
      <c r="D785" s="20" t="s">
        <v>10</v>
      </c>
      <c r="E785" s="20" t="s">
        <v>13</v>
      </c>
      <c r="F785" s="20" t="str">
        <f>INDEX(nrg_cb_e!$A$3:$A$40,MATCH(LEFT(MID('Industriesektor GWh'!$B785,41,1000),SEARCH(" - ",MID('Industriesektor GWh'!$B785,41,1000))-1),nrg_cb_e!$C$3:$C$40,0))</f>
        <v>FC_IND_MQ_E</v>
      </c>
      <c r="G785" s="21">
        <v>17.792000000000002</v>
      </c>
    </row>
    <row r="786" spans="1:7" x14ac:dyDescent="0.2">
      <c r="A786" s="16" t="s">
        <v>44</v>
      </c>
      <c r="B786" s="17" t="s">
        <v>68</v>
      </c>
      <c r="C786" s="17" t="s">
        <v>8</v>
      </c>
      <c r="D786" s="17" t="s">
        <v>10</v>
      </c>
      <c r="E786" s="17" t="s">
        <v>14</v>
      </c>
      <c r="F786" s="17" t="str">
        <f>INDEX(nrg_cb_e!$A$3:$A$40,MATCH(LEFT(MID('Industriesektor GWh'!$B786,41,1000),SEARCH(" - ",MID('Industriesektor GWh'!$B786,41,1000))-1),nrg_cb_e!$C$3:$C$40,0))</f>
        <v>FC_IND_MQ_E</v>
      </c>
      <c r="G786" s="18">
        <v>15.371</v>
      </c>
    </row>
    <row r="787" spans="1:7" x14ac:dyDescent="0.2">
      <c r="A787" s="19" t="s">
        <v>44</v>
      </c>
      <c r="B787" s="20" t="s">
        <v>68</v>
      </c>
      <c r="C787" s="20" t="s">
        <v>8</v>
      </c>
      <c r="D787" s="20" t="s">
        <v>10</v>
      </c>
      <c r="E787" s="20" t="s">
        <v>15</v>
      </c>
      <c r="F787" s="20" t="str">
        <f>INDEX(nrg_cb_e!$A$3:$A$40,MATCH(LEFT(MID('Industriesektor GWh'!$B787,41,1000),SEARCH(" - ",MID('Industriesektor GWh'!$B787,41,1000))-1),nrg_cb_e!$C$3:$C$40,0))</f>
        <v>FC_IND_MQ_E</v>
      </c>
      <c r="G787" s="21">
        <v>12.379</v>
      </c>
    </row>
    <row r="788" spans="1:7" x14ac:dyDescent="0.2">
      <c r="A788" s="16" t="s">
        <v>44</v>
      </c>
      <c r="B788" s="17" t="s">
        <v>68</v>
      </c>
      <c r="C788" s="17" t="s">
        <v>8</v>
      </c>
      <c r="D788" s="17" t="s">
        <v>10</v>
      </c>
      <c r="E788" s="17" t="s">
        <v>16</v>
      </c>
      <c r="F788" s="17" t="str">
        <f>INDEX(nrg_cb_e!$A$3:$A$40,MATCH(LEFT(MID('Industriesektor GWh'!$B788,41,1000),SEARCH(" - ",MID('Industriesektor GWh'!$B788,41,1000))-1),nrg_cb_e!$C$3:$C$40,0))</f>
        <v>FC_IND_MQ_E</v>
      </c>
      <c r="G788" s="18">
        <v>12.385</v>
      </c>
    </row>
    <row r="789" spans="1:7" x14ac:dyDescent="0.2">
      <c r="A789" s="19" t="s">
        <v>44</v>
      </c>
      <c r="B789" s="20" t="s">
        <v>68</v>
      </c>
      <c r="C789" s="20" t="s">
        <v>8</v>
      </c>
      <c r="D789" s="20" t="s">
        <v>10</v>
      </c>
      <c r="E789" s="20" t="s">
        <v>17</v>
      </c>
      <c r="F789" s="20" t="str">
        <f>INDEX(nrg_cb_e!$A$3:$A$40,MATCH(LEFT(MID('Industriesektor GWh'!$B789,41,1000),SEARCH(" - ",MID('Industriesektor GWh'!$B789,41,1000))-1),nrg_cb_e!$C$3:$C$40,0))</f>
        <v>FC_IND_MQ_E</v>
      </c>
      <c r="G789" s="21">
        <v>12.55</v>
      </c>
    </row>
    <row r="790" spans="1:7" x14ac:dyDescent="0.2">
      <c r="A790" s="16" t="s">
        <v>44</v>
      </c>
      <c r="B790" s="17" t="s">
        <v>68</v>
      </c>
      <c r="C790" s="17" t="s">
        <v>8</v>
      </c>
      <c r="D790" s="17" t="s">
        <v>10</v>
      </c>
      <c r="E790" s="17" t="s">
        <v>18</v>
      </c>
      <c r="F790" s="17" t="str">
        <f>INDEX(nrg_cb_e!$A$3:$A$40,MATCH(LEFT(MID('Industriesektor GWh'!$B790,41,1000),SEARCH(" - ",MID('Industriesektor GWh'!$B790,41,1000))-1),nrg_cb_e!$C$3:$C$40,0))</f>
        <v>FC_IND_MQ_E</v>
      </c>
      <c r="G790" s="18">
        <v>12.885999999999999</v>
      </c>
    </row>
    <row r="791" spans="1:7" x14ac:dyDescent="0.2">
      <c r="A791" s="19" t="s">
        <v>44</v>
      </c>
      <c r="B791" s="20" t="s">
        <v>68</v>
      </c>
      <c r="C791" s="20" t="s">
        <v>8</v>
      </c>
      <c r="D791" s="20" t="s">
        <v>10</v>
      </c>
      <c r="E791" s="20" t="s">
        <v>19</v>
      </c>
      <c r="F791" s="20" t="str">
        <f>INDEX(nrg_cb_e!$A$3:$A$40,MATCH(LEFT(MID('Industriesektor GWh'!$B791,41,1000),SEARCH(" - ",MID('Industriesektor GWh'!$B791,41,1000))-1),nrg_cb_e!$C$3:$C$40,0))</f>
        <v>FC_IND_MQ_E</v>
      </c>
      <c r="G791" s="21">
        <v>12.52</v>
      </c>
    </row>
    <row r="792" spans="1:7" x14ac:dyDescent="0.2">
      <c r="A792" s="16" t="s">
        <v>44</v>
      </c>
      <c r="B792" s="17" t="s">
        <v>68</v>
      </c>
      <c r="C792" s="17" t="s">
        <v>8</v>
      </c>
      <c r="D792" s="17" t="s">
        <v>10</v>
      </c>
      <c r="E792" s="17" t="s">
        <v>20</v>
      </c>
      <c r="F792" s="17" t="str">
        <f>INDEX(nrg_cb_e!$A$3:$A$40,MATCH(LEFT(MID('Industriesektor GWh'!$B792,41,1000),SEARCH(" - ",MID('Industriesektor GWh'!$B792,41,1000))-1),nrg_cb_e!$C$3:$C$40,0))</f>
        <v>FC_IND_MQ_E</v>
      </c>
      <c r="G792" s="18">
        <v>11.233000000000001</v>
      </c>
    </row>
    <row r="793" spans="1:7" x14ac:dyDescent="0.2">
      <c r="A793" s="19" t="s">
        <v>44</v>
      </c>
      <c r="B793" s="20" t="s">
        <v>68</v>
      </c>
      <c r="C793" s="20" t="s">
        <v>8</v>
      </c>
      <c r="D793" s="20" t="s">
        <v>10</v>
      </c>
      <c r="E793" s="20" t="s">
        <v>21</v>
      </c>
      <c r="F793" s="20" t="str">
        <f>INDEX(nrg_cb_e!$A$3:$A$40,MATCH(LEFT(MID('Industriesektor GWh'!$B793,41,1000),SEARCH(" - ",MID('Industriesektor GWh'!$B793,41,1000))-1),nrg_cb_e!$C$3:$C$40,0))</f>
        <v>FC_IND_MQ_E</v>
      </c>
      <c r="G793" s="21">
        <v>14.864000000000001</v>
      </c>
    </row>
    <row r="794" spans="1:7" x14ac:dyDescent="0.2">
      <c r="A794" s="16" t="s">
        <v>44</v>
      </c>
      <c r="B794" s="17" t="s">
        <v>68</v>
      </c>
      <c r="C794" s="17" t="s">
        <v>8</v>
      </c>
      <c r="D794" s="17" t="s">
        <v>10</v>
      </c>
      <c r="E794" s="17" t="s">
        <v>22</v>
      </c>
      <c r="F794" s="17" t="str">
        <f>INDEX(nrg_cb_e!$A$3:$A$40,MATCH(LEFT(MID('Industriesektor GWh'!$B794,41,1000),SEARCH(" - ",MID('Industriesektor GWh'!$B794,41,1000))-1),nrg_cb_e!$C$3:$C$40,0))</f>
        <v>FC_IND_MQ_E</v>
      </c>
      <c r="G794" s="18">
        <v>12.11</v>
      </c>
    </row>
    <row r="795" spans="1:7" x14ac:dyDescent="0.2">
      <c r="A795" s="19" t="s">
        <v>44</v>
      </c>
      <c r="B795" s="20" t="s">
        <v>68</v>
      </c>
      <c r="C795" s="20" t="s">
        <v>8</v>
      </c>
      <c r="D795" s="20" t="s">
        <v>10</v>
      </c>
      <c r="E795" s="20" t="s">
        <v>23</v>
      </c>
      <c r="F795" s="20" t="str">
        <f>INDEX(nrg_cb_e!$A$3:$A$40,MATCH(LEFT(MID('Industriesektor GWh'!$B795,41,1000),SEARCH(" - ",MID('Industriesektor GWh'!$B795,41,1000))-1),nrg_cb_e!$C$3:$C$40,0))</f>
        <v>FC_IND_MQ_E</v>
      </c>
      <c r="G795" s="21">
        <v>11.789</v>
      </c>
    </row>
    <row r="796" spans="1:7" x14ac:dyDescent="0.2">
      <c r="A796" s="16" t="s">
        <v>44</v>
      </c>
      <c r="B796" s="17" t="s">
        <v>68</v>
      </c>
      <c r="C796" s="17" t="s">
        <v>8</v>
      </c>
      <c r="D796" s="17" t="s">
        <v>10</v>
      </c>
      <c r="E796" s="17" t="s">
        <v>24</v>
      </c>
      <c r="F796" s="17" t="str">
        <f>INDEX(nrg_cb_e!$A$3:$A$40,MATCH(LEFT(MID('Industriesektor GWh'!$B796,41,1000),SEARCH(" - ",MID('Industriesektor GWh'!$B796,41,1000))-1),nrg_cb_e!$C$3:$C$40,0))</f>
        <v>FC_IND_MQ_E</v>
      </c>
      <c r="G796" s="18">
        <v>13.305</v>
      </c>
    </row>
    <row r="797" spans="1:7" x14ac:dyDescent="0.2">
      <c r="A797" s="19" t="s">
        <v>44</v>
      </c>
      <c r="B797" s="20" t="s">
        <v>68</v>
      </c>
      <c r="C797" s="20" t="s">
        <v>8</v>
      </c>
      <c r="D797" s="20" t="s">
        <v>10</v>
      </c>
      <c r="E797" s="20" t="s">
        <v>25</v>
      </c>
      <c r="F797" s="20" t="str">
        <f>INDEX(nrg_cb_e!$A$3:$A$40,MATCH(LEFT(MID('Industriesektor GWh'!$B797,41,1000),SEARCH(" - ",MID('Industriesektor GWh'!$B797,41,1000))-1),nrg_cb_e!$C$3:$C$40,0))</f>
        <v>FC_IND_MQ_E</v>
      </c>
      <c r="G797" s="21">
        <v>13.42</v>
      </c>
    </row>
    <row r="798" spans="1:7" x14ac:dyDescent="0.2">
      <c r="A798" s="16" t="s">
        <v>44</v>
      </c>
      <c r="B798" s="17" t="s">
        <v>68</v>
      </c>
      <c r="C798" s="17" t="s">
        <v>8</v>
      </c>
      <c r="D798" s="17" t="s">
        <v>10</v>
      </c>
      <c r="E798" s="17" t="s">
        <v>26</v>
      </c>
      <c r="F798" s="17" t="str">
        <f>INDEX(nrg_cb_e!$A$3:$A$40,MATCH(LEFT(MID('Industriesektor GWh'!$B798,41,1000),SEARCH(" - ",MID('Industriesektor GWh'!$B798,41,1000))-1),nrg_cb_e!$C$3:$C$40,0))</f>
        <v>FC_IND_MQ_E</v>
      </c>
      <c r="G798" s="18">
        <v>11.358000000000001</v>
      </c>
    </row>
    <row r="799" spans="1:7" x14ac:dyDescent="0.2">
      <c r="A799" s="19" t="s">
        <v>44</v>
      </c>
      <c r="B799" s="20" t="s">
        <v>68</v>
      </c>
      <c r="C799" s="20" t="s">
        <v>8</v>
      </c>
      <c r="D799" s="20" t="s">
        <v>10</v>
      </c>
      <c r="E799" s="20" t="s">
        <v>27</v>
      </c>
      <c r="F799" s="20" t="str">
        <f>INDEX(nrg_cb_e!$A$3:$A$40,MATCH(LEFT(MID('Industriesektor GWh'!$B799,41,1000),SEARCH(" - ",MID('Industriesektor GWh'!$B799,41,1000))-1),nrg_cb_e!$C$3:$C$40,0))</f>
        <v>FC_IND_MQ_E</v>
      </c>
      <c r="G799" s="21">
        <v>8.4740000000000002</v>
      </c>
    </row>
    <row r="800" spans="1:7" x14ac:dyDescent="0.2">
      <c r="A800" s="16" t="s">
        <v>44</v>
      </c>
      <c r="B800" s="17" t="s">
        <v>68</v>
      </c>
      <c r="C800" s="17" t="s">
        <v>8</v>
      </c>
      <c r="D800" s="17" t="s">
        <v>10</v>
      </c>
      <c r="E800" s="17" t="s">
        <v>28</v>
      </c>
      <c r="F800" s="17" t="str">
        <f>INDEX(nrg_cb_e!$A$3:$A$40,MATCH(LEFT(MID('Industriesektor GWh'!$B800,41,1000),SEARCH(" - ",MID('Industriesektor GWh'!$B800,41,1000))-1),nrg_cb_e!$C$3:$C$40,0))</f>
        <v>FC_IND_MQ_E</v>
      </c>
      <c r="G800" s="18">
        <v>9.0129999999999999</v>
      </c>
    </row>
    <row r="801" spans="1:7" x14ac:dyDescent="0.2">
      <c r="A801" s="19" t="s">
        <v>45</v>
      </c>
      <c r="B801" s="20" t="s">
        <v>68</v>
      </c>
      <c r="C801" s="20" t="s">
        <v>8</v>
      </c>
      <c r="D801" s="20" t="s">
        <v>10</v>
      </c>
      <c r="E801" s="20" t="s">
        <v>12</v>
      </c>
      <c r="F801" s="20" t="str">
        <f>INDEX(nrg_cb_e!$A$3:$A$40,MATCH(LEFT(MID('Industriesektor GWh'!$B801,41,1000),SEARCH(" - ",MID('Industriesektor GWh'!$B801,41,1000))-1),nrg_cb_e!$C$3:$C$40,0))</f>
        <v>FC_IND_MQ_E</v>
      </c>
      <c r="G801" s="21">
        <v>41</v>
      </c>
    </row>
    <row r="802" spans="1:7" x14ac:dyDescent="0.2">
      <c r="A802" s="16" t="s">
        <v>45</v>
      </c>
      <c r="B802" s="17" t="s">
        <v>68</v>
      </c>
      <c r="C802" s="17" t="s">
        <v>8</v>
      </c>
      <c r="D802" s="17" t="s">
        <v>10</v>
      </c>
      <c r="E802" s="17" t="s">
        <v>13</v>
      </c>
      <c r="F802" s="17" t="str">
        <f>INDEX(nrg_cb_e!$A$3:$A$40,MATCH(LEFT(MID('Industriesektor GWh'!$B802,41,1000),SEARCH(" - ",MID('Industriesektor GWh'!$B802,41,1000))-1),nrg_cb_e!$C$3:$C$40,0))</f>
        <v>FC_IND_MQ_E</v>
      </c>
      <c r="G802" s="18">
        <v>103</v>
      </c>
    </row>
    <row r="803" spans="1:7" x14ac:dyDescent="0.2">
      <c r="A803" s="19" t="s">
        <v>45</v>
      </c>
      <c r="B803" s="20" t="s">
        <v>68</v>
      </c>
      <c r="C803" s="20" t="s">
        <v>8</v>
      </c>
      <c r="D803" s="20" t="s">
        <v>10</v>
      </c>
      <c r="E803" s="20" t="s">
        <v>14</v>
      </c>
      <c r="F803" s="20" t="str">
        <f>INDEX(nrg_cb_e!$A$3:$A$40,MATCH(LEFT(MID('Industriesektor GWh'!$B803,41,1000),SEARCH(" - ",MID('Industriesektor GWh'!$B803,41,1000))-1),nrg_cb_e!$C$3:$C$40,0))</f>
        <v>FC_IND_MQ_E</v>
      </c>
      <c r="G803" s="21">
        <v>68</v>
      </c>
    </row>
    <row r="804" spans="1:7" x14ac:dyDescent="0.2">
      <c r="A804" s="16" t="s">
        <v>45</v>
      </c>
      <c r="B804" s="17" t="s">
        <v>68</v>
      </c>
      <c r="C804" s="17" t="s">
        <v>8</v>
      </c>
      <c r="D804" s="17" t="s">
        <v>10</v>
      </c>
      <c r="E804" s="17" t="s">
        <v>15</v>
      </c>
      <c r="F804" s="17" t="str">
        <f>INDEX(nrg_cb_e!$A$3:$A$40,MATCH(LEFT(MID('Industriesektor GWh'!$B804,41,1000),SEARCH(" - ",MID('Industriesektor GWh'!$B804,41,1000))-1),nrg_cb_e!$C$3:$C$40,0))</f>
        <v>FC_IND_MQ_E</v>
      </c>
      <c r="G804" s="18">
        <v>76</v>
      </c>
    </row>
    <row r="805" spans="1:7" x14ac:dyDescent="0.2">
      <c r="A805" s="19" t="s">
        <v>45</v>
      </c>
      <c r="B805" s="20" t="s">
        <v>68</v>
      </c>
      <c r="C805" s="20" t="s">
        <v>8</v>
      </c>
      <c r="D805" s="20" t="s">
        <v>10</v>
      </c>
      <c r="E805" s="20" t="s">
        <v>16</v>
      </c>
      <c r="F805" s="20" t="str">
        <f>INDEX(nrg_cb_e!$A$3:$A$40,MATCH(LEFT(MID('Industriesektor GWh'!$B805,41,1000),SEARCH(" - ",MID('Industriesektor GWh'!$B805,41,1000))-1),nrg_cb_e!$C$3:$C$40,0))</f>
        <v>FC_IND_MQ_E</v>
      </c>
      <c r="G805" s="21">
        <v>70</v>
      </c>
    </row>
    <row r="806" spans="1:7" x14ac:dyDescent="0.2">
      <c r="A806" s="16" t="s">
        <v>45</v>
      </c>
      <c r="B806" s="17" t="s">
        <v>68</v>
      </c>
      <c r="C806" s="17" t="s">
        <v>8</v>
      </c>
      <c r="D806" s="17" t="s">
        <v>10</v>
      </c>
      <c r="E806" s="17" t="s">
        <v>17</v>
      </c>
      <c r="F806" s="17" t="str">
        <f>INDEX(nrg_cb_e!$A$3:$A$40,MATCH(LEFT(MID('Industriesektor GWh'!$B806,41,1000),SEARCH(" - ",MID('Industriesektor GWh'!$B806,41,1000))-1),nrg_cb_e!$C$3:$C$40,0))</f>
        <v>FC_IND_MQ_E</v>
      </c>
      <c r="G806" s="18">
        <v>64</v>
      </c>
    </row>
    <row r="807" spans="1:7" x14ac:dyDescent="0.2">
      <c r="A807" s="19" t="s">
        <v>45</v>
      </c>
      <c r="B807" s="20" t="s">
        <v>68</v>
      </c>
      <c r="C807" s="20" t="s">
        <v>8</v>
      </c>
      <c r="D807" s="20" t="s">
        <v>10</v>
      </c>
      <c r="E807" s="20" t="s">
        <v>18</v>
      </c>
      <c r="F807" s="20" t="str">
        <f>INDEX(nrg_cb_e!$A$3:$A$40,MATCH(LEFT(MID('Industriesektor GWh'!$B807,41,1000),SEARCH(" - ",MID('Industriesektor GWh'!$B807,41,1000))-1),nrg_cb_e!$C$3:$C$40,0))</f>
        <v>FC_IND_MQ_E</v>
      </c>
      <c r="G807" s="21">
        <v>55</v>
      </c>
    </row>
    <row r="808" spans="1:7" x14ac:dyDescent="0.2">
      <c r="A808" s="16" t="s">
        <v>45</v>
      </c>
      <c r="B808" s="17" t="s">
        <v>68</v>
      </c>
      <c r="C808" s="17" t="s">
        <v>8</v>
      </c>
      <c r="D808" s="17" t="s">
        <v>10</v>
      </c>
      <c r="E808" s="17" t="s">
        <v>19</v>
      </c>
      <c r="F808" s="17" t="str">
        <f>INDEX(nrg_cb_e!$A$3:$A$40,MATCH(LEFT(MID('Industriesektor GWh'!$B808,41,1000),SEARCH(" - ",MID('Industriesektor GWh'!$B808,41,1000))-1),nrg_cb_e!$C$3:$C$40,0))</f>
        <v>FC_IND_MQ_E</v>
      </c>
      <c r="G808" s="18">
        <v>64</v>
      </c>
    </row>
    <row r="809" spans="1:7" x14ac:dyDescent="0.2">
      <c r="A809" s="19" t="s">
        <v>45</v>
      </c>
      <c r="B809" s="20" t="s">
        <v>68</v>
      </c>
      <c r="C809" s="20" t="s">
        <v>8</v>
      </c>
      <c r="D809" s="20" t="s">
        <v>10</v>
      </c>
      <c r="E809" s="20" t="s">
        <v>20</v>
      </c>
      <c r="F809" s="20" t="str">
        <f>INDEX(nrg_cb_e!$A$3:$A$40,MATCH(LEFT(MID('Industriesektor GWh'!$B809,41,1000),SEARCH(" - ",MID('Industriesektor GWh'!$B809,41,1000))-1),nrg_cb_e!$C$3:$C$40,0))</f>
        <v>FC_IND_MQ_E</v>
      </c>
      <c r="G809" s="21">
        <v>56</v>
      </c>
    </row>
    <row r="810" spans="1:7" x14ac:dyDescent="0.2">
      <c r="A810" s="16" t="s">
        <v>45</v>
      </c>
      <c r="B810" s="17" t="s">
        <v>68</v>
      </c>
      <c r="C810" s="17" t="s">
        <v>8</v>
      </c>
      <c r="D810" s="17" t="s">
        <v>10</v>
      </c>
      <c r="E810" s="17" t="s">
        <v>21</v>
      </c>
      <c r="F810" s="17" t="str">
        <f>INDEX(nrg_cb_e!$A$3:$A$40,MATCH(LEFT(MID('Industriesektor GWh'!$B810,41,1000),SEARCH(" - ",MID('Industriesektor GWh'!$B810,41,1000))-1),nrg_cb_e!$C$3:$C$40,0))</f>
        <v>FC_IND_MQ_E</v>
      </c>
      <c r="G810" s="18">
        <v>57</v>
      </c>
    </row>
    <row r="811" spans="1:7" x14ac:dyDescent="0.2">
      <c r="A811" s="19" t="s">
        <v>45</v>
      </c>
      <c r="B811" s="20" t="s">
        <v>68</v>
      </c>
      <c r="C811" s="20" t="s">
        <v>8</v>
      </c>
      <c r="D811" s="20" t="s">
        <v>10</v>
      </c>
      <c r="E811" s="20" t="s">
        <v>22</v>
      </c>
      <c r="F811" s="20" t="str">
        <f>INDEX(nrg_cb_e!$A$3:$A$40,MATCH(LEFT(MID('Industriesektor GWh'!$B811,41,1000),SEARCH(" - ",MID('Industriesektor GWh'!$B811,41,1000))-1),nrg_cb_e!$C$3:$C$40,0))</f>
        <v>FC_IND_MQ_E</v>
      </c>
      <c r="G811" s="21">
        <v>92</v>
      </c>
    </row>
    <row r="812" spans="1:7" x14ac:dyDescent="0.2">
      <c r="A812" s="16" t="s">
        <v>45</v>
      </c>
      <c r="B812" s="17" t="s">
        <v>68</v>
      </c>
      <c r="C812" s="17" t="s">
        <v>8</v>
      </c>
      <c r="D812" s="17" t="s">
        <v>10</v>
      </c>
      <c r="E812" s="17" t="s">
        <v>23</v>
      </c>
      <c r="F812" s="17" t="str">
        <f>INDEX(nrg_cb_e!$A$3:$A$40,MATCH(LEFT(MID('Industriesektor GWh'!$B812,41,1000),SEARCH(" - ",MID('Industriesektor GWh'!$B812,41,1000))-1),nrg_cb_e!$C$3:$C$40,0))</f>
        <v>FC_IND_MQ_E</v>
      </c>
      <c r="G812" s="18">
        <v>163</v>
      </c>
    </row>
    <row r="813" spans="1:7" x14ac:dyDescent="0.2">
      <c r="A813" s="19" t="s">
        <v>45</v>
      </c>
      <c r="B813" s="20" t="s">
        <v>68</v>
      </c>
      <c r="C813" s="20" t="s">
        <v>8</v>
      </c>
      <c r="D813" s="20" t="s">
        <v>10</v>
      </c>
      <c r="E813" s="20" t="s">
        <v>24</v>
      </c>
      <c r="F813" s="20" t="str">
        <f>INDEX(nrg_cb_e!$A$3:$A$40,MATCH(LEFT(MID('Industriesektor GWh'!$B813,41,1000),SEARCH(" - ",MID('Industriesektor GWh'!$B813,41,1000))-1),nrg_cb_e!$C$3:$C$40,0))</f>
        <v>FC_IND_MQ_E</v>
      </c>
      <c r="G813" s="21">
        <v>87</v>
      </c>
    </row>
    <row r="814" spans="1:7" x14ac:dyDescent="0.2">
      <c r="A814" s="16" t="s">
        <v>45</v>
      </c>
      <c r="B814" s="17" t="s">
        <v>68</v>
      </c>
      <c r="C814" s="17" t="s">
        <v>8</v>
      </c>
      <c r="D814" s="17" t="s">
        <v>10</v>
      </c>
      <c r="E814" s="17" t="s">
        <v>25</v>
      </c>
      <c r="F814" s="17" t="str">
        <f>INDEX(nrg_cb_e!$A$3:$A$40,MATCH(LEFT(MID('Industriesektor GWh'!$B814,41,1000),SEARCH(" - ",MID('Industriesektor GWh'!$B814,41,1000))-1),nrg_cb_e!$C$3:$C$40,0))</f>
        <v>FC_IND_MQ_E</v>
      </c>
      <c r="G814" s="18">
        <v>98</v>
      </c>
    </row>
    <row r="815" spans="1:7" x14ac:dyDescent="0.2">
      <c r="A815" s="19" t="s">
        <v>45</v>
      </c>
      <c r="B815" s="20" t="s">
        <v>68</v>
      </c>
      <c r="C815" s="20" t="s">
        <v>8</v>
      </c>
      <c r="D815" s="20" t="s">
        <v>10</v>
      </c>
      <c r="E815" s="20" t="s">
        <v>26</v>
      </c>
      <c r="F815" s="20" t="str">
        <f>INDEX(nrg_cb_e!$A$3:$A$40,MATCH(LEFT(MID('Industriesektor GWh'!$B815,41,1000),SEARCH(" - ",MID('Industriesektor GWh'!$B815,41,1000))-1),nrg_cb_e!$C$3:$C$40,0))</f>
        <v>FC_IND_MQ_E</v>
      </c>
      <c r="G815" s="21">
        <v>96</v>
      </c>
    </row>
    <row r="816" spans="1:7" x14ac:dyDescent="0.2">
      <c r="A816" s="16" t="s">
        <v>45</v>
      </c>
      <c r="B816" s="17" t="s">
        <v>68</v>
      </c>
      <c r="C816" s="17" t="s">
        <v>8</v>
      </c>
      <c r="D816" s="17" t="s">
        <v>10</v>
      </c>
      <c r="E816" s="17" t="s">
        <v>27</v>
      </c>
      <c r="F816" s="17" t="str">
        <f>INDEX(nrg_cb_e!$A$3:$A$40,MATCH(LEFT(MID('Industriesektor GWh'!$B816,41,1000),SEARCH(" - ",MID('Industriesektor GWh'!$B816,41,1000))-1),nrg_cb_e!$C$3:$C$40,0))</f>
        <v>FC_IND_MQ_E</v>
      </c>
      <c r="G816" s="18">
        <v>100</v>
      </c>
    </row>
    <row r="817" spans="1:7" x14ac:dyDescent="0.2">
      <c r="A817" s="19" t="s">
        <v>45</v>
      </c>
      <c r="B817" s="20" t="s">
        <v>68</v>
      </c>
      <c r="C817" s="20" t="s">
        <v>8</v>
      </c>
      <c r="D817" s="20" t="s">
        <v>10</v>
      </c>
      <c r="E817" s="20" t="s">
        <v>28</v>
      </c>
      <c r="F817" s="20" t="str">
        <f>INDEX(nrg_cb_e!$A$3:$A$40,MATCH(LEFT(MID('Industriesektor GWh'!$B817,41,1000),SEARCH(" - ",MID('Industriesektor GWh'!$B817,41,1000))-1),nrg_cb_e!$C$3:$C$40,0))</f>
        <v>FC_IND_MQ_E</v>
      </c>
      <c r="G817" s="21">
        <v>117</v>
      </c>
    </row>
    <row r="818" spans="1:7" x14ac:dyDescent="0.2">
      <c r="A818" s="16" t="s">
        <v>46</v>
      </c>
      <c r="B818" s="17" t="s">
        <v>68</v>
      </c>
      <c r="C818" s="17" t="s">
        <v>8</v>
      </c>
      <c r="D818" s="17" t="s">
        <v>10</v>
      </c>
      <c r="E818" s="17" t="s">
        <v>12</v>
      </c>
      <c r="F818" s="17" t="str">
        <f>INDEX(nrg_cb_e!$A$3:$A$40,MATCH(LEFT(MID('Industriesektor GWh'!$B818,41,1000),SEARCH(" - ",MID('Industriesektor GWh'!$B818,41,1000))-1),nrg_cb_e!$C$3:$C$40,0))</f>
        <v>FC_IND_MQ_E</v>
      </c>
      <c r="G818" s="18">
        <v>0</v>
      </c>
    </row>
    <row r="819" spans="1:7" x14ac:dyDescent="0.2">
      <c r="A819" s="19" t="s">
        <v>46</v>
      </c>
      <c r="B819" s="20" t="s">
        <v>68</v>
      </c>
      <c r="C819" s="20" t="s">
        <v>8</v>
      </c>
      <c r="D819" s="20" t="s">
        <v>10</v>
      </c>
      <c r="E819" s="20" t="s">
        <v>13</v>
      </c>
      <c r="F819" s="20" t="str">
        <f>INDEX(nrg_cb_e!$A$3:$A$40,MATCH(LEFT(MID('Industriesektor GWh'!$B819,41,1000),SEARCH(" - ",MID('Industriesektor GWh'!$B819,41,1000))-1),nrg_cb_e!$C$3:$C$40,0))</f>
        <v>FC_IND_MQ_E</v>
      </c>
      <c r="G819" s="21">
        <v>0</v>
      </c>
    </row>
    <row r="820" spans="1:7" x14ac:dyDescent="0.2">
      <c r="A820" s="16" t="s">
        <v>46</v>
      </c>
      <c r="B820" s="17" t="s">
        <v>68</v>
      </c>
      <c r="C820" s="17" t="s">
        <v>8</v>
      </c>
      <c r="D820" s="17" t="s">
        <v>10</v>
      </c>
      <c r="E820" s="17" t="s">
        <v>14</v>
      </c>
      <c r="F820" s="17" t="str">
        <f>INDEX(nrg_cb_e!$A$3:$A$40,MATCH(LEFT(MID('Industriesektor GWh'!$B820,41,1000),SEARCH(" - ",MID('Industriesektor GWh'!$B820,41,1000))-1),nrg_cb_e!$C$3:$C$40,0))</f>
        <v>FC_IND_MQ_E</v>
      </c>
      <c r="G820" s="18">
        <v>0</v>
      </c>
    </row>
    <row r="821" spans="1:7" x14ac:dyDescent="0.2">
      <c r="A821" s="19" t="s">
        <v>46</v>
      </c>
      <c r="B821" s="20" t="s">
        <v>68</v>
      </c>
      <c r="C821" s="20" t="s">
        <v>8</v>
      </c>
      <c r="D821" s="20" t="s">
        <v>10</v>
      </c>
      <c r="E821" s="20" t="s">
        <v>15</v>
      </c>
      <c r="F821" s="20" t="str">
        <f>INDEX(nrg_cb_e!$A$3:$A$40,MATCH(LEFT(MID('Industriesektor GWh'!$B821,41,1000),SEARCH(" - ",MID('Industriesektor GWh'!$B821,41,1000))-1),nrg_cb_e!$C$3:$C$40,0))</f>
        <v>FC_IND_MQ_E</v>
      </c>
      <c r="G821" s="21">
        <v>0</v>
      </c>
    </row>
    <row r="822" spans="1:7" x14ac:dyDescent="0.2">
      <c r="A822" s="16" t="s">
        <v>46</v>
      </c>
      <c r="B822" s="17" t="s">
        <v>68</v>
      </c>
      <c r="C822" s="17" t="s">
        <v>8</v>
      </c>
      <c r="D822" s="17" t="s">
        <v>10</v>
      </c>
      <c r="E822" s="17" t="s">
        <v>16</v>
      </c>
      <c r="F822" s="17" t="str">
        <f>INDEX(nrg_cb_e!$A$3:$A$40,MATCH(LEFT(MID('Industriesektor GWh'!$B822,41,1000),SEARCH(" - ",MID('Industriesektor GWh'!$B822,41,1000))-1),nrg_cb_e!$C$3:$C$40,0))</f>
        <v>FC_IND_MQ_E</v>
      </c>
      <c r="G822" s="18">
        <v>0</v>
      </c>
    </row>
    <row r="823" spans="1:7" x14ac:dyDescent="0.2">
      <c r="A823" s="19" t="s">
        <v>46</v>
      </c>
      <c r="B823" s="20" t="s">
        <v>68</v>
      </c>
      <c r="C823" s="20" t="s">
        <v>8</v>
      </c>
      <c r="D823" s="20" t="s">
        <v>10</v>
      </c>
      <c r="E823" s="20" t="s">
        <v>17</v>
      </c>
      <c r="F823" s="20" t="str">
        <f>INDEX(nrg_cb_e!$A$3:$A$40,MATCH(LEFT(MID('Industriesektor GWh'!$B823,41,1000),SEARCH(" - ",MID('Industriesektor GWh'!$B823,41,1000))-1),nrg_cb_e!$C$3:$C$40,0))</f>
        <v>FC_IND_MQ_E</v>
      </c>
      <c r="G823" s="21">
        <v>0</v>
      </c>
    </row>
    <row r="824" spans="1:7" x14ac:dyDescent="0.2">
      <c r="A824" s="16" t="s">
        <v>46</v>
      </c>
      <c r="B824" s="17" t="s">
        <v>68</v>
      </c>
      <c r="C824" s="17" t="s">
        <v>8</v>
      </c>
      <c r="D824" s="17" t="s">
        <v>10</v>
      </c>
      <c r="E824" s="17" t="s">
        <v>18</v>
      </c>
      <c r="F824" s="17" t="str">
        <f>INDEX(nrg_cb_e!$A$3:$A$40,MATCH(LEFT(MID('Industriesektor GWh'!$B824,41,1000),SEARCH(" - ",MID('Industriesektor GWh'!$B824,41,1000))-1),nrg_cb_e!$C$3:$C$40,0))</f>
        <v>FC_IND_MQ_E</v>
      </c>
      <c r="G824" s="18">
        <v>0</v>
      </c>
    </row>
    <row r="825" spans="1:7" x14ac:dyDescent="0.2">
      <c r="A825" s="19" t="s">
        <v>46</v>
      </c>
      <c r="B825" s="20" t="s">
        <v>68</v>
      </c>
      <c r="C825" s="20" t="s">
        <v>8</v>
      </c>
      <c r="D825" s="20" t="s">
        <v>10</v>
      </c>
      <c r="E825" s="20" t="s">
        <v>19</v>
      </c>
      <c r="F825" s="20" t="str">
        <f>INDEX(nrg_cb_e!$A$3:$A$40,MATCH(LEFT(MID('Industriesektor GWh'!$B825,41,1000),SEARCH(" - ",MID('Industriesektor GWh'!$B825,41,1000))-1),nrg_cb_e!$C$3:$C$40,0))</f>
        <v>FC_IND_MQ_E</v>
      </c>
      <c r="G825" s="21">
        <v>0</v>
      </c>
    </row>
    <row r="826" spans="1:7" x14ac:dyDescent="0.2">
      <c r="A826" s="16" t="s">
        <v>46</v>
      </c>
      <c r="B826" s="17" t="s">
        <v>68</v>
      </c>
      <c r="C826" s="17" t="s">
        <v>8</v>
      </c>
      <c r="D826" s="17" t="s">
        <v>10</v>
      </c>
      <c r="E826" s="17" t="s">
        <v>20</v>
      </c>
      <c r="F826" s="17" t="str">
        <f>INDEX(nrg_cb_e!$A$3:$A$40,MATCH(LEFT(MID('Industriesektor GWh'!$B826,41,1000),SEARCH(" - ",MID('Industriesektor GWh'!$B826,41,1000))-1),nrg_cb_e!$C$3:$C$40,0))</f>
        <v>FC_IND_MQ_E</v>
      </c>
      <c r="G826" s="18">
        <v>1</v>
      </c>
    </row>
    <row r="827" spans="1:7" x14ac:dyDescent="0.2">
      <c r="A827" s="19" t="s">
        <v>46</v>
      </c>
      <c r="B827" s="20" t="s">
        <v>68</v>
      </c>
      <c r="C827" s="20" t="s">
        <v>8</v>
      </c>
      <c r="D827" s="20" t="s">
        <v>10</v>
      </c>
      <c r="E827" s="20" t="s">
        <v>21</v>
      </c>
      <c r="F827" s="20" t="str">
        <f>INDEX(nrg_cb_e!$A$3:$A$40,MATCH(LEFT(MID('Industriesektor GWh'!$B827,41,1000),SEARCH(" - ",MID('Industriesektor GWh'!$B827,41,1000))-1),nrg_cb_e!$C$3:$C$40,0))</f>
        <v>FC_IND_MQ_E</v>
      </c>
      <c r="G827" s="21">
        <v>1</v>
      </c>
    </row>
    <row r="828" spans="1:7" x14ac:dyDescent="0.2">
      <c r="A828" s="16" t="s">
        <v>46</v>
      </c>
      <c r="B828" s="17" t="s">
        <v>68</v>
      </c>
      <c r="C828" s="17" t="s">
        <v>8</v>
      </c>
      <c r="D828" s="17" t="s">
        <v>10</v>
      </c>
      <c r="E828" s="17" t="s">
        <v>22</v>
      </c>
      <c r="F828" s="17" t="str">
        <f>INDEX(nrg_cb_e!$A$3:$A$40,MATCH(LEFT(MID('Industriesektor GWh'!$B828,41,1000),SEARCH(" - ",MID('Industriesektor GWh'!$B828,41,1000))-1),nrg_cb_e!$C$3:$C$40,0))</f>
        <v>FC_IND_MQ_E</v>
      </c>
      <c r="G828" s="18">
        <v>1</v>
      </c>
    </row>
    <row r="829" spans="1:7" x14ac:dyDescent="0.2">
      <c r="A829" s="19" t="s">
        <v>46</v>
      </c>
      <c r="B829" s="20" t="s">
        <v>68</v>
      </c>
      <c r="C829" s="20" t="s">
        <v>8</v>
      </c>
      <c r="D829" s="20" t="s">
        <v>10</v>
      </c>
      <c r="E829" s="20" t="s">
        <v>23</v>
      </c>
      <c r="F829" s="20" t="str">
        <f>INDEX(nrg_cb_e!$A$3:$A$40,MATCH(LEFT(MID('Industriesektor GWh'!$B829,41,1000),SEARCH(" - ",MID('Industriesektor GWh'!$B829,41,1000))-1),nrg_cb_e!$C$3:$C$40,0))</f>
        <v>FC_IND_MQ_E</v>
      </c>
      <c r="G829" s="21">
        <v>1</v>
      </c>
    </row>
    <row r="830" spans="1:7" x14ac:dyDescent="0.2">
      <c r="A830" s="16" t="s">
        <v>46</v>
      </c>
      <c r="B830" s="17" t="s">
        <v>68</v>
      </c>
      <c r="C830" s="17" t="s">
        <v>8</v>
      </c>
      <c r="D830" s="17" t="s">
        <v>10</v>
      </c>
      <c r="E830" s="17" t="s">
        <v>24</v>
      </c>
      <c r="F830" s="17" t="str">
        <f>INDEX(nrg_cb_e!$A$3:$A$40,MATCH(LEFT(MID('Industriesektor GWh'!$B830,41,1000),SEARCH(" - ",MID('Industriesektor GWh'!$B830,41,1000))-1),nrg_cb_e!$C$3:$C$40,0))</f>
        <v>FC_IND_MQ_E</v>
      </c>
      <c r="G830" s="18">
        <v>2</v>
      </c>
    </row>
    <row r="831" spans="1:7" x14ac:dyDescent="0.2">
      <c r="A831" s="19" t="s">
        <v>46</v>
      </c>
      <c r="B831" s="20" t="s">
        <v>68</v>
      </c>
      <c r="C831" s="20" t="s">
        <v>8</v>
      </c>
      <c r="D831" s="20" t="s">
        <v>10</v>
      </c>
      <c r="E831" s="20" t="s">
        <v>25</v>
      </c>
      <c r="F831" s="20" t="str">
        <f>INDEX(nrg_cb_e!$A$3:$A$40,MATCH(LEFT(MID('Industriesektor GWh'!$B831,41,1000),SEARCH(" - ",MID('Industriesektor GWh'!$B831,41,1000))-1),nrg_cb_e!$C$3:$C$40,0))</f>
        <v>FC_IND_MQ_E</v>
      </c>
      <c r="G831" s="21">
        <v>1</v>
      </c>
    </row>
    <row r="832" spans="1:7" x14ac:dyDescent="0.2">
      <c r="A832" s="16" t="s">
        <v>46</v>
      </c>
      <c r="B832" s="17" t="s">
        <v>68</v>
      </c>
      <c r="C832" s="17" t="s">
        <v>8</v>
      </c>
      <c r="D832" s="17" t="s">
        <v>10</v>
      </c>
      <c r="E832" s="17" t="s">
        <v>26</v>
      </c>
      <c r="F832" s="17" t="str">
        <f>INDEX(nrg_cb_e!$A$3:$A$40,MATCH(LEFT(MID('Industriesektor GWh'!$B832,41,1000),SEARCH(" - ",MID('Industriesektor GWh'!$B832,41,1000))-1),nrg_cb_e!$C$3:$C$40,0))</f>
        <v>FC_IND_MQ_E</v>
      </c>
      <c r="G832" s="18">
        <v>1</v>
      </c>
    </row>
    <row r="833" spans="1:7" x14ac:dyDescent="0.2">
      <c r="A833" s="19" t="s">
        <v>46</v>
      </c>
      <c r="B833" s="20" t="s">
        <v>68</v>
      </c>
      <c r="C833" s="20" t="s">
        <v>8</v>
      </c>
      <c r="D833" s="20" t="s">
        <v>10</v>
      </c>
      <c r="E833" s="20" t="s">
        <v>27</v>
      </c>
      <c r="F833" s="20" t="str">
        <f>INDEX(nrg_cb_e!$A$3:$A$40,MATCH(LEFT(MID('Industriesektor GWh'!$B833,41,1000),SEARCH(" - ",MID('Industriesektor GWh'!$B833,41,1000))-1),nrg_cb_e!$C$3:$C$40,0))</f>
        <v>FC_IND_MQ_E</v>
      </c>
      <c r="G833" s="21">
        <v>1.3919999999999999</v>
      </c>
    </row>
    <row r="834" spans="1:7" x14ac:dyDescent="0.2">
      <c r="A834" s="16" t="s">
        <v>46</v>
      </c>
      <c r="B834" s="17" t="s">
        <v>68</v>
      </c>
      <c r="C834" s="17" t="s">
        <v>8</v>
      </c>
      <c r="D834" s="17" t="s">
        <v>10</v>
      </c>
      <c r="E834" s="17" t="s">
        <v>28</v>
      </c>
      <c r="F834" s="17" t="str">
        <f>INDEX(nrg_cb_e!$A$3:$A$40,MATCH(LEFT(MID('Industriesektor GWh'!$B834,41,1000),SEARCH(" - ",MID('Industriesektor GWh'!$B834,41,1000))-1),nrg_cb_e!$C$3:$C$40,0))</f>
        <v>FC_IND_MQ_E</v>
      </c>
      <c r="G834" s="18">
        <v>1.581</v>
      </c>
    </row>
    <row r="835" spans="1:7" x14ac:dyDescent="0.2">
      <c r="A835" s="19" t="s">
        <v>47</v>
      </c>
      <c r="B835" s="20" t="s">
        <v>68</v>
      </c>
      <c r="C835" s="20" t="s">
        <v>8</v>
      </c>
      <c r="D835" s="20" t="s">
        <v>10</v>
      </c>
      <c r="E835" s="20" t="s">
        <v>12</v>
      </c>
      <c r="F835" s="20" t="str">
        <f>INDEX(nrg_cb_e!$A$3:$A$40,MATCH(LEFT(MID('Industriesektor GWh'!$B835,41,1000),SEARCH(" - ",MID('Industriesektor GWh'!$B835,41,1000))-1),nrg_cb_e!$C$3:$C$40,0))</f>
        <v>FC_IND_MQ_E</v>
      </c>
      <c r="G835" s="21">
        <v>201</v>
      </c>
    </row>
    <row r="836" spans="1:7" x14ac:dyDescent="0.2">
      <c r="A836" s="16" t="s">
        <v>47</v>
      </c>
      <c r="B836" s="17" t="s">
        <v>68</v>
      </c>
      <c r="C836" s="17" t="s">
        <v>8</v>
      </c>
      <c r="D836" s="17" t="s">
        <v>10</v>
      </c>
      <c r="E836" s="17" t="s">
        <v>13</v>
      </c>
      <c r="F836" s="17" t="str">
        <f>INDEX(nrg_cb_e!$A$3:$A$40,MATCH(LEFT(MID('Industriesektor GWh'!$B836,41,1000),SEARCH(" - ",MID('Industriesektor GWh'!$B836,41,1000))-1),nrg_cb_e!$C$3:$C$40,0))</f>
        <v>FC_IND_MQ_E</v>
      </c>
      <c r="G836" s="18">
        <v>212</v>
      </c>
    </row>
    <row r="837" spans="1:7" x14ac:dyDescent="0.2">
      <c r="A837" s="19" t="s">
        <v>47</v>
      </c>
      <c r="B837" s="20" t="s">
        <v>68</v>
      </c>
      <c r="C837" s="20" t="s">
        <v>8</v>
      </c>
      <c r="D837" s="20" t="s">
        <v>10</v>
      </c>
      <c r="E837" s="20" t="s">
        <v>14</v>
      </c>
      <c r="F837" s="20" t="str">
        <f>INDEX(nrg_cb_e!$A$3:$A$40,MATCH(LEFT(MID('Industriesektor GWh'!$B837,41,1000),SEARCH(" - ",MID('Industriesektor GWh'!$B837,41,1000))-1),nrg_cb_e!$C$3:$C$40,0))</f>
        <v>FC_IND_MQ_E</v>
      </c>
      <c r="G837" s="21">
        <v>189</v>
      </c>
    </row>
    <row r="838" spans="1:7" x14ac:dyDescent="0.2">
      <c r="A838" s="16" t="s">
        <v>47</v>
      </c>
      <c r="B838" s="17" t="s">
        <v>68</v>
      </c>
      <c r="C838" s="17" t="s">
        <v>8</v>
      </c>
      <c r="D838" s="17" t="s">
        <v>10</v>
      </c>
      <c r="E838" s="17" t="s">
        <v>15</v>
      </c>
      <c r="F838" s="17" t="str">
        <f>INDEX(nrg_cb_e!$A$3:$A$40,MATCH(LEFT(MID('Industriesektor GWh'!$B838,41,1000),SEARCH(" - ",MID('Industriesektor GWh'!$B838,41,1000))-1),nrg_cb_e!$C$3:$C$40,0))</f>
        <v>FC_IND_MQ_E</v>
      </c>
      <c r="G838" s="18">
        <v>187</v>
      </c>
    </row>
    <row r="839" spans="1:7" x14ac:dyDescent="0.2">
      <c r="A839" s="19" t="s">
        <v>47</v>
      </c>
      <c r="B839" s="20" t="s">
        <v>68</v>
      </c>
      <c r="C839" s="20" t="s">
        <v>8</v>
      </c>
      <c r="D839" s="20" t="s">
        <v>10</v>
      </c>
      <c r="E839" s="20" t="s">
        <v>16</v>
      </c>
      <c r="F839" s="20" t="str">
        <f>INDEX(nrg_cb_e!$A$3:$A$40,MATCH(LEFT(MID('Industriesektor GWh'!$B839,41,1000),SEARCH(" - ",MID('Industriesektor GWh'!$B839,41,1000))-1),nrg_cb_e!$C$3:$C$40,0))</f>
        <v>FC_IND_MQ_E</v>
      </c>
      <c r="G839" s="21">
        <v>286</v>
      </c>
    </row>
    <row r="840" spans="1:7" x14ac:dyDescent="0.2">
      <c r="A840" s="16" t="s">
        <v>47</v>
      </c>
      <c r="B840" s="17" t="s">
        <v>68</v>
      </c>
      <c r="C840" s="17" t="s">
        <v>8</v>
      </c>
      <c r="D840" s="17" t="s">
        <v>10</v>
      </c>
      <c r="E840" s="17" t="s">
        <v>17</v>
      </c>
      <c r="F840" s="17" t="str">
        <f>INDEX(nrg_cb_e!$A$3:$A$40,MATCH(LEFT(MID('Industriesektor GWh'!$B840,41,1000),SEARCH(" - ",MID('Industriesektor GWh'!$B840,41,1000))-1),nrg_cb_e!$C$3:$C$40,0))</f>
        <v>FC_IND_MQ_E</v>
      </c>
      <c r="G840" s="18">
        <v>254</v>
      </c>
    </row>
    <row r="841" spans="1:7" x14ac:dyDescent="0.2">
      <c r="A841" s="19" t="s">
        <v>47</v>
      </c>
      <c r="B841" s="20" t="s">
        <v>68</v>
      </c>
      <c r="C841" s="20" t="s">
        <v>8</v>
      </c>
      <c r="D841" s="20" t="s">
        <v>10</v>
      </c>
      <c r="E841" s="20" t="s">
        <v>18</v>
      </c>
      <c r="F841" s="20" t="str">
        <f>INDEX(nrg_cb_e!$A$3:$A$40,MATCH(LEFT(MID('Industriesektor GWh'!$B841,41,1000),SEARCH(" - ",MID('Industriesektor GWh'!$B841,41,1000))-1),nrg_cb_e!$C$3:$C$40,0))</f>
        <v>FC_IND_MQ_E</v>
      </c>
      <c r="G841" s="21">
        <v>330</v>
      </c>
    </row>
    <row r="842" spans="1:7" x14ac:dyDescent="0.2">
      <c r="A842" s="16" t="s">
        <v>47</v>
      </c>
      <c r="B842" s="17" t="s">
        <v>68</v>
      </c>
      <c r="C842" s="17" t="s">
        <v>8</v>
      </c>
      <c r="D842" s="17" t="s">
        <v>10</v>
      </c>
      <c r="E842" s="17" t="s">
        <v>19</v>
      </c>
      <c r="F842" s="17" t="str">
        <f>INDEX(nrg_cb_e!$A$3:$A$40,MATCH(LEFT(MID('Industriesektor GWh'!$B842,41,1000),SEARCH(" - ",MID('Industriesektor GWh'!$B842,41,1000))-1),nrg_cb_e!$C$3:$C$40,0))</f>
        <v>FC_IND_MQ_E</v>
      </c>
      <c r="G842" s="18">
        <v>131</v>
      </c>
    </row>
    <row r="843" spans="1:7" x14ac:dyDescent="0.2">
      <c r="A843" s="19" t="s">
        <v>47</v>
      </c>
      <c r="B843" s="20" t="s">
        <v>68</v>
      </c>
      <c r="C843" s="20" t="s">
        <v>8</v>
      </c>
      <c r="D843" s="20" t="s">
        <v>10</v>
      </c>
      <c r="E843" s="20" t="s">
        <v>20</v>
      </c>
      <c r="F843" s="20" t="str">
        <f>INDEX(nrg_cb_e!$A$3:$A$40,MATCH(LEFT(MID('Industriesektor GWh'!$B843,41,1000),SEARCH(" - ",MID('Industriesektor GWh'!$B843,41,1000))-1),nrg_cb_e!$C$3:$C$40,0))</f>
        <v>FC_IND_MQ_E</v>
      </c>
      <c r="G843" s="21">
        <v>439</v>
      </c>
    </row>
    <row r="844" spans="1:7" x14ac:dyDescent="0.2">
      <c r="A844" s="16" t="s">
        <v>47</v>
      </c>
      <c r="B844" s="17" t="s">
        <v>68</v>
      </c>
      <c r="C844" s="17" t="s">
        <v>8</v>
      </c>
      <c r="D844" s="17" t="s">
        <v>10</v>
      </c>
      <c r="E844" s="17" t="s">
        <v>21</v>
      </c>
      <c r="F844" s="17" t="str">
        <f>INDEX(nrg_cb_e!$A$3:$A$40,MATCH(LEFT(MID('Industriesektor GWh'!$B844,41,1000),SEARCH(" - ",MID('Industriesektor GWh'!$B844,41,1000))-1),nrg_cb_e!$C$3:$C$40,0))</f>
        <v>FC_IND_MQ_E</v>
      </c>
      <c r="G844" s="18">
        <v>250</v>
      </c>
    </row>
    <row r="845" spans="1:7" x14ac:dyDescent="0.2">
      <c r="A845" s="19" t="s">
        <v>47</v>
      </c>
      <c r="B845" s="20" t="s">
        <v>68</v>
      </c>
      <c r="C845" s="20" t="s">
        <v>8</v>
      </c>
      <c r="D845" s="20" t="s">
        <v>10</v>
      </c>
      <c r="E845" s="20" t="s">
        <v>22</v>
      </c>
      <c r="F845" s="20" t="str">
        <f>INDEX(nrg_cb_e!$A$3:$A$40,MATCH(LEFT(MID('Industriesektor GWh'!$B845,41,1000),SEARCH(" - ",MID('Industriesektor GWh'!$B845,41,1000))-1),nrg_cb_e!$C$3:$C$40,0))</f>
        <v>FC_IND_MQ_E</v>
      </c>
      <c r="G845" s="21">
        <v>244</v>
      </c>
    </row>
    <row r="846" spans="1:7" x14ac:dyDescent="0.2">
      <c r="A846" s="16" t="s">
        <v>47</v>
      </c>
      <c r="B846" s="17" t="s">
        <v>68</v>
      </c>
      <c r="C846" s="17" t="s">
        <v>8</v>
      </c>
      <c r="D846" s="17" t="s">
        <v>10</v>
      </c>
      <c r="E846" s="17" t="s">
        <v>23</v>
      </c>
      <c r="F846" s="17" t="str">
        <f>INDEX(nrg_cb_e!$A$3:$A$40,MATCH(LEFT(MID('Industriesektor GWh'!$B846,41,1000),SEARCH(" - ",MID('Industriesektor GWh'!$B846,41,1000))-1),nrg_cb_e!$C$3:$C$40,0))</f>
        <v>FC_IND_MQ_E</v>
      </c>
      <c r="G846" s="18">
        <v>251</v>
      </c>
    </row>
    <row r="847" spans="1:7" x14ac:dyDescent="0.2">
      <c r="A847" s="19" t="s">
        <v>47</v>
      </c>
      <c r="B847" s="20" t="s">
        <v>68</v>
      </c>
      <c r="C847" s="20" t="s">
        <v>8</v>
      </c>
      <c r="D847" s="20" t="s">
        <v>10</v>
      </c>
      <c r="E847" s="20" t="s">
        <v>24</v>
      </c>
      <c r="F847" s="20" t="str">
        <f>INDEX(nrg_cb_e!$A$3:$A$40,MATCH(LEFT(MID('Industriesektor GWh'!$B847,41,1000),SEARCH(" - ",MID('Industriesektor GWh'!$B847,41,1000))-1),nrg_cb_e!$C$3:$C$40,0))</f>
        <v>FC_IND_MQ_E</v>
      </c>
      <c r="G847" s="21">
        <v>201</v>
      </c>
    </row>
    <row r="848" spans="1:7" x14ac:dyDescent="0.2">
      <c r="A848" s="16" t="s">
        <v>47</v>
      </c>
      <c r="B848" s="17" t="s">
        <v>68</v>
      </c>
      <c r="C848" s="17" t="s">
        <v>8</v>
      </c>
      <c r="D848" s="17" t="s">
        <v>10</v>
      </c>
      <c r="E848" s="17" t="s">
        <v>25</v>
      </c>
      <c r="F848" s="17" t="str">
        <f>INDEX(nrg_cb_e!$A$3:$A$40,MATCH(LEFT(MID('Industriesektor GWh'!$B848,41,1000),SEARCH(" - ",MID('Industriesektor GWh'!$B848,41,1000))-1),nrg_cb_e!$C$3:$C$40,0))</f>
        <v>FC_IND_MQ_E</v>
      </c>
      <c r="G848" s="18">
        <v>235.792</v>
      </c>
    </row>
    <row r="849" spans="1:7" x14ac:dyDescent="0.2">
      <c r="A849" s="19" t="s">
        <v>47</v>
      </c>
      <c r="B849" s="20" t="s">
        <v>68</v>
      </c>
      <c r="C849" s="20" t="s">
        <v>8</v>
      </c>
      <c r="D849" s="20" t="s">
        <v>10</v>
      </c>
      <c r="E849" s="20" t="s">
        <v>26</v>
      </c>
      <c r="F849" s="20" t="str">
        <f>INDEX(nrg_cb_e!$A$3:$A$40,MATCH(LEFT(MID('Industriesektor GWh'!$B849,41,1000),SEARCH(" - ",MID('Industriesektor GWh'!$B849,41,1000))-1),nrg_cb_e!$C$3:$C$40,0))</f>
        <v>FC_IND_MQ_E</v>
      </c>
      <c r="G849" s="21">
        <v>247.13200000000001</v>
      </c>
    </row>
    <row r="850" spans="1:7" x14ac:dyDescent="0.2">
      <c r="A850" s="16" t="s">
        <v>47</v>
      </c>
      <c r="B850" s="17" t="s">
        <v>68</v>
      </c>
      <c r="C850" s="17" t="s">
        <v>8</v>
      </c>
      <c r="D850" s="17" t="s">
        <v>10</v>
      </c>
      <c r="E850" s="17" t="s">
        <v>27</v>
      </c>
      <c r="F850" s="17" t="str">
        <f>INDEX(nrg_cb_e!$A$3:$A$40,MATCH(LEFT(MID('Industriesektor GWh'!$B850,41,1000),SEARCH(" - ",MID('Industriesektor GWh'!$B850,41,1000))-1),nrg_cb_e!$C$3:$C$40,0))</f>
        <v>FC_IND_MQ_E</v>
      </c>
      <c r="G850" s="18">
        <v>247.958</v>
      </c>
    </row>
    <row r="851" spans="1:7" x14ac:dyDescent="0.2">
      <c r="A851" s="19" t="s">
        <v>47</v>
      </c>
      <c r="B851" s="20" t="s">
        <v>68</v>
      </c>
      <c r="C851" s="20" t="s">
        <v>8</v>
      </c>
      <c r="D851" s="20" t="s">
        <v>10</v>
      </c>
      <c r="E851" s="20" t="s">
        <v>28</v>
      </c>
      <c r="F851" s="20" t="str">
        <f>INDEX(nrg_cb_e!$A$3:$A$40,MATCH(LEFT(MID('Industriesektor GWh'!$B851,41,1000),SEARCH(" - ",MID('Industriesektor GWh'!$B851,41,1000))-1),nrg_cb_e!$C$3:$C$40,0))</f>
        <v>FC_IND_MQ_E</v>
      </c>
      <c r="G851" s="21">
        <v>273.07600000000002</v>
      </c>
    </row>
    <row r="852" spans="1:7" x14ac:dyDescent="0.2">
      <c r="A852" s="16" t="s">
        <v>48</v>
      </c>
      <c r="B852" s="17" t="s">
        <v>68</v>
      </c>
      <c r="C852" s="17" t="s">
        <v>8</v>
      </c>
      <c r="D852" s="17" t="s">
        <v>10</v>
      </c>
      <c r="E852" s="17" t="s">
        <v>12</v>
      </c>
      <c r="F852" s="17" t="str">
        <f>INDEX(nrg_cb_e!$A$3:$A$40,MATCH(LEFT(MID('Industriesektor GWh'!$B852,41,1000),SEARCH(" - ",MID('Industriesektor GWh'!$B852,41,1000))-1),nrg_cb_e!$C$3:$C$40,0))</f>
        <v>FC_IND_MQ_E</v>
      </c>
      <c r="G852" s="18">
        <v>646</v>
      </c>
    </row>
    <row r="853" spans="1:7" x14ac:dyDescent="0.2">
      <c r="A853" s="19" t="s">
        <v>48</v>
      </c>
      <c r="B853" s="20" t="s">
        <v>68</v>
      </c>
      <c r="C853" s="20" t="s">
        <v>8</v>
      </c>
      <c r="D853" s="20" t="s">
        <v>10</v>
      </c>
      <c r="E853" s="20" t="s">
        <v>13</v>
      </c>
      <c r="F853" s="20" t="str">
        <f>INDEX(nrg_cb_e!$A$3:$A$40,MATCH(LEFT(MID('Industriesektor GWh'!$B853,41,1000),SEARCH(" - ",MID('Industriesektor GWh'!$B853,41,1000))-1),nrg_cb_e!$C$3:$C$40,0))</f>
        <v>FC_IND_MQ_E</v>
      </c>
      <c r="G853" s="21">
        <v>671</v>
      </c>
    </row>
    <row r="854" spans="1:7" x14ac:dyDescent="0.2">
      <c r="A854" s="16" t="s">
        <v>48</v>
      </c>
      <c r="B854" s="17" t="s">
        <v>68</v>
      </c>
      <c r="C854" s="17" t="s">
        <v>8</v>
      </c>
      <c r="D854" s="17" t="s">
        <v>10</v>
      </c>
      <c r="E854" s="17" t="s">
        <v>14</v>
      </c>
      <c r="F854" s="17" t="str">
        <f>INDEX(nrg_cb_e!$A$3:$A$40,MATCH(LEFT(MID('Industriesektor GWh'!$B854,41,1000),SEARCH(" - ",MID('Industriesektor GWh'!$B854,41,1000))-1),nrg_cb_e!$C$3:$C$40,0))</f>
        <v>FC_IND_MQ_E</v>
      </c>
      <c r="G854" s="18">
        <v>683</v>
      </c>
    </row>
    <row r="855" spans="1:7" x14ac:dyDescent="0.2">
      <c r="A855" s="19" t="s">
        <v>48</v>
      </c>
      <c r="B855" s="20" t="s">
        <v>68</v>
      </c>
      <c r="C855" s="20" t="s">
        <v>8</v>
      </c>
      <c r="D855" s="20" t="s">
        <v>10</v>
      </c>
      <c r="E855" s="20" t="s">
        <v>15</v>
      </c>
      <c r="F855" s="20" t="str">
        <f>INDEX(nrg_cb_e!$A$3:$A$40,MATCH(LEFT(MID('Industriesektor GWh'!$B855,41,1000),SEARCH(" - ",MID('Industriesektor GWh'!$B855,41,1000))-1),nrg_cb_e!$C$3:$C$40,0))</f>
        <v>FC_IND_MQ_E</v>
      </c>
      <c r="G855" s="21">
        <v>667.33900000000006</v>
      </c>
    </row>
    <row r="856" spans="1:7" x14ac:dyDescent="0.2">
      <c r="A856" s="16" t="s">
        <v>48</v>
      </c>
      <c r="B856" s="17" t="s">
        <v>68</v>
      </c>
      <c r="C856" s="17" t="s">
        <v>8</v>
      </c>
      <c r="D856" s="17" t="s">
        <v>10</v>
      </c>
      <c r="E856" s="17" t="s">
        <v>16</v>
      </c>
      <c r="F856" s="17" t="str">
        <f>INDEX(nrg_cb_e!$A$3:$A$40,MATCH(LEFT(MID('Industriesektor GWh'!$B856,41,1000),SEARCH(" - ",MID('Industriesektor GWh'!$B856,41,1000))-1),nrg_cb_e!$C$3:$C$40,0))</f>
        <v>FC_IND_MQ_E</v>
      </c>
      <c r="G856" s="18">
        <v>744.36900000000003</v>
      </c>
    </row>
    <row r="857" spans="1:7" x14ac:dyDescent="0.2">
      <c r="A857" s="19" t="s">
        <v>48</v>
      </c>
      <c r="B857" s="20" t="s">
        <v>68</v>
      </c>
      <c r="C857" s="20" t="s">
        <v>8</v>
      </c>
      <c r="D857" s="20" t="s">
        <v>10</v>
      </c>
      <c r="E857" s="20" t="s">
        <v>17</v>
      </c>
      <c r="F857" s="20" t="str">
        <f>INDEX(nrg_cb_e!$A$3:$A$40,MATCH(LEFT(MID('Industriesektor GWh'!$B857,41,1000),SEARCH(" - ",MID('Industriesektor GWh'!$B857,41,1000))-1),nrg_cb_e!$C$3:$C$40,0))</f>
        <v>FC_IND_MQ_E</v>
      </c>
      <c r="G857" s="21">
        <v>771.65599999999995</v>
      </c>
    </row>
    <row r="858" spans="1:7" x14ac:dyDescent="0.2">
      <c r="A858" s="16" t="s">
        <v>48</v>
      </c>
      <c r="B858" s="17" t="s">
        <v>68</v>
      </c>
      <c r="C858" s="17" t="s">
        <v>8</v>
      </c>
      <c r="D858" s="17" t="s">
        <v>10</v>
      </c>
      <c r="E858" s="17" t="s">
        <v>18</v>
      </c>
      <c r="F858" s="17" t="str">
        <f>INDEX(nrg_cb_e!$A$3:$A$40,MATCH(LEFT(MID('Industriesektor GWh'!$B858,41,1000),SEARCH(" - ",MID('Industriesektor GWh'!$B858,41,1000))-1),nrg_cb_e!$C$3:$C$40,0))</f>
        <v>FC_IND_MQ_E</v>
      </c>
      <c r="G858" s="18">
        <v>764.95</v>
      </c>
    </row>
    <row r="859" spans="1:7" x14ac:dyDescent="0.2">
      <c r="A859" s="19" t="s">
        <v>48</v>
      </c>
      <c r="B859" s="20" t="s">
        <v>68</v>
      </c>
      <c r="C859" s="20" t="s">
        <v>8</v>
      </c>
      <c r="D859" s="20" t="s">
        <v>10</v>
      </c>
      <c r="E859" s="20" t="s">
        <v>19</v>
      </c>
      <c r="F859" s="20" t="str">
        <f>INDEX(nrg_cb_e!$A$3:$A$40,MATCH(LEFT(MID('Industriesektor GWh'!$B859,41,1000),SEARCH(" - ",MID('Industriesektor GWh'!$B859,41,1000))-1),nrg_cb_e!$C$3:$C$40,0))</f>
        <v>FC_IND_MQ_E</v>
      </c>
      <c r="G859" s="21">
        <v>898.20500000000004</v>
      </c>
    </row>
    <row r="860" spans="1:7" x14ac:dyDescent="0.2">
      <c r="A860" s="16" t="s">
        <v>48</v>
      </c>
      <c r="B860" s="17" t="s">
        <v>68</v>
      </c>
      <c r="C860" s="17" t="s">
        <v>8</v>
      </c>
      <c r="D860" s="17" t="s">
        <v>10</v>
      </c>
      <c r="E860" s="17" t="s">
        <v>20</v>
      </c>
      <c r="F860" s="17" t="str">
        <f>INDEX(nrg_cb_e!$A$3:$A$40,MATCH(LEFT(MID('Industriesektor GWh'!$B860,41,1000),SEARCH(" - ",MID('Industriesektor GWh'!$B860,41,1000))-1),nrg_cb_e!$C$3:$C$40,0))</f>
        <v>FC_IND_MQ_E</v>
      </c>
      <c r="G860" s="18">
        <v>1161.471</v>
      </c>
    </row>
    <row r="861" spans="1:7" x14ac:dyDescent="0.2">
      <c r="A861" s="19" t="s">
        <v>48</v>
      </c>
      <c r="B861" s="20" t="s">
        <v>68</v>
      </c>
      <c r="C861" s="20" t="s">
        <v>8</v>
      </c>
      <c r="D861" s="20" t="s">
        <v>10</v>
      </c>
      <c r="E861" s="20" t="s">
        <v>21</v>
      </c>
      <c r="F861" s="20" t="str">
        <f>INDEX(nrg_cb_e!$A$3:$A$40,MATCH(LEFT(MID('Industriesektor GWh'!$B861,41,1000),SEARCH(" - ",MID('Industriesektor GWh'!$B861,41,1000))-1),nrg_cb_e!$C$3:$C$40,0))</f>
        <v>FC_IND_MQ_E</v>
      </c>
      <c r="G861" s="21">
        <v>1146.8630000000001</v>
      </c>
    </row>
    <row r="862" spans="1:7" x14ac:dyDescent="0.2">
      <c r="A862" s="16" t="s">
        <v>48</v>
      </c>
      <c r="B862" s="17" t="s">
        <v>68</v>
      </c>
      <c r="C862" s="17" t="s">
        <v>8</v>
      </c>
      <c r="D862" s="17" t="s">
        <v>10</v>
      </c>
      <c r="E862" s="17" t="s">
        <v>22</v>
      </c>
      <c r="F862" s="17" t="str">
        <f>INDEX(nrg_cb_e!$A$3:$A$40,MATCH(LEFT(MID('Industriesektor GWh'!$B862,41,1000),SEARCH(" - ",MID('Industriesektor GWh'!$B862,41,1000))-1),nrg_cb_e!$C$3:$C$40,0))</f>
        <v>FC_IND_MQ_E</v>
      </c>
      <c r="G862" s="18">
        <v>1080.93</v>
      </c>
    </row>
    <row r="863" spans="1:7" x14ac:dyDescent="0.2">
      <c r="A863" s="19" t="s">
        <v>48</v>
      </c>
      <c r="B863" s="20" t="s">
        <v>68</v>
      </c>
      <c r="C863" s="20" t="s">
        <v>8</v>
      </c>
      <c r="D863" s="20" t="s">
        <v>10</v>
      </c>
      <c r="E863" s="20" t="s">
        <v>23</v>
      </c>
      <c r="F863" s="20" t="str">
        <f>INDEX(nrg_cb_e!$A$3:$A$40,MATCH(LEFT(MID('Industriesektor GWh'!$B863,41,1000),SEARCH(" - ",MID('Industriesektor GWh'!$B863,41,1000))-1),nrg_cb_e!$C$3:$C$40,0))</f>
        <v>FC_IND_MQ_E</v>
      </c>
      <c r="G863" s="21">
        <v>1827.1659999999999</v>
      </c>
    </row>
    <row r="864" spans="1:7" x14ac:dyDescent="0.2">
      <c r="A864" s="16" t="s">
        <v>48</v>
      </c>
      <c r="B864" s="17" t="s">
        <v>68</v>
      </c>
      <c r="C864" s="17" t="s">
        <v>8</v>
      </c>
      <c r="D864" s="17" t="s">
        <v>10</v>
      </c>
      <c r="E864" s="17" t="s">
        <v>24</v>
      </c>
      <c r="F864" s="17" t="str">
        <f>INDEX(nrg_cb_e!$A$3:$A$40,MATCH(LEFT(MID('Industriesektor GWh'!$B864,41,1000),SEARCH(" - ",MID('Industriesektor GWh'!$B864,41,1000))-1),nrg_cb_e!$C$3:$C$40,0))</f>
        <v>FC_IND_MQ_E</v>
      </c>
      <c r="G864" s="18">
        <v>1951.3230000000001</v>
      </c>
    </row>
    <row r="865" spans="1:7" x14ac:dyDescent="0.2">
      <c r="A865" s="19" t="s">
        <v>48</v>
      </c>
      <c r="B865" s="20" t="s">
        <v>68</v>
      </c>
      <c r="C865" s="20" t="s">
        <v>8</v>
      </c>
      <c r="D865" s="20" t="s">
        <v>10</v>
      </c>
      <c r="E865" s="20" t="s">
        <v>25</v>
      </c>
      <c r="F865" s="20" t="str">
        <f>INDEX(nrg_cb_e!$A$3:$A$40,MATCH(LEFT(MID('Industriesektor GWh'!$B865,41,1000),SEARCH(" - ",MID('Industriesektor GWh'!$B865,41,1000))-1),nrg_cb_e!$C$3:$C$40,0))</f>
        <v>FC_IND_MQ_E</v>
      </c>
      <c r="G865" s="21">
        <v>1780.028</v>
      </c>
    </row>
    <row r="866" spans="1:7" x14ac:dyDescent="0.2">
      <c r="A866" s="16" t="s">
        <v>48</v>
      </c>
      <c r="B866" s="17" t="s">
        <v>68</v>
      </c>
      <c r="C866" s="17" t="s">
        <v>8</v>
      </c>
      <c r="D866" s="17" t="s">
        <v>10</v>
      </c>
      <c r="E866" s="17" t="s">
        <v>26</v>
      </c>
      <c r="F866" s="17" t="str">
        <f>INDEX(nrg_cb_e!$A$3:$A$40,MATCH(LEFT(MID('Industriesektor GWh'!$B866,41,1000),SEARCH(" - ",MID('Industriesektor GWh'!$B866,41,1000))-1),nrg_cb_e!$C$3:$C$40,0))</f>
        <v>FC_IND_MQ_E</v>
      </c>
      <c r="G866" s="18">
        <v>1790.2049999999999</v>
      </c>
    </row>
    <row r="867" spans="1:7" x14ac:dyDescent="0.2">
      <c r="A867" s="19" t="s">
        <v>48</v>
      </c>
      <c r="B867" s="20" t="s">
        <v>68</v>
      </c>
      <c r="C867" s="20" t="s">
        <v>8</v>
      </c>
      <c r="D867" s="20" t="s">
        <v>10</v>
      </c>
      <c r="E867" s="20" t="s">
        <v>27</v>
      </c>
      <c r="F867" s="20" t="str">
        <f>INDEX(nrg_cb_e!$A$3:$A$40,MATCH(LEFT(MID('Industriesektor GWh'!$B867,41,1000),SEARCH(" - ",MID('Industriesektor GWh'!$B867,41,1000))-1),nrg_cb_e!$C$3:$C$40,0))</f>
        <v>FC_IND_MQ_E</v>
      </c>
      <c r="G867" s="21">
        <v>1984.0050000000001</v>
      </c>
    </row>
    <row r="868" spans="1:7" x14ac:dyDescent="0.2">
      <c r="A868" s="16" t="s">
        <v>48</v>
      </c>
      <c r="B868" s="17" t="s">
        <v>68</v>
      </c>
      <c r="C868" s="17" t="s">
        <v>8</v>
      </c>
      <c r="D868" s="17" t="s">
        <v>10</v>
      </c>
      <c r="E868" s="17" t="s">
        <v>28</v>
      </c>
      <c r="F868" s="17" t="str">
        <f>INDEX(nrg_cb_e!$A$3:$A$40,MATCH(LEFT(MID('Industriesektor GWh'!$B868,41,1000),SEARCH(" - ",MID('Industriesektor GWh'!$B868,41,1000))-1),nrg_cb_e!$C$3:$C$40,0))</f>
        <v>FC_IND_MQ_E</v>
      </c>
      <c r="G868" s="18">
        <v>1986.646</v>
      </c>
    </row>
    <row r="869" spans="1:7" x14ac:dyDescent="0.2">
      <c r="A869" s="19" t="s">
        <v>49</v>
      </c>
      <c r="B869" s="20" t="s">
        <v>68</v>
      </c>
      <c r="C869" s="20" t="s">
        <v>8</v>
      </c>
      <c r="D869" s="20" t="s">
        <v>10</v>
      </c>
      <c r="E869" s="20" t="s">
        <v>12</v>
      </c>
      <c r="F869" s="20" t="str">
        <f>INDEX(nrg_cb_e!$A$3:$A$40,MATCH(LEFT(MID('Industriesektor GWh'!$B869,41,1000),SEARCH(" - ",MID('Industriesektor GWh'!$B869,41,1000))-1),nrg_cb_e!$C$3:$C$40,0))</f>
        <v>FC_IND_MQ_E</v>
      </c>
      <c r="G869" s="21">
        <v>1299</v>
      </c>
    </row>
    <row r="870" spans="1:7" x14ac:dyDescent="0.2">
      <c r="A870" s="16" t="s">
        <v>49</v>
      </c>
      <c r="B870" s="17" t="s">
        <v>68</v>
      </c>
      <c r="C870" s="17" t="s">
        <v>8</v>
      </c>
      <c r="D870" s="17" t="s">
        <v>10</v>
      </c>
      <c r="E870" s="17" t="s">
        <v>13</v>
      </c>
      <c r="F870" s="17" t="str">
        <f>INDEX(nrg_cb_e!$A$3:$A$40,MATCH(LEFT(MID('Industriesektor GWh'!$B870,41,1000),SEARCH(" - ",MID('Industriesektor GWh'!$B870,41,1000))-1),nrg_cb_e!$C$3:$C$40,0))</f>
        <v>FC_IND_MQ_E</v>
      </c>
      <c r="G870" s="18">
        <v>1290</v>
      </c>
    </row>
    <row r="871" spans="1:7" x14ac:dyDescent="0.2">
      <c r="A871" s="19" t="s">
        <v>49</v>
      </c>
      <c r="B871" s="20" t="s">
        <v>68</v>
      </c>
      <c r="C871" s="20" t="s">
        <v>8</v>
      </c>
      <c r="D871" s="20" t="s">
        <v>10</v>
      </c>
      <c r="E871" s="20" t="s">
        <v>14</v>
      </c>
      <c r="F871" s="20" t="str">
        <f>INDEX(nrg_cb_e!$A$3:$A$40,MATCH(LEFT(MID('Industriesektor GWh'!$B871,41,1000),SEARCH(" - ",MID('Industriesektor GWh'!$B871,41,1000))-1),nrg_cb_e!$C$3:$C$40,0))</f>
        <v>FC_IND_MQ_E</v>
      </c>
      <c r="G871" s="21">
        <v>1329</v>
      </c>
    </row>
    <row r="872" spans="1:7" x14ac:dyDescent="0.2">
      <c r="A872" s="16" t="s">
        <v>49</v>
      </c>
      <c r="B872" s="17" t="s">
        <v>68</v>
      </c>
      <c r="C872" s="17" t="s">
        <v>8</v>
      </c>
      <c r="D872" s="17" t="s">
        <v>10</v>
      </c>
      <c r="E872" s="17" t="s">
        <v>15</v>
      </c>
      <c r="F872" s="17" t="str">
        <f>INDEX(nrg_cb_e!$A$3:$A$40,MATCH(LEFT(MID('Industriesektor GWh'!$B872,41,1000),SEARCH(" - ",MID('Industriesektor GWh'!$B872,41,1000))-1),nrg_cb_e!$C$3:$C$40,0))</f>
        <v>FC_IND_MQ_E</v>
      </c>
      <c r="G872" s="18">
        <v>1313</v>
      </c>
    </row>
    <row r="873" spans="1:7" x14ac:dyDescent="0.2">
      <c r="A873" s="19" t="s">
        <v>49</v>
      </c>
      <c r="B873" s="20" t="s">
        <v>68</v>
      </c>
      <c r="C873" s="20" t="s">
        <v>8</v>
      </c>
      <c r="D873" s="20" t="s">
        <v>10</v>
      </c>
      <c r="E873" s="20" t="s">
        <v>16</v>
      </c>
      <c r="F873" s="20" t="str">
        <f>INDEX(nrg_cb_e!$A$3:$A$40,MATCH(LEFT(MID('Industriesektor GWh'!$B873,41,1000),SEARCH(" - ",MID('Industriesektor GWh'!$B873,41,1000))-1),nrg_cb_e!$C$3:$C$40,0))</f>
        <v>FC_IND_MQ_E</v>
      </c>
      <c r="G873" s="21">
        <v>1383</v>
      </c>
    </row>
    <row r="874" spans="1:7" x14ac:dyDescent="0.2">
      <c r="A874" s="16" t="s">
        <v>49</v>
      </c>
      <c r="B874" s="17" t="s">
        <v>68</v>
      </c>
      <c r="C874" s="17" t="s">
        <v>8</v>
      </c>
      <c r="D874" s="17" t="s">
        <v>10</v>
      </c>
      <c r="E874" s="17" t="s">
        <v>17</v>
      </c>
      <c r="F874" s="17" t="str">
        <f>INDEX(nrg_cb_e!$A$3:$A$40,MATCH(LEFT(MID('Industriesektor GWh'!$B874,41,1000),SEARCH(" - ",MID('Industriesektor GWh'!$B874,41,1000))-1),nrg_cb_e!$C$3:$C$40,0))</f>
        <v>FC_IND_MQ_E</v>
      </c>
      <c r="G874" s="18">
        <v>1439</v>
      </c>
    </row>
    <row r="875" spans="1:7" x14ac:dyDescent="0.2">
      <c r="A875" s="19" t="s">
        <v>49</v>
      </c>
      <c r="B875" s="20" t="s">
        <v>68</v>
      </c>
      <c r="C875" s="20" t="s">
        <v>8</v>
      </c>
      <c r="D875" s="20" t="s">
        <v>10</v>
      </c>
      <c r="E875" s="20" t="s">
        <v>18</v>
      </c>
      <c r="F875" s="20" t="str">
        <f>INDEX(nrg_cb_e!$A$3:$A$40,MATCH(LEFT(MID('Industriesektor GWh'!$B875,41,1000),SEARCH(" - ",MID('Industriesektor GWh'!$B875,41,1000))-1),nrg_cb_e!$C$3:$C$40,0))</f>
        <v>FC_IND_MQ_E</v>
      </c>
      <c r="G875" s="21">
        <v>1421</v>
      </c>
    </row>
    <row r="876" spans="1:7" x14ac:dyDescent="0.2">
      <c r="A876" s="16" t="s">
        <v>49</v>
      </c>
      <c r="B876" s="17" t="s">
        <v>68</v>
      </c>
      <c r="C876" s="17" t="s">
        <v>8</v>
      </c>
      <c r="D876" s="17" t="s">
        <v>10</v>
      </c>
      <c r="E876" s="17" t="s">
        <v>19</v>
      </c>
      <c r="F876" s="17" t="str">
        <f>INDEX(nrg_cb_e!$A$3:$A$40,MATCH(LEFT(MID('Industriesektor GWh'!$B876,41,1000),SEARCH(" - ",MID('Industriesektor GWh'!$B876,41,1000))-1),nrg_cb_e!$C$3:$C$40,0))</f>
        <v>FC_IND_MQ_E</v>
      </c>
      <c r="G876" s="18">
        <v>1389</v>
      </c>
    </row>
    <row r="877" spans="1:7" x14ac:dyDescent="0.2">
      <c r="A877" s="19" t="s">
        <v>49</v>
      </c>
      <c r="B877" s="20" t="s">
        <v>68</v>
      </c>
      <c r="C877" s="20" t="s">
        <v>8</v>
      </c>
      <c r="D877" s="20" t="s">
        <v>10</v>
      </c>
      <c r="E877" s="20" t="s">
        <v>20</v>
      </c>
      <c r="F877" s="20" t="str">
        <f>INDEX(nrg_cb_e!$A$3:$A$40,MATCH(LEFT(MID('Industriesektor GWh'!$B877,41,1000),SEARCH(" - ",MID('Industriesektor GWh'!$B877,41,1000))-1),nrg_cb_e!$C$3:$C$40,0))</f>
        <v>FC_IND_MQ_E</v>
      </c>
      <c r="G877" s="21">
        <v>2149</v>
      </c>
    </row>
    <row r="878" spans="1:7" x14ac:dyDescent="0.2">
      <c r="A878" s="16" t="s">
        <v>49</v>
      </c>
      <c r="B878" s="17" t="s">
        <v>68</v>
      </c>
      <c r="C878" s="17" t="s">
        <v>8</v>
      </c>
      <c r="D878" s="17" t="s">
        <v>10</v>
      </c>
      <c r="E878" s="17" t="s">
        <v>21</v>
      </c>
      <c r="F878" s="17" t="str">
        <f>INDEX(nrg_cb_e!$A$3:$A$40,MATCH(LEFT(MID('Industriesektor GWh'!$B878,41,1000),SEARCH(" - ",MID('Industriesektor GWh'!$B878,41,1000))-1),nrg_cb_e!$C$3:$C$40,0))</f>
        <v>FC_IND_MQ_E</v>
      </c>
      <c r="G878" s="18">
        <v>2224</v>
      </c>
    </row>
    <row r="879" spans="1:7" x14ac:dyDescent="0.2">
      <c r="A879" s="19" t="s">
        <v>49</v>
      </c>
      <c r="B879" s="20" t="s">
        <v>68</v>
      </c>
      <c r="C879" s="20" t="s">
        <v>8</v>
      </c>
      <c r="D879" s="20" t="s">
        <v>10</v>
      </c>
      <c r="E879" s="20" t="s">
        <v>22</v>
      </c>
      <c r="F879" s="20" t="str">
        <f>INDEX(nrg_cb_e!$A$3:$A$40,MATCH(LEFT(MID('Industriesektor GWh'!$B879,41,1000),SEARCH(" - ",MID('Industriesektor GWh'!$B879,41,1000))-1),nrg_cb_e!$C$3:$C$40,0))</f>
        <v>FC_IND_MQ_E</v>
      </c>
      <c r="G879" s="21">
        <v>2191</v>
      </c>
    </row>
    <row r="880" spans="1:7" x14ac:dyDescent="0.2">
      <c r="A880" s="16" t="s">
        <v>49</v>
      </c>
      <c r="B880" s="17" t="s">
        <v>68</v>
      </c>
      <c r="C880" s="17" t="s">
        <v>8</v>
      </c>
      <c r="D880" s="17" t="s">
        <v>10</v>
      </c>
      <c r="E880" s="17" t="s">
        <v>23</v>
      </c>
      <c r="F880" s="17" t="str">
        <f>INDEX(nrg_cb_e!$A$3:$A$40,MATCH(LEFT(MID('Industriesektor GWh'!$B880,41,1000),SEARCH(" - ",MID('Industriesektor GWh'!$B880,41,1000))-1),nrg_cb_e!$C$3:$C$40,0))</f>
        <v>FC_IND_MQ_E</v>
      </c>
      <c r="G880" s="18">
        <v>2437</v>
      </c>
    </row>
    <row r="881" spans="1:7" x14ac:dyDescent="0.2">
      <c r="A881" s="19" t="s">
        <v>49</v>
      </c>
      <c r="B881" s="20" t="s">
        <v>68</v>
      </c>
      <c r="C881" s="20" t="s">
        <v>8</v>
      </c>
      <c r="D881" s="20" t="s">
        <v>10</v>
      </c>
      <c r="E881" s="20" t="s">
        <v>24</v>
      </c>
      <c r="F881" s="20" t="str">
        <f>INDEX(nrg_cb_e!$A$3:$A$40,MATCH(LEFT(MID('Industriesektor GWh'!$B881,41,1000),SEARCH(" - ",MID('Industriesektor GWh'!$B881,41,1000))-1),nrg_cb_e!$C$3:$C$40,0))</f>
        <v>FC_IND_MQ_E</v>
      </c>
      <c r="G881" s="21">
        <v>2387</v>
      </c>
    </row>
    <row r="882" spans="1:7" x14ac:dyDescent="0.2">
      <c r="A882" s="16" t="s">
        <v>49</v>
      </c>
      <c r="B882" s="17" t="s">
        <v>68</v>
      </c>
      <c r="C882" s="17" t="s">
        <v>8</v>
      </c>
      <c r="D882" s="17" t="s">
        <v>10</v>
      </c>
      <c r="E882" s="17" t="s">
        <v>25</v>
      </c>
      <c r="F882" s="17" t="str">
        <f>INDEX(nrg_cb_e!$A$3:$A$40,MATCH(LEFT(MID('Industriesektor GWh'!$B882,41,1000),SEARCH(" - ",MID('Industriesektor GWh'!$B882,41,1000))-1),nrg_cb_e!$C$3:$C$40,0))</f>
        <v>FC_IND_MQ_E</v>
      </c>
      <c r="G882" s="18">
        <v>2612</v>
      </c>
    </row>
    <row r="883" spans="1:7" x14ac:dyDescent="0.2">
      <c r="A883" s="19" t="s">
        <v>49</v>
      </c>
      <c r="B883" s="20" t="s">
        <v>68</v>
      </c>
      <c r="C883" s="20" t="s">
        <v>8</v>
      </c>
      <c r="D883" s="20" t="s">
        <v>10</v>
      </c>
      <c r="E883" s="20" t="s">
        <v>26</v>
      </c>
      <c r="F883" s="20" t="str">
        <f>INDEX(nrg_cb_e!$A$3:$A$40,MATCH(LEFT(MID('Industriesektor GWh'!$B883,41,1000),SEARCH(" - ",MID('Industriesektor GWh'!$B883,41,1000))-1),nrg_cb_e!$C$3:$C$40,0))</f>
        <v>FC_IND_MQ_E</v>
      </c>
      <c r="G883" s="21">
        <v>2704</v>
      </c>
    </row>
    <row r="884" spans="1:7" x14ac:dyDescent="0.2">
      <c r="A884" s="16" t="s">
        <v>49</v>
      </c>
      <c r="B884" s="17" t="s">
        <v>68</v>
      </c>
      <c r="C884" s="17" t="s">
        <v>8</v>
      </c>
      <c r="D884" s="17" t="s">
        <v>10</v>
      </c>
      <c r="E884" s="17" t="s">
        <v>27</v>
      </c>
      <c r="F884" s="17" t="str">
        <f>INDEX(nrg_cb_e!$A$3:$A$40,MATCH(LEFT(MID('Industriesektor GWh'!$B884,41,1000),SEARCH(" - ",MID('Industriesektor GWh'!$B884,41,1000))-1),nrg_cb_e!$C$3:$C$40,0))</f>
        <v>FC_IND_MQ_E</v>
      </c>
      <c r="G884" s="18">
        <v>2763.002</v>
      </c>
    </row>
    <row r="885" spans="1:7" x14ac:dyDescent="0.2">
      <c r="A885" s="19" t="s">
        <v>49</v>
      </c>
      <c r="B885" s="20" t="s">
        <v>68</v>
      </c>
      <c r="C885" s="20" t="s">
        <v>8</v>
      </c>
      <c r="D885" s="20" t="s">
        <v>10</v>
      </c>
      <c r="E885" s="20" t="s">
        <v>28</v>
      </c>
      <c r="F885" s="20" t="str">
        <f>INDEX(nrg_cb_e!$A$3:$A$40,MATCH(LEFT(MID('Industriesektor GWh'!$B885,41,1000),SEARCH(" - ",MID('Industriesektor GWh'!$B885,41,1000))-1),nrg_cb_e!$C$3:$C$40,0))</f>
        <v>FC_IND_MQ_E</v>
      </c>
      <c r="G885" s="21">
        <v>2817.4879999999998</v>
      </c>
    </row>
    <row r="886" spans="1:7" x14ac:dyDescent="0.2">
      <c r="A886" s="16" t="s">
        <v>50</v>
      </c>
      <c r="B886" s="17" t="s">
        <v>68</v>
      </c>
      <c r="C886" s="17" t="s">
        <v>8</v>
      </c>
      <c r="D886" s="17" t="s">
        <v>10</v>
      </c>
      <c r="E886" s="17" t="s">
        <v>12</v>
      </c>
      <c r="F886" s="17" t="str">
        <f>INDEX(nrg_cb_e!$A$3:$A$40,MATCH(LEFT(MID('Industriesektor GWh'!$B886,41,1000),SEARCH(" - ",MID('Industriesektor GWh'!$B886,41,1000))-1),nrg_cb_e!$C$3:$C$40,0))</f>
        <v>FC_IND_MQ_E</v>
      </c>
      <c r="G886" s="18">
        <v>440</v>
      </c>
    </row>
    <row r="887" spans="1:7" x14ac:dyDescent="0.2">
      <c r="A887" s="19" t="s">
        <v>50</v>
      </c>
      <c r="B887" s="20" t="s">
        <v>68</v>
      </c>
      <c r="C887" s="20" t="s">
        <v>8</v>
      </c>
      <c r="D887" s="20" t="s">
        <v>10</v>
      </c>
      <c r="E887" s="20" t="s">
        <v>13</v>
      </c>
      <c r="F887" s="20" t="str">
        <f>INDEX(nrg_cb_e!$A$3:$A$40,MATCH(LEFT(MID('Industriesektor GWh'!$B887,41,1000),SEARCH(" - ",MID('Industriesektor GWh'!$B887,41,1000))-1),nrg_cb_e!$C$3:$C$40,0))</f>
        <v>FC_IND_MQ_E</v>
      </c>
      <c r="G887" s="21">
        <v>456</v>
      </c>
    </row>
    <row r="888" spans="1:7" x14ac:dyDescent="0.2">
      <c r="A888" s="16" t="s">
        <v>50</v>
      </c>
      <c r="B888" s="17" t="s">
        <v>68</v>
      </c>
      <c r="C888" s="17" t="s">
        <v>8</v>
      </c>
      <c r="D888" s="17" t="s">
        <v>10</v>
      </c>
      <c r="E888" s="17" t="s">
        <v>14</v>
      </c>
      <c r="F888" s="17" t="str">
        <f>INDEX(nrg_cb_e!$A$3:$A$40,MATCH(LEFT(MID('Industriesektor GWh'!$B888,41,1000),SEARCH(" - ",MID('Industriesektor GWh'!$B888,41,1000))-1),nrg_cb_e!$C$3:$C$40,0))</f>
        <v>FC_IND_MQ_E</v>
      </c>
      <c r="G888" s="18">
        <v>480</v>
      </c>
    </row>
    <row r="889" spans="1:7" x14ac:dyDescent="0.2">
      <c r="A889" s="19" t="s">
        <v>50</v>
      </c>
      <c r="B889" s="20" t="s">
        <v>68</v>
      </c>
      <c r="C889" s="20" t="s">
        <v>8</v>
      </c>
      <c r="D889" s="20" t="s">
        <v>10</v>
      </c>
      <c r="E889" s="20" t="s">
        <v>15</v>
      </c>
      <c r="F889" s="20" t="str">
        <f>INDEX(nrg_cb_e!$A$3:$A$40,MATCH(LEFT(MID('Industriesektor GWh'!$B889,41,1000),SEARCH(" - ",MID('Industriesektor GWh'!$B889,41,1000))-1),nrg_cb_e!$C$3:$C$40,0))</f>
        <v>FC_IND_MQ_E</v>
      </c>
      <c r="G889" s="21">
        <v>483</v>
      </c>
    </row>
    <row r="890" spans="1:7" x14ac:dyDescent="0.2">
      <c r="A890" s="16" t="s">
        <v>50</v>
      </c>
      <c r="B890" s="17" t="s">
        <v>68</v>
      </c>
      <c r="C890" s="17" t="s">
        <v>8</v>
      </c>
      <c r="D890" s="17" t="s">
        <v>10</v>
      </c>
      <c r="E890" s="17" t="s">
        <v>16</v>
      </c>
      <c r="F890" s="17" t="str">
        <f>INDEX(nrg_cb_e!$A$3:$A$40,MATCH(LEFT(MID('Industriesektor GWh'!$B890,41,1000),SEARCH(" - ",MID('Industriesektor GWh'!$B890,41,1000))-1),nrg_cb_e!$C$3:$C$40,0))</f>
        <v>FC_IND_MQ_E</v>
      </c>
      <c r="G890" s="18">
        <v>526</v>
      </c>
    </row>
    <row r="891" spans="1:7" x14ac:dyDescent="0.2">
      <c r="A891" s="19" t="s">
        <v>50</v>
      </c>
      <c r="B891" s="20" t="s">
        <v>68</v>
      </c>
      <c r="C891" s="20" t="s">
        <v>8</v>
      </c>
      <c r="D891" s="20" t="s">
        <v>10</v>
      </c>
      <c r="E891" s="20" t="s">
        <v>17</v>
      </c>
      <c r="F891" s="20" t="str">
        <f>INDEX(nrg_cb_e!$A$3:$A$40,MATCH(LEFT(MID('Industriesektor GWh'!$B891,41,1000),SEARCH(" - ",MID('Industriesektor GWh'!$B891,41,1000))-1),nrg_cb_e!$C$3:$C$40,0))</f>
        <v>FC_IND_MQ_E</v>
      </c>
      <c r="G891" s="21">
        <v>526</v>
      </c>
    </row>
    <row r="892" spans="1:7" x14ac:dyDescent="0.2">
      <c r="A892" s="16" t="s">
        <v>50</v>
      </c>
      <c r="B892" s="17" t="s">
        <v>68</v>
      </c>
      <c r="C892" s="17" t="s">
        <v>8</v>
      </c>
      <c r="D892" s="17" t="s">
        <v>10</v>
      </c>
      <c r="E892" s="17" t="s">
        <v>18</v>
      </c>
      <c r="F892" s="17" t="str">
        <f>INDEX(nrg_cb_e!$A$3:$A$40,MATCH(LEFT(MID('Industriesektor GWh'!$B892,41,1000),SEARCH(" - ",MID('Industriesektor GWh'!$B892,41,1000))-1),nrg_cb_e!$C$3:$C$40,0))</f>
        <v>FC_IND_MQ_E</v>
      </c>
      <c r="G892" s="18">
        <v>556</v>
      </c>
    </row>
    <row r="893" spans="1:7" x14ac:dyDescent="0.2">
      <c r="A893" s="19" t="s">
        <v>50</v>
      </c>
      <c r="B893" s="20" t="s">
        <v>68</v>
      </c>
      <c r="C893" s="20" t="s">
        <v>8</v>
      </c>
      <c r="D893" s="20" t="s">
        <v>10</v>
      </c>
      <c r="E893" s="20" t="s">
        <v>19</v>
      </c>
      <c r="F893" s="20" t="str">
        <f>INDEX(nrg_cb_e!$A$3:$A$40,MATCH(LEFT(MID('Industriesektor GWh'!$B893,41,1000),SEARCH(" - ",MID('Industriesektor GWh'!$B893,41,1000))-1),nrg_cb_e!$C$3:$C$40,0))</f>
        <v>FC_IND_MQ_E</v>
      </c>
      <c r="G893" s="21">
        <v>516</v>
      </c>
    </row>
    <row r="894" spans="1:7" x14ac:dyDescent="0.2">
      <c r="A894" s="16" t="s">
        <v>50</v>
      </c>
      <c r="B894" s="17" t="s">
        <v>68</v>
      </c>
      <c r="C894" s="17" t="s">
        <v>8</v>
      </c>
      <c r="D894" s="17" t="s">
        <v>10</v>
      </c>
      <c r="E894" s="17" t="s">
        <v>20</v>
      </c>
      <c r="F894" s="17" t="str">
        <f>INDEX(nrg_cb_e!$A$3:$A$40,MATCH(LEFT(MID('Industriesektor GWh'!$B894,41,1000),SEARCH(" - ",MID('Industriesektor GWh'!$B894,41,1000))-1),nrg_cb_e!$C$3:$C$40,0))</f>
        <v>FC_IND_MQ_E</v>
      </c>
      <c r="G894" s="18">
        <v>555</v>
      </c>
    </row>
    <row r="895" spans="1:7" x14ac:dyDescent="0.2">
      <c r="A895" s="19" t="s">
        <v>50</v>
      </c>
      <c r="B895" s="20" t="s">
        <v>68</v>
      </c>
      <c r="C895" s="20" t="s">
        <v>8</v>
      </c>
      <c r="D895" s="20" t="s">
        <v>10</v>
      </c>
      <c r="E895" s="20" t="s">
        <v>21</v>
      </c>
      <c r="F895" s="20" t="str">
        <f>INDEX(nrg_cb_e!$A$3:$A$40,MATCH(LEFT(MID('Industriesektor GWh'!$B895,41,1000),SEARCH(" - ",MID('Industriesektor GWh'!$B895,41,1000))-1),nrg_cb_e!$C$3:$C$40,0))</f>
        <v>FC_IND_MQ_E</v>
      </c>
      <c r="G895" s="21">
        <v>579</v>
      </c>
    </row>
    <row r="896" spans="1:7" x14ac:dyDescent="0.2">
      <c r="A896" s="16" t="s">
        <v>50</v>
      </c>
      <c r="B896" s="17" t="s">
        <v>68</v>
      </c>
      <c r="C896" s="17" t="s">
        <v>8</v>
      </c>
      <c r="D896" s="17" t="s">
        <v>10</v>
      </c>
      <c r="E896" s="17" t="s">
        <v>22</v>
      </c>
      <c r="F896" s="17" t="str">
        <f>INDEX(nrg_cb_e!$A$3:$A$40,MATCH(LEFT(MID('Industriesektor GWh'!$B896,41,1000),SEARCH(" - ",MID('Industriesektor GWh'!$B896,41,1000))-1),nrg_cb_e!$C$3:$C$40,0))</f>
        <v>FC_IND_MQ_E</v>
      </c>
      <c r="G896" s="18">
        <v>566</v>
      </c>
    </row>
    <row r="897" spans="1:7" x14ac:dyDescent="0.2">
      <c r="A897" s="19" t="s">
        <v>50</v>
      </c>
      <c r="B897" s="20" t="s">
        <v>68</v>
      </c>
      <c r="C897" s="20" t="s">
        <v>8</v>
      </c>
      <c r="D897" s="20" t="s">
        <v>10</v>
      </c>
      <c r="E897" s="20" t="s">
        <v>23</v>
      </c>
      <c r="F897" s="20" t="str">
        <f>INDEX(nrg_cb_e!$A$3:$A$40,MATCH(LEFT(MID('Industriesektor GWh'!$B897,41,1000),SEARCH(" - ",MID('Industriesektor GWh'!$B897,41,1000))-1),nrg_cb_e!$C$3:$C$40,0))</f>
        <v>FC_IND_MQ_E</v>
      </c>
      <c r="G897" s="21">
        <v>591</v>
      </c>
    </row>
    <row r="898" spans="1:7" x14ac:dyDescent="0.2">
      <c r="A898" s="16" t="s">
        <v>50</v>
      </c>
      <c r="B898" s="17" t="s">
        <v>68</v>
      </c>
      <c r="C898" s="17" t="s">
        <v>8</v>
      </c>
      <c r="D898" s="17" t="s">
        <v>10</v>
      </c>
      <c r="E898" s="17" t="s">
        <v>24</v>
      </c>
      <c r="F898" s="17" t="str">
        <f>INDEX(nrg_cb_e!$A$3:$A$40,MATCH(LEFT(MID('Industriesektor GWh'!$B898,41,1000),SEARCH(" - ",MID('Industriesektor GWh'!$B898,41,1000))-1),nrg_cb_e!$C$3:$C$40,0))</f>
        <v>FC_IND_MQ_E</v>
      </c>
      <c r="G898" s="18">
        <v>613</v>
      </c>
    </row>
    <row r="899" spans="1:7" x14ac:dyDescent="0.2">
      <c r="A899" s="19" t="s">
        <v>50</v>
      </c>
      <c r="B899" s="20" t="s">
        <v>68</v>
      </c>
      <c r="C899" s="20" t="s">
        <v>8</v>
      </c>
      <c r="D899" s="20" t="s">
        <v>10</v>
      </c>
      <c r="E899" s="20" t="s">
        <v>25</v>
      </c>
      <c r="F899" s="20" t="str">
        <f>INDEX(nrg_cb_e!$A$3:$A$40,MATCH(LEFT(MID('Industriesektor GWh'!$B899,41,1000),SEARCH(" - ",MID('Industriesektor GWh'!$B899,41,1000))-1),nrg_cb_e!$C$3:$C$40,0))</f>
        <v>FC_IND_MQ_E</v>
      </c>
      <c r="G899" s="21">
        <v>631</v>
      </c>
    </row>
    <row r="900" spans="1:7" x14ac:dyDescent="0.2">
      <c r="A900" s="16" t="s">
        <v>50</v>
      </c>
      <c r="B900" s="17" t="s">
        <v>68</v>
      </c>
      <c r="C900" s="17" t="s">
        <v>8</v>
      </c>
      <c r="D900" s="17" t="s">
        <v>10</v>
      </c>
      <c r="E900" s="17" t="s">
        <v>26</v>
      </c>
      <c r="F900" s="17" t="str">
        <f>INDEX(nrg_cb_e!$A$3:$A$40,MATCH(LEFT(MID('Industriesektor GWh'!$B900,41,1000),SEARCH(" - ",MID('Industriesektor GWh'!$B900,41,1000))-1),nrg_cb_e!$C$3:$C$40,0))</f>
        <v>FC_IND_MQ_E</v>
      </c>
      <c r="G900" s="18">
        <v>435.5</v>
      </c>
    </row>
    <row r="901" spans="1:7" x14ac:dyDescent="0.2">
      <c r="A901" s="19" t="s">
        <v>50</v>
      </c>
      <c r="B901" s="20" t="s">
        <v>68</v>
      </c>
      <c r="C901" s="20" t="s">
        <v>8</v>
      </c>
      <c r="D901" s="20" t="s">
        <v>10</v>
      </c>
      <c r="E901" s="20" t="s">
        <v>27</v>
      </c>
      <c r="F901" s="20" t="str">
        <f>INDEX(nrg_cb_e!$A$3:$A$40,MATCH(LEFT(MID('Industriesektor GWh'!$B901,41,1000),SEARCH(" - ",MID('Industriesektor GWh'!$B901,41,1000))-1),nrg_cb_e!$C$3:$C$40,0))</f>
        <v>FC_IND_MQ_E</v>
      </c>
      <c r="G901" s="21">
        <v>427.245</v>
      </c>
    </row>
    <row r="902" spans="1:7" x14ac:dyDescent="0.2">
      <c r="A902" s="16" t="s">
        <v>50</v>
      </c>
      <c r="B902" s="17" t="s">
        <v>68</v>
      </c>
      <c r="C902" s="17" t="s">
        <v>8</v>
      </c>
      <c r="D902" s="17" t="s">
        <v>10</v>
      </c>
      <c r="E902" s="17" t="s">
        <v>28</v>
      </c>
      <c r="F902" s="17" t="str">
        <f>INDEX(nrg_cb_e!$A$3:$A$40,MATCH(LEFT(MID('Industriesektor GWh'!$B902,41,1000),SEARCH(" - ",MID('Industriesektor GWh'!$B902,41,1000))-1),nrg_cb_e!$C$3:$C$40,0))</f>
        <v>FC_IND_MQ_E</v>
      </c>
      <c r="G902" s="18">
        <v>440.27100000000002</v>
      </c>
    </row>
    <row r="903" spans="1:7" x14ac:dyDescent="0.2">
      <c r="A903" s="19" t="s">
        <v>51</v>
      </c>
      <c r="B903" s="20" t="s">
        <v>68</v>
      </c>
      <c r="C903" s="20" t="s">
        <v>8</v>
      </c>
      <c r="D903" s="20" t="s">
        <v>10</v>
      </c>
      <c r="E903" s="20" t="s">
        <v>12</v>
      </c>
      <c r="F903" s="20" t="str">
        <f>INDEX(nrg_cb_e!$A$3:$A$40,MATCH(LEFT(MID('Industriesektor GWh'!$B903,41,1000),SEARCH(" - ",MID('Industriesektor GWh'!$B903,41,1000))-1),nrg_cb_e!$C$3:$C$40,0))</f>
        <v>FC_IND_MQ_E</v>
      </c>
      <c r="G903" s="21">
        <v>614</v>
      </c>
    </row>
    <row r="904" spans="1:7" x14ac:dyDescent="0.2">
      <c r="A904" s="16" t="s">
        <v>51</v>
      </c>
      <c r="B904" s="17" t="s">
        <v>68</v>
      </c>
      <c r="C904" s="17" t="s">
        <v>8</v>
      </c>
      <c r="D904" s="17" t="s">
        <v>10</v>
      </c>
      <c r="E904" s="17" t="s">
        <v>13</v>
      </c>
      <c r="F904" s="17" t="str">
        <f>INDEX(nrg_cb_e!$A$3:$A$40,MATCH(LEFT(MID('Industriesektor GWh'!$B904,41,1000),SEARCH(" - ",MID('Industriesektor GWh'!$B904,41,1000))-1),nrg_cb_e!$C$3:$C$40,0))</f>
        <v>FC_IND_MQ_E</v>
      </c>
      <c r="G904" s="18">
        <v>593</v>
      </c>
    </row>
    <row r="905" spans="1:7" x14ac:dyDescent="0.2">
      <c r="A905" s="19" t="s">
        <v>51</v>
      </c>
      <c r="B905" s="20" t="s">
        <v>68</v>
      </c>
      <c r="C905" s="20" t="s">
        <v>8</v>
      </c>
      <c r="D905" s="20" t="s">
        <v>10</v>
      </c>
      <c r="E905" s="20" t="s">
        <v>14</v>
      </c>
      <c r="F905" s="20" t="str">
        <f>INDEX(nrg_cb_e!$A$3:$A$40,MATCH(LEFT(MID('Industriesektor GWh'!$B905,41,1000),SEARCH(" - ",MID('Industriesektor GWh'!$B905,41,1000))-1),nrg_cb_e!$C$3:$C$40,0))</f>
        <v>FC_IND_MQ_E</v>
      </c>
      <c r="G905" s="21">
        <v>504</v>
      </c>
    </row>
    <row r="906" spans="1:7" x14ac:dyDescent="0.2">
      <c r="A906" s="16" t="s">
        <v>51</v>
      </c>
      <c r="B906" s="17" t="s">
        <v>68</v>
      </c>
      <c r="C906" s="17" t="s">
        <v>8</v>
      </c>
      <c r="D906" s="17" t="s">
        <v>10</v>
      </c>
      <c r="E906" s="17" t="s">
        <v>15</v>
      </c>
      <c r="F906" s="17" t="str">
        <f>INDEX(nrg_cb_e!$A$3:$A$40,MATCH(LEFT(MID('Industriesektor GWh'!$B906,41,1000),SEARCH(" - ",MID('Industriesektor GWh'!$B906,41,1000))-1),nrg_cb_e!$C$3:$C$40,0))</f>
        <v>FC_IND_MQ_E</v>
      </c>
      <c r="G906" s="18">
        <v>520</v>
      </c>
    </row>
    <row r="907" spans="1:7" x14ac:dyDescent="0.2">
      <c r="A907" s="19" t="s">
        <v>51</v>
      </c>
      <c r="B907" s="20" t="s">
        <v>68</v>
      </c>
      <c r="C907" s="20" t="s">
        <v>8</v>
      </c>
      <c r="D907" s="20" t="s">
        <v>10</v>
      </c>
      <c r="E907" s="20" t="s">
        <v>16</v>
      </c>
      <c r="F907" s="20" t="str">
        <f>INDEX(nrg_cb_e!$A$3:$A$40,MATCH(LEFT(MID('Industriesektor GWh'!$B907,41,1000),SEARCH(" - ",MID('Industriesektor GWh'!$B907,41,1000))-1),nrg_cb_e!$C$3:$C$40,0))</f>
        <v>FC_IND_MQ_E</v>
      </c>
      <c r="G907" s="21">
        <v>343</v>
      </c>
    </row>
    <row r="908" spans="1:7" x14ac:dyDescent="0.2">
      <c r="A908" s="16" t="s">
        <v>51</v>
      </c>
      <c r="B908" s="17" t="s">
        <v>68</v>
      </c>
      <c r="C908" s="17" t="s">
        <v>8</v>
      </c>
      <c r="D908" s="17" t="s">
        <v>10</v>
      </c>
      <c r="E908" s="17" t="s">
        <v>17</v>
      </c>
      <c r="F908" s="17" t="str">
        <f>INDEX(nrg_cb_e!$A$3:$A$40,MATCH(LEFT(MID('Industriesektor GWh'!$B908,41,1000),SEARCH(" - ",MID('Industriesektor GWh'!$B908,41,1000))-1),nrg_cb_e!$C$3:$C$40,0))</f>
        <v>FC_IND_MQ_E</v>
      </c>
      <c r="G908" s="18">
        <v>145</v>
      </c>
    </row>
    <row r="909" spans="1:7" x14ac:dyDescent="0.2">
      <c r="A909" s="19" t="s">
        <v>51</v>
      </c>
      <c r="B909" s="20" t="s">
        <v>68</v>
      </c>
      <c r="C909" s="20" t="s">
        <v>8</v>
      </c>
      <c r="D909" s="20" t="s">
        <v>10</v>
      </c>
      <c r="E909" s="20" t="s">
        <v>18</v>
      </c>
      <c r="F909" s="20" t="str">
        <f>INDEX(nrg_cb_e!$A$3:$A$40,MATCH(LEFT(MID('Industriesektor GWh'!$B909,41,1000),SEARCH(" - ",MID('Industriesektor GWh'!$B909,41,1000))-1),nrg_cb_e!$C$3:$C$40,0))</f>
        <v>FC_IND_MQ_E</v>
      </c>
      <c r="G909" s="21">
        <v>151</v>
      </c>
    </row>
    <row r="910" spans="1:7" x14ac:dyDescent="0.2">
      <c r="A910" s="16" t="s">
        <v>51</v>
      </c>
      <c r="B910" s="17" t="s">
        <v>68</v>
      </c>
      <c r="C910" s="17" t="s">
        <v>8</v>
      </c>
      <c r="D910" s="17" t="s">
        <v>10</v>
      </c>
      <c r="E910" s="17" t="s">
        <v>19</v>
      </c>
      <c r="F910" s="17" t="str">
        <f>INDEX(nrg_cb_e!$A$3:$A$40,MATCH(LEFT(MID('Industriesektor GWh'!$B910,41,1000),SEARCH(" - ",MID('Industriesektor GWh'!$B910,41,1000))-1),nrg_cb_e!$C$3:$C$40,0))</f>
        <v>FC_IND_MQ_E</v>
      </c>
      <c r="G910" s="18">
        <v>175</v>
      </c>
    </row>
    <row r="911" spans="1:7" x14ac:dyDescent="0.2">
      <c r="A911" s="19" t="s">
        <v>51</v>
      </c>
      <c r="B911" s="20" t="s">
        <v>68</v>
      </c>
      <c r="C911" s="20" t="s">
        <v>8</v>
      </c>
      <c r="D911" s="20" t="s">
        <v>10</v>
      </c>
      <c r="E911" s="20" t="s">
        <v>20</v>
      </c>
      <c r="F911" s="20" t="str">
        <f>INDEX(nrg_cb_e!$A$3:$A$40,MATCH(LEFT(MID('Industriesektor GWh'!$B911,41,1000),SEARCH(" - ",MID('Industriesektor GWh'!$B911,41,1000))-1),nrg_cb_e!$C$3:$C$40,0))</f>
        <v>FC_IND_MQ_E</v>
      </c>
      <c r="G911" s="21">
        <v>250</v>
      </c>
    </row>
    <row r="912" spans="1:7" x14ac:dyDescent="0.2">
      <c r="A912" s="16" t="s">
        <v>51</v>
      </c>
      <c r="B912" s="17" t="s">
        <v>68</v>
      </c>
      <c r="C912" s="17" t="s">
        <v>8</v>
      </c>
      <c r="D912" s="17" t="s">
        <v>10</v>
      </c>
      <c r="E912" s="17" t="s">
        <v>21</v>
      </c>
      <c r="F912" s="17" t="str">
        <f>INDEX(nrg_cb_e!$A$3:$A$40,MATCH(LEFT(MID('Industriesektor GWh'!$B912,41,1000),SEARCH(" - ",MID('Industriesektor GWh'!$B912,41,1000))-1),nrg_cb_e!$C$3:$C$40,0))</f>
        <v>FC_IND_MQ_E</v>
      </c>
      <c r="G912" s="18">
        <v>245</v>
      </c>
    </row>
    <row r="913" spans="1:7" x14ac:dyDescent="0.2">
      <c r="A913" s="19" t="s">
        <v>51</v>
      </c>
      <c r="B913" s="20" t="s">
        <v>68</v>
      </c>
      <c r="C913" s="20" t="s">
        <v>8</v>
      </c>
      <c r="D913" s="20" t="s">
        <v>10</v>
      </c>
      <c r="E913" s="20" t="s">
        <v>22</v>
      </c>
      <c r="F913" s="20" t="str">
        <f>INDEX(nrg_cb_e!$A$3:$A$40,MATCH(LEFT(MID('Industriesektor GWh'!$B913,41,1000),SEARCH(" - ",MID('Industriesektor GWh'!$B913,41,1000))-1),nrg_cb_e!$C$3:$C$40,0))</f>
        <v>FC_IND_MQ_E</v>
      </c>
      <c r="G913" s="21">
        <v>227</v>
      </c>
    </row>
    <row r="914" spans="1:7" x14ac:dyDescent="0.2">
      <c r="A914" s="16" t="s">
        <v>51</v>
      </c>
      <c r="B914" s="17" t="s">
        <v>68</v>
      </c>
      <c r="C914" s="17" t="s">
        <v>8</v>
      </c>
      <c r="D914" s="17" t="s">
        <v>10</v>
      </c>
      <c r="E914" s="17" t="s">
        <v>23</v>
      </c>
      <c r="F914" s="17" t="str">
        <f>INDEX(nrg_cb_e!$A$3:$A$40,MATCH(LEFT(MID('Industriesektor GWh'!$B914,41,1000),SEARCH(" - ",MID('Industriesektor GWh'!$B914,41,1000))-1),nrg_cb_e!$C$3:$C$40,0))</f>
        <v>FC_IND_MQ_E</v>
      </c>
      <c r="G914" s="18">
        <v>234</v>
      </c>
    </row>
    <row r="915" spans="1:7" x14ac:dyDescent="0.2">
      <c r="A915" s="19" t="s">
        <v>51</v>
      </c>
      <c r="B915" s="20" t="s">
        <v>68</v>
      </c>
      <c r="C915" s="20" t="s">
        <v>8</v>
      </c>
      <c r="D915" s="20" t="s">
        <v>10</v>
      </c>
      <c r="E915" s="20" t="s">
        <v>24</v>
      </c>
      <c r="F915" s="20" t="str">
        <f>INDEX(nrg_cb_e!$A$3:$A$40,MATCH(LEFT(MID('Industriesektor GWh'!$B915,41,1000),SEARCH(" - ",MID('Industriesektor GWh'!$B915,41,1000))-1),nrg_cb_e!$C$3:$C$40,0))</f>
        <v>FC_IND_MQ_E</v>
      </c>
      <c r="G915" s="21">
        <v>200</v>
      </c>
    </row>
    <row r="916" spans="1:7" x14ac:dyDescent="0.2">
      <c r="A916" s="16" t="s">
        <v>51</v>
      </c>
      <c r="B916" s="17" t="s">
        <v>68</v>
      </c>
      <c r="C916" s="17" t="s">
        <v>8</v>
      </c>
      <c r="D916" s="17" t="s">
        <v>10</v>
      </c>
      <c r="E916" s="17" t="s">
        <v>25</v>
      </c>
      <c r="F916" s="17" t="str">
        <f>INDEX(nrg_cb_e!$A$3:$A$40,MATCH(LEFT(MID('Industriesektor GWh'!$B916,41,1000),SEARCH(" - ",MID('Industriesektor GWh'!$B916,41,1000))-1),nrg_cb_e!$C$3:$C$40,0))</f>
        <v>FC_IND_MQ_E</v>
      </c>
      <c r="G916" s="18">
        <v>226</v>
      </c>
    </row>
    <row r="917" spans="1:7" x14ac:dyDescent="0.2">
      <c r="A917" s="19" t="s">
        <v>51</v>
      </c>
      <c r="B917" s="20" t="s">
        <v>68</v>
      </c>
      <c r="C917" s="20" t="s">
        <v>8</v>
      </c>
      <c r="D917" s="20" t="s">
        <v>10</v>
      </c>
      <c r="E917" s="20" t="s">
        <v>26</v>
      </c>
      <c r="F917" s="20" t="str">
        <f>INDEX(nrg_cb_e!$A$3:$A$40,MATCH(LEFT(MID('Industriesektor GWh'!$B917,41,1000),SEARCH(" - ",MID('Industriesektor GWh'!$B917,41,1000))-1),nrg_cb_e!$C$3:$C$40,0))</f>
        <v>FC_IND_MQ_E</v>
      </c>
      <c r="G917" s="21">
        <v>250</v>
      </c>
    </row>
    <row r="918" spans="1:7" x14ac:dyDescent="0.2">
      <c r="A918" s="16" t="s">
        <v>51</v>
      </c>
      <c r="B918" s="17" t="s">
        <v>68</v>
      </c>
      <c r="C918" s="17" t="s">
        <v>8</v>
      </c>
      <c r="D918" s="17" t="s">
        <v>10</v>
      </c>
      <c r="E918" s="17" t="s">
        <v>27</v>
      </c>
      <c r="F918" s="17" t="str">
        <f>INDEX(nrg_cb_e!$A$3:$A$40,MATCH(LEFT(MID('Industriesektor GWh'!$B918,41,1000),SEARCH(" - ",MID('Industriesektor GWh'!$B918,41,1000))-1),nrg_cb_e!$C$3:$C$40,0))</f>
        <v>FC_IND_MQ_E</v>
      </c>
      <c r="G918" s="18">
        <v>263.65100000000001</v>
      </c>
    </row>
    <row r="919" spans="1:7" x14ac:dyDescent="0.2">
      <c r="A919" s="19" t="s">
        <v>51</v>
      </c>
      <c r="B919" s="20" t="s">
        <v>68</v>
      </c>
      <c r="C919" s="20" t="s">
        <v>8</v>
      </c>
      <c r="D919" s="20" t="s">
        <v>10</v>
      </c>
      <c r="E919" s="20" t="s">
        <v>28</v>
      </c>
      <c r="F919" s="20" t="str">
        <f>INDEX(nrg_cb_e!$A$3:$A$40,MATCH(LEFT(MID('Industriesektor GWh'!$B919,41,1000),SEARCH(" - ",MID('Industriesektor GWh'!$B919,41,1000))-1),nrg_cb_e!$C$3:$C$40,0))</f>
        <v>FC_IND_MQ_E</v>
      </c>
      <c r="G919" s="21">
        <v>247.52</v>
      </c>
    </row>
    <row r="920" spans="1:7" x14ac:dyDescent="0.2">
      <c r="A920" s="16" t="s">
        <v>52</v>
      </c>
      <c r="B920" s="17" t="s">
        <v>68</v>
      </c>
      <c r="C920" s="17" t="s">
        <v>8</v>
      </c>
      <c r="D920" s="17" t="s">
        <v>10</v>
      </c>
      <c r="E920" s="17" t="s">
        <v>12</v>
      </c>
      <c r="F920" s="17" t="str">
        <f>INDEX(nrg_cb_e!$A$3:$A$40,MATCH(LEFT(MID('Industriesektor GWh'!$B920,41,1000),SEARCH(" - ",MID('Industriesektor GWh'!$B920,41,1000))-1),nrg_cb_e!$C$3:$C$40,0))</f>
        <v>FC_IND_MQ_E</v>
      </c>
      <c r="G920" s="18">
        <v>36</v>
      </c>
    </row>
    <row r="921" spans="1:7" x14ac:dyDescent="0.2">
      <c r="A921" s="19" t="s">
        <v>52</v>
      </c>
      <c r="B921" s="20" t="s">
        <v>68</v>
      </c>
      <c r="C921" s="20" t="s">
        <v>8</v>
      </c>
      <c r="D921" s="20" t="s">
        <v>10</v>
      </c>
      <c r="E921" s="20" t="s">
        <v>13</v>
      </c>
      <c r="F921" s="20" t="str">
        <f>INDEX(nrg_cb_e!$A$3:$A$40,MATCH(LEFT(MID('Industriesektor GWh'!$B921,41,1000),SEARCH(" - ",MID('Industriesektor GWh'!$B921,41,1000))-1),nrg_cb_e!$C$3:$C$40,0))</f>
        <v>FC_IND_MQ_E</v>
      </c>
      <c r="G921" s="21">
        <v>48</v>
      </c>
    </row>
    <row r="922" spans="1:7" x14ac:dyDescent="0.2">
      <c r="A922" s="16" t="s">
        <v>52</v>
      </c>
      <c r="B922" s="17" t="s">
        <v>68</v>
      </c>
      <c r="C922" s="17" t="s">
        <v>8</v>
      </c>
      <c r="D922" s="17" t="s">
        <v>10</v>
      </c>
      <c r="E922" s="17" t="s">
        <v>14</v>
      </c>
      <c r="F922" s="17" t="str">
        <f>INDEX(nrg_cb_e!$A$3:$A$40,MATCH(LEFT(MID('Industriesektor GWh'!$B922,41,1000),SEARCH(" - ",MID('Industriesektor GWh'!$B922,41,1000))-1),nrg_cb_e!$C$3:$C$40,0))</f>
        <v>FC_IND_MQ_E</v>
      </c>
      <c r="G922" s="18">
        <v>47</v>
      </c>
    </row>
    <row r="923" spans="1:7" x14ac:dyDescent="0.2">
      <c r="A923" s="19" t="s">
        <v>52</v>
      </c>
      <c r="B923" s="20" t="s">
        <v>68</v>
      </c>
      <c r="C923" s="20" t="s">
        <v>8</v>
      </c>
      <c r="D923" s="20" t="s">
        <v>10</v>
      </c>
      <c r="E923" s="20" t="s">
        <v>15</v>
      </c>
      <c r="F923" s="20" t="str">
        <f>INDEX(nrg_cb_e!$A$3:$A$40,MATCH(LEFT(MID('Industriesektor GWh'!$B923,41,1000),SEARCH(" - ",MID('Industriesektor GWh'!$B923,41,1000))-1),nrg_cb_e!$C$3:$C$40,0))</f>
        <v>FC_IND_MQ_E</v>
      </c>
      <c r="G923" s="21">
        <v>48</v>
      </c>
    </row>
    <row r="924" spans="1:7" x14ac:dyDescent="0.2">
      <c r="A924" s="16" t="s">
        <v>52</v>
      </c>
      <c r="B924" s="17" t="s">
        <v>68</v>
      </c>
      <c r="C924" s="17" t="s">
        <v>8</v>
      </c>
      <c r="D924" s="17" t="s">
        <v>10</v>
      </c>
      <c r="E924" s="17" t="s">
        <v>16</v>
      </c>
      <c r="F924" s="17" t="str">
        <f>INDEX(nrg_cb_e!$A$3:$A$40,MATCH(LEFT(MID('Industriesektor GWh'!$B924,41,1000),SEARCH(" - ",MID('Industriesektor GWh'!$B924,41,1000))-1),nrg_cb_e!$C$3:$C$40,0))</f>
        <v>FC_IND_MQ_E</v>
      </c>
      <c r="G924" s="18">
        <v>68</v>
      </c>
    </row>
    <row r="925" spans="1:7" x14ac:dyDescent="0.2">
      <c r="A925" s="19" t="s">
        <v>52</v>
      </c>
      <c r="B925" s="20" t="s">
        <v>68</v>
      </c>
      <c r="C925" s="20" t="s">
        <v>8</v>
      </c>
      <c r="D925" s="20" t="s">
        <v>10</v>
      </c>
      <c r="E925" s="20" t="s">
        <v>17</v>
      </c>
      <c r="F925" s="20" t="str">
        <f>INDEX(nrg_cb_e!$A$3:$A$40,MATCH(LEFT(MID('Industriesektor GWh'!$B925,41,1000),SEARCH(" - ",MID('Industriesektor GWh'!$B925,41,1000))-1),nrg_cb_e!$C$3:$C$40,0))</f>
        <v>FC_IND_MQ_E</v>
      </c>
      <c r="G925" s="21">
        <v>67</v>
      </c>
    </row>
    <row r="926" spans="1:7" x14ac:dyDescent="0.2">
      <c r="A926" s="16" t="s">
        <v>52</v>
      </c>
      <c r="B926" s="17" t="s">
        <v>68</v>
      </c>
      <c r="C926" s="17" t="s">
        <v>8</v>
      </c>
      <c r="D926" s="17" t="s">
        <v>10</v>
      </c>
      <c r="E926" s="17" t="s">
        <v>18</v>
      </c>
      <c r="F926" s="17" t="str">
        <f>INDEX(nrg_cb_e!$A$3:$A$40,MATCH(LEFT(MID('Industriesektor GWh'!$B926,41,1000),SEARCH(" - ",MID('Industriesektor GWh'!$B926,41,1000))-1),nrg_cb_e!$C$3:$C$40,0))</f>
        <v>FC_IND_MQ_E</v>
      </c>
      <c r="G926" s="18">
        <v>78</v>
      </c>
    </row>
    <row r="927" spans="1:7" x14ac:dyDescent="0.2">
      <c r="A927" s="19" t="s">
        <v>52</v>
      </c>
      <c r="B927" s="20" t="s">
        <v>68</v>
      </c>
      <c r="C927" s="20" t="s">
        <v>8</v>
      </c>
      <c r="D927" s="20" t="s">
        <v>10</v>
      </c>
      <c r="E927" s="20" t="s">
        <v>19</v>
      </c>
      <c r="F927" s="20" t="str">
        <f>INDEX(nrg_cb_e!$A$3:$A$40,MATCH(LEFT(MID('Industriesektor GWh'!$B927,41,1000),SEARCH(" - ",MID('Industriesektor GWh'!$B927,41,1000))-1),nrg_cb_e!$C$3:$C$40,0))</f>
        <v>FC_IND_MQ_E</v>
      </c>
      <c r="G927" s="21">
        <v>87</v>
      </c>
    </row>
    <row r="928" spans="1:7" x14ac:dyDescent="0.2">
      <c r="A928" s="16" t="s">
        <v>52</v>
      </c>
      <c r="B928" s="17" t="s">
        <v>68</v>
      </c>
      <c r="C928" s="17" t="s">
        <v>8</v>
      </c>
      <c r="D928" s="17" t="s">
        <v>10</v>
      </c>
      <c r="E928" s="17" t="s">
        <v>20</v>
      </c>
      <c r="F928" s="17" t="str">
        <f>INDEX(nrg_cb_e!$A$3:$A$40,MATCH(LEFT(MID('Industriesektor GWh'!$B928,41,1000),SEARCH(" - ",MID('Industriesektor GWh'!$B928,41,1000))-1),nrg_cb_e!$C$3:$C$40,0))</f>
        <v>FC_IND_MQ_E</v>
      </c>
      <c r="G928" s="18">
        <v>98</v>
      </c>
    </row>
    <row r="929" spans="1:7" x14ac:dyDescent="0.2">
      <c r="A929" s="19" t="s">
        <v>52</v>
      </c>
      <c r="B929" s="20" t="s">
        <v>68</v>
      </c>
      <c r="C929" s="20" t="s">
        <v>8</v>
      </c>
      <c r="D929" s="20" t="s">
        <v>10</v>
      </c>
      <c r="E929" s="20" t="s">
        <v>21</v>
      </c>
      <c r="F929" s="20" t="str">
        <f>INDEX(nrg_cb_e!$A$3:$A$40,MATCH(LEFT(MID('Industriesektor GWh'!$B929,41,1000),SEARCH(" - ",MID('Industriesektor GWh'!$B929,41,1000))-1),nrg_cb_e!$C$3:$C$40,0))</f>
        <v>FC_IND_MQ_E</v>
      </c>
      <c r="G929" s="21">
        <v>93</v>
      </c>
    </row>
    <row r="930" spans="1:7" x14ac:dyDescent="0.2">
      <c r="A930" s="16" t="s">
        <v>52</v>
      </c>
      <c r="B930" s="17" t="s">
        <v>68</v>
      </c>
      <c r="C930" s="17" t="s">
        <v>8</v>
      </c>
      <c r="D930" s="17" t="s">
        <v>10</v>
      </c>
      <c r="E930" s="17" t="s">
        <v>22</v>
      </c>
      <c r="F930" s="17" t="str">
        <f>INDEX(nrg_cb_e!$A$3:$A$40,MATCH(LEFT(MID('Industriesektor GWh'!$B930,41,1000),SEARCH(" - ",MID('Industriesektor GWh'!$B930,41,1000))-1),nrg_cb_e!$C$3:$C$40,0))</f>
        <v>FC_IND_MQ_E</v>
      </c>
      <c r="G930" s="18">
        <v>99</v>
      </c>
    </row>
    <row r="931" spans="1:7" x14ac:dyDescent="0.2">
      <c r="A931" s="19" t="s">
        <v>52</v>
      </c>
      <c r="B931" s="20" t="s">
        <v>68</v>
      </c>
      <c r="C931" s="20" t="s">
        <v>8</v>
      </c>
      <c r="D931" s="20" t="s">
        <v>10</v>
      </c>
      <c r="E931" s="20" t="s">
        <v>23</v>
      </c>
      <c r="F931" s="20" t="str">
        <f>INDEX(nrg_cb_e!$A$3:$A$40,MATCH(LEFT(MID('Industriesektor GWh'!$B931,41,1000),SEARCH(" - ",MID('Industriesektor GWh'!$B931,41,1000))-1),nrg_cb_e!$C$3:$C$40,0))</f>
        <v>FC_IND_MQ_E</v>
      </c>
      <c r="G931" s="21">
        <v>122</v>
      </c>
    </row>
    <row r="932" spans="1:7" x14ac:dyDescent="0.2">
      <c r="A932" s="16" t="s">
        <v>52</v>
      </c>
      <c r="B932" s="17" t="s">
        <v>68</v>
      </c>
      <c r="C932" s="17" t="s">
        <v>8</v>
      </c>
      <c r="D932" s="17" t="s">
        <v>10</v>
      </c>
      <c r="E932" s="17" t="s">
        <v>24</v>
      </c>
      <c r="F932" s="17" t="str">
        <f>INDEX(nrg_cb_e!$A$3:$A$40,MATCH(LEFT(MID('Industriesektor GWh'!$B932,41,1000),SEARCH(" - ",MID('Industriesektor GWh'!$B932,41,1000))-1),nrg_cb_e!$C$3:$C$40,0))</f>
        <v>FC_IND_MQ_E</v>
      </c>
      <c r="G932" s="18">
        <v>133</v>
      </c>
    </row>
    <row r="933" spans="1:7" x14ac:dyDescent="0.2">
      <c r="A933" s="19" t="s">
        <v>52</v>
      </c>
      <c r="B933" s="20" t="s">
        <v>68</v>
      </c>
      <c r="C933" s="20" t="s">
        <v>8</v>
      </c>
      <c r="D933" s="20" t="s">
        <v>10</v>
      </c>
      <c r="E933" s="20" t="s">
        <v>25</v>
      </c>
      <c r="F933" s="20" t="str">
        <f>INDEX(nrg_cb_e!$A$3:$A$40,MATCH(LEFT(MID('Industriesektor GWh'!$B933,41,1000),SEARCH(" - ",MID('Industriesektor GWh'!$B933,41,1000))-1),nrg_cb_e!$C$3:$C$40,0))</f>
        <v>FC_IND_MQ_E</v>
      </c>
      <c r="G933" s="21">
        <v>129</v>
      </c>
    </row>
    <row r="934" spans="1:7" x14ac:dyDescent="0.2">
      <c r="A934" s="16" t="s">
        <v>52</v>
      </c>
      <c r="B934" s="17" t="s">
        <v>68</v>
      </c>
      <c r="C934" s="17" t="s">
        <v>8</v>
      </c>
      <c r="D934" s="17" t="s">
        <v>10</v>
      </c>
      <c r="E934" s="17" t="s">
        <v>26</v>
      </c>
      <c r="F934" s="17" t="str">
        <f>INDEX(nrg_cb_e!$A$3:$A$40,MATCH(LEFT(MID('Industriesektor GWh'!$B934,41,1000),SEARCH(" - ",MID('Industriesektor GWh'!$B934,41,1000))-1),nrg_cb_e!$C$3:$C$40,0))</f>
        <v>FC_IND_MQ_E</v>
      </c>
      <c r="G934" s="18">
        <v>131</v>
      </c>
    </row>
    <row r="935" spans="1:7" x14ac:dyDescent="0.2">
      <c r="A935" s="19" t="s">
        <v>52</v>
      </c>
      <c r="B935" s="20" t="s">
        <v>68</v>
      </c>
      <c r="C935" s="20" t="s">
        <v>8</v>
      </c>
      <c r="D935" s="20" t="s">
        <v>10</v>
      </c>
      <c r="E935" s="20" t="s">
        <v>27</v>
      </c>
      <c r="F935" s="20" t="str">
        <f>INDEX(nrg_cb_e!$A$3:$A$40,MATCH(LEFT(MID('Industriesektor GWh'!$B935,41,1000),SEARCH(" - ",MID('Industriesektor GWh'!$B935,41,1000))-1),nrg_cb_e!$C$3:$C$40,0))</f>
        <v>FC_IND_MQ_E</v>
      </c>
      <c r="G935" s="21">
        <v>147.15199999999999</v>
      </c>
    </row>
    <row r="936" spans="1:7" x14ac:dyDescent="0.2">
      <c r="A936" s="16" t="s">
        <v>52</v>
      </c>
      <c r="B936" s="17" t="s">
        <v>68</v>
      </c>
      <c r="C936" s="17" t="s">
        <v>8</v>
      </c>
      <c r="D936" s="17" t="s">
        <v>10</v>
      </c>
      <c r="E936" s="17" t="s">
        <v>28</v>
      </c>
      <c r="F936" s="17" t="str">
        <f>INDEX(nrg_cb_e!$A$3:$A$40,MATCH(LEFT(MID('Industriesektor GWh'!$B936,41,1000),SEARCH(" - ",MID('Industriesektor GWh'!$B936,41,1000))-1),nrg_cb_e!$C$3:$C$40,0))</f>
        <v>FC_IND_MQ_E</v>
      </c>
      <c r="G936" s="18">
        <v>161.54900000000001</v>
      </c>
    </row>
    <row r="937" spans="1:7" x14ac:dyDescent="0.2">
      <c r="A937" s="19" t="s">
        <v>53</v>
      </c>
      <c r="B937" s="20" t="s">
        <v>68</v>
      </c>
      <c r="C937" s="20" t="s">
        <v>8</v>
      </c>
      <c r="D937" s="20" t="s">
        <v>10</v>
      </c>
      <c r="E937" s="20" t="s">
        <v>12</v>
      </c>
      <c r="F937" s="20" t="str">
        <f>INDEX(nrg_cb_e!$A$3:$A$40,MATCH(LEFT(MID('Industriesektor GWh'!$B937,41,1000),SEARCH(" - ",MID('Industriesektor GWh'!$B937,41,1000))-1),nrg_cb_e!$C$3:$C$40,0))</f>
        <v>FC_IND_MQ_E</v>
      </c>
      <c r="G937" s="21">
        <v>119</v>
      </c>
    </row>
    <row r="938" spans="1:7" x14ac:dyDescent="0.2">
      <c r="A938" s="16" t="s">
        <v>53</v>
      </c>
      <c r="B938" s="17" t="s">
        <v>68</v>
      </c>
      <c r="C938" s="17" t="s">
        <v>8</v>
      </c>
      <c r="D938" s="17" t="s">
        <v>10</v>
      </c>
      <c r="E938" s="17" t="s">
        <v>13</v>
      </c>
      <c r="F938" s="17" t="str">
        <f>INDEX(nrg_cb_e!$A$3:$A$40,MATCH(LEFT(MID('Industriesektor GWh'!$B938,41,1000),SEARCH(" - ",MID('Industriesektor GWh'!$B938,41,1000))-1),nrg_cb_e!$C$3:$C$40,0))</f>
        <v>FC_IND_MQ_E</v>
      </c>
      <c r="G938" s="18">
        <v>102</v>
      </c>
    </row>
    <row r="939" spans="1:7" x14ac:dyDescent="0.2">
      <c r="A939" s="19" t="s">
        <v>53</v>
      </c>
      <c r="B939" s="20" t="s">
        <v>68</v>
      </c>
      <c r="C939" s="20" t="s">
        <v>8</v>
      </c>
      <c r="D939" s="20" t="s">
        <v>10</v>
      </c>
      <c r="E939" s="20" t="s">
        <v>14</v>
      </c>
      <c r="F939" s="20" t="str">
        <f>INDEX(nrg_cb_e!$A$3:$A$40,MATCH(LEFT(MID('Industriesektor GWh'!$B939,41,1000),SEARCH(" - ",MID('Industriesektor GWh'!$B939,41,1000))-1),nrg_cb_e!$C$3:$C$40,0))</f>
        <v>FC_IND_MQ_E</v>
      </c>
      <c r="G939" s="21">
        <v>100</v>
      </c>
    </row>
    <row r="940" spans="1:7" x14ac:dyDescent="0.2">
      <c r="A940" s="16" t="s">
        <v>53</v>
      </c>
      <c r="B940" s="17" t="s">
        <v>68</v>
      </c>
      <c r="C940" s="17" t="s">
        <v>8</v>
      </c>
      <c r="D940" s="17" t="s">
        <v>10</v>
      </c>
      <c r="E940" s="17" t="s">
        <v>15</v>
      </c>
      <c r="F940" s="17" t="str">
        <f>INDEX(nrg_cb_e!$A$3:$A$40,MATCH(LEFT(MID('Industriesektor GWh'!$B940,41,1000),SEARCH(" - ",MID('Industriesektor GWh'!$B940,41,1000))-1),nrg_cb_e!$C$3:$C$40,0))</f>
        <v>FC_IND_MQ_E</v>
      </c>
      <c r="G940" s="18">
        <v>103</v>
      </c>
    </row>
    <row r="941" spans="1:7" x14ac:dyDescent="0.2">
      <c r="A941" s="19" t="s">
        <v>53</v>
      </c>
      <c r="B941" s="20" t="s">
        <v>68</v>
      </c>
      <c r="C941" s="20" t="s">
        <v>8</v>
      </c>
      <c r="D941" s="20" t="s">
        <v>10</v>
      </c>
      <c r="E941" s="20" t="s">
        <v>16</v>
      </c>
      <c r="F941" s="20" t="str">
        <f>INDEX(nrg_cb_e!$A$3:$A$40,MATCH(LEFT(MID('Industriesektor GWh'!$B941,41,1000),SEARCH(" - ",MID('Industriesektor GWh'!$B941,41,1000))-1),nrg_cb_e!$C$3:$C$40,0))</f>
        <v>FC_IND_MQ_E</v>
      </c>
      <c r="G941" s="21">
        <v>109</v>
      </c>
    </row>
    <row r="942" spans="1:7" x14ac:dyDescent="0.2">
      <c r="A942" s="16" t="s">
        <v>53</v>
      </c>
      <c r="B942" s="17" t="s">
        <v>68</v>
      </c>
      <c r="C942" s="17" t="s">
        <v>8</v>
      </c>
      <c r="D942" s="17" t="s">
        <v>10</v>
      </c>
      <c r="E942" s="17" t="s">
        <v>17</v>
      </c>
      <c r="F942" s="17" t="str">
        <f>INDEX(nrg_cb_e!$A$3:$A$40,MATCH(LEFT(MID('Industriesektor GWh'!$B942,41,1000),SEARCH(" - ",MID('Industriesektor GWh'!$B942,41,1000))-1),nrg_cb_e!$C$3:$C$40,0))</f>
        <v>FC_IND_MQ_E</v>
      </c>
      <c r="G942" s="18">
        <v>105</v>
      </c>
    </row>
    <row r="943" spans="1:7" x14ac:dyDescent="0.2">
      <c r="A943" s="19" t="s">
        <v>53</v>
      </c>
      <c r="B943" s="20" t="s">
        <v>68</v>
      </c>
      <c r="C943" s="20" t="s">
        <v>8</v>
      </c>
      <c r="D943" s="20" t="s">
        <v>10</v>
      </c>
      <c r="E943" s="20" t="s">
        <v>18</v>
      </c>
      <c r="F943" s="20" t="str">
        <f>INDEX(nrg_cb_e!$A$3:$A$40,MATCH(LEFT(MID('Industriesektor GWh'!$B943,41,1000),SEARCH(" - ",MID('Industriesektor GWh'!$B943,41,1000))-1),nrg_cb_e!$C$3:$C$40,0))</f>
        <v>FC_IND_MQ_E</v>
      </c>
      <c r="G943" s="21">
        <v>96</v>
      </c>
    </row>
    <row r="944" spans="1:7" x14ac:dyDescent="0.2">
      <c r="A944" s="16" t="s">
        <v>53</v>
      </c>
      <c r="B944" s="17" t="s">
        <v>68</v>
      </c>
      <c r="C944" s="17" t="s">
        <v>8</v>
      </c>
      <c r="D944" s="17" t="s">
        <v>10</v>
      </c>
      <c r="E944" s="17" t="s">
        <v>19</v>
      </c>
      <c r="F944" s="17" t="str">
        <f>INDEX(nrg_cb_e!$A$3:$A$40,MATCH(LEFT(MID('Industriesektor GWh'!$B944,41,1000),SEARCH(" - ",MID('Industriesektor GWh'!$B944,41,1000))-1),nrg_cb_e!$C$3:$C$40,0))</f>
        <v>FC_IND_MQ_E</v>
      </c>
      <c r="G944" s="18">
        <v>45</v>
      </c>
    </row>
    <row r="945" spans="1:7" x14ac:dyDescent="0.2">
      <c r="A945" s="19" t="s">
        <v>53</v>
      </c>
      <c r="B945" s="20" t="s">
        <v>68</v>
      </c>
      <c r="C945" s="20" t="s">
        <v>8</v>
      </c>
      <c r="D945" s="20" t="s">
        <v>10</v>
      </c>
      <c r="E945" s="20" t="s">
        <v>20</v>
      </c>
      <c r="F945" s="20" t="str">
        <f>INDEX(nrg_cb_e!$A$3:$A$40,MATCH(LEFT(MID('Industriesektor GWh'!$B945,41,1000),SEARCH(" - ",MID('Industriesektor GWh'!$B945,41,1000))-1),nrg_cb_e!$C$3:$C$40,0))</f>
        <v>FC_IND_MQ_E</v>
      </c>
      <c r="G945" s="21">
        <v>45</v>
      </c>
    </row>
    <row r="946" spans="1:7" x14ac:dyDescent="0.2">
      <c r="A946" s="16" t="s">
        <v>53</v>
      </c>
      <c r="B946" s="17" t="s">
        <v>68</v>
      </c>
      <c r="C946" s="17" t="s">
        <v>8</v>
      </c>
      <c r="D946" s="17" t="s">
        <v>10</v>
      </c>
      <c r="E946" s="17" t="s">
        <v>21</v>
      </c>
      <c r="F946" s="17" t="str">
        <f>INDEX(nrg_cb_e!$A$3:$A$40,MATCH(LEFT(MID('Industriesektor GWh'!$B946,41,1000),SEARCH(" - ",MID('Industriesektor GWh'!$B946,41,1000))-1),nrg_cb_e!$C$3:$C$40,0))</f>
        <v>FC_IND_MQ_E</v>
      </c>
      <c r="G946" s="18">
        <v>43</v>
      </c>
    </row>
    <row r="947" spans="1:7" x14ac:dyDescent="0.2">
      <c r="A947" s="19" t="s">
        <v>53</v>
      </c>
      <c r="B947" s="20" t="s">
        <v>68</v>
      </c>
      <c r="C947" s="20" t="s">
        <v>8</v>
      </c>
      <c r="D947" s="20" t="s">
        <v>10</v>
      </c>
      <c r="E947" s="20" t="s">
        <v>22</v>
      </c>
      <c r="F947" s="20" t="str">
        <f>INDEX(nrg_cb_e!$A$3:$A$40,MATCH(LEFT(MID('Industriesektor GWh'!$B947,41,1000),SEARCH(" - ",MID('Industriesektor GWh'!$B947,41,1000))-1),nrg_cb_e!$C$3:$C$40,0))</f>
        <v>FC_IND_MQ_E</v>
      </c>
      <c r="G947" s="21">
        <v>37</v>
      </c>
    </row>
    <row r="948" spans="1:7" x14ac:dyDescent="0.2">
      <c r="A948" s="16" t="s">
        <v>53</v>
      </c>
      <c r="B948" s="17" t="s">
        <v>68</v>
      </c>
      <c r="C948" s="17" t="s">
        <v>8</v>
      </c>
      <c r="D948" s="17" t="s">
        <v>10</v>
      </c>
      <c r="E948" s="17" t="s">
        <v>23</v>
      </c>
      <c r="F948" s="17" t="str">
        <f>INDEX(nrg_cb_e!$A$3:$A$40,MATCH(LEFT(MID('Industriesektor GWh'!$B948,41,1000),SEARCH(" - ",MID('Industriesektor GWh'!$B948,41,1000))-1),nrg_cb_e!$C$3:$C$40,0))</f>
        <v>FC_IND_MQ_E</v>
      </c>
      <c r="G948" s="18">
        <v>29</v>
      </c>
    </row>
    <row r="949" spans="1:7" x14ac:dyDescent="0.2">
      <c r="A949" s="19" t="s">
        <v>53</v>
      </c>
      <c r="B949" s="20" t="s">
        <v>68</v>
      </c>
      <c r="C949" s="20" t="s">
        <v>8</v>
      </c>
      <c r="D949" s="20" t="s">
        <v>10</v>
      </c>
      <c r="E949" s="20" t="s">
        <v>24</v>
      </c>
      <c r="F949" s="20" t="str">
        <f>INDEX(nrg_cb_e!$A$3:$A$40,MATCH(LEFT(MID('Industriesektor GWh'!$B949,41,1000),SEARCH(" - ",MID('Industriesektor GWh'!$B949,41,1000))-1),nrg_cb_e!$C$3:$C$40,0))</f>
        <v>FC_IND_MQ_E</v>
      </c>
      <c r="G949" s="21">
        <v>30</v>
      </c>
    </row>
    <row r="950" spans="1:7" x14ac:dyDescent="0.2">
      <c r="A950" s="16" t="s">
        <v>53</v>
      </c>
      <c r="B950" s="17" t="s">
        <v>68</v>
      </c>
      <c r="C950" s="17" t="s">
        <v>8</v>
      </c>
      <c r="D950" s="17" t="s">
        <v>10</v>
      </c>
      <c r="E950" s="17" t="s">
        <v>25</v>
      </c>
      <c r="F950" s="17" t="str">
        <f>INDEX(nrg_cb_e!$A$3:$A$40,MATCH(LEFT(MID('Industriesektor GWh'!$B950,41,1000),SEARCH(" - ",MID('Industriesektor GWh'!$B950,41,1000))-1),nrg_cb_e!$C$3:$C$40,0))</f>
        <v>FC_IND_MQ_E</v>
      </c>
      <c r="G950" s="18">
        <v>34</v>
      </c>
    </row>
    <row r="951" spans="1:7" x14ac:dyDescent="0.2">
      <c r="A951" s="19" t="s">
        <v>53</v>
      </c>
      <c r="B951" s="20" t="s">
        <v>68</v>
      </c>
      <c r="C951" s="20" t="s">
        <v>8</v>
      </c>
      <c r="D951" s="20" t="s">
        <v>10</v>
      </c>
      <c r="E951" s="20" t="s">
        <v>26</v>
      </c>
      <c r="F951" s="20" t="str">
        <f>INDEX(nrg_cb_e!$A$3:$A$40,MATCH(LEFT(MID('Industriesektor GWh'!$B951,41,1000),SEARCH(" - ",MID('Industriesektor GWh'!$B951,41,1000))-1),nrg_cb_e!$C$3:$C$40,0))</f>
        <v>FC_IND_MQ_E</v>
      </c>
      <c r="G951" s="21">
        <v>44</v>
      </c>
    </row>
    <row r="952" spans="1:7" x14ac:dyDescent="0.2">
      <c r="A952" s="16" t="s">
        <v>53</v>
      </c>
      <c r="B952" s="17" t="s">
        <v>68</v>
      </c>
      <c r="C952" s="17" t="s">
        <v>8</v>
      </c>
      <c r="D952" s="17" t="s">
        <v>10</v>
      </c>
      <c r="E952" s="17" t="s">
        <v>27</v>
      </c>
      <c r="F952" s="17" t="str">
        <f>INDEX(nrg_cb_e!$A$3:$A$40,MATCH(LEFT(MID('Industriesektor GWh'!$B952,41,1000),SEARCH(" - ",MID('Industriesektor GWh'!$B952,41,1000))-1),nrg_cb_e!$C$3:$C$40,0))</f>
        <v>FC_IND_MQ_E</v>
      </c>
      <c r="G952" s="18">
        <v>41</v>
      </c>
    </row>
    <row r="953" spans="1:7" x14ac:dyDescent="0.2">
      <c r="A953" s="19" t="s">
        <v>53</v>
      </c>
      <c r="B953" s="20" t="s">
        <v>68</v>
      </c>
      <c r="C953" s="20" t="s">
        <v>8</v>
      </c>
      <c r="D953" s="20" t="s">
        <v>10</v>
      </c>
      <c r="E953" s="20" t="s">
        <v>28</v>
      </c>
      <c r="F953" s="20" t="str">
        <f>INDEX(nrg_cb_e!$A$3:$A$40,MATCH(LEFT(MID('Industriesektor GWh'!$B953,41,1000),SEARCH(" - ",MID('Industriesektor GWh'!$B953,41,1000))-1),nrg_cb_e!$C$3:$C$40,0))</f>
        <v>FC_IND_MQ_E</v>
      </c>
      <c r="G953" s="21">
        <v>72</v>
      </c>
    </row>
    <row r="954" spans="1:7" x14ac:dyDescent="0.2">
      <c r="A954" s="16" t="s">
        <v>54</v>
      </c>
      <c r="B954" s="17" t="s">
        <v>68</v>
      </c>
      <c r="C954" s="17" t="s">
        <v>8</v>
      </c>
      <c r="D954" s="17" t="s">
        <v>10</v>
      </c>
      <c r="E954" s="17" t="s">
        <v>12</v>
      </c>
      <c r="F954" s="17" t="str">
        <f>INDEX(nrg_cb_e!$A$3:$A$40,MATCH(LEFT(MID('Industriesektor GWh'!$B954,41,1000),SEARCH(" - ",MID('Industriesektor GWh'!$B954,41,1000))-1),nrg_cb_e!$C$3:$C$40,0))</f>
        <v>FC_IND_MQ_E</v>
      </c>
      <c r="G954" s="18">
        <v>585</v>
      </c>
    </row>
    <row r="955" spans="1:7" x14ac:dyDescent="0.2">
      <c r="A955" s="19" t="s">
        <v>54</v>
      </c>
      <c r="B955" s="20" t="s">
        <v>68</v>
      </c>
      <c r="C955" s="20" t="s">
        <v>8</v>
      </c>
      <c r="D955" s="20" t="s">
        <v>10</v>
      </c>
      <c r="E955" s="20" t="s">
        <v>13</v>
      </c>
      <c r="F955" s="20" t="str">
        <f>INDEX(nrg_cb_e!$A$3:$A$40,MATCH(LEFT(MID('Industriesektor GWh'!$B955,41,1000),SEARCH(" - ",MID('Industriesektor GWh'!$B955,41,1000))-1),nrg_cb_e!$C$3:$C$40,0))</f>
        <v>FC_IND_MQ_E</v>
      </c>
      <c r="G955" s="21">
        <v>591</v>
      </c>
    </row>
    <row r="956" spans="1:7" x14ac:dyDescent="0.2">
      <c r="A956" s="16" t="s">
        <v>54</v>
      </c>
      <c r="B956" s="17" t="s">
        <v>68</v>
      </c>
      <c r="C956" s="17" t="s">
        <v>8</v>
      </c>
      <c r="D956" s="17" t="s">
        <v>10</v>
      </c>
      <c r="E956" s="17" t="s">
        <v>14</v>
      </c>
      <c r="F956" s="17" t="str">
        <f>INDEX(nrg_cb_e!$A$3:$A$40,MATCH(LEFT(MID('Industriesektor GWh'!$B956,41,1000),SEARCH(" - ",MID('Industriesektor GWh'!$B956,41,1000))-1),nrg_cb_e!$C$3:$C$40,0))</f>
        <v>FC_IND_MQ_E</v>
      </c>
      <c r="G956" s="18">
        <v>614</v>
      </c>
    </row>
    <row r="957" spans="1:7" x14ac:dyDescent="0.2">
      <c r="A957" s="19" t="s">
        <v>54</v>
      </c>
      <c r="B957" s="20" t="s">
        <v>68</v>
      </c>
      <c r="C957" s="20" t="s">
        <v>8</v>
      </c>
      <c r="D957" s="20" t="s">
        <v>10</v>
      </c>
      <c r="E957" s="20" t="s">
        <v>15</v>
      </c>
      <c r="F957" s="20" t="str">
        <f>INDEX(nrg_cb_e!$A$3:$A$40,MATCH(LEFT(MID('Industriesektor GWh'!$B957,41,1000),SEARCH(" - ",MID('Industriesektor GWh'!$B957,41,1000))-1),nrg_cb_e!$C$3:$C$40,0))</f>
        <v>FC_IND_MQ_E</v>
      </c>
      <c r="G957" s="21">
        <v>631</v>
      </c>
    </row>
    <row r="958" spans="1:7" x14ac:dyDescent="0.2">
      <c r="A958" s="16" t="s">
        <v>54</v>
      </c>
      <c r="B958" s="17" t="s">
        <v>68</v>
      </c>
      <c r="C958" s="17" t="s">
        <v>8</v>
      </c>
      <c r="D958" s="17" t="s">
        <v>10</v>
      </c>
      <c r="E958" s="17" t="s">
        <v>16</v>
      </c>
      <c r="F958" s="17" t="str">
        <f>INDEX(nrg_cb_e!$A$3:$A$40,MATCH(LEFT(MID('Industriesektor GWh'!$B958,41,1000),SEARCH(" - ",MID('Industriesektor GWh'!$B958,41,1000))-1),nrg_cb_e!$C$3:$C$40,0))</f>
        <v>FC_IND_MQ_E</v>
      </c>
      <c r="G958" s="18">
        <v>670</v>
      </c>
    </row>
    <row r="959" spans="1:7" x14ac:dyDescent="0.2">
      <c r="A959" s="19" t="s">
        <v>54</v>
      </c>
      <c r="B959" s="20" t="s">
        <v>68</v>
      </c>
      <c r="C959" s="20" t="s">
        <v>8</v>
      </c>
      <c r="D959" s="20" t="s">
        <v>10</v>
      </c>
      <c r="E959" s="20" t="s">
        <v>17</v>
      </c>
      <c r="F959" s="20" t="str">
        <f>INDEX(nrg_cb_e!$A$3:$A$40,MATCH(LEFT(MID('Industriesektor GWh'!$B959,41,1000),SEARCH(" - ",MID('Industriesektor GWh'!$B959,41,1000))-1),nrg_cb_e!$C$3:$C$40,0))</f>
        <v>FC_IND_MQ_E</v>
      </c>
      <c r="G959" s="21">
        <v>757</v>
      </c>
    </row>
    <row r="960" spans="1:7" x14ac:dyDescent="0.2">
      <c r="A960" s="16" t="s">
        <v>54</v>
      </c>
      <c r="B960" s="17" t="s">
        <v>68</v>
      </c>
      <c r="C960" s="17" t="s">
        <v>8</v>
      </c>
      <c r="D960" s="17" t="s">
        <v>10</v>
      </c>
      <c r="E960" s="17" t="s">
        <v>18</v>
      </c>
      <c r="F960" s="17" t="str">
        <f>INDEX(nrg_cb_e!$A$3:$A$40,MATCH(LEFT(MID('Industriesektor GWh'!$B960,41,1000),SEARCH(" - ",MID('Industriesektor GWh'!$B960,41,1000))-1),nrg_cb_e!$C$3:$C$40,0))</f>
        <v>FC_IND_MQ_E</v>
      </c>
      <c r="G960" s="18">
        <v>812</v>
      </c>
    </row>
    <row r="961" spans="1:7" x14ac:dyDescent="0.2">
      <c r="A961" s="19" t="s">
        <v>54</v>
      </c>
      <c r="B961" s="20" t="s">
        <v>68</v>
      </c>
      <c r="C961" s="20" t="s">
        <v>8</v>
      </c>
      <c r="D961" s="20" t="s">
        <v>10</v>
      </c>
      <c r="E961" s="20" t="s">
        <v>19</v>
      </c>
      <c r="F961" s="20" t="str">
        <f>INDEX(nrg_cb_e!$A$3:$A$40,MATCH(LEFT(MID('Industriesektor GWh'!$B961,41,1000),SEARCH(" - ",MID('Industriesektor GWh'!$B961,41,1000))-1),nrg_cb_e!$C$3:$C$40,0))</f>
        <v>FC_IND_MQ_E</v>
      </c>
      <c r="G961" s="21">
        <v>775</v>
      </c>
    </row>
    <row r="962" spans="1:7" x14ac:dyDescent="0.2">
      <c r="A962" s="16" t="s">
        <v>54</v>
      </c>
      <c r="B962" s="17" t="s">
        <v>68</v>
      </c>
      <c r="C962" s="17" t="s">
        <v>8</v>
      </c>
      <c r="D962" s="17" t="s">
        <v>10</v>
      </c>
      <c r="E962" s="17" t="s">
        <v>20</v>
      </c>
      <c r="F962" s="17" t="str">
        <f>INDEX(nrg_cb_e!$A$3:$A$40,MATCH(LEFT(MID('Industriesektor GWh'!$B962,41,1000),SEARCH(" - ",MID('Industriesektor GWh'!$B962,41,1000))-1),nrg_cb_e!$C$3:$C$40,0))</f>
        <v>FC_IND_MQ_E</v>
      </c>
      <c r="G962" s="18">
        <v>941</v>
      </c>
    </row>
    <row r="963" spans="1:7" x14ac:dyDescent="0.2">
      <c r="A963" s="19" t="s">
        <v>54</v>
      </c>
      <c r="B963" s="20" t="s">
        <v>68</v>
      </c>
      <c r="C963" s="20" t="s">
        <v>8</v>
      </c>
      <c r="D963" s="20" t="s">
        <v>10</v>
      </c>
      <c r="E963" s="20" t="s">
        <v>21</v>
      </c>
      <c r="F963" s="20" t="str">
        <f>INDEX(nrg_cb_e!$A$3:$A$40,MATCH(LEFT(MID('Industriesektor GWh'!$B963,41,1000),SEARCH(" - ",MID('Industriesektor GWh'!$B963,41,1000))-1),nrg_cb_e!$C$3:$C$40,0))</f>
        <v>FC_IND_MQ_E</v>
      </c>
      <c r="G963" s="21">
        <v>1094</v>
      </c>
    </row>
    <row r="964" spans="1:7" x14ac:dyDescent="0.2">
      <c r="A964" s="16" t="s">
        <v>54</v>
      </c>
      <c r="B964" s="17" t="s">
        <v>68</v>
      </c>
      <c r="C964" s="17" t="s">
        <v>8</v>
      </c>
      <c r="D964" s="17" t="s">
        <v>10</v>
      </c>
      <c r="E964" s="17" t="s">
        <v>22</v>
      </c>
      <c r="F964" s="17" t="str">
        <f>INDEX(nrg_cb_e!$A$3:$A$40,MATCH(LEFT(MID('Industriesektor GWh'!$B964,41,1000),SEARCH(" - ",MID('Industriesektor GWh'!$B964,41,1000))-1),nrg_cb_e!$C$3:$C$40,0))</f>
        <v>FC_IND_MQ_E</v>
      </c>
      <c r="G964" s="18">
        <v>1340</v>
      </c>
    </row>
    <row r="965" spans="1:7" x14ac:dyDescent="0.2">
      <c r="A965" s="19" t="s">
        <v>54</v>
      </c>
      <c r="B965" s="20" t="s">
        <v>68</v>
      </c>
      <c r="C965" s="20" t="s">
        <v>8</v>
      </c>
      <c r="D965" s="20" t="s">
        <v>10</v>
      </c>
      <c r="E965" s="20" t="s">
        <v>23</v>
      </c>
      <c r="F965" s="20" t="str">
        <f>INDEX(nrg_cb_e!$A$3:$A$40,MATCH(LEFT(MID('Industriesektor GWh'!$B965,41,1000),SEARCH(" - ",MID('Industriesektor GWh'!$B965,41,1000))-1),nrg_cb_e!$C$3:$C$40,0))</f>
        <v>FC_IND_MQ_E</v>
      </c>
      <c r="G965" s="21">
        <v>1422</v>
      </c>
    </row>
    <row r="966" spans="1:7" x14ac:dyDescent="0.2">
      <c r="A966" s="16" t="s">
        <v>54</v>
      </c>
      <c r="B966" s="17" t="s">
        <v>68</v>
      </c>
      <c r="C966" s="17" t="s">
        <v>8</v>
      </c>
      <c r="D966" s="17" t="s">
        <v>10</v>
      </c>
      <c r="E966" s="17" t="s">
        <v>24</v>
      </c>
      <c r="F966" s="17" t="str">
        <f>INDEX(nrg_cb_e!$A$3:$A$40,MATCH(LEFT(MID('Industriesektor GWh'!$B966,41,1000),SEARCH(" - ",MID('Industriesektor GWh'!$B966,41,1000))-1),nrg_cb_e!$C$3:$C$40,0))</f>
        <v>FC_IND_MQ_E</v>
      </c>
      <c r="G966" s="18">
        <v>1471</v>
      </c>
    </row>
    <row r="967" spans="1:7" x14ac:dyDescent="0.2">
      <c r="A967" s="19" t="s">
        <v>54</v>
      </c>
      <c r="B967" s="20" t="s">
        <v>68</v>
      </c>
      <c r="C967" s="20" t="s">
        <v>8</v>
      </c>
      <c r="D967" s="20" t="s">
        <v>10</v>
      </c>
      <c r="E967" s="20" t="s">
        <v>25</v>
      </c>
      <c r="F967" s="20" t="str">
        <f>INDEX(nrg_cb_e!$A$3:$A$40,MATCH(LEFT(MID('Industriesektor GWh'!$B967,41,1000),SEARCH(" - ",MID('Industriesektor GWh'!$B967,41,1000))-1),nrg_cb_e!$C$3:$C$40,0))</f>
        <v>FC_IND_MQ_E</v>
      </c>
      <c r="G967" s="21">
        <v>1549</v>
      </c>
    </row>
    <row r="968" spans="1:7" x14ac:dyDescent="0.2">
      <c r="A968" s="16" t="s">
        <v>54</v>
      </c>
      <c r="B968" s="17" t="s">
        <v>68</v>
      </c>
      <c r="C968" s="17" t="s">
        <v>8</v>
      </c>
      <c r="D968" s="17" t="s">
        <v>10</v>
      </c>
      <c r="E968" s="17" t="s">
        <v>26</v>
      </c>
      <c r="F968" s="17" t="str">
        <f>INDEX(nrg_cb_e!$A$3:$A$40,MATCH(LEFT(MID('Industriesektor GWh'!$B968,41,1000),SEARCH(" - ",MID('Industriesektor GWh'!$B968,41,1000))-1),nrg_cb_e!$C$3:$C$40,0))</f>
        <v>FC_IND_MQ_E</v>
      </c>
      <c r="G968" s="18">
        <v>1871</v>
      </c>
    </row>
    <row r="969" spans="1:7" x14ac:dyDescent="0.2">
      <c r="A969" s="19" t="s">
        <v>54</v>
      </c>
      <c r="B969" s="20" t="s">
        <v>68</v>
      </c>
      <c r="C969" s="20" t="s">
        <v>8</v>
      </c>
      <c r="D969" s="20" t="s">
        <v>10</v>
      </c>
      <c r="E969" s="20" t="s">
        <v>27</v>
      </c>
      <c r="F969" s="20" t="str">
        <f>INDEX(nrg_cb_e!$A$3:$A$40,MATCH(LEFT(MID('Industriesektor GWh'!$B969,41,1000),SEARCH(" - ",MID('Industriesektor GWh'!$B969,41,1000))-1),nrg_cb_e!$C$3:$C$40,0))</f>
        <v>FC_IND_MQ_E</v>
      </c>
      <c r="G969" s="21">
        <v>1457</v>
      </c>
    </row>
    <row r="970" spans="1:7" x14ac:dyDescent="0.2">
      <c r="A970" s="16" t="s">
        <v>54</v>
      </c>
      <c r="B970" s="17" t="s">
        <v>68</v>
      </c>
      <c r="C970" s="17" t="s">
        <v>8</v>
      </c>
      <c r="D970" s="17" t="s">
        <v>10</v>
      </c>
      <c r="E970" s="17" t="s">
        <v>28</v>
      </c>
      <c r="F970" s="17" t="str">
        <f>INDEX(nrg_cb_e!$A$3:$A$40,MATCH(LEFT(MID('Industriesektor GWh'!$B970,41,1000),SEARCH(" - ",MID('Industriesektor GWh'!$B970,41,1000))-1),nrg_cb_e!$C$3:$C$40,0))</f>
        <v>FC_IND_MQ_E</v>
      </c>
      <c r="G970" s="18">
        <v>1446</v>
      </c>
    </row>
    <row r="971" spans="1:7" x14ac:dyDescent="0.2">
      <c r="A971" s="19" t="s">
        <v>55</v>
      </c>
      <c r="B971" s="20" t="s">
        <v>68</v>
      </c>
      <c r="C971" s="20" t="s">
        <v>8</v>
      </c>
      <c r="D971" s="20" t="s">
        <v>10</v>
      </c>
      <c r="E971" s="20" t="s">
        <v>12</v>
      </c>
      <c r="F971" s="20" t="str">
        <f>INDEX(nrg_cb_e!$A$3:$A$40,MATCH(LEFT(MID('Industriesektor GWh'!$B971,41,1000),SEARCH(" - ",MID('Industriesektor GWh'!$B971,41,1000))-1),nrg_cb_e!$C$3:$C$40,0))</f>
        <v>FC_IND_MQ_E</v>
      </c>
      <c r="G971" s="21">
        <v>2579</v>
      </c>
    </row>
    <row r="972" spans="1:7" x14ac:dyDescent="0.2">
      <c r="A972" s="16" t="s">
        <v>55</v>
      </c>
      <c r="B972" s="17" t="s">
        <v>68</v>
      </c>
      <c r="C972" s="17" t="s">
        <v>8</v>
      </c>
      <c r="D972" s="17" t="s">
        <v>10</v>
      </c>
      <c r="E972" s="17" t="s">
        <v>13</v>
      </c>
      <c r="F972" s="17" t="str">
        <f>INDEX(nrg_cb_e!$A$3:$A$40,MATCH(LEFT(MID('Industriesektor GWh'!$B972,41,1000),SEARCH(" - ",MID('Industriesektor GWh'!$B972,41,1000))-1),nrg_cb_e!$C$3:$C$40,0))</f>
        <v>FC_IND_MQ_E</v>
      </c>
      <c r="G972" s="18">
        <v>2583</v>
      </c>
    </row>
    <row r="973" spans="1:7" x14ac:dyDescent="0.2">
      <c r="A973" s="19" t="s">
        <v>55</v>
      </c>
      <c r="B973" s="20" t="s">
        <v>68</v>
      </c>
      <c r="C973" s="20" t="s">
        <v>8</v>
      </c>
      <c r="D973" s="20" t="s">
        <v>10</v>
      </c>
      <c r="E973" s="20" t="s">
        <v>14</v>
      </c>
      <c r="F973" s="20" t="str">
        <f>INDEX(nrg_cb_e!$A$3:$A$40,MATCH(LEFT(MID('Industriesektor GWh'!$B973,41,1000),SEARCH(" - ",MID('Industriesektor GWh'!$B973,41,1000))-1),nrg_cb_e!$C$3:$C$40,0))</f>
        <v>FC_IND_MQ_E</v>
      </c>
      <c r="G973" s="21">
        <v>2635</v>
      </c>
    </row>
    <row r="974" spans="1:7" x14ac:dyDescent="0.2">
      <c r="A974" s="16" t="s">
        <v>55</v>
      </c>
      <c r="B974" s="17" t="s">
        <v>68</v>
      </c>
      <c r="C974" s="17" t="s">
        <v>8</v>
      </c>
      <c r="D974" s="17" t="s">
        <v>10</v>
      </c>
      <c r="E974" s="17" t="s">
        <v>15</v>
      </c>
      <c r="F974" s="17" t="str">
        <f>INDEX(nrg_cb_e!$A$3:$A$40,MATCH(LEFT(MID('Industriesektor GWh'!$B974,41,1000),SEARCH(" - ",MID('Industriesektor GWh'!$B974,41,1000))-1),nrg_cb_e!$C$3:$C$40,0))</f>
        <v>FC_IND_MQ_E</v>
      </c>
      <c r="G974" s="18">
        <v>2515</v>
      </c>
    </row>
    <row r="975" spans="1:7" x14ac:dyDescent="0.2">
      <c r="A975" s="19" t="s">
        <v>55</v>
      </c>
      <c r="B975" s="20" t="s">
        <v>68</v>
      </c>
      <c r="C975" s="20" t="s">
        <v>8</v>
      </c>
      <c r="D975" s="20" t="s">
        <v>10</v>
      </c>
      <c r="E975" s="20" t="s">
        <v>16</v>
      </c>
      <c r="F975" s="20" t="str">
        <f>INDEX(nrg_cb_e!$A$3:$A$40,MATCH(LEFT(MID('Industriesektor GWh'!$B975,41,1000),SEARCH(" - ",MID('Industriesektor GWh'!$B975,41,1000))-1),nrg_cb_e!$C$3:$C$40,0))</f>
        <v>FC_IND_MQ_E</v>
      </c>
      <c r="G975" s="21">
        <v>2561</v>
      </c>
    </row>
    <row r="976" spans="1:7" x14ac:dyDescent="0.2">
      <c r="A976" s="16" t="s">
        <v>55</v>
      </c>
      <c r="B976" s="17" t="s">
        <v>68</v>
      </c>
      <c r="C976" s="17" t="s">
        <v>8</v>
      </c>
      <c r="D976" s="17" t="s">
        <v>10</v>
      </c>
      <c r="E976" s="17" t="s">
        <v>17</v>
      </c>
      <c r="F976" s="17" t="str">
        <f>INDEX(nrg_cb_e!$A$3:$A$40,MATCH(LEFT(MID('Industriesektor GWh'!$B976,41,1000),SEARCH(" - ",MID('Industriesektor GWh'!$B976,41,1000))-1),nrg_cb_e!$C$3:$C$40,0))</f>
        <v>FC_IND_MQ_E</v>
      </c>
      <c r="G976" s="18">
        <v>2569</v>
      </c>
    </row>
    <row r="977" spans="1:7" x14ac:dyDescent="0.2">
      <c r="A977" s="19" t="s">
        <v>55</v>
      </c>
      <c r="B977" s="20" t="s">
        <v>68</v>
      </c>
      <c r="C977" s="20" t="s">
        <v>8</v>
      </c>
      <c r="D977" s="20" t="s">
        <v>10</v>
      </c>
      <c r="E977" s="20" t="s">
        <v>18</v>
      </c>
      <c r="F977" s="20" t="str">
        <f>INDEX(nrg_cb_e!$A$3:$A$40,MATCH(LEFT(MID('Industriesektor GWh'!$B977,41,1000),SEARCH(" - ",MID('Industriesektor GWh'!$B977,41,1000))-1),nrg_cb_e!$C$3:$C$40,0))</f>
        <v>FC_IND_MQ_E</v>
      </c>
      <c r="G977" s="21">
        <v>3001</v>
      </c>
    </row>
    <row r="978" spans="1:7" x14ac:dyDescent="0.2">
      <c r="A978" s="16" t="s">
        <v>55</v>
      </c>
      <c r="B978" s="17" t="s">
        <v>68</v>
      </c>
      <c r="C978" s="17" t="s">
        <v>8</v>
      </c>
      <c r="D978" s="17" t="s">
        <v>10</v>
      </c>
      <c r="E978" s="17" t="s">
        <v>19</v>
      </c>
      <c r="F978" s="17" t="str">
        <f>INDEX(nrg_cb_e!$A$3:$A$40,MATCH(LEFT(MID('Industriesektor GWh'!$B978,41,1000),SEARCH(" - ",MID('Industriesektor GWh'!$B978,41,1000))-1),nrg_cb_e!$C$3:$C$40,0))</f>
        <v>FC_IND_MQ_E</v>
      </c>
      <c r="G978" s="18">
        <v>2423</v>
      </c>
    </row>
    <row r="979" spans="1:7" x14ac:dyDescent="0.2">
      <c r="A979" s="19" t="s">
        <v>55</v>
      </c>
      <c r="B979" s="20" t="s">
        <v>68</v>
      </c>
      <c r="C979" s="20" t="s">
        <v>8</v>
      </c>
      <c r="D979" s="20" t="s">
        <v>10</v>
      </c>
      <c r="E979" s="20" t="s">
        <v>20</v>
      </c>
      <c r="F979" s="20" t="str">
        <f>INDEX(nrg_cb_e!$A$3:$A$40,MATCH(LEFT(MID('Industriesektor GWh'!$B979,41,1000),SEARCH(" - ",MID('Industriesektor GWh'!$B979,41,1000))-1),nrg_cb_e!$C$3:$C$40,0))</f>
        <v>FC_IND_MQ_E</v>
      </c>
      <c r="G979" s="21">
        <v>3057</v>
      </c>
    </row>
    <row r="980" spans="1:7" x14ac:dyDescent="0.2">
      <c r="A980" s="16" t="s">
        <v>55</v>
      </c>
      <c r="B980" s="17" t="s">
        <v>68</v>
      </c>
      <c r="C980" s="17" t="s">
        <v>8</v>
      </c>
      <c r="D980" s="17" t="s">
        <v>10</v>
      </c>
      <c r="E980" s="17" t="s">
        <v>21</v>
      </c>
      <c r="F980" s="17" t="str">
        <f>INDEX(nrg_cb_e!$A$3:$A$40,MATCH(LEFT(MID('Industriesektor GWh'!$B980,41,1000),SEARCH(" - ",MID('Industriesektor GWh'!$B980,41,1000))-1),nrg_cb_e!$C$3:$C$40,0))</f>
        <v>FC_IND_MQ_E</v>
      </c>
      <c r="G980" s="18">
        <v>3325</v>
      </c>
    </row>
    <row r="981" spans="1:7" x14ac:dyDescent="0.2">
      <c r="A981" s="19" t="s">
        <v>55</v>
      </c>
      <c r="B981" s="20" t="s">
        <v>68</v>
      </c>
      <c r="C981" s="20" t="s">
        <v>8</v>
      </c>
      <c r="D981" s="20" t="s">
        <v>10</v>
      </c>
      <c r="E981" s="20" t="s">
        <v>22</v>
      </c>
      <c r="F981" s="20" t="str">
        <f>INDEX(nrg_cb_e!$A$3:$A$40,MATCH(LEFT(MID('Industriesektor GWh'!$B981,41,1000),SEARCH(" - ",MID('Industriesektor GWh'!$B981,41,1000))-1),nrg_cb_e!$C$3:$C$40,0))</f>
        <v>FC_IND_MQ_E</v>
      </c>
      <c r="G981" s="21">
        <v>3289</v>
      </c>
    </row>
    <row r="982" spans="1:7" x14ac:dyDescent="0.2">
      <c r="A982" s="16" t="s">
        <v>55</v>
      </c>
      <c r="B982" s="17" t="s">
        <v>68</v>
      </c>
      <c r="C982" s="17" t="s">
        <v>8</v>
      </c>
      <c r="D982" s="17" t="s">
        <v>10</v>
      </c>
      <c r="E982" s="17" t="s">
        <v>23</v>
      </c>
      <c r="F982" s="17" t="str">
        <f>INDEX(nrg_cb_e!$A$3:$A$40,MATCH(LEFT(MID('Industriesektor GWh'!$B982,41,1000),SEARCH(" - ",MID('Industriesektor GWh'!$B982,41,1000))-1),nrg_cb_e!$C$3:$C$40,0))</f>
        <v>FC_IND_MQ_E</v>
      </c>
      <c r="G982" s="18">
        <v>3702</v>
      </c>
    </row>
    <row r="983" spans="1:7" x14ac:dyDescent="0.2">
      <c r="A983" s="19" t="s">
        <v>55</v>
      </c>
      <c r="B983" s="20" t="s">
        <v>68</v>
      </c>
      <c r="C983" s="20" t="s">
        <v>8</v>
      </c>
      <c r="D983" s="20" t="s">
        <v>10</v>
      </c>
      <c r="E983" s="20" t="s">
        <v>24</v>
      </c>
      <c r="F983" s="20" t="str">
        <f>INDEX(nrg_cb_e!$A$3:$A$40,MATCH(LEFT(MID('Industriesektor GWh'!$B983,41,1000),SEARCH(" - ",MID('Industriesektor GWh'!$B983,41,1000))-1),nrg_cb_e!$C$3:$C$40,0))</f>
        <v>FC_IND_MQ_E</v>
      </c>
      <c r="G983" s="21">
        <v>0</v>
      </c>
    </row>
    <row r="984" spans="1:7" x14ac:dyDescent="0.2">
      <c r="A984" s="16" t="s">
        <v>55</v>
      </c>
      <c r="B984" s="17" t="s">
        <v>68</v>
      </c>
      <c r="C984" s="17" t="s">
        <v>8</v>
      </c>
      <c r="D984" s="17" t="s">
        <v>10</v>
      </c>
      <c r="E984" s="17" t="s">
        <v>25</v>
      </c>
      <c r="F984" s="17" t="str">
        <f>INDEX(nrg_cb_e!$A$3:$A$40,MATCH(LEFT(MID('Industriesektor GWh'!$B984,41,1000),SEARCH(" - ",MID('Industriesektor GWh'!$B984,41,1000))-1),nrg_cb_e!$C$3:$C$40,0))</f>
        <v>FC_IND_MQ_E</v>
      </c>
      <c r="G984" s="18">
        <v>3530</v>
      </c>
    </row>
    <row r="985" spans="1:7" x14ac:dyDescent="0.2">
      <c r="A985" s="19" t="s">
        <v>55</v>
      </c>
      <c r="B985" s="20" t="s">
        <v>68</v>
      </c>
      <c r="C985" s="20" t="s">
        <v>8</v>
      </c>
      <c r="D985" s="20" t="s">
        <v>10</v>
      </c>
      <c r="E985" s="20" t="s">
        <v>26</v>
      </c>
      <c r="F985" s="20" t="str">
        <f>INDEX(nrg_cb_e!$A$3:$A$40,MATCH(LEFT(MID('Industriesektor GWh'!$B985,41,1000),SEARCH(" - ",MID('Industriesektor GWh'!$B985,41,1000))-1),nrg_cb_e!$C$3:$C$40,0))</f>
        <v>FC_IND_MQ_E</v>
      </c>
      <c r="G985" s="21">
        <v>3612</v>
      </c>
    </row>
    <row r="986" spans="1:7" x14ac:dyDescent="0.2">
      <c r="A986" s="16" t="s">
        <v>55</v>
      </c>
      <c r="B986" s="17" t="s">
        <v>68</v>
      </c>
      <c r="C986" s="17" t="s">
        <v>8</v>
      </c>
      <c r="D986" s="17" t="s">
        <v>10</v>
      </c>
      <c r="E986" s="17" t="s">
        <v>27</v>
      </c>
      <c r="F986" s="17" t="str">
        <f>INDEX(nrg_cb_e!$A$3:$A$40,MATCH(LEFT(MID('Industriesektor GWh'!$B986,41,1000),SEARCH(" - ",MID('Industriesektor GWh'!$B986,41,1000))-1),nrg_cb_e!$C$3:$C$40,0))</f>
        <v>FC_IND_MQ_E</v>
      </c>
      <c r="G986" s="18">
        <v>3727</v>
      </c>
    </row>
    <row r="987" spans="1:7" x14ac:dyDescent="0.2">
      <c r="A987" s="19" t="s">
        <v>55</v>
      </c>
      <c r="B987" s="20" t="s">
        <v>68</v>
      </c>
      <c r="C987" s="20" t="s">
        <v>8</v>
      </c>
      <c r="D987" s="20" t="s">
        <v>10</v>
      </c>
      <c r="E987" s="20" t="s">
        <v>28</v>
      </c>
      <c r="F987" s="20" t="str">
        <f>INDEX(nrg_cb_e!$A$3:$A$40,MATCH(LEFT(MID('Industriesektor GWh'!$B987,41,1000),SEARCH(" - ",MID('Industriesektor GWh'!$B987,41,1000))-1),nrg_cb_e!$C$3:$C$40,0))</f>
        <v>FC_IND_MQ_E</v>
      </c>
      <c r="G987" s="21">
        <v>3728</v>
      </c>
    </row>
    <row r="988" spans="1:7" x14ac:dyDescent="0.2">
      <c r="A988" s="16" t="s">
        <v>56</v>
      </c>
      <c r="B988" s="17" t="s">
        <v>68</v>
      </c>
      <c r="C988" s="17" t="s">
        <v>8</v>
      </c>
      <c r="D988" s="17" t="s">
        <v>10</v>
      </c>
      <c r="E988" s="17" t="s">
        <v>12</v>
      </c>
      <c r="F988" s="17" t="str">
        <f>INDEX(nrg_cb_e!$A$3:$A$40,MATCH(LEFT(MID('Industriesektor GWh'!$B988,41,1000),SEARCH(" - ",MID('Industriesektor GWh'!$B988,41,1000))-1),nrg_cb_e!$C$3:$C$40,0))</f>
        <v>FC_IND_MQ_E</v>
      </c>
      <c r="G988" s="18">
        <v>0</v>
      </c>
    </row>
    <row r="989" spans="1:7" x14ac:dyDescent="0.2">
      <c r="A989" s="19" t="s">
        <v>56</v>
      </c>
      <c r="B989" s="20" t="s">
        <v>68</v>
      </c>
      <c r="C989" s="20" t="s">
        <v>8</v>
      </c>
      <c r="D989" s="20" t="s">
        <v>10</v>
      </c>
      <c r="E989" s="20" t="s">
        <v>13</v>
      </c>
      <c r="F989" s="20" t="str">
        <f>INDEX(nrg_cb_e!$A$3:$A$40,MATCH(LEFT(MID('Industriesektor GWh'!$B989,41,1000),SEARCH(" - ",MID('Industriesektor GWh'!$B989,41,1000))-1),nrg_cb_e!$C$3:$C$40,0))</f>
        <v>FC_IND_MQ_E</v>
      </c>
      <c r="G989" s="21">
        <v>0</v>
      </c>
    </row>
    <row r="990" spans="1:7" x14ac:dyDescent="0.2">
      <c r="A990" s="16" t="s">
        <v>56</v>
      </c>
      <c r="B990" s="17" t="s">
        <v>68</v>
      </c>
      <c r="C990" s="17" t="s">
        <v>8</v>
      </c>
      <c r="D990" s="17" t="s">
        <v>10</v>
      </c>
      <c r="E990" s="17" t="s">
        <v>14</v>
      </c>
      <c r="F990" s="17" t="str">
        <f>INDEX(nrg_cb_e!$A$3:$A$40,MATCH(LEFT(MID('Industriesektor GWh'!$B990,41,1000),SEARCH(" - ",MID('Industriesektor GWh'!$B990,41,1000))-1),nrg_cb_e!$C$3:$C$40,0))</f>
        <v>FC_IND_MQ_E</v>
      </c>
      <c r="G990" s="18">
        <v>0</v>
      </c>
    </row>
    <row r="991" spans="1:7" x14ac:dyDescent="0.2">
      <c r="A991" s="19" t="s">
        <v>56</v>
      </c>
      <c r="B991" s="20" t="s">
        <v>68</v>
      </c>
      <c r="C991" s="20" t="s">
        <v>8</v>
      </c>
      <c r="D991" s="20" t="s">
        <v>10</v>
      </c>
      <c r="E991" s="20" t="s">
        <v>15</v>
      </c>
      <c r="F991" s="20" t="str">
        <f>INDEX(nrg_cb_e!$A$3:$A$40,MATCH(LEFT(MID('Industriesektor GWh'!$B991,41,1000),SEARCH(" - ",MID('Industriesektor GWh'!$B991,41,1000))-1),nrg_cb_e!$C$3:$C$40,0))</f>
        <v>FC_IND_MQ_E</v>
      </c>
      <c r="G991" s="21">
        <v>0</v>
      </c>
    </row>
    <row r="992" spans="1:7" x14ac:dyDescent="0.2">
      <c r="A992" s="16" t="s">
        <v>56</v>
      </c>
      <c r="B992" s="17" t="s">
        <v>68</v>
      </c>
      <c r="C992" s="17" t="s">
        <v>8</v>
      </c>
      <c r="D992" s="17" t="s">
        <v>10</v>
      </c>
      <c r="E992" s="17" t="s">
        <v>16</v>
      </c>
      <c r="F992" s="17" t="str">
        <f>INDEX(nrg_cb_e!$A$3:$A$40,MATCH(LEFT(MID('Industriesektor GWh'!$B992,41,1000),SEARCH(" - ",MID('Industriesektor GWh'!$B992,41,1000))-1),nrg_cb_e!$C$3:$C$40,0))</f>
        <v>FC_IND_MQ_E</v>
      </c>
      <c r="G992" s="18">
        <v>0</v>
      </c>
    </row>
    <row r="993" spans="1:7" x14ac:dyDescent="0.2">
      <c r="A993" s="19" t="s">
        <v>56</v>
      </c>
      <c r="B993" s="20" t="s">
        <v>68</v>
      </c>
      <c r="C993" s="20" t="s">
        <v>8</v>
      </c>
      <c r="D993" s="20" t="s">
        <v>10</v>
      </c>
      <c r="E993" s="20" t="s">
        <v>17</v>
      </c>
      <c r="F993" s="20" t="str">
        <f>INDEX(nrg_cb_e!$A$3:$A$40,MATCH(LEFT(MID('Industriesektor GWh'!$B993,41,1000),SEARCH(" - ",MID('Industriesektor GWh'!$B993,41,1000))-1),nrg_cb_e!$C$3:$C$40,0))</f>
        <v>FC_IND_MQ_E</v>
      </c>
      <c r="G993" s="21">
        <v>0</v>
      </c>
    </row>
    <row r="994" spans="1:7" x14ac:dyDescent="0.2">
      <c r="A994" s="16" t="s">
        <v>56</v>
      </c>
      <c r="B994" s="17" t="s">
        <v>68</v>
      </c>
      <c r="C994" s="17" t="s">
        <v>8</v>
      </c>
      <c r="D994" s="17" t="s">
        <v>10</v>
      </c>
      <c r="E994" s="17" t="s">
        <v>18</v>
      </c>
      <c r="F994" s="17" t="str">
        <f>INDEX(nrg_cb_e!$A$3:$A$40,MATCH(LEFT(MID('Industriesektor GWh'!$B994,41,1000),SEARCH(" - ",MID('Industriesektor GWh'!$B994,41,1000))-1),nrg_cb_e!$C$3:$C$40,0))</f>
        <v>FC_IND_MQ_E</v>
      </c>
      <c r="G994" s="18">
        <v>0</v>
      </c>
    </row>
    <row r="995" spans="1:7" x14ac:dyDescent="0.2">
      <c r="A995" s="19" t="s">
        <v>56</v>
      </c>
      <c r="B995" s="20" t="s">
        <v>68</v>
      </c>
      <c r="C995" s="20" t="s">
        <v>8</v>
      </c>
      <c r="D995" s="20" t="s">
        <v>10</v>
      </c>
      <c r="E995" s="20" t="s">
        <v>19</v>
      </c>
      <c r="F995" s="20" t="str">
        <f>INDEX(nrg_cb_e!$A$3:$A$40,MATCH(LEFT(MID('Industriesektor GWh'!$B995,41,1000),SEARCH(" - ",MID('Industriesektor GWh'!$B995,41,1000))-1),nrg_cb_e!$C$3:$C$40,0))</f>
        <v>FC_IND_MQ_E</v>
      </c>
      <c r="G995" s="21">
        <v>0</v>
      </c>
    </row>
    <row r="996" spans="1:7" x14ac:dyDescent="0.2">
      <c r="A996" s="16" t="s">
        <v>56</v>
      </c>
      <c r="B996" s="17" t="s">
        <v>68</v>
      </c>
      <c r="C996" s="17" t="s">
        <v>8</v>
      </c>
      <c r="D996" s="17" t="s">
        <v>10</v>
      </c>
      <c r="E996" s="17" t="s">
        <v>20</v>
      </c>
      <c r="F996" s="17" t="str">
        <f>INDEX(nrg_cb_e!$A$3:$A$40,MATCH(LEFT(MID('Industriesektor GWh'!$B996,41,1000),SEARCH(" - ",MID('Industriesektor GWh'!$B996,41,1000))-1),nrg_cb_e!$C$3:$C$40,0))</f>
        <v>FC_IND_MQ_E</v>
      </c>
      <c r="G996" s="18">
        <v>132</v>
      </c>
    </row>
    <row r="997" spans="1:7" x14ac:dyDescent="0.2">
      <c r="A997" s="19" t="s">
        <v>56</v>
      </c>
      <c r="B997" s="20" t="s">
        <v>68</v>
      </c>
      <c r="C997" s="20" t="s">
        <v>8</v>
      </c>
      <c r="D997" s="20" t="s">
        <v>10</v>
      </c>
      <c r="E997" s="20" t="s">
        <v>21</v>
      </c>
      <c r="F997" s="20" t="str">
        <f>INDEX(nrg_cb_e!$A$3:$A$40,MATCH(LEFT(MID('Industriesektor GWh'!$B997,41,1000),SEARCH(" - ",MID('Industriesektor GWh'!$B997,41,1000))-1),nrg_cb_e!$C$3:$C$40,0))</f>
        <v>FC_IND_MQ_E</v>
      </c>
      <c r="G997" s="21">
        <v>115</v>
      </c>
    </row>
    <row r="998" spans="1:7" x14ac:dyDescent="0.2">
      <c r="A998" s="16" t="s">
        <v>56</v>
      </c>
      <c r="B998" s="17" t="s">
        <v>68</v>
      </c>
      <c r="C998" s="17" t="s">
        <v>8</v>
      </c>
      <c r="D998" s="17" t="s">
        <v>10</v>
      </c>
      <c r="E998" s="17" t="s">
        <v>22</v>
      </c>
      <c r="F998" s="17" t="str">
        <f>INDEX(nrg_cb_e!$A$3:$A$40,MATCH(LEFT(MID('Industriesektor GWh'!$B998,41,1000),SEARCH(" - ",MID('Industriesektor GWh'!$B998,41,1000))-1),nrg_cb_e!$C$3:$C$40,0))</f>
        <v>FC_IND_MQ_E</v>
      </c>
      <c r="G998" s="18">
        <v>121</v>
      </c>
    </row>
    <row r="999" spans="1:7" x14ac:dyDescent="0.2">
      <c r="A999" s="19" t="s">
        <v>56</v>
      </c>
      <c r="B999" s="20" t="s">
        <v>68</v>
      </c>
      <c r="C999" s="20" t="s">
        <v>8</v>
      </c>
      <c r="D999" s="20" t="s">
        <v>10</v>
      </c>
      <c r="E999" s="20" t="s">
        <v>23</v>
      </c>
      <c r="F999" s="20" t="str">
        <f>INDEX(nrg_cb_e!$A$3:$A$40,MATCH(LEFT(MID('Industriesektor GWh'!$B999,41,1000),SEARCH(" - ",MID('Industriesektor GWh'!$B999,41,1000))-1),nrg_cb_e!$C$3:$C$40,0))</f>
        <v>FC_IND_MQ_E</v>
      </c>
      <c r="G999" s="21">
        <v>150</v>
      </c>
    </row>
    <row r="1000" spans="1:7" x14ac:dyDescent="0.2">
      <c r="A1000" s="16" t="s">
        <v>56</v>
      </c>
      <c r="B1000" s="17" t="s">
        <v>68</v>
      </c>
      <c r="C1000" s="17" t="s">
        <v>8</v>
      </c>
      <c r="D1000" s="17" t="s">
        <v>10</v>
      </c>
      <c r="E1000" s="17" t="s">
        <v>24</v>
      </c>
      <c r="F1000" s="17" t="str">
        <f>INDEX(nrg_cb_e!$A$3:$A$40,MATCH(LEFT(MID('Industriesektor GWh'!$B1000,41,1000),SEARCH(" - ",MID('Industriesektor GWh'!$B1000,41,1000))-1),nrg_cb_e!$C$3:$C$40,0))</f>
        <v>FC_IND_MQ_E</v>
      </c>
      <c r="G1000" s="18">
        <v>150</v>
      </c>
    </row>
    <row r="1001" spans="1:7" x14ac:dyDescent="0.2">
      <c r="A1001" s="19" t="s">
        <v>56</v>
      </c>
      <c r="B1001" s="20" t="s">
        <v>68</v>
      </c>
      <c r="C1001" s="20" t="s">
        <v>8</v>
      </c>
      <c r="D1001" s="20" t="s">
        <v>10</v>
      </c>
      <c r="E1001" s="20" t="s">
        <v>25</v>
      </c>
      <c r="F1001" s="20" t="str">
        <f>INDEX(nrg_cb_e!$A$3:$A$40,MATCH(LEFT(MID('Industriesektor GWh'!$B1001,41,1000),SEARCH(" - ",MID('Industriesektor GWh'!$B1001,41,1000))-1),nrg_cb_e!$C$3:$C$40,0))</f>
        <v>FC_IND_MQ_E</v>
      </c>
      <c r="G1001" s="21">
        <v>105.92</v>
      </c>
    </row>
    <row r="1002" spans="1:7" x14ac:dyDescent="0.2">
      <c r="A1002" s="16" t="s">
        <v>56</v>
      </c>
      <c r="B1002" s="17" t="s">
        <v>68</v>
      </c>
      <c r="C1002" s="17" t="s">
        <v>8</v>
      </c>
      <c r="D1002" s="17" t="s">
        <v>10</v>
      </c>
      <c r="E1002" s="17" t="s">
        <v>26</v>
      </c>
      <c r="F1002" s="17" t="str">
        <f>INDEX(nrg_cb_e!$A$3:$A$40,MATCH(LEFT(MID('Industriesektor GWh'!$B1002,41,1000),SEARCH(" - ",MID('Industriesektor GWh'!$B1002,41,1000))-1),nrg_cb_e!$C$3:$C$40,0))</f>
        <v>FC_IND_MQ_E</v>
      </c>
      <c r="G1002" s="18">
        <v>107.25</v>
      </c>
    </row>
    <row r="1003" spans="1:7" x14ac:dyDescent="0.2">
      <c r="A1003" s="19" t="s">
        <v>56</v>
      </c>
      <c r="B1003" s="20" t="s">
        <v>68</v>
      </c>
      <c r="C1003" s="20" t="s">
        <v>8</v>
      </c>
      <c r="D1003" s="20" t="s">
        <v>10</v>
      </c>
      <c r="E1003" s="20" t="s">
        <v>27</v>
      </c>
      <c r="F1003" s="20" t="str">
        <f>INDEX(nrg_cb_e!$A$3:$A$40,MATCH(LEFT(MID('Industriesektor GWh'!$B1003,41,1000),SEARCH(" - ",MID('Industriesektor GWh'!$B1003,41,1000))-1),nrg_cb_e!$C$3:$C$40,0))</f>
        <v>FC_IND_MQ_E</v>
      </c>
      <c r="G1003" s="21">
        <v>31.599</v>
      </c>
    </row>
    <row r="1004" spans="1:7" x14ac:dyDescent="0.2">
      <c r="A1004" s="16" t="s">
        <v>56</v>
      </c>
      <c r="B1004" s="17" t="s">
        <v>68</v>
      </c>
      <c r="C1004" s="17" t="s">
        <v>8</v>
      </c>
      <c r="D1004" s="17" t="s">
        <v>10</v>
      </c>
      <c r="E1004" s="17" t="s">
        <v>28</v>
      </c>
      <c r="F1004" s="17" t="str">
        <f>INDEX(nrg_cb_e!$A$3:$A$40,MATCH(LEFT(MID('Industriesektor GWh'!$B1004,41,1000),SEARCH(" - ",MID('Industriesektor GWh'!$B1004,41,1000))-1),nrg_cb_e!$C$3:$C$40,0))</f>
        <v>FC_IND_MQ_E</v>
      </c>
      <c r="G1004" s="18">
        <v>115.107</v>
      </c>
    </row>
    <row r="1005" spans="1:7" x14ac:dyDescent="0.2">
      <c r="A1005" s="19" t="s">
        <v>57</v>
      </c>
      <c r="B1005" s="20" t="s">
        <v>68</v>
      </c>
      <c r="C1005" s="20" t="s">
        <v>8</v>
      </c>
      <c r="D1005" s="20" t="s">
        <v>10</v>
      </c>
      <c r="E1005" s="20" t="s">
        <v>12</v>
      </c>
      <c r="F1005" s="20" t="str">
        <f>INDEX(nrg_cb_e!$A$3:$A$40,MATCH(LEFT(MID('Industriesektor GWh'!$B1005,41,1000),SEARCH(" - ",MID('Industriesektor GWh'!$B1005,41,1000))-1),nrg_cb_e!$C$3:$C$40,0))</f>
        <v>FC_IND_MQ_E</v>
      </c>
      <c r="G1005" s="21">
        <v>14</v>
      </c>
    </row>
    <row r="1006" spans="1:7" x14ac:dyDescent="0.2">
      <c r="A1006" s="16" t="s">
        <v>57</v>
      </c>
      <c r="B1006" s="17" t="s">
        <v>68</v>
      </c>
      <c r="C1006" s="17" t="s">
        <v>8</v>
      </c>
      <c r="D1006" s="17" t="s">
        <v>10</v>
      </c>
      <c r="E1006" s="17" t="s">
        <v>13</v>
      </c>
      <c r="F1006" s="17" t="str">
        <f>INDEX(nrg_cb_e!$A$3:$A$40,MATCH(LEFT(MID('Industriesektor GWh'!$B1006,41,1000),SEARCH(" - ",MID('Industriesektor GWh'!$B1006,41,1000))-1),nrg_cb_e!$C$3:$C$40,0))</f>
        <v>FC_IND_MQ_E</v>
      </c>
      <c r="G1006" s="18">
        <v>15</v>
      </c>
    </row>
    <row r="1007" spans="1:7" x14ac:dyDescent="0.2">
      <c r="A1007" s="19" t="s">
        <v>57</v>
      </c>
      <c r="B1007" s="20" t="s">
        <v>68</v>
      </c>
      <c r="C1007" s="20" t="s">
        <v>8</v>
      </c>
      <c r="D1007" s="20" t="s">
        <v>10</v>
      </c>
      <c r="E1007" s="20" t="s">
        <v>14</v>
      </c>
      <c r="F1007" s="20" t="str">
        <f>INDEX(nrg_cb_e!$A$3:$A$40,MATCH(LEFT(MID('Industriesektor GWh'!$B1007,41,1000),SEARCH(" - ",MID('Industriesektor GWh'!$B1007,41,1000))-1),nrg_cb_e!$C$3:$C$40,0))</f>
        <v>FC_IND_MQ_E</v>
      </c>
      <c r="G1007" s="21">
        <v>11</v>
      </c>
    </row>
    <row r="1008" spans="1:7" x14ac:dyDescent="0.2">
      <c r="A1008" s="16" t="s">
        <v>57</v>
      </c>
      <c r="B1008" s="17" t="s">
        <v>68</v>
      </c>
      <c r="C1008" s="17" t="s">
        <v>8</v>
      </c>
      <c r="D1008" s="17" t="s">
        <v>10</v>
      </c>
      <c r="E1008" s="17" t="s">
        <v>15</v>
      </c>
      <c r="F1008" s="17" t="str">
        <f>INDEX(nrg_cb_e!$A$3:$A$40,MATCH(LEFT(MID('Industriesektor GWh'!$B1008,41,1000),SEARCH(" - ",MID('Industriesektor GWh'!$B1008,41,1000))-1),nrg_cb_e!$C$3:$C$40,0))</f>
        <v>FC_IND_MQ_E</v>
      </c>
      <c r="G1008" s="18">
        <v>1</v>
      </c>
    </row>
    <row r="1009" spans="1:7" x14ac:dyDescent="0.2">
      <c r="A1009" s="19" t="s">
        <v>57</v>
      </c>
      <c r="B1009" s="20" t="s">
        <v>68</v>
      </c>
      <c r="C1009" s="20" t="s">
        <v>8</v>
      </c>
      <c r="D1009" s="20" t="s">
        <v>10</v>
      </c>
      <c r="E1009" s="20" t="s">
        <v>16</v>
      </c>
      <c r="F1009" s="20" t="str">
        <f>INDEX(nrg_cb_e!$A$3:$A$40,MATCH(LEFT(MID('Industriesektor GWh'!$B1009,41,1000),SEARCH(" - ",MID('Industriesektor GWh'!$B1009,41,1000))-1),nrg_cb_e!$C$3:$C$40,0))</f>
        <v>FC_IND_MQ_E</v>
      </c>
      <c r="G1009" s="21">
        <v>1</v>
      </c>
    </row>
    <row r="1010" spans="1:7" x14ac:dyDescent="0.2">
      <c r="A1010" s="16" t="s">
        <v>57</v>
      </c>
      <c r="B1010" s="17" t="s">
        <v>68</v>
      </c>
      <c r="C1010" s="17" t="s">
        <v>8</v>
      </c>
      <c r="D1010" s="17" t="s">
        <v>10</v>
      </c>
      <c r="E1010" s="17" t="s">
        <v>17</v>
      </c>
      <c r="F1010" s="17" t="str">
        <f>INDEX(nrg_cb_e!$A$3:$A$40,MATCH(LEFT(MID('Industriesektor GWh'!$B1010,41,1000),SEARCH(" - ",MID('Industriesektor GWh'!$B1010,41,1000))-1),nrg_cb_e!$C$3:$C$40,0))</f>
        <v>FC_IND_MQ_E</v>
      </c>
      <c r="G1010" s="18">
        <v>1</v>
      </c>
    </row>
    <row r="1011" spans="1:7" x14ac:dyDescent="0.2">
      <c r="A1011" s="19" t="s">
        <v>57</v>
      </c>
      <c r="B1011" s="20" t="s">
        <v>68</v>
      </c>
      <c r="C1011" s="20" t="s">
        <v>8</v>
      </c>
      <c r="D1011" s="20" t="s">
        <v>10</v>
      </c>
      <c r="E1011" s="20" t="s">
        <v>18</v>
      </c>
      <c r="F1011" s="20" t="str">
        <f>INDEX(nrg_cb_e!$A$3:$A$40,MATCH(LEFT(MID('Industriesektor GWh'!$B1011,41,1000),SEARCH(" - ",MID('Industriesektor GWh'!$B1011,41,1000))-1),nrg_cb_e!$C$3:$C$40,0))</f>
        <v>FC_IND_MQ_E</v>
      </c>
      <c r="G1011" s="21">
        <v>1</v>
      </c>
    </row>
    <row r="1012" spans="1:7" x14ac:dyDescent="0.2">
      <c r="A1012" s="16" t="s">
        <v>57</v>
      </c>
      <c r="B1012" s="17" t="s">
        <v>68</v>
      </c>
      <c r="C1012" s="17" t="s">
        <v>8</v>
      </c>
      <c r="D1012" s="17" t="s">
        <v>10</v>
      </c>
      <c r="E1012" s="17" t="s">
        <v>19</v>
      </c>
      <c r="F1012" s="17" t="str">
        <f>INDEX(nrg_cb_e!$A$3:$A$40,MATCH(LEFT(MID('Industriesektor GWh'!$B1012,41,1000),SEARCH(" - ",MID('Industriesektor GWh'!$B1012,41,1000))-1),nrg_cb_e!$C$3:$C$40,0))</f>
        <v>FC_IND_MQ_E</v>
      </c>
      <c r="G1012" s="18">
        <v>1</v>
      </c>
    </row>
    <row r="1013" spans="1:7" x14ac:dyDescent="0.2">
      <c r="A1013" s="19" t="s">
        <v>57</v>
      </c>
      <c r="B1013" s="20" t="s">
        <v>68</v>
      </c>
      <c r="C1013" s="20" t="s">
        <v>8</v>
      </c>
      <c r="D1013" s="20" t="s">
        <v>10</v>
      </c>
      <c r="E1013" s="20" t="s">
        <v>20</v>
      </c>
      <c r="F1013" s="20" t="str">
        <f>INDEX(nrg_cb_e!$A$3:$A$40,MATCH(LEFT(MID('Industriesektor GWh'!$B1013,41,1000),SEARCH(" - ",MID('Industriesektor GWh'!$B1013,41,1000))-1),nrg_cb_e!$C$3:$C$40,0))</f>
        <v>FC_IND_MQ_E</v>
      </c>
      <c r="G1013" s="21">
        <v>1</v>
      </c>
    </row>
    <row r="1014" spans="1:7" x14ac:dyDescent="0.2">
      <c r="A1014" s="16" t="s">
        <v>57</v>
      </c>
      <c r="B1014" s="17" t="s">
        <v>68</v>
      </c>
      <c r="C1014" s="17" t="s">
        <v>8</v>
      </c>
      <c r="D1014" s="17" t="s">
        <v>10</v>
      </c>
      <c r="E1014" s="17" t="s">
        <v>21</v>
      </c>
      <c r="F1014" s="17" t="str">
        <f>INDEX(nrg_cb_e!$A$3:$A$40,MATCH(LEFT(MID('Industriesektor GWh'!$B1014,41,1000),SEARCH(" - ",MID('Industriesektor GWh'!$B1014,41,1000))-1),nrg_cb_e!$C$3:$C$40,0))</f>
        <v>FC_IND_MQ_E</v>
      </c>
      <c r="G1014" s="18">
        <v>1</v>
      </c>
    </row>
    <row r="1015" spans="1:7" x14ac:dyDescent="0.2">
      <c r="A1015" s="19" t="s">
        <v>57</v>
      </c>
      <c r="B1015" s="20" t="s">
        <v>68</v>
      </c>
      <c r="C1015" s="20" t="s">
        <v>8</v>
      </c>
      <c r="D1015" s="20" t="s">
        <v>10</v>
      </c>
      <c r="E1015" s="20" t="s">
        <v>22</v>
      </c>
      <c r="F1015" s="20" t="str">
        <f>INDEX(nrg_cb_e!$A$3:$A$40,MATCH(LEFT(MID('Industriesektor GWh'!$B1015,41,1000),SEARCH(" - ",MID('Industriesektor GWh'!$B1015,41,1000))-1),nrg_cb_e!$C$3:$C$40,0))</f>
        <v>FC_IND_MQ_E</v>
      </c>
      <c r="G1015" s="21">
        <v>1</v>
      </c>
    </row>
    <row r="1016" spans="1:7" x14ac:dyDescent="0.2">
      <c r="A1016" s="16" t="s">
        <v>57</v>
      </c>
      <c r="B1016" s="17" t="s">
        <v>68</v>
      </c>
      <c r="C1016" s="17" t="s">
        <v>8</v>
      </c>
      <c r="D1016" s="17" t="s">
        <v>10</v>
      </c>
      <c r="E1016" s="17" t="s">
        <v>23</v>
      </c>
      <c r="F1016" s="17" t="str">
        <f>INDEX(nrg_cb_e!$A$3:$A$40,MATCH(LEFT(MID('Industriesektor GWh'!$B1016,41,1000),SEARCH(" - ",MID('Industriesektor GWh'!$B1016,41,1000))-1),nrg_cb_e!$C$3:$C$40,0))</f>
        <v>FC_IND_MQ_E</v>
      </c>
      <c r="G1016" s="18">
        <v>1</v>
      </c>
    </row>
    <row r="1017" spans="1:7" x14ac:dyDescent="0.2">
      <c r="A1017" s="19" t="s">
        <v>57</v>
      </c>
      <c r="B1017" s="20" t="s">
        <v>68</v>
      </c>
      <c r="C1017" s="20" t="s">
        <v>8</v>
      </c>
      <c r="D1017" s="20" t="s">
        <v>10</v>
      </c>
      <c r="E1017" s="20" t="s">
        <v>24</v>
      </c>
      <c r="F1017" s="20" t="str">
        <f>INDEX(nrg_cb_e!$A$3:$A$40,MATCH(LEFT(MID('Industriesektor GWh'!$B1017,41,1000),SEARCH(" - ",MID('Industriesektor GWh'!$B1017,41,1000))-1),nrg_cb_e!$C$3:$C$40,0))</f>
        <v>FC_IND_MQ_E</v>
      </c>
      <c r="G1017" s="21">
        <v>1</v>
      </c>
    </row>
    <row r="1018" spans="1:7" x14ac:dyDescent="0.2">
      <c r="A1018" s="16" t="s">
        <v>57</v>
      </c>
      <c r="B1018" s="17" t="s">
        <v>68</v>
      </c>
      <c r="C1018" s="17" t="s">
        <v>8</v>
      </c>
      <c r="D1018" s="17" t="s">
        <v>10</v>
      </c>
      <c r="E1018" s="17" t="s">
        <v>25</v>
      </c>
      <c r="F1018" s="17" t="str">
        <f>INDEX(nrg_cb_e!$A$3:$A$40,MATCH(LEFT(MID('Industriesektor GWh'!$B1018,41,1000),SEARCH(" - ",MID('Industriesektor GWh'!$B1018,41,1000))-1),nrg_cb_e!$C$3:$C$40,0))</f>
        <v>FC_IND_MQ_E</v>
      </c>
      <c r="G1018" s="18">
        <v>2</v>
      </c>
    </row>
    <row r="1019" spans="1:7" x14ac:dyDescent="0.2">
      <c r="A1019" s="19" t="s">
        <v>57</v>
      </c>
      <c r="B1019" s="20" t="s">
        <v>68</v>
      </c>
      <c r="C1019" s="20" t="s">
        <v>8</v>
      </c>
      <c r="D1019" s="20" t="s">
        <v>10</v>
      </c>
      <c r="E1019" s="20" t="s">
        <v>26</v>
      </c>
      <c r="F1019" s="20" t="str">
        <f>INDEX(nrg_cb_e!$A$3:$A$40,MATCH(LEFT(MID('Industriesektor GWh'!$B1019,41,1000),SEARCH(" - ",MID('Industriesektor GWh'!$B1019,41,1000))-1),nrg_cb_e!$C$3:$C$40,0))</f>
        <v>FC_IND_MQ_E</v>
      </c>
      <c r="G1019" s="21">
        <v>3</v>
      </c>
    </row>
    <row r="1020" spans="1:7" x14ac:dyDescent="0.2">
      <c r="A1020" s="16" t="s">
        <v>57</v>
      </c>
      <c r="B1020" s="17" t="s">
        <v>68</v>
      </c>
      <c r="C1020" s="17" t="s">
        <v>8</v>
      </c>
      <c r="D1020" s="17" t="s">
        <v>10</v>
      </c>
      <c r="E1020" s="17" t="s">
        <v>27</v>
      </c>
      <c r="F1020" s="17" t="str">
        <f>INDEX(nrg_cb_e!$A$3:$A$40,MATCH(LEFT(MID('Industriesektor GWh'!$B1020,41,1000),SEARCH(" - ",MID('Industriesektor GWh'!$B1020,41,1000))-1),nrg_cb_e!$C$3:$C$40,0))</f>
        <v>FC_IND_MQ_E</v>
      </c>
      <c r="G1020" s="18">
        <v>1.8879999999999999</v>
      </c>
    </row>
    <row r="1021" spans="1:7" x14ac:dyDescent="0.2">
      <c r="A1021" s="19" t="s">
        <v>57</v>
      </c>
      <c r="B1021" s="20" t="s">
        <v>68</v>
      </c>
      <c r="C1021" s="20" t="s">
        <v>8</v>
      </c>
      <c r="D1021" s="20" t="s">
        <v>10</v>
      </c>
      <c r="E1021" s="20" t="s">
        <v>28</v>
      </c>
      <c r="F1021" s="20" t="str">
        <f>INDEX(nrg_cb_e!$A$3:$A$40,MATCH(LEFT(MID('Industriesektor GWh'!$B1021,41,1000),SEARCH(" - ",MID('Industriesektor GWh'!$B1021,41,1000))-1),nrg_cb_e!$C$3:$C$40,0))</f>
        <v>FC_IND_MQ_E</v>
      </c>
      <c r="G1021" s="21">
        <v>4.0549999999999997</v>
      </c>
    </row>
    <row r="1022" spans="1:7" x14ac:dyDescent="0.2">
      <c r="A1022" s="16" t="s">
        <v>58</v>
      </c>
      <c r="B1022" s="17" t="s">
        <v>68</v>
      </c>
      <c r="C1022" s="17" t="s">
        <v>8</v>
      </c>
      <c r="D1022" s="17" t="s">
        <v>10</v>
      </c>
      <c r="E1022" s="17" t="s">
        <v>12</v>
      </c>
      <c r="F1022" s="17" t="str">
        <f>INDEX(nrg_cb_e!$A$3:$A$40,MATCH(LEFT(MID('Industriesektor GWh'!$B1022,41,1000),SEARCH(" - ",MID('Industriesektor GWh'!$B1022,41,1000))-1),nrg_cb_e!$C$3:$C$40,0))</f>
        <v>FC_IND_MQ_E</v>
      </c>
      <c r="G1022" s="18">
        <v>450</v>
      </c>
    </row>
    <row r="1023" spans="1:7" x14ac:dyDescent="0.2">
      <c r="A1023" s="19" t="s">
        <v>58</v>
      </c>
      <c r="B1023" s="20" t="s">
        <v>68</v>
      </c>
      <c r="C1023" s="20" t="s">
        <v>8</v>
      </c>
      <c r="D1023" s="20" t="s">
        <v>10</v>
      </c>
      <c r="E1023" s="20" t="s">
        <v>13</v>
      </c>
      <c r="F1023" s="20" t="str">
        <f>INDEX(nrg_cb_e!$A$3:$A$40,MATCH(LEFT(MID('Industriesektor GWh'!$B1023,41,1000),SEARCH(" - ",MID('Industriesektor GWh'!$B1023,41,1000))-1),nrg_cb_e!$C$3:$C$40,0))</f>
        <v>FC_IND_MQ_E</v>
      </c>
      <c r="G1023" s="21">
        <v>462</v>
      </c>
    </row>
    <row r="1024" spans="1:7" x14ac:dyDescent="0.2">
      <c r="A1024" s="16" t="s">
        <v>58</v>
      </c>
      <c r="B1024" s="17" t="s">
        <v>68</v>
      </c>
      <c r="C1024" s="17" t="s">
        <v>8</v>
      </c>
      <c r="D1024" s="17" t="s">
        <v>10</v>
      </c>
      <c r="E1024" s="17" t="s">
        <v>14</v>
      </c>
      <c r="F1024" s="17" t="str">
        <f>INDEX(nrg_cb_e!$A$3:$A$40,MATCH(LEFT(MID('Industriesektor GWh'!$B1024,41,1000),SEARCH(" - ",MID('Industriesektor GWh'!$B1024,41,1000))-1),nrg_cb_e!$C$3:$C$40,0))</f>
        <v>FC_IND_MQ_E</v>
      </c>
      <c r="G1024" s="18">
        <v>474</v>
      </c>
    </row>
    <row r="1025" spans="1:7" x14ac:dyDescent="0.2">
      <c r="A1025" s="19" t="s">
        <v>58</v>
      </c>
      <c r="B1025" s="20" t="s">
        <v>68</v>
      </c>
      <c r="C1025" s="20" t="s">
        <v>8</v>
      </c>
      <c r="D1025" s="20" t="s">
        <v>10</v>
      </c>
      <c r="E1025" s="20" t="s">
        <v>15</v>
      </c>
      <c r="F1025" s="20" t="str">
        <f>INDEX(nrg_cb_e!$A$3:$A$40,MATCH(LEFT(MID('Industriesektor GWh'!$B1025,41,1000),SEARCH(" - ",MID('Industriesektor GWh'!$B1025,41,1000))-1),nrg_cb_e!$C$3:$C$40,0))</f>
        <v>FC_IND_MQ_E</v>
      </c>
      <c r="G1025" s="21">
        <v>455</v>
      </c>
    </row>
    <row r="1026" spans="1:7" x14ac:dyDescent="0.2">
      <c r="A1026" s="16" t="s">
        <v>58</v>
      </c>
      <c r="B1026" s="17" t="s">
        <v>68</v>
      </c>
      <c r="C1026" s="17" t="s">
        <v>8</v>
      </c>
      <c r="D1026" s="17" t="s">
        <v>10</v>
      </c>
      <c r="E1026" s="17" t="s">
        <v>16</v>
      </c>
      <c r="F1026" s="17" t="str">
        <f>INDEX(nrg_cb_e!$A$3:$A$40,MATCH(LEFT(MID('Industriesektor GWh'!$B1026,41,1000),SEARCH(" - ",MID('Industriesektor GWh'!$B1026,41,1000))-1),nrg_cb_e!$C$3:$C$40,0))</f>
        <v>FC_IND_MQ_E</v>
      </c>
      <c r="G1026" s="18">
        <v>446</v>
      </c>
    </row>
    <row r="1027" spans="1:7" x14ac:dyDescent="0.2">
      <c r="A1027" s="19" t="s">
        <v>58</v>
      </c>
      <c r="B1027" s="20" t="s">
        <v>68</v>
      </c>
      <c r="C1027" s="20" t="s">
        <v>8</v>
      </c>
      <c r="D1027" s="20" t="s">
        <v>10</v>
      </c>
      <c r="E1027" s="20" t="s">
        <v>17</v>
      </c>
      <c r="F1027" s="20" t="str">
        <f>INDEX(nrg_cb_e!$A$3:$A$40,MATCH(LEFT(MID('Industriesektor GWh'!$B1027,41,1000),SEARCH(" - ",MID('Industriesektor GWh'!$B1027,41,1000))-1),nrg_cb_e!$C$3:$C$40,0))</f>
        <v>FC_IND_MQ_E</v>
      </c>
      <c r="G1027" s="21">
        <v>466</v>
      </c>
    </row>
    <row r="1028" spans="1:7" x14ac:dyDescent="0.2">
      <c r="A1028" s="16" t="s">
        <v>58</v>
      </c>
      <c r="B1028" s="17" t="s">
        <v>68</v>
      </c>
      <c r="C1028" s="17" t="s">
        <v>8</v>
      </c>
      <c r="D1028" s="17" t="s">
        <v>10</v>
      </c>
      <c r="E1028" s="17" t="s">
        <v>18</v>
      </c>
      <c r="F1028" s="17" t="str">
        <f>INDEX(nrg_cb_e!$A$3:$A$40,MATCH(LEFT(MID('Industriesektor GWh'!$B1028,41,1000),SEARCH(" - ",MID('Industriesektor GWh'!$B1028,41,1000))-1),nrg_cb_e!$C$3:$C$40,0))</f>
        <v>FC_IND_MQ_E</v>
      </c>
      <c r="G1028" s="18">
        <v>497</v>
      </c>
    </row>
    <row r="1029" spans="1:7" x14ac:dyDescent="0.2">
      <c r="A1029" s="19" t="s">
        <v>58</v>
      </c>
      <c r="B1029" s="20" t="s">
        <v>68</v>
      </c>
      <c r="C1029" s="20" t="s">
        <v>8</v>
      </c>
      <c r="D1029" s="20" t="s">
        <v>10</v>
      </c>
      <c r="E1029" s="20" t="s">
        <v>19</v>
      </c>
      <c r="F1029" s="20" t="str">
        <f>INDEX(nrg_cb_e!$A$3:$A$40,MATCH(LEFT(MID('Industriesektor GWh'!$B1029,41,1000),SEARCH(" - ",MID('Industriesektor GWh'!$B1029,41,1000))-1),nrg_cb_e!$C$3:$C$40,0))</f>
        <v>FC_IND_MQ_E</v>
      </c>
      <c r="G1029" s="21">
        <v>436</v>
      </c>
    </row>
    <row r="1030" spans="1:7" x14ac:dyDescent="0.2">
      <c r="A1030" s="16" t="s">
        <v>58</v>
      </c>
      <c r="B1030" s="17" t="s">
        <v>68</v>
      </c>
      <c r="C1030" s="17" t="s">
        <v>8</v>
      </c>
      <c r="D1030" s="17" t="s">
        <v>10</v>
      </c>
      <c r="E1030" s="17" t="s">
        <v>20</v>
      </c>
      <c r="F1030" s="17" t="str">
        <f>INDEX(nrg_cb_e!$A$3:$A$40,MATCH(LEFT(MID('Industriesektor GWh'!$B1030,41,1000),SEARCH(" - ",MID('Industriesektor GWh'!$B1030,41,1000))-1),nrg_cb_e!$C$3:$C$40,0))</f>
        <v>FC_IND_MQ_E</v>
      </c>
      <c r="G1030" s="18">
        <v>558</v>
      </c>
    </row>
    <row r="1031" spans="1:7" x14ac:dyDescent="0.2">
      <c r="A1031" s="19" t="s">
        <v>58</v>
      </c>
      <c r="B1031" s="20" t="s">
        <v>68</v>
      </c>
      <c r="C1031" s="20" t="s">
        <v>8</v>
      </c>
      <c r="D1031" s="20" t="s">
        <v>10</v>
      </c>
      <c r="E1031" s="20" t="s">
        <v>21</v>
      </c>
      <c r="F1031" s="20" t="str">
        <f>INDEX(nrg_cb_e!$A$3:$A$40,MATCH(LEFT(MID('Industriesektor GWh'!$B1031,41,1000),SEARCH(" - ",MID('Industriesektor GWh'!$B1031,41,1000))-1),nrg_cb_e!$C$3:$C$40,0))</f>
        <v>FC_IND_MQ_E</v>
      </c>
      <c r="G1031" s="21">
        <v>609</v>
      </c>
    </row>
    <row r="1032" spans="1:7" x14ac:dyDescent="0.2">
      <c r="A1032" s="16" t="s">
        <v>58</v>
      </c>
      <c r="B1032" s="17" t="s">
        <v>68</v>
      </c>
      <c r="C1032" s="17" t="s">
        <v>8</v>
      </c>
      <c r="D1032" s="17" t="s">
        <v>10</v>
      </c>
      <c r="E1032" s="17" t="s">
        <v>22</v>
      </c>
      <c r="F1032" s="17" t="str">
        <f>INDEX(nrg_cb_e!$A$3:$A$40,MATCH(LEFT(MID('Industriesektor GWh'!$B1032,41,1000),SEARCH(" - ",MID('Industriesektor GWh'!$B1032,41,1000))-1),nrg_cb_e!$C$3:$C$40,0))</f>
        <v>FC_IND_MQ_E</v>
      </c>
      <c r="G1032" s="18">
        <v>573</v>
      </c>
    </row>
    <row r="1033" spans="1:7" x14ac:dyDescent="0.2">
      <c r="A1033" s="19" t="s">
        <v>58</v>
      </c>
      <c r="B1033" s="20" t="s">
        <v>68</v>
      </c>
      <c r="C1033" s="20" t="s">
        <v>8</v>
      </c>
      <c r="D1033" s="20" t="s">
        <v>10</v>
      </c>
      <c r="E1033" s="20" t="s">
        <v>23</v>
      </c>
      <c r="F1033" s="20" t="str">
        <f>INDEX(nrg_cb_e!$A$3:$A$40,MATCH(LEFT(MID('Industriesektor GWh'!$B1033,41,1000),SEARCH(" - ",MID('Industriesektor GWh'!$B1033,41,1000))-1),nrg_cb_e!$C$3:$C$40,0))</f>
        <v>FC_IND_MQ_E</v>
      </c>
      <c r="G1033" s="21">
        <v>584</v>
      </c>
    </row>
    <row r="1034" spans="1:7" x14ac:dyDescent="0.2">
      <c r="A1034" s="16" t="s">
        <v>58</v>
      </c>
      <c r="B1034" s="17" t="s">
        <v>68</v>
      </c>
      <c r="C1034" s="17" t="s">
        <v>8</v>
      </c>
      <c r="D1034" s="17" t="s">
        <v>10</v>
      </c>
      <c r="E1034" s="17" t="s">
        <v>24</v>
      </c>
      <c r="F1034" s="17" t="str">
        <f>INDEX(nrg_cb_e!$A$3:$A$40,MATCH(LEFT(MID('Industriesektor GWh'!$B1034,41,1000),SEARCH(" - ",MID('Industriesektor GWh'!$B1034,41,1000))-1),nrg_cb_e!$C$3:$C$40,0))</f>
        <v>FC_IND_MQ_E</v>
      </c>
      <c r="G1034" s="18">
        <v>580</v>
      </c>
    </row>
    <row r="1035" spans="1:7" x14ac:dyDescent="0.2">
      <c r="A1035" s="19" t="s">
        <v>58</v>
      </c>
      <c r="B1035" s="20" t="s">
        <v>68</v>
      </c>
      <c r="C1035" s="20" t="s">
        <v>8</v>
      </c>
      <c r="D1035" s="20" t="s">
        <v>10</v>
      </c>
      <c r="E1035" s="20" t="s">
        <v>25</v>
      </c>
      <c r="F1035" s="20" t="str">
        <f>INDEX(nrg_cb_e!$A$3:$A$40,MATCH(LEFT(MID('Industriesektor GWh'!$B1035,41,1000),SEARCH(" - ",MID('Industriesektor GWh'!$B1035,41,1000))-1),nrg_cb_e!$C$3:$C$40,0))</f>
        <v>FC_IND_MQ_E</v>
      </c>
      <c r="G1035" s="21">
        <v>532</v>
      </c>
    </row>
    <row r="1036" spans="1:7" x14ac:dyDescent="0.2">
      <c r="A1036" s="16" t="s">
        <v>58</v>
      </c>
      <c r="B1036" s="17" t="s">
        <v>68</v>
      </c>
      <c r="C1036" s="17" t="s">
        <v>8</v>
      </c>
      <c r="D1036" s="17" t="s">
        <v>10</v>
      </c>
      <c r="E1036" s="17" t="s">
        <v>26</v>
      </c>
      <c r="F1036" s="17" t="str">
        <f>INDEX(nrg_cb_e!$A$3:$A$40,MATCH(LEFT(MID('Industriesektor GWh'!$B1036,41,1000),SEARCH(" - ",MID('Industriesektor GWh'!$B1036,41,1000))-1),nrg_cb_e!$C$3:$C$40,0))</f>
        <v>FC_IND_MQ_E</v>
      </c>
      <c r="G1036" s="18">
        <v>416</v>
      </c>
    </row>
    <row r="1037" spans="1:7" x14ac:dyDescent="0.2">
      <c r="A1037" s="19" t="s">
        <v>58</v>
      </c>
      <c r="B1037" s="20" t="s">
        <v>68</v>
      </c>
      <c r="C1037" s="20" t="s">
        <v>8</v>
      </c>
      <c r="D1037" s="20" t="s">
        <v>10</v>
      </c>
      <c r="E1037" s="20" t="s">
        <v>27</v>
      </c>
      <c r="F1037" s="20" t="str">
        <f>INDEX(nrg_cb_e!$A$3:$A$40,MATCH(LEFT(MID('Industriesektor GWh'!$B1037,41,1000),SEARCH(" - ",MID('Industriesektor GWh'!$B1037,41,1000))-1),nrg_cb_e!$C$3:$C$40,0))</f>
        <v>FC_IND_MQ_E</v>
      </c>
      <c r="G1037" s="21">
        <v>411</v>
      </c>
    </row>
    <row r="1038" spans="1:7" x14ac:dyDescent="0.2">
      <c r="A1038" s="16" t="s">
        <v>58</v>
      </c>
      <c r="B1038" s="17" t="s">
        <v>68</v>
      </c>
      <c r="C1038" s="17" t="s">
        <v>8</v>
      </c>
      <c r="D1038" s="17" t="s">
        <v>10</v>
      </c>
      <c r="E1038" s="17" t="s">
        <v>28</v>
      </c>
      <c r="F1038" s="17" t="str">
        <f>INDEX(nrg_cb_e!$A$3:$A$40,MATCH(LEFT(MID('Industriesektor GWh'!$B1038,41,1000),SEARCH(" - ",MID('Industriesektor GWh'!$B1038,41,1000))-1),nrg_cb_e!$C$3:$C$40,0))</f>
        <v>FC_IND_MQ_E</v>
      </c>
      <c r="G1038" s="18">
        <v>399.24900000000002</v>
      </c>
    </row>
    <row r="1039" spans="1:7" x14ac:dyDescent="0.2">
      <c r="A1039" s="19" t="s">
        <v>59</v>
      </c>
      <c r="B1039" s="20" t="s">
        <v>68</v>
      </c>
      <c r="C1039" s="20" t="s">
        <v>8</v>
      </c>
      <c r="D1039" s="20" t="s">
        <v>10</v>
      </c>
      <c r="E1039" s="20" t="s">
        <v>12</v>
      </c>
      <c r="F1039" s="20" t="str">
        <f>INDEX(nrg_cb_e!$A$3:$A$40,MATCH(LEFT(MID('Industriesektor GWh'!$B1039,41,1000),SEARCH(" - ",MID('Industriesektor GWh'!$B1039,41,1000))-1),nrg_cb_e!$C$3:$C$40,0))</f>
        <v>FC_IND_MQ_E</v>
      </c>
      <c r="G1039" s="21">
        <v>0</v>
      </c>
    </row>
    <row r="1040" spans="1:7" x14ac:dyDescent="0.2">
      <c r="A1040" s="16" t="s">
        <v>59</v>
      </c>
      <c r="B1040" s="17" t="s">
        <v>68</v>
      </c>
      <c r="C1040" s="17" t="s">
        <v>8</v>
      </c>
      <c r="D1040" s="17" t="s">
        <v>10</v>
      </c>
      <c r="E1040" s="17" t="s">
        <v>13</v>
      </c>
      <c r="F1040" s="17" t="str">
        <f>INDEX(nrg_cb_e!$A$3:$A$40,MATCH(LEFT(MID('Industriesektor GWh'!$B1040,41,1000),SEARCH(" - ",MID('Industriesektor GWh'!$B1040,41,1000))-1),nrg_cb_e!$C$3:$C$40,0))</f>
        <v>FC_IND_MQ_E</v>
      </c>
      <c r="G1040" s="18">
        <v>0</v>
      </c>
    </row>
    <row r="1041" spans="1:7" x14ac:dyDescent="0.2">
      <c r="A1041" s="19" t="s">
        <v>59</v>
      </c>
      <c r="B1041" s="20" t="s">
        <v>68</v>
      </c>
      <c r="C1041" s="20" t="s">
        <v>8</v>
      </c>
      <c r="D1041" s="20" t="s">
        <v>10</v>
      </c>
      <c r="E1041" s="20" t="s">
        <v>14</v>
      </c>
      <c r="F1041" s="20" t="str">
        <f>INDEX(nrg_cb_e!$A$3:$A$40,MATCH(LEFT(MID('Industriesektor GWh'!$B1041,41,1000),SEARCH(" - ",MID('Industriesektor GWh'!$B1041,41,1000))-1),nrg_cb_e!$C$3:$C$40,0))</f>
        <v>FC_IND_MQ_E</v>
      </c>
      <c r="G1041" s="21">
        <v>348</v>
      </c>
    </row>
    <row r="1042" spans="1:7" x14ac:dyDescent="0.2">
      <c r="A1042" s="16" t="s">
        <v>59</v>
      </c>
      <c r="B1042" s="17" t="s">
        <v>68</v>
      </c>
      <c r="C1042" s="17" t="s">
        <v>8</v>
      </c>
      <c r="D1042" s="17" t="s">
        <v>10</v>
      </c>
      <c r="E1042" s="17" t="s">
        <v>15</v>
      </c>
      <c r="F1042" s="17" t="str">
        <f>INDEX(nrg_cb_e!$A$3:$A$40,MATCH(LEFT(MID('Industriesektor GWh'!$B1042,41,1000),SEARCH(" - ",MID('Industriesektor GWh'!$B1042,41,1000))-1),nrg_cb_e!$C$3:$C$40,0))</f>
        <v>FC_IND_MQ_E</v>
      </c>
      <c r="G1042" s="18">
        <v>356</v>
      </c>
    </row>
    <row r="1043" spans="1:7" x14ac:dyDescent="0.2">
      <c r="A1043" s="19" t="s">
        <v>59</v>
      </c>
      <c r="B1043" s="20" t="s">
        <v>68</v>
      </c>
      <c r="C1043" s="20" t="s">
        <v>8</v>
      </c>
      <c r="D1043" s="20" t="s">
        <v>10</v>
      </c>
      <c r="E1043" s="20" t="s">
        <v>16</v>
      </c>
      <c r="F1043" s="20" t="str">
        <f>INDEX(nrg_cb_e!$A$3:$A$40,MATCH(LEFT(MID('Industriesektor GWh'!$B1043,41,1000),SEARCH(" - ",MID('Industriesektor GWh'!$B1043,41,1000))-1),nrg_cb_e!$C$3:$C$40,0))</f>
        <v>FC_IND_MQ_E</v>
      </c>
      <c r="G1043" s="21">
        <v>378</v>
      </c>
    </row>
    <row r="1044" spans="1:7" x14ac:dyDescent="0.2">
      <c r="A1044" s="16" t="s">
        <v>59</v>
      </c>
      <c r="B1044" s="17" t="s">
        <v>68</v>
      </c>
      <c r="C1044" s="17" t="s">
        <v>8</v>
      </c>
      <c r="D1044" s="17" t="s">
        <v>10</v>
      </c>
      <c r="E1044" s="17" t="s">
        <v>17</v>
      </c>
      <c r="F1044" s="17" t="str">
        <f>INDEX(nrg_cb_e!$A$3:$A$40,MATCH(LEFT(MID('Industriesektor GWh'!$B1044,41,1000),SEARCH(" - ",MID('Industriesektor GWh'!$B1044,41,1000))-1),nrg_cb_e!$C$3:$C$40,0))</f>
        <v>FC_IND_MQ_E</v>
      </c>
      <c r="G1044" s="18">
        <v>354</v>
      </c>
    </row>
    <row r="1045" spans="1:7" x14ac:dyDescent="0.2">
      <c r="A1045" s="19" t="s">
        <v>59</v>
      </c>
      <c r="B1045" s="20" t="s">
        <v>68</v>
      </c>
      <c r="C1045" s="20" t="s">
        <v>8</v>
      </c>
      <c r="D1045" s="20" t="s">
        <v>10</v>
      </c>
      <c r="E1045" s="20" t="s">
        <v>18</v>
      </c>
      <c r="F1045" s="20" t="str">
        <f>INDEX(nrg_cb_e!$A$3:$A$40,MATCH(LEFT(MID('Industriesektor GWh'!$B1045,41,1000),SEARCH(" - ",MID('Industriesektor GWh'!$B1045,41,1000))-1),nrg_cb_e!$C$3:$C$40,0))</f>
        <v>FC_IND_MQ_E</v>
      </c>
      <c r="G1045" s="21">
        <v>513</v>
      </c>
    </row>
    <row r="1046" spans="1:7" x14ac:dyDescent="0.2">
      <c r="A1046" s="16" t="s">
        <v>59</v>
      </c>
      <c r="B1046" s="17" t="s">
        <v>68</v>
      </c>
      <c r="C1046" s="17" t="s">
        <v>8</v>
      </c>
      <c r="D1046" s="17" t="s">
        <v>10</v>
      </c>
      <c r="E1046" s="17" t="s">
        <v>19</v>
      </c>
      <c r="F1046" s="17" t="str">
        <f>INDEX(nrg_cb_e!$A$3:$A$40,MATCH(LEFT(MID('Industriesektor GWh'!$B1046,41,1000),SEARCH(" - ",MID('Industriesektor GWh'!$B1046,41,1000))-1),nrg_cb_e!$C$3:$C$40,0))</f>
        <v>FC_IND_MQ_E</v>
      </c>
      <c r="G1046" s="18">
        <v>431</v>
      </c>
    </row>
    <row r="1047" spans="1:7" x14ac:dyDescent="0.2">
      <c r="A1047" s="19" t="s">
        <v>59</v>
      </c>
      <c r="B1047" s="20" t="s">
        <v>68</v>
      </c>
      <c r="C1047" s="20" t="s">
        <v>8</v>
      </c>
      <c r="D1047" s="20" t="s">
        <v>10</v>
      </c>
      <c r="E1047" s="20" t="s">
        <v>20</v>
      </c>
      <c r="F1047" s="20" t="str">
        <f>INDEX(nrg_cb_e!$A$3:$A$40,MATCH(LEFT(MID('Industriesektor GWh'!$B1047,41,1000),SEARCH(" - ",MID('Industriesektor GWh'!$B1047,41,1000))-1),nrg_cb_e!$C$3:$C$40,0))</f>
        <v>FC_IND_MQ_E</v>
      </c>
      <c r="G1047" s="21">
        <v>530</v>
      </c>
    </row>
    <row r="1048" spans="1:7" x14ac:dyDescent="0.2">
      <c r="A1048" s="16" t="s">
        <v>59</v>
      </c>
      <c r="B1048" s="17" t="s">
        <v>68</v>
      </c>
      <c r="C1048" s="17" t="s">
        <v>8</v>
      </c>
      <c r="D1048" s="17" t="s">
        <v>10</v>
      </c>
      <c r="E1048" s="17" t="s">
        <v>21</v>
      </c>
      <c r="F1048" s="17" t="str">
        <f>INDEX(nrg_cb_e!$A$3:$A$40,MATCH(LEFT(MID('Industriesektor GWh'!$B1048,41,1000),SEARCH(" - ",MID('Industriesektor GWh'!$B1048,41,1000))-1),nrg_cb_e!$C$3:$C$40,0))</f>
        <v>FC_IND_MQ_E</v>
      </c>
      <c r="G1048" s="18">
        <v>687</v>
      </c>
    </row>
    <row r="1049" spans="1:7" x14ac:dyDescent="0.2">
      <c r="A1049" s="19" t="s">
        <v>59</v>
      </c>
      <c r="B1049" s="20" t="s">
        <v>68</v>
      </c>
      <c r="C1049" s="20" t="s">
        <v>8</v>
      </c>
      <c r="D1049" s="20" t="s">
        <v>10</v>
      </c>
      <c r="E1049" s="20" t="s">
        <v>22</v>
      </c>
      <c r="F1049" s="20" t="str">
        <f>INDEX(nrg_cb_e!$A$3:$A$40,MATCH(LEFT(MID('Industriesektor GWh'!$B1049,41,1000),SEARCH(" - ",MID('Industriesektor GWh'!$B1049,41,1000))-1),nrg_cb_e!$C$3:$C$40,0))</f>
        <v>FC_IND_MQ_E</v>
      </c>
      <c r="G1049" s="21">
        <v>815</v>
      </c>
    </row>
    <row r="1050" spans="1:7" x14ac:dyDescent="0.2">
      <c r="A1050" s="16" t="s">
        <v>59</v>
      </c>
      <c r="B1050" s="17" t="s">
        <v>68</v>
      </c>
      <c r="C1050" s="17" t="s">
        <v>8</v>
      </c>
      <c r="D1050" s="17" t="s">
        <v>10</v>
      </c>
      <c r="E1050" s="17" t="s">
        <v>23</v>
      </c>
      <c r="F1050" s="17" t="str">
        <f>INDEX(nrg_cb_e!$A$3:$A$40,MATCH(LEFT(MID('Industriesektor GWh'!$B1050,41,1000),SEARCH(" - ",MID('Industriesektor GWh'!$B1050,41,1000))-1),nrg_cb_e!$C$3:$C$40,0))</f>
        <v>FC_IND_MQ_E</v>
      </c>
      <c r="G1050" s="18">
        <v>825</v>
      </c>
    </row>
    <row r="1051" spans="1:7" x14ac:dyDescent="0.2">
      <c r="A1051" s="19" t="s">
        <v>59</v>
      </c>
      <c r="B1051" s="20" t="s">
        <v>68</v>
      </c>
      <c r="C1051" s="20" t="s">
        <v>8</v>
      </c>
      <c r="D1051" s="20" t="s">
        <v>10</v>
      </c>
      <c r="E1051" s="20" t="s">
        <v>24</v>
      </c>
      <c r="F1051" s="20" t="str">
        <f>INDEX(nrg_cb_e!$A$3:$A$40,MATCH(LEFT(MID('Industriesektor GWh'!$B1051,41,1000),SEARCH(" - ",MID('Industriesektor GWh'!$B1051,41,1000))-1),nrg_cb_e!$C$3:$C$40,0))</f>
        <v>FC_IND_MQ_E</v>
      </c>
      <c r="G1051" s="21">
        <v>863</v>
      </c>
    </row>
    <row r="1052" spans="1:7" x14ac:dyDescent="0.2">
      <c r="A1052" s="16" t="s">
        <v>59</v>
      </c>
      <c r="B1052" s="17" t="s">
        <v>68</v>
      </c>
      <c r="C1052" s="17" t="s">
        <v>8</v>
      </c>
      <c r="D1052" s="17" t="s">
        <v>10</v>
      </c>
      <c r="E1052" s="17" t="s">
        <v>25</v>
      </c>
      <c r="F1052" s="17" t="str">
        <f>INDEX(nrg_cb_e!$A$3:$A$40,MATCH(LEFT(MID('Industriesektor GWh'!$B1052,41,1000),SEARCH(" - ",MID('Industriesektor GWh'!$B1052,41,1000))-1),nrg_cb_e!$C$3:$C$40,0))</f>
        <v>FC_IND_MQ_E</v>
      </c>
      <c r="G1052" s="18">
        <v>843</v>
      </c>
    </row>
    <row r="1053" spans="1:7" x14ac:dyDescent="0.2">
      <c r="A1053" s="19" t="s">
        <v>59</v>
      </c>
      <c r="B1053" s="20" t="s">
        <v>68</v>
      </c>
      <c r="C1053" s="20" t="s">
        <v>8</v>
      </c>
      <c r="D1053" s="20" t="s">
        <v>10</v>
      </c>
      <c r="E1053" s="20" t="s">
        <v>26</v>
      </c>
      <c r="F1053" s="20" t="str">
        <f>INDEX(nrg_cb_e!$A$3:$A$40,MATCH(LEFT(MID('Industriesektor GWh'!$B1053,41,1000),SEARCH(" - ",MID('Industriesektor GWh'!$B1053,41,1000))-1),nrg_cb_e!$C$3:$C$40,0))</f>
        <v>FC_IND_MQ_E</v>
      </c>
      <c r="G1053" s="21">
        <v>432</v>
      </c>
    </row>
    <row r="1054" spans="1:7" x14ac:dyDescent="0.2">
      <c r="A1054" s="16" t="s">
        <v>59</v>
      </c>
      <c r="B1054" s="17" t="s">
        <v>68</v>
      </c>
      <c r="C1054" s="17" t="s">
        <v>8</v>
      </c>
      <c r="D1054" s="17" t="s">
        <v>10</v>
      </c>
      <c r="E1054" s="17" t="s">
        <v>27</v>
      </c>
      <c r="F1054" s="17" t="str">
        <f>INDEX(nrg_cb_e!$A$3:$A$40,MATCH(LEFT(MID('Industriesektor GWh'!$B1054,41,1000),SEARCH(" - ",MID('Industriesektor GWh'!$B1054,41,1000))-1),nrg_cb_e!$C$3:$C$40,0))</f>
        <v>FC_IND_MQ_E</v>
      </c>
      <c r="G1054" s="18">
        <v>453.89800000000002</v>
      </c>
    </row>
    <row r="1055" spans="1:7" x14ac:dyDescent="0.2">
      <c r="A1055" s="19" t="s">
        <v>59</v>
      </c>
      <c r="B1055" s="20" t="s">
        <v>68</v>
      </c>
      <c r="C1055" s="20" t="s">
        <v>8</v>
      </c>
      <c r="D1055" s="20" t="s">
        <v>10</v>
      </c>
      <c r="E1055" s="20" t="s">
        <v>28</v>
      </c>
      <c r="F1055" s="20" t="str">
        <f>INDEX(nrg_cb_e!$A$3:$A$40,MATCH(LEFT(MID('Industriesektor GWh'!$B1055,41,1000),SEARCH(" - ",MID('Industriesektor GWh'!$B1055,41,1000))-1),nrg_cb_e!$C$3:$C$40,0))</f>
        <v>FC_IND_MQ_E</v>
      </c>
      <c r="G1055" s="21">
        <v>407.21499999999997</v>
      </c>
    </row>
    <row r="1056" spans="1:7" x14ac:dyDescent="0.2">
      <c r="A1056" s="16" t="s">
        <v>29</v>
      </c>
      <c r="B1056" s="17" t="s">
        <v>63</v>
      </c>
      <c r="C1056" s="17" t="s">
        <v>8</v>
      </c>
      <c r="D1056" s="17" t="s">
        <v>10</v>
      </c>
      <c r="E1056" s="17" t="s">
        <v>12</v>
      </c>
      <c r="F1056" s="17" t="str">
        <f>INDEX(nrg_cb_e!$A$3:$A$40,MATCH(LEFT(MID('Industriesektor GWh'!$B1056,41,1000),SEARCH(" - ",MID('Industriesektor GWh'!$B1056,41,1000))-1),nrg_cb_e!$C$3:$C$40,0))</f>
        <v>FC_IND_CPC_E</v>
      </c>
      <c r="G1056" s="18">
        <v>13177</v>
      </c>
    </row>
    <row r="1057" spans="1:7" x14ac:dyDescent="0.2">
      <c r="A1057" s="19" t="s">
        <v>29</v>
      </c>
      <c r="B1057" s="20" t="s">
        <v>63</v>
      </c>
      <c r="C1057" s="20" t="s">
        <v>8</v>
      </c>
      <c r="D1057" s="20" t="s">
        <v>10</v>
      </c>
      <c r="E1057" s="20" t="s">
        <v>13</v>
      </c>
      <c r="F1057" s="20" t="str">
        <f>INDEX(nrg_cb_e!$A$3:$A$40,MATCH(LEFT(MID('Industriesektor GWh'!$B1057,41,1000),SEARCH(" - ",MID('Industriesektor GWh'!$B1057,41,1000))-1),nrg_cb_e!$C$3:$C$40,0))</f>
        <v>FC_IND_CPC_E</v>
      </c>
      <c r="G1057" s="21">
        <v>13537</v>
      </c>
    </row>
    <row r="1058" spans="1:7" x14ac:dyDescent="0.2">
      <c r="A1058" s="16" t="s">
        <v>29</v>
      </c>
      <c r="B1058" s="17" t="s">
        <v>63</v>
      </c>
      <c r="C1058" s="17" t="s">
        <v>8</v>
      </c>
      <c r="D1058" s="17" t="s">
        <v>10</v>
      </c>
      <c r="E1058" s="17" t="s">
        <v>14</v>
      </c>
      <c r="F1058" s="17" t="str">
        <f>INDEX(nrg_cb_e!$A$3:$A$40,MATCH(LEFT(MID('Industriesektor GWh'!$B1058,41,1000),SEARCH(" - ",MID('Industriesektor GWh'!$B1058,41,1000))-1),nrg_cb_e!$C$3:$C$40,0))</f>
        <v>FC_IND_CPC_E</v>
      </c>
      <c r="G1058" s="18">
        <v>13473</v>
      </c>
    </row>
    <row r="1059" spans="1:7" x14ac:dyDescent="0.2">
      <c r="A1059" s="19" t="s">
        <v>29</v>
      </c>
      <c r="B1059" s="20" t="s">
        <v>63</v>
      </c>
      <c r="C1059" s="20" t="s">
        <v>8</v>
      </c>
      <c r="D1059" s="20" t="s">
        <v>10</v>
      </c>
      <c r="E1059" s="20" t="s">
        <v>15</v>
      </c>
      <c r="F1059" s="20" t="str">
        <f>INDEX(nrg_cb_e!$A$3:$A$40,MATCH(LEFT(MID('Industriesektor GWh'!$B1059,41,1000),SEARCH(" - ",MID('Industriesektor GWh'!$B1059,41,1000))-1),nrg_cb_e!$C$3:$C$40,0))</f>
        <v>FC_IND_CPC_E</v>
      </c>
      <c r="G1059" s="21">
        <v>13767</v>
      </c>
    </row>
    <row r="1060" spans="1:7" x14ac:dyDescent="0.2">
      <c r="A1060" s="16" t="s">
        <v>29</v>
      </c>
      <c r="B1060" s="17" t="s">
        <v>63</v>
      </c>
      <c r="C1060" s="17" t="s">
        <v>8</v>
      </c>
      <c r="D1060" s="17" t="s">
        <v>10</v>
      </c>
      <c r="E1060" s="17" t="s">
        <v>16</v>
      </c>
      <c r="F1060" s="17" t="str">
        <f>INDEX(nrg_cb_e!$A$3:$A$40,MATCH(LEFT(MID('Industriesektor GWh'!$B1060,41,1000),SEARCH(" - ",MID('Industriesektor GWh'!$B1060,41,1000))-1),nrg_cb_e!$C$3:$C$40,0))</f>
        <v>FC_IND_CPC_E</v>
      </c>
      <c r="G1060" s="18">
        <v>11766</v>
      </c>
    </row>
    <row r="1061" spans="1:7" x14ac:dyDescent="0.2">
      <c r="A1061" s="19" t="s">
        <v>29</v>
      </c>
      <c r="B1061" s="20" t="s">
        <v>63</v>
      </c>
      <c r="C1061" s="20" t="s">
        <v>8</v>
      </c>
      <c r="D1061" s="20" t="s">
        <v>10</v>
      </c>
      <c r="E1061" s="20" t="s">
        <v>17</v>
      </c>
      <c r="F1061" s="20" t="str">
        <f>INDEX(nrg_cb_e!$A$3:$A$40,MATCH(LEFT(MID('Industriesektor GWh'!$B1061,41,1000),SEARCH(" - ",MID('Industriesektor GWh'!$B1061,41,1000))-1),nrg_cb_e!$C$3:$C$40,0))</f>
        <v>FC_IND_CPC_E</v>
      </c>
      <c r="G1061" s="21">
        <v>13176</v>
      </c>
    </row>
    <row r="1062" spans="1:7" x14ac:dyDescent="0.2">
      <c r="A1062" s="16" t="s">
        <v>29</v>
      </c>
      <c r="B1062" s="17" t="s">
        <v>63</v>
      </c>
      <c r="C1062" s="17" t="s">
        <v>8</v>
      </c>
      <c r="D1062" s="17" t="s">
        <v>10</v>
      </c>
      <c r="E1062" s="17" t="s">
        <v>18</v>
      </c>
      <c r="F1062" s="17" t="str">
        <f>INDEX(nrg_cb_e!$A$3:$A$40,MATCH(LEFT(MID('Industriesektor GWh'!$B1062,41,1000),SEARCH(" - ",MID('Industriesektor GWh'!$B1062,41,1000))-1),nrg_cb_e!$C$3:$C$40,0))</f>
        <v>FC_IND_CPC_E</v>
      </c>
      <c r="G1062" s="18">
        <v>12222</v>
      </c>
    </row>
    <row r="1063" spans="1:7" x14ac:dyDescent="0.2">
      <c r="A1063" s="19" t="s">
        <v>29</v>
      </c>
      <c r="B1063" s="20" t="s">
        <v>63</v>
      </c>
      <c r="C1063" s="20" t="s">
        <v>8</v>
      </c>
      <c r="D1063" s="20" t="s">
        <v>10</v>
      </c>
      <c r="E1063" s="20" t="s">
        <v>19</v>
      </c>
      <c r="F1063" s="20" t="str">
        <f>INDEX(nrg_cb_e!$A$3:$A$40,MATCH(LEFT(MID('Industriesektor GWh'!$B1063,41,1000),SEARCH(" - ",MID('Industriesektor GWh'!$B1063,41,1000))-1),nrg_cb_e!$C$3:$C$40,0))</f>
        <v>FC_IND_CPC_E</v>
      </c>
      <c r="G1063" s="21">
        <v>8678</v>
      </c>
    </row>
    <row r="1064" spans="1:7" x14ac:dyDescent="0.2">
      <c r="A1064" s="16" t="s">
        <v>29</v>
      </c>
      <c r="B1064" s="17" t="s">
        <v>63</v>
      </c>
      <c r="C1064" s="17" t="s">
        <v>8</v>
      </c>
      <c r="D1064" s="17" t="s">
        <v>10</v>
      </c>
      <c r="E1064" s="17" t="s">
        <v>20</v>
      </c>
      <c r="F1064" s="17" t="str">
        <f>INDEX(nrg_cb_e!$A$3:$A$40,MATCH(LEFT(MID('Industriesektor GWh'!$B1064,41,1000),SEARCH(" - ",MID('Industriesektor GWh'!$B1064,41,1000))-1),nrg_cb_e!$C$3:$C$40,0))</f>
        <v>FC_IND_CPC_E</v>
      </c>
      <c r="G1064" s="18">
        <v>13500</v>
      </c>
    </row>
    <row r="1065" spans="1:7" x14ac:dyDescent="0.2">
      <c r="A1065" s="19" t="s">
        <v>29</v>
      </c>
      <c r="B1065" s="20" t="s">
        <v>63</v>
      </c>
      <c r="C1065" s="20" t="s">
        <v>8</v>
      </c>
      <c r="D1065" s="20" t="s">
        <v>10</v>
      </c>
      <c r="E1065" s="20" t="s">
        <v>21</v>
      </c>
      <c r="F1065" s="20" t="str">
        <f>INDEX(nrg_cb_e!$A$3:$A$40,MATCH(LEFT(MID('Industriesektor GWh'!$B1065,41,1000),SEARCH(" - ",MID('Industriesektor GWh'!$B1065,41,1000))-1),nrg_cb_e!$C$3:$C$40,0))</f>
        <v>FC_IND_CPC_E</v>
      </c>
      <c r="G1065" s="21">
        <v>12829</v>
      </c>
    </row>
    <row r="1066" spans="1:7" x14ac:dyDescent="0.2">
      <c r="A1066" s="16" t="s">
        <v>29</v>
      </c>
      <c r="B1066" s="17" t="s">
        <v>63</v>
      </c>
      <c r="C1066" s="17" t="s">
        <v>8</v>
      </c>
      <c r="D1066" s="17" t="s">
        <v>10</v>
      </c>
      <c r="E1066" s="17" t="s">
        <v>22</v>
      </c>
      <c r="F1066" s="17" t="str">
        <f>INDEX(nrg_cb_e!$A$3:$A$40,MATCH(LEFT(MID('Industriesektor GWh'!$B1066,41,1000),SEARCH(" - ",MID('Industriesektor GWh'!$B1066,41,1000))-1),nrg_cb_e!$C$3:$C$40,0))</f>
        <v>FC_IND_CPC_E</v>
      </c>
      <c r="G1066" s="18">
        <v>11357</v>
      </c>
    </row>
    <row r="1067" spans="1:7" x14ac:dyDescent="0.2">
      <c r="A1067" s="19" t="s">
        <v>29</v>
      </c>
      <c r="B1067" s="20" t="s">
        <v>63</v>
      </c>
      <c r="C1067" s="20" t="s">
        <v>8</v>
      </c>
      <c r="D1067" s="20" t="s">
        <v>10</v>
      </c>
      <c r="E1067" s="20" t="s">
        <v>23</v>
      </c>
      <c r="F1067" s="20" t="str">
        <f>INDEX(nrg_cb_e!$A$3:$A$40,MATCH(LEFT(MID('Industriesektor GWh'!$B1067,41,1000),SEARCH(" - ",MID('Industriesektor GWh'!$B1067,41,1000))-1),nrg_cb_e!$C$3:$C$40,0))</f>
        <v>FC_IND_CPC_E</v>
      </c>
      <c r="G1067" s="21">
        <v>12770</v>
      </c>
    </row>
    <row r="1068" spans="1:7" x14ac:dyDescent="0.2">
      <c r="A1068" s="16" t="s">
        <v>29</v>
      </c>
      <c r="B1068" s="17" t="s">
        <v>63</v>
      </c>
      <c r="C1068" s="17" t="s">
        <v>8</v>
      </c>
      <c r="D1068" s="17" t="s">
        <v>10</v>
      </c>
      <c r="E1068" s="17" t="s">
        <v>24</v>
      </c>
      <c r="F1068" s="17" t="str">
        <f>INDEX(nrg_cb_e!$A$3:$A$40,MATCH(LEFT(MID('Industriesektor GWh'!$B1068,41,1000),SEARCH(" - ",MID('Industriesektor GWh'!$B1068,41,1000))-1),nrg_cb_e!$C$3:$C$40,0))</f>
        <v>FC_IND_CPC_E</v>
      </c>
      <c r="G1068" s="18">
        <v>12922.5</v>
      </c>
    </row>
    <row r="1069" spans="1:7" x14ac:dyDescent="0.2">
      <c r="A1069" s="19" t="s">
        <v>29</v>
      </c>
      <c r="B1069" s="20" t="s">
        <v>63</v>
      </c>
      <c r="C1069" s="20" t="s">
        <v>8</v>
      </c>
      <c r="D1069" s="20" t="s">
        <v>10</v>
      </c>
      <c r="E1069" s="20" t="s">
        <v>25</v>
      </c>
      <c r="F1069" s="20" t="str">
        <f>INDEX(nrg_cb_e!$A$3:$A$40,MATCH(LEFT(MID('Industriesektor GWh'!$B1069,41,1000),SEARCH(" - ",MID('Industriesektor GWh'!$B1069,41,1000))-1),nrg_cb_e!$C$3:$C$40,0))</f>
        <v>FC_IND_CPC_E</v>
      </c>
      <c r="G1069" s="21">
        <v>13172.8</v>
      </c>
    </row>
    <row r="1070" spans="1:7" x14ac:dyDescent="0.2">
      <c r="A1070" s="16" t="s">
        <v>29</v>
      </c>
      <c r="B1070" s="17" t="s">
        <v>63</v>
      </c>
      <c r="C1070" s="17" t="s">
        <v>8</v>
      </c>
      <c r="D1070" s="17" t="s">
        <v>10</v>
      </c>
      <c r="E1070" s="17" t="s">
        <v>26</v>
      </c>
      <c r="F1070" s="17" t="str">
        <f>INDEX(nrg_cb_e!$A$3:$A$40,MATCH(LEFT(MID('Industriesektor GWh'!$B1070,41,1000),SEARCH(" - ",MID('Industriesektor GWh'!$B1070,41,1000))-1),nrg_cb_e!$C$3:$C$40,0))</f>
        <v>FC_IND_CPC_E</v>
      </c>
      <c r="G1070" s="18">
        <v>13575.1</v>
      </c>
    </row>
    <row r="1071" spans="1:7" x14ac:dyDescent="0.2">
      <c r="A1071" s="19" t="s">
        <v>29</v>
      </c>
      <c r="B1071" s="20" t="s">
        <v>63</v>
      </c>
      <c r="C1071" s="20" t="s">
        <v>8</v>
      </c>
      <c r="D1071" s="20" t="s">
        <v>10</v>
      </c>
      <c r="E1071" s="20" t="s">
        <v>27</v>
      </c>
      <c r="F1071" s="20" t="str">
        <f>INDEX(nrg_cb_e!$A$3:$A$40,MATCH(LEFT(MID('Industriesektor GWh'!$B1071,41,1000),SEARCH(" - ",MID('Industriesektor GWh'!$B1071,41,1000))-1),nrg_cb_e!$C$3:$C$40,0))</f>
        <v>FC_IND_CPC_E</v>
      </c>
      <c r="G1071" s="21">
        <v>14861</v>
      </c>
    </row>
    <row r="1072" spans="1:7" x14ac:dyDescent="0.2">
      <c r="A1072" s="16" t="s">
        <v>29</v>
      </c>
      <c r="B1072" s="17" t="s">
        <v>63</v>
      </c>
      <c r="C1072" s="17" t="s">
        <v>8</v>
      </c>
      <c r="D1072" s="17" t="s">
        <v>10</v>
      </c>
      <c r="E1072" s="17" t="s">
        <v>28</v>
      </c>
      <c r="F1072" s="17" t="str">
        <f>INDEX(nrg_cb_e!$A$3:$A$40,MATCH(LEFT(MID('Industriesektor GWh'!$B1072,41,1000),SEARCH(" - ",MID('Industriesektor GWh'!$B1072,41,1000))-1),nrg_cb_e!$C$3:$C$40,0))</f>
        <v>FC_IND_CPC_E</v>
      </c>
      <c r="G1072" s="18">
        <v>14678.2</v>
      </c>
    </row>
    <row r="1073" spans="1:7" x14ac:dyDescent="0.2">
      <c r="A1073" s="19" t="s">
        <v>30</v>
      </c>
      <c r="B1073" s="20" t="s">
        <v>63</v>
      </c>
      <c r="C1073" s="20" t="s">
        <v>8</v>
      </c>
      <c r="D1073" s="20" t="s">
        <v>10</v>
      </c>
      <c r="E1073" s="20" t="s">
        <v>12</v>
      </c>
      <c r="F1073" s="20" t="str">
        <f>INDEX(nrg_cb_e!$A$3:$A$40,MATCH(LEFT(MID('Industriesektor GWh'!$B1073,41,1000),SEARCH(" - ",MID('Industriesektor GWh'!$B1073,41,1000))-1),nrg_cb_e!$C$3:$C$40,0))</f>
        <v>FC_IND_CPC_E</v>
      </c>
      <c r="G1073" s="21">
        <v>1583</v>
      </c>
    </row>
    <row r="1074" spans="1:7" x14ac:dyDescent="0.2">
      <c r="A1074" s="16" t="s">
        <v>30</v>
      </c>
      <c r="B1074" s="17" t="s">
        <v>63</v>
      </c>
      <c r="C1074" s="17" t="s">
        <v>8</v>
      </c>
      <c r="D1074" s="17" t="s">
        <v>10</v>
      </c>
      <c r="E1074" s="17" t="s">
        <v>13</v>
      </c>
      <c r="F1074" s="17" t="str">
        <f>INDEX(nrg_cb_e!$A$3:$A$40,MATCH(LEFT(MID('Industriesektor GWh'!$B1074,41,1000),SEARCH(" - ",MID('Industriesektor GWh'!$B1074,41,1000))-1),nrg_cb_e!$C$3:$C$40,0))</f>
        <v>FC_IND_CPC_E</v>
      </c>
      <c r="G1074" s="18">
        <v>1536</v>
      </c>
    </row>
    <row r="1075" spans="1:7" x14ac:dyDescent="0.2">
      <c r="A1075" s="19" t="s">
        <v>30</v>
      </c>
      <c r="B1075" s="20" t="s">
        <v>63</v>
      </c>
      <c r="C1075" s="20" t="s">
        <v>8</v>
      </c>
      <c r="D1075" s="20" t="s">
        <v>10</v>
      </c>
      <c r="E1075" s="20" t="s">
        <v>14</v>
      </c>
      <c r="F1075" s="20" t="str">
        <f>INDEX(nrg_cb_e!$A$3:$A$40,MATCH(LEFT(MID('Industriesektor GWh'!$B1075,41,1000),SEARCH(" - ",MID('Industriesektor GWh'!$B1075,41,1000))-1),nrg_cb_e!$C$3:$C$40,0))</f>
        <v>FC_IND_CPC_E</v>
      </c>
      <c r="G1075" s="21">
        <v>1580</v>
      </c>
    </row>
    <row r="1076" spans="1:7" x14ac:dyDescent="0.2">
      <c r="A1076" s="16" t="s">
        <v>30</v>
      </c>
      <c r="B1076" s="17" t="s">
        <v>63</v>
      </c>
      <c r="C1076" s="17" t="s">
        <v>8</v>
      </c>
      <c r="D1076" s="17" t="s">
        <v>10</v>
      </c>
      <c r="E1076" s="17" t="s">
        <v>15</v>
      </c>
      <c r="F1076" s="17" t="str">
        <f>INDEX(nrg_cb_e!$A$3:$A$40,MATCH(LEFT(MID('Industriesektor GWh'!$B1076,41,1000),SEARCH(" - ",MID('Industriesektor GWh'!$B1076,41,1000))-1),nrg_cb_e!$C$3:$C$40,0))</f>
        <v>FC_IND_CPC_E</v>
      </c>
      <c r="G1076" s="18">
        <v>1677</v>
      </c>
    </row>
    <row r="1077" spans="1:7" x14ac:dyDescent="0.2">
      <c r="A1077" s="19" t="s">
        <v>30</v>
      </c>
      <c r="B1077" s="20" t="s">
        <v>63</v>
      </c>
      <c r="C1077" s="20" t="s">
        <v>8</v>
      </c>
      <c r="D1077" s="20" t="s">
        <v>10</v>
      </c>
      <c r="E1077" s="20" t="s">
        <v>16</v>
      </c>
      <c r="F1077" s="20" t="str">
        <f>INDEX(nrg_cb_e!$A$3:$A$40,MATCH(LEFT(MID('Industriesektor GWh'!$B1077,41,1000),SEARCH(" - ",MID('Industriesektor GWh'!$B1077,41,1000))-1),nrg_cb_e!$C$3:$C$40,0))</f>
        <v>FC_IND_CPC_E</v>
      </c>
      <c r="G1077" s="21">
        <v>1742</v>
      </c>
    </row>
    <row r="1078" spans="1:7" x14ac:dyDescent="0.2">
      <c r="A1078" s="16" t="s">
        <v>30</v>
      </c>
      <c r="B1078" s="17" t="s">
        <v>63</v>
      </c>
      <c r="C1078" s="17" t="s">
        <v>8</v>
      </c>
      <c r="D1078" s="17" t="s">
        <v>10</v>
      </c>
      <c r="E1078" s="17" t="s">
        <v>17</v>
      </c>
      <c r="F1078" s="17" t="str">
        <f>INDEX(nrg_cb_e!$A$3:$A$40,MATCH(LEFT(MID('Industriesektor GWh'!$B1078,41,1000),SEARCH(" - ",MID('Industriesektor GWh'!$B1078,41,1000))-1),nrg_cb_e!$C$3:$C$40,0))</f>
        <v>FC_IND_CPC_E</v>
      </c>
      <c r="G1078" s="18">
        <v>1807</v>
      </c>
    </row>
    <row r="1079" spans="1:7" x14ac:dyDescent="0.2">
      <c r="A1079" s="19" t="s">
        <v>30</v>
      </c>
      <c r="B1079" s="20" t="s">
        <v>63</v>
      </c>
      <c r="C1079" s="20" t="s">
        <v>8</v>
      </c>
      <c r="D1079" s="20" t="s">
        <v>10</v>
      </c>
      <c r="E1079" s="20" t="s">
        <v>18</v>
      </c>
      <c r="F1079" s="20" t="str">
        <f>INDEX(nrg_cb_e!$A$3:$A$40,MATCH(LEFT(MID('Industriesektor GWh'!$B1079,41,1000),SEARCH(" - ",MID('Industriesektor GWh'!$B1079,41,1000))-1),nrg_cb_e!$C$3:$C$40,0))</f>
        <v>FC_IND_CPC_E</v>
      </c>
      <c r="G1079" s="21">
        <v>1634</v>
      </c>
    </row>
    <row r="1080" spans="1:7" x14ac:dyDescent="0.2">
      <c r="A1080" s="16" t="s">
        <v>30</v>
      </c>
      <c r="B1080" s="17" t="s">
        <v>63</v>
      </c>
      <c r="C1080" s="17" t="s">
        <v>8</v>
      </c>
      <c r="D1080" s="17" t="s">
        <v>10</v>
      </c>
      <c r="E1080" s="17" t="s">
        <v>19</v>
      </c>
      <c r="F1080" s="17" t="str">
        <f>INDEX(nrg_cb_e!$A$3:$A$40,MATCH(LEFT(MID('Industriesektor GWh'!$B1080,41,1000),SEARCH(" - ",MID('Industriesektor GWh'!$B1080,41,1000))-1),nrg_cb_e!$C$3:$C$40,0))</f>
        <v>FC_IND_CPC_E</v>
      </c>
      <c r="G1080" s="18">
        <v>1220</v>
      </c>
    </row>
    <row r="1081" spans="1:7" x14ac:dyDescent="0.2">
      <c r="A1081" s="19" t="s">
        <v>30</v>
      </c>
      <c r="B1081" s="20" t="s">
        <v>63</v>
      </c>
      <c r="C1081" s="20" t="s">
        <v>8</v>
      </c>
      <c r="D1081" s="20" t="s">
        <v>10</v>
      </c>
      <c r="E1081" s="20" t="s">
        <v>20</v>
      </c>
      <c r="F1081" s="20" t="str">
        <f>INDEX(nrg_cb_e!$A$3:$A$40,MATCH(LEFT(MID('Industriesektor GWh'!$B1081,41,1000),SEARCH(" - ",MID('Industriesektor GWh'!$B1081,41,1000))-1),nrg_cb_e!$C$3:$C$40,0))</f>
        <v>FC_IND_CPC_E</v>
      </c>
      <c r="G1081" s="21">
        <v>939</v>
      </c>
    </row>
    <row r="1082" spans="1:7" x14ac:dyDescent="0.2">
      <c r="A1082" s="16" t="s">
        <v>30</v>
      </c>
      <c r="B1082" s="17" t="s">
        <v>63</v>
      </c>
      <c r="C1082" s="17" t="s">
        <v>8</v>
      </c>
      <c r="D1082" s="17" t="s">
        <v>10</v>
      </c>
      <c r="E1082" s="17" t="s">
        <v>21</v>
      </c>
      <c r="F1082" s="17" t="str">
        <f>INDEX(nrg_cb_e!$A$3:$A$40,MATCH(LEFT(MID('Industriesektor GWh'!$B1082,41,1000),SEARCH(" - ",MID('Industriesektor GWh'!$B1082,41,1000))-1),nrg_cb_e!$C$3:$C$40,0))</f>
        <v>FC_IND_CPC_E</v>
      </c>
      <c r="G1082" s="18">
        <v>1005</v>
      </c>
    </row>
    <row r="1083" spans="1:7" x14ac:dyDescent="0.2">
      <c r="A1083" s="19" t="s">
        <v>30</v>
      </c>
      <c r="B1083" s="20" t="s">
        <v>63</v>
      </c>
      <c r="C1083" s="20" t="s">
        <v>8</v>
      </c>
      <c r="D1083" s="20" t="s">
        <v>10</v>
      </c>
      <c r="E1083" s="20" t="s">
        <v>22</v>
      </c>
      <c r="F1083" s="20" t="str">
        <f>INDEX(nrg_cb_e!$A$3:$A$40,MATCH(LEFT(MID('Industriesektor GWh'!$B1083,41,1000),SEARCH(" - ",MID('Industriesektor GWh'!$B1083,41,1000))-1),nrg_cb_e!$C$3:$C$40,0))</f>
        <v>FC_IND_CPC_E</v>
      </c>
      <c r="G1083" s="21">
        <v>1156</v>
      </c>
    </row>
    <row r="1084" spans="1:7" x14ac:dyDescent="0.2">
      <c r="A1084" s="16" t="s">
        <v>30</v>
      </c>
      <c r="B1084" s="17" t="s">
        <v>63</v>
      </c>
      <c r="C1084" s="17" t="s">
        <v>8</v>
      </c>
      <c r="D1084" s="17" t="s">
        <v>10</v>
      </c>
      <c r="E1084" s="17" t="s">
        <v>23</v>
      </c>
      <c r="F1084" s="17" t="str">
        <f>INDEX(nrg_cb_e!$A$3:$A$40,MATCH(LEFT(MID('Industriesektor GWh'!$B1084,41,1000),SEARCH(" - ",MID('Industriesektor GWh'!$B1084,41,1000))-1),nrg_cb_e!$C$3:$C$40,0))</f>
        <v>FC_IND_CPC_E</v>
      </c>
      <c r="G1084" s="18">
        <v>1234</v>
      </c>
    </row>
    <row r="1085" spans="1:7" x14ac:dyDescent="0.2">
      <c r="A1085" s="19" t="s">
        <v>30</v>
      </c>
      <c r="B1085" s="20" t="s">
        <v>63</v>
      </c>
      <c r="C1085" s="20" t="s">
        <v>8</v>
      </c>
      <c r="D1085" s="20" t="s">
        <v>10</v>
      </c>
      <c r="E1085" s="20" t="s">
        <v>24</v>
      </c>
      <c r="F1085" s="20" t="str">
        <f>INDEX(nrg_cb_e!$A$3:$A$40,MATCH(LEFT(MID('Industriesektor GWh'!$B1085,41,1000),SEARCH(" - ",MID('Industriesektor GWh'!$B1085,41,1000))-1),nrg_cb_e!$C$3:$C$40,0))</f>
        <v>FC_IND_CPC_E</v>
      </c>
      <c r="G1085" s="21">
        <v>1236</v>
      </c>
    </row>
    <row r="1086" spans="1:7" x14ac:dyDescent="0.2">
      <c r="A1086" s="16" t="s">
        <v>30</v>
      </c>
      <c r="B1086" s="17" t="s">
        <v>63</v>
      </c>
      <c r="C1086" s="17" t="s">
        <v>8</v>
      </c>
      <c r="D1086" s="17" t="s">
        <v>10</v>
      </c>
      <c r="E1086" s="17" t="s">
        <v>25</v>
      </c>
      <c r="F1086" s="17" t="str">
        <f>INDEX(nrg_cb_e!$A$3:$A$40,MATCH(LEFT(MID('Industriesektor GWh'!$B1086,41,1000),SEARCH(" - ",MID('Industriesektor GWh'!$B1086,41,1000))-1),nrg_cb_e!$C$3:$C$40,0))</f>
        <v>FC_IND_CPC_E</v>
      </c>
      <c r="G1086" s="18">
        <v>1410</v>
      </c>
    </row>
    <row r="1087" spans="1:7" x14ac:dyDescent="0.2">
      <c r="A1087" s="19" t="s">
        <v>30</v>
      </c>
      <c r="B1087" s="20" t="s">
        <v>63</v>
      </c>
      <c r="C1087" s="20" t="s">
        <v>8</v>
      </c>
      <c r="D1087" s="20" t="s">
        <v>10</v>
      </c>
      <c r="E1087" s="20" t="s">
        <v>26</v>
      </c>
      <c r="F1087" s="20" t="str">
        <f>INDEX(nrg_cb_e!$A$3:$A$40,MATCH(LEFT(MID('Industriesektor GWh'!$B1087,41,1000),SEARCH(" - ",MID('Industriesektor GWh'!$B1087,41,1000))-1),nrg_cb_e!$C$3:$C$40,0))</f>
        <v>FC_IND_CPC_E</v>
      </c>
      <c r="G1087" s="21">
        <v>1435</v>
      </c>
    </row>
    <row r="1088" spans="1:7" x14ac:dyDescent="0.2">
      <c r="A1088" s="16" t="s">
        <v>30</v>
      </c>
      <c r="B1088" s="17" t="s">
        <v>63</v>
      </c>
      <c r="C1088" s="17" t="s">
        <v>8</v>
      </c>
      <c r="D1088" s="17" t="s">
        <v>10</v>
      </c>
      <c r="E1088" s="17" t="s">
        <v>27</v>
      </c>
      <c r="F1088" s="17" t="str">
        <f>INDEX(nrg_cb_e!$A$3:$A$40,MATCH(LEFT(MID('Industriesektor GWh'!$B1088,41,1000),SEARCH(" - ",MID('Industriesektor GWh'!$B1088,41,1000))-1),nrg_cb_e!$C$3:$C$40,0))</f>
        <v>FC_IND_CPC_E</v>
      </c>
      <c r="G1088" s="18">
        <v>1486.09</v>
      </c>
    </row>
    <row r="1089" spans="1:7" x14ac:dyDescent="0.2">
      <c r="A1089" s="19" t="s">
        <v>30</v>
      </c>
      <c r="B1089" s="20" t="s">
        <v>63</v>
      </c>
      <c r="C1089" s="20" t="s">
        <v>8</v>
      </c>
      <c r="D1089" s="20" t="s">
        <v>10</v>
      </c>
      <c r="E1089" s="20" t="s">
        <v>28</v>
      </c>
      <c r="F1089" s="20" t="str">
        <f>INDEX(nrg_cb_e!$A$3:$A$40,MATCH(LEFT(MID('Industriesektor GWh'!$B1089,41,1000),SEARCH(" - ",MID('Industriesektor GWh'!$B1089,41,1000))-1),nrg_cb_e!$C$3:$C$40,0))</f>
        <v>FC_IND_CPC_E</v>
      </c>
      <c r="G1089" s="21">
        <v>1363.568</v>
      </c>
    </row>
    <row r="1090" spans="1:7" x14ac:dyDescent="0.2">
      <c r="A1090" s="16" t="s">
        <v>31</v>
      </c>
      <c r="B1090" s="17" t="s">
        <v>63</v>
      </c>
      <c r="C1090" s="17" t="s">
        <v>8</v>
      </c>
      <c r="D1090" s="17" t="s">
        <v>10</v>
      </c>
      <c r="E1090" s="17" t="s">
        <v>12</v>
      </c>
      <c r="F1090" s="17" t="str">
        <f>INDEX(nrg_cb_e!$A$3:$A$40,MATCH(LEFT(MID('Industriesektor GWh'!$B1090,41,1000),SEARCH(" - ",MID('Industriesektor GWh'!$B1090,41,1000))-1),nrg_cb_e!$C$3:$C$40,0))</f>
        <v>FC_IND_CPC_E</v>
      </c>
      <c r="G1090" s="18">
        <v>3211</v>
      </c>
    </row>
    <row r="1091" spans="1:7" x14ac:dyDescent="0.2">
      <c r="A1091" s="19" t="s">
        <v>31</v>
      </c>
      <c r="B1091" s="20" t="s">
        <v>63</v>
      </c>
      <c r="C1091" s="20" t="s">
        <v>8</v>
      </c>
      <c r="D1091" s="20" t="s">
        <v>10</v>
      </c>
      <c r="E1091" s="20" t="s">
        <v>13</v>
      </c>
      <c r="F1091" s="20" t="str">
        <f>INDEX(nrg_cb_e!$A$3:$A$40,MATCH(LEFT(MID('Industriesektor GWh'!$B1091,41,1000),SEARCH(" - ",MID('Industriesektor GWh'!$B1091,41,1000))-1),nrg_cb_e!$C$3:$C$40,0))</f>
        <v>FC_IND_CPC_E</v>
      </c>
      <c r="G1091" s="21">
        <v>3641</v>
      </c>
    </row>
    <row r="1092" spans="1:7" x14ac:dyDescent="0.2">
      <c r="A1092" s="16" t="s">
        <v>31</v>
      </c>
      <c r="B1092" s="17" t="s">
        <v>63</v>
      </c>
      <c r="C1092" s="17" t="s">
        <v>8</v>
      </c>
      <c r="D1092" s="17" t="s">
        <v>10</v>
      </c>
      <c r="E1092" s="17" t="s">
        <v>14</v>
      </c>
      <c r="F1092" s="17" t="str">
        <f>INDEX(nrg_cb_e!$A$3:$A$40,MATCH(LEFT(MID('Industriesektor GWh'!$B1092,41,1000),SEARCH(" - ",MID('Industriesektor GWh'!$B1092,41,1000))-1),nrg_cb_e!$C$3:$C$40,0))</f>
        <v>FC_IND_CPC_E</v>
      </c>
      <c r="G1092" s="18">
        <v>3771</v>
      </c>
    </row>
    <row r="1093" spans="1:7" x14ac:dyDescent="0.2">
      <c r="A1093" s="19" t="s">
        <v>31</v>
      </c>
      <c r="B1093" s="20" t="s">
        <v>63</v>
      </c>
      <c r="C1093" s="20" t="s">
        <v>8</v>
      </c>
      <c r="D1093" s="20" t="s">
        <v>10</v>
      </c>
      <c r="E1093" s="20" t="s">
        <v>15</v>
      </c>
      <c r="F1093" s="20" t="str">
        <f>INDEX(nrg_cb_e!$A$3:$A$40,MATCH(LEFT(MID('Industriesektor GWh'!$B1093,41,1000),SEARCH(" - ",MID('Industriesektor GWh'!$B1093,41,1000))-1),nrg_cb_e!$C$3:$C$40,0))</f>
        <v>FC_IND_CPC_E</v>
      </c>
      <c r="G1093" s="21">
        <v>3881</v>
      </c>
    </row>
    <row r="1094" spans="1:7" x14ac:dyDescent="0.2">
      <c r="A1094" s="16" t="s">
        <v>31</v>
      </c>
      <c r="B1094" s="17" t="s">
        <v>63</v>
      </c>
      <c r="C1094" s="17" t="s">
        <v>8</v>
      </c>
      <c r="D1094" s="17" t="s">
        <v>10</v>
      </c>
      <c r="E1094" s="17" t="s">
        <v>16</v>
      </c>
      <c r="F1094" s="17" t="str">
        <f>INDEX(nrg_cb_e!$A$3:$A$40,MATCH(LEFT(MID('Industriesektor GWh'!$B1094,41,1000),SEARCH(" - ",MID('Industriesektor GWh'!$B1094,41,1000))-1),nrg_cb_e!$C$3:$C$40,0))</f>
        <v>FC_IND_CPC_E</v>
      </c>
      <c r="G1094" s="18">
        <v>3881</v>
      </c>
    </row>
    <row r="1095" spans="1:7" x14ac:dyDescent="0.2">
      <c r="A1095" s="19" t="s">
        <v>31</v>
      </c>
      <c r="B1095" s="20" t="s">
        <v>63</v>
      </c>
      <c r="C1095" s="20" t="s">
        <v>8</v>
      </c>
      <c r="D1095" s="20" t="s">
        <v>10</v>
      </c>
      <c r="E1095" s="20" t="s">
        <v>17</v>
      </c>
      <c r="F1095" s="20" t="str">
        <f>INDEX(nrg_cb_e!$A$3:$A$40,MATCH(LEFT(MID('Industriesektor GWh'!$B1095,41,1000),SEARCH(" - ",MID('Industriesektor GWh'!$B1095,41,1000))-1),nrg_cb_e!$C$3:$C$40,0))</f>
        <v>FC_IND_CPC_E</v>
      </c>
      <c r="G1095" s="21">
        <v>3879</v>
      </c>
    </row>
    <row r="1096" spans="1:7" x14ac:dyDescent="0.2">
      <c r="A1096" s="16" t="s">
        <v>31</v>
      </c>
      <c r="B1096" s="17" t="s">
        <v>63</v>
      </c>
      <c r="C1096" s="17" t="s">
        <v>8</v>
      </c>
      <c r="D1096" s="17" t="s">
        <v>10</v>
      </c>
      <c r="E1096" s="17" t="s">
        <v>18</v>
      </c>
      <c r="F1096" s="17" t="str">
        <f>INDEX(nrg_cb_e!$A$3:$A$40,MATCH(LEFT(MID('Industriesektor GWh'!$B1096,41,1000),SEARCH(" - ",MID('Industriesektor GWh'!$B1096,41,1000))-1),nrg_cb_e!$C$3:$C$40,0))</f>
        <v>FC_IND_CPC_E</v>
      </c>
      <c r="G1096" s="18">
        <v>3633</v>
      </c>
    </row>
    <row r="1097" spans="1:7" x14ac:dyDescent="0.2">
      <c r="A1097" s="19" t="s">
        <v>31</v>
      </c>
      <c r="B1097" s="20" t="s">
        <v>63</v>
      </c>
      <c r="C1097" s="20" t="s">
        <v>8</v>
      </c>
      <c r="D1097" s="20" t="s">
        <v>10</v>
      </c>
      <c r="E1097" s="20" t="s">
        <v>19</v>
      </c>
      <c r="F1097" s="20" t="str">
        <f>INDEX(nrg_cb_e!$A$3:$A$40,MATCH(LEFT(MID('Industriesektor GWh'!$B1097,41,1000),SEARCH(" - ",MID('Industriesektor GWh'!$B1097,41,1000))-1),nrg_cb_e!$C$3:$C$40,0))</f>
        <v>FC_IND_CPC_E</v>
      </c>
      <c r="G1097" s="21">
        <v>3396</v>
      </c>
    </row>
    <row r="1098" spans="1:7" x14ac:dyDescent="0.2">
      <c r="A1098" s="16" t="s">
        <v>31</v>
      </c>
      <c r="B1098" s="17" t="s">
        <v>63</v>
      </c>
      <c r="C1098" s="17" t="s">
        <v>8</v>
      </c>
      <c r="D1098" s="17" t="s">
        <v>10</v>
      </c>
      <c r="E1098" s="17" t="s">
        <v>20</v>
      </c>
      <c r="F1098" s="17" t="str">
        <f>INDEX(nrg_cb_e!$A$3:$A$40,MATCH(LEFT(MID('Industriesektor GWh'!$B1098,41,1000),SEARCH(" - ",MID('Industriesektor GWh'!$B1098,41,1000))-1),nrg_cb_e!$C$3:$C$40,0))</f>
        <v>FC_IND_CPC_E</v>
      </c>
      <c r="G1098" s="18">
        <v>3626</v>
      </c>
    </row>
    <row r="1099" spans="1:7" x14ac:dyDescent="0.2">
      <c r="A1099" s="19" t="s">
        <v>31</v>
      </c>
      <c r="B1099" s="20" t="s">
        <v>63</v>
      </c>
      <c r="C1099" s="20" t="s">
        <v>8</v>
      </c>
      <c r="D1099" s="20" t="s">
        <v>10</v>
      </c>
      <c r="E1099" s="20" t="s">
        <v>21</v>
      </c>
      <c r="F1099" s="20" t="str">
        <f>INDEX(nrg_cb_e!$A$3:$A$40,MATCH(LEFT(MID('Industriesektor GWh'!$B1099,41,1000),SEARCH(" - ",MID('Industriesektor GWh'!$B1099,41,1000))-1),nrg_cb_e!$C$3:$C$40,0))</f>
        <v>FC_IND_CPC_E</v>
      </c>
      <c r="G1099" s="21">
        <v>3651</v>
      </c>
    </row>
    <row r="1100" spans="1:7" x14ac:dyDescent="0.2">
      <c r="A1100" s="16" t="s">
        <v>31</v>
      </c>
      <c r="B1100" s="17" t="s">
        <v>63</v>
      </c>
      <c r="C1100" s="17" t="s">
        <v>8</v>
      </c>
      <c r="D1100" s="17" t="s">
        <v>10</v>
      </c>
      <c r="E1100" s="17" t="s">
        <v>22</v>
      </c>
      <c r="F1100" s="17" t="str">
        <f>INDEX(nrg_cb_e!$A$3:$A$40,MATCH(LEFT(MID('Industriesektor GWh'!$B1100,41,1000),SEARCH(" - ",MID('Industriesektor GWh'!$B1100,41,1000))-1),nrg_cb_e!$C$3:$C$40,0))</f>
        <v>FC_IND_CPC_E</v>
      </c>
      <c r="G1100" s="18">
        <v>3706</v>
      </c>
    </row>
    <row r="1101" spans="1:7" x14ac:dyDescent="0.2">
      <c r="A1101" s="19" t="s">
        <v>31</v>
      </c>
      <c r="B1101" s="20" t="s">
        <v>63</v>
      </c>
      <c r="C1101" s="20" t="s">
        <v>8</v>
      </c>
      <c r="D1101" s="20" t="s">
        <v>10</v>
      </c>
      <c r="E1101" s="20" t="s">
        <v>23</v>
      </c>
      <c r="F1101" s="20" t="str">
        <f>INDEX(nrg_cb_e!$A$3:$A$40,MATCH(LEFT(MID('Industriesektor GWh'!$B1101,41,1000),SEARCH(" - ",MID('Industriesektor GWh'!$B1101,41,1000))-1),nrg_cb_e!$C$3:$C$40,0))</f>
        <v>FC_IND_CPC_E</v>
      </c>
      <c r="G1101" s="21">
        <v>3451</v>
      </c>
    </row>
    <row r="1102" spans="1:7" x14ac:dyDescent="0.2">
      <c r="A1102" s="16" t="s">
        <v>31</v>
      </c>
      <c r="B1102" s="17" t="s">
        <v>63</v>
      </c>
      <c r="C1102" s="17" t="s">
        <v>8</v>
      </c>
      <c r="D1102" s="17" t="s">
        <v>10</v>
      </c>
      <c r="E1102" s="17" t="s">
        <v>24</v>
      </c>
      <c r="F1102" s="17" t="str">
        <f>INDEX(nrg_cb_e!$A$3:$A$40,MATCH(LEFT(MID('Industriesektor GWh'!$B1102,41,1000),SEARCH(" - ",MID('Industriesektor GWh'!$B1102,41,1000))-1),nrg_cb_e!$C$3:$C$40,0))</f>
        <v>FC_IND_CPC_E</v>
      </c>
      <c r="G1102" s="18">
        <v>3721</v>
      </c>
    </row>
    <row r="1103" spans="1:7" x14ac:dyDescent="0.2">
      <c r="A1103" s="19" t="s">
        <v>31</v>
      </c>
      <c r="B1103" s="20" t="s">
        <v>63</v>
      </c>
      <c r="C1103" s="20" t="s">
        <v>8</v>
      </c>
      <c r="D1103" s="20" t="s">
        <v>10</v>
      </c>
      <c r="E1103" s="20" t="s">
        <v>25</v>
      </c>
      <c r="F1103" s="20" t="str">
        <f>INDEX(nrg_cb_e!$A$3:$A$40,MATCH(LEFT(MID('Industriesektor GWh'!$B1103,41,1000),SEARCH(" - ",MID('Industriesektor GWh'!$B1103,41,1000))-1),nrg_cb_e!$C$3:$C$40,0))</f>
        <v>FC_IND_CPC_E</v>
      </c>
      <c r="G1103" s="21">
        <v>3538</v>
      </c>
    </row>
    <row r="1104" spans="1:7" x14ac:dyDescent="0.2">
      <c r="A1104" s="16" t="s">
        <v>31</v>
      </c>
      <c r="B1104" s="17" t="s">
        <v>63</v>
      </c>
      <c r="C1104" s="17" t="s">
        <v>8</v>
      </c>
      <c r="D1104" s="17" t="s">
        <v>10</v>
      </c>
      <c r="E1104" s="17" t="s">
        <v>26</v>
      </c>
      <c r="F1104" s="17" t="str">
        <f>INDEX(nrg_cb_e!$A$3:$A$40,MATCH(LEFT(MID('Industriesektor GWh'!$B1104,41,1000),SEARCH(" - ",MID('Industriesektor GWh'!$B1104,41,1000))-1),nrg_cb_e!$C$3:$C$40,0))</f>
        <v>FC_IND_CPC_E</v>
      </c>
      <c r="G1104" s="18">
        <v>3226</v>
      </c>
    </row>
    <row r="1105" spans="1:7" x14ac:dyDescent="0.2">
      <c r="A1105" s="19" t="s">
        <v>31</v>
      </c>
      <c r="B1105" s="20" t="s">
        <v>63</v>
      </c>
      <c r="C1105" s="20" t="s">
        <v>8</v>
      </c>
      <c r="D1105" s="20" t="s">
        <v>10</v>
      </c>
      <c r="E1105" s="20" t="s">
        <v>27</v>
      </c>
      <c r="F1105" s="20" t="str">
        <f>INDEX(nrg_cb_e!$A$3:$A$40,MATCH(LEFT(MID('Industriesektor GWh'!$B1105,41,1000),SEARCH(" - ",MID('Industriesektor GWh'!$B1105,41,1000))-1),nrg_cb_e!$C$3:$C$40,0))</f>
        <v>FC_IND_CPC_E</v>
      </c>
      <c r="G1105" s="21">
        <v>3384.1689999999999</v>
      </c>
    </row>
    <row r="1106" spans="1:7" x14ac:dyDescent="0.2">
      <c r="A1106" s="16" t="s">
        <v>31</v>
      </c>
      <c r="B1106" s="17" t="s">
        <v>63</v>
      </c>
      <c r="C1106" s="17" t="s">
        <v>8</v>
      </c>
      <c r="D1106" s="17" t="s">
        <v>10</v>
      </c>
      <c r="E1106" s="17" t="s">
        <v>28</v>
      </c>
      <c r="F1106" s="17" t="str">
        <f>INDEX(nrg_cb_e!$A$3:$A$40,MATCH(LEFT(MID('Industriesektor GWh'!$B1106,41,1000),SEARCH(" - ",MID('Industriesektor GWh'!$B1106,41,1000))-1),nrg_cb_e!$C$3:$C$40,0))</f>
        <v>FC_IND_CPC_E</v>
      </c>
      <c r="G1106" s="18">
        <v>3295.6959999999999</v>
      </c>
    </row>
    <row r="1107" spans="1:7" x14ac:dyDescent="0.2">
      <c r="A1107" s="19" t="s">
        <v>32</v>
      </c>
      <c r="B1107" s="20" t="s">
        <v>63</v>
      </c>
      <c r="C1107" s="20" t="s">
        <v>8</v>
      </c>
      <c r="D1107" s="20" t="s">
        <v>10</v>
      </c>
      <c r="E1107" s="20" t="s">
        <v>12</v>
      </c>
      <c r="F1107" s="20" t="str">
        <f>INDEX(nrg_cb_e!$A$3:$A$40,MATCH(LEFT(MID('Industriesektor GWh'!$B1107,41,1000),SEARCH(" - ",MID('Industriesektor GWh'!$B1107,41,1000))-1),nrg_cb_e!$C$3:$C$40,0))</f>
        <v>FC_IND_CPC_E</v>
      </c>
      <c r="G1107" s="21">
        <v>1384</v>
      </c>
    </row>
    <row r="1108" spans="1:7" x14ac:dyDescent="0.2">
      <c r="A1108" s="16" t="s">
        <v>32</v>
      </c>
      <c r="B1108" s="17" t="s">
        <v>63</v>
      </c>
      <c r="C1108" s="17" t="s">
        <v>8</v>
      </c>
      <c r="D1108" s="17" t="s">
        <v>10</v>
      </c>
      <c r="E1108" s="17" t="s">
        <v>13</v>
      </c>
      <c r="F1108" s="17" t="str">
        <f>INDEX(nrg_cb_e!$A$3:$A$40,MATCH(LEFT(MID('Industriesektor GWh'!$B1108,41,1000),SEARCH(" - ",MID('Industriesektor GWh'!$B1108,41,1000))-1),nrg_cb_e!$C$3:$C$40,0))</f>
        <v>FC_IND_CPC_E</v>
      </c>
      <c r="G1108" s="18">
        <v>1270</v>
      </c>
    </row>
    <row r="1109" spans="1:7" x14ac:dyDescent="0.2">
      <c r="A1109" s="19" t="s">
        <v>32</v>
      </c>
      <c r="B1109" s="20" t="s">
        <v>63</v>
      </c>
      <c r="C1109" s="20" t="s">
        <v>8</v>
      </c>
      <c r="D1109" s="20" t="s">
        <v>10</v>
      </c>
      <c r="E1109" s="20" t="s">
        <v>14</v>
      </c>
      <c r="F1109" s="20" t="str">
        <f>INDEX(nrg_cb_e!$A$3:$A$40,MATCH(LEFT(MID('Industriesektor GWh'!$B1109,41,1000),SEARCH(" - ",MID('Industriesektor GWh'!$B1109,41,1000))-1),nrg_cb_e!$C$3:$C$40,0))</f>
        <v>FC_IND_CPC_E</v>
      </c>
      <c r="G1109" s="21">
        <v>1266</v>
      </c>
    </row>
    <row r="1110" spans="1:7" x14ac:dyDescent="0.2">
      <c r="A1110" s="16" t="s">
        <v>32</v>
      </c>
      <c r="B1110" s="17" t="s">
        <v>63</v>
      </c>
      <c r="C1110" s="17" t="s">
        <v>8</v>
      </c>
      <c r="D1110" s="17" t="s">
        <v>10</v>
      </c>
      <c r="E1110" s="17" t="s">
        <v>15</v>
      </c>
      <c r="F1110" s="17" t="str">
        <f>INDEX(nrg_cb_e!$A$3:$A$40,MATCH(LEFT(MID('Industriesektor GWh'!$B1110,41,1000),SEARCH(" - ",MID('Industriesektor GWh'!$B1110,41,1000))-1),nrg_cb_e!$C$3:$C$40,0))</f>
        <v>FC_IND_CPC_E</v>
      </c>
      <c r="G1110" s="18">
        <v>1389</v>
      </c>
    </row>
    <row r="1111" spans="1:7" x14ac:dyDescent="0.2">
      <c r="A1111" s="19" t="s">
        <v>32</v>
      </c>
      <c r="B1111" s="20" t="s">
        <v>63</v>
      </c>
      <c r="C1111" s="20" t="s">
        <v>8</v>
      </c>
      <c r="D1111" s="20" t="s">
        <v>10</v>
      </c>
      <c r="E1111" s="20" t="s">
        <v>16</v>
      </c>
      <c r="F1111" s="20" t="str">
        <f>INDEX(nrg_cb_e!$A$3:$A$40,MATCH(LEFT(MID('Industriesektor GWh'!$B1111,41,1000),SEARCH(" - ",MID('Industriesektor GWh'!$B1111,41,1000))-1),nrg_cb_e!$C$3:$C$40,0))</f>
        <v>FC_IND_CPC_E</v>
      </c>
      <c r="G1111" s="21">
        <v>1331</v>
      </c>
    </row>
    <row r="1112" spans="1:7" x14ac:dyDescent="0.2">
      <c r="A1112" s="16" t="s">
        <v>32</v>
      </c>
      <c r="B1112" s="17" t="s">
        <v>63</v>
      </c>
      <c r="C1112" s="17" t="s">
        <v>8</v>
      </c>
      <c r="D1112" s="17" t="s">
        <v>10</v>
      </c>
      <c r="E1112" s="17" t="s">
        <v>17</v>
      </c>
      <c r="F1112" s="17" t="str">
        <f>INDEX(nrg_cb_e!$A$3:$A$40,MATCH(LEFT(MID('Industriesektor GWh'!$B1112,41,1000),SEARCH(" - ",MID('Industriesektor GWh'!$B1112,41,1000))-1),nrg_cb_e!$C$3:$C$40,0))</f>
        <v>FC_IND_CPC_E</v>
      </c>
      <c r="G1112" s="18">
        <v>1239</v>
      </c>
    </row>
    <row r="1113" spans="1:7" x14ac:dyDescent="0.2">
      <c r="A1113" s="19" t="s">
        <v>32</v>
      </c>
      <c r="B1113" s="20" t="s">
        <v>63</v>
      </c>
      <c r="C1113" s="20" t="s">
        <v>8</v>
      </c>
      <c r="D1113" s="20" t="s">
        <v>10</v>
      </c>
      <c r="E1113" s="20" t="s">
        <v>18</v>
      </c>
      <c r="F1113" s="20" t="str">
        <f>INDEX(nrg_cb_e!$A$3:$A$40,MATCH(LEFT(MID('Industriesektor GWh'!$B1113,41,1000),SEARCH(" - ",MID('Industriesektor GWh'!$B1113,41,1000))-1),nrg_cb_e!$C$3:$C$40,0))</f>
        <v>FC_IND_CPC_E</v>
      </c>
      <c r="G1113" s="21">
        <v>1305</v>
      </c>
    </row>
    <row r="1114" spans="1:7" x14ac:dyDescent="0.2">
      <c r="A1114" s="16" t="s">
        <v>32</v>
      </c>
      <c r="B1114" s="17" t="s">
        <v>63</v>
      </c>
      <c r="C1114" s="17" t="s">
        <v>8</v>
      </c>
      <c r="D1114" s="17" t="s">
        <v>10</v>
      </c>
      <c r="E1114" s="17" t="s">
        <v>19</v>
      </c>
      <c r="F1114" s="17" t="str">
        <f>INDEX(nrg_cb_e!$A$3:$A$40,MATCH(LEFT(MID('Industriesektor GWh'!$B1114,41,1000),SEARCH(" - ",MID('Industriesektor GWh'!$B1114,41,1000))-1),nrg_cb_e!$C$3:$C$40,0))</f>
        <v>FC_IND_CPC_E</v>
      </c>
      <c r="G1114" s="18">
        <v>1228</v>
      </c>
    </row>
    <row r="1115" spans="1:7" x14ac:dyDescent="0.2">
      <c r="A1115" s="19" t="s">
        <v>32</v>
      </c>
      <c r="B1115" s="20" t="s">
        <v>63</v>
      </c>
      <c r="C1115" s="20" t="s">
        <v>8</v>
      </c>
      <c r="D1115" s="20" t="s">
        <v>10</v>
      </c>
      <c r="E1115" s="20" t="s">
        <v>20</v>
      </c>
      <c r="F1115" s="20" t="str">
        <f>INDEX(nrg_cb_e!$A$3:$A$40,MATCH(LEFT(MID('Industriesektor GWh'!$B1115,41,1000),SEARCH(" - ",MID('Industriesektor GWh'!$B1115,41,1000))-1),nrg_cb_e!$C$3:$C$40,0))</f>
        <v>FC_IND_CPC_E</v>
      </c>
      <c r="G1115" s="21">
        <v>1249</v>
      </c>
    </row>
    <row r="1116" spans="1:7" x14ac:dyDescent="0.2">
      <c r="A1116" s="16" t="s">
        <v>32</v>
      </c>
      <c r="B1116" s="17" t="s">
        <v>63</v>
      </c>
      <c r="C1116" s="17" t="s">
        <v>8</v>
      </c>
      <c r="D1116" s="17" t="s">
        <v>10</v>
      </c>
      <c r="E1116" s="17" t="s">
        <v>21</v>
      </c>
      <c r="F1116" s="17" t="str">
        <f>INDEX(nrg_cb_e!$A$3:$A$40,MATCH(LEFT(MID('Industriesektor GWh'!$B1116,41,1000),SEARCH(" - ",MID('Industriesektor GWh'!$B1116,41,1000))-1),nrg_cb_e!$C$3:$C$40,0))</f>
        <v>FC_IND_CPC_E</v>
      </c>
      <c r="G1116" s="18">
        <v>1300</v>
      </c>
    </row>
    <row r="1117" spans="1:7" x14ac:dyDescent="0.2">
      <c r="A1117" s="19" t="s">
        <v>32</v>
      </c>
      <c r="B1117" s="20" t="s">
        <v>63</v>
      </c>
      <c r="C1117" s="20" t="s">
        <v>8</v>
      </c>
      <c r="D1117" s="20" t="s">
        <v>10</v>
      </c>
      <c r="E1117" s="20" t="s">
        <v>22</v>
      </c>
      <c r="F1117" s="20" t="str">
        <f>INDEX(nrg_cb_e!$A$3:$A$40,MATCH(LEFT(MID('Industriesektor GWh'!$B1117,41,1000),SEARCH(" - ",MID('Industriesektor GWh'!$B1117,41,1000))-1),nrg_cb_e!$C$3:$C$40,0))</f>
        <v>FC_IND_CPC_E</v>
      </c>
      <c r="G1117" s="21">
        <v>1425</v>
      </c>
    </row>
    <row r="1118" spans="1:7" x14ac:dyDescent="0.2">
      <c r="A1118" s="16" t="s">
        <v>32</v>
      </c>
      <c r="B1118" s="17" t="s">
        <v>63</v>
      </c>
      <c r="C1118" s="17" t="s">
        <v>8</v>
      </c>
      <c r="D1118" s="17" t="s">
        <v>10</v>
      </c>
      <c r="E1118" s="17" t="s">
        <v>23</v>
      </c>
      <c r="F1118" s="17" t="str">
        <f>INDEX(nrg_cb_e!$A$3:$A$40,MATCH(LEFT(MID('Industriesektor GWh'!$B1118,41,1000),SEARCH(" - ",MID('Industriesektor GWh'!$B1118,41,1000))-1),nrg_cb_e!$C$3:$C$40,0))</f>
        <v>FC_IND_CPC_E</v>
      </c>
      <c r="G1118" s="18">
        <v>1353</v>
      </c>
    </row>
    <row r="1119" spans="1:7" x14ac:dyDescent="0.2">
      <c r="A1119" s="19" t="s">
        <v>32</v>
      </c>
      <c r="B1119" s="20" t="s">
        <v>63</v>
      </c>
      <c r="C1119" s="20" t="s">
        <v>8</v>
      </c>
      <c r="D1119" s="20" t="s">
        <v>10</v>
      </c>
      <c r="E1119" s="20" t="s">
        <v>24</v>
      </c>
      <c r="F1119" s="20" t="str">
        <f>INDEX(nrg_cb_e!$A$3:$A$40,MATCH(LEFT(MID('Industriesektor GWh'!$B1119,41,1000),SEARCH(" - ",MID('Industriesektor GWh'!$B1119,41,1000))-1),nrg_cb_e!$C$3:$C$40,0))</f>
        <v>FC_IND_CPC_E</v>
      </c>
      <c r="G1119" s="21">
        <v>1312</v>
      </c>
    </row>
    <row r="1120" spans="1:7" x14ac:dyDescent="0.2">
      <c r="A1120" s="16" t="s">
        <v>32</v>
      </c>
      <c r="B1120" s="17" t="s">
        <v>63</v>
      </c>
      <c r="C1120" s="17" t="s">
        <v>8</v>
      </c>
      <c r="D1120" s="17" t="s">
        <v>10</v>
      </c>
      <c r="E1120" s="17" t="s">
        <v>25</v>
      </c>
      <c r="F1120" s="17" t="str">
        <f>INDEX(nrg_cb_e!$A$3:$A$40,MATCH(LEFT(MID('Industriesektor GWh'!$B1120,41,1000),SEARCH(" - ",MID('Industriesektor GWh'!$B1120,41,1000))-1),nrg_cb_e!$C$3:$C$40,0))</f>
        <v>FC_IND_CPC_E</v>
      </c>
      <c r="G1120" s="18">
        <v>1339.6880000000001</v>
      </c>
    </row>
    <row r="1121" spans="1:7" x14ac:dyDescent="0.2">
      <c r="A1121" s="19" t="s">
        <v>32</v>
      </c>
      <c r="B1121" s="20" t="s">
        <v>63</v>
      </c>
      <c r="C1121" s="20" t="s">
        <v>8</v>
      </c>
      <c r="D1121" s="20" t="s">
        <v>10</v>
      </c>
      <c r="E1121" s="20" t="s">
        <v>26</v>
      </c>
      <c r="F1121" s="20" t="str">
        <f>INDEX(nrg_cb_e!$A$3:$A$40,MATCH(LEFT(MID('Industriesektor GWh'!$B1121,41,1000),SEARCH(" - ",MID('Industriesektor GWh'!$B1121,41,1000))-1),nrg_cb_e!$C$3:$C$40,0))</f>
        <v>FC_IND_CPC_E</v>
      </c>
      <c r="G1121" s="21">
        <v>1512.0070000000001</v>
      </c>
    </row>
    <row r="1122" spans="1:7" x14ac:dyDescent="0.2">
      <c r="A1122" s="16" t="s">
        <v>32</v>
      </c>
      <c r="B1122" s="17" t="s">
        <v>63</v>
      </c>
      <c r="C1122" s="17" t="s">
        <v>8</v>
      </c>
      <c r="D1122" s="17" t="s">
        <v>10</v>
      </c>
      <c r="E1122" s="17" t="s">
        <v>27</v>
      </c>
      <c r="F1122" s="17" t="str">
        <f>INDEX(nrg_cb_e!$A$3:$A$40,MATCH(LEFT(MID('Industriesektor GWh'!$B1122,41,1000),SEARCH(" - ",MID('Industriesektor GWh'!$B1122,41,1000))-1),nrg_cb_e!$C$3:$C$40,0))</f>
        <v>FC_IND_CPC_E</v>
      </c>
      <c r="G1122" s="18">
        <v>1535.2049999999999</v>
      </c>
    </row>
    <row r="1123" spans="1:7" x14ac:dyDescent="0.2">
      <c r="A1123" s="19" t="s">
        <v>32</v>
      </c>
      <c r="B1123" s="20" t="s">
        <v>63</v>
      </c>
      <c r="C1123" s="20" t="s">
        <v>8</v>
      </c>
      <c r="D1123" s="20" t="s">
        <v>10</v>
      </c>
      <c r="E1123" s="20" t="s">
        <v>28</v>
      </c>
      <c r="F1123" s="20" t="str">
        <f>INDEX(nrg_cb_e!$A$3:$A$40,MATCH(LEFT(MID('Industriesektor GWh'!$B1123,41,1000),SEARCH(" - ",MID('Industriesektor GWh'!$B1123,41,1000))-1),nrg_cb_e!$C$3:$C$40,0))</f>
        <v>FC_IND_CPC_E</v>
      </c>
      <c r="G1123" s="21">
        <v>1533.7139999999999</v>
      </c>
    </row>
    <row r="1124" spans="1:7" x14ac:dyDescent="0.2">
      <c r="A1124" s="16" t="s">
        <v>33</v>
      </c>
      <c r="B1124" s="17" t="s">
        <v>63</v>
      </c>
      <c r="C1124" s="17" t="s">
        <v>8</v>
      </c>
      <c r="D1124" s="17" t="s">
        <v>10</v>
      </c>
      <c r="E1124" s="17" t="s">
        <v>12</v>
      </c>
      <c r="F1124" s="17" t="str">
        <f>INDEX(nrg_cb_e!$A$3:$A$40,MATCH(LEFT(MID('Industriesektor GWh'!$B1124,41,1000),SEARCH(" - ",MID('Industriesektor GWh'!$B1124,41,1000))-1),nrg_cb_e!$C$3:$C$40,0))</f>
        <v>FC_IND_CPC_E</v>
      </c>
      <c r="G1124" s="18">
        <v>50185</v>
      </c>
    </row>
    <row r="1125" spans="1:7" x14ac:dyDescent="0.2">
      <c r="A1125" s="19" t="s">
        <v>33</v>
      </c>
      <c r="B1125" s="20" t="s">
        <v>63</v>
      </c>
      <c r="C1125" s="20" t="s">
        <v>8</v>
      </c>
      <c r="D1125" s="20" t="s">
        <v>10</v>
      </c>
      <c r="E1125" s="20" t="s">
        <v>13</v>
      </c>
      <c r="F1125" s="20" t="str">
        <f>INDEX(nrg_cb_e!$A$3:$A$40,MATCH(LEFT(MID('Industriesektor GWh'!$B1125,41,1000),SEARCH(" - ",MID('Industriesektor GWh'!$B1125,41,1000))-1),nrg_cb_e!$C$3:$C$40,0))</f>
        <v>FC_IND_CPC_E</v>
      </c>
      <c r="G1125" s="21">
        <v>51012</v>
      </c>
    </row>
    <row r="1126" spans="1:7" x14ac:dyDescent="0.2">
      <c r="A1126" s="16" t="s">
        <v>33</v>
      </c>
      <c r="B1126" s="17" t="s">
        <v>63</v>
      </c>
      <c r="C1126" s="17" t="s">
        <v>8</v>
      </c>
      <c r="D1126" s="17" t="s">
        <v>10</v>
      </c>
      <c r="E1126" s="17" t="s">
        <v>14</v>
      </c>
      <c r="F1126" s="17" t="str">
        <f>INDEX(nrg_cb_e!$A$3:$A$40,MATCH(LEFT(MID('Industriesektor GWh'!$B1126,41,1000),SEARCH(" - ",MID('Industriesektor GWh'!$B1126,41,1000))-1),nrg_cb_e!$C$3:$C$40,0))</f>
        <v>FC_IND_CPC_E</v>
      </c>
      <c r="G1126" s="18">
        <v>50867</v>
      </c>
    </row>
    <row r="1127" spans="1:7" x14ac:dyDescent="0.2">
      <c r="A1127" s="19" t="s">
        <v>33</v>
      </c>
      <c r="B1127" s="20" t="s">
        <v>63</v>
      </c>
      <c r="C1127" s="20" t="s">
        <v>8</v>
      </c>
      <c r="D1127" s="20" t="s">
        <v>10</v>
      </c>
      <c r="E1127" s="20" t="s">
        <v>15</v>
      </c>
      <c r="F1127" s="20" t="str">
        <f>INDEX(nrg_cb_e!$A$3:$A$40,MATCH(LEFT(MID('Industriesektor GWh'!$B1127,41,1000),SEARCH(" - ",MID('Industriesektor GWh'!$B1127,41,1000))-1),nrg_cb_e!$C$3:$C$40,0))</f>
        <v>FC_IND_CPC_E</v>
      </c>
      <c r="G1127" s="21">
        <v>52857</v>
      </c>
    </row>
    <row r="1128" spans="1:7" x14ac:dyDescent="0.2">
      <c r="A1128" s="16" t="s">
        <v>33</v>
      </c>
      <c r="B1128" s="17" t="s">
        <v>63</v>
      </c>
      <c r="C1128" s="17" t="s">
        <v>8</v>
      </c>
      <c r="D1128" s="17" t="s">
        <v>10</v>
      </c>
      <c r="E1128" s="17" t="s">
        <v>16</v>
      </c>
      <c r="F1128" s="17" t="str">
        <f>INDEX(nrg_cb_e!$A$3:$A$40,MATCH(LEFT(MID('Industriesektor GWh'!$B1128,41,1000),SEARCH(" - ",MID('Industriesektor GWh'!$B1128,41,1000))-1),nrg_cb_e!$C$3:$C$40,0))</f>
        <v>FC_IND_CPC_E</v>
      </c>
      <c r="G1128" s="18">
        <v>52335</v>
      </c>
    </row>
    <row r="1129" spans="1:7" x14ac:dyDescent="0.2">
      <c r="A1129" s="19" t="s">
        <v>33</v>
      </c>
      <c r="B1129" s="20" t="s">
        <v>63</v>
      </c>
      <c r="C1129" s="20" t="s">
        <v>8</v>
      </c>
      <c r="D1129" s="20" t="s">
        <v>10</v>
      </c>
      <c r="E1129" s="20" t="s">
        <v>17</v>
      </c>
      <c r="F1129" s="20" t="str">
        <f>INDEX(nrg_cb_e!$A$3:$A$40,MATCH(LEFT(MID('Industriesektor GWh'!$B1129,41,1000),SEARCH(" - ",MID('Industriesektor GWh'!$B1129,41,1000))-1),nrg_cb_e!$C$3:$C$40,0))</f>
        <v>FC_IND_CPC_E</v>
      </c>
      <c r="G1129" s="21">
        <v>53400</v>
      </c>
    </row>
    <row r="1130" spans="1:7" x14ac:dyDescent="0.2">
      <c r="A1130" s="16" t="s">
        <v>33</v>
      </c>
      <c r="B1130" s="17" t="s">
        <v>63</v>
      </c>
      <c r="C1130" s="17" t="s">
        <v>8</v>
      </c>
      <c r="D1130" s="17" t="s">
        <v>10</v>
      </c>
      <c r="E1130" s="17" t="s">
        <v>18</v>
      </c>
      <c r="F1130" s="17" t="str">
        <f>INDEX(nrg_cb_e!$A$3:$A$40,MATCH(LEFT(MID('Industriesektor GWh'!$B1130,41,1000),SEARCH(" - ",MID('Industriesektor GWh'!$B1130,41,1000))-1),nrg_cb_e!$C$3:$C$40,0))</f>
        <v>FC_IND_CPC_E</v>
      </c>
      <c r="G1130" s="18">
        <v>51728</v>
      </c>
    </row>
    <row r="1131" spans="1:7" x14ac:dyDescent="0.2">
      <c r="A1131" s="19" t="s">
        <v>33</v>
      </c>
      <c r="B1131" s="20" t="s">
        <v>63</v>
      </c>
      <c r="C1131" s="20" t="s">
        <v>8</v>
      </c>
      <c r="D1131" s="20" t="s">
        <v>10</v>
      </c>
      <c r="E1131" s="20" t="s">
        <v>19</v>
      </c>
      <c r="F1131" s="20" t="str">
        <f>INDEX(nrg_cb_e!$A$3:$A$40,MATCH(LEFT(MID('Industriesektor GWh'!$B1131,41,1000),SEARCH(" - ",MID('Industriesektor GWh'!$B1131,41,1000))-1),nrg_cb_e!$C$3:$C$40,0))</f>
        <v>FC_IND_CPC_E</v>
      </c>
      <c r="G1131" s="21">
        <v>44863</v>
      </c>
    </row>
    <row r="1132" spans="1:7" x14ac:dyDescent="0.2">
      <c r="A1132" s="16" t="s">
        <v>33</v>
      </c>
      <c r="B1132" s="17" t="s">
        <v>63</v>
      </c>
      <c r="C1132" s="17" t="s">
        <v>8</v>
      </c>
      <c r="D1132" s="17" t="s">
        <v>10</v>
      </c>
      <c r="E1132" s="17" t="s">
        <v>20</v>
      </c>
      <c r="F1132" s="17" t="str">
        <f>INDEX(nrg_cb_e!$A$3:$A$40,MATCH(LEFT(MID('Industriesektor GWh'!$B1132,41,1000),SEARCH(" - ",MID('Industriesektor GWh'!$B1132,41,1000))-1),nrg_cb_e!$C$3:$C$40,0))</f>
        <v>FC_IND_CPC_E</v>
      </c>
      <c r="G1132" s="18">
        <v>52337</v>
      </c>
    </row>
    <row r="1133" spans="1:7" x14ac:dyDescent="0.2">
      <c r="A1133" s="19" t="s">
        <v>33</v>
      </c>
      <c r="B1133" s="20" t="s">
        <v>63</v>
      </c>
      <c r="C1133" s="20" t="s">
        <v>8</v>
      </c>
      <c r="D1133" s="20" t="s">
        <v>10</v>
      </c>
      <c r="E1133" s="20" t="s">
        <v>21</v>
      </c>
      <c r="F1133" s="20" t="str">
        <f>INDEX(nrg_cb_e!$A$3:$A$40,MATCH(LEFT(MID('Industriesektor GWh'!$B1133,41,1000),SEARCH(" - ",MID('Industriesektor GWh'!$B1133,41,1000))-1),nrg_cb_e!$C$3:$C$40,0))</f>
        <v>FC_IND_CPC_E</v>
      </c>
      <c r="G1133" s="21">
        <v>52522</v>
      </c>
    </row>
    <row r="1134" spans="1:7" x14ac:dyDescent="0.2">
      <c r="A1134" s="16" t="s">
        <v>33</v>
      </c>
      <c r="B1134" s="17" t="s">
        <v>63</v>
      </c>
      <c r="C1134" s="17" t="s">
        <v>8</v>
      </c>
      <c r="D1134" s="17" t="s">
        <v>10</v>
      </c>
      <c r="E1134" s="17" t="s">
        <v>22</v>
      </c>
      <c r="F1134" s="17" t="str">
        <f>INDEX(nrg_cb_e!$A$3:$A$40,MATCH(LEFT(MID('Industriesektor GWh'!$B1134,41,1000),SEARCH(" - ",MID('Industriesektor GWh'!$B1134,41,1000))-1),nrg_cb_e!$C$3:$C$40,0))</f>
        <v>FC_IND_CPC_E</v>
      </c>
      <c r="G1134" s="18">
        <v>52151</v>
      </c>
    </row>
    <row r="1135" spans="1:7" x14ac:dyDescent="0.2">
      <c r="A1135" s="19" t="s">
        <v>33</v>
      </c>
      <c r="B1135" s="20" t="s">
        <v>63</v>
      </c>
      <c r="C1135" s="20" t="s">
        <v>8</v>
      </c>
      <c r="D1135" s="20" t="s">
        <v>10</v>
      </c>
      <c r="E1135" s="20" t="s">
        <v>23</v>
      </c>
      <c r="F1135" s="20" t="str">
        <f>INDEX(nrg_cb_e!$A$3:$A$40,MATCH(LEFT(MID('Industriesektor GWh'!$B1135,41,1000),SEARCH(" - ",MID('Industriesektor GWh'!$B1135,41,1000))-1),nrg_cb_e!$C$3:$C$40,0))</f>
        <v>FC_IND_CPC_E</v>
      </c>
      <c r="G1135" s="21">
        <v>51729</v>
      </c>
    </row>
    <row r="1136" spans="1:7" x14ac:dyDescent="0.2">
      <c r="A1136" s="16" t="s">
        <v>33</v>
      </c>
      <c r="B1136" s="17" t="s">
        <v>63</v>
      </c>
      <c r="C1136" s="17" t="s">
        <v>8</v>
      </c>
      <c r="D1136" s="17" t="s">
        <v>10</v>
      </c>
      <c r="E1136" s="17" t="s">
        <v>24</v>
      </c>
      <c r="F1136" s="17" t="str">
        <f>INDEX(nrg_cb_e!$A$3:$A$40,MATCH(LEFT(MID('Industriesektor GWh'!$B1136,41,1000),SEARCH(" - ",MID('Industriesektor GWh'!$B1136,41,1000))-1),nrg_cb_e!$C$3:$C$40,0))</f>
        <v>FC_IND_CPC_E</v>
      </c>
      <c r="G1136" s="18">
        <v>53487</v>
      </c>
    </row>
    <row r="1137" spans="1:7" x14ac:dyDescent="0.2">
      <c r="A1137" s="19" t="s">
        <v>33</v>
      </c>
      <c r="B1137" s="20" t="s">
        <v>63</v>
      </c>
      <c r="C1137" s="20" t="s">
        <v>8</v>
      </c>
      <c r="D1137" s="20" t="s">
        <v>10</v>
      </c>
      <c r="E1137" s="20" t="s">
        <v>25</v>
      </c>
      <c r="F1137" s="20" t="str">
        <f>INDEX(nrg_cb_e!$A$3:$A$40,MATCH(LEFT(MID('Industriesektor GWh'!$B1137,41,1000),SEARCH(" - ",MID('Industriesektor GWh'!$B1137,41,1000))-1),nrg_cb_e!$C$3:$C$40,0))</f>
        <v>FC_IND_CPC_E</v>
      </c>
      <c r="G1137" s="21">
        <v>53465</v>
      </c>
    </row>
    <row r="1138" spans="1:7" x14ac:dyDescent="0.2">
      <c r="A1138" s="16" t="s">
        <v>33</v>
      </c>
      <c r="B1138" s="17" t="s">
        <v>63</v>
      </c>
      <c r="C1138" s="17" t="s">
        <v>8</v>
      </c>
      <c r="D1138" s="17" t="s">
        <v>10</v>
      </c>
      <c r="E1138" s="17" t="s">
        <v>26</v>
      </c>
      <c r="F1138" s="17" t="str">
        <f>INDEX(nrg_cb_e!$A$3:$A$40,MATCH(LEFT(MID('Industriesektor GWh'!$B1138,41,1000),SEARCH(" - ",MID('Industriesektor GWh'!$B1138,41,1000))-1),nrg_cb_e!$C$3:$C$40,0))</f>
        <v>FC_IND_CPC_E</v>
      </c>
      <c r="G1138" s="18">
        <v>53577</v>
      </c>
    </row>
    <row r="1139" spans="1:7" x14ac:dyDescent="0.2">
      <c r="A1139" s="19" t="s">
        <v>33</v>
      </c>
      <c r="B1139" s="20" t="s">
        <v>63</v>
      </c>
      <c r="C1139" s="20" t="s">
        <v>8</v>
      </c>
      <c r="D1139" s="20" t="s">
        <v>10</v>
      </c>
      <c r="E1139" s="20" t="s">
        <v>27</v>
      </c>
      <c r="F1139" s="20" t="str">
        <f>INDEX(nrg_cb_e!$A$3:$A$40,MATCH(LEFT(MID('Industriesektor GWh'!$B1139,41,1000),SEARCH(" - ",MID('Industriesektor GWh'!$B1139,41,1000))-1),nrg_cb_e!$C$3:$C$40,0))</f>
        <v>FC_IND_CPC_E</v>
      </c>
      <c r="G1139" s="21">
        <v>54219</v>
      </c>
    </row>
    <row r="1140" spans="1:7" x14ac:dyDescent="0.2">
      <c r="A1140" s="16" t="s">
        <v>33</v>
      </c>
      <c r="B1140" s="17" t="s">
        <v>63</v>
      </c>
      <c r="C1140" s="17" t="s">
        <v>8</v>
      </c>
      <c r="D1140" s="17" t="s">
        <v>10</v>
      </c>
      <c r="E1140" s="17" t="s">
        <v>28</v>
      </c>
      <c r="F1140" s="17" t="str">
        <f>INDEX(nrg_cb_e!$A$3:$A$40,MATCH(LEFT(MID('Industriesektor GWh'!$B1140,41,1000),SEARCH(" - ",MID('Industriesektor GWh'!$B1140,41,1000))-1),nrg_cb_e!$C$3:$C$40,0))</f>
        <v>FC_IND_CPC_E</v>
      </c>
      <c r="G1140" s="18">
        <v>53566</v>
      </c>
    </row>
    <row r="1141" spans="1:7" x14ac:dyDescent="0.2">
      <c r="A1141" s="19" t="s">
        <v>34</v>
      </c>
      <c r="B1141" s="20" t="s">
        <v>63</v>
      </c>
      <c r="C1141" s="20" t="s">
        <v>8</v>
      </c>
      <c r="D1141" s="20" t="s">
        <v>10</v>
      </c>
      <c r="E1141" s="20" t="s">
        <v>12</v>
      </c>
      <c r="F1141" s="20" t="str">
        <f>INDEX(nrg_cb_e!$A$3:$A$40,MATCH(LEFT(MID('Industriesektor GWh'!$B1141,41,1000),SEARCH(" - ",MID('Industriesektor GWh'!$B1141,41,1000))-1),nrg_cb_e!$C$3:$C$40,0))</f>
        <v>FC_IND_CPC_E</v>
      </c>
      <c r="G1141" s="21">
        <v>282</v>
      </c>
    </row>
    <row r="1142" spans="1:7" x14ac:dyDescent="0.2">
      <c r="A1142" s="16" t="s">
        <v>34</v>
      </c>
      <c r="B1142" s="17" t="s">
        <v>63</v>
      </c>
      <c r="C1142" s="17" t="s">
        <v>8</v>
      </c>
      <c r="D1142" s="17" t="s">
        <v>10</v>
      </c>
      <c r="E1142" s="17" t="s">
        <v>13</v>
      </c>
      <c r="F1142" s="17" t="str">
        <f>INDEX(nrg_cb_e!$A$3:$A$40,MATCH(LEFT(MID('Industriesektor GWh'!$B1142,41,1000),SEARCH(" - ",MID('Industriesektor GWh'!$B1142,41,1000))-1),nrg_cb_e!$C$3:$C$40,0))</f>
        <v>FC_IND_CPC_E</v>
      </c>
      <c r="G1142" s="18">
        <v>305</v>
      </c>
    </row>
    <row r="1143" spans="1:7" x14ac:dyDescent="0.2">
      <c r="A1143" s="19" t="s">
        <v>34</v>
      </c>
      <c r="B1143" s="20" t="s">
        <v>63</v>
      </c>
      <c r="C1143" s="20" t="s">
        <v>8</v>
      </c>
      <c r="D1143" s="20" t="s">
        <v>10</v>
      </c>
      <c r="E1143" s="20" t="s">
        <v>14</v>
      </c>
      <c r="F1143" s="20" t="str">
        <f>INDEX(nrg_cb_e!$A$3:$A$40,MATCH(LEFT(MID('Industriesektor GWh'!$B1143,41,1000),SEARCH(" - ",MID('Industriesektor GWh'!$B1143,41,1000))-1),nrg_cb_e!$C$3:$C$40,0))</f>
        <v>FC_IND_CPC_E</v>
      </c>
      <c r="G1143" s="21">
        <v>330</v>
      </c>
    </row>
    <row r="1144" spans="1:7" x14ac:dyDescent="0.2">
      <c r="A1144" s="16" t="s">
        <v>34</v>
      </c>
      <c r="B1144" s="17" t="s">
        <v>63</v>
      </c>
      <c r="C1144" s="17" t="s">
        <v>8</v>
      </c>
      <c r="D1144" s="17" t="s">
        <v>10</v>
      </c>
      <c r="E1144" s="17" t="s">
        <v>15</v>
      </c>
      <c r="F1144" s="17" t="str">
        <f>INDEX(nrg_cb_e!$A$3:$A$40,MATCH(LEFT(MID('Industriesektor GWh'!$B1144,41,1000),SEARCH(" - ",MID('Industriesektor GWh'!$B1144,41,1000))-1),nrg_cb_e!$C$3:$C$40,0))</f>
        <v>FC_IND_CPC_E</v>
      </c>
      <c r="G1144" s="18">
        <v>358</v>
      </c>
    </row>
    <row r="1145" spans="1:7" x14ac:dyDescent="0.2">
      <c r="A1145" s="19" t="s">
        <v>34</v>
      </c>
      <c r="B1145" s="20" t="s">
        <v>63</v>
      </c>
      <c r="C1145" s="20" t="s">
        <v>8</v>
      </c>
      <c r="D1145" s="20" t="s">
        <v>10</v>
      </c>
      <c r="E1145" s="20" t="s">
        <v>16</v>
      </c>
      <c r="F1145" s="20" t="str">
        <f>INDEX(nrg_cb_e!$A$3:$A$40,MATCH(LEFT(MID('Industriesektor GWh'!$B1145,41,1000),SEARCH(" - ",MID('Industriesektor GWh'!$B1145,41,1000))-1),nrg_cb_e!$C$3:$C$40,0))</f>
        <v>FC_IND_CPC_E</v>
      </c>
      <c r="G1145" s="21">
        <v>361</v>
      </c>
    </row>
    <row r="1146" spans="1:7" x14ac:dyDescent="0.2">
      <c r="A1146" s="16" t="s">
        <v>34</v>
      </c>
      <c r="B1146" s="17" t="s">
        <v>63</v>
      </c>
      <c r="C1146" s="17" t="s">
        <v>8</v>
      </c>
      <c r="D1146" s="17" t="s">
        <v>10</v>
      </c>
      <c r="E1146" s="17" t="s">
        <v>17</v>
      </c>
      <c r="F1146" s="17" t="str">
        <f>INDEX(nrg_cb_e!$A$3:$A$40,MATCH(LEFT(MID('Industriesektor GWh'!$B1146,41,1000),SEARCH(" - ",MID('Industriesektor GWh'!$B1146,41,1000))-1),nrg_cb_e!$C$3:$C$40,0))</f>
        <v>FC_IND_CPC_E</v>
      </c>
      <c r="G1146" s="18">
        <v>320</v>
      </c>
    </row>
    <row r="1147" spans="1:7" x14ac:dyDescent="0.2">
      <c r="A1147" s="19" t="s">
        <v>34</v>
      </c>
      <c r="B1147" s="20" t="s">
        <v>63</v>
      </c>
      <c r="C1147" s="20" t="s">
        <v>8</v>
      </c>
      <c r="D1147" s="20" t="s">
        <v>10</v>
      </c>
      <c r="E1147" s="20" t="s">
        <v>18</v>
      </c>
      <c r="F1147" s="20" t="str">
        <f>INDEX(nrg_cb_e!$A$3:$A$40,MATCH(LEFT(MID('Industriesektor GWh'!$B1147,41,1000),SEARCH(" - ",MID('Industriesektor GWh'!$B1147,41,1000))-1),nrg_cb_e!$C$3:$C$40,0))</f>
        <v>FC_IND_CPC_E</v>
      </c>
      <c r="G1147" s="21">
        <v>354</v>
      </c>
    </row>
    <row r="1148" spans="1:7" x14ac:dyDescent="0.2">
      <c r="A1148" s="16" t="s">
        <v>34</v>
      </c>
      <c r="B1148" s="17" t="s">
        <v>63</v>
      </c>
      <c r="C1148" s="17" t="s">
        <v>8</v>
      </c>
      <c r="D1148" s="17" t="s">
        <v>10</v>
      </c>
      <c r="E1148" s="17" t="s">
        <v>19</v>
      </c>
      <c r="F1148" s="17" t="str">
        <f>INDEX(nrg_cb_e!$A$3:$A$40,MATCH(LEFT(MID('Industriesektor GWh'!$B1148,41,1000),SEARCH(" - ",MID('Industriesektor GWh'!$B1148,41,1000))-1),nrg_cb_e!$C$3:$C$40,0))</f>
        <v>FC_IND_CPC_E</v>
      </c>
      <c r="G1148" s="18">
        <v>321</v>
      </c>
    </row>
    <row r="1149" spans="1:7" x14ac:dyDescent="0.2">
      <c r="A1149" s="19" t="s">
        <v>34</v>
      </c>
      <c r="B1149" s="20" t="s">
        <v>63</v>
      </c>
      <c r="C1149" s="20" t="s">
        <v>8</v>
      </c>
      <c r="D1149" s="20" t="s">
        <v>10</v>
      </c>
      <c r="E1149" s="20" t="s">
        <v>20</v>
      </c>
      <c r="F1149" s="20" t="str">
        <f>INDEX(nrg_cb_e!$A$3:$A$40,MATCH(LEFT(MID('Industriesektor GWh'!$B1149,41,1000),SEARCH(" - ",MID('Industriesektor GWh'!$B1149,41,1000))-1),nrg_cb_e!$C$3:$C$40,0))</f>
        <v>FC_IND_CPC_E</v>
      </c>
      <c r="G1149" s="21">
        <v>252</v>
      </c>
    </row>
    <row r="1150" spans="1:7" x14ac:dyDescent="0.2">
      <c r="A1150" s="16" t="s">
        <v>34</v>
      </c>
      <c r="B1150" s="17" t="s">
        <v>63</v>
      </c>
      <c r="C1150" s="17" t="s">
        <v>8</v>
      </c>
      <c r="D1150" s="17" t="s">
        <v>10</v>
      </c>
      <c r="E1150" s="17" t="s">
        <v>21</v>
      </c>
      <c r="F1150" s="17" t="str">
        <f>INDEX(nrg_cb_e!$A$3:$A$40,MATCH(LEFT(MID('Industriesektor GWh'!$B1150,41,1000),SEARCH(" - ",MID('Industriesektor GWh'!$B1150,41,1000))-1),nrg_cb_e!$C$3:$C$40,0))</f>
        <v>FC_IND_CPC_E</v>
      </c>
      <c r="G1150" s="18">
        <v>199</v>
      </c>
    </row>
    <row r="1151" spans="1:7" x14ac:dyDescent="0.2">
      <c r="A1151" s="19" t="s">
        <v>34</v>
      </c>
      <c r="B1151" s="20" t="s">
        <v>63</v>
      </c>
      <c r="C1151" s="20" t="s">
        <v>8</v>
      </c>
      <c r="D1151" s="20" t="s">
        <v>10</v>
      </c>
      <c r="E1151" s="20" t="s">
        <v>22</v>
      </c>
      <c r="F1151" s="20" t="str">
        <f>INDEX(nrg_cb_e!$A$3:$A$40,MATCH(LEFT(MID('Industriesektor GWh'!$B1151,41,1000),SEARCH(" - ",MID('Industriesektor GWh'!$B1151,41,1000))-1),nrg_cb_e!$C$3:$C$40,0))</f>
        <v>FC_IND_CPC_E</v>
      </c>
      <c r="G1151" s="21">
        <v>198</v>
      </c>
    </row>
    <row r="1152" spans="1:7" x14ac:dyDescent="0.2">
      <c r="A1152" s="16" t="s">
        <v>34</v>
      </c>
      <c r="B1152" s="17" t="s">
        <v>63</v>
      </c>
      <c r="C1152" s="17" t="s">
        <v>8</v>
      </c>
      <c r="D1152" s="17" t="s">
        <v>10</v>
      </c>
      <c r="E1152" s="17" t="s">
        <v>23</v>
      </c>
      <c r="F1152" s="17" t="str">
        <f>INDEX(nrg_cb_e!$A$3:$A$40,MATCH(LEFT(MID('Industriesektor GWh'!$B1152,41,1000),SEARCH(" - ",MID('Industriesektor GWh'!$B1152,41,1000))-1),nrg_cb_e!$C$3:$C$40,0))</f>
        <v>FC_IND_CPC_E</v>
      </c>
      <c r="G1152" s="18">
        <v>253</v>
      </c>
    </row>
    <row r="1153" spans="1:7" x14ac:dyDescent="0.2">
      <c r="A1153" s="19" t="s">
        <v>34</v>
      </c>
      <c r="B1153" s="20" t="s">
        <v>63</v>
      </c>
      <c r="C1153" s="20" t="s">
        <v>8</v>
      </c>
      <c r="D1153" s="20" t="s">
        <v>10</v>
      </c>
      <c r="E1153" s="20" t="s">
        <v>24</v>
      </c>
      <c r="F1153" s="20" t="str">
        <f>INDEX(nrg_cb_e!$A$3:$A$40,MATCH(LEFT(MID('Industriesektor GWh'!$B1153,41,1000),SEARCH(" - ",MID('Industriesektor GWh'!$B1153,41,1000))-1),nrg_cb_e!$C$3:$C$40,0))</f>
        <v>FC_IND_CPC_E</v>
      </c>
      <c r="G1153" s="21">
        <v>151</v>
      </c>
    </row>
    <row r="1154" spans="1:7" x14ac:dyDescent="0.2">
      <c r="A1154" s="16" t="s">
        <v>34</v>
      </c>
      <c r="B1154" s="17" t="s">
        <v>63</v>
      </c>
      <c r="C1154" s="17" t="s">
        <v>8</v>
      </c>
      <c r="D1154" s="17" t="s">
        <v>10</v>
      </c>
      <c r="E1154" s="17" t="s">
        <v>25</v>
      </c>
      <c r="F1154" s="17" t="str">
        <f>INDEX(nrg_cb_e!$A$3:$A$40,MATCH(LEFT(MID('Industriesektor GWh'!$B1154,41,1000),SEARCH(" - ",MID('Industriesektor GWh'!$B1154,41,1000))-1),nrg_cb_e!$C$3:$C$40,0))</f>
        <v>FC_IND_CPC_E</v>
      </c>
      <c r="G1154" s="18">
        <v>134</v>
      </c>
    </row>
    <row r="1155" spans="1:7" x14ac:dyDescent="0.2">
      <c r="A1155" s="19" t="s">
        <v>34</v>
      </c>
      <c r="B1155" s="20" t="s">
        <v>63</v>
      </c>
      <c r="C1155" s="20" t="s">
        <v>8</v>
      </c>
      <c r="D1155" s="20" t="s">
        <v>10</v>
      </c>
      <c r="E1155" s="20" t="s">
        <v>26</v>
      </c>
      <c r="F1155" s="20" t="str">
        <f>INDEX(nrg_cb_e!$A$3:$A$40,MATCH(LEFT(MID('Industriesektor GWh'!$B1155,41,1000),SEARCH(" - ",MID('Industriesektor GWh'!$B1155,41,1000))-1),nrg_cb_e!$C$3:$C$40,0))</f>
        <v>FC_IND_CPC_E</v>
      </c>
      <c r="G1155" s="21">
        <v>114</v>
      </c>
    </row>
    <row r="1156" spans="1:7" x14ac:dyDescent="0.2">
      <c r="A1156" s="16" t="s">
        <v>34</v>
      </c>
      <c r="B1156" s="17" t="s">
        <v>63</v>
      </c>
      <c r="C1156" s="17" t="s">
        <v>8</v>
      </c>
      <c r="D1156" s="17" t="s">
        <v>10</v>
      </c>
      <c r="E1156" s="17" t="s">
        <v>27</v>
      </c>
      <c r="F1156" s="17" t="str">
        <f>INDEX(nrg_cb_e!$A$3:$A$40,MATCH(LEFT(MID('Industriesektor GWh'!$B1156,41,1000),SEARCH(" - ",MID('Industriesektor GWh'!$B1156,41,1000))-1),nrg_cb_e!$C$3:$C$40,0))</f>
        <v>FC_IND_CPC_E</v>
      </c>
      <c r="G1156" s="18">
        <v>114</v>
      </c>
    </row>
    <row r="1157" spans="1:7" x14ac:dyDescent="0.2">
      <c r="A1157" s="19" t="s">
        <v>34</v>
      </c>
      <c r="B1157" s="20" t="s">
        <v>63</v>
      </c>
      <c r="C1157" s="20" t="s">
        <v>8</v>
      </c>
      <c r="D1157" s="20" t="s">
        <v>10</v>
      </c>
      <c r="E1157" s="20" t="s">
        <v>28</v>
      </c>
      <c r="F1157" s="20" t="str">
        <f>INDEX(nrg_cb_e!$A$3:$A$40,MATCH(LEFT(MID('Industriesektor GWh'!$B1157,41,1000),SEARCH(" - ",MID('Industriesektor GWh'!$B1157,41,1000))-1),nrg_cb_e!$C$3:$C$40,0))</f>
        <v>FC_IND_CPC_E</v>
      </c>
      <c r="G1157" s="21">
        <v>116</v>
      </c>
    </row>
    <row r="1158" spans="1:7" x14ac:dyDescent="0.2">
      <c r="A1158" s="16" t="s">
        <v>35</v>
      </c>
      <c r="B1158" s="17" t="s">
        <v>63</v>
      </c>
      <c r="C1158" s="17" t="s">
        <v>8</v>
      </c>
      <c r="D1158" s="17" t="s">
        <v>10</v>
      </c>
      <c r="E1158" s="17" t="s">
        <v>12</v>
      </c>
      <c r="F1158" s="17" t="str">
        <f>INDEX(nrg_cb_e!$A$3:$A$40,MATCH(LEFT(MID('Industriesektor GWh'!$B1158,41,1000),SEARCH(" - ",MID('Industriesektor GWh'!$B1158,41,1000))-1),nrg_cb_e!$C$3:$C$40,0))</f>
        <v>FC_IND_CPC_E</v>
      </c>
      <c r="G1158" s="18">
        <v>1388.527</v>
      </c>
    </row>
    <row r="1159" spans="1:7" x14ac:dyDescent="0.2">
      <c r="A1159" s="19" t="s">
        <v>35</v>
      </c>
      <c r="B1159" s="20" t="s">
        <v>63</v>
      </c>
      <c r="C1159" s="20" t="s">
        <v>8</v>
      </c>
      <c r="D1159" s="20" t="s">
        <v>10</v>
      </c>
      <c r="E1159" s="20" t="s">
        <v>13</v>
      </c>
      <c r="F1159" s="20" t="str">
        <f>INDEX(nrg_cb_e!$A$3:$A$40,MATCH(LEFT(MID('Industriesektor GWh'!$B1159,41,1000),SEARCH(" - ",MID('Industriesektor GWh'!$B1159,41,1000))-1),nrg_cb_e!$C$3:$C$40,0))</f>
        <v>FC_IND_CPC_E</v>
      </c>
      <c r="G1159" s="21">
        <v>1292.913</v>
      </c>
    </row>
    <row r="1160" spans="1:7" x14ac:dyDescent="0.2">
      <c r="A1160" s="16" t="s">
        <v>35</v>
      </c>
      <c r="B1160" s="17" t="s">
        <v>63</v>
      </c>
      <c r="C1160" s="17" t="s">
        <v>8</v>
      </c>
      <c r="D1160" s="17" t="s">
        <v>10</v>
      </c>
      <c r="E1160" s="17" t="s">
        <v>14</v>
      </c>
      <c r="F1160" s="17" t="str">
        <f>INDEX(nrg_cb_e!$A$3:$A$40,MATCH(LEFT(MID('Industriesektor GWh'!$B1160,41,1000),SEARCH(" - ",MID('Industriesektor GWh'!$B1160,41,1000))-1),nrg_cb_e!$C$3:$C$40,0))</f>
        <v>FC_IND_CPC_E</v>
      </c>
      <c r="G1160" s="18">
        <v>1223.6020000000001</v>
      </c>
    </row>
    <row r="1161" spans="1:7" x14ac:dyDescent="0.2">
      <c r="A1161" s="19" t="s">
        <v>35</v>
      </c>
      <c r="B1161" s="20" t="s">
        <v>63</v>
      </c>
      <c r="C1161" s="20" t="s">
        <v>8</v>
      </c>
      <c r="D1161" s="20" t="s">
        <v>10</v>
      </c>
      <c r="E1161" s="20" t="s">
        <v>15</v>
      </c>
      <c r="F1161" s="20" t="str">
        <f>INDEX(nrg_cb_e!$A$3:$A$40,MATCH(LEFT(MID('Industriesektor GWh'!$B1161,41,1000),SEARCH(" - ",MID('Industriesektor GWh'!$B1161,41,1000))-1),nrg_cb_e!$C$3:$C$40,0))</f>
        <v>FC_IND_CPC_E</v>
      </c>
      <c r="G1161" s="21">
        <v>1363.6489999999999</v>
      </c>
    </row>
    <row r="1162" spans="1:7" x14ac:dyDescent="0.2">
      <c r="A1162" s="16" t="s">
        <v>35</v>
      </c>
      <c r="B1162" s="17" t="s">
        <v>63</v>
      </c>
      <c r="C1162" s="17" t="s">
        <v>8</v>
      </c>
      <c r="D1162" s="17" t="s">
        <v>10</v>
      </c>
      <c r="E1162" s="17" t="s">
        <v>16</v>
      </c>
      <c r="F1162" s="17" t="str">
        <f>INDEX(nrg_cb_e!$A$3:$A$40,MATCH(LEFT(MID('Industriesektor GWh'!$B1162,41,1000),SEARCH(" - ",MID('Industriesektor GWh'!$B1162,41,1000))-1),nrg_cb_e!$C$3:$C$40,0))</f>
        <v>FC_IND_CPC_E</v>
      </c>
      <c r="G1162" s="18">
        <v>1376.876</v>
      </c>
    </row>
    <row r="1163" spans="1:7" x14ac:dyDescent="0.2">
      <c r="A1163" s="19" t="s">
        <v>35</v>
      </c>
      <c r="B1163" s="20" t="s">
        <v>63</v>
      </c>
      <c r="C1163" s="20" t="s">
        <v>8</v>
      </c>
      <c r="D1163" s="20" t="s">
        <v>10</v>
      </c>
      <c r="E1163" s="20" t="s">
        <v>17</v>
      </c>
      <c r="F1163" s="20" t="str">
        <f>INDEX(nrg_cb_e!$A$3:$A$40,MATCH(LEFT(MID('Industriesektor GWh'!$B1163,41,1000),SEARCH(" - ",MID('Industriesektor GWh'!$B1163,41,1000))-1),nrg_cb_e!$C$3:$C$40,0))</f>
        <v>FC_IND_CPC_E</v>
      </c>
      <c r="G1163" s="21">
        <v>1377.9680000000001</v>
      </c>
    </row>
    <row r="1164" spans="1:7" x14ac:dyDescent="0.2">
      <c r="A1164" s="16" t="s">
        <v>35</v>
      </c>
      <c r="B1164" s="17" t="s">
        <v>63</v>
      </c>
      <c r="C1164" s="17" t="s">
        <v>8</v>
      </c>
      <c r="D1164" s="17" t="s">
        <v>10</v>
      </c>
      <c r="E1164" s="17" t="s">
        <v>18</v>
      </c>
      <c r="F1164" s="17" t="str">
        <f>INDEX(nrg_cb_e!$A$3:$A$40,MATCH(LEFT(MID('Industriesektor GWh'!$B1164,41,1000),SEARCH(" - ",MID('Industriesektor GWh'!$B1164,41,1000))-1),nrg_cb_e!$C$3:$C$40,0))</f>
        <v>FC_IND_CPC_E</v>
      </c>
      <c r="G1164" s="18">
        <v>1379.7470000000001</v>
      </c>
    </row>
    <row r="1165" spans="1:7" x14ac:dyDescent="0.2">
      <c r="A1165" s="19" t="s">
        <v>35</v>
      </c>
      <c r="B1165" s="20" t="s">
        <v>63</v>
      </c>
      <c r="C1165" s="20" t="s">
        <v>8</v>
      </c>
      <c r="D1165" s="20" t="s">
        <v>10</v>
      </c>
      <c r="E1165" s="20" t="s">
        <v>19</v>
      </c>
      <c r="F1165" s="20" t="str">
        <f>INDEX(nrg_cb_e!$A$3:$A$40,MATCH(LEFT(MID('Industriesektor GWh'!$B1165,41,1000),SEARCH(" - ",MID('Industriesektor GWh'!$B1165,41,1000))-1),nrg_cb_e!$C$3:$C$40,0))</f>
        <v>FC_IND_CPC_E</v>
      </c>
      <c r="G1165" s="21">
        <v>1509.288</v>
      </c>
    </row>
    <row r="1166" spans="1:7" x14ac:dyDescent="0.2">
      <c r="A1166" s="16" t="s">
        <v>35</v>
      </c>
      <c r="B1166" s="17" t="s">
        <v>63</v>
      </c>
      <c r="C1166" s="17" t="s">
        <v>8</v>
      </c>
      <c r="D1166" s="17" t="s">
        <v>10</v>
      </c>
      <c r="E1166" s="17" t="s">
        <v>20</v>
      </c>
      <c r="F1166" s="17" t="str">
        <f>INDEX(nrg_cb_e!$A$3:$A$40,MATCH(LEFT(MID('Industriesektor GWh'!$B1166,41,1000),SEARCH(" - ",MID('Industriesektor GWh'!$B1166,41,1000))-1),nrg_cb_e!$C$3:$C$40,0))</f>
        <v>FC_IND_CPC_E</v>
      </c>
      <c r="G1166" s="18">
        <v>1653.2929999999999</v>
      </c>
    </row>
    <row r="1167" spans="1:7" x14ac:dyDescent="0.2">
      <c r="A1167" s="19" t="s">
        <v>35</v>
      </c>
      <c r="B1167" s="20" t="s">
        <v>63</v>
      </c>
      <c r="C1167" s="20" t="s">
        <v>8</v>
      </c>
      <c r="D1167" s="20" t="s">
        <v>10</v>
      </c>
      <c r="E1167" s="20" t="s">
        <v>21</v>
      </c>
      <c r="F1167" s="20" t="str">
        <f>INDEX(nrg_cb_e!$A$3:$A$40,MATCH(LEFT(MID('Industriesektor GWh'!$B1167,41,1000),SEARCH(" - ",MID('Industriesektor GWh'!$B1167,41,1000))-1),nrg_cb_e!$C$3:$C$40,0))</f>
        <v>FC_IND_CPC_E</v>
      </c>
      <c r="G1167" s="21">
        <v>1725.999</v>
      </c>
    </row>
    <row r="1168" spans="1:7" x14ac:dyDescent="0.2">
      <c r="A1168" s="16" t="s">
        <v>35</v>
      </c>
      <c r="B1168" s="17" t="s">
        <v>63</v>
      </c>
      <c r="C1168" s="17" t="s">
        <v>8</v>
      </c>
      <c r="D1168" s="17" t="s">
        <v>10</v>
      </c>
      <c r="E1168" s="17" t="s">
        <v>22</v>
      </c>
      <c r="F1168" s="17" t="str">
        <f>INDEX(nrg_cb_e!$A$3:$A$40,MATCH(LEFT(MID('Industriesektor GWh'!$B1168,41,1000),SEARCH(" - ",MID('Industriesektor GWh'!$B1168,41,1000))-1),nrg_cb_e!$C$3:$C$40,0))</f>
        <v>FC_IND_CPC_E</v>
      </c>
      <c r="G1168" s="18">
        <v>1661.2280000000001</v>
      </c>
    </row>
    <row r="1169" spans="1:7" x14ac:dyDescent="0.2">
      <c r="A1169" s="19" t="s">
        <v>35</v>
      </c>
      <c r="B1169" s="20" t="s">
        <v>63</v>
      </c>
      <c r="C1169" s="20" t="s">
        <v>8</v>
      </c>
      <c r="D1169" s="20" t="s">
        <v>10</v>
      </c>
      <c r="E1169" s="20" t="s">
        <v>23</v>
      </c>
      <c r="F1169" s="20" t="str">
        <f>INDEX(nrg_cb_e!$A$3:$A$40,MATCH(LEFT(MID('Industriesektor GWh'!$B1169,41,1000),SEARCH(" - ",MID('Industriesektor GWh'!$B1169,41,1000))-1),nrg_cb_e!$C$3:$C$40,0))</f>
        <v>FC_IND_CPC_E</v>
      </c>
      <c r="G1169" s="21">
        <v>1686.99</v>
      </c>
    </row>
    <row r="1170" spans="1:7" x14ac:dyDescent="0.2">
      <c r="A1170" s="16" t="s">
        <v>35</v>
      </c>
      <c r="B1170" s="17" t="s">
        <v>63</v>
      </c>
      <c r="C1170" s="17" t="s">
        <v>8</v>
      </c>
      <c r="D1170" s="17" t="s">
        <v>10</v>
      </c>
      <c r="E1170" s="17" t="s">
        <v>24</v>
      </c>
      <c r="F1170" s="17" t="str">
        <f>INDEX(nrg_cb_e!$A$3:$A$40,MATCH(LEFT(MID('Industriesektor GWh'!$B1170,41,1000),SEARCH(" - ",MID('Industriesektor GWh'!$B1170,41,1000))-1),nrg_cb_e!$C$3:$C$40,0))</f>
        <v>FC_IND_CPC_E</v>
      </c>
      <c r="G1170" s="18">
        <v>1707.1369999999999</v>
      </c>
    </row>
    <row r="1171" spans="1:7" x14ac:dyDescent="0.2">
      <c r="A1171" s="19" t="s">
        <v>35</v>
      </c>
      <c r="B1171" s="20" t="s">
        <v>63</v>
      </c>
      <c r="C1171" s="20" t="s">
        <v>8</v>
      </c>
      <c r="D1171" s="20" t="s">
        <v>10</v>
      </c>
      <c r="E1171" s="20" t="s">
        <v>25</v>
      </c>
      <c r="F1171" s="20" t="str">
        <f>INDEX(nrg_cb_e!$A$3:$A$40,MATCH(LEFT(MID('Industriesektor GWh'!$B1171,41,1000),SEARCH(" - ",MID('Industriesektor GWh'!$B1171,41,1000))-1),nrg_cb_e!$C$3:$C$40,0))</f>
        <v>FC_IND_CPC_E</v>
      </c>
      <c r="G1171" s="21">
        <v>1788.126</v>
      </c>
    </row>
    <row r="1172" spans="1:7" x14ac:dyDescent="0.2">
      <c r="A1172" s="16" t="s">
        <v>35</v>
      </c>
      <c r="B1172" s="17" t="s">
        <v>63</v>
      </c>
      <c r="C1172" s="17" t="s">
        <v>8</v>
      </c>
      <c r="D1172" s="17" t="s">
        <v>10</v>
      </c>
      <c r="E1172" s="17" t="s">
        <v>26</v>
      </c>
      <c r="F1172" s="17" t="str">
        <f>INDEX(nrg_cb_e!$A$3:$A$40,MATCH(LEFT(MID('Industriesektor GWh'!$B1172,41,1000),SEARCH(" - ",MID('Industriesektor GWh'!$B1172,41,1000))-1),nrg_cb_e!$C$3:$C$40,0))</f>
        <v>FC_IND_CPC_E</v>
      </c>
      <c r="G1172" s="18">
        <v>1846.3130000000001</v>
      </c>
    </row>
    <row r="1173" spans="1:7" x14ac:dyDescent="0.2">
      <c r="A1173" s="19" t="s">
        <v>35</v>
      </c>
      <c r="B1173" s="20" t="s">
        <v>63</v>
      </c>
      <c r="C1173" s="20" t="s">
        <v>8</v>
      </c>
      <c r="D1173" s="20" t="s">
        <v>10</v>
      </c>
      <c r="E1173" s="20" t="s">
        <v>27</v>
      </c>
      <c r="F1173" s="20" t="str">
        <f>INDEX(nrg_cb_e!$A$3:$A$40,MATCH(LEFT(MID('Industriesektor GWh'!$B1173,41,1000),SEARCH(" - ",MID('Industriesektor GWh'!$B1173,41,1000))-1),nrg_cb_e!$C$3:$C$40,0))</f>
        <v>FC_IND_CPC_E</v>
      </c>
      <c r="G1173" s="21">
        <v>1866.85</v>
      </c>
    </row>
    <row r="1174" spans="1:7" x14ac:dyDescent="0.2">
      <c r="A1174" s="16" t="s">
        <v>35</v>
      </c>
      <c r="B1174" s="17" t="s">
        <v>63</v>
      </c>
      <c r="C1174" s="17" t="s">
        <v>8</v>
      </c>
      <c r="D1174" s="17" t="s">
        <v>10</v>
      </c>
      <c r="E1174" s="17" t="s">
        <v>28</v>
      </c>
      <c r="F1174" s="17" t="str">
        <f>INDEX(nrg_cb_e!$A$3:$A$40,MATCH(LEFT(MID('Industriesektor GWh'!$B1174,41,1000),SEARCH(" - ",MID('Industriesektor GWh'!$B1174,41,1000))-1),nrg_cb_e!$C$3:$C$40,0))</f>
        <v>FC_IND_CPC_E</v>
      </c>
      <c r="G1174" s="18">
        <v>1986.75</v>
      </c>
    </row>
    <row r="1175" spans="1:7" x14ac:dyDescent="0.2">
      <c r="A1175" s="19" t="s">
        <v>36</v>
      </c>
      <c r="B1175" s="20" t="s">
        <v>63</v>
      </c>
      <c r="C1175" s="20" t="s">
        <v>8</v>
      </c>
      <c r="D1175" s="20" t="s">
        <v>10</v>
      </c>
      <c r="E1175" s="20" t="s">
        <v>12</v>
      </c>
      <c r="F1175" s="20" t="str">
        <f>INDEX(nrg_cb_e!$A$3:$A$40,MATCH(LEFT(MID('Industriesektor GWh'!$B1175,41,1000),SEARCH(" - ",MID('Industriesektor GWh'!$B1175,41,1000))-1),nrg_cb_e!$C$3:$C$40,0))</f>
        <v>FC_IND_CPC_E</v>
      </c>
      <c r="G1175" s="21">
        <v>1154</v>
      </c>
    </row>
    <row r="1176" spans="1:7" x14ac:dyDescent="0.2">
      <c r="A1176" s="16" t="s">
        <v>36</v>
      </c>
      <c r="B1176" s="17" t="s">
        <v>63</v>
      </c>
      <c r="C1176" s="17" t="s">
        <v>8</v>
      </c>
      <c r="D1176" s="17" t="s">
        <v>10</v>
      </c>
      <c r="E1176" s="17" t="s">
        <v>13</v>
      </c>
      <c r="F1176" s="17" t="str">
        <f>INDEX(nrg_cb_e!$A$3:$A$40,MATCH(LEFT(MID('Industriesektor GWh'!$B1176,41,1000),SEARCH(" - ",MID('Industriesektor GWh'!$B1176,41,1000))-1),nrg_cb_e!$C$3:$C$40,0))</f>
        <v>FC_IND_CPC_E</v>
      </c>
      <c r="G1176" s="18">
        <v>627</v>
      </c>
    </row>
    <row r="1177" spans="1:7" x14ac:dyDescent="0.2">
      <c r="A1177" s="19" t="s">
        <v>36</v>
      </c>
      <c r="B1177" s="20" t="s">
        <v>63</v>
      </c>
      <c r="C1177" s="20" t="s">
        <v>8</v>
      </c>
      <c r="D1177" s="20" t="s">
        <v>10</v>
      </c>
      <c r="E1177" s="20" t="s">
        <v>14</v>
      </c>
      <c r="F1177" s="20" t="str">
        <f>INDEX(nrg_cb_e!$A$3:$A$40,MATCH(LEFT(MID('Industriesektor GWh'!$B1177,41,1000),SEARCH(" - ",MID('Industriesektor GWh'!$B1177,41,1000))-1),nrg_cb_e!$C$3:$C$40,0))</f>
        <v>FC_IND_CPC_E</v>
      </c>
      <c r="G1177" s="21">
        <v>524</v>
      </c>
    </row>
    <row r="1178" spans="1:7" x14ac:dyDescent="0.2">
      <c r="A1178" s="16" t="s">
        <v>36</v>
      </c>
      <c r="B1178" s="17" t="s">
        <v>63</v>
      </c>
      <c r="C1178" s="17" t="s">
        <v>8</v>
      </c>
      <c r="D1178" s="17" t="s">
        <v>10</v>
      </c>
      <c r="E1178" s="17" t="s">
        <v>15</v>
      </c>
      <c r="F1178" s="17" t="str">
        <f>INDEX(nrg_cb_e!$A$3:$A$40,MATCH(LEFT(MID('Industriesektor GWh'!$B1178,41,1000),SEARCH(" - ",MID('Industriesektor GWh'!$B1178,41,1000))-1),nrg_cb_e!$C$3:$C$40,0))</f>
        <v>FC_IND_CPC_E</v>
      </c>
      <c r="G1178" s="18">
        <v>569</v>
      </c>
    </row>
    <row r="1179" spans="1:7" x14ac:dyDescent="0.2">
      <c r="A1179" s="19" t="s">
        <v>36</v>
      </c>
      <c r="B1179" s="20" t="s">
        <v>63</v>
      </c>
      <c r="C1179" s="20" t="s">
        <v>8</v>
      </c>
      <c r="D1179" s="20" t="s">
        <v>10</v>
      </c>
      <c r="E1179" s="20" t="s">
        <v>16</v>
      </c>
      <c r="F1179" s="20" t="str">
        <f>INDEX(nrg_cb_e!$A$3:$A$40,MATCH(LEFT(MID('Industriesektor GWh'!$B1179,41,1000),SEARCH(" - ",MID('Industriesektor GWh'!$B1179,41,1000))-1),nrg_cb_e!$C$3:$C$40,0))</f>
        <v>FC_IND_CPC_E</v>
      </c>
      <c r="G1179" s="21">
        <v>529</v>
      </c>
    </row>
    <row r="1180" spans="1:7" x14ac:dyDescent="0.2">
      <c r="A1180" s="16" t="s">
        <v>36</v>
      </c>
      <c r="B1180" s="17" t="s">
        <v>63</v>
      </c>
      <c r="C1180" s="17" t="s">
        <v>8</v>
      </c>
      <c r="D1180" s="17" t="s">
        <v>10</v>
      </c>
      <c r="E1180" s="17" t="s">
        <v>17</v>
      </c>
      <c r="F1180" s="17" t="str">
        <f>INDEX(nrg_cb_e!$A$3:$A$40,MATCH(LEFT(MID('Industriesektor GWh'!$B1180,41,1000),SEARCH(" - ",MID('Industriesektor GWh'!$B1180,41,1000))-1),nrg_cb_e!$C$3:$C$40,0))</f>
        <v>FC_IND_CPC_E</v>
      </c>
      <c r="G1180" s="18">
        <v>98</v>
      </c>
    </row>
    <row r="1181" spans="1:7" x14ac:dyDescent="0.2">
      <c r="A1181" s="19" t="s">
        <v>36</v>
      </c>
      <c r="B1181" s="20" t="s">
        <v>63</v>
      </c>
      <c r="C1181" s="20" t="s">
        <v>8</v>
      </c>
      <c r="D1181" s="20" t="s">
        <v>10</v>
      </c>
      <c r="E1181" s="20" t="s">
        <v>18</v>
      </c>
      <c r="F1181" s="20" t="str">
        <f>INDEX(nrg_cb_e!$A$3:$A$40,MATCH(LEFT(MID('Industriesektor GWh'!$B1181,41,1000),SEARCH(" - ",MID('Industriesektor GWh'!$B1181,41,1000))-1),nrg_cb_e!$C$3:$C$40,0))</f>
        <v>FC_IND_CPC_E</v>
      </c>
      <c r="G1181" s="21">
        <v>763</v>
      </c>
    </row>
    <row r="1182" spans="1:7" x14ac:dyDescent="0.2">
      <c r="A1182" s="16" t="s">
        <v>36</v>
      </c>
      <c r="B1182" s="17" t="s">
        <v>63</v>
      </c>
      <c r="C1182" s="17" t="s">
        <v>8</v>
      </c>
      <c r="D1182" s="17" t="s">
        <v>10</v>
      </c>
      <c r="E1182" s="17" t="s">
        <v>19</v>
      </c>
      <c r="F1182" s="17" t="str">
        <f>INDEX(nrg_cb_e!$A$3:$A$40,MATCH(LEFT(MID('Industriesektor GWh'!$B1182,41,1000),SEARCH(" - ",MID('Industriesektor GWh'!$B1182,41,1000))-1),nrg_cb_e!$C$3:$C$40,0))</f>
        <v>FC_IND_CPC_E</v>
      </c>
      <c r="G1182" s="18">
        <v>729</v>
      </c>
    </row>
    <row r="1183" spans="1:7" x14ac:dyDescent="0.2">
      <c r="A1183" s="19" t="s">
        <v>36</v>
      </c>
      <c r="B1183" s="20" t="s">
        <v>63</v>
      </c>
      <c r="C1183" s="20" t="s">
        <v>8</v>
      </c>
      <c r="D1183" s="20" t="s">
        <v>10</v>
      </c>
      <c r="E1183" s="20" t="s">
        <v>20</v>
      </c>
      <c r="F1183" s="20" t="str">
        <f>INDEX(nrg_cb_e!$A$3:$A$40,MATCH(LEFT(MID('Industriesektor GWh'!$B1183,41,1000),SEARCH(" - ",MID('Industriesektor GWh'!$B1183,41,1000))-1),nrg_cb_e!$C$3:$C$40,0))</f>
        <v>FC_IND_CPC_E</v>
      </c>
      <c r="G1183" s="21">
        <v>527</v>
      </c>
    </row>
    <row r="1184" spans="1:7" x14ac:dyDescent="0.2">
      <c r="A1184" s="16" t="s">
        <v>36</v>
      </c>
      <c r="B1184" s="17" t="s">
        <v>63</v>
      </c>
      <c r="C1184" s="17" t="s">
        <v>8</v>
      </c>
      <c r="D1184" s="17" t="s">
        <v>10</v>
      </c>
      <c r="E1184" s="17" t="s">
        <v>21</v>
      </c>
      <c r="F1184" s="17" t="str">
        <f>INDEX(nrg_cb_e!$A$3:$A$40,MATCH(LEFT(MID('Industriesektor GWh'!$B1184,41,1000),SEARCH(" - ",MID('Industriesektor GWh'!$B1184,41,1000))-1),nrg_cb_e!$C$3:$C$40,0))</f>
        <v>FC_IND_CPC_E</v>
      </c>
      <c r="G1184" s="18">
        <v>467</v>
      </c>
    </row>
    <row r="1185" spans="1:7" x14ac:dyDescent="0.2">
      <c r="A1185" s="19" t="s">
        <v>36</v>
      </c>
      <c r="B1185" s="20" t="s">
        <v>63</v>
      </c>
      <c r="C1185" s="20" t="s">
        <v>8</v>
      </c>
      <c r="D1185" s="20" t="s">
        <v>10</v>
      </c>
      <c r="E1185" s="20" t="s">
        <v>22</v>
      </c>
      <c r="F1185" s="20" t="str">
        <f>INDEX(nrg_cb_e!$A$3:$A$40,MATCH(LEFT(MID('Industriesektor GWh'!$B1185,41,1000),SEARCH(" - ",MID('Industriesektor GWh'!$B1185,41,1000))-1),nrg_cb_e!$C$3:$C$40,0))</f>
        <v>FC_IND_CPC_E</v>
      </c>
      <c r="G1185" s="21">
        <v>625</v>
      </c>
    </row>
    <row r="1186" spans="1:7" x14ac:dyDescent="0.2">
      <c r="A1186" s="16" t="s">
        <v>36</v>
      </c>
      <c r="B1186" s="17" t="s">
        <v>63</v>
      </c>
      <c r="C1186" s="17" t="s">
        <v>8</v>
      </c>
      <c r="D1186" s="17" t="s">
        <v>10</v>
      </c>
      <c r="E1186" s="17" t="s">
        <v>23</v>
      </c>
      <c r="F1186" s="17" t="str">
        <f>INDEX(nrg_cb_e!$A$3:$A$40,MATCH(LEFT(MID('Industriesektor GWh'!$B1186,41,1000),SEARCH(" - ",MID('Industriesektor GWh'!$B1186,41,1000))-1),nrg_cb_e!$C$3:$C$40,0))</f>
        <v>FC_IND_CPC_E</v>
      </c>
      <c r="G1186" s="18">
        <v>600</v>
      </c>
    </row>
    <row r="1187" spans="1:7" x14ac:dyDescent="0.2">
      <c r="A1187" s="19" t="s">
        <v>36</v>
      </c>
      <c r="B1187" s="20" t="s">
        <v>63</v>
      </c>
      <c r="C1187" s="20" t="s">
        <v>8</v>
      </c>
      <c r="D1187" s="20" t="s">
        <v>10</v>
      </c>
      <c r="E1187" s="20" t="s">
        <v>24</v>
      </c>
      <c r="F1187" s="20" t="str">
        <f>INDEX(nrg_cb_e!$A$3:$A$40,MATCH(LEFT(MID('Industriesektor GWh'!$B1187,41,1000),SEARCH(" - ",MID('Industriesektor GWh'!$B1187,41,1000))-1),nrg_cb_e!$C$3:$C$40,0))</f>
        <v>FC_IND_CPC_E</v>
      </c>
      <c r="G1187" s="21">
        <v>660</v>
      </c>
    </row>
    <row r="1188" spans="1:7" x14ac:dyDescent="0.2">
      <c r="A1188" s="16" t="s">
        <v>36</v>
      </c>
      <c r="B1188" s="17" t="s">
        <v>63</v>
      </c>
      <c r="C1188" s="17" t="s">
        <v>8</v>
      </c>
      <c r="D1188" s="17" t="s">
        <v>10</v>
      </c>
      <c r="E1188" s="17" t="s">
        <v>25</v>
      </c>
      <c r="F1188" s="17" t="str">
        <f>INDEX(nrg_cb_e!$A$3:$A$40,MATCH(LEFT(MID('Industriesektor GWh'!$B1188,41,1000),SEARCH(" - ",MID('Industriesektor GWh'!$B1188,41,1000))-1),nrg_cb_e!$C$3:$C$40,0))</f>
        <v>FC_IND_CPC_E</v>
      </c>
      <c r="G1188" s="18">
        <v>643</v>
      </c>
    </row>
    <row r="1189" spans="1:7" x14ac:dyDescent="0.2">
      <c r="A1189" s="19" t="s">
        <v>36</v>
      </c>
      <c r="B1189" s="20" t="s">
        <v>63</v>
      </c>
      <c r="C1189" s="20" t="s">
        <v>8</v>
      </c>
      <c r="D1189" s="20" t="s">
        <v>10</v>
      </c>
      <c r="E1189" s="20" t="s">
        <v>26</v>
      </c>
      <c r="F1189" s="20" t="str">
        <f>INDEX(nrg_cb_e!$A$3:$A$40,MATCH(LEFT(MID('Industriesektor GWh'!$B1189,41,1000),SEARCH(" - ",MID('Industriesektor GWh'!$B1189,41,1000))-1),nrg_cb_e!$C$3:$C$40,0))</f>
        <v>FC_IND_CPC_E</v>
      </c>
      <c r="G1189" s="21">
        <v>184</v>
      </c>
    </row>
    <row r="1190" spans="1:7" x14ac:dyDescent="0.2">
      <c r="A1190" s="16" t="s">
        <v>36</v>
      </c>
      <c r="B1190" s="17" t="s">
        <v>63</v>
      </c>
      <c r="C1190" s="17" t="s">
        <v>8</v>
      </c>
      <c r="D1190" s="17" t="s">
        <v>10</v>
      </c>
      <c r="E1190" s="17" t="s">
        <v>27</v>
      </c>
      <c r="F1190" s="17" t="str">
        <f>INDEX(nrg_cb_e!$A$3:$A$40,MATCH(LEFT(MID('Industriesektor GWh'!$B1190,41,1000),SEARCH(" - ",MID('Industriesektor GWh'!$B1190,41,1000))-1),nrg_cb_e!$C$3:$C$40,0))</f>
        <v>FC_IND_CPC_E</v>
      </c>
      <c r="G1190" s="18">
        <v>668.71799999999996</v>
      </c>
    </row>
    <row r="1191" spans="1:7" x14ac:dyDescent="0.2">
      <c r="A1191" s="19" t="s">
        <v>36</v>
      </c>
      <c r="B1191" s="20" t="s">
        <v>63</v>
      </c>
      <c r="C1191" s="20" t="s">
        <v>8</v>
      </c>
      <c r="D1191" s="20" t="s">
        <v>10</v>
      </c>
      <c r="E1191" s="20" t="s">
        <v>28</v>
      </c>
      <c r="F1191" s="20" t="str">
        <f>INDEX(nrg_cb_e!$A$3:$A$40,MATCH(LEFT(MID('Industriesektor GWh'!$B1191,41,1000),SEARCH(" - ",MID('Industriesektor GWh'!$B1191,41,1000))-1),nrg_cb_e!$C$3:$C$40,0))</f>
        <v>FC_IND_CPC_E</v>
      </c>
      <c r="G1191" s="21">
        <v>936.39</v>
      </c>
    </row>
    <row r="1192" spans="1:7" x14ac:dyDescent="0.2">
      <c r="A1192" s="16" t="s">
        <v>37</v>
      </c>
      <c r="B1192" s="17" t="s">
        <v>63</v>
      </c>
      <c r="C1192" s="17" t="s">
        <v>8</v>
      </c>
      <c r="D1192" s="17" t="s">
        <v>10</v>
      </c>
      <c r="E1192" s="17" t="s">
        <v>12</v>
      </c>
      <c r="F1192" s="17" t="str">
        <f>INDEX(nrg_cb_e!$A$3:$A$40,MATCH(LEFT(MID('Industriesektor GWh'!$B1192,41,1000),SEARCH(" - ",MID('Industriesektor GWh'!$B1192,41,1000))-1),nrg_cb_e!$C$3:$C$40,0))</f>
        <v>FC_IND_CPC_E</v>
      </c>
      <c r="G1192" s="18">
        <v>12111</v>
      </c>
    </row>
    <row r="1193" spans="1:7" x14ac:dyDescent="0.2">
      <c r="A1193" s="19" t="s">
        <v>37</v>
      </c>
      <c r="B1193" s="20" t="s">
        <v>63</v>
      </c>
      <c r="C1193" s="20" t="s">
        <v>8</v>
      </c>
      <c r="D1193" s="20" t="s">
        <v>10</v>
      </c>
      <c r="E1193" s="20" t="s">
        <v>13</v>
      </c>
      <c r="F1193" s="20" t="str">
        <f>INDEX(nrg_cb_e!$A$3:$A$40,MATCH(LEFT(MID('Industriesektor GWh'!$B1193,41,1000),SEARCH(" - ",MID('Industriesektor GWh'!$B1193,41,1000))-1),nrg_cb_e!$C$3:$C$40,0))</f>
        <v>FC_IND_CPC_E</v>
      </c>
      <c r="G1193" s="21">
        <v>12646</v>
      </c>
    </row>
    <row r="1194" spans="1:7" x14ac:dyDescent="0.2">
      <c r="A1194" s="16" t="s">
        <v>37</v>
      </c>
      <c r="B1194" s="17" t="s">
        <v>63</v>
      </c>
      <c r="C1194" s="17" t="s">
        <v>8</v>
      </c>
      <c r="D1194" s="17" t="s">
        <v>10</v>
      </c>
      <c r="E1194" s="17" t="s">
        <v>14</v>
      </c>
      <c r="F1194" s="17" t="str">
        <f>INDEX(nrg_cb_e!$A$3:$A$40,MATCH(LEFT(MID('Industriesektor GWh'!$B1194,41,1000),SEARCH(" - ",MID('Industriesektor GWh'!$B1194,41,1000))-1),nrg_cb_e!$C$3:$C$40,0))</f>
        <v>FC_IND_CPC_E</v>
      </c>
      <c r="G1194" s="18">
        <v>13172</v>
      </c>
    </row>
    <row r="1195" spans="1:7" x14ac:dyDescent="0.2">
      <c r="A1195" s="19" t="s">
        <v>37</v>
      </c>
      <c r="B1195" s="20" t="s">
        <v>63</v>
      </c>
      <c r="C1195" s="20" t="s">
        <v>8</v>
      </c>
      <c r="D1195" s="20" t="s">
        <v>10</v>
      </c>
      <c r="E1195" s="20" t="s">
        <v>15</v>
      </c>
      <c r="F1195" s="20" t="str">
        <f>INDEX(nrg_cb_e!$A$3:$A$40,MATCH(LEFT(MID('Industriesektor GWh'!$B1195,41,1000),SEARCH(" - ",MID('Industriesektor GWh'!$B1195,41,1000))-1),nrg_cb_e!$C$3:$C$40,0))</f>
        <v>FC_IND_CPC_E</v>
      </c>
      <c r="G1195" s="21">
        <v>13379</v>
      </c>
    </row>
    <row r="1196" spans="1:7" x14ac:dyDescent="0.2">
      <c r="A1196" s="16" t="s">
        <v>37</v>
      </c>
      <c r="B1196" s="17" t="s">
        <v>63</v>
      </c>
      <c r="C1196" s="17" t="s">
        <v>8</v>
      </c>
      <c r="D1196" s="17" t="s">
        <v>10</v>
      </c>
      <c r="E1196" s="17" t="s">
        <v>16</v>
      </c>
      <c r="F1196" s="17" t="str">
        <f>INDEX(nrg_cb_e!$A$3:$A$40,MATCH(LEFT(MID('Industriesektor GWh'!$B1196,41,1000),SEARCH(" - ",MID('Industriesektor GWh'!$B1196,41,1000))-1),nrg_cb_e!$C$3:$C$40,0))</f>
        <v>FC_IND_CPC_E</v>
      </c>
      <c r="G1196" s="18">
        <v>12819</v>
      </c>
    </row>
    <row r="1197" spans="1:7" x14ac:dyDescent="0.2">
      <c r="A1197" s="19" t="s">
        <v>37</v>
      </c>
      <c r="B1197" s="20" t="s">
        <v>63</v>
      </c>
      <c r="C1197" s="20" t="s">
        <v>8</v>
      </c>
      <c r="D1197" s="20" t="s">
        <v>10</v>
      </c>
      <c r="E1197" s="20" t="s">
        <v>17</v>
      </c>
      <c r="F1197" s="20" t="str">
        <f>INDEX(nrg_cb_e!$A$3:$A$40,MATCH(LEFT(MID('Industriesektor GWh'!$B1197,41,1000),SEARCH(" - ",MID('Industriesektor GWh'!$B1197,41,1000))-1),nrg_cb_e!$C$3:$C$40,0))</f>
        <v>FC_IND_CPC_E</v>
      </c>
      <c r="G1197" s="21">
        <v>12130</v>
      </c>
    </row>
    <row r="1198" spans="1:7" x14ac:dyDescent="0.2">
      <c r="A1198" s="16" t="s">
        <v>37</v>
      </c>
      <c r="B1198" s="17" t="s">
        <v>63</v>
      </c>
      <c r="C1198" s="17" t="s">
        <v>8</v>
      </c>
      <c r="D1198" s="17" t="s">
        <v>10</v>
      </c>
      <c r="E1198" s="17" t="s">
        <v>18</v>
      </c>
      <c r="F1198" s="17" t="str">
        <f>INDEX(nrg_cb_e!$A$3:$A$40,MATCH(LEFT(MID('Industriesektor GWh'!$B1198,41,1000),SEARCH(" - ",MID('Industriesektor GWh'!$B1198,41,1000))-1),nrg_cb_e!$C$3:$C$40,0))</f>
        <v>FC_IND_CPC_E</v>
      </c>
      <c r="G1198" s="18">
        <v>10999</v>
      </c>
    </row>
    <row r="1199" spans="1:7" x14ac:dyDescent="0.2">
      <c r="A1199" s="19" t="s">
        <v>37</v>
      </c>
      <c r="B1199" s="20" t="s">
        <v>63</v>
      </c>
      <c r="C1199" s="20" t="s">
        <v>8</v>
      </c>
      <c r="D1199" s="20" t="s">
        <v>10</v>
      </c>
      <c r="E1199" s="20" t="s">
        <v>19</v>
      </c>
      <c r="F1199" s="20" t="str">
        <f>INDEX(nrg_cb_e!$A$3:$A$40,MATCH(LEFT(MID('Industriesektor GWh'!$B1199,41,1000),SEARCH(" - ",MID('Industriesektor GWh'!$B1199,41,1000))-1),nrg_cb_e!$C$3:$C$40,0))</f>
        <v>FC_IND_CPC_E</v>
      </c>
      <c r="G1199" s="21">
        <v>8845</v>
      </c>
    </row>
    <row r="1200" spans="1:7" x14ac:dyDescent="0.2">
      <c r="A1200" s="16" t="s">
        <v>37</v>
      </c>
      <c r="B1200" s="17" t="s">
        <v>63</v>
      </c>
      <c r="C1200" s="17" t="s">
        <v>8</v>
      </c>
      <c r="D1200" s="17" t="s">
        <v>10</v>
      </c>
      <c r="E1200" s="17" t="s">
        <v>20</v>
      </c>
      <c r="F1200" s="17" t="str">
        <f>INDEX(nrg_cb_e!$A$3:$A$40,MATCH(LEFT(MID('Industriesektor GWh'!$B1200,41,1000),SEARCH(" - ",MID('Industriesektor GWh'!$B1200,41,1000))-1),nrg_cb_e!$C$3:$C$40,0))</f>
        <v>FC_IND_CPC_E</v>
      </c>
      <c r="G1200" s="18">
        <v>8638</v>
      </c>
    </row>
    <row r="1201" spans="1:7" x14ac:dyDescent="0.2">
      <c r="A1201" s="19" t="s">
        <v>37</v>
      </c>
      <c r="B1201" s="20" t="s">
        <v>63</v>
      </c>
      <c r="C1201" s="20" t="s">
        <v>8</v>
      </c>
      <c r="D1201" s="20" t="s">
        <v>10</v>
      </c>
      <c r="E1201" s="20" t="s">
        <v>21</v>
      </c>
      <c r="F1201" s="20" t="str">
        <f>INDEX(nrg_cb_e!$A$3:$A$40,MATCH(LEFT(MID('Industriesektor GWh'!$B1201,41,1000),SEARCH(" - ",MID('Industriesektor GWh'!$B1201,41,1000))-1),nrg_cb_e!$C$3:$C$40,0))</f>
        <v>FC_IND_CPC_E</v>
      </c>
      <c r="G1201" s="21">
        <v>8524</v>
      </c>
    </row>
    <row r="1202" spans="1:7" x14ac:dyDescent="0.2">
      <c r="A1202" s="16" t="s">
        <v>37</v>
      </c>
      <c r="B1202" s="17" t="s">
        <v>63</v>
      </c>
      <c r="C1202" s="17" t="s">
        <v>8</v>
      </c>
      <c r="D1202" s="17" t="s">
        <v>10</v>
      </c>
      <c r="E1202" s="17" t="s">
        <v>22</v>
      </c>
      <c r="F1202" s="17" t="str">
        <f>INDEX(nrg_cb_e!$A$3:$A$40,MATCH(LEFT(MID('Industriesektor GWh'!$B1202,41,1000),SEARCH(" - ",MID('Industriesektor GWh'!$B1202,41,1000))-1),nrg_cb_e!$C$3:$C$40,0))</f>
        <v>FC_IND_CPC_E</v>
      </c>
      <c r="G1202" s="18">
        <v>8410</v>
      </c>
    </row>
    <row r="1203" spans="1:7" x14ac:dyDescent="0.2">
      <c r="A1203" s="19" t="s">
        <v>37</v>
      </c>
      <c r="B1203" s="20" t="s">
        <v>63</v>
      </c>
      <c r="C1203" s="20" t="s">
        <v>8</v>
      </c>
      <c r="D1203" s="20" t="s">
        <v>10</v>
      </c>
      <c r="E1203" s="20" t="s">
        <v>23</v>
      </c>
      <c r="F1203" s="20" t="str">
        <f>INDEX(nrg_cb_e!$A$3:$A$40,MATCH(LEFT(MID('Industriesektor GWh'!$B1203,41,1000),SEARCH(" - ",MID('Industriesektor GWh'!$B1203,41,1000))-1),nrg_cb_e!$C$3:$C$40,0))</f>
        <v>FC_IND_CPC_E</v>
      </c>
      <c r="G1203" s="21">
        <v>8966</v>
      </c>
    </row>
    <row r="1204" spans="1:7" x14ac:dyDescent="0.2">
      <c r="A1204" s="16" t="s">
        <v>37</v>
      </c>
      <c r="B1204" s="17" t="s">
        <v>63</v>
      </c>
      <c r="C1204" s="17" t="s">
        <v>8</v>
      </c>
      <c r="D1204" s="17" t="s">
        <v>10</v>
      </c>
      <c r="E1204" s="17" t="s">
        <v>24</v>
      </c>
      <c r="F1204" s="17" t="str">
        <f>INDEX(nrg_cb_e!$A$3:$A$40,MATCH(LEFT(MID('Industriesektor GWh'!$B1204,41,1000),SEARCH(" - ",MID('Industriesektor GWh'!$B1204,41,1000))-1),nrg_cb_e!$C$3:$C$40,0))</f>
        <v>FC_IND_CPC_E</v>
      </c>
      <c r="G1204" s="18">
        <v>9155</v>
      </c>
    </row>
    <row r="1205" spans="1:7" x14ac:dyDescent="0.2">
      <c r="A1205" s="19" t="s">
        <v>37</v>
      </c>
      <c r="B1205" s="20" t="s">
        <v>63</v>
      </c>
      <c r="C1205" s="20" t="s">
        <v>8</v>
      </c>
      <c r="D1205" s="20" t="s">
        <v>10</v>
      </c>
      <c r="E1205" s="20" t="s">
        <v>25</v>
      </c>
      <c r="F1205" s="20" t="str">
        <f>INDEX(nrg_cb_e!$A$3:$A$40,MATCH(LEFT(MID('Industriesektor GWh'!$B1205,41,1000),SEARCH(" - ",MID('Industriesektor GWh'!$B1205,41,1000))-1),nrg_cb_e!$C$3:$C$40,0))</f>
        <v>FC_IND_CPC_E</v>
      </c>
      <c r="G1205" s="21">
        <v>9504</v>
      </c>
    </row>
    <row r="1206" spans="1:7" x14ac:dyDescent="0.2">
      <c r="A1206" s="16" t="s">
        <v>37</v>
      </c>
      <c r="B1206" s="17" t="s">
        <v>63</v>
      </c>
      <c r="C1206" s="17" t="s">
        <v>8</v>
      </c>
      <c r="D1206" s="17" t="s">
        <v>10</v>
      </c>
      <c r="E1206" s="17" t="s">
        <v>26</v>
      </c>
      <c r="F1206" s="17" t="str">
        <f>INDEX(nrg_cb_e!$A$3:$A$40,MATCH(LEFT(MID('Industriesektor GWh'!$B1206,41,1000),SEARCH(" - ",MID('Industriesektor GWh'!$B1206,41,1000))-1),nrg_cb_e!$C$3:$C$40,0))</f>
        <v>FC_IND_CPC_E</v>
      </c>
      <c r="G1206" s="18">
        <v>9761</v>
      </c>
    </row>
    <row r="1207" spans="1:7" x14ac:dyDescent="0.2">
      <c r="A1207" s="19" t="s">
        <v>37</v>
      </c>
      <c r="B1207" s="20" t="s">
        <v>63</v>
      </c>
      <c r="C1207" s="20" t="s">
        <v>8</v>
      </c>
      <c r="D1207" s="20" t="s">
        <v>10</v>
      </c>
      <c r="E1207" s="20" t="s">
        <v>27</v>
      </c>
      <c r="F1207" s="20" t="str">
        <f>INDEX(nrg_cb_e!$A$3:$A$40,MATCH(LEFT(MID('Industriesektor GWh'!$B1207,41,1000),SEARCH(" - ",MID('Industriesektor GWh'!$B1207,41,1000))-1),nrg_cb_e!$C$3:$C$40,0))</f>
        <v>FC_IND_CPC_E</v>
      </c>
      <c r="G1207" s="21">
        <v>9640</v>
      </c>
    </row>
    <row r="1208" spans="1:7" x14ac:dyDescent="0.2">
      <c r="A1208" s="16" t="s">
        <v>37</v>
      </c>
      <c r="B1208" s="17" t="s">
        <v>63</v>
      </c>
      <c r="C1208" s="17" t="s">
        <v>8</v>
      </c>
      <c r="D1208" s="17" t="s">
        <v>10</v>
      </c>
      <c r="E1208" s="17" t="s">
        <v>28</v>
      </c>
      <c r="F1208" s="17" t="str">
        <f>INDEX(nrg_cb_e!$A$3:$A$40,MATCH(LEFT(MID('Industriesektor GWh'!$B1208,41,1000),SEARCH(" - ",MID('Industriesektor GWh'!$B1208,41,1000))-1),nrg_cb_e!$C$3:$C$40,0))</f>
        <v>FC_IND_CPC_E</v>
      </c>
      <c r="G1208" s="18">
        <v>9140</v>
      </c>
    </row>
    <row r="1209" spans="1:7" x14ac:dyDescent="0.2">
      <c r="A1209" s="19" t="s">
        <v>38</v>
      </c>
      <c r="B1209" s="20" t="s">
        <v>63</v>
      </c>
      <c r="C1209" s="20" t="s">
        <v>8</v>
      </c>
      <c r="D1209" s="20" t="s">
        <v>10</v>
      </c>
      <c r="E1209" s="20" t="s">
        <v>12</v>
      </c>
      <c r="F1209" s="20" t="str">
        <f>INDEX(nrg_cb_e!$A$3:$A$40,MATCH(LEFT(MID('Industriesektor GWh'!$B1209,41,1000),SEARCH(" - ",MID('Industriesektor GWh'!$B1209,41,1000))-1),nrg_cb_e!$C$3:$C$40,0))</f>
        <v>FC_IND_CPC_E</v>
      </c>
      <c r="G1209" s="21">
        <v>24738</v>
      </c>
    </row>
    <row r="1210" spans="1:7" x14ac:dyDescent="0.2">
      <c r="A1210" s="16" t="s">
        <v>38</v>
      </c>
      <c r="B1210" s="17" t="s">
        <v>63</v>
      </c>
      <c r="C1210" s="17" t="s">
        <v>8</v>
      </c>
      <c r="D1210" s="17" t="s">
        <v>10</v>
      </c>
      <c r="E1210" s="17" t="s">
        <v>13</v>
      </c>
      <c r="F1210" s="17" t="str">
        <f>INDEX(nrg_cb_e!$A$3:$A$40,MATCH(LEFT(MID('Industriesektor GWh'!$B1210,41,1000),SEARCH(" - ",MID('Industriesektor GWh'!$B1210,41,1000))-1),nrg_cb_e!$C$3:$C$40,0))</f>
        <v>FC_IND_CPC_E</v>
      </c>
      <c r="G1210" s="18">
        <v>23566</v>
      </c>
    </row>
    <row r="1211" spans="1:7" x14ac:dyDescent="0.2">
      <c r="A1211" s="19" t="s">
        <v>38</v>
      </c>
      <c r="B1211" s="20" t="s">
        <v>63</v>
      </c>
      <c r="C1211" s="20" t="s">
        <v>8</v>
      </c>
      <c r="D1211" s="20" t="s">
        <v>10</v>
      </c>
      <c r="E1211" s="20" t="s">
        <v>14</v>
      </c>
      <c r="F1211" s="20" t="str">
        <f>INDEX(nrg_cb_e!$A$3:$A$40,MATCH(LEFT(MID('Industriesektor GWh'!$B1211,41,1000),SEARCH(" - ",MID('Industriesektor GWh'!$B1211,41,1000))-1),nrg_cb_e!$C$3:$C$40,0))</f>
        <v>FC_IND_CPC_E</v>
      </c>
      <c r="G1211" s="21">
        <v>24035</v>
      </c>
    </row>
    <row r="1212" spans="1:7" x14ac:dyDescent="0.2">
      <c r="A1212" s="16" t="s">
        <v>38</v>
      </c>
      <c r="B1212" s="17" t="s">
        <v>63</v>
      </c>
      <c r="C1212" s="17" t="s">
        <v>8</v>
      </c>
      <c r="D1212" s="17" t="s">
        <v>10</v>
      </c>
      <c r="E1212" s="17" t="s">
        <v>15</v>
      </c>
      <c r="F1212" s="17" t="str">
        <f>INDEX(nrg_cb_e!$A$3:$A$40,MATCH(LEFT(MID('Industriesektor GWh'!$B1212,41,1000),SEARCH(" - ",MID('Industriesektor GWh'!$B1212,41,1000))-1),nrg_cb_e!$C$3:$C$40,0))</f>
        <v>FC_IND_CPC_E</v>
      </c>
      <c r="G1212" s="18">
        <v>24932</v>
      </c>
    </row>
    <row r="1213" spans="1:7" x14ac:dyDescent="0.2">
      <c r="A1213" s="19" t="s">
        <v>38</v>
      </c>
      <c r="B1213" s="20" t="s">
        <v>63</v>
      </c>
      <c r="C1213" s="20" t="s">
        <v>8</v>
      </c>
      <c r="D1213" s="20" t="s">
        <v>10</v>
      </c>
      <c r="E1213" s="20" t="s">
        <v>16</v>
      </c>
      <c r="F1213" s="20" t="str">
        <f>INDEX(nrg_cb_e!$A$3:$A$40,MATCH(LEFT(MID('Industriesektor GWh'!$B1213,41,1000),SEARCH(" - ",MID('Industriesektor GWh'!$B1213,41,1000))-1),nrg_cb_e!$C$3:$C$40,0))</f>
        <v>FC_IND_CPC_E</v>
      </c>
      <c r="G1213" s="21">
        <v>24720</v>
      </c>
    </row>
    <row r="1214" spans="1:7" x14ac:dyDescent="0.2">
      <c r="A1214" s="16" t="s">
        <v>38</v>
      </c>
      <c r="B1214" s="17" t="s">
        <v>63</v>
      </c>
      <c r="C1214" s="17" t="s">
        <v>8</v>
      </c>
      <c r="D1214" s="17" t="s">
        <v>10</v>
      </c>
      <c r="E1214" s="17" t="s">
        <v>17</v>
      </c>
      <c r="F1214" s="17" t="str">
        <f>INDEX(nrg_cb_e!$A$3:$A$40,MATCH(LEFT(MID('Industriesektor GWh'!$B1214,41,1000),SEARCH(" - ",MID('Industriesektor GWh'!$B1214,41,1000))-1),nrg_cb_e!$C$3:$C$40,0))</f>
        <v>FC_IND_CPC_E</v>
      </c>
      <c r="G1214" s="18">
        <v>24844</v>
      </c>
    </row>
    <row r="1215" spans="1:7" x14ac:dyDescent="0.2">
      <c r="A1215" s="19" t="s">
        <v>38</v>
      </c>
      <c r="B1215" s="20" t="s">
        <v>63</v>
      </c>
      <c r="C1215" s="20" t="s">
        <v>8</v>
      </c>
      <c r="D1215" s="20" t="s">
        <v>10</v>
      </c>
      <c r="E1215" s="20" t="s">
        <v>18</v>
      </c>
      <c r="F1215" s="20" t="str">
        <f>INDEX(nrg_cb_e!$A$3:$A$40,MATCH(LEFT(MID('Industriesektor GWh'!$B1215,41,1000),SEARCH(" - ",MID('Industriesektor GWh'!$B1215,41,1000))-1),nrg_cb_e!$C$3:$C$40,0))</f>
        <v>FC_IND_CPC_E</v>
      </c>
      <c r="G1215" s="21">
        <v>30704</v>
      </c>
    </row>
    <row r="1216" spans="1:7" x14ac:dyDescent="0.2">
      <c r="A1216" s="16" t="s">
        <v>38</v>
      </c>
      <c r="B1216" s="17" t="s">
        <v>63</v>
      </c>
      <c r="C1216" s="17" t="s">
        <v>8</v>
      </c>
      <c r="D1216" s="17" t="s">
        <v>10</v>
      </c>
      <c r="E1216" s="17" t="s">
        <v>19</v>
      </c>
      <c r="F1216" s="17" t="str">
        <f>INDEX(nrg_cb_e!$A$3:$A$40,MATCH(LEFT(MID('Industriesektor GWh'!$B1216,41,1000),SEARCH(" - ",MID('Industriesektor GWh'!$B1216,41,1000))-1),nrg_cb_e!$C$3:$C$40,0))</f>
        <v>FC_IND_CPC_E</v>
      </c>
      <c r="G1216" s="18">
        <v>26559</v>
      </c>
    </row>
    <row r="1217" spans="1:7" x14ac:dyDescent="0.2">
      <c r="A1217" s="19" t="s">
        <v>38</v>
      </c>
      <c r="B1217" s="20" t="s">
        <v>63</v>
      </c>
      <c r="C1217" s="20" t="s">
        <v>8</v>
      </c>
      <c r="D1217" s="20" t="s">
        <v>10</v>
      </c>
      <c r="E1217" s="20" t="s">
        <v>20</v>
      </c>
      <c r="F1217" s="20" t="str">
        <f>INDEX(nrg_cb_e!$A$3:$A$40,MATCH(LEFT(MID('Industriesektor GWh'!$B1217,41,1000),SEARCH(" - ",MID('Industriesektor GWh'!$B1217,41,1000))-1),nrg_cb_e!$C$3:$C$40,0))</f>
        <v>FC_IND_CPC_E</v>
      </c>
      <c r="G1217" s="21">
        <v>27640</v>
      </c>
    </row>
    <row r="1218" spans="1:7" x14ac:dyDescent="0.2">
      <c r="A1218" s="16" t="s">
        <v>38</v>
      </c>
      <c r="B1218" s="17" t="s">
        <v>63</v>
      </c>
      <c r="C1218" s="17" t="s">
        <v>8</v>
      </c>
      <c r="D1218" s="17" t="s">
        <v>10</v>
      </c>
      <c r="E1218" s="17" t="s">
        <v>21</v>
      </c>
      <c r="F1218" s="17" t="str">
        <f>INDEX(nrg_cb_e!$A$3:$A$40,MATCH(LEFT(MID('Industriesektor GWh'!$B1218,41,1000),SEARCH(" - ",MID('Industriesektor GWh'!$B1218,41,1000))-1),nrg_cb_e!$C$3:$C$40,0))</f>
        <v>FC_IND_CPC_E</v>
      </c>
      <c r="G1218" s="18">
        <v>20232.866999999998</v>
      </c>
    </row>
    <row r="1219" spans="1:7" x14ac:dyDescent="0.2">
      <c r="A1219" s="19" t="s">
        <v>38</v>
      </c>
      <c r="B1219" s="20" t="s">
        <v>63</v>
      </c>
      <c r="C1219" s="20" t="s">
        <v>8</v>
      </c>
      <c r="D1219" s="20" t="s">
        <v>10</v>
      </c>
      <c r="E1219" s="20" t="s">
        <v>22</v>
      </c>
      <c r="F1219" s="20" t="str">
        <f>INDEX(nrg_cb_e!$A$3:$A$40,MATCH(LEFT(MID('Industriesektor GWh'!$B1219,41,1000),SEARCH(" - ",MID('Industriesektor GWh'!$B1219,41,1000))-1),nrg_cb_e!$C$3:$C$40,0))</f>
        <v>FC_IND_CPC_E</v>
      </c>
      <c r="G1219" s="21">
        <v>19719.856</v>
      </c>
    </row>
    <row r="1220" spans="1:7" x14ac:dyDescent="0.2">
      <c r="A1220" s="16" t="s">
        <v>38</v>
      </c>
      <c r="B1220" s="17" t="s">
        <v>63</v>
      </c>
      <c r="C1220" s="17" t="s">
        <v>8</v>
      </c>
      <c r="D1220" s="17" t="s">
        <v>10</v>
      </c>
      <c r="E1220" s="17" t="s">
        <v>23</v>
      </c>
      <c r="F1220" s="17" t="str">
        <f>INDEX(nrg_cb_e!$A$3:$A$40,MATCH(LEFT(MID('Industriesektor GWh'!$B1220,41,1000),SEARCH(" - ",MID('Industriesektor GWh'!$B1220,41,1000))-1),nrg_cb_e!$C$3:$C$40,0))</f>
        <v>FC_IND_CPC_E</v>
      </c>
      <c r="G1220" s="18">
        <v>19586.636999999999</v>
      </c>
    </row>
    <row r="1221" spans="1:7" x14ac:dyDescent="0.2">
      <c r="A1221" s="19" t="s">
        <v>38</v>
      </c>
      <c r="B1221" s="20" t="s">
        <v>63</v>
      </c>
      <c r="C1221" s="20" t="s">
        <v>8</v>
      </c>
      <c r="D1221" s="20" t="s">
        <v>10</v>
      </c>
      <c r="E1221" s="20" t="s">
        <v>24</v>
      </c>
      <c r="F1221" s="20" t="str">
        <f>INDEX(nrg_cb_e!$A$3:$A$40,MATCH(LEFT(MID('Industriesektor GWh'!$B1221,41,1000),SEARCH(" - ",MID('Industriesektor GWh'!$B1221,41,1000))-1),nrg_cb_e!$C$3:$C$40,0))</f>
        <v>FC_IND_CPC_E</v>
      </c>
      <c r="G1221" s="21">
        <v>20257.506000000001</v>
      </c>
    </row>
    <row r="1222" spans="1:7" x14ac:dyDescent="0.2">
      <c r="A1222" s="16" t="s">
        <v>38</v>
      </c>
      <c r="B1222" s="17" t="s">
        <v>63</v>
      </c>
      <c r="C1222" s="17" t="s">
        <v>8</v>
      </c>
      <c r="D1222" s="17" t="s">
        <v>10</v>
      </c>
      <c r="E1222" s="17" t="s">
        <v>25</v>
      </c>
      <c r="F1222" s="17" t="str">
        <f>INDEX(nrg_cb_e!$A$3:$A$40,MATCH(LEFT(MID('Industriesektor GWh'!$B1222,41,1000),SEARCH(" - ",MID('Industriesektor GWh'!$B1222,41,1000))-1),nrg_cb_e!$C$3:$C$40,0))</f>
        <v>FC_IND_CPC_E</v>
      </c>
      <c r="G1222" s="18">
        <v>19952.143</v>
      </c>
    </row>
    <row r="1223" spans="1:7" x14ac:dyDescent="0.2">
      <c r="A1223" s="19" t="s">
        <v>38</v>
      </c>
      <c r="B1223" s="20" t="s">
        <v>63</v>
      </c>
      <c r="C1223" s="20" t="s">
        <v>8</v>
      </c>
      <c r="D1223" s="20" t="s">
        <v>10</v>
      </c>
      <c r="E1223" s="20" t="s">
        <v>26</v>
      </c>
      <c r="F1223" s="20" t="str">
        <f>INDEX(nrg_cb_e!$A$3:$A$40,MATCH(LEFT(MID('Industriesektor GWh'!$B1223,41,1000),SEARCH(" - ",MID('Industriesektor GWh'!$B1223,41,1000))-1),nrg_cb_e!$C$3:$C$40,0))</f>
        <v>FC_IND_CPC_E</v>
      </c>
      <c r="G1223" s="21">
        <v>19964.786</v>
      </c>
    </row>
    <row r="1224" spans="1:7" x14ac:dyDescent="0.2">
      <c r="A1224" s="16" t="s">
        <v>38</v>
      </c>
      <c r="B1224" s="17" t="s">
        <v>63</v>
      </c>
      <c r="C1224" s="17" t="s">
        <v>8</v>
      </c>
      <c r="D1224" s="17" t="s">
        <v>10</v>
      </c>
      <c r="E1224" s="17" t="s">
        <v>27</v>
      </c>
      <c r="F1224" s="17" t="str">
        <f>INDEX(nrg_cb_e!$A$3:$A$40,MATCH(LEFT(MID('Industriesektor GWh'!$B1224,41,1000),SEARCH(" - ",MID('Industriesektor GWh'!$B1224,41,1000))-1),nrg_cb_e!$C$3:$C$40,0))</f>
        <v>FC_IND_CPC_E</v>
      </c>
      <c r="G1224" s="18">
        <v>20377.413</v>
      </c>
    </row>
    <row r="1225" spans="1:7" x14ac:dyDescent="0.2">
      <c r="A1225" s="19" t="s">
        <v>38</v>
      </c>
      <c r="B1225" s="20" t="s">
        <v>63</v>
      </c>
      <c r="C1225" s="20" t="s">
        <v>8</v>
      </c>
      <c r="D1225" s="20" t="s">
        <v>10</v>
      </c>
      <c r="E1225" s="20" t="s">
        <v>28</v>
      </c>
      <c r="F1225" s="20" t="str">
        <f>INDEX(nrg_cb_e!$A$3:$A$40,MATCH(LEFT(MID('Industriesektor GWh'!$B1225,41,1000),SEARCH(" - ",MID('Industriesektor GWh'!$B1225,41,1000))-1),nrg_cb_e!$C$3:$C$40,0))</f>
        <v>FC_IND_CPC_E</v>
      </c>
      <c r="G1225" s="21">
        <v>20070.468000000001</v>
      </c>
    </row>
    <row r="1226" spans="1:7" x14ac:dyDescent="0.2">
      <c r="A1226" s="16" t="s">
        <v>39</v>
      </c>
      <c r="B1226" s="17" t="s">
        <v>63</v>
      </c>
      <c r="C1226" s="17" t="s">
        <v>8</v>
      </c>
      <c r="D1226" s="17" t="s">
        <v>10</v>
      </c>
      <c r="E1226" s="17" t="s">
        <v>12</v>
      </c>
      <c r="F1226" s="17" t="str">
        <f>INDEX(nrg_cb_e!$A$3:$A$40,MATCH(LEFT(MID('Industriesektor GWh'!$B1226,41,1000),SEARCH(" - ",MID('Industriesektor GWh'!$B1226,41,1000))-1),nrg_cb_e!$C$3:$C$40,0))</f>
        <v>FC_IND_CPC_E</v>
      </c>
      <c r="G1226" s="18">
        <v>495</v>
      </c>
    </row>
    <row r="1227" spans="1:7" x14ac:dyDescent="0.2">
      <c r="A1227" s="19" t="s">
        <v>39</v>
      </c>
      <c r="B1227" s="20" t="s">
        <v>63</v>
      </c>
      <c r="C1227" s="20" t="s">
        <v>8</v>
      </c>
      <c r="D1227" s="20" t="s">
        <v>10</v>
      </c>
      <c r="E1227" s="20" t="s">
        <v>13</v>
      </c>
      <c r="F1227" s="20" t="str">
        <f>INDEX(nrg_cb_e!$A$3:$A$40,MATCH(LEFT(MID('Industriesektor GWh'!$B1227,41,1000),SEARCH(" - ",MID('Industriesektor GWh'!$B1227,41,1000))-1),nrg_cb_e!$C$3:$C$40,0))</f>
        <v>FC_IND_CPC_E</v>
      </c>
      <c r="G1227" s="21">
        <v>530</v>
      </c>
    </row>
    <row r="1228" spans="1:7" x14ac:dyDescent="0.2">
      <c r="A1228" s="16" t="s">
        <v>39</v>
      </c>
      <c r="B1228" s="17" t="s">
        <v>63</v>
      </c>
      <c r="C1228" s="17" t="s">
        <v>8</v>
      </c>
      <c r="D1228" s="17" t="s">
        <v>10</v>
      </c>
      <c r="E1228" s="17" t="s">
        <v>14</v>
      </c>
      <c r="F1228" s="17" t="str">
        <f>INDEX(nrg_cb_e!$A$3:$A$40,MATCH(LEFT(MID('Industriesektor GWh'!$B1228,41,1000),SEARCH(" - ",MID('Industriesektor GWh'!$B1228,41,1000))-1),nrg_cb_e!$C$3:$C$40,0))</f>
        <v>FC_IND_CPC_E</v>
      </c>
      <c r="G1228" s="18">
        <v>470</v>
      </c>
    </row>
    <row r="1229" spans="1:7" x14ac:dyDescent="0.2">
      <c r="A1229" s="19" t="s">
        <v>39</v>
      </c>
      <c r="B1229" s="20" t="s">
        <v>63</v>
      </c>
      <c r="C1229" s="20" t="s">
        <v>8</v>
      </c>
      <c r="D1229" s="20" t="s">
        <v>10</v>
      </c>
      <c r="E1229" s="20" t="s">
        <v>15</v>
      </c>
      <c r="F1229" s="20" t="str">
        <f>INDEX(nrg_cb_e!$A$3:$A$40,MATCH(LEFT(MID('Industriesektor GWh'!$B1229,41,1000),SEARCH(" - ",MID('Industriesektor GWh'!$B1229,41,1000))-1),nrg_cb_e!$C$3:$C$40,0))</f>
        <v>FC_IND_CPC_E</v>
      </c>
      <c r="G1229" s="21">
        <v>474</v>
      </c>
    </row>
    <row r="1230" spans="1:7" x14ac:dyDescent="0.2">
      <c r="A1230" s="16" t="s">
        <v>39</v>
      </c>
      <c r="B1230" s="17" t="s">
        <v>63</v>
      </c>
      <c r="C1230" s="17" t="s">
        <v>8</v>
      </c>
      <c r="D1230" s="17" t="s">
        <v>10</v>
      </c>
      <c r="E1230" s="17" t="s">
        <v>16</v>
      </c>
      <c r="F1230" s="17" t="str">
        <f>INDEX(nrg_cb_e!$A$3:$A$40,MATCH(LEFT(MID('Industriesektor GWh'!$B1230,41,1000),SEARCH(" - ",MID('Industriesektor GWh'!$B1230,41,1000))-1),nrg_cb_e!$C$3:$C$40,0))</f>
        <v>FC_IND_CPC_E</v>
      </c>
      <c r="G1230" s="18">
        <v>477</v>
      </c>
    </row>
    <row r="1231" spans="1:7" x14ac:dyDescent="0.2">
      <c r="A1231" s="19" t="s">
        <v>39</v>
      </c>
      <c r="B1231" s="20" t="s">
        <v>63</v>
      </c>
      <c r="C1231" s="20" t="s">
        <v>8</v>
      </c>
      <c r="D1231" s="20" t="s">
        <v>10</v>
      </c>
      <c r="E1231" s="20" t="s">
        <v>17</v>
      </c>
      <c r="F1231" s="20" t="str">
        <f>INDEX(nrg_cb_e!$A$3:$A$40,MATCH(LEFT(MID('Industriesektor GWh'!$B1231,41,1000),SEARCH(" - ",MID('Industriesektor GWh'!$B1231,41,1000))-1),nrg_cb_e!$C$3:$C$40,0))</f>
        <v>FC_IND_CPC_E</v>
      </c>
      <c r="G1231" s="21">
        <v>592</v>
      </c>
    </row>
    <row r="1232" spans="1:7" x14ac:dyDescent="0.2">
      <c r="A1232" s="16" t="s">
        <v>39</v>
      </c>
      <c r="B1232" s="17" t="s">
        <v>63</v>
      </c>
      <c r="C1232" s="17" t="s">
        <v>8</v>
      </c>
      <c r="D1232" s="17" t="s">
        <v>10</v>
      </c>
      <c r="E1232" s="17" t="s">
        <v>18</v>
      </c>
      <c r="F1232" s="17" t="str">
        <f>INDEX(nrg_cb_e!$A$3:$A$40,MATCH(LEFT(MID('Industriesektor GWh'!$B1232,41,1000),SEARCH(" - ",MID('Industriesektor GWh'!$B1232,41,1000))-1),nrg_cb_e!$C$3:$C$40,0))</f>
        <v>FC_IND_CPC_E</v>
      </c>
      <c r="G1232" s="18">
        <v>488</v>
      </c>
    </row>
    <row r="1233" spans="1:7" x14ac:dyDescent="0.2">
      <c r="A1233" s="19" t="s">
        <v>39</v>
      </c>
      <c r="B1233" s="20" t="s">
        <v>63</v>
      </c>
      <c r="C1233" s="20" t="s">
        <v>8</v>
      </c>
      <c r="D1233" s="20" t="s">
        <v>10</v>
      </c>
      <c r="E1233" s="20" t="s">
        <v>19</v>
      </c>
      <c r="F1233" s="20" t="str">
        <f>INDEX(nrg_cb_e!$A$3:$A$40,MATCH(LEFT(MID('Industriesektor GWh'!$B1233,41,1000),SEARCH(" - ",MID('Industriesektor GWh'!$B1233,41,1000))-1),nrg_cb_e!$C$3:$C$40,0))</f>
        <v>FC_IND_CPC_E</v>
      </c>
      <c r="G1233" s="21">
        <v>451</v>
      </c>
    </row>
    <row r="1234" spans="1:7" x14ac:dyDescent="0.2">
      <c r="A1234" s="16" t="s">
        <v>39</v>
      </c>
      <c r="B1234" s="17" t="s">
        <v>63</v>
      </c>
      <c r="C1234" s="17" t="s">
        <v>8</v>
      </c>
      <c r="D1234" s="17" t="s">
        <v>10</v>
      </c>
      <c r="E1234" s="17" t="s">
        <v>20</v>
      </c>
      <c r="F1234" s="17" t="str">
        <f>INDEX(nrg_cb_e!$A$3:$A$40,MATCH(LEFT(MID('Industriesektor GWh'!$B1234,41,1000),SEARCH(" - ",MID('Industriesektor GWh'!$B1234,41,1000))-1),nrg_cb_e!$C$3:$C$40,0))</f>
        <v>FC_IND_CPC_E</v>
      </c>
      <c r="G1234" s="18">
        <v>476</v>
      </c>
    </row>
    <row r="1235" spans="1:7" x14ac:dyDescent="0.2">
      <c r="A1235" s="19" t="s">
        <v>39</v>
      </c>
      <c r="B1235" s="20" t="s">
        <v>63</v>
      </c>
      <c r="C1235" s="20" t="s">
        <v>8</v>
      </c>
      <c r="D1235" s="20" t="s">
        <v>10</v>
      </c>
      <c r="E1235" s="20" t="s">
        <v>21</v>
      </c>
      <c r="F1235" s="20" t="str">
        <f>INDEX(nrg_cb_e!$A$3:$A$40,MATCH(LEFT(MID('Industriesektor GWh'!$B1235,41,1000),SEARCH(" - ",MID('Industriesektor GWh'!$B1235,41,1000))-1),nrg_cb_e!$C$3:$C$40,0))</f>
        <v>FC_IND_CPC_E</v>
      </c>
      <c r="G1235" s="21">
        <v>410</v>
      </c>
    </row>
    <row r="1236" spans="1:7" x14ac:dyDescent="0.2">
      <c r="A1236" s="16" t="s">
        <v>39</v>
      </c>
      <c r="B1236" s="17" t="s">
        <v>63</v>
      </c>
      <c r="C1236" s="17" t="s">
        <v>8</v>
      </c>
      <c r="D1236" s="17" t="s">
        <v>10</v>
      </c>
      <c r="E1236" s="17" t="s">
        <v>22</v>
      </c>
      <c r="F1236" s="17" t="str">
        <f>INDEX(nrg_cb_e!$A$3:$A$40,MATCH(LEFT(MID('Industriesektor GWh'!$B1236,41,1000),SEARCH(" - ",MID('Industriesektor GWh'!$B1236,41,1000))-1),nrg_cb_e!$C$3:$C$40,0))</f>
        <v>FC_IND_CPC_E</v>
      </c>
      <c r="G1236" s="18">
        <v>257</v>
      </c>
    </row>
    <row r="1237" spans="1:7" x14ac:dyDescent="0.2">
      <c r="A1237" s="19" t="s">
        <v>39</v>
      </c>
      <c r="B1237" s="20" t="s">
        <v>63</v>
      </c>
      <c r="C1237" s="20" t="s">
        <v>8</v>
      </c>
      <c r="D1237" s="20" t="s">
        <v>10</v>
      </c>
      <c r="E1237" s="20" t="s">
        <v>23</v>
      </c>
      <c r="F1237" s="20" t="str">
        <f>INDEX(nrg_cb_e!$A$3:$A$40,MATCH(LEFT(MID('Industriesektor GWh'!$B1237,41,1000),SEARCH(" - ",MID('Industriesektor GWh'!$B1237,41,1000))-1),nrg_cb_e!$C$3:$C$40,0))</f>
        <v>FC_IND_CPC_E</v>
      </c>
      <c r="G1237" s="21">
        <v>269</v>
      </c>
    </row>
    <row r="1238" spans="1:7" x14ac:dyDescent="0.2">
      <c r="A1238" s="16" t="s">
        <v>39</v>
      </c>
      <c r="B1238" s="17" t="s">
        <v>63</v>
      </c>
      <c r="C1238" s="17" t="s">
        <v>8</v>
      </c>
      <c r="D1238" s="17" t="s">
        <v>10</v>
      </c>
      <c r="E1238" s="17" t="s">
        <v>24</v>
      </c>
      <c r="F1238" s="17" t="str">
        <f>INDEX(nrg_cb_e!$A$3:$A$40,MATCH(LEFT(MID('Industriesektor GWh'!$B1238,41,1000),SEARCH(" - ",MID('Industriesektor GWh'!$B1238,41,1000))-1),nrg_cb_e!$C$3:$C$40,0))</f>
        <v>FC_IND_CPC_E</v>
      </c>
      <c r="G1238" s="18">
        <v>272</v>
      </c>
    </row>
    <row r="1239" spans="1:7" x14ac:dyDescent="0.2">
      <c r="A1239" s="19" t="s">
        <v>39</v>
      </c>
      <c r="B1239" s="20" t="s">
        <v>63</v>
      </c>
      <c r="C1239" s="20" t="s">
        <v>8</v>
      </c>
      <c r="D1239" s="20" t="s">
        <v>10</v>
      </c>
      <c r="E1239" s="20" t="s">
        <v>25</v>
      </c>
      <c r="F1239" s="20" t="str">
        <f>INDEX(nrg_cb_e!$A$3:$A$40,MATCH(LEFT(MID('Industriesektor GWh'!$B1239,41,1000),SEARCH(" - ",MID('Industriesektor GWh'!$B1239,41,1000))-1),nrg_cb_e!$C$3:$C$40,0))</f>
        <v>FC_IND_CPC_E</v>
      </c>
      <c r="G1239" s="21">
        <v>306</v>
      </c>
    </row>
    <row r="1240" spans="1:7" x14ac:dyDescent="0.2">
      <c r="A1240" s="16" t="s">
        <v>39</v>
      </c>
      <c r="B1240" s="17" t="s">
        <v>63</v>
      </c>
      <c r="C1240" s="17" t="s">
        <v>8</v>
      </c>
      <c r="D1240" s="17" t="s">
        <v>10</v>
      </c>
      <c r="E1240" s="17" t="s">
        <v>26</v>
      </c>
      <c r="F1240" s="17" t="str">
        <f>INDEX(nrg_cb_e!$A$3:$A$40,MATCH(LEFT(MID('Industriesektor GWh'!$B1240,41,1000),SEARCH(" - ",MID('Industriesektor GWh'!$B1240,41,1000))-1),nrg_cb_e!$C$3:$C$40,0))</f>
        <v>FC_IND_CPC_E</v>
      </c>
      <c r="G1240" s="18">
        <v>305</v>
      </c>
    </row>
    <row r="1241" spans="1:7" x14ac:dyDescent="0.2">
      <c r="A1241" s="19" t="s">
        <v>39</v>
      </c>
      <c r="B1241" s="20" t="s">
        <v>63</v>
      </c>
      <c r="C1241" s="20" t="s">
        <v>8</v>
      </c>
      <c r="D1241" s="20" t="s">
        <v>10</v>
      </c>
      <c r="E1241" s="20" t="s">
        <v>27</v>
      </c>
      <c r="F1241" s="20" t="str">
        <f>INDEX(nrg_cb_e!$A$3:$A$40,MATCH(LEFT(MID('Industriesektor GWh'!$B1241,41,1000),SEARCH(" - ",MID('Industriesektor GWh'!$B1241,41,1000))-1),nrg_cb_e!$C$3:$C$40,0))</f>
        <v>FC_IND_CPC_E</v>
      </c>
      <c r="G1241" s="21">
        <v>307.5</v>
      </c>
    </row>
    <row r="1242" spans="1:7" x14ac:dyDescent="0.2">
      <c r="A1242" s="16" t="s">
        <v>39</v>
      </c>
      <c r="B1242" s="17" t="s">
        <v>63</v>
      </c>
      <c r="C1242" s="17" t="s">
        <v>8</v>
      </c>
      <c r="D1242" s="17" t="s">
        <v>10</v>
      </c>
      <c r="E1242" s="17" t="s">
        <v>28</v>
      </c>
      <c r="F1242" s="17" t="str">
        <f>INDEX(nrg_cb_e!$A$3:$A$40,MATCH(LEFT(MID('Industriesektor GWh'!$B1242,41,1000),SEARCH(" - ",MID('Industriesektor GWh'!$B1242,41,1000))-1),nrg_cb_e!$C$3:$C$40,0))</f>
        <v>FC_IND_CPC_E</v>
      </c>
      <c r="G1242" s="18">
        <v>312.10000000000002</v>
      </c>
    </row>
    <row r="1243" spans="1:7" x14ac:dyDescent="0.2">
      <c r="A1243" s="19" t="s">
        <v>40</v>
      </c>
      <c r="B1243" s="20" t="s">
        <v>63</v>
      </c>
      <c r="C1243" s="20" t="s">
        <v>8</v>
      </c>
      <c r="D1243" s="20" t="s">
        <v>10</v>
      </c>
      <c r="E1243" s="20" t="s">
        <v>12</v>
      </c>
      <c r="F1243" s="20" t="str">
        <f>INDEX(nrg_cb_e!$A$3:$A$40,MATCH(LEFT(MID('Industriesektor GWh'!$B1243,41,1000),SEARCH(" - ",MID('Industriesektor GWh'!$B1243,41,1000))-1),nrg_cb_e!$C$3:$C$40,0))</f>
        <v>FC_IND_CPC_E</v>
      </c>
      <c r="G1243" s="21">
        <v>20236</v>
      </c>
    </row>
    <row r="1244" spans="1:7" x14ac:dyDescent="0.2">
      <c r="A1244" s="16" t="s">
        <v>40</v>
      </c>
      <c r="B1244" s="17" t="s">
        <v>63</v>
      </c>
      <c r="C1244" s="17" t="s">
        <v>8</v>
      </c>
      <c r="D1244" s="17" t="s">
        <v>10</v>
      </c>
      <c r="E1244" s="17" t="s">
        <v>13</v>
      </c>
      <c r="F1244" s="17" t="str">
        <f>INDEX(nrg_cb_e!$A$3:$A$40,MATCH(LEFT(MID('Industriesektor GWh'!$B1244,41,1000),SEARCH(" - ",MID('Industriesektor GWh'!$B1244,41,1000))-1),nrg_cb_e!$C$3:$C$40,0))</f>
        <v>FC_IND_CPC_E</v>
      </c>
      <c r="G1244" s="18">
        <v>20110</v>
      </c>
    </row>
    <row r="1245" spans="1:7" x14ac:dyDescent="0.2">
      <c r="A1245" s="19" t="s">
        <v>40</v>
      </c>
      <c r="B1245" s="20" t="s">
        <v>63</v>
      </c>
      <c r="C1245" s="20" t="s">
        <v>8</v>
      </c>
      <c r="D1245" s="20" t="s">
        <v>10</v>
      </c>
      <c r="E1245" s="20" t="s">
        <v>14</v>
      </c>
      <c r="F1245" s="20" t="str">
        <f>INDEX(nrg_cb_e!$A$3:$A$40,MATCH(LEFT(MID('Industriesektor GWh'!$B1245,41,1000),SEARCH(" - ",MID('Industriesektor GWh'!$B1245,41,1000))-1),nrg_cb_e!$C$3:$C$40,0))</f>
        <v>FC_IND_CPC_E</v>
      </c>
      <c r="G1245" s="21">
        <v>19431</v>
      </c>
    </row>
    <row r="1246" spans="1:7" x14ac:dyDescent="0.2">
      <c r="A1246" s="16" t="s">
        <v>40</v>
      </c>
      <c r="B1246" s="17" t="s">
        <v>63</v>
      </c>
      <c r="C1246" s="17" t="s">
        <v>8</v>
      </c>
      <c r="D1246" s="17" t="s">
        <v>10</v>
      </c>
      <c r="E1246" s="17" t="s">
        <v>15</v>
      </c>
      <c r="F1246" s="17" t="str">
        <f>INDEX(nrg_cb_e!$A$3:$A$40,MATCH(LEFT(MID('Industriesektor GWh'!$B1246,41,1000),SEARCH(" - ",MID('Industriesektor GWh'!$B1246,41,1000))-1),nrg_cb_e!$C$3:$C$40,0))</f>
        <v>FC_IND_CPC_E</v>
      </c>
      <c r="G1246" s="18">
        <v>19015</v>
      </c>
    </row>
    <row r="1247" spans="1:7" x14ac:dyDescent="0.2">
      <c r="A1247" s="19" t="s">
        <v>40</v>
      </c>
      <c r="B1247" s="20" t="s">
        <v>63</v>
      </c>
      <c r="C1247" s="20" t="s">
        <v>8</v>
      </c>
      <c r="D1247" s="20" t="s">
        <v>10</v>
      </c>
      <c r="E1247" s="20" t="s">
        <v>16</v>
      </c>
      <c r="F1247" s="20" t="str">
        <f>INDEX(nrg_cb_e!$A$3:$A$40,MATCH(LEFT(MID('Industriesektor GWh'!$B1247,41,1000),SEARCH(" - ",MID('Industriesektor GWh'!$B1247,41,1000))-1),nrg_cb_e!$C$3:$C$40,0))</f>
        <v>FC_IND_CPC_E</v>
      </c>
      <c r="G1247" s="21">
        <v>18838</v>
      </c>
    </row>
    <row r="1248" spans="1:7" x14ac:dyDescent="0.2">
      <c r="A1248" s="16" t="s">
        <v>40</v>
      </c>
      <c r="B1248" s="17" t="s">
        <v>63</v>
      </c>
      <c r="C1248" s="17" t="s">
        <v>8</v>
      </c>
      <c r="D1248" s="17" t="s">
        <v>10</v>
      </c>
      <c r="E1248" s="17" t="s">
        <v>17</v>
      </c>
      <c r="F1248" s="17" t="str">
        <f>INDEX(nrg_cb_e!$A$3:$A$40,MATCH(LEFT(MID('Industriesektor GWh'!$B1248,41,1000),SEARCH(" - ",MID('Industriesektor GWh'!$B1248,41,1000))-1),nrg_cb_e!$C$3:$C$40,0))</f>
        <v>FC_IND_CPC_E</v>
      </c>
      <c r="G1248" s="18">
        <v>18192</v>
      </c>
    </row>
    <row r="1249" spans="1:7" x14ac:dyDescent="0.2">
      <c r="A1249" s="19" t="s">
        <v>40</v>
      </c>
      <c r="B1249" s="20" t="s">
        <v>63</v>
      </c>
      <c r="C1249" s="20" t="s">
        <v>8</v>
      </c>
      <c r="D1249" s="20" t="s">
        <v>10</v>
      </c>
      <c r="E1249" s="20" t="s">
        <v>18</v>
      </c>
      <c r="F1249" s="20" t="str">
        <f>INDEX(nrg_cb_e!$A$3:$A$40,MATCH(LEFT(MID('Industriesektor GWh'!$B1249,41,1000),SEARCH(" - ",MID('Industriesektor GWh'!$B1249,41,1000))-1),nrg_cb_e!$C$3:$C$40,0))</f>
        <v>FC_IND_CPC_E</v>
      </c>
      <c r="G1249" s="21">
        <v>17525</v>
      </c>
    </row>
    <row r="1250" spans="1:7" x14ac:dyDescent="0.2">
      <c r="A1250" s="16" t="s">
        <v>40</v>
      </c>
      <c r="B1250" s="17" t="s">
        <v>63</v>
      </c>
      <c r="C1250" s="17" t="s">
        <v>8</v>
      </c>
      <c r="D1250" s="17" t="s">
        <v>10</v>
      </c>
      <c r="E1250" s="17" t="s">
        <v>19</v>
      </c>
      <c r="F1250" s="17" t="str">
        <f>INDEX(nrg_cb_e!$A$3:$A$40,MATCH(LEFT(MID('Industriesektor GWh'!$B1250,41,1000),SEARCH(" - ",MID('Industriesektor GWh'!$B1250,41,1000))-1),nrg_cb_e!$C$3:$C$40,0))</f>
        <v>FC_IND_CPC_E</v>
      </c>
      <c r="G1250" s="18">
        <v>14591</v>
      </c>
    </row>
    <row r="1251" spans="1:7" x14ac:dyDescent="0.2">
      <c r="A1251" s="19" t="s">
        <v>40</v>
      </c>
      <c r="B1251" s="20" t="s">
        <v>63</v>
      </c>
      <c r="C1251" s="20" t="s">
        <v>8</v>
      </c>
      <c r="D1251" s="20" t="s">
        <v>10</v>
      </c>
      <c r="E1251" s="20" t="s">
        <v>20</v>
      </c>
      <c r="F1251" s="20" t="str">
        <f>INDEX(nrg_cb_e!$A$3:$A$40,MATCH(LEFT(MID('Industriesektor GWh'!$B1251,41,1000),SEARCH(" - ",MID('Industriesektor GWh'!$B1251,41,1000))-1),nrg_cb_e!$C$3:$C$40,0))</f>
        <v>FC_IND_CPC_E</v>
      </c>
      <c r="G1251" s="21">
        <v>15541</v>
      </c>
    </row>
    <row r="1252" spans="1:7" x14ac:dyDescent="0.2">
      <c r="A1252" s="16" t="s">
        <v>40</v>
      </c>
      <c r="B1252" s="17" t="s">
        <v>63</v>
      </c>
      <c r="C1252" s="17" t="s">
        <v>8</v>
      </c>
      <c r="D1252" s="17" t="s">
        <v>10</v>
      </c>
      <c r="E1252" s="17" t="s">
        <v>21</v>
      </c>
      <c r="F1252" s="17" t="str">
        <f>INDEX(nrg_cb_e!$A$3:$A$40,MATCH(LEFT(MID('Industriesektor GWh'!$B1252,41,1000),SEARCH(" - ",MID('Industriesektor GWh'!$B1252,41,1000))-1),nrg_cb_e!$C$3:$C$40,0))</f>
        <v>FC_IND_CPC_E</v>
      </c>
      <c r="G1252" s="18">
        <v>15085</v>
      </c>
    </row>
    <row r="1253" spans="1:7" x14ac:dyDescent="0.2">
      <c r="A1253" s="19" t="s">
        <v>40</v>
      </c>
      <c r="B1253" s="20" t="s">
        <v>63</v>
      </c>
      <c r="C1253" s="20" t="s">
        <v>8</v>
      </c>
      <c r="D1253" s="20" t="s">
        <v>10</v>
      </c>
      <c r="E1253" s="20" t="s">
        <v>22</v>
      </c>
      <c r="F1253" s="20" t="str">
        <f>INDEX(nrg_cb_e!$A$3:$A$40,MATCH(LEFT(MID('Industriesektor GWh'!$B1253,41,1000),SEARCH(" - ",MID('Industriesektor GWh'!$B1253,41,1000))-1),nrg_cb_e!$C$3:$C$40,0))</f>
        <v>FC_IND_CPC_E</v>
      </c>
      <c r="G1253" s="21">
        <v>14864</v>
      </c>
    </row>
    <row r="1254" spans="1:7" x14ac:dyDescent="0.2">
      <c r="A1254" s="16" t="s">
        <v>40</v>
      </c>
      <c r="B1254" s="17" t="s">
        <v>63</v>
      </c>
      <c r="C1254" s="17" t="s">
        <v>8</v>
      </c>
      <c r="D1254" s="17" t="s">
        <v>10</v>
      </c>
      <c r="E1254" s="17" t="s">
        <v>23</v>
      </c>
      <c r="F1254" s="17" t="str">
        <f>INDEX(nrg_cb_e!$A$3:$A$40,MATCH(LEFT(MID('Industriesektor GWh'!$B1254,41,1000),SEARCH(" - ",MID('Industriesektor GWh'!$B1254,41,1000))-1),nrg_cb_e!$C$3:$C$40,0))</f>
        <v>FC_IND_CPC_E</v>
      </c>
      <c r="G1254" s="18">
        <v>14843</v>
      </c>
    </row>
    <row r="1255" spans="1:7" x14ac:dyDescent="0.2">
      <c r="A1255" s="19" t="s">
        <v>40</v>
      </c>
      <c r="B1255" s="20" t="s">
        <v>63</v>
      </c>
      <c r="C1255" s="20" t="s">
        <v>8</v>
      </c>
      <c r="D1255" s="20" t="s">
        <v>10</v>
      </c>
      <c r="E1255" s="20" t="s">
        <v>24</v>
      </c>
      <c r="F1255" s="20" t="str">
        <f>INDEX(nrg_cb_e!$A$3:$A$40,MATCH(LEFT(MID('Industriesektor GWh'!$B1255,41,1000),SEARCH(" - ",MID('Industriesektor GWh'!$B1255,41,1000))-1),nrg_cb_e!$C$3:$C$40,0))</f>
        <v>FC_IND_CPC_E</v>
      </c>
      <c r="G1255" s="21">
        <v>14203</v>
      </c>
    </row>
    <row r="1256" spans="1:7" x14ac:dyDescent="0.2">
      <c r="A1256" s="16" t="s">
        <v>40</v>
      </c>
      <c r="B1256" s="17" t="s">
        <v>63</v>
      </c>
      <c r="C1256" s="17" t="s">
        <v>8</v>
      </c>
      <c r="D1256" s="17" t="s">
        <v>10</v>
      </c>
      <c r="E1256" s="17" t="s">
        <v>25</v>
      </c>
      <c r="F1256" s="17" t="str">
        <f>INDEX(nrg_cb_e!$A$3:$A$40,MATCH(LEFT(MID('Industriesektor GWh'!$B1256,41,1000),SEARCH(" - ",MID('Industriesektor GWh'!$B1256,41,1000))-1),nrg_cb_e!$C$3:$C$40,0))</f>
        <v>FC_IND_CPC_E</v>
      </c>
      <c r="G1256" s="18">
        <v>13961</v>
      </c>
    </row>
    <row r="1257" spans="1:7" x14ac:dyDescent="0.2">
      <c r="A1257" s="19" t="s">
        <v>40</v>
      </c>
      <c r="B1257" s="20" t="s">
        <v>63</v>
      </c>
      <c r="C1257" s="20" t="s">
        <v>8</v>
      </c>
      <c r="D1257" s="20" t="s">
        <v>10</v>
      </c>
      <c r="E1257" s="20" t="s">
        <v>26</v>
      </c>
      <c r="F1257" s="20" t="str">
        <f>INDEX(nrg_cb_e!$A$3:$A$40,MATCH(LEFT(MID('Industriesektor GWh'!$B1257,41,1000),SEARCH(" - ",MID('Industriesektor GWh'!$B1257,41,1000))-1),nrg_cb_e!$C$3:$C$40,0))</f>
        <v>FC_IND_CPC_E</v>
      </c>
      <c r="G1257" s="21">
        <v>13911</v>
      </c>
    </row>
    <row r="1258" spans="1:7" x14ac:dyDescent="0.2">
      <c r="A1258" s="16" t="s">
        <v>40</v>
      </c>
      <c r="B1258" s="17" t="s">
        <v>63</v>
      </c>
      <c r="C1258" s="17" t="s">
        <v>8</v>
      </c>
      <c r="D1258" s="17" t="s">
        <v>10</v>
      </c>
      <c r="E1258" s="17" t="s">
        <v>27</v>
      </c>
      <c r="F1258" s="17" t="str">
        <f>INDEX(nrg_cb_e!$A$3:$A$40,MATCH(LEFT(MID('Industriesektor GWh'!$B1258,41,1000),SEARCH(" - ",MID('Industriesektor GWh'!$B1258,41,1000))-1),nrg_cb_e!$C$3:$C$40,0))</f>
        <v>FC_IND_CPC_E</v>
      </c>
      <c r="G1258" s="18">
        <v>14283.61</v>
      </c>
    </row>
    <row r="1259" spans="1:7" x14ac:dyDescent="0.2">
      <c r="A1259" s="19" t="s">
        <v>40</v>
      </c>
      <c r="B1259" s="20" t="s">
        <v>63</v>
      </c>
      <c r="C1259" s="20" t="s">
        <v>8</v>
      </c>
      <c r="D1259" s="20" t="s">
        <v>10</v>
      </c>
      <c r="E1259" s="20" t="s">
        <v>28</v>
      </c>
      <c r="F1259" s="20" t="str">
        <f>INDEX(nrg_cb_e!$A$3:$A$40,MATCH(LEFT(MID('Industriesektor GWh'!$B1259,41,1000),SEARCH(" - ",MID('Industriesektor GWh'!$B1259,41,1000))-1),nrg_cb_e!$C$3:$C$40,0))</f>
        <v>FC_IND_CPC_E</v>
      </c>
      <c r="G1259" s="21">
        <v>14463.6</v>
      </c>
    </row>
    <row r="1260" spans="1:7" x14ac:dyDescent="0.2">
      <c r="A1260" s="16" t="s">
        <v>41</v>
      </c>
      <c r="B1260" s="17" t="s">
        <v>63</v>
      </c>
      <c r="C1260" s="17" t="s">
        <v>8</v>
      </c>
      <c r="D1260" s="17" t="s">
        <v>10</v>
      </c>
      <c r="E1260" s="17" t="s">
        <v>12</v>
      </c>
      <c r="F1260" s="17" t="str">
        <f>INDEX(nrg_cb_e!$A$3:$A$40,MATCH(LEFT(MID('Industriesektor GWh'!$B1260,41,1000),SEARCH(" - ",MID('Industriesektor GWh'!$B1260,41,1000))-1),nrg_cb_e!$C$3:$C$40,0))</f>
        <v>FC_IND_CPC_E</v>
      </c>
      <c r="G1260" s="18">
        <v>19</v>
      </c>
    </row>
    <row r="1261" spans="1:7" x14ac:dyDescent="0.2">
      <c r="A1261" s="19" t="s">
        <v>41</v>
      </c>
      <c r="B1261" s="20" t="s">
        <v>63</v>
      </c>
      <c r="C1261" s="20" t="s">
        <v>8</v>
      </c>
      <c r="D1261" s="20" t="s">
        <v>10</v>
      </c>
      <c r="E1261" s="20" t="s">
        <v>13</v>
      </c>
      <c r="F1261" s="20" t="str">
        <f>INDEX(nrg_cb_e!$A$3:$A$40,MATCH(LEFT(MID('Industriesektor GWh'!$B1261,41,1000),SEARCH(" - ",MID('Industriesektor GWh'!$B1261,41,1000))-1),nrg_cb_e!$C$3:$C$40,0))</f>
        <v>FC_IND_CPC_E</v>
      </c>
      <c r="G1261" s="21">
        <v>20</v>
      </c>
    </row>
    <row r="1262" spans="1:7" x14ac:dyDescent="0.2">
      <c r="A1262" s="16" t="s">
        <v>41</v>
      </c>
      <c r="B1262" s="17" t="s">
        <v>63</v>
      </c>
      <c r="C1262" s="17" t="s">
        <v>8</v>
      </c>
      <c r="D1262" s="17" t="s">
        <v>10</v>
      </c>
      <c r="E1262" s="17" t="s">
        <v>14</v>
      </c>
      <c r="F1262" s="17" t="str">
        <f>INDEX(nrg_cb_e!$A$3:$A$40,MATCH(LEFT(MID('Industriesektor GWh'!$B1262,41,1000),SEARCH(" - ",MID('Industriesektor GWh'!$B1262,41,1000))-1),nrg_cb_e!$C$3:$C$40,0))</f>
        <v>FC_IND_CPC_E</v>
      </c>
      <c r="G1262" s="18">
        <v>21</v>
      </c>
    </row>
    <row r="1263" spans="1:7" x14ac:dyDescent="0.2">
      <c r="A1263" s="19" t="s">
        <v>41</v>
      </c>
      <c r="B1263" s="20" t="s">
        <v>63</v>
      </c>
      <c r="C1263" s="20" t="s">
        <v>8</v>
      </c>
      <c r="D1263" s="20" t="s">
        <v>10</v>
      </c>
      <c r="E1263" s="20" t="s">
        <v>15</v>
      </c>
      <c r="F1263" s="20" t="str">
        <f>INDEX(nrg_cb_e!$A$3:$A$40,MATCH(LEFT(MID('Industriesektor GWh'!$B1263,41,1000),SEARCH(" - ",MID('Industriesektor GWh'!$B1263,41,1000))-1),nrg_cb_e!$C$3:$C$40,0))</f>
        <v>FC_IND_CPC_E</v>
      </c>
      <c r="G1263" s="21">
        <v>24</v>
      </c>
    </row>
    <row r="1264" spans="1:7" x14ac:dyDescent="0.2">
      <c r="A1264" s="16" t="s">
        <v>41</v>
      </c>
      <c r="B1264" s="17" t="s">
        <v>63</v>
      </c>
      <c r="C1264" s="17" t="s">
        <v>8</v>
      </c>
      <c r="D1264" s="17" t="s">
        <v>10</v>
      </c>
      <c r="E1264" s="17" t="s">
        <v>16</v>
      </c>
      <c r="F1264" s="17" t="str">
        <f>INDEX(nrg_cb_e!$A$3:$A$40,MATCH(LEFT(MID('Industriesektor GWh'!$B1264,41,1000),SEARCH(" - ",MID('Industriesektor GWh'!$B1264,41,1000))-1),nrg_cb_e!$C$3:$C$40,0))</f>
        <v>FC_IND_CPC_E</v>
      </c>
      <c r="G1264" s="18">
        <v>25</v>
      </c>
    </row>
    <row r="1265" spans="1:7" x14ac:dyDescent="0.2">
      <c r="A1265" s="19" t="s">
        <v>41</v>
      </c>
      <c r="B1265" s="20" t="s">
        <v>63</v>
      </c>
      <c r="C1265" s="20" t="s">
        <v>8</v>
      </c>
      <c r="D1265" s="20" t="s">
        <v>10</v>
      </c>
      <c r="E1265" s="20" t="s">
        <v>17</v>
      </c>
      <c r="F1265" s="20" t="str">
        <f>INDEX(nrg_cb_e!$A$3:$A$40,MATCH(LEFT(MID('Industriesektor GWh'!$B1265,41,1000),SEARCH(" - ",MID('Industriesektor GWh'!$B1265,41,1000))-1),nrg_cb_e!$C$3:$C$40,0))</f>
        <v>FC_IND_CPC_E</v>
      </c>
      <c r="G1265" s="21">
        <v>27</v>
      </c>
    </row>
    <row r="1266" spans="1:7" x14ac:dyDescent="0.2">
      <c r="A1266" s="16" t="s">
        <v>41</v>
      </c>
      <c r="B1266" s="17" t="s">
        <v>63</v>
      </c>
      <c r="C1266" s="17" t="s">
        <v>8</v>
      </c>
      <c r="D1266" s="17" t="s">
        <v>10</v>
      </c>
      <c r="E1266" s="17" t="s">
        <v>18</v>
      </c>
      <c r="F1266" s="17" t="str">
        <f>INDEX(nrg_cb_e!$A$3:$A$40,MATCH(LEFT(MID('Industriesektor GWh'!$B1266,41,1000),SEARCH(" - ",MID('Industriesektor GWh'!$B1266,41,1000))-1),nrg_cb_e!$C$3:$C$40,0))</f>
        <v>FC_IND_CPC_E</v>
      </c>
      <c r="G1266" s="18">
        <v>28</v>
      </c>
    </row>
    <row r="1267" spans="1:7" x14ac:dyDescent="0.2">
      <c r="A1267" s="19" t="s">
        <v>41</v>
      </c>
      <c r="B1267" s="20" t="s">
        <v>63</v>
      </c>
      <c r="C1267" s="20" t="s">
        <v>8</v>
      </c>
      <c r="D1267" s="20" t="s">
        <v>10</v>
      </c>
      <c r="E1267" s="20" t="s">
        <v>19</v>
      </c>
      <c r="F1267" s="20" t="str">
        <f>INDEX(nrg_cb_e!$A$3:$A$40,MATCH(LEFT(MID('Industriesektor GWh'!$B1267,41,1000),SEARCH(" - ",MID('Industriesektor GWh'!$B1267,41,1000))-1),nrg_cb_e!$C$3:$C$40,0))</f>
        <v>FC_IND_CPC_E</v>
      </c>
      <c r="G1267" s="21">
        <v>28</v>
      </c>
    </row>
    <row r="1268" spans="1:7" x14ac:dyDescent="0.2">
      <c r="A1268" s="16" t="s">
        <v>41</v>
      </c>
      <c r="B1268" s="17" t="s">
        <v>63</v>
      </c>
      <c r="C1268" s="17" t="s">
        <v>8</v>
      </c>
      <c r="D1268" s="17" t="s">
        <v>10</v>
      </c>
      <c r="E1268" s="17" t="s">
        <v>20</v>
      </c>
      <c r="F1268" s="17" t="str">
        <f>INDEX(nrg_cb_e!$A$3:$A$40,MATCH(LEFT(MID('Industriesektor GWh'!$B1268,41,1000),SEARCH(" - ",MID('Industriesektor GWh'!$B1268,41,1000))-1),nrg_cb_e!$C$3:$C$40,0))</f>
        <v>FC_IND_CPC_E</v>
      </c>
      <c r="G1268" s="18">
        <v>30</v>
      </c>
    </row>
    <row r="1269" spans="1:7" x14ac:dyDescent="0.2">
      <c r="A1269" s="19" t="s">
        <v>41</v>
      </c>
      <c r="B1269" s="20" t="s">
        <v>63</v>
      </c>
      <c r="C1269" s="20" t="s">
        <v>8</v>
      </c>
      <c r="D1269" s="20" t="s">
        <v>10</v>
      </c>
      <c r="E1269" s="20" t="s">
        <v>21</v>
      </c>
      <c r="F1269" s="20" t="str">
        <f>INDEX(nrg_cb_e!$A$3:$A$40,MATCH(LEFT(MID('Industriesektor GWh'!$B1269,41,1000),SEARCH(" - ",MID('Industriesektor GWh'!$B1269,41,1000))-1),nrg_cb_e!$C$3:$C$40,0))</f>
        <v>FC_IND_CPC_E</v>
      </c>
      <c r="G1269" s="21">
        <v>29</v>
      </c>
    </row>
    <row r="1270" spans="1:7" x14ac:dyDescent="0.2">
      <c r="A1270" s="16" t="s">
        <v>41</v>
      </c>
      <c r="B1270" s="17" t="s">
        <v>63</v>
      </c>
      <c r="C1270" s="17" t="s">
        <v>8</v>
      </c>
      <c r="D1270" s="17" t="s">
        <v>10</v>
      </c>
      <c r="E1270" s="17" t="s">
        <v>22</v>
      </c>
      <c r="F1270" s="17" t="str">
        <f>INDEX(nrg_cb_e!$A$3:$A$40,MATCH(LEFT(MID('Industriesektor GWh'!$B1270,41,1000),SEARCH(" - ",MID('Industriesektor GWh'!$B1270,41,1000))-1),nrg_cb_e!$C$3:$C$40,0))</f>
        <v>FC_IND_CPC_E</v>
      </c>
      <c r="G1270" s="18">
        <v>32</v>
      </c>
    </row>
    <row r="1271" spans="1:7" x14ac:dyDescent="0.2">
      <c r="A1271" s="19" t="s">
        <v>41</v>
      </c>
      <c r="B1271" s="20" t="s">
        <v>63</v>
      </c>
      <c r="C1271" s="20" t="s">
        <v>8</v>
      </c>
      <c r="D1271" s="20" t="s">
        <v>10</v>
      </c>
      <c r="E1271" s="20" t="s">
        <v>23</v>
      </c>
      <c r="F1271" s="20" t="str">
        <f>INDEX(nrg_cb_e!$A$3:$A$40,MATCH(LEFT(MID('Industriesektor GWh'!$B1271,41,1000),SEARCH(" - ",MID('Industriesektor GWh'!$B1271,41,1000))-1),nrg_cb_e!$C$3:$C$40,0))</f>
        <v>FC_IND_CPC_E</v>
      </c>
      <c r="G1271" s="21">
        <v>35</v>
      </c>
    </row>
    <row r="1272" spans="1:7" x14ac:dyDescent="0.2">
      <c r="A1272" s="16" t="s">
        <v>41</v>
      </c>
      <c r="B1272" s="17" t="s">
        <v>63</v>
      </c>
      <c r="C1272" s="17" t="s">
        <v>8</v>
      </c>
      <c r="D1272" s="17" t="s">
        <v>10</v>
      </c>
      <c r="E1272" s="17" t="s">
        <v>24</v>
      </c>
      <c r="F1272" s="17" t="str">
        <f>INDEX(nrg_cb_e!$A$3:$A$40,MATCH(LEFT(MID('Industriesektor GWh'!$B1272,41,1000),SEARCH(" - ",MID('Industriesektor GWh'!$B1272,41,1000))-1),nrg_cb_e!$C$3:$C$40,0))</f>
        <v>FC_IND_CPC_E</v>
      </c>
      <c r="G1272" s="18">
        <v>38</v>
      </c>
    </row>
    <row r="1273" spans="1:7" x14ac:dyDescent="0.2">
      <c r="A1273" s="19" t="s">
        <v>41</v>
      </c>
      <c r="B1273" s="20" t="s">
        <v>63</v>
      </c>
      <c r="C1273" s="20" t="s">
        <v>8</v>
      </c>
      <c r="D1273" s="20" t="s">
        <v>10</v>
      </c>
      <c r="E1273" s="20" t="s">
        <v>25</v>
      </c>
      <c r="F1273" s="20" t="str">
        <f>INDEX(nrg_cb_e!$A$3:$A$40,MATCH(LEFT(MID('Industriesektor GWh'!$B1273,41,1000),SEARCH(" - ",MID('Industriesektor GWh'!$B1273,41,1000))-1),nrg_cb_e!$C$3:$C$40,0))</f>
        <v>FC_IND_CPC_E</v>
      </c>
      <c r="G1273" s="21">
        <v>40</v>
      </c>
    </row>
    <row r="1274" spans="1:7" x14ac:dyDescent="0.2">
      <c r="A1274" s="16" t="s">
        <v>41</v>
      </c>
      <c r="B1274" s="17" t="s">
        <v>63</v>
      </c>
      <c r="C1274" s="17" t="s">
        <v>8</v>
      </c>
      <c r="D1274" s="17" t="s">
        <v>10</v>
      </c>
      <c r="E1274" s="17" t="s">
        <v>26</v>
      </c>
      <c r="F1274" s="17" t="str">
        <f>INDEX(nrg_cb_e!$A$3:$A$40,MATCH(LEFT(MID('Industriesektor GWh'!$B1274,41,1000),SEARCH(" - ",MID('Industriesektor GWh'!$B1274,41,1000))-1),nrg_cb_e!$C$3:$C$40,0))</f>
        <v>FC_IND_CPC_E</v>
      </c>
      <c r="G1274" s="18">
        <v>43</v>
      </c>
    </row>
    <row r="1275" spans="1:7" x14ac:dyDescent="0.2">
      <c r="A1275" s="19" t="s">
        <v>41</v>
      </c>
      <c r="B1275" s="20" t="s">
        <v>63</v>
      </c>
      <c r="C1275" s="20" t="s">
        <v>8</v>
      </c>
      <c r="D1275" s="20" t="s">
        <v>10</v>
      </c>
      <c r="E1275" s="20" t="s">
        <v>27</v>
      </c>
      <c r="F1275" s="20" t="str">
        <f>INDEX(nrg_cb_e!$A$3:$A$40,MATCH(LEFT(MID('Industriesektor GWh'!$B1275,41,1000),SEARCH(" - ",MID('Industriesektor GWh'!$B1275,41,1000))-1),nrg_cb_e!$C$3:$C$40,0))</f>
        <v>FC_IND_CPC_E</v>
      </c>
      <c r="G1275" s="21">
        <v>43.801000000000002</v>
      </c>
    </row>
    <row r="1276" spans="1:7" x14ac:dyDescent="0.2">
      <c r="A1276" s="16" t="s">
        <v>41</v>
      </c>
      <c r="B1276" s="17" t="s">
        <v>63</v>
      </c>
      <c r="C1276" s="17" t="s">
        <v>8</v>
      </c>
      <c r="D1276" s="17" t="s">
        <v>10</v>
      </c>
      <c r="E1276" s="17" t="s">
        <v>28</v>
      </c>
      <c r="F1276" s="17" t="str">
        <f>INDEX(nrg_cb_e!$A$3:$A$40,MATCH(LEFT(MID('Industriesektor GWh'!$B1276,41,1000),SEARCH(" - ",MID('Industriesektor GWh'!$B1276,41,1000))-1),nrg_cb_e!$C$3:$C$40,0))</f>
        <v>FC_IND_CPC_E</v>
      </c>
      <c r="G1276" s="18">
        <v>44.654000000000003</v>
      </c>
    </row>
    <row r="1277" spans="1:7" x14ac:dyDescent="0.2">
      <c r="A1277" s="19" t="s">
        <v>42</v>
      </c>
      <c r="B1277" s="20" t="s">
        <v>63</v>
      </c>
      <c r="C1277" s="20" t="s">
        <v>8</v>
      </c>
      <c r="D1277" s="20" t="s">
        <v>10</v>
      </c>
      <c r="E1277" s="20" t="s">
        <v>12</v>
      </c>
      <c r="F1277" s="20" t="str">
        <f>INDEX(nrg_cb_e!$A$3:$A$40,MATCH(LEFT(MID('Industriesektor GWh'!$B1277,41,1000),SEARCH(" - ",MID('Industriesektor GWh'!$B1277,41,1000))-1),nrg_cb_e!$C$3:$C$40,0))</f>
        <v>FC_IND_CPC_E</v>
      </c>
      <c r="G1277" s="21">
        <v>75</v>
      </c>
    </row>
    <row r="1278" spans="1:7" x14ac:dyDescent="0.2">
      <c r="A1278" s="16" t="s">
        <v>42</v>
      </c>
      <c r="B1278" s="17" t="s">
        <v>63</v>
      </c>
      <c r="C1278" s="17" t="s">
        <v>8</v>
      </c>
      <c r="D1278" s="17" t="s">
        <v>10</v>
      </c>
      <c r="E1278" s="17" t="s">
        <v>13</v>
      </c>
      <c r="F1278" s="17" t="str">
        <f>INDEX(nrg_cb_e!$A$3:$A$40,MATCH(LEFT(MID('Industriesektor GWh'!$B1278,41,1000),SEARCH(" - ",MID('Industriesektor GWh'!$B1278,41,1000))-1),nrg_cb_e!$C$3:$C$40,0))</f>
        <v>FC_IND_CPC_E</v>
      </c>
      <c r="G1278" s="18">
        <v>75</v>
      </c>
    </row>
    <row r="1279" spans="1:7" x14ac:dyDescent="0.2">
      <c r="A1279" s="19" t="s">
        <v>42</v>
      </c>
      <c r="B1279" s="20" t="s">
        <v>63</v>
      </c>
      <c r="C1279" s="20" t="s">
        <v>8</v>
      </c>
      <c r="D1279" s="20" t="s">
        <v>10</v>
      </c>
      <c r="E1279" s="20" t="s">
        <v>14</v>
      </c>
      <c r="F1279" s="20" t="str">
        <f>INDEX(nrg_cb_e!$A$3:$A$40,MATCH(LEFT(MID('Industriesektor GWh'!$B1279,41,1000),SEARCH(" - ",MID('Industriesektor GWh'!$B1279,41,1000))-1),nrg_cb_e!$C$3:$C$40,0))</f>
        <v>FC_IND_CPC_E</v>
      </c>
      <c r="G1279" s="21">
        <v>66</v>
      </c>
    </row>
    <row r="1280" spans="1:7" x14ac:dyDescent="0.2">
      <c r="A1280" s="16" t="s">
        <v>42</v>
      </c>
      <c r="B1280" s="17" t="s">
        <v>63</v>
      </c>
      <c r="C1280" s="17" t="s">
        <v>8</v>
      </c>
      <c r="D1280" s="17" t="s">
        <v>10</v>
      </c>
      <c r="E1280" s="17" t="s">
        <v>15</v>
      </c>
      <c r="F1280" s="17" t="str">
        <f>INDEX(nrg_cb_e!$A$3:$A$40,MATCH(LEFT(MID('Industriesektor GWh'!$B1280,41,1000),SEARCH(" - ",MID('Industriesektor GWh'!$B1280,41,1000))-1),nrg_cb_e!$C$3:$C$40,0))</f>
        <v>FC_IND_CPC_E</v>
      </c>
      <c r="G1280" s="18">
        <v>72</v>
      </c>
    </row>
    <row r="1281" spans="1:7" x14ac:dyDescent="0.2">
      <c r="A1281" s="19" t="s">
        <v>42</v>
      </c>
      <c r="B1281" s="20" t="s">
        <v>63</v>
      </c>
      <c r="C1281" s="20" t="s">
        <v>8</v>
      </c>
      <c r="D1281" s="20" t="s">
        <v>10</v>
      </c>
      <c r="E1281" s="20" t="s">
        <v>16</v>
      </c>
      <c r="F1281" s="20" t="str">
        <f>INDEX(nrg_cb_e!$A$3:$A$40,MATCH(LEFT(MID('Industriesektor GWh'!$B1281,41,1000),SEARCH(" - ",MID('Industriesektor GWh'!$B1281,41,1000))-1),nrg_cb_e!$C$3:$C$40,0))</f>
        <v>FC_IND_CPC_E</v>
      </c>
      <c r="G1281" s="21">
        <v>75</v>
      </c>
    </row>
    <row r="1282" spans="1:7" x14ac:dyDescent="0.2">
      <c r="A1282" s="16" t="s">
        <v>42</v>
      </c>
      <c r="B1282" s="17" t="s">
        <v>63</v>
      </c>
      <c r="C1282" s="17" t="s">
        <v>8</v>
      </c>
      <c r="D1282" s="17" t="s">
        <v>10</v>
      </c>
      <c r="E1282" s="17" t="s">
        <v>17</v>
      </c>
      <c r="F1282" s="17" t="str">
        <f>INDEX(nrg_cb_e!$A$3:$A$40,MATCH(LEFT(MID('Industriesektor GWh'!$B1282,41,1000),SEARCH(" - ",MID('Industriesektor GWh'!$B1282,41,1000))-1),nrg_cb_e!$C$3:$C$40,0))</f>
        <v>FC_IND_CPC_E</v>
      </c>
      <c r="G1282" s="18">
        <v>59</v>
      </c>
    </row>
    <row r="1283" spans="1:7" x14ac:dyDescent="0.2">
      <c r="A1283" s="19" t="s">
        <v>42</v>
      </c>
      <c r="B1283" s="20" t="s">
        <v>63</v>
      </c>
      <c r="C1283" s="20" t="s">
        <v>8</v>
      </c>
      <c r="D1283" s="20" t="s">
        <v>10</v>
      </c>
      <c r="E1283" s="20" t="s">
        <v>18</v>
      </c>
      <c r="F1283" s="20" t="str">
        <f>INDEX(nrg_cb_e!$A$3:$A$40,MATCH(LEFT(MID('Industriesektor GWh'!$B1283,41,1000),SEARCH(" - ",MID('Industriesektor GWh'!$B1283,41,1000))-1),nrg_cb_e!$C$3:$C$40,0))</f>
        <v>FC_IND_CPC_E</v>
      </c>
      <c r="G1283" s="21">
        <v>65</v>
      </c>
    </row>
    <row r="1284" spans="1:7" x14ac:dyDescent="0.2">
      <c r="A1284" s="16" t="s">
        <v>42</v>
      </c>
      <c r="B1284" s="17" t="s">
        <v>63</v>
      </c>
      <c r="C1284" s="17" t="s">
        <v>8</v>
      </c>
      <c r="D1284" s="17" t="s">
        <v>10</v>
      </c>
      <c r="E1284" s="17" t="s">
        <v>19</v>
      </c>
      <c r="F1284" s="17" t="str">
        <f>INDEX(nrg_cb_e!$A$3:$A$40,MATCH(LEFT(MID('Industriesektor GWh'!$B1284,41,1000),SEARCH(" - ",MID('Industriesektor GWh'!$B1284,41,1000))-1),nrg_cb_e!$C$3:$C$40,0))</f>
        <v>FC_IND_CPC_E</v>
      </c>
      <c r="G1284" s="18">
        <v>59</v>
      </c>
    </row>
    <row r="1285" spans="1:7" x14ac:dyDescent="0.2">
      <c r="A1285" s="19" t="s">
        <v>42</v>
      </c>
      <c r="B1285" s="20" t="s">
        <v>63</v>
      </c>
      <c r="C1285" s="20" t="s">
        <v>8</v>
      </c>
      <c r="D1285" s="20" t="s">
        <v>10</v>
      </c>
      <c r="E1285" s="20" t="s">
        <v>20</v>
      </c>
      <c r="F1285" s="20" t="str">
        <f>INDEX(nrg_cb_e!$A$3:$A$40,MATCH(LEFT(MID('Industriesektor GWh'!$B1285,41,1000),SEARCH(" - ",MID('Industriesektor GWh'!$B1285,41,1000))-1),nrg_cb_e!$C$3:$C$40,0))</f>
        <v>FC_IND_CPC_E</v>
      </c>
      <c r="G1285" s="21">
        <v>63</v>
      </c>
    </row>
    <row r="1286" spans="1:7" x14ac:dyDescent="0.2">
      <c r="A1286" s="16" t="s">
        <v>42</v>
      </c>
      <c r="B1286" s="17" t="s">
        <v>63</v>
      </c>
      <c r="C1286" s="17" t="s">
        <v>8</v>
      </c>
      <c r="D1286" s="17" t="s">
        <v>10</v>
      </c>
      <c r="E1286" s="17" t="s">
        <v>21</v>
      </c>
      <c r="F1286" s="17" t="str">
        <f>INDEX(nrg_cb_e!$A$3:$A$40,MATCH(LEFT(MID('Industriesektor GWh'!$B1286,41,1000),SEARCH(" - ",MID('Industriesektor GWh'!$B1286,41,1000))-1),nrg_cb_e!$C$3:$C$40,0))</f>
        <v>FC_IND_CPC_E</v>
      </c>
      <c r="G1286" s="18">
        <v>69</v>
      </c>
    </row>
    <row r="1287" spans="1:7" x14ac:dyDescent="0.2">
      <c r="A1287" s="19" t="s">
        <v>42</v>
      </c>
      <c r="B1287" s="20" t="s">
        <v>63</v>
      </c>
      <c r="C1287" s="20" t="s">
        <v>8</v>
      </c>
      <c r="D1287" s="20" t="s">
        <v>10</v>
      </c>
      <c r="E1287" s="20" t="s">
        <v>22</v>
      </c>
      <c r="F1287" s="20" t="str">
        <f>INDEX(nrg_cb_e!$A$3:$A$40,MATCH(LEFT(MID('Industriesektor GWh'!$B1287,41,1000),SEARCH(" - ",MID('Industriesektor GWh'!$B1287,41,1000))-1),nrg_cb_e!$C$3:$C$40,0))</f>
        <v>FC_IND_CPC_E</v>
      </c>
      <c r="G1287" s="21">
        <v>72</v>
      </c>
    </row>
    <row r="1288" spans="1:7" x14ac:dyDescent="0.2">
      <c r="A1288" s="16" t="s">
        <v>42</v>
      </c>
      <c r="B1288" s="17" t="s">
        <v>63</v>
      </c>
      <c r="C1288" s="17" t="s">
        <v>8</v>
      </c>
      <c r="D1288" s="17" t="s">
        <v>10</v>
      </c>
      <c r="E1288" s="17" t="s">
        <v>23</v>
      </c>
      <c r="F1288" s="17" t="str">
        <f>INDEX(nrg_cb_e!$A$3:$A$40,MATCH(LEFT(MID('Industriesektor GWh'!$B1288,41,1000),SEARCH(" - ",MID('Industriesektor GWh'!$B1288,41,1000))-1),nrg_cb_e!$C$3:$C$40,0))</f>
        <v>FC_IND_CPC_E</v>
      </c>
      <c r="G1288" s="18">
        <v>72</v>
      </c>
    </row>
    <row r="1289" spans="1:7" x14ac:dyDescent="0.2">
      <c r="A1289" s="19" t="s">
        <v>42</v>
      </c>
      <c r="B1289" s="20" t="s">
        <v>63</v>
      </c>
      <c r="C1289" s="20" t="s">
        <v>8</v>
      </c>
      <c r="D1289" s="20" t="s">
        <v>10</v>
      </c>
      <c r="E1289" s="20" t="s">
        <v>24</v>
      </c>
      <c r="F1289" s="20" t="str">
        <f>INDEX(nrg_cb_e!$A$3:$A$40,MATCH(LEFT(MID('Industriesektor GWh'!$B1289,41,1000),SEARCH(" - ",MID('Industriesektor GWh'!$B1289,41,1000))-1),nrg_cb_e!$C$3:$C$40,0))</f>
        <v>FC_IND_CPC_E</v>
      </c>
      <c r="G1289" s="21">
        <v>60</v>
      </c>
    </row>
    <row r="1290" spans="1:7" x14ac:dyDescent="0.2">
      <c r="A1290" s="16" t="s">
        <v>42</v>
      </c>
      <c r="B1290" s="17" t="s">
        <v>63</v>
      </c>
      <c r="C1290" s="17" t="s">
        <v>8</v>
      </c>
      <c r="D1290" s="17" t="s">
        <v>10</v>
      </c>
      <c r="E1290" s="17" t="s">
        <v>25</v>
      </c>
      <c r="F1290" s="17" t="str">
        <f>INDEX(nrg_cb_e!$A$3:$A$40,MATCH(LEFT(MID('Industriesektor GWh'!$B1290,41,1000),SEARCH(" - ",MID('Industriesektor GWh'!$B1290,41,1000))-1),nrg_cb_e!$C$3:$C$40,0))</f>
        <v>FC_IND_CPC_E</v>
      </c>
      <c r="G1290" s="18">
        <v>62</v>
      </c>
    </row>
    <row r="1291" spans="1:7" x14ac:dyDescent="0.2">
      <c r="A1291" s="19" t="s">
        <v>42</v>
      </c>
      <c r="B1291" s="20" t="s">
        <v>63</v>
      </c>
      <c r="C1291" s="20" t="s">
        <v>8</v>
      </c>
      <c r="D1291" s="20" t="s">
        <v>10</v>
      </c>
      <c r="E1291" s="20" t="s">
        <v>26</v>
      </c>
      <c r="F1291" s="20" t="str">
        <f>INDEX(nrg_cb_e!$A$3:$A$40,MATCH(LEFT(MID('Industriesektor GWh'!$B1291,41,1000),SEARCH(" - ",MID('Industriesektor GWh'!$B1291,41,1000))-1),nrg_cb_e!$C$3:$C$40,0))</f>
        <v>FC_IND_CPC_E</v>
      </c>
      <c r="G1291" s="21">
        <v>62</v>
      </c>
    </row>
    <row r="1292" spans="1:7" x14ac:dyDescent="0.2">
      <c r="A1292" s="16" t="s">
        <v>42</v>
      </c>
      <c r="B1292" s="17" t="s">
        <v>63</v>
      </c>
      <c r="C1292" s="17" t="s">
        <v>8</v>
      </c>
      <c r="D1292" s="17" t="s">
        <v>10</v>
      </c>
      <c r="E1292" s="17" t="s">
        <v>27</v>
      </c>
      <c r="F1292" s="17" t="str">
        <f>INDEX(nrg_cb_e!$A$3:$A$40,MATCH(LEFT(MID('Industriesektor GWh'!$B1292,41,1000),SEARCH(" - ",MID('Industriesektor GWh'!$B1292,41,1000))-1),nrg_cb_e!$C$3:$C$40,0))</f>
        <v>FC_IND_CPC_E</v>
      </c>
      <c r="G1292" s="18">
        <v>64.498999999999995</v>
      </c>
    </row>
    <row r="1293" spans="1:7" x14ac:dyDescent="0.2">
      <c r="A1293" s="19" t="s">
        <v>42</v>
      </c>
      <c r="B1293" s="20" t="s">
        <v>63</v>
      </c>
      <c r="C1293" s="20" t="s">
        <v>8</v>
      </c>
      <c r="D1293" s="20" t="s">
        <v>10</v>
      </c>
      <c r="E1293" s="20" t="s">
        <v>28</v>
      </c>
      <c r="F1293" s="20" t="str">
        <f>INDEX(nrg_cb_e!$A$3:$A$40,MATCH(LEFT(MID('Industriesektor GWh'!$B1293,41,1000),SEARCH(" - ",MID('Industriesektor GWh'!$B1293,41,1000))-1),nrg_cb_e!$C$3:$C$40,0))</f>
        <v>FC_IND_CPC_E</v>
      </c>
      <c r="G1293" s="21">
        <v>65.269000000000005</v>
      </c>
    </row>
    <row r="1294" spans="1:7" x14ac:dyDescent="0.2">
      <c r="A1294" s="16" t="s">
        <v>43</v>
      </c>
      <c r="B1294" s="17" t="s">
        <v>63</v>
      </c>
      <c r="C1294" s="17" t="s">
        <v>8</v>
      </c>
      <c r="D1294" s="17" t="s">
        <v>10</v>
      </c>
      <c r="E1294" s="17" t="s">
        <v>12</v>
      </c>
      <c r="F1294" s="17" t="str">
        <f>INDEX(nrg_cb_e!$A$3:$A$40,MATCH(LEFT(MID('Industriesektor GWh'!$B1294,41,1000),SEARCH(" - ",MID('Industriesektor GWh'!$B1294,41,1000))-1),nrg_cb_e!$C$3:$C$40,0))</f>
        <v>FC_IND_CPC_E</v>
      </c>
      <c r="G1294" s="18">
        <v>507</v>
      </c>
    </row>
    <row r="1295" spans="1:7" x14ac:dyDescent="0.2">
      <c r="A1295" s="19" t="s">
        <v>43</v>
      </c>
      <c r="B1295" s="20" t="s">
        <v>63</v>
      </c>
      <c r="C1295" s="20" t="s">
        <v>8</v>
      </c>
      <c r="D1295" s="20" t="s">
        <v>10</v>
      </c>
      <c r="E1295" s="20" t="s">
        <v>13</v>
      </c>
      <c r="F1295" s="20" t="str">
        <f>INDEX(nrg_cb_e!$A$3:$A$40,MATCH(LEFT(MID('Industriesektor GWh'!$B1295,41,1000),SEARCH(" - ",MID('Industriesektor GWh'!$B1295,41,1000))-1),nrg_cb_e!$C$3:$C$40,0))</f>
        <v>FC_IND_CPC_E</v>
      </c>
      <c r="G1295" s="21">
        <v>551</v>
      </c>
    </row>
    <row r="1296" spans="1:7" x14ac:dyDescent="0.2">
      <c r="A1296" s="16" t="s">
        <v>43</v>
      </c>
      <c r="B1296" s="17" t="s">
        <v>63</v>
      </c>
      <c r="C1296" s="17" t="s">
        <v>8</v>
      </c>
      <c r="D1296" s="17" t="s">
        <v>10</v>
      </c>
      <c r="E1296" s="17" t="s">
        <v>14</v>
      </c>
      <c r="F1296" s="17" t="str">
        <f>INDEX(nrg_cb_e!$A$3:$A$40,MATCH(LEFT(MID('Industriesektor GWh'!$B1296,41,1000),SEARCH(" - ",MID('Industriesektor GWh'!$B1296,41,1000))-1),nrg_cb_e!$C$3:$C$40,0))</f>
        <v>FC_IND_CPC_E</v>
      </c>
      <c r="G1296" s="18">
        <v>554</v>
      </c>
    </row>
    <row r="1297" spans="1:7" x14ac:dyDescent="0.2">
      <c r="A1297" s="19" t="s">
        <v>43</v>
      </c>
      <c r="B1297" s="20" t="s">
        <v>63</v>
      </c>
      <c r="C1297" s="20" t="s">
        <v>8</v>
      </c>
      <c r="D1297" s="20" t="s">
        <v>10</v>
      </c>
      <c r="E1297" s="20" t="s">
        <v>15</v>
      </c>
      <c r="F1297" s="20" t="str">
        <f>INDEX(nrg_cb_e!$A$3:$A$40,MATCH(LEFT(MID('Industriesektor GWh'!$B1297,41,1000),SEARCH(" - ",MID('Industriesektor GWh'!$B1297,41,1000))-1),nrg_cb_e!$C$3:$C$40,0))</f>
        <v>FC_IND_CPC_E</v>
      </c>
      <c r="G1297" s="21">
        <v>598</v>
      </c>
    </row>
    <row r="1298" spans="1:7" x14ac:dyDescent="0.2">
      <c r="A1298" s="16" t="s">
        <v>43</v>
      </c>
      <c r="B1298" s="17" t="s">
        <v>63</v>
      </c>
      <c r="C1298" s="17" t="s">
        <v>8</v>
      </c>
      <c r="D1298" s="17" t="s">
        <v>10</v>
      </c>
      <c r="E1298" s="17" t="s">
        <v>16</v>
      </c>
      <c r="F1298" s="17" t="str">
        <f>INDEX(nrg_cb_e!$A$3:$A$40,MATCH(LEFT(MID('Industriesektor GWh'!$B1298,41,1000),SEARCH(" - ",MID('Industriesektor GWh'!$B1298,41,1000))-1),nrg_cb_e!$C$3:$C$40,0))</f>
        <v>FC_IND_CPC_E</v>
      </c>
      <c r="G1298" s="18">
        <v>671</v>
      </c>
    </row>
    <row r="1299" spans="1:7" x14ac:dyDescent="0.2">
      <c r="A1299" s="19" t="s">
        <v>43</v>
      </c>
      <c r="B1299" s="20" t="s">
        <v>63</v>
      </c>
      <c r="C1299" s="20" t="s">
        <v>8</v>
      </c>
      <c r="D1299" s="20" t="s">
        <v>10</v>
      </c>
      <c r="E1299" s="20" t="s">
        <v>17</v>
      </c>
      <c r="F1299" s="20" t="str">
        <f>INDEX(nrg_cb_e!$A$3:$A$40,MATCH(LEFT(MID('Industriesektor GWh'!$B1299,41,1000),SEARCH(" - ",MID('Industriesektor GWh'!$B1299,41,1000))-1),nrg_cb_e!$C$3:$C$40,0))</f>
        <v>FC_IND_CPC_E</v>
      </c>
      <c r="G1299" s="21">
        <v>780</v>
      </c>
    </row>
    <row r="1300" spans="1:7" x14ac:dyDescent="0.2">
      <c r="A1300" s="16" t="s">
        <v>43</v>
      </c>
      <c r="B1300" s="17" t="s">
        <v>63</v>
      </c>
      <c r="C1300" s="17" t="s">
        <v>8</v>
      </c>
      <c r="D1300" s="17" t="s">
        <v>10</v>
      </c>
      <c r="E1300" s="17" t="s">
        <v>18</v>
      </c>
      <c r="F1300" s="17" t="str">
        <f>INDEX(nrg_cb_e!$A$3:$A$40,MATCH(LEFT(MID('Industriesektor GWh'!$B1300,41,1000),SEARCH(" - ",MID('Industriesektor GWh'!$B1300,41,1000))-1),nrg_cb_e!$C$3:$C$40,0))</f>
        <v>FC_IND_CPC_E</v>
      </c>
      <c r="G1300" s="18">
        <v>736</v>
      </c>
    </row>
    <row r="1301" spans="1:7" x14ac:dyDescent="0.2">
      <c r="A1301" s="19" t="s">
        <v>43</v>
      </c>
      <c r="B1301" s="20" t="s">
        <v>63</v>
      </c>
      <c r="C1301" s="20" t="s">
        <v>8</v>
      </c>
      <c r="D1301" s="20" t="s">
        <v>10</v>
      </c>
      <c r="E1301" s="20" t="s">
        <v>19</v>
      </c>
      <c r="F1301" s="20" t="str">
        <f>INDEX(nrg_cb_e!$A$3:$A$40,MATCH(LEFT(MID('Industriesektor GWh'!$B1301,41,1000),SEARCH(" - ",MID('Industriesektor GWh'!$B1301,41,1000))-1),nrg_cb_e!$C$3:$C$40,0))</f>
        <v>FC_IND_CPC_E</v>
      </c>
      <c r="G1301" s="21">
        <v>624</v>
      </c>
    </row>
    <row r="1302" spans="1:7" x14ac:dyDescent="0.2">
      <c r="A1302" s="16" t="s">
        <v>43</v>
      </c>
      <c r="B1302" s="17" t="s">
        <v>63</v>
      </c>
      <c r="C1302" s="17" t="s">
        <v>8</v>
      </c>
      <c r="D1302" s="17" t="s">
        <v>10</v>
      </c>
      <c r="E1302" s="17" t="s">
        <v>20</v>
      </c>
      <c r="F1302" s="17" t="str">
        <f>INDEX(nrg_cb_e!$A$3:$A$40,MATCH(LEFT(MID('Industriesektor GWh'!$B1302,41,1000),SEARCH(" - ",MID('Industriesektor GWh'!$B1302,41,1000))-1),nrg_cb_e!$C$3:$C$40,0))</f>
        <v>FC_IND_CPC_E</v>
      </c>
      <c r="G1302" s="18">
        <v>680</v>
      </c>
    </row>
    <row r="1303" spans="1:7" x14ac:dyDescent="0.2">
      <c r="A1303" s="19" t="s">
        <v>43</v>
      </c>
      <c r="B1303" s="20" t="s">
        <v>63</v>
      </c>
      <c r="C1303" s="20" t="s">
        <v>8</v>
      </c>
      <c r="D1303" s="20" t="s">
        <v>10</v>
      </c>
      <c r="E1303" s="20" t="s">
        <v>21</v>
      </c>
      <c r="F1303" s="20" t="str">
        <f>INDEX(nrg_cb_e!$A$3:$A$40,MATCH(LEFT(MID('Industriesektor GWh'!$B1303,41,1000),SEARCH(" - ",MID('Industriesektor GWh'!$B1303,41,1000))-1),nrg_cb_e!$C$3:$C$40,0))</f>
        <v>FC_IND_CPC_E</v>
      </c>
      <c r="G1303" s="21">
        <v>770</v>
      </c>
    </row>
    <row r="1304" spans="1:7" x14ac:dyDescent="0.2">
      <c r="A1304" s="16" t="s">
        <v>43</v>
      </c>
      <c r="B1304" s="17" t="s">
        <v>63</v>
      </c>
      <c r="C1304" s="17" t="s">
        <v>8</v>
      </c>
      <c r="D1304" s="17" t="s">
        <v>10</v>
      </c>
      <c r="E1304" s="17" t="s">
        <v>22</v>
      </c>
      <c r="F1304" s="17" t="str">
        <f>INDEX(nrg_cb_e!$A$3:$A$40,MATCH(LEFT(MID('Industriesektor GWh'!$B1304,41,1000),SEARCH(" - ",MID('Industriesektor GWh'!$B1304,41,1000))-1),nrg_cb_e!$C$3:$C$40,0))</f>
        <v>FC_IND_CPC_E</v>
      </c>
      <c r="G1304" s="18">
        <v>785</v>
      </c>
    </row>
    <row r="1305" spans="1:7" x14ac:dyDescent="0.2">
      <c r="A1305" s="19" t="s">
        <v>43</v>
      </c>
      <c r="B1305" s="20" t="s">
        <v>63</v>
      </c>
      <c r="C1305" s="20" t="s">
        <v>8</v>
      </c>
      <c r="D1305" s="20" t="s">
        <v>10</v>
      </c>
      <c r="E1305" s="20" t="s">
        <v>23</v>
      </c>
      <c r="F1305" s="20" t="str">
        <f>INDEX(nrg_cb_e!$A$3:$A$40,MATCH(LEFT(MID('Industriesektor GWh'!$B1305,41,1000),SEARCH(" - ",MID('Industriesektor GWh'!$B1305,41,1000))-1),nrg_cb_e!$C$3:$C$40,0))</f>
        <v>FC_IND_CPC_E</v>
      </c>
      <c r="G1305" s="21">
        <v>730</v>
      </c>
    </row>
    <row r="1306" spans="1:7" x14ac:dyDescent="0.2">
      <c r="A1306" s="16" t="s">
        <v>43</v>
      </c>
      <c r="B1306" s="17" t="s">
        <v>63</v>
      </c>
      <c r="C1306" s="17" t="s">
        <v>8</v>
      </c>
      <c r="D1306" s="17" t="s">
        <v>10</v>
      </c>
      <c r="E1306" s="17" t="s">
        <v>24</v>
      </c>
      <c r="F1306" s="17" t="str">
        <f>INDEX(nrg_cb_e!$A$3:$A$40,MATCH(LEFT(MID('Industriesektor GWh'!$B1306,41,1000),SEARCH(" - ",MID('Industriesektor GWh'!$B1306,41,1000))-1),nrg_cb_e!$C$3:$C$40,0))</f>
        <v>FC_IND_CPC_E</v>
      </c>
      <c r="G1306" s="18">
        <v>750</v>
      </c>
    </row>
    <row r="1307" spans="1:7" x14ac:dyDescent="0.2">
      <c r="A1307" s="19" t="s">
        <v>43</v>
      </c>
      <c r="B1307" s="20" t="s">
        <v>63</v>
      </c>
      <c r="C1307" s="20" t="s">
        <v>8</v>
      </c>
      <c r="D1307" s="20" t="s">
        <v>10</v>
      </c>
      <c r="E1307" s="20" t="s">
        <v>25</v>
      </c>
      <c r="F1307" s="20" t="str">
        <f>INDEX(nrg_cb_e!$A$3:$A$40,MATCH(LEFT(MID('Industriesektor GWh'!$B1307,41,1000),SEARCH(" - ",MID('Industriesektor GWh'!$B1307,41,1000))-1),nrg_cb_e!$C$3:$C$40,0))</f>
        <v>FC_IND_CPC_E</v>
      </c>
      <c r="G1307" s="21">
        <v>713</v>
      </c>
    </row>
    <row r="1308" spans="1:7" x14ac:dyDescent="0.2">
      <c r="A1308" s="16" t="s">
        <v>43</v>
      </c>
      <c r="B1308" s="17" t="s">
        <v>63</v>
      </c>
      <c r="C1308" s="17" t="s">
        <v>8</v>
      </c>
      <c r="D1308" s="17" t="s">
        <v>10</v>
      </c>
      <c r="E1308" s="17" t="s">
        <v>26</v>
      </c>
      <c r="F1308" s="17" t="str">
        <f>INDEX(nrg_cb_e!$A$3:$A$40,MATCH(LEFT(MID('Industriesektor GWh'!$B1308,41,1000),SEARCH(" - ",MID('Industriesektor GWh'!$B1308,41,1000))-1),nrg_cb_e!$C$3:$C$40,0))</f>
        <v>FC_IND_CPC_E</v>
      </c>
      <c r="G1308" s="18">
        <v>746</v>
      </c>
    </row>
    <row r="1309" spans="1:7" x14ac:dyDescent="0.2">
      <c r="A1309" s="19" t="s">
        <v>43</v>
      </c>
      <c r="B1309" s="20" t="s">
        <v>63</v>
      </c>
      <c r="C1309" s="20" t="s">
        <v>8</v>
      </c>
      <c r="D1309" s="20" t="s">
        <v>10</v>
      </c>
      <c r="E1309" s="20" t="s">
        <v>27</v>
      </c>
      <c r="F1309" s="20" t="str">
        <f>INDEX(nrg_cb_e!$A$3:$A$40,MATCH(LEFT(MID('Industriesektor GWh'!$B1309,41,1000),SEARCH(" - ",MID('Industriesektor GWh'!$B1309,41,1000))-1),nrg_cb_e!$C$3:$C$40,0))</f>
        <v>FC_IND_CPC_E</v>
      </c>
      <c r="G1309" s="21">
        <v>831.4</v>
      </c>
    </row>
    <row r="1310" spans="1:7" x14ac:dyDescent="0.2">
      <c r="A1310" s="16" t="s">
        <v>43</v>
      </c>
      <c r="B1310" s="17" t="s">
        <v>63</v>
      </c>
      <c r="C1310" s="17" t="s">
        <v>8</v>
      </c>
      <c r="D1310" s="17" t="s">
        <v>10</v>
      </c>
      <c r="E1310" s="17" t="s">
        <v>28</v>
      </c>
      <c r="F1310" s="17" t="str">
        <f>INDEX(nrg_cb_e!$A$3:$A$40,MATCH(LEFT(MID('Industriesektor GWh'!$B1310,41,1000),SEARCH(" - ",MID('Industriesektor GWh'!$B1310,41,1000))-1),nrg_cb_e!$C$3:$C$40,0))</f>
        <v>FC_IND_CPC_E</v>
      </c>
      <c r="G1310" s="18">
        <v>804.7</v>
      </c>
    </row>
    <row r="1311" spans="1:7" x14ac:dyDescent="0.2">
      <c r="A1311" s="19" t="s">
        <v>44</v>
      </c>
      <c r="B1311" s="20" t="s">
        <v>63</v>
      </c>
      <c r="C1311" s="20" t="s">
        <v>8</v>
      </c>
      <c r="D1311" s="20" t="s">
        <v>10</v>
      </c>
      <c r="E1311" s="20" t="s">
        <v>12</v>
      </c>
      <c r="F1311" s="20" t="str">
        <f>INDEX(nrg_cb_e!$A$3:$A$40,MATCH(LEFT(MID('Industriesektor GWh'!$B1311,41,1000),SEARCH(" - ",MID('Industriesektor GWh'!$B1311,41,1000))-1),nrg_cb_e!$C$3:$C$40,0))</f>
        <v>FC_IND_CPC_E</v>
      </c>
      <c r="G1311" s="21">
        <v>280.858</v>
      </c>
    </row>
    <row r="1312" spans="1:7" x14ac:dyDescent="0.2">
      <c r="A1312" s="16" t="s">
        <v>44</v>
      </c>
      <c r="B1312" s="17" t="s">
        <v>63</v>
      </c>
      <c r="C1312" s="17" t="s">
        <v>8</v>
      </c>
      <c r="D1312" s="17" t="s">
        <v>10</v>
      </c>
      <c r="E1312" s="17" t="s">
        <v>13</v>
      </c>
      <c r="F1312" s="17" t="str">
        <f>INDEX(nrg_cb_e!$A$3:$A$40,MATCH(LEFT(MID('Industriesektor GWh'!$B1312,41,1000),SEARCH(" - ",MID('Industriesektor GWh'!$B1312,41,1000))-1),nrg_cb_e!$C$3:$C$40,0))</f>
        <v>FC_IND_CPC_E</v>
      </c>
      <c r="G1312" s="18">
        <v>477.59800000000001</v>
      </c>
    </row>
    <row r="1313" spans="1:7" x14ac:dyDescent="0.2">
      <c r="A1313" s="19" t="s">
        <v>44</v>
      </c>
      <c r="B1313" s="20" t="s">
        <v>63</v>
      </c>
      <c r="C1313" s="20" t="s">
        <v>8</v>
      </c>
      <c r="D1313" s="20" t="s">
        <v>10</v>
      </c>
      <c r="E1313" s="20" t="s">
        <v>14</v>
      </c>
      <c r="F1313" s="20" t="str">
        <f>INDEX(nrg_cb_e!$A$3:$A$40,MATCH(LEFT(MID('Industriesektor GWh'!$B1313,41,1000),SEARCH(" - ",MID('Industriesektor GWh'!$B1313,41,1000))-1),nrg_cb_e!$C$3:$C$40,0))</f>
        <v>FC_IND_CPC_E</v>
      </c>
      <c r="G1313" s="21">
        <v>477.74299999999999</v>
      </c>
    </row>
    <row r="1314" spans="1:7" x14ac:dyDescent="0.2">
      <c r="A1314" s="16" t="s">
        <v>44</v>
      </c>
      <c r="B1314" s="17" t="s">
        <v>63</v>
      </c>
      <c r="C1314" s="17" t="s">
        <v>8</v>
      </c>
      <c r="D1314" s="17" t="s">
        <v>10</v>
      </c>
      <c r="E1314" s="17" t="s">
        <v>15</v>
      </c>
      <c r="F1314" s="17" t="str">
        <f>INDEX(nrg_cb_e!$A$3:$A$40,MATCH(LEFT(MID('Industriesektor GWh'!$B1314,41,1000),SEARCH(" - ",MID('Industriesektor GWh'!$B1314,41,1000))-1),nrg_cb_e!$C$3:$C$40,0))</f>
        <v>FC_IND_CPC_E</v>
      </c>
      <c r="G1314" s="18">
        <v>530.09400000000005</v>
      </c>
    </row>
    <row r="1315" spans="1:7" x14ac:dyDescent="0.2">
      <c r="A1315" s="19" t="s">
        <v>44</v>
      </c>
      <c r="B1315" s="20" t="s">
        <v>63</v>
      </c>
      <c r="C1315" s="20" t="s">
        <v>8</v>
      </c>
      <c r="D1315" s="20" t="s">
        <v>10</v>
      </c>
      <c r="E1315" s="20" t="s">
        <v>16</v>
      </c>
      <c r="F1315" s="20" t="str">
        <f>INDEX(nrg_cb_e!$A$3:$A$40,MATCH(LEFT(MID('Industriesektor GWh'!$B1315,41,1000),SEARCH(" - ",MID('Industriesektor GWh'!$B1315,41,1000))-1),nrg_cb_e!$C$3:$C$40,0))</f>
        <v>FC_IND_CPC_E</v>
      </c>
      <c r="G1315" s="21">
        <v>462.44799999999998</v>
      </c>
    </row>
    <row r="1316" spans="1:7" x14ac:dyDescent="0.2">
      <c r="A1316" s="16" t="s">
        <v>44</v>
      </c>
      <c r="B1316" s="17" t="s">
        <v>63</v>
      </c>
      <c r="C1316" s="17" t="s">
        <v>8</v>
      </c>
      <c r="D1316" s="17" t="s">
        <v>10</v>
      </c>
      <c r="E1316" s="17" t="s">
        <v>17</v>
      </c>
      <c r="F1316" s="17" t="str">
        <f>INDEX(nrg_cb_e!$A$3:$A$40,MATCH(LEFT(MID('Industriesektor GWh'!$B1316,41,1000),SEARCH(" - ",MID('Industriesektor GWh'!$B1316,41,1000))-1),nrg_cb_e!$C$3:$C$40,0))</f>
        <v>FC_IND_CPC_E</v>
      </c>
      <c r="G1316" s="18">
        <v>445.09199999999998</v>
      </c>
    </row>
    <row r="1317" spans="1:7" x14ac:dyDescent="0.2">
      <c r="A1317" s="19" t="s">
        <v>44</v>
      </c>
      <c r="B1317" s="20" t="s">
        <v>63</v>
      </c>
      <c r="C1317" s="20" t="s">
        <v>8</v>
      </c>
      <c r="D1317" s="20" t="s">
        <v>10</v>
      </c>
      <c r="E1317" s="20" t="s">
        <v>18</v>
      </c>
      <c r="F1317" s="20" t="str">
        <f>INDEX(nrg_cb_e!$A$3:$A$40,MATCH(LEFT(MID('Industriesektor GWh'!$B1317,41,1000),SEARCH(" - ",MID('Industriesektor GWh'!$B1317,41,1000))-1),nrg_cb_e!$C$3:$C$40,0))</f>
        <v>FC_IND_CPC_E</v>
      </c>
      <c r="G1317" s="21">
        <v>396.89600000000002</v>
      </c>
    </row>
    <row r="1318" spans="1:7" x14ac:dyDescent="0.2">
      <c r="A1318" s="16" t="s">
        <v>44</v>
      </c>
      <c r="B1318" s="17" t="s">
        <v>63</v>
      </c>
      <c r="C1318" s="17" t="s">
        <v>8</v>
      </c>
      <c r="D1318" s="17" t="s">
        <v>10</v>
      </c>
      <c r="E1318" s="17" t="s">
        <v>19</v>
      </c>
      <c r="F1318" s="17" t="str">
        <f>INDEX(nrg_cb_e!$A$3:$A$40,MATCH(LEFT(MID('Industriesektor GWh'!$B1318,41,1000),SEARCH(" - ",MID('Industriesektor GWh'!$B1318,41,1000))-1),nrg_cb_e!$C$3:$C$40,0))</f>
        <v>FC_IND_CPC_E</v>
      </c>
      <c r="G1318" s="18">
        <v>311.01600000000002</v>
      </c>
    </row>
    <row r="1319" spans="1:7" x14ac:dyDescent="0.2">
      <c r="A1319" s="19" t="s">
        <v>44</v>
      </c>
      <c r="B1319" s="20" t="s">
        <v>63</v>
      </c>
      <c r="C1319" s="20" t="s">
        <v>8</v>
      </c>
      <c r="D1319" s="20" t="s">
        <v>10</v>
      </c>
      <c r="E1319" s="20" t="s">
        <v>20</v>
      </c>
      <c r="F1319" s="20" t="str">
        <f>INDEX(nrg_cb_e!$A$3:$A$40,MATCH(LEFT(MID('Industriesektor GWh'!$B1319,41,1000),SEARCH(" - ",MID('Industriesektor GWh'!$B1319,41,1000))-1),nrg_cb_e!$C$3:$C$40,0))</f>
        <v>FC_IND_CPC_E</v>
      </c>
      <c r="G1319" s="21">
        <v>349.89</v>
      </c>
    </row>
    <row r="1320" spans="1:7" x14ac:dyDescent="0.2">
      <c r="A1320" s="16" t="s">
        <v>44</v>
      </c>
      <c r="B1320" s="17" t="s">
        <v>63</v>
      </c>
      <c r="C1320" s="17" t="s">
        <v>8</v>
      </c>
      <c r="D1320" s="17" t="s">
        <v>10</v>
      </c>
      <c r="E1320" s="17" t="s">
        <v>21</v>
      </c>
      <c r="F1320" s="17" t="str">
        <f>INDEX(nrg_cb_e!$A$3:$A$40,MATCH(LEFT(MID('Industriesektor GWh'!$B1320,41,1000),SEARCH(" - ",MID('Industriesektor GWh'!$B1320,41,1000))-1),nrg_cb_e!$C$3:$C$40,0))</f>
        <v>FC_IND_CPC_E</v>
      </c>
      <c r="G1320" s="18">
        <v>400.79500000000002</v>
      </c>
    </row>
    <row r="1321" spans="1:7" x14ac:dyDescent="0.2">
      <c r="A1321" s="19" t="s">
        <v>44</v>
      </c>
      <c r="B1321" s="20" t="s">
        <v>63</v>
      </c>
      <c r="C1321" s="20" t="s">
        <v>8</v>
      </c>
      <c r="D1321" s="20" t="s">
        <v>10</v>
      </c>
      <c r="E1321" s="20" t="s">
        <v>22</v>
      </c>
      <c r="F1321" s="20" t="str">
        <f>INDEX(nrg_cb_e!$A$3:$A$40,MATCH(LEFT(MID('Industriesektor GWh'!$B1321,41,1000),SEARCH(" - ",MID('Industriesektor GWh'!$B1321,41,1000))-1),nrg_cb_e!$C$3:$C$40,0))</f>
        <v>FC_IND_CPC_E</v>
      </c>
      <c r="G1321" s="21">
        <v>389.6</v>
      </c>
    </row>
    <row r="1322" spans="1:7" x14ac:dyDescent="0.2">
      <c r="A1322" s="16" t="s">
        <v>44</v>
      </c>
      <c r="B1322" s="17" t="s">
        <v>63</v>
      </c>
      <c r="C1322" s="17" t="s">
        <v>8</v>
      </c>
      <c r="D1322" s="17" t="s">
        <v>10</v>
      </c>
      <c r="E1322" s="17" t="s">
        <v>23</v>
      </c>
      <c r="F1322" s="17" t="str">
        <f>INDEX(nrg_cb_e!$A$3:$A$40,MATCH(LEFT(MID('Industriesektor GWh'!$B1322,41,1000),SEARCH(" - ",MID('Industriesektor GWh'!$B1322,41,1000))-1),nrg_cb_e!$C$3:$C$40,0))</f>
        <v>FC_IND_CPC_E</v>
      </c>
      <c r="G1322" s="18">
        <v>406.983</v>
      </c>
    </row>
    <row r="1323" spans="1:7" x14ac:dyDescent="0.2">
      <c r="A1323" s="19" t="s">
        <v>44</v>
      </c>
      <c r="B1323" s="20" t="s">
        <v>63</v>
      </c>
      <c r="C1323" s="20" t="s">
        <v>8</v>
      </c>
      <c r="D1323" s="20" t="s">
        <v>10</v>
      </c>
      <c r="E1323" s="20" t="s">
        <v>24</v>
      </c>
      <c r="F1323" s="20" t="str">
        <f>INDEX(nrg_cb_e!$A$3:$A$40,MATCH(LEFT(MID('Industriesektor GWh'!$B1323,41,1000),SEARCH(" - ",MID('Industriesektor GWh'!$B1323,41,1000))-1),nrg_cb_e!$C$3:$C$40,0))</f>
        <v>FC_IND_CPC_E</v>
      </c>
      <c r="G1323" s="21">
        <v>368.471</v>
      </c>
    </row>
    <row r="1324" spans="1:7" x14ac:dyDescent="0.2">
      <c r="A1324" s="16" t="s">
        <v>44</v>
      </c>
      <c r="B1324" s="17" t="s">
        <v>63</v>
      </c>
      <c r="C1324" s="17" t="s">
        <v>8</v>
      </c>
      <c r="D1324" s="17" t="s">
        <v>10</v>
      </c>
      <c r="E1324" s="17" t="s">
        <v>25</v>
      </c>
      <c r="F1324" s="17" t="str">
        <f>INDEX(nrg_cb_e!$A$3:$A$40,MATCH(LEFT(MID('Industriesektor GWh'!$B1324,41,1000),SEARCH(" - ",MID('Industriesektor GWh'!$B1324,41,1000))-1),nrg_cb_e!$C$3:$C$40,0))</f>
        <v>FC_IND_CPC_E</v>
      </c>
      <c r="G1324" s="18">
        <v>379.84800000000001</v>
      </c>
    </row>
    <row r="1325" spans="1:7" x14ac:dyDescent="0.2">
      <c r="A1325" s="19" t="s">
        <v>44</v>
      </c>
      <c r="B1325" s="20" t="s">
        <v>63</v>
      </c>
      <c r="C1325" s="20" t="s">
        <v>8</v>
      </c>
      <c r="D1325" s="20" t="s">
        <v>10</v>
      </c>
      <c r="E1325" s="20" t="s">
        <v>26</v>
      </c>
      <c r="F1325" s="20" t="str">
        <f>INDEX(nrg_cb_e!$A$3:$A$40,MATCH(LEFT(MID('Industriesektor GWh'!$B1325,41,1000),SEARCH(" - ",MID('Industriesektor GWh'!$B1325,41,1000))-1),nrg_cb_e!$C$3:$C$40,0))</f>
        <v>FC_IND_CPC_E</v>
      </c>
      <c r="G1325" s="21">
        <v>383.47800000000001</v>
      </c>
    </row>
    <row r="1326" spans="1:7" x14ac:dyDescent="0.2">
      <c r="A1326" s="16" t="s">
        <v>44</v>
      </c>
      <c r="B1326" s="17" t="s">
        <v>63</v>
      </c>
      <c r="C1326" s="17" t="s">
        <v>8</v>
      </c>
      <c r="D1326" s="17" t="s">
        <v>10</v>
      </c>
      <c r="E1326" s="17" t="s">
        <v>27</v>
      </c>
      <c r="F1326" s="17" t="str">
        <f>INDEX(nrg_cb_e!$A$3:$A$40,MATCH(LEFT(MID('Industriesektor GWh'!$B1326,41,1000),SEARCH(" - ",MID('Industriesektor GWh'!$B1326,41,1000))-1),nrg_cb_e!$C$3:$C$40,0))</f>
        <v>FC_IND_CPC_E</v>
      </c>
      <c r="G1326" s="18">
        <v>335.54</v>
      </c>
    </row>
    <row r="1327" spans="1:7" x14ac:dyDescent="0.2">
      <c r="A1327" s="19" t="s">
        <v>44</v>
      </c>
      <c r="B1327" s="20" t="s">
        <v>63</v>
      </c>
      <c r="C1327" s="20" t="s">
        <v>8</v>
      </c>
      <c r="D1327" s="20" t="s">
        <v>10</v>
      </c>
      <c r="E1327" s="20" t="s">
        <v>28</v>
      </c>
      <c r="F1327" s="20" t="str">
        <f>INDEX(nrg_cb_e!$A$3:$A$40,MATCH(LEFT(MID('Industriesektor GWh'!$B1327,41,1000),SEARCH(" - ",MID('Industriesektor GWh'!$B1327,41,1000))-1),nrg_cb_e!$C$3:$C$40,0))</f>
        <v>FC_IND_CPC_E</v>
      </c>
      <c r="G1327" s="21">
        <v>356.875</v>
      </c>
    </row>
    <row r="1328" spans="1:7" x14ac:dyDescent="0.2">
      <c r="A1328" s="16" t="s">
        <v>45</v>
      </c>
      <c r="B1328" s="17" t="s">
        <v>63</v>
      </c>
      <c r="C1328" s="17" t="s">
        <v>8</v>
      </c>
      <c r="D1328" s="17" t="s">
        <v>10</v>
      </c>
      <c r="E1328" s="17" t="s">
        <v>12</v>
      </c>
      <c r="F1328" s="17" t="str">
        <f>INDEX(nrg_cb_e!$A$3:$A$40,MATCH(LEFT(MID('Industriesektor GWh'!$B1328,41,1000),SEARCH(" - ",MID('Industriesektor GWh'!$B1328,41,1000))-1),nrg_cb_e!$C$3:$C$40,0))</f>
        <v>FC_IND_CPC_E</v>
      </c>
      <c r="G1328" s="18">
        <v>3048</v>
      </c>
    </row>
    <row r="1329" spans="1:7" x14ac:dyDescent="0.2">
      <c r="A1329" s="19" t="s">
        <v>45</v>
      </c>
      <c r="B1329" s="20" t="s">
        <v>63</v>
      </c>
      <c r="C1329" s="20" t="s">
        <v>8</v>
      </c>
      <c r="D1329" s="20" t="s">
        <v>10</v>
      </c>
      <c r="E1329" s="20" t="s">
        <v>13</v>
      </c>
      <c r="F1329" s="20" t="str">
        <f>INDEX(nrg_cb_e!$A$3:$A$40,MATCH(LEFT(MID('Industriesektor GWh'!$B1329,41,1000),SEARCH(" - ",MID('Industriesektor GWh'!$B1329,41,1000))-1),nrg_cb_e!$C$3:$C$40,0))</f>
        <v>FC_IND_CPC_E</v>
      </c>
      <c r="G1329" s="21">
        <v>2050</v>
      </c>
    </row>
    <row r="1330" spans="1:7" x14ac:dyDescent="0.2">
      <c r="A1330" s="16" t="s">
        <v>45</v>
      </c>
      <c r="B1330" s="17" t="s">
        <v>63</v>
      </c>
      <c r="C1330" s="17" t="s">
        <v>8</v>
      </c>
      <c r="D1330" s="17" t="s">
        <v>10</v>
      </c>
      <c r="E1330" s="17" t="s">
        <v>14</v>
      </c>
      <c r="F1330" s="17" t="str">
        <f>INDEX(nrg_cb_e!$A$3:$A$40,MATCH(LEFT(MID('Industriesektor GWh'!$B1330,41,1000),SEARCH(" - ",MID('Industriesektor GWh'!$B1330,41,1000))-1),nrg_cb_e!$C$3:$C$40,0))</f>
        <v>FC_IND_CPC_E</v>
      </c>
      <c r="G1330" s="18">
        <v>2102</v>
      </c>
    </row>
    <row r="1331" spans="1:7" x14ac:dyDescent="0.2">
      <c r="A1331" s="19" t="s">
        <v>45</v>
      </c>
      <c r="B1331" s="20" t="s">
        <v>63</v>
      </c>
      <c r="C1331" s="20" t="s">
        <v>8</v>
      </c>
      <c r="D1331" s="20" t="s">
        <v>10</v>
      </c>
      <c r="E1331" s="20" t="s">
        <v>15</v>
      </c>
      <c r="F1331" s="20" t="str">
        <f>INDEX(nrg_cb_e!$A$3:$A$40,MATCH(LEFT(MID('Industriesektor GWh'!$B1331,41,1000),SEARCH(" - ",MID('Industriesektor GWh'!$B1331,41,1000))-1),nrg_cb_e!$C$3:$C$40,0))</f>
        <v>FC_IND_CPC_E</v>
      </c>
      <c r="G1331" s="21">
        <v>2127</v>
      </c>
    </row>
    <row r="1332" spans="1:7" x14ac:dyDescent="0.2">
      <c r="A1332" s="16" t="s">
        <v>45</v>
      </c>
      <c r="B1332" s="17" t="s">
        <v>63</v>
      </c>
      <c r="C1332" s="17" t="s">
        <v>8</v>
      </c>
      <c r="D1332" s="17" t="s">
        <v>10</v>
      </c>
      <c r="E1332" s="17" t="s">
        <v>16</v>
      </c>
      <c r="F1332" s="17" t="str">
        <f>INDEX(nrg_cb_e!$A$3:$A$40,MATCH(LEFT(MID('Industriesektor GWh'!$B1332,41,1000),SEARCH(" - ",MID('Industriesektor GWh'!$B1332,41,1000))-1),nrg_cb_e!$C$3:$C$40,0))</f>
        <v>FC_IND_CPC_E</v>
      </c>
      <c r="G1332" s="18">
        <v>2407</v>
      </c>
    </row>
    <row r="1333" spans="1:7" x14ac:dyDescent="0.2">
      <c r="A1333" s="19" t="s">
        <v>45</v>
      </c>
      <c r="B1333" s="20" t="s">
        <v>63</v>
      </c>
      <c r="C1333" s="20" t="s">
        <v>8</v>
      </c>
      <c r="D1333" s="20" t="s">
        <v>10</v>
      </c>
      <c r="E1333" s="20" t="s">
        <v>17</v>
      </c>
      <c r="F1333" s="20" t="str">
        <f>INDEX(nrg_cb_e!$A$3:$A$40,MATCH(LEFT(MID('Industriesektor GWh'!$B1333,41,1000),SEARCH(" - ",MID('Industriesektor GWh'!$B1333,41,1000))-1),nrg_cb_e!$C$3:$C$40,0))</f>
        <v>FC_IND_CPC_E</v>
      </c>
      <c r="G1333" s="21">
        <v>2640</v>
      </c>
    </row>
    <row r="1334" spans="1:7" x14ac:dyDescent="0.2">
      <c r="A1334" s="16" t="s">
        <v>45</v>
      </c>
      <c r="B1334" s="17" t="s">
        <v>63</v>
      </c>
      <c r="C1334" s="17" t="s">
        <v>8</v>
      </c>
      <c r="D1334" s="17" t="s">
        <v>10</v>
      </c>
      <c r="E1334" s="17" t="s">
        <v>18</v>
      </c>
      <c r="F1334" s="17" t="str">
        <f>INDEX(nrg_cb_e!$A$3:$A$40,MATCH(LEFT(MID('Industriesektor GWh'!$B1334,41,1000),SEARCH(" - ",MID('Industriesektor GWh'!$B1334,41,1000))-1),nrg_cb_e!$C$3:$C$40,0))</f>
        <v>FC_IND_CPC_E</v>
      </c>
      <c r="G1334" s="18">
        <v>2721</v>
      </c>
    </row>
    <row r="1335" spans="1:7" x14ac:dyDescent="0.2">
      <c r="A1335" s="19" t="s">
        <v>45</v>
      </c>
      <c r="B1335" s="20" t="s">
        <v>63</v>
      </c>
      <c r="C1335" s="20" t="s">
        <v>8</v>
      </c>
      <c r="D1335" s="20" t="s">
        <v>10</v>
      </c>
      <c r="E1335" s="20" t="s">
        <v>19</v>
      </c>
      <c r="F1335" s="20" t="str">
        <f>INDEX(nrg_cb_e!$A$3:$A$40,MATCH(LEFT(MID('Industriesektor GWh'!$B1335,41,1000),SEARCH(" - ",MID('Industriesektor GWh'!$B1335,41,1000))-1),nrg_cb_e!$C$3:$C$40,0))</f>
        <v>FC_IND_CPC_E</v>
      </c>
      <c r="G1335" s="21">
        <v>2164</v>
      </c>
    </row>
    <row r="1336" spans="1:7" x14ac:dyDescent="0.2">
      <c r="A1336" s="16" t="s">
        <v>45</v>
      </c>
      <c r="B1336" s="17" t="s">
        <v>63</v>
      </c>
      <c r="C1336" s="17" t="s">
        <v>8</v>
      </c>
      <c r="D1336" s="17" t="s">
        <v>10</v>
      </c>
      <c r="E1336" s="17" t="s">
        <v>20</v>
      </c>
      <c r="F1336" s="17" t="str">
        <f>INDEX(nrg_cb_e!$A$3:$A$40,MATCH(LEFT(MID('Industriesektor GWh'!$B1336,41,1000),SEARCH(" - ",MID('Industriesektor GWh'!$B1336,41,1000))-1),nrg_cb_e!$C$3:$C$40,0))</f>
        <v>FC_IND_CPC_E</v>
      </c>
      <c r="G1336" s="18">
        <v>2315</v>
      </c>
    </row>
    <row r="1337" spans="1:7" x14ac:dyDescent="0.2">
      <c r="A1337" s="19" t="s">
        <v>45</v>
      </c>
      <c r="B1337" s="20" t="s">
        <v>63</v>
      </c>
      <c r="C1337" s="20" t="s">
        <v>8</v>
      </c>
      <c r="D1337" s="20" t="s">
        <v>10</v>
      </c>
      <c r="E1337" s="20" t="s">
        <v>21</v>
      </c>
      <c r="F1337" s="20" t="str">
        <f>INDEX(nrg_cb_e!$A$3:$A$40,MATCH(LEFT(MID('Industriesektor GWh'!$B1337,41,1000),SEARCH(" - ",MID('Industriesektor GWh'!$B1337,41,1000))-1),nrg_cb_e!$C$3:$C$40,0))</f>
        <v>FC_IND_CPC_E</v>
      </c>
      <c r="G1337" s="21">
        <v>2338</v>
      </c>
    </row>
    <row r="1338" spans="1:7" x14ac:dyDescent="0.2">
      <c r="A1338" s="16" t="s">
        <v>45</v>
      </c>
      <c r="B1338" s="17" t="s">
        <v>63</v>
      </c>
      <c r="C1338" s="17" t="s">
        <v>8</v>
      </c>
      <c r="D1338" s="17" t="s">
        <v>10</v>
      </c>
      <c r="E1338" s="17" t="s">
        <v>22</v>
      </c>
      <c r="F1338" s="17" t="str">
        <f>INDEX(nrg_cb_e!$A$3:$A$40,MATCH(LEFT(MID('Industriesektor GWh'!$B1338,41,1000),SEARCH(" - ",MID('Industriesektor GWh'!$B1338,41,1000))-1),nrg_cb_e!$C$3:$C$40,0))</f>
        <v>FC_IND_CPC_E</v>
      </c>
      <c r="G1338" s="18">
        <v>2828</v>
      </c>
    </row>
    <row r="1339" spans="1:7" x14ac:dyDescent="0.2">
      <c r="A1339" s="19" t="s">
        <v>45</v>
      </c>
      <c r="B1339" s="20" t="s">
        <v>63</v>
      </c>
      <c r="C1339" s="20" t="s">
        <v>8</v>
      </c>
      <c r="D1339" s="20" t="s">
        <v>10</v>
      </c>
      <c r="E1339" s="20" t="s">
        <v>23</v>
      </c>
      <c r="F1339" s="20" t="str">
        <f>INDEX(nrg_cb_e!$A$3:$A$40,MATCH(LEFT(MID('Industriesektor GWh'!$B1339,41,1000),SEARCH(" - ",MID('Industriesektor GWh'!$B1339,41,1000))-1),nrg_cb_e!$C$3:$C$40,0))</f>
        <v>FC_IND_CPC_E</v>
      </c>
      <c r="G1339" s="21">
        <v>3050</v>
      </c>
    </row>
    <row r="1340" spans="1:7" x14ac:dyDescent="0.2">
      <c r="A1340" s="16" t="s">
        <v>45</v>
      </c>
      <c r="B1340" s="17" t="s">
        <v>63</v>
      </c>
      <c r="C1340" s="17" t="s">
        <v>8</v>
      </c>
      <c r="D1340" s="17" t="s">
        <v>10</v>
      </c>
      <c r="E1340" s="17" t="s">
        <v>24</v>
      </c>
      <c r="F1340" s="17" t="str">
        <f>INDEX(nrg_cb_e!$A$3:$A$40,MATCH(LEFT(MID('Industriesektor GWh'!$B1340,41,1000),SEARCH(" - ",MID('Industriesektor GWh'!$B1340,41,1000))-1),nrg_cb_e!$C$3:$C$40,0))</f>
        <v>FC_IND_CPC_E</v>
      </c>
      <c r="G1340" s="18">
        <v>3197</v>
      </c>
    </row>
    <row r="1341" spans="1:7" x14ac:dyDescent="0.2">
      <c r="A1341" s="19" t="s">
        <v>45</v>
      </c>
      <c r="B1341" s="20" t="s">
        <v>63</v>
      </c>
      <c r="C1341" s="20" t="s">
        <v>8</v>
      </c>
      <c r="D1341" s="20" t="s">
        <v>10</v>
      </c>
      <c r="E1341" s="20" t="s">
        <v>25</v>
      </c>
      <c r="F1341" s="20" t="str">
        <f>INDEX(nrg_cb_e!$A$3:$A$40,MATCH(LEFT(MID('Industriesektor GWh'!$B1341,41,1000),SEARCH(" - ",MID('Industriesektor GWh'!$B1341,41,1000))-1),nrg_cb_e!$C$3:$C$40,0))</f>
        <v>FC_IND_CPC_E</v>
      </c>
      <c r="G1341" s="21">
        <v>3277</v>
      </c>
    </row>
    <row r="1342" spans="1:7" x14ac:dyDescent="0.2">
      <c r="A1342" s="16" t="s">
        <v>45</v>
      </c>
      <c r="B1342" s="17" t="s">
        <v>63</v>
      </c>
      <c r="C1342" s="17" t="s">
        <v>8</v>
      </c>
      <c r="D1342" s="17" t="s">
        <v>10</v>
      </c>
      <c r="E1342" s="17" t="s">
        <v>26</v>
      </c>
      <c r="F1342" s="17" t="str">
        <f>INDEX(nrg_cb_e!$A$3:$A$40,MATCH(LEFT(MID('Industriesektor GWh'!$B1342,41,1000),SEARCH(" - ",MID('Industriesektor GWh'!$B1342,41,1000))-1),nrg_cb_e!$C$3:$C$40,0))</f>
        <v>FC_IND_CPC_E</v>
      </c>
      <c r="G1342" s="18">
        <v>3271</v>
      </c>
    </row>
    <row r="1343" spans="1:7" x14ac:dyDescent="0.2">
      <c r="A1343" s="19" t="s">
        <v>45</v>
      </c>
      <c r="B1343" s="20" t="s">
        <v>63</v>
      </c>
      <c r="C1343" s="20" t="s">
        <v>8</v>
      </c>
      <c r="D1343" s="20" t="s">
        <v>10</v>
      </c>
      <c r="E1343" s="20" t="s">
        <v>27</v>
      </c>
      <c r="F1343" s="20" t="str">
        <f>INDEX(nrg_cb_e!$A$3:$A$40,MATCH(LEFT(MID('Industriesektor GWh'!$B1343,41,1000),SEARCH(" - ",MID('Industriesektor GWh'!$B1343,41,1000))-1),nrg_cb_e!$C$3:$C$40,0))</f>
        <v>FC_IND_CPC_E</v>
      </c>
      <c r="G1343" s="21">
        <v>3372</v>
      </c>
    </row>
    <row r="1344" spans="1:7" x14ac:dyDescent="0.2">
      <c r="A1344" s="16" t="s">
        <v>45</v>
      </c>
      <c r="B1344" s="17" t="s">
        <v>63</v>
      </c>
      <c r="C1344" s="17" t="s">
        <v>8</v>
      </c>
      <c r="D1344" s="17" t="s">
        <v>10</v>
      </c>
      <c r="E1344" s="17" t="s">
        <v>28</v>
      </c>
      <c r="F1344" s="17" t="str">
        <f>INDEX(nrg_cb_e!$A$3:$A$40,MATCH(LEFT(MID('Industriesektor GWh'!$B1344,41,1000),SEARCH(" - ",MID('Industriesektor GWh'!$B1344,41,1000))-1),nrg_cb_e!$C$3:$C$40,0))</f>
        <v>FC_IND_CPC_E</v>
      </c>
      <c r="G1344" s="18">
        <v>3333</v>
      </c>
    </row>
    <row r="1345" spans="1:7" x14ac:dyDescent="0.2">
      <c r="A1345" s="19" t="s">
        <v>46</v>
      </c>
      <c r="B1345" s="20" t="s">
        <v>63</v>
      </c>
      <c r="C1345" s="20" t="s">
        <v>8</v>
      </c>
      <c r="D1345" s="20" t="s">
        <v>10</v>
      </c>
      <c r="E1345" s="20" t="s">
        <v>12</v>
      </c>
      <c r="F1345" s="20" t="str">
        <f>INDEX(nrg_cb_e!$A$3:$A$40,MATCH(LEFT(MID('Industriesektor GWh'!$B1345,41,1000),SEARCH(" - ",MID('Industriesektor GWh'!$B1345,41,1000))-1),nrg_cb_e!$C$3:$C$40,0))</f>
        <v>FC_IND_CPC_E</v>
      </c>
      <c r="G1345" s="21">
        <v>0</v>
      </c>
    </row>
    <row r="1346" spans="1:7" x14ac:dyDescent="0.2">
      <c r="A1346" s="16" t="s">
        <v>46</v>
      </c>
      <c r="B1346" s="17" t="s">
        <v>63</v>
      </c>
      <c r="C1346" s="17" t="s">
        <v>8</v>
      </c>
      <c r="D1346" s="17" t="s">
        <v>10</v>
      </c>
      <c r="E1346" s="17" t="s">
        <v>13</v>
      </c>
      <c r="F1346" s="17" t="str">
        <f>INDEX(nrg_cb_e!$A$3:$A$40,MATCH(LEFT(MID('Industriesektor GWh'!$B1346,41,1000),SEARCH(" - ",MID('Industriesektor GWh'!$B1346,41,1000))-1),nrg_cb_e!$C$3:$C$40,0))</f>
        <v>FC_IND_CPC_E</v>
      </c>
      <c r="G1346" s="18">
        <v>0</v>
      </c>
    </row>
    <row r="1347" spans="1:7" x14ac:dyDescent="0.2">
      <c r="A1347" s="19" t="s">
        <v>46</v>
      </c>
      <c r="B1347" s="20" t="s">
        <v>63</v>
      </c>
      <c r="C1347" s="20" t="s">
        <v>8</v>
      </c>
      <c r="D1347" s="20" t="s">
        <v>10</v>
      </c>
      <c r="E1347" s="20" t="s">
        <v>14</v>
      </c>
      <c r="F1347" s="20" t="str">
        <f>INDEX(nrg_cb_e!$A$3:$A$40,MATCH(LEFT(MID('Industriesektor GWh'!$B1347,41,1000),SEARCH(" - ",MID('Industriesektor GWh'!$B1347,41,1000))-1),nrg_cb_e!$C$3:$C$40,0))</f>
        <v>FC_IND_CPC_E</v>
      </c>
      <c r="G1347" s="21">
        <v>0</v>
      </c>
    </row>
    <row r="1348" spans="1:7" x14ac:dyDescent="0.2">
      <c r="A1348" s="16" t="s">
        <v>46</v>
      </c>
      <c r="B1348" s="17" t="s">
        <v>63</v>
      </c>
      <c r="C1348" s="17" t="s">
        <v>8</v>
      </c>
      <c r="D1348" s="17" t="s">
        <v>10</v>
      </c>
      <c r="E1348" s="17" t="s">
        <v>15</v>
      </c>
      <c r="F1348" s="17" t="str">
        <f>INDEX(nrg_cb_e!$A$3:$A$40,MATCH(LEFT(MID('Industriesektor GWh'!$B1348,41,1000),SEARCH(" - ",MID('Industriesektor GWh'!$B1348,41,1000))-1),nrg_cb_e!$C$3:$C$40,0))</f>
        <v>FC_IND_CPC_E</v>
      </c>
      <c r="G1348" s="18">
        <v>0</v>
      </c>
    </row>
    <row r="1349" spans="1:7" x14ac:dyDescent="0.2">
      <c r="A1349" s="19" t="s">
        <v>46</v>
      </c>
      <c r="B1349" s="20" t="s">
        <v>63</v>
      </c>
      <c r="C1349" s="20" t="s">
        <v>8</v>
      </c>
      <c r="D1349" s="20" t="s">
        <v>10</v>
      </c>
      <c r="E1349" s="20" t="s">
        <v>16</v>
      </c>
      <c r="F1349" s="20" t="str">
        <f>INDEX(nrg_cb_e!$A$3:$A$40,MATCH(LEFT(MID('Industriesektor GWh'!$B1349,41,1000),SEARCH(" - ",MID('Industriesektor GWh'!$B1349,41,1000))-1),nrg_cb_e!$C$3:$C$40,0))</f>
        <v>FC_IND_CPC_E</v>
      </c>
      <c r="G1349" s="21">
        <v>0</v>
      </c>
    </row>
    <row r="1350" spans="1:7" x14ac:dyDescent="0.2">
      <c r="A1350" s="16" t="s">
        <v>46</v>
      </c>
      <c r="B1350" s="17" t="s">
        <v>63</v>
      </c>
      <c r="C1350" s="17" t="s">
        <v>8</v>
      </c>
      <c r="D1350" s="17" t="s">
        <v>10</v>
      </c>
      <c r="E1350" s="17" t="s">
        <v>17</v>
      </c>
      <c r="F1350" s="17" t="str">
        <f>INDEX(nrg_cb_e!$A$3:$A$40,MATCH(LEFT(MID('Industriesektor GWh'!$B1350,41,1000),SEARCH(" - ",MID('Industriesektor GWh'!$B1350,41,1000))-1),nrg_cb_e!$C$3:$C$40,0))</f>
        <v>FC_IND_CPC_E</v>
      </c>
      <c r="G1350" s="18">
        <v>0</v>
      </c>
    </row>
    <row r="1351" spans="1:7" x14ac:dyDescent="0.2">
      <c r="A1351" s="19" t="s">
        <v>46</v>
      </c>
      <c r="B1351" s="20" t="s">
        <v>63</v>
      </c>
      <c r="C1351" s="20" t="s">
        <v>8</v>
      </c>
      <c r="D1351" s="20" t="s">
        <v>10</v>
      </c>
      <c r="E1351" s="20" t="s">
        <v>18</v>
      </c>
      <c r="F1351" s="20" t="str">
        <f>INDEX(nrg_cb_e!$A$3:$A$40,MATCH(LEFT(MID('Industriesektor GWh'!$B1351,41,1000),SEARCH(" - ",MID('Industriesektor GWh'!$B1351,41,1000))-1),nrg_cb_e!$C$3:$C$40,0))</f>
        <v>FC_IND_CPC_E</v>
      </c>
      <c r="G1351" s="21">
        <v>0</v>
      </c>
    </row>
    <row r="1352" spans="1:7" x14ac:dyDescent="0.2">
      <c r="A1352" s="16" t="s">
        <v>46</v>
      </c>
      <c r="B1352" s="17" t="s">
        <v>63</v>
      </c>
      <c r="C1352" s="17" t="s">
        <v>8</v>
      </c>
      <c r="D1352" s="17" t="s">
        <v>10</v>
      </c>
      <c r="E1352" s="17" t="s">
        <v>19</v>
      </c>
      <c r="F1352" s="17" t="str">
        <f>INDEX(nrg_cb_e!$A$3:$A$40,MATCH(LEFT(MID('Industriesektor GWh'!$B1352,41,1000),SEARCH(" - ",MID('Industriesektor GWh'!$B1352,41,1000))-1),nrg_cb_e!$C$3:$C$40,0))</f>
        <v>FC_IND_CPC_E</v>
      </c>
      <c r="G1352" s="18">
        <v>0</v>
      </c>
    </row>
    <row r="1353" spans="1:7" x14ac:dyDescent="0.2">
      <c r="A1353" s="19" t="s">
        <v>46</v>
      </c>
      <c r="B1353" s="20" t="s">
        <v>63</v>
      </c>
      <c r="C1353" s="20" t="s">
        <v>8</v>
      </c>
      <c r="D1353" s="20" t="s">
        <v>10</v>
      </c>
      <c r="E1353" s="20" t="s">
        <v>20</v>
      </c>
      <c r="F1353" s="20" t="str">
        <f>INDEX(nrg_cb_e!$A$3:$A$40,MATCH(LEFT(MID('Industriesektor GWh'!$B1353,41,1000),SEARCH(" - ",MID('Industriesektor GWh'!$B1353,41,1000))-1),nrg_cb_e!$C$3:$C$40,0))</f>
        <v>FC_IND_CPC_E</v>
      </c>
      <c r="G1353" s="21">
        <v>38</v>
      </c>
    </row>
    <row r="1354" spans="1:7" x14ac:dyDescent="0.2">
      <c r="A1354" s="16" t="s">
        <v>46</v>
      </c>
      <c r="B1354" s="17" t="s">
        <v>63</v>
      </c>
      <c r="C1354" s="17" t="s">
        <v>8</v>
      </c>
      <c r="D1354" s="17" t="s">
        <v>10</v>
      </c>
      <c r="E1354" s="17" t="s">
        <v>21</v>
      </c>
      <c r="F1354" s="17" t="str">
        <f>INDEX(nrg_cb_e!$A$3:$A$40,MATCH(LEFT(MID('Industriesektor GWh'!$B1354,41,1000),SEARCH(" - ",MID('Industriesektor GWh'!$B1354,41,1000))-1),nrg_cb_e!$C$3:$C$40,0))</f>
        <v>FC_IND_CPC_E</v>
      </c>
      <c r="G1354" s="18">
        <v>38</v>
      </c>
    </row>
    <row r="1355" spans="1:7" x14ac:dyDescent="0.2">
      <c r="A1355" s="19" t="s">
        <v>46</v>
      </c>
      <c r="B1355" s="20" t="s">
        <v>63</v>
      </c>
      <c r="C1355" s="20" t="s">
        <v>8</v>
      </c>
      <c r="D1355" s="20" t="s">
        <v>10</v>
      </c>
      <c r="E1355" s="20" t="s">
        <v>22</v>
      </c>
      <c r="F1355" s="20" t="str">
        <f>INDEX(nrg_cb_e!$A$3:$A$40,MATCH(LEFT(MID('Industriesektor GWh'!$B1355,41,1000),SEARCH(" - ",MID('Industriesektor GWh'!$B1355,41,1000))-1),nrg_cb_e!$C$3:$C$40,0))</f>
        <v>FC_IND_CPC_E</v>
      </c>
      <c r="G1355" s="21">
        <v>40</v>
      </c>
    </row>
    <row r="1356" spans="1:7" x14ac:dyDescent="0.2">
      <c r="A1356" s="16" t="s">
        <v>46</v>
      </c>
      <c r="B1356" s="17" t="s">
        <v>63</v>
      </c>
      <c r="C1356" s="17" t="s">
        <v>8</v>
      </c>
      <c r="D1356" s="17" t="s">
        <v>10</v>
      </c>
      <c r="E1356" s="17" t="s">
        <v>23</v>
      </c>
      <c r="F1356" s="17" t="str">
        <f>INDEX(nrg_cb_e!$A$3:$A$40,MATCH(LEFT(MID('Industriesektor GWh'!$B1356,41,1000),SEARCH(" - ",MID('Industriesektor GWh'!$B1356,41,1000))-1),nrg_cb_e!$C$3:$C$40,0))</f>
        <v>FC_IND_CPC_E</v>
      </c>
      <c r="G1356" s="18">
        <v>40</v>
      </c>
    </row>
    <row r="1357" spans="1:7" x14ac:dyDescent="0.2">
      <c r="A1357" s="19" t="s">
        <v>46</v>
      </c>
      <c r="B1357" s="20" t="s">
        <v>63</v>
      </c>
      <c r="C1357" s="20" t="s">
        <v>8</v>
      </c>
      <c r="D1357" s="20" t="s">
        <v>10</v>
      </c>
      <c r="E1357" s="20" t="s">
        <v>24</v>
      </c>
      <c r="F1357" s="20" t="str">
        <f>INDEX(nrg_cb_e!$A$3:$A$40,MATCH(LEFT(MID('Industriesektor GWh'!$B1357,41,1000),SEARCH(" - ",MID('Industriesektor GWh'!$B1357,41,1000))-1),nrg_cb_e!$C$3:$C$40,0))</f>
        <v>FC_IND_CPC_E</v>
      </c>
      <c r="G1357" s="21">
        <v>41</v>
      </c>
    </row>
    <row r="1358" spans="1:7" x14ac:dyDescent="0.2">
      <c r="A1358" s="16" t="s">
        <v>46</v>
      </c>
      <c r="B1358" s="17" t="s">
        <v>63</v>
      </c>
      <c r="C1358" s="17" t="s">
        <v>8</v>
      </c>
      <c r="D1358" s="17" t="s">
        <v>10</v>
      </c>
      <c r="E1358" s="17" t="s">
        <v>25</v>
      </c>
      <c r="F1358" s="17" t="str">
        <f>INDEX(nrg_cb_e!$A$3:$A$40,MATCH(LEFT(MID('Industriesektor GWh'!$B1358,41,1000),SEARCH(" - ",MID('Industriesektor GWh'!$B1358,41,1000))-1),nrg_cb_e!$C$3:$C$40,0))</f>
        <v>FC_IND_CPC_E</v>
      </c>
      <c r="G1358" s="18">
        <v>41</v>
      </c>
    </row>
    <row r="1359" spans="1:7" x14ac:dyDescent="0.2">
      <c r="A1359" s="19" t="s">
        <v>46</v>
      </c>
      <c r="B1359" s="20" t="s">
        <v>63</v>
      </c>
      <c r="C1359" s="20" t="s">
        <v>8</v>
      </c>
      <c r="D1359" s="20" t="s">
        <v>10</v>
      </c>
      <c r="E1359" s="20" t="s">
        <v>26</v>
      </c>
      <c r="F1359" s="20" t="str">
        <f>INDEX(nrg_cb_e!$A$3:$A$40,MATCH(LEFT(MID('Industriesektor GWh'!$B1359,41,1000),SEARCH(" - ",MID('Industriesektor GWh'!$B1359,41,1000))-1),nrg_cb_e!$C$3:$C$40,0))</f>
        <v>FC_IND_CPC_E</v>
      </c>
      <c r="G1359" s="21">
        <v>45</v>
      </c>
    </row>
    <row r="1360" spans="1:7" x14ac:dyDescent="0.2">
      <c r="A1360" s="16" t="s">
        <v>46</v>
      </c>
      <c r="B1360" s="17" t="s">
        <v>63</v>
      </c>
      <c r="C1360" s="17" t="s">
        <v>8</v>
      </c>
      <c r="D1360" s="17" t="s">
        <v>10</v>
      </c>
      <c r="E1360" s="17" t="s">
        <v>27</v>
      </c>
      <c r="F1360" s="17" t="str">
        <f>INDEX(nrg_cb_e!$A$3:$A$40,MATCH(LEFT(MID('Industriesektor GWh'!$B1360,41,1000),SEARCH(" - ",MID('Industriesektor GWh'!$B1360,41,1000))-1),nrg_cb_e!$C$3:$C$40,0))</f>
        <v>FC_IND_CPC_E</v>
      </c>
      <c r="G1360" s="18">
        <v>50.593000000000004</v>
      </c>
    </row>
    <row r="1361" spans="1:7" x14ac:dyDescent="0.2">
      <c r="A1361" s="19" t="s">
        <v>46</v>
      </c>
      <c r="B1361" s="20" t="s">
        <v>63</v>
      </c>
      <c r="C1361" s="20" t="s">
        <v>8</v>
      </c>
      <c r="D1361" s="20" t="s">
        <v>10</v>
      </c>
      <c r="E1361" s="20" t="s">
        <v>28</v>
      </c>
      <c r="F1361" s="20" t="str">
        <f>INDEX(nrg_cb_e!$A$3:$A$40,MATCH(LEFT(MID('Industriesektor GWh'!$B1361,41,1000),SEARCH(" - ",MID('Industriesektor GWh'!$B1361,41,1000))-1),nrg_cb_e!$C$3:$C$40,0))</f>
        <v>FC_IND_CPC_E</v>
      </c>
      <c r="G1361" s="21">
        <v>47.232999999999997</v>
      </c>
    </row>
    <row r="1362" spans="1:7" x14ac:dyDescent="0.2">
      <c r="A1362" s="16" t="s">
        <v>47</v>
      </c>
      <c r="B1362" s="17" t="s">
        <v>63</v>
      </c>
      <c r="C1362" s="17" t="s">
        <v>8</v>
      </c>
      <c r="D1362" s="17" t="s">
        <v>10</v>
      </c>
      <c r="E1362" s="17" t="s">
        <v>12</v>
      </c>
      <c r="F1362" s="17" t="str">
        <f>INDEX(nrg_cb_e!$A$3:$A$40,MATCH(LEFT(MID('Industriesektor GWh'!$B1362,41,1000),SEARCH(" - ",MID('Industriesektor GWh'!$B1362,41,1000))-1),nrg_cb_e!$C$3:$C$40,0))</f>
        <v>FC_IND_CPC_E</v>
      </c>
      <c r="G1362" s="18">
        <v>12198</v>
      </c>
    </row>
    <row r="1363" spans="1:7" x14ac:dyDescent="0.2">
      <c r="A1363" s="19" t="s">
        <v>47</v>
      </c>
      <c r="B1363" s="20" t="s">
        <v>63</v>
      </c>
      <c r="C1363" s="20" t="s">
        <v>8</v>
      </c>
      <c r="D1363" s="20" t="s">
        <v>10</v>
      </c>
      <c r="E1363" s="20" t="s">
        <v>13</v>
      </c>
      <c r="F1363" s="20" t="str">
        <f>INDEX(nrg_cb_e!$A$3:$A$40,MATCH(LEFT(MID('Industriesektor GWh'!$B1363,41,1000),SEARCH(" - ",MID('Industriesektor GWh'!$B1363,41,1000))-1),nrg_cb_e!$C$3:$C$40,0))</f>
        <v>FC_IND_CPC_E</v>
      </c>
      <c r="G1363" s="21">
        <v>12228</v>
      </c>
    </row>
    <row r="1364" spans="1:7" x14ac:dyDescent="0.2">
      <c r="A1364" s="16" t="s">
        <v>47</v>
      </c>
      <c r="B1364" s="17" t="s">
        <v>63</v>
      </c>
      <c r="C1364" s="17" t="s">
        <v>8</v>
      </c>
      <c r="D1364" s="17" t="s">
        <v>10</v>
      </c>
      <c r="E1364" s="17" t="s">
        <v>14</v>
      </c>
      <c r="F1364" s="17" t="str">
        <f>INDEX(nrg_cb_e!$A$3:$A$40,MATCH(LEFT(MID('Industriesektor GWh'!$B1364,41,1000),SEARCH(" - ",MID('Industriesektor GWh'!$B1364,41,1000))-1),nrg_cb_e!$C$3:$C$40,0))</f>
        <v>FC_IND_CPC_E</v>
      </c>
      <c r="G1364" s="18">
        <v>12385</v>
      </c>
    </row>
    <row r="1365" spans="1:7" x14ac:dyDescent="0.2">
      <c r="A1365" s="19" t="s">
        <v>47</v>
      </c>
      <c r="B1365" s="20" t="s">
        <v>63</v>
      </c>
      <c r="C1365" s="20" t="s">
        <v>8</v>
      </c>
      <c r="D1365" s="20" t="s">
        <v>10</v>
      </c>
      <c r="E1365" s="20" t="s">
        <v>15</v>
      </c>
      <c r="F1365" s="20" t="str">
        <f>INDEX(nrg_cb_e!$A$3:$A$40,MATCH(LEFT(MID('Industriesektor GWh'!$B1365,41,1000),SEARCH(" - ",MID('Industriesektor GWh'!$B1365,41,1000))-1),nrg_cb_e!$C$3:$C$40,0))</f>
        <v>FC_IND_CPC_E</v>
      </c>
      <c r="G1365" s="21">
        <v>12626</v>
      </c>
    </row>
    <row r="1366" spans="1:7" x14ac:dyDescent="0.2">
      <c r="A1366" s="16" t="s">
        <v>47</v>
      </c>
      <c r="B1366" s="17" t="s">
        <v>63</v>
      </c>
      <c r="C1366" s="17" t="s">
        <v>8</v>
      </c>
      <c r="D1366" s="17" t="s">
        <v>10</v>
      </c>
      <c r="E1366" s="17" t="s">
        <v>16</v>
      </c>
      <c r="F1366" s="17" t="str">
        <f>INDEX(nrg_cb_e!$A$3:$A$40,MATCH(LEFT(MID('Industriesektor GWh'!$B1366,41,1000),SEARCH(" - ",MID('Industriesektor GWh'!$B1366,41,1000))-1),nrg_cb_e!$C$3:$C$40,0))</f>
        <v>FC_IND_CPC_E</v>
      </c>
      <c r="G1366" s="18">
        <v>12863</v>
      </c>
    </row>
    <row r="1367" spans="1:7" x14ac:dyDescent="0.2">
      <c r="A1367" s="19" t="s">
        <v>47</v>
      </c>
      <c r="B1367" s="20" t="s">
        <v>63</v>
      </c>
      <c r="C1367" s="20" t="s">
        <v>8</v>
      </c>
      <c r="D1367" s="20" t="s">
        <v>10</v>
      </c>
      <c r="E1367" s="20" t="s">
        <v>17</v>
      </c>
      <c r="F1367" s="20" t="str">
        <f>INDEX(nrg_cb_e!$A$3:$A$40,MATCH(LEFT(MID('Industriesektor GWh'!$B1367,41,1000),SEARCH(" - ",MID('Industriesektor GWh'!$B1367,41,1000))-1),nrg_cb_e!$C$3:$C$40,0))</f>
        <v>FC_IND_CPC_E</v>
      </c>
      <c r="G1367" s="21">
        <v>13160</v>
      </c>
    </row>
    <row r="1368" spans="1:7" x14ac:dyDescent="0.2">
      <c r="A1368" s="16" t="s">
        <v>47</v>
      </c>
      <c r="B1368" s="17" t="s">
        <v>63</v>
      </c>
      <c r="C1368" s="17" t="s">
        <v>8</v>
      </c>
      <c r="D1368" s="17" t="s">
        <v>10</v>
      </c>
      <c r="E1368" s="17" t="s">
        <v>18</v>
      </c>
      <c r="F1368" s="17" t="str">
        <f>INDEX(nrg_cb_e!$A$3:$A$40,MATCH(LEFT(MID('Industriesektor GWh'!$B1368,41,1000),SEARCH(" - ",MID('Industriesektor GWh'!$B1368,41,1000))-1),nrg_cb_e!$C$3:$C$40,0))</f>
        <v>FC_IND_CPC_E</v>
      </c>
      <c r="G1368" s="18">
        <v>12520</v>
      </c>
    </row>
    <row r="1369" spans="1:7" x14ac:dyDescent="0.2">
      <c r="A1369" s="19" t="s">
        <v>47</v>
      </c>
      <c r="B1369" s="20" t="s">
        <v>63</v>
      </c>
      <c r="C1369" s="20" t="s">
        <v>8</v>
      </c>
      <c r="D1369" s="20" t="s">
        <v>10</v>
      </c>
      <c r="E1369" s="20" t="s">
        <v>19</v>
      </c>
      <c r="F1369" s="20" t="str">
        <f>INDEX(nrg_cb_e!$A$3:$A$40,MATCH(LEFT(MID('Industriesektor GWh'!$B1369,41,1000),SEARCH(" - ",MID('Industriesektor GWh'!$B1369,41,1000))-1),nrg_cb_e!$C$3:$C$40,0))</f>
        <v>FC_IND_CPC_E</v>
      </c>
      <c r="G1369" s="21">
        <v>12324</v>
      </c>
    </row>
    <row r="1370" spans="1:7" x14ac:dyDescent="0.2">
      <c r="A1370" s="16" t="s">
        <v>47</v>
      </c>
      <c r="B1370" s="17" t="s">
        <v>63</v>
      </c>
      <c r="C1370" s="17" t="s">
        <v>8</v>
      </c>
      <c r="D1370" s="17" t="s">
        <v>10</v>
      </c>
      <c r="E1370" s="17" t="s">
        <v>20</v>
      </c>
      <c r="F1370" s="17" t="str">
        <f>INDEX(nrg_cb_e!$A$3:$A$40,MATCH(LEFT(MID('Industriesektor GWh'!$B1370,41,1000),SEARCH(" - ",MID('Industriesektor GWh'!$B1370,41,1000))-1),nrg_cb_e!$C$3:$C$40,0))</f>
        <v>FC_IND_CPC_E</v>
      </c>
      <c r="G1370" s="18">
        <v>13218</v>
      </c>
    </row>
    <row r="1371" spans="1:7" x14ac:dyDescent="0.2">
      <c r="A1371" s="19" t="s">
        <v>47</v>
      </c>
      <c r="B1371" s="20" t="s">
        <v>63</v>
      </c>
      <c r="C1371" s="20" t="s">
        <v>8</v>
      </c>
      <c r="D1371" s="20" t="s">
        <v>10</v>
      </c>
      <c r="E1371" s="20" t="s">
        <v>21</v>
      </c>
      <c r="F1371" s="20" t="str">
        <f>INDEX(nrg_cb_e!$A$3:$A$40,MATCH(LEFT(MID('Industriesektor GWh'!$B1371,41,1000),SEARCH(" - ",MID('Industriesektor GWh'!$B1371,41,1000))-1),nrg_cb_e!$C$3:$C$40,0))</f>
        <v>FC_IND_CPC_E</v>
      </c>
      <c r="G1371" s="21">
        <v>12990</v>
      </c>
    </row>
    <row r="1372" spans="1:7" x14ac:dyDescent="0.2">
      <c r="A1372" s="16" t="s">
        <v>47</v>
      </c>
      <c r="B1372" s="17" t="s">
        <v>63</v>
      </c>
      <c r="C1372" s="17" t="s">
        <v>8</v>
      </c>
      <c r="D1372" s="17" t="s">
        <v>10</v>
      </c>
      <c r="E1372" s="17" t="s">
        <v>22</v>
      </c>
      <c r="F1372" s="17" t="str">
        <f>INDEX(nrg_cb_e!$A$3:$A$40,MATCH(LEFT(MID('Industriesektor GWh'!$B1372,41,1000),SEARCH(" - ",MID('Industriesektor GWh'!$B1372,41,1000))-1),nrg_cb_e!$C$3:$C$40,0))</f>
        <v>FC_IND_CPC_E</v>
      </c>
      <c r="G1372" s="18">
        <v>12484.800999999999</v>
      </c>
    </row>
    <row r="1373" spans="1:7" x14ac:dyDescent="0.2">
      <c r="A1373" s="19" t="s">
        <v>47</v>
      </c>
      <c r="B1373" s="20" t="s">
        <v>63</v>
      </c>
      <c r="C1373" s="20" t="s">
        <v>8</v>
      </c>
      <c r="D1373" s="20" t="s">
        <v>10</v>
      </c>
      <c r="E1373" s="20" t="s">
        <v>23</v>
      </c>
      <c r="F1373" s="20" t="str">
        <f>INDEX(nrg_cb_e!$A$3:$A$40,MATCH(LEFT(MID('Industriesektor GWh'!$B1373,41,1000),SEARCH(" - ",MID('Industriesektor GWh'!$B1373,41,1000))-1),nrg_cb_e!$C$3:$C$40,0))</f>
        <v>FC_IND_CPC_E</v>
      </c>
      <c r="G1373" s="21">
        <v>12560.067999999999</v>
      </c>
    </row>
    <row r="1374" spans="1:7" x14ac:dyDescent="0.2">
      <c r="A1374" s="16" t="s">
        <v>47</v>
      </c>
      <c r="B1374" s="17" t="s">
        <v>63</v>
      </c>
      <c r="C1374" s="17" t="s">
        <v>8</v>
      </c>
      <c r="D1374" s="17" t="s">
        <v>10</v>
      </c>
      <c r="E1374" s="17" t="s">
        <v>24</v>
      </c>
      <c r="F1374" s="17" t="str">
        <f>INDEX(nrg_cb_e!$A$3:$A$40,MATCH(LEFT(MID('Industriesektor GWh'!$B1374,41,1000),SEARCH(" - ",MID('Industriesektor GWh'!$B1374,41,1000))-1),nrg_cb_e!$C$3:$C$40,0))</f>
        <v>FC_IND_CPC_E</v>
      </c>
      <c r="G1374" s="18">
        <v>12202.724</v>
      </c>
    </row>
    <row r="1375" spans="1:7" x14ac:dyDescent="0.2">
      <c r="A1375" s="19" t="s">
        <v>47</v>
      </c>
      <c r="B1375" s="20" t="s">
        <v>63</v>
      </c>
      <c r="C1375" s="20" t="s">
        <v>8</v>
      </c>
      <c r="D1375" s="20" t="s">
        <v>10</v>
      </c>
      <c r="E1375" s="20" t="s">
        <v>25</v>
      </c>
      <c r="F1375" s="20" t="str">
        <f>INDEX(nrg_cb_e!$A$3:$A$40,MATCH(LEFT(MID('Industriesektor GWh'!$B1375,41,1000),SEARCH(" - ",MID('Industriesektor GWh'!$B1375,41,1000))-1),nrg_cb_e!$C$3:$C$40,0))</f>
        <v>FC_IND_CPC_E</v>
      </c>
      <c r="G1375" s="21">
        <v>12371.800999999999</v>
      </c>
    </row>
    <row r="1376" spans="1:7" x14ac:dyDescent="0.2">
      <c r="A1376" s="16" t="s">
        <v>47</v>
      </c>
      <c r="B1376" s="17" t="s">
        <v>63</v>
      </c>
      <c r="C1376" s="17" t="s">
        <v>8</v>
      </c>
      <c r="D1376" s="17" t="s">
        <v>10</v>
      </c>
      <c r="E1376" s="17" t="s">
        <v>26</v>
      </c>
      <c r="F1376" s="17" t="str">
        <f>INDEX(nrg_cb_e!$A$3:$A$40,MATCH(LEFT(MID('Industriesektor GWh'!$B1376,41,1000),SEARCH(" - ",MID('Industriesektor GWh'!$B1376,41,1000))-1),nrg_cb_e!$C$3:$C$40,0))</f>
        <v>FC_IND_CPC_E</v>
      </c>
      <c r="G1376" s="18">
        <v>12860.609</v>
      </c>
    </row>
    <row r="1377" spans="1:7" x14ac:dyDescent="0.2">
      <c r="A1377" s="19" t="s">
        <v>47</v>
      </c>
      <c r="B1377" s="20" t="s">
        <v>63</v>
      </c>
      <c r="C1377" s="20" t="s">
        <v>8</v>
      </c>
      <c r="D1377" s="20" t="s">
        <v>10</v>
      </c>
      <c r="E1377" s="20" t="s">
        <v>27</v>
      </c>
      <c r="F1377" s="20" t="str">
        <f>INDEX(nrg_cb_e!$A$3:$A$40,MATCH(LEFT(MID('Industriesektor GWh'!$B1377,41,1000),SEARCH(" - ",MID('Industriesektor GWh'!$B1377,41,1000))-1),nrg_cb_e!$C$3:$C$40,0))</f>
        <v>FC_IND_CPC_E</v>
      </c>
      <c r="G1377" s="21">
        <v>12842.906999999999</v>
      </c>
    </row>
    <row r="1378" spans="1:7" x14ac:dyDescent="0.2">
      <c r="A1378" s="16" t="s">
        <v>47</v>
      </c>
      <c r="B1378" s="17" t="s">
        <v>63</v>
      </c>
      <c r="C1378" s="17" t="s">
        <v>8</v>
      </c>
      <c r="D1378" s="17" t="s">
        <v>10</v>
      </c>
      <c r="E1378" s="17" t="s">
        <v>28</v>
      </c>
      <c r="F1378" s="17" t="str">
        <f>INDEX(nrg_cb_e!$A$3:$A$40,MATCH(LEFT(MID('Industriesektor GWh'!$B1378,41,1000),SEARCH(" - ",MID('Industriesektor GWh'!$B1378,41,1000))-1),nrg_cb_e!$C$3:$C$40,0))</f>
        <v>FC_IND_CPC_E</v>
      </c>
      <c r="G1378" s="18">
        <v>12925.1</v>
      </c>
    </row>
    <row r="1379" spans="1:7" x14ac:dyDescent="0.2">
      <c r="A1379" s="19" t="s">
        <v>48</v>
      </c>
      <c r="B1379" s="20" t="s">
        <v>63</v>
      </c>
      <c r="C1379" s="20" t="s">
        <v>8</v>
      </c>
      <c r="D1379" s="20" t="s">
        <v>10</v>
      </c>
      <c r="E1379" s="20" t="s">
        <v>12</v>
      </c>
      <c r="F1379" s="20" t="str">
        <f>INDEX(nrg_cb_e!$A$3:$A$40,MATCH(LEFT(MID('Industriesektor GWh'!$B1379,41,1000),SEARCH(" - ",MID('Industriesektor GWh'!$B1379,41,1000))-1),nrg_cb_e!$C$3:$C$40,0))</f>
        <v>FC_IND_CPC_E</v>
      </c>
      <c r="G1379" s="21">
        <v>3337</v>
      </c>
    </row>
    <row r="1380" spans="1:7" x14ac:dyDescent="0.2">
      <c r="A1380" s="16" t="s">
        <v>48</v>
      </c>
      <c r="B1380" s="17" t="s">
        <v>63</v>
      </c>
      <c r="C1380" s="17" t="s">
        <v>8</v>
      </c>
      <c r="D1380" s="17" t="s">
        <v>10</v>
      </c>
      <c r="E1380" s="17" t="s">
        <v>13</v>
      </c>
      <c r="F1380" s="17" t="str">
        <f>INDEX(nrg_cb_e!$A$3:$A$40,MATCH(LEFT(MID('Industriesektor GWh'!$B1380,41,1000),SEARCH(" - ",MID('Industriesektor GWh'!$B1380,41,1000))-1),nrg_cb_e!$C$3:$C$40,0))</f>
        <v>FC_IND_CPC_E</v>
      </c>
      <c r="G1380" s="18">
        <v>3360</v>
      </c>
    </row>
    <row r="1381" spans="1:7" x14ac:dyDescent="0.2">
      <c r="A1381" s="19" t="s">
        <v>48</v>
      </c>
      <c r="B1381" s="20" t="s">
        <v>63</v>
      </c>
      <c r="C1381" s="20" t="s">
        <v>8</v>
      </c>
      <c r="D1381" s="20" t="s">
        <v>10</v>
      </c>
      <c r="E1381" s="20" t="s">
        <v>14</v>
      </c>
      <c r="F1381" s="20" t="str">
        <f>INDEX(nrg_cb_e!$A$3:$A$40,MATCH(LEFT(MID('Industriesektor GWh'!$B1381,41,1000),SEARCH(" - ",MID('Industriesektor GWh'!$B1381,41,1000))-1),nrg_cb_e!$C$3:$C$40,0))</f>
        <v>FC_IND_CPC_E</v>
      </c>
      <c r="G1381" s="21">
        <v>3540</v>
      </c>
    </row>
    <row r="1382" spans="1:7" x14ac:dyDescent="0.2">
      <c r="A1382" s="16" t="s">
        <v>48</v>
      </c>
      <c r="B1382" s="17" t="s">
        <v>63</v>
      </c>
      <c r="C1382" s="17" t="s">
        <v>8</v>
      </c>
      <c r="D1382" s="17" t="s">
        <v>10</v>
      </c>
      <c r="E1382" s="17" t="s">
        <v>15</v>
      </c>
      <c r="F1382" s="17" t="str">
        <f>INDEX(nrg_cb_e!$A$3:$A$40,MATCH(LEFT(MID('Industriesektor GWh'!$B1382,41,1000),SEARCH(" - ",MID('Industriesektor GWh'!$B1382,41,1000))-1),nrg_cb_e!$C$3:$C$40,0))</f>
        <v>FC_IND_CPC_E</v>
      </c>
      <c r="G1382" s="18">
        <v>3569.8150000000001</v>
      </c>
    </row>
    <row r="1383" spans="1:7" x14ac:dyDescent="0.2">
      <c r="A1383" s="19" t="s">
        <v>48</v>
      </c>
      <c r="B1383" s="20" t="s">
        <v>63</v>
      </c>
      <c r="C1383" s="20" t="s">
        <v>8</v>
      </c>
      <c r="D1383" s="20" t="s">
        <v>10</v>
      </c>
      <c r="E1383" s="20" t="s">
        <v>16</v>
      </c>
      <c r="F1383" s="20" t="str">
        <f>INDEX(nrg_cb_e!$A$3:$A$40,MATCH(LEFT(MID('Industriesektor GWh'!$B1383,41,1000),SEARCH(" - ",MID('Industriesektor GWh'!$B1383,41,1000))-1),nrg_cb_e!$C$3:$C$40,0))</f>
        <v>FC_IND_CPC_E</v>
      </c>
      <c r="G1383" s="21">
        <v>3687.9569999999999</v>
      </c>
    </row>
    <row r="1384" spans="1:7" x14ac:dyDescent="0.2">
      <c r="A1384" s="16" t="s">
        <v>48</v>
      </c>
      <c r="B1384" s="17" t="s">
        <v>63</v>
      </c>
      <c r="C1384" s="17" t="s">
        <v>8</v>
      </c>
      <c r="D1384" s="17" t="s">
        <v>10</v>
      </c>
      <c r="E1384" s="17" t="s">
        <v>17</v>
      </c>
      <c r="F1384" s="17" t="str">
        <f>INDEX(nrg_cb_e!$A$3:$A$40,MATCH(LEFT(MID('Industriesektor GWh'!$B1384,41,1000),SEARCH(" - ",MID('Industriesektor GWh'!$B1384,41,1000))-1),nrg_cb_e!$C$3:$C$40,0))</f>
        <v>FC_IND_CPC_E</v>
      </c>
      <c r="G1384" s="18">
        <v>3865.489</v>
      </c>
    </row>
    <row r="1385" spans="1:7" x14ac:dyDescent="0.2">
      <c r="A1385" s="19" t="s">
        <v>48</v>
      </c>
      <c r="B1385" s="20" t="s">
        <v>63</v>
      </c>
      <c r="C1385" s="20" t="s">
        <v>8</v>
      </c>
      <c r="D1385" s="20" t="s">
        <v>10</v>
      </c>
      <c r="E1385" s="20" t="s">
        <v>18</v>
      </c>
      <c r="F1385" s="20" t="str">
        <f>INDEX(nrg_cb_e!$A$3:$A$40,MATCH(LEFT(MID('Industriesektor GWh'!$B1385,41,1000),SEARCH(" - ",MID('Industriesektor GWh'!$B1385,41,1000))-1),nrg_cb_e!$C$3:$C$40,0))</f>
        <v>FC_IND_CPC_E</v>
      </c>
      <c r="G1385" s="21">
        <v>3901.0309999999999</v>
      </c>
    </row>
    <row r="1386" spans="1:7" x14ac:dyDescent="0.2">
      <c r="A1386" s="16" t="s">
        <v>48</v>
      </c>
      <c r="B1386" s="17" t="s">
        <v>63</v>
      </c>
      <c r="C1386" s="17" t="s">
        <v>8</v>
      </c>
      <c r="D1386" s="17" t="s">
        <v>10</v>
      </c>
      <c r="E1386" s="17" t="s">
        <v>19</v>
      </c>
      <c r="F1386" s="17" t="str">
        <f>INDEX(nrg_cb_e!$A$3:$A$40,MATCH(LEFT(MID('Industriesektor GWh'!$B1386,41,1000),SEARCH(" - ",MID('Industriesektor GWh'!$B1386,41,1000))-1),nrg_cb_e!$C$3:$C$40,0))</f>
        <v>FC_IND_CPC_E</v>
      </c>
      <c r="G1386" s="18">
        <v>3944.5259999999998</v>
      </c>
    </row>
    <row r="1387" spans="1:7" x14ac:dyDescent="0.2">
      <c r="A1387" s="19" t="s">
        <v>48</v>
      </c>
      <c r="B1387" s="20" t="s">
        <v>63</v>
      </c>
      <c r="C1387" s="20" t="s">
        <v>8</v>
      </c>
      <c r="D1387" s="20" t="s">
        <v>10</v>
      </c>
      <c r="E1387" s="20" t="s">
        <v>20</v>
      </c>
      <c r="F1387" s="20" t="str">
        <f>INDEX(nrg_cb_e!$A$3:$A$40,MATCH(LEFT(MID('Industriesektor GWh'!$B1387,41,1000),SEARCH(" - ",MID('Industriesektor GWh'!$B1387,41,1000))-1),nrg_cb_e!$C$3:$C$40,0))</f>
        <v>FC_IND_CPC_E</v>
      </c>
      <c r="G1387" s="21">
        <v>4270.8220000000001</v>
      </c>
    </row>
    <row r="1388" spans="1:7" x14ac:dyDescent="0.2">
      <c r="A1388" s="16" t="s">
        <v>48</v>
      </c>
      <c r="B1388" s="17" t="s">
        <v>63</v>
      </c>
      <c r="C1388" s="17" t="s">
        <v>8</v>
      </c>
      <c r="D1388" s="17" t="s">
        <v>10</v>
      </c>
      <c r="E1388" s="17" t="s">
        <v>21</v>
      </c>
      <c r="F1388" s="17" t="str">
        <f>INDEX(nrg_cb_e!$A$3:$A$40,MATCH(LEFT(MID('Industriesektor GWh'!$B1388,41,1000),SEARCH(" - ",MID('Industriesektor GWh'!$B1388,41,1000))-1),nrg_cb_e!$C$3:$C$40,0))</f>
        <v>FC_IND_CPC_E</v>
      </c>
      <c r="G1388" s="18">
        <v>4267.4480000000003</v>
      </c>
    </row>
    <row r="1389" spans="1:7" x14ac:dyDescent="0.2">
      <c r="A1389" s="19" t="s">
        <v>48</v>
      </c>
      <c r="B1389" s="20" t="s">
        <v>63</v>
      </c>
      <c r="C1389" s="20" t="s">
        <v>8</v>
      </c>
      <c r="D1389" s="20" t="s">
        <v>10</v>
      </c>
      <c r="E1389" s="20" t="s">
        <v>22</v>
      </c>
      <c r="F1389" s="20" t="str">
        <f>INDEX(nrg_cb_e!$A$3:$A$40,MATCH(LEFT(MID('Industriesektor GWh'!$B1389,41,1000),SEARCH(" - ",MID('Industriesektor GWh'!$B1389,41,1000))-1),nrg_cb_e!$C$3:$C$40,0))</f>
        <v>FC_IND_CPC_E</v>
      </c>
      <c r="G1389" s="21">
        <v>4368.8029999999999</v>
      </c>
    </row>
    <row r="1390" spans="1:7" x14ac:dyDescent="0.2">
      <c r="A1390" s="16" t="s">
        <v>48</v>
      </c>
      <c r="B1390" s="17" t="s">
        <v>63</v>
      </c>
      <c r="C1390" s="17" t="s">
        <v>8</v>
      </c>
      <c r="D1390" s="17" t="s">
        <v>10</v>
      </c>
      <c r="E1390" s="17" t="s">
        <v>23</v>
      </c>
      <c r="F1390" s="17" t="str">
        <f>INDEX(nrg_cb_e!$A$3:$A$40,MATCH(LEFT(MID('Industriesektor GWh'!$B1390,41,1000),SEARCH(" - ",MID('Industriesektor GWh'!$B1390,41,1000))-1),nrg_cb_e!$C$3:$C$40,0))</f>
        <v>FC_IND_CPC_E</v>
      </c>
      <c r="G1390" s="18">
        <v>4290.2370000000001</v>
      </c>
    </row>
    <row r="1391" spans="1:7" x14ac:dyDescent="0.2">
      <c r="A1391" s="19" t="s">
        <v>48</v>
      </c>
      <c r="B1391" s="20" t="s">
        <v>63</v>
      </c>
      <c r="C1391" s="20" t="s">
        <v>8</v>
      </c>
      <c r="D1391" s="20" t="s">
        <v>10</v>
      </c>
      <c r="E1391" s="20" t="s">
        <v>24</v>
      </c>
      <c r="F1391" s="20" t="str">
        <f>INDEX(nrg_cb_e!$A$3:$A$40,MATCH(LEFT(MID('Industriesektor GWh'!$B1391,41,1000),SEARCH(" - ",MID('Industriesektor GWh'!$B1391,41,1000))-1),nrg_cb_e!$C$3:$C$40,0))</f>
        <v>FC_IND_CPC_E</v>
      </c>
      <c r="G1391" s="21">
        <v>4396.5209999999997</v>
      </c>
    </row>
    <row r="1392" spans="1:7" x14ac:dyDescent="0.2">
      <c r="A1392" s="16" t="s">
        <v>48</v>
      </c>
      <c r="B1392" s="17" t="s">
        <v>63</v>
      </c>
      <c r="C1392" s="17" t="s">
        <v>8</v>
      </c>
      <c r="D1392" s="17" t="s">
        <v>10</v>
      </c>
      <c r="E1392" s="17" t="s">
        <v>25</v>
      </c>
      <c r="F1392" s="17" t="str">
        <f>INDEX(nrg_cb_e!$A$3:$A$40,MATCH(LEFT(MID('Industriesektor GWh'!$B1392,41,1000),SEARCH(" - ",MID('Industriesektor GWh'!$B1392,41,1000))-1),nrg_cb_e!$C$3:$C$40,0))</f>
        <v>FC_IND_CPC_E</v>
      </c>
      <c r="G1392" s="18">
        <v>4541.8559999999998</v>
      </c>
    </row>
    <row r="1393" spans="1:7" x14ac:dyDescent="0.2">
      <c r="A1393" s="19" t="s">
        <v>48</v>
      </c>
      <c r="B1393" s="20" t="s">
        <v>63</v>
      </c>
      <c r="C1393" s="20" t="s">
        <v>8</v>
      </c>
      <c r="D1393" s="20" t="s">
        <v>10</v>
      </c>
      <c r="E1393" s="20" t="s">
        <v>26</v>
      </c>
      <c r="F1393" s="20" t="str">
        <f>INDEX(nrg_cb_e!$A$3:$A$40,MATCH(LEFT(MID('Industriesektor GWh'!$B1393,41,1000),SEARCH(" - ",MID('Industriesektor GWh'!$B1393,41,1000))-1),nrg_cb_e!$C$3:$C$40,0))</f>
        <v>FC_IND_CPC_E</v>
      </c>
      <c r="G1393" s="21">
        <v>4815.6570000000002</v>
      </c>
    </row>
    <row r="1394" spans="1:7" x14ac:dyDescent="0.2">
      <c r="A1394" s="16" t="s">
        <v>48</v>
      </c>
      <c r="B1394" s="17" t="s">
        <v>63</v>
      </c>
      <c r="C1394" s="17" t="s">
        <v>8</v>
      </c>
      <c r="D1394" s="17" t="s">
        <v>10</v>
      </c>
      <c r="E1394" s="17" t="s">
        <v>27</v>
      </c>
      <c r="F1394" s="17" t="str">
        <f>INDEX(nrg_cb_e!$A$3:$A$40,MATCH(LEFT(MID('Industriesektor GWh'!$B1394,41,1000),SEARCH(" - ",MID('Industriesektor GWh'!$B1394,41,1000))-1),nrg_cb_e!$C$3:$C$40,0))</f>
        <v>FC_IND_CPC_E</v>
      </c>
      <c r="G1394" s="18">
        <v>4736.1279999999997</v>
      </c>
    </row>
    <row r="1395" spans="1:7" x14ac:dyDescent="0.2">
      <c r="A1395" s="19" t="s">
        <v>48</v>
      </c>
      <c r="B1395" s="20" t="s">
        <v>63</v>
      </c>
      <c r="C1395" s="20" t="s">
        <v>8</v>
      </c>
      <c r="D1395" s="20" t="s">
        <v>10</v>
      </c>
      <c r="E1395" s="20" t="s">
        <v>28</v>
      </c>
      <c r="F1395" s="20" t="str">
        <f>INDEX(nrg_cb_e!$A$3:$A$40,MATCH(LEFT(MID('Industriesektor GWh'!$B1395,41,1000),SEARCH(" - ",MID('Industriesektor GWh'!$B1395,41,1000))-1),nrg_cb_e!$C$3:$C$40,0))</f>
        <v>FC_IND_CPC_E</v>
      </c>
      <c r="G1395" s="21">
        <v>4634.7719999999999</v>
      </c>
    </row>
    <row r="1396" spans="1:7" x14ac:dyDescent="0.2">
      <c r="A1396" s="16" t="s">
        <v>49</v>
      </c>
      <c r="B1396" s="17" t="s">
        <v>63</v>
      </c>
      <c r="C1396" s="17" t="s">
        <v>8</v>
      </c>
      <c r="D1396" s="17" t="s">
        <v>10</v>
      </c>
      <c r="E1396" s="17" t="s">
        <v>12</v>
      </c>
      <c r="F1396" s="17" t="str">
        <f>INDEX(nrg_cb_e!$A$3:$A$40,MATCH(LEFT(MID('Industriesektor GWh'!$B1396,41,1000),SEARCH(" - ",MID('Industriesektor GWh'!$B1396,41,1000))-1),nrg_cb_e!$C$3:$C$40,0))</f>
        <v>FC_IND_CPC_E</v>
      </c>
      <c r="G1396" s="18">
        <v>7473</v>
      </c>
    </row>
    <row r="1397" spans="1:7" x14ac:dyDescent="0.2">
      <c r="A1397" s="19" t="s">
        <v>49</v>
      </c>
      <c r="B1397" s="20" t="s">
        <v>63</v>
      </c>
      <c r="C1397" s="20" t="s">
        <v>8</v>
      </c>
      <c r="D1397" s="20" t="s">
        <v>10</v>
      </c>
      <c r="E1397" s="20" t="s">
        <v>13</v>
      </c>
      <c r="F1397" s="20" t="str">
        <f>INDEX(nrg_cb_e!$A$3:$A$40,MATCH(LEFT(MID('Industriesektor GWh'!$B1397,41,1000),SEARCH(" - ",MID('Industriesektor GWh'!$B1397,41,1000))-1),nrg_cb_e!$C$3:$C$40,0))</f>
        <v>FC_IND_CPC_E</v>
      </c>
      <c r="G1397" s="21">
        <v>8089</v>
      </c>
    </row>
    <row r="1398" spans="1:7" x14ac:dyDescent="0.2">
      <c r="A1398" s="16" t="s">
        <v>49</v>
      </c>
      <c r="B1398" s="17" t="s">
        <v>63</v>
      </c>
      <c r="C1398" s="17" t="s">
        <v>8</v>
      </c>
      <c r="D1398" s="17" t="s">
        <v>10</v>
      </c>
      <c r="E1398" s="17" t="s">
        <v>14</v>
      </c>
      <c r="F1398" s="17" t="str">
        <f>INDEX(nrg_cb_e!$A$3:$A$40,MATCH(LEFT(MID('Industriesektor GWh'!$B1398,41,1000),SEARCH(" - ",MID('Industriesektor GWh'!$B1398,41,1000))-1),nrg_cb_e!$C$3:$C$40,0))</f>
        <v>FC_IND_CPC_E</v>
      </c>
      <c r="G1398" s="18">
        <v>8212</v>
      </c>
    </row>
    <row r="1399" spans="1:7" x14ac:dyDescent="0.2">
      <c r="A1399" s="19" t="s">
        <v>49</v>
      </c>
      <c r="B1399" s="20" t="s">
        <v>63</v>
      </c>
      <c r="C1399" s="20" t="s">
        <v>8</v>
      </c>
      <c r="D1399" s="20" t="s">
        <v>10</v>
      </c>
      <c r="E1399" s="20" t="s">
        <v>15</v>
      </c>
      <c r="F1399" s="20" t="str">
        <f>INDEX(nrg_cb_e!$A$3:$A$40,MATCH(LEFT(MID('Industriesektor GWh'!$B1399,41,1000),SEARCH(" - ",MID('Industriesektor GWh'!$B1399,41,1000))-1),nrg_cb_e!$C$3:$C$40,0))</f>
        <v>FC_IND_CPC_E</v>
      </c>
      <c r="G1399" s="21">
        <v>7905</v>
      </c>
    </row>
    <row r="1400" spans="1:7" x14ac:dyDescent="0.2">
      <c r="A1400" s="16" t="s">
        <v>49</v>
      </c>
      <c r="B1400" s="17" t="s">
        <v>63</v>
      </c>
      <c r="C1400" s="17" t="s">
        <v>8</v>
      </c>
      <c r="D1400" s="17" t="s">
        <v>10</v>
      </c>
      <c r="E1400" s="17" t="s">
        <v>16</v>
      </c>
      <c r="F1400" s="17" t="str">
        <f>INDEX(nrg_cb_e!$A$3:$A$40,MATCH(LEFT(MID('Industriesektor GWh'!$B1400,41,1000),SEARCH(" - ",MID('Industriesektor GWh'!$B1400,41,1000))-1),nrg_cb_e!$C$3:$C$40,0))</f>
        <v>FC_IND_CPC_E</v>
      </c>
      <c r="G1400" s="18">
        <v>8424</v>
      </c>
    </row>
    <row r="1401" spans="1:7" x14ac:dyDescent="0.2">
      <c r="A1401" s="19" t="s">
        <v>49</v>
      </c>
      <c r="B1401" s="20" t="s">
        <v>63</v>
      </c>
      <c r="C1401" s="20" t="s">
        <v>8</v>
      </c>
      <c r="D1401" s="20" t="s">
        <v>10</v>
      </c>
      <c r="E1401" s="20" t="s">
        <v>17</v>
      </c>
      <c r="F1401" s="20" t="str">
        <f>INDEX(nrg_cb_e!$A$3:$A$40,MATCH(LEFT(MID('Industriesektor GWh'!$B1401,41,1000),SEARCH(" - ",MID('Industriesektor GWh'!$B1401,41,1000))-1),nrg_cb_e!$C$3:$C$40,0))</f>
        <v>FC_IND_CPC_E</v>
      </c>
      <c r="G1401" s="21">
        <v>8442</v>
      </c>
    </row>
    <row r="1402" spans="1:7" x14ac:dyDescent="0.2">
      <c r="A1402" s="16" t="s">
        <v>49</v>
      </c>
      <c r="B1402" s="17" t="s">
        <v>63</v>
      </c>
      <c r="C1402" s="17" t="s">
        <v>8</v>
      </c>
      <c r="D1402" s="17" t="s">
        <v>10</v>
      </c>
      <c r="E1402" s="17" t="s">
        <v>18</v>
      </c>
      <c r="F1402" s="17" t="str">
        <f>INDEX(nrg_cb_e!$A$3:$A$40,MATCH(LEFT(MID('Industriesektor GWh'!$B1402,41,1000),SEARCH(" - ",MID('Industriesektor GWh'!$B1402,41,1000))-1),nrg_cb_e!$C$3:$C$40,0))</f>
        <v>FC_IND_CPC_E</v>
      </c>
      <c r="G1402" s="18">
        <v>8033</v>
      </c>
    </row>
    <row r="1403" spans="1:7" x14ac:dyDescent="0.2">
      <c r="A1403" s="19" t="s">
        <v>49</v>
      </c>
      <c r="B1403" s="20" t="s">
        <v>63</v>
      </c>
      <c r="C1403" s="20" t="s">
        <v>8</v>
      </c>
      <c r="D1403" s="20" t="s">
        <v>10</v>
      </c>
      <c r="E1403" s="20" t="s">
        <v>19</v>
      </c>
      <c r="F1403" s="20" t="str">
        <f>INDEX(nrg_cb_e!$A$3:$A$40,MATCH(LEFT(MID('Industriesektor GWh'!$B1403,41,1000),SEARCH(" - ",MID('Industriesektor GWh'!$B1403,41,1000))-1),nrg_cb_e!$C$3:$C$40,0))</f>
        <v>FC_IND_CPC_E</v>
      </c>
      <c r="G1403" s="21">
        <v>7630</v>
      </c>
    </row>
    <row r="1404" spans="1:7" x14ac:dyDescent="0.2">
      <c r="A1404" s="16" t="s">
        <v>49</v>
      </c>
      <c r="B1404" s="17" t="s">
        <v>63</v>
      </c>
      <c r="C1404" s="17" t="s">
        <v>8</v>
      </c>
      <c r="D1404" s="17" t="s">
        <v>10</v>
      </c>
      <c r="E1404" s="17" t="s">
        <v>20</v>
      </c>
      <c r="F1404" s="17" t="str">
        <f>INDEX(nrg_cb_e!$A$3:$A$40,MATCH(LEFT(MID('Industriesektor GWh'!$B1404,41,1000),SEARCH(" - ",MID('Industriesektor GWh'!$B1404,41,1000))-1),nrg_cb_e!$C$3:$C$40,0))</f>
        <v>FC_IND_CPC_E</v>
      </c>
      <c r="G1404" s="18">
        <v>7181</v>
      </c>
    </row>
    <row r="1405" spans="1:7" x14ac:dyDescent="0.2">
      <c r="A1405" s="19" t="s">
        <v>49</v>
      </c>
      <c r="B1405" s="20" t="s">
        <v>63</v>
      </c>
      <c r="C1405" s="20" t="s">
        <v>8</v>
      </c>
      <c r="D1405" s="20" t="s">
        <v>10</v>
      </c>
      <c r="E1405" s="20" t="s">
        <v>21</v>
      </c>
      <c r="F1405" s="20" t="str">
        <f>INDEX(nrg_cb_e!$A$3:$A$40,MATCH(LEFT(MID('Industriesektor GWh'!$B1405,41,1000),SEARCH(" - ",MID('Industriesektor GWh'!$B1405,41,1000))-1),nrg_cb_e!$C$3:$C$40,0))</f>
        <v>FC_IND_CPC_E</v>
      </c>
      <c r="G1405" s="21">
        <v>7785</v>
      </c>
    </row>
    <row r="1406" spans="1:7" x14ac:dyDescent="0.2">
      <c r="A1406" s="16" t="s">
        <v>49</v>
      </c>
      <c r="B1406" s="17" t="s">
        <v>63</v>
      </c>
      <c r="C1406" s="17" t="s">
        <v>8</v>
      </c>
      <c r="D1406" s="17" t="s">
        <v>10</v>
      </c>
      <c r="E1406" s="17" t="s">
        <v>22</v>
      </c>
      <c r="F1406" s="17" t="str">
        <f>INDEX(nrg_cb_e!$A$3:$A$40,MATCH(LEFT(MID('Industriesektor GWh'!$B1406,41,1000),SEARCH(" - ",MID('Industriesektor GWh'!$B1406,41,1000))-1),nrg_cb_e!$C$3:$C$40,0))</f>
        <v>FC_IND_CPC_E</v>
      </c>
      <c r="G1406" s="18">
        <v>8133</v>
      </c>
    </row>
    <row r="1407" spans="1:7" x14ac:dyDescent="0.2">
      <c r="A1407" s="19" t="s">
        <v>49</v>
      </c>
      <c r="B1407" s="20" t="s">
        <v>63</v>
      </c>
      <c r="C1407" s="20" t="s">
        <v>8</v>
      </c>
      <c r="D1407" s="20" t="s">
        <v>10</v>
      </c>
      <c r="E1407" s="20" t="s">
        <v>23</v>
      </c>
      <c r="F1407" s="20" t="str">
        <f>INDEX(nrg_cb_e!$A$3:$A$40,MATCH(LEFT(MID('Industriesektor GWh'!$B1407,41,1000),SEARCH(" - ",MID('Industriesektor GWh'!$B1407,41,1000))-1),nrg_cb_e!$C$3:$C$40,0))</f>
        <v>FC_IND_CPC_E</v>
      </c>
      <c r="G1407" s="21">
        <v>8312</v>
      </c>
    </row>
    <row r="1408" spans="1:7" x14ac:dyDescent="0.2">
      <c r="A1408" s="16" t="s">
        <v>49</v>
      </c>
      <c r="B1408" s="17" t="s">
        <v>63</v>
      </c>
      <c r="C1408" s="17" t="s">
        <v>8</v>
      </c>
      <c r="D1408" s="17" t="s">
        <v>10</v>
      </c>
      <c r="E1408" s="17" t="s">
        <v>24</v>
      </c>
      <c r="F1408" s="17" t="str">
        <f>INDEX(nrg_cb_e!$A$3:$A$40,MATCH(LEFT(MID('Industriesektor GWh'!$B1408,41,1000),SEARCH(" - ",MID('Industriesektor GWh'!$B1408,41,1000))-1),nrg_cb_e!$C$3:$C$40,0))</f>
        <v>FC_IND_CPC_E</v>
      </c>
      <c r="G1408" s="18">
        <v>8159</v>
      </c>
    </row>
    <row r="1409" spans="1:7" x14ac:dyDescent="0.2">
      <c r="A1409" s="19" t="s">
        <v>49</v>
      </c>
      <c r="B1409" s="20" t="s">
        <v>63</v>
      </c>
      <c r="C1409" s="20" t="s">
        <v>8</v>
      </c>
      <c r="D1409" s="20" t="s">
        <v>10</v>
      </c>
      <c r="E1409" s="20" t="s">
        <v>25</v>
      </c>
      <c r="F1409" s="20" t="str">
        <f>INDEX(nrg_cb_e!$A$3:$A$40,MATCH(LEFT(MID('Industriesektor GWh'!$B1409,41,1000),SEARCH(" - ",MID('Industriesektor GWh'!$B1409,41,1000))-1),nrg_cb_e!$C$3:$C$40,0))</f>
        <v>FC_IND_CPC_E</v>
      </c>
      <c r="G1409" s="21">
        <v>8366</v>
      </c>
    </row>
    <row r="1410" spans="1:7" x14ac:dyDescent="0.2">
      <c r="A1410" s="16" t="s">
        <v>49</v>
      </c>
      <c r="B1410" s="17" t="s">
        <v>63</v>
      </c>
      <c r="C1410" s="17" t="s">
        <v>8</v>
      </c>
      <c r="D1410" s="17" t="s">
        <v>10</v>
      </c>
      <c r="E1410" s="17" t="s">
        <v>26</v>
      </c>
      <c r="F1410" s="17" t="str">
        <f>INDEX(nrg_cb_e!$A$3:$A$40,MATCH(LEFT(MID('Industriesektor GWh'!$B1410,41,1000),SEARCH(" - ",MID('Industriesektor GWh'!$B1410,41,1000))-1),nrg_cb_e!$C$3:$C$40,0))</f>
        <v>FC_IND_CPC_E</v>
      </c>
      <c r="G1410" s="18">
        <v>8303</v>
      </c>
    </row>
    <row r="1411" spans="1:7" x14ac:dyDescent="0.2">
      <c r="A1411" s="19" t="s">
        <v>49</v>
      </c>
      <c r="B1411" s="20" t="s">
        <v>63</v>
      </c>
      <c r="C1411" s="20" t="s">
        <v>8</v>
      </c>
      <c r="D1411" s="20" t="s">
        <v>10</v>
      </c>
      <c r="E1411" s="20" t="s">
        <v>27</v>
      </c>
      <c r="F1411" s="20" t="str">
        <f>INDEX(nrg_cb_e!$A$3:$A$40,MATCH(LEFT(MID('Industriesektor GWh'!$B1411,41,1000),SEARCH(" - ",MID('Industriesektor GWh'!$B1411,41,1000))-1),nrg_cb_e!$C$3:$C$40,0))</f>
        <v>FC_IND_CPC_E</v>
      </c>
      <c r="G1411" s="21">
        <v>8733.7189999999991</v>
      </c>
    </row>
    <row r="1412" spans="1:7" x14ac:dyDescent="0.2">
      <c r="A1412" s="16" t="s">
        <v>49</v>
      </c>
      <c r="B1412" s="17" t="s">
        <v>63</v>
      </c>
      <c r="C1412" s="17" t="s">
        <v>8</v>
      </c>
      <c r="D1412" s="17" t="s">
        <v>10</v>
      </c>
      <c r="E1412" s="17" t="s">
        <v>28</v>
      </c>
      <c r="F1412" s="17" t="str">
        <f>INDEX(nrg_cb_e!$A$3:$A$40,MATCH(LEFT(MID('Industriesektor GWh'!$B1412,41,1000),SEARCH(" - ",MID('Industriesektor GWh'!$B1412,41,1000))-1),nrg_cb_e!$C$3:$C$40,0))</f>
        <v>FC_IND_CPC_E</v>
      </c>
      <c r="G1412" s="18">
        <v>8867.232</v>
      </c>
    </row>
    <row r="1413" spans="1:7" x14ac:dyDescent="0.2">
      <c r="A1413" s="19" t="s">
        <v>50</v>
      </c>
      <c r="B1413" s="20" t="s">
        <v>63</v>
      </c>
      <c r="C1413" s="20" t="s">
        <v>8</v>
      </c>
      <c r="D1413" s="20" t="s">
        <v>10</v>
      </c>
      <c r="E1413" s="20" t="s">
        <v>12</v>
      </c>
      <c r="F1413" s="20" t="str">
        <f>INDEX(nrg_cb_e!$A$3:$A$40,MATCH(LEFT(MID('Industriesektor GWh'!$B1413,41,1000),SEARCH(" - ",MID('Industriesektor GWh'!$B1413,41,1000))-1),nrg_cb_e!$C$3:$C$40,0))</f>
        <v>FC_IND_CPC_E</v>
      </c>
      <c r="G1413" s="21">
        <v>2331</v>
      </c>
    </row>
    <row r="1414" spans="1:7" x14ac:dyDescent="0.2">
      <c r="A1414" s="16" t="s">
        <v>50</v>
      </c>
      <c r="B1414" s="17" t="s">
        <v>63</v>
      </c>
      <c r="C1414" s="17" t="s">
        <v>8</v>
      </c>
      <c r="D1414" s="17" t="s">
        <v>10</v>
      </c>
      <c r="E1414" s="17" t="s">
        <v>13</v>
      </c>
      <c r="F1414" s="17" t="str">
        <f>INDEX(nrg_cb_e!$A$3:$A$40,MATCH(LEFT(MID('Industriesektor GWh'!$B1414,41,1000),SEARCH(" - ",MID('Industriesektor GWh'!$B1414,41,1000))-1),nrg_cb_e!$C$3:$C$40,0))</f>
        <v>FC_IND_CPC_E</v>
      </c>
      <c r="G1414" s="18">
        <v>2480</v>
      </c>
    </row>
    <row r="1415" spans="1:7" x14ac:dyDescent="0.2">
      <c r="A1415" s="19" t="s">
        <v>50</v>
      </c>
      <c r="B1415" s="20" t="s">
        <v>63</v>
      </c>
      <c r="C1415" s="20" t="s">
        <v>8</v>
      </c>
      <c r="D1415" s="20" t="s">
        <v>10</v>
      </c>
      <c r="E1415" s="20" t="s">
        <v>14</v>
      </c>
      <c r="F1415" s="20" t="str">
        <f>INDEX(nrg_cb_e!$A$3:$A$40,MATCH(LEFT(MID('Industriesektor GWh'!$B1415,41,1000),SEARCH(" - ",MID('Industriesektor GWh'!$B1415,41,1000))-1),nrg_cb_e!$C$3:$C$40,0))</f>
        <v>FC_IND_CPC_E</v>
      </c>
      <c r="G1415" s="21">
        <v>2555</v>
      </c>
    </row>
    <row r="1416" spans="1:7" x14ac:dyDescent="0.2">
      <c r="A1416" s="16" t="s">
        <v>50</v>
      </c>
      <c r="B1416" s="17" t="s">
        <v>63</v>
      </c>
      <c r="C1416" s="17" t="s">
        <v>8</v>
      </c>
      <c r="D1416" s="17" t="s">
        <v>10</v>
      </c>
      <c r="E1416" s="17" t="s">
        <v>15</v>
      </c>
      <c r="F1416" s="17" t="str">
        <f>INDEX(nrg_cb_e!$A$3:$A$40,MATCH(LEFT(MID('Industriesektor GWh'!$B1416,41,1000),SEARCH(" - ",MID('Industriesektor GWh'!$B1416,41,1000))-1),nrg_cb_e!$C$3:$C$40,0))</f>
        <v>FC_IND_CPC_E</v>
      </c>
      <c r="G1416" s="18">
        <v>2561</v>
      </c>
    </row>
    <row r="1417" spans="1:7" x14ac:dyDescent="0.2">
      <c r="A1417" s="19" t="s">
        <v>50</v>
      </c>
      <c r="B1417" s="20" t="s">
        <v>63</v>
      </c>
      <c r="C1417" s="20" t="s">
        <v>8</v>
      </c>
      <c r="D1417" s="20" t="s">
        <v>10</v>
      </c>
      <c r="E1417" s="20" t="s">
        <v>16</v>
      </c>
      <c r="F1417" s="20" t="str">
        <f>INDEX(nrg_cb_e!$A$3:$A$40,MATCH(LEFT(MID('Industriesektor GWh'!$B1417,41,1000),SEARCH(" - ",MID('Industriesektor GWh'!$B1417,41,1000))-1),nrg_cb_e!$C$3:$C$40,0))</f>
        <v>FC_IND_CPC_E</v>
      </c>
      <c r="G1417" s="21">
        <v>2637</v>
      </c>
    </row>
    <row r="1418" spans="1:7" x14ac:dyDescent="0.2">
      <c r="A1418" s="16" t="s">
        <v>50</v>
      </c>
      <c r="B1418" s="17" t="s">
        <v>63</v>
      </c>
      <c r="C1418" s="17" t="s">
        <v>8</v>
      </c>
      <c r="D1418" s="17" t="s">
        <v>10</v>
      </c>
      <c r="E1418" s="17" t="s">
        <v>17</v>
      </c>
      <c r="F1418" s="17" t="str">
        <f>INDEX(nrg_cb_e!$A$3:$A$40,MATCH(LEFT(MID('Industriesektor GWh'!$B1418,41,1000),SEARCH(" - ",MID('Industriesektor GWh'!$B1418,41,1000))-1),nrg_cb_e!$C$3:$C$40,0))</f>
        <v>FC_IND_CPC_E</v>
      </c>
      <c r="G1418" s="18">
        <v>2679</v>
      </c>
    </row>
    <row r="1419" spans="1:7" x14ac:dyDescent="0.2">
      <c r="A1419" s="19" t="s">
        <v>50</v>
      </c>
      <c r="B1419" s="20" t="s">
        <v>63</v>
      </c>
      <c r="C1419" s="20" t="s">
        <v>8</v>
      </c>
      <c r="D1419" s="20" t="s">
        <v>10</v>
      </c>
      <c r="E1419" s="20" t="s">
        <v>18</v>
      </c>
      <c r="F1419" s="20" t="str">
        <f>INDEX(nrg_cb_e!$A$3:$A$40,MATCH(LEFT(MID('Industriesektor GWh'!$B1419,41,1000),SEARCH(" - ",MID('Industriesektor GWh'!$B1419,41,1000))-1),nrg_cb_e!$C$3:$C$40,0))</f>
        <v>FC_IND_CPC_E</v>
      </c>
      <c r="G1419" s="21">
        <v>2509</v>
      </c>
    </row>
    <row r="1420" spans="1:7" x14ac:dyDescent="0.2">
      <c r="A1420" s="16" t="s">
        <v>50</v>
      </c>
      <c r="B1420" s="17" t="s">
        <v>63</v>
      </c>
      <c r="C1420" s="17" t="s">
        <v>8</v>
      </c>
      <c r="D1420" s="17" t="s">
        <v>10</v>
      </c>
      <c r="E1420" s="17" t="s">
        <v>19</v>
      </c>
      <c r="F1420" s="17" t="str">
        <f>INDEX(nrg_cb_e!$A$3:$A$40,MATCH(LEFT(MID('Industriesektor GWh'!$B1420,41,1000),SEARCH(" - ",MID('Industriesektor GWh'!$B1420,41,1000))-1),nrg_cb_e!$C$3:$C$40,0))</f>
        <v>FC_IND_CPC_E</v>
      </c>
      <c r="G1420" s="18">
        <v>2172</v>
      </c>
    </row>
    <row r="1421" spans="1:7" x14ac:dyDescent="0.2">
      <c r="A1421" s="19" t="s">
        <v>50</v>
      </c>
      <c r="B1421" s="20" t="s">
        <v>63</v>
      </c>
      <c r="C1421" s="20" t="s">
        <v>8</v>
      </c>
      <c r="D1421" s="20" t="s">
        <v>10</v>
      </c>
      <c r="E1421" s="20" t="s">
        <v>20</v>
      </c>
      <c r="F1421" s="20" t="str">
        <f>INDEX(nrg_cb_e!$A$3:$A$40,MATCH(LEFT(MID('Industriesektor GWh'!$B1421,41,1000),SEARCH(" - ",MID('Industriesektor GWh'!$B1421,41,1000))-1),nrg_cb_e!$C$3:$C$40,0))</f>
        <v>FC_IND_CPC_E</v>
      </c>
      <c r="G1421" s="21">
        <v>2491</v>
      </c>
    </row>
    <row r="1422" spans="1:7" x14ac:dyDescent="0.2">
      <c r="A1422" s="16" t="s">
        <v>50</v>
      </c>
      <c r="B1422" s="17" t="s">
        <v>63</v>
      </c>
      <c r="C1422" s="17" t="s">
        <v>8</v>
      </c>
      <c r="D1422" s="17" t="s">
        <v>10</v>
      </c>
      <c r="E1422" s="17" t="s">
        <v>21</v>
      </c>
      <c r="F1422" s="17" t="str">
        <f>INDEX(nrg_cb_e!$A$3:$A$40,MATCH(LEFT(MID('Industriesektor GWh'!$B1422,41,1000),SEARCH(" - ",MID('Industriesektor GWh'!$B1422,41,1000))-1),nrg_cb_e!$C$3:$C$40,0))</f>
        <v>FC_IND_CPC_E</v>
      </c>
      <c r="G1422" s="18">
        <v>2401</v>
      </c>
    </row>
    <row r="1423" spans="1:7" x14ac:dyDescent="0.2">
      <c r="A1423" s="19" t="s">
        <v>50</v>
      </c>
      <c r="B1423" s="20" t="s">
        <v>63</v>
      </c>
      <c r="C1423" s="20" t="s">
        <v>8</v>
      </c>
      <c r="D1423" s="20" t="s">
        <v>10</v>
      </c>
      <c r="E1423" s="20" t="s">
        <v>22</v>
      </c>
      <c r="F1423" s="20" t="str">
        <f>INDEX(nrg_cb_e!$A$3:$A$40,MATCH(LEFT(MID('Industriesektor GWh'!$B1423,41,1000),SEARCH(" - ",MID('Industriesektor GWh'!$B1423,41,1000))-1),nrg_cb_e!$C$3:$C$40,0))</f>
        <v>FC_IND_CPC_E</v>
      </c>
      <c r="G1423" s="21">
        <v>2294</v>
      </c>
    </row>
    <row r="1424" spans="1:7" x14ac:dyDescent="0.2">
      <c r="A1424" s="16" t="s">
        <v>50</v>
      </c>
      <c r="B1424" s="17" t="s">
        <v>63</v>
      </c>
      <c r="C1424" s="17" t="s">
        <v>8</v>
      </c>
      <c r="D1424" s="17" t="s">
        <v>10</v>
      </c>
      <c r="E1424" s="17" t="s">
        <v>23</v>
      </c>
      <c r="F1424" s="17" t="str">
        <f>INDEX(nrg_cb_e!$A$3:$A$40,MATCH(LEFT(MID('Industriesektor GWh'!$B1424,41,1000),SEARCH(" - ",MID('Industriesektor GWh'!$B1424,41,1000))-1),nrg_cb_e!$C$3:$C$40,0))</f>
        <v>FC_IND_CPC_E</v>
      </c>
      <c r="G1424" s="18">
        <v>2289</v>
      </c>
    </row>
    <row r="1425" spans="1:7" x14ac:dyDescent="0.2">
      <c r="A1425" s="19" t="s">
        <v>50</v>
      </c>
      <c r="B1425" s="20" t="s">
        <v>63</v>
      </c>
      <c r="C1425" s="20" t="s">
        <v>8</v>
      </c>
      <c r="D1425" s="20" t="s">
        <v>10</v>
      </c>
      <c r="E1425" s="20" t="s">
        <v>24</v>
      </c>
      <c r="F1425" s="20" t="str">
        <f>INDEX(nrg_cb_e!$A$3:$A$40,MATCH(LEFT(MID('Industriesektor GWh'!$B1425,41,1000),SEARCH(" - ",MID('Industriesektor GWh'!$B1425,41,1000))-1),nrg_cb_e!$C$3:$C$40,0))</f>
        <v>FC_IND_CPC_E</v>
      </c>
      <c r="G1425" s="21">
        <v>2116</v>
      </c>
    </row>
    <row r="1426" spans="1:7" x14ac:dyDescent="0.2">
      <c r="A1426" s="16" t="s">
        <v>50</v>
      </c>
      <c r="B1426" s="17" t="s">
        <v>63</v>
      </c>
      <c r="C1426" s="17" t="s">
        <v>8</v>
      </c>
      <c r="D1426" s="17" t="s">
        <v>10</v>
      </c>
      <c r="E1426" s="17" t="s">
        <v>25</v>
      </c>
      <c r="F1426" s="17" t="str">
        <f>INDEX(nrg_cb_e!$A$3:$A$40,MATCH(LEFT(MID('Industriesektor GWh'!$B1426,41,1000),SEARCH(" - ",MID('Industriesektor GWh'!$B1426,41,1000))-1),nrg_cb_e!$C$3:$C$40,0))</f>
        <v>FC_IND_CPC_E</v>
      </c>
      <c r="G1426" s="18">
        <v>2119</v>
      </c>
    </row>
    <row r="1427" spans="1:7" x14ac:dyDescent="0.2">
      <c r="A1427" s="19" t="s">
        <v>50</v>
      </c>
      <c r="B1427" s="20" t="s">
        <v>63</v>
      </c>
      <c r="C1427" s="20" t="s">
        <v>8</v>
      </c>
      <c r="D1427" s="20" t="s">
        <v>10</v>
      </c>
      <c r="E1427" s="20" t="s">
        <v>26</v>
      </c>
      <c r="F1427" s="20" t="str">
        <f>INDEX(nrg_cb_e!$A$3:$A$40,MATCH(LEFT(MID('Industriesektor GWh'!$B1427,41,1000),SEARCH(" - ",MID('Industriesektor GWh'!$B1427,41,1000))-1),nrg_cb_e!$C$3:$C$40,0))</f>
        <v>FC_IND_CPC_E</v>
      </c>
      <c r="G1427" s="21">
        <v>2310.0419999999999</v>
      </c>
    </row>
    <row r="1428" spans="1:7" x14ac:dyDescent="0.2">
      <c r="A1428" s="16" t="s">
        <v>50</v>
      </c>
      <c r="B1428" s="17" t="s">
        <v>63</v>
      </c>
      <c r="C1428" s="17" t="s">
        <v>8</v>
      </c>
      <c r="D1428" s="17" t="s">
        <v>10</v>
      </c>
      <c r="E1428" s="17" t="s">
        <v>27</v>
      </c>
      <c r="F1428" s="17" t="str">
        <f>INDEX(nrg_cb_e!$A$3:$A$40,MATCH(LEFT(MID('Industriesektor GWh'!$B1428,41,1000),SEARCH(" - ",MID('Industriesektor GWh'!$B1428,41,1000))-1),nrg_cb_e!$C$3:$C$40,0))</f>
        <v>FC_IND_CPC_E</v>
      </c>
      <c r="G1428" s="18">
        <v>2375.1109999999999</v>
      </c>
    </row>
    <row r="1429" spans="1:7" x14ac:dyDescent="0.2">
      <c r="A1429" s="19" t="s">
        <v>50</v>
      </c>
      <c r="B1429" s="20" t="s">
        <v>63</v>
      </c>
      <c r="C1429" s="20" t="s">
        <v>8</v>
      </c>
      <c r="D1429" s="20" t="s">
        <v>10</v>
      </c>
      <c r="E1429" s="20" t="s">
        <v>28</v>
      </c>
      <c r="F1429" s="20" t="str">
        <f>INDEX(nrg_cb_e!$A$3:$A$40,MATCH(LEFT(MID('Industriesektor GWh'!$B1429,41,1000),SEARCH(" - ",MID('Industriesektor GWh'!$B1429,41,1000))-1),nrg_cb_e!$C$3:$C$40,0))</f>
        <v>FC_IND_CPC_E</v>
      </c>
      <c r="G1429" s="21">
        <v>2382.5909999999999</v>
      </c>
    </row>
    <row r="1430" spans="1:7" x14ac:dyDescent="0.2">
      <c r="A1430" s="16" t="s">
        <v>51</v>
      </c>
      <c r="B1430" s="17" t="s">
        <v>63</v>
      </c>
      <c r="C1430" s="17" t="s">
        <v>8</v>
      </c>
      <c r="D1430" s="17" t="s">
        <v>10</v>
      </c>
      <c r="E1430" s="17" t="s">
        <v>12</v>
      </c>
      <c r="F1430" s="17" t="str">
        <f>INDEX(nrg_cb_e!$A$3:$A$40,MATCH(LEFT(MID('Industriesektor GWh'!$B1430,41,1000),SEARCH(" - ",MID('Industriesektor GWh'!$B1430,41,1000))-1),nrg_cb_e!$C$3:$C$40,0))</f>
        <v>FC_IND_CPC_E</v>
      </c>
      <c r="G1430" s="18">
        <v>3859</v>
      </c>
    </row>
    <row r="1431" spans="1:7" x14ac:dyDescent="0.2">
      <c r="A1431" s="19" t="s">
        <v>51</v>
      </c>
      <c r="B1431" s="20" t="s">
        <v>63</v>
      </c>
      <c r="C1431" s="20" t="s">
        <v>8</v>
      </c>
      <c r="D1431" s="20" t="s">
        <v>10</v>
      </c>
      <c r="E1431" s="20" t="s">
        <v>13</v>
      </c>
      <c r="F1431" s="20" t="str">
        <f>INDEX(nrg_cb_e!$A$3:$A$40,MATCH(LEFT(MID('Industriesektor GWh'!$B1431,41,1000),SEARCH(" - ",MID('Industriesektor GWh'!$B1431,41,1000))-1),nrg_cb_e!$C$3:$C$40,0))</f>
        <v>FC_IND_CPC_E</v>
      </c>
      <c r="G1431" s="21">
        <v>3696</v>
      </c>
    </row>
    <row r="1432" spans="1:7" x14ac:dyDescent="0.2">
      <c r="A1432" s="16" t="s">
        <v>51</v>
      </c>
      <c r="B1432" s="17" t="s">
        <v>63</v>
      </c>
      <c r="C1432" s="17" t="s">
        <v>8</v>
      </c>
      <c r="D1432" s="17" t="s">
        <v>10</v>
      </c>
      <c r="E1432" s="17" t="s">
        <v>14</v>
      </c>
      <c r="F1432" s="17" t="str">
        <f>INDEX(nrg_cb_e!$A$3:$A$40,MATCH(LEFT(MID('Industriesektor GWh'!$B1432,41,1000),SEARCH(" - ",MID('Industriesektor GWh'!$B1432,41,1000))-1),nrg_cb_e!$C$3:$C$40,0))</f>
        <v>FC_IND_CPC_E</v>
      </c>
      <c r="G1432" s="18">
        <v>3526</v>
      </c>
    </row>
    <row r="1433" spans="1:7" x14ac:dyDescent="0.2">
      <c r="A1433" s="19" t="s">
        <v>51</v>
      </c>
      <c r="B1433" s="20" t="s">
        <v>63</v>
      </c>
      <c r="C1433" s="20" t="s">
        <v>8</v>
      </c>
      <c r="D1433" s="20" t="s">
        <v>10</v>
      </c>
      <c r="E1433" s="20" t="s">
        <v>15</v>
      </c>
      <c r="F1433" s="20" t="str">
        <f>INDEX(nrg_cb_e!$A$3:$A$40,MATCH(LEFT(MID('Industriesektor GWh'!$B1433,41,1000),SEARCH(" - ",MID('Industriesektor GWh'!$B1433,41,1000))-1),nrg_cb_e!$C$3:$C$40,0))</f>
        <v>FC_IND_CPC_E</v>
      </c>
      <c r="G1433" s="21">
        <v>3417</v>
      </c>
    </row>
    <row r="1434" spans="1:7" x14ac:dyDescent="0.2">
      <c r="A1434" s="16" t="s">
        <v>51</v>
      </c>
      <c r="B1434" s="17" t="s">
        <v>63</v>
      </c>
      <c r="C1434" s="17" t="s">
        <v>8</v>
      </c>
      <c r="D1434" s="17" t="s">
        <v>10</v>
      </c>
      <c r="E1434" s="17" t="s">
        <v>16</v>
      </c>
      <c r="F1434" s="17" t="str">
        <f>INDEX(nrg_cb_e!$A$3:$A$40,MATCH(LEFT(MID('Industriesektor GWh'!$B1434,41,1000),SEARCH(" - ",MID('Industriesektor GWh'!$B1434,41,1000))-1),nrg_cb_e!$C$3:$C$40,0))</f>
        <v>FC_IND_CPC_E</v>
      </c>
      <c r="G1434" s="18">
        <v>4320</v>
      </c>
    </row>
    <row r="1435" spans="1:7" x14ac:dyDescent="0.2">
      <c r="A1435" s="19" t="s">
        <v>51</v>
      </c>
      <c r="B1435" s="20" t="s">
        <v>63</v>
      </c>
      <c r="C1435" s="20" t="s">
        <v>8</v>
      </c>
      <c r="D1435" s="20" t="s">
        <v>10</v>
      </c>
      <c r="E1435" s="20" t="s">
        <v>17</v>
      </c>
      <c r="F1435" s="20" t="str">
        <f>INDEX(nrg_cb_e!$A$3:$A$40,MATCH(LEFT(MID('Industriesektor GWh'!$B1435,41,1000),SEARCH(" - ",MID('Industriesektor GWh'!$B1435,41,1000))-1),nrg_cb_e!$C$3:$C$40,0))</f>
        <v>FC_IND_CPC_E</v>
      </c>
      <c r="G1435" s="21">
        <v>3734</v>
      </c>
    </row>
    <row r="1436" spans="1:7" x14ac:dyDescent="0.2">
      <c r="A1436" s="16" t="s">
        <v>51</v>
      </c>
      <c r="B1436" s="17" t="s">
        <v>63</v>
      </c>
      <c r="C1436" s="17" t="s">
        <v>8</v>
      </c>
      <c r="D1436" s="17" t="s">
        <v>10</v>
      </c>
      <c r="E1436" s="17" t="s">
        <v>18</v>
      </c>
      <c r="F1436" s="17" t="str">
        <f>INDEX(nrg_cb_e!$A$3:$A$40,MATCH(LEFT(MID('Industriesektor GWh'!$B1436,41,1000),SEARCH(" - ",MID('Industriesektor GWh'!$B1436,41,1000))-1),nrg_cb_e!$C$3:$C$40,0))</f>
        <v>FC_IND_CPC_E</v>
      </c>
      <c r="G1436" s="18">
        <v>3916</v>
      </c>
    </row>
    <row r="1437" spans="1:7" x14ac:dyDescent="0.2">
      <c r="A1437" s="19" t="s">
        <v>51</v>
      </c>
      <c r="B1437" s="20" t="s">
        <v>63</v>
      </c>
      <c r="C1437" s="20" t="s">
        <v>8</v>
      </c>
      <c r="D1437" s="20" t="s">
        <v>10</v>
      </c>
      <c r="E1437" s="20" t="s">
        <v>19</v>
      </c>
      <c r="F1437" s="20" t="str">
        <f>INDEX(nrg_cb_e!$A$3:$A$40,MATCH(LEFT(MID('Industriesektor GWh'!$B1437,41,1000),SEARCH(" - ",MID('Industriesektor GWh'!$B1437,41,1000))-1),nrg_cb_e!$C$3:$C$40,0))</f>
        <v>FC_IND_CPC_E</v>
      </c>
      <c r="G1437" s="21">
        <v>3299</v>
      </c>
    </row>
    <row r="1438" spans="1:7" x14ac:dyDescent="0.2">
      <c r="A1438" s="16" t="s">
        <v>51</v>
      </c>
      <c r="B1438" s="17" t="s">
        <v>63</v>
      </c>
      <c r="C1438" s="17" t="s">
        <v>8</v>
      </c>
      <c r="D1438" s="17" t="s">
        <v>10</v>
      </c>
      <c r="E1438" s="17" t="s">
        <v>20</v>
      </c>
      <c r="F1438" s="17" t="str">
        <f>INDEX(nrg_cb_e!$A$3:$A$40,MATCH(LEFT(MID('Industriesektor GWh'!$B1438,41,1000),SEARCH(" - ",MID('Industriesektor GWh'!$B1438,41,1000))-1),nrg_cb_e!$C$3:$C$40,0))</f>
        <v>FC_IND_CPC_E</v>
      </c>
      <c r="G1438" s="18">
        <v>3468</v>
      </c>
    </row>
    <row r="1439" spans="1:7" x14ac:dyDescent="0.2">
      <c r="A1439" s="19" t="s">
        <v>51</v>
      </c>
      <c r="B1439" s="20" t="s">
        <v>63</v>
      </c>
      <c r="C1439" s="20" t="s">
        <v>8</v>
      </c>
      <c r="D1439" s="20" t="s">
        <v>10</v>
      </c>
      <c r="E1439" s="20" t="s">
        <v>21</v>
      </c>
      <c r="F1439" s="20" t="str">
        <f>INDEX(nrg_cb_e!$A$3:$A$40,MATCH(LEFT(MID('Industriesektor GWh'!$B1439,41,1000),SEARCH(" - ",MID('Industriesektor GWh'!$B1439,41,1000))-1),nrg_cb_e!$C$3:$C$40,0))</f>
        <v>FC_IND_CPC_E</v>
      </c>
      <c r="G1439" s="21">
        <v>3876</v>
      </c>
    </row>
    <row r="1440" spans="1:7" x14ac:dyDescent="0.2">
      <c r="A1440" s="16" t="s">
        <v>51</v>
      </c>
      <c r="B1440" s="17" t="s">
        <v>63</v>
      </c>
      <c r="C1440" s="17" t="s">
        <v>8</v>
      </c>
      <c r="D1440" s="17" t="s">
        <v>10</v>
      </c>
      <c r="E1440" s="17" t="s">
        <v>22</v>
      </c>
      <c r="F1440" s="17" t="str">
        <f>INDEX(nrg_cb_e!$A$3:$A$40,MATCH(LEFT(MID('Industriesektor GWh'!$B1440,41,1000),SEARCH(" - ",MID('Industriesektor GWh'!$B1440,41,1000))-1),nrg_cb_e!$C$3:$C$40,0))</f>
        <v>FC_IND_CPC_E</v>
      </c>
      <c r="G1440" s="18">
        <v>3647</v>
      </c>
    </row>
    <row r="1441" spans="1:7" x14ac:dyDescent="0.2">
      <c r="A1441" s="19" t="s">
        <v>51</v>
      </c>
      <c r="B1441" s="20" t="s">
        <v>63</v>
      </c>
      <c r="C1441" s="20" t="s">
        <v>8</v>
      </c>
      <c r="D1441" s="20" t="s">
        <v>10</v>
      </c>
      <c r="E1441" s="20" t="s">
        <v>23</v>
      </c>
      <c r="F1441" s="20" t="str">
        <f>INDEX(nrg_cb_e!$A$3:$A$40,MATCH(LEFT(MID('Industriesektor GWh'!$B1441,41,1000),SEARCH(" - ",MID('Industriesektor GWh'!$B1441,41,1000))-1),nrg_cb_e!$C$3:$C$40,0))</f>
        <v>FC_IND_CPC_E</v>
      </c>
      <c r="G1441" s="21">
        <v>2998</v>
      </c>
    </row>
    <row r="1442" spans="1:7" x14ac:dyDescent="0.2">
      <c r="A1442" s="16" t="s">
        <v>51</v>
      </c>
      <c r="B1442" s="17" t="s">
        <v>63</v>
      </c>
      <c r="C1442" s="17" t="s">
        <v>8</v>
      </c>
      <c r="D1442" s="17" t="s">
        <v>10</v>
      </c>
      <c r="E1442" s="17" t="s">
        <v>24</v>
      </c>
      <c r="F1442" s="17" t="str">
        <f>INDEX(nrg_cb_e!$A$3:$A$40,MATCH(LEFT(MID('Industriesektor GWh'!$B1442,41,1000),SEARCH(" - ",MID('Industriesektor GWh'!$B1442,41,1000))-1),nrg_cb_e!$C$3:$C$40,0))</f>
        <v>FC_IND_CPC_E</v>
      </c>
      <c r="G1442" s="18">
        <v>3314</v>
      </c>
    </row>
    <row r="1443" spans="1:7" x14ac:dyDescent="0.2">
      <c r="A1443" s="19" t="s">
        <v>51</v>
      </c>
      <c r="B1443" s="20" t="s">
        <v>63</v>
      </c>
      <c r="C1443" s="20" t="s">
        <v>8</v>
      </c>
      <c r="D1443" s="20" t="s">
        <v>10</v>
      </c>
      <c r="E1443" s="20" t="s">
        <v>25</v>
      </c>
      <c r="F1443" s="20" t="str">
        <f>INDEX(nrg_cb_e!$A$3:$A$40,MATCH(LEFT(MID('Industriesektor GWh'!$B1443,41,1000),SEARCH(" - ",MID('Industriesektor GWh'!$B1443,41,1000))-1),nrg_cb_e!$C$3:$C$40,0))</f>
        <v>FC_IND_CPC_E</v>
      </c>
      <c r="G1443" s="21">
        <v>3096</v>
      </c>
    </row>
    <row r="1444" spans="1:7" x14ac:dyDescent="0.2">
      <c r="A1444" s="16" t="s">
        <v>51</v>
      </c>
      <c r="B1444" s="17" t="s">
        <v>63</v>
      </c>
      <c r="C1444" s="17" t="s">
        <v>8</v>
      </c>
      <c r="D1444" s="17" t="s">
        <v>10</v>
      </c>
      <c r="E1444" s="17" t="s">
        <v>26</v>
      </c>
      <c r="F1444" s="17" t="str">
        <f>INDEX(nrg_cb_e!$A$3:$A$40,MATCH(LEFT(MID('Industriesektor GWh'!$B1444,41,1000),SEARCH(" - ",MID('Industriesektor GWh'!$B1444,41,1000))-1),nrg_cb_e!$C$3:$C$40,0))</f>
        <v>FC_IND_CPC_E</v>
      </c>
      <c r="G1444" s="18">
        <v>3010</v>
      </c>
    </row>
    <row r="1445" spans="1:7" x14ac:dyDescent="0.2">
      <c r="A1445" s="19" t="s">
        <v>51</v>
      </c>
      <c r="B1445" s="20" t="s">
        <v>63</v>
      </c>
      <c r="C1445" s="20" t="s">
        <v>8</v>
      </c>
      <c r="D1445" s="20" t="s">
        <v>10</v>
      </c>
      <c r="E1445" s="20" t="s">
        <v>27</v>
      </c>
      <c r="F1445" s="20" t="str">
        <f>INDEX(nrg_cb_e!$A$3:$A$40,MATCH(LEFT(MID('Industriesektor GWh'!$B1445,41,1000),SEARCH(" - ",MID('Industriesektor GWh'!$B1445,41,1000))-1),nrg_cb_e!$C$3:$C$40,0))</f>
        <v>FC_IND_CPC_E</v>
      </c>
      <c r="G1445" s="21">
        <v>3096.7449999999999</v>
      </c>
    </row>
    <row r="1446" spans="1:7" x14ac:dyDescent="0.2">
      <c r="A1446" s="16" t="s">
        <v>51</v>
      </c>
      <c r="B1446" s="17" t="s">
        <v>63</v>
      </c>
      <c r="C1446" s="17" t="s">
        <v>8</v>
      </c>
      <c r="D1446" s="17" t="s">
        <v>10</v>
      </c>
      <c r="E1446" s="17" t="s">
        <v>28</v>
      </c>
      <c r="F1446" s="17" t="str">
        <f>INDEX(nrg_cb_e!$A$3:$A$40,MATCH(LEFT(MID('Industriesektor GWh'!$B1446,41,1000),SEARCH(" - ",MID('Industriesektor GWh'!$B1446,41,1000))-1),nrg_cb_e!$C$3:$C$40,0))</f>
        <v>FC_IND_CPC_E</v>
      </c>
      <c r="G1446" s="18">
        <v>3240.2530000000002</v>
      </c>
    </row>
    <row r="1447" spans="1:7" x14ac:dyDescent="0.2">
      <c r="A1447" s="19" t="s">
        <v>52</v>
      </c>
      <c r="B1447" s="20" t="s">
        <v>63</v>
      </c>
      <c r="C1447" s="20" t="s">
        <v>8</v>
      </c>
      <c r="D1447" s="20" t="s">
        <v>10</v>
      </c>
      <c r="E1447" s="20" t="s">
        <v>12</v>
      </c>
      <c r="F1447" s="20" t="str">
        <f>INDEX(nrg_cb_e!$A$3:$A$40,MATCH(LEFT(MID('Industriesektor GWh'!$B1447,41,1000),SEARCH(" - ",MID('Industriesektor GWh'!$B1447,41,1000))-1),nrg_cb_e!$C$3:$C$40,0))</f>
        <v>FC_IND_CPC_E</v>
      </c>
      <c r="G1447" s="21">
        <v>479</v>
      </c>
    </row>
    <row r="1448" spans="1:7" x14ac:dyDescent="0.2">
      <c r="A1448" s="16" t="s">
        <v>52</v>
      </c>
      <c r="B1448" s="17" t="s">
        <v>63</v>
      </c>
      <c r="C1448" s="17" t="s">
        <v>8</v>
      </c>
      <c r="D1448" s="17" t="s">
        <v>10</v>
      </c>
      <c r="E1448" s="17" t="s">
        <v>13</v>
      </c>
      <c r="F1448" s="17" t="str">
        <f>INDEX(nrg_cb_e!$A$3:$A$40,MATCH(LEFT(MID('Industriesektor GWh'!$B1448,41,1000),SEARCH(" - ",MID('Industriesektor GWh'!$B1448,41,1000))-1),nrg_cb_e!$C$3:$C$40,0))</f>
        <v>FC_IND_CPC_E</v>
      </c>
      <c r="G1448" s="18">
        <v>897</v>
      </c>
    </row>
    <row r="1449" spans="1:7" x14ac:dyDescent="0.2">
      <c r="A1449" s="19" t="s">
        <v>52</v>
      </c>
      <c r="B1449" s="20" t="s">
        <v>63</v>
      </c>
      <c r="C1449" s="20" t="s">
        <v>8</v>
      </c>
      <c r="D1449" s="20" t="s">
        <v>10</v>
      </c>
      <c r="E1449" s="20" t="s">
        <v>14</v>
      </c>
      <c r="F1449" s="20" t="str">
        <f>INDEX(nrg_cb_e!$A$3:$A$40,MATCH(LEFT(MID('Industriesektor GWh'!$B1449,41,1000),SEARCH(" - ",MID('Industriesektor GWh'!$B1449,41,1000))-1),nrg_cb_e!$C$3:$C$40,0))</f>
        <v>FC_IND_CPC_E</v>
      </c>
      <c r="G1449" s="21">
        <v>903</v>
      </c>
    </row>
    <row r="1450" spans="1:7" x14ac:dyDescent="0.2">
      <c r="A1450" s="16" t="s">
        <v>52</v>
      </c>
      <c r="B1450" s="17" t="s">
        <v>63</v>
      </c>
      <c r="C1450" s="17" t="s">
        <v>8</v>
      </c>
      <c r="D1450" s="17" t="s">
        <v>10</v>
      </c>
      <c r="E1450" s="17" t="s">
        <v>15</v>
      </c>
      <c r="F1450" s="17" t="str">
        <f>INDEX(nrg_cb_e!$A$3:$A$40,MATCH(LEFT(MID('Industriesektor GWh'!$B1450,41,1000),SEARCH(" - ",MID('Industriesektor GWh'!$B1450,41,1000))-1),nrg_cb_e!$C$3:$C$40,0))</f>
        <v>FC_IND_CPC_E</v>
      </c>
      <c r="G1450" s="18">
        <v>852</v>
      </c>
    </row>
    <row r="1451" spans="1:7" x14ac:dyDescent="0.2">
      <c r="A1451" s="19" t="s">
        <v>52</v>
      </c>
      <c r="B1451" s="20" t="s">
        <v>63</v>
      </c>
      <c r="C1451" s="20" t="s">
        <v>8</v>
      </c>
      <c r="D1451" s="20" t="s">
        <v>10</v>
      </c>
      <c r="E1451" s="20" t="s">
        <v>16</v>
      </c>
      <c r="F1451" s="20" t="str">
        <f>INDEX(nrg_cb_e!$A$3:$A$40,MATCH(LEFT(MID('Industriesektor GWh'!$B1451,41,1000),SEARCH(" - ",MID('Industriesektor GWh'!$B1451,41,1000))-1),nrg_cb_e!$C$3:$C$40,0))</f>
        <v>FC_IND_CPC_E</v>
      </c>
      <c r="G1451" s="21">
        <v>832</v>
      </c>
    </row>
    <row r="1452" spans="1:7" x14ac:dyDescent="0.2">
      <c r="A1452" s="16" t="s">
        <v>52</v>
      </c>
      <c r="B1452" s="17" t="s">
        <v>63</v>
      </c>
      <c r="C1452" s="17" t="s">
        <v>8</v>
      </c>
      <c r="D1452" s="17" t="s">
        <v>10</v>
      </c>
      <c r="E1452" s="17" t="s">
        <v>17</v>
      </c>
      <c r="F1452" s="17" t="str">
        <f>INDEX(nrg_cb_e!$A$3:$A$40,MATCH(LEFT(MID('Industriesektor GWh'!$B1452,41,1000),SEARCH(" - ",MID('Industriesektor GWh'!$B1452,41,1000))-1),nrg_cb_e!$C$3:$C$40,0))</f>
        <v>FC_IND_CPC_E</v>
      </c>
      <c r="G1452" s="18">
        <v>900</v>
      </c>
    </row>
    <row r="1453" spans="1:7" x14ac:dyDescent="0.2">
      <c r="A1453" s="19" t="s">
        <v>52</v>
      </c>
      <c r="B1453" s="20" t="s">
        <v>63</v>
      </c>
      <c r="C1453" s="20" t="s">
        <v>8</v>
      </c>
      <c r="D1453" s="20" t="s">
        <v>10</v>
      </c>
      <c r="E1453" s="20" t="s">
        <v>18</v>
      </c>
      <c r="F1453" s="20" t="str">
        <f>INDEX(nrg_cb_e!$A$3:$A$40,MATCH(LEFT(MID('Industriesektor GWh'!$B1453,41,1000),SEARCH(" - ",MID('Industriesektor GWh'!$B1453,41,1000))-1),nrg_cb_e!$C$3:$C$40,0))</f>
        <v>FC_IND_CPC_E</v>
      </c>
      <c r="G1453" s="21">
        <v>621</v>
      </c>
    </row>
    <row r="1454" spans="1:7" x14ac:dyDescent="0.2">
      <c r="A1454" s="16" t="s">
        <v>52</v>
      </c>
      <c r="B1454" s="17" t="s">
        <v>63</v>
      </c>
      <c r="C1454" s="17" t="s">
        <v>8</v>
      </c>
      <c r="D1454" s="17" t="s">
        <v>10</v>
      </c>
      <c r="E1454" s="17" t="s">
        <v>19</v>
      </c>
      <c r="F1454" s="17" t="str">
        <f>INDEX(nrg_cb_e!$A$3:$A$40,MATCH(LEFT(MID('Industriesektor GWh'!$B1454,41,1000),SEARCH(" - ",MID('Industriesektor GWh'!$B1454,41,1000))-1),nrg_cb_e!$C$3:$C$40,0))</f>
        <v>FC_IND_CPC_E</v>
      </c>
      <c r="G1454" s="18">
        <v>615</v>
      </c>
    </row>
    <row r="1455" spans="1:7" x14ac:dyDescent="0.2">
      <c r="A1455" s="19" t="s">
        <v>52</v>
      </c>
      <c r="B1455" s="20" t="s">
        <v>63</v>
      </c>
      <c r="C1455" s="20" t="s">
        <v>8</v>
      </c>
      <c r="D1455" s="20" t="s">
        <v>10</v>
      </c>
      <c r="E1455" s="20" t="s">
        <v>20</v>
      </c>
      <c r="F1455" s="20" t="str">
        <f>INDEX(nrg_cb_e!$A$3:$A$40,MATCH(LEFT(MID('Industriesektor GWh'!$B1455,41,1000),SEARCH(" - ",MID('Industriesektor GWh'!$B1455,41,1000))-1),nrg_cb_e!$C$3:$C$40,0))</f>
        <v>FC_IND_CPC_E</v>
      </c>
      <c r="G1455" s="21">
        <v>662</v>
      </c>
    </row>
    <row r="1456" spans="1:7" x14ac:dyDescent="0.2">
      <c r="A1456" s="16" t="s">
        <v>52</v>
      </c>
      <c r="B1456" s="17" t="s">
        <v>63</v>
      </c>
      <c r="C1456" s="17" t="s">
        <v>8</v>
      </c>
      <c r="D1456" s="17" t="s">
        <v>10</v>
      </c>
      <c r="E1456" s="17" t="s">
        <v>21</v>
      </c>
      <c r="F1456" s="17" t="str">
        <f>INDEX(nrg_cb_e!$A$3:$A$40,MATCH(LEFT(MID('Industriesektor GWh'!$B1456,41,1000),SEARCH(" - ",MID('Industriesektor GWh'!$B1456,41,1000))-1),nrg_cb_e!$C$3:$C$40,0))</f>
        <v>FC_IND_CPC_E</v>
      </c>
      <c r="G1456" s="18">
        <v>647</v>
      </c>
    </row>
    <row r="1457" spans="1:7" x14ac:dyDescent="0.2">
      <c r="A1457" s="19" t="s">
        <v>52</v>
      </c>
      <c r="B1457" s="20" t="s">
        <v>63</v>
      </c>
      <c r="C1457" s="20" t="s">
        <v>8</v>
      </c>
      <c r="D1457" s="20" t="s">
        <v>10</v>
      </c>
      <c r="E1457" s="20" t="s">
        <v>22</v>
      </c>
      <c r="F1457" s="20" t="str">
        <f>INDEX(nrg_cb_e!$A$3:$A$40,MATCH(LEFT(MID('Industriesektor GWh'!$B1457,41,1000),SEARCH(" - ",MID('Industriesektor GWh'!$B1457,41,1000))-1),nrg_cb_e!$C$3:$C$40,0))</f>
        <v>FC_IND_CPC_E</v>
      </c>
      <c r="G1457" s="21">
        <v>648</v>
      </c>
    </row>
    <row r="1458" spans="1:7" x14ac:dyDescent="0.2">
      <c r="A1458" s="16" t="s">
        <v>52</v>
      </c>
      <c r="B1458" s="17" t="s">
        <v>63</v>
      </c>
      <c r="C1458" s="17" t="s">
        <v>8</v>
      </c>
      <c r="D1458" s="17" t="s">
        <v>10</v>
      </c>
      <c r="E1458" s="17" t="s">
        <v>23</v>
      </c>
      <c r="F1458" s="17" t="str">
        <f>INDEX(nrg_cb_e!$A$3:$A$40,MATCH(LEFT(MID('Industriesektor GWh'!$B1458,41,1000),SEARCH(" - ",MID('Industriesektor GWh'!$B1458,41,1000))-1),nrg_cb_e!$C$3:$C$40,0))</f>
        <v>FC_IND_CPC_E</v>
      </c>
      <c r="G1458" s="18">
        <v>621</v>
      </c>
    </row>
    <row r="1459" spans="1:7" x14ac:dyDescent="0.2">
      <c r="A1459" s="19" t="s">
        <v>52</v>
      </c>
      <c r="B1459" s="20" t="s">
        <v>63</v>
      </c>
      <c r="C1459" s="20" t="s">
        <v>8</v>
      </c>
      <c r="D1459" s="20" t="s">
        <v>10</v>
      </c>
      <c r="E1459" s="20" t="s">
        <v>24</v>
      </c>
      <c r="F1459" s="20" t="str">
        <f>INDEX(nrg_cb_e!$A$3:$A$40,MATCH(LEFT(MID('Industriesektor GWh'!$B1459,41,1000),SEARCH(" - ",MID('Industriesektor GWh'!$B1459,41,1000))-1),nrg_cb_e!$C$3:$C$40,0))</f>
        <v>FC_IND_CPC_E</v>
      </c>
      <c r="G1459" s="21">
        <v>662</v>
      </c>
    </row>
    <row r="1460" spans="1:7" x14ac:dyDescent="0.2">
      <c r="A1460" s="16" t="s">
        <v>52</v>
      </c>
      <c r="B1460" s="17" t="s">
        <v>63</v>
      </c>
      <c r="C1460" s="17" t="s">
        <v>8</v>
      </c>
      <c r="D1460" s="17" t="s">
        <v>10</v>
      </c>
      <c r="E1460" s="17" t="s">
        <v>25</v>
      </c>
      <c r="F1460" s="17" t="str">
        <f>INDEX(nrg_cb_e!$A$3:$A$40,MATCH(LEFT(MID('Industriesektor GWh'!$B1460,41,1000),SEARCH(" - ",MID('Industriesektor GWh'!$B1460,41,1000))-1),nrg_cb_e!$C$3:$C$40,0))</f>
        <v>FC_IND_CPC_E</v>
      </c>
      <c r="G1460" s="18">
        <v>678</v>
      </c>
    </row>
    <row r="1461" spans="1:7" x14ac:dyDescent="0.2">
      <c r="A1461" s="19" t="s">
        <v>52</v>
      </c>
      <c r="B1461" s="20" t="s">
        <v>63</v>
      </c>
      <c r="C1461" s="20" t="s">
        <v>8</v>
      </c>
      <c r="D1461" s="20" t="s">
        <v>10</v>
      </c>
      <c r="E1461" s="20" t="s">
        <v>26</v>
      </c>
      <c r="F1461" s="20" t="str">
        <f>INDEX(nrg_cb_e!$A$3:$A$40,MATCH(LEFT(MID('Industriesektor GWh'!$B1461,41,1000),SEARCH(" - ",MID('Industriesektor GWh'!$B1461,41,1000))-1),nrg_cb_e!$C$3:$C$40,0))</f>
        <v>FC_IND_CPC_E</v>
      </c>
      <c r="G1461" s="21">
        <v>677</v>
      </c>
    </row>
    <row r="1462" spans="1:7" x14ac:dyDescent="0.2">
      <c r="A1462" s="16" t="s">
        <v>52</v>
      </c>
      <c r="B1462" s="17" t="s">
        <v>63</v>
      </c>
      <c r="C1462" s="17" t="s">
        <v>8</v>
      </c>
      <c r="D1462" s="17" t="s">
        <v>10</v>
      </c>
      <c r="E1462" s="17" t="s">
        <v>27</v>
      </c>
      <c r="F1462" s="17" t="str">
        <f>INDEX(nrg_cb_e!$A$3:$A$40,MATCH(LEFT(MID('Industriesektor GWh'!$B1462,41,1000),SEARCH(" - ",MID('Industriesektor GWh'!$B1462,41,1000))-1),nrg_cb_e!$C$3:$C$40,0))</f>
        <v>FC_IND_CPC_E</v>
      </c>
      <c r="G1462" s="18">
        <v>692.81799999999998</v>
      </c>
    </row>
    <row r="1463" spans="1:7" x14ac:dyDescent="0.2">
      <c r="A1463" s="19" t="s">
        <v>52</v>
      </c>
      <c r="B1463" s="20" t="s">
        <v>63</v>
      </c>
      <c r="C1463" s="20" t="s">
        <v>8</v>
      </c>
      <c r="D1463" s="20" t="s">
        <v>10</v>
      </c>
      <c r="E1463" s="20" t="s">
        <v>28</v>
      </c>
      <c r="F1463" s="20" t="str">
        <f>INDEX(nrg_cb_e!$A$3:$A$40,MATCH(LEFT(MID('Industriesektor GWh'!$B1463,41,1000),SEARCH(" - ",MID('Industriesektor GWh'!$B1463,41,1000))-1),nrg_cb_e!$C$3:$C$40,0))</f>
        <v>FC_IND_CPC_E</v>
      </c>
      <c r="G1463" s="21">
        <v>641.35599999999999</v>
      </c>
    </row>
    <row r="1464" spans="1:7" x14ac:dyDescent="0.2">
      <c r="A1464" s="16" t="s">
        <v>53</v>
      </c>
      <c r="B1464" s="17" t="s">
        <v>63</v>
      </c>
      <c r="C1464" s="17" t="s">
        <v>8</v>
      </c>
      <c r="D1464" s="17" t="s">
        <v>10</v>
      </c>
      <c r="E1464" s="17" t="s">
        <v>12</v>
      </c>
      <c r="F1464" s="17" t="str">
        <f>INDEX(nrg_cb_e!$A$3:$A$40,MATCH(LEFT(MID('Industriesektor GWh'!$B1464,41,1000),SEARCH(" - ",MID('Industriesektor GWh'!$B1464,41,1000))-1),nrg_cb_e!$C$3:$C$40,0))</f>
        <v>FC_IND_CPC_E</v>
      </c>
      <c r="G1464" s="18">
        <v>1415</v>
      </c>
    </row>
    <row r="1465" spans="1:7" x14ac:dyDescent="0.2">
      <c r="A1465" s="19" t="s">
        <v>53</v>
      </c>
      <c r="B1465" s="20" t="s">
        <v>63</v>
      </c>
      <c r="C1465" s="20" t="s">
        <v>8</v>
      </c>
      <c r="D1465" s="20" t="s">
        <v>10</v>
      </c>
      <c r="E1465" s="20" t="s">
        <v>13</v>
      </c>
      <c r="F1465" s="20" t="str">
        <f>INDEX(nrg_cb_e!$A$3:$A$40,MATCH(LEFT(MID('Industriesektor GWh'!$B1465,41,1000),SEARCH(" - ",MID('Industriesektor GWh'!$B1465,41,1000))-1),nrg_cb_e!$C$3:$C$40,0))</f>
        <v>FC_IND_CPC_E</v>
      </c>
      <c r="G1465" s="21">
        <v>1460</v>
      </c>
    </row>
    <row r="1466" spans="1:7" x14ac:dyDescent="0.2">
      <c r="A1466" s="16" t="s">
        <v>53</v>
      </c>
      <c r="B1466" s="17" t="s">
        <v>63</v>
      </c>
      <c r="C1466" s="17" t="s">
        <v>8</v>
      </c>
      <c r="D1466" s="17" t="s">
        <v>10</v>
      </c>
      <c r="E1466" s="17" t="s">
        <v>14</v>
      </c>
      <c r="F1466" s="17" t="str">
        <f>INDEX(nrg_cb_e!$A$3:$A$40,MATCH(LEFT(MID('Industriesektor GWh'!$B1466,41,1000),SEARCH(" - ",MID('Industriesektor GWh'!$B1466,41,1000))-1),nrg_cb_e!$C$3:$C$40,0))</f>
        <v>FC_IND_CPC_E</v>
      </c>
      <c r="G1466" s="18">
        <v>1406</v>
      </c>
    </row>
    <row r="1467" spans="1:7" x14ac:dyDescent="0.2">
      <c r="A1467" s="19" t="s">
        <v>53</v>
      </c>
      <c r="B1467" s="20" t="s">
        <v>63</v>
      </c>
      <c r="C1467" s="20" t="s">
        <v>8</v>
      </c>
      <c r="D1467" s="20" t="s">
        <v>10</v>
      </c>
      <c r="E1467" s="20" t="s">
        <v>15</v>
      </c>
      <c r="F1467" s="20" t="str">
        <f>INDEX(nrg_cb_e!$A$3:$A$40,MATCH(LEFT(MID('Industriesektor GWh'!$B1467,41,1000),SEARCH(" - ",MID('Industriesektor GWh'!$B1467,41,1000))-1),nrg_cb_e!$C$3:$C$40,0))</f>
        <v>FC_IND_CPC_E</v>
      </c>
      <c r="G1467" s="21">
        <v>1699</v>
      </c>
    </row>
    <row r="1468" spans="1:7" x14ac:dyDescent="0.2">
      <c r="A1468" s="16" t="s">
        <v>53</v>
      </c>
      <c r="B1468" s="17" t="s">
        <v>63</v>
      </c>
      <c r="C1468" s="17" t="s">
        <v>8</v>
      </c>
      <c r="D1468" s="17" t="s">
        <v>10</v>
      </c>
      <c r="E1468" s="17" t="s">
        <v>16</v>
      </c>
      <c r="F1468" s="17" t="str">
        <f>INDEX(nrg_cb_e!$A$3:$A$40,MATCH(LEFT(MID('Industriesektor GWh'!$B1468,41,1000),SEARCH(" - ",MID('Industriesektor GWh'!$B1468,41,1000))-1),nrg_cb_e!$C$3:$C$40,0))</f>
        <v>FC_IND_CPC_E</v>
      </c>
      <c r="G1468" s="18">
        <v>1797</v>
      </c>
    </row>
    <row r="1469" spans="1:7" x14ac:dyDescent="0.2">
      <c r="A1469" s="19" t="s">
        <v>53</v>
      </c>
      <c r="B1469" s="20" t="s">
        <v>63</v>
      </c>
      <c r="C1469" s="20" t="s">
        <v>8</v>
      </c>
      <c r="D1469" s="20" t="s">
        <v>10</v>
      </c>
      <c r="E1469" s="20" t="s">
        <v>17</v>
      </c>
      <c r="F1469" s="20" t="str">
        <f>INDEX(nrg_cb_e!$A$3:$A$40,MATCH(LEFT(MID('Industriesektor GWh'!$B1469,41,1000),SEARCH(" - ",MID('Industriesektor GWh'!$B1469,41,1000))-1),nrg_cb_e!$C$3:$C$40,0))</f>
        <v>FC_IND_CPC_E</v>
      </c>
      <c r="G1469" s="21">
        <v>1774</v>
      </c>
    </row>
    <row r="1470" spans="1:7" x14ac:dyDescent="0.2">
      <c r="A1470" s="16" t="s">
        <v>53</v>
      </c>
      <c r="B1470" s="17" t="s">
        <v>63</v>
      </c>
      <c r="C1470" s="17" t="s">
        <v>8</v>
      </c>
      <c r="D1470" s="17" t="s">
        <v>10</v>
      </c>
      <c r="E1470" s="17" t="s">
        <v>18</v>
      </c>
      <c r="F1470" s="17" t="str">
        <f>INDEX(nrg_cb_e!$A$3:$A$40,MATCH(LEFT(MID('Industriesektor GWh'!$B1470,41,1000),SEARCH(" - ",MID('Industriesektor GWh'!$B1470,41,1000))-1),nrg_cb_e!$C$3:$C$40,0))</f>
        <v>FC_IND_CPC_E</v>
      </c>
      <c r="G1470" s="18">
        <v>1564</v>
      </c>
    </row>
    <row r="1471" spans="1:7" x14ac:dyDescent="0.2">
      <c r="A1471" s="19" t="s">
        <v>53</v>
      </c>
      <c r="B1471" s="20" t="s">
        <v>63</v>
      </c>
      <c r="C1471" s="20" t="s">
        <v>8</v>
      </c>
      <c r="D1471" s="20" t="s">
        <v>10</v>
      </c>
      <c r="E1471" s="20" t="s">
        <v>19</v>
      </c>
      <c r="F1471" s="20" t="str">
        <f>INDEX(nrg_cb_e!$A$3:$A$40,MATCH(LEFT(MID('Industriesektor GWh'!$B1471,41,1000),SEARCH(" - ",MID('Industriesektor GWh'!$B1471,41,1000))-1),nrg_cb_e!$C$3:$C$40,0))</f>
        <v>FC_IND_CPC_E</v>
      </c>
      <c r="G1471" s="21">
        <v>1387</v>
      </c>
    </row>
    <row r="1472" spans="1:7" x14ac:dyDescent="0.2">
      <c r="A1472" s="16" t="s">
        <v>53</v>
      </c>
      <c r="B1472" s="17" t="s">
        <v>63</v>
      </c>
      <c r="C1472" s="17" t="s">
        <v>8</v>
      </c>
      <c r="D1472" s="17" t="s">
        <v>10</v>
      </c>
      <c r="E1472" s="17" t="s">
        <v>20</v>
      </c>
      <c r="F1472" s="17" t="str">
        <f>INDEX(nrg_cb_e!$A$3:$A$40,MATCH(LEFT(MID('Industriesektor GWh'!$B1472,41,1000),SEARCH(" - ",MID('Industriesektor GWh'!$B1472,41,1000))-1),nrg_cb_e!$C$3:$C$40,0))</f>
        <v>FC_IND_CPC_E</v>
      </c>
      <c r="G1472" s="18">
        <v>804</v>
      </c>
    </row>
    <row r="1473" spans="1:7" x14ac:dyDescent="0.2">
      <c r="A1473" s="19" t="s">
        <v>53</v>
      </c>
      <c r="B1473" s="20" t="s">
        <v>63</v>
      </c>
      <c r="C1473" s="20" t="s">
        <v>8</v>
      </c>
      <c r="D1473" s="20" t="s">
        <v>10</v>
      </c>
      <c r="E1473" s="20" t="s">
        <v>21</v>
      </c>
      <c r="F1473" s="20" t="str">
        <f>INDEX(nrg_cb_e!$A$3:$A$40,MATCH(LEFT(MID('Industriesektor GWh'!$B1473,41,1000),SEARCH(" - ",MID('Industriesektor GWh'!$B1473,41,1000))-1),nrg_cb_e!$C$3:$C$40,0))</f>
        <v>FC_IND_CPC_E</v>
      </c>
      <c r="G1473" s="21">
        <v>917</v>
      </c>
    </row>
    <row r="1474" spans="1:7" x14ac:dyDescent="0.2">
      <c r="A1474" s="16" t="s">
        <v>53</v>
      </c>
      <c r="B1474" s="17" t="s">
        <v>63</v>
      </c>
      <c r="C1474" s="17" t="s">
        <v>8</v>
      </c>
      <c r="D1474" s="17" t="s">
        <v>10</v>
      </c>
      <c r="E1474" s="17" t="s">
        <v>22</v>
      </c>
      <c r="F1474" s="17" t="str">
        <f>INDEX(nrg_cb_e!$A$3:$A$40,MATCH(LEFT(MID('Industriesektor GWh'!$B1474,41,1000),SEARCH(" - ",MID('Industriesektor GWh'!$B1474,41,1000))-1),nrg_cb_e!$C$3:$C$40,0))</f>
        <v>FC_IND_CPC_E</v>
      </c>
      <c r="G1474" s="18">
        <v>1403</v>
      </c>
    </row>
    <row r="1475" spans="1:7" x14ac:dyDescent="0.2">
      <c r="A1475" s="19" t="s">
        <v>53</v>
      </c>
      <c r="B1475" s="20" t="s">
        <v>63</v>
      </c>
      <c r="C1475" s="20" t="s">
        <v>8</v>
      </c>
      <c r="D1475" s="20" t="s">
        <v>10</v>
      </c>
      <c r="E1475" s="20" t="s">
        <v>23</v>
      </c>
      <c r="F1475" s="20" t="str">
        <f>INDEX(nrg_cb_e!$A$3:$A$40,MATCH(LEFT(MID('Industriesektor GWh'!$B1475,41,1000),SEARCH(" - ",MID('Industriesektor GWh'!$B1475,41,1000))-1),nrg_cb_e!$C$3:$C$40,0))</f>
        <v>FC_IND_CPC_E</v>
      </c>
      <c r="G1475" s="21">
        <v>1347</v>
      </c>
    </row>
    <row r="1476" spans="1:7" x14ac:dyDescent="0.2">
      <c r="A1476" s="16" t="s">
        <v>53</v>
      </c>
      <c r="B1476" s="17" t="s">
        <v>63</v>
      </c>
      <c r="C1476" s="17" t="s">
        <v>8</v>
      </c>
      <c r="D1476" s="17" t="s">
        <v>10</v>
      </c>
      <c r="E1476" s="17" t="s">
        <v>24</v>
      </c>
      <c r="F1476" s="17" t="str">
        <f>INDEX(nrg_cb_e!$A$3:$A$40,MATCH(LEFT(MID('Industriesektor GWh'!$B1476,41,1000),SEARCH(" - ",MID('Industriesektor GWh'!$B1476,41,1000))-1),nrg_cb_e!$C$3:$C$40,0))</f>
        <v>FC_IND_CPC_E</v>
      </c>
      <c r="G1476" s="18">
        <v>1203</v>
      </c>
    </row>
    <row r="1477" spans="1:7" x14ac:dyDescent="0.2">
      <c r="A1477" s="19" t="s">
        <v>53</v>
      </c>
      <c r="B1477" s="20" t="s">
        <v>63</v>
      </c>
      <c r="C1477" s="20" t="s">
        <v>8</v>
      </c>
      <c r="D1477" s="20" t="s">
        <v>10</v>
      </c>
      <c r="E1477" s="20" t="s">
        <v>25</v>
      </c>
      <c r="F1477" s="20" t="str">
        <f>INDEX(nrg_cb_e!$A$3:$A$40,MATCH(LEFT(MID('Industriesektor GWh'!$B1477,41,1000),SEARCH(" - ",MID('Industriesektor GWh'!$B1477,41,1000))-1),nrg_cb_e!$C$3:$C$40,0))</f>
        <v>FC_IND_CPC_E</v>
      </c>
      <c r="G1477" s="21">
        <v>1312</v>
      </c>
    </row>
    <row r="1478" spans="1:7" x14ac:dyDescent="0.2">
      <c r="A1478" s="16" t="s">
        <v>53</v>
      </c>
      <c r="B1478" s="17" t="s">
        <v>63</v>
      </c>
      <c r="C1478" s="17" t="s">
        <v>8</v>
      </c>
      <c r="D1478" s="17" t="s">
        <v>10</v>
      </c>
      <c r="E1478" s="17" t="s">
        <v>26</v>
      </c>
      <c r="F1478" s="17" t="str">
        <f>INDEX(nrg_cb_e!$A$3:$A$40,MATCH(LEFT(MID('Industriesektor GWh'!$B1478,41,1000),SEARCH(" - ",MID('Industriesektor GWh'!$B1478,41,1000))-1),nrg_cb_e!$C$3:$C$40,0))</f>
        <v>FC_IND_CPC_E</v>
      </c>
      <c r="G1478" s="18">
        <v>1264</v>
      </c>
    </row>
    <row r="1479" spans="1:7" x14ac:dyDescent="0.2">
      <c r="A1479" s="19" t="s">
        <v>53</v>
      </c>
      <c r="B1479" s="20" t="s">
        <v>63</v>
      </c>
      <c r="C1479" s="20" t="s">
        <v>8</v>
      </c>
      <c r="D1479" s="20" t="s">
        <v>10</v>
      </c>
      <c r="E1479" s="20" t="s">
        <v>27</v>
      </c>
      <c r="F1479" s="20" t="str">
        <f>INDEX(nrg_cb_e!$A$3:$A$40,MATCH(LEFT(MID('Industriesektor GWh'!$B1479,41,1000),SEARCH(" - ",MID('Industriesektor GWh'!$B1479,41,1000))-1),nrg_cb_e!$C$3:$C$40,0))</f>
        <v>FC_IND_CPC_E</v>
      </c>
      <c r="G1479" s="21">
        <v>1108</v>
      </c>
    </row>
    <row r="1480" spans="1:7" x14ac:dyDescent="0.2">
      <c r="A1480" s="16" t="s">
        <v>53</v>
      </c>
      <c r="B1480" s="17" t="s">
        <v>63</v>
      </c>
      <c r="C1480" s="17" t="s">
        <v>8</v>
      </c>
      <c r="D1480" s="17" t="s">
        <v>10</v>
      </c>
      <c r="E1480" s="17" t="s">
        <v>28</v>
      </c>
      <c r="F1480" s="17" t="str">
        <f>INDEX(nrg_cb_e!$A$3:$A$40,MATCH(LEFT(MID('Industriesektor GWh'!$B1480,41,1000),SEARCH(" - ",MID('Industriesektor GWh'!$B1480,41,1000))-1),nrg_cb_e!$C$3:$C$40,0))</f>
        <v>FC_IND_CPC_E</v>
      </c>
      <c r="G1480" s="18">
        <v>961</v>
      </c>
    </row>
    <row r="1481" spans="1:7" x14ac:dyDescent="0.2">
      <c r="A1481" s="19" t="s">
        <v>54</v>
      </c>
      <c r="B1481" s="20" t="s">
        <v>63</v>
      </c>
      <c r="C1481" s="20" t="s">
        <v>8</v>
      </c>
      <c r="D1481" s="20" t="s">
        <v>10</v>
      </c>
      <c r="E1481" s="20" t="s">
        <v>12</v>
      </c>
      <c r="F1481" s="20" t="str">
        <f>INDEX(nrg_cb_e!$A$3:$A$40,MATCH(LEFT(MID('Industriesektor GWh'!$B1481,41,1000),SEARCH(" - ",MID('Industriesektor GWh'!$B1481,41,1000))-1),nrg_cb_e!$C$3:$C$40,0))</f>
        <v>FC_IND_CPC_E</v>
      </c>
      <c r="G1481" s="21">
        <v>4568</v>
      </c>
    </row>
    <row r="1482" spans="1:7" x14ac:dyDescent="0.2">
      <c r="A1482" s="16" t="s">
        <v>54</v>
      </c>
      <c r="B1482" s="17" t="s">
        <v>63</v>
      </c>
      <c r="C1482" s="17" t="s">
        <v>8</v>
      </c>
      <c r="D1482" s="17" t="s">
        <v>10</v>
      </c>
      <c r="E1482" s="17" t="s">
        <v>13</v>
      </c>
      <c r="F1482" s="17" t="str">
        <f>INDEX(nrg_cb_e!$A$3:$A$40,MATCH(LEFT(MID('Industriesektor GWh'!$B1482,41,1000),SEARCH(" - ",MID('Industriesektor GWh'!$B1482,41,1000))-1),nrg_cb_e!$C$3:$C$40,0))</f>
        <v>FC_IND_CPC_E</v>
      </c>
      <c r="G1482" s="18">
        <v>4621</v>
      </c>
    </row>
    <row r="1483" spans="1:7" x14ac:dyDescent="0.2">
      <c r="A1483" s="19" t="s">
        <v>54</v>
      </c>
      <c r="B1483" s="20" t="s">
        <v>63</v>
      </c>
      <c r="C1483" s="20" t="s">
        <v>8</v>
      </c>
      <c r="D1483" s="20" t="s">
        <v>10</v>
      </c>
      <c r="E1483" s="20" t="s">
        <v>14</v>
      </c>
      <c r="F1483" s="20" t="str">
        <f>INDEX(nrg_cb_e!$A$3:$A$40,MATCH(LEFT(MID('Industriesektor GWh'!$B1483,41,1000),SEARCH(" - ",MID('Industriesektor GWh'!$B1483,41,1000))-1),nrg_cb_e!$C$3:$C$40,0))</f>
        <v>FC_IND_CPC_E</v>
      </c>
      <c r="G1483" s="21">
        <v>4770</v>
      </c>
    </row>
    <row r="1484" spans="1:7" x14ac:dyDescent="0.2">
      <c r="A1484" s="16" t="s">
        <v>54</v>
      </c>
      <c r="B1484" s="17" t="s">
        <v>63</v>
      </c>
      <c r="C1484" s="17" t="s">
        <v>8</v>
      </c>
      <c r="D1484" s="17" t="s">
        <v>10</v>
      </c>
      <c r="E1484" s="17" t="s">
        <v>15</v>
      </c>
      <c r="F1484" s="17" t="str">
        <f>INDEX(nrg_cb_e!$A$3:$A$40,MATCH(LEFT(MID('Industriesektor GWh'!$B1484,41,1000),SEARCH(" - ",MID('Industriesektor GWh'!$B1484,41,1000))-1),nrg_cb_e!$C$3:$C$40,0))</f>
        <v>FC_IND_CPC_E</v>
      </c>
      <c r="G1484" s="18">
        <v>4619</v>
      </c>
    </row>
    <row r="1485" spans="1:7" x14ac:dyDescent="0.2">
      <c r="A1485" s="19" t="s">
        <v>54</v>
      </c>
      <c r="B1485" s="20" t="s">
        <v>63</v>
      </c>
      <c r="C1485" s="20" t="s">
        <v>8</v>
      </c>
      <c r="D1485" s="20" t="s">
        <v>10</v>
      </c>
      <c r="E1485" s="20" t="s">
        <v>16</v>
      </c>
      <c r="F1485" s="20" t="str">
        <f>INDEX(nrg_cb_e!$A$3:$A$40,MATCH(LEFT(MID('Industriesektor GWh'!$B1485,41,1000),SEARCH(" - ",MID('Industriesektor GWh'!$B1485,41,1000))-1),nrg_cb_e!$C$3:$C$40,0))</f>
        <v>FC_IND_CPC_E</v>
      </c>
      <c r="G1485" s="21">
        <v>4878</v>
      </c>
    </row>
    <row r="1486" spans="1:7" x14ac:dyDescent="0.2">
      <c r="A1486" s="16" t="s">
        <v>54</v>
      </c>
      <c r="B1486" s="17" t="s">
        <v>63</v>
      </c>
      <c r="C1486" s="17" t="s">
        <v>8</v>
      </c>
      <c r="D1486" s="17" t="s">
        <v>10</v>
      </c>
      <c r="E1486" s="17" t="s">
        <v>17</v>
      </c>
      <c r="F1486" s="17" t="str">
        <f>INDEX(nrg_cb_e!$A$3:$A$40,MATCH(LEFT(MID('Industriesektor GWh'!$B1486,41,1000),SEARCH(" - ",MID('Industriesektor GWh'!$B1486,41,1000))-1),nrg_cb_e!$C$3:$C$40,0))</f>
        <v>FC_IND_CPC_E</v>
      </c>
      <c r="G1486" s="18">
        <v>5064</v>
      </c>
    </row>
    <row r="1487" spans="1:7" x14ac:dyDescent="0.2">
      <c r="A1487" s="19" t="s">
        <v>54</v>
      </c>
      <c r="B1487" s="20" t="s">
        <v>63</v>
      </c>
      <c r="C1487" s="20" t="s">
        <v>8</v>
      </c>
      <c r="D1487" s="20" t="s">
        <v>10</v>
      </c>
      <c r="E1487" s="20" t="s">
        <v>18</v>
      </c>
      <c r="F1487" s="20" t="str">
        <f>INDEX(nrg_cb_e!$A$3:$A$40,MATCH(LEFT(MID('Industriesektor GWh'!$B1487,41,1000),SEARCH(" - ",MID('Industriesektor GWh'!$B1487,41,1000))-1),nrg_cb_e!$C$3:$C$40,0))</f>
        <v>FC_IND_CPC_E</v>
      </c>
      <c r="G1487" s="21">
        <v>4768</v>
      </c>
    </row>
    <row r="1488" spans="1:7" x14ac:dyDescent="0.2">
      <c r="A1488" s="16" t="s">
        <v>54</v>
      </c>
      <c r="B1488" s="17" t="s">
        <v>63</v>
      </c>
      <c r="C1488" s="17" t="s">
        <v>8</v>
      </c>
      <c r="D1488" s="17" t="s">
        <v>10</v>
      </c>
      <c r="E1488" s="17" t="s">
        <v>19</v>
      </c>
      <c r="F1488" s="17" t="str">
        <f>INDEX(nrg_cb_e!$A$3:$A$40,MATCH(LEFT(MID('Industriesektor GWh'!$B1488,41,1000),SEARCH(" - ",MID('Industriesektor GWh'!$B1488,41,1000))-1),nrg_cb_e!$C$3:$C$40,0))</f>
        <v>FC_IND_CPC_E</v>
      </c>
      <c r="G1488" s="18">
        <v>4299</v>
      </c>
    </row>
    <row r="1489" spans="1:7" x14ac:dyDescent="0.2">
      <c r="A1489" s="19" t="s">
        <v>54</v>
      </c>
      <c r="B1489" s="20" t="s">
        <v>63</v>
      </c>
      <c r="C1489" s="20" t="s">
        <v>8</v>
      </c>
      <c r="D1489" s="20" t="s">
        <v>10</v>
      </c>
      <c r="E1489" s="20" t="s">
        <v>20</v>
      </c>
      <c r="F1489" s="20" t="str">
        <f>INDEX(nrg_cb_e!$A$3:$A$40,MATCH(LEFT(MID('Industriesektor GWh'!$B1489,41,1000),SEARCH(" - ",MID('Industriesektor GWh'!$B1489,41,1000))-1),nrg_cb_e!$C$3:$C$40,0))</f>
        <v>FC_IND_CPC_E</v>
      </c>
      <c r="G1489" s="21">
        <v>4595</v>
      </c>
    </row>
    <row r="1490" spans="1:7" x14ac:dyDescent="0.2">
      <c r="A1490" s="16" t="s">
        <v>54</v>
      </c>
      <c r="B1490" s="17" t="s">
        <v>63</v>
      </c>
      <c r="C1490" s="17" t="s">
        <v>8</v>
      </c>
      <c r="D1490" s="17" t="s">
        <v>10</v>
      </c>
      <c r="E1490" s="17" t="s">
        <v>21</v>
      </c>
      <c r="F1490" s="17" t="str">
        <f>INDEX(nrg_cb_e!$A$3:$A$40,MATCH(LEFT(MID('Industriesektor GWh'!$B1490,41,1000),SEARCH(" - ",MID('Industriesektor GWh'!$B1490,41,1000))-1),nrg_cb_e!$C$3:$C$40,0))</f>
        <v>FC_IND_CPC_E</v>
      </c>
      <c r="G1490" s="18">
        <v>4745</v>
      </c>
    </row>
    <row r="1491" spans="1:7" x14ac:dyDescent="0.2">
      <c r="A1491" s="19" t="s">
        <v>54</v>
      </c>
      <c r="B1491" s="20" t="s">
        <v>63</v>
      </c>
      <c r="C1491" s="20" t="s">
        <v>8</v>
      </c>
      <c r="D1491" s="20" t="s">
        <v>10</v>
      </c>
      <c r="E1491" s="20" t="s">
        <v>22</v>
      </c>
      <c r="F1491" s="20" t="str">
        <f>INDEX(nrg_cb_e!$A$3:$A$40,MATCH(LEFT(MID('Industriesektor GWh'!$B1491,41,1000),SEARCH(" - ",MID('Industriesektor GWh'!$B1491,41,1000))-1),nrg_cb_e!$C$3:$C$40,0))</f>
        <v>FC_IND_CPC_E</v>
      </c>
      <c r="G1491" s="21">
        <v>4637</v>
      </c>
    </row>
    <row r="1492" spans="1:7" x14ac:dyDescent="0.2">
      <c r="A1492" s="16" t="s">
        <v>54</v>
      </c>
      <c r="B1492" s="17" t="s">
        <v>63</v>
      </c>
      <c r="C1492" s="17" t="s">
        <v>8</v>
      </c>
      <c r="D1492" s="17" t="s">
        <v>10</v>
      </c>
      <c r="E1492" s="17" t="s">
        <v>23</v>
      </c>
      <c r="F1492" s="17" t="str">
        <f>INDEX(nrg_cb_e!$A$3:$A$40,MATCH(LEFT(MID('Industriesektor GWh'!$B1492,41,1000),SEARCH(" - ",MID('Industriesektor GWh'!$B1492,41,1000))-1),nrg_cb_e!$C$3:$C$40,0))</f>
        <v>FC_IND_CPC_E</v>
      </c>
      <c r="G1492" s="18">
        <v>4751</v>
      </c>
    </row>
    <row r="1493" spans="1:7" x14ac:dyDescent="0.2">
      <c r="A1493" s="19" t="s">
        <v>54</v>
      </c>
      <c r="B1493" s="20" t="s">
        <v>63</v>
      </c>
      <c r="C1493" s="20" t="s">
        <v>8</v>
      </c>
      <c r="D1493" s="20" t="s">
        <v>10</v>
      </c>
      <c r="E1493" s="20" t="s">
        <v>24</v>
      </c>
      <c r="F1493" s="20" t="str">
        <f>INDEX(nrg_cb_e!$A$3:$A$40,MATCH(LEFT(MID('Industriesektor GWh'!$B1493,41,1000),SEARCH(" - ",MID('Industriesektor GWh'!$B1493,41,1000))-1),nrg_cb_e!$C$3:$C$40,0))</f>
        <v>FC_IND_CPC_E</v>
      </c>
      <c r="G1493" s="21">
        <v>4679</v>
      </c>
    </row>
    <row r="1494" spans="1:7" x14ac:dyDescent="0.2">
      <c r="A1494" s="16" t="s">
        <v>54</v>
      </c>
      <c r="B1494" s="17" t="s">
        <v>63</v>
      </c>
      <c r="C1494" s="17" t="s">
        <v>8</v>
      </c>
      <c r="D1494" s="17" t="s">
        <v>10</v>
      </c>
      <c r="E1494" s="17" t="s">
        <v>25</v>
      </c>
      <c r="F1494" s="17" t="str">
        <f>INDEX(nrg_cb_e!$A$3:$A$40,MATCH(LEFT(MID('Industriesektor GWh'!$B1494,41,1000),SEARCH(" - ",MID('Industriesektor GWh'!$B1494,41,1000))-1),nrg_cb_e!$C$3:$C$40,0))</f>
        <v>FC_IND_CPC_E</v>
      </c>
      <c r="G1494" s="18">
        <v>4695</v>
      </c>
    </row>
    <row r="1495" spans="1:7" x14ac:dyDescent="0.2">
      <c r="A1495" s="19" t="s">
        <v>54</v>
      </c>
      <c r="B1495" s="20" t="s">
        <v>63</v>
      </c>
      <c r="C1495" s="20" t="s">
        <v>8</v>
      </c>
      <c r="D1495" s="20" t="s">
        <v>10</v>
      </c>
      <c r="E1495" s="20" t="s">
        <v>26</v>
      </c>
      <c r="F1495" s="20" t="str">
        <f>INDEX(nrg_cb_e!$A$3:$A$40,MATCH(LEFT(MID('Industriesektor GWh'!$B1495,41,1000),SEARCH(" - ",MID('Industriesektor GWh'!$B1495,41,1000))-1),nrg_cb_e!$C$3:$C$40,0))</f>
        <v>FC_IND_CPC_E</v>
      </c>
      <c r="G1495" s="21">
        <v>5004</v>
      </c>
    </row>
    <row r="1496" spans="1:7" x14ac:dyDescent="0.2">
      <c r="A1496" s="16" t="s">
        <v>54</v>
      </c>
      <c r="B1496" s="17" t="s">
        <v>63</v>
      </c>
      <c r="C1496" s="17" t="s">
        <v>8</v>
      </c>
      <c r="D1496" s="17" t="s">
        <v>10</v>
      </c>
      <c r="E1496" s="17" t="s">
        <v>27</v>
      </c>
      <c r="F1496" s="17" t="str">
        <f>INDEX(nrg_cb_e!$A$3:$A$40,MATCH(LEFT(MID('Industriesektor GWh'!$B1496,41,1000),SEARCH(" - ",MID('Industriesektor GWh'!$B1496,41,1000))-1),nrg_cb_e!$C$3:$C$40,0))</f>
        <v>FC_IND_CPC_E</v>
      </c>
      <c r="G1496" s="18">
        <v>4614</v>
      </c>
    </row>
    <row r="1497" spans="1:7" x14ac:dyDescent="0.2">
      <c r="A1497" s="19" t="s">
        <v>54</v>
      </c>
      <c r="B1497" s="20" t="s">
        <v>63</v>
      </c>
      <c r="C1497" s="20" t="s">
        <v>8</v>
      </c>
      <c r="D1497" s="20" t="s">
        <v>10</v>
      </c>
      <c r="E1497" s="20" t="s">
        <v>28</v>
      </c>
      <c r="F1497" s="20" t="str">
        <f>INDEX(nrg_cb_e!$A$3:$A$40,MATCH(LEFT(MID('Industriesektor GWh'!$B1497,41,1000),SEARCH(" - ",MID('Industriesektor GWh'!$B1497,41,1000))-1),nrg_cb_e!$C$3:$C$40,0))</f>
        <v>FC_IND_CPC_E</v>
      </c>
      <c r="G1497" s="21">
        <v>4887</v>
      </c>
    </row>
    <row r="1498" spans="1:7" x14ac:dyDescent="0.2">
      <c r="A1498" s="16" t="s">
        <v>55</v>
      </c>
      <c r="B1498" s="17" t="s">
        <v>63</v>
      </c>
      <c r="C1498" s="17" t="s">
        <v>8</v>
      </c>
      <c r="D1498" s="17" t="s">
        <v>10</v>
      </c>
      <c r="E1498" s="17" t="s">
        <v>12</v>
      </c>
      <c r="F1498" s="17" t="str">
        <f>INDEX(nrg_cb_e!$A$3:$A$40,MATCH(LEFT(MID('Industriesektor GWh'!$B1498,41,1000),SEARCH(" - ",MID('Industriesektor GWh'!$B1498,41,1000))-1),nrg_cb_e!$C$3:$C$40,0))</f>
        <v>FC_IND_CPC_E</v>
      </c>
      <c r="G1498" s="18">
        <v>5560</v>
      </c>
    </row>
    <row r="1499" spans="1:7" x14ac:dyDescent="0.2">
      <c r="A1499" s="19" t="s">
        <v>55</v>
      </c>
      <c r="B1499" s="20" t="s">
        <v>63</v>
      </c>
      <c r="C1499" s="20" t="s">
        <v>8</v>
      </c>
      <c r="D1499" s="20" t="s">
        <v>10</v>
      </c>
      <c r="E1499" s="20" t="s">
        <v>13</v>
      </c>
      <c r="F1499" s="20" t="str">
        <f>INDEX(nrg_cb_e!$A$3:$A$40,MATCH(LEFT(MID('Industriesektor GWh'!$B1499,41,1000),SEARCH(" - ",MID('Industriesektor GWh'!$B1499,41,1000))-1),nrg_cb_e!$C$3:$C$40,0))</f>
        <v>FC_IND_CPC_E</v>
      </c>
      <c r="G1499" s="21">
        <v>6663</v>
      </c>
    </row>
    <row r="1500" spans="1:7" x14ac:dyDescent="0.2">
      <c r="A1500" s="16" t="s">
        <v>55</v>
      </c>
      <c r="B1500" s="17" t="s">
        <v>63</v>
      </c>
      <c r="C1500" s="17" t="s">
        <v>8</v>
      </c>
      <c r="D1500" s="17" t="s">
        <v>10</v>
      </c>
      <c r="E1500" s="17" t="s">
        <v>14</v>
      </c>
      <c r="F1500" s="17" t="str">
        <f>INDEX(nrg_cb_e!$A$3:$A$40,MATCH(LEFT(MID('Industriesektor GWh'!$B1500,41,1000),SEARCH(" - ",MID('Industriesektor GWh'!$B1500,41,1000))-1),nrg_cb_e!$C$3:$C$40,0))</f>
        <v>FC_IND_CPC_E</v>
      </c>
      <c r="G1500" s="18">
        <v>6796</v>
      </c>
    </row>
    <row r="1501" spans="1:7" x14ac:dyDescent="0.2">
      <c r="A1501" s="19" t="s">
        <v>55</v>
      </c>
      <c r="B1501" s="20" t="s">
        <v>63</v>
      </c>
      <c r="C1501" s="20" t="s">
        <v>8</v>
      </c>
      <c r="D1501" s="20" t="s">
        <v>10</v>
      </c>
      <c r="E1501" s="20" t="s">
        <v>15</v>
      </c>
      <c r="F1501" s="20" t="str">
        <f>INDEX(nrg_cb_e!$A$3:$A$40,MATCH(LEFT(MID('Industriesektor GWh'!$B1501,41,1000),SEARCH(" - ",MID('Industriesektor GWh'!$B1501,41,1000))-1),nrg_cb_e!$C$3:$C$40,0))</f>
        <v>FC_IND_CPC_E</v>
      </c>
      <c r="G1501" s="21">
        <v>6635</v>
      </c>
    </row>
    <row r="1502" spans="1:7" x14ac:dyDescent="0.2">
      <c r="A1502" s="16" t="s">
        <v>55</v>
      </c>
      <c r="B1502" s="17" t="s">
        <v>63</v>
      </c>
      <c r="C1502" s="17" t="s">
        <v>8</v>
      </c>
      <c r="D1502" s="17" t="s">
        <v>10</v>
      </c>
      <c r="E1502" s="17" t="s">
        <v>16</v>
      </c>
      <c r="F1502" s="17" t="str">
        <f>INDEX(nrg_cb_e!$A$3:$A$40,MATCH(LEFT(MID('Industriesektor GWh'!$B1502,41,1000),SEARCH(" - ",MID('Industriesektor GWh'!$B1502,41,1000))-1),nrg_cb_e!$C$3:$C$40,0))</f>
        <v>FC_IND_CPC_E</v>
      </c>
      <c r="G1502" s="18">
        <v>6353</v>
      </c>
    </row>
    <row r="1503" spans="1:7" x14ac:dyDescent="0.2">
      <c r="A1503" s="19" t="s">
        <v>55</v>
      </c>
      <c r="B1503" s="20" t="s">
        <v>63</v>
      </c>
      <c r="C1503" s="20" t="s">
        <v>8</v>
      </c>
      <c r="D1503" s="20" t="s">
        <v>10</v>
      </c>
      <c r="E1503" s="20" t="s">
        <v>17</v>
      </c>
      <c r="F1503" s="20" t="str">
        <f>INDEX(nrg_cb_e!$A$3:$A$40,MATCH(LEFT(MID('Industriesektor GWh'!$B1503,41,1000),SEARCH(" - ",MID('Industriesektor GWh'!$B1503,41,1000))-1),nrg_cb_e!$C$3:$C$40,0))</f>
        <v>FC_IND_CPC_E</v>
      </c>
      <c r="G1503" s="21">
        <v>6137</v>
      </c>
    </row>
    <row r="1504" spans="1:7" x14ac:dyDescent="0.2">
      <c r="A1504" s="16" t="s">
        <v>55</v>
      </c>
      <c r="B1504" s="17" t="s">
        <v>63</v>
      </c>
      <c r="C1504" s="17" t="s">
        <v>8</v>
      </c>
      <c r="D1504" s="17" t="s">
        <v>10</v>
      </c>
      <c r="E1504" s="17" t="s">
        <v>18</v>
      </c>
      <c r="F1504" s="17" t="str">
        <f>INDEX(nrg_cb_e!$A$3:$A$40,MATCH(LEFT(MID('Industriesektor GWh'!$B1504,41,1000),SEARCH(" - ",MID('Industriesektor GWh'!$B1504,41,1000))-1),nrg_cb_e!$C$3:$C$40,0))</f>
        <v>FC_IND_CPC_E</v>
      </c>
      <c r="G1504" s="18">
        <v>5904</v>
      </c>
    </row>
    <row r="1505" spans="1:7" x14ac:dyDescent="0.2">
      <c r="A1505" s="19" t="s">
        <v>55</v>
      </c>
      <c r="B1505" s="20" t="s">
        <v>63</v>
      </c>
      <c r="C1505" s="20" t="s">
        <v>8</v>
      </c>
      <c r="D1505" s="20" t="s">
        <v>10</v>
      </c>
      <c r="E1505" s="20" t="s">
        <v>19</v>
      </c>
      <c r="F1505" s="20" t="str">
        <f>INDEX(nrg_cb_e!$A$3:$A$40,MATCH(LEFT(MID('Industriesektor GWh'!$B1505,41,1000),SEARCH(" - ",MID('Industriesektor GWh'!$B1505,41,1000))-1),nrg_cb_e!$C$3:$C$40,0))</f>
        <v>FC_IND_CPC_E</v>
      </c>
      <c r="G1505" s="21">
        <v>4474</v>
      </c>
    </row>
    <row r="1506" spans="1:7" x14ac:dyDescent="0.2">
      <c r="A1506" s="16" t="s">
        <v>55</v>
      </c>
      <c r="B1506" s="17" t="s">
        <v>63</v>
      </c>
      <c r="C1506" s="17" t="s">
        <v>8</v>
      </c>
      <c r="D1506" s="17" t="s">
        <v>10</v>
      </c>
      <c r="E1506" s="17" t="s">
        <v>20</v>
      </c>
      <c r="F1506" s="17" t="str">
        <f>INDEX(nrg_cb_e!$A$3:$A$40,MATCH(LEFT(MID('Industriesektor GWh'!$B1506,41,1000),SEARCH(" - ",MID('Industriesektor GWh'!$B1506,41,1000))-1),nrg_cb_e!$C$3:$C$40,0))</f>
        <v>FC_IND_CPC_E</v>
      </c>
      <c r="G1506" s="18">
        <v>4914</v>
      </c>
    </row>
    <row r="1507" spans="1:7" x14ac:dyDescent="0.2">
      <c r="A1507" s="19" t="s">
        <v>55</v>
      </c>
      <c r="B1507" s="20" t="s">
        <v>63</v>
      </c>
      <c r="C1507" s="20" t="s">
        <v>8</v>
      </c>
      <c r="D1507" s="20" t="s">
        <v>10</v>
      </c>
      <c r="E1507" s="20" t="s">
        <v>21</v>
      </c>
      <c r="F1507" s="20" t="str">
        <f>INDEX(nrg_cb_e!$A$3:$A$40,MATCH(LEFT(MID('Industriesektor GWh'!$B1507,41,1000),SEARCH(" - ",MID('Industriesektor GWh'!$B1507,41,1000))-1),nrg_cb_e!$C$3:$C$40,0))</f>
        <v>FC_IND_CPC_E</v>
      </c>
      <c r="G1507" s="21">
        <v>4611</v>
      </c>
    </row>
    <row r="1508" spans="1:7" x14ac:dyDescent="0.2">
      <c r="A1508" s="16" t="s">
        <v>55</v>
      </c>
      <c r="B1508" s="17" t="s">
        <v>63</v>
      </c>
      <c r="C1508" s="17" t="s">
        <v>8</v>
      </c>
      <c r="D1508" s="17" t="s">
        <v>10</v>
      </c>
      <c r="E1508" s="17" t="s">
        <v>22</v>
      </c>
      <c r="F1508" s="17" t="str">
        <f>INDEX(nrg_cb_e!$A$3:$A$40,MATCH(LEFT(MID('Industriesektor GWh'!$B1508,41,1000),SEARCH(" - ",MID('Industriesektor GWh'!$B1508,41,1000))-1),nrg_cb_e!$C$3:$C$40,0))</f>
        <v>FC_IND_CPC_E</v>
      </c>
      <c r="G1508" s="18">
        <v>4600</v>
      </c>
    </row>
    <row r="1509" spans="1:7" x14ac:dyDescent="0.2">
      <c r="A1509" s="19" t="s">
        <v>55</v>
      </c>
      <c r="B1509" s="20" t="s">
        <v>63</v>
      </c>
      <c r="C1509" s="20" t="s">
        <v>8</v>
      </c>
      <c r="D1509" s="20" t="s">
        <v>10</v>
      </c>
      <c r="E1509" s="20" t="s">
        <v>23</v>
      </c>
      <c r="F1509" s="20" t="str">
        <f>INDEX(nrg_cb_e!$A$3:$A$40,MATCH(LEFT(MID('Industriesektor GWh'!$B1509,41,1000),SEARCH(" - ",MID('Industriesektor GWh'!$B1509,41,1000))-1),nrg_cb_e!$C$3:$C$40,0))</f>
        <v>FC_IND_CPC_E</v>
      </c>
      <c r="G1509" s="21">
        <v>4615</v>
      </c>
    </row>
    <row r="1510" spans="1:7" x14ac:dyDescent="0.2">
      <c r="A1510" s="16" t="s">
        <v>55</v>
      </c>
      <c r="B1510" s="17" t="s">
        <v>63</v>
      </c>
      <c r="C1510" s="17" t="s">
        <v>8</v>
      </c>
      <c r="D1510" s="17" t="s">
        <v>10</v>
      </c>
      <c r="E1510" s="17" t="s">
        <v>24</v>
      </c>
      <c r="F1510" s="17" t="str">
        <f>INDEX(nrg_cb_e!$A$3:$A$40,MATCH(LEFT(MID('Industriesektor GWh'!$B1510,41,1000),SEARCH(" - ",MID('Industriesektor GWh'!$B1510,41,1000))-1),nrg_cb_e!$C$3:$C$40,0))</f>
        <v>FC_IND_CPC_E</v>
      </c>
      <c r="G1510" s="18">
        <v>4483</v>
      </c>
    </row>
    <row r="1511" spans="1:7" x14ac:dyDescent="0.2">
      <c r="A1511" s="19" t="s">
        <v>55</v>
      </c>
      <c r="B1511" s="20" t="s">
        <v>63</v>
      </c>
      <c r="C1511" s="20" t="s">
        <v>8</v>
      </c>
      <c r="D1511" s="20" t="s">
        <v>10</v>
      </c>
      <c r="E1511" s="20" t="s">
        <v>25</v>
      </c>
      <c r="F1511" s="20" t="str">
        <f>INDEX(nrg_cb_e!$A$3:$A$40,MATCH(LEFT(MID('Industriesektor GWh'!$B1511,41,1000),SEARCH(" - ",MID('Industriesektor GWh'!$B1511,41,1000))-1),nrg_cb_e!$C$3:$C$40,0))</f>
        <v>FC_IND_CPC_E</v>
      </c>
      <c r="G1511" s="21">
        <v>4400</v>
      </c>
    </row>
    <row r="1512" spans="1:7" x14ac:dyDescent="0.2">
      <c r="A1512" s="16" t="s">
        <v>55</v>
      </c>
      <c r="B1512" s="17" t="s">
        <v>63</v>
      </c>
      <c r="C1512" s="17" t="s">
        <v>8</v>
      </c>
      <c r="D1512" s="17" t="s">
        <v>10</v>
      </c>
      <c r="E1512" s="17" t="s">
        <v>26</v>
      </c>
      <c r="F1512" s="17" t="str">
        <f>INDEX(nrg_cb_e!$A$3:$A$40,MATCH(LEFT(MID('Industriesektor GWh'!$B1512,41,1000),SEARCH(" - ",MID('Industriesektor GWh'!$B1512,41,1000))-1),nrg_cb_e!$C$3:$C$40,0))</f>
        <v>FC_IND_CPC_E</v>
      </c>
      <c r="G1512" s="18">
        <v>4607</v>
      </c>
    </row>
    <row r="1513" spans="1:7" x14ac:dyDescent="0.2">
      <c r="A1513" s="19" t="s">
        <v>55</v>
      </c>
      <c r="B1513" s="20" t="s">
        <v>63</v>
      </c>
      <c r="C1513" s="20" t="s">
        <v>8</v>
      </c>
      <c r="D1513" s="20" t="s">
        <v>10</v>
      </c>
      <c r="E1513" s="20" t="s">
        <v>27</v>
      </c>
      <c r="F1513" s="20" t="str">
        <f>INDEX(nrg_cb_e!$A$3:$A$40,MATCH(LEFT(MID('Industriesektor GWh'!$B1513,41,1000),SEARCH(" - ",MID('Industriesektor GWh'!$B1513,41,1000))-1),nrg_cb_e!$C$3:$C$40,0))</f>
        <v>FC_IND_CPC_E</v>
      </c>
      <c r="G1513" s="21">
        <v>4655</v>
      </c>
    </row>
    <row r="1514" spans="1:7" x14ac:dyDescent="0.2">
      <c r="A1514" s="16" t="s">
        <v>55</v>
      </c>
      <c r="B1514" s="17" t="s">
        <v>63</v>
      </c>
      <c r="C1514" s="17" t="s">
        <v>8</v>
      </c>
      <c r="D1514" s="17" t="s">
        <v>10</v>
      </c>
      <c r="E1514" s="17" t="s">
        <v>28</v>
      </c>
      <c r="F1514" s="17" t="str">
        <f>INDEX(nrg_cb_e!$A$3:$A$40,MATCH(LEFT(MID('Industriesektor GWh'!$B1514,41,1000),SEARCH(" - ",MID('Industriesektor GWh'!$B1514,41,1000))-1),nrg_cb_e!$C$3:$C$40,0))</f>
        <v>FC_IND_CPC_E</v>
      </c>
      <c r="G1514" s="18">
        <v>4389</v>
      </c>
    </row>
    <row r="1515" spans="1:7" x14ac:dyDescent="0.2">
      <c r="A1515" s="19" t="s">
        <v>56</v>
      </c>
      <c r="B1515" s="20" t="s">
        <v>63</v>
      </c>
      <c r="C1515" s="20" t="s">
        <v>8</v>
      </c>
      <c r="D1515" s="20" t="s">
        <v>10</v>
      </c>
      <c r="E1515" s="20" t="s">
        <v>12</v>
      </c>
      <c r="F1515" s="20" t="str">
        <f>INDEX(nrg_cb_e!$A$3:$A$40,MATCH(LEFT(MID('Industriesektor GWh'!$B1515,41,1000),SEARCH(" - ",MID('Industriesektor GWh'!$B1515,41,1000))-1),nrg_cb_e!$C$3:$C$40,0))</f>
        <v>FC_IND_CPC_E</v>
      </c>
      <c r="G1515" s="21">
        <v>22861</v>
      </c>
    </row>
    <row r="1516" spans="1:7" x14ac:dyDescent="0.2">
      <c r="A1516" s="16" t="s">
        <v>56</v>
      </c>
      <c r="B1516" s="17" t="s">
        <v>63</v>
      </c>
      <c r="C1516" s="17" t="s">
        <v>8</v>
      </c>
      <c r="D1516" s="17" t="s">
        <v>10</v>
      </c>
      <c r="E1516" s="17" t="s">
        <v>13</v>
      </c>
      <c r="F1516" s="17" t="str">
        <f>INDEX(nrg_cb_e!$A$3:$A$40,MATCH(LEFT(MID('Industriesektor GWh'!$B1516,41,1000),SEARCH(" - ",MID('Industriesektor GWh'!$B1516,41,1000))-1),nrg_cb_e!$C$3:$C$40,0))</f>
        <v>FC_IND_CPC_E</v>
      </c>
      <c r="G1516" s="18">
        <v>19741</v>
      </c>
    </row>
    <row r="1517" spans="1:7" x14ac:dyDescent="0.2">
      <c r="A1517" s="19" t="s">
        <v>56</v>
      </c>
      <c r="B1517" s="20" t="s">
        <v>63</v>
      </c>
      <c r="C1517" s="20" t="s">
        <v>8</v>
      </c>
      <c r="D1517" s="20" t="s">
        <v>10</v>
      </c>
      <c r="E1517" s="20" t="s">
        <v>14</v>
      </c>
      <c r="F1517" s="20" t="str">
        <f>INDEX(nrg_cb_e!$A$3:$A$40,MATCH(LEFT(MID('Industriesektor GWh'!$B1517,41,1000),SEARCH(" - ",MID('Industriesektor GWh'!$B1517,41,1000))-1),nrg_cb_e!$C$3:$C$40,0))</f>
        <v>FC_IND_CPC_E</v>
      </c>
      <c r="G1517" s="21">
        <v>19928</v>
      </c>
    </row>
    <row r="1518" spans="1:7" x14ac:dyDescent="0.2">
      <c r="A1518" s="16" t="s">
        <v>56</v>
      </c>
      <c r="B1518" s="17" t="s">
        <v>63</v>
      </c>
      <c r="C1518" s="17" t="s">
        <v>8</v>
      </c>
      <c r="D1518" s="17" t="s">
        <v>10</v>
      </c>
      <c r="E1518" s="17" t="s">
        <v>15</v>
      </c>
      <c r="F1518" s="17" t="str">
        <f>INDEX(nrg_cb_e!$A$3:$A$40,MATCH(LEFT(MID('Industriesektor GWh'!$B1518,41,1000),SEARCH(" - ",MID('Industriesektor GWh'!$B1518,41,1000))-1),nrg_cb_e!$C$3:$C$40,0))</f>
        <v>FC_IND_CPC_E</v>
      </c>
      <c r="G1518" s="18">
        <v>21125</v>
      </c>
    </row>
    <row r="1519" spans="1:7" x14ac:dyDescent="0.2">
      <c r="A1519" s="19" t="s">
        <v>56</v>
      </c>
      <c r="B1519" s="20" t="s">
        <v>63</v>
      </c>
      <c r="C1519" s="20" t="s">
        <v>8</v>
      </c>
      <c r="D1519" s="20" t="s">
        <v>10</v>
      </c>
      <c r="E1519" s="20" t="s">
        <v>16</v>
      </c>
      <c r="F1519" s="20" t="str">
        <f>INDEX(nrg_cb_e!$A$3:$A$40,MATCH(LEFT(MID('Industriesektor GWh'!$B1519,41,1000),SEARCH(" - ",MID('Industriesektor GWh'!$B1519,41,1000))-1),nrg_cb_e!$C$3:$C$40,0))</f>
        <v>FC_IND_CPC_E</v>
      </c>
      <c r="G1519" s="21">
        <v>20391</v>
      </c>
    </row>
    <row r="1520" spans="1:7" x14ac:dyDescent="0.2">
      <c r="A1520" s="16" t="s">
        <v>56</v>
      </c>
      <c r="B1520" s="17" t="s">
        <v>63</v>
      </c>
      <c r="C1520" s="17" t="s">
        <v>8</v>
      </c>
      <c r="D1520" s="17" t="s">
        <v>10</v>
      </c>
      <c r="E1520" s="17" t="s">
        <v>17</v>
      </c>
      <c r="F1520" s="17" t="str">
        <f>INDEX(nrg_cb_e!$A$3:$A$40,MATCH(LEFT(MID('Industriesektor GWh'!$B1520,41,1000),SEARCH(" - ",MID('Industriesektor GWh'!$B1520,41,1000))-1),nrg_cb_e!$C$3:$C$40,0))</f>
        <v>FC_IND_CPC_E</v>
      </c>
      <c r="G1520" s="18">
        <v>20197</v>
      </c>
    </row>
    <row r="1521" spans="1:7" x14ac:dyDescent="0.2">
      <c r="A1521" s="19" t="s">
        <v>56</v>
      </c>
      <c r="B1521" s="20" t="s">
        <v>63</v>
      </c>
      <c r="C1521" s="20" t="s">
        <v>8</v>
      </c>
      <c r="D1521" s="20" t="s">
        <v>10</v>
      </c>
      <c r="E1521" s="20" t="s">
        <v>18</v>
      </c>
      <c r="F1521" s="20" t="str">
        <f>INDEX(nrg_cb_e!$A$3:$A$40,MATCH(LEFT(MID('Industriesektor GWh'!$B1521,41,1000),SEARCH(" - ",MID('Industriesektor GWh'!$B1521,41,1000))-1),nrg_cb_e!$C$3:$C$40,0))</f>
        <v>FC_IND_CPC_E</v>
      </c>
      <c r="G1521" s="21">
        <v>20287</v>
      </c>
    </row>
    <row r="1522" spans="1:7" x14ac:dyDescent="0.2">
      <c r="A1522" s="16" t="s">
        <v>56</v>
      </c>
      <c r="B1522" s="17" t="s">
        <v>63</v>
      </c>
      <c r="C1522" s="17" t="s">
        <v>8</v>
      </c>
      <c r="D1522" s="17" t="s">
        <v>10</v>
      </c>
      <c r="E1522" s="17" t="s">
        <v>19</v>
      </c>
      <c r="F1522" s="17" t="str">
        <f>INDEX(nrg_cb_e!$A$3:$A$40,MATCH(LEFT(MID('Industriesektor GWh'!$B1522,41,1000),SEARCH(" - ",MID('Industriesektor GWh'!$B1522,41,1000))-1),nrg_cb_e!$C$3:$C$40,0))</f>
        <v>FC_IND_CPC_E</v>
      </c>
      <c r="G1522" s="18">
        <v>17702</v>
      </c>
    </row>
    <row r="1523" spans="1:7" x14ac:dyDescent="0.2">
      <c r="A1523" s="19" t="s">
        <v>56</v>
      </c>
      <c r="B1523" s="20" t="s">
        <v>63</v>
      </c>
      <c r="C1523" s="20" t="s">
        <v>8</v>
      </c>
      <c r="D1523" s="20" t="s">
        <v>10</v>
      </c>
      <c r="E1523" s="20" t="s">
        <v>20</v>
      </c>
      <c r="F1523" s="20" t="str">
        <f>INDEX(nrg_cb_e!$A$3:$A$40,MATCH(LEFT(MID('Industriesektor GWh'!$B1523,41,1000),SEARCH(" - ",MID('Industriesektor GWh'!$B1523,41,1000))-1),nrg_cb_e!$C$3:$C$40,0))</f>
        <v>FC_IND_CPC_E</v>
      </c>
      <c r="G1523" s="21">
        <v>18468</v>
      </c>
    </row>
    <row r="1524" spans="1:7" x14ac:dyDescent="0.2">
      <c r="A1524" s="16" t="s">
        <v>56</v>
      </c>
      <c r="B1524" s="17" t="s">
        <v>63</v>
      </c>
      <c r="C1524" s="17" t="s">
        <v>8</v>
      </c>
      <c r="D1524" s="17" t="s">
        <v>10</v>
      </c>
      <c r="E1524" s="17" t="s">
        <v>21</v>
      </c>
      <c r="F1524" s="17" t="str">
        <f>INDEX(nrg_cb_e!$A$3:$A$40,MATCH(LEFT(MID('Industriesektor GWh'!$B1524,41,1000),SEARCH(" - ",MID('Industriesektor GWh'!$B1524,41,1000))-1),nrg_cb_e!$C$3:$C$40,0))</f>
        <v>FC_IND_CPC_E</v>
      </c>
      <c r="G1524" s="18">
        <v>17640</v>
      </c>
    </row>
    <row r="1525" spans="1:7" x14ac:dyDescent="0.2">
      <c r="A1525" s="19" t="s">
        <v>56</v>
      </c>
      <c r="B1525" s="20" t="s">
        <v>63</v>
      </c>
      <c r="C1525" s="20" t="s">
        <v>8</v>
      </c>
      <c r="D1525" s="20" t="s">
        <v>10</v>
      </c>
      <c r="E1525" s="20" t="s">
        <v>22</v>
      </c>
      <c r="F1525" s="20" t="str">
        <f>INDEX(nrg_cb_e!$A$3:$A$40,MATCH(LEFT(MID('Industriesektor GWh'!$B1525,41,1000),SEARCH(" - ",MID('Industriesektor GWh'!$B1525,41,1000))-1),nrg_cb_e!$C$3:$C$40,0))</f>
        <v>FC_IND_CPC_E</v>
      </c>
      <c r="G1525" s="21">
        <v>17507</v>
      </c>
    </row>
    <row r="1526" spans="1:7" x14ac:dyDescent="0.2">
      <c r="A1526" s="16" t="s">
        <v>56</v>
      </c>
      <c r="B1526" s="17" t="s">
        <v>63</v>
      </c>
      <c r="C1526" s="17" t="s">
        <v>8</v>
      </c>
      <c r="D1526" s="17" t="s">
        <v>10</v>
      </c>
      <c r="E1526" s="17" t="s">
        <v>23</v>
      </c>
      <c r="F1526" s="17" t="str">
        <f>INDEX(nrg_cb_e!$A$3:$A$40,MATCH(LEFT(MID('Industriesektor GWh'!$B1526,41,1000),SEARCH(" - ",MID('Industriesektor GWh'!$B1526,41,1000))-1),nrg_cb_e!$C$3:$C$40,0))</f>
        <v>FC_IND_CPC_E</v>
      </c>
      <c r="G1526" s="18">
        <v>16525</v>
      </c>
    </row>
    <row r="1527" spans="1:7" x14ac:dyDescent="0.2">
      <c r="A1527" s="19" t="s">
        <v>56</v>
      </c>
      <c r="B1527" s="20" t="s">
        <v>63</v>
      </c>
      <c r="C1527" s="20" t="s">
        <v>8</v>
      </c>
      <c r="D1527" s="20" t="s">
        <v>10</v>
      </c>
      <c r="E1527" s="20" t="s">
        <v>24</v>
      </c>
      <c r="F1527" s="20" t="str">
        <f>INDEX(nrg_cb_e!$A$3:$A$40,MATCH(LEFT(MID('Industriesektor GWh'!$B1527,41,1000),SEARCH(" - ",MID('Industriesektor GWh'!$B1527,41,1000))-1),nrg_cb_e!$C$3:$C$40,0))</f>
        <v>FC_IND_CPC_E</v>
      </c>
      <c r="G1527" s="21">
        <v>15476</v>
      </c>
    </row>
    <row r="1528" spans="1:7" x14ac:dyDescent="0.2">
      <c r="A1528" s="16" t="s">
        <v>56</v>
      </c>
      <c r="B1528" s="17" t="s">
        <v>63</v>
      </c>
      <c r="C1528" s="17" t="s">
        <v>8</v>
      </c>
      <c r="D1528" s="17" t="s">
        <v>10</v>
      </c>
      <c r="E1528" s="17" t="s">
        <v>25</v>
      </c>
      <c r="F1528" s="17" t="str">
        <f>INDEX(nrg_cb_e!$A$3:$A$40,MATCH(LEFT(MID('Industriesektor GWh'!$B1528,41,1000),SEARCH(" - ",MID('Industriesektor GWh'!$B1528,41,1000))-1),nrg_cb_e!$C$3:$C$40,0))</f>
        <v>FC_IND_CPC_E</v>
      </c>
      <c r="G1528" s="18">
        <v>15614.878000000001</v>
      </c>
    </row>
    <row r="1529" spans="1:7" x14ac:dyDescent="0.2">
      <c r="A1529" s="19" t="s">
        <v>56</v>
      </c>
      <c r="B1529" s="20" t="s">
        <v>63</v>
      </c>
      <c r="C1529" s="20" t="s">
        <v>8</v>
      </c>
      <c r="D1529" s="20" t="s">
        <v>10</v>
      </c>
      <c r="E1529" s="20" t="s">
        <v>26</v>
      </c>
      <c r="F1529" s="20" t="str">
        <f>INDEX(nrg_cb_e!$A$3:$A$40,MATCH(LEFT(MID('Industriesektor GWh'!$B1529,41,1000),SEARCH(" - ",MID('Industriesektor GWh'!$B1529,41,1000))-1),nrg_cb_e!$C$3:$C$40,0))</f>
        <v>FC_IND_CPC_E</v>
      </c>
      <c r="G1529" s="21">
        <v>15088.12</v>
      </c>
    </row>
    <row r="1530" spans="1:7" x14ac:dyDescent="0.2">
      <c r="A1530" s="16" t="s">
        <v>56</v>
      </c>
      <c r="B1530" s="17" t="s">
        <v>63</v>
      </c>
      <c r="C1530" s="17" t="s">
        <v>8</v>
      </c>
      <c r="D1530" s="17" t="s">
        <v>10</v>
      </c>
      <c r="E1530" s="17" t="s">
        <v>27</v>
      </c>
      <c r="F1530" s="17" t="str">
        <f>INDEX(nrg_cb_e!$A$3:$A$40,MATCH(LEFT(MID('Industriesektor GWh'!$B1530,41,1000),SEARCH(" - ",MID('Industriesektor GWh'!$B1530,41,1000))-1),nrg_cb_e!$C$3:$C$40,0))</f>
        <v>FC_IND_CPC_E</v>
      </c>
      <c r="G1530" s="18">
        <v>15233.713</v>
      </c>
    </row>
    <row r="1531" spans="1:7" x14ac:dyDescent="0.2">
      <c r="A1531" s="19" t="s">
        <v>56</v>
      </c>
      <c r="B1531" s="20" t="s">
        <v>63</v>
      </c>
      <c r="C1531" s="20" t="s">
        <v>8</v>
      </c>
      <c r="D1531" s="20" t="s">
        <v>10</v>
      </c>
      <c r="E1531" s="20" t="s">
        <v>28</v>
      </c>
      <c r="F1531" s="20" t="str">
        <f>INDEX(nrg_cb_e!$A$3:$A$40,MATCH(LEFT(MID('Industriesektor GWh'!$B1531,41,1000),SEARCH(" - ",MID('Industriesektor GWh'!$B1531,41,1000))-1),nrg_cb_e!$C$3:$C$40,0))</f>
        <v>FC_IND_CPC_E</v>
      </c>
      <c r="G1531" s="21">
        <v>15268.031000000001</v>
      </c>
    </row>
    <row r="1532" spans="1:7" x14ac:dyDescent="0.2">
      <c r="A1532" s="16" t="s">
        <v>57</v>
      </c>
      <c r="B1532" s="17" t="s">
        <v>63</v>
      </c>
      <c r="C1532" s="17" t="s">
        <v>8</v>
      </c>
      <c r="D1532" s="17" t="s">
        <v>10</v>
      </c>
      <c r="E1532" s="17" t="s">
        <v>12</v>
      </c>
      <c r="F1532" s="17" t="str">
        <f>INDEX(nrg_cb_e!$A$3:$A$40,MATCH(LEFT(MID('Industriesektor GWh'!$B1532,41,1000),SEARCH(" - ",MID('Industriesektor GWh'!$B1532,41,1000))-1),nrg_cb_e!$C$3:$C$40,0))</f>
        <v>FC_IND_CPC_E</v>
      </c>
      <c r="G1532" s="18">
        <v>29</v>
      </c>
    </row>
    <row r="1533" spans="1:7" x14ac:dyDescent="0.2">
      <c r="A1533" s="19" t="s">
        <v>57</v>
      </c>
      <c r="B1533" s="20" t="s">
        <v>63</v>
      </c>
      <c r="C1533" s="20" t="s">
        <v>8</v>
      </c>
      <c r="D1533" s="20" t="s">
        <v>10</v>
      </c>
      <c r="E1533" s="20" t="s">
        <v>13</v>
      </c>
      <c r="F1533" s="20" t="str">
        <f>INDEX(nrg_cb_e!$A$3:$A$40,MATCH(LEFT(MID('Industriesektor GWh'!$B1533,41,1000),SEARCH(" - ",MID('Industriesektor GWh'!$B1533,41,1000))-1),nrg_cb_e!$C$3:$C$40,0))</f>
        <v>FC_IND_CPC_E</v>
      </c>
      <c r="G1533" s="21">
        <v>20</v>
      </c>
    </row>
    <row r="1534" spans="1:7" x14ac:dyDescent="0.2">
      <c r="A1534" s="16" t="s">
        <v>57</v>
      </c>
      <c r="B1534" s="17" t="s">
        <v>63</v>
      </c>
      <c r="C1534" s="17" t="s">
        <v>8</v>
      </c>
      <c r="D1534" s="17" t="s">
        <v>10</v>
      </c>
      <c r="E1534" s="17" t="s">
        <v>14</v>
      </c>
      <c r="F1534" s="17" t="str">
        <f>INDEX(nrg_cb_e!$A$3:$A$40,MATCH(LEFT(MID('Industriesektor GWh'!$B1534,41,1000),SEARCH(" - ",MID('Industriesektor GWh'!$B1534,41,1000))-1),nrg_cb_e!$C$3:$C$40,0))</f>
        <v>FC_IND_CPC_E</v>
      </c>
      <c r="G1534" s="18">
        <v>20</v>
      </c>
    </row>
    <row r="1535" spans="1:7" x14ac:dyDescent="0.2">
      <c r="A1535" s="19" t="s">
        <v>57</v>
      </c>
      <c r="B1535" s="20" t="s">
        <v>63</v>
      </c>
      <c r="C1535" s="20" t="s">
        <v>8</v>
      </c>
      <c r="D1535" s="20" t="s">
        <v>10</v>
      </c>
      <c r="E1535" s="20" t="s">
        <v>15</v>
      </c>
      <c r="F1535" s="20" t="str">
        <f>INDEX(nrg_cb_e!$A$3:$A$40,MATCH(LEFT(MID('Industriesektor GWh'!$B1535,41,1000),SEARCH(" - ",MID('Industriesektor GWh'!$B1535,41,1000))-1),nrg_cb_e!$C$3:$C$40,0))</f>
        <v>FC_IND_CPC_E</v>
      </c>
      <c r="G1535" s="21">
        <v>19</v>
      </c>
    </row>
    <row r="1536" spans="1:7" x14ac:dyDescent="0.2">
      <c r="A1536" s="16" t="s">
        <v>57</v>
      </c>
      <c r="B1536" s="17" t="s">
        <v>63</v>
      </c>
      <c r="C1536" s="17" t="s">
        <v>8</v>
      </c>
      <c r="D1536" s="17" t="s">
        <v>10</v>
      </c>
      <c r="E1536" s="17" t="s">
        <v>16</v>
      </c>
      <c r="F1536" s="17" t="str">
        <f>INDEX(nrg_cb_e!$A$3:$A$40,MATCH(LEFT(MID('Industriesektor GWh'!$B1536,41,1000),SEARCH(" - ",MID('Industriesektor GWh'!$B1536,41,1000))-1),nrg_cb_e!$C$3:$C$40,0))</f>
        <v>FC_IND_CPC_E</v>
      </c>
      <c r="G1536" s="18">
        <v>20</v>
      </c>
    </row>
    <row r="1537" spans="1:7" x14ac:dyDescent="0.2">
      <c r="A1537" s="19" t="s">
        <v>57</v>
      </c>
      <c r="B1537" s="20" t="s">
        <v>63</v>
      </c>
      <c r="C1537" s="20" t="s">
        <v>8</v>
      </c>
      <c r="D1537" s="20" t="s">
        <v>10</v>
      </c>
      <c r="E1537" s="20" t="s">
        <v>17</v>
      </c>
      <c r="F1537" s="20" t="str">
        <f>INDEX(nrg_cb_e!$A$3:$A$40,MATCH(LEFT(MID('Industriesektor GWh'!$B1537,41,1000),SEARCH(" - ",MID('Industriesektor GWh'!$B1537,41,1000))-1),nrg_cb_e!$C$3:$C$40,0))</f>
        <v>FC_IND_CPC_E</v>
      </c>
      <c r="G1537" s="21">
        <v>50</v>
      </c>
    </row>
    <row r="1538" spans="1:7" x14ac:dyDescent="0.2">
      <c r="A1538" s="16" t="s">
        <v>57</v>
      </c>
      <c r="B1538" s="17" t="s">
        <v>63</v>
      </c>
      <c r="C1538" s="17" t="s">
        <v>8</v>
      </c>
      <c r="D1538" s="17" t="s">
        <v>10</v>
      </c>
      <c r="E1538" s="17" t="s">
        <v>18</v>
      </c>
      <c r="F1538" s="17" t="str">
        <f>INDEX(nrg_cb_e!$A$3:$A$40,MATCH(LEFT(MID('Industriesektor GWh'!$B1538,41,1000),SEARCH(" - ",MID('Industriesektor GWh'!$B1538,41,1000))-1),nrg_cb_e!$C$3:$C$40,0))</f>
        <v>FC_IND_CPC_E</v>
      </c>
      <c r="G1538" s="18">
        <v>37</v>
      </c>
    </row>
    <row r="1539" spans="1:7" x14ac:dyDescent="0.2">
      <c r="A1539" s="19" t="s">
        <v>57</v>
      </c>
      <c r="B1539" s="20" t="s">
        <v>63</v>
      </c>
      <c r="C1539" s="20" t="s">
        <v>8</v>
      </c>
      <c r="D1539" s="20" t="s">
        <v>10</v>
      </c>
      <c r="E1539" s="20" t="s">
        <v>19</v>
      </c>
      <c r="F1539" s="20" t="str">
        <f>INDEX(nrg_cb_e!$A$3:$A$40,MATCH(LEFT(MID('Industriesektor GWh'!$B1539,41,1000),SEARCH(" - ",MID('Industriesektor GWh'!$B1539,41,1000))-1),nrg_cb_e!$C$3:$C$40,0))</f>
        <v>FC_IND_CPC_E</v>
      </c>
      <c r="G1539" s="21">
        <v>39</v>
      </c>
    </row>
    <row r="1540" spans="1:7" x14ac:dyDescent="0.2">
      <c r="A1540" s="16" t="s">
        <v>57</v>
      </c>
      <c r="B1540" s="17" t="s">
        <v>63</v>
      </c>
      <c r="C1540" s="17" t="s">
        <v>8</v>
      </c>
      <c r="D1540" s="17" t="s">
        <v>10</v>
      </c>
      <c r="E1540" s="17" t="s">
        <v>20</v>
      </c>
      <c r="F1540" s="17" t="str">
        <f>INDEX(nrg_cb_e!$A$3:$A$40,MATCH(LEFT(MID('Industriesektor GWh'!$B1540,41,1000),SEARCH(" - ",MID('Industriesektor GWh'!$B1540,41,1000))-1),nrg_cb_e!$C$3:$C$40,0))</f>
        <v>FC_IND_CPC_E</v>
      </c>
      <c r="G1540" s="18">
        <v>43</v>
      </c>
    </row>
    <row r="1541" spans="1:7" x14ac:dyDescent="0.2">
      <c r="A1541" s="19" t="s">
        <v>57</v>
      </c>
      <c r="B1541" s="20" t="s">
        <v>63</v>
      </c>
      <c r="C1541" s="20" t="s">
        <v>8</v>
      </c>
      <c r="D1541" s="20" t="s">
        <v>10</v>
      </c>
      <c r="E1541" s="20" t="s">
        <v>21</v>
      </c>
      <c r="F1541" s="20" t="str">
        <f>INDEX(nrg_cb_e!$A$3:$A$40,MATCH(LEFT(MID('Industriesektor GWh'!$B1541,41,1000),SEARCH(" - ",MID('Industriesektor GWh'!$B1541,41,1000))-1),nrg_cb_e!$C$3:$C$40,0))</f>
        <v>FC_IND_CPC_E</v>
      </c>
      <c r="G1541" s="21">
        <v>46</v>
      </c>
    </row>
    <row r="1542" spans="1:7" x14ac:dyDescent="0.2">
      <c r="A1542" s="16" t="s">
        <v>57</v>
      </c>
      <c r="B1542" s="17" t="s">
        <v>63</v>
      </c>
      <c r="C1542" s="17" t="s">
        <v>8</v>
      </c>
      <c r="D1542" s="17" t="s">
        <v>10</v>
      </c>
      <c r="E1542" s="17" t="s">
        <v>22</v>
      </c>
      <c r="F1542" s="17" t="str">
        <f>INDEX(nrg_cb_e!$A$3:$A$40,MATCH(LEFT(MID('Industriesektor GWh'!$B1542,41,1000),SEARCH(" - ",MID('Industriesektor GWh'!$B1542,41,1000))-1),nrg_cb_e!$C$3:$C$40,0))</f>
        <v>FC_IND_CPC_E</v>
      </c>
      <c r="G1542" s="18">
        <v>57</v>
      </c>
    </row>
    <row r="1543" spans="1:7" x14ac:dyDescent="0.2">
      <c r="A1543" s="19" t="s">
        <v>57</v>
      </c>
      <c r="B1543" s="20" t="s">
        <v>63</v>
      </c>
      <c r="C1543" s="20" t="s">
        <v>8</v>
      </c>
      <c r="D1543" s="20" t="s">
        <v>10</v>
      </c>
      <c r="E1543" s="20" t="s">
        <v>23</v>
      </c>
      <c r="F1543" s="20" t="str">
        <f>INDEX(nrg_cb_e!$A$3:$A$40,MATCH(LEFT(MID('Industriesektor GWh'!$B1543,41,1000),SEARCH(" - ",MID('Industriesektor GWh'!$B1543,41,1000))-1),nrg_cb_e!$C$3:$C$40,0))</f>
        <v>FC_IND_CPC_E</v>
      </c>
      <c r="G1543" s="21">
        <v>39</v>
      </c>
    </row>
    <row r="1544" spans="1:7" x14ac:dyDescent="0.2">
      <c r="A1544" s="16" t="s">
        <v>57</v>
      </c>
      <c r="B1544" s="17" t="s">
        <v>63</v>
      </c>
      <c r="C1544" s="17" t="s">
        <v>8</v>
      </c>
      <c r="D1544" s="17" t="s">
        <v>10</v>
      </c>
      <c r="E1544" s="17" t="s">
        <v>24</v>
      </c>
      <c r="F1544" s="17" t="str">
        <f>INDEX(nrg_cb_e!$A$3:$A$40,MATCH(LEFT(MID('Industriesektor GWh'!$B1544,41,1000),SEARCH(" - ",MID('Industriesektor GWh'!$B1544,41,1000))-1),nrg_cb_e!$C$3:$C$40,0))</f>
        <v>FC_IND_CPC_E</v>
      </c>
      <c r="G1544" s="18">
        <v>66</v>
      </c>
    </row>
    <row r="1545" spans="1:7" x14ac:dyDescent="0.2">
      <c r="A1545" s="19" t="s">
        <v>57</v>
      </c>
      <c r="B1545" s="20" t="s">
        <v>63</v>
      </c>
      <c r="C1545" s="20" t="s">
        <v>8</v>
      </c>
      <c r="D1545" s="20" t="s">
        <v>10</v>
      </c>
      <c r="E1545" s="20" t="s">
        <v>25</v>
      </c>
      <c r="F1545" s="20" t="str">
        <f>INDEX(nrg_cb_e!$A$3:$A$40,MATCH(LEFT(MID('Industriesektor GWh'!$B1545,41,1000),SEARCH(" - ",MID('Industriesektor GWh'!$B1545,41,1000))-1),nrg_cb_e!$C$3:$C$40,0))</f>
        <v>FC_IND_CPC_E</v>
      </c>
      <c r="G1545" s="21">
        <v>81</v>
      </c>
    </row>
    <row r="1546" spans="1:7" x14ac:dyDescent="0.2">
      <c r="A1546" s="16" t="s">
        <v>57</v>
      </c>
      <c r="B1546" s="17" t="s">
        <v>63</v>
      </c>
      <c r="C1546" s="17" t="s">
        <v>8</v>
      </c>
      <c r="D1546" s="17" t="s">
        <v>10</v>
      </c>
      <c r="E1546" s="17" t="s">
        <v>26</v>
      </c>
      <c r="F1546" s="17" t="str">
        <f>INDEX(nrg_cb_e!$A$3:$A$40,MATCH(LEFT(MID('Industriesektor GWh'!$B1546,41,1000),SEARCH(" - ",MID('Industriesektor GWh'!$B1546,41,1000))-1),nrg_cb_e!$C$3:$C$40,0))</f>
        <v>FC_IND_CPC_E</v>
      </c>
      <c r="G1546" s="18">
        <v>87</v>
      </c>
    </row>
    <row r="1547" spans="1:7" x14ac:dyDescent="0.2">
      <c r="A1547" s="19" t="s">
        <v>57</v>
      </c>
      <c r="B1547" s="20" t="s">
        <v>63</v>
      </c>
      <c r="C1547" s="20" t="s">
        <v>8</v>
      </c>
      <c r="D1547" s="20" t="s">
        <v>10</v>
      </c>
      <c r="E1547" s="20" t="s">
        <v>27</v>
      </c>
      <c r="F1547" s="20" t="str">
        <f>INDEX(nrg_cb_e!$A$3:$A$40,MATCH(LEFT(MID('Industriesektor GWh'!$B1547,41,1000),SEARCH(" - ",MID('Industriesektor GWh'!$B1547,41,1000))-1),nrg_cb_e!$C$3:$C$40,0))</f>
        <v>FC_IND_CPC_E</v>
      </c>
      <c r="G1547" s="21">
        <v>84.272000000000006</v>
      </c>
    </row>
    <row r="1548" spans="1:7" x14ac:dyDescent="0.2">
      <c r="A1548" s="16" t="s">
        <v>57</v>
      </c>
      <c r="B1548" s="17" t="s">
        <v>63</v>
      </c>
      <c r="C1548" s="17" t="s">
        <v>8</v>
      </c>
      <c r="D1548" s="17" t="s">
        <v>10</v>
      </c>
      <c r="E1548" s="17" t="s">
        <v>28</v>
      </c>
      <c r="F1548" s="17" t="str">
        <f>INDEX(nrg_cb_e!$A$3:$A$40,MATCH(LEFT(MID('Industriesektor GWh'!$B1548,41,1000),SEARCH(" - ",MID('Industriesektor GWh'!$B1548,41,1000))-1),nrg_cb_e!$C$3:$C$40,0))</f>
        <v>FC_IND_CPC_E</v>
      </c>
      <c r="G1548" s="18">
        <v>96.326999999999998</v>
      </c>
    </row>
    <row r="1549" spans="1:7" x14ac:dyDescent="0.2">
      <c r="A1549" s="19" t="s">
        <v>58</v>
      </c>
      <c r="B1549" s="20" t="s">
        <v>63</v>
      </c>
      <c r="C1549" s="20" t="s">
        <v>8</v>
      </c>
      <c r="D1549" s="20" t="s">
        <v>10</v>
      </c>
      <c r="E1549" s="20" t="s">
        <v>12</v>
      </c>
      <c r="F1549" s="20" t="str">
        <f>INDEX(nrg_cb_e!$A$3:$A$40,MATCH(LEFT(MID('Industriesektor GWh'!$B1549,41,1000),SEARCH(" - ",MID('Industriesektor GWh'!$B1549,41,1000))-1),nrg_cb_e!$C$3:$C$40,0))</f>
        <v>FC_IND_CPC_E</v>
      </c>
      <c r="G1549" s="21">
        <v>6808</v>
      </c>
    </row>
    <row r="1550" spans="1:7" x14ac:dyDescent="0.2">
      <c r="A1550" s="16" t="s">
        <v>58</v>
      </c>
      <c r="B1550" s="17" t="s">
        <v>63</v>
      </c>
      <c r="C1550" s="17" t="s">
        <v>8</v>
      </c>
      <c r="D1550" s="17" t="s">
        <v>10</v>
      </c>
      <c r="E1550" s="17" t="s">
        <v>13</v>
      </c>
      <c r="F1550" s="17" t="str">
        <f>INDEX(nrg_cb_e!$A$3:$A$40,MATCH(LEFT(MID('Industriesektor GWh'!$B1550,41,1000),SEARCH(" - ",MID('Industriesektor GWh'!$B1550,41,1000))-1),nrg_cb_e!$C$3:$C$40,0))</f>
        <v>FC_IND_CPC_E</v>
      </c>
      <c r="G1550" s="18">
        <v>6834</v>
      </c>
    </row>
    <row r="1551" spans="1:7" x14ac:dyDescent="0.2">
      <c r="A1551" s="19" t="s">
        <v>58</v>
      </c>
      <c r="B1551" s="20" t="s">
        <v>63</v>
      </c>
      <c r="C1551" s="20" t="s">
        <v>8</v>
      </c>
      <c r="D1551" s="20" t="s">
        <v>10</v>
      </c>
      <c r="E1551" s="20" t="s">
        <v>14</v>
      </c>
      <c r="F1551" s="20" t="str">
        <f>INDEX(nrg_cb_e!$A$3:$A$40,MATCH(LEFT(MID('Industriesektor GWh'!$B1551,41,1000),SEARCH(" - ",MID('Industriesektor GWh'!$B1551,41,1000))-1),nrg_cb_e!$C$3:$C$40,0))</f>
        <v>FC_IND_CPC_E</v>
      </c>
      <c r="G1551" s="21">
        <v>7093</v>
      </c>
    </row>
    <row r="1552" spans="1:7" x14ac:dyDescent="0.2">
      <c r="A1552" s="16" t="s">
        <v>58</v>
      </c>
      <c r="B1552" s="17" t="s">
        <v>63</v>
      </c>
      <c r="C1552" s="17" t="s">
        <v>8</v>
      </c>
      <c r="D1552" s="17" t="s">
        <v>10</v>
      </c>
      <c r="E1552" s="17" t="s">
        <v>15</v>
      </c>
      <c r="F1552" s="17" t="str">
        <f>INDEX(nrg_cb_e!$A$3:$A$40,MATCH(LEFT(MID('Industriesektor GWh'!$B1552,41,1000),SEARCH(" - ",MID('Industriesektor GWh'!$B1552,41,1000))-1),nrg_cb_e!$C$3:$C$40,0))</f>
        <v>FC_IND_CPC_E</v>
      </c>
      <c r="G1552" s="18">
        <v>7617</v>
      </c>
    </row>
    <row r="1553" spans="1:7" x14ac:dyDescent="0.2">
      <c r="A1553" s="19" t="s">
        <v>58</v>
      </c>
      <c r="B1553" s="20" t="s">
        <v>63</v>
      </c>
      <c r="C1553" s="20" t="s">
        <v>8</v>
      </c>
      <c r="D1553" s="20" t="s">
        <v>10</v>
      </c>
      <c r="E1553" s="20" t="s">
        <v>16</v>
      </c>
      <c r="F1553" s="20" t="str">
        <f>INDEX(nrg_cb_e!$A$3:$A$40,MATCH(LEFT(MID('Industriesektor GWh'!$B1553,41,1000),SEARCH(" - ",MID('Industriesektor GWh'!$B1553,41,1000))-1),nrg_cb_e!$C$3:$C$40,0))</f>
        <v>FC_IND_CPC_E</v>
      </c>
      <c r="G1553" s="21">
        <v>7476</v>
      </c>
    </row>
    <row r="1554" spans="1:7" x14ac:dyDescent="0.2">
      <c r="A1554" s="16" t="s">
        <v>58</v>
      </c>
      <c r="B1554" s="17" t="s">
        <v>63</v>
      </c>
      <c r="C1554" s="17" t="s">
        <v>8</v>
      </c>
      <c r="D1554" s="17" t="s">
        <v>10</v>
      </c>
      <c r="E1554" s="17" t="s">
        <v>17</v>
      </c>
      <c r="F1554" s="17" t="str">
        <f>INDEX(nrg_cb_e!$A$3:$A$40,MATCH(LEFT(MID('Industriesektor GWh'!$B1554,41,1000),SEARCH(" - ",MID('Industriesektor GWh'!$B1554,41,1000))-1),nrg_cb_e!$C$3:$C$40,0))</f>
        <v>FC_IND_CPC_E</v>
      </c>
      <c r="G1554" s="18">
        <v>7226</v>
      </c>
    </row>
    <row r="1555" spans="1:7" x14ac:dyDescent="0.2">
      <c r="A1555" s="19" t="s">
        <v>58</v>
      </c>
      <c r="B1555" s="20" t="s">
        <v>63</v>
      </c>
      <c r="C1555" s="20" t="s">
        <v>8</v>
      </c>
      <c r="D1555" s="20" t="s">
        <v>10</v>
      </c>
      <c r="E1555" s="20" t="s">
        <v>18</v>
      </c>
      <c r="F1555" s="20" t="str">
        <f>INDEX(nrg_cb_e!$A$3:$A$40,MATCH(LEFT(MID('Industriesektor GWh'!$B1555,41,1000),SEARCH(" - ",MID('Industriesektor GWh'!$B1555,41,1000))-1),nrg_cb_e!$C$3:$C$40,0))</f>
        <v>FC_IND_CPC_E</v>
      </c>
      <c r="G1555" s="21">
        <v>7856</v>
      </c>
    </row>
    <row r="1556" spans="1:7" x14ac:dyDescent="0.2">
      <c r="A1556" s="16" t="s">
        <v>58</v>
      </c>
      <c r="B1556" s="17" t="s">
        <v>63</v>
      </c>
      <c r="C1556" s="17" t="s">
        <v>8</v>
      </c>
      <c r="D1556" s="17" t="s">
        <v>10</v>
      </c>
      <c r="E1556" s="17" t="s">
        <v>19</v>
      </c>
      <c r="F1556" s="17" t="str">
        <f>INDEX(nrg_cb_e!$A$3:$A$40,MATCH(LEFT(MID('Industriesektor GWh'!$B1556,41,1000),SEARCH(" - ",MID('Industriesektor GWh'!$B1556,41,1000))-1),nrg_cb_e!$C$3:$C$40,0))</f>
        <v>FC_IND_CPC_E</v>
      </c>
      <c r="G1556" s="18">
        <v>6519</v>
      </c>
    </row>
    <row r="1557" spans="1:7" x14ac:dyDescent="0.2">
      <c r="A1557" s="19" t="s">
        <v>58</v>
      </c>
      <c r="B1557" s="20" t="s">
        <v>63</v>
      </c>
      <c r="C1557" s="20" t="s">
        <v>8</v>
      </c>
      <c r="D1557" s="20" t="s">
        <v>10</v>
      </c>
      <c r="E1557" s="20" t="s">
        <v>20</v>
      </c>
      <c r="F1557" s="20" t="str">
        <f>INDEX(nrg_cb_e!$A$3:$A$40,MATCH(LEFT(MID('Industriesektor GWh'!$B1557,41,1000),SEARCH(" - ",MID('Industriesektor GWh'!$B1557,41,1000))-1),nrg_cb_e!$C$3:$C$40,0))</f>
        <v>FC_IND_CPC_E</v>
      </c>
      <c r="G1557" s="21">
        <v>7811</v>
      </c>
    </row>
    <row r="1558" spans="1:7" x14ac:dyDescent="0.2">
      <c r="A1558" s="16" t="s">
        <v>58</v>
      </c>
      <c r="B1558" s="17" t="s">
        <v>63</v>
      </c>
      <c r="C1558" s="17" t="s">
        <v>8</v>
      </c>
      <c r="D1558" s="17" t="s">
        <v>10</v>
      </c>
      <c r="E1558" s="17" t="s">
        <v>21</v>
      </c>
      <c r="F1558" s="17" t="str">
        <f>INDEX(nrg_cb_e!$A$3:$A$40,MATCH(LEFT(MID('Industriesektor GWh'!$B1558,41,1000),SEARCH(" - ",MID('Industriesektor GWh'!$B1558,41,1000))-1),nrg_cb_e!$C$3:$C$40,0))</f>
        <v>FC_IND_CPC_E</v>
      </c>
      <c r="G1558" s="18">
        <v>7688</v>
      </c>
    </row>
    <row r="1559" spans="1:7" x14ac:dyDescent="0.2">
      <c r="A1559" s="19" t="s">
        <v>58</v>
      </c>
      <c r="B1559" s="20" t="s">
        <v>63</v>
      </c>
      <c r="C1559" s="20" t="s">
        <v>8</v>
      </c>
      <c r="D1559" s="20" t="s">
        <v>10</v>
      </c>
      <c r="E1559" s="20" t="s">
        <v>22</v>
      </c>
      <c r="F1559" s="20" t="str">
        <f>INDEX(nrg_cb_e!$A$3:$A$40,MATCH(LEFT(MID('Industriesektor GWh'!$B1559,41,1000),SEARCH(" - ",MID('Industriesektor GWh'!$B1559,41,1000))-1),nrg_cb_e!$C$3:$C$40,0))</f>
        <v>FC_IND_CPC_E</v>
      </c>
      <c r="G1559" s="21">
        <v>7252</v>
      </c>
    </row>
    <row r="1560" spans="1:7" x14ac:dyDescent="0.2">
      <c r="A1560" s="16" t="s">
        <v>58</v>
      </c>
      <c r="B1560" s="17" t="s">
        <v>63</v>
      </c>
      <c r="C1560" s="17" t="s">
        <v>8</v>
      </c>
      <c r="D1560" s="17" t="s">
        <v>10</v>
      </c>
      <c r="E1560" s="17" t="s">
        <v>23</v>
      </c>
      <c r="F1560" s="17" t="str">
        <f>INDEX(nrg_cb_e!$A$3:$A$40,MATCH(LEFT(MID('Industriesektor GWh'!$B1560,41,1000),SEARCH(" - ",MID('Industriesektor GWh'!$B1560,41,1000))-1),nrg_cb_e!$C$3:$C$40,0))</f>
        <v>FC_IND_CPC_E</v>
      </c>
      <c r="G1560" s="18">
        <v>7229</v>
      </c>
    </row>
    <row r="1561" spans="1:7" x14ac:dyDescent="0.2">
      <c r="A1561" s="19" t="s">
        <v>58</v>
      </c>
      <c r="B1561" s="20" t="s">
        <v>63</v>
      </c>
      <c r="C1561" s="20" t="s">
        <v>8</v>
      </c>
      <c r="D1561" s="20" t="s">
        <v>10</v>
      </c>
      <c r="E1561" s="20" t="s">
        <v>24</v>
      </c>
      <c r="F1561" s="20" t="str">
        <f>INDEX(nrg_cb_e!$A$3:$A$40,MATCH(LEFT(MID('Industriesektor GWh'!$B1561,41,1000),SEARCH(" - ",MID('Industriesektor GWh'!$B1561,41,1000))-1),nrg_cb_e!$C$3:$C$40,0))</f>
        <v>FC_IND_CPC_E</v>
      </c>
      <c r="G1561" s="21">
        <v>7650</v>
      </c>
    </row>
    <row r="1562" spans="1:7" x14ac:dyDescent="0.2">
      <c r="A1562" s="16" t="s">
        <v>58</v>
      </c>
      <c r="B1562" s="17" t="s">
        <v>63</v>
      </c>
      <c r="C1562" s="17" t="s">
        <v>8</v>
      </c>
      <c r="D1562" s="17" t="s">
        <v>10</v>
      </c>
      <c r="E1562" s="17" t="s">
        <v>25</v>
      </c>
      <c r="F1562" s="17" t="str">
        <f>INDEX(nrg_cb_e!$A$3:$A$40,MATCH(LEFT(MID('Industriesektor GWh'!$B1562,41,1000),SEARCH(" - ",MID('Industriesektor GWh'!$B1562,41,1000))-1),nrg_cb_e!$C$3:$C$40,0))</f>
        <v>FC_IND_CPC_E</v>
      </c>
      <c r="G1562" s="18">
        <v>7829</v>
      </c>
    </row>
    <row r="1563" spans="1:7" x14ac:dyDescent="0.2">
      <c r="A1563" s="19" t="s">
        <v>58</v>
      </c>
      <c r="B1563" s="20" t="s">
        <v>63</v>
      </c>
      <c r="C1563" s="20" t="s">
        <v>8</v>
      </c>
      <c r="D1563" s="20" t="s">
        <v>10</v>
      </c>
      <c r="E1563" s="20" t="s">
        <v>26</v>
      </c>
      <c r="F1563" s="20" t="str">
        <f>INDEX(nrg_cb_e!$A$3:$A$40,MATCH(LEFT(MID('Industriesektor GWh'!$B1563,41,1000),SEARCH(" - ",MID('Industriesektor GWh'!$B1563,41,1000))-1),nrg_cb_e!$C$3:$C$40,0))</f>
        <v>FC_IND_CPC_E</v>
      </c>
      <c r="G1563" s="21">
        <v>7748</v>
      </c>
    </row>
    <row r="1564" spans="1:7" x14ac:dyDescent="0.2">
      <c r="A1564" s="16" t="s">
        <v>58</v>
      </c>
      <c r="B1564" s="17" t="s">
        <v>63</v>
      </c>
      <c r="C1564" s="17" t="s">
        <v>8</v>
      </c>
      <c r="D1564" s="17" t="s">
        <v>10</v>
      </c>
      <c r="E1564" s="17" t="s">
        <v>27</v>
      </c>
      <c r="F1564" s="17" t="str">
        <f>INDEX(nrg_cb_e!$A$3:$A$40,MATCH(LEFT(MID('Industriesektor GWh'!$B1564,41,1000),SEARCH(" - ",MID('Industriesektor GWh'!$B1564,41,1000))-1),nrg_cb_e!$C$3:$C$40,0))</f>
        <v>FC_IND_CPC_E</v>
      </c>
      <c r="G1564" s="18">
        <v>7454</v>
      </c>
    </row>
    <row r="1565" spans="1:7" x14ac:dyDescent="0.2">
      <c r="A1565" s="19" t="s">
        <v>58</v>
      </c>
      <c r="B1565" s="20" t="s">
        <v>63</v>
      </c>
      <c r="C1565" s="20" t="s">
        <v>8</v>
      </c>
      <c r="D1565" s="20" t="s">
        <v>10</v>
      </c>
      <c r="E1565" s="20" t="s">
        <v>28</v>
      </c>
      <c r="F1565" s="20" t="str">
        <f>INDEX(nrg_cb_e!$A$3:$A$40,MATCH(LEFT(MID('Industriesektor GWh'!$B1565,41,1000),SEARCH(" - ",MID('Industriesektor GWh'!$B1565,41,1000))-1),nrg_cb_e!$C$3:$C$40,0))</f>
        <v>FC_IND_CPC_E</v>
      </c>
      <c r="G1565" s="21">
        <v>7638.9120000000003</v>
      </c>
    </row>
    <row r="1566" spans="1:7" x14ac:dyDescent="0.2">
      <c r="A1566" s="16" t="s">
        <v>59</v>
      </c>
      <c r="B1566" s="17" t="s">
        <v>63</v>
      </c>
      <c r="C1566" s="17" t="s">
        <v>8</v>
      </c>
      <c r="D1566" s="17" t="s">
        <v>10</v>
      </c>
      <c r="E1566" s="17" t="s">
        <v>12</v>
      </c>
      <c r="F1566" s="17" t="str">
        <f>INDEX(nrg_cb_e!$A$3:$A$40,MATCH(LEFT(MID('Industriesektor GWh'!$B1566,41,1000),SEARCH(" - ",MID('Industriesektor GWh'!$B1566,41,1000))-1),nrg_cb_e!$C$3:$C$40,0))</f>
        <v>FC_IND_CPC_E</v>
      </c>
      <c r="G1566" s="18">
        <v>463</v>
      </c>
    </row>
    <row r="1567" spans="1:7" x14ac:dyDescent="0.2">
      <c r="A1567" s="19" t="s">
        <v>59</v>
      </c>
      <c r="B1567" s="20" t="s">
        <v>63</v>
      </c>
      <c r="C1567" s="20" t="s">
        <v>8</v>
      </c>
      <c r="D1567" s="20" t="s">
        <v>10</v>
      </c>
      <c r="E1567" s="20" t="s">
        <v>13</v>
      </c>
      <c r="F1567" s="20" t="str">
        <f>INDEX(nrg_cb_e!$A$3:$A$40,MATCH(LEFT(MID('Industriesektor GWh'!$B1567,41,1000),SEARCH(" - ",MID('Industriesektor GWh'!$B1567,41,1000))-1),nrg_cb_e!$C$3:$C$40,0))</f>
        <v>FC_IND_CPC_E</v>
      </c>
      <c r="G1567" s="21">
        <v>433</v>
      </c>
    </row>
    <row r="1568" spans="1:7" x14ac:dyDescent="0.2">
      <c r="A1568" s="16" t="s">
        <v>59</v>
      </c>
      <c r="B1568" s="17" t="s">
        <v>63</v>
      </c>
      <c r="C1568" s="17" t="s">
        <v>8</v>
      </c>
      <c r="D1568" s="17" t="s">
        <v>10</v>
      </c>
      <c r="E1568" s="17" t="s">
        <v>14</v>
      </c>
      <c r="F1568" s="17" t="str">
        <f>INDEX(nrg_cb_e!$A$3:$A$40,MATCH(LEFT(MID('Industriesektor GWh'!$B1568,41,1000),SEARCH(" - ",MID('Industriesektor GWh'!$B1568,41,1000))-1),nrg_cb_e!$C$3:$C$40,0))</f>
        <v>FC_IND_CPC_E</v>
      </c>
      <c r="G1568" s="18">
        <v>957</v>
      </c>
    </row>
    <row r="1569" spans="1:7" x14ac:dyDescent="0.2">
      <c r="A1569" s="19" t="s">
        <v>59</v>
      </c>
      <c r="B1569" s="20" t="s">
        <v>63</v>
      </c>
      <c r="C1569" s="20" t="s">
        <v>8</v>
      </c>
      <c r="D1569" s="20" t="s">
        <v>10</v>
      </c>
      <c r="E1569" s="20" t="s">
        <v>15</v>
      </c>
      <c r="F1569" s="20" t="str">
        <f>INDEX(nrg_cb_e!$A$3:$A$40,MATCH(LEFT(MID('Industriesektor GWh'!$B1569,41,1000),SEARCH(" - ",MID('Industriesektor GWh'!$B1569,41,1000))-1),nrg_cb_e!$C$3:$C$40,0))</f>
        <v>FC_IND_CPC_E</v>
      </c>
      <c r="G1569" s="21">
        <v>840</v>
      </c>
    </row>
    <row r="1570" spans="1:7" x14ac:dyDescent="0.2">
      <c r="A1570" s="16" t="s">
        <v>59</v>
      </c>
      <c r="B1570" s="17" t="s">
        <v>63</v>
      </c>
      <c r="C1570" s="17" t="s">
        <v>8</v>
      </c>
      <c r="D1570" s="17" t="s">
        <v>10</v>
      </c>
      <c r="E1570" s="17" t="s">
        <v>16</v>
      </c>
      <c r="F1570" s="17" t="str">
        <f>INDEX(nrg_cb_e!$A$3:$A$40,MATCH(LEFT(MID('Industriesektor GWh'!$B1570,41,1000),SEARCH(" - ",MID('Industriesektor GWh'!$B1570,41,1000))-1),nrg_cb_e!$C$3:$C$40,0))</f>
        <v>FC_IND_CPC_E</v>
      </c>
      <c r="G1570" s="18">
        <v>930</v>
      </c>
    </row>
    <row r="1571" spans="1:7" x14ac:dyDescent="0.2">
      <c r="A1571" s="19" t="s">
        <v>59</v>
      </c>
      <c r="B1571" s="20" t="s">
        <v>63</v>
      </c>
      <c r="C1571" s="20" t="s">
        <v>8</v>
      </c>
      <c r="D1571" s="20" t="s">
        <v>10</v>
      </c>
      <c r="E1571" s="20" t="s">
        <v>17</v>
      </c>
      <c r="F1571" s="20" t="str">
        <f>INDEX(nrg_cb_e!$A$3:$A$40,MATCH(LEFT(MID('Industriesektor GWh'!$B1571,41,1000),SEARCH(" - ",MID('Industriesektor GWh'!$B1571,41,1000))-1),nrg_cb_e!$C$3:$C$40,0))</f>
        <v>FC_IND_CPC_E</v>
      </c>
      <c r="G1571" s="21">
        <v>858</v>
      </c>
    </row>
    <row r="1572" spans="1:7" x14ac:dyDescent="0.2">
      <c r="A1572" s="16" t="s">
        <v>59</v>
      </c>
      <c r="B1572" s="17" t="s">
        <v>63</v>
      </c>
      <c r="C1572" s="17" t="s">
        <v>8</v>
      </c>
      <c r="D1572" s="17" t="s">
        <v>10</v>
      </c>
      <c r="E1572" s="17" t="s">
        <v>18</v>
      </c>
      <c r="F1572" s="17" t="str">
        <f>INDEX(nrg_cb_e!$A$3:$A$40,MATCH(LEFT(MID('Industriesektor GWh'!$B1572,41,1000),SEARCH(" - ",MID('Industriesektor GWh'!$B1572,41,1000))-1),nrg_cb_e!$C$3:$C$40,0))</f>
        <v>FC_IND_CPC_E</v>
      </c>
      <c r="G1572" s="18">
        <v>1147</v>
      </c>
    </row>
    <row r="1573" spans="1:7" x14ac:dyDescent="0.2">
      <c r="A1573" s="19" t="s">
        <v>59</v>
      </c>
      <c r="B1573" s="20" t="s">
        <v>63</v>
      </c>
      <c r="C1573" s="20" t="s">
        <v>8</v>
      </c>
      <c r="D1573" s="20" t="s">
        <v>10</v>
      </c>
      <c r="E1573" s="20" t="s">
        <v>19</v>
      </c>
      <c r="F1573" s="20" t="str">
        <f>INDEX(nrg_cb_e!$A$3:$A$40,MATCH(LEFT(MID('Industriesektor GWh'!$B1573,41,1000),SEARCH(" - ",MID('Industriesektor GWh'!$B1573,41,1000))-1),nrg_cb_e!$C$3:$C$40,0))</f>
        <v>FC_IND_CPC_E</v>
      </c>
      <c r="G1573" s="21">
        <v>625</v>
      </c>
    </row>
    <row r="1574" spans="1:7" x14ac:dyDescent="0.2">
      <c r="A1574" s="16" t="s">
        <v>59</v>
      </c>
      <c r="B1574" s="17" t="s">
        <v>63</v>
      </c>
      <c r="C1574" s="17" t="s">
        <v>8</v>
      </c>
      <c r="D1574" s="17" t="s">
        <v>10</v>
      </c>
      <c r="E1574" s="17" t="s">
        <v>20</v>
      </c>
      <c r="F1574" s="17" t="str">
        <f>INDEX(nrg_cb_e!$A$3:$A$40,MATCH(LEFT(MID('Industriesektor GWh'!$B1574,41,1000),SEARCH(" - ",MID('Industriesektor GWh'!$B1574,41,1000))-1),nrg_cb_e!$C$3:$C$40,0))</f>
        <v>FC_IND_CPC_E</v>
      </c>
      <c r="G1574" s="18">
        <v>951</v>
      </c>
    </row>
    <row r="1575" spans="1:7" x14ac:dyDescent="0.2">
      <c r="A1575" s="19" t="s">
        <v>59</v>
      </c>
      <c r="B1575" s="20" t="s">
        <v>63</v>
      </c>
      <c r="C1575" s="20" t="s">
        <v>8</v>
      </c>
      <c r="D1575" s="20" t="s">
        <v>10</v>
      </c>
      <c r="E1575" s="20" t="s">
        <v>21</v>
      </c>
      <c r="F1575" s="20" t="str">
        <f>INDEX(nrg_cb_e!$A$3:$A$40,MATCH(LEFT(MID('Industriesektor GWh'!$B1575,41,1000),SEARCH(" - ",MID('Industriesektor GWh'!$B1575,41,1000))-1),nrg_cb_e!$C$3:$C$40,0))</f>
        <v>FC_IND_CPC_E</v>
      </c>
      <c r="G1575" s="21">
        <v>611</v>
      </c>
    </row>
    <row r="1576" spans="1:7" x14ac:dyDescent="0.2">
      <c r="A1576" s="16" t="s">
        <v>59</v>
      </c>
      <c r="B1576" s="17" t="s">
        <v>63</v>
      </c>
      <c r="C1576" s="17" t="s">
        <v>8</v>
      </c>
      <c r="D1576" s="17" t="s">
        <v>10</v>
      </c>
      <c r="E1576" s="17" t="s">
        <v>22</v>
      </c>
      <c r="F1576" s="17" t="str">
        <f>INDEX(nrg_cb_e!$A$3:$A$40,MATCH(LEFT(MID('Industriesektor GWh'!$B1576,41,1000),SEARCH(" - ",MID('Industriesektor GWh'!$B1576,41,1000))-1),nrg_cb_e!$C$3:$C$40,0))</f>
        <v>FC_IND_CPC_E</v>
      </c>
      <c r="G1576" s="18">
        <v>825</v>
      </c>
    </row>
    <row r="1577" spans="1:7" x14ac:dyDescent="0.2">
      <c r="A1577" s="19" t="s">
        <v>59</v>
      </c>
      <c r="B1577" s="20" t="s">
        <v>63</v>
      </c>
      <c r="C1577" s="20" t="s">
        <v>8</v>
      </c>
      <c r="D1577" s="20" t="s">
        <v>10</v>
      </c>
      <c r="E1577" s="20" t="s">
        <v>23</v>
      </c>
      <c r="F1577" s="20" t="str">
        <f>INDEX(nrg_cb_e!$A$3:$A$40,MATCH(LEFT(MID('Industriesektor GWh'!$B1577,41,1000),SEARCH(" - ",MID('Industriesektor GWh'!$B1577,41,1000))-1),nrg_cb_e!$C$3:$C$40,0))</f>
        <v>FC_IND_CPC_E</v>
      </c>
      <c r="G1577" s="21">
        <v>932</v>
      </c>
    </row>
    <row r="1578" spans="1:7" x14ac:dyDescent="0.2">
      <c r="A1578" s="16" t="s">
        <v>59</v>
      </c>
      <c r="B1578" s="17" t="s">
        <v>63</v>
      </c>
      <c r="C1578" s="17" t="s">
        <v>8</v>
      </c>
      <c r="D1578" s="17" t="s">
        <v>10</v>
      </c>
      <c r="E1578" s="17" t="s">
        <v>24</v>
      </c>
      <c r="F1578" s="17" t="str">
        <f>INDEX(nrg_cb_e!$A$3:$A$40,MATCH(LEFT(MID('Industriesektor GWh'!$B1578,41,1000),SEARCH(" - ",MID('Industriesektor GWh'!$B1578,41,1000))-1),nrg_cb_e!$C$3:$C$40,0))</f>
        <v>FC_IND_CPC_E</v>
      </c>
      <c r="G1578" s="18">
        <v>903</v>
      </c>
    </row>
    <row r="1579" spans="1:7" x14ac:dyDescent="0.2">
      <c r="A1579" s="19" t="s">
        <v>59</v>
      </c>
      <c r="B1579" s="20" t="s">
        <v>63</v>
      </c>
      <c r="C1579" s="20" t="s">
        <v>8</v>
      </c>
      <c r="D1579" s="20" t="s">
        <v>10</v>
      </c>
      <c r="E1579" s="20" t="s">
        <v>25</v>
      </c>
      <c r="F1579" s="20" t="str">
        <f>INDEX(nrg_cb_e!$A$3:$A$40,MATCH(LEFT(MID('Industriesektor GWh'!$B1579,41,1000),SEARCH(" - ",MID('Industriesektor GWh'!$B1579,41,1000))-1),nrg_cb_e!$C$3:$C$40,0))</f>
        <v>FC_IND_CPC_E</v>
      </c>
      <c r="G1579" s="21">
        <v>922</v>
      </c>
    </row>
    <row r="1580" spans="1:7" x14ac:dyDescent="0.2">
      <c r="A1580" s="16" t="s">
        <v>59</v>
      </c>
      <c r="B1580" s="17" t="s">
        <v>63</v>
      </c>
      <c r="C1580" s="17" t="s">
        <v>8</v>
      </c>
      <c r="D1580" s="17" t="s">
        <v>10</v>
      </c>
      <c r="E1580" s="17" t="s">
        <v>26</v>
      </c>
      <c r="F1580" s="17" t="str">
        <f>INDEX(nrg_cb_e!$A$3:$A$40,MATCH(LEFT(MID('Industriesektor GWh'!$B1580,41,1000),SEARCH(" - ",MID('Industriesektor GWh'!$B1580,41,1000))-1),nrg_cb_e!$C$3:$C$40,0))</f>
        <v>FC_IND_CPC_E</v>
      </c>
      <c r="G1580" s="18">
        <v>1202</v>
      </c>
    </row>
    <row r="1581" spans="1:7" x14ac:dyDescent="0.2">
      <c r="A1581" s="19" t="s">
        <v>59</v>
      </c>
      <c r="B1581" s="20" t="s">
        <v>63</v>
      </c>
      <c r="C1581" s="20" t="s">
        <v>8</v>
      </c>
      <c r="D1581" s="20" t="s">
        <v>10</v>
      </c>
      <c r="E1581" s="20" t="s">
        <v>27</v>
      </c>
      <c r="F1581" s="20" t="str">
        <f>INDEX(nrg_cb_e!$A$3:$A$40,MATCH(LEFT(MID('Industriesektor GWh'!$B1581,41,1000),SEARCH(" - ",MID('Industriesektor GWh'!$B1581,41,1000))-1),nrg_cb_e!$C$3:$C$40,0))</f>
        <v>FC_IND_CPC_E</v>
      </c>
      <c r="G1581" s="21">
        <v>1261.7249999999999</v>
      </c>
    </row>
    <row r="1582" spans="1:7" x14ac:dyDescent="0.2">
      <c r="A1582" s="16" t="s">
        <v>59</v>
      </c>
      <c r="B1582" s="17" t="s">
        <v>63</v>
      </c>
      <c r="C1582" s="17" t="s">
        <v>8</v>
      </c>
      <c r="D1582" s="17" t="s">
        <v>10</v>
      </c>
      <c r="E1582" s="17" t="s">
        <v>28</v>
      </c>
      <c r="F1582" s="17" t="str">
        <f>INDEX(nrg_cb_e!$A$3:$A$40,MATCH(LEFT(MID('Industriesektor GWh'!$B1582,41,1000),SEARCH(" - ",MID('Industriesektor GWh'!$B1582,41,1000))-1),nrg_cb_e!$C$3:$C$40,0))</f>
        <v>FC_IND_CPC_E</v>
      </c>
      <c r="G1582" s="18">
        <v>1347.587</v>
      </c>
    </row>
    <row r="1583" spans="1:7" x14ac:dyDescent="0.2">
      <c r="A1583" s="19" t="s">
        <v>29</v>
      </c>
      <c r="B1583" s="20" t="s">
        <v>6</v>
      </c>
      <c r="C1583" s="20" t="s">
        <v>8</v>
      </c>
      <c r="D1583" s="20" t="s">
        <v>10</v>
      </c>
      <c r="E1583" s="20" t="s">
        <v>12</v>
      </c>
      <c r="F1583" s="20" t="str">
        <f>INDEX(nrg_cb_e!$A$3:$A$40,MATCH(LEFT(MID('Industriesektor GWh'!$B1583,41,1000),SEARCH(" - ",MID('Industriesektor GWh'!$B1583,41,1000))-1),nrg_cb_e!$C$3:$C$40,0))</f>
        <v>FC_IND_IS_E</v>
      </c>
      <c r="G1583" s="21">
        <v>6833</v>
      </c>
    </row>
    <row r="1584" spans="1:7" x14ac:dyDescent="0.2">
      <c r="A1584" s="16" t="s">
        <v>29</v>
      </c>
      <c r="B1584" s="17" t="s">
        <v>6</v>
      </c>
      <c r="C1584" s="17" t="s">
        <v>8</v>
      </c>
      <c r="D1584" s="17" t="s">
        <v>10</v>
      </c>
      <c r="E1584" s="17" t="s">
        <v>13</v>
      </c>
      <c r="F1584" s="17" t="str">
        <f>INDEX(nrg_cb_e!$A$3:$A$40,MATCH(LEFT(MID('Industriesektor GWh'!$B1584,41,1000),SEARCH(" - ",MID('Industriesektor GWh'!$B1584,41,1000))-1),nrg_cb_e!$C$3:$C$40,0))</f>
        <v>FC_IND_IS_E</v>
      </c>
      <c r="G1584" s="18">
        <v>7015</v>
      </c>
    </row>
    <row r="1585" spans="1:7" x14ac:dyDescent="0.2">
      <c r="A1585" s="19" t="s">
        <v>29</v>
      </c>
      <c r="B1585" s="20" t="s">
        <v>6</v>
      </c>
      <c r="C1585" s="20" t="s">
        <v>8</v>
      </c>
      <c r="D1585" s="20" t="s">
        <v>10</v>
      </c>
      <c r="E1585" s="20" t="s">
        <v>14</v>
      </c>
      <c r="F1585" s="20" t="str">
        <f>INDEX(nrg_cb_e!$A$3:$A$40,MATCH(LEFT(MID('Industriesektor GWh'!$B1585,41,1000),SEARCH(" - ",MID('Industriesektor GWh'!$B1585,41,1000))-1),nrg_cb_e!$C$3:$C$40,0))</f>
        <v>FC_IND_IS_E</v>
      </c>
      <c r="G1585" s="21">
        <v>7061</v>
      </c>
    </row>
    <row r="1586" spans="1:7" x14ac:dyDescent="0.2">
      <c r="A1586" s="16" t="s">
        <v>29</v>
      </c>
      <c r="B1586" s="17" t="s">
        <v>6</v>
      </c>
      <c r="C1586" s="17" t="s">
        <v>8</v>
      </c>
      <c r="D1586" s="17" t="s">
        <v>10</v>
      </c>
      <c r="E1586" s="17" t="s">
        <v>15</v>
      </c>
      <c r="F1586" s="17" t="str">
        <f>INDEX(nrg_cb_e!$A$3:$A$40,MATCH(LEFT(MID('Industriesektor GWh'!$B1586,41,1000),SEARCH(" - ",MID('Industriesektor GWh'!$B1586,41,1000))-1),nrg_cb_e!$C$3:$C$40,0))</f>
        <v>FC_IND_IS_E</v>
      </c>
      <c r="G1586" s="18">
        <v>5997</v>
      </c>
    </row>
    <row r="1587" spans="1:7" x14ac:dyDescent="0.2">
      <c r="A1587" s="19" t="s">
        <v>29</v>
      </c>
      <c r="B1587" s="20" t="s">
        <v>6</v>
      </c>
      <c r="C1587" s="20" t="s">
        <v>8</v>
      </c>
      <c r="D1587" s="20" t="s">
        <v>10</v>
      </c>
      <c r="E1587" s="20" t="s">
        <v>16</v>
      </c>
      <c r="F1587" s="20" t="str">
        <f>INDEX(nrg_cb_e!$A$3:$A$40,MATCH(LEFT(MID('Industriesektor GWh'!$B1587,41,1000),SEARCH(" - ",MID('Industriesektor GWh'!$B1587,41,1000))-1),nrg_cb_e!$C$3:$C$40,0))</f>
        <v>FC_IND_IS_E</v>
      </c>
      <c r="G1587" s="21">
        <v>6193</v>
      </c>
    </row>
    <row r="1588" spans="1:7" x14ac:dyDescent="0.2">
      <c r="A1588" s="16" t="s">
        <v>29</v>
      </c>
      <c r="B1588" s="17" t="s">
        <v>6</v>
      </c>
      <c r="C1588" s="17" t="s">
        <v>8</v>
      </c>
      <c r="D1588" s="17" t="s">
        <v>10</v>
      </c>
      <c r="E1588" s="17" t="s">
        <v>17</v>
      </c>
      <c r="F1588" s="17" t="str">
        <f>INDEX(nrg_cb_e!$A$3:$A$40,MATCH(LEFT(MID('Industriesektor GWh'!$B1588,41,1000),SEARCH(" - ",MID('Industriesektor GWh'!$B1588,41,1000))-1),nrg_cb_e!$C$3:$C$40,0))</f>
        <v>FC_IND_IS_E</v>
      </c>
      <c r="G1588" s="18">
        <v>6486</v>
      </c>
    </row>
    <row r="1589" spans="1:7" x14ac:dyDescent="0.2">
      <c r="A1589" s="19" t="s">
        <v>29</v>
      </c>
      <c r="B1589" s="20" t="s">
        <v>6</v>
      </c>
      <c r="C1589" s="20" t="s">
        <v>8</v>
      </c>
      <c r="D1589" s="20" t="s">
        <v>10</v>
      </c>
      <c r="E1589" s="20" t="s">
        <v>18</v>
      </c>
      <c r="F1589" s="20" t="str">
        <f>INDEX(nrg_cb_e!$A$3:$A$40,MATCH(LEFT(MID('Industriesektor GWh'!$B1589,41,1000),SEARCH(" - ",MID('Industriesektor GWh'!$B1589,41,1000))-1),nrg_cb_e!$C$3:$C$40,0))</f>
        <v>FC_IND_IS_E</v>
      </c>
      <c r="G1589" s="21">
        <v>6346</v>
      </c>
    </row>
    <row r="1590" spans="1:7" x14ac:dyDescent="0.2">
      <c r="A1590" s="16" t="s">
        <v>29</v>
      </c>
      <c r="B1590" s="17" t="s">
        <v>6</v>
      </c>
      <c r="C1590" s="17" t="s">
        <v>8</v>
      </c>
      <c r="D1590" s="17" t="s">
        <v>10</v>
      </c>
      <c r="E1590" s="17" t="s">
        <v>19</v>
      </c>
      <c r="F1590" s="17" t="str">
        <f>INDEX(nrg_cb_e!$A$3:$A$40,MATCH(LEFT(MID('Industriesektor GWh'!$B1590,41,1000),SEARCH(" - ",MID('Industriesektor GWh'!$B1590,41,1000))-1),nrg_cb_e!$C$3:$C$40,0))</f>
        <v>FC_IND_IS_E</v>
      </c>
      <c r="G1590" s="18">
        <v>5198</v>
      </c>
    </row>
    <row r="1591" spans="1:7" x14ac:dyDescent="0.2">
      <c r="A1591" s="19" t="s">
        <v>29</v>
      </c>
      <c r="B1591" s="20" t="s">
        <v>6</v>
      </c>
      <c r="C1591" s="20" t="s">
        <v>8</v>
      </c>
      <c r="D1591" s="20" t="s">
        <v>10</v>
      </c>
      <c r="E1591" s="20" t="s">
        <v>20</v>
      </c>
      <c r="F1591" s="20" t="str">
        <f>INDEX(nrg_cb_e!$A$3:$A$40,MATCH(LEFT(MID('Industriesektor GWh'!$B1591,41,1000),SEARCH(" - ",MID('Industriesektor GWh'!$B1591,41,1000))-1),nrg_cb_e!$C$3:$C$40,0))</f>
        <v>FC_IND_IS_E</v>
      </c>
      <c r="G1591" s="21">
        <v>5986</v>
      </c>
    </row>
    <row r="1592" spans="1:7" x14ac:dyDescent="0.2">
      <c r="A1592" s="16" t="s">
        <v>29</v>
      </c>
      <c r="B1592" s="17" t="s">
        <v>6</v>
      </c>
      <c r="C1592" s="17" t="s">
        <v>8</v>
      </c>
      <c r="D1592" s="17" t="s">
        <v>10</v>
      </c>
      <c r="E1592" s="17" t="s">
        <v>21</v>
      </c>
      <c r="F1592" s="17" t="str">
        <f>INDEX(nrg_cb_e!$A$3:$A$40,MATCH(LEFT(MID('Industriesektor GWh'!$B1592,41,1000),SEARCH(" - ",MID('Industriesektor GWh'!$B1592,41,1000))-1),nrg_cb_e!$C$3:$C$40,0))</f>
        <v>FC_IND_IS_E</v>
      </c>
      <c r="G1592" s="18">
        <v>5028</v>
      </c>
    </row>
    <row r="1593" spans="1:7" x14ac:dyDescent="0.2">
      <c r="A1593" s="19" t="s">
        <v>29</v>
      </c>
      <c r="B1593" s="20" t="s">
        <v>6</v>
      </c>
      <c r="C1593" s="20" t="s">
        <v>8</v>
      </c>
      <c r="D1593" s="20" t="s">
        <v>10</v>
      </c>
      <c r="E1593" s="20" t="s">
        <v>22</v>
      </c>
      <c r="F1593" s="20" t="str">
        <f>INDEX(nrg_cb_e!$A$3:$A$40,MATCH(LEFT(MID('Industriesektor GWh'!$B1593,41,1000),SEARCH(" - ",MID('Industriesektor GWh'!$B1593,41,1000))-1),nrg_cb_e!$C$3:$C$40,0))</f>
        <v>FC_IND_IS_E</v>
      </c>
      <c r="G1593" s="21">
        <v>5668</v>
      </c>
    </row>
    <row r="1594" spans="1:7" x14ac:dyDescent="0.2">
      <c r="A1594" s="16" t="s">
        <v>29</v>
      </c>
      <c r="B1594" s="17" t="s">
        <v>6</v>
      </c>
      <c r="C1594" s="17" t="s">
        <v>8</v>
      </c>
      <c r="D1594" s="17" t="s">
        <v>10</v>
      </c>
      <c r="E1594" s="17" t="s">
        <v>23</v>
      </c>
      <c r="F1594" s="17" t="str">
        <f>INDEX(nrg_cb_e!$A$3:$A$40,MATCH(LEFT(MID('Industriesektor GWh'!$B1594,41,1000),SEARCH(" - ",MID('Industriesektor GWh'!$B1594,41,1000))-1),nrg_cb_e!$C$3:$C$40,0))</f>
        <v>FC_IND_IS_E</v>
      </c>
      <c r="G1594" s="18">
        <v>4551</v>
      </c>
    </row>
    <row r="1595" spans="1:7" x14ac:dyDescent="0.2">
      <c r="A1595" s="19" t="s">
        <v>29</v>
      </c>
      <c r="B1595" s="20" t="s">
        <v>6</v>
      </c>
      <c r="C1595" s="20" t="s">
        <v>8</v>
      </c>
      <c r="D1595" s="20" t="s">
        <v>10</v>
      </c>
      <c r="E1595" s="20" t="s">
        <v>24</v>
      </c>
      <c r="F1595" s="20" t="str">
        <f>INDEX(nrg_cb_e!$A$3:$A$40,MATCH(LEFT(MID('Industriesektor GWh'!$B1595,41,1000),SEARCH(" - ",MID('Industriesektor GWh'!$B1595,41,1000))-1),nrg_cb_e!$C$3:$C$40,0))</f>
        <v>FC_IND_IS_E</v>
      </c>
      <c r="G1595" s="21">
        <v>4358.3</v>
      </c>
    </row>
    <row r="1596" spans="1:7" x14ac:dyDescent="0.2">
      <c r="A1596" s="16" t="s">
        <v>29</v>
      </c>
      <c r="B1596" s="17" t="s">
        <v>6</v>
      </c>
      <c r="C1596" s="17" t="s">
        <v>8</v>
      </c>
      <c r="D1596" s="17" t="s">
        <v>10</v>
      </c>
      <c r="E1596" s="17" t="s">
        <v>25</v>
      </c>
      <c r="F1596" s="17" t="str">
        <f>INDEX(nrg_cb_e!$A$3:$A$40,MATCH(LEFT(MID('Industriesektor GWh'!$B1596,41,1000),SEARCH(" - ",MID('Industriesektor GWh'!$B1596,41,1000))-1),nrg_cb_e!$C$3:$C$40,0))</f>
        <v>FC_IND_IS_E</v>
      </c>
      <c r="G1596" s="18">
        <v>4426.2</v>
      </c>
    </row>
    <row r="1597" spans="1:7" x14ac:dyDescent="0.2">
      <c r="A1597" s="19" t="s">
        <v>29</v>
      </c>
      <c r="B1597" s="20" t="s">
        <v>6</v>
      </c>
      <c r="C1597" s="20" t="s">
        <v>8</v>
      </c>
      <c r="D1597" s="20" t="s">
        <v>10</v>
      </c>
      <c r="E1597" s="20" t="s">
        <v>26</v>
      </c>
      <c r="F1597" s="20" t="str">
        <f>INDEX(nrg_cb_e!$A$3:$A$40,MATCH(LEFT(MID('Industriesektor GWh'!$B1597,41,1000),SEARCH(" - ",MID('Industriesektor GWh'!$B1597,41,1000))-1),nrg_cb_e!$C$3:$C$40,0))</f>
        <v>FC_IND_IS_E</v>
      </c>
      <c r="G1597" s="21">
        <v>4345.3</v>
      </c>
    </row>
    <row r="1598" spans="1:7" x14ac:dyDescent="0.2">
      <c r="A1598" s="16" t="s">
        <v>29</v>
      </c>
      <c r="B1598" s="17" t="s">
        <v>6</v>
      </c>
      <c r="C1598" s="17" t="s">
        <v>8</v>
      </c>
      <c r="D1598" s="17" t="s">
        <v>10</v>
      </c>
      <c r="E1598" s="17" t="s">
        <v>27</v>
      </c>
      <c r="F1598" s="17" t="str">
        <f>INDEX(nrg_cb_e!$A$3:$A$40,MATCH(LEFT(MID('Industriesektor GWh'!$B1598,41,1000),SEARCH(" - ",MID('Industriesektor GWh'!$B1598,41,1000))-1),nrg_cb_e!$C$3:$C$40,0))</f>
        <v>FC_IND_IS_E</v>
      </c>
      <c r="G1598" s="18">
        <v>4425.2</v>
      </c>
    </row>
    <row r="1599" spans="1:7" x14ac:dyDescent="0.2">
      <c r="A1599" s="19" t="s">
        <v>29</v>
      </c>
      <c r="B1599" s="20" t="s">
        <v>6</v>
      </c>
      <c r="C1599" s="20" t="s">
        <v>8</v>
      </c>
      <c r="D1599" s="20" t="s">
        <v>10</v>
      </c>
      <c r="E1599" s="20" t="s">
        <v>28</v>
      </c>
      <c r="F1599" s="20" t="str">
        <f>INDEX(nrg_cb_e!$A$3:$A$40,MATCH(LEFT(MID('Industriesektor GWh'!$B1599,41,1000),SEARCH(" - ",MID('Industriesektor GWh'!$B1599,41,1000))-1),nrg_cb_e!$C$3:$C$40,0))</f>
        <v>FC_IND_IS_E</v>
      </c>
      <c r="G1599" s="21">
        <v>4357</v>
      </c>
    </row>
    <row r="1600" spans="1:7" x14ac:dyDescent="0.2">
      <c r="A1600" s="16" t="s">
        <v>30</v>
      </c>
      <c r="B1600" s="17" t="s">
        <v>6</v>
      </c>
      <c r="C1600" s="17" t="s">
        <v>8</v>
      </c>
      <c r="D1600" s="17" t="s">
        <v>10</v>
      </c>
      <c r="E1600" s="17" t="s">
        <v>12</v>
      </c>
      <c r="F1600" s="17" t="str">
        <f>INDEX(nrg_cb_e!$A$3:$A$40,MATCH(LEFT(MID('Industriesektor GWh'!$B1600,41,1000),SEARCH(" - ",MID('Industriesektor GWh'!$B1600,41,1000))-1),nrg_cb_e!$C$3:$C$40,0))</f>
        <v>FC_IND_IS_E</v>
      </c>
      <c r="G1600" s="18">
        <v>1644</v>
      </c>
    </row>
    <row r="1601" spans="1:7" x14ac:dyDescent="0.2">
      <c r="A1601" s="19" t="s">
        <v>30</v>
      </c>
      <c r="B1601" s="20" t="s">
        <v>6</v>
      </c>
      <c r="C1601" s="20" t="s">
        <v>8</v>
      </c>
      <c r="D1601" s="20" t="s">
        <v>10</v>
      </c>
      <c r="E1601" s="20" t="s">
        <v>13</v>
      </c>
      <c r="F1601" s="20" t="str">
        <f>INDEX(nrg_cb_e!$A$3:$A$40,MATCH(LEFT(MID('Industriesektor GWh'!$B1601,41,1000),SEARCH(" - ",MID('Industriesektor GWh'!$B1601,41,1000))-1),nrg_cb_e!$C$3:$C$40,0))</f>
        <v>FC_IND_IS_E</v>
      </c>
      <c r="G1601" s="21">
        <v>1959</v>
      </c>
    </row>
    <row r="1602" spans="1:7" x14ac:dyDescent="0.2">
      <c r="A1602" s="16" t="s">
        <v>30</v>
      </c>
      <c r="B1602" s="17" t="s">
        <v>6</v>
      </c>
      <c r="C1602" s="17" t="s">
        <v>8</v>
      </c>
      <c r="D1602" s="17" t="s">
        <v>10</v>
      </c>
      <c r="E1602" s="17" t="s">
        <v>14</v>
      </c>
      <c r="F1602" s="17" t="str">
        <f>INDEX(nrg_cb_e!$A$3:$A$40,MATCH(LEFT(MID('Industriesektor GWh'!$B1602,41,1000),SEARCH(" - ",MID('Industriesektor GWh'!$B1602,41,1000))-1),nrg_cb_e!$C$3:$C$40,0))</f>
        <v>FC_IND_IS_E</v>
      </c>
      <c r="G1602" s="18">
        <v>1868</v>
      </c>
    </row>
    <row r="1603" spans="1:7" x14ac:dyDescent="0.2">
      <c r="A1603" s="19" t="s">
        <v>30</v>
      </c>
      <c r="B1603" s="20" t="s">
        <v>6</v>
      </c>
      <c r="C1603" s="20" t="s">
        <v>8</v>
      </c>
      <c r="D1603" s="20" t="s">
        <v>10</v>
      </c>
      <c r="E1603" s="20" t="s">
        <v>15</v>
      </c>
      <c r="F1603" s="20" t="str">
        <f>INDEX(nrg_cb_e!$A$3:$A$40,MATCH(LEFT(MID('Industriesektor GWh'!$B1603,41,1000),SEARCH(" - ",MID('Industriesektor GWh'!$B1603,41,1000))-1),nrg_cb_e!$C$3:$C$40,0))</f>
        <v>FC_IND_IS_E</v>
      </c>
      <c r="G1603" s="21">
        <v>1740</v>
      </c>
    </row>
    <row r="1604" spans="1:7" x14ac:dyDescent="0.2">
      <c r="A1604" s="16" t="s">
        <v>30</v>
      </c>
      <c r="B1604" s="17" t="s">
        <v>6</v>
      </c>
      <c r="C1604" s="17" t="s">
        <v>8</v>
      </c>
      <c r="D1604" s="17" t="s">
        <v>10</v>
      </c>
      <c r="E1604" s="17" t="s">
        <v>16</v>
      </c>
      <c r="F1604" s="17" t="str">
        <f>INDEX(nrg_cb_e!$A$3:$A$40,MATCH(LEFT(MID('Industriesektor GWh'!$B1604,41,1000),SEARCH(" - ",MID('Industriesektor GWh'!$B1604,41,1000))-1),nrg_cb_e!$C$3:$C$40,0))</f>
        <v>FC_IND_IS_E</v>
      </c>
      <c r="G1604" s="18">
        <v>1944</v>
      </c>
    </row>
    <row r="1605" spans="1:7" x14ac:dyDescent="0.2">
      <c r="A1605" s="19" t="s">
        <v>30</v>
      </c>
      <c r="B1605" s="20" t="s">
        <v>6</v>
      </c>
      <c r="C1605" s="20" t="s">
        <v>8</v>
      </c>
      <c r="D1605" s="20" t="s">
        <v>10</v>
      </c>
      <c r="E1605" s="20" t="s">
        <v>17</v>
      </c>
      <c r="F1605" s="20" t="str">
        <f>INDEX(nrg_cb_e!$A$3:$A$40,MATCH(LEFT(MID('Industriesektor GWh'!$B1605,41,1000),SEARCH(" - ",MID('Industriesektor GWh'!$B1605,41,1000))-1),nrg_cb_e!$C$3:$C$40,0))</f>
        <v>FC_IND_IS_E</v>
      </c>
      <c r="G1605" s="21">
        <v>1791</v>
      </c>
    </row>
    <row r="1606" spans="1:7" x14ac:dyDescent="0.2">
      <c r="A1606" s="16" t="s">
        <v>30</v>
      </c>
      <c r="B1606" s="17" t="s">
        <v>6</v>
      </c>
      <c r="C1606" s="17" t="s">
        <v>8</v>
      </c>
      <c r="D1606" s="17" t="s">
        <v>10</v>
      </c>
      <c r="E1606" s="17" t="s">
        <v>18</v>
      </c>
      <c r="F1606" s="17" t="str">
        <f>INDEX(nrg_cb_e!$A$3:$A$40,MATCH(LEFT(MID('Industriesektor GWh'!$B1606,41,1000),SEARCH(" - ",MID('Industriesektor GWh'!$B1606,41,1000))-1),nrg_cb_e!$C$3:$C$40,0))</f>
        <v>FC_IND_IS_E</v>
      </c>
      <c r="G1606" s="18">
        <v>1595</v>
      </c>
    </row>
    <row r="1607" spans="1:7" x14ac:dyDescent="0.2">
      <c r="A1607" s="19" t="s">
        <v>30</v>
      </c>
      <c r="B1607" s="20" t="s">
        <v>6</v>
      </c>
      <c r="C1607" s="20" t="s">
        <v>8</v>
      </c>
      <c r="D1607" s="20" t="s">
        <v>10</v>
      </c>
      <c r="E1607" s="20" t="s">
        <v>19</v>
      </c>
      <c r="F1607" s="20" t="str">
        <f>INDEX(nrg_cb_e!$A$3:$A$40,MATCH(LEFT(MID('Industriesektor GWh'!$B1607,41,1000),SEARCH(" - ",MID('Industriesektor GWh'!$B1607,41,1000))-1),nrg_cb_e!$C$3:$C$40,0))</f>
        <v>FC_IND_IS_E</v>
      </c>
      <c r="G1607" s="21">
        <v>1113</v>
      </c>
    </row>
    <row r="1608" spans="1:7" x14ac:dyDescent="0.2">
      <c r="A1608" s="16" t="s">
        <v>30</v>
      </c>
      <c r="B1608" s="17" t="s">
        <v>6</v>
      </c>
      <c r="C1608" s="17" t="s">
        <v>8</v>
      </c>
      <c r="D1608" s="17" t="s">
        <v>10</v>
      </c>
      <c r="E1608" s="17" t="s">
        <v>20</v>
      </c>
      <c r="F1608" s="17" t="str">
        <f>INDEX(nrg_cb_e!$A$3:$A$40,MATCH(LEFT(MID('Industriesektor GWh'!$B1608,41,1000),SEARCH(" - ",MID('Industriesektor GWh'!$B1608,41,1000))-1),nrg_cb_e!$C$3:$C$40,0))</f>
        <v>FC_IND_IS_E</v>
      </c>
      <c r="G1608" s="18">
        <v>838</v>
      </c>
    </row>
    <row r="1609" spans="1:7" x14ac:dyDescent="0.2">
      <c r="A1609" s="19" t="s">
        <v>30</v>
      </c>
      <c r="B1609" s="20" t="s">
        <v>6</v>
      </c>
      <c r="C1609" s="20" t="s">
        <v>8</v>
      </c>
      <c r="D1609" s="20" t="s">
        <v>10</v>
      </c>
      <c r="E1609" s="20" t="s">
        <v>21</v>
      </c>
      <c r="F1609" s="20" t="str">
        <f>INDEX(nrg_cb_e!$A$3:$A$40,MATCH(LEFT(MID('Industriesektor GWh'!$B1609,41,1000),SEARCH(" - ",MID('Industriesektor GWh'!$B1609,41,1000))-1),nrg_cb_e!$C$3:$C$40,0))</f>
        <v>FC_IND_IS_E</v>
      </c>
      <c r="G1609" s="21">
        <v>867</v>
      </c>
    </row>
    <row r="1610" spans="1:7" x14ac:dyDescent="0.2">
      <c r="A1610" s="16" t="s">
        <v>30</v>
      </c>
      <c r="B1610" s="17" t="s">
        <v>6</v>
      </c>
      <c r="C1610" s="17" t="s">
        <v>8</v>
      </c>
      <c r="D1610" s="17" t="s">
        <v>10</v>
      </c>
      <c r="E1610" s="17" t="s">
        <v>22</v>
      </c>
      <c r="F1610" s="17" t="str">
        <f>INDEX(nrg_cb_e!$A$3:$A$40,MATCH(LEFT(MID('Industriesektor GWh'!$B1610,41,1000),SEARCH(" - ",MID('Industriesektor GWh'!$B1610,41,1000))-1),nrg_cb_e!$C$3:$C$40,0))</f>
        <v>FC_IND_IS_E</v>
      </c>
      <c r="G1610" s="18">
        <v>715</v>
      </c>
    </row>
    <row r="1611" spans="1:7" x14ac:dyDescent="0.2">
      <c r="A1611" s="19" t="s">
        <v>30</v>
      </c>
      <c r="B1611" s="20" t="s">
        <v>6</v>
      </c>
      <c r="C1611" s="20" t="s">
        <v>8</v>
      </c>
      <c r="D1611" s="20" t="s">
        <v>10</v>
      </c>
      <c r="E1611" s="20" t="s">
        <v>23</v>
      </c>
      <c r="F1611" s="20" t="str">
        <f>INDEX(nrg_cb_e!$A$3:$A$40,MATCH(LEFT(MID('Industriesektor GWh'!$B1611,41,1000),SEARCH(" - ",MID('Industriesektor GWh'!$B1611,41,1000))-1),nrg_cb_e!$C$3:$C$40,0))</f>
        <v>FC_IND_IS_E</v>
      </c>
      <c r="G1611" s="21">
        <v>655</v>
      </c>
    </row>
    <row r="1612" spans="1:7" x14ac:dyDescent="0.2">
      <c r="A1612" s="16" t="s">
        <v>30</v>
      </c>
      <c r="B1612" s="17" t="s">
        <v>6</v>
      </c>
      <c r="C1612" s="17" t="s">
        <v>8</v>
      </c>
      <c r="D1612" s="17" t="s">
        <v>10</v>
      </c>
      <c r="E1612" s="17" t="s">
        <v>24</v>
      </c>
      <c r="F1612" s="17" t="str">
        <f>INDEX(nrg_cb_e!$A$3:$A$40,MATCH(LEFT(MID('Industriesektor GWh'!$B1612,41,1000),SEARCH(" - ",MID('Industriesektor GWh'!$B1612,41,1000))-1),nrg_cb_e!$C$3:$C$40,0))</f>
        <v>FC_IND_IS_E</v>
      </c>
      <c r="G1612" s="18">
        <v>716</v>
      </c>
    </row>
    <row r="1613" spans="1:7" x14ac:dyDescent="0.2">
      <c r="A1613" s="19" t="s">
        <v>30</v>
      </c>
      <c r="B1613" s="20" t="s">
        <v>6</v>
      </c>
      <c r="C1613" s="20" t="s">
        <v>8</v>
      </c>
      <c r="D1613" s="20" t="s">
        <v>10</v>
      </c>
      <c r="E1613" s="20" t="s">
        <v>25</v>
      </c>
      <c r="F1613" s="20" t="str">
        <f>INDEX(nrg_cb_e!$A$3:$A$40,MATCH(LEFT(MID('Industriesektor GWh'!$B1613,41,1000),SEARCH(" - ",MID('Industriesektor GWh'!$B1613,41,1000))-1),nrg_cb_e!$C$3:$C$40,0))</f>
        <v>FC_IND_IS_E</v>
      </c>
      <c r="G1613" s="21">
        <v>707</v>
      </c>
    </row>
    <row r="1614" spans="1:7" x14ac:dyDescent="0.2">
      <c r="A1614" s="16" t="s">
        <v>30</v>
      </c>
      <c r="B1614" s="17" t="s">
        <v>6</v>
      </c>
      <c r="C1614" s="17" t="s">
        <v>8</v>
      </c>
      <c r="D1614" s="17" t="s">
        <v>10</v>
      </c>
      <c r="E1614" s="17" t="s">
        <v>26</v>
      </c>
      <c r="F1614" s="17" t="str">
        <f>INDEX(nrg_cb_e!$A$3:$A$40,MATCH(LEFT(MID('Industriesektor GWh'!$B1614,41,1000),SEARCH(" - ",MID('Industriesektor GWh'!$B1614,41,1000))-1),nrg_cb_e!$C$3:$C$40,0))</f>
        <v>FC_IND_IS_E</v>
      </c>
      <c r="G1614" s="18">
        <v>724</v>
      </c>
    </row>
    <row r="1615" spans="1:7" x14ac:dyDescent="0.2">
      <c r="A1615" s="19" t="s">
        <v>30</v>
      </c>
      <c r="B1615" s="20" t="s">
        <v>6</v>
      </c>
      <c r="C1615" s="20" t="s">
        <v>8</v>
      </c>
      <c r="D1615" s="20" t="s">
        <v>10</v>
      </c>
      <c r="E1615" s="20" t="s">
        <v>27</v>
      </c>
      <c r="F1615" s="20" t="str">
        <f>INDEX(nrg_cb_e!$A$3:$A$40,MATCH(LEFT(MID('Industriesektor GWh'!$B1615,41,1000),SEARCH(" - ",MID('Industriesektor GWh'!$B1615,41,1000))-1),nrg_cb_e!$C$3:$C$40,0))</f>
        <v>FC_IND_IS_E</v>
      </c>
      <c r="G1615" s="21">
        <v>787.23599999999999</v>
      </c>
    </row>
    <row r="1616" spans="1:7" x14ac:dyDescent="0.2">
      <c r="A1616" s="16" t="s">
        <v>30</v>
      </c>
      <c r="B1616" s="17" t="s">
        <v>6</v>
      </c>
      <c r="C1616" s="17" t="s">
        <v>8</v>
      </c>
      <c r="D1616" s="17" t="s">
        <v>10</v>
      </c>
      <c r="E1616" s="17" t="s">
        <v>28</v>
      </c>
      <c r="F1616" s="17" t="str">
        <f>INDEX(nrg_cb_e!$A$3:$A$40,MATCH(LEFT(MID('Industriesektor GWh'!$B1616,41,1000),SEARCH(" - ",MID('Industriesektor GWh'!$B1616,41,1000))-1),nrg_cb_e!$C$3:$C$40,0))</f>
        <v>FC_IND_IS_E</v>
      </c>
      <c r="G1616" s="18">
        <v>817.30499999999995</v>
      </c>
    </row>
    <row r="1617" spans="1:7" x14ac:dyDescent="0.2">
      <c r="A1617" s="19" t="s">
        <v>31</v>
      </c>
      <c r="B1617" s="20" t="s">
        <v>6</v>
      </c>
      <c r="C1617" s="20" t="s">
        <v>8</v>
      </c>
      <c r="D1617" s="20" t="s">
        <v>10</v>
      </c>
      <c r="E1617" s="20" t="s">
        <v>12</v>
      </c>
      <c r="F1617" s="20" t="str">
        <f>INDEX(nrg_cb_e!$A$3:$A$40,MATCH(LEFT(MID('Industriesektor GWh'!$B1617,41,1000),SEARCH(" - ",MID('Industriesektor GWh'!$B1617,41,1000))-1),nrg_cb_e!$C$3:$C$40,0))</f>
        <v>FC_IND_IS_E</v>
      </c>
      <c r="G1617" s="21">
        <v>3751</v>
      </c>
    </row>
    <row r="1618" spans="1:7" x14ac:dyDescent="0.2">
      <c r="A1618" s="16" t="s">
        <v>31</v>
      </c>
      <c r="B1618" s="17" t="s">
        <v>6</v>
      </c>
      <c r="C1618" s="17" t="s">
        <v>8</v>
      </c>
      <c r="D1618" s="17" t="s">
        <v>10</v>
      </c>
      <c r="E1618" s="17" t="s">
        <v>13</v>
      </c>
      <c r="F1618" s="17" t="str">
        <f>INDEX(nrg_cb_e!$A$3:$A$40,MATCH(LEFT(MID('Industriesektor GWh'!$B1618,41,1000),SEARCH(" - ",MID('Industriesektor GWh'!$B1618,41,1000))-1),nrg_cb_e!$C$3:$C$40,0))</f>
        <v>FC_IND_IS_E</v>
      </c>
      <c r="G1618" s="18">
        <v>3530</v>
      </c>
    </row>
    <row r="1619" spans="1:7" x14ac:dyDescent="0.2">
      <c r="A1619" s="19" t="s">
        <v>31</v>
      </c>
      <c r="B1619" s="20" t="s">
        <v>6</v>
      </c>
      <c r="C1619" s="20" t="s">
        <v>8</v>
      </c>
      <c r="D1619" s="20" t="s">
        <v>10</v>
      </c>
      <c r="E1619" s="20" t="s">
        <v>14</v>
      </c>
      <c r="F1619" s="20" t="str">
        <f>INDEX(nrg_cb_e!$A$3:$A$40,MATCH(LEFT(MID('Industriesektor GWh'!$B1619,41,1000),SEARCH(" - ",MID('Industriesektor GWh'!$B1619,41,1000))-1),nrg_cb_e!$C$3:$C$40,0))</f>
        <v>FC_IND_IS_E</v>
      </c>
      <c r="G1619" s="21">
        <v>3560</v>
      </c>
    </row>
    <row r="1620" spans="1:7" x14ac:dyDescent="0.2">
      <c r="A1620" s="16" t="s">
        <v>31</v>
      </c>
      <c r="B1620" s="17" t="s">
        <v>6</v>
      </c>
      <c r="C1620" s="17" t="s">
        <v>8</v>
      </c>
      <c r="D1620" s="17" t="s">
        <v>10</v>
      </c>
      <c r="E1620" s="17" t="s">
        <v>15</v>
      </c>
      <c r="F1620" s="17" t="str">
        <f>INDEX(nrg_cb_e!$A$3:$A$40,MATCH(LEFT(MID('Industriesektor GWh'!$B1620,41,1000),SEARCH(" - ",MID('Industriesektor GWh'!$B1620,41,1000))-1),nrg_cb_e!$C$3:$C$40,0))</f>
        <v>FC_IND_IS_E</v>
      </c>
      <c r="G1620" s="18">
        <v>3439</v>
      </c>
    </row>
    <row r="1621" spans="1:7" x14ac:dyDescent="0.2">
      <c r="A1621" s="19" t="s">
        <v>31</v>
      </c>
      <c r="B1621" s="20" t="s">
        <v>6</v>
      </c>
      <c r="C1621" s="20" t="s">
        <v>8</v>
      </c>
      <c r="D1621" s="20" t="s">
        <v>10</v>
      </c>
      <c r="E1621" s="20" t="s">
        <v>16</v>
      </c>
      <c r="F1621" s="20" t="str">
        <f>INDEX(nrg_cb_e!$A$3:$A$40,MATCH(LEFT(MID('Industriesektor GWh'!$B1621,41,1000),SEARCH(" - ",MID('Industriesektor GWh'!$B1621,41,1000))-1),nrg_cb_e!$C$3:$C$40,0))</f>
        <v>FC_IND_IS_E</v>
      </c>
      <c r="G1621" s="21">
        <v>3389</v>
      </c>
    </row>
    <row r="1622" spans="1:7" x14ac:dyDescent="0.2">
      <c r="A1622" s="16" t="s">
        <v>31</v>
      </c>
      <c r="B1622" s="17" t="s">
        <v>6</v>
      </c>
      <c r="C1622" s="17" t="s">
        <v>8</v>
      </c>
      <c r="D1622" s="17" t="s">
        <v>10</v>
      </c>
      <c r="E1622" s="17" t="s">
        <v>17</v>
      </c>
      <c r="F1622" s="17" t="str">
        <f>INDEX(nrg_cb_e!$A$3:$A$40,MATCH(LEFT(MID('Industriesektor GWh'!$B1622,41,1000),SEARCH(" - ",MID('Industriesektor GWh'!$B1622,41,1000))-1),nrg_cb_e!$C$3:$C$40,0))</f>
        <v>FC_IND_IS_E</v>
      </c>
      <c r="G1622" s="18">
        <v>3138</v>
      </c>
    </row>
    <row r="1623" spans="1:7" x14ac:dyDescent="0.2">
      <c r="A1623" s="19" t="s">
        <v>31</v>
      </c>
      <c r="B1623" s="20" t="s">
        <v>6</v>
      </c>
      <c r="C1623" s="20" t="s">
        <v>8</v>
      </c>
      <c r="D1623" s="20" t="s">
        <v>10</v>
      </c>
      <c r="E1623" s="20" t="s">
        <v>18</v>
      </c>
      <c r="F1623" s="20" t="str">
        <f>INDEX(nrg_cb_e!$A$3:$A$40,MATCH(LEFT(MID('Industriesektor GWh'!$B1623,41,1000),SEARCH(" - ",MID('Industriesektor GWh'!$B1623,41,1000))-1),nrg_cb_e!$C$3:$C$40,0))</f>
        <v>FC_IND_IS_E</v>
      </c>
      <c r="G1623" s="21">
        <v>3153</v>
      </c>
    </row>
    <row r="1624" spans="1:7" x14ac:dyDescent="0.2">
      <c r="A1624" s="16" t="s">
        <v>31</v>
      </c>
      <c r="B1624" s="17" t="s">
        <v>6</v>
      </c>
      <c r="C1624" s="17" t="s">
        <v>8</v>
      </c>
      <c r="D1624" s="17" t="s">
        <v>10</v>
      </c>
      <c r="E1624" s="17" t="s">
        <v>19</v>
      </c>
      <c r="F1624" s="17" t="str">
        <f>INDEX(nrg_cb_e!$A$3:$A$40,MATCH(LEFT(MID('Industriesektor GWh'!$B1624,41,1000),SEARCH(" - ",MID('Industriesektor GWh'!$B1624,41,1000))-1),nrg_cb_e!$C$3:$C$40,0))</f>
        <v>FC_IND_IS_E</v>
      </c>
      <c r="G1624" s="18">
        <v>3107</v>
      </c>
    </row>
    <row r="1625" spans="1:7" x14ac:dyDescent="0.2">
      <c r="A1625" s="19" t="s">
        <v>31</v>
      </c>
      <c r="B1625" s="20" t="s">
        <v>6</v>
      </c>
      <c r="C1625" s="20" t="s">
        <v>8</v>
      </c>
      <c r="D1625" s="20" t="s">
        <v>10</v>
      </c>
      <c r="E1625" s="20" t="s">
        <v>20</v>
      </c>
      <c r="F1625" s="20" t="str">
        <f>INDEX(nrg_cb_e!$A$3:$A$40,MATCH(LEFT(MID('Industriesektor GWh'!$B1625,41,1000),SEARCH(" - ",MID('Industriesektor GWh'!$B1625,41,1000))-1),nrg_cb_e!$C$3:$C$40,0))</f>
        <v>FC_IND_IS_E</v>
      </c>
      <c r="G1625" s="21">
        <v>2537</v>
      </c>
    </row>
    <row r="1626" spans="1:7" x14ac:dyDescent="0.2">
      <c r="A1626" s="16" t="s">
        <v>31</v>
      </c>
      <c r="B1626" s="17" t="s">
        <v>6</v>
      </c>
      <c r="C1626" s="17" t="s">
        <v>8</v>
      </c>
      <c r="D1626" s="17" t="s">
        <v>10</v>
      </c>
      <c r="E1626" s="17" t="s">
        <v>21</v>
      </c>
      <c r="F1626" s="17" t="str">
        <f>INDEX(nrg_cb_e!$A$3:$A$40,MATCH(LEFT(MID('Industriesektor GWh'!$B1626,41,1000),SEARCH(" - ",MID('Industriesektor GWh'!$B1626,41,1000))-1),nrg_cb_e!$C$3:$C$40,0))</f>
        <v>FC_IND_IS_E</v>
      </c>
      <c r="G1626" s="18">
        <v>2611</v>
      </c>
    </row>
    <row r="1627" spans="1:7" x14ac:dyDescent="0.2">
      <c r="A1627" s="19" t="s">
        <v>31</v>
      </c>
      <c r="B1627" s="20" t="s">
        <v>6</v>
      </c>
      <c r="C1627" s="20" t="s">
        <v>8</v>
      </c>
      <c r="D1627" s="20" t="s">
        <v>10</v>
      </c>
      <c r="E1627" s="20" t="s">
        <v>22</v>
      </c>
      <c r="F1627" s="20" t="str">
        <f>INDEX(nrg_cb_e!$A$3:$A$40,MATCH(LEFT(MID('Industriesektor GWh'!$B1627,41,1000),SEARCH(" - ",MID('Industriesektor GWh'!$B1627,41,1000))-1),nrg_cb_e!$C$3:$C$40,0))</f>
        <v>FC_IND_IS_E</v>
      </c>
      <c r="G1627" s="21">
        <v>2296</v>
      </c>
    </row>
    <row r="1628" spans="1:7" x14ac:dyDescent="0.2">
      <c r="A1628" s="16" t="s">
        <v>31</v>
      </c>
      <c r="B1628" s="17" t="s">
        <v>6</v>
      </c>
      <c r="C1628" s="17" t="s">
        <v>8</v>
      </c>
      <c r="D1628" s="17" t="s">
        <v>10</v>
      </c>
      <c r="E1628" s="17" t="s">
        <v>23</v>
      </c>
      <c r="F1628" s="17" t="str">
        <f>INDEX(nrg_cb_e!$A$3:$A$40,MATCH(LEFT(MID('Industriesektor GWh'!$B1628,41,1000),SEARCH(" - ",MID('Industriesektor GWh'!$B1628,41,1000))-1),nrg_cb_e!$C$3:$C$40,0))</f>
        <v>FC_IND_IS_E</v>
      </c>
      <c r="G1628" s="18">
        <v>2300</v>
      </c>
    </row>
    <row r="1629" spans="1:7" x14ac:dyDescent="0.2">
      <c r="A1629" s="19" t="s">
        <v>31</v>
      </c>
      <c r="B1629" s="20" t="s">
        <v>6</v>
      </c>
      <c r="C1629" s="20" t="s">
        <v>8</v>
      </c>
      <c r="D1629" s="20" t="s">
        <v>10</v>
      </c>
      <c r="E1629" s="20" t="s">
        <v>24</v>
      </c>
      <c r="F1629" s="20" t="str">
        <f>INDEX(nrg_cb_e!$A$3:$A$40,MATCH(LEFT(MID('Industriesektor GWh'!$B1629,41,1000),SEARCH(" - ",MID('Industriesektor GWh'!$B1629,41,1000))-1),nrg_cb_e!$C$3:$C$40,0))</f>
        <v>FC_IND_IS_E</v>
      </c>
      <c r="G1629" s="21">
        <v>2354</v>
      </c>
    </row>
    <row r="1630" spans="1:7" x14ac:dyDescent="0.2">
      <c r="A1630" s="16" t="s">
        <v>31</v>
      </c>
      <c r="B1630" s="17" t="s">
        <v>6</v>
      </c>
      <c r="C1630" s="17" t="s">
        <v>8</v>
      </c>
      <c r="D1630" s="17" t="s">
        <v>10</v>
      </c>
      <c r="E1630" s="17" t="s">
        <v>25</v>
      </c>
      <c r="F1630" s="17" t="str">
        <f>INDEX(nrg_cb_e!$A$3:$A$40,MATCH(LEFT(MID('Industriesektor GWh'!$B1630,41,1000),SEARCH(" - ",MID('Industriesektor GWh'!$B1630,41,1000))-1),nrg_cb_e!$C$3:$C$40,0))</f>
        <v>FC_IND_IS_E</v>
      </c>
      <c r="G1630" s="18">
        <v>2346</v>
      </c>
    </row>
    <row r="1631" spans="1:7" x14ac:dyDescent="0.2">
      <c r="A1631" s="19" t="s">
        <v>31</v>
      </c>
      <c r="B1631" s="20" t="s">
        <v>6</v>
      </c>
      <c r="C1631" s="20" t="s">
        <v>8</v>
      </c>
      <c r="D1631" s="20" t="s">
        <v>10</v>
      </c>
      <c r="E1631" s="20" t="s">
        <v>26</v>
      </c>
      <c r="F1631" s="20" t="str">
        <f>INDEX(nrg_cb_e!$A$3:$A$40,MATCH(LEFT(MID('Industriesektor GWh'!$B1631,41,1000),SEARCH(" - ",MID('Industriesektor GWh'!$B1631,41,1000))-1),nrg_cb_e!$C$3:$C$40,0))</f>
        <v>FC_IND_IS_E</v>
      </c>
      <c r="G1631" s="21">
        <v>2374</v>
      </c>
    </row>
    <row r="1632" spans="1:7" x14ac:dyDescent="0.2">
      <c r="A1632" s="16" t="s">
        <v>31</v>
      </c>
      <c r="B1632" s="17" t="s">
        <v>6</v>
      </c>
      <c r="C1632" s="17" t="s">
        <v>8</v>
      </c>
      <c r="D1632" s="17" t="s">
        <v>10</v>
      </c>
      <c r="E1632" s="17" t="s">
        <v>27</v>
      </c>
      <c r="F1632" s="17" t="str">
        <f>INDEX(nrg_cb_e!$A$3:$A$40,MATCH(LEFT(MID('Industriesektor GWh'!$B1632,41,1000),SEARCH(" - ",MID('Industriesektor GWh'!$B1632,41,1000))-1),nrg_cb_e!$C$3:$C$40,0))</f>
        <v>FC_IND_IS_E</v>
      </c>
      <c r="G1632" s="18">
        <v>2316.4810000000002</v>
      </c>
    </row>
    <row r="1633" spans="1:7" x14ac:dyDescent="0.2">
      <c r="A1633" s="19" t="s">
        <v>31</v>
      </c>
      <c r="B1633" s="20" t="s">
        <v>6</v>
      </c>
      <c r="C1633" s="20" t="s">
        <v>8</v>
      </c>
      <c r="D1633" s="20" t="s">
        <v>10</v>
      </c>
      <c r="E1633" s="20" t="s">
        <v>28</v>
      </c>
      <c r="F1633" s="20" t="str">
        <f>INDEX(nrg_cb_e!$A$3:$A$40,MATCH(LEFT(MID('Industriesektor GWh'!$B1633,41,1000),SEARCH(" - ",MID('Industriesektor GWh'!$B1633,41,1000))-1),nrg_cb_e!$C$3:$C$40,0))</f>
        <v>FC_IND_IS_E</v>
      </c>
      <c r="G1633" s="21">
        <v>2357.424</v>
      </c>
    </row>
    <row r="1634" spans="1:7" x14ac:dyDescent="0.2">
      <c r="A1634" s="16" t="s">
        <v>32</v>
      </c>
      <c r="B1634" s="17" t="s">
        <v>6</v>
      </c>
      <c r="C1634" s="17" t="s">
        <v>8</v>
      </c>
      <c r="D1634" s="17" t="s">
        <v>10</v>
      </c>
      <c r="E1634" s="17" t="s">
        <v>12</v>
      </c>
      <c r="F1634" s="17" t="str">
        <f>INDEX(nrg_cb_e!$A$3:$A$40,MATCH(LEFT(MID('Industriesektor GWh'!$B1634,41,1000),SEARCH(" - ",MID('Industriesektor GWh'!$B1634,41,1000))-1),nrg_cb_e!$C$3:$C$40,0))</f>
        <v>FC_IND_IS_E</v>
      </c>
      <c r="G1634" s="18">
        <v>645</v>
      </c>
    </row>
    <row r="1635" spans="1:7" x14ac:dyDescent="0.2">
      <c r="A1635" s="19" t="s">
        <v>32</v>
      </c>
      <c r="B1635" s="20" t="s">
        <v>6</v>
      </c>
      <c r="C1635" s="20" t="s">
        <v>8</v>
      </c>
      <c r="D1635" s="20" t="s">
        <v>10</v>
      </c>
      <c r="E1635" s="20" t="s">
        <v>13</v>
      </c>
      <c r="F1635" s="20" t="str">
        <f>INDEX(nrg_cb_e!$A$3:$A$40,MATCH(LEFT(MID('Industriesektor GWh'!$B1635,41,1000),SEARCH(" - ",MID('Industriesektor GWh'!$B1635,41,1000))-1),nrg_cb_e!$C$3:$C$40,0))</f>
        <v>FC_IND_IS_E</v>
      </c>
      <c r="G1635" s="21">
        <v>502</v>
      </c>
    </row>
    <row r="1636" spans="1:7" x14ac:dyDescent="0.2">
      <c r="A1636" s="16" t="s">
        <v>32</v>
      </c>
      <c r="B1636" s="17" t="s">
        <v>6</v>
      </c>
      <c r="C1636" s="17" t="s">
        <v>8</v>
      </c>
      <c r="D1636" s="17" t="s">
        <v>10</v>
      </c>
      <c r="E1636" s="17" t="s">
        <v>14</v>
      </c>
      <c r="F1636" s="17" t="str">
        <f>INDEX(nrg_cb_e!$A$3:$A$40,MATCH(LEFT(MID('Industriesektor GWh'!$B1636,41,1000),SEARCH(" - ",MID('Industriesektor GWh'!$B1636,41,1000))-1),nrg_cb_e!$C$3:$C$40,0))</f>
        <v>FC_IND_IS_E</v>
      </c>
      <c r="G1636" s="18">
        <v>522</v>
      </c>
    </row>
    <row r="1637" spans="1:7" x14ac:dyDescent="0.2">
      <c r="A1637" s="19" t="s">
        <v>32</v>
      </c>
      <c r="B1637" s="20" t="s">
        <v>6</v>
      </c>
      <c r="C1637" s="20" t="s">
        <v>8</v>
      </c>
      <c r="D1637" s="20" t="s">
        <v>10</v>
      </c>
      <c r="E1637" s="20" t="s">
        <v>15</v>
      </c>
      <c r="F1637" s="20" t="str">
        <f>INDEX(nrg_cb_e!$A$3:$A$40,MATCH(LEFT(MID('Industriesektor GWh'!$B1637,41,1000),SEARCH(" - ",MID('Industriesektor GWh'!$B1637,41,1000))-1),nrg_cb_e!$C$3:$C$40,0))</f>
        <v>FC_IND_IS_E</v>
      </c>
      <c r="G1637" s="21">
        <v>574</v>
      </c>
    </row>
    <row r="1638" spans="1:7" x14ac:dyDescent="0.2">
      <c r="A1638" s="16" t="s">
        <v>32</v>
      </c>
      <c r="B1638" s="17" t="s">
        <v>6</v>
      </c>
      <c r="C1638" s="17" t="s">
        <v>8</v>
      </c>
      <c r="D1638" s="17" t="s">
        <v>10</v>
      </c>
      <c r="E1638" s="17" t="s">
        <v>16</v>
      </c>
      <c r="F1638" s="17" t="str">
        <f>INDEX(nrg_cb_e!$A$3:$A$40,MATCH(LEFT(MID('Industriesektor GWh'!$B1638,41,1000),SEARCH(" - ",MID('Industriesektor GWh'!$B1638,41,1000))-1),nrg_cb_e!$C$3:$C$40,0))</f>
        <v>FC_IND_IS_E</v>
      </c>
      <c r="G1638" s="18">
        <v>519</v>
      </c>
    </row>
    <row r="1639" spans="1:7" x14ac:dyDescent="0.2">
      <c r="A1639" s="19" t="s">
        <v>32</v>
      </c>
      <c r="B1639" s="20" t="s">
        <v>6</v>
      </c>
      <c r="C1639" s="20" t="s">
        <v>8</v>
      </c>
      <c r="D1639" s="20" t="s">
        <v>10</v>
      </c>
      <c r="E1639" s="20" t="s">
        <v>17</v>
      </c>
      <c r="F1639" s="20" t="str">
        <f>INDEX(nrg_cb_e!$A$3:$A$40,MATCH(LEFT(MID('Industriesektor GWh'!$B1639,41,1000),SEARCH(" - ",MID('Industriesektor GWh'!$B1639,41,1000))-1),nrg_cb_e!$C$3:$C$40,0))</f>
        <v>FC_IND_IS_E</v>
      </c>
      <c r="G1639" s="21">
        <v>454</v>
      </c>
    </row>
    <row r="1640" spans="1:7" x14ac:dyDescent="0.2">
      <c r="A1640" s="16" t="s">
        <v>32</v>
      </c>
      <c r="B1640" s="17" t="s">
        <v>6</v>
      </c>
      <c r="C1640" s="17" t="s">
        <v>8</v>
      </c>
      <c r="D1640" s="17" t="s">
        <v>10</v>
      </c>
      <c r="E1640" s="17" t="s">
        <v>18</v>
      </c>
      <c r="F1640" s="17" t="str">
        <f>INDEX(nrg_cb_e!$A$3:$A$40,MATCH(LEFT(MID('Industriesektor GWh'!$B1640,41,1000),SEARCH(" - ",MID('Industriesektor GWh'!$B1640,41,1000))-1),nrg_cb_e!$C$3:$C$40,0))</f>
        <v>FC_IND_IS_E</v>
      </c>
      <c r="G1640" s="18">
        <v>418</v>
      </c>
    </row>
    <row r="1641" spans="1:7" x14ac:dyDescent="0.2">
      <c r="A1641" s="19" t="s">
        <v>32</v>
      </c>
      <c r="B1641" s="20" t="s">
        <v>6</v>
      </c>
      <c r="C1641" s="20" t="s">
        <v>8</v>
      </c>
      <c r="D1641" s="20" t="s">
        <v>10</v>
      </c>
      <c r="E1641" s="20" t="s">
        <v>19</v>
      </c>
      <c r="F1641" s="20" t="str">
        <f>INDEX(nrg_cb_e!$A$3:$A$40,MATCH(LEFT(MID('Industriesektor GWh'!$B1641,41,1000),SEARCH(" - ",MID('Industriesektor GWh'!$B1641,41,1000))-1),nrg_cb_e!$C$3:$C$40,0))</f>
        <v>FC_IND_IS_E</v>
      </c>
      <c r="G1641" s="21">
        <v>227</v>
      </c>
    </row>
    <row r="1642" spans="1:7" x14ac:dyDescent="0.2">
      <c r="A1642" s="16" t="s">
        <v>32</v>
      </c>
      <c r="B1642" s="17" t="s">
        <v>6</v>
      </c>
      <c r="C1642" s="17" t="s">
        <v>8</v>
      </c>
      <c r="D1642" s="17" t="s">
        <v>10</v>
      </c>
      <c r="E1642" s="17" t="s">
        <v>20</v>
      </c>
      <c r="F1642" s="17" t="str">
        <f>INDEX(nrg_cb_e!$A$3:$A$40,MATCH(LEFT(MID('Industriesektor GWh'!$B1642,41,1000),SEARCH(" - ",MID('Industriesektor GWh'!$B1642,41,1000))-1),nrg_cb_e!$C$3:$C$40,0))</f>
        <v>FC_IND_IS_E</v>
      </c>
      <c r="G1642" s="18">
        <v>238</v>
      </c>
    </row>
    <row r="1643" spans="1:7" x14ac:dyDescent="0.2">
      <c r="A1643" s="19" t="s">
        <v>32</v>
      </c>
      <c r="B1643" s="20" t="s">
        <v>6</v>
      </c>
      <c r="C1643" s="20" t="s">
        <v>8</v>
      </c>
      <c r="D1643" s="20" t="s">
        <v>10</v>
      </c>
      <c r="E1643" s="20" t="s">
        <v>21</v>
      </c>
      <c r="F1643" s="20" t="str">
        <f>INDEX(nrg_cb_e!$A$3:$A$40,MATCH(LEFT(MID('Industriesektor GWh'!$B1643,41,1000),SEARCH(" - ",MID('Industriesektor GWh'!$B1643,41,1000))-1),nrg_cb_e!$C$3:$C$40,0))</f>
        <v>FC_IND_IS_E</v>
      </c>
      <c r="G1643" s="21">
        <v>279</v>
      </c>
    </row>
    <row r="1644" spans="1:7" x14ac:dyDescent="0.2">
      <c r="A1644" s="16" t="s">
        <v>32</v>
      </c>
      <c r="B1644" s="17" t="s">
        <v>6</v>
      </c>
      <c r="C1644" s="17" t="s">
        <v>8</v>
      </c>
      <c r="D1644" s="17" t="s">
        <v>10</v>
      </c>
      <c r="E1644" s="17" t="s">
        <v>22</v>
      </c>
      <c r="F1644" s="17" t="str">
        <f>INDEX(nrg_cb_e!$A$3:$A$40,MATCH(LEFT(MID('Industriesektor GWh'!$B1644,41,1000),SEARCH(" - ",MID('Industriesektor GWh'!$B1644,41,1000))-1),nrg_cb_e!$C$3:$C$40,0))</f>
        <v>FC_IND_IS_E</v>
      </c>
      <c r="G1644" s="18">
        <v>402</v>
      </c>
    </row>
    <row r="1645" spans="1:7" x14ac:dyDescent="0.2">
      <c r="A1645" s="19" t="s">
        <v>32</v>
      </c>
      <c r="B1645" s="20" t="s">
        <v>6</v>
      </c>
      <c r="C1645" s="20" t="s">
        <v>8</v>
      </c>
      <c r="D1645" s="20" t="s">
        <v>10</v>
      </c>
      <c r="E1645" s="20" t="s">
        <v>23</v>
      </c>
      <c r="F1645" s="20" t="str">
        <f>INDEX(nrg_cb_e!$A$3:$A$40,MATCH(LEFT(MID('Industriesektor GWh'!$B1645,41,1000),SEARCH(" - ",MID('Industriesektor GWh'!$B1645,41,1000))-1),nrg_cb_e!$C$3:$C$40,0))</f>
        <v>FC_IND_IS_E</v>
      </c>
      <c r="G1645" s="21">
        <v>397</v>
      </c>
    </row>
    <row r="1646" spans="1:7" x14ac:dyDescent="0.2">
      <c r="A1646" s="16" t="s">
        <v>32</v>
      </c>
      <c r="B1646" s="17" t="s">
        <v>6</v>
      </c>
      <c r="C1646" s="17" t="s">
        <v>8</v>
      </c>
      <c r="D1646" s="17" t="s">
        <v>10</v>
      </c>
      <c r="E1646" s="17" t="s">
        <v>24</v>
      </c>
      <c r="F1646" s="17" t="str">
        <f>INDEX(nrg_cb_e!$A$3:$A$40,MATCH(LEFT(MID('Industriesektor GWh'!$B1646,41,1000),SEARCH(" - ",MID('Industriesektor GWh'!$B1646,41,1000))-1),nrg_cb_e!$C$3:$C$40,0))</f>
        <v>FC_IND_IS_E</v>
      </c>
      <c r="G1646" s="18">
        <v>438</v>
      </c>
    </row>
    <row r="1647" spans="1:7" x14ac:dyDescent="0.2">
      <c r="A1647" s="19" t="s">
        <v>32</v>
      </c>
      <c r="B1647" s="20" t="s">
        <v>6</v>
      </c>
      <c r="C1647" s="20" t="s">
        <v>8</v>
      </c>
      <c r="D1647" s="20" t="s">
        <v>10</v>
      </c>
      <c r="E1647" s="20" t="s">
        <v>25</v>
      </c>
      <c r="F1647" s="20" t="str">
        <f>INDEX(nrg_cb_e!$A$3:$A$40,MATCH(LEFT(MID('Industriesektor GWh'!$B1647,41,1000),SEARCH(" - ",MID('Industriesektor GWh'!$B1647,41,1000))-1),nrg_cb_e!$C$3:$C$40,0))</f>
        <v>FC_IND_IS_E</v>
      </c>
      <c r="G1647" s="21">
        <v>434.80399999999997</v>
      </c>
    </row>
    <row r="1648" spans="1:7" x14ac:dyDescent="0.2">
      <c r="A1648" s="16" t="s">
        <v>32</v>
      </c>
      <c r="B1648" s="17" t="s">
        <v>6</v>
      </c>
      <c r="C1648" s="17" t="s">
        <v>8</v>
      </c>
      <c r="D1648" s="17" t="s">
        <v>10</v>
      </c>
      <c r="E1648" s="17" t="s">
        <v>26</v>
      </c>
      <c r="F1648" s="17" t="str">
        <f>INDEX(nrg_cb_e!$A$3:$A$40,MATCH(LEFT(MID('Industriesektor GWh'!$B1648,41,1000),SEARCH(" - ",MID('Industriesektor GWh'!$B1648,41,1000))-1),nrg_cb_e!$C$3:$C$40,0))</f>
        <v>FC_IND_IS_E</v>
      </c>
      <c r="G1648" s="18">
        <v>415.77199999999999</v>
      </c>
    </row>
    <row r="1649" spans="1:7" x14ac:dyDescent="0.2">
      <c r="A1649" s="19" t="s">
        <v>32</v>
      </c>
      <c r="B1649" s="20" t="s">
        <v>6</v>
      </c>
      <c r="C1649" s="20" t="s">
        <v>8</v>
      </c>
      <c r="D1649" s="20" t="s">
        <v>10</v>
      </c>
      <c r="E1649" s="20" t="s">
        <v>27</v>
      </c>
      <c r="F1649" s="20" t="str">
        <f>INDEX(nrg_cb_e!$A$3:$A$40,MATCH(LEFT(MID('Industriesektor GWh'!$B1649,41,1000),SEARCH(" - ",MID('Industriesektor GWh'!$B1649,41,1000))-1),nrg_cb_e!$C$3:$C$40,0))</f>
        <v>FC_IND_IS_E</v>
      </c>
      <c r="G1649" s="21">
        <v>422.15100000000001</v>
      </c>
    </row>
    <row r="1650" spans="1:7" x14ac:dyDescent="0.2">
      <c r="A1650" s="16" t="s">
        <v>32</v>
      </c>
      <c r="B1650" s="17" t="s">
        <v>6</v>
      </c>
      <c r="C1650" s="17" t="s">
        <v>8</v>
      </c>
      <c r="D1650" s="17" t="s">
        <v>10</v>
      </c>
      <c r="E1650" s="17" t="s">
        <v>28</v>
      </c>
      <c r="F1650" s="17" t="str">
        <f>INDEX(nrg_cb_e!$A$3:$A$40,MATCH(LEFT(MID('Industriesektor GWh'!$B1650,41,1000),SEARCH(" - ",MID('Industriesektor GWh'!$B1650,41,1000))-1),nrg_cb_e!$C$3:$C$40,0))</f>
        <v>FC_IND_IS_E</v>
      </c>
      <c r="G1650" s="18">
        <v>421.74099999999999</v>
      </c>
    </row>
    <row r="1651" spans="1:7" x14ac:dyDescent="0.2">
      <c r="A1651" s="19" t="s">
        <v>33</v>
      </c>
      <c r="B1651" s="20" t="s">
        <v>6</v>
      </c>
      <c r="C1651" s="20" t="s">
        <v>8</v>
      </c>
      <c r="D1651" s="20" t="s">
        <v>10</v>
      </c>
      <c r="E1651" s="20" t="s">
        <v>12</v>
      </c>
      <c r="F1651" s="20" t="str">
        <f>INDEX(nrg_cb_e!$A$3:$A$40,MATCH(LEFT(MID('Industriesektor GWh'!$B1651,41,1000),SEARCH(" - ",MID('Industriesektor GWh'!$B1651,41,1000))-1),nrg_cb_e!$C$3:$C$40,0))</f>
        <v>FC_IND_IS_E</v>
      </c>
      <c r="G1651" s="21">
        <v>25070</v>
      </c>
    </row>
    <row r="1652" spans="1:7" x14ac:dyDescent="0.2">
      <c r="A1652" s="16" t="s">
        <v>33</v>
      </c>
      <c r="B1652" s="17" t="s">
        <v>6</v>
      </c>
      <c r="C1652" s="17" t="s">
        <v>8</v>
      </c>
      <c r="D1652" s="17" t="s">
        <v>10</v>
      </c>
      <c r="E1652" s="17" t="s">
        <v>13</v>
      </c>
      <c r="F1652" s="17" t="str">
        <f>INDEX(nrg_cb_e!$A$3:$A$40,MATCH(LEFT(MID('Industriesektor GWh'!$B1652,41,1000),SEARCH(" - ",MID('Industriesektor GWh'!$B1652,41,1000))-1),nrg_cb_e!$C$3:$C$40,0))</f>
        <v>FC_IND_IS_E</v>
      </c>
      <c r="G1652" s="18">
        <v>26233</v>
      </c>
    </row>
    <row r="1653" spans="1:7" x14ac:dyDescent="0.2">
      <c r="A1653" s="19" t="s">
        <v>33</v>
      </c>
      <c r="B1653" s="20" t="s">
        <v>6</v>
      </c>
      <c r="C1653" s="20" t="s">
        <v>8</v>
      </c>
      <c r="D1653" s="20" t="s">
        <v>10</v>
      </c>
      <c r="E1653" s="20" t="s">
        <v>14</v>
      </c>
      <c r="F1653" s="20" t="str">
        <f>INDEX(nrg_cb_e!$A$3:$A$40,MATCH(LEFT(MID('Industriesektor GWh'!$B1653,41,1000),SEARCH(" - ",MID('Industriesektor GWh'!$B1653,41,1000))-1),nrg_cb_e!$C$3:$C$40,0))</f>
        <v>FC_IND_IS_E</v>
      </c>
      <c r="G1653" s="21">
        <v>27423</v>
      </c>
    </row>
    <row r="1654" spans="1:7" x14ac:dyDescent="0.2">
      <c r="A1654" s="16" t="s">
        <v>33</v>
      </c>
      <c r="B1654" s="17" t="s">
        <v>6</v>
      </c>
      <c r="C1654" s="17" t="s">
        <v>8</v>
      </c>
      <c r="D1654" s="17" t="s">
        <v>10</v>
      </c>
      <c r="E1654" s="17" t="s">
        <v>15</v>
      </c>
      <c r="F1654" s="17" t="str">
        <f>INDEX(nrg_cb_e!$A$3:$A$40,MATCH(LEFT(MID('Industriesektor GWh'!$B1654,41,1000),SEARCH(" - ",MID('Industriesektor GWh'!$B1654,41,1000))-1),nrg_cb_e!$C$3:$C$40,0))</f>
        <v>FC_IND_IS_E</v>
      </c>
      <c r="G1654" s="18">
        <v>27654</v>
      </c>
    </row>
    <row r="1655" spans="1:7" x14ac:dyDescent="0.2">
      <c r="A1655" s="19" t="s">
        <v>33</v>
      </c>
      <c r="B1655" s="20" t="s">
        <v>6</v>
      </c>
      <c r="C1655" s="20" t="s">
        <v>8</v>
      </c>
      <c r="D1655" s="20" t="s">
        <v>10</v>
      </c>
      <c r="E1655" s="20" t="s">
        <v>16</v>
      </c>
      <c r="F1655" s="20" t="str">
        <f>INDEX(nrg_cb_e!$A$3:$A$40,MATCH(LEFT(MID('Industriesektor GWh'!$B1655,41,1000),SEARCH(" - ",MID('Industriesektor GWh'!$B1655,41,1000))-1),nrg_cb_e!$C$3:$C$40,0))</f>
        <v>FC_IND_IS_E</v>
      </c>
      <c r="G1655" s="21">
        <v>29876</v>
      </c>
    </row>
    <row r="1656" spans="1:7" x14ac:dyDescent="0.2">
      <c r="A1656" s="16" t="s">
        <v>33</v>
      </c>
      <c r="B1656" s="17" t="s">
        <v>6</v>
      </c>
      <c r="C1656" s="17" t="s">
        <v>8</v>
      </c>
      <c r="D1656" s="17" t="s">
        <v>10</v>
      </c>
      <c r="E1656" s="17" t="s">
        <v>17</v>
      </c>
      <c r="F1656" s="17" t="str">
        <f>INDEX(nrg_cb_e!$A$3:$A$40,MATCH(LEFT(MID('Industriesektor GWh'!$B1656,41,1000),SEARCH(" - ",MID('Industriesektor GWh'!$B1656,41,1000))-1),nrg_cb_e!$C$3:$C$40,0))</f>
        <v>FC_IND_IS_E</v>
      </c>
      <c r="G1656" s="18">
        <v>28581</v>
      </c>
    </row>
    <row r="1657" spans="1:7" x14ac:dyDescent="0.2">
      <c r="A1657" s="19" t="s">
        <v>33</v>
      </c>
      <c r="B1657" s="20" t="s">
        <v>6</v>
      </c>
      <c r="C1657" s="20" t="s">
        <v>8</v>
      </c>
      <c r="D1657" s="20" t="s">
        <v>10</v>
      </c>
      <c r="E1657" s="20" t="s">
        <v>18</v>
      </c>
      <c r="F1657" s="20" t="str">
        <f>INDEX(nrg_cb_e!$A$3:$A$40,MATCH(LEFT(MID('Industriesektor GWh'!$B1657,41,1000),SEARCH(" - ",MID('Industriesektor GWh'!$B1657,41,1000))-1),nrg_cb_e!$C$3:$C$40,0))</f>
        <v>FC_IND_IS_E</v>
      </c>
      <c r="G1657" s="21">
        <v>28357</v>
      </c>
    </row>
    <row r="1658" spans="1:7" x14ac:dyDescent="0.2">
      <c r="A1658" s="16" t="s">
        <v>33</v>
      </c>
      <c r="B1658" s="17" t="s">
        <v>6</v>
      </c>
      <c r="C1658" s="17" t="s">
        <v>8</v>
      </c>
      <c r="D1658" s="17" t="s">
        <v>10</v>
      </c>
      <c r="E1658" s="17" t="s">
        <v>19</v>
      </c>
      <c r="F1658" s="17" t="str">
        <f>INDEX(nrg_cb_e!$A$3:$A$40,MATCH(LEFT(MID('Industriesektor GWh'!$B1658,41,1000),SEARCH(" - ",MID('Industriesektor GWh'!$B1658,41,1000))-1),nrg_cb_e!$C$3:$C$40,0))</f>
        <v>FC_IND_IS_E</v>
      </c>
      <c r="G1658" s="18">
        <v>22393</v>
      </c>
    </row>
    <row r="1659" spans="1:7" x14ac:dyDescent="0.2">
      <c r="A1659" s="19" t="s">
        <v>33</v>
      </c>
      <c r="B1659" s="20" t="s">
        <v>6</v>
      </c>
      <c r="C1659" s="20" t="s">
        <v>8</v>
      </c>
      <c r="D1659" s="20" t="s">
        <v>10</v>
      </c>
      <c r="E1659" s="20" t="s">
        <v>20</v>
      </c>
      <c r="F1659" s="20" t="str">
        <f>INDEX(nrg_cb_e!$A$3:$A$40,MATCH(LEFT(MID('Industriesektor GWh'!$B1659,41,1000),SEARCH(" - ",MID('Industriesektor GWh'!$B1659,41,1000))-1),nrg_cb_e!$C$3:$C$40,0))</f>
        <v>FC_IND_IS_E</v>
      </c>
      <c r="G1659" s="21">
        <v>27093</v>
      </c>
    </row>
    <row r="1660" spans="1:7" x14ac:dyDescent="0.2">
      <c r="A1660" s="16" t="s">
        <v>33</v>
      </c>
      <c r="B1660" s="17" t="s">
        <v>6</v>
      </c>
      <c r="C1660" s="17" t="s">
        <v>8</v>
      </c>
      <c r="D1660" s="17" t="s">
        <v>10</v>
      </c>
      <c r="E1660" s="17" t="s">
        <v>21</v>
      </c>
      <c r="F1660" s="17" t="str">
        <f>INDEX(nrg_cb_e!$A$3:$A$40,MATCH(LEFT(MID('Industriesektor GWh'!$B1660,41,1000),SEARCH(" - ",MID('Industriesektor GWh'!$B1660,41,1000))-1),nrg_cb_e!$C$3:$C$40,0))</f>
        <v>FC_IND_IS_E</v>
      </c>
      <c r="G1660" s="18">
        <v>28220</v>
      </c>
    </row>
    <row r="1661" spans="1:7" x14ac:dyDescent="0.2">
      <c r="A1661" s="19" t="s">
        <v>33</v>
      </c>
      <c r="B1661" s="20" t="s">
        <v>6</v>
      </c>
      <c r="C1661" s="20" t="s">
        <v>8</v>
      </c>
      <c r="D1661" s="20" t="s">
        <v>10</v>
      </c>
      <c r="E1661" s="20" t="s">
        <v>22</v>
      </c>
      <c r="F1661" s="20" t="str">
        <f>INDEX(nrg_cb_e!$A$3:$A$40,MATCH(LEFT(MID('Industriesektor GWh'!$B1661,41,1000),SEARCH(" - ",MID('Industriesektor GWh'!$B1661,41,1000))-1),nrg_cb_e!$C$3:$C$40,0))</f>
        <v>FC_IND_IS_E</v>
      </c>
      <c r="G1661" s="21">
        <v>26873</v>
      </c>
    </row>
    <row r="1662" spans="1:7" x14ac:dyDescent="0.2">
      <c r="A1662" s="16" t="s">
        <v>33</v>
      </c>
      <c r="B1662" s="17" t="s">
        <v>6</v>
      </c>
      <c r="C1662" s="17" t="s">
        <v>8</v>
      </c>
      <c r="D1662" s="17" t="s">
        <v>10</v>
      </c>
      <c r="E1662" s="17" t="s">
        <v>23</v>
      </c>
      <c r="F1662" s="17" t="str">
        <f>INDEX(nrg_cb_e!$A$3:$A$40,MATCH(LEFT(MID('Industriesektor GWh'!$B1662,41,1000),SEARCH(" - ",MID('Industriesektor GWh'!$B1662,41,1000))-1),nrg_cb_e!$C$3:$C$40,0))</f>
        <v>FC_IND_IS_E</v>
      </c>
      <c r="G1662" s="18">
        <v>26144</v>
      </c>
    </row>
    <row r="1663" spans="1:7" x14ac:dyDescent="0.2">
      <c r="A1663" s="19" t="s">
        <v>33</v>
      </c>
      <c r="B1663" s="20" t="s">
        <v>6</v>
      </c>
      <c r="C1663" s="20" t="s">
        <v>8</v>
      </c>
      <c r="D1663" s="20" t="s">
        <v>10</v>
      </c>
      <c r="E1663" s="20" t="s">
        <v>24</v>
      </c>
      <c r="F1663" s="20" t="str">
        <f>INDEX(nrg_cb_e!$A$3:$A$40,MATCH(LEFT(MID('Industriesektor GWh'!$B1663,41,1000),SEARCH(" - ",MID('Industriesektor GWh'!$B1663,41,1000))-1),nrg_cb_e!$C$3:$C$40,0))</f>
        <v>FC_IND_IS_E</v>
      </c>
      <c r="G1663" s="21">
        <v>26321</v>
      </c>
    </row>
    <row r="1664" spans="1:7" x14ac:dyDescent="0.2">
      <c r="A1664" s="16" t="s">
        <v>33</v>
      </c>
      <c r="B1664" s="17" t="s">
        <v>6</v>
      </c>
      <c r="C1664" s="17" t="s">
        <v>8</v>
      </c>
      <c r="D1664" s="17" t="s">
        <v>10</v>
      </c>
      <c r="E1664" s="17" t="s">
        <v>25</v>
      </c>
      <c r="F1664" s="17" t="str">
        <f>INDEX(nrg_cb_e!$A$3:$A$40,MATCH(LEFT(MID('Industriesektor GWh'!$B1664,41,1000),SEARCH(" - ",MID('Industriesektor GWh'!$B1664,41,1000))-1),nrg_cb_e!$C$3:$C$40,0))</f>
        <v>FC_IND_IS_E</v>
      </c>
      <c r="G1664" s="18">
        <v>26063</v>
      </c>
    </row>
    <row r="1665" spans="1:7" x14ac:dyDescent="0.2">
      <c r="A1665" s="19" t="s">
        <v>33</v>
      </c>
      <c r="B1665" s="20" t="s">
        <v>6</v>
      </c>
      <c r="C1665" s="20" t="s">
        <v>8</v>
      </c>
      <c r="D1665" s="20" t="s">
        <v>10</v>
      </c>
      <c r="E1665" s="20" t="s">
        <v>26</v>
      </c>
      <c r="F1665" s="20" t="str">
        <f>INDEX(nrg_cb_e!$A$3:$A$40,MATCH(LEFT(MID('Industriesektor GWh'!$B1665,41,1000),SEARCH(" - ",MID('Industriesektor GWh'!$B1665,41,1000))-1),nrg_cb_e!$C$3:$C$40,0))</f>
        <v>FC_IND_IS_E</v>
      </c>
      <c r="G1665" s="21">
        <v>27062</v>
      </c>
    </row>
    <row r="1666" spans="1:7" x14ac:dyDescent="0.2">
      <c r="A1666" s="16" t="s">
        <v>33</v>
      </c>
      <c r="B1666" s="17" t="s">
        <v>6</v>
      </c>
      <c r="C1666" s="17" t="s">
        <v>8</v>
      </c>
      <c r="D1666" s="17" t="s">
        <v>10</v>
      </c>
      <c r="E1666" s="17" t="s">
        <v>27</v>
      </c>
      <c r="F1666" s="17" t="str">
        <f>INDEX(nrg_cb_e!$A$3:$A$40,MATCH(LEFT(MID('Industriesektor GWh'!$B1666,41,1000),SEARCH(" - ",MID('Industriesektor GWh'!$B1666,41,1000))-1),nrg_cb_e!$C$3:$C$40,0))</f>
        <v>FC_IND_IS_E</v>
      </c>
      <c r="G1666" s="18">
        <v>26695</v>
      </c>
    </row>
    <row r="1667" spans="1:7" x14ac:dyDescent="0.2">
      <c r="A1667" s="19" t="s">
        <v>33</v>
      </c>
      <c r="B1667" s="20" t="s">
        <v>6</v>
      </c>
      <c r="C1667" s="20" t="s">
        <v>8</v>
      </c>
      <c r="D1667" s="20" t="s">
        <v>10</v>
      </c>
      <c r="E1667" s="20" t="s">
        <v>28</v>
      </c>
      <c r="F1667" s="20" t="str">
        <f>INDEX(nrg_cb_e!$A$3:$A$40,MATCH(LEFT(MID('Industriesektor GWh'!$B1667,41,1000),SEARCH(" - ",MID('Industriesektor GWh'!$B1667,41,1000))-1),nrg_cb_e!$C$3:$C$40,0))</f>
        <v>FC_IND_IS_E</v>
      </c>
      <c r="G1667" s="21">
        <v>26341</v>
      </c>
    </row>
    <row r="1668" spans="1:7" x14ac:dyDescent="0.2">
      <c r="A1668" s="16" t="s">
        <v>34</v>
      </c>
      <c r="B1668" s="17" t="s">
        <v>6</v>
      </c>
      <c r="C1668" s="17" t="s">
        <v>8</v>
      </c>
      <c r="D1668" s="17" t="s">
        <v>10</v>
      </c>
      <c r="E1668" s="17" t="s">
        <v>12</v>
      </c>
      <c r="F1668" s="17" t="str">
        <f>INDEX(nrg_cb_e!$A$3:$A$40,MATCH(LEFT(MID('Industriesektor GWh'!$B1668,41,1000),SEARCH(" - ",MID('Industriesektor GWh'!$B1668,41,1000))-1),nrg_cb_e!$C$3:$C$40,0))</f>
        <v>FC_IND_IS_E</v>
      </c>
      <c r="G1668" s="18">
        <v>4</v>
      </c>
    </row>
    <row r="1669" spans="1:7" x14ac:dyDescent="0.2">
      <c r="A1669" s="19" t="s">
        <v>34</v>
      </c>
      <c r="B1669" s="20" t="s">
        <v>6</v>
      </c>
      <c r="C1669" s="20" t="s">
        <v>8</v>
      </c>
      <c r="D1669" s="20" t="s">
        <v>10</v>
      </c>
      <c r="E1669" s="20" t="s">
        <v>13</v>
      </c>
      <c r="F1669" s="20" t="str">
        <f>INDEX(nrg_cb_e!$A$3:$A$40,MATCH(LEFT(MID('Industriesektor GWh'!$B1669,41,1000),SEARCH(" - ",MID('Industriesektor GWh'!$B1669,41,1000))-1),nrg_cb_e!$C$3:$C$40,0))</f>
        <v>FC_IND_IS_E</v>
      </c>
      <c r="G1669" s="21">
        <v>4</v>
      </c>
    </row>
    <row r="1670" spans="1:7" x14ac:dyDescent="0.2">
      <c r="A1670" s="16" t="s">
        <v>34</v>
      </c>
      <c r="B1670" s="17" t="s">
        <v>6</v>
      </c>
      <c r="C1670" s="17" t="s">
        <v>8</v>
      </c>
      <c r="D1670" s="17" t="s">
        <v>10</v>
      </c>
      <c r="E1670" s="17" t="s">
        <v>14</v>
      </c>
      <c r="F1670" s="17" t="str">
        <f>INDEX(nrg_cb_e!$A$3:$A$40,MATCH(LEFT(MID('Industriesektor GWh'!$B1670,41,1000),SEARCH(" - ",MID('Industriesektor GWh'!$B1670,41,1000))-1),nrg_cb_e!$C$3:$C$40,0))</f>
        <v>FC_IND_IS_E</v>
      </c>
      <c r="G1670" s="18">
        <v>3</v>
      </c>
    </row>
    <row r="1671" spans="1:7" x14ac:dyDescent="0.2">
      <c r="A1671" s="19" t="s">
        <v>34</v>
      </c>
      <c r="B1671" s="20" t="s">
        <v>6</v>
      </c>
      <c r="C1671" s="20" t="s">
        <v>8</v>
      </c>
      <c r="D1671" s="20" t="s">
        <v>10</v>
      </c>
      <c r="E1671" s="20" t="s">
        <v>15</v>
      </c>
      <c r="F1671" s="20" t="str">
        <f>INDEX(nrg_cb_e!$A$3:$A$40,MATCH(LEFT(MID('Industriesektor GWh'!$B1671,41,1000),SEARCH(" - ",MID('Industriesektor GWh'!$B1671,41,1000))-1),nrg_cb_e!$C$3:$C$40,0))</f>
        <v>FC_IND_IS_E</v>
      </c>
      <c r="G1671" s="21">
        <v>5</v>
      </c>
    </row>
    <row r="1672" spans="1:7" x14ac:dyDescent="0.2">
      <c r="A1672" s="16" t="s">
        <v>34</v>
      </c>
      <c r="B1672" s="17" t="s">
        <v>6</v>
      </c>
      <c r="C1672" s="17" t="s">
        <v>8</v>
      </c>
      <c r="D1672" s="17" t="s">
        <v>10</v>
      </c>
      <c r="E1672" s="17" t="s">
        <v>16</v>
      </c>
      <c r="F1672" s="17" t="str">
        <f>INDEX(nrg_cb_e!$A$3:$A$40,MATCH(LEFT(MID('Industriesektor GWh'!$B1672,41,1000),SEARCH(" - ",MID('Industriesektor GWh'!$B1672,41,1000))-1),nrg_cb_e!$C$3:$C$40,0))</f>
        <v>FC_IND_IS_E</v>
      </c>
      <c r="G1672" s="18">
        <v>6</v>
      </c>
    </row>
    <row r="1673" spans="1:7" x14ac:dyDescent="0.2">
      <c r="A1673" s="19" t="s">
        <v>34</v>
      </c>
      <c r="B1673" s="20" t="s">
        <v>6</v>
      </c>
      <c r="C1673" s="20" t="s">
        <v>8</v>
      </c>
      <c r="D1673" s="20" t="s">
        <v>10</v>
      </c>
      <c r="E1673" s="20" t="s">
        <v>17</v>
      </c>
      <c r="F1673" s="20" t="str">
        <f>INDEX(nrg_cb_e!$A$3:$A$40,MATCH(LEFT(MID('Industriesektor GWh'!$B1673,41,1000),SEARCH(" - ",MID('Industriesektor GWh'!$B1673,41,1000))-1),nrg_cb_e!$C$3:$C$40,0))</f>
        <v>FC_IND_IS_E</v>
      </c>
      <c r="G1673" s="21">
        <v>5</v>
      </c>
    </row>
    <row r="1674" spans="1:7" x14ac:dyDescent="0.2">
      <c r="A1674" s="16" t="s">
        <v>34</v>
      </c>
      <c r="B1674" s="17" t="s">
        <v>6</v>
      </c>
      <c r="C1674" s="17" t="s">
        <v>8</v>
      </c>
      <c r="D1674" s="17" t="s">
        <v>10</v>
      </c>
      <c r="E1674" s="17" t="s">
        <v>18</v>
      </c>
      <c r="F1674" s="17" t="str">
        <f>INDEX(nrg_cb_e!$A$3:$A$40,MATCH(LEFT(MID('Industriesektor GWh'!$B1674,41,1000),SEARCH(" - ",MID('Industriesektor GWh'!$B1674,41,1000))-1),nrg_cb_e!$C$3:$C$40,0))</f>
        <v>FC_IND_IS_E</v>
      </c>
      <c r="G1674" s="18">
        <v>4</v>
      </c>
    </row>
    <row r="1675" spans="1:7" x14ac:dyDescent="0.2">
      <c r="A1675" s="19" t="s">
        <v>34</v>
      </c>
      <c r="B1675" s="20" t="s">
        <v>6</v>
      </c>
      <c r="C1675" s="20" t="s">
        <v>8</v>
      </c>
      <c r="D1675" s="20" t="s">
        <v>10</v>
      </c>
      <c r="E1675" s="20" t="s">
        <v>19</v>
      </c>
      <c r="F1675" s="20" t="str">
        <f>INDEX(nrg_cb_e!$A$3:$A$40,MATCH(LEFT(MID('Industriesektor GWh'!$B1675,41,1000),SEARCH(" - ",MID('Industriesektor GWh'!$B1675,41,1000))-1),nrg_cb_e!$C$3:$C$40,0))</f>
        <v>FC_IND_IS_E</v>
      </c>
      <c r="G1675" s="21">
        <v>3</v>
      </c>
    </row>
    <row r="1676" spans="1:7" x14ac:dyDescent="0.2">
      <c r="A1676" s="16" t="s">
        <v>34</v>
      </c>
      <c r="B1676" s="17" t="s">
        <v>6</v>
      </c>
      <c r="C1676" s="17" t="s">
        <v>8</v>
      </c>
      <c r="D1676" s="17" t="s">
        <v>10</v>
      </c>
      <c r="E1676" s="17" t="s">
        <v>20</v>
      </c>
      <c r="F1676" s="17" t="str">
        <f>INDEX(nrg_cb_e!$A$3:$A$40,MATCH(LEFT(MID('Industriesektor GWh'!$B1676,41,1000),SEARCH(" - ",MID('Industriesektor GWh'!$B1676,41,1000))-1),nrg_cb_e!$C$3:$C$40,0))</f>
        <v>FC_IND_IS_E</v>
      </c>
      <c r="G1676" s="18">
        <v>3</v>
      </c>
    </row>
    <row r="1677" spans="1:7" x14ac:dyDescent="0.2">
      <c r="A1677" s="19" t="s">
        <v>34</v>
      </c>
      <c r="B1677" s="20" t="s">
        <v>6</v>
      </c>
      <c r="C1677" s="20" t="s">
        <v>8</v>
      </c>
      <c r="D1677" s="20" t="s">
        <v>10</v>
      </c>
      <c r="E1677" s="20" t="s">
        <v>21</v>
      </c>
      <c r="F1677" s="20" t="str">
        <f>INDEX(nrg_cb_e!$A$3:$A$40,MATCH(LEFT(MID('Industriesektor GWh'!$B1677,41,1000),SEARCH(" - ",MID('Industriesektor GWh'!$B1677,41,1000))-1),nrg_cb_e!$C$3:$C$40,0))</f>
        <v>FC_IND_IS_E</v>
      </c>
      <c r="G1677" s="21">
        <v>3</v>
      </c>
    </row>
    <row r="1678" spans="1:7" x14ac:dyDescent="0.2">
      <c r="A1678" s="16" t="s">
        <v>34</v>
      </c>
      <c r="B1678" s="17" t="s">
        <v>6</v>
      </c>
      <c r="C1678" s="17" t="s">
        <v>8</v>
      </c>
      <c r="D1678" s="17" t="s">
        <v>10</v>
      </c>
      <c r="E1678" s="17" t="s">
        <v>22</v>
      </c>
      <c r="F1678" s="17" t="str">
        <f>INDEX(nrg_cb_e!$A$3:$A$40,MATCH(LEFT(MID('Industriesektor GWh'!$B1678,41,1000),SEARCH(" - ",MID('Industriesektor GWh'!$B1678,41,1000))-1),nrg_cb_e!$C$3:$C$40,0))</f>
        <v>FC_IND_IS_E</v>
      </c>
      <c r="G1678" s="18">
        <v>1</v>
      </c>
    </row>
    <row r="1679" spans="1:7" x14ac:dyDescent="0.2">
      <c r="A1679" s="19" t="s">
        <v>34</v>
      </c>
      <c r="B1679" s="20" t="s">
        <v>6</v>
      </c>
      <c r="C1679" s="20" t="s">
        <v>8</v>
      </c>
      <c r="D1679" s="20" t="s">
        <v>10</v>
      </c>
      <c r="E1679" s="20" t="s">
        <v>23</v>
      </c>
      <c r="F1679" s="20" t="str">
        <f>INDEX(nrg_cb_e!$A$3:$A$40,MATCH(LEFT(MID('Industriesektor GWh'!$B1679,41,1000),SEARCH(" - ",MID('Industriesektor GWh'!$B1679,41,1000))-1),nrg_cb_e!$C$3:$C$40,0))</f>
        <v>FC_IND_IS_E</v>
      </c>
      <c r="G1679" s="21">
        <v>1</v>
      </c>
    </row>
    <row r="1680" spans="1:7" x14ac:dyDescent="0.2">
      <c r="A1680" s="16" t="s">
        <v>34</v>
      </c>
      <c r="B1680" s="17" t="s">
        <v>6</v>
      </c>
      <c r="C1680" s="17" t="s">
        <v>8</v>
      </c>
      <c r="D1680" s="17" t="s">
        <v>10</v>
      </c>
      <c r="E1680" s="17" t="s">
        <v>24</v>
      </c>
      <c r="F1680" s="17" t="str">
        <f>INDEX(nrg_cb_e!$A$3:$A$40,MATCH(LEFT(MID('Industriesektor GWh'!$B1680,41,1000),SEARCH(" - ",MID('Industriesektor GWh'!$B1680,41,1000))-1),nrg_cb_e!$C$3:$C$40,0))</f>
        <v>FC_IND_IS_E</v>
      </c>
      <c r="G1680" s="18">
        <v>1</v>
      </c>
    </row>
    <row r="1681" spans="1:7" x14ac:dyDescent="0.2">
      <c r="A1681" s="19" t="s">
        <v>34</v>
      </c>
      <c r="B1681" s="20" t="s">
        <v>6</v>
      </c>
      <c r="C1681" s="20" t="s">
        <v>8</v>
      </c>
      <c r="D1681" s="20" t="s">
        <v>10</v>
      </c>
      <c r="E1681" s="20" t="s">
        <v>25</v>
      </c>
      <c r="F1681" s="20" t="str">
        <f>INDEX(nrg_cb_e!$A$3:$A$40,MATCH(LEFT(MID('Industriesektor GWh'!$B1681,41,1000),SEARCH(" - ",MID('Industriesektor GWh'!$B1681,41,1000))-1),nrg_cb_e!$C$3:$C$40,0))</f>
        <v>FC_IND_IS_E</v>
      </c>
      <c r="G1681" s="21">
        <v>1</v>
      </c>
    </row>
    <row r="1682" spans="1:7" x14ac:dyDescent="0.2">
      <c r="A1682" s="16" t="s">
        <v>34</v>
      </c>
      <c r="B1682" s="17" t="s">
        <v>6</v>
      </c>
      <c r="C1682" s="17" t="s">
        <v>8</v>
      </c>
      <c r="D1682" s="17" t="s">
        <v>10</v>
      </c>
      <c r="E1682" s="17" t="s">
        <v>26</v>
      </c>
      <c r="F1682" s="17" t="str">
        <f>INDEX(nrg_cb_e!$A$3:$A$40,MATCH(LEFT(MID('Industriesektor GWh'!$B1682,41,1000),SEARCH(" - ",MID('Industriesektor GWh'!$B1682,41,1000))-1),nrg_cb_e!$C$3:$C$40,0))</f>
        <v>FC_IND_IS_E</v>
      </c>
      <c r="G1682" s="18">
        <v>1</v>
      </c>
    </row>
    <row r="1683" spans="1:7" x14ac:dyDescent="0.2">
      <c r="A1683" s="19" t="s">
        <v>34</v>
      </c>
      <c r="B1683" s="20" t="s">
        <v>6</v>
      </c>
      <c r="C1683" s="20" t="s">
        <v>8</v>
      </c>
      <c r="D1683" s="20" t="s">
        <v>10</v>
      </c>
      <c r="E1683" s="20" t="s">
        <v>27</v>
      </c>
      <c r="F1683" s="20" t="str">
        <f>INDEX(nrg_cb_e!$A$3:$A$40,MATCH(LEFT(MID('Industriesektor GWh'!$B1683,41,1000),SEARCH(" - ",MID('Industriesektor GWh'!$B1683,41,1000))-1),nrg_cb_e!$C$3:$C$40,0))</f>
        <v>FC_IND_IS_E</v>
      </c>
      <c r="G1683" s="21">
        <v>2</v>
      </c>
    </row>
    <row r="1684" spans="1:7" x14ac:dyDescent="0.2">
      <c r="A1684" s="16" t="s">
        <v>34</v>
      </c>
      <c r="B1684" s="17" t="s">
        <v>6</v>
      </c>
      <c r="C1684" s="17" t="s">
        <v>8</v>
      </c>
      <c r="D1684" s="17" t="s">
        <v>10</v>
      </c>
      <c r="E1684" s="17" t="s">
        <v>28</v>
      </c>
      <c r="F1684" s="17" t="str">
        <f>INDEX(nrg_cb_e!$A$3:$A$40,MATCH(LEFT(MID('Industriesektor GWh'!$B1684,41,1000),SEARCH(" - ",MID('Industriesektor GWh'!$B1684,41,1000))-1),nrg_cb_e!$C$3:$C$40,0))</f>
        <v>FC_IND_IS_E</v>
      </c>
      <c r="G1684" s="18">
        <v>3</v>
      </c>
    </row>
    <row r="1685" spans="1:7" x14ac:dyDescent="0.2">
      <c r="A1685" s="19" t="s">
        <v>35</v>
      </c>
      <c r="B1685" s="20" t="s">
        <v>6</v>
      </c>
      <c r="C1685" s="20" t="s">
        <v>8</v>
      </c>
      <c r="D1685" s="20" t="s">
        <v>10</v>
      </c>
      <c r="E1685" s="20" t="s">
        <v>12</v>
      </c>
      <c r="F1685" s="20" t="str">
        <f>INDEX(nrg_cb_e!$A$3:$A$40,MATCH(LEFT(MID('Industriesektor GWh'!$B1685,41,1000),SEARCH(" - ",MID('Industriesektor GWh'!$B1685,41,1000))-1),nrg_cb_e!$C$3:$C$40,0))</f>
        <v>FC_IND_IS_E</v>
      </c>
      <c r="G1685" s="21">
        <v>22</v>
      </c>
    </row>
    <row r="1686" spans="1:7" x14ac:dyDescent="0.2">
      <c r="A1686" s="16" t="s">
        <v>35</v>
      </c>
      <c r="B1686" s="17" t="s">
        <v>6</v>
      </c>
      <c r="C1686" s="17" t="s">
        <v>8</v>
      </c>
      <c r="D1686" s="17" t="s">
        <v>10</v>
      </c>
      <c r="E1686" s="17" t="s">
        <v>13</v>
      </c>
      <c r="F1686" s="17" t="str">
        <f>INDEX(nrg_cb_e!$A$3:$A$40,MATCH(LEFT(MID('Industriesektor GWh'!$B1686,41,1000),SEARCH(" - ",MID('Industriesektor GWh'!$B1686,41,1000))-1),nrg_cb_e!$C$3:$C$40,0))</f>
        <v>FC_IND_IS_E</v>
      </c>
      <c r="G1686" s="18">
        <v>12</v>
      </c>
    </row>
    <row r="1687" spans="1:7" x14ac:dyDescent="0.2">
      <c r="A1687" s="19" t="s">
        <v>35</v>
      </c>
      <c r="B1687" s="20" t="s">
        <v>6</v>
      </c>
      <c r="C1687" s="20" t="s">
        <v>8</v>
      </c>
      <c r="D1687" s="20" t="s">
        <v>10</v>
      </c>
      <c r="E1687" s="20" t="s">
        <v>14</v>
      </c>
      <c r="F1687" s="20" t="str">
        <f>INDEX(nrg_cb_e!$A$3:$A$40,MATCH(LEFT(MID('Industriesektor GWh'!$B1687,41,1000),SEARCH(" - ",MID('Industriesektor GWh'!$B1687,41,1000))-1),nrg_cb_e!$C$3:$C$40,0))</f>
        <v>FC_IND_IS_E</v>
      </c>
      <c r="G1687" s="21">
        <v>12</v>
      </c>
    </row>
    <row r="1688" spans="1:7" x14ac:dyDescent="0.2">
      <c r="A1688" s="16" t="s">
        <v>35</v>
      </c>
      <c r="B1688" s="17" t="s">
        <v>6</v>
      </c>
      <c r="C1688" s="17" t="s">
        <v>8</v>
      </c>
      <c r="D1688" s="17" t="s">
        <v>10</v>
      </c>
      <c r="E1688" s="17" t="s">
        <v>15</v>
      </c>
      <c r="F1688" s="17" t="str">
        <f>INDEX(nrg_cb_e!$A$3:$A$40,MATCH(LEFT(MID('Industriesektor GWh'!$B1688,41,1000),SEARCH(" - ",MID('Industriesektor GWh'!$B1688,41,1000))-1),nrg_cb_e!$C$3:$C$40,0))</f>
        <v>FC_IND_IS_E</v>
      </c>
      <c r="G1688" s="18">
        <v>12</v>
      </c>
    </row>
    <row r="1689" spans="1:7" x14ac:dyDescent="0.2">
      <c r="A1689" s="19" t="s">
        <v>35</v>
      </c>
      <c r="B1689" s="20" t="s">
        <v>6</v>
      </c>
      <c r="C1689" s="20" t="s">
        <v>8</v>
      </c>
      <c r="D1689" s="20" t="s">
        <v>10</v>
      </c>
      <c r="E1689" s="20" t="s">
        <v>16</v>
      </c>
      <c r="F1689" s="20" t="str">
        <f>INDEX(nrg_cb_e!$A$3:$A$40,MATCH(LEFT(MID('Industriesektor GWh'!$B1689,41,1000),SEARCH(" - ",MID('Industriesektor GWh'!$B1689,41,1000))-1),nrg_cb_e!$C$3:$C$40,0))</f>
        <v>FC_IND_IS_E</v>
      </c>
      <c r="G1689" s="21">
        <v>12</v>
      </c>
    </row>
    <row r="1690" spans="1:7" x14ac:dyDescent="0.2">
      <c r="A1690" s="16" t="s">
        <v>35</v>
      </c>
      <c r="B1690" s="17" t="s">
        <v>6</v>
      </c>
      <c r="C1690" s="17" t="s">
        <v>8</v>
      </c>
      <c r="D1690" s="17" t="s">
        <v>10</v>
      </c>
      <c r="E1690" s="17" t="s">
        <v>17</v>
      </c>
      <c r="F1690" s="17" t="str">
        <f>INDEX(nrg_cb_e!$A$3:$A$40,MATCH(LEFT(MID('Industriesektor GWh'!$B1690,41,1000),SEARCH(" - ",MID('Industriesektor GWh'!$B1690,41,1000))-1),nrg_cb_e!$C$3:$C$40,0))</f>
        <v>FC_IND_IS_E</v>
      </c>
      <c r="G1690" s="18">
        <v>0</v>
      </c>
    </row>
    <row r="1691" spans="1:7" x14ac:dyDescent="0.2">
      <c r="A1691" s="19" t="s">
        <v>35</v>
      </c>
      <c r="B1691" s="20" t="s">
        <v>6</v>
      </c>
      <c r="C1691" s="20" t="s">
        <v>8</v>
      </c>
      <c r="D1691" s="20" t="s">
        <v>10</v>
      </c>
      <c r="E1691" s="20" t="s">
        <v>18</v>
      </c>
      <c r="F1691" s="20" t="str">
        <f>INDEX(nrg_cb_e!$A$3:$A$40,MATCH(LEFT(MID('Industriesektor GWh'!$B1691,41,1000),SEARCH(" - ",MID('Industriesektor GWh'!$B1691,41,1000))-1),nrg_cb_e!$C$3:$C$40,0))</f>
        <v>FC_IND_IS_E</v>
      </c>
      <c r="G1691" s="21">
        <v>0</v>
      </c>
    </row>
    <row r="1692" spans="1:7" x14ac:dyDescent="0.2">
      <c r="A1692" s="16" t="s">
        <v>35</v>
      </c>
      <c r="B1692" s="17" t="s">
        <v>6</v>
      </c>
      <c r="C1692" s="17" t="s">
        <v>8</v>
      </c>
      <c r="D1692" s="17" t="s">
        <v>10</v>
      </c>
      <c r="E1692" s="17" t="s">
        <v>19</v>
      </c>
      <c r="F1692" s="17" t="str">
        <f>INDEX(nrg_cb_e!$A$3:$A$40,MATCH(LEFT(MID('Industriesektor GWh'!$B1692,41,1000),SEARCH(" - ",MID('Industriesektor GWh'!$B1692,41,1000))-1),nrg_cb_e!$C$3:$C$40,0))</f>
        <v>FC_IND_IS_E</v>
      </c>
      <c r="G1692" s="18">
        <v>0</v>
      </c>
    </row>
    <row r="1693" spans="1:7" x14ac:dyDescent="0.2">
      <c r="A1693" s="19" t="s">
        <v>35</v>
      </c>
      <c r="B1693" s="20" t="s">
        <v>6</v>
      </c>
      <c r="C1693" s="20" t="s">
        <v>8</v>
      </c>
      <c r="D1693" s="20" t="s">
        <v>10</v>
      </c>
      <c r="E1693" s="20" t="s">
        <v>20</v>
      </c>
      <c r="F1693" s="20" t="str">
        <f>INDEX(nrg_cb_e!$A$3:$A$40,MATCH(LEFT(MID('Industriesektor GWh'!$B1693,41,1000),SEARCH(" - ",MID('Industriesektor GWh'!$B1693,41,1000))-1),nrg_cb_e!$C$3:$C$40,0))</f>
        <v>FC_IND_IS_E</v>
      </c>
      <c r="G1693" s="21">
        <v>0</v>
      </c>
    </row>
    <row r="1694" spans="1:7" x14ac:dyDescent="0.2">
      <c r="A1694" s="16" t="s">
        <v>35</v>
      </c>
      <c r="B1694" s="17" t="s">
        <v>6</v>
      </c>
      <c r="C1694" s="17" t="s">
        <v>8</v>
      </c>
      <c r="D1694" s="17" t="s">
        <v>10</v>
      </c>
      <c r="E1694" s="17" t="s">
        <v>21</v>
      </c>
      <c r="F1694" s="17" t="str">
        <f>INDEX(nrg_cb_e!$A$3:$A$40,MATCH(LEFT(MID('Industriesektor GWh'!$B1694,41,1000),SEARCH(" - ",MID('Industriesektor GWh'!$B1694,41,1000))-1),nrg_cb_e!$C$3:$C$40,0))</f>
        <v>FC_IND_IS_E</v>
      </c>
      <c r="G1694" s="18">
        <v>0</v>
      </c>
    </row>
    <row r="1695" spans="1:7" x14ac:dyDescent="0.2">
      <c r="A1695" s="19" t="s">
        <v>35</v>
      </c>
      <c r="B1695" s="20" t="s">
        <v>6</v>
      </c>
      <c r="C1695" s="20" t="s">
        <v>8</v>
      </c>
      <c r="D1695" s="20" t="s">
        <v>10</v>
      </c>
      <c r="E1695" s="20" t="s">
        <v>22</v>
      </c>
      <c r="F1695" s="20" t="str">
        <f>INDEX(nrg_cb_e!$A$3:$A$40,MATCH(LEFT(MID('Industriesektor GWh'!$B1695,41,1000),SEARCH(" - ",MID('Industriesektor GWh'!$B1695,41,1000))-1),nrg_cb_e!$C$3:$C$40,0))</f>
        <v>FC_IND_IS_E</v>
      </c>
      <c r="G1695" s="21">
        <v>0</v>
      </c>
    </row>
    <row r="1696" spans="1:7" x14ac:dyDescent="0.2">
      <c r="A1696" s="16" t="s">
        <v>35</v>
      </c>
      <c r="B1696" s="17" t="s">
        <v>6</v>
      </c>
      <c r="C1696" s="17" t="s">
        <v>8</v>
      </c>
      <c r="D1696" s="17" t="s">
        <v>10</v>
      </c>
      <c r="E1696" s="17" t="s">
        <v>23</v>
      </c>
      <c r="F1696" s="17" t="str">
        <f>INDEX(nrg_cb_e!$A$3:$A$40,MATCH(LEFT(MID('Industriesektor GWh'!$B1696,41,1000),SEARCH(" - ",MID('Industriesektor GWh'!$B1696,41,1000))-1),nrg_cb_e!$C$3:$C$40,0))</f>
        <v>FC_IND_IS_E</v>
      </c>
      <c r="G1696" s="18">
        <v>0</v>
      </c>
    </row>
    <row r="1697" spans="1:7" x14ac:dyDescent="0.2">
      <c r="A1697" s="19" t="s">
        <v>35</v>
      </c>
      <c r="B1697" s="20" t="s">
        <v>6</v>
      </c>
      <c r="C1697" s="20" t="s">
        <v>8</v>
      </c>
      <c r="D1697" s="20" t="s">
        <v>10</v>
      </c>
      <c r="E1697" s="20" t="s">
        <v>24</v>
      </c>
      <c r="F1697" s="20" t="str">
        <f>INDEX(nrg_cb_e!$A$3:$A$40,MATCH(LEFT(MID('Industriesektor GWh'!$B1697,41,1000),SEARCH(" - ",MID('Industriesektor GWh'!$B1697,41,1000))-1),nrg_cb_e!$C$3:$C$40,0))</f>
        <v>FC_IND_IS_E</v>
      </c>
      <c r="G1697" s="21">
        <v>0</v>
      </c>
    </row>
    <row r="1698" spans="1:7" x14ac:dyDescent="0.2">
      <c r="A1698" s="16" t="s">
        <v>35</v>
      </c>
      <c r="B1698" s="17" t="s">
        <v>6</v>
      </c>
      <c r="C1698" s="17" t="s">
        <v>8</v>
      </c>
      <c r="D1698" s="17" t="s">
        <v>10</v>
      </c>
      <c r="E1698" s="17" t="s">
        <v>25</v>
      </c>
      <c r="F1698" s="17" t="str">
        <f>INDEX(nrg_cb_e!$A$3:$A$40,MATCH(LEFT(MID('Industriesektor GWh'!$B1698,41,1000),SEARCH(" - ",MID('Industriesektor GWh'!$B1698,41,1000))-1),nrg_cb_e!$C$3:$C$40,0))</f>
        <v>FC_IND_IS_E</v>
      </c>
      <c r="G1698" s="18">
        <v>0</v>
      </c>
    </row>
    <row r="1699" spans="1:7" x14ac:dyDescent="0.2">
      <c r="A1699" s="19" t="s">
        <v>35</v>
      </c>
      <c r="B1699" s="20" t="s">
        <v>6</v>
      </c>
      <c r="C1699" s="20" t="s">
        <v>8</v>
      </c>
      <c r="D1699" s="20" t="s">
        <v>10</v>
      </c>
      <c r="E1699" s="20" t="s">
        <v>26</v>
      </c>
      <c r="F1699" s="20" t="str">
        <f>INDEX(nrg_cb_e!$A$3:$A$40,MATCH(LEFT(MID('Industriesektor GWh'!$B1699,41,1000),SEARCH(" - ",MID('Industriesektor GWh'!$B1699,41,1000))-1),nrg_cb_e!$C$3:$C$40,0))</f>
        <v>FC_IND_IS_E</v>
      </c>
      <c r="G1699" s="21">
        <v>0</v>
      </c>
    </row>
    <row r="1700" spans="1:7" x14ac:dyDescent="0.2">
      <c r="A1700" s="16" t="s">
        <v>35</v>
      </c>
      <c r="B1700" s="17" t="s">
        <v>6</v>
      </c>
      <c r="C1700" s="17" t="s">
        <v>8</v>
      </c>
      <c r="D1700" s="17" t="s">
        <v>10</v>
      </c>
      <c r="E1700" s="17" t="s">
        <v>27</v>
      </c>
      <c r="F1700" s="17" t="str">
        <f>INDEX(nrg_cb_e!$A$3:$A$40,MATCH(LEFT(MID('Industriesektor GWh'!$B1700,41,1000),SEARCH(" - ",MID('Industriesektor GWh'!$B1700,41,1000))-1),nrg_cb_e!$C$3:$C$40,0))</f>
        <v>FC_IND_IS_E</v>
      </c>
      <c r="G1700" s="18">
        <v>0</v>
      </c>
    </row>
    <row r="1701" spans="1:7" x14ac:dyDescent="0.2">
      <c r="A1701" s="19" t="s">
        <v>35</v>
      </c>
      <c r="B1701" s="20" t="s">
        <v>6</v>
      </c>
      <c r="C1701" s="20" t="s">
        <v>8</v>
      </c>
      <c r="D1701" s="20" t="s">
        <v>10</v>
      </c>
      <c r="E1701" s="20" t="s">
        <v>28</v>
      </c>
      <c r="F1701" s="20" t="str">
        <f>INDEX(nrg_cb_e!$A$3:$A$40,MATCH(LEFT(MID('Industriesektor GWh'!$B1701,41,1000),SEARCH(" - ",MID('Industriesektor GWh'!$B1701,41,1000))-1),nrg_cb_e!$C$3:$C$40,0))</f>
        <v>FC_IND_IS_E</v>
      </c>
      <c r="G1701" s="21">
        <v>0</v>
      </c>
    </row>
    <row r="1702" spans="1:7" x14ac:dyDescent="0.2">
      <c r="A1702" s="16" t="s">
        <v>36</v>
      </c>
      <c r="B1702" s="17" t="s">
        <v>6</v>
      </c>
      <c r="C1702" s="17" t="s">
        <v>8</v>
      </c>
      <c r="D1702" s="17" t="s">
        <v>10</v>
      </c>
      <c r="E1702" s="17" t="s">
        <v>12</v>
      </c>
      <c r="F1702" s="17" t="str">
        <f>INDEX(nrg_cb_e!$A$3:$A$40,MATCH(LEFT(MID('Industriesektor GWh'!$B1702,41,1000),SEARCH(" - ",MID('Industriesektor GWh'!$B1702,41,1000))-1),nrg_cb_e!$C$3:$C$40,0))</f>
        <v>FC_IND_IS_E</v>
      </c>
      <c r="G1702" s="18">
        <v>1416</v>
      </c>
    </row>
    <row r="1703" spans="1:7" x14ac:dyDescent="0.2">
      <c r="A1703" s="19" t="s">
        <v>36</v>
      </c>
      <c r="B1703" s="20" t="s">
        <v>6</v>
      </c>
      <c r="C1703" s="20" t="s">
        <v>8</v>
      </c>
      <c r="D1703" s="20" t="s">
        <v>10</v>
      </c>
      <c r="E1703" s="20" t="s">
        <v>13</v>
      </c>
      <c r="F1703" s="20" t="str">
        <f>INDEX(nrg_cb_e!$A$3:$A$40,MATCH(LEFT(MID('Industriesektor GWh'!$B1703,41,1000),SEARCH(" - ",MID('Industriesektor GWh'!$B1703,41,1000))-1),nrg_cb_e!$C$3:$C$40,0))</f>
        <v>FC_IND_IS_E</v>
      </c>
      <c r="G1703" s="21">
        <v>1550</v>
      </c>
    </row>
    <row r="1704" spans="1:7" x14ac:dyDescent="0.2">
      <c r="A1704" s="16" t="s">
        <v>36</v>
      </c>
      <c r="B1704" s="17" t="s">
        <v>6</v>
      </c>
      <c r="C1704" s="17" t="s">
        <v>8</v>
      </c>
      <c r="D1704" s="17" t="s">
        <v>10</v>
      </c>
      <c r="E1704" s="17" t="s">
        <v>14</v>
      </c>
      <c r="F1704" s="17" t="str">
        <f>INDEX(nrg_cb_e!$A$3:$A$40,MATCH(LEFT(MID('Industriesektor GWh'!$B1704,41,1000),SEARCH(" - ",MID('Industriesektor GWh'!$B1704,41,1000))-1),nrg_cb_e!$C$3:$C$40,0))</f>
        <v>FC_IND_IS_E</v>
      </c>
      <c r="G1704" s="18">
        <v>1506</v>
      </c>
    </row>
    <row r="1705" spans="1:7" x14ac:dyDescent="0.2">
      <c r="A1705" s="19" t="s">
        <v>36</v>
      </c>
      <c r="B1705" s="20" t="s">
        <v>6</v>
      </c>
      <c r="C1705" s="20" t="s">
        <v>8</v>
      </c>
      <c r="D1705" s="20" t="s">
        <v>10</v>
      </c>
      <c r="E1705" s="20" t="s">
        <v>15</v>
      </c>
      <c r="F1705" s="20" t="str">
        <f>INDEX(nrg_cb_e!$A$3:$A$40,MATCH(LEFT(MID('Industriesektor GWh'!$B1705,41,1000),SEARCH(" - ",MID('Industriesektor GWh'!$B1705,41,1000))-1),nrg_cb_e!$C$3:$C$40,0))</f>
        <v>FC_IND_IS_E</v>
      </c>
      <c r="G1705" s="21">
        <v>1683</v>
      </c>
    </row>
    <row r="1706" spans="1:7" x14ac:dyDescent="0.2">
      <c r="A1706" s="16" t="s">
        <v>36</v>
      </c>
      <c r="B1706" s="17" t="s">
        <v>6</v>
      </c>
      <c r="C1706" s="17" t="s">
        <v>8</v>
      </c>
      <c r="D1706" s="17" t="s">
        <v>10</v>
      </c>
      <c r="E1706" s="17" t="s">
        <v>16</v>
      </c>
      <c r="F1706" s="17" t="str">
        <f>INDEX(nrg_cb_e!$A$3:$A$40,MATCH(LEFT(MID('Industriesektor GWh'!$B1706,41,1000),SEARCH(" - ",MID('Industriesektor GWh'!$B1706,41,1000))-1),nrg_cb_e!$C$3:$C$40,0))</f>
        <v>FC_IND_IS_E</v>
      </c>
      <c r="G1706" s="18">
        <v>1776</v>
      </c>
    </row>
    <row r="1707" spans="1:7" x14ac:dyDescent="0.2">
      <c r="A1707" s="19" t="s">
        <v>36</v>
      </c>
      <c r="B1707" s="20" t="s">
        <v>6</v>
      </c>
      <c r="C1707" s="20" t="s">
        <v>8</v>
      </c>
      <c r="D1707" s="20" t="s">
        <v>10</v>
      </c>
      <c r="E1707" s="20" t="s">
        <v>17</v>
      </c>
      <c r="F1707" s="20" t="str">
        <f>INDEX(nrg_cb_e!$A$3:$A$40,MATCH(LEFT(MID('Industriesektor GWh'!$B1707,41,1000),SEARCH(" - ",MID('Industriesektor GWh'!$B1707,41,1000))-1),nrg_cb_e!$C$3:$C$40,0))</f>
        <v>FC_IND_IS_E</v>
      </c>
      <c r="G1707" s="21">
        <v>1985</v>
      </c>
    </row>
    <row r="1708" spans="1:7" x14ac:dyDescent="0.2">
      <c r="A1708" s="16" t="s">
        <v>36</v>
      </c>
      <c r="B1708" s="17" t="s">
        <v>6</v>
      </c>
      <c r="C1708" s="17" t="s">
        <v>8</v>
      </c>
      <c r="D1708" s="17" t="s">
        <v>10</v>
      </c>
      <c r="E1708" s="17" t="s">
        <v>18</v>
      </c>
      <c r="F1708" s="17" t="str">
        <f>INDEX(nrg_cb_e!$A$3:$A$40,MATCH(LEFT(MID('Industriesektor GWh'!$B1708,41,1000),SEARCH(" - ",MID('Industriesektor GWh'!$B1708,41,1000))-1),nrg_cb_e!$C$3:$C$40,0))</f>
        <v>FC_IND_IS_E</v>
      </c>
      <c r="G1708" s="18">
        <v>1693</v>
      </c>
    </row>
    <row r="1709" spans="1:7" x14ac:dyDescent="0.2">
      <c r="A1709" s="19" t="s">
        <v>36</v>
      </c>
      <c r="B1709" s="20" t="s">
        <v>6</v>
      </c>
      <c r="C1709" s="20" t="s">
        <v>8</v>
      </c>
      <c r="D1709" s="20" t="s">
        <v>10</v>
      </c>
      <c r="E1709" s="20" t="s">
        <v>19</v>
      </c>
      <c r="F1709" s="20" t="str">
        <f>INDEX(nrg_cb_e!$A$3:$A$40,MATCH(LEFT(MID('Industriesektor GWh'!$B1709,41,1000),SEARCH(" - ",MID('Industriesektor GWh'!$B1709,41,1000))-1),nrg_cb_e!$C$3:$C$40,0))</f>
        <v>FC_IND_IS_E</v>
      </c>
      <c r="G1709" s="21">
        <v>1413</v>
      </c>
    </row>
    <row r="1710" spans="1:7" x14ac:dyDescent="0.2">
      <c r="A1710" s="16" t="s">
        <v>36</v>
      </c>
      <c r="B1710" s="17" t="s">
        <v>6</v>
      </c>
      <c r="C1710" s="17" t="s">
        <v>8</v>
      </c>
      <c r="D1710" s="17" t="s">
        <v>10</v>
      </c>
      <c r="E1710" s="17" t="s">
        <v>20</v>
      </c>
      <c r="F1710" s="17" t="str">
        <f>INDEX(nrg_cb_e!$A$3:$A$40,MATCH(LEFT(MID('Industriesektor GWh'!$B1710,41,1000),SEARCH(" - ",MID('Industriesektor GWh'!$B1710,41,1000))-1),nrg_cb_e!$C$3:$C$40,0))</f>
        <v>FC_IND_IS_E</v>
      </c>
      <c r="G1710" s="18">
        <v>1302</v>
      </c>
    </row>
    <row r="1711" spans="1:7" x14ac:dyDescent="0.2">
      <c r="A1711" s="19" t="s">
        <v>36</v>
      </c>
      <c r="B1711" s="20" t="s">
        <v>6</v>
      </c>
      <c r="C1711" s="20" t="s">
        <v>8</v>
      </c>
      <c r="D1711" s="20" t="s">
        <v>10</v>
      </c>
      <c r="E1711" s="20" t="s">
        <v>21</v>
      </c>
      <c r="F1711" s="20" t="str">
        <f>INDEX(nrg_cb_e!$A$3:$A$40,MATCH(LEFT(MID('Industriesektor GWh'!$B1711,41,1000),SEARCH(" - ",MID('Industriesektor GWh'!$B1711,41,1000))-1),nrg_cb_e!$C$3:$C$40,0))</f>
        <v>FC_IND_IS_E</v>
      </c>
      <c r="G1711" s="21">
        <v>1398</v>
      </c>
    </row>
    <row r="1712" spans="1:7" x14ac:dyDescent="0.2">
      <c r="A1712" s="16" t="s">
        <v>36</v>
      </c>
      <c r="B1712" s="17" t="s">
        <v>6</v>
      </c>
      <c r="C1712" s="17" t="s">
        <v>8</v>
      </c>
      <c r="D1712" s="17" t="s">
        <v>10</v>
      </c>
      <c r="E1712" s="17" t="s">
        <v>22</v>
      </c>
      <c r="F1712" s="17" t="str">
        <f>INDEX(nrg_cb_e!$A$3:$A$40,MATCH(LEFT(MID('Industriesektor GWh'!$B1712,41,1000),SEARCH(" - ",MID('Industriesektor GWh'!$B1712,41,1000))-1),nrg_cb_e!$C$3:$C$40,0))</f>
        <v>FC_IND_IS_E</v>
      </c>
      <c r="G1712" s="18">
        <v>919</v>
      </c>
    </row>
    <row r="1713" spans="1:7" x14ac:dyDescent="0.2">
      <c r="A1713" s="19" t="s">
        <v>36</v>
      </c>
      <c r="B1713" s="20" t="s">
        <v>6</v>
      </c>
      <c r="C1713" s="20" t="s">
        <v>8</v>
      </c>
      <c r="D1713" s="20" t="s">
        <v>10</v>
      </c>
      <c r="E1713" s="20" t="s">
        <v>23</v>
      </c>
      <c r="F1713" s="20" t="str">
        <f>INDEX(nrg_cb_e!$A$3:$A$40,MATCH(LEFT(MID('Industriesektor GWh'!$B1713,41,1000),SEARCH(" - ",MID('Industriesektor GWh'!$B1713,41,1000))-1),nrg_cb_e!$C$3:$C$40,0))</f>
        <v>FC_IND_IS_E</v>
      </c>
      <c r="G1713" s="21">
        <v>761</v>
      </c>
    </row>
    <row r="1714" spans="1:7" x14ac:dyDescent="0.2">
      <c r="A1714" s="16" t="s">
        <v>36</v>
      </c>
      <c r="B1714" s="17" t="s">
        <v>6</v>
      </c>
      <c r="C1714" s="17" t="s">
        <v>8</v>
      </c>
      <c r="D1714" s="17" t="s">
        <v>10</v>
      </c>
      <c r="E1714" s="17" t="s">
        <v>24</v>
      </c>
      <c r="F1714" s="17" t="str">
        <f>INDEX(nrg_cb_e!$A$3:$A$40,MATCH(LEFT(MID('Industriesektor GWh'!$B1714,41,1000),SEARCH(" - ",MID('Industriesektor GWh'!$B1714,41,1000))-1),nrg_cb_e!$C$3:$C$40,0))</f>
        <v>FC_IND_IS_E</v>
      </c>
      <c r="G1714" s="18">
        <v>777</v>
      </c>
    </row>
    <row r="1715" spans="1:7" x14ac:dyDescent="0.2">
      <c r="A1715" s="19" t="s">
        <v>36</v>
      </c>
      <c r="B1715" s="20" t="s">
        <v>6</v>
      </c>
      <c r="C1715" s="20" t="s">
        <v>8</v>
      </c>
      <c r="D1715" s="20" t="s">
        <v>10</v>
      </c>
      <c r="E1715" s="20" t="s">
        <v>25</v>
      </c>
      <c r="F1715" s="20" t="str">
        <f>INDEX(nrg_cb_e!$A$3:$A$40,MATCH(LEFT(MID('Industriesektor GWh'!$B1715,41,1000),SEARCH(" - ",MID('Industriesektor GWh'!$B1715,41,1000))-1),nrg_cb_e!$C$3:$C$40,0))</f>
        <v>FC_IND_IS_E</v>
      </c>
      <c r="G1715" s="21">
        <v>706</v>
      </c>
    </row>
    <row r="1716" spans="1:7" x14ac:dyDescent="0.2">
      <c r="A1716" s="16" t="s">
        <v>36</v>
      </c>
      <c r="B1716" s="17" t="s">
        <v>6</v>
      </c>
      <c r="C1716" s="17" t="s">
        <v>8</v>
      </c>
      <c r="D1716" s="17" t="s">
        <v>10</v>
      </c>
      <c r="E1716" s="17" t="s">
        <v>26</v>
      </c>
      <c r="F1716" s="17" t="str">
        <f>INDEX(nrg_cb_e!$A$3:$A$40,MATCH(LEFT(MID('Industriesektor GWh'!$B1716,41,1000),SEARCH(" - ",MID('Industriesektor GWh'!$B1716,41,1000))-1),nrg_cb_e!$C$3:$C$40,0))</f>
        <v>FC_IND_IS_E</v>
      </c>
      <c r="G1716" s="18">
        <v>870</v>
      </c>
    </row>
    <row r="1717" spans="1:7" x14ac:dyDescent="0.2">
      <c r="A1717" s="19" t="s">
        <v>36</v>
      </c>
      <c r="B1717" s="20" t="s">
        <v>6</v>
      </c>
      <c r="C1717" s="20" t="s">
        <v>8</v>
      </c>
      <c r="D1717" s="20" t="s">
        <v>10</v>
      </c>
      <c r="E1717" s="20" t="s">
        <v>27</v>
      </c>
      <c r="F1717" s="20" t="str">
        <f>INDEX(nrg_cb_e!$A$3:$A$40,MATCH(LEFT(MID('Industriesektor GWh'!$B1717,41,1000),SEARCH(" - ",MID('Industriesektor GWh'!$B1717,41,1000))-1),nrg_cb_e!$C$3:$C$40,0))</f>
        <v>FC_IND_IS_E</v>
      </c>
      <c r="G1717" s="21">
        <v>1001</v>
      </c>
    </row>
    <row r="1718" spans="1:7" x14ac:dyDescent="0.2">
      <c r="A1718" s="16" t="s">
        <v>36</v>
      </c>
      <c r="B1718" s="17" t="s">
        <v>6</v>
      </c>
      <c r="C1718" s="17" t="s">
        <v>8</v>
      </c>
      <c r="D1718" s="17" t="s">
        <v>10</v>
      </c>
      <c r="E1718" s="17" t="s">
        <v>28</v>
      </c>
      <c r="F1718" s="17" t="str">
        <f>INDEX(nrg_cb_e!$A$3:$A$40,MATCH(LEFT(MID('Industriesektor GWh'!$B1718,41,1000),SEARCH(" - ",MID('Industriesektor GWh'!$B1718,41,1000))-1),nrg_cb_e!$C$3:$C$40,0))</f>
        <v>FC_IND_IS_E</v>
      </c>
      <c r="G1718" s="18">
        <v>1063</v>
      </c>
    </row>
    <row r="1719" spans="1:7" x14ac:dyDescent="0.2">
      <c r="A1719" s="19" t="s">
        <v>37</v>
      </c>
      <c r="B1719" s="20" t="s">
        <v>6</v>
      </c>
      <c r="C1719" s="20" t="s">
        <v>8</v>
      </c>
      <c r="D1719" s="20" t="s">
        <v>10</v>
      </c>
      <c r="E1719" s="20" t="s">
        <v>12</v>
      </c>
      <c r="F1719" s="20" t="str">
        <f>INDEX(nrg_cb_e!$A$3:$A$40,MATCH(LEFT(MID('Industriesektor GWh'!$B1719,41,1000),SEARCH(" - ",MID('Industriesektor GWh'!$B1719,41,1000))-1),nrg_cb_e!$C$3:$C$40,0))</f>
        <v>FC_IND_IS_E</v>
      </c>
      <c r="G1719" s="21">
        <v>16228</v>
      </c>
    </row>
    <row r="1720" spans="1:7" x14ac:dyDescent="0.2">
      <c r="A1720" s="16" t="s">
        <v>37</v>
      </c>
      <c r="B1720" s="17" t="s">
        <v>6</v>
      </c>
      <c r="C1720" s="17" t="s">
        <v>8</v>
      </c>
      <c r="D1720" s="17" t="s">
        <v>10</v>
      </c>
      <c r="E1720" s="17" t="s">
        <v>13</v>
      </c>
      <c r="F1720" s="17" t="str">
        <f>INDEX(nrg_cb_e!$A$3:$A$40,MATCH(LEFT(MID('Industriesektor GWh'!$B1720,41,1000),SEARCH(" - ",MID('Industriesektor GWh'!$B1720,41,1000))-1),nrg_cb_e!$C$3:$C$40,0))</f>
        <v>FC_IND_IS_E</v>
      </c>
      <c r="G1720" s="18">
        <v>17157</v>
      </c>
    </row>
    <row r="1721" spans="1:7" x14ac:dyDescent="0.2">
      <c r="A1721" s="19" t="s">
        <v>37</v>
      </c>
      <c r="B1721" s="20" t="s">
        <v>6</v>
      </c>
      <c r="C1721" s="20" t="s">
        <v>8</v>
      </c>
      <c r="D1721" s="20" t="s">
        <v>10</v>
      </c>
      <c r="E1721" s="20" t="s">
        <v>14</v>
      </c>
      <c r="F1721" s="20" t="str">
        <f>INDEX(nrg_cb_e!$A$3:$A$40,MATCH(LEFT(MID('Industriesektor GWh'!$B1721,41,1000),SEARCH(" - ",MID('Industriesektor GWh'!$B1721,41,1000))-1),nrg_cb_e!$C$3:$C$40,0))</f>
        <v>FC_IND_IS_E</v>
      </c>
      <c r="G1721" s="21">
        <v>17210</v>
      </c>
    </row>
    <row r="1722" spans="1:7" x14ac:dyDescent="0.2">
      <c r="A1722" s="16" t="s">
        <v>37</v>
      </c>
      <c r="B1722" s="17" t="s">
        <v>6</v>
      </c>
      <c r="C1722" s="17" t="s">
        <v>8</v>
      </c>
      <c r="D1722" s="17" t="s">
        <v>10</v>
      </c>
      <c r="E1722" s="17" t="s">
        <v>15</v>
      </c>
      <c r="F1722" s="17" t="str">
        <f>INDEX(nrg_cb_e!$A$3:$A$40,MATCH(LEFT(MID('Industriesektor GWh'!$B1722,41,1000),SEARCH(" - ",MID('Industriesektor GWh'!$B1722,41,1000))-1),nrg_cb_e!$C$3:$C$40,0))</f>
        <v>FC_IND_IS_E</v>
      </c>
      <c r="G1722" s="18">
        <v>18370</v>
      </c>
    </row>
    <row r="1723" spans="1:7" x14ac:dyDescent="0.2">
      <c r="A1723" s="19" t="s">
        <v>37</v>
      </c>
      <c r="B1723" s="20" t="s">
        <v>6</v>
      </c>
      <c r="C1723" s="20" t="s">
        <v>8</v>
      </c>
      <c r="D1723" s="20" t="s">
        <v>10</v>
      </c>
      <c r="E1723" s="20" t="s">
        <v>16</v>
      </c>
      <c r="F1723" s="20" t="str">
        <f>INDEX(nrg_cb_e!$A$3:$A$40,MATCH(LEFT(MID('Industriesektor GWh'!$B1723,41,1000),SEARCH(" - ",MID('Industriesektor GWh'!$B1723,41,1000))-1),nrg_cb_e!$C$3:$C$40,0))</f>
        <v>FC_IND_IS_E</v>
      </c>
      <c r="G1723" s="21">
        <v>16122</v>
      </c>
    </row>
    <row r="1724" spans="1:7" x14ac:dyDescent="0.2">
      <c r="A1724" s="16" t="s">
        <v>37</v>
      </c>
      <c r="B1724" s="17" t="s">
        <v>6</v>
      </c>
      <c r="C1724" s="17" t="s">
        <v>8</v>
      </c>
      <c r="D1724" s="17" t="s">
        <v>10</v>
      </c>
      <c r="E1724" s="17" t="s">
        <v>17</v>
      </c>
      <c r="F1724" s="17" t="str">
        <f>INDEX(nrg_cb_e!$A$3:$A$40,MATCH(LEFT(MID('Industriesektor GWh'!$B1724,41,1000),SEARCH(" - ",MID('Industriesektor GWh'!$B1724,41,1000))-1),nrg_cb_e!$C$3:$C$40,0))</f>
        <v>FC_IND_IS_E</v>
      </c>
      <c r="G1724" s="18">
        <v>16571</v>
      </c>
    </row>
    <row r="1725" spans="1:7" x14ac:dyDescent="0.2">
      <c r="A1725" s="19" t="s">
        <v>37</v>
      </c>
      <c r="B1725" s="20" t="s">
        <v>6</v>
      </c>
      <c r="C1725" s="20" t="s">
        <v>8</v>
      </c>
      <c r="D1725" s="20" t="s">
        <v>10</v>
      </c>
      <c r="E1725" s="20" t="s">
        <v>18</v>
      </c>
      <c r="F1725" s="20" t="str">
        <f>INDEX(nrg_cb_e!$A$3:$A$40,MATCH(LEFT(MID('Industriesektor GWh'!$B1725,41,1000),SEARCH(" - ",MID('Industriesektor GWh'!$B1725,41,1000))-1),nrg_cb_e!$C$3:$C$40,0))</f>
        <v>FC_IND_IS_E</v>
      </c>
      <c r="G1725" s="21">
        <v>17151</v>
      </c>
    </row>
    <row r="1726" spans="1:7" x14ac:dyDescent="0.2">
      <c r="A1726" s="16" t="s">
        <v>37</v>
      </c>
      <c r="B1726" s="17" t="s">
        <v>6</v>
      </c>
      <c r="C1726" s="17" t="s">
        <v>8</v>
      </c>
      <c r="D1726" s="17" t="s">
        <v>10</v>
      </c>
      <c r="E1726" s="17" t="s">
        <v>19</v>
      </c>
      <c r="F1726" s="17" t="str">
        <f>INDEX(nrg_cb_e!$A$3:$A$40,MATCH(LEFT(MID('Industriesektor GWh'!$B1726,41,1000),SEARCH(" - ",MID('Industriesektor GWh'!$B1726,41,1000))-1),nrg_cb_e!$C$3:$C$40,0))</f>
        <v>FC_IND_IS_E</v>
      </c>
      <c r="G1726" s="18">
        <v>12271</v>
      </c>
    </row>
    <row r="1727" spans="1:7" x14ac:dyDescent="0.2">
      <c r="A1727" s="19" t="s">
        <v>37</v>
      </c>
      <c r="B1727" s="20" t="s">
        <v>6</v>
      </c>
      <c r="C1727" s="20" t="s">
        <v>8</v>
      </c>
      <c r="D1727" s="20" t="s">
        <v>10</v>
      </c>
      <c r="E1727" s="20" t="s">
        <v>20</v>
      </c>
      <c r="F1727" s="20" t="str">
        <f>INDEX(nrg_cb_e!$A$3:$A$40,MATCH(LEFT(MID('Industriesektor GWh'!$B1727,41,1000),SEARCH(" - ",MID('Industriesektor GWh'!$B1727,41,1000))-1),nrg_cb_e!$C$3:$C$40,0))</f>
        <v>FC_IND_IS_E</v>
      </c>
      <c r="G1727" s="21">
        <v>14318</v>
      </c>
    </row>
    <row r="1728" spans="1:7" x14ac:dyDescent="0.2">
      <c r="A1728" s="16" t="s">
        <v>37</v>
      </c>
      <c r="B1728" s="17" t="s">
        <v>6</v>
      </c>
      <c r="C1728" s="17" t="s">
        <v>8</v>
      </c>
      <c r="D1728" s="17" t="s">
        <v>10</v>
      </c>
      <c r="E1728" s="17" t="s">
        <v>21</v>
      </c>
      <c r="F1728" s="17" t="str">
        <f>INDEX(nrg_cb_e!$A$3:$A$40,MATCH(LEFT(MID('Industriesektor GWh'!$B1728,41,1000),SEARCH(" - ",MID('Industriesektor GWh'!$B1728,41,1000))-1),nrg_cb_e!$C$3:$C$40,0))</f>
        <v>FC_IND_IS_E</v>
      </c>
      <c r="G1728" s="18">
        <v>13434</v>
      </c>
    </row>
    <row r="1729" spans="1:7" x14ac:dyDescent="0.2">
      <c r="A1729" s="19" t="s">
        <v>37</v>
      </c>
      <c r="B1729" s="20" t="s">
        <v>6</v>
      </c>
      <c r="C1729" s="20" t="s">
        <v>8</v>
      </c>
      <c r="D1729" s="20" t="s">
        <v>10</v>
      </c>
      <c r="E1729" s="20" t="s">
        <v>22</v>
      </c>
      <c r="F1729" s="20" t="str">
        <f>INDEX(nrg_cb_e!$A$3:$A$40,MATCH(LEFT(MID('Industriesektor GWh'!$B1729,41,1000),SEARCH(" - ",MID('Industriesektor GWh'!$B1729,41,1000))-1),nrg_cb_e!$C$3:$C$40,0))</f>
        <v>FC_IND_IS_E</v>
      </c>
      <c r="G1729" s="21">
        <v>13254</v>
      </c>
    </row>
    <row r="1730" spans="1:7" x14ac:dyDescent="0.2">
      <c r="A1730" s="16" t="s">
        <v>37</v>
      </c>
      <c r="B1730" s="17" t="s">
        <v>6</v>
      </c>
      <c r="C1730" s="17" t="s">
        <v>8</v>
      </c>
      <c r="D1730" s="17" t="s">
        <v>10</v>
      </c>
      <c r="E1730" s="17" t="s">
        <v>23</v>
      </c>
      <c r="F1730" s="17" t="str">
        <f>INDEX(nrg_cb_e!$A$3:$A$40,MATCH(LEFT(MID('Industriesektor GWh'!$B1730,41,1000),SEARCH(" - ",MID('Industriesektor GWh'!$B1730,41,1000))-1),nrg_cb_e!$C$3:$C$40,0))</f>
        <v>FC_IND_IS_E</v>
      </c>
      <c r="G1730" s="18">
        <v>12326</v>
      </c>
    </row>
    <row r="1731" spans="1:7" x14ac:dyDescent="0.2">
      <c r="A1731" s="19" t="s">
        <v>37</v>
      </c>
      <c r="B1731" s="20" t="s">
        <v>6</v>
      </c>
      <c r="C1731" s="20" t="s">
        <v>8</v>
      </c>
      <c r="D1731" s="20" t="s">
        <v>10</v>
      </c>
      <c r="E1731" s="20" t="s">
        <v>24</v>
      </c>
      <c r="F1731" s="20" t="str">
        <f>INDEX(nrg_cb_e!$A$3:$A$40,MATCH(LEFT(MID('Industriesektor GWh'!$B1731,41,1000),SEARCH(" - ",MID('Industriesektor GWh'!$B1731,41,1000))-1),nrg_cb_e!$C$3:$C$40,0))</f>
        <v>FC_IND_IS_E</v>
      </c>
      <c r="G1731" s="21">
        <v>12310</v>
      </c>
    </row>
    <row r="1732" spans="1:7" x14ac:dyDescent="0.2">
      <c r="A1732" s="16" t="s">
        <v>37</v>
      </c>
      <c r="B1732" s="17" t="s">
        <v>6</v>
      </c>
      <c r="C1732" s="17" t="s">
        <v>8</v>
      </c>
      <c r="D1732" s="17" t="s">
        <v>10</v>
      </c>
      <c r="E1732" s="17" t="s">
        <v>25</v>
      </c>
      <c r="F1732" s="17" t="str">
        <f>INDEX(nrg_cb_e!$A$3:$A$40,MATCH(LEFT(MID('Industriesektor GWh'!$B1732,41,1000),SEARCH(" - ",MID('Industriesektor GWh'!$B1732,41,1000))-1),nrg_cb_e!$C$3:$C$40,0))</f>
        <v>FC_IND_IS_E</v>
      </c>
      <c r="G1732" s="18">
        <v>12610</v>
      </c>
    </row>
    <row r="1733" spans="1:7" x14ac:dyDescent="0.2">
      <c r="A1733" s="19" t="s">
        <v>37</v>
      </c>
      <c r="B1733" s="20" t="s">
        <v>6</v>
      </c>
      <c r="C1733" s="20" t="s">
        <v>8</v>
      </c>
      <c r="D1733" s="20" t="s">
        <v>10</v>
      </c>
      <c r="E1733" s="20" t="s">
        <v>26</v>
      </c>
      <c r="F1733" s="20" t="str">
        <f>INDEX(nrg_cb_e!$A$3:$A$40,MATCH(LEFT(MID('Industriesektor GWh'!$B1733,41,1000),SEARCH(" - ",MID('Industriesektor GWh'!$B1733,41,1000))-1),nrg_cb_e!$C$3:$C$40,0))</f>
        <v>FC_IND_IS_E</v>
      </c>
      <c r="G1733" s="21">
        <v>13499</v>
      </c>
    </row>
    <row r="1734" spans="1:7" x14ac:dyDescent="0.2">
      <c r="A1734" s="16" t="s">
        <v>37</v>
      </c>
      <c r="B1734" s="17" t="s">
        <v>6</v>
      </c>
      <c r="C1734" s="17" t="s">
        <v>8</v>
      </c>
      <c r="D1734" s="17" t="s">
        <v>10</v>
      </c>
      <c r="E1734" s="17" t="s">
        <v>27</v>
      </c>
      <c r="F1734" s="17" t="str">
        <f>INDEX(nrg_cb_e!$A$3:$A$40,MATCH(LEFT(MID('Industriesektor GWh'!$B1734,41,1000),SEARCH(" - ",MID('Industriesektor GWh'!$B1734,41,1000))-1),nrg_cb_e!$C$3:$C$40,0))</f>
        <v>FC_IND_IS_E</v>
      </c>
      <c r="G1734" s="18">
        <v>14412</v>
      </c>
    </row>
    <row r="1735" spans="1:7" x14ac:dyDescent="0.2">
      <c r="A1735" s="19" t="s">
        <v>37</v>
      </c>
      <c r="B1735" s="20" t="s">
        <v>6</v>
      </c>
      <c r="C1735" s="20" t="s">
        <v>8</v>
      </c>
      <c r="D1735" s="20" t="s">
        <v>10</v>
      </c>
      <c r="E1735" s="20" t="s">
        <v>28</v>
      </c>
      <c r="F1735" s="20" t="str">
        <f>INDEX(nrg_cb_e!$A$3:$A$40,MATCH(LEFT(MID('Industriesektor GWh'!$B1735,41,1000),SEARCH(" - ",MID('Industriesektor GWh'!$B1735,41,1000))-1),nrg_cb_e!$C$3:$C$40,0))</f>
        <v>FC_IND_IS_E</v>
      </c>
      <c r="G1735" s="21">
        <v>15136</v>
      </c>
    </row>
    <row r="1736" spans="1:7" x14ac:dyDescent="0.2">
      <c r="A1736" s="16" t="s">
        <v>38</v>
      </c>
      <c r="B1736" s="17" t="s">
        <v>6</v>
      </c>
      <c r="C1736" s="17" t="s">
        <v>8</v>
      </c>
      <c r="D1736" s="17" t="s">
        <v>10</v>
      </c>
      <c r="E1736" s="17" t="s">
        <v>12</v>
      </c>
      <c r="F1736" s="17" t="str">
        <f>INDEX(nrg_cb_e!$A$3:$A$40,MATCH(LEFT(MID('Industriesektor GWh'!$B1736,41,1000),SEARCH(" - ",MID('Industriesektor GWh'!$B1736,41,1000))-1),nrg_cb_e!$C$3:$C$40,0))</f>
        <v>FC_IND_IS_E</v>
      </c>
      <c r="G1736" s="18">
        <v>16162</v>
      </c>
    </row>
    <row r="1737" spans="1:7" x14ac:dyDescent="0.2">
      <c r="A1737" s="19" t="s">
        <v>38</v>
      </c>
      <c r="B1737" s="20" t="s">
        <v>6</v>
      </c>
      <c r="C1737" s="20" t="s">
        <v>8</v>
      </c>
      <c r="D1737" s="20" t="s">
        <v>10</v>
      </c>
      <c r="E1737" s="20" t="s">
        <v>13</v>
      </c>
      <c r="F1737" s="20" t="str">
        <f>INDEX(nrg_cb_e!$A$3:$A$40,MATCH(LEFT(MID('Industriesektor GWh'!$B1737,41,1000),SEARCH(" - ",MID('Industriesektor GWh'!$B1737,41,1000))-1),nrg_cb_e!$C$3:$C$40,0))</f>
        <v>FC_IND_IS_E</v>
      </c>
      <c r="G1737" s="21">
        <v>15561</v>
      </c>
    </row>
    <row r="1738" spans="1:7" x14ac:dyDescent="0.2">
      <c r="A1738" s="16" t="s">
        <v>38</v>
      </c>
      <c r="B1738" s="17" t="s">
        <v>6</v>
      </c>
      <c r="C1738" s="17" t="s">
        <v>8</v>
      </c>
      <c r="D1738" s="17" t="s">
        <v>10</v>
      </c>
      <c r="E1738" s="17" t="s">
        <v>14</v>
      </c>
      <c r="F1738" s="17" t="str">
        <f>INDEX(nrg_cb_e!$A$3:$A$40,MATCH(LEFT(MID('Industriesektor GWh'!$B1738,41,1000),SEARCH(" - ",MID('Industriesektor GWh'!$B1738,41,1000))-1),nrg_cb_e!$C$3:$C$40,0))</f>
        <v>FC_IND_IS_E</v>
      </c>
      <c r="G1738" s="18">
        <v>16362</v>
      </c>
    </row>
    <row r="1739" spans="1:7" x14ac:dyDescent="0.2">
      <c r="A1739" s="19" t="s">
        <v>38</v>
      </c>
      <c r="B1739" s="20" t="s">
        <v>6</v>
      </c>
      <c r="C1739" s="20" t="s">
        <v>8</v>
      </c>
      <c r="D1739" s="20" t="s">
        <v>10</v>
      </c>
      <c r="E1739" s="20" t="s">
        <v>15</v>
      </c>
      <c r="F1739" s="20" t="str">
        <f>INDEX(nrg_cb_e!$A$3:$A$40,MATCH(LEFT(MID('Industriesektor GWh'!$B1739,41,1000),SEARCH(" - ",MID('Industriesektor GWh'!$B1739,41,1000))-1),nrg_cb_e!$C$3:$C$40,0))</f>
        <v>FC_IND_IS_E</v>
      </c>
      <c r="G1739" s="21">
        <v>15611</v>
      </c>
    </row>
    <row r="1740" spans="1:7" x14ac:dyDescent="0.2">
      <c r="A1740" s="16" t="s">
        <v>38</v>
      </c>
      <c r="B1740" s="17" t="s">
        <v>6</v>
      </c>
      <c r="C1740" s="17" t="s">
        <v>8</v>
      </c>
      <c r="D1740" s="17" t="s">
        <v>10</v>
      </c>
      <c r="E1740" s="17" t="s">
        <v>16</v>
      </c>
      <c r="F1740" s="17" t="str">
        <f>INDEX(nrg_cb_e!$A$3:$A$40,MATCH(LEFT(MID('Industriesektor GWh'!$B1740,41,1000),SEARCH(" - ",MID('Industriesektor GWh'!$B1740,41,1000))-1),nrg_cb_e!$C$3:$C$40,0))</f>
        <v>FC_IND_IS_E</v>
      </c>
      <c r="G1740" s="18">
        <v>15924</v>
      </c>
    </row>
    <row r="1741" spans="1:7" x14ac:dyDescent="0.2">
      <c r="A1741" s="19" t="s">
        <v>38</v>
      </c>
      <c r="B1741" s="20" t="s">
        <v>6</v>
      </c>
      <c r="C1741" s="20" t="s">
        <v>8</v>
      </c>
      <c r="D1741" s="20" t="s">
        <v>10</v>
      </c>
      <c r="E1741" s="20" t="s">
        <v>17</v>
      </c>
      <c r="F1741" s="20" t="str">
        <f>INDEX(nrg_cb_e!$A$3:$A$40,MATCH(LEFT(MID('Industriesektor GWh'!$B1741,41,1000),SEARCH(" - ",MID('Industriesektor GWh'!$B1741,41,1000))-1),nrg_cb_e!$C$3:$C$40,0))</f>
        <v>FC_IND_IS_E</v>
      </c>
      <c r="G1741" s="21">
        <v>15861</v>
      </c>
    </row>
    <row r="1742" spans="1:7" x14ac:dyDescent="0.2">
      <c r="A1742" s="16" t="s">
        <v>38</v>
      </c>
      <c r="B1742" s="17" t="s">
        <v>6</v>
      </c>
      <c r="C1742" s="17" t="s">
        <v>8</v>
      </c>
      <c r="D1742" s="17" t="s">
        <v>10</v>
      </c>
      <c r="E1742" s="17" t="s">
        <v>18</v>
      </c>
      <c r="F1742" s="17" t="str">
        <f>INDEX(nrg_cb_e!$A$3:$A$40,MATCH(LEFT(MID('Industriesektor GWh'!$B1742,41,1000),SEARCH(" - ",MID('Industriesektor GWh'!$B1742,41,1000))-1),nrg_cb_e!$C$3:$C$40,0))</f>
        <v>FC_IND_IS_E</v>
      </c>
      <c r="G1742" s="18">
        <v>11897</v>
      </c>
    </row>
    <row r="1743" spans="1:7" x14ac:dyDescent="0.2">
      <c r="A1743" s="19" t="s">
        <v>38</v>
      </c>
      <c r="B1743" s="20" t="s">
        <v>6</v>
      </c>
      <c r="C1743" s="20" t="s">
        <v>8</v>
      </c>
      <c r="D1743" s="20" t="s">
        <v>10</v>
      </c>
      <c r="E1743" s="20" t="s">
        <v>19</v>
      </c>
      <c r="F1743" s="20" t="str">
        <f>INDEX(nrg_cb_e!$A$3:$A$40,MATCH(LEFT(MID('Industriesektor GWh'!$B1743,41,1000),SEARCH(" - ",MID('Industriesektor GWh'!$B1743,41,1000))-1),nrg_cb_e!$C$3:$C$40,0))</f>
        <v>FC_IND_IS_E</v>
      </c>
      <c r="G1743" s="21">
        <v>8821</v>
      </c>
    </row>
    <row r="1744" spans="1:7" x14ac:dyDescent="0.2">
      <c r="A1744" s="16" t="s">
        <v>38</v>
      </c>
      <c r="B1744" s="17" t="s">
        <v>6</v>
      </c>
      <c r="C1744" s="17" t="s">
        <v>8</v>
      </c>
      <c r="D1744" s="17" t="s">
        <v>10</v>
      </c>
      <c r="E1744" s="17" t="s">
        <v>20</v>
      </c>
      <c r="F1744" s="17" t="str">
        <f>INDEX(nrg_cb_e!$A$3:$A$40,MATCH(LEFT(MID('Industriesektor GWh'!$B1744,41,1000),SEARCH(" - ",MID('Industriesektor GWh'!$B1744,41,1000))-1),nrg_cb_e!$C$3:$C$40,0))</f>
        <v>FC_IND_IS_E</v>
      </c>
      <c r="G1744" s="18">
        <v>10217</v>
      </c>
    </row>
    <row r="1745" spans="1:7" x14ac:dyDescent="0.2">
      <c r="A1745" s="19" t="s">
        <v>38</v>
      </c>
      <c r="B1745" s="20" t="s">
        <v>6</v>
      </c>
      <c r="C1745" s="20" t="s">
        <v>8</v>
      </c>
      <c r="D1745" s="20" t="s">
        <v>10</v>
      </c>
      <c r="E1745" s="20" t="s">
        <v>21</v>
      </c>
      <c r="F1745" s="20" t="str">
        <f>INDEX(nrg_cb_e!$A$3:$A$40,MATCH(LEFT(MID('Industriesektor GWh'!$B1745,41,1000),SEARCH(" - ",MID('Industriesektor GWh'!$B1745,41,1000))-1),nrg_cb_e!$C$3:$C$40,0))</f>
        <v>FC_IND_IS_E</v>
      </c>
      <c r="G1745" s="21">
        <v>12677.449000000001</v>
      </c>
    </row>
    <row r="1746" spans="1:7" x14ac:dyDescent="0.2">
      <c r="A1746" s="16" t="s">
        <v>38</v>
      </c>
      <c r="B1746" s="17" t="s">
        <v>6</v>
      </c>
      <c r="C1746" s="17" t="s">
        <v>8</v>
      </c>
      <c r="D1746" s="17" t="s">
        <v>10</v>
      </c>
      <c r="E1746" s="17" t="s">
        <v>22</v>
      </c>
      <c r="F1746" s="17" t="str">
        <f>INDEX(nrg_cb_e!$A$3:$A$40,MATCH(LEFT(MID('Industriesektor GWh'!$B1746,41,1000),SEARCH(" - ",MID('Industriesektor GWh'!$B1746,41,1000))-1),nrg_cb_e!$C$3:$C$40,0))</f>
        <v>FC_IND_IS_E</v>
      </c>
      <c r="G1746" s="18">
        <v>12581.119000000001</v>
      </c>
    </row>
    <row r="1747" spans="1:7" x14ac:dyDescent="0.2">
      <c r="A1747" s="19" t="s">
        <v>38</v>
      </c>
      <c r="B1747" s="20" t="s">
        <v>6</v>
      </c>
      <c r="C1747" s="20" t="s">
        <v>8</v>
      </c>
      <c r="D1747" s="20" t="s">
        <v>10</v>
      </c>
      <c r="E1747" s="20" t="s">
        <v>23</v>
      </c>
      <c r="F1747" s="20" t="str">
        <f>INDEX(nrg_cb_e!$A$3:$A$40,MATCH(LEFT(MID('Industriesektor GWh'!$B1747,41,1000),SEARCH(" - ",MID('Industriesektor GWh'!$B1747,41,1000))-1),nrg_cb_e!$C$3:$C$40,0))</f>
        <v>FC_IND_IS_E</v>
      </c>
      <c r="G1747" s="21">
        <v>12389.322</v>
      </c>
    </row>
    <row r="1748" spans="1:7" x14ac:dyDescent="0.2">
      <c r="A1748" s="16" t="s">
        <v>38</v>
      </c>
      <c r="B1748" s="17" t="s">
        <v>6</v>
      </c>
      <c r="C1748" s="17" t="s">
        <v>8</v>
      </c>
      <c r="D1748" s="17" t="s">
        <v>10</v>
      </c>
      <c r="E1748" s="17" t="s">
        <v>24</v>
      </c>
      <c r="F1748" s="17" t="str">
        <f>INDEX(nrg_cb_e!$A$3:$A$40,MATCH(LEFT(MID('Industriesektor GWh'!$B1748,41,1000),SEARCH(" - ",MID('Industriesektor GWh'!$B1748,41,1000))-1),nrg_cb_e!$C$3:$C$40,0))</f>
        <v>FC_IND_IS_E</v>
      </c>
      <c r="G1748" s="18">
        <v>12607.163</v>
      </c>
    </row>
    <row r="1749" spans="1:7" x14ac:dyDescent="0.2">
      <c r="A1749" s="19" t="s">
        <v>38</v>
      </c>
      <c r="B1749" s="20" t="s">
        <v>6</v>
      </c>
      <c r="C1749" s="20" t="s">
        <v>8</v>
      </c>
      <c r="D1749" s="20" t="s">
        <v>10</v>
      </c>
      <c r="E1749" s="20" t="s">
        <v>25</v>
      </c>
      <c r="F1749" s="20" t="str">
        <f>INDEX(nrg_cb_e!$A$3:$A$40,MATCH(LEFT(MID('Industriesektor GWh'!$B1749,41,1000),SEARCH(" - ",MID('Industriesektor GWh'!$B1749,41,1000))-1),nrg_cb_e!$C$3:$C$40,0))</f>
        <v>FC_IND_IS_E</v>
      </c>
      <c r="G1749" s="21">
        <v>12052.245000000001</v>
      </c>
    </row>
    <row r="1750" spans="1:7" x14ac:dyDescent="0.2">
      <c r="A1750" s="16" t="s">
        <v>38</v>
      </c>
      <c r="B1750" s="17" t="s">
        <v>6</v>
      </c>
      <c r="C1750" s="17" t="s">
        <v>8</v>
      </c>
      <c r="D1750" s="17" t="s">
        <v>10</v>
      </c>
      <c r="E1750" s="17" t="s">
        <v>26</v>
      </c>
      <c r="F1750" s="17" t="str">
        <f>INDEX(nrg_cb_e!$A$3:$A$40,MATCH(LEFT(MID('Industriesektor GWh'!$B1750,41,1000),SEARCH(" - ",MID('Industriesektor GWh'!$B1750,41,1000))-1),nrg_cb_e!$C$3:$C$40,0))</f>
        <v>FC_IND_IS_E</v>
      </c>
      <c r="G1750" s="18">
        <v>12299.036</v>
      </c>
    </row>
    <row r="1751" spans="1:7" x14ac:dyDescent="0.2">
      <c r="A1751" s="19" t="s">
        <v>38</v>
      </c>
      <c r="B1751" s="20" t="s">
        <v>6</v>
      </c>
      <c r="C1751" s="20" t="s">
        <v>8</v>
      </c>
      <c r="D1751" s="20" t="s">
        <v>10</v>
      </c>
      <c r="E1751" s="20" t="s">
        <v>27</v>
      </c>
      <c r="F1751" s="20" t="str">
        <f>INDEX(nrg_cb_e!$A$3:$A$40,MATCH(LEFT(MID('Industriesektor GWh'!$B1751,41,1000),SEARCH(" - ",MID('Industriesektor GWh'!$B1751,41,1000))-1),nrg_cb_e!$C$3:$C$40,0))</f>
        <v>FC_IND_IS_E</v>
      </c>
      <c r="G1751" s="21">
        <v>11871.609</v>
      </c>
    </row>
    <row r="1752" spans="1:7" x14ac:dyDescent="0.2">
      <c r="A1752" s="16" t="s">
        <v>38</v>
      </c>
      <c r="B1752" s="17" t="s">
        <v>6</v>
      </c>
      <c r="C1752" s="17" t="s">
        <v>8</v>
      </c>
      <c r="D1752" s="17" t="s">
        <v>10</v>
      </c>
      <c r="E1752" s="17" t="s">
        <v>28</v>
      </c>
      <c r="F1752" s="17" t="str">
        <f>INDEX(nrg_cb_e!$A$3:$A$40,MATCH(LEFT(MID('Industriesektor GWh'!$B1752,41,1000),SEARCH(" - ",MID('Industriesektor GWh'!$B1752,41,1000))-1),nrg_cb_e!$C$3:$C$40,0))</f>
        <v>FC_IND_IS_E</v>
      </c>
      <c r="G1752" s="18">
        <v>12067.746999999999</v>
      </c>
    </row>
    <row r="1753" spans="1:7" x14ac:dyDescent="0.2">
      <c r="A1753" s="19" t="s">
        <v>39</v>
      </c>
      <c r="B1753" s="20" t="s">
        <v>6</v>
      </c>
      <c r="C1753" s="20" t="s">
        <v>8</v>
      </c>
      <c r="D1753" s="20" t="s">
        <v>10</v>
      </c>
      <c r="E1753" s="20" t="s">
        <v>12</v>
      </c>
      <c r="F1753" s="20" t="str">
        <f>INDEX(nrg_cb_e!$A$3:$A$40,MATCH(LEFT(MID('Industriesektor GWh'!$B1753,41,1000),SEARCH(" - ",MID('Industriesektor GWh'!$B1753,41,1000))-1),nrg_cb_e!$C$3:$C$40,0))</f>
        <v>FC_IND_IS_E</v>
      </c>
      <c r="G1753" s="21">
        <v>122</v>
      </c>
    </row>
    <row r="1754" spans="1:7" x14ac:dyDescent="0.2">
      <c r="A1754" s="16" t="s">
        <v>39</v>
      </c>
      <c r="B1754" s="17" t="s">
        <v>6</v>
      </c>
      <c r="C1754" s="17" t="s">
        <v>8</v>
      </c>
      <c r="D1754" s="17" t="s">
        <v>10</v>
      </c>
      <c r="E1754" s="17" t="s">
        <v>13</v>
      </c>
      <c r="F1754" s="17" t="str">
        <f>INDEX(nrg_cb_e!$A$3:$A$40,MATCH(LEFT(MID('Industriesektor GWh'!$B1754,41,1000),SEARCH(" - ",MID('Industriesektor GWh'!$B1754,41,1000))-1),nrg_cb_e!$C$3:$C$40,0))</f>
        <v>FC_IND_IS_E</v>
      </c>
      <c r="G1754" s="18">
        <v>137</v>
      </c>
    </row>
    <row r="1755" spans="1:7" x14ac:dyDescent="0.2">
      <c r="A1755" s="19" t="s">
        <v>39</v>
      </c>
      <c r="B1755" s="20" t="s">
        <v>6</v>
      </c>
      <c r="C1755" s="20" t="s">
        <v>8</v>
      </c>
      <c r="D1755" s="20" t="s">
        <v>10</v>
      </c>
      <c r="E1755" s="20" t="s">
        <v>14</v>
      </c>
      <c r="F1755" s="20" t="str">
        <f>INDEX(nrg_cb_e!$A$3:$A$40,MATCH(LEFT(MID('Industriesektor GWh'!$B1755,41,1000),SEARCH(" - ",MID('Industriesektor GWh'!$B1755,41,1000))-1),nrg_cb_e!$C$3:$C$40,0))</f>
        <v>FC_IND_IS_E</v>
      </c>
      <c r="G1755" s="21">
        <v>188</v>
      </c>
    </row>
    <row r="1756" spans="1:7" x14ac:dyDescent="0.2">
      <c r="A1756" s="16" t="s">
        <v>39</v>
      </c>
      <c r="B1756" s="17" t="s">
        <v>6</v>
      </c>
      <c r="C1756" s="17" t="s">
        <v>8</v>
      </c>
      <c r="D1756" s="17" t="s">
        <v>10</v>
      </c>
      <c r="E1756" s="17" t="s">
        <v>15</v>
      </c>
      <c r="F1756" s="17" t="str">
        <f>INDEX(nrg_cb_e!$A$3:$A$40,MATCH(LEFT(MID('Industriesektor GWh'!$B1756,41,1000),SEARCH(" - ",MID('Industriesektor GWh'!$B1756,41,1000))-1),nrg_cb_e!$C$3:$C$40,0))</f>
        <v>FC_IND_IS_E</v>
      </c>
      <c r="G1756" s="18">
        <v>180</v>
      </c>
    </row>
    <row r="1757" spans="1:7" x14ac:dyDescent="0.2">
      <c r="A1757" s="19" t="s">
        <v>39</v>
      </c>
      <c r="B1757" s="20" t="s">
        <v>6</v>
      </c>
      <c r="C1757" s="20" t="s">
        <v>8</v>
      </c>
      <c r="D1757" s="20" t="s">
        <v>10</v>
      </c>
      <c r="E1757" s="20" t="s">
        <v>16</v>
      </c>
      <c r="F1757" s="20" t="str">
        <f>INDEX(nrg_cb_e!$A$3:$A$40,MATCH(LEFT(MID('Industriesektor GWh'!$B1757,41,1000),SEARCH(" - ",MID('Industriesektor GWh'!$B1757,41,1000))-1),nrg_cb_e!$C$3:$C$40,0))</f>
        <v>FC_IND_IS_E</v>
      </c>
      <c r="G1757" s="21">
        <v>206</v>
      </c>
    </row>
    <row r="1758" spans="1:7" x14ac:dyDescent="0.2">
      <c r="A1758" s="16" t="s">
        <v>39</v>
      </c>
      <c r="B1758" s="17" t="s">
        <v>6</v>
      </c>
      <c r="C1758" s="17" t="s">
        <v>8</v>
      </c>
      <c r="D1758" s="17" t="s">
        <v>10</v>
      </c>
      <c r="E1758" s="17" t="s">
        <v>17</v>
      </c>
      <c r="F1758" s="17" t="str">
        <f>INDEX(nrg_cb_e!$A$3:$A$40,MATCH(LEFT(MID('Industriesektor GWh'!$B1758,41,1000),SEARCH(" - ",MID('Industriesektor GWh'!$B1758,41,1000))-1),nrg_cb_e!$C$3:$C$40,0))</f>
        <v>FC_IND_IS_E</v>
      </c>
      <c r="G1758" s="18">
        <v>203</v>
      </c>
    </row>
    <row r="1759" spans="1:7" x14ac:dyDescent="0.2">
      <c r="A1759" s="19" t="s">
        <v>39</v>
      </c>
      <c r="B1759" s="20" t="s">
        <v>6</v>
      </c>
      <c r="C1759" s="20" t="s">
        <v>8</v>
      </c>
      <c r="D1759" s="20" t="s">
        <v>10</v>
      </c>
      <c r="E1759" s="20" t="s">
        <v>18</v>
      </c>
      <c r="F1759" s="20" t="str">
        <f>INDEX(nrg_cb_e!$A$3:$A$40,MATCH(LEFT(MID('Industriesektor GWh'!$B1759,41,1000),SEARCH(" - ",MID('Industriesektor GWh'!$B1759,41,1000))-1),nrg_cb_e!$C$3:$C$40,0))</f>
        <v>FC_IND_IS_E</v>
      </c>
      <c r="G1759" s="21">
        <v>245</v>
      </c>
    </row>
    <row r="1760" spans="1:7" x14ac:dyDescent="0.2">
      <c r="A1760" s="16" t="s">
        <v>39</v>
      </c>
      <c r="B1760" s="17" t="s">
        <v>6</v>
      </c>
      <c r="C1760" s="17" t="s">
        <v>8</v>
      </c>
      <c r="D1760" s="17" t="s">
        <v>10</v>
      </c>
      <c r="E1760" s="17" t="s">
        <v>19</v>
      </c>
      <c r="F1760" s="17" t="str">
        <f>INDEX(nrg_cb_e!$A$3:$A$40,MATCH(LEFT(MID('Industriesektor GWh'!$B1760,41,1000),SEARCH(" - ",MID('Industriesektor GWh'!$B1760,41,1000))-1),nrg_cb_e!$C$3:$C$40,0))</f>
        <v>FC_IND_IS_E</v>
      </c>
      <c r="G1760" s="18">
        <v>139</v>
      </c>
    </row>
    <row r="1761" spans="1:7" x14ac:dyDescent="0.2">
      <c r="A1761" s="19" t="s">
        <v>39</v>
      </c>
      <c r="B1761" s="20" t="s">
        <v>6</v>
      </c>
      <c r="C1761" s="20" t="s">
        <v>8</v>
      </c>
      <c r="D1761" s="20" t="s">
        <v>10</v>
      </c>
      <c r="E1761" s="20" t="s">
        <v>20</v>
      </c>
      <c r="F1761" s="20" t="str">
        <f>INDEX(nrg_cb_e!$A$3:$A$40,MATCH(LEFT(MID('Industriesektor GWh'!$B1761,41,1000),SEARCH(" - ",MID('Industriesektor GWh'!$B1761,41,1000))-1),nrg_cb_e!$C$3:$C$40,0))</f>
        <v>FC_IND_IS_E</v>
      </c>
      <c r="G1761" s="21">
        <v>181</v>
      </c>
    </row>
    <row r="1762" spans="1:7" x14ac:dyDescent="0.2">
      <c r="A1762" s="16" t="s">
        <v>39</v>
      </c>
      <c r="B1762" s="17" t="s">
        <v>6</v>
      </c>
      <c r="C1762" s="17" t="s">
        <v>8</v>
      </c>
      <c r="D1762" s="17" t="s">
        <v>10</v>
      </c>
      <c r="E1762" s="17" t="s">
        <v>21</v>
      </c>
      <c r="F1762" s="17" t="str">
        <f>INDEX(nrg_cb_e!$A$3:$A$40,MATCH(LEFT(MID('Industriesektor GWh'!$B1762,41,1000),SEARCH(" - ",MID('Industriesektor GWh'!$B1762,41,1000))-1),nrg_cb_e!$C$3:$C$40,0))</f>
        <v>FC_IND_IS_E</v>
      </c>
      <c r="G1762" s="18">
        <v>176</v>
      </c>
    </row>
    <row r="1763" spans="1:7" x14ac:dyDescent="0.2">
      <c r="A1763" s="19" t="s">
        <v>39</v>
      </c>
      <c r="B1763" s="20" t="s">
        <v>6</v>
      </c>
      <c r="C1763" s="20" t="s">
        <v>8</v>
      </c>
      <c r="D1763" s="20" t="s">
        <v>10</v>
      </c>
      <c r="E1763" s="20" t="s">
        <v>22</v>
      </c>
      <c r="F1763" s="20" t="str">
        <f>INDEX(nrg_cb_e!$A$3:$A$40,MATCH(LEFT(MID('Industriesektor GWh'!$B1763,41,1000),SEARCH(" - ",MID('Industriesektor GWh'!$B1763,41,1000))-1),nrg_cb_e!$C$3:$C$40,0))</f>
        <v>FC_IND_IS_E</v>
      </c>
      <c r="G1763" s="21">
        <v>82</v>
      </c>
    </row>
    <row r="1764" spans="1:7" x14ac:dyDescent="0.2">
      <c r="A1764" s="16" t="s">
        <v>39</v>
      </c>
      <c r="B1764" s="17" t="s">
        <v>6</v>
      </c>
      <c r="C1764" s="17" t="s">
        <v>8</v>
      </c>
      <c r="D1764" s="17" t="s">
        <v>10</v>
      </c>
      <c r="E1764" s="17" t="s">
        <v>23</v>
      </c>
      <c r="F1764" s="17" t="str">
        <f>INDEX(nrg_cb_e!$A$3:$A$40,MATCH(LEFT(MID('Industriesektor GWh'!$B1764,41,1000),SEARCH(" - ",MID('Industriesektor GWh'!$B1764,41,1000))-1),nrg_cb_e!$C$3:$C$40,0))</f>
        <v>FC_IND_IS_E</v>
      </c>
      <c r="G1764" s="18">
        <v>168</v>
      </c>
    </row>
    <row r="1765" spans="1:7" x14ac:dyDescent="0.2">
      <c r="A1765" s="19" t="s">
        <v>39</v>
      </c>
      <c r="B1765" s="20" t="s">
        <v>6</v>
      </c>
      <c r="C1765" s="20" t="s">
        <v>8</v>
      </c>
      <c r="D1765" s="20" t="s">
        <v>10</v>
      </c>
      <c r="E1765" s="20" t="s">
        <v>24</v>
      </c>
      <c r="F1765" s="20" t="str">
        <f>INDEX(nrg_cb_e!$A$3:$A$40,MATCH(LEFT(MID('Industriesektor GWh'!$B1765,41,1000),SEARCH(" - ",MID('Industriesektor GWh'!$B1765,41,1000))-1),nrg_cb_e!$C$3:$C$40,0))</f>
        <v>FC_IND_IS_E</v>
      </c>
      <c r="G1765" s="21">
        <v>176</v>
      </c>
    </row>
    <row r="1766" spans="1:7" x14ac:dyDescent="0.2">
      <c r="A1766" s="16" t="s">
        <v>39</v>
      </c>
      <c r="B1766" s="17" t="s">
        <v>6</v>
      </c>
      <c r="C1766" s="17" t="s">
        <v>8</v>
      </c>
      <c r="D1766" s="17" t="s">
        <v>10</v>
      </c>
      <c r="E1766" s="17" t="s">
        <v>25</v>
      </c>
      <c r="F1766" s="17" t="str">
        <f>INDEX(nrg_cb_e!$A$3:$A$40,MATCH(LEFT(MID('Industriesektor GWh'!$B1766,41,1000),SEARCH(" - ",MID('Industriesektor GWh'!$B1766,41,1000))-1),nrg_cb_e!$C$3:$C$40,0))</f>
        <v>FC_IND_IS_E</v>
      </c>
      <c r="G1766" s="18">
        <v>170</v>
      </c>
    </row>
    <row r="1767" spans="1:7" x14ac:dyDescent="0.2">
      <c r="A1767" s="19" t="s">
        <v>39</v>
      </c>
      <c r="B1767" s="20" t="s">
        <v>6</v>
      </c>
      <c r="C1767" s="20" t="s">
        <v>8</v>
      </c>
      <c r="D1767" s="20" t="s">
        <v>10</v>
      </c>
      <c r="E1767" s="20" t="s">
        <v>26</v>
      </c>
      <c r="F1767" s="20" t="str">
        <f>INDEX(nrg_cb_e!$A$3:$A$40,MATCH(LEFT(MID('Industriesektor GWh'!$B1767,41,1000),SEARCH(" - ",MID('Industriesektor GWh'!$B1767,41,1000))-1),nrg_cb_e!$C$3:$C$40,0))</f>
        <v>FC_IND_IS_E</v>
      </c>
      <c r="G1767" s="21">
        <v>50</v>
      </c>
    </row>
    <row r="1768" spans="1:7" x14ac:dyDescent="0.2">
      <c r="A1768" s="16" t="s">
        <v>39</v>
      </c>
      <c r="B1768" s="17" t="s">
        <v>6</v>
      </c>
      <c r="C1768" s="17" t="s">
        <v>8</v>
      </c>
      <c r="D1768" s="17" t="s">
        <v>10</v>
      </c>
      <c r="E1768" s="17" t="s">
        <v>27</v>
      </c>
      <c r="F1768" s="17" t="str">
        <f>INDEX(nrg_cb_e!$A$3:$A$40,MATCH(LEFT(MID('Industriesektor GWh'!$B1768,41,1000),SEARCH(" - ",MID('Industriesektor GWh'!$B1768,41,1000))-1),nrg_cb_e!$C$3:$C$40,0))</f>
        <v>FC_IND_IS_E</v>
      </c>
      <c r="G1768" s="18">
        <v>53.7</v>
      </c>
    </row>
    <row r="1769" spans="1:7" x14ac:dyDescent="0.2">
      <c r="A1769" s="19" t="s">
        <v>39</v>
      </c>
      <c r="B1769" s="20" t="s">
        <v>6</v>
      </c>
      <c r="C1769" s="20" t="s">
        <v>8</v>
      </c>
      <c r="D1769" s="20" t="s">
        <v>10</v>
      </c>
      <c r="E1769" s="20" t="s">
        <v>28</v>
      </c>
      <c r="F1769" s="20" t="str">
        <f>INDEX(nrg_cb_e!$A$3:$A$40,MATCH(LEFT(MID('Industriesektor GWh'!$B1769,41,1000),SEARCH(" - ",MID('Industriesektor GWh'!$B1769,41,1000))-1),nrg_cb_e!$C$3:$C$40,0))</f>
        <v>FC_IND_IS_E</v>
      </c>
      <c r="G1769" s="21">
        <v>175.3</v>
      </c>
    </row>
    <row r="1770" spans="1:7" x14ac:dyDescent="0.2">
      <c r="A1770" s="16" t="s">
        <v>40</v>
      </c>
      <c r="B1770" s="17" t="s">
        <v>6</v>
      </c>
      <c r="C1770" s="17" t="s">
        <v>8</v>
      </c>
      <c r="D1770" s="17" t="s">
        <v>10</v>
      </c>
      <c r="E1770" s="17" t="s">
        <v>12</v>
      </c>
      <c r="F1770" s="17" t="str">
        <f>INDEX(nrg_cb_e!$A$3:$A$40,MATCH(LEFT(MID('Industriesektor GWh'!$B1770,41,1000),SEARCH(" - ",MID('Industriesektor GWh'!$B1770,41,1000))-1),nrg_cb_e!$C$3:$C$40,0))</f>
        <v>FC_IND_IS_E</v>
      </c>
      <c r="G1770" s="18">
        <v>19966</v>
      </c>
    </row>
    <row r="1771" spans="1:7" x14ac:dyDescent="0.2">
      <c r="A1771" s="19" t="s">
        <v>40</v>
      </c>
      <c r="B1771" s="20" t="s">
        <v>6</v>
      </c>
      <c r="C1771" s="20" t="s">
        <v>8</v>
      </c>
      <c r="D1771" s="20" t="s">
        <v>10</v>
      </c>
      <c r="E1771" s="20" t="s">
        <v>13</v>
      </c>
      <c r="F1771" s="20" t="str">
        <f>INDEX(nrg_cb_e!$A$3:$A$40,MATCH(LEFT(MID('Industriesektor GWh'!$B1771,41,1000),SEARCH(" - ",MID('Industriesektor GWh'!$B1771,41,1000))-1),nrg_cb_e!$C$3:$C$40,0))</f>
        <v>FC_IND_IS_E</v>
      </c>
      <c r="G1771" s="21">
        <v>19887</v>
      </c>
    </row>
    <row r="1772" spans="1:7" x14ac:dyDescent="0.2">
      <c r="A1772" s="16" t="s">
        <v>40</v>
      </c>
      <c r="B1772" s="17" t="s">
        <v>6</v>
      </c>
      <c r="C1772" s="17" t="s">
        <v>8</v>
      </c>
      <c r="D1772" s="17" t="s">
        <v>10</v>
      </c>
      <c r="E1772" s="17" t="s">
        <v>14</v>
      </c>
      <c r="F1772" s="17" t="str">
        <f>INDEX(nrg_cb_e!$A$3:$A$40,MATCH(LEFT(MID('Industriesektor GWh'!$B1772,41,1000),SEARCH(" - ",MID('Industriesektor GWh'!$B1772,41,1000))-1),nrg_cb_e!$C$3:$C$40,0))</f>
        <v>FC_IND_IS_E</v>
      </c>
      <c r="G1772" s="18">
        <v>20045</v>
      </c>
    </row>
    <row r="1773" spans="1:7" x14ac:dyDescent="0.2">
      <c r="A1773" s="19" t="s">
        <v>40</v>
      </c>
      <c r="B1773" s="20" t="s">
        <v>6</v>
      </c>
      <c r="C1773" s="20" t="s">
        <v>8</v>
      </c>
      <c r="D1773" s="20" t="s">
        <v>10</v>
      </c>
      <c r="E1773" s="20" t="s">
        <v>15</v>
      </c>
      <c r="F1773" s="20" t="str">
        <f>INDEX(nrg_cb_e!$A$3:$A$40,MATCH(LEFT(MID('Industriesektor GWh'!$B1773,41,1000),SEARCH(" - ",MID('Industriesektor GWh'!$B1773,41,1000))-1),nrg_cb_e!$C$3:$C$40,0))</f>
        <v>FC_IND_IS_E</v>
      </c>
      <c r="G1773" s="21">
        <v>20395</v>
      </c>
    </row>
    <row r="1774" spans="1:7" x14ac:dyDescent="0.2">
      <c r="A1774" s="16" t="s">
        <v>40</v>
      </c>
      <c r="B1774" s="17" t="s">
        <v>6</v>
      </c>
      <c r="C1774" s="17" t="s">
        <v>8</v>
      </c>
      <c r="D1774" s="17" t="s">
        <v>10</v>
      </c>
      <c r="E1774" s="17" t="s">
        <v>16</v>
      </c>
      <c r="F1774" s="17" t="str">
        <f>INDEX(nrg_cb_e!$A$3:$A$40,MATCH(LEFT(MID('Industriesektor GWh'!$B1774,41,1000),SEARCH(" - ",MID('Industriesektor GWh'!$B1774,41,1000))-1),nrg_cb_e!$C$3:$C$40,0))</f>
        <v>FC_IND_IS_E</v>
      </c>
      <c r="G1774" s="18">
        <v>21688</v>
      </c>
    </row>
    <row r="1775" spans="1:7" x14ac:dyDescent="0.2">
      <c r="A1775" s="19" t="s">
        <v>40</v>
      </c>
      <c r="B1775" s="20" t="s">
        <v>6</v>
      </c>
      <c r="C1775" s="20" t="s">
        <v>8</v>
      </c>
      <c r="D1775" s="20" t="s">
        <v>10</v>
      </c>
      <c r="E1775" s="20" t="s">
        <v>17</v>
      </c>
      <c r="F1775" s="20" t="str">
        <f>INDEX(nrg_cb_e!$A$3:$A$40,MATCH(LEFT(MID('Industriesektor GWh'!$B1775,41,1000),SEARCH(" - ",MID('Industriesektor GWh'!$B1775,41,1000))-1),nrg_cb_e!$C$3:$C$40,0))</f>
        <v>FC_IND_IS_E</v>
      </c>
      <c r="G1775" s="21">
        <v>21676</v>
      </c>
    </row>
    <row r="1776" spans="1:7" x14ac:dyDescent="0.2">
      <c r="A1776" s="16" t="s">
        <v>40</v>
      </c>
      <c r="B1776" s="17" t="s">
        <v>6</v>
      </c>
      <c r="C1776" s="17" t="s">
        <v>8</v>
      </c>
      <c r="D1776" s="17" t="s">
        <v>10</v>
      </c>
      <c r="E1776" s="17" t="s">
        <v>18</v>
      </c>
      <c r="F1776" s="17" t="str">
        <f>INDEX(nrg_cb_e!$A$3:$A$40,MATCH(LEFT(MID('Industriesektor GWh'!$B1776,41,1000),SEARCH(" - ",MID('Industriesektor GWh'!$B1776,41,1000))-1),nrg_cb_e!$C$3:$C$40,0))</f>
        <v>FC_IND_IS_E</v>
      </c>
      <c r="G1776" s="18">
        <v>21625</v>
      </c>
    </row>
    <row r="1777" spans="1:7" x14ac:dyDescent="0.2">
      <c r="A1777" s="19" t="s">
        <v>40</v>
      </c>
      <c r="B1777" s="20" t="s">
        <v>6</v>
      </c>
      <c r="C1777" s="20" t="s">
        <v>8</v>
      </c>
      <c r="D1777" s="20" t="s">
        <v>10</v>
      </c>
      <c r="E1777" s="20" t="s">
        <v>19</v>
      </c>
      <c r="F1777" s="20" t="str">
        <f>INDEX(nrg_cb_e!$A$3:$A$40,MATCH(LEFT(MID('Industriesektor GWh'!$B1777,41,1000),SEARCH(" - ",MID('Industriesektor GWh'!$B1777,41,1000))-1),nrg_cb_e!$C$3:$C$40,0))</f>
        <v>FC_IND_IS_E</v>
      </c>
      <c r="G1777" s="21">
        <v>15731</v>
      </c>
    </row>
    <row r="1778" spans="1:7" x14ac:dyDescent="0.2">
      <c r="A1778" s="16" t="s">
        <v>40</v>
      </c>
      <c r="B1778" s="17" t="s">
        <v>6</v>
      </c>
      <c r="C1778" s="17" t="s">
        <v>8</v>
      </c>
      <c r="D1778" s="17" t="s">
        <v>10</v>
      </c>
      <c r="E1778" s="17" t="s">
        <v>20</v>
      </c>
      <c r="F1778" s="17" t="str">
        <f>INDEX(nrg_cb_e!$A$3:$A$40,MATCH(LEFT(MID('Industriesektor GWh'!$B1778,41,1000),SEARCH(" - ",MID('Industriesektor GWh'!$B1778,41,1000))-1),nrg_cb_e!$C$3:$C$40,0))</f>
        <v>FC_IND_IS_E</v>
      </c>
      <c r="G1778" s="18">
        <v>18675</v>
      </c>
    </row>
    <row r="1779" spans="1:7" x14ac:dyDescent="0.2">
      <c r="A1779" s="19" t="s">
        <v>40</v>
      </c>
      <c r="B1779" s="20" t="s">
        <v>6</v>
      </c>
      <c r="C1779" s="20" t="s">
        <v>8</v>
      </c>
      <c r="D1779" s="20" t="s">
        <v>10</v>
      </c>
      <c r="E1779" s="20" t="s">
        <v>21</v>
      </c>
      <c r="F1779" s="20" t="str">
        <f>INDEX(nrg_cb_e!$A$3:$A$40,MATCH(LEFT(MID('Industriesektor GWh'!$B1779,41,1000),SEARCH(" - ",MID('Industriesektor GWh'!$B1779,41,1000))-1),nrg_cb_e!$C$3:$C$40,0))</f>
        <v>FC_IND_IS_E</v>
      </c>
      <c r="G1779" s="21">
        <v>20640</v>
      </c>
    </row>
    <row r="1780" spans="1:7" x14ac:dyDescent="0.2">
      <c r="A1780" s="16" t="s">
        <v>40</v>
      </c>
      <c r="B1780" s="17" t="s">
        <v>6</v>
      </c>
      <c r="C1780" s="17" t="s">
        <v>8</v>
      </c>
      <c r="D1780" s="17" t="s">
        <v>10</v>
      </c>
      <c r="E1780" s="17" t="s">
        <v>22</v>
      </c>
      <c r="F1780" s="17" t="str">
        <f>INDEX(nrg_cb_e!$A$3:$A$40,MATCH(LEFT(MID('Industriesektor GWh'!$B1780,41,1000),SEARCH(" - ",MID('Industriesektor GWh'!$B1780,41,1000))-1),nrg_cb_e!$C$3:$C$40,0))</f>
        <v>FC_IND_IS_E</v>
      </c>
      <c r="G1780" s="18">
        <v>19772</v>
      </c>
    </row>
    <row r="1781" spans="1:7" x14ac:dyDescent="0.2">
      <c r="A1781" s="19" t="s">
        <v>40</v>
      </c>
      <c r="B1781" s="20" t="s">
        <v>6</v>
      </c>
      <c r="C1781" s="20" t="s">
        <v>8</v>
      </c>
      <c r="D1781" s="20" t="s">
        <v>10</v>
      </c>
      <c r="E1781" s="20" t="s">
        <v>23</v>
      </c>
      <c r="F1781" s="20" t="str">
        <f>INDEX(nrg_cb_e!$A$3:$A$40,MATCH(LEFT(MID('Industriesektor GWh'!$B1781,41,1000),SEARCH(" - ",MID('Industriesektor GWh'!$B1781,41,1000))-1),nrg_cb_e!$C$3:$C$40,0))</f>
        <v>FC_IND_IS_E</v>
      </c>
      <c r="G1781" s="21">
        <v>18300</v>
      </c>
    </row>
    <row r="1782" spans="1:7" x14ac:dyDescent="0.2">
      <c r="A1782" s="16" t="s">
        <v>40</v>
      </c>
      <c r="B1782" s="17" t="s">
        <v>6</v>
      </c>
      <c r="C1782" s="17" t="s">
        <v>8</v>
      </c>
      <c r="D1782" s="17" t="s">
        <v>10</v>
      </c>
      <c r="E1782" s="17" t="s">
        <v>24</v>
      </c>
      <c r="F1782" s="17" t="str">
        <f>INDEX(nrg_cb_e!$A$3:$A$40,MATCH(LEFT(MID('Industriesektor GWh'!$B1782,41,1000),SEARCH(" - ",MID('Industriesektor GWh'!$B1782,41,1000))-1),nrg_cb_e!$C$3:$C$40,0))</f>
        <v>FC_IND_IS_E</v>
      </c>
      <c r="G1782" s="18">
        <v>18355</v>
      </c>
    </row>
    <row r="1783" spans="1:7" x14ac:dyDescent="0.2">
      <c r="A1783" s="19" t="s">
        <v>40</v>
      </c>
      <c r="B1783" s="20" t="s">
        <v>6</v>
      </c>
      <c r="C1783" s="20" t="s">
        <v>8</v>
      </c>
      <c r="D1783" s="20" t="s">
        <v>10</v>
      </c>
      <c r="E1783" s="20" t="s">
        <v>25</v>
      </c>
      <c r="F1783" s="20" t="str">
        <f>INDEX(nrg_cb_e!$A$3:$A$40,MATCH(LEFT(MID('Industriesektor GWh'!$B1783,41,1000),SEARCH(" - ",MID('Industriesektor GWh'!$B1783,41,1000))-1),nrg_cb_e!$C$3:$C$40,0))</f>
        <v>FC_IND_IS_E</v>
      </c>
      <c r="G1783" s="21">
        <v>17439</v>
      </c>
    </row>
    <row r="1784" spans="1:7" x14ac:dyDescent="0.2">
      <c r="A1784" s="16" t="s">
        <v>40</v>
      </c>
      <c r="B1784" s="17" t="s">
        <v>6</v>
      </c>
      <c r="C1784" s="17" t="s">
        <v>8</v>
      </c>
      <c r="D1784" s="17" t="s">
        <v>10</v>
      </c>
      <c r="E1784" s="17" t="s">
        <v>26</v>
      </c>
      <c r="F1784" s="17" t="str">
        <f>INDEX(nrg_cb_e!$A$3:$A$40,MATCH(LEFT(MID('Industriesektor GWh'!$B1784,41,1000),SEARCH(" - ",MID('Industriesektor GWh'!$B1784,41,1000))-1),nrg_cb_e!$C$3:$C$40,0))</f>
        <v>FC_IND_IS_E</v>
      </c>
      <c r="G1784" s="18">
        <v>18262</v>
      </c>
    </row>
    <row r="1785" spans="1:7" x14ac:dyDescent="0.2">
      <c r="A1785" s="19" t="s">
        <v>40</v>
      </c>
      <c r="B1785" s="20" t="s">
        <v>6</v>
      </c>
      <c r="C1785" s="20" t="s">
        <v>8</v>
      </c>
      <c r="D1785" s="20" t="s">
        <v>10</v>
      </c>
      <c r="E1785" s="20" t="s">
        <v>27</v>
      </c>
      <c r="F1785" s="20" t="str">
        <f>INDEX(nrg_cb_e!$A$3:$A$40,MATCH(LEFT(MID('Industriesektor GWh'!$B1785,41,1000),SEARCH(" - ",MID('Industriesektor GWh'!$B1785,41,1000))-1),nrg_cb_e!$C$3:$C$40,0))</f>
        <v>FC_IND_IS_E</v>
      </c>
      <c r="G1785" s="21">
        <v>18724.677</v>
      </c>
    </row>
    <row r="1786" spans="1:7" x14ac:dyDescent="0.2">
      <c r="A1786" s="16" t="s">
        <v>40</v>
      </c>
      <c r="B1786" s="17" t="s">
        <v>6</v>
      </c>
      <c r="C1786" s="17" t="s">
        <v>8</v>
      </c>
      <c r="D1786" s="17" t="s">
        <v>10</v>
      </c>
      <c r="E1786" s="17" t="s">
        <v>28</v>
      </c>
      <c r="F1786" s="17" t="str">
        <f>INDEX(nrg_cb_e!$A$3:$A$40,MATCH(LEFT(MID('Industriesektor GWh'!$B1786,41,1000),SEARCH(" - ",MID('Industriesektor GWh'!$B1786,41,1000))-1),nrg_cb_e!$C$3:$C$40,0))</f>
        <v>FC_IND_IS_E</v>
      </c>
      <c r="G1786" s="18">
        <v>18908.468000000001</v>
      </c>
    </row>
    <row r="1787" spans="1:7" x14ac:dyDescent="0.2">
      <c r="A1787" s="19" t="s">
        <v>41</v>
      </c>
      <c r="B1787" s="20" t="s">
        <v>6</v>
      </c>
      <c r="C1787" s="20" t="s">
        <v>8</v>
      </c>
      <c r="D1787" s="20" t="s">
        <v>10</v>
      </c>
      <c r="E1787" s="20" t="s">
        <v>12</v>
      </c>
      <c r="F1787" s="20" t="str">
        <f>INDEX(nrg_cb_e!$A$3:$A$40,MATCH(LEFT(MID('Industriesektor GWh'!$B1787,41,1000),SEARCH(" - ",MID('Industriesektor GWh'!$B1787,41,1000))-1),nrg_cb_e!$C$3:$C$40,0))</f>
        <v>FC_IND_IS_E</v>
      </c>
      <c r="G1787" s="21">
        <v>0</v>
      </c>
    </row>
    <row r="1788" spans="1:7" x14ac:dyDescent="0.2">
      <c r="A1788" s="16" t="s">
        <v>41</v>
      </c>
      <c r="B1788" s="17" t="s">
        <v>6</v>
      </c>
      <c r="C1788" s="17" t="s">
        <v>8</v>
      </c>
      <c r="D1788" s="17" t="s">
        <v>10</v>
      </c>
      <c r="E1788" s="17" t="s">
        <v>13</v>
      </c>
      <c r="F1788" s="17" t="str">
        <f>INDEX(nrg_cb_e!$A$3:$A$40,MATCH(LEFT(MID('Industriesektor GWh'!$B1788,41,1000),SEARCH(" - ",MID('Industriesektor GWh'!$B1788,41,1000))-1),nrg_cb_e!$C$3:$C$40,0))</f>
        <v>FC_IND_IS_E</v>
      </c>
      <c r="G1788" s="18">
        <v>0</v>
      </c>
    </row>
    <row r="1789" spans="1:7" x14ac:dyDescent="0.2">
      <c r="A1789" s="19" t="s">
        <v>41</v>
      </c>
      <c r="B1789" s="20" t="s">
        <v>6</v>
      </c>
      <c r="C1789" s="20" t="s">
        <v>8</v>
      </c>
      <c r="D1789" s="20" t="s">
        <v>10</v>
      </c>
      <c r="E1789" s="20" t="s">
        <v>14</v>
      </c>
      <c r="F1789" s="20" t="str">
        <f>INDEX(nrg_cb_e!$A$3:$A$40,MATCH(LEFT(MID('Industriesektor GWh'!$B1789,41,1000),SEARCH(" - ",MID('Industriesektor GWh'!$B1789,41,1000))-1),nrg_cb_e!$C$3:$C$40,0))</f>
        <v>FC_IND_IS_E</v>
      </c>
      <c r="G1789" s="21">
        <v>0</v>
      </c>
    </row>
    <row r="1790" spans="1:7" x14ac:dyDescent="0.2">
      <c r="A1790" s="16" t="s">
        <v>41</v>
      </c>
      <c r="B1790" s="17" t="s">
        <v>6</v>
      </c>
      <c r="C1790" s="17" t="s">
        <v>8</v>
      </c>
      <c r="D1790" s="17" t="s">
        <v>10</v>
      </c>
      <c r="E1790" s="17" t="s">
        <v>15</v>
      </c>
      <c r="F1790" s="17" t="str">
        <f>INDEX(nrg_cb_e!$A$3:$A$40,MATCH(LEFT(MID('Industriesektor GWh'!$B1790,41,1000),SEARCH(" - ",MID('Industriesektor GWh'!$B1790,41,1000))-1),nrg_cb_e!$C$3:$C$40,0))</f>
        <v>FC_IND_IS_E</v>
      </c>
      <c r="G1790" s="18">
        <v>1</v>
      </c>
    </row>
    <row r="1791" spans="1:7" x14ac:dyDescent="0.2">
      <c r="A1791" s="19" t="s">
        <v>41</v>
      </c>
      <c r="B1791" s="20" t="s">
        <v>6</v>
      </c>
      <c r="C1791" s="20" t="s">
        <v>8</v>
      </c>
      <c r="D1791" s="20" t="s">
        <v>10</v>
      </c>
      <c r="E1791" s="20" t="s">
        <v>16</v>
      </c>
      <c r="F1791" s="20" t="str">
        <f>INDEX(nrg_cb_e!$A$3:$A$40,MATCH(LEFT(MID('Industriesektor GWh'!$B1791,41,1000),SEARCH(" - ",MID('Industriesektor GWh'!$B1791,41,1000))-1),nrg_cb_e!$C$3:$C$40,0))</f>
        <v>FC_IND_IS_E</v>
      </c>
      <c r="G1791" s="21">
        <v>1</v>
      </c>
    </row>
    <row r="1792" spans="1:7" x14ac:dyDescent="0.2">
      <c r="A1792" s="16" t="s">
        <v>41</v>
      </c>
      <c r="B1792" s="17" t="s">
        <v>6</v>
      </c>
      <c r="C1792" s="17" t="s">
        <v>8</v>
      </c>
      <c r="D1792" s="17" t="s">
        <v>10</v>
      </c>
      <c r="E1792" s="17" t="s">
        <v>17</v>
      </c>
      <c r="F1792" s="17" t="str">
        <f>INDEX(nrg_cb_e!$A$3:$A$40,MATCH(LEFT(MID('Industriesektor GWh'!$B1792,41,1000),SEARCH(" - ",MID('Industriesektor GWh'!$B1792,41,1000))-1),nrg_cb_e!$C$3:$C$40,0))</f>
        <v>FC_IND_IS_E</v>
      </c>
      <c r="G1792" s="18">
        <v>1</v>
      </c>
    </row>
    <row r="1793" spans="1:7" x14ac:dyDescent="0.2">
      <c r="A1793" s="19" t="s">
        <v>41</v>
      </c>
      <c r="B1793" s="20" t="s">
        <v>6</v>
      </c>
      <c r="C1793" s="20" t="s">
        <v>8</v>
      </c>
      <c r="D1793" s="20" t="s">
        <v>10</v>
      </c>
      <c r="E1793" s="20" t="s">
        <v>18</v>
      </c>
      <c r="F1793" s="20" t="str">
        <f>INDEX(nrg_cb_e!$A$3:$A$40,MATCH(LEFT(MID('Industriesektor GWh'!$B1793,41,1000),SEARCH(" - ",MID('Industriesektor GWh'!$B1793,41,1000))-1),nrg_cb_e!$C$3:$C$40,0))</f>
        <v>FC_IND_IS_E</v>
      </c>
      <c r="G1793" s="21">
        <v>2</v>
      </c>
    </row>
    <row r="1794" spans="1:7" x14ac:dyDescent="0.2">
      <c r="A1794" s="16" t="s">
        <v>41</v>
      </c>
      <c r="B1794" s="17" t="s">
        <v>6</v>
      </c>
      <c r="C1794" s="17" t="s">
        <v>8</v>
      </c>
      <c r="D1794" s="17" t="s">
        <v>10</v>
      </c>
      <c r="E1794" s="17" t="s">
        <v>19</v>
      </c>
      <c r="F1794" s="17" t="str">
        <f>INDEX(nrg_cb_e!$A$3:$A$40,MATCH(LEFT(MID('Industriesektor GWh'!$B1794,41,1000),SEARCH(" - ",MID('Industriesektor GWh'!$B1794,41,1000))-1),nrg_cb_e!$C$3:$C$40,0))</f>
        <v>FC_IND_IS_E</v>
      </c>
      <c r="G1794" s="18">
        <v>2</v>
      </c>
    </row>
    <row r="1795" spans="1:7" x14ac:dyDescent="0.2">
      <c r="A1795" s="19" t="s">
        <v>41</v>
      </c>
      <c r="B1795" s="20" t="s">
        <v>6</v>
      </c>
      <c r="C1795" s="20" t="s">
        <v>8</v>
      </c>
      <c r="D1795" s="20" t="s">
        <v>10</v>
      </c>
      <c r="E1795" s="20" t="s">
        <v>20</v>
      </c>
      <c r="F1795" s="20" t="str">
        <f>INDEX(nrg_cb_e!$A$3:$A$40,MATCH(LEFT(MID('Industriesektor GWh'!$B1795,41,1000),SEARCH(" - ",MID('Industriesektor GWh'!$B1795,41,1000))-1),nrg_cb_e!$C$3:$C$40,0))</f>
        <v>FC_IND_IS_E</v>
      </c>
      <c r="G1795" s="21">
        <v>2</v>
      </c>
    </row>
    <row r="1796" spans="1:7" x14ac:dyDescent="0.2">
      <c r="A1796" s="16" t="s">
        <v>41</v>
      </c>
      <c r="B1796" s="17" t="s">
        <v>6</v>
      </c>
      <c r="C1796" s="17" t="s">
        <v>8</v>
      </c>
      <c r="D1796" s="17" t="s">
        <v>10</v>
      </c>
      <c r="E1796" s="17" t="s">
        <v>21</v>
      </c>
      <c r="F1796" s="17" t="str">
        <f>INDEX(nrg_cb_e!$A$3:$A$40,MATCH(LEFT(MID('Industriesektor GWh'!$B1796,41,1000),SEARCH(" - ",MID('Industriesektor GWh'!$B1796,41,1000))-1),nrg_cb_e!$C$3:$C$40,0))</f>
        <v>FC_IND_IS_E</v>
      </c>
      <c r="G1796" s="18">
        <v>2</v>
      </c>
    </row>
    <row r="1797" spans="1:7" x14ac:dyDescent="0.2">
      <c r="A1797" s="19" t="s">
        <v>41</v>
      </c>
      <c r="B1797" s="20" t="s">
        <v>6</v>
      </c>
      <c r="C1797" s="20" t="s">
        <v>8</v>
      </c>
      <c r="D1797" s="20" t="s">
        <v>10</v>
      </c>
      <c r="E1797" s="20" t="s">
        <v>22</v>
      </c>
      <c r="F1797" s="20" t="str">
        <f>INDEX(nrg_cb_e!$A$3:$A$40,MATCH(LEFT(MID('Industriesektor GWh'!$B1797,41,1000),SEARCH(" - ",MID('Industriesektor GWh'!$B1797,41,1000))-1),nrg_cb_e!$C$3:$C$40,0))</f>
        <v>FC_IND_IS_E</v>
      </c>
      <c r="G1797" s="21">
        <v>2</v>
      </c>
    </row>
    <row r="1798" spans="1:7" x14ac:dyDescent="0.2">
      <c r="A1798" s="16" t="s">
        <v>41</v>
      </c>
      <c r="B1798" s="17" t="s">
        <v>6</v>
      </c>
      <c r="C1798" s="17" t="s">
        <v>8</v>
      </c>
      <c r="D1798" s="17" t="s">
        <v>10</v>
      </c>
      <c r="E1798" s="17" t="s">
        <v>23</v>
      </c>
      <c r="F1798" s="17" t="str">
        <f>INDEX(nrg_cb_e!$A$3:$A$40,MATCH(LEFT(MID('Industriesektor GWh'!$B1798,41,1000),SEARCH(" - ",MID('Industriesektor GWh'!$B1798,41,1000))-1),nrg_cb_e!$C$3:$C$40,0))</f>
        <v>FC_IND_IS_E</v>
      </c>
      <c r="G1798" s="18">
        <v>2</v>
      </c>
    </row>
    <row r="1799" spans="1:7" x14ac:dyDescent="0.2">
      <c r="A1799" s="19" t="s">
        <v>41</v>
      </c>
      <c r="B1799" s="20" t="s">
        <v>6</v>
      </c>
      <c r="C1799" s="20" t="s">
        <v>8</v>
      </c>
      <c r="D1799" s="20" t="s">
        <v>10</v>
      </c>
      <c r="E1799" s="20" t="s">
        <v>24</v>
      </c>
      <c r="F1799" s="20" t="str">
        <f>INDEX(nrg_cb_e!$A$3:$A$40,MATCH(LEFT(MID('Industriesektor GWh'!$B1799,41,1000),SEARCH(" - ",MID('Industriesektor GWh'!$B1799,41,1000))-1),nrg_cb_e!$C$3:$C$40,0))</f>
        <v>FC_IND_IS_E</v>
      </c>
      <c r="G1799" s="21">
        <v>2</v>
      </c>
    </row>
    <row r="1800" spans="1:7" x14ac:dyDescent="0.2">
      <c r="A1800" s="16" t="s">
        <v>41</v>
      </c>
      <c r="B1800" s="17" t="s">
        <v>6</v>
      </c>
      <c r="C1800" s="17" t="s">
        <v>8</v>
      </c>
      <c r="D1800" s="17" t="s">
        <v>10</v>
      </c>
      <c r="E1800" s="17" t="s">
        <v>25</v>
      </c>
      <c r="F1800" s="17" t="str">
        <f>INDEX(nrg_cb_e!$A$3:$A$40,MATCH(LEFT(MID('Industriesektor GWh'!$B1800,41,1000),SEARCH(" - ",MID('Industriesektor GWh'!$B1800,41,1000))-1),nrg_cb_e!$C$3:$C$40,0))</f>
        <v>FC_IND_IS_E</v>
      </c>
      <c r="G1800" s="18">
        <v>2</v>
      </c>
    </row>
    <row r="1801" spans="1:7" x14ac:dyDescent="0.2">
      <c r="A1801" s="19" t="s">
        <v>41</v>
      </c>
      <c r="B1801" s="20" t="s">
        <v>6</v>
      </c>
      <c r="C1801" s="20" t="s">
        <v>8</v>
      </c>
      <c r="D1801" s="20" t="s">
        <v>10</v>
      </c>
      <c r="E1801" s="20" t="s">
        <v>26</v>
      </c>
      <c r="F1801" s="20" t="str">
        <f>INDEX(nrg_cb_e!$A$3:$A$40,MATCH(LEFT(MID('Industriesektor GWh'!$B1801,41,1000),SEARCH(" - ",MID('Industriesektor GWh'!$B1801,41,1000))-1),nrg_cb_e!$C$3:$C$40,0))</f>
        <v>FC_IND_IS_E</v>
      </c>
      <c r="G1801" s="21">
        <v>2</v>
      </c>
    </row>
    <row r="1802" spans="1:7" x14ac:dyDescent="0.2">
      <c r="A1802" s="16" t="s">
        <v>41</v>
      </c>
      <c r="B1802" s="17" t="s">
        <v>6</v>
      </c>
      <c r="C1802" s="17" t="s">
        <v>8</v>
      </c>
      <c r="D1802" s="17" t="s">
        <v>10</v>
      </c>
      <c r="E1802" s="17" t="s">
        <v>27</v>
      </c>
      <c r="F1802" s="17" t="str">
        <f>INDEX(nrg_cb_e!$A$3:$A$40,MATCH(LEFT(MID('Industriesektor GWh'!$B1802,41,1000),SEARCH(" - ",MID('Industriesektor GWh'!$B1802,41,1000))-1),nrg_cb_e!$C$3:$C$40,0))</f>
        <v>FC_IND_IS_E</v>
      </c>
      <c r="G1802" s="18">
        <v>2.024</v>
      </c>
    </row>
    <row r="1803" spans="1:7" x14ac:dyDescent="0.2">
      <c r="A1803" s="19" t="s">
        <v>41</v>
      </c>
      <c r="B1803" s="20" t="s">
        <v>6</v>
      </c>
      <c r="C1803" s="20" t="s">
        <v>8</v>
      </c>
      <c r="D1803" s="20" t="s">
        <v>10</v>
      </c>
      <c r="E1803" s="20" t="s">
        <v>28</v>
      </c>
      <c r="F1803" s="20" t="str">
        <f>INDEX(nrg_cb_e!$A$3:$A$40,MATCH(LEFT(MID('Industriesektor GWh'!$B1803,41,1000),SEARCH(" - ",MID('Industriesektor GWh'!$B1803,41,1000))-1),nrg_cb_e!$C$3:$C$40,0))</f>
        <v>FC_IND_IS_E</v>
      </c>
      <c r="G1803" s="21">
        <v>2.2559999999999998</v>
      </c>
    </row>
    <row r="1804" spans="1:7" x14ac:dyDescent="0.2">
      <c r="A1804" s="16" t="s">
        <v>42</v>
      </c>
      <c r="B1804" s="17" t="s">
        <v>6</v>
      </c>
      <c r="C1804" s="17" t="s">
        <v>8</v>
      </c>
      <c r="D1804" s="17" t="s">
        <v>10</v>
      </c>
      <c r="E1804" s="17" t="s">
        <v>12</v>
      </c>
      <c r="F1804" s="17" t="str">
        <f>INDEX(nrg_cb_e!$A$3:$A$40,MATCH(LEFT(MID('Industriesektor GWh'!$B1804,41,1000),SEARCH(" - ",MID('Industriesektor GWh'!$B1804,41,1000))-1),nrg_cb_e!$C$3:$C$40,0))</f>
        <v>FC_IND_IS_E</v>
      </c>
      <c r="G1804" s="18">
        <v>137</v>
      </c>
    </row>
    <row r="1805" spans="1:7" x14ac:dyDescent="0.2">
      <c r="A1805" s="19" t="s">
        <v>42</v>
      </c>
      <c r="B1805" s="20" t="s">
        <v>6</v>
      </c>
      <c r="C1805" s="20" t="s">
        <v>8</v>
      </c>
      <c r="D1805" s="20" t="s">
        <v>10</v>
      </c>
      <c r="E1805" s="20" t="s">
        <v>13</v>
      </c>
      <c r="F1805" s="20" t="str">
        <f>INDEX(nrg_cb_e!$A$3:$A$40,MATCH(LEFT(MID('Industriesektor GWh'!$B1805,41,1000),SEARCH(" - ",MID('Industriesektor GWh'!$B1805,41,1000))-1),nrg_cb_e!$C$3:$C$40,0))</f>
        <v>FC_IND_IS_E</v>
      </c>
      <c r="G1805" s="21">
        <v>137</v>
      </c>
    </row>
    <row r="1806" spans="1:7" x14ac:dyDescent="0.2">
      <c r="A1806" s="16" t="s">
        <v>42</v>
      </c>
      <c r="B1806" s="17" t="s">
        <v>6</v>
      </c>
      <c r="C1806" s="17" t="s">
        <v>8</v>
      </c>
      <c r="D1806" s="17" t="s">
        <v>10</v>
      </c>
      <c r="E1806" s="17" t="s">
        <v>14</v>
      </c>
      <c r="F1806" s="17" t="str">
        <f>INDEX(nrg_cb_e!$A$3:$A$40,MATCH(LEFT(MID('Industriesektor GWh'!$B1806,41,1000),SEARCH(" - ",MID('Industriesektor GWh'!$B1806,41,1000))-1),nrg_cb_e!$C$3:$C$40,0))</f>
        <v>FC_IND_IS_E</v>
      </c>
      <c r="G1806" s="18">
        <v>147</v>
      </c>
    </row>
    <row r="1807" spans="1:7" x14ac:dyDescent="0.2">
      <c r="A1807" s="19" t="s">
        <v>42</v>
      </c>
      <c r="B1807" s="20" t="s">
        <v>6</v>
      </c>
      <c r="C1807" s="20" t="s">
        <v>8</v>
      </c>
      <c r="D1807" s="20" t="s">
        <v>10</v>
      </c>
      <c r="E1807" s="20" t="s">
        <v>15</v>
      </c>
      <c r="F1807" s="20" t="str">
        <f>INDEX(nrg_cb_e!$A$3:$A$40,MATCH(LEFT(MID('Industriesektor GWh'!$B1807,41,1000),SEARCH(" - ",MID('Industriesektor GWh'!$B1807,41,1000))-1),nrg_cb_e!$C$3:$C$40,0))</f>
        <v>FC_IND_IS_E</v>
      </c>
      <c r="G1807" s="21">
        <v>144</v>
      </c>
    </row>
    <row r="1808" spans="1:7" x14ac:dyDescent="0.2">
      <c r="A1808" s="16" t="s">
        <v>42</v>
      </c>
      <c r="B1808" s="17" t="s">
        <v>6</v>
      </c>
      <c r="C1808" s="17" t="s">
        <v>8</v>
      </c>
      <c r="D1808" s="17" t="s">
        <v>10</v>
      </c>
      <c r="E1808" s="17" t="s">
        <v>16</v>
      </c>
      <c r="F1808" s="17" t="str">
        <f>INDEX(nrg_cb_e!$A$3:$A$40,MATCH(LEFT(MID('Industriesektor GWh'!$B1808,41,1000),SEARCH(" - ",MID('Industriesektor GWh'!$B1808,41,1000))-1),nrg_cb_e!$C$3:$C$40,0))</f>
        <v>FC_IND_IS_E</v>
      </c>
      <c r="G1808" s="18">
        <v>157</v>
      </c>
    </row>
    <row r="1809" spans="1:7" x14ac:dyDescent="0.2">
      <c r="A1809" s="19" t="s">
        <v>42</v>
      </c>
      <c r="B1809" s="20" t="s">
        <v>6</v>
      </c>
      <c r="C1809" s="20" t="s">
        <v>8</v>
      </c>
      <c r="D1809" s="20" t="s">
        <v>10</v>
      </c>
      <c r="E1809" s="20" t="s">
        <v>17</v>
      </c>
      <c r="F1809" s="20" t="str">
        <f>INDEX(nrg_cb_e!$A$3:$A$40,MATCH(LEFT(MID('Industriesektor GWh'!$B1809,41,1000),SEARCH(" - ",MID('Industriesektor GWh'!$B1809,41,1000))-1),nrg_cb_e!$C$3:$C$40,0))</f>
        <v>FC_IND_IS_E</v>
      </c>
      <c r="G1809" s="21">
        <v>147</v>
      </c>
    </row>
    <row r="1810" spans="1:7" x14ac:dyDescent="0.2">
      <c r="A1810" s="16" t="s">
        <v>42</v>
      </c>
      <c r="B1810" s="17" t="s">
        <v>6</v>
      </c>
      <c r="C1810" s="17" t="s">
        <v>8</v>
      </c>
      <c r="D1810" s="17" t="s">
        <v>10</v>
      </c>
      <c r="E1810" s="17" t="s">
        <v>18</v>
      </c>
      <c r="F1810" s="17" t="str">
        <f>INDEX(nrg_cb_e!$A$3:$A$40,MATCH(LEFT(MID('Industriesektor GWh'!$B1810,41,1000),SEARCH(" - ",MID('Industriesektor GWh'!$B1810,41,1000))-1),nrg_cb_e!$C$3:$C$40,0))</f>
        <v>FC_IND_IS_E</v>
      </c>
      <c r="G1810" s="18">
        <v>142</v>
      </c>
    </row>
    <row r="1811" spans="1:7" x14ac:dyDescent="0.2">
      <c r="A1811" s="19" t="s">
        <v>42</v>
      </c>
      <c r="B1811" s="20" t="s">
        <v>6</v>
      </c>
      <c r="C1811" s="20" t="s">
        <v>8</v>
      </c>
      <c r="D1811" s="20" t="s">
        <v>10</v>
      </c>
      <c r="E1811" s="20" t="s">
        <v>19</v>
      </c>
      <c r="F1811" s="20" t="str">
        <f>INDEX(nrg_cb_e!$A$3:$A$40,MATCH(LEFT(MID('Industriesektor GWh'!$B1811,41,1000),SEARCH(" - ",MID('Industriesektor GWh'!$B1811,41,1000))-1),nrg_cb_e!$C$3:$C$40,0))</f>
        <v>FC_IND_IS_E</v>
      </c>
      <c r="G1811" s="21">
        <v>134</v>
      </c>
    </row>
    <row r="1812" spans="1:7" x14ac:dyDescent="0.2">
      <c r="A1812" s="16" t="s">
        <v>42</v>
      </c>
      <c r="B1812" s="17" t="s">
        <v>6</v>
      </c>
      <c r="C1812" s="17" t="s">
        <v>8</v>
      </c>
      <c r="D1812" s="17" t="s">
        <v>10</v>
      </c>
      <c r="E1812" s="17" t="s">
        <v>20</v>
      </c>
      <c r="F1812" s="17" t="str">
        <f>INDEX(nrg_cb_e!$A$3:$A$40,MATCH(LEFT(MID('Industriesektor GWh'!$B1812,41,1000),SEARCH(" - ",MID('Industriesektor GWh'!$B1812,41,1000))-1),nrg_cb_e!$C$3:$C$40,0))</f>
        <v>FC_IND_IS_E</v>
      </c>
      <c r="G1812" s="18">
        <v>148</v>
      </c>
    </row>
    <row r="1813" spans="1:7" x14ac:dyDescent="0.2">
      <c r="A1813" s="19" t="s">
        <v>42</v>
      </c>
      <c r="B1813" s="20" t="s">
        <v>6</v>
      </c>
      <c r="C1813" s="20" t="s">
        <v>8</v>
      </c>
      <c r="D1813" s="20" t="s">
        <v>10</v>
      </c>
      <c r="E1813" s="20" t="s">
        <v>21</v>
      </c>
      <c r="F1813" s="20" t="str">
        <f>INDEX(nrg_cb_e!$A$3:$A$40,MATCH(LEFT(MID('Industriesektor GWh'!$B1813,41,1000),SEARCH(" - ",MID('Industriesektor GWh'!$B1813,41,1000))-1),nrg_cb_e!$C$3:$C$40,0))</f>
        <v>FC_IND_IS_E</v>
      </c>
      <c r="G1813" s="21">
        <v>189</v>
      </c>
    </row>
    <row r="1814" spans="1:7" x14ac:dyDescent="0.2">
      <c r="A1814" s="16" t="s">
        <v>42</v>
      </c>
      <c r="B1814" s="17" t="s">
        <v>6</v>
      </c>
      <c r="C1814" s="17" t="s">
        <v>8</v>
      </c>
      <c r="D1814" s="17" t="s">
        <v>10</v>
      </c>
      <c r="E1814" s="17" t="s">
        <v>22</v>
      </c>
      <c r="F1814" s="17" t="str">
        <f>INDEX(nrg_cb_e!$A$3:$A$40,MATCH(LEFT(MID('Industriesektor GWh'!$B1814,41,1000),SEARCH(" - ",MID('Industriesektor GWh'!$B1814,41,1000))-1),nrg_cb_e!$C$3:$C$40,0))</f>
        <v>FC_IND_IS_E</v>
      </c>
      <c r="G1814" s="18">
        <v>486</v>
      </c>
    </row>
    <row r="1815" spans="1:7" x14ac:dyDescent="0.2">
      <c r="A1815" s="19" t="s">
        <v>42</v>
      </c>
      <c r="B1815" s="20" t="s">
        <v>6</v>
      </c>
      <c r="C1815" s="20" t="s">
        <v>8</v>
      </c>
      <c r="D1815" s="20" t="s">
        <v>10</v>
      </c>
      <c r="E1815" s="20" t="s">
        <v>23</v>
      </c>
      <c r="F1815" s="20" t="str">
        <f>INDEX(nrg_cb_e!$A$3:$A$40,MATCH(LEFT(MID('Industriesektor GWh'!$B1815,41,1000),SEARCH(" - ",MID('Industriesektor GWh'!$B1815,41,1000))-1),nrg_cb_e!$C$3:$C$40,0))</f>
        <v>FC_IND_IS_E</v>
      </c>
      <c r="G1815" s="21">
        <v>141</v>
      </c>
    </row>
    <row r="1816" spans="1:7" x14ac:dyDescent="0.2">
      <c r="A1816" s="16" t="s">
        <v>42</v>
      </c>
      <c r="B1816" s="17" t="s">
        <v>6</v>
      </c>
      <c r="C1816" s="17" t="s">
        <v>8</v>
      </c>
      <c r="D1816" s="17" t="s">
        <v>10</v>
      </c>
      <c r="E1816" s="17" t="s">
        <v>24</v>
      </c>
      <c r="F1816" s="17" t="str">
        <f>INDEX(nrg_cb_e!$A$3:$A$40,MATCH(LEFT(MID('Industriesektor GWh'!$B1816,41,1000),SEARCH(" - ",MID('Industriesektor GWh'!$B1816,41,1000))-1),nrg_cb_e!$C$3:$C$40,0))</f>
        <v>FC_IND_IS_E</v>
      </c>
      <c r="G1816" s="18">
        <v>15</v>
      </c>
    </row>
    <row r="1817" spans="1:7" x14ac:dyDescent="0.2">
      <c r="A1817" s="19" t="s">
        <v>42</v>
      </c>
      <c r="B1817" s="20" t="s">
        <v>6</v>
      </c>
      <c r="C1817" s="20" t="s">
        <v>8</v>
      </c>
      <c r="D1817" s="20" t="s">
        <v>10</v>
      </c>
      <c r="E1817" s="20" t="s">
        <v>25</v>
      </c>
      <c r="F1817" s="20" t="str">
        <f>INDEX(nrg_cb_e!$A$3:$A$40,MATCH(LEFT(MID('Industriesektor GWh'!$B1817,41,1000),SEARCH(" - ",MID('Industriesektor GWh'!$B1817,41,1000))-1),nrg_cb_e!$C$3:$C$40,0))</f>
        <v>FC_IND_IS_E</v>
      </c>
      <c r="G1817" s="21">
        <v>49</v>
      </c>
    </row>
    <row r="1818" spans="1:7" x14ac:dyDescent="0.2">
      <c r="A1818" s="16" t="s">
        <v>42</v>
      </c>
      <c r="B1818" s="17" t="s">
        <v>6</v>
      </c>
      <c r="C1818" s="17" t="s">
        <v>8</v>
      </c>
      <c r="D1818" s="17" t="s">
        <v>10</v>
      </c>
      <c r="E1818" s="17" t="s">
        <v>26</v>
      </c>
      <c r="F1818" s="17" t="str">
        <f>INDEX(nrg_cb_e!$A$3:$A$40,MATCH(LEFT(MID('Industriesektor GWh'!$B1818,41,1000),SEARCH(" - ",MID('Industriesektor GWh'!$B1818,41,1000))-1),nrg_cb_e!$C$3:$C$40,0))</f>
        <v>FC_IND_IS_E</v>
      </c>
      <c r="G1818" s="18">
        <v>14</v>
      </c>
    </row>
    <row r="1819" spans="1:7" x14ac:dyDescent="0.2">
      <c r="A1819" s="19" t="s">
        <v>42</v>
      </c>
      <c r="B1819" s="20" t="s">
        <v>6</v>
      </c>
      <c r="C1819" s="20" t="s">
        <v>8</v>
      </c>
      <c r="D1819" s="20" t="s">
        <v>10</v>
      </c>
      <c r="E1819" s="20" t="s">
        <v>27</v>
      </c>
      <c r="F1819" s="20" t="str">
        <f>INDEX(nrg_cb_e!$A$3:$A$40,MATCH(LEFT(MID('Industriesektor GWh'!$B1819,41,1000),SEARCH(" - ",MID('Industriesektor GWh'!$B1819,41,1000))-1),nrg_cb_e!$C$3:$C$40,0))</f>
        <v>FC_IND_IS_E</v>
      </c>
      <c r="G1819" s="21">
        <v>14.581</v>
      </c>
    </row>
    <row r="1820" spans="1:7" x14ac:dyDescent="0.2">
      <c r="A1820" s="16" t="s">
        <v>42</v>
      </c>
      <c r="B1820" s="17" t="s">
        <v>6</v>
      </c>
      <c r="C1820" s="17" t="s">
        <v>8</v>
      </c>
      <c r="D1820" s="17" t="s">
        <v>10</v>
      </c>
      <c r="E1820" s="17" t="s">
        <v>28</v>
      </c>
      <c r="F1820" s="17" t="str">
        <f>INDEX(nrg_cb_e!$A$3:$A$40,MATCH(LEFT(MID('Industriesektor GWh'!$B1820,41,1000),SEARCH(" - ",MID('Industriesektor GWh'!$B1820,41,1000))-1),nrg_cb_e!$C$3:$C$40,0))</f>
        <v>FC_IND_IS_E</v>
      </c>
      <c r="G1820" s="18">
        <v>13.706</v>
      </c>
    </row>
    <row r="1821" spans="1:7" x14ac:dyDescent="0.2">
      <c r="A1821" s="19" t="s">
        <v>43</v>
      </c>
      <c r="B1821" s="20" t="s">
        <v>6</v>
      </c>
      <c r="C1821" s="20" t="s">
        <v>8</v>
      </c>
      <c r="D1821" s="20" t="s">
        <v>10</v>
      </c>
      <c r="E1821" s="20" t="s">
        <v>12</v>
      </c>
      <c r="F1821" s="20" t="str">
        <f>INDEX(nrg_cb_e!$A$3:$A$40,MATCH(LEFT(MID('Industriesektor GWh'!$B1821,41,1000),SEARCH(" - ",MID('Industriesektor GWh'!$B1821,41,1000))-1),nrg_cb_e!$C$3:$C$40,0))</f>
        <v>FC_IND_IS_E</v>
      </c>
      <c r="G1821" s="21">
        <v>40</v>
      </c>
    </row>
    <row r="1822" spans="1:7" x14ac:dyDescent="0.2">
      <c r="A1822" s="16" t="s">
        <v>43</v>
      </c>
      <c r="B1822" s="17" t="s">
        <v>6</v>
      </c>
      <c r="C1822" s="17" t="s">
        <v>8</v>
      </c>
      <c r="D1822" s="17" t="s">
        <v>10</v>
      </c>
      <c r="E1822" s="17" t="s">
        <v>13</v>
      </c>
      <c r="F1822" s="17" t="str">
        <f>INDEX(nrg_cb_e!$A$3:$A$40,MATCH(LEFT(MID('Industriesektor GWh'!$B1822,41,1000),SEARCH(" - ",MID('Industriesektor GWh'!$B1822,41,1000))-1),nrg_cb_e!$C$3:$C$40,0))</f>
        <v>FC_IND_IS_E</v>
      </c>
      <c r="G1822" s="18">
        <v>34</v>
      </c>
    </row>
    <row r="1823" spans="1:7" x14ac:dyDescent="0.2">
      <c r="A1823" s="19" t="s">
        <v>43</v>
      </c>
      <c r="B1823" s="20" t="s">
        <v>6</v>
      </c>
      <c r="C1823" s="20" t="s">
        <v>8</v>
      </c>
      <c r="D1823" s="20" t="s">
        <v>10</v>
      </c>
      <c r="E1823" s="20" t="s">
        <v>14</v>
      </c>
      <c r="F1823" s="20" t="str">
        <f>INDEX(nrg_cb_e!$A$3:$A$40,MATCH(LEFT(MID('Industriesektor GWh'!$B1823,41,1000),SEARCH(" - ",MID('Industriesektor GWh'!$B1823,41,1000))-1),nrg_cb_e!$C$3:$C$40,0))</f>
        <v>FC_IND_IS_E</v>
      </c>
      <c r="G1823" s="21">
        <v>32</v>
      </c>
    </row>
    <row r="1824" spans="1:7" x14ac:dyDescent="0.2">
      <c r="A1824" s="16" t="s">
        <v>43</v>
      </c>
      <c r="B1824" s="17" t="s">
        <v>6</v>
      </c>
      <c r="C1824" s="17" t="s">
        <v>8</v>
      </c>
      <c r="D1824" s="17" t="s">
        <v>10</v>
      </c>
      <c r="E1824" s="17" t="s">
        <v>15</v>
      </c>
      <c r="F1824" s="17" t="str">
        <f>INDEX(nrg_cb_e!$A$3:$A$40,MATCH(LEFT(MID('Industriesektor GWh'!$B1824,41,1000),SEARCH(" - ",MID('Industriesektor GWh'!$B1824,41,1000))-1),nrg_cb_e!$C$3:$C$40,0))</f>
        <v>FC_IND_IS_E</v>
      </c>
      <c r="G1824" s="18">
        <v>29</v>
      </c>
    </row>
    <row r="1825" spans="1:7" x14ac:dyDescent="0.2">
      <c r="A1825" s="19" t="s">
        <v>43</v>
      </c>
      <c r="B1825" s="20" t="s">
        <v>6</v>
      </c>
      <c r="C1825" s="20" t="s">
        <v>8</v>
      </c>
      <c r="D1825" s="20" t="s">
        <v>10</v>
      </c>
      <c r="E1825" s="20" t="s">
        <v>16</v>
      </c>
      <c r="F1825" s="20" t="str">
        <f>INDEX(nrg_cb_e!$A$3:$A$40,MATCH(LEFT(MID('Industriesektor GWh'!$B1825,41,1000),SEARCH(" - ",MID('Industriesektor GWh'!$B1825,41,1000))-1),nrg_cb_e!$C$3:$C$40,0))</f>
        <v>FC_IND_IS_E</v>
      </c>
      <c r="G1825" s="21">
        <v>25</v>
      </c>
    </row>
    <row r="1826" spans="1:7" x14ac:dyDescent="0.2">
      <c r="A1826" s="16" t="s">
        <v>43</v>
      </c>
      <c r="B1826" s="17" t="s">
        <v>6</v>
      </c>
      <c r="C1826" s="17" t="s">
        <v>8</v>
      </c>
      <c r="D1826" s="17" t="s">
        <v>10</v>
      </c>
      <c r="E1826" s="17" t="s">
        <v>17</v>
      </c>
      <c r="F1826" s="17" t="str">
        <f>INDEX(nrg_cb_e!$A$3:$A$40,MATCH(LEFT(MID('Industriesektor GWh'!$B1826,41,1000),SEARCH(" - ",MID('Industriesektor GWh'!$B1826,41,1000))-1),nrg_cb_e!$C$3:$C$40,0))</f>
        <v>FC_IND_IS_E</v>
      </c>
      <c r="G1826" s="18">
        <v>36</v>
      </c>
    </row>
    <row r="1827" spans="1:7" x14ac:dyDescent="0.2">
      <c r="A1827" s="19" t="s">
        <v>43</v>
      </c>
      <c r="B1827" s="20" t="s">
        <v>6</v>
      </c>
      <c r="C1827" s="20" t="s">
        <v>8</v>
      </c>
      <c r="D1827" s="20" t="s">
        <v>10</v>
      </c>
      <c r="E1827" s="20" t="s">
        <v>18</v>
      </c>
      <c r="F1827" s="20" t="str">
        <f>INDEX(nrg_cb_e!$A$3:$A$40,MATCH(LEFT(MID('Industriesektor GWh'!$B1827,41,1000),SEARCH(" - ",MID('Industriesektor GWh'!$B1827,41,1000))-1),nrg_cb_e!$C$3:$C$40,0))</f>
        <v>FC_IND_IS_E</v>
      </c>
      <c r="G1827" s="21">
        <v>19</v>
      </c>
    </row>
    <row r="1828" spans="1:7" x14ac:dyDescent="0.2">
      <c r="A1828" s="16" t="s">
        <v>43</v>
      </c>
      <c r="B1828" s="17" t="s">
        <v>6</v>
      </c>
      <c r="C1828" s="17" t="s">
        <v>8</v>
      </c>
      <c r="D1828" s="17" t="s">
        <v>10</v>
      </c>
      <c r="E1828" s="17" t="s">
        <v>19</v>
      </c>
      <c r="F1828" s="17" t="str">
        <f>INDEX(nrg_cb_e!$A$3:$A$40,MATCH(LEFT(MID('Industriesektor GWh'!$B1828,41,1000),SEARCH(" - ",MID('Industriesektor GWh'!$B1828,41,1000))-1),nrg_cb_e!$C$3:$C$40,0))</f>
        <v>FC_IND_IS_E</v>
      </c>
      <c r="G1828" s="18">
        <v>22</v>
      </c>
    </row>
    <row r="1829" spans="1:7" x14ac:dyDescent="0.2">
      <c r="A1829" s="19" t="s">
        <v>43</v>
      </c>
      <c r="B1829" s="20" t="s">
        <v>6</v>
      </c>
      <c r="C1829" s="20" t="s">
        <v>8</v>
      </c>
      <c r="D1829" s="20" t="s">
        <v>10</v>
      </c>
      <c r="E1829" s="20" t="s">
        <v>20</v>
      </c>
      <c r="F1829" s="20" t="str">
        <f>INDEX(nrg_cb_e!$A$3:$A$40,MATCH(LEFT(MID('Industriesektor GWh'!$B1829,41,1000),SEARCH(" - ",MID('Industriesektor GWh'!$B1829,41,1000))-1),nrg_cb_e!$C$3:$C$40,0))</f>
        <v>FC_IND_IS_E</v>
      </c>
      <c r="G1829" s="21">
        <v>19</v>
      </c>
    </row>
    <row r="1830" spans="1:7" x14ac:dyDescent="0.2">
      <c r="A1830" s="16" t="s">
        <v>43</v>
      </c>
      <c r="B1830" s="17" t="s">
        <v>6</v>
      </c>
      <c r="C1830" s="17" t="s">
        <v>8</v>
      </c>
      <c r="D1830" s="17" t="s">
        <v>10</v>
      </c>
      <c r="E1830" s="17" t="s">
        <v>21</v>
      </c>
      <c r="F1830" s="17" t="str">
        <f>INDEX(nrg_cb_e!$A$3:$A$40,MATCH(LEFT(MID('Industriesektor GWh'!$B1830,41,1000),SEARCH(" - ",MID('Industriesektor GWh'!$B1830,41,1000))-1),nrg_cb_e!$C$3:$C$40,0))</f>
        <v>FC_IND_IS_E</v>
      </c>
      <c r="G1830" s="18">
        <v>21</v>
      </c>
    </row>
    <row r="1831" spans="1:7" x14ac:dyDescent="0.2">
      <c r="A1831" s="19" t="s">
        <v>43</v>
      </c>
      <c r="B1831" s="20" t="s">
        <v>6</v>
      </c>
      <c r="C1831" s="20" t="s">
        <v>8</v>
      </c>
      <c r="D1831" s="20" t="s">
        <v>10</v>
      </c>
      <c r="E1831" s="20" t="s">
        <v>22</v>
      </c>
      <c r="F1831" s="20" t="str">
        <f>INDEX(nrg_cb_e!$A$3:$A$40,MATCH(LEFT(MID('Industriesektor GWh'!$B1831,41,1000),SEARCH(" - ",MID('Industriesektor GWh'!$B1831,41,1000))-1),nrg_cb_e!$C$3:$C$40,0))</f>
        <v>FC_IND_IS_E</v>
      </c>
      <c r="G1831" s="21">
        <v>24</v>
      </c>
    </row>
    <row r="1832" spans="1:7" x14ac:dyDescent="0.2">
      <c r="A1832" s="16" t="s">
        <v>43</v>
      </c>
      <c r="B1832" s="17" t="s">
        <v>6</v>
      </c>
      <c r="C1832" s="17" t="s">
        <v>8</v>
      </c>
      <c r="D1832" s="17" t="s">
        <v>10</v>
      </c>
      <c r="E1832" s="17" t="s">
        <v>23</v>
      </c>
      <c r="F1832" s="17" t="str">
        <f>INDEX(nrg_cb_e!$A$3:$A$40,MATCH(LEFT(MID('Industriesektor GWh'!$B1832,41,1000),SEARCH(" - ",MID('Industriesektor GWh'!$B1832,41,1000))-1),nrg_cb_e!$C$3:$C$40,0))</f>
        <v>FC_IND_IS_E</v>
      </c>
      <c r="G1832" s="18">
        <v>21</v>
      </c>
    </row>
    <row r="1833" spans="1:7" x14ac:dyDescent="0.2">
      <c r="A1833" s="19" t="s">
        <v>43</v>
      </c>
      <c r="B1833" s="20" t="s">
        <v>6</v>
      </c>
      <c r="C1833" s="20" t="s">
        <v>8</v>
      </c>
      <c r="D1833" s="20" t="s">
        <v>10</v>
      </c>
      <c r="E1833" s="20" t="s">
        <v>24</v>
      </c>
      <c r="F1833" s="20" t="str">
        <f>INDEX(nrg_cb_e!$A$3:$A$40,MATCH(LEFT(MID('Industriesektor GWh'!$B1833,41,1000),SEARCH(" - ",MID('Industriesektor GWh'!$B1833,41,1000))-1),nrg_cb_e!$C$3:$C$40,0))</f>
        <v>FC_IND_IS_E</v>
      </c>
      <c r="G1833" s="21">
        <v>20</v>
      </c>
    </row>
    <row r="1834" spans="1:7" x14ac:dyDescent="0.2">
      <c r="A1834" s="16" t="s">
        <v>43</v>
      </c>
      <c r="B1834" s="17" t="s">
        <v>6</v>
      </c>
      <c r="C1834" s="17" t="s">
        <v>8</v>
      </c>
      <c r="D1834" s="17" t="s">
        <v>10</v>
      </c>
      <c r="E1834" s="17" t="s">
        <v>25</v>
      </c>
      <c r="F1834" s="17" t="str">
        <f>INDEX(nrg_cb_e!$A$3:$A$40,MATCH(LEFT(MID('Industriesektor GWh'!$B1834,41,1000),SEARCH(" - ",MID('Industriesektor GWh'!$B1834,41,1000))-1),nrg_cb_e!$C$3:$C$40,0))</f>
        <v>FC_IND_IS_E</v>
      </c>
      <c r="G1834" s="18">
        <v>19</v>
      </c>
    </row>
    <row r="1835" spans="1:7" x14ac:dyDescent="0.2">
      <c r="A1835" s="19" t="s">
        <v>43</v>
      </c>
      <c r="B1835" s="20" t="s">
        <v>6</v>
      </c>
      <c r="C1835" s="20" t="s">
        <v>8</v>
      </c>
      <c r="D1835" s="20" t="s">
        <v>10</v>
      </c>
      <c r="E1835" s="20" t="s">
        <v>26</v>
      </c>
      <c r="F1835" s="20" t="str">
        <f>INDEX(nrg_cb_e!$A$3:$A$40,MATCH(LEFT(MID('Industriesektor GWh'!$B1835,41,1000),SEARCH(" - ",MID('Industriesektor GWh'!$B1835,41,1000))-1),nrg_cb_e!$C$3:$C$40,0))</f>
        <v>FC_IND_IS_E</v>
      </c>
      <c r="G1835" s="21">
        <v>19</v>
      </c>
    </row>
    <row r="1836" spans="1:7" x14ac:dyDescent="0.2">
      <c r="A1836" s="16" t="s">
        <v>43</v>
      </c>
      <c r="B1836" s="17" t="s">
        <v>6</v>
      </c>
      <c r="C1836" s="17" t="s">
        <v>8</v>
      </c>
      <c r="D1836" s="17" t="s">
        <v>10</v>
      </c>
      <c r="E1836" s="17" t="s">
        <v>27</v>
      </c>
      <c r="F1836" s="17" t="str">
        <f>INDEX(nrg_cb_e!$A$3:$A$40,MATCH(LEFT(MID('Industriesektor GWh'!$B1836,41,1000),SEARCH(" - ",MID('Industriesektor GWh'!$B1836,41,1000))-1),nrg_cb_e!$C$3:$C$40,0))</f>
        <v>FC_IND_IS_E</v>
      </c>
      <c r="G1836" s="18">
        <v>19.100000000000001</v>
      </c>
    </row>
    <row r="1837" spans="1:7" x14ac:dyDescent="0.2">
      <c r="A1837" s="19" t="s">
        <v>43</v>
      </c>
      <c r="B1837" s="20" t="s">
        <v>6</v>
      </c>
      <c r="C1837" s="20" t="s">
        <v>8</v>
      </c>
      <c r="D1837" s="20" t="s">
        <v>10</v>
      </c>
      <c r="E1837" s="20" t="s">
        <v>28</v>
      </c>
      <c r="F1837" s="20" t="str">
        <f>INDEX(nrg_cb_e!$A$3:$A$40,MATCH(LEFT(MID('Industriesektor GWh'!$B1837,41,1000),SEARCH(" - ",MID('Industriesektor GWh'!$B1837,41,1000))-1),nrg_cb_e!$C$3:$C$40,0))</f>
        <v>FC_IND_IS_E</v>
      </c>
      <c r="G1837" s="21">
        <v>16.600000000000001</v>
      </c>
    </row>
    <row r="1838" spans="1:7" x14ac:dyDescent="0.2">
      <c r="A1838" s="16" t="s">
        <v>44</v>
      </c>
      <c r="B1838" s="17" t="s">
        <v>6</v>
      </c>
      <c r="C1838" s="17" t="s">
        <v>8</v>
      </c>
      <c r="D1838" s="17" t="s">
        <v>10</v>
      </c>
      <c r="E1838" s="17" t="s">
        <v>12</v>
      </c>
      <c r="F1838" s="17" t="str">
        <f>INDEX(nrg_cb_e!$A$3:$A$40,MATCH(LEFT(MID('Industriesektor GWh'!$B1838,41,1000),SEARCH(" - ",MID('Industriesektor GWh'!$B1838,41,1000))-1),nrg_cb_e!$C$3:$C$40,0))</f>
        <v>FC_IND_IS_E</v>
      </c>
      <c r="G1838" s="18">
        <v>1794.5509999999999</v>
      </c>
    </row>
    <row r="1839" spans="1:7" x14ac:dyDescent="0.2">
      <c r="A1839" s="19" t="s">
        <v>44</v>
      </c>
      <c r="B1839" s="20" t="s">
        <v>6</v>
      </c>
      <c r="C1839" s="20" t="s">
        <v>8</v>
      </c>
      <c r="D1839" s="20" t="s">
        <v>10</v>
      </c>
      <c r="E1839" s="20" t="s">
        <v>13</v>
      </c>
      <c r="F1839" s="20" t="str">
        <f>INDEX(nrg_cb_e!$A$3:$A$40,MATCH(LEFT(MID('Industriesektor GWh'!$B1839,41,1000),SEARCH(" - ",MID('Industriesektor GWh'!$B1839,41,1000))-1),nrg_cb_e!$C$3:$C$40,0))</f>
        <v>FC_IND_IS_E</v>
      </c>
      <c r="G1839" s="21">
        <v>1595.393</v>
      </c>
    </row>
    <row r="1840" spans="1:7" x14ac:dyDescent="0.2">
      <c r="A1840" s="16" t="s">
        <v>44</v>
      </c>
      <c r="B1840" s="17" t="s">
        <v>6</v>
      </c>
      <c r="C1840" s="17" t="s">
        <v>8</v>
      </c>
      <c r="D1840" s="17" t="s">
        <v>10</v>
      </c>
      <c r="E1840" s="17" t="s">
        <v>14</v>
      </c>
      <c r="F1840" s="17" t="str">
        <f>INDEX(nrg_cb_e!$A$3:$A$40,MATCH(LEFT(MID('Industriesektor GWh'!$B1840,41,1000),SEARCH(" - ",MID('Industriesektor GWh'!$B1840,41,1000))-1),nrg_cb_e!$C$3:$C$40,0))</f>
        <v>FC_IND_IS_E</v>
      </c>
      <c r="G1840" s="18">
        <v>2127.7399999999998</v>
      </c>
    </row>
    <row r="1841" spans="1:7" x14ac:dyDescent="0.2">
      <c r="A1841" s="19" t="s">
        <v>44</v>
      </c>
      <c r="B1841" s="20" t="s">
        <v>6</v>
      </c>
      <c r="C1841" s="20" t="s">
        <v>8</v>
      </c>
      <c r="D1841" s="20" t="s">
        <v>10</v>
      </c>
      <c r="E1841" s="20" t="s">
        <v>15</v>
      </c>
      <c r="F1841" s="20" t="str">
        <f>INDEX(nrg_cb_e!$A$3:$A$40,MATCH(LEFT(MID('Industriesektor GWh'!$B1841,41,1000),SEARCH(" - ",MID('Industriesektor GWh'!$B1841,41,1000))-1),nrg_cb_e!$C$3:$C$40,0))</f>
        <v>FC_IND_IS_E</v>
      </c>
      <c r="G1841" s="21">
        <v>1698.146</v>
      </c>
    </row>
    <row r="1842" spans="1:7" x14ac:dyDescent="0.2">
      <c r="A1842" s="16" t="s">
        <v>44</v>
      </c>
      <c r="B1842" s="17" t="s">
        <v>6</v>
      </c>
      <c r="C1842" s="17" t="s">
        <v>8</v>
      </c>
      <c r="D1842" s="17" t="s">
        <v>10</v>
      </c>
      <c r="E1842" s="17" t="s">
        <v>16</v>
      </c>
      <c r="F1842" s="17" t="str">
        <f>INDEX(nrg_cb_e!$A$3:$A$40,MATCH(LEFT(MID('Industriesektor GWh'!$B1842,41,1000),SEARCH(" - ",MID('Industriesektor GWh'!$B1842,41,1000))-1),nrg_cb_e!$C$3:$C$40,0))</f>
        <v>FC_IND_IS_E</v>
      </c>
      <c r="G1842" s="18">
        <v>2337.0250000000001</v>
      </c>
    </row>
    <row r="1843" spans="1:7" x14ac:dyDescent="0.2">
      <c r="A1843" s="19" t="s">
        <v>44</v>
      </c>
      <c r="B1843" s="20" t="s">
        <v>6</v>
      </c>
      <c r="C1843" s="20" t="s">
        <v>8</v>
      </c>
      <c r="D1843" s="20" t="s">
        <v>10</v>
      </c>
      <c r="E1843" s="20" t="s">
        <v>17</v>
      </c>
      <c r="F1843" s="20" t="str">
        <f>INDEX(nrg_cb_e!$A$3:$A$40,MATCH(LEFT(MID('Industriesektor GWh'!$B1843,41,1000),SEARCH(" - ",MID('Industriesektor GWh'!$B1843,41,1000))-1),nrg_cb_e!$C$3:$C$40,0))</f>
        <v>FC_IND_IS_E</v>
      </c>
      <c r="G1843" s="21">
        <v>2127.9690000000001</v>
      </c>
    </row>
    <row r="1844" spans="1:7" x14ac:dyDescent="0.2">
      <c r="A1844" s="16" t="s">
        <v>44</v>
      </c>
      <c r="B1844" s="17" t="s">
        <v>6</v>
      </c>
      <c r="C1844" s="17" t="s">
        <v>8</v>
      </c>
      <c r="D1844" s="17" t="s">
        <v>10</v>
      </c>
      <c r="E1844" s="17" t="s">
        <v>18</v>
      </c>
      <c r="F1844" s="17" t="str">
        <f>INDEX(nrg_cb_e!$A$3:$A$40,MATCH(LEFT(MID('Industriesektor GWh'!$B1844,41,1000),SEARCH(" - ",MID('Industriesektor GWh'!$B1844,41,1000))-1),nrg_cb_e!$C$3:$C$40,0))</f>
        <v>FC_IND_IS_E</v>
      </c>
      <c r="G1844" s="18">
        <v>2135.5940000000001</v>
      </c>
    </row>
    <row r="1845" spans="1:7" x14ac:dyDescent="0.2">
      <c r="A1845" s="19" t="s">
        <v>44</v>
      </c>
      <c r="B1845" s="20" t="s">
        <v>6</v>
      </c>
      <c r="C1845" s="20" t="s">
        <v>8</v>
      </c>
      <c r="D1845" s="20" t="s">
        <v>10</v>
      </c>
      <c r="E1845" s="20" t="s">
        <v>19</v>
      </c>
      <c r="F1845" s="20" t="str">
        <f>INDEX(nrg_cb_e!$A$3:$A$40,MATCH(LEFT(MID('Industriesektor GWh'!$B1845,41,1000),SEARCH(" - ",MID('Industriesektor GWh'!$B1845,41,1000))-1),nrg_cb_e!$C$3:$C$40,0))</f>
        <v>FC_IND_IS_E</v>
      </c>
      <c r="G1845" s="21">
        <v>1839.5160000000001</v>
      </c>
    </row>
    <row r="1846" spans="1:7" x14ac:dyDescent="0.2">
      <c r="A1846" s="16" t="s">
        <v>44</v>
      </c>
      <c r="B1846" s="17" t="s">
        <v>6</v>
      </c>
      <c r="C1846" s="17" t="s">
        <v>8</v>
      </c>
      <c r="D1846" s="17" t="s">
        <v>10</v>
      </c>
      <c r="E1846" s="17" t="s">
        <v>20</v>
      </c>
      <c r="F1846" s="17" t="str">
        <f>INDEX(nrg_cb_e!$A$3:$A$40,MATCH(LEFT(MID('Industriesektor GWh'!$B1846,41,1000),SEARCH(" - ",MID('Industriesektor GWh'!$B1846,41,1000))-1),nrg_cb_e!$C$3:$C$40,0))</f>
        <v>FC_IND_IS_E</v>
      </c>
      <c r="G1846" s="18">
        <v>2311.46</v>
      </c>
    </row>
    <row r="1847" spans="1:7" x14ac:dyDescent="0.2">
      <c r="A1847" s="19" t="s">
        <v>44</v>
      </c>
      <c r="B1847" s="20" t="s">
        <v>6</v>
      </c>
      <c r="C1847" s="20" t="s">
        <v>8</v>
      </c>
      <c r="D1847" s="20" t="s">
        <v>10</v>
      </c>
      <c r="E1847" s="20" t="s">
        <v>21</v>
      </c>
      <c r="F1847" s="20" t="str">
        <f>INDEX(nrg_cb_e!$A$3:$A$40,MATCH(LEFT(MID('Industriesektor GWh'!$B1847,41,1000),SEARCH(" - ",MID('Industriesektor GWh'!$B1847,41,1000))-1),nrg_cb_e!$C$3:$C$40,0))</f>
        <v>FC_IND_IS_E</v>
      </c>
      <c r="G1847" s="21">
        <v>2025.5940000000001</v>
      </c>
    </row>
    <row r="1848" spans="1:7" x14ac:dyDescent="0.2">
      <c r="A1848" s="16" t="s">
        <v>44</v>
      </c>
      <c r="B1848" s="17" t="s">
        <v>6</v>
      </c>
      <c r="C1848" s="17" t="s">
        <v>8</v>
      </c>
      <c r="D1848" s="17" t="s">
        <v>10</v>
      </c>
      <c r="E1848" s="17" t="s">
        <v>22</v>
      </c>
      <c r="F1848" s="17" t="str">
        <f>INDEX(nrg_cb_e!$A$3:$A$40,MATCH(LEFT(MID('Industriesektor GWh'!$B1848,41,1000),SEARCH(" - ",MID('Industriesektor GWh'!$B1848,41,1000))-1),nrg_cb_e!$C$3:$C$40,0))</f>
        <v>FC_IND_IS_E</v>
      </c>
      <c r="G1848" s="18">
        <v>1733.8019999999999</v>
      </c>
    </row>
    <row r="1849" spans="1:7" x14ac:dyDescent="0.2">
      <c r="A1849" s="19" t="s">
        <v>44</v>
      </c>
      <c r="B1849" s="20" t="s">
        <v>6</v>
      </c>
      <c r="C1849" s="20" t="s">
        <v>8</v>
      </c>
      <c r="D1849" s="20" t="s">
        <v>10</v>
      </c>
      <c r="E1849" s="20" t="s">
        <v>23</v>
      </c>
      <c r="F1849" s="20" t="str">
        <f>INDEX(nrg_cb_e!$A$3:$A$40,MATCH(LEFT(MID('Industriesektor GWh'!$B1849,41,1000),SEARCH(" - ",MID('Industriesektor GWh'!$B1849,41,1000))-1),nrg_cb_e!$C$3:$C$40,0))</f>
        <v>FC_IND_IS_E</v>
      </c>
      <c r="G1849" s="21">
        <v>1600.211</v>
      </c>
    </row>
    <row r="1850" spans="1:7" x14ac:dyDescent="0.2">
      <c r="A1850" s="16" t="s">
        <v>44</v>
      </c>
      <c r="B1850" s="17" t="s">
        <v>6</v>
      </c>
      <c r="C1850" s="17" t="s">
        <v>8</v>
      </c>
      <c r="D1850" s="17" t="s">
        <v>10</v>
      </c>
      <c r="E1850" s="17" t="s">
        <v>24</v>
      </c>
      <c r="F1850" s="17" t="str">
        <f>INDEX(nrg_cb_e!$A$3:$A$40,MATCH(LEFT(MID('Industriesektor GWh'!$B1850,41,1000),SEARCH(" - ",MID('Industriesektor GWh'!$B1850,41,1000))-1),nrg_cb_e!$C$3:$C$40,0))</f>
        <v>FC_IND_IS_E</v>
      </c>
      <c r="G1850" s="18">
        <v>1536.4760000000001</v>
      </c>
    </row>
    <row r="1851" spans="1:7" x14ac:dyDescent="0.2">
      <c r="A1851" s="19" t="s">
        <v>44</v>
      </c>
      <c r="B1851" s="20" t="s">
        <v>6</v>
      </c>
      <c r="C1851" s="20" t="s">
        <v>8</v>
      </c>
      <c r="D1851" s="20" t="s">
        <v>10</v>
      </c>
      <c r="E1851" s="20" t="s">
        <v>25</v>
      </c>
      <c r="F1851" s="20" t="str">
        <f>INDEX(nrg_cb_e!$A$3:$A$40,MATCH(LEFT(MID('Industriesektor GWh'!$B1851,41,1000),SEARCH(" - ",MID('Industriesektor GWh'!$B1851,41,1000))-1),nrg_cb_e!$C$3:$C$40,0))</f>
        <v>FC_IND_IS_E</v>
      </c>
      <c r="G1851" s="21">
        <v>1626.6130000000001</v>
      </c>
    </row>
    <row r="1852" spans="1:7" x14ac:dyDescent="0.2">
      <c r="A1852" s="16" t="s">
        <v>44</v>
      </c>
      <c r="B1852" s="17" t="s">
        <v>6</v>
      </c>
      <c r="C1852" s="17" t="s">
        <v>8</v>
      </c>
      <c r="D1852" s="17" t="s">
        <v>10</v>
      </c>
      <c r="E1852" s="17" t="s">
        <v>26</v>
      </c>
      <c r="F1852" s="17" t="str">
        <f>INDEX(nrg_cb_e!$A$3:$A$40,MATCH(LEFT(MID('Industriesektor GWh'!$B1852,41,1000),SEARCH(" - ",MID('Industriesektor GWh'!$B1852,41,1000))-1),nrg_cb_e!$C$3:$C$40,0))</f>
        <v>FC_IND_IS_E</v>
      </c>
      <c r="G1852" s="18">
        <v>1839.587</v>
      </c>
    </row>
    <row r="1853" spans="1:7" x14ac:dyDescent="0.2">
      <c r="A1853" s="19" t="s">
        <v>44</v>
      </c>
      <c r="B1853" s="20" t="s">
        <v>6</v>
      </c>
      <c r="C1853" s="20" t="s">
        <v>8</v>
      </c>
      <c r="D1853" s="20" t="s">
        <v>10</v>
      </c>
      <c r="E1853" s="20" t="s">
        <v>27</v>
      </c>
      <c r="F1853" s="20" t="str">
        <f>INDEX(nrg_cb_e!$A$3:$A$40,MATCH(LEFT(MID('Industriesektor GWh'!$B1853,41,1000),SEARCH(" - ",MID('Industriesektor GWh'!$B1853,41,1000))-1),nrg_cb_e!$C$3:$C$40,0))</f>
        <v>FC_IND_IS_E</v>
      </c>
      <c r="G1853" s="21">
        <v>1611.578</v>
      </c>
    </row>
    <row r="1854" spans="1:7" x14ac:dyDescent="0.2">
      <c r="A1854" s="16" t="s">
        <v>44</v>
      </c>
      <c r="B1854" s="17" t="s">
        <v>6</v>
      </c>
      <c r="C1854" s="17" t="s">
        <v>8</v>
      </c>
      <c r="D1854" s="17" t="s">
        <v>10</v>
      </c>
      <c r="E1854" s="17" t="s">
        <v>28</v>
      </c>
      <c r="F1854" s="17" t="str">
        <f>INDEX(nrg_cb_e!$A$3:$A$40,MATCH(LEFT(MID('Industriesektor GWh'!$B1854,41,1000),SEARCH(" - ",MID('Industriesektor GWh'!$B1854,41,1000))-1),nrg_cb_e!$C$3:$C$40,0))</f>
        <v>FC_IND_IS_E</v>
      </c>
      <c r="G1854" s="18">
        <v>1614.242</v>
      </c>
    </row>
    <row r="1855" spans="1:7" x14ac:dyDescent="0.2">
      <c r="A1855" s="19" t="s">
        <v>45</v>
      </c>
      <c r="B1855" s="20" t="s">
        <v>6</v>
      </c>
      <c r="C1855" s="20" t="s">
        <v>8</v>
      </c>
      <c r="D1855" s="20" t="s">
        <v>10</v>
      </c>
      <c r="E1855" s="20" t="s">
        <v>12</v>
      </c>
      <c r="F1855" s="20" t="str">
        <f>INDEX(nrg_cb_e!$A$3:$A$40,MATCH(LEFT(MID('Industriesektor GWh'!$B1855,41,1000),SEARCH(" - ",MID('Industriesektor GWh'!$B1855,41,1000))-1),nrg_cb_e!$C$3:$C$40,0))</f>
        <v>FC_IND_IS_E</v>
      </c>
      <c r="G1855" s="21">
        <v>685</v>
      </c>
    </row>
    <row r="1856" spans="1:7" x14ac:dyDescent="0.2">
      <c r="A1856" s="16" t="s">
        <v>45</v>
      </c>
      <c r="B1856" s="17" t="s">
        <v>6</v>
      </c>
      <c r="C1856" s="17" t="s">
        <v>8</v>
      </c>
      <c r="D1856" s="17" t="s">
        <v>10</v>
      </c>
      <c r="E1856" s="17" t="s">
        <v>13</v>
      </c>
      <c r="F1856" s="17" t="str">
        <f>INDEX(nrg_cb_e!$A$3:$A$40,MATCH(LEFT(MID('Industriesektor GWh'!$B1856,41,1000),SEARCH(" - ",MID('Industriesektor GWh'!$B1856,41,1000))-1),nrg_cb_e!$C$3:$C$40,0))</f>
        <v>FC_IND_IS_E</v>
      </c>
      <c r="G1856" s="18">
        <v>645</v>
      </c>
    </row>
    <row r="1857" spans="1:7" x14ac:dyDescent="0.2">
      <c r="A1857" s="19" t="s">
        <v>45</v>
      </c>
      <c r="B1857" s="20" t="s">
        <v>6</v>
      </c>
      <c r="C1857" s="20" t="s">
        <v>8</v>
      </c>
      <c r="D1857" s="20" t="s">
        <v>10</v>
      </c>
      <c r="E1857" s="20" t="s">
        <v>14</v>
      </c>
      <c r="F1857" s="20" t="str">
        <f>INDEX(nrg_cb_e!$A$3:$A$40,MATCH(LEFT(MID('Industriesektor GWh'!$B1857,41,1000),SEARCH(" - ",MID('Industriesektor GWh'!$B1857,41,1000))-1),nrg_cb_e!$C$3:$C$40,0))</f>
        <v>FC_IND_IS_E</v>
      </c>
      <c r="G1857" s="21">
        <v>593</v>
      </c>
    </row>
    <row r="1858" spans="1:7" x14ac:dyDescent="0.2">
      <c r="A1858" s="16" t="s">
        <v>45</v>
      </c>
      <c r="B1858" s="17" t="s">
        <v>6</v>
      </c>
      <c r="C1858" s="17" t="s">
        <v>8</v>
      </c>
      <c r="D1858" s="17" t="s">
        <v>10</v>
      </c>
      <c r="E1858" s="17" t="s">
        <v>15</v>
      </c>
      <c r="F1858" s="17" t="str">
        <f>INDEX(nrg_cb_e!$A$3:$A$40,MATCH(LEFT(MID('Industriesektor GWh'!$B1858,41,1000),SEARCH(" - ",MID('Industriesektor GWh'!$B1858,41,1000))-1),nrg_cb_e!$C$3:$C$40,0))</f>
        <v>FC_IND_IS_E</v>
      </c>
      <c r="G1858" s="18">
        <v>759</v>
      </c>
    </row>
    <row r="1859" spans="1:7" x14ac:dyDescent="0.2">
      <c r="A1859" s="19" t="s">
        <v>45</v>
      </c>
      <c r="B1859" s="20" t="s">
        <v>6</v>
      </c>
      <c r="C1859" s="20" t="s">
        <v>8</v>
      </c>
      <c r="D1859" s="20" t="s">
        <v>10</v>
      </c>
      <c r="E1859" s="20" t="s">
        <v>16</v>
      </c>
      <c r="F1859" s="20" t="str">
        <f>INDEX(nrg_cb_e!$A$3:$A$40,MATCH(LEFT(MID('Industriesektor GWh'!$B1859,41,1000),SEARCH(" - ",MID('Industriesektor GWh'!$B1859,41,1000))-1),nrg_cb_e!$C$3:$C$40,0))</f>
        <v>FC_IND_IS_E</v>
      </c>
      <c r="G1859" s="21">
        <v>780</v>
      </c>
    </row>
    <row r="1860" spans="1:7" x14ac:dyDescent="0.2">
      <c r="A1860" s="16" t="s">
        <v>45</v>
      </c>
      <c r="B1860" s="17" t="s">
        <v>6</v>
      </c>
      <c r="C1860" s="17" t="s">
        <v>8</v>
      </c>
      <c r="D1860" s="17" t="s">
        <v>10</v>
      </c>
      <c r="E1860" s="17" t="s">
        <v>17</v>
      </c>
      <c r="F1860" s="17" t="str">
        <f>INDEX(nrg_cb_e!$A$3:$A$40,MATCH(LEFT(MID('Industriesektor GWh'!$B1860,41,1000),SEARCH(" - ",MID('Industriesektor GWh'!$B1860,41,1000))-1),nrg_cb_e!$C$3:$C$40,0))</f>
        <v>FC_IND_IS_E</v>
      </c>
      <c r="G1860" s="18">
        <v>738</v>
      </c>
    </row>
    <row r="1861" spans="1:7" x14ac:dyDescent="0.2">
      <c r="A1861" s="19" t="s">
        <v>45</v>
      </c>
      <c r="B1861" s="20" t="s">
        <v>6</v>
      </c>
      <c r="C1861" s="20" t="s">
        <v>8</v>
      </c>
      <c r="D1861" s="20" t="s">
        <v>10</v>
      </c>
      <c r="E1861" s="20" t="s">
        <v>18</v>
      </c>
      <c r="F1861" s="20" t="str">
        <f>INDEX(nrg_cb_e!$A$3:$A$40,MATCH(LEFT(MID('Industriesektor GWh'!$B1861,41,1000),SEARCH(" - ",MID('Industriesektor GWh'!$B1861,41,1000))-1),nrg_cb_e!$C$3:$C$40,0))</f>
        <v>FC_IND_IS_E</v>
      </c>
      <c r="G1861" s="21">
        <v>752</v>
      </c>
    </row>
    <row r="1862" spans="1:7" x14ac:dyDescent="0.2">
      <c r="A1862" s="16" t="s">
        <v>45</v>
      </c>
      <c r="B1862" s="17" t="s">
        <v>6</v>
      </c>
      <c r="C1862" s="17" t="s">
        <v>8</v>
      </c>
      <c r="D1862" s="17" t="s">
        <v>10</v>
      </c>
      <c r="E1862" s="17" t="s">
        <v>19</v>
      </c>
      <c r="F1862" s="17" t="str">
        <f>INDEX(nrg_cb_e!$A$3:$A$40,MATCH(LEFT(MID('Industriesektor GWh'!$B1862,41,1000),SEARCH(" - ",MID('Industriesektor GWh'!$B1862,41,1000))-1),nrg_cb_e!$C$3:$C$40,0))</f>
        <v>FC_IND_IS_E</v>
      </c>
      <c r="G1862" s="18">
        <v>434</v>
      </c>
    </row>
    <row r="1863" spans="1:7" x14ac:dyDescent="0.2">
      <c r="A1863" s="19" t="s">
        <v>45</v>
      </c>
      <c r="B1863" s="20" t="s">
        <v>6</v>
      </c>
      <c r="C1863" s="20" t="s">
        <v>8</v>
      </c>
      <c r="D1863" s="20" t="s">
        <v>10</v>
      </c>
      <c r="E1863" s="20" t="s">
        <v>20</v>
      </c>
      <c r="F1863" s="20" t="str">
        <f>INDEX(nrg_cb_e!$A$3:$A$40,MATCH(LEFT(MID('Industriesektor GWh'!$B1863,41,1000),SEARCH(" - ",MID('Industriesektor GWh'!$B1863,41,1000))-1),nrg_cb_e!$C$3:$C$40,0))</f>
        <v>FC_IND_IS_E</v>
      </c>
      <c r="G1863" s="21">
        <v>517</v>
      </c>
    </row>
    <row r="1864" spans="1:7" x14ac:dyDescent="0.2">
      <c r="A1864" s="16" t="s">
        <v>45</v>
      </c>
      <c r="B1864" s="17" t="s">
        <v>6</v>
      </c>
      <c r="C1864" s="17" t="s">
        <v>8</v>
      </c>
      <c r="D1864" s="17" t="s">
        <v>10</v>
      </c>
      <c r="E1864" s="17" t="s">
        <v>21</v>
      </c>
      <c r="F1864" s="17" t="str">
        <f>INDEX(nrg_cb_e!$A$3:$A$40,MATCH(LEFT(MID('Industriesektor GWh'!$B1864,41,1000),SEARCH(" - ",MID('Industriesektor GWh'!$B1864,41,1000))-1),nrg_cb_e!$C$3:$C$40,0))</f>
        <v>FC_IND_IS_E</v>
      </c>
      <c r="G1864" s="18">
        <v>522</v>
      </c>
    </row>
    <row r="1865" spans="1:7" x14ac:dyDescent="0.2">
      <c r="A1865" s="19" t="s">
        <v>45</v>
      </c>
      <c r="B1865" s="20" t="s">
        <v>6</v>
      </c>
      <c r="C1865" s="20" t="s">
        <v>8</v>
      </c>
      <c r="D1865" s="20" t="s">
        <v>10</v>
      </c>
      <c r="E1865" s="20" t="s">
        <v>22</v>
      </c>
      <c r="F1865" s="20" t="str">
        <f>INDEX(nrg_cb_e!$A$3:$A$40,MATCH(LEFT(MID('Industriesektor GWh'!$B1865,41,1000),SEARCH(" - ",MID('Industriesektor GWh'!$B1865,41,1000))-1),nrg_cb_e!$C$3:$C$40,0))</f>
        <v>FC_IND_IS_E</v>
      </c>
      <c r="G1865" s="21">
        <v>544</v>
      </c>
    </row>
    <row r="1866" spans="1:7" x14ac:dyDescent="0.2">
      <c r="A1866" s="16" t="s">
        <v>45</v>
      </c>
      <c r="B1866" s="17" t="s">
        <v>6</v>
      </c>
      <c r="C1866" s="17" t="s">
        <v>8</v>
      </c>
      <c r="D1866" s="17" t="s">
        <v>10</v>
      </c>
      <c r="E1866" s="17" t="s">
        <v>23</v>
      </c>
      <c r="F1866" s="17" t="str">
        <f>INDEX(nrg_cb_e!$A$3:$A$40,MATCH(LEFT(MID('Industriesektor GWh'!$B1866,41,1000),SEARCH(" - ",MID('Industriesektor GWh'!$B1866,41,1000))-1),nrg_cb_e!$C$3:$C$40,0))</f>
        <v>FC_IND_IS_E</v>
      </c>
      <c r="G1866" s="18">
        <v>579</v>
      </c>
    </row>
    <row r="1867" spans="1:7" x14ac:dyDescent="0.2">
      <c r="A1867" s="19" t="s">
        <v>45</v>
      </c>
      <c r="B1867" s="20" t="s">
        <v>6</v>
      </c>
      <c r="C1867" s="20" t="s">
        <v>8</v>
      </c>
      <c r="D1867" s="20" t="s">
        <v>10</v>
      </c>
      <c r="E1867" s="20" t="s">
        <v>24</v>
      </c>
      <c r="F1867" s="20" t="str">
        <f>INDEX(nrg_cb_e!$A$3:$A$40,MATCH(LEFT(MID('Industriesektor GWh'!$B1867,41,1000),SEARCH(" - ",MID('Industriesektor GWh'!$B1867,41,1000))-1),nrg_cb_e!$C$3:$C$40,0))</f>
        <v>FC_IND_IS_E</v>
      </c>
      <c r="G1867" s="21">
        <v>592</v>
      </c>
    </row>
    <row r="1868" spans="1:7" x14ac:dyDescent="0.2">
      <c r="A1868" s="16" t="s">
        <v>45</v>
      </c>
      <c r="B1868" s="17" t="s">
        <v>6</v>
      </c>
      <c r="C1868" s="17" t="s">
        <v>8</v>
      </c>
      <c r="D1868" s="17" t="s">
        <v>10</v>
      </c>
      <c r="E1868" s="17" t="s">
        <v>25</v>
      </c>
      <c r="F1868" s="17" t="str">
        <f>INDEX(nrg_cb_e!$A$3:$A$40,MATCH(LEFT(MID('Industriesektor GWh'!$B1868,41,1000),SEARCH(" - ",MID('Industriesektor GWh'!$B1868,41,1000))-1),nrg_cb_e!$C$3:$C$40,0))</f>
        <v>FC_IND_IS_E</v>
      </c>
      <c r="G1868" s="18">
        <v>613</v>
      </c>
    </row>
    <row r="1869" spans="1:7" x14ac:dyDescent="0.2">
      <c r="A1869" s="19" t="s">
        <v>45</v>
      </c>
      <c r="B1869" s="20" t="s">
        <v>6</v>
      </c>
      <c r="C1869" s="20" t="s">
        <v>8</v>
      </c>
      <c r="D1869" s="20" t="s">
        <v>10</v>
      </c>
      <c r="E1869" s="20" t="s">
        <v>26</v>
      </c>
      <c r="F1869" s="20" t="str">
        <f>INDEX(nrg_cb_e!$A$3:$A$40,MATCH(LEFT(MID('Industriesektor GWh'!$B1869,41,1000),SEARCH(" - ",MID('Industriesektor GWh'!$B1869,41,1000))-1),nrg_cb_e!$C$3:$C$40,0))</f>
        <v>FC_IND_IS_E</v>
      </c>
      <c r="G1869" s="21">
        <v>613</v>
      </c>
    </row>
    <row r="1870" spans="1:7" x14ac:dyDescent="0.2">
      <c r="A1870" s="16" t="s">
        <v>45</v>
      </c>
      <c r="B1870" s="17" t="s">
        <v>6</v>
      </c>
      <c r="C1870" s="17" t="s">
        <v>8</v>
      </c>
      <c r="D1870" s="17" t="s">
        <v>10</v>
      </c>
      <c r="E1870" s="17" t="s">
        <v>27</v>
      </c>
      <c r="F1870" s="17" t="str">
        <f>INDEX(nrg_cb_e!$A$3:$A$40,MATCH(LEFT(MID('Industriesektor GWh'!$B1870,41,1000),SEARCH(" - ",MID('Industriesektor GWh'!$B1870,41,1000))-1),nrg_cb_e!$C$3:$C$40,0))</f>
        <v>FC_IND_IS_E</v>
      </c>
      <c r="G1870" s="18">
        <v>688</v>
      </c>
    </row>
    <row r="1871" spans="1:7" x14ac:dyDescent="0.2">
      <c r="A1871" s="19" t="s">
        <v>45</v>
      </c>
      <c r="B1871" s="20" t="s">
        <v>6</v>
      </c>
      <c r="C1871" s="20" t="s">
        <v>8</v>
      </c>
      <c r="D1871" s="20" t="s">
        <v>10</v>
      </c>
      <c r="E1871" s="20" t="s">
        <v>28</v>
      </c>
      <c r="F1871" s="20" t="str">
        <f>INDEX(nrg_cb_e!$A$3:$A$40,MATCH(LEFT(MID('Industriesektor GWh'!$B1871,41,1000),SEARCH(" - ",MID('Industriesektor GWh'!$B1871,41,1000))-1),nrg_cb_e!$C$3:$C$40,0))</f>
        <v>FC_IND_IS_E</v>
      </c>
      <c r="G1871" s="21">
        <v>732</v>
      </c>
    </row>
    <row r="1872" spans="1:7" x14ac:dyDescent="0.2">
      <c r="A1872" s="16" t="s">
        <v>46</v>
      </c>
      <c r="B1872" s="17" t="s">
        <v>6</v>
      </c>
      <c r="C1872" s="17" t="s">
        <v>8</v>
      </c>
      <c r="D1872" s="17" t="s">
        <v>10</v>
      </c>
      <c r="E1872" s="17" t="s">
        <v>12</v>
      </c>
      <c r="F1872" s="17" t="str">
        <f>INDEX(nrg_cb_e!$A$3:$A$40,MATCH(LEFT(MID('Industriesektor GWh'!$B1872,41,1000),SEARCH(" - ",MID('Industriesektor GWh'!$B1872,41,1000))-1),nrg_cb_e!$C$3:$C$40,0))</f>
        <v>FC_IND_IS_E</v>
      </c>
      <c r="G1872" s="18">
        <v>0</v>
      </c>
    </row>
    <row r="1873" spans="1:7" x14ac:dyDescent="0.2">
      <c r="A1873" s="19" t="s">
        <v>46</v>
      </c>
      <c r="B1873" s="20" t="s">
        <v>6</v>
      </c>
      <c r="C1873" s="20" t="s">
        <v>8</v>
      </c>
      <c r="D1873" s="20" t="s">
        <v>10</v>
      </c>
      <c r="E1873" s="20" t="s">
        <v>13</v>
      </c>
      <c r="F1873" s="20" t="str">
        <f>INDEX(nrg_cb_e!$A$3:$A$40,MATCH(LEFT(MID('Industriesektor GWh'!$B1873,41,1000),SEARCH(" - ",MID('Industriesektor GWh'!$B1873,41,1000))-1),nrg_cb_e!$C$3:$C$40,0))</f>
        <v>FC_IND_IS_E</v>
      </c>
      <c r="G1873" s="21">
        <v>0</v>
      </c>
    </row>
    <row r="1874" spans="1:7" x14ac:dyDescent="0.2">
      <c r="A1874" s="16" t="s">
        <v>46</v>
      </c>
      <c r="B1874" s="17" t="s">
        <v>6</v>
      </c>
      <c r="C1874" s="17" t="s">
        <v>8</v>
      </c>
      <c r="D1874" s="17" t="s">
        <v>10</v>
      </c>
      <c r="E1874" s="17" t="s">
        <v>14</v>
      </c>
      <c r="F1874" s="17" t="str">
        <f>INDEX(nrg_cb_e!$A$3:$A$40,MATCH(LEFT(MID('Industriesektor GWh'!$B1874,41,1000),SEARCH(" - ",MID('Industriesektor GWh'!$B1874,41,1000))-1),nrg_cb_e!$C$3:$C$40,0))</f>
        <v>FC_IND_IS_E</v>
      </c>
      <c r="G1874" s="18">
        <v>0</v>
      </c>
    </row>
    <row r="1875" spans="1:7" x14ac:dyDescent="0.2">
      <c r="A1875" s="19" t="s">
        <v>46</v>
      </c>
      <c r="B1875" s="20" t="s">
        <v>6</v>
      </c>
      <c r="C1875" s="20" t="s">
        <v>8</v>
      </c>
      <c r="D1875" s="20" t="s">
        <v>10</v>
      </c>
      <c r="E1875" s="20" t="s">
        <v>15</v>
      </c>
      <c r="F1875" s="20" t="str">
        <f>INDEX(nrg_cb_e!$A$3:$A$40,MATCH(LEFT(MID('Industriesektor GWh'!$B1875,41,1000),SEARCH(" - ",MID('Industriesektor GWh'!$B1875,41,1000))-1),nrg_cb_e!$C$3:$C$40,0))</f>
        <v>FC_IND_IS_E</v>
      </c>
      <c r="G1875" s="21">
        <v>0</v>
      </c>
    </row>
    <row r="1876" spans="1:7" x14ac:dyDescent="0.2">
      <c r="A1876" s="16" t="s">
        <v>46</v>
      </c>
      <c r="B1876" s="17" t="s">
        <v>6</v>
      </c>
      <c r="C1876" s="17" t="s">
        <v>8</v>
      </c>
      <c r="D1876" s="17" t="s">
        <v>10</v>
      </c>
      <c r="E1876" s="17" t="s">
        <v>16</v>
      </c>
      <c r="F1876" s="17" t="str">
        <f>INDEX(nrg_cb_e!$A$3:$A$40,MATCH(LEFT(MID('Industriesektor GWh'!$B1876,41,1000),SEARCH(" - ",MID('Industriesektor GWh'!$B1876,41,1000))-1),nrg_cb_e!$C$3:$C$40,0))</f>
        <v>FC_IND_IS_E</v>
      </c>
      <c r="G1876" s="18">
        <v>0</v>
      </c>
    </row>
    <row r="1877" spans="1:7" x14ac:dyDescent="0.2">
      <c r="A1877" s="19" t="s">
        <v>46</v>
      </c>
      <c r="B1877" s="20" t="s">
        <v>6</v>
      </c>
      <c r="C1877" s="20" t="s">
        <v>8</v>
      </c>
      <c r="D1877" s="20" t="s">
        <v>10</v>
      </c>
      <c r="E1877" s="20" t="s">
        <v>17</v>
      </c>
      <c r="F1877" s="20" t="str">
        <f>INDEX(nrg_cb_e!$A$3:$A$40,MATCH(LEFT(MID('Industriesektor GWh'!$B1877,41,1000),SEARCH(" - ",MID('Industriesektor GWh'!$B1877,41,1000))-1),nrg_cb_e!$C$3:$C$40,0))</f>
        <v>FC_IND_IS_E</v>
      </c>
      <c r="G1877" s="21">
        <v>0</v>
      </c>
    </row>
    <row r="1878" spans="1:7" x14ac:dyDescent="0.2">
      <c r="A1878" s="16" t="s">
        <v>46</v>
      </c>
      <c r="B1878" s="17" t="s">
        <v>6</v>
      </c>
      <c r="C1878" s="17" t="s">
        <v>8</v>
      </c>
      <c r="D1878" s="17" t="s">
        <v>10</v>
      </c>
      <c r="E1878" s="17" t="s">
        <v>18</v>
      </c>
      <c r="F1878" s="17" t="str">
        <f>INDEX(nrg_cb_e!$A$3:$A$40,MATCH(LEFT(MID('Industriesektor GWh'!$B1878,41,1000),SEARCH(" - ",MID('Industriesektor GWh'!$B1878,41,1000))-1),nrg_cb_e!$C$3:$C$40,0))</f>
        <v>FC_IND_IS_E</v>
      </c>
      <c r="G1878" s="18">
        <v>0</v>
      </c>
    </row>
    <row r="1879" spans="1:7" x14ac:dyDescent="0.2">
      <c r="A1879" s="19" t="s">
        <v>46</v>
      </c>
      <c r="B1879" s="20" t="s">
        <v>6</v>
      </c>
      <c r="C1879" s="20" t="s">
        <v>8</v>
      </c>
      <c r="D1879" s="20" t="s">
        <v>10</v>
      </c>
      <c r="E1879" s="20" t="s">
        <v>19</v>
      </c>
      <c r="F1879" s="20" t="str">
        <f>INDEX(nrg_cb_e!$A$3:$A$40,MATCH(LEFT(MID('Industriesektor GWh'!$B1879,41,1000),SEARCH(" - ",MID('Industriesektor GWh'!$B1879,41,1000))-1),nrg_cb_e!$C$3:$C$40,0))</f>
        <v>FC_IND_IS_E</v>
      </c>
      <c r="G1879" s="21">
        <v>0</v>
      </c>
    </row>
    <row r="1880" spans="1:7" x14ac:dyDescent="0.2">
      <c r="A1880" s="16" t="s">
        <v>46</v>
      </c>
      <c r="B1880" s="17" t="s">
        <v>6</v>
      </c>
      <c r="C1880" s="17" t="s">
        <v>8</v>
      </c>
      <c r="D1880" s="17" t="s">
        <v>10</v>
      </c>
      <c r="E1880" s="17" t="s">
        <v>20</v>
      </c>
      <c r="F1880" s="17" t="str">
        <f>INDEX(nrg_cb_e!$A$3:$A$40,MATCH(LEFT(MID('Industriesektor GWh'!$B1880,41,1000),SEARCH(" - ",MID('Industriesektor GWh'!$B1880,41,1000))-1),nrg_cb_e!$C$3:$C$40,0))</f>
        <v>FC_IND_IS_E</v>
      </c>
      <c r="G1880" s="18">
        <v>0</v>
      </c>
    </row>
    <row r="1881" spans="1:7" x14ac:dyDescent="0.2">
      <c r="A1881" s="19" t="s">
        <v>46</v>
      </c>
      <c r="B1881" s="20" t="s">
        <v>6</v>
      </c>
      <c r="C1881" s="20" t="s">
        <v>8</v>
      </c>
      <c r="D1881" s="20" t="s">
        <v>10</v>
      </c>
      <c r="E1881" s="20" t="s">
        <v>21</v>
      </c>
      <c r="F1881" s="20" t="str">
        <f>INDEX(nrg_cb_e!$A$3:$A$40,MATCH(LEFT(MID('Industriesektor GWh'!$B1881,41,1000),SEARCH(" - ",MID('Industriesektor GWh'!$B1881,41,1000))-1),nrg_cb_e!$C$3:$C$40,0))</f>
        <v>FC_IND_IS_E</v>
      </c>
      <c r="G1881" s="21">
        <v>0</v>
      </c>
    </row>
    <row r="1882" spans="1:7" x14ac:dyDescent="0.2">
      <c r="A1882" s="16" t="s">
        <v>46</v>
      </c>
      <c r="B1882" s="17" t="s">
        <v>6</v>
      </c>
      <c r="C1882" s="17" t="s">
        <v>8</v>
      </c>
      <c r="D1882" s="17" t="s">
        <v>10</v>
      </c>
      <c r="E1882" s="17" t="s">
        <v>22</v>
      </c>
      <c r="F1882" s="17" t="str">
        <f>INDEX(nrg_cb_e!$A$3:$A$40,MATCH(LEFT(MID('Industriesektor GWh'!$B1882,41,1000),SEARCH(" - ",MID('Industriesektor GWh'!$B1882,41,1000))-1),nrg_cb_e!$C$3:$C$40,0))</f>
        <v>FC_IND_IS_E</v>
      </c>
      <c r="G1882" s="18">
        <v>0</v>
      </c>
    </row>
    <row r="1883" spans="1:7" x14ac:dyDescent="0.2">
      <c r="A1883" s="19" t="s">
        <v>46</v>
      </c>
      <c r="B1883" s="20" t="s">
        <v>6</v>
      </c>
      <c r="C1883" s="20" t="s">
        <v>8</v>
      </c>
      <c r="D1883" s="20" t="s">
        <v>10</v>
      </c>
      <c r="E1883" s="20" t="s">
        <v>23</v>
      </c>
      <c r="F1883" s="20" t="str">
        <f>INDEX(nrg_cb_e!$A$3:$A$40,MATCH(LEFT(MID('Industriesektor GWh'!$B1883,41,1000),SEARCH(" - ",MID('Industriesektor GWh'!$B1883,41,1000))-1),nrg_cb_e!$C$3:$C$40,0))</f>
        <v>FC_IND_IS_E</v>
      </c>
      <c r="G1883" s="21">
        <v>0</v>
      </c>
    </row>
    <row r="1884" spans="1:7" x14ac:dyDescent="0.2">
      <c r="A1884" s="16" t="s">
        <v>46</v>
      </c>
      <c r="B1884" s="17" t="s">
        <v>6</v>
      </c>
      <c r="C1884" s="17" t="s">
        <v>8</v>
      </c>
      <c r="D1884" s="17" t="s">
        <v>10</v>
      </c>
      <c r="E1884" s="17" t="s">
        <v>24</v>
      </c>
      <c r="F1884" s="17" t="str">
        <f>INDEX(nrg_cb_e!$A$3:$A$40,MATCH(LEFT(MID('Industriesektor GWh'!$B1884,41,1000),SEARCH(" - ",MID('Industriesektor GWh'!$B1884,41,1000))-1),nrg_cb_e!$C$3:$C$40,0))</f>
        <v>FC_IND_IS_E</v>
      </c>
      <c r="G1884" s="18">
        <v>0</v>
      </c>
    </row>
    <row r="1885" spans="1:7" x14ac:dyDescent="0.2">
      <c r="A1885" s="19" t="s">
        <v>46</v>
      </c>
      <c r="B1885" s="20" t="s">
        <v>6</v>
      </c>
      <c r="C1885" s="20" t="s">
        <v>8</v>
      </c>
      <c r="D1885" s="20" t="s">
        <v>10</v>
      </c>
      <c r="E1885" s="20" t="s">
        <v>25</v>
      </c>
      <c r="F1885" s="20" t="str">
        <f>INDEX(nrg_cb_e!$A$3:$A$40,MATCH(LEFT(MID('Industriesektor GWh'!$B1885,41,1000),SEARCH(" - ",MID('Industriesektor GWh'!$B1885,41,1000))-1),nrg_cb_e!$C$3:$C$40,0))</f>
        <v>FC_IND_IS_E</v>
      </c>
      <c r="G1885" s="21">
        <v>0</v>
      </c>
    </row>
    <row r="1886" spans="1:7" x14ac:dyDescent="0.2">
      <c r="A1886" s="16" t="s">
        <v>46</v>
      </c>
      <c r="B1886" s="17" t="s">
        <v>6</v>
      </c>
      <c r="C1886" s="17" t="s">
        <v>8</v>
      </c>
      <c r="D1886" s="17" t="s">
        <v>10</v>
      </c>
      <c r="E1886" s="17" t="s">
        <v>26</v>
      </c>
      <c r="F1886" s="17" t="str">
        <f>INDEX(nrg_cb_e!$A$3:$A$40,MATCH(LEFT(MID('Industriesektor GWh'!$B1886,41,1000),SEARCH(" - ",MID('Industriesektor GWh'!$B1886,41,1000))-1),nrg_cb_e!$C$3:$C$40,0))</f>
        <v>FC_IND_IS_E</v>
      </c>
      <c r="G1886" s="18">
        <v>0</v>
      </c>
    </row>
    <row r="1887" spans="1:7" x14ac:dyDescent="0.2">
      <c r="A1887" s="19" t="s">
        <v>46</v>
      </c>
      <c r="B1887" s="20" t="s">
        <v>6</v>
      </c>
      <c r="C1887" s="20" t="s">
        <v>8</v>
      </c>
      <c r="D1887" s="20" t="s">
        <v>10</v>
      </c>
      <c r="E1887" s="20" t="s">
        <v>27</v>
      </c>
      <c r="F1887" s="20" t="str">
        <f>INDEX(nrg_cb_e!$A$3:$A$40,MATCH(LEFT(MID('Industriesektor GWh'!$B1887,41,1000),SEARCH(" - ",MID('Industriesektor GWh'!$B1887,41,1000))-1),nrg_cb_e!$C$3:$C$40,0))</f>
        <v>FC_IND_IS_E</v>
      </c>
      <c r="G1887" s="21">
        <v>6.0000000000000001E-3</v>
      </c>
    </row>
    <row r="1888" spans="1:7" x14ac:dyDescent="0.2">
      <c r="A1888" s="16" t="s">
        <v>46</v>
      </c>
      <c r="B1888" s="17" t="s">
        <v>6</v>
      </c>
      <c r="C1888" s="17" t="s">
        <v>8</v>
      </c>
      <c r="D1888" s="17" t="s">
        <v>10</v>
      </c>
      <c r="E1888" s="17" t="s">
        <v>28</v>
      </c>
      <c r="F1888" s="17" t="str">
        <f>INDEX(nrg_cb_e!$A$3:$A$40,MATCH(LEFT(MID('Industriesektor GWh'!$B1888,41,1000),SEARCH(" - ",MID('Industriesektor GWh'!$B1888,41,1000))-1),nrg_cb_e!$C$3:$C$40,0))</f>
        <v>FC_IND_IS_E</v>
      </c>
      <c r="G1888" s="18">
        <v>5.0000000000000001E-3</v>
      </c>
    </row>
    <row r="1889" spans="1:7" x14ac:dyDescent="0.2">
      <c r="A1889" s="19" t="s">
        <v>47</v>
      </c>
      <c r="B1889" s="20" t="s">
        <v>6</v>
      </c>
      <c r="C1889" s="20" t="s">
        <v>8</v>
      </c>
      <c r="D1889" s="20" t="s">
        <v>10</v>
      </c>
      <c r="E1889" s="20" t="s">
        <v>12</v>
      </c>
      <c r="F1889" s="20" t="str">
        <f>INDEX(nrg_cb_e!$A$3:$A$40,MATCH(LEFT(MID('Industriesektor GWh'!$B1889,41,1000),SEARCH(" - ",MID('Industriesektor GWh'!$B1889,41,1000))-1),nrg_cb_e!$C$3:$C$40,0))</f>
        <v>FC_IND_IS_E</v>
      </c>
      <c r="G1889" s="21">
        <v>2573</v>
      </c>
    </row>
    <row r="1890" spans="1:7" x14ac:dyDescent="0.2">
      <c r="A1890" s="16" t="s">
        <v>47</v>
      </c>
      <c r="B1890" s="17" t="s">
        <v>6</v>
      </c>
      <c r="C1890" s="17" t="s">
        <v>8</v>
      </c>
      <c r="D1890" s="17" t="s">
        <v>10</v>
      </c>
      <c r="E1890" s="17" t="s">
        <v>13</v>
      </c>
      <c r="F1890" s="17" t="str">
        <f>INDEX(nrg_cb_e!$A$3:$A$40,MATCH(LEFT(MID('Industriesektor GWh'!$B1890,41,1000),SEARCH(" - ",MID('Industriesektor GWh'!$B1890,41,1000))-1),nrg_cb_e!$C$3:$C$40,0))</f>
        <v>FC_IND_IS_E</v>
      </c>
      <c r="G1890" s="18">
        <v>2654</v>
      </c>
    </row>
    <row r="1891" spans="1:7" x14ac:dyDescent="0.2">
      <c r="A1891" s="19" t="s">
        <v>47</v>
      </c>
      <c r="B1891" s="20" t="s">
        <v>6</v>
      </c>
      <c r="C1891" s="20" t="s">
        <v>8</v>
      </c>
      <c r="D1891" s="20" t="s">
        <v>10</v>
      </c>
      <c r="E1891" s="20" t="s">
        <v>14</v>
      </c>
      <c r="F1891" s="20" t="str">
        <f>INDEX(nrg_cb_e!$A$3:$A$40,MATCH(LEFT(MID('Industriesektor GWh'!$B1891,41,1000),SEARCH(" - ",MID('Industriesektor GWh'!$B1891,41,1000))-1),nrg_cb_e!$C$3:$C$40,0))</f>
        <v>FC_IND_IS_E</v>
      </c>
      <c r="G1891" s="21">
        <v>2708</v>
      </c>
    </row>
    <row r="1892" spans="1:7" x14ac:dyDescent="0.2">
      <c r="A1892" s="16" t="s">
        <v>47</v>
      </c>
      <c r="B1892" s="17" t="s">
        <v>6</v>
      </c>
      <c r="C1892" s="17" t="s">
        <v>8</v>
      </c>
      <c r="D1892" s="17" t="s">
        <v>10</v>
      </c>
      <c r="E1892" s="17" t="s">
        <v>15</v>
      </c>
      <c r="F1892" s="17" t="str">
        <f>INDEX(nrg_cb_e!$A$3:$A$40,MATCH(LEFT(MID('Industriesektor GWh'!$B1892,41,1000),SEARCH(" - ",MID('Industriesektor GWh'!$B1892,41,1000))-1),nrg_cb_e!$C$3:$C$40,0))</f>
        <v>FC_IND_IS_E</v>
      </c>
      <c r="G1892" s="18">
        <v>2717</v>
      </c>
    </row>
    <row r="1893" spans="1:7" x14ac:dyDescent="0.2">
      <c r="A1893" s="19" t="s">
        <v>47</v>
      </c>
      <c r="B1893" s="20" t="s">
        <v>6</v>
      </c>
      <c r="C1893" s="20" t="s">
        <v>8</v>
      </c>
      <c r="D1893" s="20" t="s">
        <v>10</v>
      </c>
      <c r="E1893" s="20" t="s">
        <v>16</v>
      </c>
      <c r="F1893" s="20" t="str">
        <f>INDEX(nrg_cb_e!$A$3:$A$40,MATCH(LEFT(MID('Industriesektor GWh'!$B1893,41,1000),SEARCH(" - ",MID('Industriesektor GWh'!$B1893,41,1000))-1),nrg_cb_e!$C$3:$C$40,0))</f>
        <v>FC_IND_IS_E</v>
      </c>
      <c r="G1893" s="21">
        <v>2679</v>
      </c>
    </row>
    <row r="1894" spans="1:7" x14ac:dyDescent="0.2">
      <c r="A1894" s="16" t="s">
        <v>47</v>
      </c>
      <c r="B1894" s="17" t="s">
        <v>6</v>
      </c>
      <c r="C1894" s="17" t="s">
        <v>8</v>
      </c>
      <c r="D1894" s="17" t="s">
        <v>10</v>
      </c>
      <c r="E1894" s="17" t="s">
        <v>17</v>
      </c>
      <c r="F1894" s="17" t="str">
        <f>INDEX(nrg_cb_e!$A$3:$A$40,MATCH(LEFT(MID('Industriesektor GWh'!$B1894,41,1000),SEARCH(" - ",MID('Industriesektor GWh'!$B1894,41,1000))-1),nrg_cb_e!$C$3:$C$40,0))</f>
        <v>FC_IND_IS_E</v>
      </c>
      <c r="G1894" s="18">
        <v>2752</v>
      </c>
    </row>
    <row r="1895" spans="1:7" x14ac:dyDescent="0.2">
      <c r="A1895" s="19" t="s">
        <v>47</v>
      </c>
      <c r="B1895" s="20" t="s">
        <v>6</v>
      </c>
      <c r="C1895" s="20" t="s">
        <v>8</v>
      </c>
      <c r="D1895" s="20" t="s">
        <v>10</v>
      </c>
      <c r="E1895" s="20" t="s">
        <v>18</v>
      </c>
      <c r="F1895" s="20" t="str">
        <f>INDEX(nrg_cb_e!$A$3:$A$40,MATCH(LEFT(MID('Industriesektor GWh'!$B1895,41,1000),SEARCH(" - ",MID('Industriesektor GWh'!$B1895,41,1000))-1),nrg_cb_e!$C$3:$C$40,0))</f>
        <v>FC_IND_IS_E</v>
      </c>
      <c r="G1895" s="21">
        <v>2659</v>
      </c>
    </row>
    <row r="1896" spans="1:7" x14ac:dyDescent="0.2">
      <c r="A1896" s="16" t="s">
        <v>47</v>
      </c>
      <c r="B1896" s="17" t="s">
        <v>6</v>
      </c>
      <c r="C1896" s="17" t="s">
        <v>8</v>
      </c>
      <c r="D1896" s="17" t="s">
        <v>10</v>
      </c>
      <c r="E1896" s="17" t="s">
        <v>19</v>
      </c>
      <c r="F1896" s="17" t="str">
        <f>INDEX(nrg_cb_e!$A$3:$A$40,MATCH(LEFT(MID('Industriesektor GWh'!$B1896,41,1000),SEARCH(" - ",MID('Industriesektor GWh'!$B1896,41,1000))-1),nrg_cb_e!$C$3:$C$40,0))</f>
        <v>FC_IND_IS_E</v>
      </c>
      <c r="G1896" s="18">
        <v>2381</v>
      </c>
    </row>
    <row r="1897" spans="1:7" x14ac:dyDescent="0.2">
      <c r="A1897" s="19" t="s">
        <v>47</v>
      </c>
      <c r="B1897" s="20" t="s">
        <v>6</v>
      </c>
      <c r="C1897" s="20" t="s">
        <v>8</v>
      </c>
      <c r="D1897" s="20" t="s">
        <v>10</v>
      </c>
      <c r="E1897" s="20" t="s">
        <v>20</v>
      </c>
      <c r="F1897" s="20" t="str">
        <f>INDEX(nrg_cb_e!$A$3:$A$40,MATCH(LEFT(MID('Industriesektor GWh'!$B1897,41,1000),SEARCH(" - ",MID('Industriesektor GWh'!$B1897,41,1000))-1),nrg_cb_e!$C$3:$C$40,0))</f>
        <v>FC_IND_IS_E</v>
      </c>
      <c r="G1897" s="21">
        <v>2638</v>
      </c>
    </row>
    <row r="1898" spans="1:7" x14ac:dyDescent="0.2">
      <c r="A1898" s="16" t="s">
        <v>47</v>
      </c>
      <c r="B1898" s="17" t="s">
        <v>6</v>
      </c>
      <c r="C1898" s="17" t="s">
        <v>8</v>
      </c>
      <c r="D1898" s="17" t="s">
        <v>10</v>
      </c>
      <c r="E1898" s="17" t="s">
        <v>21</v>
      </c>
      <c r="F1898" s="17" t="str">
        <f>INDEX(nrg_cb_e!$A$3:$A$40,MATCH(LEFT(MID('Industriesektor GWh'!$B1898,41,1000),SEARCH(" - ",MID('Industriesektor GWh'!$B1898,41,1000))-1),nrg_cb_e!$C$3:$C$40,0))</f>
        <v>FC_IND_IS_E</v>
      </c>
      <c r="G1898" s="18">
        <v>2691</v>
      </c>
    </row>
    <row r="1899" spans="1:7" x14ac:dyDescent="0.2">
      <c r="A1899" s="19" t="s">
        <v>47</v>
      </c>
      <c r="B1899" s="20" t="s">
        <v>6</v>
      </c>
      <c r="C1899" s="20" t="s">
        <v>8</v>
      </c>
      <c r="D1899" s="20" t="s">
        <v>10</v>
      </c>
      <c r="E1899" s="20" t="s">
        <v>22</v>
      </c>
      <c r="F1899" s="20" t="str">
        <f>INDEX(nrg_cb_e!$A$3:$A$40,MATCH(LEFT(MID('Industriesektor GWh'!$B1899,41,1000),SEARCH(" - ",MID('Industriesektor GWh'!$B1899,41,1000))-1),nrg_cb_e!$C$3:$C$40,0))</f>
        <v>FC_IND_IS_E</v>
      </c>
      <c r="G1899" s="21">
        <v>2706</v>
      </c>
    </row>
    <row r="1900" spans="1:7" x14ac:dyDescent="0.2">
      <c r="A1900" s="16" t="s">
        <v>47</v>
      </c>
      <c r="B1900" s="17" t="s">
        <v>6</v>
      </c>
      <c r="C1900" s="17" t="s">
        <v>8</v>
      </c>
      <c r="D1900" s="17" t="s">
        <v>10</v>
      </c>
      <c r="E1900" s="17" t="s">
        <v>23</v>
      </c>
      <c r="F1900" s="17" t="str">
        <f>INDEX(nrg_cb_e!$A$3:$A$40,MATCH(LEFT(MID('Industriesektor GWh'!$B1900,41,1000),SEARCH(" - ",MID('Industriesektor GWh'!$B1900,41,1000))-1),nrg_cb_e!$C$3:$C$40,0))</f>
        <v>FC_IND_IS_E</v>
      </c>
      <c r="G1900" s="18">
        <v>2648</v>
      </c>
    </row>
    <row r="1901" spans="1:7" x14ac:dyDescent="0.2">
      <c r="A1901" s="19" t="s">
        <v>47</v>
      </c>
      <c r="B1901" s="20" t="s">
        <v>6</v>
      </c>
      <c r="C1901" s="20" t="s">
        <v>8</v>
      </c>
      <c r="D1901" s="20" t="s">
        <v>10</v>
      </c>
      <c r="E1901" s="20" t="s">
        <v>24</v>
      </c>
      <c r="F1901" s="20" t="str">
        <f>INDEX(nrg_cb_e!$A$3:$A$40,MATCH(LEFT(MID('Industriesektor GWh'!$B1901,41,1000),SEARCH(" - ",MID('Industriesektor GWh'!$B1901,41,1000))-1),nrg_cb_e!$C$3:$C$40,0))</f>
        <v>FC_IND_IS_E</v>
      </c>
      <c r="G1901" s="21">
        <v>2704</v>
      </c>
    </row>
    <row r="1902" spans="1:7" x14ac:dyDescent="0.2">
      <c r="A1902" s="16" t="s">
        <v>47</v>
      </c>
      <c r="B1902" s="17" t="s">
        <v>6</v>
      </c>
      <c r="C1902" s="17" t="s">
        <v>8</v>
      </c>
      <c r="D1902" s="17" t="s">
        <v>10</v>
      </c>
      <c r="E1902" s="17" t="s">
        <v>25</v>
      </c>
      <c r="F1902" s="17" t="str">
        <f>INDEX(nrg_cb_e!$A$3:$A$40,MATCH(LEFT(MID('Industriesektor GWh'!$B1902,41,1000),SEARCH(" - ",MID('Industriesektor GWh'!$B1902,41,1000))-1),nrg_cb_e!$C$3:$C$40,0))</f>
        <v>FC_IND_IS_E</v>
      </c>
      <c r="G1902" s="18">
        <v>2687.663</v>
      </c>
    </row>
    <row r="1903" spans="1:7" x14ac:dyDescent="0.2">
      <c r="A1903" s="19" t="s">
        <v>47</v>
      </c>
      <c r="B1903" s="20" t="s">
        <v>6</v>
      </c>
      <c r="C1903" s="20" t="s">
        <v>8</v>
      </c>
      <c r="D1903" s="20" t="s">
        <v>10</v>
      </c>
      <c r="E1903" s="20" t="s">
        <v>26</v>
      </c>
      <c r="F1903" s="20" t="str">
        <f>INDEX(nrg_cb_e!$A$3:$A$40,MATCH(LEFT(MID('Industriesektor GWh'!$B1903,41,1000),SEARCH(" - ",MID('Industriesektor GWh'!$B1903,41,1000))-1),nrg_cb_e!$C$3:$C$40,0))</f>
        <v>FC_IND_IS_E</v>
      </c>
      <c r="G1903" s="21">
        <v>2605.9549999999999</v>
      </c>
    </row>
    <row r="1904" spans="1:7" x14ac:dyDescent="0.2">
      <c r="A1904" s="16" t="s">
        <v>47</v>
      </c>
      <c r="B1904" s="17" t="s">
        <v>6</v>
      </c>
      <c r="C1904" s="17" t="s">
        <v>8</v>
      </c>
      <c r="D1904" s="17" t="s">
        <v>10</v>
      </c>
      <c r="E1904" s="17" t="s">
        <v>27</v>
      </c>
      <c r="F1904" s="17" t="str">
        <f>INDEX(nrg_cb_e!$A$3:$A$40,MATCH(LEFT(MID('Industriesektor GWh'!$B1904,41,1000),SEARCH(" - ",MID('Industriesektor GWh'!$B1904,41,1000))-1),nrg_cb_e!$C$3:$C$40,0))</f>
        <v>FC_IND_IS_E</v>
      </c>
      <c r="G1904" s="18">
        <v>2584.8040000000001</v>
      </c>
    </row>
    <row r="1905" spans="1:7" x14ac:dyDescent="0.2">
      <c r="A1905" s="19" t="s">
        <v>47</v>
      </c>
      <c r="B1905" s="20" t="s">
        <v>6</v>
      </c>
      <c r="C1905" s="20" t="s">
        <v>8</v>
      </c>
      <c r="D1905" s="20" t="s">
        <v>10</v>
      </c>
      <c r="E1905" s="20" t="s">
        <v>28</v>
      </c>
      <c r="F1905" s="20" t="str">
        <f>INDEX(nrg_cb_e!$A$3:$A$40,MATCH(LEFT(MID('Industriesektor GWh'!$B1905,41,1000),SEARCH(" - ",MID('Industriesektor GWh'!$B1905,41,1000))-1),nrg_cb_e!$C$3:$C$40,0))</f>
        <v>FC_IND_IS_E</v>
      </c>
      <c r="G1905" s="21">
        <v>2498.0410000000002</v>
      </c>
    </row>
    <row r="1906" spans="1:7" x14ac:dyDescent="0.2">
      <c r="A1906" s="16" t="s">
        <v>48</v>
      </c>
      <c r="B1906" s="17" t="s">
        <v>6</v>
      </c>
      <c r="C1906" s="17" t="s">
        <v>8</v>
      </c>
      <c r="D1906" s="17" t="s">
        <v>10</v>
      </c>
      <c r="E1906" s="17" t="s">
        <v>12</v>
      </c>
      <c r="F1906" s="17" t="str">
        <f>INDEX(nrg_cb_e!$A$3:$A$40,MATCH(LEFT(MID('Industriesektor GWh'!$B1906,41,1000),SEARCH(" - ",MID('Industriesektor GWh'!$B1906,41,1000))-1),nrg_cb_e!$C$3:$C$40,0))</f>
        <v>FC_IND_IS_E</v>
      </c>
      <c r="G1906" s="18">
        <v>2745</v>
      </c>
    </row>
    <row r="1907" spans="1:7" x14ac:dyDescent="0.2">
      <c r="A1907" s="19" t="s">
        <v>48</v>
      </c>
      <c r="B1907" s="20" t="s">
        <v>6</v>
      </c>
      <c r="C1907" s="20" t="s">
        <v>8</v>
      </c>
      <c r="D1907" s="20" t="s">
        <v>10</v>
      </c>
      <c r="E1907" s="20" t="s">
        <v>13</v>
      </c>
      <c r="F1907" s="20" t="str">
        <f>INDEX(nrg_cb_e!$A$3:$A$40,MATCH(LEFT(MID('Industriesektor GWh'!$B1907,41,1000),SEARCH(" - ",MID('Industriesektor GWh'!$B1907,41,1000))-1),nrg_cb_e!$C$3:$C$40,0))</f>
        <v>FC_IND_IS_E</v>
      </c>
      <c r="G1907" s="21">
        <v>2680</v>
      </c>
    </row>
    <row r="1908" spans="1:7" x14ac:dyDescent="0.2">
      <c r="A1908" s="16" t="s">
        <v>48</v>
      </c>
      <c r="B1908" s="17" t="s">
        <v>6</v>
      </c>
      <c r="C1908" s="17" t="s">
        <v>8</v>
      </c>
      <c r="D1908" s="17" t="s">
        <v>10</v>
      </c>
      <c r="E1908" s="17" t="s">
        <v>14</v>
      </c>
      <c r="F1908" s="17" t="str">
        <f>INDEX(nrg_cb_e!$A$3:$A$40,MATCH(LEFT(MID('Industriesektor GWh'!$B1908,41,1000),SEARCH(" - ",MID('Industriesektor GWh'!$B1908,41,1000))-1),nrg_cb_e!$C$3:$C$40,0))</f>
        <v>FC_IND_IS_E</v>
      </c>
      <c r="G1908" s="18">
        <v>3074</v>
      </c>
    </row>
    <row r="1909" spans="1:7" x14ac:dyDescent="0.2">
      <c r="A1909" s="19" t="s">
        <v>48</v>
      </c>
      <c r="B1909" s="20" t="s">
        <v>6</v>
      </c>
      <c r="C1909" s="20" t="s">
        <v>8</v>
      </c>
      <c r="D1909" s="20" t="s">
        <v>10</v>
      </c>
      <c r="E1909" s="20" t="s">
        <v>15</v>
      </c>
      <c r="F1909" s="20" t="str">
        <f>INDEX(nrg_cb_e!$A$3:$A$40,MATCH(LEFT(MID('Industriesektor GWh'!$B1909,41,1000),SEARCH(" - ",MID('Industriesektor GWh'!$B1909,41,1000))-1),nrg_cb_e!$C$3:$C$40,0))</f>
        <v>FC_IND_IS_E</v>
      </c>
      <c r="G1909" s="21">
        <v>2026.2270000000001</v>
      </c>
    </row>
    <row r="1910" spans="1:7" x14ac:dyDescent="0.2">
      <c r="A1910" s="16" t="s">
        <v>48</v>
      </c>
      <c r="B1910" s="17" t="s">
        <v>6</v>
      </c>
      <c r="C1910" s="17" t="s">
        <v>8</v>
      </c>
      <c r="D1910" s="17" t="s">
        <v>10</v>
      </c>
      <c r="E1910" s="17" t="s">
        <v>16</v>
      </c>
      <c r="F1910" s="17" t="str">
        <f>INDEX(nrg_cb_e!$A$3:$A$40,MATCH(LEFT(MID('Industriesektor GWh'!$B1910,41,1000),SEARCH(" - ",MID('Industriesektor GWh'!$B1910,41,1000))-1),nrg_cb_e!$C$3:$C$40,0))</f>
        <v>FC_IND_IS_E</v>
      </c>
      <c r="G1910" s="18">
        <v>2093.5439999999999</v>
      </c>
    </row>
    <row r="1911" spans="1:7" x14ac:dyDescent="0.2">
      <c r="A1911" s="19" t="s">
        <v>48</v>
      </c>
      <c r="B1911" s="20" t="s">
        <v>6</v>
      </c>
      <c r="C1911" s="20" t="s">
        <v>8</v>
      </c>
      <c r="D1911" s="20" t="s">
        <v>10</v>
      </c>
      <c r="E1911" s="20" t="s">
        <v>17</v>
      </c>
      <c r="F1911" s="20" t="str">
        <f>INDEX(nrg_cb_e!$A$3:$A$40,MATCH(LEFT(MID('Industriesektor GWh'!$B1911,41,1000),SEARCH(" - ",MID('Industriesektor GWh'!$B1911,41,1000))-1),nrg_cb_e!$C$3:$C$40,0))</f>
        <v>FC_IND_IS_E</v>
      </c>
      <c r="G1911" s="21">
        <v>2250.4299999999998</v>
      </c>
    </row>
    <row r="1912" spans="1:7" x14ac:dyDescent="0.2">
      <c r="A1912" s="16" t="s">
        <v>48</v>
      </c>
      <c r="B1912" s="17" t="s">
        <v>6</v>
      </c>
      <c r="C1912" s="17" t="s">
        <v>8</v>
      </c>
      <c r="D1912" s="17" t="s">
        <v>10</v>
      </c>
      <c r="E1912" s="17" t="s">
        <v>18</v>
      </c>
      <c r="F1912" s="17" t="str">
        <f>INDEX(nrg_cb_e!$A$3:$A$40,MATCH(LEFT(MID('Industriesektor GWh'!$B1912,41,1000),SEARCH(" - ",MID('Industriesektor GWh'!$B1912,41,1000))-1),nrg_cb_e!$C$3:$C$40,0))</f>
        <v>FC_IND_IS_E</v>
      </c>
      <c r="G1912" s="18">
        <v>2030.749</v>
      </c>
    </row>
    <row r="1913" spans="1:7" x14ac:dyDescent="0.2">
      <c r="A1913" s="19" t="s">
        <v>48</v>
      </c>
      <c r="B1913" s="20" t="s">
        <v>6</v>
      </c>
      <c r="C1913" s="20" t="s">
        <v>8</v>
      </c>
      <c r="D1913" s="20" t="s">
        <v>10</v>
      </c>
      <c r="E1913" s="20" t="s">
        <v>19</v>
      </c>
      <c r="F1913" s="20" t="str">
        <f>INDEX(nrg_cb_e!$A$3:$A$40,MATCH(LEFT(MID('Industriesektor GWh'!$B1913,41,1000),SEARCH(" - ",MID('Industriesektor GWh'!$B1913,41,1000))-1),nrg_cb_e!$C$3:$C$40,0))</f>
        <v>FC_IND_IS_E</v>
      </c>
      <c r="G1913" s="21">
        <v>2004.038</v>
      </c>
    </row>
    <row r="1914" spans="1:7" x14ac:dyDescent="0.2">
      <c r="A1914" s="16" t="s">
        <v>48</v>
      </c>
      <c r="B1914" s="17" t="s">
        <v>6</v>
      </c>
      <c r="C1914" s="17" t="s">
        <v>8</v>
      </c>
      <c r="D1914" s="17" t="s">
        <v>10</v>
      </c>
      <c r="E1914" s="17" t="s">
        <v>20</v>
      </c>
      <c r="F1914" s="17" t="str">
        <f>INDEX(nrg_cb_e!$A$3:$A$40,MATCH(LEFT(MID('Industriesektor GWh'!$B1914,41,1000),SEARCH(" - ",MID('Industriesektor GWh'!$B1914,41,1000))-1),nrg_cb_e!$C$3:$C$40,0))</f>
        <v>FC_IND_IS_E</v>
      </c>
      <c r="G1914" s="18">
        <v>2284.3890000000001</v>
      </c>
    </row>
    <row r="1915" spans="1:7" x14ac:dyDescent="0.2">
      <c r="A1915" s="19" t="s">
        <v>48</v>
      </c>
      <c r="B1915" s="20" t="s">
        <v>6</v>
      </c>
      <c r="C1915" s="20" t="s">
        <v>8</v>
      </c>
      <c r="D1915" s="20" t="s">
        <v>10</v>
      </c>
      <c r="E1915" s="20" t="s">
        <v>21</v>
      </c>
      <c r="F1915" s="20" t="str">
        <f>INDEX(nrg_cb_e!$A$3:$A$40,MATCH(LEFT(MID('Industriesektor GWh'!$B1915,41,1000),SEARCH(" - ",MID('Industriesektor GWh'!$B1915,41,1000))-1),nrg_cb_e!$C$3:$C$40,0))</f>
        <v>FC_IND_IS_E</v>
      </c>
      <c r="G1915" s="21">
        <v>2340.0650000000001</v>
      </c>
    </row>
    <row r="1916" spans="1:7" x14ac:dyDescent="0.2">
      <c r="A1916" s="16" t="s">
        <v>48</v>
      </c>
      <c r="B1916" s="17" t="s">
        <v>6</v>
      </c>
      <c r="C1916" s="17" t="s">
        <v>8</v>
      </c>
      <c r="D1916" s="17" t="s">
        <v>10</v>
      </c>
      <c r="E1916" s="17" t="s">
        <v>22</v>
      </c>
      <c r="F1916" s="17" t="str">
        <f>INDEX(nrg_cb_e!$A$3:$A$40,MATCH(LEFT(MID('Industriesektor GWh'!$B1916,41,1000),SEARCH(" - ",MID('Industriesektor GWh'!$B1916,41,1000))-1),nrg_cb_e!$C$3:$C$40,0))</f>
        <v>FC_IND_IS_E</v>
      </c>
      <c r="G1916" s="18">
        <v>2386.0169999999998</v>
      </c>
    </row>
    <row r="1917" spans="1:7" x14ac:dyDescent="0.2">
      <c r="A1917" s="19" t="s">
        <v>48</v>
      </c>
      <c r="B1917" s="20" t="s">
        <v>6</v>
      </c>
      <c r="C1917" s="20" t="s">
        <v>8</v>
      </c>
      <c r="D1917" s="20" t="s">
        <v>10</v>
      </c>
      <c r="E1917" s="20" t="s">
        <v>23</v>
      </c>
      <c r="F1917" s="20" t="str">
        <f>INDEX(nrg_cb_e!$A$3:$A$40,MATCH(LEFT(MID('Industriesektor GWh'!$B1917,41,1000),SEARCH(" - ",MID('Industriesektor GWh'!$B1917,41,1000))-1),nrg_cb_e!$C$3:$C$40,0))</f>
        <v>FC_IND_IS_E</v>
      </c>
      <c r="G1917" s="21">
        <v>2429.3719999999998</v>
      </c>
    </row>
    <row r="1918" spans="1:7" x14ac:dyDescent="0.2">
      <c r="A1918" s="16" t="s">
        <v>48</v>
      </c>
      <c r="B1918" s="17" t="s">
        <v>6</v>
      </c>
      <c r="C1918" s="17" t="s">
        <v>8</v>
      </c>
      <c r="D1918" s="17" t="s">
        <v>10</v>
      </c>
      <c r="E1918" s="17" t="s">
        <v>24</v>
      </c>
      <c r="F1918" s="17" t="str">
        <f>INDEX(nrg_cb_e!$A$3:$A$40,MATCH(LEFT(MID('Industriesektor GWh'!$B1918,41,1000),SEARCH(" - ",MID('Industriesektor GWh'!$B1918,41,1000))-1),nrg_cb_e!$C$3:$C$40,0))</f>
        <v>FC_IND_IS_E</v>
      </c>
      <c r="G1918" s="18">
        <v>2370.0659999999998</v>
      </c>
    </row>
    <row r="1919" spans="1:7" x14ac:dyDescent="0.2">
      <c r="A1919" s="19" t="s">
        <v>48</v>
      </c>
      <c r="B1919" s="20" t="s">
        <v>6</v>
      </c>
      <c r="C1919" s="20" t="s">
        <v>8</v>
      </c>
      <c r="D1919" s="20" t="s">
        <v>10</v>
      </c>
      <c r="E1919" s="20" t="s">
        <v>25</v>
      </c>
      <c r="F1919" s="20" t="str">
        <f>INDEX(nrg_cb_e!$A$3:$A$40,MATCH(LEFT(MID('Industriesektor GWh'!$B1919,41,1000),SEARCH(" - ",MID('Industriesektor GWh'!$B1919,41,1000))-1),nrg_cb_e!$C$3:$C$40,0))</f>
        <v>FC_IND_IS_E</v>
      </c>
      <c r="G1919" s="21">
        <v>2592.491</v>
      </c>
    </row>
    <row r="1920" spans="1:7" x14ac:dyDescent="0.2">
      <c r="A1920" s="16" t="s">
        <v>48</v>
      </c>
      <c r="B1920" s="17" t="s">
        <v>6</v>
      </c>
      <c r="C1920" s="17" t="s">
        <v>8</v>
      </c>
      <c r="D1920" s="17" t="s">
        <v>10</v>
      </c>
      <c r="E1920" s="17" t="s">
        <v>26</v>
      </c>
      <c r="F1920" s="17" t="str">
        <f>INDEX(nrg_cb_e!$A$3:$A$40,MATCH(LEFT(MID('Industriesektor GWh'!$B1920,41,1000),SEARCH(" - ",MID('Industriesektor GWh'!$B1920,41,1000))-1),nrg_cb_e!$C$3:$C$40,0))</f>
        <v>FC_IND_IS_E</v>
      </c>
      <c r="G1920" s="18">
        <v>2597.5940000000001</v>
      </c>
    </row>
    <row r="1921" spans="1:7" x14ac:dyDescent="0.2">
      <c r="A1921" s="19" t="s">
        <v>48</v>
      </c>
      <c r="B1921" s="20" t="s">
        <v>6</v>
      </c>
      <c r="C1921" s="20" t="s">
        <v>8</v>
      </c>
      <c r="D1921" s="20" t="s">
        <v>10</v>
      </c>
      <c r="E1921" s="20" t="s">
        <v>27</v>
      </c>
      <c r="F1921" s="20" t="str">
        <f>INDEX(nrg_cb_e!$A$3:$A$40,MATCH(LEFT(MID('Industriesektor GWh'!$B1921,41,1000),SEARCH(" - ",MID('Industriesektor GWh'!$B1921,41,1000))-1),nrg_cb_e!$C$3:$C$40,0))</f>
        <v>FC_IND_IS_E</v>
      </c>
      <c r="G1921" s="21">
        <v>2579.9009999999998</v>
      </c>
    </row>
    <row r="1922" spans="1:7" x14ac:dyDescent="0.2">
      <c r="A1922" s="16" t="s">
        <v>48</v>
      </c>
      <c r="B1922" s="17" t="s">
        <v>6</v>
      </c>
      <c r="C1922" s="17" t="s">
        <v>8</v>
      </c>
      <c r="D1922" s="17" t="s">
        <v>10</v>
      </c>
      <c r="E1922" s="17" t="s">
        <v>28</v>
      </c>
      <c r="F1922" s="17" t="str">
        <f>INDEX(nrg_cb_e!$A$3:$A$40,MATCH(LEFT(MID('Industriesektor GWh'!$B1922,41,1000),SEARCH(" - ",MID('Industriesektor GWh'!$B1922,41,1000))-1),nrg_cb_e!$C$3:$C$40,0))</f>
        <v>FC_IND_IS_E</v>
      </c>
      <c r="G1922" s="18">
        <v>2500.17</v>
      </c>
    </row>
    <row r="1923" spans="1:7" x14ac:dyDescent="0.2">
      <c r="A1923" s="19" t="s">
        <v>49</v>
      </c>
      <c r="B1923" s="20" t="s">
        <v>6</v>
      </c>
      <c r="C1923" s="20" t="s">
        <v>8</v>
      </c>
      <c r="D1923" s="20" t="s">
        <v>10</v>
      </c>
      <c r="E1923" s="20" t="s">
        <v>12</v>
      </c>
      <c r="F1923" s="20" t="str">
        <f>INDEX(nrg_cb_e!$A$3:$A$40,MATCH(LEFT(MID('Industriesektor GWh'!$B1923,41,1000),SEARCH(" - ",MID('Industriesektor GWh'!$B1923,41,1000))-1),nrg_cb_e!$C$3:$C$40,0))</f>
        <v>FC_IND_IS_E</v>
      </c>
      <c r="G1923" s="21">
        <v>5446</v>
      </c>
    </row>
    <row r="1924" spans="1:7" x14ac:dyDescent="0.2">
      <c r="A1924" s="16" t="s">
        <v>49</v>
      </c>
      <c r="B1924" s="17" t="s">
        <v>6</v>
      </c>
      <c r="C1924" s="17" t="s">
        <v>8</v>
      </c>
      <c r="D1924" s="17" t="s">
        <v>10</v>
      </c>
      <c r="E1924" s="17" t="s">
        <v>13</v>
      </c>
      <c r="F1924" s="17" t="str">
        <f>INDEX(nrg_cb_e!$A$3:$A$40,MATCH(LEFT(MID('Industriesektor GWh'!$B1924,41,1000),SEARCH(" - ",MID('Industriesektor GWh'!$B1924,41,1000))-1),nrg_cb_e!$C$3:$C$40,0))</f>
        <v>FC_IND_IS_E</v>
      </c>
      <c r="G1924" s="18">
        <v>6148</v>
      </c>
    </row>
    <row r="1925" spans="1:7" x14ac:dyDescent="0.2">
      <c r="A1925" s="19" t="s">
        <v>49</v>
      </c>
      <c r="B1925" s="20" t="s">
        <v>6</v>
      </c>
      <c r="C1925" s="20" t="s">
        <v>8</v>
      </c>
      <c r="D1925" s="20" t="s">
        <v>10</v>
      </c>
      <c r="E1925" s="20" t="s">
        <v>14</v>
      </c>
      <c r="F1925" s="20" t="str">
        <f>INDEX(nrg_cb_e!$A$3:$A$40,MATCH(LEFT(MID('Industriesektor GWh'!$B1925,41,1000),SEARCH(" - ",MID('Industriesektor GWh'!$B1925,41,1000))-1),nrg_cb_e!$C$3:$C$40,0))</f>
        <v>FC_IND_IS_E</v>
      </c>
      <c r="G1925" s="21">
        <v>7204</v>
      </c>
    </row>
    <row r="1926" spans="1:7" x14ac:dyDescent="0.2">
      <c r="A1926" s="16" t="s">
        <v>49</v>
      </c>
      <c r="B1926" s="17" t="s">
        <v>6</v>
      </c>
      <c r="C1926" s="17" t="s">
        <v>8</v>
      </c>
      <c r="D1926" s="17" t="s">
        <v>10</v>
      </c>
      <c r="E1926" s="17" t="s">
        <v>15</v>
      </c>
      <c r="F1926" s="17" t="str">
        <f>INDEX(nrg_cb_e!$A$3:$A$40,MATCH(LEFT(MID('Industriesektor GWh'!$B1926,41,1000),SEARCH(" - ",MID('Industriesektor GWh'!$B1926,41,1000))-1),nrg_cb_e!$C$3:$C$40,0))</f>
        <v>FC_IND_IS_E</v>
      </c>
      <c r="G1926" s="18">
        <v>5921</v>
      </c>
    </row>
    <row r="1927" spans="1:7" x14ac:dyDescent="0.2">
      <c r="A1927" s="19" t="s">
        <v>49</v>
      </c>
      <c r="B1927" s="20" t="s">
        <v>6</v>
      </c>
      <c r="C1927" s="20" t="s">
        <v>8</v>
      </c>
      <c r="D1927" s="20" t="s">
        <v>10</v>
      </c>
      <c r="E1927" s="20" t="s">
        <v>16</v>
      </c>
      <c r="F1927" s="20" t="str">
        <f>INDEX(nrg_cb_e!$A$3:$A$40,MATCH(LEFT(MID('Industriesektor GWh'!$B1927,41,1000),SEARCH(" - ",MID('Industriesektor GWh'!$B1927,41,1000))-1),nrg_cb_e!$C$3:$C$40,0))</f>
        <v>FC_IND_IS_E</v>
      </c>
      <c r="G1927" s="21">
        <v>6262</v>
      </c>
    </row>
    <row r="1928" spans="1:7" x14ac:dyDescent="0.2">
      <c r="A1928" s="16" t="s">
        <v>49</v>
      </c>
      <c r="B1928" s="17" t="s">
        <v>6</v>
      </c>
      <c r="C1928" s="17" t="s">
        <v>8</v>
      </c>
      <c r="D1928" s="17" t="s">
        <v>10</v>
      </c>
      <c r="E1928" s="17" t="s">
        <v>17</v>
      </c>
      <c r="F1928" s="17" t="str">
        <f>INDEX(nrg_cb_e!$A$3:$A$40,MATCH(LEFT(MID('Industriesektor GWh'!$B1928,41,1000),SEARCH(" - ",MID('Industriesektor GWh'!$B1928,41,1000))-1),nrg_cb_e!$C$3:$C$40,0))</f>
        <v>FC_IND_IS_E</v>
      </c>
      <c r="G1928" s="18">
        <v>7012</v>
      </c>
    </row>
    <row r="1929" spans="1:7" x14ac:dyDescent="0.2">
      <c r="A1929" s="19" t="s">
        <v>49</v>
      </c>
      <c r="B1929" s="20" t="s">
        <v>6</v>
      </c>
      <c r="C1929" s="20" t="s">
        <v>8</v>
      </c>
      <c r="D1929" s="20" t="s">
        <v>10</v>
      </c>
      <c r="E1929" s="20" t="s">
        <v>18</v>
      </c>
      <c r="F1929" s="20" t="str">
        <f>INDEX(nrg_cb_e!$A$3:$A$40,MATCH(LEFT(MID('Industriesektor GWh'!$B1929,41,1000),SEARCH(" - ",MID('Industriesektor GWh'!$B1929,41,1000))-1),nrg_cb_e!$C$3:$C$40,0))</f>
        <v>FC_IND_IS_E</v>
      </c>
      <c r="G1929" s="21">
        <v>6733</v>
      </c>
    </row>
    <row r="1930" spans="1:7" x14ac:dyDescent="0.2">
      <c r="A1930" s="16" t="s">
        <v>49</v>
      </c>
      <c r="B1930" s="17" t="s">
        <v>6</v>
      </c>
      <c r="C1930" s="17" t="s">
        <v>8</v>
      </c>
      <c r="D1930" s="17" t="s">
        <v>10</v>
      </c>
      <c r="E1930" s="17" t="s">
        <v>19</v>
      </c>
      <c r="F1930" s="17" t="str">
        <f>INDEX(nrg_cb_e!$A$3:$A$40,MATCH(LEFT(MID('Industriesektor GWh'!$B1930,41,1000),SEARCH(" - ",MID('Industriesektor GWh'!$B1930,41,1000))-1),nrg_cb_e!$C$3:$C$40,0))</f>
        <v>FC_IND_IS_E</v>
      </c>
      <c r="G1930" s="18">
        <v>4995</v>
      </c>
    </row>
    <row r="1931" spans="1:7" x14ac:dyDescent="0.2">
      <c r="A1931" s="19" t="s">
        <v>49</v>
      </c>
      <c r="B1931" s="20" t="s">
        <v>6</v>
      </c>
      <c r="C1931" s="20" t="s">
        <v>8</v>
      </c>
      <c r="D1931" s="20" t="s">
        <v>10</v>
      </c>
      <c r="E1931" s="20" t="s">
        <v>20</v>
      </c>
      <c r="F1931" s="20" t="str">
        <f>INDEX(nrg_cb_e!$A$3:$A$40,MATCH(LEFT(MID('Industriesektor GWh'!$B1931,41,1000),SEARCH(" - ",MID('Industriesektor GWh'!$B1931,41,1000))-1),nrg_cb_e!$C$3:$C$40,0))</f>
        <v>FC_IND_IS_E</v>
      </c>
      <c r="G1931" s="21">
        <v>5888</v>
      </c>
    </row>
    <row r="1932" spans="1:7" x14ac:dyDescent="0.2">
      <c r="A1932" s="16" t="s">
        <v>49</v>
      </c>
      <c r="B1932" s="17" t="s">
        <v>6</v>
      </c>
      <c r="C1932" s="17" t="s">
        <v>8</v>
      </c>
      <c r="D1932" s="17" t="s">
        <v>10</v>
      </c>
      <c r="E1932" s="17" t="s">
        <v>21</v>
      </c>
      <c r="F1932" s="17" t="str">
        <f>INDEX(nrg_cb_e!$A$3:$A$40,MATCH(LEFT(MID('Industriesektor GWh'!$B1932,41,1000),SEARCH(" - ",MID('Industriesektor GWh'!$B1932,41,1000))-1),nrg_cb_e!$C$3:$C$40,0))</f>
        <v>FC_IND_IS_E</v>
      </c>
      <c r="G1932" s="18">
        <v>6323</v>
      </c>
    </row>
    <row r="1933" spans="1:7" x14ac:dyDescent="0.2">
      <c r="A1933" s="19" t="s">
        <v>49</v>
      </c>
      <c r="B1933" s="20" t="s">
        <v>6</v>
      </c>
      <c r="C1933" s="20" t="s">
        <v>8</v>
      </c>
      <c r="D1933" s="20" t="s">
        <v>10</v>
      </c>
      <c r="E1933" s="20" t="s">
        <v>22</v>
      </c>
      <c r="F1933" s="20" t="str">
        <f>INDEX(nrg_cb_e!$A$3:$A$40,MATCH(LEFT(MID('Industriesektor GWh'!$B1933,41,1000),SEARCH(" - ",MID('Industriesektor GWh'!$B1933,41,1000))-1),nrg_cb_e!$C$3:$C$40,0))</f>
        <v>FC_IND_IS_E</v>
      </c>
      <c r="G1933" s="21">
        <v>6323</v>
      </c>
    </row>
    <row r="1934" spans="1:7" x14ac:dyDescent="0.2">
      <c r="A1934" s="16" t="s">
        <v>49</v>
      </c>
      <c r="B1934" s="17" t="s">
        <v>6</v>
      </c>
      <c r="C1934" s="17" t="s">
        <v>8</v>
      </c>
      <c r="D1934" s="17" t="s">
        <v>10</v>
      </c>
      <c r="E1934" s="17" t="s">
        <v>23</v>
      </c>
      <c r="F1934" s="17" t="str">
        <f>INDEX(nrg_cb_e!$A$3:$A$40,MATCH(LEFT(MID('Industriesektor GWh'!$B1934,41,1000),SEARCH(" - ",MID('Industriesektor GWh'!$B1934,41,1000))-1),nrg_cb_e!$C$3:$C$40,0))</f>
        <v>FC_IND_IS_E</v>
      </c>
      <c r="G1934" s="18">
        <v>6085</v>
      </c>
    </row>
    <row r="1935" spans="1:7" x14ac:dyDescent="0.2">
      <c r="A1935" s="19" t="s">
        <v>49</v>
      </c>
      <c r="B1935" s="20" t="s">
        <v>6</v>
      </c>
      <c r="C1935" s="20" t="s">
        <v>8</v>
      </c>
      <c r="D1935" s="20" t="s">
        <v>10</v>
      </c>
      <c r="E1935" s="20" t="s">
        <v>24</v>
      </c>
      <c r="F1935" s="20" t="str">
        <f>INDEX(nrg_cb_e!$A$3:$A$40,MATCH(LEFT(MID('Industriesektor GWh'!$B1935,41,1000),SEARCH(" - ",MID('Industriesektor GWh'!$B1935,41,1000))-1),nrg_cb_e!$C$3:$C$40,0))</f>
        <v>FC_IND_IS_E</v>
      </c>
      <c r="G1935" s="21">
        <v>6015</v>
      </c>
    </row>
    <row r="1936" spans="1:7" x14ac:dyDescent="0.2">
      <c r="A1936" s="16" t="s">
        <v>49</v>
      </c>
      <c r="B1936" s="17" t="s">
        <v>6</v>
      </c>
      <c r="C1936" s="17" t="s">
        <v>8</v>
      </c>
      <c r="D1936" s="17" t="s">
        <v>10</v>
      </c>
      <c r="E1936" s="17" t="s">
        <v>25</v>
      </c>
      <c r="F1936" s="17" t="str">
        <f>INDEX(nrg_cb_e!$A$3:$A$40,MATCH(LEFT(MID('Industriesektor GWh'!$B1936,41,1000),SEARCH(" - ",MID('Industriesektor GWh'!$B1936,41,1000))-1),nrg_cb_e!$C$3:$C$40,0))</f>
        <v>FC_IND_IS_E</v>
      </c>
      <c r="G1936" s="18">
        <v>6236</v>
      </c>
    </row>
    <row r="1937" spans="1:7" x14ac:dyDescent="0.2">
      <c r="A1937" s="19" t="s">
        <v>49</v>
      </c>
      <c r="B1937" s="20" t="s">
        <v>6</v>
      </c>
      <c r="C1937" s="20" t="s">
        <v>8</v>
      </c>
      <c r="D1937" s="20" t="s">
        <v>10</v>
      </c>
      <c r="E1937" s="20" t="s">
        <v>26</v>
      </c>
      <c r="F1937" s="20" t="str">
        <f>INDEX(nrg_cb_e!$A$3:$A$40,MATCH(LEFT(MID('Industriesektor GWh'!$B1937,41,1000),SEARCH(" - ",MID('Industriesektor GWh'!$B1937,41,1000))-1),nrg_cb_e!$C$3:$C$40,0))</f>
        <v>FC_IND_IS_E</v>
      </c>
      <c r="G1937" s="21">
        <v>6149</v>
      </c>
    </row>
    <row r="1938" spans="1:7" x14ac:dyDescent="0.2">
      <c r="A1938" s="16" t="s">
        <v>49</v>
      </c>
      <c r="B1938" s="17" t="s">
        <v>6</v>
      </c>
      <c r="C1938" s="17" t="s">
        <v>8</v>
      </c>
      <c r="D1938" s="17" t="s">
        <v>10</v>
      </c>
      <c r="E1938" s="17" t="s">
        <v>27</v>
      </c>
      <c r="F1938" s="17" t="str">
        <f>INDEX(nrg_cb_e!$A$3:$A$40,MATCH(LEFT(MID('Industriesektor GWh'!$B1938,41,1000),SEARCH(" - ",MID('Industriesektor GWh'!$B1938,41,1000))-1),nrg_cb_e!$C$3:$C$40,0))</f>
        <v>FC_IND_IS_E</v>
      </c>
      <c r="G1938" s="18">
        <v>6808.4459999999999</v>
      </c>
    </row>
    <row r="1939" spans="1:7" x14ac:dyDescent="0.2">
      <c r="A1939" s="19" t="s">
        <v>49</v>
      </c>
      <c r="B1939" s="20" t="s">
        <v>6</v>
      </c>
      <c r="C1939" s="20" t="s">
        <v>8</v>
      </c>
      <c r="D1939" s="20" t="s">
        <v>10</v>
      </c>
      <c r="E1939" s="20" t="s">
        <v>28</v>
      </c>
      <c r="F1939" s="20" t="str">
        <f>INDEX(nrg_cb_e!$A$3:$A$40,MATCH(LEFT(MID('Industriesektor GWh'!$B1939,41,1000),SEARCH(" - ",MID('Industriesektor GWh'!$B1939,41,1000))-1),nrg_cb_e!$C$3:$C$40,0))</f>
        <v>FC_IND_IS_E</v>
      </c>
      <c r="G1939" s="21">
        <v>6827.1440000000002</v>
      </c>
    </row>
    <row r="1940" spans="1:7" x14ac:dyDescent="0.2">
      <c r="A1940" s="16" t="s">
        <v>50</v>
      </c>
      <c r="B1940" s="17" t="s">
        <v>6</v>
      </c>
      <c r="C1940" s="17" t="s">
        <v>8</v>
      </c>
      <c r="D1940" s="17" t="s">
        <v>10</v>
      </c>
      <c r="E1940" s="17" t="s">
        <v>12</v>
      </c>
      <c r="F1940" s="17" t="str">
        <f>INDEX(nrg_cb_e!$A$3:$A$40,MATCH(LEFT(MID('Industriesektor GWh'!$B1940,41,1000),SEARCH(" - ",MID('Industriesektor GWh'!$B1940,41,1000))-1),nrg_cb_e!$C$3:$C$40,0))</f>
        <v>FC_IND_IS_E</v>
      </c>
      <c r="G1940" s="18">
        <v>863</v>
      </c>
    </row>
    <row r="1941" spans="1:7" x14ac:dyDescent="0.2">
      <c r="A1941" s="19" t="s">
        <v>50</v>
      </c>
      <c r="B1941" s="20" t="s">
        <v>6</v>
      </c>
      <c r="C1941" s="20" t="s">
        <v>8</v>
      </c>
      <c r="D1941" s="20" t="s">
        <v>10</v>
      </c>
      <c r="E1941" s="20" t="s">
        <v>13</v>
      </c>
      <c r="F1941" s="20" t="str">
        <f>INDEX(nrg_cb_e!$A$3:$A$40,MATCH(LEFT(MID('Industriesektor GWh'!$B1941,41,1000),SEARCH(" - ",MID('Industriesektor GWh'!$B1941,41,1000))-1),nrg_cb_e!$C$3:$C$40,0))</f>
        <v>FC_IND_IS_E</v>
      </c>
      <c r="G1941" s="21">
        <v>1088</v>
      </c>
    </row>
    <row r="1942" spans="1:7" x14ac:dyDescent="0.2">
      <c r="A1942" s="16" t="s">
        <v>50</v>
      </c>
      <c r="B1942" s="17" t="s">
        <v>6</v>
      </c>
      <c r="C1942" s="17" t="s">
        <v>8</v>
      </c>
      <c r="D1942" s="17" t="s">
        <v>10</v>
      </c>
      <c r="E1942" s="17" t="s">
        <v>14</v>
      </c>
      <c r="F1942" s="17" t="str">
        <f>INDEX(nrg_cb_e!$A$3:$A$40,MATCH(LEFT(MID('Industriesektor GWh'!$B1942,41,1000),SEARCH(" - ",MID('Industriesektor GWh'!$B1942,41,1000))-1),nrg_cb_e!$C$3:$C$40,0))</f>
        <v>FC_IND_IS_E</v>
      </c>
      <c r="G1942" s="18">
        <v>1186</v>
      </c>
    </row>
    <row r="1943" spans="1:7" x14ac:dyDescent="0.2">
      <c r="A1943" s="19" t="s">
        <v>50</v>
      </c>
      <c r="B1943" s="20" t="s">
        <v>6</v>
      </c>
      <c r="C1943" s="20" t="s">
        <v>8</v>
      </c>
      <c r="D1943" s="20" t="s">
        <v>10</v>
      </c>
      <c r="E1943" s="20" t="s">
        <v>15</v>
      </c>
      <c r="F1943" s="20" t="str">
        <f>INDEX(nrg_cb_e!$A$3:$A$40,MATCH(LEFT(MID('Industriesektor GWh'!$B1943,41,1000),SEARCH(" - ",MID('Industriesektor GWh'!$B1943,41,1000))-1),nrg_cb_e!$C$3:$C$40,0))</f>
        <v>FC_IND_IS_E</v>
      </c>
      <c r="G1943" s="21">
        <v>1279</v>
      </c>
    </row>
    <row r="1944" spans="1:7" x14ac:dyDescent="0.2">
      <c r="A1944" s="16" t="s">
        <v>50</v>
      </c>
      <c r="B1944" s="17" t="s">
        <v>6</v>
      </c>
      <c r="C1944" s="17" t="s">
        <v>8</v>
      </c>
      <c r="D1944" s="17" t="s">
        <v>10</v>
      </c>
      <c r="E1944" s="17" t="s">
        <v>16</v>
      </c>
      <c r="F1944" s="17" t="str">
        <f>INDEX(nrg_cb_e!$A$3:$A$40,MATCH(LEFT(MID('Industriesektor GWh'!$B1944,41,1000),SEARCH(" - ",MID('Industriesektor GWh'!$B1944,41,1000))-1),nrg_cb_e!$C$3:$C$40,0))</f>
        <v>FC_IND_IS_E</v>
      </c>
      <c r="G1944" s="18">
        <v>1386</v>
      </c>
    </row>
    <row r="1945" spans="1:7" x14ac:dyDescent="0.2">
      <c r="A1945" s="19" t="s">
        <v>50</v>
      </c>
      <c r="B1945" s="20" t="s">
        <v>6</v>
      </c>
      <c r="C1945" s="20" t="s">
        <v>8</v>
      </c>
      <c r="D1945" s="20" t="s">
        <v>10</v>
      </c>
      <c r="E1945" s="20" t="s">
        <v>17</v>
      </c>
      <c r="F1945" s="20" t="str">
        <f>INDEX(nrg_cb_e!$A$3:$A$40,MATCH(LEFT(MID('Industriesektor GWh'!$B1945,41,1000),SEARCH(" - ",MID('Industriesektor GWh'!$B1945,41,1000))-1),nrg_cb_e!$C$3:$C$40,0))</f>
        <v>FC_IND_IS_E</v>
      </c>
      <c r="G1945" s="21">
        <v>1471</v>
      </c>
    </row>
    <row r="1946" spans="1:7" x14ac:dyDescent="0.2">
      <c r="A1946" s="16" t="s">
        <v>50</v>
      </c>
      <c r="B1946" s="17" t="s">
        <v>6</v>
      </c>
      <c r="C1946" s="17" t="s">
        <v>8</v>
      </c>
      <c r="D1946" s="17" t="s">
        <v>10</v>
      </c>
      <c r="E1946" s="17" t="s">
        <v>18</v>
      </c>
      <c r="F1946" s="17" t="str">
        <f>INDEX(nrg_cb_e!$A$3:$A$40,MATCH(LEFT(MID('Industriesektor GWh'!$B1946,41,1000),SEARCH(" - ",MID('Industriesektor GWh'!$B1946,41,1000))-1),nrg_cb_e!$C$3:$C$40,0))</f>
        <v>FC_IND_IS_E</v>
      </c>
      <c r="G1946" s="18">
        <v>1492</v>
      </c>
    </row>
    <row r="1947" spans="1:7" x14ac:dyDescent="0.2">
      <c r="A1947" s="19" t="s">
        <v>50</v>
      </c>
      <c r="B1947" s="20" t="s">
        <v>6</v>
      </c>
      <c r="C1947" s="20" t="s">
        <v>8</v>
      </c>
      <c r="D1947" s="20" t="s">
        <v>10</v>
      </c>
      <c r="E1947" s="20" t="s">
        <v>19</v>
      </c>
      <c r="F1947" s="20" t="str">
        <f>INDEX(nrg_cb_e!$A$3:$A$40,MATCH(LEFT(MID('Industriesektor GWh'!$B1947,41,1000),SEARCH(" - ",MID('Industriesektor GWh'!$B1947,41,1000))-1),nrg_cb_e!$C$3:$C$40,0))</f>
        <v>FC_IND_IS_E</v>
      </c>
      <c r="G1947" s="21">
        <v>1086</v>
      </c>
    </row>
    <row r="1948" spans="1:7" x14ac:dyDescent="0.2">
      <c r="A1948" s="16" t="s">
        <v>50</v>
      </c>
      <c r="B1948" s="17" t="s">
        <v>6</v>
      </c>
      <c r="C1948" s="17" t="s">
        <v>8</v>
      </c>
      <c r="D1948" s="17" t="s">
        <v>10</v>
      </c>
      <c r="E1948" s="17" t="s">
        <v>20</v>
      </c>
      <c r="F1948" s="17" t="str">
        <f>INDEX(nrg_cb_e!$A$3:$A$40,MATCH(LEFT(MID('Industriesektor GWh'!$B1948,41,1000),SEARCH(" - ",MID('Industriesektor GWh'!$B1948,41,1000))-1),nrg_cb_e!$C$3:$C$40,0))</f>
        <v>FC_IND_IS_E</v>
      </c>
      <c r="G1948" s="18">
        <v>1103</v>
      </c>
    </row>
    <row r="1949" spans="1:7" x14ac:dyDescent="0.2">
      <c r="A1949" s="19" t="s">
        <v>50</v>
      </c>
      <c r="B1949" s="20" t="s">
        <v>6</v>
      </c>
      <c r="C1949" s="20" t="s">
        <v>8</v>
      </c>
      <c r="D1949" s="20" t="s">
        <v>10</v>
      </c>
      <c r="E1949" s="20" t="s">
        <v>21</v>
      </c>
      <c r="F1949" s="20" t="str">
        <f>INDEX(nrg_cb_e!$A$3:$A$40,MATCH(LEFT(MID('Industriesektor GWh'!$B1949,41,1000),SEARCH(" - ",MID('Industriesektor GWh'!$B1949,41,1000))-1),nrg_cb_e!$C$3:$C$40,0))</f>
        <v>FC_IND_IS_E</v>
      </c>
      <c r="G1949" s="21">
        <v>1286</v>
      </c>
    </row>
    <row r="1950" spans="1:7" x14ac:dyDescent="0.2">
      <c r="A1950" s="16" t="s">
        <v>50</v>
      </c>
      <c r="B1950" s="17" t="s">
        <v>6</v>
      </c>
      <c r="C1950" s="17" t="s">
        <v>8</v>
      </c>
      <c r="D1950" s="17" t="s">
        <v>10</v>
      </c>
      <c r="E1950" s="17" t="s">
        <v>22</v>
      </c>
      <c r="F1950" s="17" t="str">
        <f>INDEX(nrg_cb_e!$A$3:$A$40,MATCH(LEFT(MID('Industriesektor GWh'!$B1950,41,1000),SEARCH(" - ",MID('Industriesektor GWh'!$B1950,41,1000))-1),nrg_cb_e!$C$3:$C$40,0))</f>
        <v>FC_IND_IS_E</v>
      </c>
      <c r="G1950" s="18">
        <v>1353</v>
      </c>
    </row>
    <row r="1951" spans="1:7" x14ac:dyDescent="0.2">
      <c r="A1951" s="19" t="s">
        <v>50</v>
      </c>
      <c r="B1951" s="20" t="s">
        <v>6</v>
      </c>
      <c r="C1951" s="20" t="s">
        <v>8</v>
      </c>
      <c r="D1951" s="20" t="s">
        <v>10</v>
      </c>
      <c r="E1951" s="20" t="s">
        <v>23</v>
      </c>
      <c r="F1951" s="20" t="str">
        <f>INDEX(nrg_cb_e!$A$3:$A$40,MATCH(LEFT(MID('Industriesektor GWh'!$B1951,41,1000),SEARCH(" - ",MID('Industriesektor GWh'!$B1951,41,1000))-1),nrg_cb_e!$C$3:$C$40,0))</f>
        <v>FC_IND_IS_E</v>
      </c>
      <c r="G1951" s="21">
        <v>1377</v>
      </c>
    </row>
    <row r="1952" spans="1:7" x14ac:dyDescent="0.2">
      <c r="A1952" s="16" t="s">
        <v>50</v>
      </c>
      <c r="B1952" s="17" t="s">
        <v>6</v>
      </c>
      <c r="C1952" s="17" t="s">
        <v>8</v>
      </c>
      <c r="D1952" s="17" t="s">
        <v>10</v>
      </c>
      <c r="E1952" s="17" t="s">
        <v>24</v>
      </c>
      <c r="F1952" s="17" t="str">
        <f>INDEX(nrg_cb_e!$A$3:$A$40,MATCH(LEFT(MID('Industriesektor GWh'!$B1952,41,1000),SEARCH(" - ",MID('Industriesektor GWh'!$B1952,41,1000))-1),nrg_cb_e!$C$3:$C$40,0))</f>
        <v>FC_IND_IS_E</v>
      </c>
      <c r="G1952" s="18">
        <v>1401</v>
      </c>
    </row>
    <row r="1953" spans="1:7" x14ac:dyDescent="0.2">
      <c r="A1953" s="19" t="s">
        <v>50</v>
      </c>
      <c r="B1953" s="20" t="s">
        <v>6</v>
      </c>
      <c r="C1953" s="20" t="s">
        <v>8</v>
      </c>
      <c r="D1953" s="20" t="s">
        <v>10</v>
      </c>
      <c r="E1953" s="20" t="s">
        <v>25</v>
      </c>
      <c r="F1953" s="20" t="str">
        <f>INDEX(nrg_cb_e!$A$3:$A$40,MATCH(LEFT(MID('Industriesektor GWh'!$B1953,41,1000),SEARCH(" - ",MID('Industriesektor GWh'!$B1953,41,1000))-1),nrg_cb_e!$C$3:$C$40,0))</f>
        <v>FC_IND_IS_E</v>
      </c>
      <c r="G1953" s="21">
        <v>1391</v>
      </c>
    </row>
    <row r="1954" spans="1:7" x14ac:dyDescent="0.2">
      <c r="A1954" s="16" t="s">
        <v>50</v>
      </c>
      <c r="B1954" s="17" t="s">
        <v>6</v>
      </c>
      <c r="C1954" s="17" t="s">
        <v>8</v>
      </c>
      <c r="D1954" s="17" t="s">
        <v>10</v>
      </c>
      <c r="E1954" s="17" t="s">
        <v>26</v>
      </c>
      <c r="F1954" s="17" t="str">
        <f>INDEX(nrg_cb_e!$A$3:$A$40,MATCH(LEFT(MID('Industriesektor GWh'!$B1954,41,1000),SEARCH(" - ",MID('Industriesektor GWh'!$B1954,41,1000))-1),nrg_cb_e!$C$3:$C$40,0))</f>
        <v>FC_IND_IS_E</v>
      </c>
      <c r="G1954" s="18">
        <v>1495.6120000000001</v>
      </c>
    </row>
    <row r="1955" spans="1:7" x14ac:dyDescent="0.2">
      <c r="A1955" s="19" t="s">
        <v>50</v>
      </c>
      <c r="B1955" s="20" t="s">
        <v>6</v>
      </c>
      <c r="C1955" s="20" t="s">
        <v>8</v>
      </c>
      <c r="D1955" s="20" t="s">
        <v>10</v>
      </c>
      <c r="E1955" s="20" t="s">
        <v>27</v>
      </c>
      <c r="F1955" s="20" t="str">
        <f>INDEX(nrg_cb_e!$A$3:$A$40,MATCH(LEFT(MID('Industriesektor GWh'!$B1955,41,1000),SEARCH(" - ",MID('Industriesektor GWh'!$B1955,41,1000))-1),nrg_cb_e!$C$3:$C$40,0))</f>
        <v>FC_IND_IS_E</v>
      </c>
      <c r="G1955" s="21">
        <v>1554.5519999999999</v>
      </c>
    </row>
    <row r="1956" spans="1:7" x14ac:dyDescent="0.2">
      <c r="A1956" s="16" t="s">
        <v>50</v>
      </c>
      <c r="B1956" s="17" t="s">
        <v>6</v>
      </c>
      <c r="C1956" s="17" t="s">
        <v>8</v>
      </c>
      <c r="D1956" s="17" t="s">
        <v>10</v>
      </c>
      <c r="E1956" s="17" t="s">
        <v>28</v>
      </c>
      <c r="F1956" s="17" t="str">
        <f>INDEX(nrg_cb_e!$A$3:$A$40,MATCH(LEFT(MID('Industriesektor GWh'!$B1956,41,1000),SEARCH(" - ",MID('Industriesektor GWh'!$B1956,41,1000))-1),nrg_cb_e!$C$3:$C$40,0))</f>
        <v>FC_IND_IS_E</v>
      </c>
      <c r="G1956" s="18">
        <v>1681.4860000000001</v>
      </c>
    </row>
    <row r="1957" spans="1:7" x14ac:dyDescent="0.2">
      <c r="A1957" s="19" t="s">
        <v>51</v>
      </c>
      <c r="B1957" s="20" t="s">
        <v>6</v>
      </c>
      <c r="C1957" s="20" t="s">
        <v>8</v>
      </c>
      <c r="D1957" s="20" t="s">
        <v>10</v>
      </c>
      <c r="E1957" s="20" t="s">
        <v>12</v>
      </c>
      <c r="F1957" s="20" t="str">
        <f>INDEX(nrg_cb_e!$A$3:$A$40,MATCH(LEFT(MID('Industriesektor GWh'!$B1957,41,1000),SEARCH(" - ",MID('Industriesektor GWh'!$B1957,41,1000))-1),nrg_cb_e!$C$3:$C$40,0))</f>
        <v>FC_IND_IS_E</v>
      </c>
      <c r="G1957" s="21">
        <v>6966</v>
      </c>
    </row>
    <row r="1958" spans="1:7" x14ac:dyDescent="0.2">
      <c r="A1958" s="16" t="s">
        <v>51</v>
      </c>
      <c r="B1958" s="17" t="s">
        <v>6</v>
      </c>
      <c r="C1958" s="17" t="s">
        <v>8</v>
      </c>
      <c r="D1958" s="17" t="s">
        <v>10</v>
      </c>
      <c r="E1958" s="17" t="s">
        <v>13</v>
      </c>
      <c r="F1958" s="17" t="str">
        <f>INDEX(nrg_cb_e!$A$3:$A$40,MATCH(LEFT(MID('Industriesektor GWh'!$B1958,41,1000),SEARCH(" - ",MID('Industriesektor GWh'!$B1958,41,1000))-1),nrg_cb_e!$C$3:$C$40,0))</f>
        <v>FC_IND_IS_E</v>
      </c>
      <c r="G1958" s="18">
        <v>7220</v>
      </c>
    </row>
    <row r="1959" spans="1:7" x14ac:dyDescent="0.2">
      <c r="A1959" s="19" t="s">
        <v>51</v>
      </c>
      <c r="B1959" s="20" t="s">
        <v>6</v>
      </c>
      <c r="C1959" s="20" t="s">
        <v>8</v>
      </c>
      <c r="D1959" s="20" t="s">
        <v>10</v>
      </c>
      <c r="E1959" s="20" t="s">
        <v>14</v>
      </c>
      <c r="F1959" s="20" t="str">
        <f>INDEX(nrg_cb_e!$A$3:$A$40,MATCH(LEFT(MID('Industriesektor GWh'!$B1959,41,1000),SEARCH(" - ",MID('Industriesektor GWh'!$B1959,41,1000))-1),nrg_cb_e!$C$3:$C$40,0))</f>
        <v>FC_IND_IS_E</v>
      </c>
      <c r="G1959" s="21">
        <v>8544</v>
      </c>
    </row>
    <row r="1960" spans="1:7" x14ac:dyDescent="0.2">
      <c r="A1960" s="16" t="s">
        <v>51</v>
      </c>
      <c r="B1960" s="17" t="s">
        <v>6</v>
      </c>
      <c r="C1960" s="17" t="s">
        <v>8</v>
      </c>
      <c r="D1960" s="17" t="s">
        <v>10</v>
      </c>
      <c r="E1960" s="17" t="s">
        <v>15</v>
      </c>
      <c r="F1960" s="17" t="str">
        <f>INDEX(nrg_cb_e!$A$3:$A$40,MATCH(LEFT(MID('Industriesektor GWh'!$B1960,41,1000),SEARCH(" - ",MID('Industriesektor GWh'!$B1960,41,1000))-1),nrg_cb_e!$C$3:$C$40,0))</f>
        <v>FC_IND_IS_E</v>
      </c>
      <c r="G1960" s="18">
        <v>8463</v>
      </c>
    </row>
    <row r="1961" spans="1:7" x14ac:dyDescent="0.2">
      <c r="A1961" s="19" t="s">
        <v>51</v>
      </c>
      <c r="B1961" s="20" t="s">
        <v>6</v>
      </c>
      <c r="C1961" s="20" t="s">
        <v>8</v>
      </c>
      <c r="D1961" s="20" t="s">
        <v>10</v>
      </c>
      <c r="E1961" s="20" t="s">
        <v>16</v>
      </c>
      <c r="F1961" s="20" t="str">
        <f>INDEX(nrg_cb_e!$A$3:$A$40,MATCH(LEFT(MID('Industriesektor GWh'!$B1961,41,1000),SEARCH(" - ",MID('Industriesektor GWh'!$B1961,41,1000))-1),nrg_cb_e!$C$3:$C$40,0))</f>
        <v>FC_IND_IS_E</v>
      </c>
      <c r="G1961" s="21">
        <v>8499</v>
      </c>
    </row>
    <row r="1962" spans="1:7" x14ac:dyDescent="0.2">
      <c r="A1962" s="16" t="s">
        <v>51</v>
      </c>
      <c r="B1962" s="17" t="s">
        <v>6</v>
      </c>
      <c r="C1962" s="17" t="s">
        <v>8</v>
      </c>
      <c r="D1962" s="17" t="s">
        <v>10</v>
      </c>
      <c r="E1962" s="17" t="s">
        <v>17</v>
      </c>
      <c r="F1962" s="17" t="str">
        <f>INDEX(nrg_cb_e!$A$3:$A$40,MATCH(LEFT(MID('Industriesektor GWh'!$B1962,41,1000),SEARCH(" - ",MID('Industriesektor GWh'!$B1962,41,1000))-1),nrg_cb_e!$C$3:$C$40,0))</f>
        <v>FC_IND_IS_E</v>
      </c>
      <c r="G1962" s="18">
        <v>8327</v>
      </c>
    </row>
    <row r="1963" spans="1:7" x14ac:dyDescent="0.2">
      <c r="A1963" s="19" t="s">
        <v>51</v>
      </c>
      <c r="B1963" s="20" t="s">
        <v>6</v>
      </c>
      <c r="C1963" s="20" t="s">
        <v>8</v>
      </c>
      <c r="D1963" s="20" t="s">
        <v>10</v>
      </c>
      <c r="E1963" s="20" t="s">
        <v>18</v>
      </c>
      <c r="F1963" s="20" t="str">
        <f>INDEX(nrg_cb_e!$A$3:$A$40,MATCH(LEFT(MID('Industriesektor GWh'!$B1963,41,1000),SEARCH(" - ",MID('Industriesektor GWh'!$B1963,41,1000))-1),nrg_cb_e!$C$3:$C$40,0))</f>
        <v>FC_IND_IS_E</v>
      </c>
      <c r="G1963" s="21">
        <v>7826</v>
      </c>
    </row>
    <row r="1964" spans="1:7" x14ac:dyDescent="0.2">
      <c r="A1964" s="16" t="s">
        <v>51</v>
      </c>
      <c r="B1964" s="17" t="s">
        <v>6</v>
      </c>
      <c r="C1964" s="17" t="s">
        <v>8</v>
      </c>
      <c r="D1964" s="17" t="s">
        <v>10</v>
      </c>
      <c r="E1964" s="17" t="s">
        <v>19</v>
      </c>
      <c r="F1964" s="17" t="str">
        <f>INDEX(nrg_cb_e!$A$3:$A$40,MATCH(LEFT(MID('Industriesektor GWh'!$B1964,41,1000),SEARCH(" - ",MID('Industriesektor GWh'!$B1964,41,1000))-1),nrg_cb_e!$C$3:$C$40,0))</f>
        <v>FC_IND_IS_E</v>
      </c>
      <c r="G1964" s="18">
        <v>5540</v>
      </c>
    </row>
    <row r="1965" spans="1:7" x14ac:dyDescent="0.2">
      <c r="A1965" s="19" t="s">
        <v>51</v>
      </c>
      <c r="B1965" s="20" t="s">
        <v>6</v>
      </c>
      <c r="C1965" s="20" t="s">
        <v>8</v>
      </c>
      <c r="D1965" s="20" t="s">
        <v>10</v>
      </c>
      <c r="E1965" s="20" t="s">
        <v>20</v>
      </c>
      <c r="F1965" s="20" t="str">
        <f>INDEX(nrg_cb_e!$A$3:$A$40,MATCH(LEFT(MID('Industriesektor GWh'!$B1965,41,1000),SEARCH(" - ",MID('Industriesektor GWh'!$B1965,41,1000))-1),nrg_cb_e!$C$3:$C$40,0))</f>
        <v>FC_IND_IS_E</v>
      </c>
      <c r="G1965" s="21">
        <v>6703</v>
      </c>
    </row>
    <row r="1966" spans="1:7" x14ac:dyDescent="0.2">
      <c r="A1966" s="16" t="s">
        <v>51</v>
      </c>
      <c r="B1966" s="17" t="s">
        <v>6</v>
      </c>
      <c r="C1966" s="17" t="s">
        <v>8</v>
      </c>
      <c r="D1966" s="17" t="s">
        <v>10</v>
      </c>
      <c r="E1966" s="17" t="s">
        <v>21</v>
      </c>
      <c r="F1966" s="17" t="str">
        <f>INDEX(nrg_cb_e!$A$3:$A$40,MATCH(LEFT(MID('Industriesektor GWh'!$B1966,41,1000),SEARCH(" - ",MID('Industriesektor GWh'!$B1966,41,1000))-1),nrg_cb_e!$C$3:$C$40,0))</f>
        <v>FC_IND_IS_E</v>
      </c>
      <c r="G1966" s="18">
        <v>6757</v>
      </c>
    </row>
    <row r="1967" spans="1:7" x14ac:dyDescent="0.2">
      <c r="A1967" s="19" t="s">
        <v>51</v>
      </c>
      <c r="B1967" s="20" t="s">
        <v>6</v>
      </c>
      <c r="C1967" s="20" t="s">
        <v>8</v>
      </c>
      <c r="D1967" s="20" t="s">
        <v>10</v>
      </c>
      <c r="E1967" s="20" t="s">
        <v>22</v>
      </c>
      <c r="F1967" s="20" t="str">
        <f>INDEX(nrg_cb_e!$A$3:$A$40,MATCH(LEFT(MID('Industriesektor GWh'!$B1967,41,1000),SEARCH(" - ",MID('Industriesektor GWh'!$B1967,41,1000))-1),nrg_cb_e!$C$3:$C$40,0))</f>
        <v>FC_IND_IS_E</v>
      </c>
      <c r="G1967" s="21">
        <v>6352</v>
      </c>
    </row>
    <row r="1968" spans="1:7" x14ac:dyDescent="0.2">
      <c r="A1968" s="16" t="s">
        <v>51</v>
      </c>
      <c r="B1968" s="17" t="s">
        <v>6</v>
      </c>
      <c r="C1968" s="17" t="s">
        <v>8</v>
      </c>
      <c r="D1968" s="17" t="s">
        <v>10</v>
      </c>
      <c r="E1968" s="17" t="s">
        <v>23</v>
      </c>
      <c r="F1968" s="17" t="str">
        <f>INDEX(nrg_cb_e!$A$3:$A$40,MATCH(LEFT(MID('Industriesektor GWh'!$B1968,41,1000),SEARCH(" - ",MID('Industriesektor GWh'!$B1968,41,1000))-1),nrg_cb_e!$C$3:$C$40,0))</f>
        <v>FC_IND_IS_E</v>
      </c>
      <c r="G1968" s="18">
        <v>5263</v>
      </c>
    </row>
    <row r="1969" spans="1:7" x14ac:dyDescent="0.2">
      <c r="A1969" s="19" t="s">
        <v>51</v>
      </c>
      <c r="B1969" s="20" t="s">
        <v>6</v>
      </c>
      <c r="C1969" s="20" t="s">
        <v>8</v>
      </c>
      <c r="D1969" s="20" t="s">
        <v>10</v>
      </c>
      <c r="E1969" s="20" t="s">
        <v>24</v>
      </c>
      <c r="F1969" s="20" t="str">
        <f>INDEX(nrg_cb_e!$A$3:$A$40,MATCH(LEFT(MID('Industriesektor GWh'!$B1969,41,1000),SEARCH(" - ",MID('Industriesektor GWh'!$B1969,41,1000))-1),nrg_cb_e!$C$3:$C$40,0))</f>
        <v>FC_IND_IS_E</v>
      </c>
      <c r="G1969" s="21">
        <v>5375</v>
      </c>
    </row>
    <row r="1970" spans="1:7" x14ac:dyDescent="0.2">
      <c r="A1970" s="16" t="s">
        <v>51</v>
      </c>
      <c r="B1970" s="17" t="s">
        <v>6</v>
      </c>
      <c r="C1970" s="17" t="s">
        <v>8</v>
      </c>
      <c r="D1970" s="17" t="s">
        <v>10</v>
      </c>
      <c r="E1970" s="17" t="s">
        <v>25</v>
      </c>
      <c r="F1970" s="17" t="str">
        <f>INDEX(nrg_cb_e!$A$3:$A$40,MATCH(LEFT(MID('Industriesektor GWh'!$B1970,41,1000),SEARCH(" - ",MID('Industriesektor GWh'!$B1970,41,1000))-1),nrg_cb_e!$C$3:$C$40,0))</f>
        <v>FC_IND_IS_E</v>
      </c>
      <c r="G1970" s="18">
        <v>5694</v>
      </c>
    </row>
    <row r="1971" spans="1:7" x14ac:dyDescent="0.2">
      <c r="A1971" s="19" t="s">
        <v>51</v>
      </c>
      <c r="B1971" s="20" t="s">
        <v>6</v>
      </c>
      <c r="C1971" s="20" t="s">
        <v>8</v>
      </c>
      <c r="D1971" s="20" t="s">
        <v>10</v>
      </c>
      <c r="E1971" s="20" t="s">
        <v>26</v>
      </c>
      <c r="F1971" s="20" t="str">
        <f>INDEX(nrg_cb_e!$A$3:$A$40,MATCH(LEFT(MID('Industriesektor GWh'!$B1971,41,1000),SEARCH(" - ",MID('Industriesektor GWh'!$B1971,41,1000))-1),nrg_cb_e!$C$3:$C$40,0))</f>
        <v>FC_IND_IS_E</v>
      </c>
      <c r="G1971" s="21">
        <v>5635</v>
      </c>
    </row>
    <row r="1972" spans="1:7" x14ac:dyDescent="0.2">
      <c r="A1972" s="16" t="s">
        <v>51</v>
      </c>
      <c r="B1972" s="17" t="s">
        <v>6</v>
      </c>
      <c r="C1972" s="17" t="s">
        <v>8</v>
      </c>
      <c r="D1972" s="17" t="s">
        <v>10</v>
      </c>
      <c r="E1972" s="17" t="s">
        <v>27</v>
      </c>
      <c r="F1972" s="17" t="str">
        <f>INDEX(nrg_cb_e!$A$3:$A$40,MATCH(LEFT(MID('Industriesektor GWh'!$B1972,41,1000),SEARCH(" - ",MID('Industriesektor GWh'!$B1972,41,1000))-1),nrg_cb_e!$C$3:$C$40,0))</f>
        <v>FC_IND_IS_E</v>
      </c>
      <c r="G1972" s="18">
        <v>2540.6489999999999</v>
      </c>
    </row>
    <row r="1973" spans="1:7" x14ac:dyDescent="0.2">
      <c r="A1973" s="19" t="s">
        <v>51</v>
      </c>
      <c r="B1973" s="20" t="s">
        <v>6</v>
      </c>
      <c r="C1973" s="20" t="s">
        <v>8</v>
      </c>
      <c r="D1973" s="20" t="s">
        <v>10</v>
      </c>
      <c r="E1973" s="20" t="s">
        <v>28</v>
      </c>
      <c r="F1973" s="20" t="str">
        <f>INDEX(nrg_cb_e!$A$3:$A$40,MATCH(LEFT(MID('Industriesektor GWh'!$B1973,41,1000),SEARCH(" - ",MID('Industriesektor GWh'!$B1973,41,1000))-1),nrg_cb_e!$C$3:$C$40,0))</f>
        <v>FC_IND_IS_E</v>
      </c>
      <c r="G1973" s="21">
        <v>2414.2109999999998</v>
      </c>
    </row>
    <row r="1974" spans="1:7" x14ac:dyDescent="0.2">
      <c r="A1974" s="16" t="s">
        <v>52</v>
      </c>
      <c r="B1974" s="17" t="s">
        <v>6</v>
      </c>
      <c r="C1974" s="17" t="s">
        <v>8</v>
      </c>
      <c r="D1974" s="17" t="s">
        <v>10</v>
      </c>
      <c r="E1974" s="17" t="s">
        <v>12</v>
      </c>
      <c r="F1974" s="17" t="str">
        <f>INDEX(nrg_cb_e!$A$3:$A$40,MATCH(LEFT(MID('Industriesektor GWh'!$B1974,41,1000),SEARCH(" - ",MID('Industriesektor GWh'!$B1974,41,1000))-1),nrg_cb_e!$C$3:$C$40,0))</f>
        <v>FC_IND_IS_E</v>
      </c>
      <c r="G1974" s="18">
        <v>860</v>
      </c>
    </row>
    <row r="1975" spans="1:7" x14ac:dyDescent="0.2">
      <c r="A1975" s="19" t="s">
        <v>52</v>
      </c>
      <c r="B1975" s="20" t="s">
        <v>6</v>
      </c>
      <c r="C1975" s="20" t="s">
        <v>8</v>
      </c>
      <c r="D1975" s="20" t="s">
        <v>10</v>
      </c>
      <c r="E1975" s="20" t="s">
        <v>13</v>
      </c>
      <c r="F1975" s="20" t="str">
        <f>INDEX(nrg_cb_e!$A$3:$A$40,MATCH(LEFT(MID('Industriesektor GWh'!$B1975,41,1000),SEARCH(" - ",MID('Industriesektor GWh'!$B1975,41,1000))-1),nrg_cb_e!$C$3:$C$40,0))</f>
        <v>FC_IND_IS_E</v>
      </c>
      <c r="G1975" s="21">
        <v>644</v>
      </c>
    </row>
    <row r="1976" spans="1:7" x14ac:dyDescent="0.2">
      <c r="A1976" s="16" t="s">
        <v>52</v>
      </c>
      <c r="B1976" s="17" t="s">
        <v>6</v>
      </c>
      <c r="C1976" s="17" t="s">
        <v>8</v>
      </c>
      <c r="D1976" s="17" t="s">
        <v>10</v>
      </c>
      <c r="E1976" s="17" t="s">
        <v>14</v>
      </c>
      <c r="F1976" s="17" t="str">
        <f>INDEX(nrg_cb_e!$A$3:$A$40,MATCH(LEFT(MID('Industriesektor GWh'!$B1976,41,1000),SEARCH(" - ",MID('Industriesektor GWh'!$B1976,41,1000))-1),nrg_cb_e!$C$3:$C$40,0))</f>
        <v>FC_IND_IS_E</v>
      </c>
      <c r="G1976" s="18">
        <v>657</v>
      </c>
    </row>
    <row r="1977" spans="1:7" x14ac:dyDescent="0.2">
      <c r="A1977" s="19" t="s">
        <v>52</v>
      </c>
      <c r="B1977" s="20" t="s">
        <v>6</v>
      </c>
      <c r="C1977" s="20" t="s">
        <v>8</v>
      </c>
      <c r="D1977" s="20" t="s">
        <v>10</v>
      </c>
      <c r="E1977" s="20" t="s">
        <v>15</v>
      </c>
      <c r="F1977" s="20" t="str">
        <f>INDEX(nrg_cb_e!$A$3:$A$40,MATCH(LEFT(MID('Industriesektor GWh'!$B1977,41,1000),SEARCH(" - ",MID('Industriesektor GWh'!$B1977,41,1000))-1),nrg_cb_e!$C$3:$C$40,0))</f>
        <v>FC_IND_IS_E</v>
      </c>
      <c r="G1977" s="21">
        <v>750</v>
      </c>
    </row>
    <row r="1978" spans="1:7" x14ac:dyDescent="0.2">
      <c r="A1978" s="16" t="s">
        <v>52</v>
      </c>
      <c r="B1978" s="17" t="s">
        <v>6</v>
      </c>
      <c r="C1978" s="17" t="s">
        <v>8</v>
      </c>
      <c r="D1978" s="17" t="s">
        <v>10</v>
      </c>
      <c r="E1978" s="17" t="s">
        <v>16</v>
      </c>
      <c r="F1978" s="17" t="str">
        <f>INDEX(nrg_cb_e!$A$3:$A$40,MATCH(LEFT(MID('Industriesektor GWh'!$B1978,41,1000),SEARCH(" - ",MID('Industriesektor GWh'!$B1978,41,1000))-1),nrg_cb_e!$C$3:$C$40,0))</f>
        <v>FC_IND_IS_E</v>
      </c>
      <c r="G1978" s="18">
        <v>819</v>
      </c>
    </row>
    <row r="1979" spans="1:7" x14ac:dyDescent="0.2">
      <c r="A1979" s="19" t="s">
        <v>52</v>
      </c>
      <c r="B1979" s="20" t="s">
        <v>6</v>
      </c>
      <c r="C1979" s="20" t="s">
        <v>8</v>
      </c>
      <c r="D1979" s="20" t="s">
        <v>10</v>
      </c>
      <c r="E1979" s="20" t="s">
        <v>17</v>
      </c>
      <c r="F1979" s="20" t="str">
        <f>INDEX(nrg_cb_e!$A$3:$A$40,MATCH(LEFT(MID('Industriesektor GWh'!$B1979,41,1000),SEARCH(" - ",MID('Industriesektor GWh'!$B1979,41,1000))-1),nrg_cb_e!$C$3:$C$40,0))</f>
        <v>FC_IND_IS_E</v>
      </c>
      <c r="G1979" s="21">
        <v>601</v>
      </c>
    </row>
    <row r="1980" spans="1:7" x14ac:dyDescent="0.2">
      <c r="A1980" s="16" t="s">
        <v>52</v>
      </c>
      <c r="B1980" s="17" t="s">
        <v>6</v>
      </c>
      <c r="C1980" s="17" t="s">
        <v>8</v>
      </c>
      <c r="D1980" s="17" t="s">
        <v>10</v>
      </c>
      <c r="E1980" s="17" t="s">
        <v>18</v>
      </c>
      <c r="F1980" s="17" t="str">
        <f>INDEX(nrg_cb_e!$A$3:$A$40,MATCH(LEFT(MID('Industriesektor GWh'!$B1980,41,1000),SEARCH(" - ",MID('Industriesektor GWh'!$B1980,41,1000))-1),nrg_cb_e!$C$3:$C$40,0))</f>
        <v>FC_IND_IS_E</v>
      </c>
      <c r="G1980" s="18">
        <v>766</v>
      </c>
    </row>
    <row r="1981" spans="1:7" x14ac:dyDescent="0.2">
      <c r="A1981" s="19" t="s">
        <v>52</v>
      </c>
      <c r="B1981" s="20" t="s">
        <v>6</v>
      </c>
      <c r="C1981" s="20" t="s">
        <v>8</v>
      </c>
      <c r="D1981" s="20" t="s">
        <v>10</v>
      </c>
      <c r="E1981" s="20" t="s">
        <v>19</v>
      </c>
      <c r="F1981" s="20" t="str">
        <f>INDEX(nrg_cb_e!$A$3:$A$40,MATCH(LEFT(MID('Industriesektor GWh'!$B1981,41,1000),SEARCH(" - ",MID('Industriesektor GWh'!$B1981,41,1000))-1),nrg_cb_e!$C$3:$C$40,0))</f>
        <v>FC_IND_IS_E</v>
      </c>
      <c r="G1981" s="21">
        <v>588</v>
      </c>
    </row>
    <row r="1982" spans="1:7" x14ac:dyDescent="0.2">
      <c r="A1982" s="16" t="s">
        <v>52</v>
      </c>
      <c r="B1982" s="17" t="s">
        <v>6</v>
      </c>
      <c r="C1982" s="17" t="s">
        <v>8</v>
      </c>
      <c r="D1982" s="17" t="s">
        <v>10</v>
      </c>
      <c r="E1982" s="17" t="s">
        <v>20</v>
      </c>
      <c r="F1982" s="17" t="str">
        <f>INDEX(nrg_cb_e!$A$3:$A$40,MATCH(LEFT(MID('Industriesektor GWh'!$B1982,41,1000),SEARCH(" - ",MID('Industriesektor GWh'!$B1982,41,1000))-1),nrg_cb_e!$C$3:$C$40,0))</f>
        <v>FC_IND_IS_E</v>
      </c>
      <c r="G1982" s="18">
        <v>738</v>
      </c>
    </row>
    <row r="1983" spans="1:7" x14ac:dyDescent="0.2">
      <c r="A1983" s="19" t="s">
        <v>52</v>
      </c>
      <c r="B1983" s="20" t="s">
        <v>6</v>
      </c>
      <c r="C1983" s="20" t="s">
        <v>8</v>
      </c>
      <c r="D1983" s="20" t="s">
        <v>10</v>
      </c>
      <c r="E1983" s="20" t="s">
        <v>21</v>
      </c>
      <c r="F1983" s="20" t="str">
        <f>INDEX(nrg_cb_e!$A$3:$A$40,MATCH(LEFT(MID('Industriesektor GWh'!$B1983,41,1000),SEARCH(" - ",MID('Industriesektor GWh'!$B1983,41,1000))-1),nrg_cb_e!$C$3:$C$40,0))</f>
        <v>FC_IND_IS_E</v>
      </c>
      <c r="G1983" s="21">
        <v>728</v>
      </c>
    </row>
    <row r="1984" spans="1:7" x14ac:dyDescent="0.2">
      <c r="A1984" s="16" t="s">
        <v>52</v>
      </c>
      <c r="B1984" s="17" t="s">
        <v>6</v>
      </c>
      <c r="C1984" s="17" t="s">
        <v>8</v>
      </c>
      <c r="D1984" s="17" t="s">
        <v>10</v>
      </c>
      <c r="E1984" s="17" t="s">
        <v>22</v>
      </c>
      <c r="F1984" s="17" t="str">
        <f>INDEX(nrg_cb_e!$A$3:$A$40,MATCH(LEFT(MID('Industriesektor GWh'!$B1984,41,1000),SEARCH(" - ",MID('Industriesektor GWh'!$B1984,41,1000))-1),nrg_cb_e!$C$3:$C$40,0))</f>
        <v>FC_IND_IS_E</v>
      </c>
      <c r="G1984" s="18">
        <v>768</v>
      </c>
    </row>
    <row r="1985" spans="1:7" x14ac:dyDescent="0.2">
      <c r="A1985" s="19" t="s">
        <v>52</v>
      </c>
      <c r="B1985" s="20" t="s">
        <v>6</v>
      </c>
      <c r="C1985" s="20" t="s">
        <v>8</v>
      </c>
      <c r="D1985" s="20" t="s">
        <v>10</v>
      </c>
      <c r="E1985" s="20" t="s">
        <v>23</v>
      </c>
      <c r="F1985" s="20" t="str">
        <f>INDEX(nrg_cb_e!$A$3:$A$40,MATCH(LEFT(MID('Industriesektor GWh'!$B1985,41,1000),SEARCH(" - ",MID('Industriesektor GWh'!$B1985,41,1000))-1),nrg_cb_e!$C$3:$C$40,0))</f>
        <v>FC_IND_IS_E</v>
      </c>
      <c r="G1985" s="21">
        <v>769</v>
      </c>
    </row>
    <row r="1986" spans="1:7" x14ac:dyDescent="0.2">
      <c r="A1986" s="16" t="s">
        <v>52</v>
      </c>
      <c r="B1986" s="17" t="s">
        <v>6</v>
      </c>
      <c r="C1986" s="17" t="s">
        <v>8</v>
      </c>
      <c r="D1986" s="17" t="s">
        <v>10</v>
      </c>
      <c r="E1986" s="17" t="s">
        <v>24</v>
      </c>
      <c r="F1986" s="17" t="str">
        <f>INDEX(nrg_cb_e!$A$3:$A$40,MATCH(LEFT(MID('Industriesektor GWh'!$B1986,41,1000),SEARCH(" - ",MID('Industriesektor GWh'!$B1986,41,1000))-1),nrg_cb_e!$C$3:$C$40,0))</f>
        <v>FC_IND_IS_E</v>
      </c>
      <c r="G1986" s="18">
        <v>758</v>
      </c>
    </row>
    <row r="1987" spans="1:7" x14ac:dyDescent="0.2">
      <c r="A1987" s="19" t="s">
        <v>52</v>
      </c>
      <c r="B1987" s="20" t="s">
        <v>6</v>
      </c>
      <c r="C1987" s="20" t="s">
        <v>8</v>
      </c>
      <c r="D1987" s="20" t="s">
        <v>10</v>
      </c>
      <c r="E1987" s="20" t="s">
        <v>25</v>
      </c>
      <c r="F1987" s="20" t="str">
        <f>INDEX(nrg_cb_e!$A$3:$A$40,MATCH(LEFT(MID('Industriesektor GWh'!$B1987,41,1000),SEARCH(" - ",MID('Industriesektor GWh'!$B1987,41,1000))-1),nrg_cb_e!$C$3:$C$40,0))</f>
        <v>FC_IND_IS_E</v>
      </c>
      <c r="G1987" s="21">
        <v>760</v>
      </c>
    </row>
    <row r="1988" spans="1:7" x14ac:dyDescent="0.2">
      <c r="A1988" s="16" t="s">
        <v>52</v>
      </c>
      <c r="B1988" s="17" t="s">
        <v>6</v>
      </c>
      <c r="C1988" s="17" t="s">
        <v>8</v>
      </c>
      <c r="D1988" s="17" t="s">
        <v>10</v>
      </c>
      <c r="E1988" s="17" t="s">
        <v>26</v>
      </c>
      <c r="F1988" s="17" t="str">
        <f>INDEX(nrg_cb_e!$A$3:$A$40,MATCH(LEFT(MID('Industriesektor GWh'!$B1988,41,1000),SEARCH(" - ",MID('Industriesektor GWh'!$B1988,41,1000))-1),nrg_cb_e!$C$3:$C$40,0))</f>
        <v>FC_IND_IS_E</v>
      </c>
      <c r="G1988" s="18">
        <v>787</v>
      </c>
    </row>
    <row r="1989" spans="1:7" x14ac:dyDescent="0.2">
      <c r="A1989" s="19" t="s">
        <v>52</v>
      </c>
      <c r="B1989" s="20" t="s">
        <v>6</v>
      </c>
      <c r="C1989" s="20" t="s">
        <v>8</v>
      </c>
      <c r="D1989" s="20" t="s">
        <v>10</v>
      </c>
      <c r="E1989" s="20" t="s">
        <v>27</v>
      </c>
      <c r="F1989" s="20" t="str">
        <f>INDEX(nrg_cb_e!$A$3:$A$40,MATCH(LEFT(MID('Industriesektor GWh'!$B1989,41,1000),SEARCH(" - ",MID('Industriesektor GWh'!$B1989,41,1000))-1),nrg_cb_e!$C$3:$C$40,0))</f>
        <v>FC_IND_IS_E</v>
      </c>
      <c r="G1989" s="21">
        <v>822.23900000000003</v>
      </c>
    </row>
    <row r="1990" spans="1:7" x14ac:dyDescent="0.2">
      <c r="A1990" s="16" t="s">
        <v>52</v>
      </c>
      <c r="B1990" s="17" t="s">
        <v>6</v>
      </c>
      <c r="C1990" s="17" t="s">
        <v>8</v>
      </c>
      <c r="D1990" s="17" t="s">
        <v>10</v>
      </c>
      <c r="E1990" s="17" t="s">
        <v>28</v>
      </c>
      <c r="F1990" s="17" t="str">
        <f>INDEX(nrg_cb_e!$A$3:$A$40,MATCH(LEFT(MID('Industriesektor GWh'!$B1990,41,1000),SEARCH(" - ",MID('Industriesektor GWh'!$B1990,41,1000))-1),nrg_cb_e!$C$3:$C$40,0))</f>
        <v>FC_IND_IS_E</v>
      </c>
      <c r="G1990" s="18">
        <v>778.59</v>
      </c>
    </row>
    <row r="1991" spans="1:7" x14ac:dyDescent="0.2">
      <c r="A1991" s="19" t="s">
        <v>53</v>
      </c>
      <c r="B1991" s="20" t="s">
        <v>6</v>
      </c>
      <c r="C1991" s="20" t="s">
        <v>8</v>
      </c>
      <c r="D1991" s="20" t="s">
        <v>10</v>
      </c>
      <c r="E1991" s="20" t="s">
        <v>12</v>
      </c>
      <c r="F1991" s="20" t="str">
        <f>INDEX(nrg_cb_e!$A$3:$A$40,MATCH(LEFT(MID('Industriesektor GWh'!$B1991,41,1000),SEARCH(" - ",MID('Industriesektor GWh'!$B1991,41,1000))-1),nrg_cb_e!$C$3:$C$40,0))</f>
        <v>FC_IND_IS_E</v>
      </c>
      <c r="G1991" s="21">
        <v>1541</v>
      </c>
    </row>
    <row r="1992" spans="1:7" x14ac:dyDescent="0.2">
      <c r="A1992" s="16" t="s">
        <v>53</v>
      </c>
      <c r="B1992" s="17" t="s">
        <v>6</v>
      </c>
      <c r="C1992" s="17" t="s">
        <v>8</v>
      </c>
      <c r="D1992" s="17" t="s">
        <v>10</v>
      </c>
      <c r="E1992" s="17" t="s">
        <v>13</v>
      </c>
      <c r="F1992" s="17" t="str">
        <f>INDEX(nrg_cb_e!$A$3:$A$40,MATCH(LEFT(MID('Industriesektor GWh'!$B1992,41,1000),SEARCH(" - ",MID('Industriesektor GWh'!$B1992,41,1000))-1),nrg_cb_e!$C$3:$C$40,0))</f>
        <v>FC_IND_IS_E</v>
      </c>
      <c r="G1992" s="18">
        <v>2415</v>
      </c>
    </row>
    <row r="1993" spans="1:7" x14ac:dyDescent="0.2">
      <c r="A1993" s="19" t="s">
        <v>53</v>
      </c>
      <c r="B1993" s="20" t="s">
        <v>6</v>
      </c>
      <c r="C1993" s="20" t="s">
        <v>8</v>
      </c>
      <c r="D1993" s="20" t="s">
        <v>10</v>
      </c>
      <c r="E1993" s="20" t="s">
        <v>14</v>
      </c>
      <c r="F1993" s="20" t="str">
        <f>INDEX(nrg_cb_e!$A$3:$A$40,MATCH(LEFT(MID('Industriesektor GWh'!$B1993,41,1000),SEARCH(" - ",MID('Industriesektor GWh'!$B1993,41,1000))-1),nrg_cb_e!$C$3:$C$40,0))</f>
        <v>FC_IND_IS_E</v>
      </c>
      <c r="G1993" s="21">
        <v>2602</v>
      </c>
    </row>
    <row r="1994" spans="1:7" x14ac:dyDescent="0.2">
      <c r="A1994" s="16" t="s">
        <v>53</v>
      </c>
      <c r="B1994" s="17" t="s">
        <v>6</v>
      </c>
      <c r="C1994" s="17" t="s">
        <v>8</v>
      </c>
      <c r="D1994" s="17" t="s">
        <v>10</v>
      </c>
      <c r="E1994" s="17" t="s">
        <v>15</v>
      </c>
      <c r="F1994" s="17" t="str">
        <f>INDEX(nrg_cb_e!$A$3:$A$40,MATCH(LEFT(MID('Industriesektor GWh'!$B1994,41,1000),SEARCH(" - ",MID('Industriesektor GWh'!$B1994,41,1000))-1),nrg_cb_e!$C$3:$C$40,0))</f>
        <v>FC_IND_IS_E</v>
      </c>
      <c r="G1994" s="18">
        <v>2292</v>
      </c>
    </row>
    <row r="1995" spans="1:7" x14ac:dyDescent="0.2">
      <c r="A1995" s="19" t="s">
        <v>53</v>
      </c>
      <c r="B1995" s="20" t="s">
        <v>6</v>
      </c>
      <c r="C1995" s="20" t="s">
        <v>8</v>
      </c>
      <c r="D1995" s="20" t="s">
        <v>10</v>
      </c>
      <c r="E1995" s="20" t="s">
        <v>16</v>
      </c>
      <c r="F1995" s="20" t="str">
        <f>INDEX(nrg_cb_e!$A$3:$A$40,MATCH(LEFT(MID('Industriesektor GWh'!$B1995,41,1000),SEARCH(" - ",MID('Industriesektor GWh'!$B1995,41,1000))-1),nrg_cb_e!$C$3:$C$40,0))</f>
        <v>FC_IND_IS_E</v>
      </c>
      <c r="G1995" s="21">
        <v>2563</v>
      </c>
    </row>
    <row r="1996" spans="1:7" x14ac:dyDescent="0.2">
      <c r="A1996" s="16" t="s">
        <v>53</v>
      </c>
      <c r="B1996" s="17" t="s">
        <v>6</v>
      </c>
      <c r="C1996" s="17" t="s">
        <v>8</v>
      </c>
      <c r="D1996" s="17" t="s">
        <v>10</v>
      </c>
      <c r="E1996" s="17" t="s">
        <v>17</v>
      </c>
      <c r="F1996" s="17" t="str">
        <f>INDEX(nrg_cb_e!$A$3:$A$40,MATCH(LEFT(MID('Industriesektor GWh'!$B1996,41,1000),SEARCH(" - ",MID('Industriesektor GWh'!$B1996,41,1000))-1),nrg_cb_e!$C$3:$C$40,0))</f>
        <v>FC_IND_IS_E</v>
      </c>
      <c r="G1996" s="18">
        <v>2726</v>
      </c>
    </row>
    <row r="1997" spans="1:7" x14ac:dyDescent="0.2">
      <c r="A1997" s="19" t="s">
        <v>53</v>
      </c>
      <c r="B1997" s="20" t="s">
        <v>6</v>
      </c>
      <c r="C1997" s="20" t="s">
        <v>8</v>
      </c>
      <c r="D1997" s="20" t="s">
        <v>10</v>
      </c>
      <c r="E1997" s="20" t="s">
        <v>18</v>
      </c>
      <c r="F1997" s="20" t="str">
        <f>INDEX(nrg_cb_e!$A$3:$A$40,MATCH(LEFT(MID('Industriesektor GWh'!$B1997,41,1000),SEARCH(" - ",MID('Industriesektor GWh'!$B1997,41,1000))-1),nrg_cb_e!$C$3:$C$40,0))</f>
        <v>FC_IND_IS_E</v>
      </c>
      <c r="G1997" s="21">
        <v>2416</v>
      </c>
    </row>
    <row r="1998" spans="1:7" x14ac:dyDescent="0.2">
      <c r="A1998" s="16" t="s">
        <v>53</v>
      </c>
      <c r="B1998" s="17" t="s">
        <v>6</v>
      </c>
      <c r="C1998" s="17" t="s">
        <v>8</v>
      </c>
      <c r="D1998" s="17" t="s">
        <v>10</v>
      </c>
      <c r="E1998" s="17" t="s">
        <v>19</v>
      </c>
      <c r="F1998" s="17" t="str">
        <f>INDEX(nrg_cb_e!$A$3:$A$40,MATCH(LEFT(MID('Industriesektor GWh'!$B1998,41,1000),SEARCH(" - ",MID('Industriesektor GWh'!$B1998,41,1000))-1),nrg_cb_e!$C$3:$C$40,0))</f>
        <v>FC_IND_IS_E</v>
      </c>
      <c r="G1998" s="18">
        <v>1891</v>
      </c>
    </row>
    <row r="1999" spans="1:7" x14ac:dyDescent="0.2">
      <c r="A1999" s="19" t="s">
        <v>53</v>
      </c>
      <c r="B1999" s="20" t="s">
        <v>6</v>
      </c>
      <c r="C1999" s="20" t="s">
        <v>8</v>
      </c>
      <c r="D1999" s="20" t="s">
        <v>10</v>
      </c>
      <c r="E1999" s="20" t="s">
        <v>20</v>
      </c>
      <c r="F1999" s="20" t="str">
        <f>INDEX(nrg_cb_e!$A$3:$A$40,MATCH(LEFT(MID('Industriesektor GWh'!$B1999,41,1000),SEARCH(" - ",MID('Industriesektor GWh'!$B1999,41,1000))-1),nrg_cb_e!$C$3:$C$40,0))</f>
        <v>FC_IND_IS_E</v>
      </c>
      <c r="G1999" s="21">
        <v>2349</v>
      </c>
    </row>
    <row r="2000" spans="1:7" x14ac:dyDescent="0.2">
      <c r="A2000" s="16" t="s">
        <v>53</v>
      </c>
      <c r="B2000" s="17" t="s">
        <v>6</v>
      </c>
      <c r="C2000" s="17" t="s">
        <v>8</v>
      </c>
      <c r="D2000" s="17" t="s">
        <v>10</v>
      </c>
      <c r="E2000" s="17" t="s">
        <v>21</v>
      </c>
      <c r="F2000" s="17" t="str">
        <f>INDEX(nrg_cb_e!$A$3:$A$40,MATCH(LEFT(MID('Industriesektor GWh'!$B2000,41,1000),SEARCH(" - ",MID('Industriesektor GWh'!$B2000,41,1000))-1),nrg_cb_e!$C$3:$C$40,0))</f>
        <v>FC_IND_IS_E</v>
      </c>
      <c r="G2000" s="18">
        <v>2336</v>
      </c>
    </row>
    <row r="2001" spans="1:7" x14ac:dyDescent="0.2">
      <c r="A2001" s="19" t="s">
        <v>53</v>
      </c>
      <c r="B2001" s="20" t="s">
        <v>6</v>
      </c>
      <c r="C2001" s="20" t="s">
        <v>8</v>
      </c>
      <c r="D2001" s="20" t="s">
        <v>10</v>
      </c>
      <c r="E2001" s="20" t="s">
        <v>22</v>
      </c>
      <c r="F2001" s="20" t="str">
        <f>INDEX(nrg_cb_e!$A$3:$A$40,MATCH(LEFT(MID('Industriesektor GWh'!$B2001,41,1000),SEARCH(" - ",MID('Industriesektor GWh'!$B2001,41,1000))-1),nrg_cb_e!$C$3:$C$40,0))</f>
        <v>FC_IND_IS_E</v>
      </c>
      <c r="G2001" s="21">
        <v>2597</v>
      </c>
    </row>
    <row r="2002" spans="1:7" x14ac:dyDescent="0.2">
      <c r="A2002" s="16" t="s">
        <v>53</v>
      </c>
      <c r="B2002" s="17" t="s">
        <v>6</v>
      </c>
      <c r="C2002" s="17" t="s">
        <v>8</v>
      </c>
      <c r="D2002" s="17" t="s">
        <v>10</v>
      </c>
      <c r="E2002" s="17" t="s">
        <v>23</v>
      </c>
      <c r="F2002" s="17" t="str">
        <f>INDEX(nrg_cb_e!$A$3:$A$40,MATCH(LEFT(MID('Industriesektor GWh'!$B2002,41,1000),SEARCH(" - ",MID('Industriesektor GWh'!$B2002,41,1000))-1),nrg_cb_e!$C$3:$C$40,0))</f>
        <v>FC_IND_IS_E</v>
      </c>
      <c r="G2002" s="18">
        <v>2454</v>
      </c>
    </row>
    <row r="2003" spans="1:7" x14ac:dyDescent="0.2">
      <c r="A2003" s="19" t="s">
        <v>53</v>
      </c>
      <c r="B2003" s="20" t="s">
        <v>6</v>
      </c>
      <c r="C2003" s="20" t="s">
        <v>8</v>
      </c>
      <c r="D2003" s="20" t="s">
        <v>10</v>
      </c>
      <c r="E2003" s="20" t="s">
        <v>24</v>
      </c>
      <c r="F2003" s="20" t="str">
        <f>INDEX(nrg_cb_e!$A$3:$A$40,MATCH(LEFT(MID('Industriesektor GWh'!$B2003,41,1000),SEARCH(" - ",MID('Industriesektor GWh'!$B2003,41,1000))-1),nrg_cb_e!$C$3:$C$40,0))</f>
        <v>FC_IND_IS_E</v>
      </c>
      <c r="G2003" s="21">
        <v>2485</v>
      </c>
    </row>
    <row r="2004" spans="1:7" x14ac:dyDescent="0.2">
      <c r="A2004" s="16" t="s">
        <v>53</v>
      </c>
      <c r="B2004" s="17" t="s">
        <v>6</v>
      </c>
      <c r="C2004" s="17" t="s">
        <v>8</v>
      </c>
      <c r="D2004" s="17" t="s">
        <v>10</v>
      </c>
      <c r="E2004" s="17" t="s">
        <v>25</v>
      </c>
      <c r="F2004" s="17" t="str">
        <f>INDEX(nrg_cb_e!$A$3:$A$40,MATCH(LEFT(MID('Industriesektor GWh'!$B2004,41,1000),SEARCH(" - ",MID('Industriesektor GWh'!$B2004,41,1000))-1),nrg_cb_e!$C$3:$C$40,0))</f>
        <v>FC_IND_IS_E</v>
      </c>
      <c r="G2004" s="18">
        <v>2337</v>
      </c>
    </row>
    <row r="2005" spans="1:7" x14ac:dyDescent="0.2">
      <c r="A2005" s="19" t="s">
        <v>53</v>
      </c>
      <c r="B2005" s="20" t="s">
        <v>6</v>
      </c>
      <c r="C2005" s="20" t="s">
        <v>8</v>
      </c>
      <c r="D2005" s="20" t="s">
        <v>10</v>
      </c>
      <c r="E2005" s="20" t="s">
        <v>26</v>
      </c>
      <c r="F2005" s="20" t="str">
        <f>INDEX(nrg_cb_e!$A$3:$A$40,MATCH(LEFT(MID('Industriesektor GWh'!$B2005,41,1000),SEARCH(" - ",MID('Industriesektor GWh'!$B2005,41,1000))-1),nrg_cb_e!$C$3:$C$40,0))</f>
        <v>FC_IND_IS_E</v>
      </c>
      <c r="G2005" s="21">
        <v>2303</v>
      </c>
    </row>
    <row r="2006" spans="1:7" x14ac:dyDescent="0.2">
      <c r="A2006" s="16" t="s">
        <v>53</v>
      </c>
      <c r="B2006" s="17" t="s">
        <v>6</v>
      </c>
      <c r="C2006" s="17" t="s">
        <v>8</v>
      </c>
      <c r="D2006" s="17" t="s">
        <v>10</v>
      </c>
      <c r="E2006" s="17" t="s">
        <v>27</v>
      </c>
      <c r="F2006" s="17" t="str">
        <f>INDEX(nrg_cb_e!$A$3:$A$40,MATCH(LEFT(MID('Industriesektor GWh'!$B2006,41,1000),SEARCH(" - ",MID('Industriesektor GWh'!$B2006,41,1000))-1),nrg_cb_e!$C$3:$C$40,0))</f>
        <v>FC_IND_IS_E</v>
      </c>
      <c r="G2006" s="18">
        <v>2614</v>
      </c>
    </row>
    <row r="2007" spans="1:7" x14ac:dyDescent="0.2">
      <c r="A2007" s="19" t="s">
        <v>53</v>
      </c>
      <c r="B2007" s="20" t="s">
        <v>6</v>
      </c>
      <c r="C2007" s="20" t="s">
        <v>8</v>
      </c>
      <c r="D2007" s="20" t="s">
        <v>10</v>
      </c>
      <c r="E2007" s="20" t="s">
        <v>28</v>
      </c>
      <c r="F2007" s="20" t="str">
        <f>INDEX(nrg_cb_e!$A$3:$A$40,MATCH(LEFT(MID('Industriesektor GWh'!$B2007,41,1000),SEARCH(" - ",MID('Industriesektor GWh'!$B2007,41,1000))-1),nrg_cb_e!$C$3:$C$40,0))</f>
        <v>FC_IND_IS_E</v>
      </c>
      <c r="G2007" s="21">
        <v>2541</v>
      </c>
    </row>
    <row r="2008" spans="1:7" x14ac:dyDescent="0.2">
      <c r="A2008" s="16" t="s">
        <v>54</v>
      </c>
      <c r="B2008" s="17" t="s">
        <v>6</v>
      </c>
      <c r="C2008" s="17" t="s">
        <v>8</v>
      </c>
      <c r="D2008" s="17" t="s">
        <v>10</v>
      </c>
      <c r="E2008" s="17" t="s">
        <v>12</v>
      </c>
      <c r="F2008" s="17" t="str">
        <f>INDEX(nrg_cb_e!$A$3:$A$40,MATCH(LEFT(MID('Industriesektor GWh'!$B2008,41,1000),SEARCH(" - ",MID('Industriesektor GWh'!$B2008,41,1000))-1),nrg_cb_e!$C$3:$C$40,0))</f>
        <v>FC_IND_IS_E</v>
      </c>
      <c r="G2008" s="18">
        <v>3024</v>
      </c>
    </row>
    <row r="2009" spans="1:7" x14ac:dyDescent="0.2">
      <c r="A2009" s="19" t="s">
        <v>54</v>
      </c>
      <c r="B2009" s="20" t="s">
        <v>6</v>
      </c>
      <c r="C2009" s="20" t="s">
        <v>8</v>
      </c>
      <c r="D2009" s="20" t="s">
        <v>10</v>
      </c>
      <c r="E2009" s="20" t="s">
        <v>13</v>
      </c>
      <c r="F2009" s="20" t="str">
        <f>INDEX(nrg_cb_e!$A$3:$A$40,MATCH(LEFT(MID('Industriesektor GWh'!$B2009,41,1000),SEARCH(" - ",MID('Industriesektor GWh'!$B2009,41,1000))-1),nrg_cb_e!$C$3:$C$40,0))</f>
        <v>FC_IND_IS_E</v>
      </c>
      <c r="G2009" s="21">
        <v>3231</v>
      </c>
    </row>
    <row r="2010" spans="1:7" x14ac:dyDescent="0.2">
      <c r="A2010" s="16" t="s">
        <v>54</v>
      </c>
      <c r="B2010" s="17" t="s">
        <v>6</v>
      </c>
      <c r="C2010" s="17" t="s">
        <v>8</v>
      </c>
      <c r="D2010" s="17" t="s">
        <v>10</v>
      </c>
      <c r="E2010" s="17" t="s">
        <v>14</v>
      </c>
      <c r="F2010" s="17" t="str">
        <f>INDEX(nrg_cb_e!$A$3:$A$40,MATCH(LEFT(MID('Industriesektor GWh'!$B2010,41,1000),SEARCH(" - ",MID('Industriesektor GWh'!$B2010,41,1000))-1),nrg_cb_e!$C$3:$C$40,0))</f>
        <v>FC_IND_IS_E</v>
      </c>
      <c r="G2010" s="18">
        <v>3410</v>
      </c>
    </row>
    <row r="2011" spans="1:7" x14ac:dyDescent="0.2">
      <c r="A2011" s="19" t="s">
        <v>54</v>
      </c>
      <c r="B2011" s="20" t="s">
        <v>6</v>
      </c>
      <c r="C2011" s="20" t="s">
        <v>8</v>
      </c>
      <c r="D2011" s="20" t="s">
        <v>10</v>
      </c>
      <c r="E2011" s="20" t="s">
        <v>15</v>
      </c>
      <c r="F2011" s="20" t="str">
        <f>INDEX(nrg_cb_e!$A$3:$A$40,MATCH(LEFT(MID('Industriesektor GWh'!$B2011,41,1000),SEARCH(" - ",MID('Industriesektor GWh'!$B2011,41,1000))-1),nrg_cb_e!$C$3:$C$40,0))</f>
        <v>FC_IND_IS_E</v>
      </c>
      <c r="G2011" s="21">
        <v>3448</v>
      </c>
    </row>
    <row r="2012" spans="1:7" x14ac:dyDescent="0.2">
      <c r="A2012" s="16" t="s">
        <v>54</v>
      </c>
      <c r="B2012" s="17" t="s">
        <v>6</v>
      </c>
      <c r="C2012" s="17" t="s">
        <v>8</v>
      </c>
      <c r="D2012" s="17" t="s">
        <v>10</v>
      </c>
      <c r="E2012" s="17" t="s">
        <v>16</v>
      </c>
      <c r="F2012" s="17" t="str">
        <f>INDEX(nrg_cb_e!$A$3:$A$40,MATCH(LEFT(MID('Industriesektor GWh'!$B2012,41,1000),SEARCH(" - ",MID('Industriesektor GWh'!$B2012,41,1000))-1),nrg_cb_e!$C$3:$C$40,0))</f>
        <v>FC_IND_IS_E</v>
      </c>
      <c r="G2012" s="18">
        <v>3630</v>
      </c>
    </row>
    <row r="2013" spans="1:7" x14ac:dyDescent="0.2">
      <c r="A2013" s="19" t="s">
        <v>54</v>
      </c>
      <c r="B2013" s="20" t="s">
        <v>6</v>
      </c>
      <c r="C2013" s="20" t="s">
        <v>8</v>
      </c>
      <c r="D2013" s="20" t="s">
        <v>10</v>
      </c>
      <c r="E2013" s="20" t="s">
        <v>17</v>
      </c>
      <c r="F2013" s="20" t="str">
        <f>INDEX(nrg_cb_e!$A$3:$A$40,MATCH(LEFT(MID('Industriesektor GWh'!$B2013,41,1000),SEARCH(" - ",MID('Industriesektor GWh'!$B2013,41,1000))-1),nrg_cb_e!$C$3:$C$40,0))</f>
        <v>FC_IND_IS_E</v>
      </c>
      <c r="G2013" s="21">
        <v>3445</v>
      </c>
    </row>
    <row r="2014" spans="1:7" x14ac:dyDescent="0.2">
      <c r="A2014" s="16" t="s">
        <v>54</v>
      </c>
      <c r="B2014" s="17" t="s">
        <v>6</v>
      </c>
      <c r="C2014" s="17" t="s">
        <v>8</v>
      </c>
      <c r="D2014" s="17" t="s">
        <v>10</v>
      </c>
      <c r="E2014" s="17" t="s">
        <v>18</v>
      </c>
      <c r="F2014" s="17" t="str">
        <f>INDEX(nrg_cb_e!$A$3:$A$40,MATCH(LEFT(MID('Industriesektor GWh'!$B2014,41,1000),SEARCH(" - ",MID('Industriesektor GWh'!$B2014,41,1000))-1),nrg_cb_e!$C$3:$C$40,0))</f>
        <v>FC_IND_IS_E</v>
      </c>
      <c r="G2014" s="18">
        <v>3284</v>
      </c>
    </row>
    <row r="2015" spans="1:7" x14ac:dyDescent="0.2">
      <c r="A2015" s="19" t="s">
        <v>54</v>
      </c>
      <c r="B2015" s="20" t="s">
        <v>6</v>
      </c>
      <c r="C2015" s="20" t="s">
        <v>8</v>
      </c>
      <c r="D2015" s="20" t="s">
        <v>10</v>
      </c>
      <c r="E2015" s="20" t="s">
        <v>19</v>
      </c>
      <c r="F2015" s="20" t="str">
        <f>INDEX(nrg_cb_e!$A$3:$A$40,MATCH(LEFT(MID('Industriesektor GWh'!$B2015,41,1000),SEARCH(" - ",MID('Industriesektor GWh'!$B2015,41,1000))-1),nrg_cb_e!$C$3:$C$40,0))</f>
        <v>FC_IND_IS_E</v>
      </c>
      <c r="G2015" s="21">
        <v>2651</v>
      </c>
    </row>
    <row r="2016" spans="1:7" x14ac:dyDescent="0.2">
      <c r="A2016" s="16" t="s">
        <v>54</v>
      </c>
      <c r="B2016" s="17" t="s">
        <v>6</v>
      </c>
      <c r="C2016" s="17" t="s">
        <v>8</v>
      </c>
      <c r="D2016" s="17" t="s">
        <v>10</v>
      </c>
      <c r="E2016" s="17" t="s">
        <v>20</v>
      </c>
      <c r="F2016" s="17" t="str">
        <f>INDEX(nrg_cb_e!$A$3:$A$40,MATCH(LEFT(MID('Industriesektor GWh'!$B2016,41,1000),SEARCH(" - ",MID('Industriesektor GWh'!$B2016,41,1000))-1),nrg_cb_e!$C$3:$C$40,0))</f>
        <v>FC_IND_IS_E</v>
      </c>
      <c r="G2016" s="18">
        <v>3276</v>
      </c>
    </row>
    <row r="2017" spans="1:7" x14ac:dyDescent="0.2">
      <c r="A2017" s="19" t="s">
        <v>54</v>
      </c>
      <c r="B2017" s="20" t="s">
        <v>6</v>
      </c>
      <c r="C2017" s="20" t="s">
        <v>8</v>
      </c>
      <c r="D2017" s="20" t="s">
        <v>10</v>
      </c>
      <c r="E2017" s="20" t="s">
        <v>21</v>
      </c>
      <c r="F2017" s="20" t="str">
        <f>INDEX(nrg_cb_e!$A$3:$A$40,MATCH(LEFT(MID('Industriesektor GWh'!$B2017,41,1000),SEARCH(" - ",MID('Industriesektor GWh'!$B2017,41,1000))-1),nrg_cb_e!$C$3:$C$40,0))</f>
        <v>FC_IND_IS_E</v>
      </c>
      <c r="G2017" s="21">
        <v>3497</v>
      </c>
    </row>
    <row r="2018" spans="1:7" x14ac:dyDescent="0.2">
      <c r="A2018" s="16" t="s">
        <v>54</v>
      </c>
      <c r="B2018" s="17" t="s">
        <v>6</v>
      </c>
      <c r="C2018" s="17" t="s">
        <v>8</v>
      </c>
      <c r="D2018" s="17" t="s">
        <v>10</v>
      </c>
      <c r="E2018" s="17" t="s">
        <v>22</v>
      </c>
      <c r="F2018" s="17" t="str">
        <f>INDEX(nrg_cb_e!$A$3:$A$40,MATCH(LEFT(MID('Industriesektor GWh'!$B2018,41,1000),SEARCH(" - ",MID('Industriesektor GWh'!$B2018,41,1000))-1),nrg_cb_e!$C$3:$C$40,0))</f>
        <v>FC_IND_IS_E</v>
      </c>
      <c r="G2018" s="18">
        <v>3349</v>
      </c>
    </row>
    <row r="2019" spans="1:7" x14ac:dyDescent="0.2">
      <c r="A2019" s="19" t="s">
        <v>54</v>
      </c>
      <c r="B2019" s="20" t="s">
        <v>6</v>
      </c>
      <c r="C2019" s="20" t="s">
        <v>8</v>
      </c>
      <c r="D2019" s="20" t="s">
        <v>10</v>
      </c>
      <c r="E2019" s="20" t="s">
        <v>23</v>
      </c>
      <c r="F2019" s="20" t="str">
        <f>INDEX(nrg_cb_e!$A$3:$A$40,MATCH(LEFT(MID('Industriesektor GWh'!$B2019,41,1000),SEARCH(" - ",MID('Industriesektor GWh'!$B2019,41,1000))-1),nrg_cb_e!$C$3:$C$40,0))</f>
        <v>FC_IND_IS_E</v>
      </c>
      <c r="G2019" s="21">
        <v>3902</v>
      </c>
    </row>
    <row r="2020" spans="1:7" x14ac:dyDescent="0.2">
      <c r="A2020" s="16" t="s">
        <v>54</v>
      </c>
      <c r="B2020" s="17" t="s">
        <v>6</v>
      </c>
      <c r="C2020" s="17" t="s">
        <v>8</v>
      </c>
      <c r="D2020" s="17" t="s">
        <v>10</v>
      </c>
      <c r="E2020" s="17" t="s">
        <v>24</v>
      </c>
      <c r="F2020" s="17" t="str">
        <f>INDEX(nrg_cb_e!$A$3:$A$40,MATCH(LEFT(MID('Industriesektor GWh'!$B2020,41,1000),SEARCH(" - ",MID('Industriesektor GWh'!$B2020,41,1000))-1),nrg_cb_e!$C$3:$C$40,0))</f>
        <v>FC_IND_IS_E</v>
      </c>
      <c r="G2020" s="18">
        <v>4002</v>
      </c>
    </row>
    <row r="2021" spans="1:7" x14ac:dyDescent="0.2">
      <c r="A2021" s="19" t="s">
        <v>54</v>
      </c>
      <c r="B2021" s="20" t="s">
        <v>6</v>
      </c>
      <c r="C2021" s="20" t="s">
        <v>8</v>
      </c>
      <c r="D2021" s="20" t="s">
        <v>10</v>
      </c>
      <c r="E2021" s="20" t="s">
        <v>25</v>
      </c>
      <c r="F2021" s="20" t="str">
        <f>INDEX(nrg_cb_e!$A$3:$A$40,MATCH(LEFT(MID('Industriesektor GWh'!$B2021,41,1000),SEARCH(" - ",MID('Industriesektor GWh'!$B2021,41,1000))-1),nrg_cb_e!$C$3:$C$40,0))</f>
        <v>FC_IND_IS_E</v>
      </c>
      <c r="G2021" s="21">
        <v>4353</v>
      </c>
    </row>
    <row r="2022" spans="1:7" x14ac:dyDescent="0.2">
      <c r="A2022" s="16" t="s">
        <v>54</v>
      </c>
      <c r="B2022" s="17" t="s">
        <v>6</v>
      </c>
      <c r="C2022" s="17" t="s">
        <v>8</v>
      </c>
      <c r="D2022" s="17" t="s">
        <v>10</v>
      </c>
      <c r="E2022" s="17" t="s">
        <v>26</v>
      </c>
      <c r="F2022" s="17" t="str">
        <f>INDEX(nrg_cb_e!$A$3:$A$40,MATCH(LEFT(MID('Industriesektor GWh'!$B2022,41,1000),SEARCH(" - ",MID('Industriesektor GWh'!$B2022,41,1000))-1),nrg_cb_e!$C$3:$C$40,0))</f>
        <v>FC_IND_IS_E</v>
      </c>
      <c r="G2022" s="18">
        <v>4414</v>
      </c>
    </row>
    <row r="2023" spans="1:7" x14ac:dyDescent="0.2">
      <c r="A2023" s="19" t="s">
        <v>54</v>
      </c>
      <c r="B2023" s="20" t="s">
        <v>6</v>
      </c>
      <c r="C2023" s="20" t="s">
        <v>8</v>
      </c>
      <c r="D2023" s="20" t="s">
        <v>10</v>
      </c>
      <c r="E2023" s="20" t="s">
        <v>27</v>
      </c>
      <c r="F2023" s="20" t="str">
        <f>INDEX(nrg_cb_e!$A$3:$A$40,MATCH(LEFT(MID('Industriesektor GWh'!$B2023,41,1000),SEARCH(" - ",MID('Industriesektor GWh'!$B2023,41,1000))-1),nrg_cb_e!$C$3:$C$40,0))</f>
        <v>FC_IND_IS_E</v>
      </c>
      <c r="G2023" s="21">
        <v>4222</v>
      </c>
    </row>
    <row r="2024" spans="1:7" x14ac:dyDescent="0.2">
      <c r="A2024" s="16" t="s">
        <v>54</v>
      </c>
      <c r="B2024" s="17" t="s">
        <v>6</v>
      </c>
      <c r="C2024" s="17" t="s">
        <v>8</v>
      </c>
      <c r="D2024" s="17" t="s">
        <v>10</v>
      </c>
      <c r="E2024" s="17" t="s">
        <v>28</v>
      </c>
      <c r="F2024" s="17" t="str">
        <f>INDEX(nrg_cb_e!$A$3:$A$40,MATCH(LEFT(MID('Industriesektor GWh'!$B2024,41,1000),SEARCH(" - ",MID('Industriesektor GWh'!$B2024,41,1000))-1),nrg_cb_e!$C$3:$C$40,0))</f>
        <v>FC_IND_IS_E</v>
      </c>
      <c r="G2024" s="18">
        <v>4308</v>
      </c>
    </row>
    <row r="2025" spans="1:7" x14ac:dyDescent="0.2">
      <c r="A2025" s="19" t="s">
        <v>55</v>
      </c>
      <c r="B2025" s="20" t="s">
        <v>6</v>
      </c>
      <c r="C2025" s="20" t="s">
        <v>8</v>
      </c>
      <c r="D2025" s="20" t="s">
        <v>10</v>
      </c>
      <c r="E2025" s="20" t="s">
        <v>12</v>
      </c>
      <c r="F2025" s="20" t="str">
        <f>INDEX(nrg_cb_e!$A$3:$A$40,MATCH(LEFT(MID('Industriesektor GWh'!$B2025,41,1000),SEARCH(" - ",MID('Industriesektor GWh'!$B2025,41,1000))-1),nrg_cb_e!$C$3:$C$40,0))</f>
        <v>FC_IND_IS_E</v>
      </c>
      <c r="G2025" s="21">
        <v>4873</v>
      </c>
    </row>
    <row r="2026" spans="1:7" x14ac:dyDescent="0.2">
      <c r="A2026" s="16" t="s">
        <v>55</v>
      </c>
      <c r="B2026" s="17" t="s">
        <v>6</v>
      </c>
      <c r="C2026" s="17" t="s">
        <v>8</v>
      </c>
      <c r="D2026" s="17" t="s">
        <v>10</v>
      </c>
      <c r="E2026" s="17" t="s">
        <v>13</v>
      </c>
      <c r="F2026" s="17" t="str">
        <f>INDEX(nrg_cb_e!$A$3:$A$40,MATCH(LEFT(MID('Industriesektor GWh'!$B2026,41,1000),SEARCH(" - ",MID('Industriesektor GWh'!$B2026,41,1000))-1),nrg_cb_e!$C$3:$C$40,0))</f>
        <v>FC_IND_IS_E</v>
      </c>
      <c r="G2026" s="18">
        <v>4850</v>
      </c>
    </row>
    <row r="2027" spans="1:7" x14ac:dyDescent="0.2">
      <c r="A2027" s="19" t="s">
        <v>55</v>
      </c>
      <c r="B2027" s="20" t="s">
        <v>6</v>
      </c>
      <c r="C2027" s="20" t="s">
        <v>8</v>
      </c>
      <c r="D2027" s="20" t="s">
        <v>10</v>
      </c>
      <c r="E2027" s="20" t="s">
        <v>14</v>
      </c>
      <c r="F2027" s="20" t="str">
        <f>INDEX(nrg_cb_e!$A$3:$A$40,MATCH(LEFT(MID('Industriesektor GWh'!$B2027,41,1000),SEARCH(" - ",MID('Industriesektor GWh'!$B2027,41,1000))-1),nrg_cb_e!$C$3:$C$40,0))</f>
        <v>FC_IND_IS_E</v>
      </c>
      <c r="G2027" s="21">
        <v>4947</v>
      </c>
    </row>
    <row r="2028" spans="1:7" x14ac:dyDescent="0.2">
      <c r="A2028" s="16" t="s">
        <v>55</v>
      </c>
      <c r="B2028" s="17" t="s">
        <v>6</v>
      </c>
      <c r="C2028" s="17" t="s">
        <v>8</v>
      </c>
      <c r="D2028" s="17" t="s">
        <v>10</v>
      </c>
      <c r="E2028" s="17" t="s">
        <v>15</v>
      </c>
      <c r="F2028" s="17" t="str">
        <f>INDEX(nrg_cb_e!$A$3:$A$40,MATCH(LEFT(MID('Industriesektor GWh'!$B2028,41,1000),SEARCH(" - ",MID('Industriesektor GWh'!$B2028,41,1000))-1),nrg_cb_e!$C$3:$C$40,0))</f>
        <v>FC_IND_IS_E</v>
      </c>
      <c r="G2028" s="18">
        <v>5356</v>
      </c>
    </row>
    <row r="2029" spans="1:7" x14ac:dyDescent="0.2">
      <c r="A2029" s="19" t="s">
        <v>55</v>
      </c>
      <c r="B2029" s="20" t="s">
        <v>6</v>
      </c>
      <c r="C2029" s="20" t="s">
        <v>8</v>
      </c>
      <c r="D2029" s="20" t="s">
        <v>10</v>
      </c>
      <c r="E2029" s="20" t="s">
        <v>16</v>
      </c>
      <c r="F2029" s="20" t="str">
        <f>INDEX(nrg_cb_e!$A$3:$A$40,MATCH(LEFT(MID('Industriesektor GWh'!$B2029,41,1000),SEARCH(" - ",MID('Industriesektor GWh'!$B2029,41,1000))-1),nrg_cb_e!$C$3:$C$40,0))</f>
        <v>FC_IND_IS_E</v>
      </c>
      <c r="G2029" s="21">
        <v>5287</v>
      </c>
    </row>
    <row r="2030" spans="1:7" x14ac:dyDescent="0.2">
      <c r="A2030" s="16" t="s">
        <v>55</v>
      </c>
      <c r="B2030" s="17" t="s">
        <v>6</v>
      </c>
      <c r="C2030" s="17" t="s">
        <v>8</v>
      </c>
      <c r="D2030" s="17" t="s">
        <v>10</v>
      </c>
      <c r="E2030" s="17" t="s">
        <v>17</v>
      </c>
      <c r="F2030" s="17" t="str">
        <f>INDEX(nrg_cb_e!$A$3:$A$40,MATCH(LEFT(MID('Industriesektor GWh'!$B2030,41,1000),SEARCH(" - ",MID('Industriesektor GWh'!$B2030,41,1000))-1),nrg_cb_e!$C$3:$C$40,0))</f>
        <v>FC_IND_IS_E</v>
      </c>
      <c r="G2030" s="18">
        <v>5218</v>
      </c>
    </row>
    <row r="2031" spans="1:7" x14ac:dyDescent="0.2">
      <c r="A2031" s="19" t="s">
        <v>55</v>
      </c>
      <c r="B2031" s="20" t="s">
        <v>6</v>
      </c>
      <c r="C2031" s="20" t="s">
        <v>8</v>
      </c>
      <c r="D2031" s="20" t="s">
        <v>10</v>
      </c>
      <c r="E2031" s="20" t="s">
        <v>18</v>
      </c>
      <c r="F2031" s="20" t="str">
        <f>INDEX(nrg_cb_e!$A$3:$A$40,MATCH(LEFT(MID('Industriesektor GWh'!$B2031,41,1000),SEARCH(" - ",MID('Industriesektor GWh'!$B2031,41,1000))-1),nrg_cb_e!$C$3:$C$40,0))</f>
        <v>FC_IND_IS_E</v>
      </c>
      <c r="G2031" s="21">
        <v>5201</v>
      </c>
    </row>
    <row r="2032" spans="1:7" x14ac:dyDescent="0.2">
      <c r="A2032" s="16" t="s">
        <v>55</v>
      </c>
      <c r="B2032" s="17" t="s">
        <v>6</v>
      </c>
      <c r="C2032" s="17" t="s">
        <v>8</v>
      </c>
      <c r="D2032" s="17" t="s">
        <v>10</v>
      </c>
      <c r="E2032" s="17" t="s">
        <v>19</v>
      </c>
      <c r="F2032" s="17" t="str">
        <f>INDEX(nrg_cb_e!$A$3:$A$40,MATCH(LEFT(MID('Industriesektor GWh'!$B2032,41,1000),SEARCH(" - ",MID('Industriesektor GWh'!$B2032,41,1000))-1),nrg_cb_e!$C$3:$C$40,0))</f>
        <v>FC_IND_IS_E</v>
      </c>
      <c r="G2032" s="18">
        <v>3662</v>
      </c>
    </row>
    <row r="2033" spans="1:7" x14ac:dyDescent="0.2">
      <c r="A2033" s="19" t="s">
        <v>55</v>
      </c>
      <c r="B2033" s="20" t="s">
        <v>6</v>
      </c>
      <c r="C2033" s="20" t="s">
        <v>8</v>
      </c>
      <c r="D2033" s="20" t="s">
        <v>10</v>
      </c>
      <c r="E2033" s="20" t="s">
        <v>20</v>
      </c>
      <c r="F2033" s="20" t="str">
        <f>INDEX(nrg_cb_e!$A$3:$A$40,MATCH(LEFT(MID('Industriesektor GWh'!$B2033,41,1000),SEARCH(" - ",MID('Industriesektor GWh'!$B2033,41,1000))-1),nrg_cb_e!$C$3:$C$40,0))</f>
        <v>FC_IND_IS_E</v>
      </c>
      <c r="G2033" s="21">
        <v>4572</v>
      </c>
    </row>
    <row r="2034" spans="1:7" x14ac:dyDescent="0.2">
      <c r="A2034" s="16" t="s">
        <v>55</v>
      </c>
      <c r="B2034" s="17" t="s">
        <v>6</v>
      </c>
      <c r="C2034" s="17" t="s">
        <v>8</v>
      </c>
      <c r="D2034" s="17" t="s">
        <v>10</v>
      </c>
      <c r="E2034" s="17" t="s">
        <v>21</v>
      </c>
      <c r="F2034" s="17" t="str">
        <f>INDEX(nrg_cb_e!$A$3:$A$40,MATCH(LEFT(MID('Industriesektor GWh'!$B2034,41,1000),SEARCH(" - ",MID('Industriesektor GWh'!$B2034,41,1000))-1),nrg_cb_e!$C$3:$C$40,0))</f>
        <v>FC_IND_IS_E</v>
      </c>
      <c r="G2034" s="18">
        <v>4986</v>
      </c>
    </row>
    <row r="2035" spans="1:7" x14ac:dyDescent="0.2">
      <c r="A2035" s="19" t="s">
        <v>55</v>
      </c>
      <c r="B2035" s="20" t="s">
        <v>6</v>
      </c>
      <c r="C2035" s="20" t="s">
        <v>8</v>
      </c>
      <c r="D2035" s="20" t="s">
        <v>10</v>
      </c>
      <c r="E2035" s="20" t="s">
        <v>22</v>
      </c>
      <c r="F2035" s="20" t="str">
        <f>INDEX(nrg_cb_e!$A$3:$A$40,MATCH(LEFT(MID('Industriesektor GWh'!$B2035,41,1000),SEARCH(" - ",MID('Industriesektor GWh'!$B2035,41,1000))-1),nrg_cb_e!$C$3:$C$40,0))</f>
        <v>FC_IND_IS_E</v>
      </c>
      <c r="G2035" s="21">
        <v>4507</v>
      </c>
    </row>
    <row r="2036" spans="1:7" x14ac:dyDescent="0.2">
      <c r="A2036" s="16" t="s">
        <v>55</v>
      </c>
      <c r="B2036" s="17" t="s">
        <v>6</v>
      </c>
      <c r="C2036" s="17" t="s">
        <v>8</v>
      </c>
      <c r="D2036" s="17" t="s">
        <v>10</v>
      </c>
      <c r="E2036" s="17" t="s">
        <v>23</v>
      </c>
      <c r="F2036" s="17" t="str">
        <f>INDEX(nrg_cb_e!$A$3:$A$40,MATCH(LEFT(MID('Industriesektor GWh'!$B2036,41,1000),SEARCH(" - ",MID('Industriesektor GWh'!$B2036,41,1000))-1),nrg_cb_e!$C$3:$C$40,0))</f>
        <v>FC_IND_IS_E</v>
      </c>
      <c r="G2036" s="18">
        <v>4438</v>
      </c>
    </row>
    <row r="2037" spans="1:7" x14ac:dyDescent="0.2">
      <c r="A2037" s="19" t="s">
        <v>55</v>
      </c>
      <c r="B2037" s="20" t="s">
        <v>6</v>
      </c>
      <c r="C2037" s="20" t="s">
        <v>8</v>
      </c>
      <c r="D2037" s="20" t="s">
        <v>10</v>
      </c>
      <c r="E2037" s="20" t="s">
        <v>24</v>
      </c>
      <c r="F2037" s="20" t="str">
        <f>INDEX(nrg_cb_e!$A$3:$A$40,MATCH(LEFT(MID('Industriesektor GWh'!$B2037,41,1000),SEARCH(" - ",MID('Industriesektor GWh'!$B2037,41,1000))-1),nrg_cb_e!$C$3:$C$40,0))</f>
        <v>FC_IND_IS_E</v>
      </c>
      <c r="G2037" s="21">
        <v>4329</v>
      </c>
    </row>
    <row r="2038" spans="1:7" x14ac:dyDescent="0.2">
      <c r="A2038" s="16" t="s">
        <v>55</v>
      </c>
      <c r="B2038" s="17" t="s">
        <v>6</v>
      </c>
      <c r="C2038" s="17" t="s">
        <v>8</v>
      </c>
      <c r="D2038" s="17" t="s">
        <v>10</v>
      </c>
      <c r="E2038" s="17" t="s">
        <v>25</v>
      </c>
      <c r="F2038" s="17" t="str">
        <f>INDEX(nrg_cb_e!$A$3:$A$40,MATCH(LEFT(MID('Industriesektor GWh'!$B2038,41,1000),SEARCH(" - ",MID('Industriesektor GWh'!$B2038,41,1000))-1),nrg_cb_e!$C$3:$C$40,0))</f>
        <v>FC_IND_IS_E</v>
      </c>
      <c r="G2038" s="18">
        <v>4399</v>
      </c>
    </row>
    <row r="2039" spans="1:7" x14ac:dyDescent="0.2">
      <c r="A2039" s="19" t="s">
        <v>55</v>
      </c>
      <c r="B2039" s="20" t="s">
        <v>6</v>
      </c>
      <c r="C2039" s="20" t="s">
        <v>8</v>
      </c>
      <c r="D2039" s="20" t="s">
        <v>10</v>
      </c>
      <c r="E2039" s="20" t="s">
        <v>26</v>
      </c>
      <c r="F2039" s="20" t="str">
        <f>INDEX(nrg_cb_e!$A$3:$A$40,MATCH(LEFT(MID('Industriesektor GWh'!$B2039,41,1000),SEARCH(" - ",MID('Industriesektor GWh'!$B2039,41,1000))-1),nrg_cb_e!$C$3:$C$40,0))</f>
        <v>FC_IND_IS_E</v>
      </c>
      <c r="G2039" s="21">
        <v>4387</v>
      </c>
    </row>
    <row r="2040" spans="1:7" x14ac:dyDescent="0.2">
      <c r="A2040" s="16" t="s">
        <v>55</v>
      </c>
      <c r="B2040" s="17" t="s">
        <v>6</v>
      </c>
      <c r="C2040" s="17" t="s">
        <v>8</v>
      </c>
      <c r="D2040" s="17" t="s">
        <v>10</v>
      </c>
      <c r="E2040" s="17" t="s">
        <v>27</v>
      </c>
      <c r="F2040" s="17" t="str">
        <f>INDEX(nrg_cb_e!$A$3:$A$40,MATCH(LEFT(MID('Industriesektor GWh'!$B2040,41,1000),SEARCH(" - ",MID('Industriesektor GWh'!$B2040,41,1000))-1),nrg_cb_e!$C$3:$C$40,0))</f>
        <v>FC_IND_IS_E</v>
      </c>
      <c r="G2040" s="18">
        <v>4562</v>
      </c>
    </row>
    <row r="2041" spans="1:7" x14ac:dyDescent="0.2">
      <c r="A2041" s="19" t="s">
        <v>55</v>
      </c>
      <c r="B2041" s="20" t="s">
        <v>6</v>
      </c>
      <c r="C2041" s="20" t="s">
        <v>8</v>
      </c>
      <c r="D2041" s="20" t="s">
        <v>10</v>
      </c>
      <c r="E2041" s="20" t="s">
        <v>28</v>
      </c>
      <c r="F2041" s="20" t="str">
        <f>INDEX(nrg_cb_e!$A$3:$A$40,MATCH(LEFT(MID('Industriesektor GWh'!$B2041,41,1000),SEARCH(" - ",MID('Industriesektor GWh'!$B2041,41,1000))-1),nrg_cb_e!$C$3:$C$40,0))</f>
        <v>FC_IND_IS_E</v>
      </c>
      <c r="G2041" s="21">
        <v>4601</v>
      </c>
    </row>
    <row r="2042" spans="1:7" x14ac:dyDescent="0.2">
      <c r="A2042" s="16" t="s">
        <v>56</v>
      </c>
      <c r="B2042" s="17" t="s">
        <v>6</v>
      </c>
      <c r="C2042" s="17" t="s">
        <v>8</v>
      </c>
      <c r="D2042" s="17" t="s">
        <v>10</v>
      </c>
      <c r="E2042" s="17" t="s">
        <v>12</v>
      </c>
      <c r="F2042" s="17" t="str">
        <f>INDEX(nrg_cb_e!$A$3:$A$40,MATCH(LEFT(MID('Industriesektor GWh'!$B2042,41,1000),SEARCH(" - ",MID('Industriesektor GWh'!$B2042,41,1000))-1),nrg_cb_e!$C$3:$C$40,0))</f>
        <v>FC_IND_IS_E</v>
      </c>
      <c r="G2042" s="18">
        <v>5092</v>
      </c>
    </row>
    <row r="2043" spans="1:7" x14ac:dyDescent="0.2">
      <c r="A2043" s="19" t="s">
        <v>56</v>
      </c>
      <c r="B2043" s="20" t="s">
        <v>6</v>
      </c>
      <c r="C2043" s="20" t="s">
        <v>8</v>
      </c>
      <c r="D2043" s="20" t="s">
        <v>10</v>
      </c>
      <c r="E2043" s="20" t="s">
        <v>13</v>
      </c>
      <c r="F2043" s="20" t="str">
        <f>INDEX(nrg_cb_e!$A$3:$A$40,MATCH(LEFT(MID('Industriesektor GWh'!$B2043,41,1000),SEARCH(" - ",MID('Industriesektor GWh'!$B2043,41,1000))-1),nrg_cb_e!$C$3:$C$40,0))</f>
        <v>FC_IND_IS_E</v>
      </c>
      <c r="G2043" s="21">
        <v>5434</v>
      </c>
    </row>
    <row r="2044" spans="1:7" x14ac:dyDescent="0.2">
      <c r="A2044" s="16" t="s">
        <v>56</v>
      </c>
      <c r="B2044" s="17" t="s">
        <v>6</v>
      </c>
      <c r="C2044" s="17" t="s">
        <v>8</v>
      </c>
      <c r="D2044" s="17" t="s">
        <v>10</v>
      </c>
      <c r="E2044" s="17" t="s">
        <v>14</v>
      </c>
      <c r="F2044" s="17" t="str">
        <f>INDEX(nrg_cb_e!$A$3:$A$40,MATCH(LEFT(MID('Industriesektor GWh'!$B2044,41,1000),SEARCH(" - ",MID('Industriesektor GWh'!$B2044,41,1000))-1),nrg_cb_e!$C$3:$C$40,0))</f>
        <v>FC_IND_IS_E</v>
      </c>
      <c r="G2044" s="18">
        <v>5412</v>
      </c>
    </row>
    <row r="2045" spans="1:7" x14ac:dyDescent="0.2">
      <c r="A2045" s="19" t="s">
        <v>56</v>
      </c>
      <c r="B2045" s="20" t="s">
        <v>6</v>
      </c>
      <c r="C2045" s="20" t="s">
        <v>8</v>
      </c>
      <c r="D2045" s="20" t="s">
        <v>10</v>
      </c>
      <c r="E2045" s="20" t="s">
        <v>15</v>
      </c>
      <c r="F2045" s="20" t="str">
        <f>INDEX(nrg_cb_e!$A$3:$A$40,MATCH(LEFT(MID('Industriesektor GWh'!$B2045,41,1000),SEARCH(" - ",MID('Industriesektor GWh'!$B2045,41,1000))-1),nrg_cb_e!$C$3:$C$40,0))</f>
        <v>FC_IND_IS_E</v>
      </c>
      <c r="G2045" s="21">
        <v>5020</v>
      </c>
    </row>
    <row r="2046" spans="1:7" x14ac:dyDescent="0.2">
      <c r="A2046" s="16" t="s">
        <v>56</v>
      </c>
      <c r="B2046" s="17" t="s">
        <v>6</v>
      </c>
      <c r="C2046" s="17" t="s">
        <v>8</v>
      </c>
      <c r="D2046" s="17" t="s">
        <v>10</v>
      </c>
      <c r="E2046" s="17" t="s">
        <v>16</v>
      </c>
      <c r="F2046" s="17" t="str">
        <f>INDEX(nrg_cb_e!$A$3:$A$40,MATCH(LEFT(MID('Industriesektor GWh'!$B2046,41,1000),SEARCH(" - ",MID('Industriesektor GWh'!$B2046,41,1000))-1),nrg_cb_e!$C$3:$C$40,0))</f>
        <v>FC_IND_IS_E</v>
      </c>
      <c r="G2046" s="18">
        <v>5860</v>
      </c>
    </row>
    <row r="2047" spans="1:7" x14ac:dyDescent="0.2">
      <c r="A2047" s="19" t="s">
        <v>56</v>
      </c>
      <c r="B2047" s="20" t="s">
        <v>6</v>
      </c>
      <c r="C2047" s="20" t="s">
        <v>8</v>
      </c>
      <c r="D2047" s="20" t="s">
        <v>10</v>
      </c>
      <c r="E2047" s="20" t="s">
        <v>17</v>
      </c>
      <c r="F2047" s="20" t="str">
        <f>INDEX(nrg_cb_e!$A$3:$A$40,MATCH(LEFT(MID('Industriesektor GWh'!$B2047,41,1000),SEARCH(" - ",MID('Industriesektor GWh'!$B2047,41,1000))-1),nrg_cb_e!$C$3:$C$40,0))</f>
        <v>FC_IND_IS_E</v>
      </c>
      <c r="G2047" s="21">
        <v>4937</v>
      </c>
    </row>
    <row r="2048" spans="1:7" x14ac:dyDescent="0.2">
      <c r="A2048" s="16" t="s">
        <v>56</v>
      </c>
      <c r="B2048" s="17" t="s">
        <v>6</v>
      </c>
      <c r="C2048" s="17" t="s">
        <v>8</v>
      </c>
      <c r="D2048" s="17" t="s">
        <v>10</v>
      </c>
      <c r="E2048" s="17" t="s">
        <v>18</v>
      </c>
      <c r="F2048" s="17" t="str">
        <f>INDEX(nrg_cb_e!$A$3:$A$40,MATCH(LEFT(MID('Industriesektor GWh'!$B2048,41,1000),SEARCH(" - ",MID('Industriesektor GWh'!$B2048,41,1000))-1),nrg_cb_e!$C$3:$C$40,0))</f>
        <v>FC_IND_IS_E</v>
      </c>
      <c r="G2048" s="18">
        <v>4657</v>
      </c>
    </row>
    <row r="2049" spans="1:7" x14ac:dyDescent="0.2">
      <c r="A2049" s="19" t="s">
        <v>56</v>
      </c>
      <c r="B2049" s="20" t="s">
        <v>6</v>
      </c>
      <c r="C2049" s="20" t="s">
        <v>8</v>
      </c>
      <c r="D2049" s="20" t="s">
        <v>10</v>
      </c>
      <c r="E2049" s="20" t="s">
        <v>19</v>
      </c>
      <c r="F2049" s="20" t="str">
        <f>INDEX(nrg_cb_e!$A$3:$A$40,MATCH(LEFT(MID('Industriesektor GWh'!$B2049,41,1000),SEARCH(" - ",MID('Industriesektor GWh'!$B2049,41,1000))-1),nrg_cb_e!$C$3:$C$40,0))</f>
        <v>FC_IND_IS_E</v>
      </c>
      <c r="G2049" s="21">
        <v>3615</v>
      </c>
    </row>
    <row r="2050" spans="1:7" x14ac:dyDescent="0.2">
      <c r="A2050" s="16" t="s">
        <v>56</v>
      </c>
      <c r="B2050" s="17" t="s">
        <v>6</v>
      </c>
      <c r="C2050" s="17" t="s">
        <v>8</v>
      </c>
      <c r="D2050" s="17" t="s">
        <v>10</v>
      </c>
      <c r="E2050" s="17" t="s">
        <v>20</v>
      </c>
      <c r="F2050" s="17" t="str">
        <f>INDEX(nrg_cb_e!$A$3:$A$40,MATCH(LEFT(MID('Industriesektor GWh'!$B2050,41,1000),SEARCH(" - ",MID('Industriesektor GWh'!$B2050,41,1000))-1),nrg_cb_e!$C$3:$C$40,0))</f>
        <v>FC_IND_IS_E</v>
      </c>
      <c r="G2050" s="18">
        <v>3842</v>
      </c>
    </row>
    <row r="2051" spans="1:7" x14ac:dyDescent="0.2">
      <c r="A2051" s="19" t="s">
        <v>56</v>
      </c>
      <c r="B2051" s="20" t="s">
        <v>6</v>
      </c>
      <c r="C2051" s="20" t="s">
        <v>8</v>
      </c>
      <c r="D2051" s="20" t="s">
        <v>10</v>
      </c>
      <c r="E2051" s="20" t="s">
        <v>21</v>
      </c>
      <c r="F2051" s="20" t="str">
        <f>INDEX(nrg_cb_e!$A$3:$A$40,MATCH(LEFT(MID('Industriesektor GWh'!$B2051,41,1000),SEARCH(" - ",MID('Industriesektor GWh'!$B2051,41,1000))-1),nrg_cb_e!$C$3:$C$40,0))</f>
        <v>FC_IND_IS_E</v>
      </c>
      <c r="G2051" s="21">
        <v>3852</v>
      </c>
    </row>
    <row r="2052" spans="1:7" x14ac:dyDescent="0.2">
      <c r="A2052" s="16" t="s">
        <v>56</v>
      </c>
      <c r="B2052" s="17" t="s">
        <v>6</v>
      </c>
      <c r="C2052" s="17" t="s">
        <v>8</v>
      </c>
      <c r="D2052" s="17" t="s">
        <v>10</v>
      </c>
      <c r="E2052" s="17" t="s">
        <v>22</v>
      </c>
      <c r="F2052" s="17" t="str">
        <f>INDEX(nrg_cb_e!$A$3:$A$40,MATCH(LEFT(MID('Industriesektor GWh'!$B2052,41,1000),SEARCH(" - ",MID('Industriesektor GWh'!$B2052,41,1000))-1),nrg_cb_e!$C$3:$C$40,0))</f>
        <v>FC_IND_IS_E</v>
      </c>
      <c r="G2052" s="18">
        <v>3579</v>
      </c>
    </row>
    <row r="2053" spans="1:7" x14ac:dyDescent="0.2">
      <c r="A2053" s="19" t="s">
        <v>56</v>
      </c>
      <c r="B2053" s="20" t="s">
        <v>6</v>
      </c>
      <c r="C2053" s="20" t="s">
        <v>8</v>
      </c>
      <c r="D2053" s="20" t="s">
        <v>10</v>
      </c>
      <c r="E2053" s="20" t="s">
        <v>23</v>
      </c>
      <c r="F2053" s="20" t="str">
        <f>INDEX(nrg_cb_e!$A$3:$A$40,MATCH(LEFT(MID('Industriesektor GWh'!$B2053,41,1000),SEARCH(" - ",MID('Industriesektor GWh'!$B2053,41,1000))-1),nrg_cb_e!$C$3:$C$40,0))</f>
        <v>FC_IND_IS_E</v>
      </c>
      <c r="G2053" s="21">
        <v>3799</v>
      </c>
    </row>
    <row r="2054" spans="1:7" x14ac:dyDescent="0.2">
      <c r="A2054" s="16" t="s">
        <v>56</v>
      </c>
      <c r="B2054" s="17" t="s">
        <v>6</v>
      </c>
      <c r="C2054" s="17" t="s">
        <v>8</v>
      </c>
      <c r="D2054" s="17" t="s">
        <v>10</v>
      </c>
      <c r="E2054" s="17" t="s">
        <v>24</v>
      </c>
      <c r="F2054" s="17" t="str">
        <f>INDEX(nrg_cb_e!$A$3:$A$40,MATCH(LEFT(MID('Industriesektor GWh'!$B2054,41,1000),SEARCH(" - ",MID('Industriesektor GWh'!$B2054,41,1000))-1),nrg_cb_e!$C$3:$C$40,0))</f>
        <v>FC_IND_IS_E</v>
      </c>
      <c r="G2054" s="18">
        <v>3787</v>
      </c>
    </row>
    <row r="2055" spans="1:7" x14ac:dyDescent="0.2">
      <c r="A2055" s="19" t="s">
        <v>56</v>
      </c>
      <c r="B2055" s="20" t="s">
        <v>6</v>
      </c>
      <c r="C2055" s="20" t="s">
        <v>8</v>
      </c>
      <c r="D2055" s="20" t="s">
        <v>10</v>
      </c>
      <c r="E2055" s="20" t="s">
        <v>25</v>
      </c>
      <c r="F2055" s="20" t="str">
        <f>INDEX(nrg_cb_e!$A$3:$A$40,MATCH(LEFT(MID('Industriesektor GWh'!$B2055,41,1000),SEARCH(" - ",MID('Industriesektor GWh'!$B2055,41,1000))-1),nrg_cb_e!$C$3:$C$40,0))</f>
        <v>FC_IND_IS_E</v>
      </c>
      <c r="G2055" s="21">
        <v>3687.567</v>
      </c>
    </row>
    <row r="2056" spans="1:7" x14ac:dyDescent="0.2">
      <c r="A2056" s="16" t="s">
        <v>56</v>
      </c>
      <c r="B2056" s="17" t="s">
        <v>6</v>
      </c>
      <c r="C2056" s="17" t="s">
        <v>8</v>
      </c>
      <c r="D2056" s="17" t="s">
        <v>10</v>
      </c>
      <c r="E2056" s="17" t="s">
        <v>26</v>
      </c>
      <c r="F2056" s="17" t="str">
        <f>INDEX(nrg_cb_e!$A$3:$A$40,MATCH(LEFT(MID('Industriesektor GWh'!$B2056,41,1000),SEARCH(" - ",MID('Industriesektor GWh'!$B2056,41,1000))-1),nrg_cb_e!$C$3:$C$40,0))</f>
        <v>FC_IND_IS_E</v>
      </c>
      <c r="G2056" s="18">
        <v>2830.1219999999998</v>
      </c>
    </row>
    <row r="2057" spans="1:7" x14ac:dyDescent="0.2">
      <c r="A2057" s="19" t="s">
        <v>56</v>
      </c>
      <c r="B2057" s="20" t="s">
        <v>6</v>
      </c>
      <c r="C2057" s="20" t="s">
        <v>8</v>
      </c>
      <c r="D2057" s="20" t="s">
        <v>10</v>
      </c>
      <c r="E2057" s="20" t="s">
        <v>27</v>
      </c>
      <c r="F2057" s="20" t="str">
        <f>INDEX(nrg_cb_e!$A$3:$A$40,MATCH(LEFT(MID('Industriesektor GWh'!$B2057,41,1000),SEARCH(" - ",MID('Industriesektor GWh'!$B2057,41,1000))-1),nrg_cb_e!$C$3:$C$40,0))</f>
        <v>FC_IND_IS_E</v>
      </c>
      <c r="G2057" s="21">
        <v>2702.5819999999999</v>
      </c>
    </row>
    <row r="2058" spans="1:7" x14ac:dyDescent="0.2">
      <c r="A2058" s="16" t="s">
        <v>56</v>
      </c>
      <c r="B2058" s="17" t="s">
        <v>6</v>
      </c>
      <c r="C2058" s="17" t="s">
        <v>8</v>
      </c>
      <c r="D2058" s="17" t="s">
        <v>10</v>
      </c>
      <c r="E2058" s="17" t="s">
        <v>28</v>
      </c>
      <c r="F2058" s="17" t="str">
        <f>INDEX(nrg_cb_e!$A$3:$A$40,MATCH(LEFT(MID('Industriesektor GWh'!$B2058,41,1000),SEARCH(" - ",MID('Industriesektor GWh'!$B2058,41,1000))-1),nrg_cb_e!$C$3:$C$40,0))</f>
        <v>FC_IND_IS_E</v>
      </c>
      <c r="G2058" s="18">
        <v>2560.2089999999998</v>
      </c>
    </row>
    <row r="2059" spans="1:7" x14ac:dyDescent="0.2">
      <c r="A2059" s="19" t="s">
        <v>57</v>
      </c>
      <c r="B2059" s="20" t="s">
        <v>6</v>
      </c>
      <c r="C2059" s="20" t="s">
        <v>8</v>
      </c>
      <c r="D2059" s="20" t="s">
        <v>10</v>
      </c>
      <c r="E2059" s="20" t="s">
        <v>12</v>
      </c>
      <c r="F2059" s="20" t="str">
        <f>INDEX(nrg_cb_e!$A$3:$A$40,MATCH(LEFT(MID('Industriesektor GWh'!$B2059,41,1000),SEARCH(" - ",MID('Industriesektor GWh'!$B2059,41,1000))-1),nrg_cb_e!$C$3:$C$40,0))</f>
        <v>FC_IND_IS_E</v>
      </c>
      <c r="G2059" s="21">
        <v>1039</v>
      </c>
    </row>
    <row r="2060" spans="1:7" x14ac:dyDescent="0.2">
      <c r="A2060" s="16" t="s">
        <v>57</v>
      </c>
      <c r="B2060" s="17" t="s">
        <v>6</v>
      </c>
      <c r="C2060" s="17" t="s">
        <v>8</v>
      </c>
      <c r="D2060" s="17" t="s">
        <v>10</v>
      </c>
      <c r="E2060" s="17" t="s">
        <v>13</v>
      </c>
      <c r="F2060" s="17" t="str">
        <f>INDEX(nrg_cb_e!$A$3:$A$40,MATCH(LEFT(MID('Industriesektor GWh'!$B2060,41,1000),SEARCH(" - ",MID('Industriesektor GWh'!$B2060,41,1000))-1),nrg_cb_e!$C$3:$C$40,0))</f>
        <v>FC_IND_IS_E</v>
      </c>
      <c r="G2060" s="18">
        <v>1050</v>
      </c>
    </row>
    <row r="2061" spans="1:7" x14ac:dyDescent="0.2">
      <c r="A2061" s="19" t="s">
        <v>57</v>
      </c>
      <c r="B2061" s="20" t="s">
        <v>6</v>
      </c>
      <c r="C2061" s="20" t="s">
        <v>8</v>
      </c>
      <c r="D2061" s="20" t="s">
        <v>10</v>
      </c>
      <c r="E2061" s="20" t="s">
        <v>14</v>
      </c>
      <c r="F2061" s="20" t="str">
        <f>INDEX(nrg_cb_e!$A$3:$A$40,MATCH(LEFT(MID('Industriesektor GWh'!$B2061,41,1000),SEARCH(" - ",MID('Industriesektor GWh'!$B2061,41,1000))-1),nrg_cb_e!$C$3:$C$40,0))</f>
        <v>FC_IND_IS_E</v>
      </c>
      <c r="G2061" s="21">
        <v>1031</v>
      </c>
    </row>
    <row r="2062" spans="1:7" x14ac:dyDescent="0.2">
      <c r="A2062" s="16" t="s">
        <v>57</v>
      </c>
      <c r="B2062" s="17" t="s">
        <v>6</v>
      </c>
      <c r="C2062" s="17" t="s">
        <v>8</v>
      </c>
      <c r="D2062" s="17" t="s">
        <v>10</v>
      </c>
      <c r="E2062" s="17" t="s">
        <v>15</v>
      </c>
      <c r="F2062" s="17" t="str">
        <f>INDEX(nrg_cb_e!$A$3:$A$40,MATCH(LEFT(MID('Industriesektor GWh'!$B2062,41,1000),SEARCH(" - ",MID('Industriesektor GWh'!$B2062,41,1000))-1),nrg_cb_e!$C$3:$C$40,0))</f>
        <v>FC_IND_IS_E</v>
      </c>
      <c r="G2062" s="18">
        <v>981</v>
      </c>
    </row>
    <row r="2063" spans="1:7" x14ac:dyDescent="0.2">
      <c r="A2063" s="19" t="s">
        <v>57</v>
      </c>
      <c r="B2063" s="20" t="s">
        <v>6</v>
      </c>
      <c r="C2063" s="20" t="s">
        <v>8</v>
      </c>
      <c r="D2063" s="20" t="s">
        <v>10</v>
      </c>
      <c r="E2063" s="20" t="s">
        <v>16</v>
      </c>
      <c r="F2063" s="20" t="str">
        <f>INDEX(nrg_cb_e!$A$3:$A$40,MATCH(LEFT(MID('Industriesektor GWh'!$B2063,41,1000),SEARCH(" - ",MID('Industriesektor GWh'!$B2063,41,1000))-1),nrg_cb_e!$C$3:$C$40,0))</f>
        <v>FC_IND_IS_E</v>
      </c>
      <c r="G2063" s="21">
        <v>983</v>
      </c>
    </row>
    <row r="2064" spans="1:7" x14ac:dyDescent="0.2">
      <c r="A2064" s="16" t="s">
        <v>57</v>
      </c>
      <c r="B2064" s="17" t="s">
        <v>6</v>
      </c>
      <c r="C2064" s="17" t="s">
        <v>8</v>
      </c>
      <c r="D2064" s="17" t="s">
        <v>10</v>
      </c>
      <c r="E2064" s="17" t="s">
        <v>17</v>
      </c>
      <c r="F2064" s="17" t="str">
        <f>INDEX(nrg_cb_e!$A$3:$A$40,MATCH(LEFT(MID('Industriesektor GWh'!$B2064,41,1000),SEARCH(" - ",MID('Industriesektor GWh'!$B2064,41,1000))-1),nrg_cb_e!$C$3:$C$40,0))</f>
        <v>FC_IND_IS_E</v>
      </c>
      <c r="G2064" s="18">
        <v>1006</v>
      </c>
    </row>
    <row r="2065" spans="1:7" x14ac:dyDescent="0.2">
      <c r="A2065" s="19" t="s">
        <v>57</v>
      </c>
      <c r="B2065" s="20" t="s">
        <v>6</v>
      </c>
      <c r="C2065" s="20" t="s">
        <v>8</v>
      </c>
      <c r="D2065" s="20" t="s">
        <v>10</v>
      </c>
      <c r="E2065" s="20" t="s">
        <v>18</v>
      </c>
      <c r="F2065" s="20" t="str">
        <f>INDEX(nrg_cb_e!$A$3:$A$40,MATCH(LEFT(MID('Industriesektor GWh'!$B2065,41,1000),SEARCH(" - ",MID('Industriesektor GWh'!$B2065,41,1000))-1),nrg_cb_e!$C$3:$C$40,0))</f>
        <v>FC_IND_IS_E</v>
      </c>
      <c r="G2065" s="21">
        <v>888</v>
      </c>
    </row>
    <row r="2066" spans="1:7" x14ac:dyDescent="0.2">
      <c r="A2066" s="16" t="s">
        <v>57</v>
      </c>
      <c r="B2066" s="17" t="s">
        <v>6</v>
      </c>
      <c r="C2066" s="17" t="s">
        <v>8</v>
      </c>
      <c r="D2066" s="17" t="s">
        <v>10</v>
      </c>
      <c r="E2066" s="17" t="s">
        <v>19</v>
      </c>
      <c r="F2066" s="17" t="str">
        <f>INDEX(nrg_cb_e!$A$3:$A$40,MATCH(LEFT(MID('Industriesektor GWh'!$B2066,41,1000),SEARCH(" - ",MID('Industriesektor GWh'!$B2066,41,1000))-1),nrg_cb_e!$C$3:$C$40,0))</f>
        <v>FC_IND_IS_E</v>
      </c>
      <c r="G2066" s="18">
        <v>898</v>
      </c>
    </row>
    <row r="2067" spans="1:7" x14ac:dyDescent="0.2">
      <c r="A2067" s="19" t="s">
        <v>57</v>
      </c>
      <c r="B2067" s="20" t="s">
        <v>6</v>
      </c>
      <c r="C2067" s="20" t="s">
        <v>8</v>
      </c>
      <c r="D2067" s="20" t="s">
        <v>10</v>
      </c>
      <c r="E2067" s="20" t="s">
        <v>20</v>
      </c>
      <c r="F2067" s="20" t="str">
        <f>INDEX(nrg_cb_e!$A$3:$A$40,MATCH(LEFT(MID('Industriesektor GWh'!$B2067,41,1000),SEARCH(" - ",MID('Industriesektor GWh'!$B2067,41,1000))-1),nrg_cb_e!$C$3:$C$40,0))</f>
        <v>FC_IND_IS_E</v>
      </c>
      <c r="G2067" s="21">
        <v>933</v>
      </c>
    </row>
    <row r="2068" spans="1:7" x14ac:dyDescent="0.2">
      <c r="A2068" s="16" t="s">
        <v>57</v>
      </c>
      <c r="B2068" s="17" t="s">
        <v>6</v>
      </c>
      <c r="C2068" s="17" t="s">
        <v>8</v>
      </c>
      <c r="D2068" s="17" t="s">
        <v>10</v>
      </c>
      <c r="E2068" s="17" t="s">
        <v>21</v>
      </c>
      <c r="F2068" s="17" t="str">
        <f>INDEX(nrg_cb_e!$A$3:$A$40,MATCH(LEFT(MID('Industriesektor GWh'!$B2068,41,1000),SEARCH(" - ",MID('Industriesektor GWh'!$B2068,41,1000))-1),nrg_cb_e!$C$3:$C$40,0))</f>
        <v>FC_IND_IS_E</v>
      </c>
      <c r="G2068" s="18">
        <v>947</v>
      </c>
    </row>
    <row r="2069" spans="1:7" x14ac:dyDescent="0.2">
      <c r="A2069" s="19" t="s">
        <v>57</v>
      </c>
      <c r="B2069" s="20" t="s">
        <v>6</v>
      </c>
      <c r="C2069" s="20" t="s">
        <v>8</v>
      </c>
      <c r="D2069" s="20" t="s">
        <v>10</v>
      </c>
      <c r="E2069" s="20" t="s">
        <v>22</v>
      </c>
      <c r="F2069" s="20" t="str">
        <f>INDEX(nrg_cb_e!$A$3:$A$40,MATCH(LEFT(MID('Industriesektor GWh'!$B2069,41,1000),SEARCH(" - ",MID('Industriesektor GWh'!$B2069,41,1000))-1),nrg_cb_e!$C$3:$C$40,0))</f>
        <v>FC_IND_IS_E</v>
      </c>
      <c r="G2069" s="21">
        <v>1035</v>
      </c>
    </row>
    <row r="2070" spans="1:7" x14ac:dyDescent="0.2">
      <c r="A2070" s="16" t="s">
        <v>57</v>
      </c>
      <c r="B2070" s="17" t="s">
        <v>6</v>
      </c>
      <c r="C2070" s="17" t="s">
        <v>8</v>
      </c>
      <c r="D2070" s="17" t="s">
        <v>10</v>
      </c>
      <c r="E2070" s="17" t="s">
        <v>23</v>
      </c>
      <c r="F2070" s="17" t="str">
        <f>INDEX(nrg_cb_e!$A$3:$A$40,MATCH(LEFT(MID('Industriesektor GWh'!$B2070,41,1000),SEARCH(" - ",MID('Industriesektor GWh'!$B2070,41,1000))-1),nrg_cb_e!$C$3:$C$40,0))</f>
        <v>FC_IND_IS_E</v>
      </c>
      <c r="G2070" s="18">
        <v>1066</v>
      </c>
    </row>
    <row r="2071" spans="1:7" x14ac:dyDescent="0.2">
      <c r="A2071" s="19" t="s">
        <v>57</v>
      </c>
      <c r="B2071" s="20" t="s">
        <v>6</v>
      </c>
      <c r="C2071" s="20" t="s">
        <v>8</v>
      </c>
      <c r="D2071" s="20" t="s">
        <v>10</v>
      </c>
      <c r="E2071" s="20" t="s">
        <v>24</v>
      </c>
      <c r="F2071" s="20" t="str">
        <f>INDEX(nrg_cb_e!$A$3:$A$40,MATCH(LEFT(MID('Industriesektor GWh'!$B2071,41,1000),SEARCH(" - ",MID('Industriesektor GWh'!$B2071,41,1000))-1),nrg_cb_e!$C$3:$C$40,0))</f>
        <v>FC_IND_IS_E</v>
      </c>
      <c r="G2071" s="21">
        <v>985</v>
      </c>
    </row>
    <row r="2072" spans="1:7" x14ac:dyDescent="0.2">
      <c r="A2072" s="16" t="s">
        <v>57</v>
      </c>
      <c r="B2072" s="17" t="s">
        <v>6</v>
      </c>
      <c r="C2072" s="17" t="s">
        <v>8</v>
      </c>
      <c r="D2072" s="17" t="s">
        <v>10</v>
      </c>
      <c r="E2072" s="17" t="s">
        <v>25</v>
      </c>
      <c r="F2072" s="17" t="str">
        <f>INDEX(nrg_cb_e!$A$3:$A$40,MATCH(LEFT(MID('Industriesektor GWh'!$B2072,41,1000),SEARCH(" - ",MID('Industriesektor GWh'!$B2072,41,1000))-1),nrg_cb_e!$C$3:$C$40,0))</f>
        <v>FC_IND_IS_E</v>
      </c>
      <c r="G2072" s="18">
        <v>1046</v>
      </c>
    </row>
    <row r="2073" spans="1:7" x14ac:dyDescent="0.2">
      <c r="A2073" s="19" t="s">
        <v>57</v>
      </c>
      <c r="B2073" s="20" t="s">
        <v>6</v>
      </c>
      <c r="C2073" s="20" t="s">
        <v>8</v>
      </c>
      <c r="D2073" s="20" t="s">
        <v>10</v>
      </c>
      <c r="E2073" s="20" t="s">
        <v>26</v>
      </c>
      <c r="F2073" s="20" t="str">
        <f>INDEX(nrg_cb_e!$A$3:$A$40,MATCH(LEFT(MID('Industriesektor GWh'!$B2073,41,1000),SEARCH(" - ",MID('Industriesektor GWh'!$B2073,41,1000))-1),nrg_cb_e!$C$3:$C$40,0))</f>
        <v>FC_IND_IS_E</v>
      </c>
      <c r="G2073" s="21">
        <v>1045</v>
      </c>
    </row>
    <row r="2074" spans="1:7" x14ac:dyDescent="0.2">
      <c r="A2074" s="16" t="s">
        <v>57</v>
      </c>
      <c r="B2074" s="17" t="s">
        <v>6</v>
      </c>
      <c r="C2074" s="17" t="s">
        <v>8</v>
      </c>
      <c r="D2074" s="17" t="s">
        <v>10</v>
      </c>
      <c r="E2074" s="17" t="s">
        <v>27</v>
      </c>
      <c r="F2074" s="17" t="str">
        <f>INDEX(nrg_cb_e!$A$3:$A$40,MATCH(LEFT(MID('Industriesektor GWh'!$B2074,41,1000),SEARCH(" - ",MID('Industriesektor GWh'!$B2074,41,1000))-1),nrg_cb_e!$C$3:$C$40,0))</f>
        <v>FC_IND_IS_E</v>
      </c>
      <c r="G2074" s="18">
        <v>1012.704</v>
      </c>
    </row>
    <row r="2075" spans="1:7" x14ac:dyDescent="0.2">
      <c r="A2075" s="19" t="s">
        <v>57</v>
      </c>
      <c r="B2075" s="20" t="s">
        <v>6</v>
      </c>
      <c r="C2075" s="20" t="s">
        <v>8</v>
      </c>
      <c r="D2075" s="20" t="s">
        <v>10</v>
      </c>
      <c r="E2075" s="20" t="s">
        <v>28</v>
      </c>
      <c r="F2075" s="20" t="str">
        <f>INDEX(nrg_cb_e!$A$3:$A$40,MATCH(LEFT(MID('Industriesektor GWh'!$B2075,41,1000),SEARCH(" - ",MID('Industriesektor GWh'!$B2075,41,1000))-1),nrg_cb_e!$C$3:$C$40,0))</f>
        <v>FC_IND_IS_E</v>
      </c>
      <c r="G2075" s="21">
        <v>1013.978</v>
      </c>
    </row>
    <row r="2076" spans="1:7" x14ac:dyDescent="0.2">
      <c r="A2076" s="16" t="s">
        <v>58</v>
      </c>
      <c r="B2076" s="17" t="s">
        <v>6</v>
      </c>
      <c r="C2076" s="17" t="s">
        <v>8</v>
      </c>
      <c r="D2076" s="17" t="s">
        <v>10</v>
      </c>
      <c r="E2076" s="17" t="s">
        <v>12</v>
      </c>
      <c r="F2076" s="17" t="str">
        <f>INDEX(nrg_cb_e!$A$3:$A$40,MATCH(LEFT(MID('Industriesektor GWh'!$B2076,41,1000),SEARCH(" - ",MID('Industriesektor GWh'!$B2076,41,1000))-1),nrg_cb_e!$C$3:$C$40,0))</f>
        <v>FC_IND_IS_E</v>
      </c>
      <c r="G2076" s="18">
        <v>6352</v>
      </c>
    </row>
    <row r="2077" spans="1:7" x14ac:dyDescent="0.2">
      <c r="A2077" s="19" t="s">
        <v>58</v>
      </c>
      <c r="B2077" s="20" t="s">
        <v>6</v>
      </c>
      <c r="C2077" s="20" t="s">
        <v>8</v>
      </c>
      <c r="D2077" s="20" t="s">
        <v>10</v>
      </c>
      <c r="E2077" s="20" t="s">
        <v>13</v>
      </c>
      <c r="F2077" s="20" t="str">
        <f>INDEX(nrg_cb_e!$A$3:$A$40,MATCH(LEFT(MID('Industriesektor GWh'!$B2077,41,1000),SEARCH(" - ",MID('Industriesektor GWh'!$B2077,41,1000))-1),nrg_cb_e!$C$3:$C$40,0))</f>
        <v>FC_IND_IS_E</v>
      </c>
      <c r="G2077" s="21">
        <v>5927</v>
      </c>
    </row>
    <row r="2078" spans="1:7" x14ac:dyDescent="0.2">
      <c r="A2078" s="16" t="s">
        <v>58</v>
      </c>
      <c r="B2078" s="17" t="s">
        <v>6</v>
      </c>
      <c r="C2078" s="17" t="s">
        <v>8</v>
      </c>
      <c r="D2078" s="17" t="s">
        <v>10</v>
      </c>
      <c r="E2078" s="17" t="s">
        <v>14</v>
      </c>
      <c r="F2078" s="17" t="str">
        <f>INDEX(nrg_cb_e!$A$3:$A$40,MATCH(LEFT(MID('Industriesektor GWh'!$B2078,41,1000),SEARCH(" - ",MID('Industriesektor GWh'!$B2078,41,1000))-1),nrg_cb_e!$C$3:$C$40,0))</f>
        <v>FC_IND_IS_E</v>
      </c>
      <c r="G2078" s="18">
        <v>6885</v>
      </c>
    </row>
    <row r="2079" spans="1:7" x14ac:dyDescent="0.2">
      <c r="A2079" s="19" t="s">
        <v>58</v>
      </c>
      <c r="B2079" s="20" t="s">
        <v>6</v>
      </c>
      <c r="C2079" s="20" t="s">
        <v>8</v>
      </c>
      <c r="D2079" s="20" t="s">
        <v>10</v>
      </c>
      <c r="E2079" s="20" t="s">
        <v>15</v>
      </c>
      <c r="F2079" s="20" t="str">
        <f>INDEX(nrg_cb_e!$A$3:$A$40,MATCH(LEFT(MID('Industriesektor GWh'!$B2079,41,1000),SEARCH(" - ",MID('Industriesektor GWh'!$B2079,41,1000))-1),nrg_cb_e!$C$3:$C$40,0))</f>
        <v>FC_IND_IS_E</v>
      </c>
      <c r="G2079" s="21">
        <v>5646</v>
      </c>
    </row>
    <row r="2080" spans="1:7" x14ac:dyDescent="0.2">
      <c r="A2080" s="16" t="s">
        <v>58</v>
      </c>
      <c r="B2080" s="17" t="s">
        <v>6</v>
      </c>
      <c r="C2080" s="17" t="s">
        <v>8</v>
      </c>
      <c r="D2080" s="17" t="s">
        <v>10</v>
      </c>
      <c r="E2080" s="17" t="s">
        <v>16</v>
      </c>
      <c r="F2080" s="17" t="str">
        <f>INDEX(nrg_cb_e!$A$3:$A$40,MATCH(LEFT(MID('Industriesektor GWh'!$B2080,41,1000),SEARCH(" - ",MID('Industriesektor GWh'!$B2080,41,1000))-1),nrg_cb_e!$C$3:$C$40,0))</f>
        <v>FC_IND_IS_E</v>
      </c>
      <c r="G2080" s="18">
        <v>4257</v>
      </c>
    </row>
    <row r="2081" spans="1:7" x14ac:dyDescent="0.2">
      <c r="A2081" s="19" t="s">
        <v>58</v>
      </c>
      <c r="B2081" s="20" t="s">
        <v>6</v>
      </c>
      <c r="C2081" s="20" t="s">
        <v>8</v>
      </c>
      <c r="D2081" s="20" t="s">
        <v>10</v>
      </c>
      <c r="E2081" s="20" t="s">
        <v>17</v>
      </c>
      <c r="F2081" s="20" t="str">
        <f>INDEX(nrg_cb_e!$A$3:$A$40,MATCH(LEFT(MID('Industriesektor GWh'!$B2081,41,1000),SEARCH(" - ",MID('Industriesektor GWh'!$B2081,41,1000))-1),nrg_cb_e!$C$3:$C$40,0))</f>
        <v>FC_IND_IS_E</v>
      </c>
      <c r="G2081" s="21">
        <v>4964</v>
      </c>
    </row>
    <row r="2082" spans="1:7" x14ac:dyDescent="0.2">
      <c r="A2082" s="16" t="s">
        <v>58</v>
      </c>
      <c r="B2082" s="17" t="s">
        <v>6</v>
      </c>
      <c r="C2082" s="17" t="s">
        <v>8</v>
      </c>
      <c r="D2082" s="17" t="s">
        <v>10</v>
      </c>
      <c r="E2082" s="17" t="s">
        <v>18</v>
      </c>
      <c r="F2082" s="17" t="str">
        <f>INDEX(nrg_cb_e!$A$3:$A$40,MATCH(LEFT(MID('Industriesektor GWh'!$B2082,41,1000),SEARCH(" - ",MID('Industriesektor GWh'!$B2082,41,1000))-1),nrg_cb_e!$C$3:$C$40,0))</f>
        <v>FC_IND_IS_E</v>
      </c>
      <c r="G2082" s="18">
        <v>5177</v>
      </c>
    </row>
    <row r="2083" spans="1:7" x14ac:dyDescent="0.2">
      <c r="A2083" s="19" t="s">
        <v>58</v>
      </c>
      <c r="B2083" s="20" t="s">
        <v>6</v>
      </c>
      <c r="C2083" s="20" t="s">
        <v>8</v>
      </c>
      <c r="D2083" s="20" t="s">
        <v>10</v>
      </c>
      <c r="E2083" s="20" t="s">
        <v>19</v>
      </c>
      <c r="F2083" s="20" t="str">
        <f>INDEX(nrg_cb_e!$A$3:$A$40,MATCH(LEFT(MID('Industriesektor GWh'!$B2083,41,1000),SEARCH(" - ",MID('Industriesektor GWh'!$B2083,41,1000))-1),nrg_cb_e!$C$3:$C$40,0))</f>
        <v>FC_IND_IS_E</v>
      </c>
      <c r="G2083" s="21">
        <v>3643</v>
      </c>
    </row>
    <row r="2084" spans="1:7" x14ac:dyDescent="0.2">
      <c r="A2084" s="16" t="s">
        <v>58</v>
      </c>
      <c r="B2084" s="17" t="s">
        <v>6</v>
      </c>
      <c r="C2084" s="17" t="s">
        <v>8</v>
      </c>
      <c r="D2084" s="17" t="s">
        <v>10</v>
      </c>
      <c r="E2084" s="17" t="s">
        <v>20</v>
      </c>
      <c r="F2084" s="17" t="str">
        <f>INDEX(nrg_cb_e!$A$3:$A$40,MATCH(LEFT(MID('Industriesektor GWh'!$B2084,41,1000),SEARCH(" - ",MID('Industriesektor GWh'!$B2084,41,1000))-1),nrg_cb_e!$C$3:$C$40,0))</f>
        <v>FC_IND_IS_E</v>
      </c>
      <c r="G2084" s="18">
        <v>4678</v>
      </c>
    </row>
    <row r="2085" spans="1:7" x14ac:dyDescent="0.2">
      <c r="A2085" s="19" t="s">
        <v>58</v>
      </c>
      <c r="B2085" s="20" t="s">
        <v>6</v>
      </c>
      <c r="C2085" s="20" t="s">
        <v>8</v>
      </c>
      <c r="D2085" s="20" t="s">
        <v>10</v>
      </c>
      <c r="E2085" s="20" t="s">
        <v>21</v>
      </c>
      <c r="F2085" s="20" t="str">
        <f>INDEX(nrg_cb_e!$A$3:$A$40,MATCH(LEFT(MID('Industriesektor GWh'!$B2085,41,1000),SEARCH(" - ",MID('Industriesektor GWh'!$B2085,41,1000))-1),nrg_cb_e!$C$3:$C$40,0))</f>
        <v>FC_IND_IS_E</v>
      </c>
      <c r="G2085" s="21">
        <v>5154</v>
      </c>
    </row>
    <row r="2086" spans="1:7" x14ac:dyDescent="0.2">
      <c r="A2086" s="16" t="s">
        <v>58</v>
      </c>
      <c r="B2086" s="17" t="s">
        <v>6</v>
      </c>
      <c r="C2086" s="17" t="s">
        <v>8</v>
      </c>
      <c r="D2086" s="17" t="s">
        <v>10</v>
      </c>
      <c r="E2086" s="17" t="s">
        <v>22</v>
      </c>
      <c r="F2086" s="17" t="str">
        <f>INDEX(nrg_cb_e!$A$3:$A$40,MATCH(LEFT(MID('Industriesektor GWh'!$B2086,41,1000),SEARCH(" - ",MID('Industriesektor GWh'!$B2086,41,1000))-1),nrg_cb_e!$C$3:$C$40,0))</f>
        <v>FC_IND_IS_E</v>
      </c>
      <c r="G2086" s="18">
        <v>5048</v>
      </c>
    </row>
    <row r="2087" spans="1:7" x14ac:dyDescent="0.2">
      <c r="A2087" s="19" t="s">
        <v>58</v>
      </c>
      <c r="B2087" s="20" t="s">
        <v>6</v>
      </c>
      <c r="C2087" s="20" t="s">
        <v>8</v>
      </c>
      <c r="D2087" s="20" t="s">
        <v>10</v>
      </c>
      <c r="E2087" s="20" t="s">
        <v>23</v>
      </c>
      <c r="F2087" s="20" t="str">
        <f>INDEX(nrg_cb_e!$A$3:$A$40,MATCH(LEFT(MID('Industriesektor GWh'!$B2087,41,1000),SEARCH(" - ",MID('Industriesektor GWh'!$B2087,41,1000))-1),nrg_cb_e!$C$3:$C$40,0))</f>
        <v>FC_IND_IS_E</v>
      </c>
      <c r="G2087" s="21">
        <v>5022</v>
      </c>
    </row>
    <row r="2088" spans="1:7" x14ac:dyDescent="0.2">
      <c r="A2088" s="16" t="s">
        <v>58</v>
      </c>
      <c r="B2088" s="17" t="s">
        <v>6</v>
      </c>
      <c r="C2088" s="17" t="s">
        <v>8</v>
      </c>
      <c r="D2088" s="17" t="s">
        <v>10</v>
      </c>
      <c r="E2088" s="17" t="s">
        <v>24</v>
      </c>
      <c r="F2088" s="17" t="str">
        <f>INDEX(nrg_cb_e!$A$3:$A$40,MATCH(LEFT(MID('Industriesektor GWh'!$B2088,41,1000),SEARCH(" - ",MID('Industriesektor GWh'!$B2088,41,1000))-1),nrg_cb_e!$C$3:$C$40,0))</f>
        <v>FC_IND_IS_E</v>
      </c>
      <c r="G2088" s="18">
        <v>5280</v>
      </c>
    </row>
    <row r="2089" spans="1:7" x14ac:dyDescent="0.2">
      <c r="A2089" s="19" t="s">
        <v>58</v>
      </c>
      <c r="B2089" s="20" t="s">
        <v>6</v>
      </c>
      <c r="C2089" s="20" t="s">
        <v>8</v>
      </c>
      <c r="D2089" s="20" t="s">
        <v>10</v>
      </c>
      <c r="E2089" s="20" t="s">
        <v>25</v>
      </c>
      <c r="F2089" s="20" t="str">
        <f>INDEX(nrg_cb_e!$A$3:$A$40,MATCH(LEFT(MID('Industriesektor GWh'!$B2089,41,1000),SEARCH(" - ",MID('Industriesektor GWh'!$B2089,41,1000))-1),nrg_cb_e!$C$3:$C$40,0))</f>
        <v>FC_IND_IS_E</v>
      </c>
      <c r="G2089" s="21">
        <v>5053</v>
      </c>
    </row>
    <row r="2090" spans="1:7" x14ac:dyDescent="0.2">
      <c r="A2090" s="16" t="s">
        <v>58</v>
      </c>
      <c r="B2090" s="17" t="s">
        <v>6</v>
      </c>
      <c r="C2090" s="17" t="s">
        <v>8</v>
      </c>
      <c r="D2090" s="17" t="s">
        <v>10</v>
      </c>
      <c r="E2090" s="17" t="s">
        <v>26</v>
      </c>
      <c r="F2090" s="17" t="str">
        <f>INDEX(nrg_cb_e!$A$3:$A$40,MATCH(LEFT(MID('Industriesektor GWh'!$B2090,41,1000),SEARCH(" - ",MID('Industriesektor GWh'!$B2090,41,1000))-1),nrg_cb_e!$C$3:$C$40,0))</f>
        <v>FC_IND_IS_E</v>
      </c>
      <c r="G2090" s="18">
        <v>5175</v>
      </c>
    </row>
    <row r="2091" spans="1:7" x14ac:dyDescent="0.2">
      <c r="A2091" s="19" t="s">
        <v>58</v>
      </c>
      <c r="B2091" s="20" t="s">
        <v>6</v>
      </c>
      <c r="C2091" s="20" t="s">
        <v>8</v>
      </c>
      <c r="D2091" s="20" t="s">
        <v>10</v>
      </c>
      <c r="E2091" s="20" t="s">
        <v>27</v>
      </c>
      <c r="F2091" s="20" t="str">
        <f>INDEX(nrg_cb_e!$A$3:$A$40,MATCH(LEFT(MID('Industriesektor GWh'!$B2091,41,1000),SEARCH(" - ",MID('Industriesektor GWh'!$B2091,41,1000))-1),nrg_cb_e!$C$3:$C$40,0))</f>
        <v>FC_IND_IS_E</v>
      </c>
      <c r="G2091" s="21">
        <v>5542</v>
      </c>
    </row>
    <row r="2092" spans="1:7" x14ac:dyDescent="0.2">
      <c r="A2092" s="16" t="s">
        <v>58</v>
      </c>
      <c r="B2092" s="17" t="s">
        <v>6</v>
      </c>
      <c r="C2092" s="17" t="s">
        <v>8</v>
      </c>
      <c r="D2092" s="17" t="s">
        <v>10</v>
      </c>
      <c r="E2092" s="17" t="s">
        <v>28</v>
      </c>
      <c r="F2092" s="17" t="str">
        <f>INDEX(nrg_cb_e!$A$3:$A$40,MATCH(LEFT(MID('Industriesektor GWh'!$B2092,41,1000),SEARCH(" - ",MID('Industriesektor GWh'!$B2092,41,1000))-1),nrg_cb_e!$C$3:$C$40,0))</f>
        <v>FC_IND_IS_E</v>
      </c>
      <c r="G2092" s="18">
        <v>5446.9589999999998</v>
      </c>
    </row>
    <row r="2093" spans="1:7" x14ac:dyDescent="0.2">
      <c r="A2093" s="19" t="s">
        <v>59</v>
      </c>
      <c r="B2093" s="20" t="s">
        <v>6</v>
      </c>
      <c r="C2093" s="20" t="s">
        <v>8</v>
      </c>
      <c r="D2093" s="20" t="s">
        <v>10</v>
      </c>
      <c r="E2093" s="20" t="s">
        <v>12</v>
      </c>
      <c r="F2093" s="20" t="str">
        <f>INDEX(nrg_cb_e!$A$3:$A$40,MATCH(LEFT(MID('Industriesektor GWh'!$B2093,41,1000),SEARCH(" - ",MID('Industriesektor GWh'!$B2093,41,1000))-1),nrg_cb_e!$C$3:$C$40,0))</f>
        <v>FC_IND_IS_E</v>
      </c>
      <c r="G2093" s="21">
        <v>389</v>
      </c>
    </row>
    <row r="2094" spans="1:7" x14ac:dyDescent="0.2">
      <c r="A2094" s="16" t="s">
        <v>59</v>
      </c>
      <c r="B2094" s="17" t="s">
        <v>6</v>
      </c>
      <c r="C2094" s="17" t="s">
        <v>8</v>
      </c>
      <c r="D2094" s="17" t="s">
        <v>10</v>
      </c>
      <c r="E2094" s="17" t="s">
        <v>13</v>
      </c>
      <c r="F2094" s="17" t="str">
        <f>INDEX(nrg_cb_e!$A$3:$A$40,MATCH(LEFT(MID('Industriesektor GWh'!$B2094,41,1000),SEARCH(" - ",MID('Industriesektor GWh'!$B2094,41,1000))-1),nrg_cb_e!$C$3:$C$40,0))</f>
        <v>FC_IND_IS_E</v>
      </c>
      <c r="G2094" s="18">
        <v>364</v>
      </c>
    </row>
    <row r="2095" spans="1:7" x14ac:dyDescent="0.2">
      <c r="A2095" s="19" t="s">
        <v>59</v>
      </c>
      <c r="B2095" s="20" t="s">
        <v>6</v>
      </c>
      <c r="C2095" s="20" t="s">
        <v>8</v>
      </c>
      <c r="D2095" s="20" t="s">
        <v>10</v>
      </c>
      <c r="E2095" s="20" t="s">
        <v>14</v>
      </c>
      <c r="F2095" s="20" t="str">
        <f>INDEX(nrg_cb_e!$A$3:$A$40,MATCH(LEFT(MID('Industriesektor GWh'!$B2095,41,1000),SEARCH(" - ",MID('Industriesektor GWh'!$B2095,41,1000))-1),nrg_cb_e!$C$3:$C$40,0))</f>
        <v>FC_IND_IS_E</v>
      </c>
      <c r="G2095" s="21">
        <v>777</v>
      </c>
    </row>
    <row r="2096" spans="1:7" x14ac:dyDescent="0.2">
      <c r="A2096" s="16" t="s">
        <v>59</v>
      </c>
      <c r="B2096" s="17" t="s">
        <v>6</v>
      </c>
      <c r="C2096" s="17" t="s">
        <v>8</v>
      </c>
      <c r="D2096" s="17" t="s">
        <v>10</v>
      </c>
      <c r="E2096" s="17" t="s">
        <v>15</v>
      </c>
      <c r="F2096" s="17" t="str">
        <f>INDEX(nrg_cb_e!$A$3:$A$40,MATCH(LEFT(MID('Industriesektor GWh'!$B2096,41,1000),SEARCH(" - ",MID('Industriesektor GWh'!$B2096,41,1000))-1),nrg_cb_e!$C$3:$C$40,0))</f>
        <v>FC_IND_IS_E</v>
      </c>
      <c r="G2096" s="18">
        <v>918</v>
      </c>
    </row>
    <row r="2097" spans="1:7" x14ac:dyDescent="0.2">
      <c r="A2097" s="19" t="s">
        <v>59</v>
      </c>
      <c r="B2097" s="20" t="s">
        <v>6</v>
      </c>
      <c r="C2097" s="20" t="s">
        <v>8</v>
      </c>
      <c r="D2097" s="20" t="s">
        <v>10</v>
      </c>
      <c r="E2097" s="20" t="s">
        <v>16</v>
      </c>
      <c r="F2097" s="20" t="str">
        <f>INDEX(nrg_cb_e!$A$3:$A$40,MATCH(LEFT(MID('Industriesektor GWh'!$B2097,41,1000),SEARCH(" - ",MID('Industriesektor GWh'!$B2097,41,1000))-1),nrg_cb_e!$C$3:$C$40,0))</f>
        <v>FC_IND_IS_E</v>
      </c>
      <c r="G2097" s="21">
        <v>1118</v>
      </c>
    </row>
    <row r="2098" spans="1:7" x14ac:dyDescent="0.2">
      <c r="A2098" s="16" t="s">
        <v>59</v>
      </c>
      <c r="B2098" s="17" t="s">
        <v>6</v>
      </c>
      <c r="C2098" s="17" t="s">
        <v>8</v>
      </c>
      <c r="D2098" s="17" t="s">
        <v>10</v>
      </c>
      <c r="E2098" s="17" t="s">
        <v>17</v>
      </c>
      <c r="F2098" s="17" t="str">
        <f>INDEX(nrg_cb_e!$A$3:$A$40,MATCH(LEFT(MID('Industriesektor GWh'!$B2098,41,1000),SEARCH(" - ",MID('Industriesektor GWh'!$B2098,41,1000))-1),nrg_cb_e!$C$3:$C$40,0))</f>
        <v>FC_IND_IS_E</v>
      </c>
      <c r="G2098" s="18">
        <v>937</v>
      </c>
    </row>
    <row r="2099" spans="1:7" x14ac:dyDescent="0.2">
      <c r="A2099" s="19" t="s">
        <v>59</v>
      </c>
      <c r="B2099" s="20" t="s">
        <v>6</v>
      </c>
      <c r="C2099" s="20" t="s">
        <v>8</v>
      </c>
      <c r="D2099" s="20" t="s">
        <v>10</v>
      </c>
      <c r="E2099" s="20" t="s">
        <v>18</v>
      </c>
      <c r="F2099" s="20" t="str">
        <f>INDEX(nrg_cb_e!$A$3:$A$40,MATCH(LEFT(MID('Industriesektor GWh'!$B2099,41,1000),SEARCH(" - ",MID('Industriesektor GWh'!$B2099,41,1000))-1),nrg_cb_e!$C$3:$C$40,0))</f>
        <v>FC_IND_IS_E</v>
      </c>
      <c r="G2099" s="21">
        <v>857</v>
      </c>
    </row>
    <row r="2100" spans="1:7" x14ac:dyDescent="0.2">
      <c r="A2100" s="16" t="s">
        <v>59</v>
      </c>
      <c r="B2100" s="17" t="s">
        <v>6</v>
      </c>
      <c r="C2100" s="17" t="s">
        <v>8</v>
      </c>
      <c r="D2100" s="17" t="s">
        <v>10</v>
      </c>
      <c r="E2100" s="17" t="s">
        <v>19</v>
      </c>
      <c r="F2100" s="17" t="str">
        <f>INDEX(nrg_cb_e!$A$3:$A$40,MATCH(LEFT(MID('Industriesektor GWh'!$B2100,41,1000),SEARCH(" - ",MID('Industriesektor GWh'!$B2100,41,1000))-1),nrg_cb_e!$C$3:$C$40,0))</f>
        <v>FC_IND_IS_E</v>
      </c>
      <c r="G2100" s="18">
        <v>648</v>
      </c>
    </row>
    <row r="2101" spans="1:7" x14ac:dyDescent="0.2">
      <c r="A2101" s="19" t="s">
        <v>59</v>
      </c>
      <c r="B2101" s="20" t="s">
        <v>6</v>
      </c>
      <c r="C2101" s="20" t="s">
        <v>8</v>
      </c>
      <c r="D2101" s="20" t="s">
        <v>10</v>
      </c>
      <c r="E2101" s="20" t="s">
        <v>20</v>
      </c>
      <c r="F2101" s="20" t="str">
        <f>INDEX(nrg_cb_e!$A$3:$A$40,MATCH(LEFT(MID('Industriesektor GWh'!$B2101,41,1000),SEARCH(" - ",MID('Industriesektor GWh'!$B2101,41,1000))-1),nrg_cb_e!$C$3:$C$40,0))</f>
        <v>FC_IND_IS_E</v>
      </c>
      <c r="G2101" s="21">
        <v>759</v>
      </c>
    </row>
    <row r="2102" spans="1:7" x14ac:dyDescent="0.2">
      <c r="A2102" s="16" t="s">
        <v>59</v>
      </c>
      <c r="B2102" s="17" t="s">
        <v>6</v>
      </c>
      <c r="C2102" s="17" t="s">
        <v>8</v>
      </c>
      <c r="D2102" s="17" t="s">
        <v>10</v>
      </c>
      <c r="E2102" s="17" t="s">
        <v>21</v>
      </c>
      <c r="F2102" s="17" t="str">
        <f>INDEX(nrg_cb_e!$A$3:$A$40,MATCH(LEFT(MID('Industriesektor GWh'!$B2102,41,1000),SEARCH(" - ",MID('Industriesektor GWh'!$B2102,41,1000))-1),nrg_cb_e!$C$3:$C$40,0))</f>
        <v>FC_IND_IS_E</v>
      </c>
      <c r="G2102" s="18">
        <v>886</v>
      </c>
    </row>
    <row r="2103" spans="1:7" x14ac:dyDescent="0.2">
      <c r="A2103" s="19" t="s">
        <v>59</v>
      </c>
      <c r="B2103" s="20" t="s">
        <v>6</v>
      </c>
      <c r="C2103" s="20" t="s">
        <v>8</v>
      </c>
      <c r="D2103" s="20" t="s">
        <v>10</v>
      </c>
      <c r="E2103" s="20" t="s">
        <v>22</v>
      </c>
      <c r="F2103" s="20" t="str">
        <f>INDEX(nrg_cb_e!$A$3:$A$40,MATCH(LEFT(MID('Industriesektor GWh'!$B2103,41,1000),SEARCH(" - ",MID('Industriesektor GWh'!$B2103,41,1000))-1),nrg_cb_e!$C$3:$C$40,0))</f>
        <v>FC_IND_IS_E</v>
      </c>
      <c r="G2103" s="21">
        <v>756</v>
      </c>
    </row>
    <row r="2104" spans="1:7" x14ac:dyDescent="0.2">
      <c r="A2104" s="16" t="s">
        <v>59</v>
      </c>
      <c r="B2104" s="17" t="s">
        <v>6</v>
      </c>
      <c r="C2104" s="17" t="s">
        <v>8</v>
      </c>
      <c r="D2104" s="17" t="s">
        <v>10</v>
      </c>
      <c r="E2104" s="17" t="s">
        <v>23</v>
      </c>
      <c r="F2104" s="17" t="str">
        <f>INDEX(nrg_cb_e!$A$3:$A$40,MATCH(LEFT(MID('Industriesektor GWh'!$B2104,41,1000),SEARCH(" - ",MID('Industriesektor GWh'!$B2104,41,1000))-1),nrg_cb_e!$C$3:$C$40,0))</f>
        <v>FC_IND_IS_E</v>
      </c>
      <c r="G2104" s="18">
        <v>396</v>
      </c>
    </row>
    <row r="2105" spans="1:7" x14ac:dyDescent="0.2">
      <c r="A2105" s="19" t="s">
        <v>59</v>
      </c>
      <c r="B2105" s="20" t="s">
        <v>6</v>
      </c>
      <c r="C2105" s="20" t="s">
        <v>8</v>
      </c>
      <c r="D2105" s="20" t="s">
        <v>10</v>
      </c>
      <c r="E2105" s="20" t="s">
        <v>24</v>
      </c>
      <c r="F2105" s="20" t="str">
        <f>INDEX(nrg_cb_e!$A$3:$A$40,MATCH(LEFT(MID('Industriesektor GWh'!$B2105,41,1000),SEARCH(" - ",MID('Industriesektor GWh'!$B2105,41,1000))-1),nrg_cb_e!$C$3:$C$40,0))</f>
        <v>FC_IND_IS_E</v>
      </c>
      <c r="G2105" s="21">
        <v>557</v>
      </c>
    </row>
    <row r="2106" spans="1:7" x14ac:dyDescent="0.2">
      <c r="A2106" s="16" t="s">
        <v>59</v>
      </c>
      <c r="B2106" s="17" t="s">
        <v>6</v>
      </c>
      <c r="C2106" s="17" t="s">
        <v>8</v>
      </c>
      <c r="D2106" s="17" t="s">
        <v>10</v>
      </c>
      <c r="E2106" s="17" t="s">
        <v>25</v>
      </c>
      <c r="F2106" s="17" t="str">
        <f>INDEX(nrg_cb_e!$A$3:$A$40,MATCH(LEFT(MID('Industriesektor GWh'!$B2106,41,1000),SEARCH(" - ",MID('Industriesektor GWh'!$B2106,41,1000))-1),nrg_cb_e!$C$3:$C$40,0))</f>
        <v>FC_IND_IS_E</v>
      </c>
      <c r="G2106" s="18">
        <v>732</v>
      </c>
    </row>
    <row r="2107" spans="1:7" x14ac:dyDescent="0.2">
      <c r="A2107" s="19" t="s">
        <v>59</v>
      </c>
      <c r="B2107" s="20" t="s">
        <v>6</v>
      </c>
      <c r="C2107" s="20" t="s">
        <v>8</v>
      </c>
      <c r="D2107" s="20" t="s">
        <v>10</v>
      </c>
      <c r="E2107" s="20" t="s">
        <v>26</v>
      </c>
      <c r="F2107" s="20" t="str">
        <f>INDEX(nrg_cb_e!$A$3:$A$40,MATCH(LEFT(MID('Industriesektor GWh'!$B2107,41,1000),SEARCH(" - ",MID('Industriesektor GWh'!$B2107,41,1000))-1),nrg_cb_e!$C$3:$C$40,0))</f>
        <v>FC_IND_IS_E</v>
      </c>
      <c r="G2107" s="21">
        <v>876</v>
      </c>
    </row>
    <row r="2108" spans="1:7" x14ac:dyDescent="0.2">
      <c r="A2108" s="16" t="s">
        <v>59</v>
      </c>
      <c r="B2108" s="17" t="s">
        <v>6</v>
      </c>
      <c r="C2108" s="17" t="s">
        <v>8</v>
      </c>
      <c r="D2108" s="17" t="s">
        <v>10</v>
      </c>
      <c r="E2108" s="17" t="s">
        <v>27</v>
      </c>
      <c r="F2108" s="17" t="str">
        <f>INDEX(nrg_cb_e!$A$3:$A$40,MATCH(LEFT(MID('Industriesektor GWh'!$B2108,41,1000),SEARCH(" - ",MID('Industriesektor GWh'!$B2108,41,1000))-1),nrg_cb_e!$C$3:$C$40,0))</f>
        <v>FC_IND_IS_E</v>
      </c>
      <c r="G2108" s="18">
        <v>919.89</v>
      </c>
    </row>
    <row r="2109" spans="1:7" x14ac:dyDescent="0.2">
      <c r="A2109" s="19" t="s">
        <v>59</v>
      </c>
      <c r="B2109" s="20" t="s">
        <v>6</v>
      </c>
      <c r="C2109" s="20" t="s">
        <v>8</v>
      </c>
      <c r="D2109" s="20" t="s">
        <v>10</v>
      </c>
      <c r="E2109" s="20" t="s">
        <v>28</v>
      </c>
      <c r="F2109" s="20" t="str">
        <f>INDEX(nrg_cb_e!$A$3:$A$40,MATCH(LEFT(MID('Industriesektor GWh'!$B2109,41,1000),SEARCH(" - ",MID('Industriesektor GWh'!$B2109,41,1000))-1),nrg_cb_e!$C$3:$C$40,0))</f>
        <v>FC_IND_IS_E</v>
      </c>
      <c r="G2109" s="21">
        <v>1342.549</v>
      </c>
    </row>
    <row r="2110" spans="1:7" x14ac:dyDescent="0.2">
      <c r="A2110" s="16" t="s">
        <v>29</v>
      </c>
      <c r="B2110" s="17" t="s">
        <v>66</v>
      </c>
      <c r="C2110" s="17" t="s">
        <v>8</v>
      </c>
      <c r="D2110" s="17" t="s">
        <v>10</v>
      </c>
      <c r="E2110" s="17" t="s">
        <v>12</v>
      </c>
      <c r="F2110" s="17" t="str">
        <f>INDEX(nrg_cb_e!$A$3:$A$40,MATCH(LEFT(MID('Industriesektor GWh'!$B2110,41,1000),SEARCH(" - ",MID('Industriesektor GWh'!$B2110,41,1000))-1),nrg_cb_e!$C$3:$C$40,0))</f>
        <v>FC_IND_TE_E</v>
      </c>
      <c r="G2110" s="18">
        <v>959</v>
      </c>
    </row>
    <row r="2111" spans="1:7" x14ac:dyDescent="0.2">
      <c r="A2111" s="19" t="s">
        <v>29</v>
      </c>
      <c r="B2111" s="20" t="s">
        <v>66</v>
      </c>
      <c r="C2111" s="20" t="s">
        <v>8</v>
      </c>
      <c r="D2111" s="20" t="s">
        <v>10</v>
      </c>
      <c r="E2111" s="20" t="s">
        <v>13</v>
      </c>
      <c r="F2111" s="20" t="str">
        <f>INDEX(nrg_cb_e!$A$3:$A$40,MATCH(LEFT(MID('Industriesektor GWh'!$B2111,41,1000),SEARCH(" - ",MID('Industriesektor GWh'!$B2111,41,1000))-1),nrg_cb_e!$C$3:$C$40,0))</f>
        <v>FC_IND_TE_E</v>
      </c>
      <c r="G2111" s="21">
        <v>1001</v>
      </c>
    </row>
    <row r="2112" spans="1:7" x14ac:dyDescent="0.2">
      <c r="A2112" s="16" t="s">
        <v>29</v>
      </c>
      <c r="B2112" s="17" t="s">
        <v>66</v>
      </c>
      <c r="C2112" s="17" t="s">
        <v>8</v>
      </c>
      <c r="D2112" s="17" t="s">
        <v>10</v>
      </c>
      <c r="E2112" s="17" t="s">
        <v>14</v>
      </c>
      <c r="F2112" s="17" t="str">
        <f>INDEX(nrg_cb_e!$A$3:$A$40,MATCH(LEFT(MID('Industriesektor GWh'!$B2112,41,1000),SEARCH(" - ",MID('Industriesektor GWh'!$B2112,41,1000))-1),nrg_cb_e!$C$3:$C$40,0))</f>
        <v>FC_IND_TE_E</v>
      </c>
      <c r="G2112" s="18">
        <v>1021</v>
      </c>
    </row>
    <row r="2113" spans="1:7" x14ac:dyDescent="0.2">
      <c r="A2113" s="19" t="s">
        <v>29</v>
      </c>
      <c r="B2113" s="20" t="s">
        <v>66</v>
      </c>
      <c r="C2113" s="20" t="s">
        <v>8</v>
      </c>
      <c r="D2113" s="20" t="s">
        <v>10</v>
      </c>
      <c r="E2113" s="20" t="s">
        <v>15</v>
      </c>
      <c r="F2113" s="20" t="str">
        <f>INDEX(nrg_cb_e!$A$3:$A$40,MATCH(LEFT(MID('Industriesektor GWh'!$B2113,41,1000),SEARCH(" - ",MID('Industriesektor GWh'!$B2113,41,1000))-1),nrg_cb_e!$C$3:$C$40,0))</f>
        <v>FC_IND_TE_E</v>
      </c>
      <c r="G2113" s="21">
        <v>994</v>
      </c>
    </row>
    <row r="2114" spans="1:7" x14ac:dyDescent="0.2">
      <c r="A2114" s="16" t="s">
        <v>29</v>
      </c>
      <c r="B2114" s="17" t="s">
        <v>66</v>
      </c>
      <c r="C2114" s="17" t="s">
        <v>8</v>
      </c>
      <c r="D2114" s="17" t="s">
        <v>10</v>
      </c>
      <c r="E2114" s="17" t="s">
        <v>16</v>
      </c>
      <c r="F2114" s="17" t="str">
        <f>INDEX(nrg_cb_e!$A$3:$A$40,MATCH(LEFT(MID('Industriesektor GWh'!$B2114,41,1000),SEARCH(" - ",MID('Industriesektor GWh'!$B2114,41,1000))-1),nrg_cb_e!$C$3:$C$40,0))</f>
        <v>FC_IND_TE_E</v>
      </c>
      <c r="G2114" s="18">
        <v>1180</v>
      </c>
    </row>
    <row r="2115" spans="1:7" x14ac:dyDescent="0.2">
      <c r="A2115" s="19" t="s">
        <v>29</v>
      </c>
      <c r="B2115" s="20" t="s">
        <v>66</v>
      </c>
      <c r="C2115" s="20" t="s">
        <v>8</v>
      </c>
      <c r="D2115" s="20" t="s">
        <v>10</v>
      </c>
      <c r="E2115" s="20" t="s">
        <v>17</v>
      </c>
      <c r="F2115" s="20" t="str">
        <f>INDEX(nrg_cb_e!$A$3:$A$40,MATCH(LEFT(MID('Industriesektor GWh'!$B2115,41,1000),SEARCH(" - ",MID('Industriesektor GWh'!$B2115,41,1000))-1),nrg_cb_e!$C$3:$C$40,0))</f>
        <v>FC_IND_TE_E</v>
      </c>
      <c r="G2115" s="21">
        <v>1199</v>
      </c>
    </row>
    <row r="2116" spans="1:7" x14ac:dyDescent="0.2">
      <c r="A2116" s="16" t="s">
        <v>29</v>
      </c>
      <c r="B2116" s="17" t="s">
        <v>66</v>
      </c>
      <c r="C2116" s="17" t="s">
        <v>8</v>
      </c>
      <c r="D2116" s="17" t="s">
        <v>10</v>
      </c>
      <c r="E2116" s="17" t="s">
        <v>18</v>
      </c>
      <c r="F2116" s="17" t="str">
        <f>INDEX(nrg_cb_e!$A$3:$A$40,MATCH(LEFT(MID('Industriesektor GWh'!$B2116,41,1000),SEARCH(" - ",MID('Industriesektor GWh'!$B2116,41,1000))-1),nrg_cb_e!$C$3:$C$40,0))</f>
        <v>FC_IND_TE_E</v>
      </c>
      <c r="G2116" s="18">
        <v>1097</v>
      </c>
    </row>
    <row r="2117" spans="1:7" x14ac:dyDescent="0.2">
      <c r="A2117" s="19" t="s">
        <v>29</v>
      </c>
      <c r="B2117" s="20" t="s">
        <v>66</v>
      </c>
      <c r="C2117" s="20" t="s">
        <v>8</v>
      </c>
      <c r="D2117" s="20" t="s">
        <v>10</v>
      </c>
      <c r="E2117" s="20" t="s">
        <v>19</v>
      </c>
      <c r="F2117" s="20" t="str">
        <f>INDEX(nrg_cb_e!$A$3:$A$40,MATCH(LEFT(MID('Industriesektor GWh'!$B2117,41,1000),SEARCH(" - ",MID('Industriesektor GWh'!$B2117,41,1000))-1),nrg_cb_e!$C$3:$C$40,0))</f>
        <v>FC_IND_TE_E</v>
      </c>
      <c r="G2117" s="21">
        <v>1017</v>
      </c>
    </row>
    <row r="2118" spans="1:7" x14ac:dyDescent="0.2">
      <c r="A2118" s="16" t="s">
        <v>29</v>
      </c>
      <c r="B2118" s="17" t="s">
        <v>66</v>
      </c>
      <c r="C2118" s="17" t="s">
        <v>8</v>
      </c>
      <c r="D2118" s="17" t="s">
        <v>10</v>
      </c>
      <c r="E2118" s="17" t="s">
        <v>20</v>
      </c>
      <c r="F2118" s="17" t="str">
        <f>INDEX(nrg_cb_e!$A$3:$A$40,MATCH(LEFT(MID('Industriesektor GWh'!$B2118,41,1000),SEARCH(" - ",MID('Industriesektor GWh'!$B2118,41,1000))-1),nrg_cb_e!$C$3:$C$40,0))</f>
        <v>FC_IND_TE_E</v>
      </c>
      <c r="G2118" s="18">
        <v>1061</v>
      </c>
    </row>
    <row r="2119" spans="1:7" x14ac:dyDescent="0.2">
      <c r="A2119" s="19" t="s">
        <v>29</v>
      </c>
      <c r="B2119" s="20" t="s">
        <v>66</v>
      </c>
      <c r="C2119" s="20" t="s">
        <v>8</v>
      </c>
      <c r="D2119" s="20" t="s">
        <v>10</v>
      </c>
      <c r="E2119" s="20" t="s">
        <v>21</v>
      </c>
      <c r="F2119" s="20" t="str">
        <f>INDEX(nrg_cb_e!$A$3:$A$40,MATCH(LEFT(MID('Industriesektor GWh'!$B2119,41,1000),SEARCH(" - ",MID('Industriesektor GWh'!$B2119,41,1000))-1),nrg_cb_e!$C$3:$C$40,0))</f>
        <v>FC_IND_TE_E</v>
      </c>
      <c r="G2119" s="21">
        <v>767</v>
      </c>
    </row>
    <row r="2120" spans="1:7" x14ac:dyDescent="0.2">
      <c r="A2120" s="16" t="s">
        <v>29</v>
      </c>
      <c r="B2120" s="17" t="s">
        <v>66</v>
      </c>
      <c r="C2120" s="17" t="s">
        <v>8</v>
      </c>
      <c r="D2120" s="17" t="s">
        <v>10</v>
      </c>
      <c r="E2120" s="17" t="s">
        <v>22</v>
      </c>
      <c r="F2120" s="17" t="str">
        <f>INDEX(nrg_cb_e!$A$3:$A$40,MATCH(LEFT(MID('Industriesektor GWh'!$B2120,41,1000),SEARCH(" - ",MID('Industriesektor GWh'!$B2120,41,1000))-1),nrg_cb_e!$C$3:$C$40,0))</f>
        <v>FC_IND_TE_E</v>
      </c>
      <c r="G2120" s="18">
        <v>739</v>
      </c>
    </row>
    <row r="2121" spans="1:7" x14ac:dyDescent="0.2">
      <c r="A2121" s="19" t="s">
        <v>29</v>
      </c>
      <c r="B2121" s="20" t="s">
        <v>66</v>
      </c>
      <c r="C2121" s="20" t="s">
        <v>8</v>
      </c>
      <c r="D2121" s="20" t="s">
        <v>10</v>
      </c>
      <c r="E2121" s="20" t="s">
        <v>23</v>
      </c>
      <c r="F2121" s="20" t="str">
        <f>INDEX(nrg_cb_e!$A$3:$A$40,MATCH(LEFT(MID('Industriesektor GWh'!$B2121,41,1000),SEARCH(" - ",MID('Industriesektor GWh'!$B2121,41,1000))-1),nrg_cb_e!$C$3:$C$40,0))</f>
        <v>FC_IND_TE_E</v>
      </c>
      <c r="G2121" s="21">
        <v>862</v>
      </c>
    </row>
    <row r="2122" spans="1:7" x14ac:dyDescent="0.2">
      <c r="A2122" s="16" t="s">
        <v>29</v>
      </c>
      <c r="B2122" s="17" t="s">
        <v>66</v>
      </c>
      <c r="C2122" s="17" t="s">
        <v>8</v>
      </c>
      <c r="D2122" s="17" t="s">
        <v>10</v>
      </c>
      <c r="E2122" s="17" t="s">
        <v>24</v>
      </c>
      <c r="F2122" s="17" t="str">
        <f>INDEX(nrg_cb_e!$A$3:$A$40,MATCH(LEFT(MID('Industriesektor GWh'!$B2122,41,1000),SEARCH(" - ",MID('Industriesektor GWh'!$B2122,41,1000))-1),nrg_cb_e!$C$3:$C$40,0))</f>
        <v>FC_IND_TE_E</v>
      </c>
      <c r="G2122" s="18">
        <v>824.6</v>
      </c>
    </row>
    <row r="2123" spans="1:7" x14ac:dyDescent="0.2">
      <c r="A2123" s="19" t="s">
        <v>29</v>
      </c>
      <c r="B2123" s="20" t="s">
        <v>66</v>
      </c>
      <c r="C2123" s="20" t="s">
        <v>8</v>
      </c>
      <c r="D2123" s="20" t="s">
        <v>10</v>
      </c>
      <c r="E2123" s="20" t="s">
        <v>25</v>
      </c>
      <c r="F2123" s="20" t="str">
        <f>INDEX(nrg_cb_e!$A$3:$A$40,MATCH(LEFT(MID('Industriesektor GWh'!$B2123,41,1000),SEARCH(" - ",MID('Industriesektor GWh'!$B2123,41,1000))-1),nrg_cb_e!$C$3:$C$40,0))</f>
        <v>FC_IND_TE_E</v>
      </c>
      <c r="G2123" s="21">
        <v>799.6</v>
      </c>
    </row>
    <row r="2124" spans="1:7" x14ac:dyDescent="0.2">
      <c r="A2124" s="16" t="s">
        <v>29</v>
      </c>
      <c r="B2124" s="17" t="s">
        <v>66</v>
      </c>
      <c r="C2124" s="17" t="s">
        <v>8</v>
      </c>
      <c r="D2124" s="17" t="s">
        <v>10</v>
      </c>
      <c r="E2124" s="17" t="s">
        <v>26</v>
      </c>
      <c r="F2124" s="17" t="str">
        <f>INDEX(nrg_cb_e!$A$3:$A$40,MATCH(LEFT(MID('Industriesektor GWh'!$B2124,41,1000),SEARCH(" - ",MID('Industriesektor GWh'!$B2124,41,1000))-1),nrg_cb_e!$C$3:$C$40,0))</f>
        <v>FC_IND_TE_E</v>
      </c>
      <c r="G2124" s="18">
        <v>757.8</v>
      </c>
    </row>
    <row r="2125" spans="1:7" x14ac:dyDescent="0.2">
      <c r="A2125" s="19" t="s">
        <v>29</v>
      </c>
      <c r="B2125" s="20" t="s">
        <v>66</v>
      </c>
      <c r="C2125" s="20" t="s">
        <v>8</v>
      </c>
      <c r="D2125" s="20" t="s">
        <v>10</v>
      </c>
      <c r="E2125" s="20" t="s">
        <v>27</v>
      </c>
      <c r="F2125" s="20" t="str">
        <f>INDEX(nrg_cb_e!$A$3:$A$40,MATCH(LEFT(MID('Industriesektor GWh'!$B2125,41,1000),SEARCH(" - ",MID('Industriesektor GWh'!$B2125,41,1000))-1),nrg_cb_e!$C$3:$C$40,0))</f>
        <v>FC_IND_TE_E</v>
      </c>
      <c r="G2125" s="21">
        <v>811.2</v>
      </c>
    </row>
    <row r="2126" spans="1:7" x14ac:dyDescent="0.2">
      <c r="A2126" s="16" t="s">
        <v>29</v>
      </c>
      <c r="B2126" s="17" t="s">
        <v>66</v>
      </c>
      <c r="C2126" s="17" t="s">
        <v>8</v>
      </c>
      <c r="D2126" s="17" t="s">
        <v>10</v>
      </c>
      <c r="E2126" s="17" t="s">
        <v>28</v>
      </c>
      <c r="F2126" s="17" t="str">
        <f>INDEX(nrg_cb_e!$A$3:$A$40,MATCH(LEFT(MID('Industriesektor GWh'!$B2126,41,1000),SEARCH(" - ",MID('Industriesektor GWh'!$B2126,41,1000))-1),nrg_cb_e!$C$3:$C$40,0))</f>
        <v>FC_IND_TE_E</v>
      </c>
      <c r="G2126" s="18">
        <v>803.1</v>
      </c>
    </row>
    <row r="2127" spans="1:7" x14ac:dyDescent="0.2">
      <c r="A2127" s="19" t="s">
        <v>30</v>
      </c>
      <c r="B2127" s="20" t="s">
        <v>66</v>
      </c>
      <c r="C2127" s="20" t="s">
        <v>8</v>
      </c>
      <c r="D2127" s="20" t="s">
        <v>10</v>
      </c>
      <c r="E2127" s="20" t="s">
        <v>12</v>
      </c>
      <c r="F2127" s="20" t="str">
        <f>INDEX(nrg_cb_e!$A$3:$A$40,MATCH(LEFT(MID('Industriesektor GWh'!$B2127,41,1000),SEARCH(" - ",MID('Industriesektor GWh'!$B2127,41,1000))-1),nrg_cb_e!$C$3:$C$40,0))</f>
        <v>FC_IND_TE_E</v>
      </c>
      <c r="G2127" s="21">
        <v>179</v>
      </c>
    </row>
    <row r="2128" spans="1:7" x14ac:dyDescent="0.2">
      <c r="A2128" s="16" t="s">
        <v>30</v>
      </c>
      <c r="B2128" s="17" t="s">
        <v>66</v>
      </c>
      <c r="C2128" s="17" t="s">
        <v>8</v>
      </c>
      <c r="D2128" s="17" t="s">
        <v>10</v>
      </c>
      <c r="E2128" s="17" t="s">
        <v>13</v>
      </c>
      <c r="F2128" s="17" t="str">
        <f>INDEX(nrg_cb_e!$A$3:$A$40,MATCH(LEFT(MID('Industriesektor GWh'!$B2128,41,1000),SEARCH(" - ",MID('Industriesektor GWh'!$B2128,41,1000))-1),nrg_cb_e!$C$3:$C$40,0))</f>
        <v>FC_IND_TE_E</v>
      </c>
      <c r="G2128" s="18">
        <v>101</v>
      </c>
    </row>
    <row r="2129" spans="1:7" x14ac:dyDescent="0.2">
      <c r="A2129" s="19" t="s">
        <v>30</v>
      </c>
      <c r="B2129" s="20" t="s">
        <v>66</v>
      </c>
      <c r="C2129" s="20" t="s">
        <v>8</v>
      </c>
      <c r="D2129" s="20" t="s">
        <v>10</v>
      </c>
      <c r="E2129" s="20" t="s">
        <v>14</v>
      </c>
      <c r="F2129" s="20" t="str">
        <f>INDEX(nrg_cb_e!$A$3:$A$40,MATCH(LEFT(MID('Industriesektor GWh'!$B2129,41,1000),SEARCH(" - ",MID('Industriesektor GWh'!$B2129,41,1000))-1),nrg_cb_e!$C$3:$C$40,0))</f>
        <v>FC_IND_TE_E</v>
      </c>
      <c r="G2129" s="21">
        <v>102</v>
      </c>
    </row>
    <row r="2130" spans="1:7" x14ac:dyDescent="0.2">
      <c r="A2130" s="16" t="s">
        <v>30</v>
      </c>
      <c r="B2130" s="17" t="s">
        <v>66</v>
      </c>
      <c r="C2130" s="17" t="s">
        <v>8</v>
      </c>
      <c r="D2130" s="17" t="s">
        <v>10</v>
      </c>
      <c r="E2130" s="17" t="s">
        <v>15</v>
      </c>
      <c r="F2130" s="17" t="str">
        <f>INDEX(nrg_cb_e!$A$3:$A$40,MATCH(LEFT(MID('Industriesektor GWh'!$B2130,41,1000),SEARCH(" - ",MID('Industriesektor GWh'!$B2130,41,1000))-1),nrg_cb_e!$C$3:$C$40,0))</f>
        <v>FC_IND_TE_E</v>
      </c>
      <c r="G2130" s="18">
        <v>108</v>
      </c>
    </row>
    <row r="2131" spans="1:7" x14ac:dyDescent="0.2">
      <c r="A2131" s="19" t="s">
        <v>30</v>
      </c>
      <c r="B2131" s="20" t="s">
        <v>66</v>
      </c>
      <c r="C2131" s="20" t="s">
        <v>8</v>
      </c>
      <c r="D2131" s="20" t="s">
        <v>10</v>
      </c>
      <c r="E2131" s="20" t="s">
        <v>16</v>
      </c>
      <c r="F2131" s="20" t="str">
        <f>INDEX(nrg_cb_e!$A$3:$A$40,MATCH(LEFT(MID('Industriesektor GWh'!$B2131,41,1000),SEARCH(" - ",MID('Industriesektor GWh'!$B2131,41,1000))-1),nrg_cb_e!$C$3:$C$40,0))</f>
        <v>FC_IND_TE_E</v>
      </c>
      <c r="G2131" s="21">
        <v>94</v>
      </c>
    </row>
    <row r="2132" spans="1:7" x14ac:dyDescent="0.2">
      <c r="A2132" s="16" t="s">
        <v>30</v>
      </c>
      <c r="B2132" s="17" t="s">
        <v>66</v>
      </c>
      <c r="C2132" s="17" t="s">
        <v>8</v>
      </c>
      <c r="D2132" s="17" t="s">
        <v>10</v>
      </c>
      <c r="E2132" s="17" t="s">
        <v>17</v>
      </c>
      <c r="F2132" s="17" t="str">
        <f>INDEX(nrg_cb_e!$A$3:$A$40,MATCH(LEFT(MID('Industriesektor GWh'!$B2132,41,1000),SEARCH(" - ",MID('Industriesektor GWh'!$B2132,41,1000))-1),nrg_cb_e!$C$3:$C$40,0))</f>
        <v>FC_IND_TE_E</v>
      </c>
      <c r="G2132" s="18">
        <v>95</v>
      </c>
    </row>
    <row r="2133" spans="1:7" x14ac:dyDescent="0.2">
      <c r="A2133" s="19" t="s">
        <v>30</v>
      </c>
      <c r="B2133" s="20" t="s">
        <v>66</v>
      </c>
      <c r="C2133" s="20" t="s">
        <v>8</v>
      </c>
      <c r="D2133" s="20" t="s">
        <v>10</v>
      </c>
      <c r="E2133" s="20" t="s">
        <v>18</v>
      </c>
      <c r="F2133" s="20" t="str">
        <f>INDEX(nrg_cb_e!$A$3:$A$40,MATCH(LEFT(MID('Industriesektor GWh'!$B2133,41,1000),SEARCH(" - ",MID('Industriesektor GWh'!$B2133,41,1000))-1),nrg_cb_e!$C$3:$C$40,0))</f>
        <v>FC_IND_TE_E</v>
      </c>
      <c r="G2133" s="21">
        <v>114</v>
      </c>
    </row>
    <row r="2134" spans="1:7" x14ac:dyDescent="0.2">
      <c r="A2134" s="16" t="s">
        <v>30</v>
      </c>
      <c r="B2134" s="17" t="s">
        <v>66</v>
      </c>
      <c r="C2134" s="17" t="s">
        <v>8</v>
      </c>
      <c r="D2134" s="17" t="s">
        <v>10</v>
      </c>
      <c r="E2134" s="17" t="s">
        <v>19</v>
      </c>
      <c r="F2134" s="17" t="str">
        <f>INDEX(nrg_cb_e!$A$3:$A$40,MATCH(LEFT(MID('Industriesektor GWh'!$B2134,41,1000),SEARCH(" - ",MID('Industriesektor GWh'!$B2134,41,1000))-1),nrg_cb_e!$C$3:$C$40,0))</f>
        <v>FC_IND_TE_E</v>
      </c>
      <c r="G2134" s="18">
        <v>95</v>
      </c>
    </row>
    <row r="2135" spans="1:7" x14ac:dyDescent="0.2">
      <c r="A2135" s="19" t="s">
        <v>30</v>
      </c>
      <c r="B2135" s="20" t="s">
        <v>66</v>
      </c>
      <c r="C2135" s="20" t="s">
        <v>8</v>
      </c>
      <c r="D2135" s="20" t="s">
        <v>10</v>
      </c>
      <c r="E2135" s="20" t="s">
        <v>20</v>
      </c>
      <c r="F2135" s="20" t="str">
        <f>INDEX(nrg_cb_e!$A$3:$A$40,MATCH(LEFT(MID('Industriesektor GWh'!$B2135,41,1000),SEARCH(" - ",MID('Industriesektor GWh'!$B2135,41,1000))-1),nrg_cb_e!$C$3:$C$40,0))</f>
        <v>FC_IND_TE_E</v>
      </c>
      <c r="G2135" s="21">
        <v>89</v>
      </c>
    </row>
    <row r="2136" spans="1:7" x14ac:dyDescent="0.2">
      <c r="A2136" s="16" t="s">
        <v>30</v>
      </c>
      <c r="B2136" s="17" t="s">
        <v>66</v>
      </c>
      <c r="C2136" s="17" t="s">
        <v>8</v>
      </c>
      <c r="D2136" s="17" t="s">
        <v>10</v>
      </c>
      <c r="E2136" s="17" t="s">
        <v>21</v>
      </c>
      <c r="F2136" s="17" t="str">
        <f>INDEX(nrg_cb_e!$A$3:$A$40,MATCH(LEFT(MID('Industriesektor GWh'!$B2136,41,1000),SEARCH(" - ",MID('Industriesektor GWh'!$B2136,41,1000))-1),nrg_cb_e!$C$3:$C$40,0))</f>
        <v>FC_IND_TE_E</v>
      </c>
      <c r="G2136" s="18">
        <v>113</v>
      </c>
    </row>
    <row r="2137" spans="1:7" x14ac:dyDescent="0.2">
      <c r="A2137" s="19" t="s">
        <v>30</v>
      </c>
      <c r="B2137" s="20" t="s">
        <v>66</v>
      </c>
      <c r="C2137" s="20" t="s">
        <v>8</v>
      </c>
      <c r="D2137" s="20" t="s">
        <v>10</v>
      </c>
      <c r="E2137" s="20" t="s">
        <v>22</v>
      </c>
      <c r="F2137" s="20" t="str">
        <f>INDEX(nrg_cb_e!$A$3:$A$40,MATCH(LEFT(MID('Industriesektor GWh'!$B2137,41,1000),SEARCH(" - ",MID('Industriesektor GWh'!$B2137,41,1000))-1),nrg_cb_e!$C$3:$C$40,0))</f>
        <v>FC_IND_TE_E</v>
      </c>
      <c r="G2137" s="21">
        <v>112</v>
      </c>
    </row>
    <row r="2138" spans="1:7" x14ac:dyDescent="0.2">
      <c r="A2138" s="16" t="s">
        <v>30</v>
      </c>
      <c r="B2138" s="17" t="s">
        <v>66</v>
      </c>
      <c r="C2138" s="17" t="s">
        <v>8</v>
      </c>
      <c r="D2138" s="17" t="s">
        <v>10</v>
      </c>
      <c r="E2138" s="17" t="s">
        <v>23</v>
      </c>
      <c r="F2138" s="17" t="str">
        <f>INDEX(nrg_cb_e!$A$3:$A$40,MATCH(LEFT(MID('Industriesektor GWh'!$B2138,41,1000),SEARCH(" - ",MID('Industriesektor GWh'!$B2138,41,1000))-1),nrg_cb_e!$C$3:$C$40,0))</f>
        <v>FC_IND_TE_E</v>
      </c>
      <c r="G2138" s="18">
        <v>102</v>
      </c>
    </row>
    <row r="2139" spans="1:7" x14ac:dyDescent="0.2">
      <c r="A2139" s="19" t="s">
        <v>30</v>
      </c>
      <c r="B2139" s="20" t="s">
        <v>66</v>
      </c>
      <c r="C2139" s="20" t="s">
        <v>8</v>
      </c>
      <c r="D2139" s="20" t="s">
        <v>10</v>
      </c>
      <c r="E2139" s="20" t="s">
        <v>24</v>
      </c>
      <c r="F2139" s="20" t="str">
        <f>INDEX(nrg_cb_e!$A$3:$A$40,MATCH(LEFT(MID('Industriesektor GWh'!$B2139,41,1000),SEARCH(" - ",MID('Industriesektor GWh'!$B2139,41,1000))-1),nrg_cb_e!$C$3:$C$40,0))</f>
        <v>FC_IND_TE_E</v>
      </c>
      <c r="G2139" s="21">
        <v>102</v>
      </c>
    </row>
    <row r="2140" spans="1:7" x14ac:dyDescent="0.2">
      <c r="A2140" s="16" t="s">
        <v>30</v>
      </c>
      <c r="B2140" s="17" t="s">
        <v>66</v>
      </c>
      <c r="C2140" s="17" t="s">
        <v>8</v>
      </c>
      <c r="D2140" s="17" t="s">
        <v>10</v>
      </c>
      <c r="E2140" s="17" t="s">
        <v>25</v>
      </c>
      <c r="F2140" s="17" t="str">
        <f>INDEX(nrg_cb_e!$A$3:$A$40,MATCH(LEFT(MID('Industriesektor GWh'!$B2140,41,1000),SEARCH(" - ",MID('Industriesektor GWh'!$B2140,41,1000))-1),nrg_cb_e!$C$3:$C$40,0))</f>
        <v>FC_IND_TE_E</v>
      </c>
      <c r="G2140" s="18">
        <v>118</v>
      </c>
    </row>
    <row r="2141" spans="1:7" x14ac:dyDescent="0.2">
      <c r="A2141" s="19" t="s">
        <v>30</v>
      </c>
      <c r="B2141" s="20" t="s">
        <v>66</v>
      </c>
      <c r="C2141" s="20" t="s">
        <v>8</v>
      </c>
      <c r="D2141" s="20" t="s">
        <v>10</v>
      </c>
      <c r="E2141" s="20" t="s">
        <v>26</v>
      </c>
      <c r="F2141" s="20" t="str">
        <f>INDEX(nrg_cb_e!$A$3:$A$40,MATCH(LEFT(MID('Industriesektor GWh'!$B2141,41,1000),SEARCH(" - ",MID('Industriesektor GWh'!$B2141,41,1000))-1),nrg_cb_e!$C$3:$C$40,0))</f>
        <v>FC_IND_TE_E</v>
      </c>
      <c r="G2141" s="21">
        <v>109</v>
      </c>
    </row>
    <row r="2142" spans="1:7" x14ac:dyDescent="0.2">
      <c r="A2142" s="16" t="s">
        <v>30</v>
      </c>
      <c r="B2142" s="17" t="s">
        <v>66</v>
      </c>
      <c r="C2142" s="17" t="s">
        <v>8</v>
      </c>
      <c r="D2142" s="17" t="s">
        <v>10</v>
      </c>
      <c r="E2142" s="17" t="s">
        <v>27</v>
      </c>
      <c r="F2142" s="17" t="str">
        <f>INDEX(nrg_cb_e!$A$3:$A$40,MATCH(LEFT(MID('Industriesektor GWh'!$B2142,41,1000),SEARCH(" - ",MID('Industriesektor GWh'!$B2142,41,1000))-1),nrg_cb_e!$C$3:$C$40,0))</f>
        <v>FC_IND_TE_E</v>
      </c>
      <c r="G2142" s="18">
        <v>118.56100000000001</v>
      </c>
    </row>
    <row r="2143" spans="1:7" x14ac:dyDescent="0.2">
      <c r="A2143" s="19" t="s">
        <v>30</v>
      </c>
      <c r="B2143" s="20" t="s">
        <v>66</v>
      </c>
      <c r="C2143" s="20" t="s">
        <v>8</v>
      </c>
      <c r="D2143" s="20" t="s">
        <v>10</v>
      </c>
      <c r="E2143" s="20" t="s">
        <v>28</v>
      </c>
      <c r="F2143" s="20" t="str">
        <f>INDEX(nrg_cb_e!$A$3:$A$40,MATCH(LEFT(MID('Industriesektor GWh'!$B2143,41,1000),SEARCH(" - ",MID('Industriesektor GWh'!$B2143,41,1000))-1),nrg_cb_e!$C$3:$C$40,0))</f>
        <v>FC_IND_TE_E</v>
      </c>
      <c r="G2143" s="21">
        <v>133.72499999999999</v>
      </c>
    </row>
    <row r="2144" spans="1:7" x14ac:dyDescent="0.2">
      <c r="A2144" s="16" t="s">
        <v>31</v>
      </c>
      <c r="B2144" s="17" t="s">
        <v>66</v>
      </c>
      <c r="C2144" s="17" t="s">
        <v>8</v>
      </c>
      <c r="D2144" s="17" t="s">
        <v>10</v>
      </c>
      <c r="E2144" s="17" t="s">
        <v>12</v>
      </c>
      <c r="F2144" s="17" t="str">
        <f>INDEX(nrg_cb_e!$A$3:$A$40,MATCH(LEFT(MID('Industriesektor GWh'!$B2144,41,1000),SEARCH(" - ",MID('Industriesektor GWh'!$B2144,41,1000))-1),nrg_cb_e!$C$3:$C$40,0))</f>
        <v>FC_IND_TE_E</v>
      </c>
      <c r="G2144" s="18">
        <v>1212</v>
      </c>
    </row>
    <row r="2145" spans="1:7" x14ac:dyDescent="0.2">
      <c r="A2145" s="19" t="s">
        <v>31</v>
      </c>
      <c r="B2145" s="20" t="s">
        <v>66</v>
      </c>
      <c r="C2145" s="20" t="s">
        <v>8</v>
      </c>
      <c r="D2145" s="20" t="s">
        <v>10</v>
      </c>
      <c r="E2145" s="20" t="s">
        <v>13</v>
      </c>
      <c r="F2145" s="20" t="str">
        <f>INDEX(nrg_cb_e!$A$3:$A$40,MATCH(LEFT(MID('Industriesektor GWh'!$B2145,41,1000),SEARCH(" - ",MID('Industriesektor GWh'!$B2145,41,1000))-1),nrg_cb_e!$C$3:$C$40,0))</f>
        <v>FC_IND_TE_E</v>
      </c>
      <c r="G2145" s="21">
        <v>1162</v>
      </c>
    </row>
    <row r="2146" spans="1:7" x14ac:dyDescent="0.2">
      <c r="A2146" s="16" t="s">
        <v>31</v>
      </c>
      <c r="B2146" s="17" t="s">
        <v>66</v>
      </c>
      <c r="C2146" s="17" t="s">
        <v>8</v>
      </c>
      <c r="D2146" s="17" t="s">
        <v>10</v>
      </c>
      <c r="E2146" s="17" t="s">
        <v>14</v>
      </c>
      <c r="F2146" s="17" t="str">
        <f>INDEX(nrg_cb_e!$A$3:$A$40,MATCH(LEFT(MID('Industriesektor GWh'!$B2146,41,1000),SEARCH(" - ",MID('Industriesektor GWh'!$B2146,41,1000))-1),nrg_cb_e!$C$3:$C$40,0))</f>
        <v>FC_IND_TE_E</v>
      </c>
      <c r="G2146" s="18">
        <v>1482</v>
      </c>
    </row>
    <row r="2147" spans="1:7" x14ac:dyDescent="0.2">
      <c r="A2147" s="19" t="s">
        <v>31</v>
      </c>
      <c r="B2147" s="20" t="s">
        <v>66</v>
      </c>
      <c r="C2147" s="20" t="s">
        <v>8</v>
      </c>
      <c r="D2147" s="20" t="s">
        <v>10</v>
      </c>
      <c r="E2147" s="20" t="s">
        <v>15</v>
      </c>
      <c r="F2147" s="20" t="str">
        <f>INDEX(nrg_cb_e!$A$3:$A$40,MATCH(LEFT(MID('Industriesektor GWh'!$B2147,41,1000),SEARCH(" - ",MID('Industriesektor GWh'!$B2147,41,1000))-1),nrg_cb_e!$C$3:$C$40,0))</f>
        <v>FC_IND_TE_E</v>
      </c>
      <c r="G2147" s="21">
        <v>1580</v>
      </c>
    </row>
    <row r="2148" spans="1:7" x14ac:dyDescent="0.2">
      <c r="A2148" s="16" t="s">
        <v>31</v>
      </c>
      <c r="B2148" s="17" t="s">
        <v>66</v>
      </c>
      <c r="C2148" s="17" t="s">
        <v>8</v>
      </c>
      <c r="D2148" s="17" t="s">
        <v>10</v>
      </c>
      <c r="E2148" s="17" t="s">
        <v>16</v>
      </c>
      <c r="F2148" s="17" t="str">
        <f>INDEX(nrg_cb_e!$A$3:$A$40,MATCH(LEFT(MID('Industriesektor GWh'!$B2148,41,1000),SEARCH(" - ",MID('Industriesektor GWh'!$B2148,41,1000))-1),nrg_cb_e!$C$3:$C$40,0))</f>
        <v>FC_IND_TE_E</v>
      </c>
      <c r="G2148" s="18">
        <v>1834</v>
      </c>
    </row>
    <row r="2149" spans="1:7" x14ac:dyDescent="0.2">
      <c r="A2149" s="19" t="s">
        <v>31</v>
      </c>
      <c r="B2149" s="20" t="s">
        <v>66</v>
      </c>
      <c r="C2149" s="20" t="s">
        <v>8</v>
      </c>
      <c r="D2149" s="20" t="s">
        <v>10</v>
      </c>
      <c r="E2149" s="20" t="s">
        <v>17</v>
      </c>
      <c r="F2149" s="20" t="str">
        <f>INDEX(nrg_cb_e!$A$3:$A$40,MATCH(LEFT(MID('Industriesektor GWh'!$B2149,41,1000),SEARCH(" - ",MID('Industriesektor GWh'!$B2149,41,1000))-1),nrg_cb_e!$C$3:$C$40,0))</f>
        <v>FC_IND_TE_E</v>
      </c>
      <c r="G2149" s="21">
        <v>1934</v>
      </c>
    </row>
    <row r="2150" spans="1:7" x14ac:dyDescent="0.2">
      <c r="A2150" s="16" t="s">
        <v>31</v>
      </c>
      <c r="B2150" s="17" t="s">
        <v>66</v>
      </c>
      <c r="C2150" s="17" t="s">
        <v>8</v>
      </c>
      <c r="D2150" s="17" t="s">
        <v>10</v>
      </c>
      <c r="E2150" s="17" t="s">
        <v>18</v>
      </c>
      <c r="F2150" s="17" t="str">
        <f>INDEX(nrg_cb_e!$A$3:$A$40,MATCH(LEFT(MID('Industriesektor GWh'!$B2150,41,1000),SEARCH(" - ",MID('Industriesektor GWh'!$B2150,41,1000))-1),nrg_cb_e!$C$3:$C$40,0))</f>
        <v>FC_IND_TE_E</v>
      </c>
      <c r="G2150" s="18">
        <v>2321</v>
      </c>
    </row>
    <row r="2151" spans="1:7" x14ac:dyDescent="0.2">
      <c r="A2151" s="19" t="s">
        <v>31</v>
      </c>
      <c r="B2151" s="20" t="s">
        <v>66</v>
      </c>
      <c r="C2151" s="20" t="s">
        <v>8</v>
      </c>
      <c r="D2151" s="20" t="s">
        <v>10</v>
      </c>
      <c r="E2151" s="20" t="s">
        <v>19</v>
      </c>
      <c r="F2151" s="20" t="str">
        <f>INDEX(nrg_cb_e!$A$3:$A$40,MATCH(LEFT(MID('Industriesektor GWh'!$B2151,41,1000),SEARCH(" - ",MID('Industriesektor GWh'!$B2151,41,1000))-1),nrg_cb_e!$C$3:$C$40,0))</f>
        <v>FC_IND_TE_E</v>
      </c>
      <c r="G2151" s="21">
        <v>2242</v>
      </c>
    </row>
    <row r="2152" spans="1:7" x14ac:dyDescent="0.2">
      <c r="A2152" s="16" t="s">
        <v>31</v>
      </c>
      <c r="B2152" s="17" t="s">
        <v>66</v>
      </c>
      <c r="C2152" s="17" t="s">
        <v>8</v>
      </c>
      <c r="D2152" s="17" t="s">
        <v>10</v>
      </c>
      <c r="E2152" s="17" t="s">
        <v>20</v>
      </c>
      <c r="F2152" s="17" t="str">
        <f>INDEX(nrg_cb_e!$A$3:$A$40,MATCH(LEFT(MID('Industriesektor GWh'!$B2152,41,1000),SEARCH(" - ",MID('Industriesektor GWh'!$B2152,41,1000))-1),nrg_cb_e!$C$3:$C$40,0))</f>
        <v>FC_IND_TE_E</v>
      </c>
      <c r="G2152" s="18">
        <v>2463</v>
      </c>
    </row>
    <row r="2153" spans="1:7" x14ac:dyDescent="0.2">
      <c r="A2153" s="19" t="s">
        <v>31</v>
      </c>
      <c r="B2153" s="20" t="s">
        <v>66</v>
      </c>
      <c r="C2153" s="20" t="s">
        <v>8</v>
      </c>
      <c r="D2153" s="20" t="s">
        <v>10</v>
      </c>
      <c r="E2153" s="20" t="s">
        <v>21</v>
      </c>
      <c r="F2153" s="20" t="str">
        <f>INDEX(nrg_cb_e!$A$3:$A$40,MATCH(LEFT(MID('Industriesektor GWh'!$B2153,41,1000),SEARCH(" - ",MID('Industriesektor GWh'!$B2153,41,1000))-1),nrg_cb_e!$C$3:$C$40,0))</f>
        <v>FC_IND_TE_E</v>
      </c>
      <c r="G2153" s="21">
        <v>2675</v>
      </c>
    </row>
    <row r="2154" spans="1:7" x14ac:dyDescent="0.2">
      <c r="A2154" s="16" t="s">
        <v>31</v>
      </c>
      <c r="B2154" s="17" t="s">
        <v>66</v>
      </c>
      <c r="C2154" s="17" t="s">
        <v>8</v>
      </c>
      <c r="D2154" s="17" t="s">
        <v>10</v>
      </c>
      <c r="E2154" s="17" t="s">
        <v>22</v>
      </c>
      <c r="F2154" s="17" t="str">
        <f>INDEX(nrg_cb_e!$A$3:$A$40,MATCH(LEFT(MID('Industriesektor GWh'!$B2154,41,1000),SEARCH(" - ",MID('Industriesektor GWh'!$B2154,41,1000))-1),nrg_cb_e!$C$3:$C$40,0))</f>
        <v>FC_IND_TE_E</v>
      </c>
      <c r="G2154" s="18">
        <v>2619</v>
      </c>
    </row>
    <row r="2155" spans="1:7" x14ac:dyDescent="0.2">
      <c r="A2155" s="19" t="s">
        <v>31</v>
      </c>
      <c r="B2155" s="20" t="s">
        <v>66</v>
      </c>
      <c r="C2155" s="20" t="s">
        <v>8</v>
      </c>
      <c r="D2155" s="20" t="s">
        <v>10</v>
      </c>
      <c r="E2155" s="20" t="s">
        <v>23</v>
      </c>
      <c r="F2155" s="20" t="str">
        <f>INDEX(nrg_cb_e!$A$3:$A$40,MATCH(LEFT(MID('Industriesektor GWh'!$B2155,41,1000),SEARCH(" - ",MID('Industriesektor GWh'!$B2155,41,1000))-1),nrg_cb_e!$C$3:$C$40,0))</f>
        <v>FC_IND_TE_E</v>
      </c>
      <c r="G2155" s="21">
        <v>2520</v>
      </c>
    </row>
    <row r="2156" spans="1:7" x14ac:dyDescent="0.2">
      <c r="A2156" s="16" t="s">
        <v>31</v>
      </c>
      <c r="B2156" s="17" t="s">
        <v>66</v>
      </c>
      <c r="C2156" s="17" t="s">
        <v>8</v>
      </c>
      <c r="D2156" s="17" t="s">
        <v>10</v>
      </c>
      <c r="E2156" s="17" t="s">
        <v>24</v>
      </c>
      <c r="F2156" s="17" t="str">
        <f>INDEX(nrg_cb_e!$A$3:$A$40,MATCH(LEFT(MID('Industriesektor GWh'!$B2156,41,1000),SEARCH(" - ",MID('Industriesektor GWh'!$B2156,41,1000))-1),nrg_cb_e!$C$3:$C$40,0))</f>
        <v>FC_IND_TE_E</v>
      </c>
      <c r="G2156" s="18">
        <v>2504</v>
      </c>
    </row>
    <row r="2157" spans="1:7" x14ac:dyDescent="0.2">
      <c r="A2157" s="19" t="s">
        <v>31</v>
      </c>
      <c r="B2157" s="20" t="s">
        <v>66</v>
      </c>
      <c r="C2157" s="20" t="s">
        <v>8</v>
      </c>
      <c r="D2157" s="20" t="s">
        <v>10</v>
      </c>
      <c r="E2157" s="20" t="s">
        <v>25</v>
      </c>
      <c r="F2157" s="20" t="str">
        <f>INDEX(nrg_cb_e!$A$3:$A$40,MATCH(LEFT(MID('Industriesektor GWh'!$B2157,41,1000),SEARCH(" - ",MID('Industriesektor GWh'!$B2157,41,1000))-1),nrg_cb_e!$C$3:$C$40,0))</f>
        <v>FC_IND_TE_E</v>
      </c>
      <c r="G2157" s="21">
        <v>2788</v>
      </c>
    </row>
    <row r="2158" spans="1:7" x14ac:dyDescent="0.2">
      <c r="A2158" s="16" t="s">
        <v>31</v>
      </c>
      <c r="B2158" s="17" t="s">
        <v>66</v>
      </c>
      <c r="C2158" s="17" t="s">
        <v>8</v>
      </c>
      <c r="D2158" s="17" t="s">
        <v>10</v>
      </c>
      <c r="E2158" s="17" t="s">
        <v>26</v>
      </c>
      <c r="F2158" s="17" t="str">
        <f>INDEX(nrg_cb_e!$A$3:$A$40,MATCH(LEFT(MID('Industriesektor GWh'!$B2158,41,1000),SEARCH(" - ",MID('Industriesektor GWh'!$B2158,41,1000))-1),nrg_cb_e!$C$3:$C$40,0))</f>
        <v>FC_IND_TE_E</v>
      </c>
      <c r="G2158" s="18">
        <v>2915</v>
      </c>
    </row>
    <row r="2159" spans="1:7" x14ac:dyDescent="0.2">
      <c r="A2159" s="19" t="s">
        <v>31</v>
      </c>
      <c r="B2159" s="20" t="s">
        <v>66</v>
      </c>
      <c r="C2159" s="20" t="s">
        <v>8</v>
      </c>
      <c r="D2159" s="20" t="s">
        <v>10</v>
      </c>
      <c r="E2159" s="20" t="s">
        <v>27</v>
      </c>
      <c r="F2159" s="20" t="str">
        <f>INDEX(nrg_cb_e!$A$3:$A$40,MATCH(LEFT(MID('Industriesektor GWh'!$B2159,41,1000),SEARCH(" - ",MID('Industriesektor GWh'!$B2159,41,1000))-1),nrg_cb_e!$C$3:$C$40,0))</f>
        <v>FC_IND_TE_E</v>
      </c>
      <c r="G2159" s="21">
        <v>3050.855</v>
      </c>
    </row>
    <row r="2160" spans="1:7" x14ac:dyDescent="0.2">
      <c r="A2160" s="16" t="s">
        <v>31</v>
      </c>
      <c r="B2160" s="17" t="s">
        <v>66</v>
      </c>
      <c r="C2160" s="17" t="s">
        <v>8</v>
      </c>
      <c r="D2160" s="17" t="s">
        <v>10</v>
      </c>
      <c r="E2160" s="17" t="s">
        <v>28</v>
      </c>
      <c r="F2160" s="17" t="str">
        <f>INDEX(nrg_cb_e!$A$3:$A$40,MATCH(LEFT(MID('Industriesektor GWh'!$B2160,41,1000),SEARCH(" - ",MID('Industriesektor GWh'!$B2160,41,1000))-1),nrg_cb_e!$C$3:$C$40,0))</f>
        <v>FC_IND_TE_E</v>
      </c>
      <c r="G2160" s="18">
        <v>3241.018</v>
      </c>
    </row>
    <row r="2161" spans="1:7" x14ac:dyDescent="0.2">
      <c r="A2161" s="19" t="s">
        <v>32</v>
      </c>
      <c r="B2161" s="20" t="s">
        <v>66</v>
      </c>
      <c r="C2161" s="20" t="s">
        <v>8</v>
      </c>
      <c r="D2161" s="20" t="s">
        <v>10</v>
      </c>
      <c r="E2161" s="20" t="s">
        <v>12</v>
      </c>
      <c r="F2161" s="20" t="str">
        <f>INDEX(nrg_cb_e!$A$3:$A$40,MATCH(LEFT(MID('Industriesektor GWh'!$B2161,41,1000),SEARCH(" - ",MID('Industriesektor GWh'!$B2161,41,1000))-1),nrg_cb_e!$C$3:$C$40,0))</f>
        <v>FC_IND_TE_E</v>
      </c>
      <c r="G2161" s="21">
        <v>188</v>
      </c>
    </row>
    <row r="2162" spans="1:7" x14ac:dyDescent="0.2">
      <c r="A2162" s="16" t="s">
        <v>32</v>
      </c>
      <c r="B2162" s="17" t="s">
        <v>66</v>
      </c>
      <c r="C2162" s="17" t="s">
        <v>8</v>
      </c>
      <c r="D2162" s="17" t="s">
        <v>10</v>
      </c>
      <c r="E2162" s="17" t="s">
        <v>13</v>
      </c>
      <c r="F2162" s="17" t="str">
        <f>INDEX(nrg_cb_e!$A$3:$A$40,MATCH(LEFT(MID('Industriesektor GWh'!$B2162,41,1000),SEARCH(" - ",MID('Industriesektor GWh'!$B2162,41,1000))-1),nrg_cb_e!$C$3:$C$40,0))</f>
        <v>FC_IND_TE_E</v>
      </c>
      <c r="G2162" s="18">
        <v>166</v>
      </c>
    </row>
    <row r="2163" spans="1:7" x14ac:dyDescent="0.2">
      <c r="A2163" s="19" t="s">
        <v>32</v>
      </c>
      <c r="B2163" s="20" t="s">
        <v>66</v>
      </c>
      <c r="C2163" s="20" t="s">
        <v>8</v>
      </c>
      <c r="D2163" s="20" t="s">
        <v>10</v>
      </c>
      <c r="E2163" s="20" t="s">
        <v>14</v>
      </c>
      <c r="F2163" s="20" t="str">
        <f>INDEX(nrg_cb_e!$A$3:$A$40,MATCH(LEFT(MID('Industriesektor GWh'!$B2163,41,1000),SEARCH(" - ",MID('Industriesektor GWh'!$B2163,41,1000))-1),nrg_cb_e!$C$3:$C$40,0))</f>
        <v>FC_IND_TE_E</v>
      </c>
      <c r="G2163" s="21">
        <v>173</v>
      </c>
    </row>
    <row r="2164" spans="1:7" x14ac:dyDescent="0.2">
      <c r="A2164" s="16" t="s">
        <v>32</v>
      </c>
      <c r="B2164" s="17" t="s">
        <v>66</v>
      </c>
      <c r="C2164" s="17" t="s">
        <v>8</v>
      </c>
      <c r="D2164" s="17" t="s">
        <v>10</v>
      </c>
      <c r="E2164" s="17" t="s">
        <v>15</v>
      </c>
      <c r="F2164" s="17" t="str">
        <f>INDEX(nrg_cb_e!$A$3:$A$40,MATCH(LEFT(MID('Industriesektor GWh'!$B2164,41,1000),SEARCH(" - ",MID('Industriesektor GWh'!$B2164,41,1000))-1),nrg_cb_e!$C$3:$C$40,0))</f>
        <v>FC_IND_TE_E</v>
      </c>
      <c r="G2164" s="18">
        <v>191</v>
      </c>
    </row>
    <row r="2165" spans="1:7" x14ac:dyDescent="0.2">
      <c r="A2165" s="19" t="s">
        <v>32</v>
      </c>
      <c r="B2165" s="20" t="s">
        <v>66</v>
      </c>
      <c r="C2165" s="20" t="s">
        <v>8</v>
      </c>
      <c r="D2165" s="20" t="s">
        <v>10</v>
      </c>
      <c r="E2165" s="20" t="s">
        <v>16</v>
      </c>
      <c r="F2165" s="20" t="str">
        <f>INDEX(nrg_cb_e!$A$3:$A$40,MATCH(LEFT(MID('Industriesektor GWh'!$B2165,41,1000),SEARCH(" - ",MID('Industriesektor GWh'!$B2165,41,1000))-1),nrg_cb_e!$C$3:$C$40,0))</f>
        <v>FC_IND_TE_E</v>
      </c>
      <c r="G2165" s="21">
        <v>221</v>
      </c>
    </row>
    <row r="2166" spans="1:7" x14ac:dyDescent="0.2">
      <c r="A2166" s="16" t="s">
        <v>32</v>
      </c>
      <c r="B2166" s="17" t="s">
        <v>66</v>
      </c>
      <c r="C2166" s="17" t="s">
        <v>8</v>
      </c>
      <c r="D2166" s="17" t="s">
        <v>10</v>
      </c>
      <c r="E2166" s="17" t="s">
        <v>17</v>
      </c>
      <c r="F2166" s="17" t="str">
        <f>INDEX(nrg_cb_e!$A$3:$A$40,MATCH(LEFT(MID('Industriesektor GWh'!$B2166,41,1000),SEARCH(" - ",MID('Industriesektor GWh'!$B2166,41,1000))-1),nrg_cb_e!$C$3:$C$40,0))</f>
        <v>FC_IND_TE_E</v>
      </c>
      <c r="G2166" s="18">
        <v>256</v>
      </c>
    </row>
    <row r="2167" spans="1:7" x14ac:dyDescent="0.2">
      <c r="A2167" s="19" t="s">
        <v>32</v>
      </c>
      <c r="B2167" s="20" t="s">
        <v>66</v>
      </c>
      <c r="C2167" s="20" t="s">
        <v>8</v>
      </c>
      <c r="D2167" s="20" t="s">
        <v>10</v>
      </c>
      <c r="E2167" s="20" t="s">
        <v>18</v>
      </c>
      <c r="F2167" s="20" t="str">
        <f>INDEX(nrg_cb_e!$A$3:$A$40,MATCH(LEFT(MID('Industriesektor GWh'!$B2167,41,1000),SEARCH(" - ",MID('Industriesektor GWh'!$B2167,41,1000))-1),nrg_cb_e!$C$3:$C$40,0))</f>
        <v>FC_IND_TE_E</v>
      </c>
      <c r="G2167" s="21">
        <v>227</v>
      </c>
    </row>
    <row r="2168" spans="1:7" x14ac:dyDescent="0.2">
      <c r="A2168" s="16" t="s">
        <v>32</v>
      </c>
      <c r="B2168" s="17" t="s">
        <v>66</v>
      </c>
      <c r="C2168" s="17" t="s">
        <v>8</v>
      </c>
      <c r="D2168" s="17" t="s">
        <v>10</v>
      </c>
      <c r="E2168" s="17" t="s">
        <v>19</v>
      </c>
      <c r="F2168" s="17" t="str">
        <f>INDEX(nrg_cb_e!$A$3:$A$40,MATCH(LEFT(MID('Industriesektor GWh'!$B2168,41,1000),SEARCH(" - ",MID('Industriesektor GWh'!$B2168,41,1000))-1),nrg_cb_e!$C$3:$C$40,0))</f>
        <v>FC_IND_TE_E</v>
      </c>
      <c r="G2168" s="18">
        <v>204</v>
      </c>
    </row>
    <row r="2169" spans="1:7" x14ac:dyDescent="0.2">
      <c r="A2169" s="19" t="s">
        <v>32</v>
      </c>
      <c r="B2169" s="20" t="s">
        <v>66</v>
      </c>
      <c r="C2169" s="20" t="s">
        <v>8</v>
      </c>
      <c r="D2169" s="20" t="s">
        <v>10</v>
      </c>
      <c r="E2169" s="20" t="s">
        <v>20</v>
      </c>
      <c r="F2169" s="20" t="str">
        <f>INDEX(nrg_cb_e!$A$3:$A$40,MATCH(LEFT(MID('Industriesektor GWh'!$B2169,41,1000),SEARCH(" - ",MID('Industriesektor GWh'!$B2169,41,1000))-1),nrg_cb_e!$C$3:$C$40,0))</f>
        <v>FC_IND_TE_E</v>
      </c>
      <c r="G2169" s="21">
        <v>204</v>
      </c>
    </row>
    <row r="2170" spans="1:7" x14ac:dyDescent="0.2">
      <c r="A2170" s="16" t="s">
        <v>32</v>
      </c>
      <c r="B2170" s="17" t="s">
        <v>66</v>
      </c>
      <c r="C2170" s="17" t="s">
        <v>8</v>
      </c>
      <c r="D2170" s="17" t="s">
        <v>10</v>
      </c>
      <c r="E2170" s="17" t="s">
        <v>21</v>
      </c>
      <c r="F2170" s="17" t="str">
        <f>INDEX(nrg_cb_e!$A$3:$A$40,MATCH(LEFT(MID('Industriesektor GWh'!$B2170,41,1000),SEARCH(" - ",MID('Industriesektor GWh'!$B2170,41,1000))-1),nrg_cb_e!$C$3:$C$40,0))</f>
        <v>FC_IND_TE_E</v>
      </c>
      <c r="G2170" s="18">
        <v>167</v>
      </c>
    </row>
    <row r="2171" spans="1:7" x14ac:dyDescent="0.2">
      <c r="A2171" s="19" t="s">
        <v>32</v>
      </c>
      <c r="B2171" s="20" t="s">
        <v>66</v>
      </c>
      <c r="C2171" s="20" t="s">
        <v>8</v>
      </c>
      <c r="D2171" s="20" t="s">
        <v>10</v>
      </c>
      <c r="E2171" s="20" t="s">
        <v>22</v>
      </c>
      <c r="F2171" s="20" t="str">
        <f>INDEX(nrg_cb_e!$A$3:$A$40,MATCH(LEFT(MID('Industriesektor GWh'!$B2171,41,1000),SEARCH(" - ",MID('Industriesektor GWh'!$B2171,41,1000))-1),nrg_cb_e!$C$3:$C$40,0))</f>
        <v>FC_IND_TE_E</v>
      </c>
      <c r="G2171" s="21">
        <v>97</v>
      </c>
    </row>
    <row r="2172" spans="1:7" x14ac:dyDescent="0.2">
      <c r="A2172" s="16" t="s">
        <v>32</v>
      </c>
      <c r="B2172" s="17" t="s">
        <v>66</v>
      </c>
      <c r="C2172" s="17" t="s">
        <v>8</v>
      </c>
      <c r="D2172" s="17" t="s">
        <v>10</v>
      </c>
      <c r="E2172" s="17" t="s">
        <v>23</v>
      </c>
      <c r="F2172" s="17" t="str">
        <f>INDEX(nrg_cb_e!$A$3:$A$40,MATCH(LEFT(MID('Industriesektor GWh'!$B2172,41,1000),SEARCH(" - ",MID('Industriesektor GWh'!$B2172,41,1000))-1),nrg_cb_e!$C$3:$C$40,0))</f>
        <v>FC_IND_TE_E</v>
      </c>
      <c r="G2172" s="18">
        <v>138</v>
      </c>
    </row>
    <row r="2173" spans="1:7" x14ac:dyDescent="0.2">
      <c r="A2173" s="19" t="s">
        <v>32</v>
      </c>
      <c r="B2173" s="20" t="s">
        <v>66</v>
      </c>
      <c r="C2173" s="20" t="s">
        <v>8</v>
      </c>
      <c r="D2173" s="20" t="s">
        <v>10</v>
      </c>
      <c r="E2173" s="20" t="s">
        <v>24</v>
      </c>
      <c r="F2173" s="20" t="str">
        <f>INDEX(nrg_cb_e!$A$3:$A$40,MATCH(LEFT(MID('Industriesektor GWh'!$B2173,41,1000),SEARCH(" - ",MID('Industriesektor GWh'!$B2173,41,1000))-1),nrg_cb_e!$C$3:$C$40,0))</f>
        <v>FC_IND_TE_E</v>
      </c>
      <c r="G2173" s="21">
        <v>90</v>
      </c>
    </row>
    <row r="2174" spans="1:7" x14ac:dyDescent="0.2">
      <c r="A2174" s="16" t="s">
        <v>32</v>
      </c>
      <c r="B2174" s="17" t="s">
        <v>66</v>
      </c>
      <c r="C2174" s="17" t="s">
        <v>8</v>
      </c>
      <c r="D2174" s="17" t="s">
        <v>10</v>
      </c>
      <c r="E2174" s="17" t="s">
        <v>25</v>
      </c>
      <c r="F2174" s="17" t="str">
        <f>INDEX(nrg_cb_e!$A$3:$A$40,MATCH(LEFT(MID('Industriesektor GWh'!$B2174,41,1000),SEARCH(" - ",MID('Industriesektor GWh'!$B2174,41,1000))-1),nrg_cb_e!$C$3:$C$40,0))</f>
        <v>FC_IND_TE_E</v>
      </c>
      <c r="G2174" s="18">
        <v>89.619</v>
      </c>
    </row>
    <row r="2175" spans="1:7" x14ac:dyDescent="0.2">
      <c r="A2175" s="19" t="s">
        <v>32</v>
      </c>
      <c r="B2175" s="20" t="s">
        <v>66</v>
      </c>
      <c r="C2175" s="20" t="s">
        <v>8</v>
      </c>
      <c r="D2175" s="20" t="s">
        <v>10</v>
      </c>
      <c r="E2175" s="20" t="s">
        <v>26</v>
      </c>
      <c r="F2175" s="20" t="str">
        <f>INDEX(nrg_cb_e!$A$3:$A$40,MATCH(LEFT(MID('Industriesektor GWh'!$B2175,41,1000),SEARCH(" - ",MID('Industriesektor GWh'!$B2175,41,1000))-1),nrg_cb_e!$C$3:$C$40,0))</f>
        <v>FC_IND_TE_E</v>
      </c>
      <c r="G2175" s="21">
        <v>87.022000000000006</v>
      </c>
    </row>
    <row r="2176" spans="1:7" x14ac:dyDescent="0.2">
      <c r="A2176" s="16" t="s">
        <v>32</v>
      </c>
      <c r="B2176" s="17" t="s">
        <v>66</v>
      </c>
      <c r="C2176" s="17" t="s">
        <v>8</v>
      </c>
      <c r="D2176" s="17" t="s">
        <v>10</v>
      </c>
      <c r="E2176" s="17" t="s">
        <v>27</v>
      </c>
      <c r="F2176" s="17" t="str">
        <f>INDEX(nrg_cb_e!$A$3:$A$40,MATCH(LEFT(MID('Industriesektor GWh'!$B2176,41,1000),SEARCH(" - ",MID('Industriesektor GWh'!$B2176,41,1000))-1),nrg_cb_e!$C$3:$C$40,0))</f>
        <v>FC_IND_TE_E</v>
      </c>
      <c r="G2176" s="18">
        <v>88.356999999999999</v>
      </c>
    </row>
    <row r="2177" spans="1:7" x14ac:dyDescent="0.2">
      <c r="A2177" s="19" t="s">
        <v>32</v>
      </c>
      <c r="B2177" s="20" t="s">
        <v>66</v>
      </c>
      <c r="C2177" s="20" t="s">
        <v>8</v>
      </c>
      <c r="D2177" s="20" t="s">
        <v>10</v>
      </c>
      <c r="E2177" s="20" t="s">
        <v>28</v>
      </c>
      <c r="F2177" s="20" t="str">
        <f>INDEX(nrg_cb_e!$A$3:$A$40,MATCH(LEFT(MID('Industriesektor GWh'!$B2177,41,1000),SEARCH(" - ",MID('Industriesektor GWh'!$B2177,41,1000))-1),nrg_cb_e!$C$3:$C$40,0))</f>
        <v>FC_IND_TE_E</v>
      </c>
      <c r="G2177" s="21">
        <v>88.271000000000001</v>
      </c>
    </row>
    <row r="2178" spans="1:7" x14ac:dyDescent="0.2">
      <c r="A2178" s="16" t="s">
        <v>33</v>
      </c>
      <c r="B2178" s="17" t="s">
        <v>66</v>
      </c>
      <c r="C2178" s="17" t="s">
        <v>8</v>
      </c>
      <c r="D2178" s="17" t="s">
        <v>10</v>
      </c>
      <c r="E2178" s="17" t="s">
        <v>12</v>
      </c>
      <c r="F2178" s="17" t="str">
        <f>INDEX(nrg_cb_e!$A$3:$A$40,MATCH(LEFT(MID('Industriesektor GWh'!$B2178,41,1000),SEARCH(" - ",MID('Industriesektor GWh'!$B2178,41,1000))-1),nrg_cb_e!$C$3:$C$40,0))</f>
        <v>FC_IND_TE_E</v>
      </c>
      <c r="G2178" s="18">
        <v>19323</v>
      </c>
    </row>
    <row r="2179" spans="1:7" x14ac:dyDescent="0.2">
      <c r="A2179" s="19" t="s">
        <v>33</v>
      </c>
      <c r="B2179" s="20" t="s">
        <v>66</v>
      </c>
      <c r="C2179" s="20" t="s">
        <v>8</v>
      </c>
      <c r="D2179" s="20" t="s">
        <v>10</v>
      </c>
      <c r="E2179" s="20" t="s">
        <v>13</v>
      </c>
      <c r="F2179" s="20" t="str">
        <f>INDEX(nrg_cb_e!$A$3:$A$40,MATCH(LEFT(MID('Industriesektor GWh'!$B2179,41,1000),SEARCH(" - ",MID('Industriesektor GWh'!$B2179,41,1000))-1),nrg_cb_e!$C$3:$C$40,0))</f>
        <v>FC_IND_TE_E</v>
      </c>
      <c r="G2179" s="21">
        <v>18500</v>
      </c>
    </row>
    <row r="2180" spans="1:7" x14ac:dyDescent="0.2">
      <c r="A2180" s="16" t="s">
        <v>33</v>
      </c>
      <c r="B2180" s="17" t="s">
        <v>66</v>
      </c>
      <c r="C2180" s="17" t="s">
        <v>8</v>
      </c>
      <c r="D2180" s="17" t="s">
        <v>10</v>
      </c>
      <c r="E2180" s="17" t="s">
        <v>14</v>
      </c>
      <c r="F2180" s="17" t="str">
        <f>INDEX(nrg_cb_e!$A$3:$A$40,MATCH(LEFT(MID('Industriesektor GWh'!$B2180,41,1000),SEARCH(" - ",MID('Industriesektor GWh'!$B2180,41,1000))-1),nrg_cb_e!$C$3:$C$40,0))</f>
        <v>FC_IND_TE_E</v>
      </c>
      <c r="G2180" s="18">
        <v>19299</v>
      </c>
    </row>
    <row r="2181" spans="1:7" x14ac:dyDescent="0.2">
      <c r="A2181" s="19" t="s">
        <v>33</v>
      </c>
      <c r="B2181" s="20" t="s">
        <v>66</v>
      </c>
      <c r="C2181" s="20" t="s">
        <v>8</v>
      </c>
      <c r="D2181" s="20" t="s">
        <v>10</v>
      </c>
      <c r="E2181" s="20" t="s">
        <v>15</v>
      </c>
      <c r="F2181" s="20" t="str">
        <f>INDEX(nrg_cb_e!$A$3:$A$40,MATCH(LEFT(MID('Industriesektor GWh'!$B2181,41,1000),SEARCH(" - ",MID('Industriesektor GWh'!$B2181,41,1000))-1),nrg_cb_e!$C$3:$C$40,0))</f>
        <v>FC_IND_TE_E</v>
      </c>
      <c r="G2181" s="21">
        <v>19676</v>
      </c>
    </row>
    <row r="2182" spans="1:7" x14ac:dyDescent="0.2">
      <c r="A2182" s="16" t="s">
        <v>33</v>
      </c>
      <c r="B2182" s="17" t="s">
        <v>66</v>
      </c>
      <c r="C2182" s="17" t="s">
        <v>8</v>
      </c>
      <c r="D2182" s="17" t="s">
        <v>10</v>
      </c>
      <c r="E2182" s="17" t="s">
        <v>16</v>
      </c>
      <c r="F2182" s="17" t="str">
        <f>INDEX(nrg_cb_e!$A$3:$A$40,MATCH(LEFT(MID('Industriesektor GWh'!$B2182,41,1000),SEARCH(" - ",MID('Industriesektor GWh'!$B2182,41,1000))-1),nrg_cb_e!$C$3:$C$40,0))</f>
        <v>FC_IND_TE_E</v>
      </c>
      <c r="G2182" s="18">
        <v>19249</v>
      </c>
    </row>
    <row r="2183" spans="1:7" x14ac:dyDescent="0.2">
      <c r="A2183" s="19" t="s">
        <v>33</v>
      </c>
      <c r="B2183" s="20" t="s">
        <v>66</v>
      </c>
      <c r="C2183" s="20" t="s">
        <v>8</v>
      </c>
      <c r="D2183" s="20" t="s">
        <v>10</v>
      </c>
      <c r="E2183" s="20" t="s">
        <v>17</v>
      </c>
      <c r="F2183" s="20" t="str">
        <f>INDEX(nrg_cb_e!$A$3:$A$40,MATCH(LEFT(MID('Industriesektor GWh'!$B2183,41,1000),SEARCH(" - ",MID('Industriesektor GWh'!$B2183,41,1000))-1),nrg_cb_e!$C$3:$C$40,0))</f>
        <v>FC_IND_TE_E</v>
      </c>
      <c r="G2183" s="21">
        <v>19666</v>
      </c>
    </row>
    <row r="2184" spans="1:7" x14ac:dyDescent="0.2">
      <c r="A2184" s="16" t="s">
        <v>33</v>
      </c>
      <c r="B2184" s="17" t="s">
        <v>66</v>
      </c>
      <c r="C2184" s="17" t="s">
        <v>8</v>
      </c>
      <c r="D2184" s="17" t="s">
        <v>10</v>
      </c>
      <c r="E2184" s="17" t="s">
        <v>18</v>
      </c>
      <c r="F2184" s="17" t="str">
        <f>INDEX(nrg_cb_e!$A$3:$A$40,MATCH(LEFT(MID('Industriesektor GWh'!$B2184,41,1000),SEARCH(" - ",MID('Industriesektor GWh'!$B2184,41,1000))-1),nrg_cb_e!$C$3:$C$40,0))</f>
        <v>FC_IND_TE_E</v>
      </c>
      <c r="G2184" s="18">
        <v>18532</v>
      </c>
    </row>
    <row r="2185" spans="1:7" x14ac:dyDescent="0.2">
      <c r="A2185" s="19" t="s">
        <v>33</v>
      </c>
      <c r="B2185" s="20" t="s">
        <v>66</v>
      </c>
      <c r="C2185" s="20" t="s">
        <v>8</v>
      </c>
      <c r="D2185" s="20" t="s">
        <v>10</v>
      </c>
      <c r="E2185" s="20" t="s">
        <v>19</v>
      </c>
      <c r="F2185" s="20" t="str">
        <f>INDEX(nrg_cb_e!$A$3:$A$40,MATCH(LEFT(MID('Industriesektor GWh'!$B2185,41,1000),SEARCH(" - ",MID('Industriesektor GWh'!$B2185,41,1000))-1),nrg_cb_e!$C$3:$C$40,0))</f>
        <v>FC_IND_TE_E</v>
      </c>
      <c r="G2185" s="21">
        <v>15844</v>
      </c>
    </row>
    <row r="2186" spans="1:7" x14ac:dyDescent="0.2">
      <c r="A2186" s="16" t="s">
        <v>33</v>
      </c>
      <c r="B2186" s="17" t="s">
        <v>66</v>
      </c>
      <c r="C2186" s="17" t="s">
        <v>8</v>
      </c>
      <c r="D2186" s="17" t="s">
        <v>10</v>
      </c>
      <c r="E2186" s="17" t="s">
        <v>20</v>
      </c>
      <c r="F2186" s="17" t="str">
        <f>INDEX(nrg_cb_e!$A$3:$A$40,MATCH(LEFT(MID('Industriesektor GWh'!$B2186,41,1000),SEARCH(" - ",MID('Industriesektor GWh'!$B2186,41,1000))-1),nrg_cb_e!$C$3:$C$40,0))</f>
        <v>FC_IND_TE_E</v>
      </c>
      <c r="G2186" s="18">
        <v>17838</v>
      </c>
    </row>
    <row r="2187" spans="1:7" x14ac:dyDescent="0.2">
      <c r="A2187" s="19" t="s">
        <v>33</v>
      </c>
      <c r="B2187" s="20" t="s">
        <v>66</v>
      </c>
      <c r="C2187" s="20" t="s">
        <v>8</v>
      </c>
      <c r="D2187" s="20" t="s">
        <v>10</v>
      </c>
      <c r="E2187" s="20" t="s">
        <v>21</v>
      </c>
      <c r="F2187" s="20" t="str">
        <f>INDEX(nrg_cb_e!$A$3:$A$40,MATCH(LEFT(MID('Industriesektor GWh'!$B2187,41,1000),SEARCH(" - ",MID('Industriesektor GWh'!$B2187,41,1000))-1),nrg_cb_e!$C$3:$C$40,0))</f>
        <v>FC_IND_TE_E</v>
      </c>
      <c r="G2187" s="21">
        <v>18179</v>
      </c>
    </row>
    <row r="2188" spans="1:7" x14ac:dyDescent="0.2">
      <c r="A2188" s="16" t="s">
        <v>33</v>
      </c>
      <c r="B2188" s="17" t="s">
        <v>66</v>
      </c>
      <c r="C2188" s="17" t="s">
        <v>8</v>
      </c>
      <c r="D2188" s="17" t="s">
        <v>10</v>
      </c>
      <c r="E2188" s="17" t="s">
        <v>22</v>
      </c>
      <c r="F2188" s="17" t="str">
        <f>INDEX(nrg_cb_e!$A$3:$A$40,MATCH(LEFT(MID('Industriesektor GWh'!$B2188,41,1000),SEARCH(" - ",MID('Industriesektor GWh'!$B2188,41,1000))-1),nrg_cb_e!$C$3:$C$40,0))</f>
        <v>FC_IND_TE_E</v>
      </c>
      <c r="G2188" s="18">
        <v>17940</v>
      </c>
    </row>
    <row r="2189" spans="1:7" x14ac:dyDescent="0.2">
      <c r="A2189" s="19" t="s">
        <v>33</v>
      </c>
      <c r="B2189" s="20" t="s">
        <v>66</v>
      </c>
      <c r="C2189" s="20" t="s">
        <v>8</v>
      </c>
      <c r="D2189" s="20" t="s">
        <v>10</v>
      </c>
      <c r="E2189" s="20" t="s">
        <v>23</v>
      </c>
      <c r="F2189" s="20" t="str">
        <f>INDEX(nrg_cb_e!$A$3:$A$40,MATCH(LEFT(MID('Industriesektor GWh'!$B2189,41,1000),SEARCH(" - ",MID('Industriesektor GWh'!$B2189,41,1000))-1),nrg_cb_e!$C$3:$C$40,0))</f>
        <v>FC_IND_TE_E</v>
      </c>
      <c r="G2189" s="21">
        <v>18320</v>
      </c>
    </row>
    <row r="2190" spans="1:7" x14ac:dyDescent="0.2">
      <c r="A2190" s="16" t="s">
        <v>33</v>
      </c>
      <c r="B2190" s="17" t="s">
        <v>66</v>
      </c>
      <c r="C2190" s="17" t="s">
        <v>8</v>
      </c>
      <c r="D2190" s="17" t="s">
        <v>10</v>
      </c>
      <c r="E2190" s="17" t="s">
        <v>24</v>
      </c>
      <c r="F2190" s="17" t="str">
        <f>INDEX(nrg_cb_e!$A$3:$A$40,MATCH(LEFT(MID('Industriesektor GWh'!$B2190,41,1000),SEARCH(" - ",MID('Industriesektor GWh'!$B2190,41,1000))-1),nrg_cb_e!$C$3:$C$40,0))</f>
        <v>FC_IND_TE_E</v>
      </c>
      <c r="G2190" s="18">
        <v>18536</v>
      </c>
    </row>
    <row r="2191" spans="1:7" x14ac:dyDescent="0.2">
      <c r="A2191" s="19" t="s">
        <v>33</v>
      </c>
      <c r="B2191" s="20" t="s">
        <v>66</v>
      </c>
      <c r="C2191" s="20" t="s">
        <v>8</v>
      </c>
      <c r="D2191" s="20" t="s">
        <v>10</v>
      </c>
      <c r="E2191" s="20" t="s">
        <v>25</v>
      </c>
      <c r="F2191" s="20" t="str">
        <f>INDEX(nrg_cb_e!$A$3:$A$40,MATCH(LEFT(MID('Industriesektor GWh'!$B2191,41,1000),SEARCH(" - ",MID('Industriesektor GWh'!$B2191,41,1000))-1),nrg_cb_e!$C$3:$C$40,0))</f>
        <v>FC_IND_TE_E</v>
      </c>
      <c r="G2191" s="21">
        <v>18515</v>
      </c>
    </row>
    <row r="2192" spans="1:7" x14ac:dyDescent="0.2">
      <c r="A2192" s="16" t="s">
        <v>33</v>
      </c>
      <c r="B2192" s="17" t="s">
        <v>66</v>
      </c>
      <c r="C2192" s="17" t="s">
        <v>8</v>
      </c>
      <c r="D2192" s="17" t="s">
        <v>10</v>
      </c>
      <c r="E2192" s="17" t="s">
        <v>26</v>
      </c>
      <c r="F2192" s="17" t="str">
        <f>INDEX(nrg_cb_e!$A$3:$A$40,MATCH(LEFT(MID('Industriesektor GWh'!$B2192,41,1000),SEARCH(" - ",MID('Industriesektor GWh'!$B2192,41,1000))-1),nrg_cb_e!$C$3:$C$40,0))</f>
        <v>FC_IND_TE_E</v>
      </c>
      <c r="G2192" s="18">
        <v>18020</v>
      </c>
    </row>
    <row r="2193" spans="1:7" x14ac:dyDescent="0.2">
      <c r="A2193" s="19" t="s">
        <v>33</v>
      </c>
      <c r="B2193" s="20" t="s">
        <v>66</v>
      </c>
      <c r="C2193" s="20" t="s">
        <v>8</v>
      </c>
      <c r="D2193" s="20" t="s">
        <v>10</v>
      </c>
      <c r="E2193" s="20" t="s">
        <v>27</v>
      </c>
      <c r="F2193" s="20" t="str">
        <f>INDEX(nrg_cb_e!$A$3:$A$40,MATCH(LEFT(MID('Industriesektor GWh'!$B2193,41,1000),SEARCH(" - ",MID('Industriesektor GWh'!$B2193,41,1000))-1),nrg_cb_e!$C$3:$C$40,0))</f>
        <v>FC_IND_TE_E</v>
      </c>
      <c r="G2193" s="21">
        <v>17781</v>
      </c>
    </row>
    <row r="2194" spans="1:7" x14ac:dyDescent="0.2">
      <c r="A2194" s="16" t="s">
        <v>33</v>
      </c>
      <c r="B2194" s="17" t="s">
        <v>66</v>
      </c>
      <c r="C2194" s="17" t="s">
        <v>8</v>
      </c>
      <c r="D2194" s="17" t="s">
        <v>10</v>
      </c>
      <c r="E2194" s="17" t="s">
        <v>28</v>
      </c>
      <c r="F2194" s="17" t="str">
        <f>INDEX(nrg_cb_e!$A$3:$A$40,MATCH(LEFT(MID('Industriesektor GWh'!$B2194,41,1000),SEARCH(" - ",MID('Industriesektor GWh'!$B2194,41,1000))-1),nrg_cb_e!$C$3:$C$40,0))</f>
        <v>FC_IND_TE_E</v>
      </c>
      <c r="G2194" s="18">
        <v>17747</v>
      </c>
    </row>
    <row r="2195" spans="1:7" x14ac:dyDescent="0.2">
      <c r="A2195" s="19" t="s">
        <v>34</v>
      </c>
      <c r="B2195" s="20" t="s">
        <v>66</v>
      </c>
      <c r="C2195" s="20" t="s">
        <v>8</v>
      </c>
      <c r="D2195" s="20" t="s">
        <v>10</v>
      </c>
      <c r="E2195" s="20" t="s">
        <v>12</v>
      </c>
      <c r="F2195" s="20" t="str">
        <f>INDEX(nrg_cb_e!$A$3:$A$40,MATCH(LEFT(MID('Industriesektor GWh'!$B2195,41,1000),SEARCH(" - ",MID('Industriesektor GWh'!$B2195,41,1000))-1),nrg_cb_e!$C$3:$C$40,0))</f>
        <v>FC_IND_TE_E</v>
      </c>
      <c r="G2195" s="21">
        <v>39</v>
      </c>
    </row>
    <row r="2196" spans="1:7" x14ac:dyDescent="0.2">
      <c r="A2196" s="16" t="s">
        <v>34</v>
      </c>
      <c r="B2196" s="17" t="s">
        <v>66</v>
      </c>
      <c r="C2196" s="17" t="s">
        <v>8</v>
      </c>
      <c r="D2196" s="17" t="s">
        <v>10</v>
      </c>
      <c r="E2196" s="17" t="s">
        <v>13</v>
      </c>
      <c r="F2196" s="17" t="str">
        <f>INDEX(nrg_cb_e!$A$3:$A$40,MATCH(LEFT(MID('Industriesektor GWh'!$B2196,41,1000),SEARCH(" - ",MID('Industriesektor GWh'!$B2196,41,1000))-1),nrg_cb_e!$C$3:$C$40,0))</f>
        <v>FC_IND_TE_E</v>
      </c>
      <c r="G2196" s="18">
        <v>42</v>
      </c>
    </row>
    <row r="2197" spans="1:7" x14ac:dyDescent="0.2">
      <c r="A2197" s="19" t="s">
        <v>34</v>
      </c>
      <c r="B2197" s="20" t="s">
        <v>66</v>
      </c>
      <c r="C2197" s="20" t="s">
        <v>8</v>
      </c>
      <c r="D2197" s="20" t="s">
        <v>10</v>
      </c>
      <c r="E2197" s="20" t="s">
        <v>14</v>
      </c>
      <c r="F2197" s="20" t="str">
        <f>INDEX(nrg_cb_e!$A$3:$A$40,MATCH(LEFT(MID('Industriesektor GWh'!$B2197,41,1000),SEARCH(" - ",MID('Industriesektor GWh'!$B2197,41,1000))-1),nrg_cb_e!$C$3:$C$40,0))</f>
        <v>FC_IND_TE_E</v>
      </c>
      <c r="G2197" s="21">
        <v>46</v>
      </c>
    </row>
    <row r="2198" spans="1:7" x14ac:dyDescent="0.2">
      <c r="A2198" s="16" t="s">
        <v>34</v>
      </c>
      <c r="B2198" s="17" t="s">
        <v>66</v>
      </c>
      <c r="C2198" s="17" t="s">
        <v>8</v>
      </c>
      <c r="D2198" s="17" t="s">
        <v>10</v>
      </c>
      <c r="E2198" s="17" t="s">
        <v>15</v>
      </c>
      <c r="F2198" s="17" t="str">
        <f>INDEX(nrg_cb_e!$A$3:$A$40,MATCH(LEFT(MID('Industriesektor GWh'!$B2198,41,1000),SEARCH(" - ",MID('Industriesektor GWh'!$B2198,41,1000))-1),nrg_cb_e!$C$3:$C$40,0))</f>
        <v>FC_IND_TE_E</v>
      </c>
      <c r="G2198" s="18">
        <v>47</v>
      </c>
    </row>
    <row r="2199" spans="1:7" x14ac:dyDescent="0.2">
      <c r="A2199" s="19" t="s">
        <v>34</v>
      </c>
      <c r="B2199" s="20" t="s">
        <v>66</v>
      </c>
      <c r="C2199" s="20" t="s">
        <v>8</v>
      </c>
      <c r="D2199" s="20" t="s">
        <v>10</v>
      </c>
      <c r="E2199" s="20" t="s">
        <v>16</v>
      </c>
      <c r="F2199" s="20" t="str">
        <f>INDEX(nrg_cb_e!$A$3:$A$40,MATCH(LEFT(MID('Industriesektor GWh'!$B2199,41,1000),SEARCH(" - ",MID('Industriesektor GWh'!$B2199,41,1000))-1),nrg_cb_e!$C$3:$C$40,0))</f>
        <v>FC_IND_TE_E</v>
      </c>
      <c r="G2199" s="21">
        <v>55</v>
      </c>
    </row>
    <row r="2200" spans="1:7" x14ac:dyDescent="0.2">
      <c r="A2200" s="16" t="s">
        <v>34</v>
      </c>
      <c r="B2200" s="17" t="s">
        <v>66</v>
      </c>
      <c r="C2200" s="17" t="s">
        <v>8</v>
      </c>
      <c r="D2200" s="17" t="s">
        <v>10</v>
      </c>
      <c r="E2200" s="17" t="s">
        <v>17</v>
      </c>
      <c r="F2200" s="17" t="str">
        <f>INDEX(nrg_cb_e!$A$3:$A$40,MATCH(LEFT(MID('Industriesektor GWh'!$B2200,41,1000),SEARCH(" - ",MID('Industriesektor GWh'!$B2200,41,1000))-1),nrg_cb_e!$C$3:$C$40,0))</f>
        <v>FC_IND_TE_E</v>
      </c>
      <c r="G2200" s="18">
        <v>54</v>
      </c>
    </row>
    <row r="2201" spans="1:7" x14ac:dyDescent="0.2">
      <c r="A2201" s="19" t="s">
        <v>34</v>
      </c>
      <c r="B2201" s="20" t="s">
        <v>66</v>
      </c>
      <c r="C2201" s="20" t="s">
        <v>8</v>
      </c>
      <c r="D2201" s="20" t="s">
        <v>10</v>
      </c>
      <c r="E2201" s="20" t="s">
        <v>18</v>
      </c>
      <c r="F2201" s="20" t="str">
        <f>INDEX(nrg_cb_e!$A$3:$A$40,MATCH(LEFT(MID('Industriesektor GWh'!$B2201,41,1000),SEARCH(" - ",MID('Industriesektor GWh'!$B2201,41,1000))-1),nrg_cb_e!$C$3:$C$40,0))</f>
        <v>FC_IND_TE_E</v>
      </c>
      <c r="G2201" s="21">
        <v>43</v>
      </c>
    </row>
    <row r="2202" spans="1:7" x14ac:dyDescent="0.2">
      <c r="A2202" s="16" t="s">
        <v>34</v>
      </c>
      <c r="B2202" s="17" t="s">
        <v>66</v>
      </c>
      <c r="C2202" s="17" t="s">
        <v>8</v>
      </c>
      <c r="D2202" s="17" t="s">
        <v>10</v>
      </c>
      <c r="E2202" s="17" t="s">
        <v>19</v>
      </c>
      <c r="F2202" s="17" t="str">
        <f>INDEX(nrg_cb_e!$A$3:$A$40,MATCH(LEFT(MID('Industriesektor GWh'!$B2202,41,1000),SEARCH(" - ",MID('Industriesektor GWh'!$B2202,41,1000))-1),nrg_cb_e!$C$3:$C$40,0))</f>
        <v>FC_IND_TE_E</v>
      </c>
      <c r="G2202" s="18">
        <v>38</v>
      </c>
    </row>
    <row r="2203" spans="1:7" x14ac:dyDescent="0.2">
      <c r="A2203" s="19" t="s">
        <v>34</v>
      </c>
      <c r="B2203" s="20" t="s">
        <v>66</v>
      </c>
      <c r="C2203" s="20" t="s">
        <v>8</v>
      </c>
      <c r="D2203" s="20" t="s">
        <v>10</v>
      </c>
      <c r="E2203" s="20" t="s">
        <v>20</v>
      </c>
      <c r="F2203" s="20" t="str">
        <f>INDEX(nrg_cb_e!$A$3:$A$40,MATCH(LEFT(MID('Industriesektor GWh'!$B2203,41,1000),SEARCH(" - ",MID('Industriesektor GWh'!$B2203,41,1000))-1),nrg_cb_e!$C$3:$C$40,0))</f>
        <v>FC_IND_TE_E</v>
      </c>
      <c r="G2203" s="21">
        <v>40</v>
      </c>
    </row>
    <row r="2204" spans="1:7" x14ac:dyDescent="0.2">
      <c r="A2204" s="16" t="s">
        <v>34</v>
      </c>
      <c r="B2204" s="17" t="s">
        <v>66</v>
      </c>
      <c r="C2204" s="17" t="s">
        <v>8</v>
      </c>
      <c r="D2204" s="17" t="s">
        <v>10</v>
      </c>
      <c r="E2204" s="17" t="s">
        <v>21</v>
      </c>
      <c r="F2204" s="17" t="str">
        <f>INDEX(nrg_cb_e!$A$3:$A$40,MATCH(LEFT(MID('Industriesektor GWh'!$B2204,41,1000),SEARCH(" - ",MID('Industriesektor GWh'!$B2204,41,1000))-1),nrg_cb_e!$C$3:$C$40,0))</f>
        <v>FC_IND_TE_E</v>
      </c>
      <c r="G2204" s="18">
        <v>44</v>
      </c>
    </row>
    <row r="2205" spans="1:7" x14ac:dyDescent="0.2">
      <c r="A2205" s="19" t="s">
        <v>34</v>
      </c>
      <c r="B2205" s="20" t="s">
        <v>66</v>
      </c>
      <c r="C2205" s="20" t="s">
        <v>8</v>
      </c>
      <c r="D2205" s="20" t="s">
        <v>10</v>
      </c>
      <c r="E2205" s="20" t="s">
        <v>22</v>
      </c>
      <c r="F2205" s="20" t="str">
        <f>INDEX(nrg_cb_e!$A$3:$A$40,MATCH(LEFT(MID('Industriesektor GWh'!$B2205,41,1000),SEARCH(" - ",MID('Industriesektor GWh'!$B2205,41,1000))-1),nrg_cb_e!$C$3:$C$40,0))</f>
        <v>FC_IND_TE_E</v>
      </c>
      <c r="G2205" s="21">
        <v>61</v>
      </c>
    </row>
    <row r="2206" spans="1:7" x14ac:dyDescent="0.2">
      <c r="A2206" s="16" t="s">
        <v>34</v>
      </c>
      <c r="B2206" s="17" t="s">
        <v>66</v>
      </c>
      <c r="C2206" s="17" t="s">
        <v>8</v>
      </c>
      <c r="D2206" s="17" t="s">
        <v>10</v>
      </c>
      <c r="E2206" s="17" t="s">
        <v>23</v>
      </c>
      <c r="F2206" s="17" t="str">
        <f>INDEX(nrg_cb_e!$A$3:$A$40,MATCH(LEFT(MID('Industriesektor GWh'!$B2206,41,1000),SEARCH(" - ",MID('Industriesektor GWh'!$B2206,41,1000))-1),nrg_cb_e!$C$3:$C$40,0))</f>
        <v>FC_IND_TE_E</v>
      </c>
      <c r="G2206" s="18">
        <v>70</v>
      </c>
    </row>
    <row r="2207" spans="1:7" x14ac:dyDescent="0.2">
      <c r="A2207" s="19" t="s">
        <v>34</v>
      </c>
      <c r="B2207" s="20" t="s">
        <v>66</v>
      </c>
      <c r="C2207" s="20" t="s">
        <v>8</v>
      </c>
      <c r="D2207" s="20" t="s">
        <v>10</v>
      </c>
      <c r="E2207" s="20" t="s">
        <v>24</v>
      </c>
      <c r="F2207" s="20" t="str">
        <f>INDEX(nrg_cb_e!$A$3:$A$40,MATCH(LEFT(MID('Industriesektor GWh'!$B2207,41,1000),SEARCH(" - ",MID('Industriesektor GWh'!$B2207,41,1000))-1),nrg_cb_e!$C$3:$C$40,0))</f>
        <v>FC_IND_TE_E</v>
      </c>
      <c r="G2207" s="21">
        <v>61</v>
      </c>
    </row>
    <row r="2208" spans="1:7" x14ac:dyDescent="0.2">
      <c r="A2208" s="16" t="s">
        <v>34</v>
      </c>
      <c r="B2208" s="17" t="s">
        <v>66</v>
      </c>
      <c r="C2208" s="17" t="s">
        <v>8</v>
      </c>
      <c r="D2208" s="17" t="s">
        <v>10</v>
      </c>
      <c r="E2208" s="17" t="s">
        <v>25</v>
      </c>
      <c r="F2208" s="17" t="str">
        <f>INDEX(nrg_cb_e!$A$3:$A$40,MATCH(LEFT(MID('Industriesektor GWh'!$B2208,41,1000),SEARCH(" - ",MID('Industriesektor GWh'!$B2208,41,1000))-1),nrg_cb_e!$C$3:$C$40,0))</f>
        <v>FC_IND_TE_E</v>
      </c>
      <c r="G2208" s="18">
        <v>65</v>
      </c>
    </row>
    <row r="2209" spans="1:7" x14ac:dyDescent="0.2">
      <c r="A2209" s="19" t="s">
        <v>34</v>
      </c>
      <c r="B2209" s="20" t="s">
        <v>66</v>
      </c>
      <c r="C2209" s="20" t="s">
        <v>8</v>
      </c>
      <c r="D2209" s="20" t="s">
        <v>10</v>
      </c>
      <c r="E2209" s="20" t="s">
        <v>26</v>
      </c>
      <c r="F2209" s="20" t="str">
        <f>INDEX(nrg_cb_e!$A$3:$A$40,MATCH(LEFT(MID('Industriesektor GWh'!$B2209,41,1000),SEARCH(" - ",MID('Industriesektor GWh'!$B2209,41,1000))-1),nrg_cb_e!$C$3:$C$40,0))</f>
        <v>FC_IND_TE_E</v>
      </c>
      <c r="G2209" s="21">
        <v>67</v>
      </c>
    </row>
    <row r="2210" spans="1:7" x14ac:dyDescent="0.2">
      <c r="A2210" s="16" t="s">
        <v>34</v>
      </c>
      <c r="B2210" s="17" t="s">
        <v>66</v>
      </c>
      <c r="C2210" s="17" t="s">
        <v>8</v>
      </c>
      <c r="D2210" s="17" t="s">
        <v>10</v>
      </c>
      <c r="E2210" s="17" t="s">
        <v>27</v>
      </c>
      <c r="F2210" s="17" t="str">
        <f>INDEX(nrg_cb_e!$A$3:$A$40,MATCH(LEFT(MID('Industriesektor GWh'!$B2210,41,1000),SEARCH(" - ",MID('Industriesektor GWh'!$B2210,41,1000))-1),nrg_cb_e!$C$3:$C$40,0))</f>
        <v>FC_IND_TE_E</v>
      </c>
      <c r="G2210" s="18">
        <v>72</v>
      </c>
    </row>
    <row r="2211" spans="1:7" x14ac:dyDescent="0.2">
      <c r="A2211" s="19" t="s">
        <v>34</v>
      </c>
      <c r="B2211" s="20" t="s">
        <v>66</v>
      </c>
      <c r="C2211" s="20" t="s">
        <v>8</v>
      </c>
      <c r="D2211" s="20" t="s">
        <v>10</v>
      </c>
      <c r="E2211" s="20" t="s">
        <v>28</v>
      </c>
      <c r="F2211" s="20" t="str">
        <f>INDEX(nrg_cb_e!$A$3:$A$40,MATCH(LEFT(MID('Industriesektor GWh'!$B2211,41,1000),SEARCH(" - ",MID('Industriesektor GWh'!$B2211,41,1000))-1),nrg_cb_e!$C$3:$C$40,0))</f>
        <v>FC_IND_TE_E</v>
      </c>
      <c r="G2211" s="21">
        <v>82</v>
      </c>
    </row>
    <row r="2212" spans="1:7" x14ac:dyDescent="0.2">
      <c r="A2212" s="16" t="s">
        <v>35</v>
      </c>
      <c r="B2212" s="17" t="s">
        <v>66</v>
      </c>
      <c r="C2212" s="17" t="s">
        <v>8</v>
      </c>
      <c r="D2212" s="17" t="s">
        <v>10</v>
      </c>
      <c r="E2212" s="17" t="s">
        <v>12</v>
      </c>
      <c r="F2212" s="17" t="str">
        <f>INDEX(nrg_cb_e!$A$3:$A$40,MATCH(LEFT(MID('Industriesektor GWh'!$B2212,41,1000),SEARCH(" - ",MID('Industriesektor GWh'!$B2212,41,1000))-1),nrg_cb_e!$C$3:$C$40,0))</f>
        <v>FC_IND_TE_E</v>
      </c>
      <c r="G2212" s="18">
        <v>119.29300000000001</v>
      </c>
    </row>
    <row r="2213" spans="1:7" x14ac:dyDescent="0.2">
      <c r="A2213" s="19" t="s">
        <v>35</v>
      </c>
      <c r="B2213" s="20" t="s">
        <v>66</v>
      </c>
      <c r="C2213" s="20" t="s">
        <v>8</v>
      </c>
      <c r="D2213" s="20" t="s">
        <v>10</v>
      </c>
      <c r="E2213" s="20" t="s">
        <v>13</v>
      </c>
      <c r="F2213" s="20" t="str">
        <f>INDEX(nrg_cb_e!$A$3:$A$40,MATCH(LEFT(MID('Industriesektor GWh'!$B2213,41,1000),SEARCH(" - ",MID('Industriesektor GWh'!$B2213,41,1000))-1),nrg_cb_e!$C$3:$C$40,0))</f>
        <v>FC_IND_TE_E</v>
      </c>
      <c r="G2213" s="21">
        <v>111.07899999999999</v>
      </c>
    </row>
    <row r="2214" spans="1:7" x14ac:dyDescent="0.2">
      <c r="A2214" s="16" t="s">
        <v>35</v>
      </c>
      <c r="B2214" s="17" t="s">
        <v>66</v>
      </c>
      <c r="C2214" s="17" t="s">
        <v>8</v>
      </c>
      <c r="D2214" s="17" t="s">
        <v>10</v>
      </c>
      <c r="E2214" s="17" t="s">
        <v>14</v>
      </c>
      <c r="F2214" s="17" t="str">
        <f>INDEX(nrg_cb_e!$A$3:$A$40,MATCH(LEFT(MID('Industriesektor GWh'!$B2214,41,1000),SEARCH(" - ",MID('Industriesektor GWh'!$B2214,41,1000))-1),nrg_cb_e!$C$3:$C$40,0))</f>
        <v>FC_IND_TE_E</v>
      </c>
      <c r="G2214" s="18">
        <v>105.124</v>
      </c>
    </row>
    <row r="2215" spans="1:7" x14ac:dyDescent="0.2">
      <c r="A2215" s="19" t="s">
        <v>35</v>
      </c>
      <c r="B2215" s="20" t="s">
        <v>66</v>
      </c>
      <c r="C2215" s="20" t="s">
        <v>8</v>
      </c>
      <c r="D2215" s="20" t="s">
        <v>10</v>
      </c>
      <c r="E2215" s="20" t="s">
        <v>15</v>
      </c>
      <c r="F2215" s="20" t="str">
        <f>INDEX(nrg_cb_e!$A$3:$A$40,MATCH(LEFT(MID('Industriesektor GWh'!$B2215,41,1000),SEARCH(" - ",MID('Industriesektor GWh'!$B2215,41,1000))-1),nrg_cb_e!$C$3:$C$40,0))</f>
        <v>FC_IND_TE_E</v>
      </c>
      <c r="G2215" s="21">
        <v>117.15600000000001</v>
      </c>
    </row>
    <row r="2216" spans="1:7" x14ac:dyDescent="0.2">
      <c r="A2216" s="16" t="s">
        <v>35</v>
      </c>
      <c r="B2216" s="17" t="s">
        <v>66</v>
      </c>
      <c r="C2216" s="17" t="s">
        <v>8</v>
      </c>
      <c r="D2216" s="17" t="s">
        <v>10</v>
      </c>
      <c r="E2216" s="17" t="s">
        <v>16</v>
      </c>
      <c r="F2216" s="17" t="str">
        <f>INDEX(nrg_cb_e!$A$3:$A$40,MATCH(LEFT(MID('Industriesektor GWh'!$B2216,41,1000),SEARCH(" - ",MID('Industriesektor GWh'!$B2216,41,1000))-1),nrg_cb_e!$C$3:$C$40,0))</f>
        <v>FC_IND_TE_E</v>
      </c>
      <c r="G2216" s="18">
        <v>129.94300000000001</v>
      </c>
    </row>
    <row r="2217" spans="1:7" x14ac:dyDescent="0.2">
      <c r="A2217" s="19" t="s">
        <v>35</v>
      </c>
      <c r="B2217" s="20" t="s">
        <v>66</v>
      </c>
      <c r="C2217" s="20" t="s">
        <v>8</v>
      </c>
      <c r="D2217" s="20" t="s">
        <v>10</v>
      </c>
      <c r="E2217" s="20" t="s">
        <v>17</v>
      </c>
      <c r="F2217" s="20" t="str">
        <f>INDEX(nrg_cb_e!$A$3:$A$40,MATCH(LEFT(MID('Industriesektor GWh'!$B2217,41,1000),SEARCH(" - ",MID('Industriesektor GWh'!$B2217,41,1000))-1),nrg_cb_e!$C$3:$C$40,0))</f>
        <v>FC_IND_TE_E</v>
      </c>
      <c r="G2217" s="21">
        <v>70.545000000000002</v>
      </c>
    </row>
    <row r="2218" spans="1:7" x14ac:dyDescent="0.2">
      <c r="A2218" s="16" t="s">
        <v>35</v>
      </c>
      <c r="B2218" s="17" t="s">
        <v>66</v>
      </c>
      <c r="C2218" s="17" t="s">
        <v>8</v>
      </c>
      <c r="D2218" s="17" t="s">
        <v>10</v>
      </c>
      <c r="E2218" s="17" t="s">
        <v>18</v>
      </c>
      <c r="F2218" s="17" t="str">
        <f>INDEX(nrg_cb_e!$A$3:$A$40,MATCH(LEFT(MID('Industriesektor GWh'!$B2218,41,1000),SEARCH(" - ",MID('Industriesektor GWh'!$B2218,41,1000))-1),nrg_cb_e!$C$3:$C$40,0))</f>
        <v>FC_IND_TE_E</v>
      </c>
      <c r="G2218" s="18">
        <v>93.915999999999997</v>
      </c>
    </row>
    <row r="2219" spans="1:7" x14ac:dyDescent="0.2">
      <c r="A2219" s="19" t="s">
        <v>35</v>
      </c>
      <c r="B2219" s="20" t="s">
        <v>66</v>
      </c>
      <c r="C2219" s="20" t="s">
        <v>8</v>
      </c>
      <c r="D2219" s="20" t="s">
        <v>10</v>
      </c>
      <c r="E2219" s="20" t="s">
        <v>19</v>
      </c>
      <c r="F2219" s="20" t="str">
        <f>INDEX(nrg_cb_e!$A$3:$A$40,MATCH(LEFT(MID('Industriesektor GWh'!$B2219,41,1000),SEARCH(" - ",MID('Industriesektor GWh'!$B2219,41,1000))-1),nrg_cb_e!$C$3:$C$40,0))</f>
        <v>FC_IND_TE_E</v>
      </c>
      <c r="G2219" s="21">
        <v>102.733</v>
      </c>
    </row>
    <row r="2220" spans="1:7" x14ac:dyDescent="0.2">
      <c r="A2220" s="16" t="s">
        <v>35</v>
      </c>
      <c r="B2220" s="17" t="s">
        <v>66</v>
      </c>
      <c r="C2220" s="17" t="s">
        <v>8</v>
      </c>
      <c r="D2220" s="17" t="s">
        <v>10</v>
      </c>
      <c r="E2220" s="17" t="s">
        <v>20</v>
      </c>
      <c r="F2220" s="17" t="str">
        <f>INDEX(nrg_cb_e!$A$3:$A$40,MATCH(LEFT(MID('Industriesektor GWh'!$B2220,41,1000),SEARCH(" - ",MID('Industriesektor GWh'!$B2220,41,1000))-1),nrg_cb_e!$C$3:$C$40,0))</f>
        <v>FC_IND_TE_E</v>
      </c>
      <c r="G2220" s="18">
        <v>192.19900000000001</v>
      </c>
    </row>
    <row r="2221" spans="1:7" x14ac:dyDescent="0.2">
      <c r="A2221" s="19" t="s">
        <v>35</v>
      </c>
      <c r="B2221" s="20" t="s">
        <v>66</v>
      </c>
      <c r="C2221" s="20" t="s">
        <v>8</v>
      </c>
      <c r="D2221" s="20" t="s">
        <v>10</v>
      </c>
      <c r="E2221" s="20" t="s">
        <v>21</v>
      </c>
      <c r="F2221" s="20" t="str">
        <f>INDEX(nrg_cb_e!$A$3:$A$40,MATCH(LEFT(MID('Industriesektor GWh'!$B2221,41,1000),SEARCH(" - ",MID('Industriesektor GWh'!$B2221,41,1000))-1),nrg_cb_e!$C$3:$C$40,0))</f>
        <v>FC_IND_TE_E</v>
      </c>
      <c r="G2221" s="21">
        <v>200.65100000000001</v>
      </c>
    </row>
    <row r="2222" spans="1:7" x14ac:dyDescent="0.2">
      <c r="A2222" s="16" t="s">
        <v>35</v>
      </c>
      <c r="B2222" s="17" t="s">
        <v>66</v>
      </c>
      <c r="C2222" s="17" t="s">
        <v>8</v>
      </c>
      <c r="D2222" s="17" t="s">
        <v>10</v>
      </c>
      <c r="E2222" s="17" t="s">
        <v>22</v>
      </c>
      <c r="F2222" s="17" t="str">
        <f>INDEX(nrg_cb_e!$A$3:$A$40,MATCH(LEFT(MID('Industriesektor GWh'!$B2222,41,1000),SEARCH(" - ",MID('Industriesektor GWh'!$B2222,41,1000))-1),nrg_cb_e!$C$3:$C$40,0))</f>
        <v>FC_IND_TE_E</v>
      </c>
      <c r="G2222" s="18">
        <v>193.12100000000001</v>
      </c>
    </row>
    <row r="2223" spans="1:7" x14ac:dyDescent="0.2">
      <c r="A2223" s="19" t="s">
        <v>35</v>
      </c>
      <c r="B2223" s="20" t="s">
        <v>66</v>
      </c>
      <c r="C2223" s="20" t="s">
        <v>8</v>
      </c>
      <c r="D2223" s="20" t="s">
        <v>10</v>
      </c>
      <c r="E2223" s="20" t="s">
        <v>23</v>
      </c>
      <c r="F2223" s="20" t="str">
        <f>INDEX(nrg_cb_e!$A$3:$A$40,MATCH(LEFT(MID('Industriesektor GWh'!$B2223,41,1000),SEARCH(" - ",MID('Industriesektor GWh'!$B2223,41,1000))-1),nrg_cb_e!$C$3:$C$40,0))</f>
        <v>FC_IND_TE_E</v>
      </c>
      <c r="G2223" s="21">
        <v>196.11600000000001</v>
      </c>
    </row>
    <row r="2224" spans="1:7" x14ac:dyDescent="0.2">
      <c r="A2224" s="16" t="s">
        <v>35</v>
      </c>
      <c r="B2224" s="17" t="s">
        <v>66</v>
      </c>
      <c r="C2224" s="17" t="s">
        <v>8</v>
      </c>
      <c r="D2224" s="17" t="s">
        <v>10</v>
      </c>
      <c r="E2224" s="17" t="s">
        <v>24</v>
      </c>
      <c r="F2224" s="17" t="str">
        <f>INDEX(nrg_cb_e!$A$3:$A$40,MATCH(LEFT(MID('Industriesektor GWh'!$B2224,41,1000),SEARCH(" - ",MID('Industriesektor GWh'!$B2224,41,1000))-1),nrg_cb_e!$C$3:$C$40,0))</f>
        <v>FC_IND_TE_E</v>
      </c>
      <c r="G2224" s="18">
        <v>198.458</v>
      </c>
    </row>
    <row r="2225" spans="1:7" x14ac:dyDescent="0.2">
      <c r="A2225" s="19" t="s">
        <v>35</v>
      </c>
      <c r="B2225" s="20" t="s">
        <v>66</v>
      </c>
      <c r="C2225" s="20" t="s">
        <v>8</v>
      </c>
      <c r="D2225" s="20" t="s">
        <v>10</v>
      </c>
      <c r="E2225" s="20" t="s">
        <v>25</v>
      </c>
      <c r="F2225" s="20" t="str">
        <f>INDEX(nrg_cb_e!$A$3:$A$40,MATCH(LEFT(MID('Industriesektor GWh'!$B2225,41,1000),SEARCH(" - ",MID('Industriesektor GWh'!$B2225,41,1000))-1),nrg_cb_e!$C$3:$C$40,0))</f>
        <v>FC_IND_TE_E</v>
      </c>
      <c r="G2225" s="21">
        <v>207.87299999999999</v>
      </c>
    </row>
    <row r="2226" spans="1:7" x14ac:dyDescent="0.2">
      <c r="A2226" s="16" t="s">
        <v>35</v>
      </c>
      <c r="B2226" s="17" t="s">
        <v>66</v>
      </c>
      <c r="C2226" s="17" t="s">
        <v>8</v>
      </c>
      <c r="D2226" s="17" t="s">
        <v>10</v>
      </c>
      <c r="E2226" s="17" t="s">
        <v>26</v>
      </c>
      <c r="F2226" s="17" t="str">
        <f>INDEX(nrg_cb_e!$A$3:$A$40,MATCH(LEFT(MID('Industriesektor GWh'!$B2226,41,1000),SEARCH(" - ",MID('Industriesektor GWh'!$B2226,41,1000))-1),nrg_cb_e!$C$3:$C$40,0))</f>
        <v>FC_IND_TE_E</v>
      </c>
      <c r="G2226" s="18">
        <v>214.63800000000001</v>
      </c>
    </row>
    <row r="2227" spans="1:7" x14ac:dyDescent="0.2">
      <c r="A2227" s="19" t="s">
        <v>35</v>
      </c>
      <c r="B2227" s="20" t="s">
        <v>66</v>
      </c>
      <c r="C2227" s="20" t="s">
        <v>8</v>
      </c>
      <c r="D2227" s="20" t="s">
        <v>10</v>
      </c>
      <c r="E2227" s="20" t="s">
        <v>27</v>
      </c>
      <c r="F2227" s="20" t="str">
        <f>INDEX(nrg_cb_e!$A$3:$A$40,MATCH(LEFT(MID('Industriesektor GWh'!$B2227,41,1000),SEARCH(" - ",MID('Industriesektor GWh'!$B2227,41,1000))-1),nrg_cb_e!$C$3:$C$40,0))</f>
        <v>FC_IND_TE_E</v>
      </c>
      <c r="G2227" s="21">
        <v>217.02500000000001</v>
      </c>
    </row>
    <row r="2228" spans="1:7" x14ac:dyDescent="0.2">
      <c r="A2228" s="16" t="s">
        <v>35</v>
      </c>
      <c r="B2228" s="17" t="s">
        <v>66</v>
      </c>
      <c r="C2228" s="17" t="s">
        <v>8</v>
      </c>
      <c r="D2228" s="17" t="s">
        <v>10</v>
      </c>
      <c r="E2228" s="17" t="s">
        <v>28</v>
      </c>
      <c r="F2228" s="17" t="str">
        <f>INDEX(nrg_cb_e!$A$3:$A$40,MATCH(LEFT(MID('Industriesektor GWh'!$B2228,41,1000),SEARCH(" - ",MID('Industriesektor GWh'!$B2228,41,1000))-1),nrg_cb_e!$C$3:$C$40,0))</f>
        <v>FC_IND_TE_E</v>
      </c>
      <c r="G2228" s="18">
        <v>230.964</v>
      </c>
    </row>
    <row r="2229" spans="1:7" x14ac:dyDescent="0.2">
      <c r="A2229" s="19" t="s">
        <v>36</v>
      </c>
      <c r="B2229" s="20" t="s">
        <v>66</v>
      </c>
      <c r="C2229" s="20" t="s">
        <v>8</v>
      </c>
      <c r="D2229" s="20" t="s">
        <v>10</v>
      </c>
      <c r="E2229" s="20" t="s">
        <v>12</v>
      </c>
      <c r="F2229" s="20" t="str">
        <f>INDEX(nrg_cb_e!$A$3:$A$40,MATCH(LEFT(MID('Industriesektor GWh'!$B2229,41,1000),SEARCH(" - ",MID('Industriesektor GWh'!$B2229,41,1000))-1),nrg_cb_e!$C$3:$C$40,0))</f>
        <v>FC_IND_TE_E</v>
      </c>
      <c r="G2229" s="21">
        <v>172</v>
      </c>
    </row>
    <row r="2230" spans="1:7" x14ac:dyDescent="0.2">
      <c r="A2230" s="16" t="s">
        <v>36</v>
      </c>
      <c r="B2230" s="17" t="s">
        <v>66</v>
      </c>
      <c r="C2230" s="17" t="s">
        <v>8</v>
      </c>
      <c r="D2230" s="17" t="s">
        <v>10</v>
      </c>
      <c r="E2230" s="17" t="s">
        <v>13</v>
      </c>
      <c r="F2230" s="17" t="str">
        <f>INDEX(nrg_cb_e!$A$3:$A$40,MATCH(LEFT(MID('Industriesektor GWh'!$B2230,41,1000),SEARCH(" - ",MID('Industriesektor GWh'!$B2230,41,1000))-1),nrg_cb_e!$C$3:$C$40,0))</f>
        <v>FC_IND_TE_E</v>
      </c>
      <c r="G2230" s="18">
        <v>173</v>
      </c>
    </row>
    <row r="2231" spans="1:7" x14ac:dyDescent="0.2">
      <c r="A2231" s="19" t="s">
        <v>36</v>
      </c>
      <c r="B2231" s="20" t="s">
        <v>66</v>
      </c>
      <c r="C2231" s="20" t="s">
        <v>8</v>
      </c>
      <c r="D2231" s="20" t="s">
        <v>10</v>
      </c>
      <c r="E2231" s="20" t="s">
        <v>14</v>
      </c>
      <c r="F2231" s="20" t="str">
        <f>INDEX(nrg_cb_e!$A$3:$A$40,MATCH(LEFT(MID('Industriesektor GWh'!$B2231,41,1000),SEARCH(" - ",MID('Industriesektor GWh'!$B2231,41,1000))-1),nrg_cb_e!$C$3:$C$40,0))</f>
        <v>FC_IND_TE_E</v>
      </c>
      <c r="G2231" s="21">
        <v>159</v>
      </c>
    </row>
    <row r="2232" spans="1:7" x14ac:dyDescent="0.2">
      <c r="A2232" s="16" t="s">
        <v>36</v>
      </c>
      <c r="B2232" s="17" t="s">
        <v>66</v>
      </c>
      <c r="C2232" s="17" t="s">
        <v>8</v>
      </c>
      <c r="D2232" s="17" t="s">
        <v>10</v>
      </c>
      <c r="E2232" s="17" t="s">
        <v>15</v>
      </c>
      <c r="F2232" s="17" t="str">
        <f>INDEX(nrg_cb_e!$A$3:$A$40,MATCH(LEFT(MID('Industriesektor GWh'!$B2232,41,1000),SEARCH(" - ",MID('Industriesektor GWh'!$B2232,41,1000))-1),nrg_cb_e!$C$3:$C$40,0))</f>
        <v>FC_IND_TE_E</v>
      </c>
      <c r="G2232" s="18">
        <v>125</v>
      </c>
    </row>
    <row r="2233" spans="1:7" x14ac:dyDescent="0.2">
      <c r="A2233" s="19" t="s">
        <v>36</v>
      </c>
      <c r="B2233" s="20" t="s">
        <v>66</v>
      </c>
      <c r="C2233" s="20" t="s">
        <v>8</v>
      </c>
      <c r="D2233" s="20" t="s">
        <v>10</v>
      </c>
      <c r="E2233" s="20" t="s">
        <v>16</v>
      </c>
      <c r="F2233" s="20" t="str">
        <f>INDEX(nrg_cb_e!$A$3:$A$40,MATCH(LEFT(MID('Industriesektor GWh'!$B2233,41,1000),SEARCH(" - ",MID('Industriesektor GWh'!$B2233,41,1000))-1),nrg_cb_e!$C$3:$C$40,0))</f>
        <v>FC_IND_TE_E</v>
      </c>
      <c r="G2233" s="21">
        <v>118</v>
      </c>
    </row>
    <row r="2234" spans="1:7" x14ac:dyDescent="0.2">
      <c r="A2234" s="16" t="s">
        <v>36</v>
      </c>
      <c r="B2234" s="17" t="s">
        <v>66</v>
      </c>
      <c r="C2234" s="17" t="s">
        <v>8</v>
      </c>
      <c r="D2234" s="17" t="s">
        <v>10</v>
      </c>
      <c r="E2234" s="17" t="s">
        <v>17</v>
      </c>
      <c r="F2234" s="17" t="str">
        <f>INDEX(nrg_cb_e!$A$3:$A$40,MATCH(LEFT(MID('Industriesektor GWh'!$B2234,41,1000),SEARCH(" - ",MID('Industriesektor GWh'!$B2234,41,1000))-1),nrg_cb_e!$C$3:$C$40,0))</f>
        <v>FC_IND_TE_E</v>
      </c>
      <c r="G2234" s="18">
        <v>132</v>
      </c>
    </row>
    <row r="2235" spans="1:7" x14ac:dyDescent="0.2">
      <c r="A2235" s="19" t="s">
        <v>36</v>
      </c>
      <c r="B2235" s="20" t="s">
        <v>66</v>
      </c>
      <c r="C2235" s="20" t="s">
        <v>8</v>
      </c>
      <c r="D2235" s="20" t="s">
        <v>10</v>
      </c>
      <c r="E2235" s="20" t="s">
        <v>18</v>
      </c>
      <c r="F2235" s="20" t="str">
        <f>INDEX(nrg_cb_e!$A$3:$A$40,MATCH(LEFT(MID('Industriesektor GWh'!$B2235,41,1000),SEARCH(" - ",MID('Industriesektor GWh'!$B2235,41,1000))-1),nrg_cb_e!$C$3:$C$40,0))</f>
        <v>FC_IND_TE_E</v>
      </c>
      <c r="G2235" s="21">
        <v>156</v>
      </c>
    </row>
    <row r="2236" spans="1:7" x14ac:dyDescent="0.2">
      <c r="A2236" s="16" t="s">
        <v>36</v>
      </c>
      <c r="B2236" s="17" t="s">
        <v>66</v>
      </c>
      <c r="C2236" s="17" t="s">
        <v>8</v>
      </c>
      <c r="D2236" s="17" t="s">
        <v>10</v>
      </c>
      <c r="E2236" s="17" t="s">
        <v>19</v>
      </c>
      <c r="F2236" s="17" t="str">
        <f>INDEX(nrg_cb_e!$A$3:$A$40,MATCH(LEFT(MID('Industriesektor GWh'!$B2236,41,1000),SEARCH(" - ",MID('Industriesektor GWh'!$B2236,41,1000))-1),nrg_cb_e!$C$3:$C$40,0))</f>
        <v>FC_IND_TE_E</v>
      </c>
      <c r="G2236" s="18">
        <v>160</v>
      </c>
    </row>
    <row r="2237" spans="1:7" x14ac:dyDescent="0.2">
      <c r="A2237" s="19" t="s">
        <v>36</v>
      </c>
      <c r="B2237" s="20" t="s">
        <v>66</v>
      </c>
      <c r="C2237" s="20" t="s">
        <v>8</v>
      </c>
      <c r="D2237" s="20" t="s">
        <v>10</v>
      </c>
      <c r="E2237" s="20" t="s">
        <v>20</v>
      </c>
      <c r="F2237" s="20" t="str">
        <f>INDEX(nrg_cb_e!$A$3:$A$40,MATCH(LEFT(MID('Industriesektor GWh'!$B2237,41,1000),SEARCH(" - ",MID('Industriesektor GWh'!$B2237,41,1000))-1),nrg_cb_e!$C$3:$C$40,0))</f>
        <v>FC_IND_TE_E</v>
      </c>
      <c r="G2237" s="21">
        <v>85</v>
      </c>
    </row>
    <row r="2238" spans="1:7" x14ac:dyDescent="0.2">
      <c r="A2238" s="16" t="s">
        <v>36</v>
      </c>
      <c r="B2238" s="17" t="s">
        <v>66</v>
      </c>
      <c r="C2238" s="17" t="s">
        <v>8</v>
      </c>
      <c r="D2238" s="17" t="s">
        <v>10</v>
      </c>
      <c r="E2238" s="17" t="s">
        <v>21</v>
      </c>
      <c r="F2238" s="17" t="str">
        <f>INDEX(nrg_cb_e!$A$3:$A$40,MATCH(LEFT(MID('Industriesektor GWh'!$B2238,41,1000),SEARCH(" - ",MID('Industriesektor GWh'!$B2238,41,1000))-1),nrg_cb_e!$C$3:$C$40,0))</f>
        <v>FC_IND_TE_E</v>
      </c>
      <c r="G2238" s="18">
        <v>330</v>
      </c>
    </row>
    <row r="2239" spans="1:7" x14ac:dyDescent="0.2">
      <c r="A2239" s="19" t="s">
        <v>36</v>
      </c>
      <c r="B2239" s="20" t="s">
        <v>66</v>
      </c>
      <c r="C2239" s="20" t="s">
        <v>8</v>
      </c>
      <c r="D2239" s="20" t="s">
        <v>10</v>
      </c>
      <c r="E2239" s="20" t="s">
        <v>22</v>
      </c>
      <c r="F2239" s="20" t="str">
        <f>INDEX(nrg_cb_e!$A$3:$A$40,MATCH(LEFT(MID('Industriesektor GWh'!$B2239,41,1000),SEARCH(" - ",MID('Industriesektor GWh'!$B2239,41,1000))-1),nrg_cb_e!$C$3:$C$40,0))</f>
        <v>FC_IND_TE_E</v>
      </c>
      <c r="G2239" s="21">
        <v>138</v>
      </c>
    </row>
    <row r="2240" spans="1:7" x14ac:dyDescent="0.2">
      <c r="A2240" s="16" t="s">
        <v>36</v>
      </c>
      <c r="B2240" s="17" t="s">
        <v>66</v>
      </c>
      <c r="C2240" s="17" t="s">
        <v>8</v>
      </c>
      <c r="D2240" s="17" t="s">
        <v>10</v>
      </c>
      <c r="E2240" s="17" t="s">
        <v>23</v>
      </c>
      <c r="F2240" s="17" t="str">
        <f>INDEX(nrg_cb_e!$A$3:$A$40,MATCH(LEFT(MID('Industriesektor GWh'!$B2240,41,1000),SEARCH(" - ",MID('Industriesektor GWh'!$B2240,41,1000))-1),nrg_cb_e!$C$3:$C$40,0))</f>
        <v>FC_IND_TE_E</v>
      </c>
      <c r="G2240" s="18">
        <v>117</v>
      </c>
    </row>
    <row r="2241" spans="1:7" x14ac:dyDescent="0.2">
      <c r="A2241" s="19" t="s">
        <v>36</v>
      </c>
      <c r="B2241" s="20" t="s">
        <v>66</v>
      </c>
      <c r="C2241" s="20" t="s">
        <v>8</v>
      </c>
      <c r="D2241" s="20" t="s">
        <v>10</v>
      </c>
      <c r="E2241" s="20" t="s">
        <v>24</v>
      </c>
      <c r="F2241" s="20" t="str">
        <f>INDEX(nrg_cb_e!$A$3:$A$40,MATCH(LEFT(MID('Industriesektor GWh'!$B2241,41,1000),SEARCH(" - ",MID('Industriesektor GWh'!$B2241,41,1000))-1),nrg_cb_e!$C$3:$C$40,0))</f>
        <v>FC_IND_TE_E</v>
      </c>
      <c r="G2241" s="21">
        <v>105</v>
      </c>
    </row>
    <row r="2242" spans="1:7" x14ac:dyDescent="0.2">
      <c r="A2242" s="16" t="s">
        <v>36</v>
      </c>
      <c r="B2242" s="17" t="s">
        <v>66</v>
      </c>
      <c r="C2242" s="17" t="s">
        <v>8</v>
      </c>
      <c r="D2242" s="17" t="s">
        <v>10</v>
      </c>
      <c r="E2242" s="17" t="s">
        <v>25</v>
      </c>
      <c r="F2242" s="17" t="str">
        <f>INDEX(nrg_cb_e!$A$3:$A$40,MATCH(LEFT(MID('Industriesektor GWh'!$B2242,41,1000),SEARCH(" - ",MID('Industriesektor GWh'!$B2242,41,1000))-1),nrg_cb_e!$C$3:$C$40,0))</f>
        <v>FC_IND_TE_E</v>
      </c>
      <c r="G2242" s="18">
        <v>105</v>
      </c>
    </row>
    <row r="2243" spans="1:7" x14ac:dyDescent="0.2">
      <c r="A2243" s="19" t="s">
        <v>36</v>
      </c>
      <c r="B2243" s="20" t="s">
        <v>66</v>
      </c>
      <c r="C2243" s="20" t="s">
        <v>8</v>
      </c>
      <c r="D2243" s="20" t="s">
        <v>10</v>
      </c>
      <c r="E2243" s="20" t="s">
        <v>26</v>
      </c>
      <c r="F2243" s="20" t="str">
        <f>INDEX(nrg_cb_e!$A$3:$A$40,MATCH(LEFT(MID('Industriesektor GWh'!$B2243,41,1000),SEARCH(" - ",MID('Industriesektor GWh'!$B2243,41,1000))-1),nrg_cb_e!$C$3:$C$40,0))</f>
        <v>FC_IND_TE_E</v>
      </c>
      <c r="G2243" s="21">
        <v>39</v>
      </c>
    </row>
    <row r="2244" spans="1:7" x14ac:dyDescent="0.2">
      <c r="A2244" s="16" t="s">
        <v>36</v>
      </c>
      <c r="B2244" s="17" t="s">
        <v>66</v>
      </c>
      <c r="C2244" s="17" t="s">
        <v>8</v>
      </c>
      <c r="D2244" s="17" t="s">
        <v>10</v>
      </c>
      <c r="E2244" s="17" t="s">
        <v>27</v>
      </c>
      <c r="F2244" s="17" t="str">
        <f>INDEX(nrg_cb_e!$A$3:$A$40,MATCH(LEFT(MID('Industriesektor GWh'!$B2244,41,1000),SEARCH(" - ",MID('Industriesektor GWh'!$B2244,41,1000))-1),nrg_cb_e!$C$3:$C$40,0))</f>
        <v>FC_IND_TE_E</v>
      </c>
      <c r="G2244" s="18">
        <v>53.357999999999997</v>
      </c>
    </row>
    <row r="2245" spans="1:7" x14ac:dyDescent="0.2">
      <c r="A2245" s="19" t="s">
        <v>36</v>
      </c>
      <c r="B2245" s="20" t="s">
        <v>66</v>
      </c>
      <c r="C2245" s="20" t="s">
        <v>8</v>
      </c>
      <c r="D2245" s="20" t="s">
        <v>10</v>
      </c>
      <c r="E2245" s="20" t="s">
        <v>28</v>
      </c>
      <c r="F2245" s="20" t="str">
        <f>INDEX(nrg_cb_e!$A$3:$A$40,MATCH(LEFT(MID('Industriesektor GWh'!$B2245,41,1000),SEARCH(" - ",MID('Industriesektor GWh'!$B2245,41,1000))-1),nrg_cb_e!$C$3:$C$40,0))</f>
        <v>FC_IND_TE_E</v>
      </c>
      <c r="G2245" s="21">
        <v>74.72</v>
      </c>
    </row>
    <row r="2246" spans="1:7" x14ac:dyDescent="0.2">
      <c r="A2246" s="16" t="s">
        <v>37</v>
      </c>
      <c r="B2246" s="17" t="s">
        <v>66</v>
      </c>
      <c r="C2246" s="17" t="s">
        <v>8</v>
      </c>
      <c r="D2246" s="17" t="s">
        <v>10</v>
      </c>
      <c r="E2246" s="17" t="s">
        <v>12</v>
      </c>
      <c r="F2246" s="17" t="str">
        <f>INDEX(nrg_cb_e!$A$3:$A$40,MATCH(LEFT(MID('Industriesektor GWh'!$B2246,41,1000),SEARCH(" - ",MID('Industriesektor GWh'!$B2246,41,1000))-1),nrg_cb_e!$C$3:$C$40,0))</f>
        <v>FC_IND_TE_E</v>
      </c>
      <c r="G2246" s="18">
        <v>3821</v>
      </c>
    </row>
    <row r="2247" spans="1:7" x14ac:dyDescent="0.2">
      <c r="A2247" s="19" t="s">
        <v>37</v>
      </c>
      <c r="B2247" s="20" t="s">
        <v>66</v>
      </c>
      <c r="C2247" s="20" t="s">
        <v>8</v>
      </c>
      <c r="D2247" s="20" t="s">
        <v>10</v>
      </c>
      <c r="E2247" s="20" t="s">
        <v>13</v>
      </c>
      <c r="F2247" s="20" t="str">
        <f>INDEX(nrg_cb_e!$A$3:$A$40,MATCH(LEFT(MID('Industriesektor GWh'!$B2247,41,1000),SEARCH(" - ",MID('Industriesektor GWh'!$B2247,41,1000))-1),nrg_cb_e!$C$3:$C$40,0))</f>
        <v>FC_IND_TE_E</v>
      </c>
      <c r="G2247" s="21">
        <v>4071</v>
      </c>
    </row>
    <row r="2248" spans="1:7" x14ac:dyDescent="0.2">
      <c r="A2248" s="16" t="s">
        <v>37</v>
      </c>
      <c r="B2248" s="17" t="s">
        <v>66</v>
      </c>
      <c r="C2248" s="17" t="s">
        <v>8</v>
      </c>
      <c r="D2248" s="17" t="s">
        <v>10</v>
      </c>
      <c r="E2248" s="17" t="s">
        <v>14</v>
      </c>
      <c r="F2248" s="17" t="str">
        <f>INDEX(nrg_cb_e!$A$3:$A$40,MATCH(LEFT(MID('Industriesektor GWh'!$B2248,41,1000),SEARCH(" - ",MID('Industriesektor GWh'!$B2248,41,1000))-1),nrg_cb_e!$C$3:$C$40,0))</f>
        <v>FC_IND_TE_E</v>
      </c>
      <c r="G2248" s="18">
        <v>4330</v>
      </c>
    </row>
    <row r="2249" spans="1:7" x14ac:dyDescent="0.2">
      <c r="A2249" s="19" t="s">
        <v>37</v>
      </c>
      <c r="B2249" s="20" t="s">
        <v>66</v>
      </c>
      <c r="C2249" s="20" t="s">
        <v>8</v>
      </c>
      <c r="D2249" s="20" t="s">
        <v>10</v>
      </c>
      <c r="E2249" s="20" t="s">
        <v>15</v>
      </c>
      <c r="F2249" s="20" t="str">
        <f>INDEX(nrg_cb_e!$A$3:$A$40,MATCH(LEFT(MID('Industriesektor GWh'!$B2249,41,1000),SEARCH(" - ",MID('Industriesektor GWh'!$B2249,41,1000))-1),nrg_cb_e!$C$3:$C$40,0))</f>
        <v>FC_IND_TE_E</v>
      </c>
      <c r="G2249" s="21">
        <v>4406</v>
      </c>
    </row>
    <row r="2250" spans="1:7" x14ac:dyDescent="0.2">
      <c r="A2250" s="16" t="s">
        <v>37</v>
      </c>
      <c r="B2250" s="17" t="s">
        <v>66</v>
      </c>
      <c r="C2250" s="17" t="s">
        <v>8</v>
      </c>
      <c r="D2250" s="17" t="s">
        <v>10</v>
      </c>
      <c r="E2250" s="17" t="s">
        <v>16</v>
      </c>
      <c r="F2250" s="17" t="str">
        <f>INDEX(nrg_cb_e!$A$3:$A$40,MATCH(LEFT(MID('Industriesektor GWh'!$B2250,41,1000),SEARCH(" - ",MID('Industriesektor GWh'!$B2250,41,1000))-1),nrg_cb_e!$C$3:$C$40,0))</f>
        <v>FC_IND_TE_E</v>
      </c>
      <c r="G2250" s="18">
        <v>3773</v>
      </c>
    </row>
    <row r="2251" spans="1:7" x14ac:dyDescent="0.2">
      <c r="A2251" s="19" t="s">
        <v>37</v>
      </c>
      <c r="B2251" s="20" t="s">
        <v>66</v>
      </c>
      <c r="C2251" s="20" t="s">
        <v>8</v>
      </c>
      <c r="D2251" s="20" t="s">
        <v>10</v>
      </c>
      <c r="E2251" s="20" t="s">
        <v>17</v>
      </c>
      <c r="F2251" s="20" t="str">
        <f>INDEX(nrg_cb_e!$A$3:$A$40,MATCH(LEFT(MID('Industriesektor GWh'!$B2251,41,1000),SEARCH(" - ",MID('Industriesektor GWh'!$B2251,41,1000))-1),nrg_cb_e!$C$3:$C$40,0))</f>
        <v>FC_IND_TE_E</v>
      </c>
      <c r="G2251" s="21">
        <v>3836</v>
      </c>
    </row>
    <row r="2252" spans="1:7" x14ac:dyDescent="0.2">
      <c r="A2252" s="16" t="s">
        <v>37</v>
      </c>
      <c r="B2252" s="17" t="s">
        <v>66</v>
      </c>
      <c r="C2252" s="17" t="s">
        <v>8</v>
      </c>
      <c r="D2252" s="17" t="s">
        <v>10</v>
      </c>
      <c r="E2252" s="17" t="s">
        <v>18</v>
      </c>
      <c r="F2252" s="17" t="str">
        <f>INDEX(nrg_cb_e!$A$3:$A$40,MATCH(LEFT(MID('Industriesektor GWh'!$B2252,41,1000),SEARCH(" - ",MID('Industriesektor GWh'!$B2252,41,1000))-1),nrg_cb_e!$C$3:$C$40,0))</f>
        <v>FC_IND_TE_E</v>
      </c>
      <c r="G2252" s="18">
        <v>3639</v>
      </c>
    </row>
    <row r="2253" spans="1:7" x14ac:dyDescent="0.2">
      <c r="A2253" s="19" t="s">
        <v>37</v>
      </c>
      <c r="B2253" s="20" t="s">
        <v>66</v>
      </c>
      <c r="C2253" s="20" t="s">
        <v>8</v>
      </c>
      <c r="D2253" s="20" t="s">
        <v>10</v>
      </c>
      <c r="E2253" s="20" t="s">
        <v>19</v>
      </c>
      <c r="F2253" s="20" t="str">
        <f>INDEX(nrg_cb_e!$A$3:$A$40,MATCH(LEFT(MID('Industriesektor GWh'!$B2253,41,1000),SEARCH(" - ",MID('Industriesektor GWh'!$B2253,41,1000))-1),nrg_cb_e!$C$3:$C$40,0))</f>
        <v>FC_IND_TE_E</v>
      </c>
      <c r="G2253" s="21">
        <v>3171</v>
      </c>
    </row>
    <row r="2254" spans="1:7" x14ac:dyDescent="0.2">
      <c r="A2254" s="16" t="s">
        <v>37</v>
      </c>
      <c r="B2254" s="17" t="s">
        <v>66</v>
      </c>
      <c r="C2254" s="17" t="s">
        <v>8</v>
      </c>
      <c r="D2254" s="17" t="s">
        <v>10</v>
      </c>
      <c r="E2254" s="17" t="s">
        <v>20</v>
      </c>
      <c r="F2254" s="17" t="str">
        <f>INDEX(nrg_cb_e!$A$3:$A$40,MATCH(LEFT(MID('Industriesektor GWh'!$B2254,41,1000),SEARCH(" - ",MID('Industriesektor GWh'!$B2254,41,1000))-1),nrg_cb_e!$C$3:$C$40,0))</f>
        <v>FC_IND_TE_E</v>
      </c>
      <c r="G2254" s="18">
        <v>2851</v>
      </c>
    </row>
    <row r="2255" spans="1:7" x14ac:dyDescent="0.2">
      <c r="A2255" s="19" t="s">
        <v>37</v>
      </c>
      <c r="B2255" s="20" t="s">
        <v>66</v>
      </c>
      <c r="C2255" s="20" t="s">
        <v>8</v>
      </c>
      <c r="D2255" s="20" t="s">
        <v>10</v>
      </c>
      <c r="E2255" s="20" t="s">
        <v>21</v>
      </c>
      <c r="F2255" s="20" t="str">
        <f>INDEX(nrg_cb_e!$A$3:$A$40,MATCH(LEFT(MID('Industriesektor GWh'!$B2255,41,1000),SEARCH(" - ",MID('Industriesektor GWh'!$B2255,41,1000))-1),nrg_cb_e!$C$3:$C$40,0))</f>
        <v>FC_IND_TE_E</v>
      </c>
      <c r="G2255" s="21">
        <v>2693</v>
      </c>
    </row>
    <row r="2256" spans="1:7" x14ac:dyDescent="0.2">
      <c r="A2256" s="16" t="s">
        <v>37</v>
      </c>
      <c r="B2256" s="17" t="s">
        <v>66</v>
      </c>
      <c r="C2256" s="17" t="s">
        <v>8</v>
      </c>
      <c r="D2256" s="17" t="s">
        <v>10</v>
      </c>
      <c r="E2256" s="17" t="s">
        <v>22</v>
      </c>
      <c r="F2256" s="17" t="str">
        <f>INDEX(nrg_cb_e!$A$3:$A$40,MATCH(LEFT(MID('Industriesektor GWh'!$B2256,41,1000),SEARCH(" - ",MID('Industriesektor GWh'!$B2256,41,1000))-1),nrg_cb_e!$C$3:$C$40,0))</f>
        <v>FC_IND_TE_E</v>
      </c>
      <c r="G2256" s="18">
        <v>2657</v>
      </c>
    </row>
    <row r="2257" spans="1:7" x14ac:dyDescent="0.2">
      <c r="A2257" s="19" t="s">
        <v>37</v>
      </c>
      <c r="B2257" s="20" t="s">
        <v>66</v>
      </c>
      <c r="C2257" s="20" t="s">
        <v>8</v>
      </c>
      <c r="D2257" s="20" t="s">
        <v>10</v>
      </c>
      <c r="E2257" s="20" t="s">
        <v>23</v>
      </c>
      <c r="F2257" s="20" t="str">
        <f>INDEX(nrg_cb_e!$A$3:$A$40,MATCH(LEFT(MID('Industriesektor GWh'!$B2257,41,1000),SEARCH(" - ",MID('Industriesektor GWh'!$B2257,41,1000))-1),nrg_cb_e!$C$3:$C$40,0))</f>
        <v>FC_IND_TE_E</v>
      </c>
      <c r="G2257" s="21">
        <v>2984</v>
      </c>
    </row>
    <row r="2258" spans="1:7" x14ac:dyDescent="0.2">
      <c r="A2258" s="16" t="s">
        <v>37</v>
      </c>
      <c r="B2258" s="17" t="s">
        <v>66</v>
      </c>
      <c r="C2258" s="17" t="s">
        <v>8</v>
      </c>
      <c r="D2258" s="17" t="s">
        <v>10</v>
      </c>
      <c r="E2258" s="17" t="s">
        <v>24</v>
      </c>
      <c r="F2258" s="17" t="str">
        <f>INDEX(nrg_cb_e!$A$3:$A$40,MATCH(LEFT(MID('Industriesektor GWh'!$B2258,41,1000),SEARCH(" - ",MID('Industriesektor GWh'!$B2258,41,1000))-1),nrg_cb_e!$C$3:$C$40,0))</f>
        <v>FC_IND_TE_E</v>
      </c>
      <c r="G2258" s="18">
        <v>3468</v>
      </c>
    </row>
    <row r="2259" spans="1:7" x14ac:dyDescent="0.2">
      <c r="A2259" s="19" t="s">
        <v>37</v>
      </c>
      <c r="B2259" s="20" t="s">
        <v>66</v>
      </c>
      <c r="C2259" s="20" t="s">
        <v>8</v>
      </c>
      <c r="D2259" s="20" t="s">
        <v>10</v>
      </c>
      <c r="E2259" s="20" t="s">
        <v>25</v>
      </c>
      <c r="F2259" s="20" t="str">
        <f>INDEX(nrg_cb_e!$A$3:$A$40,MATCH(LEFT(MID('Industriesektor GWh'!$B2259,41,1000),SEARCH(" - ",MID('Industriesektor GWh'!$B2259,41,1000))-1),nrg_cb_e!$C$3:$C$40,0))</f>
        <v>FC_IND_TE_E</v>
      </c>
      <c r="G2259" s="21">
        <v>3653</v>
      </c>
    </row>
    <row r="2260" spans="1:7" x14ac:dyDescent="0.2">
      <c r="A2260" s="16" t="s">
        <v>37</v>
      </c>
      <c r="B2260" s="17" t="s">
        <v>66</v>
      </c>
      <c r="C2260" s="17" t="s">
        <v>8</v>
      </c>
      <c r="D2260" s="17" t="s">
        <v>10</v>
      </c>
      <c r="E2260" s="17" t="s">
        <v>26</v>
      </c>
      <c r="F2260" s="17" t="str">
        <f>INDEX(nrg_cb_e!$A$3:$A$40,MATCH(LEFT(MID('Industriesektor GWh'!$B2260,41,1000),SEARCH(" - ",MID('Industriesektor GWh'!$B2260,41,1000))-1),nrg_cb_e!$C$3:$C$40,0))</f>
        <v>FC_IND_TE_E</v>
      </c>
      <c r="G2260" s="18">
        <v>4208</v>
      </c>
    </row>
    <row r="2261" spans="1:7" x14ac:dyDescent="0.2">
      <c r="A2261" s="19" t="s">
        <v>37</v>
      </c>
      <c r="B2261" s="20" t="s">
        <v>66</v>
      </c>
      <c r="C2261" s="20" t="s">
        <v>8</v>
      </c>
      <c r="D2261" s="20" t="s">
        <v>10</v>
      </c>
      <c r="E2261" s="20" t="s">
        <v>27</v>
      </c>
      <c r="F2261" s="20" t="str">
        <f>INDEX(nrg_cb_e!$A$3:$A$40,MATCH(LEFT(MID('Industriesektor GWh'!$B2261,41,1000),SEARCH(" - ",MID('Industriesektor GWh'!$B2261,41,1000))-1),nrg_cb_e!$C$3:$C$40,0))</f>
        <v>FC_IND_TE_E</v>
      </c>
      <c r="G2261" s="21">
        <v>4499</v>
      </c>
    </row>
    <row r="2262" spans="1:7" x14ac:dyDescent="0.2">
      <c r="A2262" s="16" t="s">
        <v>37</v>
      </c>
      <c r="B2262" s="17" t="s">
        <v>66</v>
      </c>
      <c r="C2262" s="17" t="s">
        <v>8</v>
      </c>
      <c r="D2262" s="17" t="s">
        <v>10</v>
      </c>
      <c r="E2262" s="17" t="s">
        <v>28</v>
      </c>
      <c r="F2262" s="17" t="str">
        <f>INDEX(nrg_cb_e!$A$3:$A$40,MATCH(LEFT(MID('Industriesektor GWh'!$B2262,41,1000),SEARCH(" - ",MID('Industriesektor GWh'!$B2262,41,1000))-1),nrg_cb_e!$C$3:$C$40,0))</f>
        <v>FC_IND_TE_E</v>
      </c>
      <c r="G2262" s="18">
        <v>4335</v>
      </c>
    </row>
    <row r="2263" spans="1:7" x14ac:dyDescent="0.2">
      <c r="A2263" s="19" t="s">
        <v>38</v>
      </c>
      <c r="B2263" s="20" t="s">
        <v>66</v>
      </c>
      <c r="C2263" s="20" t="s">
        <v>8</v>
      </c>
      <c r="D2263" s="20" t="s">
        <v>10</v>
      </c>
      <c r="E2263" s="20" t="s">
        <v>12</v>
      </c>
      <c r="F2263" s="20" t="str">
        <f>INDEX(nrg_cb_e!$A$3:$A$40,MATCH(LEFT(MID('Industriesektor GWh'!$B2263,41,1000),SEARCH(" - ",MID('Industriesektor GWh'!$B2263,41,1000))-1),nrg_cb_e!$C$3:$C$40,0))</f>
        <v>FC_IND_TE_E</v>
      </c>
      <c r="G2263" s="21">
        <v>8354</v>
      </c>
    </row>
    <row r="2264" spans="1:7" x14ac:dyDescent="0.2">
      <c r="A2264" s="16" t="s">
        <v>38</v>
      </c>
      <c r="B2264" s="17" t="s">
        <v>66</v>
      </c>
      <c r="C2264" s="17" t="s">
        <v>8</v>
      </c>
      <c r="D2264" s="17" t="s">
        <v>10</v>
      </c>
      <c r="E2264" s="17" t="s">
        <v>13</v>
      </c>
      <c r="F2264" s="17" t="str">
        <f>INDEX(nrg_cb_e!$A$3:$A$40,MATCH(LEFT(MID('Industriesektor GWh'!$B2264,41,1000),SEARCH(" - ",MID('Industriesektor GWh'!$B2264,41,1000))-1),nrg_cb_e!$C$3:$C$40,0))</f>
        <v>FC_IND_TE_E</v>
      </c>
      <c r="G2264" s="18">
        <v>8371</v>
      </c>
    </row>
    <row r="2265" spans="1:7" x14ac:dyDescent="0.2">
      <c r="A2265" s="19" t="s">
        <v>38</v>
      </c>
      <c r="B2265" s="20" t="s">
        <v>66</v>
      </c>
      <c r="C2265" s="20" t="s">
        <v>8</v>
      </c>
      <c r="D2265" s="20" t="s">
        <v>10</v>
      </c>
      <c r="E2265" s="20" t="s">
        <v>14</v>
      </c>
      <c r="F2265" s="20" t="str">
        <f>INDEX(nrg_cb_e!$A$3:$A$40,MATCH(LEFT(MID('Industriesektor GWh'!$B2265,41,1000),SEARCH(" - ",MID('Industriesektor GWh'!$B2265,41,1000))-1),nrg_cb_e!$C$3:$C$40,0))</f>
        <v>FC_IND_TE_E</v>
      </c>
      <c r="G2265" s="21">
        <v>8403</v>
      </c>
    </row>
    <row r="2266" spans="1:7" x14ac:dyDescent="0.2">
      <c r="A2266" s="16" t="s">
        <v>38</v>
      </c>
      <c r="B2266" s="17" t="s">
        <v>66</v>
      </c>
      <c r="C2266" s="17" t="s">
        <v>8</v>
      </c>
      <c r="D2266" s="17" t="s">
        <v>10</v>
      </c>
      <c r="E2266" s="17" t="s">
        <v>15</v>
      </c>
      <c r="F2266" s="17" t="str">
        <f>INDEX(nrg_cb_e!$A$3:$A$40,MATCH(LEFT(MID('Industriesektor GWh'!$B2266,41,1000),SEARCH(" - ",MID('Industriesektor GWh'!$B2266,41,1000))-1),nrg_cb_e!$C$3:$C$40,0))</f>
        <v>FC_IND_TE_E</v>
      </c>
      <c r="G2266" s="18">
        <v>8264</v>
      </c>
    </row>
    <row r="2267" spans="1:7" x14ac:dyDescent="0.2">
      <c r="A2267" s="19" t="s">
        <v>38</v>
      </c>
      <c r="B2267" s="20" t="s">
        <v>66</v>
      </c>
      <c r="C2267" s="20" t="s">
        <v>8</v>
      </c>
      <c r="D2267" s="20" t="s">
        <v>10</v>
      </c>
      <c r="E2267" s="20" t="s">
        <v>16</v>
      </c>
      <c r="F2267" s="20" t="str">
        <f>INDEX(nrg_cb_e!$A$3:$A$40,MATCH(LEFT(MID('Industriesektor GWh'!$B2267,41,1000),SEARCH(" - ",MID('Industriesektor GWh'!$B2267,41,1000))-1),nrg_cb_e!$C$3:$C$40,0))</f>
        <v>FC_IND_TE_E</v>
      </c>
      <c r="G2267" s="21">
        <v>7960</v>
      </c>
    </row>
    <row r="2268" spans="1:7" x14ac:dyDescent="0.2">
      <c r="A2268" s="16" t="s">
        <v>38</v>
      </c>
      <c r="B2268" s="17" t="s">
        <v>66</v>
      </c>
      <c r="C2268" s="17" t="s">
        <v>8</v>
      </c>
      <c r="D2268" s="17" t="s">
        <v>10</v>
      </c>
      <c r="E2268" s="17" t="s">
        <v>17</v>
      </c>
      <c r="F2268" s="17" t="str">
        <f>INDEX(nrg_cb_e!$A$3:$A$40,MATCH(LEFT(MID('Industriesektor GWh'!$B2268,41,1000),SEARCH(" - ",MID('Industriesektor GWh'!$B2268,41,1000))-1),nrg_cb_e!$C$3:$C$40,0))</f>
        <v>FC_IND_TE_E</v>
      </c>
      <c r="G2268" s="18">
        <v>7881</v>
      </c>
    </row>
    <row r="2269" spans="1:7" x14ac:dyDescent="0.2">
      <c r="A2269" s="19" t="s">
        <v>38</v>
      </c>
      <c r="B2269" s="20" t="s">
        <v>66</v>
      </c>
      <c r="C2269" s="20" t="s">
        <v>8</v>
      </c>
      <c r="D2269" s="20" t="s">
        <v>10</v>
      </c>
      <c r="E2269" s="20" t="s">
        <v>18</v>
      </c>
      <c r="F2269" s="20" t="str">
        <f>INDEX(nrg_cb_e!$A$3:$A$40,MATCH(LEFT(MID('Industriesektor GWh'!$B2269,41,1000),SEARCH(" - ",MID('Industriesektor GWh'!$B2269,41,1000))-1),nrg_cb_e!$C$3:$C$40,0))</f>
        <v>FC_IND_TE_E</v>
      </c>
      <c r="G2269" s="21">
        <v>8671</v>
      </c>
    </row>
    <row r="2270" spans="1:7" x14ac:dyDescent="0.2">
      <c r="A2270" s="16" t="s">
        <v>38</v>
      </c>
      <c r="B2270" s="17" t="s">
        <v>66</v>
      </c>
      <c r="C2270" s="17" t="s">
        <v>8</v>
      </c>
      <c r="D2270" s="17" t="s">
        <v>10</v>
      </c>
      <c r="E2270" s="17" t="s">
        <v>19</v>
      </c>
      <c r="F2270" s="17" t="str">
        <f>INDEX(nrg_cb_e!$A$3:$A$40,MATCH(LEFT(MID('Industriesektor GWh'!$B2270,41,1000),SEARCH(" - ",MID('Industriesektor GWh'!$B2270,41,1000))-1),nrg_cb_e!$C$3:$C$40,0))</f>
        <v>FC_IND_TE_E</v>
      </c>
      <c r="G2270" s="18">
        <v>7305</v>
      </c>
    </row>
    <row r="2271" spans="1:7" x14ac:dyDescent="0.2">
      <c r="A2271" s="19" t="s">
        <v>38</v>
      </c>
      <c r="B2271" s="20" t="s">
        <v>66</v>
      </c>
      <c r="C2271" s="20" t="s">
        <v>8</v>
      </c>
      <c r="D2271" s="20" t="s">
        <v>10</v>
      </c>
      <c r="E2271" s="20" t="s">
        <v>20</v>
      </c>
      <c r="F2271" s="20" t="str">
        <f>INDEX(nrg_cb_e!$A$3:$A$40,MATCH(LEFT(MID('Industriesektor GWh'!$B2271,41,1000),SEARCH(" - ",MID('Industriesektor GWh'!$B2271,41,1000))-1),nrg_cb_e!$C$3:$C$40,0))</f>
        <v>FC_IND_TE_E</v>
      </c>
      <c r="G2271" s="21">
        <v>7560</v>
      </c>
    </row>
    <row r="2272" spans="1:7" x14ac:dyDescent="0.2">
      <c r="A2272" s="16" t="s">
        <v>38</v>
      </c>
      <c r="B2272" s="17" t="s">
        <v>66</v>
      </c>
      <c r="C2272" s="17" t="s">
        <v>8</v>
      </c>
      <c r="D2272" s="17" t="s">
        <v>10</v>
      </c>
      <c r="E2272" s="17" t="s">
        <v>21</v>
      </c>
      <c r="F2272" s="17" t="str">
        <f>INDEX(nrg_cb_e!$A$3:$A$40,MATCH(LEFT(MID('Industriesektor GWh'!$B2272,41,1000),SEARCH(" - ",MID('Industriesektor GWh'!$B2272,41,1000))-1),nrg_cb_e!$C$3:$C$40,0))</f>
        <v>FC_IND_TE_E</v>
      </c>
      <c r="G2272" s="18">
        <v>6881.9880000000003</v>
      </c>
    </row>
    <row r="2273" spans="1:7" x14ac:dyDescent="0.2">
      <c r="A2273" s="19" t="s">
        <v>38</v>
      </c>
      <c r="B2273" s="20" t="s">
        <v>66</v>
      </c>
      <c r="C2273" s="20" t="s">
        <v>8</v>
      </c>
      <c r="D2273" s="20" t="s">
        <v>10</v>
      </c>
      <c r="E2273" s="20" t="s">
        <v>22</v>
      </c>
      <c r="F2273" s="20" t="str">
        <f>INDEX(nrg_cb_e!$A$3:$A$40,MATCH(LEFT(MID('Industriesektor GWh'!$B2273,41,1000),SEARCH(" - ",MID('Industriesektor GWh'!$B2273,41,1000))-1),nrg_cb_e!$C$3:$C$40,0))</f>
        <v>FC_IND_TE_E</v>
      </c>
      <c r="G2273" s="21">
        <v>6860.8419999999996</v>
      </c>
    </row>
    <row r="2274" spans="1:7" x14ac:dyDescent="0.2">
      <c r="A2274" s="16" t="s">
        <v>38</v>
      </c>
      <c r="B2274" s="17" t="s">
        <v>66</v>
      </c>
      <c r="C2274" s="17" t="s">
        <v>8</v>
      </c>
      <c r="D2274" s="17" t="s">
        <v>10</v>
      </c>
      <c r="E2274" s="17" t="s">
        <v>23</v>
      </c>
      <c r="F2274" s="17" t="str">
        <f>INDEX(nrg_cb_e!$A$3:$A$40,MATCH(LEFT(MID('Industriesektor GWh'!$B2274,41,1000),SEARCH(" - ",MID('Industriesektor GWh'!$B2274,41,1000))-1),nrg_cb_e!$C$3:$C$40,0))</f>
        <v>FC_IND_TE_E</v>
      </c>
      <c r="G2274" s="18">
        <v>6741.91</v>
      </c>
    </row>
    <row r="2275" spans="1:7" x14ac:dyDescent="0.2">
      <c r="A2275" s="19" t="s">
        <v>38</v>
      </c>
      <c r="B2275" s="20" t="s">
        <v>66</v>
      </c>
      <c r="C2275" s="20" t="s">
        <v>8</v>
      </c>
      <c r="D2275" s="20" t="s">
        <v>10</v>
      </c>
      <c r="E2275" s="20" t="s">
        <v>24</v>
      </c>
      <c r="F2275" s="20" t="str">
        <f>INDEX(nrg_cb_e!$A$3:$A$40,MATCH(LEFT(MID('Industriesektor GWh'!$B2275,41,1000),SEARCH(" - ",MID('Industriesektor GWh'!$B2275,41,1000))-1),nrg_cb_e!$C$3:$C$40,0))</f>
        <v>FC_IND_TE_E</v>
      </c>
      <c r="G2275" s="21">
        <v>6639.6059999999998</v>
      </c>
    </row>
    <row r="2276" spans="1:7" x14ac:dyDescent="0.2">
      <c r="A2276" s="16" t="s">
        <v>38</v>
      </c>
      <c r="B2276" s="17" t="s">
        <v>66</v>
      </c>
      <c r="C2276" s="17" t="s">
        <v>8</v>
      </c>
      <c r="D2276" s="17" t="s">
        <v>10</v>
      </c>
      <c r="E2276" s="17" t="s">
        <v>25</v>
      </c>
      <c r="F2276" s="17" t="str">
        <f>INDEX(nrg_cb_e!$A$3:$A$40,MATCH(LEFT(MID('Industriesektor GWh'!$B2276,41,1000),SEARCH(" - ",MID('Industriesektor GWh'!$B2276,41,1000))-1),nrg_cb_e!$C$3:$C$40,0))</f>
        <v>FC_IND_TE_E</v>
      </c>
      <c r="G2276" s="18">
        <v>6692.3969999999999</v>
      </c>
    </row>
    <row r="2277" spans="1:7" x14ac:dyDescent="0.2">
      <c r="A2277" s="19" t="s">
        <v>38</v>
      </c>
      <c r="B2277" s="20" t="s">
        <v>66</v>
      </c>
      <c r="C2277" s="20" t="s">
        <v>8</v>
      </c>
      <c r="D2277" s="20" t="s">
        <v>10</v>
      </c>
      <c r="E2277" s="20" t="s">
        <v>26</v>
      </c>
      <c r="F2277" s="20" t="str">
        <f>INDEX(nrg_cb_e!$A$3:$A$40,MATCH(LEFT(MID('Industriesektor GWh'!$B2277,41,1000),SEARCH(" - ",MID('Industriesektor GWh'!$B2277,41,1000))-1),nrg_cb_e!$C$3:$C$40,0))</f>
        <v>FC_IND_TE_E</v>
      </c>
      <c r="G2277" s="21">
        <v>7300.0309999999999</v>
      </c>
    </row>
    <row r="2278" spans="1:7" x14ac:dyDescent="0.2">
      <c r="A2278" s="16" t="s">
        <v>38</v>
      </c>
      <c r="B2278" s="17" t="s">
        <v>66</v>
      </c>
      <c r="C2278" s="17" t="s">
        <v>8</v>
      </c>
      <c r="D2278" s="17" t="s">
        <v>10</v>
      </c>
      <c r="E2278" s="17" t="s">
        <v>27</v>
      </c>
      <c r="F2278" s="17" t="str">
        <f>INDEX(nrg_cb_e!$A$3:$A$40,MATCH(LEFT(MID('Industriesektor GWh'!$B2278,41,1000),SEARCH(" - ",MID('Industriesektor GWh'!$B2278,41,1000))-1),nrg_cb_e!$C$3:$C$40,0))</f>
        <v>FC_IND_TE_E</v>
      </c>
      <c r="G2278" s="18">
        <v>7213.7030000000004</v>
      </c>
    </row>
    <row r="2279" spans="1:7" x14ac:dyDescent="0.2">
      <c r="A2279" s="19" t="s">
        <v>38</v>
      </c>
      <c r="B2279" s="20" t="s">
        <v>66</v>
      </c>
      <c r="C2279" s="20" t="s">
        <v>8</v>
      </c>
      <c r="D2279" s="20" t="s">
        <v>10</v>
      </c>
      <c r="E2279" s="20" t="s">
        <v>28</v>
      </c>
      <c r="F2279" s="20" t="str">
        <f>INDEX(nrg_cb_e!$A$3:$A$40,MATCH(LEFT(MID('Industriesektor GWh'!$B2279,41,1000),SEARCH(" - ",MID('Industriesektor GWh'!$B2279,41,1000))-1),nrg_cb_e!$C$3:$C$40,0))</f>
        <v>FC_IND_TE_E</v>
      </c>
      <c r="G2279" s="21">
        <v>7352</v>
      </c>
    </row>
    <row r="2280" spans="1:7" x14ac:dyDescent="0.2">
      <c r="A2280" s="16" t="s">
        <v>39</v>
      </c>
      <c r="B2280" s="17" t="s">
        <v>66</v>
      </c>
      <c r="C2280" s="17" t="s">
        <v>8</v>
      </c>
      <c r="D2280" s="17" t="s">
        <v>10</v>
      </c>
      <c r="E2280" s="17" t="s">
        <v>12</v>
      </c>
      <c r="F2280" s="17" t="str">
        <f>INDEX(nrg_cb_e!$A$3:$A$40,MATCH(LEFT(MID('Industriesektor GWh'!$B2280,41,1000),SEARCH(" - ",MID('Industriesektor GWh'!$B2280,41,1000))-1),nrg_cb_e!$C$3:$C$40,0))</f>
        <v>FC_IND_TE_E</v>
      </c>
      <c r="G2280" s="18">
        <v>191</v>
      </c>
    </row>
    <row r="2281" spans="1:7" x14ac:dyDescent="0.2">
      <c r="A2281" s="19" t="s">
        <v>39</v>
      </c>
      <c r="B2281" s="20" t="s">
        <v>66</v>
      </c>
      <c r="C2281" s="20" t="s">
        <v>8</v>
      </c>
      <c r="D2281" s="20" t="s">
        <v>10</v>
      </c>
      <c r="E2281" s="20" t="s">
        <v>13</v>
      </c>
      <c r="F2281" s="20" t="str">
        <f>INDEX(nrg_cb_e!$A$3:$A$40,MATCH(LEFT(MID('Industriesektor GWh'!$B2281,41,1000),SEARCH(" - ",MID('Industriesektor GWh'!$B2281,41,1000))-1),nrg_cb_e!$C$3:$C$40,0))</f>
        <v>FC_IND_TE_E</v>
      </c>
      <c r="G2281" s="21">
        <v>190</v>
      </c>
    </row>
    <row r="2282" spans="1:7" x14ac:dyDescent="0.2">
      <c r="A2282" s="16" t="s">
        <v>39</v>
      </c>
      <c r="B2282" s="17" t="s">
        <v>66</v>
      </c>
      <c r="C2282" s="17" t="s">
        <v>8</v>
      </c>
      <c r="D2282" s="17" t="s">
        <v>10</v>
      </c>
      <c r="E2282" s="17" t="s">
        <v>14</v>
      </c>
      <c r="F2282" s="17" t="str">
        <f>INDEX(nrg_cb_e!$A$3:$A$40,MATCH(LEFT(MID('Industriesektor GWh'!$B2282,41,1000),SEARCH(" - ",MID('Industriesektor GWh'!$B2282,41,1000))-1),nrg_cb_e!$C$3:$C$40,0))</f>
        <v>FC_IND_TE_E</v>
      </c>
      <c r="G2282" s="18">
        <v>191</v>
      </c>
    </row>
    <row r="2283" spans="1:7" x14ac:dyDescent="0.2">
      <c r="A2283" s="19" t="s">
        <v>39</v>
      </c>
      <c r="B2283" s="20" t="s">
        <v>66</v>
      </c>
      <c r="C2283" s="20" t="s">
        <v>8</v>
      </c>
      <c r="D2283" s="20" t="s">
        <v>10</v>
      </c>
      <c r="E2283" s="20" t="s">
        <v>15</v>
      </c>
      <c r="F2283" s="20" t="str">
        <f>INDEX(nrg_cb_e!$A$3:$A$40,MATCH(LEFT(MID('Industriesektor GWh'!$B2283,41,1000),SEARCH(" - ",MID('Industriesektor GWh'!$B2283,41,1000))-1),nrg_cb_e!$C$3:$C$40,0))</f>
        <v>FC_IND_TE_E</v>
      </c>
      <c r="G2283" s="21">
        <v>182</v>
      </c>
    </row>
    <row r="2284" spans="1:7" x14ac:dyDescent="0.2">
      <c r="A2284" s="16" t="s">
        <v>39</v>
      </c>
      <c r="B2284" s="17" t="s">
        <v>66</v>
      </c>
      <c r="C2284" s="17" t="s">
        <v>8</v>
      </c>
      <c r="D2284" s="17" t="s">
        <v>10</v>
      </c>
      <c r="E2284" s="17" t="s">
        <v>16</v>
      </c>
      <c r="F2284" s="17" t="str">
        <f>INDEX(nrg_cb_e!$A$3:$A$40,MATCH(LEFT(MID('Industriesektor GWh'!$B2284,41,1000),SEARCH(" - ",MID('Industriesektor GWh'!$B2284,41,1000))-1),nrg_cb_e!$C$3:$C$40,0))</f>
        <v>FC_IND_TE_E</v>
      </c>
      <c r="G2284" s="18">
        <v>176</v>
      </c>
    </row>
    <row r="2285" spans="1:7" x14ac:dyDescent="0.2">
      <c r="A2285" s="19" t="s">
        <v>39</v>
      </c>
      <c r="B2285" s="20" t="s">
        <v>66</v>
      </c>
      <c r="C2285" s="20" t="s">
        <v>8</v>
      </c>
      <c r="D2285" s="20" t="s">
        <v>10</v>
      </c>
      <c r="E2285" s="20" t="s">
        <v>17</v>
      </c>
      <c r="F2285" s="20" t="str">
        <f>INDEX(nrg_cb_e!$A$3:$A$40,MATCH(LEFT(MID('Industriesektor GWh'!$B2285,41,1000),SEARCH(" - ",MID('Industriesektor GWh'!$B2285,41,1000))-1),nrg_cb_e!$C$3:$C$40,0))</f>
        <v>FC_IND_TE_E</v>
      </c>
      <c r="G2285" s="21">
        <v>193</v>
      </c>
    </row>
    <row r="2286" spans="1:7" x14ac:dyDescent="0.2">
      <c r="A2286" s="16" t="s">
        <v>39</v>
      </c>
      <c r="B2286" s="17" t="s">
        <v>66</v>
      </c>
      <c r="C2286" s="17" t="s">
        <v>8</v>
      </c>
      <c r="D2286" s="17" t="s">
        <v>10</v>
      </c>
      <c r="E2286" s="17" t="s">
        <v>18</v>
      </c>
      <c r="F2286" s="17" t="str">
        <f>INDEX(nrg_cb_e!$A$3:$A$40,MATCH(LEFT(MID('Industriesektor GWh'!$B2286,41,1000),SEARCH(" - ",MID('Industriesektor GWh'!$B2286,41,1000))-1),nrg_cb_e!$C$3:$C$40,0))</f>
        <v>FC_IND_TE_E</v>
      </c>
      <c r="G2286" s="18">
        <v>165</v>
      </c>
    </row>
    <row r="2287" spans="1:7" x14ac:dyDescent="0.2">
      <c r="A2287" s="19" t="s">
        <v>39</v>
      </c>
      <c r="B2287" s="20" t="s">
        <v>66</v>
      </c>
      <c r="C2287" s="20" t="s">
        <v>8</v>
      </c>
      <c r="D2287" s="20" t="s">
        <v>10</v>
      </c>
      <c r="E2287" s="20" t="s">
        <v>19</v>
      </c>
      <c r="F2287" s="20" t="str">
        <f>INDEX(nrg_cb_e!$A$3:$A$40,MATCH(LEFT(MID('Industriesektor GWh'!$B2287,41,1000),SEARCH(" - ",MID('Industriesektor GWh'!$B2287,41,1000))-1),nrg_cb_e!$C$3:$C$40,0))</f>
        <v>FC_IND_TE_E</v>
      </c>
      <c r="G2287" s="21">
        <v>134</v>
      </c>
    </row>
    <row r="2288" spans="1:7" x14ac:dyDescent="0.2">
      <c r="A2288" s="16" t="s">
        <v>39</v>
      </c>
      <c r="B2288" s="17" t="s">
        <v>66</v>
      </c>
      <c r="C2288" s="17" t="s">
        <v>8</v>
      </c>
      <c r="D2288" s="17" t="s">
        <v>10</v>
      </c>
      <c r="E2288" s="17" t="s">
        <v>20</v>
      </c>
      <c r="F2288" s="17" t="str">
        <f>INDEX(nrg_cb_e!$A$3:$A$40,MATCH(LEFT(MID('Industriesektor GWh'!$B2288,41,1000),SEARCH(" - ",MID('Industriesektor GWh'!$B2288,41,1000))-1),nrg_cb_e!$C$3:$C$40,0))</f>
        <v>FC_IND_TE_E</v>
      </c>
      <c r="G2288" s="18">
        <v>128</v>
      </c>
    </row>
    <row r="2289" spans="1:7" x14ac:dyDescent="0.2">
      <c r="A2289" s="19" t="s">
        <v>39</v>
      </c>
      <c r="B2289" s="20" t="s">
        <v>66</v>
      </c>
      <c r="C2289" s="20" t="s">
        <v>8</v>
      </c>
      <c r="D2289" s="20" t="s">
        <v>10</v>
      </c>
      <c r="E2289" s="20" t="s">
        <v>21</v>
      </c>
      <c r="F2289" s="20" t="str">
        <f>INDEX(nrg_cb_e!$A$3:$A$40,MATCH(LEFT(MID('Industriesektor GWh'!$B2289,41,1000),SEARCH(" - ",MID('Industriesektor GWh'!$B2289,41,1000))-1),nrg_cb_e!$C$3:$C$40,0))</f>
        <v>FC_IND_TE_E</v>
      </c>
      <c r="G2289" s="21">
        <v>124</v>
      </c>
    </row>
    <row r="2290" spans="1:7" x14ac:dyDescent="0.2">
      <c r="A2290" s="16" t="s">
        <v>39</v>
      </c>
      <c r="B2290" s="17" t="s">
        <v>66</v>
      </c>
      <c r="C2290" s="17" t="s">
        <v>8</v>
      </c>
      <c r="D2290" s="17" t="s">
        <v>10</v>
      </c>
      <c r="E2290" s="17" t="s">
        <v>22</v>
      </c>
      <c r="F2290" s="17" t="str">
        <f>INDEX(nrg_cb_e!$A$3:$A$40,MATCH(LEFT(MID('Industriesektor GWh'!$B2290,41,1000),SEARCH(" - ",MID('Industriesektor GWh'!$B2290,41,1000))-1),nrg_cb_e!$C$3:$C$40,0))</f>
        <v>FC_IND_TE_E</v>
      </c>
      <c r="G2290" s="18">
        <v>111</v>
      </c>
    </row>
    <row r="2291" spans="1:7" x14ac:dyDescent="0.2">
      <c r="A2291" s="19" t="s">
        <v>39</v>
      </c>
      <c r="B2291" s="20" t="s">
        <v>66</v>
      </c>
      <c r="C2291" s="20" t="s">
        <v>8</v>
      </c>
      <c r="D2291" s="20" t="s">
        <v>10</v>
      </c>
      <c r="E2291" s="20" t="s">
        <v>23</v>
      </c>
      <c r="F2291" s="20" t="str">
        <f>INDEX(nrg_cb_e!$A$3:$A$40,MATCH(LEFT(MID('Industriesektor GWh'!$B2291,41,1000),SEARCH(" - ",MID('Industriesektor GWh'!$B2291,41,1000))-1),nrg_cb_e!$C$3:$C$40,0))</f>
        <v>FC_IND_TE_E</v>
      </c>
      <c r="G2291" s="21">
        <v>90</v>
      </c>
    </row>
    <row r="2292" spans="1:7" x14ac:dyDescent="0.2">
      <c r="A2292" s="16" t="s">
        <v>39</v>
      </c>
      <c r="B2292" s="17" t="s">
        <v>66</v>
      </c>
      <c r="C2292" s="17" t="s">
        <v>8</v>
      </c>
      <c r="D2292" s="17" t="s">
        <v>10</v>
      </c>
      <c r="E2292" s="17" t="s">
        <v>24</v>
      </c>
      <c r="F2292" s="17" t="str">
        <f>INDEX(nrg_cb_e!$A$3:$A$40,MATCH(LEFT(MID('Industriesektor GWh'!$B2292,41,1000),SEARCH(" - ",MID('Industriesektor GWh'!$B2292,41,1000))-1),nrg_cb_e!$C$3:$C$40,0))</f>
        <v>FC_IND_TE_E</v>
      </c>
      <c r="G2292" s="18">
        <v>76</v>
      </c>
    </row>
    <row r="2293" spans="1:7" x14ac:dyDescent="0.2">
      <c r="A2293" s="19" t="s">
        <v>39</v>
      </c>
      <c r="B2293" s="20" t="s">
        <v>66</v>
      </c>
      <c r="C2293" s="20" t="s">
        <v>8</v>
      </c>
      <c r="D2293" s="20" t="s">
        <v>10</v>
      </c>
      <c r="E2293" s="20" t="s">
        <v>25</v>
      </c>
      <c r="F2293" s="20" t="str">
        <f>INDEX(nrg_cb_e!$A$3:$A$40,MATCH(LEFT(MID('Industriesektor GWh'!$B2293,41,1000),SEARCH(" - ",MID('Industriesektor GWh'!$B2293,41,1000))-1),nrg_cb_e!$C$3:$C$40,0))</f>
        <v>FC_IND_TE_E</v>
      </c>
      <c r="G2293" s="21">
        <v>82</v>
      </c>
    </row>
    <row r="2294" spans="1:7" x14ac:dyDescent="0.2">
      <c r="A2294" s="16" t="s">
        <v>39</v>
      </c>
      <c r="B2294" s="17" t="s">
        <v>66</v>
      </c>
      <c r="C2294" s="17" t="s">
        <v>8</v>
      </c>
      <c r="D2294" s="17" t="s">
        <v>10</v>
      </c>
      <c r="E2294" s="17" t="s">
        <v>26</v>
      </c>
      <c r="F2294" s="17" t="str">
        <f>INDEX(nrg_cb_e!$A$3:$A$40,MATCH(LEFT(MID('Industriesektor GWh'!$B2294,41,1000),SEARCH(" - ",MID('Industriesektor GWh'!$B2294,41,1000))-1),nrg_cb_e!$C$3:$C$40,0))</f>
        <v>FC_IND_TE_E</v>
      </c>
      <c r="G2294" s="18">
        <v>91</v>
      </c>
    </row>
    <row r="2295" spans="1:7" x14ac:dyDescent="0.2">
      <c r="A2295" s="19" t="s">
        <v>39</v>
      </c>
      <c r="B2295" s="20" t="s">
        <v>66</v>
      </c>
      <c r="C2295" s="20" t="s">
        <v>8</v>
      </c>
      <c r="D2295" s="20" t="s">
        <v>10</v>
      </c>
      <c r="E2295" s="20" t="s">
        <v>27</v>
      </c>
      <c r="F2295" s="20" t="str">
        <f>INDEX(nrg_cb_e!$A$3:$A$40,MATCH(LEFT(MID('Industriesektor GWh'!$B2295,41,1000),SEARCH(" - ",MID('Industriesektor GWh'!$B2295,41,1000))-1),nrg_cb_e!$C$3:$C$40,0))</f>
        <v>FC_IND_TE_E</v>
      </c>
      <c r="G2295" s="21">
        <v>98</v>
      </c>
    </row>
    <row r="2296" spans="1:7" x14ac:dyDescent="0.2">
      <c r="A2296" s="16" t="s">
        <v>39</v>
      </c>
      <c r="B2296" s="17" t="s">
        <v>66</v>
      </c>
      <c r="C2296" s="17" t="s">
        <v>8</v>
      </c>
      <c r="D2296" s="17" t="s">
        <v>10</v>
      </c>
      <c r="E2296" s="17" t="s">
        <v>28</v>
      </c>
      <c r="F2296" s="17" t="str">
        <f>INDEX(nrg_cb_e!$A$3:$A$40,MATCH(LEFT(MID('Industriesektor GWh'!$B2296,41,1000),SEARCH(" - ",MID('Industriesektor GWh'!$B2296,41,1000))-1),nrg_cb_e!$C$3:$C$40,0))</f>
        <v>FC_IND_TE_E</v>
      </c>
      <c r="G2296" s="18">
        <v>93</v>
      </c>
    </row>
    <row r="2297" spans="1:7" x14ac:dyDescent="0.2">
      <c r="A2297" s="19" t="s">
        <v>40</v>
      </c>
      <c r="B2297" s="20" t="s">
        <v>66</v>
      </c>
      <c r="C2297" s="20" t="s">
        <v>8</v>
      </c>
      <c r="D2297" s="20" t="s">
        <v>10</v>
      </c>
      <c r="E2297" s="20" t="s">
        <v>12</v>
      </c>
      <c r="F2297" s="20" t="str">
        <f>INDEX(nrg_cb_e!$A$3:$A$40,MATCH(LEFT(MID('Industriesektor GWh'!$B2297,41,1000),SEARCH(" - ",MID('Industriesektor GWh'!$B2297,41,1000))-1),nrg_cb_e!$C$3:$C$40,0))</f>
        <v>FC_IND_TE_E</v>
      </c>
      <c r="G2297" s="21">
        <v>4433</v>
      </c>
    </row>
    <row r="2298" spans="1:7" x14ac:dyDescent="0.2">
      <c r="A2298" s="16" t="s">
        <v>40</v>
      </c>
      <c r="B2298" s="17" t="s">
        <v>66</v>
      </c>
      <c r="C2298" s="17" t="s">
        <v>8</v>
      </c>
      <c r="D2298" s="17" t="s">
        <v>10</v>
      </c>
      <c r="E2298" s="17" t="s">
        <v>13</v>
      </c>
      <c r="F2298" s="17" t="str">
        <f>INDEX(nrg_cb_e!$A$3:$A$40,MATCH(LEFT(MID('Industriesektor GWh'!$B2298,41,1000),SEARCH(" - ",MID('Industriesektor GWh'!$B2298,41,1000))-1),nrg_cb_e!$C$3:$C$40,0))</f>
        <v>FC_IND_TE_E</v>
      </c>
      <c r="G2298" s="18">
        <v>4408</v>
      </c>
    </row>
    <row r="2299" spans="1:7" x14ac:dyDescent="0.2">
      <c r="A2299" s="19" t="s">
        <v>40</v>
      </c>
      <c r="B2299" s="20" t="s">
        <v>66</v>
      </c>
      <c r="C2299" s="20" t="s">
        <v>8</v>
      </c>
      <c r="D2299" s="20" t="s">
        <v>10</v>
      </c>
      <c r="E2299" s="20" t="s">
        <v>14</v>
      </c>
      <c r="F2299" s="20" t="str">
        <f>INDEX(nrg_cb_e!$A$3:$A$40,MATCH(LEFT(MID('Industriesektor GWh'!$B2299,41,1000),SEARCH(" - ",MID('Industriesektor GWh'!$B2299,41,1000))-1),nrg_cb_e!$C$3:$C$40,0))</f>
        <v>FC_IND_TE_E</v>
      </c>
      <c r="G2299" s="21">
        <v>4238</v>
      </c>
    </row>
    <row r="2300" spans="1:7" x14ac:dyDescent="0.2">
      <c r="A2300" s="16" t="s">
        <v>40</v>
      </c>
      <c r="B2300" s="17" t="s">
        <v>66</v>
      </c>
      <c r="C2300" s="17" t="s">
        <v>8</v>
      </c>
      <c r="D2300" s="17" t="s">
        <v>10</v>
      </c>
      <c r="E2300" s="17" t="s">
        <v>15</v>
      </c>
      <c r="F2300" s="17" t="str">
        <f>INDEX(nrg_cb_e!$A$3:$A$40,MATCH(LEFT(MID('Industriesektor GWh'!$B2300,41,1000),SEARCH(" - ",MID('Industriesektor GWh'!$B2300,41,1000))-1),nrg_cb_e!$C$3:$C$40,0))</f>
        <v>FC_IND_TE_E</v>
      </c>
      <c r="G2300" s="18">
        <v>4236</v>
      </c>
    </row>
    <row r="2301" spans="1:7" x14ac:dyDescent="0.2">
      <c r="A2301" s="19" t="s">
        <v>40</v>
      </c>
      <c r="B2301" s="20" t="s">
        <v>66</v>
      </c>
      <c r="C2301" s="20" t="s">
        <v>8</v>
      </c>
      <c r="D2301" s="20" t="s">
        <v>10</v>
      </c>
      <c r="E2301" s="20" t="s">
        <v>16</v>
      </c>
      <c r="F2301" s="20" t="str">
        <f>INDEX(nrg_cb_e!$A$3:$A$40,MATCH(LEFT(MID('Industriesektor GWh'!$B2301,41,1000),SEARCH(" - ",MID('Industriesektor GWh'!$B2301,41,1000))-1),nrg_cb_e!$C$3:$C$40,0))</f>
        <v>FC_IND_TE_E</v>
      </c>
      <c r="G2301" s="21">
        <v>4426</v>
      </c>
    </row>
    <row r="2302" spans="1:7" x14ac:dyDescent="0.2">
      <c r="A2302" s="16" t="s">
        <v>40</v>
      </c>
      <c r="B2302" s="17" t="s">
        <v>66</v>
      </c>
      <c r="C2302" s="17" t="s">
        <v>8</v>
      </c>
      <c r="D2302" s="17" t="s">
        <v>10</v>
      </c>
      <c r="E2302" s="17" t="s">
        <v>17</v>
      </c>
      <c r="F2302" s="17" t="str">
        <f>INDEX(nrg_cb_e!$A$3:$A$40,MATCH(LEFT(MID('Industriesektor GWh'!$B2302,41,1000),SEARCH(" - ",MID('Industriesektor GWh'!$B2302,41,1000))-1),nrg_cb_e!$C$3:$C$40,0))</f>
        <v>FC_IND_TE_E</v>
      </c>
      <c r="G2302" s="18">
        <v>4479</v>
      </c>
    </row>
    <row r="2303" spans="1:7" x14ac:dyDescent="0.2">
      <c r="A2303" s="19" t="s">
        <v>40</v>
      </c>
      <c r="B2303" s="20" t="s">
        <v>66</v>
      </c>
      <c r="C2303" s="20" t="s">
        <v>8</v>
      </c>
      <c r="D2303" s="20" t="s">
        <v>10</v>
      </c>
      <c r="E2303" s="20" t="s">
        <v>18</v>
      </c>
      <c r="F2303" s="20" t="str">
        <f>INDEX(nrg_cb_e!$A$3:$A$40,MATCH(LEFT(MID('Industriesektor GWh'!$B2303,41,1000),SEARCH(" - ",MID('Industriesektor GWh'!$B2303,41,1000))-1),nrg_cb_e!$C$3:$C$40,0))</f>
        <v>FC_IND_TE_E</v>
      </c>
      <c r="G2303" s="21">
        <v>4257</v>
      </c>
    </row>
    <row r="2304" spans="1:7" x14ac:dyDescent="0.2">
      <c r="A2304" s="16" t="s">
        <v>40</v>
      </c>
      <c r="B2304" s="17" t="s">
        <v>66</v>
      </c>
      <c r="C2304" s="17" t="s">
        <v>8</v>
      </c>
      <c r="D2304" s="17" t="s">
        <v>10</v>
      </c>
      <c r="E2304" s="17" t="s">
        <v>19</v>
      </c>
      <c r="F2304" s="17" t="str">
        <f>INDEX(nrg_cb_e!$A$3:$A$40,MATCH(LEFT(MID('Industriesektor GWh'!$B2304,41,1000),SEARCH(" - ",MID('Industriesektor GWh'!$B2304,41,1000))-1),nrg_cb_e!$C$3:$C$40,0))</f>
        <v>FC_IND_TE_E</v>
      </c>
      <c r="G2304" s="18">
        <v>3630</v>
      </c>
    </row>
    <row r="2305" spans="1:7" x14ac:dyDescent="0.2">
      <c r="A2305" s="19" t="s">
        <v>40</v>
      </c>
      <c r="B2305" s="20" t="s">
        <v>66</v>
      </c>
      <c r="C2305" s="20" t="s">
        <v>8</v>
      </c>
      <c r="D2305" s="20" t="s">
        <v>10</v>
      </c>
      <c r="E2305" s="20" t="s">
        <v>20</v>
      </c>
      <c r="F2305" s="20" t="str">
        <f>INDEX(nrg_cb_e!$A$3:$A$40,MATCH(LEFT(MID('Industriesektor GWh'!$B2305,41,1000),SEARCH(" - ",MID('Industriesektor GWh'!$B2305,41,1000))-1),nrg_cb_e!$C$3:$C$40,0))</f>
        <v>FC_IND_TE_E</v>
      </c>
      <c r="G2305" s="21">
        <v>3788</v>
      </c>
    </row>
    <row r="2306" spans="1:7" x14ac:dyDescent="0.2">
      <c r="A2306" s="16" t="s">
        <v>40</v>
      </c>
      <c r="B2306" s="17" t="s">
        <v>66</v>
      </c>
      <c r="C2306" s="17" t="s">
        <v>8</v>
      </c>
      <c r="D2306" s="17" t="s">
        <v>10</v>
      </c>
      <c r="E2306" s="17" t="s">
        <v>21</v>
      </c>
      <c r="F2306" s="17" t="str">
        <f>INDEX(nrg_cb_e!$A$3:$A$40,MATCH(LEFT(MID('Industriesektor GWh'!$B2306,41,1000),SEARCH(" - ",MID('Industriesektor GWh'!$B2306,41,1000))-1),nrg_cb_e!$C$3:$C$40,0))</f>
        <v>FC_IND_TE_E</v>
      </c>
      <c r="G2306" s="18">
        <v>3645</v>
      </c>
    </row>
    <row r="2307" spans="1:7" x14ac:dyDescent="0.2">
      <c r="A2307" s="19" t="s">
        <v>40</v>
      </c>
      <c r="B2307" s="20" t="s">
        <v>66</v>
      </c>
      <c r="C2307" s="20" t="s">
        <v>8</v>
      </c>
      <c r="D2307" s="20" t="s">
        <v>10</v>
      </c>
      <c r="E2307" s="20" t="s">
        <v>22</v>
      </c>
      <c r="F2307" s="20" t="str">
        <f>INDEX(nrg_cb_e!$A$3:$A$40,MATCH(LEFT(MID('Industriesektor GWh'!$B2307,41,1000),SEARCH(" - ",MID('Industriesektor GWh'!$B2307,41,1000))-1),nrg_cb_e!$C$3:$C$40,0))</f>
        <v>FC_IND_TE_E</v>
      </c>
      <c r="G2307" s="21">
        <v>3314</v>
      </c>
    </row>
    <row r="2308" spans="1:7" x14ac:dyDescent="0.2">
      <c r="A2308" s="16" t="s">
        <v>40</v>
      </c>
      <c r="B2308" s="17" t="s">
        <v>66</v>
      </c>
      <c r="C2308" s="17" t="s">
        <v>8</v>
      </c>
      <c r="D2308" s="17" t="s">
        <v>10</v>
      </c>
      <c r="E2308" s="17" t="s">
        <v>23</v>
      </c>
      <c r="F2308" s="17" t="str">
        <f>INDEX(nrg_cb_e!$A$3:$A$40,MATCH(LEFT(MID('Industriesektor GWh'!$B2308,41,1000),SEARCH(" - ",MID('Industriesektor GWh'!$B2308,41,1000))-1),nrg_cb_e!$C$3:$C$40,0))</f>
        <v>FC_IND_TE_E</v>
      </c>
      <c r="G2308" s="18">
        <v>3325</v>
      </c>
    </row>
    <row r="2309" spans="1:7" x14ac:dyDescent="0.2">
      <c r="A2309" s="19" t="s">
        <v>40</v>
      </c>
      <c r="B2309" s="20" t="s">
        <v>66</v>
      </c>
      <c r="C2309" s="20" t="s">
        <v>8</v>
      </c>
      <c r="D2309" s="20" t="s">
        <v>10</v>
      </c>
      <c r="E2309" s="20" t="s">
        <v>24</v>
      </c>
      <c r="F2309" s="20" t="str">
        <f>INDEX(nrg_cb_e!$A$3:$A$40,MATCH(LEFT(MID('Industriesektor GWh'!$B2309,41,1000),SEARCH(" - ",MID('Industriesektor GWh'!$B2309,41,1000))-1),nrg_cb_e!$C$3:$C$40,0))</f>
        <v>FC_IND_TE_E</v>
      </c>
      <c r="G2309" s="21">
        <v>3340</v>
      </c>
    </row>
    <row r="2310" spans="1:7" x14ac:dyDescent="0.2">
      <c r="A2310" s="16" t="s">
        <v>40</v>
      </c>
      <c r="B2310" s="17" t="s">
        <v>66</v>
      </c>
      <c r="C2310" s="17" t="s">
        <v>8</v>
      </c>
      <c r="D2310" s="17" t="s">
        <v>10</v>
      </c>
      <c r="E2310" s="17" t="s">
        <v>25</v>
      </c>
      <c r="F2310" s="17" t="str">
        <f>INDEX(nrg_cb_e!$A$3:$A$40,MATCH(LEFT(MID('Industriesektor GWh'!$B2310,41,1000),SEARCH(" - ",MID('Industriesektor GWh'!$B2310,41,1000))-1),nrg_cb_e!$C$3:$C$40,0))</f>
        <v>FC_IND_TE_E</v>
      </c>
      <c r="G2310" s="18">
        <v>3518</v>
      </c>
    </row>
    <row r="2311" spans="1:7" x14ac:dyDescent="0.2">
      <c r="A2311" s="19" t="s">
        <v>40</v>
      </c>
      <c r="B2311" s="20" t="s">
        <v>66</v>
      </c>
      <c r="C2311" s="20" t="s">
        <v>8</v>
      </c>
      <c r="D2311" s="20" t="s">
        <v>10</v>
      </c>
      <c r="E2311" s="20" t="s">
        <v>26</v>
      </c>
      <c r="F2311" s="20" t="str">
        <f>INDEX(nrg_cb_e!$A$3:$A$40,MATCH(LEFT(MID('Industriesektor GWh'!$B2311,41,1000),SEARCH(" - ",MID('Industriesektor GWh'!$B2311,41,1000))-1),nrg_cb_e!$C$3:$C$40,0))</f>
        <v>FC_IND_TE_E</v>
      </c>
      <c r="G2311" s="21">
        <v>3610</v>
      </c>
    </row>
    <row r="2312" spans="1:7" x14ac:dyDescent="0.2">
      <c r="A2312" s="16" t="s">
        <v>40</v>
      </c>
      <c r="B2312" s="17" t="s">
        <v>66</v>
      </c>
      <c r="C2312" s="17" t="s">
        <v>8</v>
      </c>
      <c r="D2312" s="17" t="s">
        <v>10</v>
      </c>
      <c r="E2312" s="17" t="s">
        <v>27</v>
      </c>
      <c r="F2312" s="17" t="str">
        <f>INDEX(nrg_cb_e!$A$3:$A$40,MATCH(LEFT(MID('Industriesektor GWh'!$B2312,41,1000),SEARCH(" - ",MID('Industriesektor GWh'!$B2312,41,1000))-1),nrg_cb_e!$C$3:$C$40,0))</f>
        <v>FC_IND_TE_E</v>
      </c>
      <c r="G2312" s="18">
        <v>3590.4969999999998</v>
      </c>
    </row>
    <row r="2313" spans="1:7" x14ac:dyDescent="0.2">
      <c r="A2313" s="19" t="s">
        <v>40</v>
      </c>
      <c r="B2313" s="20" t="s">
        <v>66</v>
      </c>
      <c r="C2313" s="20" t="s">
        <v>8</v>
      </c>
      <c r="D2313" s="20" t="s">
        <v>10</v>
      </c>
      <c r="E2313" s="20" t="s">
        <v>28</v>
      </c>
      <c r="F2313" s="20" t="str">
        <f>INDEX(nrg_cb_e!$A$3:$A$40,MATCH(LEFT(MID('Industriesektor GWh'!$B2313,41,1000),SEARCH(" - ",MID('Industriesektor GWh'!$B2313,41,1000))-1),nrg_cb_e!$C$3:$C$40,0))</f>
        <v>FC_IND_TE_E</v>
      </c>
      <c r="G2313" s="21">
        <v>3566.1669999999999</v>
      </c>
    </row>
    <row r="2314" spans="1:7" x14ac:dyDescent="0.2">
      <c r="A2314" s="16" t="s">
        <v>41</v>
      </c>
      <c r="B2314" s="17" t="s">
        <v>66</v>
      </c>
      <c r="C2314" s="17" t="s">
        <v>8</v>
      </c>
      <c r="D2314" s="17" t="s">
        <v>10</v>
      </c>
      <c r="E2314" s="17" t="s">
        <v>12</v>
      </c>
      <c r="F2314" s="17" t="str">
        <f>INDEX(nrg_cb_e!$A$3:$A$40,MATCH(LEFT(MID('Industriesektor GWh'!$B2314,41,1000),SEARCH(" - ",MID('Industriesektor GWh'!$B2314,41,1000))-1),nrg_cb_e!$C$3:$C$40,0))</f>
        <v>FC_IND_TE_E</v>
      </c>
      <c r="G2314" s="18">
        <v>1</v>
      </c>
    </row>
    <row r="2315" spans="1:7" x14ac:dyDescent="0.2">
      <c r="A2315" s="19" t="s">
        <v>41</v>
      </c>
      <c r="B2315" s="20" t="s">
        <v>66</v>
      </c>
      <c r="C2315" s="20" t="s">
        <v>8</v>
      </c>
      <c r="D2315" s="20" t="s">
        <v>10</v>
      </c>
      <c r="E2315" s="20" t="s">
        <v>13</v>
      </c>
      <c r="F2315" s="20" t="str">
        <f>INDEX(nrg_cb_e!$A$3:$A$40,MATCH(LEFT(MID('Industriesektor GWh'!$B2315,41,1000),SEARCH(" - ",MID('Industriesektor GWh'!$B2315,41,1000))-1),nrg_cb_e!$C$3:$C$40,0))</f>
        <v>FC_IND_TE_E</v>
      </c>
      <c r="G2315" s="21">
        <v>1</v>
      </c>
    </row>
    <row r="2316" spans="1:7" x14ac:dyDescent="0.2">
      <c r="A2316" s="16" t="s">
        <v>41</v>
      </c>
      <c r="B2316" s="17" t="s">
        <v>66</v>
      </c>
      <c r="C2316" s="17" t="s">
        <v>8</v>
      </c>
      <c r="D2316" s="17" t="s">
        <v>10</v>
      </c>
      <c r="E2316" s="17" t="s">
        <v>14</v>
      </c>
      <c r="F2316" s="17" t="str">
        <f>INDEX(nrg_cb_e!$A$3:$A$40,MATCH(LEFT(MID('Industriesektor GWh'!$B2316,41,1000),SEARCH(" - ",MID('Industriesektor GWh'!$B2316,41,1000))-1),nrg_cb_e!$C$3:$C$40,0))</f>
        <v>FC_IND_TE_E</v>
      </c>
      <c r="G2316" s="18">
        <v>1</v>
      </c>
    </row>
    <row r="2317" spans="1:7" x14ac:dyDescent="0.2">
      <c r="A2317" s="19" t="s">
        <v>41</v>
      </c>
      <c r="B2317" s="20" t="s">
        <v>66</v>
      </c>
      <c r="C2317" s="20" t="s">
        <v>8</v>
      </c>
      <c r="D2317" s="20" t="s">
        <v>10</v>
      </c>
      <c r="E2317" s="20" t="s">
        <v>15</v>
      </c>
      <c r="F2317" s="20" t="str">
        <f>INDEX(nrg_cb_e!$A$3:$A$40,MATCH(LEFT(MID('Industriesektor GWh'!$B2317,41,1000),SEARCH(" - ",MID('Industriesektor GWh'!$B2317,41,1000))-1),nrg_cb_e!$C$3:$C$40,0))</f>
        <v>FC_IND_TE_E</v>
      </c>
      <c r="G2317" s="21">
        <v>1</v>
      </c>
    </row>
    <row r="2318" spans="1:7" x14ac:dyDescent="0.2">
      <c r="A2318" s="16" t="s">
        <v>41</v>
      </c>
      <c r="B2318" s="17" t="s">
        <v>66</v>
      </c>
      <c r="C2318" s="17" t="s">
        <v>8</v>
      </c>
      <c r="D2318" s="17" t="s">
        <v>10</v>
      </c>
      <c r="E2318" s="17" t="s">
        <v>16</v>
      </c>
      <c r="F2318" s="17" t="str">
        <f>INDEX(nrg_cb_e!$A$3:$A$40,MATCH(LEFT(MID('Industriesektor GWh'!$B2318,41,1000),SEARCH(" - ",MID('Industriesektor GWh'!$B2318,41,1000))-1),nrg_cb_e!$C$3:$C$40,0))</f>
        <v>FC_IND_TE_E</v>
      </c>
      <c r="G2318" s="18">
        <v>1</v>
      </c>
    </row>
    <row r="2319" spans="1:7" x14ac:dyDescent="0.2">
      <c r="A2319" s="19" t="s">
        <v>41</v>
      </c>
      <c r="B2319" s="20" t="s">
        <v>66</v>
      </c>
      <c r="C2319" s="20" t="s">
        <v>8</v>
      </c>
      <c r="D2319" s="20" t="s">
        <v>10</v>
      </c>
      <c r="E2319" s="20" t="s">
        <v>17</v>
      </c>
      <c r="F2319" s="20" t="str">
        <f>INDEX(nrg_cb_e!$A$3:$A$40,MATCH(LEFT(MID('Industriesektor GWh'!$B2319,41,1000),SEARCH(" - ",MID('Industriesektor GWh'!$B2319,41,1000))-1),nrg_cb_e!$C$3:$C$40,0))</f>
        <v>FC_IND_TE_E</v>
      </c>
      <c r="G2319" s="21">
        <v>1</v>
      </c>
    </row>
    <row r="2320" spans="1:7" x14ac:dyDescent="0.2">
      <c r="A2320" s="16" t="s">
        <v>41</v>
      </c>
      <c r="B2320" s="17" t="s">
        <v>66</v>
      </c>
      <c r="C2320" s="17" t="s">
        <v>8</v>
      </c>
      <c r="D2320" s="17" t="s">
        <v>10</v>
      </c>
      <c r="E2320" s="17" t="s">
        <v>18</v>
      </c>
      <c r="F2320" s="17" t="str">
        <f>INDEX(nrg_cb_e!$A$3:$A$40,MATCH(LEFT(MID('Industriesektor GWh'!$B2320,41,1000),SEARCH(" - ",MID('Industriesektor GWh'!$B2320,41,1000))-1),nrg_cb_e!$C$3:$C$40,0))</f>
        <v>FC_IND_TE_E</v>
      </c>
      <c r="G2320" s="18">
        <v>1</v>
      </c>
    </row>
    <row r="2321" spans="1:7" x14ac:dyDescent="0.2">
      <c r="A2321" s="19" t="s">
        <v>41</v>
      </c>
      <c r="B2321" s="20" t="s">
        <v>66</v>
      </c>
      <c r="C2321" s="20" t="s">
        <v>8</v>
      </c>
      <c r="D2321" s="20" t="s">
        <v>10</v>
      </c>
      <c r="E2321" s="20" t="s">
        <v>19</v>
      </c>
      <c r="F2321" s="20" t="str">
        <f>INDEX(nrg_cb_e!$A$3:$A$40,MATCH(LEFT(MID('Industriesektor GWh'!$B2321,41,1000),SEARCH(" - ",MID('Industriesektor GWh'!$B2321,41,1000))-1),nrg_cb_e!$C$3:$C$40,0))</f>
        <v>FC_IND_TE_E</v>
      </c>
      <c r="G2321" s="21">
        <v>1</v>
      </c>
    </row>
    <row r="2322" spans="1:7" x14ac:dyDescent="0.2">
      <c r="A2322" s="16" t="s">
        <v>41</v>
      </c>
      <c r="B2322" s="17" t="s">
        <v>66</v>
      </c>
      <c r="C2322" s="17" t="s">
        <v>8</v>
      </c>
      <c r="D2322" s="17" t="s">
        <v>10</v>
      </c>
      <c r="E2322" s="17" t="s">
        <v>20</v>
      </c>
      <c r="F2322" s="17" t="str">
        <f>INDEX(nrg_cb_e!$A$3:$A$40,MATCH(LEFT(MID('Industriesektor GWh'!$B2322,41,1000),SEARCH(" - ",MID('Industriesektor GWh'!$B2322,41,1000))-1),nrg_cb_e!$C$3:$C$40,0))</f>
        <v>FC_IND_TE_E</v>
      </c>
      <c r="G2322" s="18">
        <v>1</v>
      </c>
    </row>
    <row r="2323" spans="1:7" x14ac:dyDescent="0.2">
      <c r="A2323" s="19" t="s">
        <v>41</v>
      </c>
      <c r="B2323" s="20" t="s">
        <v>66</v>
      </c>
      <c r="C2323" s="20" t="s">
        <v>8</v>
      </c>
      <c r="D2323" s="20" t="s">
        <v>10</v>
      </c>
      <c r="E2323" s="20" t="s">
        <v>21</v>
      </c>
      <c r="F2323" s="20" t="str">
        <f>INDEX(nrg_cb_e!$A$3:$A$40,MATCH(LEFT(MID('Industriesektor GWh'!$B2323,41,1000),SEARCH(" - ",MID('Industriesektor GWh'!$B2323,41,1000))-1),nrg_cb_e!$C$3:$C$40,0))</f>
        <v>FC_IND_TE_E</v>
      </c>
      <c r="G2323" s="21">
        <v>1</v>
      </c>
    </row>
    <row r="2324" spans="1:7" x14ac:dyDescent="0.2">
      <c r="A2324" s="16" t="s">
        <v>41</v>
      </c>
      <c r="B2324" s="17" t="s">
        <v>66</v>
      </c>
      <c r="C2324" s="17" t="s">
        <v>8</v>
      </c>
      <c r="D2324" s="17" t="s">
        <v>10</v>
      </c>
      <c r="E2324" s="17" t="s">
        <v>22</v>
      </c>
      <c r="F2324" s="17" t="str">
        <f>INDEX(nrg_cb_e!$A$3:$A$40,MATCH(LEFT(MID('Industriesektor GWh'!$B2324,41,1000),SEARCH(" - ",MID('Industriesektor GWh'!$B2324,41,1000))-1),nrg_cb_e!$C$3:$C$40,0))</f>
        <v>FC_IND_TE_E</v>
      </c>
      <c r="G2324" s="18">
        <v>2</v>
      </c>
    </row>
    <row r="2325" spans="1:7" x14ac:dyDescent="0.2">
      <c r="A2325" s="19" t="s">
        <v>41</v>
      </c>
      <c r="B2325" s="20" t="s">
        <v>66</v>
      </c>
      <c r="C2325" s="20" t="s">
        <v>8</v>
      </c>
      <c r="D2325" s="20" t="s">
        <v>10</v>
      </c>
      <c r="E2325" s="20" t="s">
        <v>23</v>
      </c>
      <c r="F2325" s="20" t="str">
        <f>INDEX(nrg_cb_e!$A$3:$A$40,MATCH(LEFT(MID('Industriesektor GWh'!$B2325,41,1000),SEARCH(" - ",MID('Industriesektor GWh'!$B2325,41,1000))-1),nrg_cb_e!$C$3:$C$40,0))</f>
        <v>FC_IND_TE_E</v>
      </c>
      <c r="G2325" s="21">
        <v>2</v>
      </c>
    </row>
    <row r="2326" spans="1:7" x14ac:dyDescent="0.2">
      <c r="A2326" s="16" t="s">
        <v>41</v>
      </c>
      <c r="B2326" s="17" t="s">
        <v>66</v>
      </c>
      <c r="C2326" s="17" t="s">
        <v>8</v>
      </c>
      <c r="D2326" s="17" t="s">
        <v>10</v>
      </c>
      <c r="E2326" s="17" t="s">
        <v>24</v>
      </c>
      <c r="F2326" s="17" t="str">
        <f>INDEX(nrg_cb_e!$A$3:$A$40,MATCH(LEFT(MID('Industriesektor GWh'!$B2326,41,1000),SEARCH(" - ",MID('Industriesektor GWh'!$B2326,41,1000))-1),nrg_cb_e!$C$3:$C$40,0))</f>
        <v>FC_IND_TE_E</v>
      </c>
      <c r="G2326" s="18">
        <v>2</v>
      </c>
    </row>
    <row r="2327" spans="1:7" x14ac:dyDescent="0.2">
      <c r="A2327" s="19" t="s">
        <v>41</v>
      </c>
      <c r="B2327" s="20" t="s">
        <v>66</v>
      </c>
      <c r="C2327" s="20" t="s">
        <v>8</v>
      </c>
      <c r="D2327" s="20" t="s">
        <v>10</v>
      </c>
      <c r="E2327" s="20" t="s">
        <v>25</v>
      </c>
      <c r="F2327" s="20" t="str">
        <f>INDEX(nrg_cb_e!$A$3:$A$40,MATCH(LEFT(MID('Industriesektor GWh'!$B2327,41,1000),SEARCH(" - ",MID('Industriesektor GWh'!$B2327,41,1000))-1),nrg_cb_e!$C$3:$C$40,0))</f>
        <v>FC_IND_TE_E</v>
      </c>
      <c r="G2327" s="21">
        <v>2</v>
      </c>
    </row>
    <row r="2328" spans="1:7" x14ac:dyDescent="0.2">
      <c r="A2328" s="16" t="s">
        <v>41</v>
      </c>
      <c r="B2328" s="17" t="s">
        <v>66</v>
      </c>
      <c r="C2328" s="17" t="s">
        <v>8</v>
      </c>
      <c r="D2328" s="17" t="s">
        <v>10</v>
      </c>
      <c r="E2328" s="17" t="s">
        <v>26</v>
      </c>
      <c r="F2328" s="17" t="str">
        <f>INDEX(nrg_cb_e!$A$3:$A$40,MATCH(LEFT(MID('Industriesektor GWh'!$B2328,41,1000),SEARCH(" - ",MID('Industriesektor GWh'!$B2328,41,1000))-1),nrg_cb_e!$C$3:$C$40,0))</f>
        <v>FC_IND_TE_E</v>
      </c>
      <c r="G2328" s="18">
        <v>2</v>
      </c>
    </row>
    <row r="2329" spans="1:7" x14ac:dyDescent="0.2">
      <c r="A2329" s="19" t="s">
        <v>41</v>
      </c>
      <c r="B2329" s="20" t="s">
        <v>66</v>
      </c>
      <c r="C2329" s="20" t="s">
        <v>8</v>
      </c>
      <c r="D2329" s="20" t="s">
        <v>10</v>
      </c>
      <c r="E2329" s="20" t="s">
        <v>27</v>
      </c>
      <c r="F2329" s="20" t="str">
        <f>INDEX(nrg_cb_e!$A$3:$A$40,MATCH(LEFT(MID('Industriesektor GWh'!$B2329,41,1000),SEARCH(" - ",MID('Industriesektor GWh'!$B2329,41,1000))-1),nrg_cb_e!$C$3:$C$40,0))</f>
        <v>FC_IND_TE_E</v>
      </c>
      <c r="G2329" s="21">
        <v>1.9330000000000001</v>
      </c>
    </row>
    <row r="2330" spans="1:7" x14ac:dyDescent="0.2">
      <c r="A2330" s="16" t="s">
        <v>41</v>
      </c>
      <c r="B2330" s="17" t="s">
        <v>66</v>
      </c>
      <c r="C2330" s="17" t="s">
        <v>8</v>
      </c>
      <c r="D2330" s="17" t="s">
        <v>10</v>
      </c>
      <c r="E2330" s="17" t="s">
        <v>28</v>
      </c>
      <c r="F2330" s="17" t="str">
        <f>INDEX(nrg_cb_e!$A$3:$A$40,MATCH(LEFT(MID('Industriesektor GWh'!$B2330,41,1000),SEARCH(" - ",MID('Industriesektor GWh'!$B2330,41,1000))-1),nrg_cb_e!$C$3:$C$40,0))</f>
        <v>FC_IND_TE_E</v>
      </c>
      <c r="G2330" s="18">
        <v>1.9970000000000001</v>
      </c>
    </row>
    <row r="2331" spans="1:7" x14ac:dyDescent="0.2">
      <c r="A2331" s="19" t="s">
        <v>42</v>
      </c>
      <c r="B2331" s="20" t="s">
        <v>66</v>
      </c>
      <c r="C2331" s="20" t="s">
        <v>8</v>
      </c>
      <c r="D2331" s="20" t="s">
        <v>10</v>
      </c>
      <c r="E2331" s="20" t="s">
        <v>12</v>
      </c>
      <c r="F2331" s="20" t="str">
        <f>INDEX(nrg_cb_e!$A$3:$A$40,MATCH(LEFT(MID('Industriesektor GWh'!$B2331,41,1000),SEARCH(" - ",MID('Industriesektor GWh'!$B2331,41,1000))-1),nrg_cb_e!$C$3:$C$40,0))</f>
        <v>FC_IND_TE_E</v>
      </c>
      <c r="G2331" s="21">
        <v>60</v>
      </c>
    </row>
    <row r="2332" spans="1:7" x14ac:dyDescent="0.2">
      <c r="A2332" s="16" t="s">
        <v>42</v>
      </c>
      <c r="B2332" s="17" t="s">
        <v>66</v>
      </c>
      <c r="C2332" s="17" t="s">
        <v>8</v>
      </c>
      <c r="D2332" s="17" t="s">
        <v>10</v>
      </c>
      <c r="E2332" s="17" t="s">
        <v>13</v>
      </c>
      <c r="F2332" s="17" t="str">
        <f>INDEX(nrg_cb_e!$A$3:$A$40,MATCH(LEFT(MID('Industriesektor GWh'!$B2332,41,1000),SEARCH(" - ",MID('Industriesektor GWh'!$B2332,41,1000))-1),nrg_cb_e!$C$3:$C$40,0))</f>
        <v>FC_IND_TE_E</v>
      </c>
      <c r="G2332" s="18">
        <v>66</v>
      </c>
    </row>
    <row r="2333" spans="1:7" x14ac:dyDescent="0.2">
      <c r="A2333" s="19" t="s">
        <v>42</v>
      </c>
      <c r="B2333" s="20" t="s">
        <v>66</v>
      </c>
      <c r="C2333" s="20" t="s">
        <v>8</v>
      </c>
      <c r="D2333" s="20" t="s">
        <v>10</v>
      </c>
      <c r="E2333" s="20" t="s">
        <v>14</v>
      </c>
      <c r="F2333" s="20" t="str">
        <f>INDEX(nrg_cb_e!$A$3:$A$40,MATCH(LEFT(MID('Industriesektor GWh'!$B2333,41,1000),SEARCH(" - ",MID('Industriesektor GWh'!$B2333,41,1000))-1),nrg_cb_e!$C$3:$C$40,0))</f>
        <v>FC_IND_TE_E</v>
      </c>
      <c r="G2333" s="21">
        <v>64</v>
      </c>
    </row>
    <row r="2334" spans="1:7" x14ac:dyDescent="0.2">
      <c r="A2334" s="16" t="s">
        <v>42</v>
      </c>
      <c r="B2334" s="17" t="s">
        <v>66</v>
      </c>
      <c r="C2334" s="17" t="s">
        <v>8</v>
      </c>
      <c r="D2334" s="17" t="s">
        <v>10</v>
      </c>
      <c r="E2334" s="17" t="s">
        <v>15</v>
      </c>
      <c r="F2334" s="17" t="str">
        <f>INDEX(nrg_cb_e!$A$3:$A$40,MATCH(LEFT(MID('Industriesektor GWh'!$B2334,41,1000),SEARCH(" - ",MID('Industriesektor GWh'!$B2334,41,1000))-1),nrg_cb_e!$C$3:$C$40,0))</f>
        <v>FC_IND_TE_E</v>
      </c>
      <c r="G2334" s="18">
        <v>69</v>
      </c>
    </row>
    <row r="2335" spans="1:7" x14ac:dyDescent="0.2">
      <c r="A2335" s="19" t="s">
        <v>42</v>
      </c>
      <c r="B2335" s="20" t="s">
        <v>66</v>
      </c>
      <c r="C2335" s="20" t="s">
        <v>8</v>
      </c>
      <c r="D2335" s="20" t="s">
        <v>10</v>
      </c>
      <c r="E2335" s="20" t="s">
        <v>16</v>
      </c>
      <c r="F2335" s="20" t="str">
        <f>INDEX(nrg_cb_e!$A$3:$A$40,MATCH(LEFT(MID('Industriesektor GWh'!$B2335,41,1000),SEARCH(" - ",MID('Industriesektor GWh'!$B2335,41,1000))-1),nrg_cb_e!$C$3:$C$40,0))</f>
        <v>FC_IND_TE_E</v>
      </c>
      <c r="G2335" s="21">
        <v>63</v>
      </c>
    </row>
    <row r="2336" spans="1:7" x14ac:dyDescent="0.2">
      <c r="A2336" s="16" t="s">
        <v>42</v>
      </c>
      <c r="B2336" s="17" t="s">
        <v>66</v>
      </c>
      <c r="C2336" s="17" t="s">
        <v>8</v>
      </c>
      <c r="D2336" s="17" t="s">
        <v>10</v>
      </c>
      <c r="E2336" s="17" t="s">
        <v>17</v>
      </c>
      <c r="F2336" s="17" t="str">
        <f>INDEX(nrg_cb_e!$A$3:$A$40,MATCH(LEFT(MID('Industriesektor GWh'!$B2336,41,1000),SEARCH(" - ",MID('Industriesektor GWh'!$B2336,41,1000))-1),nrg_cb_e!$C$3:$C$40,0))</f>
        <v>FC_IND_TE_E</v>
      </c>
      <c r="G2336" s="18">
        <v>87</v>
      </c>
    </row>
    <row r="2337" spans="1:7" x14ac:dyDescent="0.2">
      <c r="A2337" s="19" t="s">
        <v>42</v>
      </c>
      <c r="B2337" s="20" t="s">
        <v>66</v>
      </c>
      <c r="C2337" s="20" t="s">
        <v>8</v>
      </c>
      <c r="D2337" s="20" t="s">
        <v>10</v>
      </c>
      <c r="E2337" s="20" t="s">
        <v>18</v>
      </c>
      <c r="F2337" s="20" t="str">
        <f>INDEX(nrg_cb_e!$A$3:$A$40,MATCH(LEFT(MID('Industriesektor GWh'!$B2337,41,1000),SEARCH(" - ",MID('Industriesektor GWh'!$B2337,41,1000))-1),nrg_cb_e!$C$3:$C$40,0))</f>
        <v>FC_IND_TE_E</v>
      </c>
      <c r="G2337" s="21">
        <v>56</v>
      </c>
    </row>
    <row r="2338" spans="1:7" x14ac:dyDescent="0.2">
      <c r="A2338" s="16" t="s">
        <v>42</v>
      </c>
      <c r="B2338" s="17" t="s">
        <v>66</v>
      </c>
      <c r="C2338" s="17" t="s">
        <v>8</v>
      </c>
      <c r="D2338" s="17" t="s">
        <v>10</v>
      </c>
      <c r="E2338" s="17" t="s">
        <v>19</v>
      </c>
      <c r="F2338" s="17" t="str">
        <f>INDEX(nrg_cb_e!$A$3:$A$40,MATCH(LEFT(MID('Industriesektor GWh'!$B2338,41,1000),SEARCH(" - ",MID('Industriesektor GWh'!$B2338,41,1000))-1),nrg_cb_e!$C$3:$C$40,0))</f>
        <v>FC_IND_TE_E</v>
      </c>
      <c r="G2338" s="18">
        <v>38</v>
      </c>
    </row>
    <row r="2339" spans="1:7" x14ac:dyDescent="0.2">
      <c r="A2339" s="19" t="s">
        <v>42</v>
      </c>
      <c r="B2339" s="20" t="s">
        <v>66</v>
      </c>
      <c r="C2339" s="20" t="s">
        <v>8</v>
      </c>
      <c r="D2339" s="20" t="s">
        <v>10</v>
      </c>
      <c r="E2339" s="20" t="s">
        <v>20</v>
      </c>
      <c r="F2339" s="20" t="str">
        <f>INDEX(nrg_cb_e!$A$3:$A$40,MATCH(LEFT(MID('Industriesektor GWh'!$B2339,41,1000),SEARCH(" - ",MID('Industriesektor GWh'!$B2339,41,1000))-1),nrg_cb_e!$C$3:$C$40,0))</f>
        <v>FC_IND_TE_E</v>
      </c>
      <c r="G2339" s="21">
        <v>31</v>
      </c>
    </row>
    <row r="2340" spans="1:7" x14ac:dyDescent="0.2">
      <c r="A2340" s="16" t="s">
        <v>42</v>
      </c>
      <c r="B2340" s="17" t="s">
        <v>66</v>
      </c>
      <c r="C2340" s="17" t="s">
        <v>8</v>
      </c>
      <c r="D2340" s="17" t="s">
        <v>10</v>
      </c>
      <c r="E2340" s="17" t="s">
        <v>21</v>
      </c>
      <c r="F2340" s="17" t="str">
        <f>INDEX(nrg_cb_e!$A$3:$A$40,MATCH(LEFT(MID('Industriesektor GWh'!$B2340,41,1000),SEARCH(" - ",MID('Industriesektor GWh'!$B2340,41,1000))-1),nrg_cb_e!$C$3:$C$40,0))</f>
        <v>FC_IND_TE_E</v>
      </c>
      <c r="G2340" s="18">
        <v>36</v>
      </c>
    </row>
    <row r="2341" spans="1:7" x14ac:dyDescent="0.2">
      <c r="A2341" s="19" t="s">
        <v>42</v>
      </c>
      <c r="B2341" s="20" t="s">
        <v>66</v>
      </c>
      <c r="C2341" s="20" t="s">
        <v>8</v>
      </c>
      <c r="D2341" s="20" t="s">
        <v>10</v>
      </c>
      <c r="E2341" s="20" t="s">
        <v>22</v>
      </c>
      <c r="F2341" s="20" t="str">
        <f>INDEX(nrg_cb_e!$A$3:$A$40,MATCH(LEFT(MID('Industriesektor GWh'!$B2341,41,1000),SEARCH(" - ",MID('Industriesektor GWh'!$B2341,41,1000))-1),nrg_cb_e!$C$3:$C$40,0))</f>
        <v>FC_IND_TE_E</v>
      </c>
      <c r="G2341" s="21">
        <v>38</v>
      </c>
    </row>
    <row r="2342" spans="1:7" x14ac:dyDescent="0.2">
      <c r="A2342" s="16" t="s">
        <v>42</v>
      </c>
      <c r="B2342" s="17" t="s">
        <v>66</v>
      </c>
      <c r="C2342" s="17" t="s">
        <v>8</v>
      </c>
      <c r="D2342" s="17" t="s">
        <v>10</v>
      </c>
      <c r="E2342" s="17" t="s">
        <v>23</v>
      </c>
      <c r="F2342" s="17" t="str">
        <f>INDEX(nrg_cb_e!$A$3:$A$40,MATCH(LEFT(MID('Industriesektor GWh'!$B2342,41,1000),SEARCH(" - ",MID('Industriesektor GWh'!$B2342,41,1000))-1),nrg_cb_e!$C$3:$C$40,0))</f>
        <v>FC_IND_TE_E</v>
      </c>
      <c r="G2342" s="18">
        <v>53</v>
      </c>
    </row>
    <row r="2343" spans="1:7" x14ac:dyDescent="0.2">
      <c r="A2343" s="19" t="s">
        <v>42</v>
      </c>
      <c r="B2343" s="20" t="s">
        <v>66</v>
      </c>
      <c r="C2343" s="20" t="s">
        <v>8</v>
      </c>
      <c r="D2343" s="20" t="s">
        <v>10</v>
      </c>
      <c r="E2343" s="20" t="s">
        <v>24</v>
      </c>
      <c r="F2343" s="20" t="str">
        <f>INDEX(nrg_cb_e!$A$3:$A$40,MATCH(LEFT(MID('Industriesektor GWh'!$B2343,41,1000),SEARCH(" - ",MID('Industriesektor GWh'!$B2343,41,1000))-1),nrg_cb_e!$C$3:$C$40,0))</f>
        <v>FC_IND_TE_E</v>
      </c>
      <c r="G2343" s="21">
        <v>35</v>
      </c>
    </row>
    <row r="2344" spans="1:7" x14ac:dyDescent="0.2">
      <c r="A2344" s="16" t="s">
        <v>42</v>
      </c>
      <c r="B2344" s="17" t="s">
        <v>66</v>
      </c>
      <c r="C2344" s="17" t="s">
        <v>8</v>
      </c>
      <c r="D2344" s="17" t="s">
        <v>10</v>
      </c>
      <c r="E2344" s="17" t="s">
        <v>25</v>
      </c>
      <c r="F2344" s="17" t="str">
        <f>INDEX(nrg_cb_e!$A$3:$A$40,MATCH(LEFT(MID('Industriesektor GWh'!$B2344,41,1000),SEARCH(" - ",MID('Industriesektor GWh'!$B2344,41,1000))-1),nrg_cb_e!$C$3:$C$40,0))</f>
        <v>FC_IND_TE_E</v>
      </c>
      <c r="G2344" s="18">
        <v>44</v>
      </c>
    </row>
    <row r="2345" spans="1:7" x14ac:dyDescent="0.2">
      <c r="A2345" s="19" t="s">
        <v>42</v>
      </c>
      <c r="B2345" s="20" t="s">
        <v>66</v>
      </c>
      <c r="C2345" s="20" t="s">
        <v>8</v>
      </c>
      <c r="D2345" s="20" t="s">
        <v>10</v>
      </c>
      <c r="E2345" s="20" t="s">
        <v>26</v>
      </c>
      <c r="F2345" s="20" t="str">
        <f>INDEX(nrg_cb_e!$A$3:$A$40,MATCH(LEFT(MID('Industriesektor GWh'!$B2345,41,1000),SEARCH(" - ",MID('Industriesektor GWh'!$B2345,41,1000))-1),nrg_cb_e!$C$3:$C$40,0))</f>
        <v>FC_IND_TE_E</v>
      </c>
      <c r="G2345" s="21">
        <v>45</v>
      </c>
    </row>
    <row r="2346" spans="1:7" x14ac:dyDescent="0.2">
      <c r="A2346" s="16" t="s">
        <v>42</v>
      </c>
      <c r="B2346" s="17" t="s">
        <v>66</v>
      </c>
      <c r="C2346" s="17" t="s">
        <v>8</v>
      </c>
      <c r="D2346" s="17" t="s">
        <v>10</v>
      </c>
      <c r="E2346" s="17" t="s">
        <v>27</v>
      </c>
      <c r="F2346" s="17" t="str">
        <f>INDEX(nrg_cb_e!$A$3:$A$40,MATCH(LEFT(MID('Industriesektor GWh'!$B2346,41,1000),SEARCH(" - ",MID('Industriesektor GWh'!$B2346,41,1000))-1),nrg_cb_e!$C$3:$C$40,0))</f>
        <v>FC_IND_TE_E</v>
      </c>
      <c r="G2346" s="18">
        <v>46.738999999999997</v>
      </c>
    </row>
    <row r="2347" spans="1:7" x14ac:dyDescent="0.2">
      <c r="A2347" s="19" t="s">
        <v>42</v>
      </c>
      <c r="B2347" s="20" t="s">
        <v>66</v>
      </c>
      <c r="C2347" s="20" t="s">
        <v>8</v>
      </c>
      <c r="D2347" s="20" t="s">
        <v>10</v>
      </c>
      <c r="E2347" s="20" t="s">
        <v>28</v>
      </c>
      <c r="F2347" s="20" t="str">
        <f>INDEX(nrg_cb_e!$A$3:$A$40,MATCH(LEFT(MID('Industriesektor GWh'!$B2347,41,1000),SEARCH(" - ",MID('Industriesektor GWh'!$B2347,41,1000))-1),nrg_cb_e!$C$3:$C$40,0))</f>
        <v>FC_IND_TE_E</v>
      </c>
      <c r="G2347" s="21">
        <v>46.521999999999998</v>
      </c>
    </row>
    <row r="2348" spans="1:7" x14ac:dyDescent="0.2">
      <c r="A2348" s="16" t="s">
        <v>43</v>
      </c>
      <c r="B2348" s="17" t="s">
        <v>66</v>
      </c>
      <c r="C2348" s="17" t="s">
        <v>8</v>
      </c>
      <c r="D2348" s="17" t="s">
        <v>10</v>
      </c>
      <c r="E2348" s="17" t="s">
        <v>12</v>
      </c>
      <c r="F2348" s="17" t="str">
        <f>INDEX(nrg_cb_e!$A$3:$A$40,MATCH(LEFT(MID('Industriesektor GWh'!$B2348,41,1000),SEARCH(" - ",MID('Industriesektor GWh'!$B2348,41,1000))-1),nrg_cb_e!$C$3:$C$40,0))</f>
        <v>FC_IND_TE_E</v>
      </c>
      <c r="G2348" s="18">
        <v>66</v>
      </c>
    </row>
    <row r="2349" spans="1:7" x14ac:dyDescent="0.2">
      <c r="A2349" s="19" t="s">
        <v>43</v>
      </c>
      <c r="B2349" s="20" t="s">
        <v>66</v>
      </c>
      <c r="C2349" s="20" t="s">
        <v>8</v>
      </c>
      <c r="D2349" s="20" t="s">
        <v>10</v>
      </c>
      <c r="E2349" s="20" t="s">
        <v>13</v>
      </c>
      <c r="F2349" s="20" t="str">
        <f>INDEX(nrg_cb_e!$A$3:$A$40,MATCH(LEFT(MID('Industriesektor GWh'!$B2349,41,1000),SEARCH(" - ",MID('Industriesektor GWh'!$B2349,41,1000))-1),nrg_cb_e!$C$3:$C$40,0))</f>
        <v>FC_IND_TE_E</v>
      </c>
      <c r="G2349" s="21">
        <v>63</v>
      </c>
    </row>
    <row r="2350" spans="1:7" x14ac:dyDescent="0.2">
      <c r="A2350" s="16" t="s">
        <v>43</v>
      </c>
      <c r="B2350" s="17" t="s">
        <v>66</v>
      </c>
      <c r="C2350" s="17" t="s">
        <v>8</v>
      </c>
      <c r="D2350" s="17" t="s">
        <v>10</v>
      </c>
      <c r="E2350" s="17" t="s">
        <v>14</v>
      </c>
      <c r="F2350" s="17" t="str">
        <f>INDEX(nrg_cb_e!$A$3:$A$40,MATCH(LEFT(MID('Industriesektor GWh'!$B2350,41,1000),SEARCH(" - ",MID('Industriesektor GWh'!$B2350,41,1000))-1),nrg_cb_e!$C$3:$C$40,0))</f>
        <v>FC_IND_TE_E</v>
      </c>
      <c r="G2350" s="18">
        <v>57</v>
      </c>
    </row>
    <row r="2351" spans="1:7" x14ac:dyDescent="0.2">
      <c r="A2351" s="19" t="s">
        <v>43</v>
      </c>
      <c r="B2351" s="20" t="s">
        <v>66</v>
      </c>
      <c r="C2351" s="20" t="s">
        <v>8</v>
      </c>
      <c r="D2351" s="20" t="s">
        <v>10</v>
      </c>
      <c r="E2351" s="20" t="s">
        <v>15</v>
      </c>
      <c r="F2351" s="20" t="str">
        <f>INDEX(nrg_cb_e!$A$3:$A$40,MATCH(LEFT(MID('Industriesektor GWh'!$B2351,41,1000),SEARCH(" - ",MID('Industriesektor GWh'!$B2351,41,1000))-1),nrg_cb_e!$C$3:$C$40,0))</f>
        <v>FC_IND_TE_E</v>
      </c>
      <c r="G2351" s="21">
        <v>51</v>
      </c>
    </row>
    <row r="2352" spans="1:7" x14ac:dyDescent="0.2">
      <c r="A2352" s="16" t="s">
        <v>43</v>
      </c>
      <c r="B2352" s="17" t="s">
        <v>66</v>
      </c>
      <c r="C2352" s="17" t="s">
        <v>8</v>
      </c>
      <c r="D2352" s="17" t="s">
        <v>10</v>
      </c>
      <c r="E2352" s="17" t="s">
        <v>16</v>
      </c>
      <c r="F2352" s="17" t="str">
        <f>INDEX(nrg_cb_e!$A$3:$A$40,MATCH(LEFT(MID('Industriesektor GWh'!$B2352,41,1000),SEARCH(" - ",MID('Industriesektor GWh'!$B2352,41,1000))-1),nrg_cb_e!$C$3:$C$40,0))</f>
        <v>FC_IND_TE_E</v>
      </c>
      <c r="G2352" s="18">
        <v>53</v>
      </c>
    </row>
    <row r="2353" spans="1:7" x14ac:dyDescent="0.2">
      <c r="A2353" s="19" t="s">
        <v>43</v>
      </c>
      <c r="B2353" s="20" t="s">
        <v>66</v>
      </c>
      <c r="C2353" s="20" t="s">
        <v>8</v>
      </c>
      <c r="D2353" s="20" t="s">
        <v>10</v>
      </c>
      <c r="E2353" s="20" t="s">
        <v>17</v>
      </c>
      <c r="F2353" s="20" t="str">
        <f>INDEX(nrg_cb_e!$A$3:$A$40,MATCH(LEFT(MID('Industriesektor GWh'!$B2353,41,1000),SEARCH(" - ",MID('Industriesektor GWh'!$B2353,41,1000))-1),nrg_cb_e!$C$3:$C$40,0))</f>
        <v>FC_IND_TE_E</v>
      </c>
      <c r="G2353" s="21">
        <v>52</v>
      </c>
    </row>
    <row r="2354" spans="1:7" x14ac:dyDescent="0.2">
      <c r="A2354" s="16" t="s">
        <v>43</v>
      </c>
      <c r="B2354" s="17" t="s">
        <v>66</v>
      </c>
      <c r="C2354" s="17" t="s">
        <v>8</v>
      </c>
      <c r="D2354" s="17" t="s">
        <v>10</v>
      </c>
      <c r="E2354" s="17" t="s">
        <v>18</v>
      </c>
      <c r="F2354" s="17" t="str">
        <f>INDEX(nrg_cb_e!$A$3:$A$40,MATCH(LEFT(MID('Industriesektor GWh'!$B2354,41,1000),SEARCH(" - ",MID('Industriesektor GWh'!$B2354,41,1000))-1),nrg_cb_e!$C$3:$C$40,0))</f>
        <v>FC_IND_TE_E</v>
      </c>
      <c r="G2354" s="18">
        <v>43</v>
      </c>
    </row>
    <row r="2355" spans="1:7" x14ac:dyDescent="0.2">
      <c r="A2355" s="19" t="s">
        <v>43</v>
      </c>
      <c r="B2355" s="20" t="s">
        <v>66</v>
      </c>
      <c r="C2355" s="20" t="s">
        <v>8</v>
      </c>
      <c r="D2355" s="20" t="s">
        <v>10</v>
      </c>
      <c r="E2355" s="20" t="s">
        <v>19</v>
      </c>
      <c r="F2355" s="20" t="str">
        <f>INDEX(nrg_cb_e!$A$3:$A$40,MATCH(LEFT(MID('Industriesektor GWh'!$B2355,41,1000),SEARCH(" - ",MID('Industriesektor GWh'!$B2355,41,1000))-1),nrg_cb_e!$C$3:$C$40,0))</f>
        <v>FC_IND_TE_E</v>
      </c>
      <c r="G2355" s="21">
        <v>37</v>
      </c>
    </row>
    <row r="2356" spans="1:7" x14ac:dyDescent="0.2">
      <c r="A2356" s="16" t="s">
        <v>43</v>
      </c>
      <c r="B2356" s="17" t="s">
        <v>66</v>
      </c>
      <c r="C2356" s="17" t="s">
        <v>8</v>
      </c>
      <c r="D2356" s="17" t="s">
        <v>10</v>
      </c>
      <c r="E2356" s="17" t="s">
        <v>20</v>
      </c>
      <c r="F2356" s="17" t="str">
        <f>INDEX(nrg_cb_e!$A$3:$A$40,MATCH(LEFT(MID('Industriesektor GWh'!$B2356,41,1000),SEARCH(" - ",MID('Industriesektor GWh'!$B2356,41,1000))-1),nrg_cb_e!$C$3:$C$40,0))</f>
        <v>FC_IND_TE_E</v>
      </c>
      <c r="G2356" s="18">
        <v>31</v>
      </c>
    </row>
    <row r="2357" spans="1:7" x14ac:dyDescent="0.2">
      <c r="A2357" s="19" t="s">
        <v>43</v>
      </c>
      <c r="B2357" s="20" t="s">
        <v>66</v>
      </c>
      <c r="C2357" s="20" t="s">
        <v>8</v>
      </c>
      <c r="D2357" s="20" t="s">
        <v>10</v>
      </c>
      <c r="E2357" s="20" t="s">
        <v>21</v>
      </c>
      <c r="F2357" s="20" t="str">
        <f>INDEX(nrg_cb_e!$A$3:$A$40,MATCH(LEFT(MID('Industriesektor GWh'!$B2357,41,1000),SEARCH(" - ",MID('Industriesektor GWh'!$B2357,41,1000))-1),nrg_cb_e!$C$3:$C$40,0))</f>
        <v>FC_IND_TE_E</v>
      </c>
      <c r="G2357" s="21">
        <v>27</v>
      </c>
    </row>
    <row r="2358" spans="1:7" x14ac:dyDescent="0.2">
      <c r="A2358" s="16" t="s">
        <v>43</v>
      </c>
      <c r="B2358" s="17" t="s">
        <v>66</v>
      </c>
      <c r="C2358" s="17" t="s">
        <v>8</v>
      </c>
      <c r="D2358" s="17" t="s">
        <v>10</v>
      </c>
      <c r="E2358" s="17" t="s">
        <v>22</v>
      </c>
      <c r="F2358" s="17" t="str">
        <f>INDEX(nrg_cb_e!$A$3:$A$40,MATCH(LEFT(MID('Industriesektor GWh'!$B2358,41,1000),SEARCH(" - ",MID('Industriesektor GWh'!$B2358,41,1000))-1),nrg_cb_e!$C$3:$C$40,0))</f>
        <v>FC_IND_TE_E</v>
      </c>
      <c r="G2358" s="18">
        <v>20</v>
      </c>
    </row>
    <row r="2359" spans="1:7" x14ac:dyDescent="0.2">
      <c r="A2359" s="19" t="s">
        <v>43</v>
      </c>
      <c r="B2359" s="20" t="s">
        <v>66</v>
      </c>
      <c r="C2359" s="20" t="s">
        <v>8</v>
      </c>
      <c r="D2359" s="20" t="s">
        <v>10</v>
      </c>
      <c r="E2359" s="20" t="s">
        <v>23</v>
      </c>
      <c r="F2359" s="20" t="str">
        <f>INDEX(nrg_cb_e!$A$3:$A$40,MATCH(LEFT(MID('Industriesektor GWh'!$B2359,41,1000),SEARCH(" - ",MID('Industriesektor GWh'!$B2359,41,1000))-1),nrg_cb_e!$C$3:$C$40,0))</f>
        <v>FC_IND_TE_E</v>
      </c>
      <c r="G2359" s="21">
        <v>19</v>
      </c>
    </row>
    <row r="2360" spans="1:7" x14ac:dyDescent="0.2">
      <c r="A2360" s="16" t="s">
        <v>43</v>
      </c>
      <c r="B2360" s="17" t="s">
        <v>66</v>
      </c>
      <c r="C2360" s="17" t="s">
        <v>8</v>
      </c>
      <c r="D2360" s="17" t="s">
        <v>10</v>
      </c>
      <c r="E2360" s="17" t="s">
        <v>24</v>
      </c>
      <c r="F2360" s="17" t="str">
        <f>INDEX(nrg_cb_e!$A$3:$A$40,MATCH(LEFT(MID('Industriesektor GWh'!$B2360,41,1000),SEARCH(" - ",MID('Industriesektor GWh'!$B2360,41,1000))-1),nrg_cb_e!$C$3:$C$40,0))</f>
        <v>FC_IND_TE_E</v>
      </c>
      <c r="G2360" s="18">
        <v>25</v>
      </c>
    </row>
    <row r="2361" spans="1:7" x14ac:dyDescent="0.2">
      <c r="A2361" s="19" t="s">
        <v>43</v>
      </c>
      <c r="B2361" s="20" t="s">
        <v>66</v>
      </c>
      <c r="C2361" s="20" t="s">
        <v>8</v>
      </c>
      <c r="D2361" s="20" t="s">
        <v>10</v>
      </c>
      <c r="E2361" s="20" t="s">
        <v>25</v>
      </c>
      <c r="F2361" s="20" t="str">
        <f>INDEX(nrg_cb_e!$A$3:$A$40,MATCH(LEFT(MID('Industriesektor GWh'!$B2361,41,1000),SEARCH(" - ",MID('Industriesektor GWh'!$B2361,41,1000))-1),nrg_cb_e!$C$3:$C$40,0))</f>
        <v>FC_IND_TE_E</v>
      </c>
      <c r="G2361" s="21">
        <v>30</v>
      </c>
    </row>
    <row r="2362" spans="1:7" x14ac:dyDescent="0.2">
      <c r="A2362" s="16" t="s">
        <v>43</v>
      </c>
      <c r="B2362" s="17" t="s">
        <v>66</v>
      </c>
      <c r="C2362" s="17" t="s">
        <v>8</v>
      </c>
      <c r="D2362" s="17" t="s">
        <v>10</v>
      </c>
      <c r="E2362" s="17" t="s">
        <v>26</v>
      </c>
      <c r="F2362" s="17" t="str">
        <f>INDEX(nrg_cb_e!$A$3:$A$40,MATCH(LEFT(MID('Industriesektor GWh'!$B2362,41,1000),SEARCH(" - ",MID('Industriesektor GWh'!$B2362,41,1000))-1),nrg_cb_e!$C$3:$C$40,0))</f>
        <v>FC_IND_TE_E</v>
      </c>
      <c r="G2362" s="18">
        <v>24</v>
      </c>
    </row>
    <row r="2363" spans="1:7" x14ac:dyDescent="0.2">
      <c r="A2363" s="19" t="s">
        <v>43</v>
      </c>
      <c r="B2363" s="20" t="s">
        <v>66</v>
      </c>
      <c r="C2363" s="20" t="s">
        <v>8</v>
      </c>
      <c r="D2363" s="20" t="s">
        <v>10</v>
      </c>
      <c r="E2363" s="20" t="s">
        <v>27</v>
      </c>
      <c r="F2363" s="20" t="str">
        <f>INDEX(nrg_cb_e!$A$3:$A$40,MATCH(LEFT(MID('Industriesektor GWh'!$B2363,41,1000),SEARCH(" - ",MID('Industriesektor GWh'!$B2363,41,1000))-1),nrg_cb_e!$C$3:$C$40,0))</f>
        <v>FC_IND_TE_E</v>
      </c>
      <c r="G2363" s="21">
        <v>23.1</v>
      </c>
    </row>
    <row r="2364" spans="1:7" x14ac:dyDescent="0.2">
      <c r="A2364" s="16" t="s">
        <v>43</v>
      </c>
      <c r="B2364" s="17" t="s">
        <v>66</v>
      </c>
      <c r="C2364" s="17" t="s">
        <v>8</v>
      </c>
      <c r="D2364" s="17" t="s">
        <v>10</v>
      </c>
      <c r="E2364" s="17" t="s">
        <v>28</v>
      </c>
      <c r="F2364" s="17" t="str">
        <f>INDEX(nrg_cb_e!$A$3:$A$40,MATCH(LEFT(MID('Industriesektor GWh'!$B2364,41,1000),SEARCH(" - ",MID('Industriesektor GWh'!$B2364,41,1000))-1),nrg_cb_e!$C$3:$C$40,0))</f>
        <v>FC_IND_TE_E</v>
      </c>
      <c r="G2364" s="18">
        <v>32.1</v>
      </c>
    </row>
    <row r="2365" spans="1:7" x14ac:dyDescent="0.2">
      <c r="A2365" s="19" t="s">
        <v>44</v>
      </c>
      <c r="B2365" s="20" t="s">
        <v>66</v>
      </c>
      <c r="C2365" s="20" t="s">
        <v>8</v>
      </c>
      <c r="D2365" s="20" t="s">
        <v>10</v>
      </c>
      <c r="E2365" s="20" t="s">
        <v>12</v>
      </c>
      <c r="F2365" s="20" t="str">
        <f>INDEX(nrg_cb_e!$A$3:$A$40,MATCH(LEFT(MID('Industriesektor GWh'!$B2365,41,1000),SEARCH(" - ",MID('Industriesektor GWh'!$B2365,41,1000))-1),nrg_cb_e!$C$3:$C$40,0))</f>
        <v>FC_IND_TE_E</v>
      </c>
      <c r="G2365" s="21">
        <v>5.0709999999999997</v>
      </c>
    </row>
    <row r="2366" spans="1:7" x14ac:dyDescent="0.2">
      <c r="A2366" s="16" t="s">
        <v>44</v>
      </c>
      <c r="B2366" s="17" t="s">
        <v>66</v>
      </c>
      <c r="C2366" s="17" t="s">
        <v>8</v>
      </c>
      <c r="D2366" s="17" t="s">
        <v>10</v>
      </c>
      <c r="E2366" s="17" t="s">
        <v>13</v>
      </c>
      <c r="F2366" s="17" t="str">
        <f>INDEX(nrg_cb_e!$A$3:$A$40,MATCH(LEFT(MID('Industriesektor GWh'!$B2366,41,1000),SEARCH(" - ",MID('Industriesektor GWh'!$B2366,41,1000))-1),nrg_cb_e!$C$3:$C$40,0))</f>
        <v>FC_IND_TE_E</v>
      </c>
      <c r="G2366" s="18">
        <v>13.439</v>
      </c>
    </row>
    <row r="2367" spans="1:7" x14ac:dyDescent="0.2">
      <c r="A2367" s="19" t="s">
        <v>44</v>
      </c>
      <c r="B2367" s="20" t="s">
        <v>66</v>
      </c>
      <c r="C2367" s="20" t="s">
        <v>8</v>
      </c>
      <c r="D2367" s="20" t="s">
        <v>10</v>
      </c>
      <c r="E2367" s="20" t="s">
        <v>14</v>
      </c>
      <c r="F2367" s="20" t="str">
        <f>INDEX(nrg_cb_e!$A$3:$A$40,MATCH(LEFT(MID('Industriesektor GWh'!$B2367,41,1000),SEARCH(" - ",MID('Industriesektor GWh'!$B2367,41,1000))-1),nrg_cb_e!$C$3:$C$40,0))</f>
        <v>FC_IND_TE_E</v>
      </c>
      <c r="G2367" s="21">
        <v>16.201000000000001</v>
      </c>
    </row>
    <row r="2368" spans="1:7" x14ac:dyDescent="0.2">
      <c r="A2368" s="16" t="s">
        <v>44</v>
      </c>
      <c r="B2368" s="17" t="s">
        <v>66</v>
      </c>
      <c r="C2368" s="17" t="s">
        <v>8</v>
      </c>
      <c r="D2368" s="17" t="s">
        <v>10</v>
      </c>
      <c r="E2368" s="17" t="s">
        <v>15</v>
      </c>
      <c r="F2368" s="17" t="str">
        <f>INDEX(nrg_cb_e!$A$3:$A$40,MATCH(LEFT(MID('Industriesektor GWh'!$B2368,41,1000),SEARCH(" - ",MID('Industriesektor GWh'!$B2368,41,1000))-1),nrg_cb_e!$C$3:$C$40,0))</f>
        <v>FC_IND_TE_E</v>
      </c>
      <c r="G2368" s="18">
        <v>18.398</v>
      </c>
    </row>
    <row r="2369" spans="1:7" x14ac:dyDescent="0.2">
      <c r="A2369" s="19" t="s">
        <v>44</v>
      </c>
      <c r="B2369" s="20" t="s">
        <v>66</v>
      </c>
      <c r="C2369" s="20" t="s">
        <v>8</v>
      </c>
      <c r="D2369" s="20" t="s">
        <v>10</v>
      </c>
      <c r="E2369" s="20" t="s">
        <v>16</v>
      </c>
      <c r="F2369" s="20" t="str">
        <f>INDEX(nrg_cb_e!$A$3:$A$40,MATCH(LEFT(MID('Industriesektor GWh'!$B2369,41,1000),SEARCH(" - ",MID('Industriesektor GWh'!$B2369,41,1000))-1),nrg_cb_e!$C$3:$C$40,0))</f>
        <v>FC_IND_TE_E</v>
      </c>
      <c r="G2369" s="21">
        <v>24.207000000000001</v>
      </c>
    </row>
    <row r="2370" spans="1:7" x14ac:dyDescent="0.2">
      <c r="A2370" s="16" t="s">
        <v>44</v>
      </c>
      <c r="B2370" s="17" t="s">
        <v>66</v>
      </c>
      <c r="C2370" s="17" t="s">
        <v>8</v>
      </c>
      <c r="D2370" s="17" t="s">
        <v>10</v>
      </c>
      <c r="E2370" s="17" t="s">
        <v>17</v>
      </c>
      <c r="F2370" s="17" t="str">
        <f>INDEX(nrg_cb_e!$A$3:$A$40,MATCH(LEFT(MID('Industriesektor GWh'!$B2370,41,1000),SEARCH(" - ",MID('Industriesektor GWh'!$B2370,41,1000))-1),nrg_cb_e!$C$3:$C$40,0))</f>
        <v>FC_IND_TE_E</v>
      </c>
      <c r="G2370" s="18">
        <v>34.058999999999997</v>
      </c>
    </row>
    <row r="2371" spans="1:7" x14ac:dyDescent="0.2">
      <c r="A2371" s="19" t="s">
        <v>44</v>
      </c>
      <c r="B2371" s="20" t="s">
        <v>66</v>
      </c>
      <c r="C2371" s="20" t="s">
        <v>8</v>
      </c>
      <c r="D2371" s="20" t="s">
        <v>10</v>
      </c>
      <c r="E2371" s="20" t="s">
        <v>18</v>
      </c>
      <c r="F2371" s="20" t="str">
        <f>INDEX(nrg_cb_e!$A$3:$A$40,MATCH(LEFT(MID('Industriesektor GWh'!$B2371,41,1000),SEARCH(" - ",MID('Industriesektor GWh'!$B2371,41,1000))-1),nrg_cb_e!$C$3:$C$40,0))</f>
        <v>FC_IND_TE_E</v>
      </c>
      <c r="G2371" s="21">
        <v>38.674999999999997</v>
      </c>
    </row>
    <row r="2372" spans="1:7" x14ac:dyDescent="0.2">
      <c r="A2372" s="16" t="s">
        <v>44</v>
      </c>
      <c r="B2372" s="17" t="s">
        <v>66</v>
      </c>
      <c r="C2372" s="17" t="s">
        <v>8</v>
      </c>
      <c r="D2372" s="17" t="s">
        <v>10</v>
      </c>
      <c r="E2372" s="17" t="s">
        <v>19</v>
      </c>
      <c r="F2372" s="17" t="str">
        <f>INDEX(nrg_cb_e!$A$3:$A$40,MATCH(LEFT(MID('Industriesektor GWh'!$B2372,41,1000),SEARCH(" - ",MID('Industriesektor GWh'!$B2372,41,1000))-1),nrg_cb_e!$C$3:$C$40,0))</f>
        <v>FC_IND_TE_E</v>
      </c>
      <c r="G2372" s="18">
        <v>28.713999999999999</v>
      </c>
    </row>
    <row r="2373" spans="1:7" x14ac:dyDescent="0.2">
      <c r="A2373" s="19" t="s">
        <v>44</v>
      </c>
      <c r="B2373" s="20" t="s">
        <v>66</v>
      </c>
      <c r="C2373" s="20" t="s">
        <v>8</v>
      </c>
      <c r="D2373" s="20" t="s">
        <v>10</v>
      </c>
      <c r="E2373" s="20" t="s">
        <v>20</v>
      </c>
      <c r="F2373" s="20" t="str">
        <f>INDEX(nrg_cb_e!$A$3:$A$40,MATCH(LEFT(MID('Industriesektor GWh'!$B2373,41,1000),SEARCH(" - ",MID('Industriesektor GWh'!$B2373,41,1000))-1),nrg_cb_e!$C$3:$C$40,0))</f>
        <v>FC_IND_TE_E</v>
      </c>
      <c r="G2373" s="21">
        <v>24.780999999999999</v>
      </c>
    </row>
    <row r="2374" spans="1:7" x14ac:dyDescent="0.2">
      <c r="A2374" s="16" t="s">
        <v>44</v>
      </c>
      <c r="B2374" s="17" t="s">
        <v>66</v>
      </c>
      <c r="C2374" s="17" t="s">
        <v>8</v>
      </c>
      <c r="D2374" s="17" t="s">
        <v>10</v>
      </c>
      <c r="E2374" s="17" t="s">
        <v>21</v>
      </c>
      <c r="F2374" s="17" t="str">
        <f>INDEX(nrg_cb_e!$A$3:$A$40,MATCH(LEFT(MID('Industriesektor GWh'!$B2374,41,1000),SEARCH(" - ",MID('Industriesektor GWh'!$B2374,41,1000))-1),nrg_cb_e!$C$3:$C$40,0))</f>
        <v>FC_IND_TE_E</v>
      </c>
      <c r="G2374" s="18">
        <v>12.590999999999999</v>
      </c>
    </row>
    <row r="2375" spans="1:7" x14ac:dyDescent="0.2">
      <c r="A2375" s="19" t="s">
        <v>44</v>
      </c>
      <c r="B2375" s="20" t="s">
        <v>66</v>
      </c>
      <c r="C2375" s="20" t="s">
        <v>8</v>
      </c>
      <c r="D2375" s="20" t="s">
        <v>10</v>
      </c>
      <c r="E2375" s="20" t="s">
        <v>22</v>
      </c>
      <c r="F2375" s="20" t="str">
        <f>INDEX(nrg_cb_e!$A$3:$A$40,MATCH(LEFT(MID('Industriesektor GWh'!$B2375,41,1000),SEARCH(" - ",MID('Industriesektor GWh'!$B2375,41,1000))-1),nrg_cb_e!$C$3:$C$40,0))</f>
        <v>FC_IND_TE_E</v>
      </c>
      <c r="G2375" s="21">
        <v>12.597</v>
      </c>
    </row>
    <row r="2376" spans="1:7" x14ac:dyDescent="0.2">
      <c r="A2376" s="16" t="s">
        <v>44</v>
      </c>
      <c r="B2376" s="17" t="s">
        <v>66</v>
      </c>
      <c r="C2376" s="17" t="s">
        <v>8</v>
      </c>
      <c r="D2376" s="17" t="s">
        <v>10</v>
      </c>
      <c r="E2376" s="17" t="s">
        <v>23</v>
      </c>
      <c r="F2376" s="17" t="str">
        <f>INDEX(nrg_cb_e!$A$3:$A$40,MATCH(LEFT(MID('Industriesektor GWh'!$B2376,41,1000),SEARCH(" - ",MID('Industriesektor GWh'!$B2376,41,1000))-1),nrg_cb_e!$C$3:$C$40,0))</f>
        <v>FC_IND_TE_E</v>
      </c>
      <c r="G2376" s="18">
        <v>11.548999999999999</v>
      </c>
    </row>
    <row r="2377" spans="1:7" x14ac:dyDescent="0.2">
      <c r="A2377" s="19" t="s">
        <v>44</v>
      </c>
      <c r="B2377" s="20" t="s">
        <v>66</v>
      </c>
      <c r="C2377" s="20" t="s">
        <v>8</v>
      </c>
      <c r="D2377" s="20" t="s">
        <v>10</v>
      </c>
      <c r="E2377" s="20" t="s">
        <v>24</v>
      </c>
      <c r="F2377" s="20" t="str">
        <f>INDEX(nrg_cb_e!$A$3:$A$40,MATCH(LEFT(MID('Industriesektor GWh'!$B2377,41,1000),SEARCH(" - ",MID('Industriesektor GWh'!$B2377,41,1000))-1),nrg_cb_e!$C$3:$C$40,0))</f>
        <v>FC_IND_TE_E</v>
      </c>
      <c r="G2377" s="21">
        <v>5.3129999999999997</v>
      </c>
    </row>
    <row r="2378" spans="1:7" x14ac:dyDescent="0.2">
      <c r="A2378" s="16" t="s">
        <v>44</v>
      </c>
      <c r="B2378" s="17" t="s">
        <v>66</v>
      </c>
      <c r="C2378" s="17" t="s">
        <v>8</v>
      </c>
      <c r="D2378" s="17" t="s">
        <v>10</v>
      </c>
      <c r="E2378" s="17" t="s">
        <v>25</v>
      </c>
      <c r="F2378" s="17" t="str">
        <f>INDEX(nrg_cb_e!$A$3:$A$40,MATCH(LEFT(MID('Industriesektor GWh'!$B2378,41,1000),SEARCH(" - ",MID('Industriesektor GWh'!$B2378,41,1000))-1),nrg_cb_e!$C$3:$C$40,0))</f>
        <v>FC_IND_TE_E</v>
      </c>
      <c r="G2378" s="18">
        <v>9.2119999999999997</v>
      </c>
    </row>
    <row r="2379" spans="1:7" x14ac:dyDescent="0.2">
      <c r="A2379" s="19" t="s">
        <v>44</v>
      </c>
      <c r="B2379" s="20" t="s">
        <v>66</v>
      </c>
      <c r="C2379" s="20" t="s">
        <v>8</v>
      </c>
      <c r="D2379" s="20" t="s">
        <v>10</v>
      </c>
      <c r="E2379" s="20" t="s">
        <v>26</v>
      </c>
      <c r="F2379" s="20" t="str">
        <f>INDEX(nrg_cb_e!$A$3:$A$40,MATCH(LEFT(MID('Industriesektor GWh'!$B2379,41,1000),SEARCH(" - ",MID('Industriesektor GWh'!$B2379,41,1000))-1),nrg_cb_e!$C$3:$C$40,0))</f>
        <v>FC_IND_TE_E</v>
      </c>
      <c r="G2379" s="21">
        <v>12.535</v>
      </c>
    </row>
    <row r="2380" spans="1:7" x14ac:dyDescent="0.2">
      <c r="A2380" s="16" t="s">
        <v>44</v>
      </c>
      <c r="B2380" s="17" t="s">
        <v>66</v>
      </c>
      <c r="C2380" s="17" t="s">
        <v>8</v>
      </c>
      <c r="D2380" s="17" t="s">
        <v>10</v>
      </c>
      <c r="E2380" s="17" t="s">
        <v>27</v>
      </c>
      <c r="F2380" s="17" t="str">
        <f>INDEX(nrg_cb_e!$A$3:$A$40,MATCH(LEFT(MID('Industriesektor GWh'!$B2380,41,1000),SEARCH(" - ",MID('Industriesektor GWh'!$B2380,41,1000))-1),nrg_cb_e!$C$3:$C$40,0))</f>
        <v>FC_IND_TE_E</v>
      </c>
      <c r="G2380" s="18">
        <v>11.795</v>
      </c>
    </row>
    <row r="2381" spans="1:7" x14ac:dyDescent="0.2">
      <c r="A2381" s="19" t="s">
        <v>44</v>
      </c>
      <c r="B2381" s="20" t="s">
        <v>66</v>
      </c>
      <c r="C2381" s="20" t="s">
        <v>8</v>
      </c>
      <c r="D2381" s="20" t="s">
        <v>10</v>
      </c>
      <c r="E2381" s="20" t="s">
        <v>28</v>
      </c>
      <c r="F2381" s="20" t="str">
        <f>INDEX(nrg_cb_e!$A$3:$A$40,MATCH(LEFT(MID('Industriesektor GWh'!$B2381,41,1000),SEARCH(" - ",MID('Industriesektor GWh'!$B2381,41,1000))-1),nrg_cb_e!$C$3:$C$40,0))</f>
        <v>FC_IND_TE_E</v>
      </c>
      <c r="G2381" s="21">
        <v>12.545</v>
      </c>
    </row>
    <row r="2382" spans="1:7" x14ac:dyDescent="0.2">
      <c r="A2382" s="16" t="s">
        <v>45</v>
      </c>
      <c r="B2382" s="17" t="s">
        <v>66</v>
      </c>
      <c r="C2382" s="17" t="s">
        <v>8</v>
      </c>
      <c r="D2382" s="17" t="s">
        <v>10</v>
      </c>
      <c r="E2382" s="17" t="s">
        <v>12</v>
      </c>
      <c r="F2382" s="17" t="str">
        <f>INDEX(nrg_cb_e!$A$3:$A$40,MATCH(LEFT(MID('Industriesektor GWh'!$B2382,41,1000),SEARCH(" - ",MID('Industriesektor GWh'!$B2382,41,1000))-1),nrg_cb_e!$C$3:$C$40,0))</f>
        <v>FC_IND_TE_E</v>
      </c>
      <c r="G2382" s="18">
        <v>595</v>
      </c>
    </row>
    <row r="2383" spans="1:7" x14ac:dyDescent="0.2">
      <c r="A2383" s="19" t="s">
        <v>45</v>
      </c>
      <c r="B2383" s="20" t="s">
        <v>66</v>
      </c>
      <c r="C2383" s="20" t="s">
        <v>8</v>
      </c>
      <c r="D2383" s="20" t="s">
        <v>10</v>
      </c>
      <c r="E2383" s="20" t="s">
        <v>13</v>
      </c>
      <c r="F2383" s="20" t="str">
        <f>INDEX(nrg_cb_e!$A$3:$A$40,MATCH(LEFT(MID('Industriesektor GWh'!$B2383,41,1000),SEARCH(" - ",MID('Industriesektor GWh'!$B2383,41,1000))-1),nrg_cb_e!$C$3:$C$40,0))</f>
        <v>FC_IND_TE_E</v>
      </c>
      <c r="G2383" s="21">
        <v>670</v>
      </c>
    </row>
    <row r="2384" spans="1:7" x14ac:dyDescent="0.2">
      <c r="A2384" s="16" t="s">
        <v>45</v>
      </c>
      <c r="B2384" s="17" t="s">
        <v>66</v>
      </c>
      <c r="C2384" s="17" t="s">
        <v>8</v>
      </c>
      <c r="D2384" s="17" t="s">
        <v>10</v>
      </c>
      <c r="E2384" s="17" t="s">
        <v>14</v>
      </c>
      <c r="F2384" s="17" t="str">
        <f>INDEX(nrg_cb_e!$A$3:$A$40,MATCH(LEFT(MID('Industriesektor GWh'!$B2384,41,1000),SEARCH(" - ",MID('Industriesektor GWh'!$B2384,41,1000))-1),nrg_cb_e!$C$3:$C$40,0))</f>
        <v>FC_IND_TE_E</v>
      </c>
      <c r="G2384" s="18">
        <v>747</v>
      </c>
    </row>
    <row r="2385" spans="1:7" x14ac:dyDescent="0.2">
      <c r="A2385" s="19" t="s">
        <v>45</v>
      </c>
      <c r="B2385" s="20" t="s">
        <v>66</v>
      </c>
      <c r="C2385" s="20" t="s">
        <v>8</v>
      </c>
      <c r="D2385" s="20" t="s">
        <v>10</v>
      </c>
      <c r="E2385" s="20" t="s">
        <v>15</v>
      </c>
      <c r="F2385" s="20" t="str">
        <f>INDEX(nrg_cb_e!$A$3:$A$40,MATCH(LEFT(MID('Industriesektor GWh'!$B2385,41,1000),SEARCH(" - ",MID('Industriesektor GWh'!$B2385,41,1000))-1),nrg_cb_e!$C$3:$C$40,0))</f>
        <v>FC_IND_TE_E</v>
      </c>
      <c r="G2385" s="21">
        <v>754</v>
      </c>
    </row>
    <row r="2386" spans="1:7" x14ac:dyDescent="0.2">
      <c r="A2386" s="16" t="s">
        <v>45</v>
      </c>
      <c r="B2386" s="17" t="s">
        <v>66</v>
      </c>
      <c r="C2386" s="17" t="s">
        <v>8</v>
      </c>
      <c r="D2386" s="17" t="s">
        <v>10</v>
      </c>
      <c r="E2386" s="17" t="s">
        <v>16</v>
      </c>
      <c r="F2386" s="17" t="str">
        <f>INDEX(nrg_cb_e!$A$3:$A$40,MATCH(LEFT(MID('Industriesektor GWh'!$B2386,41,1000),SEARCH(" - ",MID('Industriesektor GWh'!$B2386,41,1000))-1),nrg_cb_e!$C$3:$C$40,0))</f>
        <v>FC_IND_TE_E</v>
      </c>
      <c r="G2386" s="18">
        <v>890</v>
      </c>
    </row>
    <row r="2387" spans="1:7" x14ac:dyDescent="0.2">
      <c r="A2387" s="19" t="s">
        <v>45</v>
      </c>
      <c r="B2387" s="20" t="s">
        <v>66</v>
      </c>
      <c r="C2387" s="20" t="s">
        <v>8</v>
      </c>
      <c r="D2387" s="20" t="s">
        <v>10</v>
      </c>
      <c r="E2387" s="20" t="s">
        <v>17</v>
      </c>
      <c r="F2387" s="20" t="str">
        <f>INDEX(nrg_cb_e!$A$3:$A$40,MATCH(LEFT(MID('Industriesektor GWh'!$B2387,41,1000),SEARCH(" - ",MID('Industriesektor GWh'!$B2387,41,1000))-1),nrg_cb_e!$C$3:$C$40,0))</f>
        <v>FC_IND_TE_E</v>
      </c>
      <c r="G2387" s="21">
        <v>935</v>
      </c>
    </row>
    <row r="2388" spans="1:7" x14ac:dyDescent="0.2">
      <c r="A2388" s="16" t="s">
        <v>45</v>
      </c>
      <c r="B2388" s="17" t="s">
        <v>66</v>
      </c>
      <c r="C2388" s="17" t="s">
        <v>8</v>
      </c>
      <c r="D2388" s="17" t="s">
        <v>10</v>
      </c>
      <c r="E2388" s="17" t="s">
        <v>18</v>
      </c>
      <c r="F2388" s="17" t="str">
        <f>INDEX(nrg_cb_e!$A$3:$A$40,MATCH(LEFT(MID('Industriesektor GWh'!$B2388,41,1000),SEARCH(" - ",MID('Industriesektor GWh'!$B2388,41,1000))-1),nrg_cb_e!$C$3:$C$40,0))</f>
        <v>FC_IND_TE_E</v>
      </c>
      <c r="G2388" s="18">
        <v>958</v>
      </c>
    </row>
    <row r="2389" spans="1:7" x14ac:dyDescent="0.2">
      <c r="A2389" s="19" t="s">
        <v>45</v>
      </c>
      <c r="B2389" s="20" t="s">
        <v>66</v>
      </c>
      <c r="C2389" s="20" t="s">
        <v>8</v>
      </c>
      <c r="D2389" s="20" t="s">
        <v>10</v>
      </c>
      <c r="E2389" s="20" t="s">
        <v>19</v>
      </c>
      <c r="F2389" s="20" t="str">
        <f>INDEX(nrg_cb_e!$A$3:$A$40,MATCH(LEFT(MID('Industriesektor GWh'!$B2389,41,1000),SEARCH(" - ",MID('Industriesektor GWh'!$B2389,41,1000))-1),nrg_cb_e!$C$3:$C$40,0))</f>
        <v>FC_IND_TE_E</v>
      </c>
      <c r="G2389" s="21">
        <v>776</v>
      </c>
    </row>
    <row r="2390" spans="1:7" x14ac:dyDescent="0.2">
      <c r="A2390" s="16" t="s">
        <v>45</v>
      </c>
      <c r="B2390" s="17" t="s">
        <v>66</v>
      </c>
      <c r="C2390" s="17" t="s">
        <v>8</v>
      </c>
      <c r="D2390" s="17" t="s">
        <v>10</v>
      </c>
      <c r="E2390" s="17" t="s">
        <v>20</v>
      </c>
      <c r="F2390" s="17" t="str">
        <f>INDEX(nrg_cb_e!$A$3:$A$40,MATCH(LEFT(MID('Industriesektor GWh'!$B2390,41,1000),SEARCH(" - ",MID('Industriesektor GWh'!$B2390,41,1000))-1),nrg_cb_e!$C$3:$C$40,0))</f>
        <v>FC_IND_TE_E</v>
      </c>
      <c r="G2390" s="18">
        <v>927</v>
      </c>
    </row>
    <row r="2391" spans="1:7" x14ac:dyDescent="0.2">
      <c r="A2391" s="19" t="s">
        <v>45</v>
      </c>
      <c r="B2391" s="20" t="s">
        <v>66</v>
      </c>
      <c r="C2391" s="20" t="s">
        <v>8</v>
      </c>
      <c r="D2391" s="20" t="s">
        <v>10</v>
      </c>
      <c r="E2391" s="20" t="s">
        <v>21</v>
      </c>
      <c r="F2391" s="20" t="str">
        <f>INDEX(nrg_cb_e!$A$3:$A$40,MATCH(LEFT(MID('Industriesektor GWh'!$B2391,41,1000),SEARCH(" - ",MID('Industriesektor GWh'!$B2391,41,1000))-1),nrg_cb_e!$C$3:$C$40,0))</f>
        <v>FC_IND_TE_E</v>
      </c>
      <c r="G2391" s="21">
        <v>936</v>
      </c>
    </row>
    <row r="2392" spans="1:7" x14ac:dyDescent="0.2">
      <c r="A2392" s="16" t="s">
        <v>45</v>
      </c>
      <c r="B2392" s="17" t="s">
        <v>66</v>
      </c>
      <c r="C2392" s="17" t="s">
        <v>8</v>
      </c>
      <c r="D2392" s="17" t="s">
        <v>10</v>
      </c>
      <c r="E2392" s="17" t="s">
        <v>22</v>
      </c>
      <c r="F2392" s="17" t="str">
        <f>INDEX(nrg_cb_e!$A$3:$A$40,MATCH(LEFT(MID('Industriesektor GWh'!$B2392,41,1000),SEARCH(" - ",MID('Industriesektor GWh'!$B2392,41,1000))-1),nrg_cb_e!$C$3:$C$40,0))</f>
        <v>FC_IND_TE_E</v>
      </c>
      <c r="G2392" s="18">
        <v>1363</v>
      </c>
    </row>
    <row r="2393" spans="1:7" x14ac:dyDescent="0.2">
      <c r="A2393" s="19" t="s">
        <v>45</v>
      </c>
      <c r="B2393" s="20" t="s">
        <v>66</v>
      </c>
      <c r="C2393" s="20" t="s">
        <v>8</v>
      </c>
      <c r="D2393" s="20" t="s">
        <v>10</v>
      </c>
      <c r="E2393" s="20" t="s">
        <v>23</v>
      </c>
      <c r="F2393" s="20" t="str">
        <f>INDEX(nrg_cb_e!$A$3:$A$40,MATCH(LEFT(MID('Industriesektor GWh'!$B2393,41,1000),SEARCH(" - ",MID('Industriesektor GWh'!$B2393,41,1000))-1),nrg_cb_e!$C$3:$C$40,0))</f>
        <v>FC_IND_TE_E</v>
      </c>
      <c r="G2393" s="21">
        <v>1475</v>
      </c>
    </row>
    <row r="2394" spans="1:7" x14ac:dyDescent="0.2">
      <c r="A2394" s="16" t="s">
        <v>45</v>
      </c>
      <c r="B2394" s="17" t="s">
        <v>66</v>
      </c>
      <c r="C2394" s="17" t="s">
        <v>8</v>
      </c>
      <c r="D2394" s="17" t="s">
        <v>10</v>
      </c>
      <c r="E2394" s="17" t="s">
        <v>24</v>
      </c>
      <c r="F2394" s="17" t="str">
        <f>INDEX(nrg_cb_e!$A$3:$A$40,MATCH(LEFT(MID('Industriesektor GWh'!$B2394,41,1000),SEARCH(" - ",MID('Industriesektor GWh'!$B2394,41,1000))-1),nrg_cb_e!$C$3:$C$40,0))</f>
        <v>FC_IND_TE_E</v>
      </c>
      <c r="G2394" s="18">
        <v>1466</v>
      </c>
    </row>
    <row r="2395" spans="1:7" x14ac:dyDescent="0.2">
      <c r="A2395" s="19" t="s">
        <v>45</v>
      </c>
      <c r="B2395" s="20" t="s">
        <v>66</v>
      </c>
      <c r="C2395" s="20" t="s">
        <v>8</v>
      </c>
      <c r="D2395" s="20" t="s">
        <v>10</v>
      </c>
      <c r="E2395" s="20" t="s">
        <v>25</v>
      </c>
      <c r="F2395" s="20" t="str">
        <f>INDEX(nrg_cb_e!$A$3:$A$40,MATCH(LEFT(MID('Industriesektor GWh'!$B2395,41,1000),SEARCH(" - ",MID('Industriesektor GWh'!$B2395,41,1000))-1),nrg_cb_e!$C$3:$C$40,0))</f>
        <v>FC_IND_TE_E</v>
      </c>
      <c r="G2395" s="21">
        <v>1559</v>
      </c>
    </row>
    <row r="2396" spans="1:7" x14ac:dyDescent="0.2">
      <c r="A2396" s="16" t="s">
        <v>45</v>
      </c>
      <c r="B2396" s="17" t="s">
        <v>66</v>
      </c>
      <c r="C2396" s="17" t="s">
        <v>8</v>
      </c>
      <c r="D2396" s="17" t="s">
        <v>10</v>
      </c>
      <c r="E2396" s="17" t="s">
        <v>26</v>
      </c>
      <c r="F2396" s="17" t="str">
        <f>INDEX(nrg_cb_e!$A$3:$A$40,MATCH(LEFT(MID('Industriesektor GWh'!$B2396,41,1000),SEARCH(" - ",MID('Industriesektor GWh'!$B2396,41,1000))-1),nrg_cb_e!$C$3:$C$40,0))</f>
        <v>FC_IND_TE_E</v>
      </c>
      <c r="G2396" s="18">
        <v>1655</v>
      </c>
    </row>
    <row r="2397" spans="1:7" x14ac:dyDescent="0.2">
      <c r="A2397" s="19" t="s">
        <v>45</v>
      </c>
      <c r="B2397" s="20" t="s">
        <v>66</v>
      </c>
      <c r="C2397" s="20" t="s">
        <v>8</v>
      </c>
      <c r="D2397" s="20" t="s">
        <v>10</v>
      </c>
      <c r="E2397" s="20" t="s">
        <v>27</v>
      </c>
      <c r="F2397" s="20" t="str">
        <f>INDEX(nrg_cb_e!$A$3:$A$40,MATCH(LEFT(MID('Industriesektor GWh'!$B2397,41,1000),SEARCH(" - ",MID('Industriesektor GWh'!$B2397,41,1000))-1),nrg_cb_e!$C$3:$C$40,0))</f>
        <v>FC_IND_TE_E</v>
      </c>
      <c r="G2397" s="21">
        <v>1715</v>
      </c>
    </row>
    <row r="2398" spans="1:7" x14ac:dyDescent="0.2">
      <c r="A2398" s="16" t="s">
        <v>45</v>
      </c>
      <c r="B2398" s="17" t="s">
        <v>66</v>
      </c>
      <c r="C2398" s="17" t="s">
        <v>8</v>
      </c>
      <c r="D2398" s="17" t="s">
        <v>10</v>
      </c>
      <c r="E2398" s="17" t="s">
        <v>28</v>
      </c>
      <c r="F2398" s="17" t="str">
        <f>INDEX(nrg_cb_e!$A$3:$A$40,MATCH(LEFT(MID('Industriesektor GWh'!$B2398,41,1000),SEARCH(" - ",MID('Industriesektor GWh'!$B2398,41,1000))-1),nrg_cb_e!$C$3:$C$40,0))</f>
        <v>FC_IND_TE_E</v>
      </c>
      <c r="G2398" s="18">
        <v>1760</v>
      </c>
    </row>
    <row r="2399" spans="1:7" x14ac:dyDescent="0.2">
      <c r="A2399" s="19" t="s">
        <v>46</v>
      </c>
      <c r="B2399" s="20" t="s">
        <v>66</v>
      </c>
      <c r="C2399" s="20" t="s">
        <v>8</v>
      </c>
      <c r="D2399" s="20" t="s">
        <v>10</v>
      </c>
      <c r="E2399" s="20" t="s">
        <v>12</v>
      </c>
      <c r="F2399" s="20" t="str">
        <f>INDEX(nrg_cb_e!$A$3:$A$40,MATCH(LEFT(MID('Industriesektor GWh'!$B2399,41,1000),SEARCH(" - ",MID('Industriesektor GWh'!$B2399,41,1000))-1),nrg_cb_e!$C$3:$C$40,0))</f>
        <v>FC_IND_TE_E</v>
      </c>
      <c r="G2399" s="21">
        <v>0</v>
      </c>
    </row>
    <row r="2400" spans="1:7" x14ac:dyDescent="0.2">
      <c r="A2400" s="16" t="s">
        <v>46</v>
      </c>
      <c r="B2400" s="17" t="s">
        <v>66</v>
      </c>
      <c r="C2400" s="17" t="s">
        <v>8</v>
      </c>
      <c r="D2400" s="17" t="s">
        <v>10</v>
      </c>
      <c r="E2400" s="17" t="s">
        <v>13</v>
      </c>
      <c r="F2400" s="17" t="str">
        <f>INDEX(nrg_cb_e!$A$3:$A$40,MATCH(LEFT(MID('Industriesektor GWh'!$B2400,41,1000),SEARCH(" - ",MID('Industriesektor GWh'!$B2400,41,1000))-1),nrg_cb_e!$C$3:$C$40,0))</f>
        <v>FC_IND_TE_E</v>
      </c>
      <c r="G2400" s="18">
        <v>0</v>
      </c>
    </row>
    <row r="2401" spans="1:7" x14ac:dyDescent="0.2">
      <c r="A2401" s="19" t="s">
        <v>46</v>
      </c>
      <c r="B2401" s="20" t="s">
        <v>66</v>
      </c>
      <c r="C2401" s="20" t="s">
        <v>8</v>
      </c>
      <c r="D2401" s="20" t="s">
        <v>10</v>
      </c>
      <c r="E2401" s="20" t="s">
        <v>14</v>
      </c>
      <c r="F2401" s="20" t="str">
        <f>INDEX(nrg_cb_e!$A$3:$A$40,MATCH(LEFT(MID('Industriesektor GWh'!$B2401,41,1000),SEARCH(" - ",MID('Industriesektor GWh'!$B2401,41,1000))-1),nrg_cb_e!$C$3:$C$40,0))</f>
        <v>FC_IND_TE_E</v>
      </c>
      <c r="G2401" s="21">
        <v>0</v>
      </c>
    </row>
    <row r="2402" spans="1:7" x14ac:dyDescent="0.2">
      <c r="A2402" s="16" t="s">
        <v>46</v>
      </c>
      <c r="B2402" s="17" t="s">
        <v>66</v>
      </c>
      <c r="C2402" s="17" t="s">
        <v>8</v>
      </c>
      <c r="D2402" s="17" t="s">
        <v>10</v>
      </c>
      <c r="E2402" s="17" t="s">
        <v>15</v>
      </c>
      <c r="F2402" s="17" t="str">
        <f>INDEX(nrg_cb_e!$A$3:$A$40,MATCH(LEFT(MID('Industriesektor GWh'!$B2402,41,1000),SEARCH(" - ",MID('Industriesektor GWh'!$B2402,41,1000))-1),nrg_cb_e!$C$3:$C$40,0))</f>
        <v>FC_IND_TE_E</v>
      </c>
      <c r="G2402" s="18">
        <v>0</v>
      </c>
    </row>
    <row r="2403" spans="1:7" x14ac:dyDescent="0.2">
      <c r="A2403" s="19" t="s">
        <v>46</v>
      </c>
      <c r="B2403" s="20" t="s">
        <v>66</v>
      </c>
      <c r="C2403" s="20" t="s">
        <v>8</v>
      </c>
      <c r="D2403" s="20" t="s">
        <v>10</v>
      </c>
      <c r="E2403" s="20" t="s">
        <v>16</v>
      </c>
      <c r="F2403" s="20" t="str">
        <f>INDEX(nrg_cb_e!$A$3:$A$40,MATCH(LEFT(MID('Industriesektor GWh'!$B2403,41,1000),SEARCH(" - ",MID('Industriesektor GWh'!$B2403,41,1000))-1),nrg_cb_e!$C$3:$C$40,0))</f>
        <v>FC_IND_TE_E</v>
      </c>
      <c r="G2403" s="21">
        <v>0</v>
      </c>
    </row>
    <row r="2404" spans="1:7" x14ac:dyDescent="0.2">
      <c r="A2404" s="16" t="s">
        <v>46</v>
      </c>
      <c r="B2404" s="17" t="s">
        <v>66</v>
      </c>
      <c r="C2404" s="17" t="s">
        <v>8</v>
      </c>
      <c r="D2404" s="17" t="s">
        <v>10</v>
      </c>
      <c r="E2404" s="17" t="s">
        <v>17</v>
      </c>
      <c r="F2404" s="17" t="str">
        <f>INDEX(nrg_cb_e!$A$3:$A$40,MATCH(LEFT(MID('Industriesektor GWh'!$B2404,41,1000),SEARCH(" - ",MID('Industriesektor GWh'!$B2404,41,1000))-1),nrg_cb_e!$C$3:$C$40,0))</f>
        <v>FC_IND_TE_E</v>
      </c>
      <c r="G2404" s="18">
        <v>0</v>
      </c>
    </row>
    <row r="2405" spans="1:7" x14ac:dyDescent="0.2">
      <c r="A2405" s="19" t="s">
        <v>46</v>
      </c>
      <c r="B2405" s="20" t="s">
        <v>66</v>
      </c>
      <c r="C2405" s="20" t="s">
        <v>8</v>
      </c>
      <c r="D2405" s="20" t="s">
        <v>10</v>
      </c>
      <c r="E2405" s="20" t="s">
        <v>18</v>
      </c>
      <c r="F2405" s="20" t="str">
        <f>INDEX(nrg_cb_e!$A$3:$A$40,MATCH(LEFT(MID('Industriesektor GWh'!$B2405,41,1000),SEARCH(" - ",MID('Industriesektor GWh'!$B2405,41,1000))-1),nrg_cb_e!$C$3:$C$40,0))</f>
        <v>FC_IND_TE_E</v>
      </c>
      <c r="G2405" s="21">
        <v>0</v>
      </c>
    </row>
    <row r="2406" spans="1:7" x14ac:dyDescent="0.2">
      <c r="A2406" s="16" t="s">
        <v>46</v>
      </c>
      <c r="B2406" s="17" t="s">
        <v>66</v>
      </c>
      <c r="C2406" s="17" t="s">
        <v>8</v>
      </c>
      <c r="D2406" s="17" t="s">
        <v>10</v>
      </c>
      <c r="E2406" s="17" t="s">
        <v>19</v>
      </c>
      <c r="F2406" s="17" t="str">
        <f>INDEX(nrg_cb_e!$A$3:$A$40,MATCH(LEFT(MID('Industriesektor GWh'!$B2406,41,1000),SEARCH(" - ",MID('Industriesektor GWh'!$B2406,41,1000))-1),nrg_cb_e!$C$3:$C$40,0))</f>
        <v>FC_IND_TE_E</v>
      </c>
      <c r="G2406" s="18">
        <v>0</v>
      </c>
    </row>
    <row r="2407" spans="1:7" x14ac:dyDescent="0.2">
      <c r="A2407" s="19" t="s">
        <v>46</v>
      </c>
      <c r="B2407" s="20" t="s">
        <v>66</v>
      </c>
      <c r="C2407" s="20" t="s">
        <v>8</v>
      </c>
      <c r="D2407" s="20" t="s">
        <v>10</v>
      </c>
      <c r="E2407" s="20" t="s">
        <v>20</v>
      </c>
      <c r="F2407" s="20" t="str">
        <f>INDEX(nrg_cb_e!$A$3:$A$40,MATCH(LEFT(MID('Industriesektor GWh'!$B2407,41,1000),SEARCH(" - ",MID('Industriesektor GWh'!$B2407,41,1000))-1),nrg_cb_e!$C$3:$C$40,0))</f>
        <v>FC_IND_TE_E</v>
      </c>
      <c r="G2407" s="21">
        <v>14</v>
      </c>
    </row>
    <row r="2408" spans="1:7" x14ac:dyDescent="0.2">
      <c r="A2408" s="16" t="s">
        <v>46</v>
      </c>
      <c r="B2408" s="17" t="s">
        <v>66</v>
      </c>
      <c r="C2408" s="17" t="s">
        <v>8</v>
      </c>
      <c r="D2408" s="17" t="s">
        <v>10</v>
      </c>
      <c r="E2408" s="17" t="s">
        <v>21</v>
      </c>
      <c r="F2408" s="17" t="str">
        <f>INDEX(nrg_cb_e!$A$3:$A$40,MATCH(LEFT(MID('Industriesektor GWh'!$B2408,41,1000),SEARCH(" - ",MID('Industriesektor GWh'!$B2408,41,1000))-1),nrg_cb_e!$C$3:$C$40,0))</f>
        <v>FC_IND_TE_E</v>
      </c>
      <c r="G2408" s="18">
        <v>15</v>
      </c>
    </row>
    <row r="2409" spans="1:7" x14ac:dyDescent="0.2">
      <c r="A2409" s="19" t="s">
        <v>46</v>
      </c>
      <c r="B2409" s="20" t="s">
        <v>66</v>
      </c>
      <c r="C2409" s="20" t="s">
        <v>8</v>
      </c>
      <c r="D2409" s="20" t="s">
        <v>10</v>
      </c>
      <c r="E2409" s="20" t="s">
        <v>22</v>
      </c>
      <c r="F2409" s="20" t="str">
        <f>INDEX(nrg_cb_e!$A$3:$A$40,MATCH(LEFT(MID('Industriesektor GWh'!$B2409,41,1000),SEARCH(" - ",MID('Industriesektor GWh'!$B2409,41,1000))-1),nrg_cb_e!$C$3:$C$40,0))</f>
        <v>FC_IND_TE_E</v>
      </c>
      <c r="G2409" s="21">
        <v>16</v>
      </c>
    </row>
    <row r="2410" spans="1:7" x14ac:dyDescent="0.2">
      <c r="A2410" s="16" t="s">
        <v>46</v>
      </c>
      <c r="B2410" s="17" t="s">
        <v>66</v>
      </c>
      <c r="C2410" s="17" t="s">
        <v>8</v>
      </c>
      <c r="D2410" s="17" t="s">
        <v>10</v>
      </c>
      <c r="E2410" s="17" t="s">
        <v>23</v>
      </c>
      <c r="F2410" s="17" t="str">
        <f>INDEX(nrg_cb_e!$A$3:$A$40,MATCH(LEFT(MID('Industriesektor GWh'!$B2410,41,1000),SEARCH(" - ",MID('Industriesektor GWh'!$B2410,41,1000))-1),nrg_cb_e!$C$3:$C$40,0))</f>
        <v>FC_IND_TE_E</v>
      </c>
      <c r="G2410" s="18">
        <v>17</v>
      </c>
    </row>
    <row r="2411" spans="1:7" x14ac:dyDescent="0.2">
      <c r="A2411" s="19" t="s">
        <v>46</v>
      </c>
      <c r="B2411" s="20" t="s">
        <v>66</v>
      </c>
      <c r="C2411" s="20" t="s">
        <v>8</v>
      </c>
      <c r="D2411" s="20" t="s">
        <v>10</v>
      </c>
      <c r="E2411" s="20" t="s">
        <v>24</v>
      </c>
      <c r="F2411" s="20" t="str">
        <f>INDEX(nrg_cb_e!$A$3:$A$40,MATCH(LEFT(MID('Industriesektor GWh'!$B2411,41,1000),SEARCH(" - ",MID('Industriesektor GWh'!$B2411,41,1000))-1),nrg_cb_e!$C$3:$C$40,0))</f>
        <v>FC_IND_TE_E</v>
      </c>
      <c r="G2411" s="21">
        <v>19</v>
      </c>
    </row>
    <row r="2412" spans="1:7" x14ac:dyDescent="0.2">
      <c r="A2412" s="16" t="s">
        <v>46</v>
      </c>
      <c r="B2412" s="17" t="s">
        <v>66</v>
      </c>
      <c r="C2412" s="17" t="s">
        <v>8</v>
      </c>
      <c r="D2412" s="17" t="s">
        <v>10</v>
      </c>
      <c r="E2412" s="17" t="s">
        <v>25</v>
      </c>
      <c r="F2412" s="17" t="str">
        <f>INDEX(nrg_cb_e!$A$3:$A$40,MATCH(LEFT(MID('Industriesektor GWh'!$B2412,41,1000),SEARCH(" - ",MID('Industriesektor GWh'!$B2412,41,1000))-1),nrg_cb_e!$C$3:$C$40,0))</f>
        <v>FC_IND_TE_E</v>
      </c>
      <c r="G2412" s="18">
        <v>20</v>
      </c>
    </row>
    <row r="2413" spans="1:7" x14ac:dyDescent="0.2">
      <c r="A2413" s="19" t="s">
        <v>46</v>
      </c>
      <c r="B2413" s="20" t="s">
        <v>66</v>
      </c>
      <c r="C2413" s="20" t="s">
        <v>8</v>
      </c>
      <c r="D2413" s="20" t="s">
        <v>10</v>
      </c>
      <c r="E2413" s="20" t="s">
        <v>26</v>
      </c>
      <c r="F2413" s="20" t="str">
        <f>INDEX(nrg_cb_e!$A$3:$A$40,MATCH(LEFT(MID('Industriesektor GWh'!$B2413,41,1000),SEARCH(" - ",MID('Industriesektor GWh'!$B2413,41,1000))-1),nrg_cb_e!$C$3:$C$40,0))</f>
        <v>FC_IND_TE_E</v>
      </c>
      <c r="G2413" s="21">
        <v>19</v>
      </c>
    </row>
    <row r="2414" spans="1:7" x14ac:dyDescent="0.2">
      <c r="A2414" s="16" t="s">
        <v>46</v>
      </c>
      <c r="B2414" s="17" t="s">
        <v>66</v>
      </c>
      <c r="C2414" s="17" t="s">
        <v>8</v>
      </c>
      <c r="D2414" s="17" t="s">
        <v>10</v>
      </c>
      <c r="E2414" s="17" t="s">
        <v>27</v>
      </c>
      <c r="F2414" s="17" t="str">
        <f>INDEX(nrg_cb_e!$A$3:$A$40,MATCH(LEFT(MID('Industriesektor GWh'!$B2414,41,1000),SEARCH(" - ",MID('Industriesektor GWh'!$B2414,41,1000))-1),nrg_cb_e!$C$3:$C$40,0))</f>
        <v>FC_IND_TE_E</v>
      </c>
      <c r="G2414" s="18">
        <v>21.472000000000001</v>
      </c>
    </row>
    <row r="2415" spans="1:7" x14ac:dyDescent="0.2">
      <c r="A2415" s="19" t="s">
        <v>46</v>
      </c>
      <c r="B2415" s="20" t="s">
        <v>66</v>
      </c>
      <c r="C2415" s="20" t="s">
        <v>8</v>
      </c>
      <c r="D2415" s="20" t="s">
        <v>10</v>
      </c>
      <c r="E2415" s="20" t="s">
        <v>28</v>
      </c>
      <c r="F2415" s="20" t="str">
        <f>INDEX(nrg_cb_e!$A$3:$A$40,MATCH(LEFT(MID('Industriesektor GWh'!$B2415,41,1000),SEARCH(" - ",MID('Industriesektor GWh'!$B2415,41,1000))-1),nrg_cb_e!$C$3:$C$40,0))</f>
        <v>FC_IND_TE_E</v>
      </c>
      <c r="G2415" s="21">
        <v>21.067</v>
      </c>
    </row>
    <row r="2416" spans="1:7" x14ac:dyDescent="0.2">
      <c r="A2416" s="16" t="s">
        <v>47</v>
      </c>
      <c r="B2416" s="17" t="s">
        <v>66</v>
      </c>
      <c r="C2416" s="17" t="s">
        <v>8</v>
      </c>
      <c r="D2416" s="17" t="s">
        <v>10</v>
      </c>
      <c r="E2416" s="17" t="s">
        <v>12</v>
      </c>
      <c r="F2416" s="17" t="str">
        <f>INDEX(nrg_cb_e!$A$3:$A$40,MATCH(LEFT(MID('Industriesektor GWh'!$B2416,41,1000),SEARCH(" - ",MID('Industriesektor GWh'!$B2416,41,1000))-1),nrg_cb_e!$C$3:$C$40,0))</f>
        <v>FC_IND_TE_E</v>
      </c>
      <c r="G2416" s="18">
        <v>703</v>
      </c>
    </row>
    <row r="2417" spans="1:7" x14ac:dyDescent="0.2">
      <c r="A2417" s="19" t="s">
        <v>47</v>
      </c>
      <c r="B2417" s="20" t="s">
        <v>66</v>
      </c>
      <c r="C2417" s="20" t="s">
        <v>8</v>
      </c>
      <c r="D2417" s="20" t="s">
        <v>10</v>
      </c>
      <c r="E2417" s="20" t="s">
        <v>13</v>
      </c>
      <c r="F2417" s="20" t="str">
        <f>INDEX(nrg_cb_e!$A$3:$A$40,MATCH(LEFT(MID('Industriesektor GWh'!$B2417,41,1000),SEARCH(" - ",MID('Industriesektor GWh'!$B2417,41,1000))-1),nrg_cb_e!$C$3:$C$40,0))</f>
        <v>FC_IND_TE_E</v>
      </c>
      <c r="G2417" s="21">
        <v>666</v>
      </c>
    </row>
    <row r="2418" spans="1:7" x14ac:dyDescent="0.2">
      <c r="A2418" s="16" t="s">
        <v>47</v>
      </c>
      <c r="B2418" s="17" t="s">
        <v>66</v>
      </c>
      <c r="C2418" s="17" t="s">
        <v>8</v>
      </c>
      <c r="D2418" s="17" t="s">
        <v>10</v>
      </c>
      <c r="E2418" s="17" t="s">
        <v>14</v>
      </c>
      <c r="F2418" s="17" t="str">
        <f>INDEX(nrg_cb_e!$A$3:$A$40,MATCH(LEFT(MID('Industriesektor GWh'!$B2418,41,1000),SEARCH(" - ",MID('Industriesektor GWh'!$B2418,41,1000))-1),nrg_cb_e!$C$3:$C$40,0))</f>
        <v>FC_IND_TE_E</v>
      </c>
      <c r="G2418" s="18">
        <v>628</v>
      </c>
    </row>
    <row r="2419" spans="1:7" x14ac:dyDescent="0.2">
      <c r="A2419" s="19" t="s">
        <v>47</v>
      </c>
      <c r="B2419" s="20" t="s">
        <v>66</v>
      </c>
      <c r="C2419" s="20" t="s">
        <v>8</v>
      </c>
      <c r="D2419" s="20" t="s">
        <v>10</v>
      </c>
      <c r="E2419" s="20" t="s">
        <v>15</v>
      </c>
      <c r="F2419" s="20" t="str">
        <f>INDEX(nrg_cb_e!$A$3:$A$40,MATCH(LEFT(MID('Industriesektor GWh'!$B2419,41,1000),SEARCH(" - ",MID('Industriesektor GWh'!$B2419,41,1000))-1),nrg_cb_e!$C$3:$C$40,0))</f>
        <v>FC_IND_TE_E</v>
      </c>
      <c r="G2419" s="21">
        <v>579</v>
      </c>
    </row>
    <row r="2420" spans="1:7" x14ac:dyDescent="0.2">
      <c r="A2420" s="16" t="s">
        <v>47</v>
      </c>
      <c r="B2420" s="17" t="s">
        <v>66</v>
      </c>
      <c r="C2420" s="17" t="s">
        <v>8</v>
      </c>
      <c r="D2420" s="17" t="s">
        <v>10</v>
      </c>
      <c r="E2420" s="17" t="s">
        <v>16</v>
      </c>
      <c r="F2420" s="17" t="str">
        <f>INDEX(nrg_cb_e!$A$3:$A$40,MATCH(LEFT(MID('Industriesektor GWh'!$B2420,41,1000),SEARCH(" - ",MID('Industriesektor GWh'!$B2420,41,1000))-1),nrg_cb_e!$C$3:$C$40,0))</f>
        <v>FC_IND_TE_E</v>
      </c>
      <c r="G2420" s="18">
        <v>584</v>
      </c>
    </row>
    <row r="2421" spans="1:7" x14ac:dyDescent="0.2">
      <c r="A2421" s="19" t="s">
        <v>47</v>
      </c>
      <c r="B2421" s="20" t="s">
        <v>66</v>
      </c>
      <c r="C2421" s="20" t="s">
        <v>8</v>
      </c>
      <c r="D2421" s="20" t="s">
        <v>10</v>
      </c>
      <c r="E2421" s="20" t="s">
        <v>17</v>
      </c>
      <c r="F2421" s="20" t="str">
        <f>INDEX(nrg_cb_e!$A$3:$A$40,MATCH(LEFT(MID('Industriesektor GWh'!$B2421,41,1000),SEARCH(" - ",MID('Industriesektor GWh'!$B2421,41,1000))-1),nrg_cb_e!$C$3:$C$40,0))</f>
        <v>FC_IND_TE_E</v>
      </c>
      <c r="G2421" s="21">
        <v>605</v>
      </c>
    </row>
    <row r="2422" spans="1:7" x14ac:dyDescent="0.2">
      <c r="A2422" s="16" t="s">
        <v>47</v>
      </c>
      <c r="B2422" s="17" t="s">
        <v>66</v>
      </c>
      <c r="C2422" s="17" t="s">
        <v>8</v>
      </c>
      <c r="D2422" s="17" t="s">
        <v>10</v>
      </c>
      <c r="E2422" s="17" t="s">
        <v>18</v>
      </c>
      <c r="F2422" s="17" t="str">
        <f>INDEX(nrg_cb_e!$A$3:$A$40,MATCH(LEFT(MID('Industriesektor GWh'!$B2422,41,1000),SEARCH(" - ",MID('Industriesektor GWh'!$B2422,41,1000))-1),nrg_cb_e!$C$3:$C$40,0))</f>
        <v>FC_IND_TE_E</v>
      </c>
      <c r="G2422" s="18">
        <v>681</v>
      </c>
    </row>
    <row r="2423" spans="1:7" x14ac:dyDescent="0.2">
      <c r="A2423" s="19" t="s">
        <v>47</v>
      </c>
      <c r="B2423" s="20" t="s">
        <v>66</v>
      </c>
      <c r="C2423" s="20" t="s">
        <v>8</v>
      </c>
      <c r="D2423" s="20" t="s">
        <v>10</v>
      </c>
      <c r="E2423" s="20" t="s">
        <v>19</v>
      </c>
      <c r="F2423" s="20" t="str">
        <f>INDEX(nrg_cb_e!$A$3:$A$40,MATCH(LEFT(MID('Industriesektor GWh'!$B2423,41,1000),SEARCH(" - ",MID('Industriesektor GWh'!$B2423,41,1000))-1),nrg_cb_e!$C$3:$C$40,0))</f>
        <v>FC_IND_TE_E</v>
      </c>
      <c r="G2423" s="21">
        <v>721</v>
      </c>
    </row>
    <row r="2424" spans="1:7" x14ac:dyDescent="0.2">
      <c r="A2424" s="16" t="s">
        <v>47</v>
      </c>
      <c r="B2424" s="17" t="s">
        <v>66</v>
      </c>
      <c r="C2424" s="17" t="s">
        <v>8</v>
      </c>
      <c r="D2424" s="17" t="s">
        <v>10</v>
      </c>
      <c r="E2424" s="17" t="s">
        <v>20</v>
      </c>
      <c r="F2424" s="17" t="str">
        <f>INDEX(nrg_cb_e!$A$3:$A$40,MATCH(LEFT(MID('Industriesektor GWh'!$B2424,41,1000),SEARCH(" - ",MID('Industriesektor GWh'!$B2424,41,1000))-1),nrg_cb_e!$C$3:$C$40,0))</f>
        <v>FC_IND_TE_E</v>
      </c>
      <c r="G2424" s="18">
        <v>710</v>
      </c>
    </row>
    <row r="2425" spans="1:7" x14ac:dyDescent="0.2">
      <c r="A2425" s="19" t="s">
        <v>47</v>
      </c>
      <c r="B2425" s="20" t="s">
        <v>66</v>
      </c>
      <c r="C2425" s="20" t="s">
        <v>8</v>
      </c>
      <c r="D2425" s="20" t="s">
        <v>10</v>
      </c>
      <c r="E2425" s="20" t="s">
        <v>21</v>
      </c>
      <c r="F2425" s="20" t="str">
        <f>INDEX(nrg_cb_e!$A$3:$A$40,MATCH(LEFT(MID('Industriesektor GWh'!$B2425,41,1000),SEARCH(" - ",MID('Industriesektor GWh'!$B2425,41,1000))-1),nrg_cb_e!$C$3:$C$40,0))</f>
        <v>FC_IND_TE_E</v>
      </c>
      <c r="G2425" s="21">
        <v>571</v>
      </c>
    </row>
    <row r="2426" spans="1:7" x14ac:dyDescent="0.2">
      <c r="A2426" s="16" t="s">
        <v>47</v>
      </c>
      <c r="B2426" s="17" t="s">
        <v>66</v>
      </c>
      <c r="C2426" s="17" t="s">
        <v>8</v>
      </c>
      <c r="D2426" s="17" t="s">
        <v>10</v>
      </c>
      <c r="E2426" s="17" t="s">
        <v>22</v>
      </c>
      <c r="F2426" s="17" t="str">
        <f>INDEX(nrg_cb_e!$A$3:$A$40,MATCH(LEFT(MID('Industriesektor GWh'!$B2426,41,1000),SEARCH(" - ",MID('Industriesektor GWh'!$B2426,41,1000))-1),nrg_cb_e!$C$3:$C$40,0))</f>
        <v>FC_IND_TE_E</v>
      </c>
      <c r="G2426" s="18">
        <v>520</v>
      </c>
    </row>
    <row r="2427" spans="1:7" x14ac:dyDescent="0.2">
      <c r="A2427" s="19" t="s">
        <v>47</v>
      </c>
      <c r="B2427" s="20" t="s">
        <v>66</v>
      </c>
      <c r="C2427" s="20" t="s">
        <v>8</v>
      </c>
      <c r="D2427" s="20" t="s">
        <v>10</v>
      </c>
      <c r="E2427" s="20" t="s">
        <v>23</v>
      </c>
      <c r="F2427" s="20" t="str">
        <f>INDEX(nrg_cb_e!$A$3:$A$40,MATCH(LEFT(MID('Industriesektor GWh'!$B2427,41,1000),SEARCH(" - ",MID('Industriesektor GWh'!$B2427,41,1000))-1),nrg_cb_e!$C$3:$C$40,0))</f>
        <v>FC_IND_TE_E</v>
      </c>
      <c r="G2427" s="21">
        <v>545</v>
      </c>
    </row>
    <row r="2428" spans="1:7" x14ac:dyDescent="0.2">
      <c r="A2428" s="16" t="s">
        <v>47</v>
      </c>
      <c r="B2428" s="17" t="s">
        <v>66</v>
      </c>
      <c r="C2428" s="17" t="s">
        <v>8</v>
      </c>
      <c r="D2428" s="17" t="s">
        <v>10</v>
      </c>
      <c r="E2428" s="17" t="s">
        <v>24</v>
      </c>
      <c r="F2428" s="17" t="str">
        <f>INDEX(nrg_cb_e!$A$3:$A$40,MATCH(LEFT(MID('Industriesektor GWh'!$B2428,41,1000),SEARCH(" - ",MID('Industriesektor GWh'!$B2428,41,1000))-1),nrg_cb_e!$C$3:$C$40,0))</f>
        <v>FC_IND_TE_E</v>
      </c>
      <c r="G2428" s="18">
        <v>548</v>
      </c>
    </row>
    <row r="2429" spans="1:7" x14ac:dyDescent="0.2">
      <c r="A2429" s="19" t="s">
        <v>47</v>
      </c>
      <c r="B2429" s="20" t="s">
        <v>66</v>
      </c>
      <c r="C2429" s="20" t="s">
        <v>8</v>
      </c>
      <c r="D2429" s="20" t="s">
        <v>10</v>
      </c>
      <c r="E2429" s="20" t="s">
        <v>25</v>
      </c>
      <c r="F2429" s="20" t="str">
        <f>INDEX(nrg_cb_e!$A$3:$A$40,MATCH(LEFT(MID('Industriesektor GWh'!$B2429,41,1000),SEARCH(" - ",MID('Industriesektor GWh'!$B2429,41,1000))-1),nrg_cb_e!$C$3:$C$40,0))</f>
        <v>FC_IND_TE_E</v>
      </c>
      <c r="G2429" s="21">
        <v>555.48</v>
      </c>
    </row>
    <row r="2430" spans="1:7" x14ac:dyDescent="0.2">
      <c r="A2430" s="16" t="s">
        <v>47</v>
      </c>
      <c r="B2430" s="17" t="s">
        <v>66</v>
      </c>
      <c r="C2430" s="17" t="s">
        <v>8</v>
      </c>
      <c r="D2430" s="17" t="s">
        <v>10</v>
      </c>
      <c r="E2430" s="17" t="s">
        <v>26</v>
      </c>
      <c r="F2430" s="17" t="str">
        <f>INDEX(nrg_cb_e!$A$3:$A$40,MATCH(LEFT(MID('Industriesektor GWh'!$B2430,41,1000),SEARCH(" - ",MID('Industriesektor GWh'!$B2430,41,1000))-1),nrg_cb_e!$C$3:$C$40,0))</f>
        <v>FC_IND_TE_E</v>
      </c>
      <c r="G2430" s="18">
        <v>608.74599999999998</v>
      </c>
    </row>
    <row r="2431" spans="1:7" x14ac:dyDescent="0.2">
      <c r="A2431" s="19" t="s">
        <v>47</v>
      </c>
      <c r="B2431" s="20" t="s">
        <v>66</v>
      </c>
      <c r="C2431" s="20" t="s">
        <v>8</v>
      </c>
      <c r="D2431" s="20" t="s">
        <v>10</v>
      </c>
      <c r="E2431" s="20" t="s">
        <v>27</v>
      </c>
      <c r="F2431" s="20" t="str">
        <f>INDEX(nrg_cb_e!$A$3:$A$40,MATCH(LEFT(MID('Industriesektor GWh'!$B2431,41,1000),SEARCH(" - ",MID('Industriesektor GWh'!$B2431,41,1000))-1),nrg_cb_e!$C$3:$C$40,0))</f>
        <v>FC_IND_TE_E</v>
      </c>
      <c r="G2431" s="21">
        <v>589.154</v>
      </c>
    </row>
    <row r="2432" spans="1:7" x14ac:dyDescent="0.2">
      <c r="A2432" s="16" t="s">
        <v>47</v>
      </c>
      <c r="B2432" s="17" t="s">
        <v>66</v>
      </c>
      <c r="C2432" s="17" t="s">
        <v>8</v>
      </c>
      <c r="D2432" s="17" t="s">
        <v>10</v>
      </c>
      <c r="E2432" s="17" t="s">
        <v>28</v>
      </c>
      <c r="F2432" s="17" t="str">
        <f>INDEX(nrg_cb_e!$A$3:$A$40,MATCH(LEFT(MID('Industriesektor GWh'!$B2432,41,1000),SEARCH(" - ",MID('Industriesektor GWh'!$B2432,41,1000))-1),nrg_cb_e!$C$3:$C$40,0))</f>
        <v>FC_IND_TE_E</v>
      </c>
      <c r="G2432" s="18">
        <v>717.30399999999997</v>
      </c>
    </row>
    <row r="2433" spans="1:7" x14ac:dyDescent="0.2">
      <c r="A2433" s="19" t="s">
        <v>48</v>
      </c>
      <c r="B2433" s="20" t="s">
        <v>66</v>
      </c>
      <c r="C2433" s="20" t="s">
        <v>8</v>
      </c>
      <c r="D2433" s="20" t="s">
        <v>10</v>
      </c>
      <c r="E2433" s="20" t="s">
        <v>12</v>
      </c>
      <c r="F2433" s="20" t="str">
        <f>INDEX(nrg_cb_e!$A$3:$A$40,MATCH(LEFT(MID('Industriesektor GWh'!$B2433,41,1000),SEARCH(" - ",MID('Industriesektor GWh'!$B2433,41,1000))-1),nrg_cb_e!$C$3:$C$40,0))</f>
        <v>FC_IND_TE_E</v>
      </c>
      <c r="G2433" s="21">
        <v>701</v>
      </c>
    </row>
    <row r="2434" spans="1:7" x14ac:dyDescent="0.2">
      <c r="A2434" s="16" t="s">
        <v>48</v>
      </c>
      <c r="B2434" s="17" t="s">
        <v>66</v>
      </c>
      <c r="C2434" s="17" t="s">
        <v>8</v>
      </c>
      <c r="D2434" s="17" t="s">
        <v>10</v>
      </c>
      <c r="E2434" s="17" t="s">
        <v>13</v>
      </c>
      <c r="F2434" s="17" t="str">
        <f>INDEX(nrg_cb_e!$A$3:$A$40,MATCH(LEFT(MID('Industriesektor GWh'!$B2434,41,1000),SEARCH(" - ",MID('Industriesektor GWh'!$B2434,41,1000))-1),nrg_cb_e!$C$3:$C$40,0))</f>
        <v>FC_IND_TE_E</v>
      </c>
      <c r="G2434" s="18">
        <v>758</v>
      </c>
    </row>
    <row r="2435" spans="1:7" x14ac:dyDescent="0.2">
      <c r="A2435" s="19" t="s">
        <v>48</v>
      </c>
      <c r="B2435" s="20" t="s">
        <v>66</v>
      </c>
      <c r="C2435" s="20" t="s">
        <v>8</v>
      </c>
      <c r="D2435" s="20" t="s">
        <v>10</v>
      </c>
      <c r="E2435" s="20" t="s">
        <v>14</v>
      </c>
      <c r="F2435" s="20" t="str">
        <f>INDEX(nrg_cb_e!$A$3:$A$40,MATCH(LEFT(MID('Industriesektor GWh'!$B2435,41,1000),SEARCH(" - ",MID('Industriesektor GWh'!$B2435,41,1000))-1),nrg_cb_e!$C$3:$C$40,0))</f>
        <v>FC_IND_TE_E</v>
      </c>
      <c r="G2435" s="21">
        <v>916</v>
      </c>
    </row>
    <row r="2436" spans="1:7" x14ac:dyDescent="0.2">
      <c r="A2436" s="16" t="s">
        <v>48</v>
      </c>
      <c r="B2436" s="17" t="s">
        <v>66</v>
      </c>
      <c r="C2436" s="17" t="s">
        <v>8</v>
      </c>
      <c r="D2436" s="17" t="s">
        <v>10</v>
      </c>
      <c r="E2436" s="17" t="s">
        <v>15</v>
      </c>
      <c r="F2436" s="17" t="str">
        <f>INDEX(nrg_cb_e!$A$3:$A$40,MATCH(LEFT(MID('Industriesektor GWh'!$B2436,41,1000),SEARCH(" - ",MID('Industriesektor GWh'!$B2436,41,1000))-1),nrg_cb_e!$C$3:$C$40,0))</f>
        <v>FC_IND_TE_E</v>
      </c>
      <c r="G2436" s="18">
        <v>952.88499999999999</v>
      </c>
    </row>
    <row r="2437" spans="1:7" x14ac:dyDescent="0.2">
      <c r="A2437" s="19" t="s">
        <v>48</v>
      </c>
      <c r="B2437" s="20" t="s">
        <v>66</v>
      </c>
      <c r="C2437" s="20" t="s">
        <v>8</v>
      </c>
      <c r="D2437" s="20" t="s">
        <v>10</v>
      </c>
      <c r="E2437" s="20" t="s">
        <v>16</v>
      </c>
      <c r="F2437" s="20" t="str">
        <f>INDEX(nrg_cb_e!$A$3:$A$40,MATCH(LEFT(MID('Industriesektor GWh'!$B2437,41,1000),SEARCH(" - ",MID('Industriesektor GWh'!$B2437,41,1000))-1),nrg_cb_e!$C$3:$C$40,0))</f>
        <v>FC_IND_TE_E</v>
      </c>
      <c r="G2437" s="21">
        <v>955.82299999999998</v>
      </c>
    </row>
    <row r="2438" spans="1:7" x14ac:dyDescent="0.2">
      <c r="A2438" s="16" t="s">
        <v>48</v>
      </c>
      <c r="B2438" s="17" t="s">
        <v>66</v>
      </c>
      <c r="C2438" s="17" t="s">
        <v>8</v>
      </c>
      <c r="D2438" s="17" t="s">
        <v>10</v>
      </c>
      <c r="E2438" s="17" t="s">
        <v>17</v>
      </c>
      <c r="F2438" s="17" t="str">
        <f>INDEX(nrg_cb_e!$A$3:$A$40,MATCH(LEFT(MID('Industriesektor GWh'!$B2438,41,1000),SEARCH(" - ",MID('Industriesektor GWh'!$B2438,41,1000))-1),nrg_cb_e!$C$3:$C$40,0))</f>
        <v>FC_IND_TE_E</v>
      </c>
      <c r="G2438" s="18">
        <v>928.96299999999997</v>
      </c>
    </row>
    <row r="2439" spans="1:7" x14ac:dyDescent="0.2">
      <c r="A2439" s="19" t="s">
        <v>48</v>
      </c>
      <c r="B2439" s="20" t="s">
        <v>66</v>
      </c>
      <c r="C2439" s="20" t="s">
        <v>8</v>
      </c>
      <c r="D2439" s="20" t="s">
        <v>10</v>
      </c>
      <c r="E2439" s="20" t="s">
        <v>18</v>
      </c>
      <c r="F2439" s="20" t="str">
        <f>INDEX(nrg_cb_e!$A$3:$A$40,MATCH(LEFT(MID('Industriesektor GWh'!$B2439,41,1000),SEARCH(" - ",MID('Industriesektor GWh'!$B2439,41,1000))-1),nrg_cb_e!$C$3:$C$40,0))</f>
        <v>FC_IND_TE_E</v>
      </c>
      <c r="G2439" s="21">
        <v>872.94899999999996</v>
      </c>
    </row>
    <row r="2440" spans="1:7" x14ac:dyDescent="0.2">
      <c r="A2440" s="16" t="s">
        <v>48</v>
      </c>
      <c r="B2440" s="17" t="s">
        <v>66</v>
      </c>
      <c r="C2440" s="17" t="s">
        <v>8</v>
      </c>
      <c r="D2440" s="17" t="s">
        <v>10</v>
      </c>
      <c r="E2440" s="17" t="s">
        <v>19</v>
      </c>
      <c r="F2440" s="17" t="str">
        <f>INDEX(nrg_cb_e!$A$3:$A$40,MATCH(LEFT(MID('Industriesektor GWh'!$B2440,41,1000),SEARCH(" - ",MID('Industriesektor GWh'!$B2440,41,1000))-1),nrg_cb_e!$C$3:$C$40,0))</f>
        <v>FC_IND_TE_E</v>
      </c>
      <c r="G2440" s="18">
        <v>719.13699999999994</v>
      </c>
    </row>
    <row r="2441" spans="1:7" x14ac:dyDescent="0.2">
      <c r="A2441" s="19" t="s">
        <v>48</v>
      </c>
      <c r="B2441" s="20" t="s">
        <v>66</v>
      </c>
      <c r="C2441" s="20" t="s">
        <v>8</v>
      </c>
      <c r="D2441" s="20" t="s">
        <v>10</v>
      </c>
      <c r="E2441" s="20" t="s">
        <v>20</v>
      </c>
      <c r="F2441" s="20" t="str">
        <f>INDEX(nrg_cb_e!$A$3:$A$40,MATCH(LEFT(MID('Industriesektor GWh'!$B2441,41,1000),SEARCH(" - ",MID('Industriesektor GWh'!$B2441,41,1000))-1),nrg_cb_e!$C$3:$C$40,0))</f>
        <v>FC_IND_TE_E</v>
      </c>
      <c r="G2441" s="21">
        <v>846.52099999999996</v>
      </c>
    </row>
    <row r="2442" spans="1:7" x14ac:dyDescent="0.2">
      <c r="A2442" s="16" t="s">
        <v>48</v>
      </c>
      <c r="B2442" s="17" t="s">
        <v>66</v>
      </c>
      <c r="C2442" s="17" t="s">
        <v>8</v>
      </c>
      <c r="D2442" s="17" t="s">
        <v>10</v>
      </c>
      <c r="E2442" s="17" t="s">
        <v>21</v>
      </c>
      <c r="F2442" s="17" t="str">
        <f>INDEX(nrg_cb_e!$A$3:$A$40,MATCH(LEFT(MID('Industriesektor GWh'!$B2442,41,1000),SEARCH(" - ",MID('Industriesektor GWh'!$B2442,41,1000))-1),nrg_cb_e!$C$3:$C$40,0))</f>
        <v>FC_IND_TE_E</v>
      </c>
      <c r="G2442" s="18">
        <v>961.42200000000003</v>
      </c>
    </row>
    <row r="2443" spans="1:7" x14ac:dyDescent="0.2">
      <c r="A2443" s="19" t="s">
        <v>48</v>
      </c>
      <c r="B2443" s="20" t="s">
        <v>66</v>
      </c>
      <c r="C2443" s="20" t="s">
        <v>8</v>
      </c>
      <c r="D2443" s="20" t="s">
        <v>10</v>
      </c>
      <c r="E2443" s="20" t="s">
        <v>22</v>
      </c>
      <c r="F2443" s="20" t="str">
        <f>INDEX(nrg_cb_e!$A$3:$A$40,MATCH(LEFT(MID('Industriesektor GWh'!$B2443,41,1000),SEARCH(" - ",MID('Industriesektor GWh'!$B2443,41,1000))-1),nrg_cb_e!$C$3:$C$40,0))</f>
        <v>FC_IND_TE_E</v>
      </c>
      <c r="G2443" s="21">
        <v>904.38199999999995</v>
      </c>
    </row>
    <row r="2444" spans="1:7" x14ac:dyDescent="0.2">
      <c r="A2444" s="16" t="s">
        <v>48</v>
      </c>
      <c r="B2444" s="17" t="s">
        <v>66</v>
      </c>
      <c r="C2444" s="17" t="s">
        <v>8</v>
      </c>
      <c r="D2444" s="17" t="s">
        <v>10</v>
      </c>
      <c r="E2444" s="17" t="s">
        <v>23</v>
      </c>
      <c r="F2444" s="17" t="str">
        <f>INDEX(nrg_cb_e!$A$3:$A$40,MATCH(LEFT(MID('Industriesektor GWh'!$B2444,41,1000),SEARCH(" - ",MID('Industriesektor GWh'!$B2444,41,1000))-1),nrg_cb_e!$C$3:$C$40,0))</f>
        <v>FC_IND_TE_E</v>
      </c>
      <c r="G2444" s="18">
        <v>771.04899999999998</v>
      </c>
    </row>
    <row r="2445" spans="1:7" x14ac:dyDescent="0.2">
      <c r="A2445" s="19" t="s">
        <v>48</v>
      </c>
      <c r="B2445" s="20" t="s">
        <v>66</v>
      </c>
      <c r="C2445" s="20" t="s">
        <v>8</v>
      </c>
      <c r="D2445" s="20" t="s">
        <v>10</v>
      </c>
      <c r="E2445" s="20" t="s">
        <v>24</v>
      </c>
      <c r="F2445" s="20" t="str">
        <f>INDEX(nrg_cb_e!$A$3:$A$40,MATCH(LEFT(MID('Industriesektor GWh'!$B2445,41,1000),SEARCH(" - ",MID('Industriesektor GWh'!$B2445,41,1000))-1),nrg_cb_e!$C$3:$C$40,0))</f>
        <v>FC_IND_TE_E</v>
      </c>
      <c r="G2445" s="21">
        <v>837.66300000000001</v>
      </c>
    </row>
    <row r="2446" spans="1:7" x14ac:dyDescent="0.2">
      <c r="A2446" s="16" t="s">
        <v>48</v>
      </c>
      <c r="B2446" s="17" t="s">
        <v>66</v>
      </c>
      <c r="C2446" s="17" t="s">
        <v>8</v>
      </c>
      <c r="D2446" s="17" t="s">
        <v>10</v>
      </c>
      <c r="E2446" s="17" t="s">
        <v>25</v>
      </c>
      <c r="F2446" s="17" t="str">
        <f>INDEX(nrg_cb_e!$A$3:$A$40,MATCH(LEFT(MID('Industriesektor GWh'!$B2446,41,1000),SEARCH(" - ",MID('Industriesektor GWh'!$B2446,41,1000))-1),nrg_cb_e!$C$3:$C$40,0))</f>
        <v>FC_IND_TE_E</v>
      </c>
      <c r="G2446" s="18">
        <v>828.71900000000005</v>
      </c>
    </row>
    <row r="2447" spans="1:7" x14ac:dyDescent="0.2">
      <c r="A2447" s="19" t="s">
        <v>48</v>
      </c>
      <c r="B2447" s="20" t="s">
        <v>66</v>
      </c>
      <c r="C2447" s="20" t="s">
        <v>8</v>
      </c>
      <c r="D2447" s="20" t="s">
        <v>10</v>
      </c>
      <c r="E2447" s="20" t="s">
        <v>26</v>
      </c>
      <c r="F2447" s="20" t="str">
        <f>INDEX(nrg_cb_e!$A$3:$A$40,MATCH(LEFT(MID('Industriesektor GWh'!$B2447,41,1000),SEARCH(" - ",MID('Industriesektor GWh'!$B2447,41,1000))-1),nrg_cb_e!$C$3:$C$40,0))</f>
        <v>FC_IND_TE_E</v>
      </c>
      <c r="G2447" s="21">
        <v>886.42700000000002</v>
      </c>
    </row>
    <row r="2448" spans="1:7" x14ac:dyDescent="0.2">
      <c r="A2448" s="16" t="s">
        <v>48</v>
      </c>
      <c r="B2448" s="17" t="s">
        <v>66</v>
      </c>
      <c r="C2448" s="17" t="s">
        <v>8</v>
      </c>
      <c r="D2448" s="17" t="s">
        <v>10</v>
      </c>
      <c r="E2448" s="17" t="s">
        <v>27</v>
      </c>
      <c r="F2448" s="17" t="str">
        <f>INDEX(nrg_cb_e!$A$3:$A$40,MATCH(LEFT(MID('Industriesektor GWh'!$B2448,41,1000),SEARCH(" - ",MID('Industriesektor GWh'!$B2448,41,1000))-1),nrg_cb_e!$C$3:$C$40,0))</f>
        <v>FC_IND_TE_E</v>
      </c>
      <c r="G2448" s="18">
        <v>968.99900000000002</v>
      </c>
    </row>
    <row r="2449" spans="1:7" x14ac:dyDescent="0.2">
      <c r="A2449" s="19" t="s">
        <v>48</v>
      </c>
      <c r="B2449" s="20" t="s">
        <v>66</v>
      </c>
      <c r="C2449" s="20" t="s">
        <v>8</v>
      </c>
      <c r="D2449" s="20" t="s">
        <v>10</v>
      </c>
      <c r="E2449" s="20" t="s">
        <v>28</v>
      </c>
      <c r="F2449" s="20" t="str">
        <f>INDEX(nrg_cb_e!$A$3:$A$40,MATCH(LEFT(MID('Industriesektor GWh'!$B2449,41,1000),SEARCH(" - ",MID('Industriesektor GWh'!$B2449,41,1000))-1),nrg_cb_e!$C$3:$C$40,0))</f>
        <v>FC_IND_TE_E</v>
      </c>
      <c r="G2449" s="21">
        <v>960.976</v>
      </c>
    </row>
    <row r="2450" spans="1:7" x14ac:dyDescent="0.2">
      <c r="A2450" s="16" t="s">
        <v>49</v>
      </c>
      <c r="B2450" s="17" t="s">
        <v>66</v>
      </c>
      <c r="C2450" s="17" t="s">
        <v>8</v>
      </c>
      <c r="D2450" s="17" t="s">
        <v>10</v>
      </c>
      <c r="E2450" s="17" t="s">
        <v>12</v>
      </c>
      <c r="F2450" s="17" t="str">
        <f>INDEX(nrg_cb_e!$A$3:$A$40,MATCH(LEFT(MID('Industriesektor GWh'!$B2450,41,1000),SEARCH(" - ",MID('Industriesektor GWh'!$B2450,41,1000))-1),nrg_cb_e!$C$3:$C$40,0))</f>
        <v>FC_IND_TE_E</v>
      </c>
      <c r="G2450" s="18">
        <v>1351</v>
      </c>
    </row>
    <row r="2451" spans="1:7" x14ac:dyDescent="0.2">
      <c r="A2451" s="19" t="s">
        <v>49</v>
      </c>
      <c r="B2451" s="20" t="s">
        <v>66</v>
      </c>
      <c r="C2451" s="20" t="s">
        <v>8</v>
      </c>
      <c r="D2451" s="20" t="s">
        <v>10</v>
      </c>
      <c r="E2451" s="20" t="s">
        <v>13</v>
      </c>
      <c r="F2451" s="20" t="str">
        <f>INDEX(nrg_cb_e!$A$3:$A$40,MATCH(LEFT(MID('Industriesektor GWh'!$B2451,41,1000),SEARCH(" - ",MID('Industriesektor GWh'!$B2451,41,1000))-1),nrg_cb_e!$C$3:$C$40,0))</f>
        <v>FC_IND_TE_E</v>
      </c>
      <c r="G2451" s="21">
        <v>1561</v>
      </c>
    </row>
    <row r="2452" spans="1:7" x14ac:dyDescent="0.2">
      <c r="A2452" s="16" t="s">
        <v>49</v>
      </c>
      <c r="B2452" s="17" t="s">
        <v>66</v>
      </c>
      <c r="C2452" s="17" t="s">
        <v>8</v>
      </c>
      <c r="D2452" s="17" t="s">
        <v>10</v>
      </c>
      <c r="E2452" s="17" t="s">
        <v>14</v>
      </c>
      <c r="F2452" s="17" t="str">
        <f>INDEX(nrg_cb_e!$A$3:$A$40,MATCH(LEFT(MID('Industriesektor GWh'!$B2452,41,1000),SEARCH(" - ",MID('Industriesektor GWh'!$B2452,41,1000))-1),nrg_cb_e!$C$3:$C$40,0))</f>
        <v>FC_IND_TE_E</v>
      </c>
      <c r="G2452" s="18">
        <v>1745</v>
      </c>
    </row>
    <row r="2453" spans="1:7" x14ac:dyDescent="0.2">
      <c r="A2453" s="19" t="s">
        <v>49</v>
      </c>
      <c r="B2453" s="20" t="s">
        <v>66</v>
      </c>
      <c r="C2453" s="20" t="s">
        <v>8</v>
      </c>
      <c r="D2453" s="20" t="s">
        <v>10</v>
      </c>
      <c r="E2453" s="20" t="s">
        <v>15</v>
      </c>
      <c r="F2453" s="20" t="str">
        <f>INDEX(nrg_cb_e!$A$3:$A$40,MATCH(LEFT(MID('Industriesektor GWh'!$B2453,41,1000),SEARCH(" - ",MID('Industriesektor GWh'!$B2453,41,1000))-1),nrg_cb_e!$C$3:$C$40,0))</f>
        <v>FC_IND_TE_E</v>
      </c>
      <c r="G2453" s="21">
        <v>1938</v>
      </c>
    </row>
    <row r="2454" spans="1:7" x14ac:dyDescent="0.2">
      <c r="A2454" s="16" t="s">
        <v>49</v>
      </c>
      <c r="B2454" s="17" t="s">
        <v>66</v>
      </c>
      <c r="C2454" s="17" t="s">
        <v>8</v>
      </c>
      <c r="D2454" s="17" t="s">
        <v>10</v>
      </c>
      <c r="E2454" s="17" t="s">
        <v>16</v>
      </c>
      <c r="F2454" s="17" t="str">
        <f>INDEX(nrg_cb_e!$A$3:$A$40,MATCH(LEFT(MID('Industriesektor GWh'!$B2454,41,1000),SEARCH(" - ",MID('Industriesektor GWh'!$B2454,41,1000))-1),nrg_cb_e!$C$3:$C$40,0))</f>
        <v>FC_IND_TE_E</v>
      </c>
      <c r="G2454" s="18">
        <v>2052</v>
      </c>
    </row>
    <row r="2455" spans="1:7" x14ac:dyDescent="0.2">
      <c r="A2455" s="19" t="s">
        <v>49</v>
      </c>
      <c r="B2455" s="20" t="s">
        <v>66</v>
      </c>
      <c r="C2455" s="20" t="s">
        <v>8</v>
      </c>
      <c r="D2455" s="20" t="s">
        <v>10</v>
      </c>
      <c r="E2455" s="20" t="s">
        <v>17</v>
      </c>
      <c r="F2455" s="20" t="str">
        <f>INDEX(nrg_cb_e!$A$3:$A$40,MATCH(LEFT(MID('Industriesektor GWh'!$B2455,41,1000),SEARCH(" - ",MID('Industriesektor GWh'!$B2455,41,1000))-1),nrg_cb_e!$C$3:$C$40,0))</f>
        <v>FC_IND_TE_E</v>
      </c>
      <c r="G2455" s="21">
        <v>2314</v>
      </c>
    </row>
    <row r="2456" spans="1:7" x14ac:dyDescent="0.2">
      <c r="A2456" s="16" t="s">
        <v>49</v>
      </c>
      <c r="B2456" s="17" t="s">
        <v>66</v>
      </c>
      <c r="C2456" s="17" t="s">
        <v>8</v>
      </c>
      <c r="D2456" s="17" t="s">
        <v>10</v>
      </c>
      <c r="E2456" s="17" t="s">
        <v>18</v>
      </c>
      <c r="F2456" s="17" t="str">
        <f>INDEX(nrg_cb_e!$A$3:$A$40,MATCH(LEFT(MID('Industriesektor GWh'!$B2456,41,1000),SEARCH(" - ",MID('Industriesektor GWh'!$B2456,41,1000))-1),nrg_cb_e!$C$3:$C$40,0))</f>
        <v>FC_IND_TE_E</v>
      </c>
      <c r="G2456" s="18">
        <v>2394</v>
      </c>
    </row>
    <row r="2457" spans="1:7" x14ac:dyDescent="0.2">
      <c r="A2457" s="19" t="s">
        <v>49</v>
      </c>
      <c r="B2457" s="20" t="s">
        <v>66</v>
      </c>
      <c r="C2457" s="20" t="s">
        <v>8</v>
      </c>
      <c r="D2457" s="20" t="s">
        <v>10</v>
      </c>
      <c r="E2457" s="20" t="s">
        <v>19</v>
      </c>
      <c r="F2457" s="20" t="str">
        <f>INDEX(nrg_cb_e!$A$3:$A$40,MATCH(LEFT(MID('Industriesektor GWh'!$B2457,41,1000),SEARCH(" - ",MID('Industriesektor GWh'!$B2457,41,1000))-1),nrg_cb_e!$C$3:$C$40,0))</f>
        <v>FC_IND_TE_E</v>
      </c>
      <c r="G2457" s="21">
        <v>1662</v>
      </c>
    </row>
    <row r="2458" spans="1:7" x14ac:dyDescent="0.2">
      <c r="A2458" s="16" t="s">
        <v>49</v>
      </c>
      <c r="B2458" s="17" t="s">
        <v>66</v>
      </c>
      <c r="C2458" s="17" t="s">
        <v>8</v>
      </c>
      <c r="D2458" s="17" t="s">
        <v>10</v>
      </c>
      <c r="E2458" s="17" t="s">
        <v>20</v>
      </c>
      <c r="F2458" s="17" t="str">
        <f>INDEX(nrg_cb_e!$A$3:$A$40,MATCH(LEFT(MID('Industriesektor GWh'!$B2458,41,1000),SEARCH(" - ",MID('Industriesektor GWh'!$B2458,41,1000))-1),nrg_cb_e!$C$3:$C$40,0))</f>
        <v>FC_IND_TE_E</v>
      </c>
      <c r="G2458" s="18">
        <v>1746</v>
      </c>
    </row>
    <row r="2459" spans="1:7" x14ac:dyDescent="0.2">
      <c r="A2459" s="19" t="s">
        <v>49</v>
      </c>
      <c r="B2459" s="20" t="s">
        <v>66</v>
      </c>
      <c r="C2459" s="20" t="s">
        <v>8</v>
      </c>
      <c r="D2459" s="20" t="s">
        <v>10</v>
      </c>
      <c r="E2459" s="20" t="s">
        <v>21</v>
      </c>
      <c r="F2459" s="20" t="str">
        <f>INDEX(nrg_cb_e!$A$3:$A$40,MATCH(LEFT(MID('Industriesektor GWh'!$B2459,41,1000),SEARCH(" - ",MID('Industriesektor GWh'!$B2459,41,1000))-1),nrg_cb_e!$C$3:$C$40,0))</f>
        <v>FC_IND_TE_E</v>
      </c>
      <c r="G2459" s="21">
        <v>1926</v>
      </c>
    </row>
    <row r="2460" spans="1:7" x14ac:dyDescent="0.2">
      <c r="A2460" s="16" t="s">
        <v>49</v>
      </c>
      <c r="B2460" s="17" t="s">
        <v>66</v>
      </c>
      <c r="C2460" s="17" t="s">
        <v>8</v>
      </c>
      <c r="D2460" s="17" t="s">
        <v>10</v>
      </c>
      <c r="E2460" s="17" t="s">
        <v>22</v>
      </c>
      <c r="F2460" s="17" t="str">
        <f>INDEX(nrg_cb_e!$A$3:$A$40,MATCH(LEFT(MID('Industriesektor GWh'!$B2460,41,1000),SEARCH(" - ",MID('Industriesektor GWh'!$B2460,41,1000))-1),nrg_cb_e!$C$3:$C$40,0))</f>
        <v>FC_IND_TE_E</v>
      </c>
      <c r="G2460" s="18">
        <v>2014</v>
      </c>
    </row>
    <row r="2461" spans="1:7" x14ac:dyDescent="0.2">
      <c r="A2461" s="19" t="s">
        <v>49</v>
      </c>
      <c r="B2461" s="20" t="s">
        <v>66</v>
      </c>
      <c r="C2461" s="20" t="s">
        <v>8</v>
      </c>
      <c r="D2461" s="20" t="s">
        <v>10</v>
      </c>
      <c r="E2461" s="20" t="s">
        <v>23</v>
      </c>
      <c r="F2461" s="20" t="str">
        <f>INDEX(nrg_cb_e!$A$3:$A$40,MATCH(LEFT(MID('Industriesektor GWh'!$B2461,41,1000),SEARCH(" - ",MID('Industriesektor GWh'!$B2461,41,1000))-1),nrg_cb_e!$C$3:$C$40,0))</f>
        <v>FC_IND_TE_E</v>
      </c>
      <c r="G2461" s="21">
        <v>2533</v>
      </c>
    </row>
    <row r="2462" spans="1:7" x14ac:dyDescent="0.2">
      <c r="A2462" s="16" t="s">
        <v>49</v>
      </c>
      <c r="B2462" s="17" t="s">
        <v>66</v>
      </c>
      <c r="C2462" s="17" t="s">
        <v>8</v>
      </c>
      <c r="D2462" s="17" t="s">
        <v>10</v>
      </c>
      <c r="E2462" s="17" t="s">
        <v>24</v>
      </c>
      <c r="F2462" s="17" t="str">
        <f>INDEX(nrg_cb_e!$A$3:$A$40,MATCH(LEFT(MID('Industriesektor GWh'!$B2462,41,1000),SEARCH(" - ",MID('Industriesektor GWh'!$B2462,41,1000))-1),nrg_cb_e!$C$3:$C$40,0))</f>
        <v>FC_IND_TE_E</v>
      </c>
      <c r="G2462" s="18">
        <v>2537</v>
      </c>
    </row>
    <row r="2463" spans="1:7" x14ac:dyDescent="0.2">
      <c r="A2463" s="19" t="s">
        <v>49</v>
      </c>
      <c r="B2463" s="20" t="s">
        <v>66</v>
      </c>
      <c r="C2463" s="20" t="s">
        <v>8</v>
      </c>
      <c r="D2463" s="20" t="s">
        <v>10</v>
      </c>
      <c r="E2463" s="20" t="s">
        <v>25</v>
      </c>
      <c r="F2463" s="20" t="str">
        <f>INDEX(nrg_cb_e!$A$3:$A$40,MATCH(LEFT(MID('Industriesektor GWh'!$B2463,41,1000),SEARCH(" - ",MID('Industriesektor GWh'!$B2463,41,1000))-1),nrg_cb_e!$C$3:$C$40,0))</f>
        <v>FC_IND_TE_E</v>
      </c>
      <c r="G2463" s="21">
        <v>2562</v>
      </c>
    </row>
    <row r="2464" spans="1:7" x14ac:dyDescent="0.2">
      <c r="A2464" s="16" t="s">
        <v>49</v>
      </c>
      <c r="B2464" s="17" t="s">
        <v>66</v>
      </c>
      <c r="C2464" s="17" t="s">
        <v>8</v>
      </c>
      <c r="D2464" s="17" t="s">
        <v>10</v>
      </c>
      <c r="E2464" s="17" t="s">
        <v>26</v>
      </c>
      <c r="F2464" s="17" t="str">
        <f>INDEX(nrg_cb_e!$A$3:$A$40,MATCH(LEFT(MID('Industriesektor GWh'!$B2464,41,1000),SEARCH(" - ",MID('Industriesektor GWh'!$B2464,41,1000))-1),nrg_cb_e!$C$3:$C$40,0))</f>
        <v>FC_IND_TE_E</v>
      </c>
      <c r="G2464" s="18">
        <v>2712</v>
      </c>
    </row>
    <row r="2465" spans="1:7" x14ac:dyDescent="0.2">
      <c r="A2465" s="19" t="s">
        <v>49</v>
      </c>
      <c r="B2465" s="20" t="s">
        <v>66</v>
      </c>
      <c r="C2465" s="20" t="s">
        <v>8</v>
      </c>
      <c r="D2465" s="20" t="s">
        <v>10</v>
      </c>
      <c r="E2465" s="20" t="s">
        <v>27</v>
      </c>
      <c r="F2465" s="20" t="str">
        <f>INDEX(nrg_cb_e!$A$3:$A$40,MATCH(LEFT(MID('Industriesektor GWh'!$B2465,41,1000),SEARCH(" - ",MID('Industriesektor GWh'!$B2465,41,1000))-1),nrg_cb_e!$C$3:$C$40,0))</f>
        <v>FC_IND_TE_E</v>
      </c>
      <c r="G2465" s="21">
        <v>2928.1669999999999</v>
      </c>
    </row>
    <row r="2466" spans="1:7" x14ac:dyDescent="0.2">
      <c r="A2466" s="16" t="s">
        <v>49</v>
      </c>
      <c r="B2466" s="17" t="s">
        <v>66</v>
      </c>
      <c r="C2466" s="17" t="s">
        <v>8</v>
      </c>
      <c r="D2466" s="17" t="s">
        <v>10</v>
      </c>
      <c r="E2466" s="17" t="s">
        <v>28</v>
      </c>
      <c r="F2466" s="17" t="str">
        <f>INDEX(nrg_cb_e!$A$3:$A$40,MATCH(LEFT(MID('Industriesektor GWh'!$B2466,41,1000),SEARCH(" - ",MID('Industriesektor GWh'!$B2466,41,1000))-1),nrg_cb_e!$C$3:$C$40,0))</f>
        <v>FC_IND_TE_E</v>
      </c>
      <c r="G2466" s="18">
        <v>3061.085</v>
      </c>
    </row>
    <row r="2467" spans="1:7" x14ac:dyDescent="0.2">
      <c r="A2467" s="19" t="s">
        <v>50</v>
      </c>
      <c r="B2467" s="20" t="s">
        <v>66</v>
      </c>
      <c r="C2467" s="20" t="s">
        <v>8</v>
      </c>
      <c r="D2467" s="20" t="s">
        <v>10</v>
      </c>
      <c r="E2467" s="20" t="s">
        <v>12</v>
      </c>
      <c r="F2467" s="20" t="str">
        <f>INDEX(nrg_cb_e!$A$3:$A$40,MATCH(LEFT(MID('Industriesektor GWh'!$B2467,41,1000),SEARCH(" - ",MID('Industriesektor GWh'!$B2467,41,1000))-1),nrg_cb_e!$C$3:$C$40,0))</f>
        <v>FC_IND_TE_E</v>
      </c>
      <c r="G2467" s="21">
        <v>476</v>
      </c>
    </row>
    <row r="2468" spans="1:7" x14ac:dyDescent="0.2">
      <c r="A2468" s="16" t="s">
        <v>50</v>
      </c>
      <c r="B2468" s="17" t="s">
        <v>66</v>
      </c>
      <c r="C2468" s="17" t="s">
        <v>8</v>
      </c>
      <c r="D2468" s="17" t="s">
        <v>10</v>
      </c>
      <c r="E2468" s="17" t="s">
        <v>13</v>
      </c>
      <c r="F2468" s="17" t="str">
        <f>INDEX(nrg_cb_e!$A$3:$A$40,MATCH(LEFT(MID('Industriesektor GWh'!$B2468,41,1000),SEARCH(" - ",MID('Industriesektor GWh'!$B2468,41,1000))-1),nrg_cb_e!$C$3:$C$40,0))</f>
        <v>FC_IND_TE_E</v>
      </c>
      <c r="G2468" s="18">
        <v>481</v>
      </c>
    </row>
    <row r="2469" spans="1:7" x14ac:dyDescent="0.2">
      <c r="A2469" s="19" t="s">
        <v>50</v>
      </c>
      <c r="B2469" s="20" t="s">
        <v>66</v>
      </c>
      <c r="C2469" s="20" t="s">
        <v>8</v>
      </c>
      <c r="D2469" s="20" t="s">
        <v>10</v>
      </c>
      <c r="E2469" s="20" t="s">
        <v>14</v>
      </c>
      <c r="F2469" s="20" t="str">
        <f>INDEX(nrg_cb_e!$A$3:$A$40,MATCH(LEFT(MID('Industriesektor GWh'!$B2469,41,1000),SEARCH(" - ",MID('Industriesektor GWh'!$B2469,41,1000))-1),nrg_cb_e!$C$3:$C$40,0))</f>
        <v>FC_IND_TE_E</v>
      </c>
      <c r="G2469" s="21">
        <v>471</v>
      </c>
    </row>
    <row r="2470" spans="1:7" x14ac:dyDescent="0.2">
      <c r="A2470" s="16" t="s">
        <v>50</v>
      </c>
      <c r="B2470" s="17" t="s">
        <v>66</v>
      </c>
      <c r="C2470" s="17" t="s">
        <v>8</v>
      </c>
      <c r="D2470" s="17" t="s">
        <v>10</v>
      </c>
      <c r="E2470" s="17" t="s">
        <v>15</v>
      </c>
      <c r="F2470" s="17" t="str">
        <f>INDEX(nrg_cb_e!$A$3:$A$40,MATCH(LEFT(MID('Industriesektor GWh'!$B2470,41,1000),SEARCH(" - ",MID('Industriesektor GWh'!$B2470,41,1000))-1),nrg_cb_e!$C$3:$C$40,0))</f>
        <v>FC_IND_TE_E</v>
      </c>
      <c r="G2470" s="18">
        <v>478</v>
      </c>
    </row>
    <row r="2471" spans="1:7" x14ac:dyDescent="0.2">
      <c r="A2471" s="19" t="s">
        <v>50</v>
      </c>
      <c r="B2471" s="20" t="s">
        <v>66</v>
      </c>
      <c r="C2471" s="20" t="s">
        <v>8</v>
      </c>
      <c r="D2471" s="20" t="s">
        <v>10</v>
      </c>
      <c r="E2471" s="20" t="s">
        <v>16</v>
      </c>
      <c r="F2471" s="20" t="str">
        <f>INDEX(nrg_cb_e!$A$3:$A$40,MATCH(LEFT(MID('Industriesektor GWh'!$B2471,41,1000),SEARCH(" - ",MID('Industriesektor GWh'!$B2471,41,1000))-1),nrg_cb_e!$C$3:$C$40,0))</f>
        <v>FC_IND_TE_E</v>
      </c>
      <c r="G2471" s="21">
        <v>483</v>
      </c>
    </row>
    <row r="2472" spans="1:7" x14ac:dyDescent="0.2">
      <c r="A2472" s="16" t="s">
        <v>50</v>
      </c>
      <c r="B2472" s="17" t="s">
        <v>66</v>
      </c>
      <c r="C2472" s="17" t="s">
        <v>8</v>
      </c>
      <c r="D2472" s="17" t="s">
        <v>10</v>
      </c>
      <c r="E2472" s="17" t="s">
        <v>17</v>
      </c>
      <c r="F2472" s="17" t="str">
        <f>INDEX(nrg_cb_e!$A$3:$A$40,MATCH(LEFT(MID('Industriesektor GWh'!$B2472,41,1000),SEARCH(" - ",MID('Industriesektor GWh'!$B2472,41,1000))-1),nrg_cb_e!$C$3:$C$40,0))</f>
        <v>FC_IND_TE_E</v>
      </c>
      <c r="G2472" s="18">
        <v>494</v>
      </c>
    </row>
    <row r="2473" spans="1:7" x14ac:dyDescent="0.2">
      <c r="A2473" s="19" t="s">
        <v>50</v>
      </c>
      <c r="B2473" s="20" t="s">
        <v>66</v>
      </c>
      <c r="C2473" s="20" t="s">
        <v>8</v>
      </c>
      <c r="D2473" s="20" t="s">
        <v>10</v>
      </c>
      <c r="E2473" s="20" t="s">
        <v>18</v>
      </c>
      <c r="F2473" s="20" t="str">
        <f>INDEX(nrg_cb_e!$A$3:$A$40,MATCH(LEFT(MID('Industriesektor GWh'!$B2473,41,1000),SEARCH(" - ",MID('Industriesektor GWh'!$B2473,41,1000))-1),nrg_cb_e!$C$3:$C$40,0))</f>
        <v>FC_IND_TE_E</v>
      </c>
      <c r="G2473" s="21">
        <v>481</v>
      </c>
    </row>
    <row r="2474" spans="1:7" x14ac:dyDescent="0.2">
      <c r="A2474" s="16" t="s">
        <v>50</v>
      </c>
      <c r="B2474" s="17" t="s">
        <v>66</v>
      </c>
      <c r="C2474" s="17" t="s">
        <v>8</v>
      </c>
      <c r="D2474" s="17" t="s">
        <v>10</v>
      </c>
      <c r="E2474" s="17" t="s">
        <v>19</v>
      </c>
      <c r="F2474" s="17" t="str">
        <f>INDEX(nrg_cb_e!$A$3:$A$40,MATCH(LEFT(MID('Industriesektor GWh'!$B2474,41,1000),SEARCH(" - ",MID('Industriesektor GWh'!$B2474,41,1000))-1),nrg_cb_e!$C$3:$C$40,0))</f>
        <v>FC_IND_TE_E</v>
      </c>
      <c r="G2474" s="18">
        <v>411</v>
      </c>
    </row>
    <row r="2475" spans="1:7" x14ac:dyDescent="0.2">
      <c r="A2475" s="19" t="s">
        <v>50</v>
      </c>
      <c r="B2475" s="20" t="s">
        <v>66</v>
      </c>
      <c r="C2475" s="20" t="s">
        <v>8</v>
      </c>
      <c r="D2475" s="20" t="s">
        <v>10</v>
      </c>
      <c r="E2475" s="20" t="s">
        <v>20</v>
      </c>
      <c r="F2475" s="20" t="str">
        <f>INDEX(nrg_cb_e!$A$3:$A$40,MATCH(LEFT(MID('Industriesektor GWh'!$B2475,41,1000),SEARCH(" - ",MID('Industriesektor GWh'!$B2475,41,1000))-1),nrg_cb_e!$C$3:$C$40,0))</f>
        <v>FC_IND_TE_E</v>
      </c>
      <c r="G2475" s="21">
        <v>442</v>
      </c>
    </row>
    <row r="2476" spans="1:7" x14ac:dyDescent="0.2">
      <c r="A2476" s="16" t="s">
        <v>50</v>
      </c>
      <c r="B2476" s="17" t="s">
        <v>66</v>
      </c>
      <c r="C2476" s="17" t="s">
        <v>8</v>
      </c>
      <c r="D2476" s="17" t="s">
        <v>10</v>
      </c>
      <c r="E2476" s="17" t="s">
        <v>21</v>
      </c>
      <c r="F2476" s="17" t="str">
        <f>INDEX(nrg_cb_e!$A$3:$A$40,MATCH(LEFT(MID('Industriesektor GWh'!$B2476,41,1000),SEARCH(" - ",MID('Industriesektor GWh'!$B2476,41,1000))-1),nrg_cb_e!$C$3:$C$40,0))</f>
        <v>FC_IND_TE_E</v>
      </c>
      <c r="G2476" s="18">
        <v>433</v>
      </c>
    </row>
    <row r="2477" spans="1:7" x14ac:dyDescent="0.2">
      <c r="A2477" s="19" t="s">
        <v>50</v>
      </c>
      <c r="B2477" s="20" t="s">
        <v>66</v>
      </c>
      <c r="C2477" s="20" t="s">
        <v>8</v>
      </c>
      <c r="D2477" s="20" t="s">
        <v>10</v>
      </c>
      <c r="E2477" s="20" t="s">
        <v>22</v>
      </c>
      <c r="F2477" s="20" t="str">
        <f>INDEX(nrg_cb_e!$A$3:$A$40,MATCH(LEFT(MID('Industriesektor GWh'!$B2477,41,1000),SEARCH(" - ",MID('Industriesektor GWh'!$B2477,41,1000))-1),nrg_cb_e!$C$3:$C$40,0))</f>
        <v>FC_IND_TE_E</v>
      </c>
      <c r="G2477" s="21">
        <v>374</v>
      </c>
    </row>
    <row r="2478" spans="1:7" x14ac:dyDescent="0.2">
      <c r="A2478" s="16" t="s">
        <v>50</v>
      </c>
      <c r="B2478" s="17" t="s">
        <v>66</v>
      </c>
      <c r="C2478" s="17" t="s">
        <v>8</v>
      </c>
      <c r="D2478" s="17" t="s">
        <v>10</v>
      </c>
      <c r="E2478" s="17" t="s">
        <v>23</v>
      </c>
      <c r="F2478" s="17" t="str">
        <f>INDEX(nrg_cb_e!$A$3:$A$40,MATCH(LEFT(MID('Industriesektor GWh'!$B2478,41,1000),SEARCH(" - ",MID('Industriesektor GWh'!$B2478,41,1000))-1),nrg_cb_e!$C$3:$C$40,0))</f>
        <v>FC_IND_TE_E</v>
      </c>
      <c r="G2478" s="18">
        <v>347</v>
      </c>
    </row>
    <row r="2479" spans="1:7" x14ac:dyDescent="0.2">
      <c r="A2479" s="19" t="s">
        <v>50</v>
      </c>
      <c r="B2479" s="20" t="s">
        <v>66</v>
      </c>
      <c r="C2479" s="20" t="s">
        <v>8</v>
      </c>
      <c r="D2479" s="20" t="s">
        <v>10</v>
      </c>
      <c r="E2479" s="20" t="s">
        <v>24</v>
      </c>
      <c r="F2479" s="20" t="str">
        <f>INDEX(nrg_cb_e!$A$3:$A$40,MATCH(LEFT(MID('Industriesektor GWh'!$B2479,41,1000),SEARCH(" - ",MID('Industriesektor GWh'!$B2479,41,1000))-1),nrg_cb_e!$C$3:$C$40,0))</f>
        <v>FC_IND_TE_E</v>
      </c>
      <c r="G2479" s="21">
        <v>358</v>
      </c>
    </row>
    <row r="2480" spans="1:7" x14ac:dyDescent="0.2">
      <c r="A2480" s="16" t="s">
        <v>50</v>
      </c>
      <c r="B2480" s="17" t="s">
        <v>66</v>
      </c>
      <c r="C2480" s="17" t="s">
        <v>8</v>
      </c>
      <c r="D2480" s="17" t="s">
        <v>10</v>
      </c>
      <c r="E2480" s="17" t="s">
        <v>25</v>
      </c>
      <c r="F2480" s="17" t="str">
        <f>INDEX(nrg_cb_e!$A$3:$A$40,MATCH(LEFT(MID('Industriesektor GWh'!$B2480,41,1000),SEARCH(" - ",MID('Industriesektor GWh'!$B2480,41,1000))-1),nrg_cb_e!$C$3:$C$40,0))</f>
        <v>FC_IND_TE_E</v>
      </c>
      <c r="G2480" s="18">
        <v>369</v>
      </c>
    </row>
    <row r="2481" spans="1:7" x14ac:dyDescent="0.2">
      <c r="A2481" s="19" t="s">
        <v>50</v>
      </c>
      <c r="B2481" s="20" t="s">
        <v>66</v>
      </c>
      <c r="C2481" s="20" t="s">
        <v>8</v>
      </c>
      <c r="D2481" s="20" t="s">
        <v>10</v>
      </c>
      <c r="E2481" s="20" t="s">
        <v>26</v>
      </c>
      <c r="F2481" s="20" t="str">
        <f>INDEX(nrg_cb_e!$A$3:$A$40,MATCH(LEFT(MID('Industriesektor GWh'!$B2481,41,1000),SEARCH(" - ",MID('Industriesektor GWh'!$B2481,41,1000))-1),nrg_cb_e!$C$3:$C$40,0))</f>
        <v>FC_IND_TE_E</v>
      </c>
      <c r="G2481" s="21">
        <v>446.08800000000002</v>
      </c>
    </row>
    <row r="2482" spans="1:7" x14ac:dyDescent="0.2">
      <c r="A2482" s="16" t="s">
        <v>50</v>
      </c>
      <c r="B2482" s="17" t="s">
        <v>66</v>
      </c>
      <c r="C2482" s="17" t="s">
        <v>8</v>
      </c>
      <c r="D2482" s="17" t="s">
        <v>10</v>
      </c>
      <c r="E2482" s="17" t="s">
        <v>27</v>
      </c>
      <c r="F2482" s="17" t="str">
        <f>INDEX(nrg_cb_e!$A$3:$A$40,MATCH(LEFT(MID('Industriesektor GWh'!$B2482,41,1000),SEARCH(" - ",MID('Industriesektor GWh'!$B2482,41,1000))-1),nrg_cb_e!$C$3:$C$40,0))</f>
        <v>FC_IND_TE_E</v>
      </c>
      <c r="G2482" s="18">
        <v>524.89700000000005</v>
      </c>
    </row>
    <row r="2483" spans="1:7" x14ac:dyDescent="0.2">
      <c r="A2483" s="19" t="s">
        <v>50</v>
      </c>
      <c r="B2483" s="20" t="s">
        <v>66</v>
      </c>
      <c r="C2483" s="20" t="s">
        <v>8</v>
      </c>
      <c r="D2483" s="20" t="s">
        <v>10</v>
      </c>
      <c r="E2483" s="20" t="s">
        <v>28</v>
      </c>
      <c r="F2483" s="20" t="str">
        <f>INDEX(nrg_cb_e!$A$3:$A$40,MATCH(LEFT(MID('Industriesektor GWh'!$B2483,41,1000),SEARCH(" - ",MID('Industriesektor GWh'!$B2483,41,1000))-1),nrg_cb_e!$C$3:$C$40,0))</f>
        <v>FC_IND_TE_E</v>
      </c>
      <c r="G2483" s="21">
        <v>551.40099999999995</v>
      </c>
    </row>
    <row r="2484" spans="1:7" x14ac:dyDescent="0.2">
      <c r="A2484" s="16" t="s">
        <v>51</v>
      </c>
      <c r="B2484" s="17" t="s">
        <v>66</v>
      </c>
      <c r="C2484" s="17" t="s">
        <v>8</v>
      </c>
      <c r="D2484" s="17" t="s">
        <v>10</v>
      </c>
      <c r="E2484" s="17" t="s">
        <v>12</v>
      </c>
      <c r="F2484" s="17" t="str">
        <f>INDEX(nrg_cb_e!$A$3:$A$40,MATCH(LEFT(MID('Industriesektor GWh'!$B2484,41,1000),SEARCH(" - ",MID('Industriesektor GWh'!$B2484,41,1000))-1),nrg_cb_e!$C$3:$C$40,0))</f>
        <v>FC_IND_TE_E</v>
      </c>
      <c r="G2484" s="18">
        <v>467</v>
      </c>
    </row>
    <row r="2485" spans="1:7" x14ac:dyDescent="0.2">
      <c r="A2485" s="19" t="s">
        <v>51</v>
      </c>
      <c r="B2485" s="20" t="s">
        <v>66</v>
      </c>
      <c r="C2485" s="20" t="s">
        <v>8</v>
      </c>
      <c r="D2485" s="20" t="s">
        <v>10</v>
      </c>
      <c r="E2485" s="20" t="s">
        <v>13</v>
      </c>
      <c r="F2485" s="20" t="str">
        <f>INDEX(nrg_cb_e!$A$3:$A$40,MATCH(LEFT(MID('Industriesektor GWh'!$B2485,41,1000),SEARCH(" - ",MID('Industriesektor GWh'!$B2485,41,1000))-1),nrg_cb_e!$C$3:$C$40,0))</f>
        <v>FC_IND_TE_E</v>
      </c>
      <c r="G2485" s="21">
        <v>399</v>
      </c>
    </row>
    <row r="2486" spans="1:7" x14ac:dyDescent="0.2">
      <c r="A2486" s="16" t="s">
        <v>51</v>
      </c>
      <c r="B2486" s="17" t="s">
        <v>66</v>
      </c>
      <c r="C2486" s="17" t="s">
        <v>8</v>
      </c>
      <c r="D2486" s="17" t="s">
        <v>10</v>
      </c>
      <c r="E2486" s="17" t="s">
        <v>14</v>
      </c>
      <c r="F2486" s="17" t="str">
        <f>INDEX(nrg_cb_e!$A$3:$A$40,MATCH(LEFT(MID('Industriesektor GWh'!$B2486,41,1000),SEARCH(" - ",MID('Industriesektor GWh'!$B2486,41,1000))-1),nrg_cb_e!$C$3:$C$40,0))</f>
        <v>FC_IND_TE_E</v>
      </c>
      <c r="G2486" s="18">
        <v>508</v>
      </c>
    </row>
    <row r="2487" spans="1:7" x14ac:dyDescent="0.2">
      <c r="A2487" s="19" t="s">
        <v>51</v>
      </c>
      <c r="B2487" s="20" t="s">
        <v>66</v>
      </c>
      <c r="C2487" s="20" t="s">
        <v>8</v>
      </c>
      <c r="D2487" s="20" t="s">
        <v>10</v>
      </c>
      <c r="E2487" s="20" t="s">
        <v>15</v>
      </c>
      <c r="F2487" s="20" t="str">
        <f>INDEX(nrg_cb_e!$A$3:$A$40,MATCH(LEFT(MID('Industriesektor GWh'!$B2487,41,1000),SEARCH(" - ",MID('Industriesektor GWh'!$B2487,41,1000))-1),nrg_cb_e!$C$3:$C$40,0))</f>
        <v>FC_IND_TE_E</v>
      </c>
      <c r="G2487" s="21">
        <v>479</v>
      </c>
    </row>
    <row r="2488" spans="1:7" x14ac:dyDescent="0.2">
      <c r="A2488" s="16" t="s">
        <v>51</v>
      </c>
      <c r="B2488" s="17" t="s">
        <v>66</v>
      </c>
      <c r="C2488" s="17" t="s">
        <v>8</v>
      </c>
      <c r="D2488" s="17" t="s">
        <v>10</v>
      </c>
      <c r="E2488" s="17" t="s">
        <v>16</v>
      </c>
      <c r="F2488" s="17" t="str">
        <f>INDEX(nrg_cb_e!$A$3:$A$40,MATCH(LEFT(MID('Industriesektor GWh'!$B2488,41,1000),SEARCH(" - ",MID('Industriesektor GWh'!$B2488,41,1000))-1),nrg_cb_e!$C$3:$C$40,0))</f>
        <v>FC_IND_TE_E</v>
      </c>
      <c r="G2488" s="18">
        <v>835</v>
      </c>
    </row>
    <row r="2489" spans="1:7" x14ac:dyDescent="0.2">
      <c r="A2489" s="19" t="s">
        <v>51</v>
      </c>
      <c r="B2489" s="20" t="s">
        <v>66</v>
      </c>
      <c r="C2489" s="20" t="s">
        <v>8</v>
      </c>
      <c r="D2489" s="20" t="s">
        <v>10</v>
      </c>
      <c r="E2489" s="20" t="s">
        <v>17</v>
      </c>
      <c r="F2489" s="20" t="str">
        <f>INDEX(nrg_cb_e!$A$3:$A$40,MATCH(LEFT(MID('Industriesektor GWh'!$B2489,41,1000),SEARCH(" - ",MID('Industriesektor GWh'!$B2489,41,1000))-1),nrg_cb_e!$C$3:$C$40,0))</f>
        <v>FC_IND_TE_E</v>
      </c>
      <c r="G2489" s="21">
        <v>914</v>
      </c>
    </row>
    <row r="2490" spans="1:7" x14ac:dyDescent="0.2">
      <c r="A2490" s="16" t="s">
        <v>51</v>
      </c>
      <c r="B2490" s="17" t="s">
        <v>66</v>
      </c>
      <c r="C2490" s="17" t="s">
        <v>8</v>
      </c>
      <c r="D2490" s="17" t="s">
        <v>10</v>
      </c>
      <c r="E2490" s="17" t="s">
        <v>18</v>
      </c>
      <c r="F2490" s="17" t="str">
        <f>INDEX(nrg_cb_e!$A$3:$A$40,MATCH(LEFT(MID('Industriesektor GWh'!$B2490,41,1000),SEARCH(" - ",MID('Industriesektor GWh'!$B2490,41,1000))-1),nrg_cb_e!$C$3:$C$40,0))</f>
        <v>FC_IND_TE_E</v>
      </c>
      <c r="G2490" s="18">
        <v>891</v>
      </c>
    </row>
    <row r="2491" spans="1:7" x14ac:dyDescent="0.2">
      <c r="A2491" s="19" t="s">
        <v>51</v>
      </c>
      <c r="B2491" s="20" t="s">
        <v>66</v>
      </c>
      <c r="C2491" s="20" t="s">
        <v>8</v>
      </c>
      <c r="D2491" s="20" t="s">
        <v>10</v>
      </c>
      <c r="E2491" s="20" t="s">
        <v>19</v>
      </c>
      <c r="F2491" s="20" t="str">
        <f>INDEX(nrg_cb_e!$A$3:$A$40,MATCH(LEFT(MID('Industriesektor GWh'!$B2491,41,1000),SEARCH(" - ",MID('Industriesektor GWh'!$B2491,41,1000))-1),nrg_cb_e!$C$3:$C$40,0))</f>
        <v>FC_IND_TE_E</v>
      </c>
      <c r="G2491" s="21">
        <v>849</v>
      </c>
    </row>
    <row r="2492" spans="1:7" x14ac:dyDescent="0.2">
      <c r="A2492" s="16" t="s">
        <v>51</v>
      </c>
      <c r="B2492" s="17" t="s">
        <v>66</v>
      </c>
      <c r="C2492" s="17" t="s">
        <v>8</v>
      </c>
      <c r="D2492" s="17" t="s">
        <v>10</v>
      </c>
      <c r="E2492" s="17" t="s">
        <v>20</v>
      </c>
      <c r="F2492" s="17" t="str">
        <f>INDEX(nrg_cb_e!$A$3:$A$40,MATCH(LEFT(MID('Industriesektor GWh'!$B2492,41,1000),SEARCH(" - ",MID('Industriesektor GWh'!$B2492,41,1000))-1),nrg_cb_e!$C$3:$C$40,0))</f>
        <v>FC_IND_TE_E</v>
      </c>
      <c r="G2492" s="18">
        <v>476</v>
      </c>
    </row>
    <row r="2493" spans="1:7" x14ac:dyDescent="0.2">
      <c r="A2493" s="19" t="s">
        <v>51</v>
      </c>
      <c r="B2493" s="20" t="s">
        <v>66</v>
      </c>
      <c r="C2493" s="20" t="s">
        <v>8</v>
      </c>
      <c r="D2493" s="20" t="s">
        <v>10</v>
      </c>
      <c r="E2493" s="20" t="s">
        <v>21</v>
      </c>
      <c r="F2493" s="20" t="str">
        <f>INDEX(nrg_cb_e!$A$3:$A$40,MATCH(LEFT(MID('Industriesektor GWh'!$B2493,41,1000),SEARCH(" - ",MID('Industriesektor GWh'!$B2493,41,1000))-1),nrg_cb_e!$C$3:$C$40,0))</f>
        <v>FC_IND_TE_E</v>
      </c>
      <c r="G2493" s="21">
        <v>972</v>
      </c>
    </row>
    <row r="2494" spans="1:7" x14ac:dyDescent="0.2">
      <c r="A2494" s="16" t="s">
        <v>51</v>
      </c>
      <c r="B2494" s="17" t="s">
        <v>66</v>
      </c>
      <c r="C2494" s="17" t="s">
        <v>8</v>
      </c>
      <c r="D2494" s="17" t="s">
        <v>10</v>
      </c>
      <c r="E2494" s="17" t="s">
        <v>22</v>
      </c>
      <c r="F2494" s="17" t="str">
        <f>INDEX(nrg_cb_e!$A$3:$A$40,MATCH(LEFT(MID('Industriesektor GWh'!$B2494,41,1000),SEARCH(" - ",MID('Industriesektor GWh'!$B2494,41,1000))-1),nrg_cb_e!$C$3:$C$40,0))</f>
        <v>FC_IND_TE_E</v>
      </c>
      <c r="G2494" s="18">
        <v>1011</v>
      </c>
    </row>
    <row r="2495" spans="1:7" x14ac:dyDescent="0.2">
      <c r="A2495" s="19" t="s">
        <v>51</v>
      </c>
      <c r="B2495" s="20" t="s">
        <v>66</v>
      </c>
      <c r="C2495" s="20" t="s">
        <v>8</v>
      </c>
      <c r="D2495" s="20" t="s">
        <v>10</v>
      </c>
      <c r="E2495" s="20" t="s">
        <v>23</v>
      </c>
      <c r="F2495" s="20" t="str">
        <f>INDEX(nrg_cb_e!$A$3:$A$40,MATCH(LEFT(MID('Industriesektor GWh'!$B2495,41,1000),SEARCH(" - ",MID('Industriesektor GWh'!$B2495,41,1000))-1),nrg_cb_e!$C$3:$C$40,0))</f>
        <v>FC_IND_TE_E</v>
      </c>
      <c r="G2495" s="21">
        <v>1226</v>
      </c>
    </row>
    <row r="2496" spans="1:7" x14ac:dyDescent="0.2">
      <c r="A2496" s="16" t="s">
        <v>51</v>
      </c>
      <c r="B2496" s="17" t="s">
        <v>66</v>
      </c>
      <c r="C2496" s="17" t="s">
        <v>8</v>
      </c>
      <c r="D2496" s="17" t="s">
        <v>10</v>
      </c>
      <c r="E2496" s="17" t="s">
        <v>24</v>
      </c>
      <c r="F2496" s="17" t="str">
        <f>INDEX(nrg_cb_e!$A$3:$A$40,MATCH(LEFT(MID('Industriesektor GWh'!$B2496,41,1000),SEARCH(" - ",MID('Industriesektor GWh'!$B2496,41,1000))-1),nrg_cb_e!$C$3:$C$40,0))</f>
        <v>FC_IND_TE_E</v>
      </c>
      <c r="G2496" s="18">
        <v>1397</v>
      </c>
    </row>
    <row r="2497" spans="1:7" x14ac:dyDescent="0.2">
      <c r="A2497" s="19" t="s">
        <v>51</v>
      </c>
      <c r="B2497" s="20" t="s">
        <v>66</v>
      </c>
      <c r="C2497" s="20" t="s">
        <v>8</v>
      </c>
      <c r="D2497" s="20" t="s">
        <v>10</v>
      </c>
      <c r="E2497" s="20" t="s">
        <v>25</v>
      </c>
      <c r="F2497" s="20" t="str">
        <f>INDEX(nrg_cb_e!$A$3:$A$40,MATCH(LEFT(MID('Industriesektor GWh'!$B2497,41,1000),SEARCH(" - ",MID('Industriesektor GWh'!$B2497,41,1000))-1),nrg_cb_e!$C$3:$C$40,0))</f>
        <v>FC_IND_TE_E</v>
      </c>
      <c r="G2497" s="21">
        <v>1398</v>
      </c>
    </row>
    <row r="2498" spans="1:7" x14ac:dyDescent="0.2">
      <c r="A2498" s="16" t="s">
        <v>51</v>
      </c>
      <c r="B2498" s="17" t="s">
        <v>66</v>
      </c>
      <c r="C2498" s="17" t="s">
        <v>8</v>
      </c>
      <c r="D2498" s="17" t="s">
        <v>10</v>
      </c>
      <c r="E2498" s="17" t="s">
        <v>26</v>
      </c>
      <c r="F2498" s="17" t="str">
        <f>INDEX(nrg_cb_e!$A$3:$A$40,MATCH(LEFT(MID('Industriesektor GWh'!$B2498,41,1000),SEARCH(" - ",MID('Industriesektor GWh'!$B2498,41,1000))-1),nrg_cb_e!$C$3:$C$40,0))</f>
        <v>FC_IND_TE_E</v>
      </c>
      <c r="G2498" s="18">
        <v>1384</v>
      </c>
    </row>
    <row r="2499" spans="1:7" x14ac:dyDescent="0.2">
      <c r="A2499" s="19" t="s">
        <v>51</v>
      </c>
      <c r="B2499" s="20" t="s">
        <v>66</v>
      </c>
      <c r="C2499" s="20" t="s">
        <v>8</v>
      </c>
      <c r="D2499" s="20" t="s">
        <v>10</v>
      </c>
      <c r="E2499" s="20" t="s">
        <v>27</v>
      </c>
      <c r="F2499" s="20" t="str">
        <f>INDEX(nrg_cb_e!$A$3:$A$40,MATCH(LEFT(MID('Industriesektor GWh'!$B2499,41,1000),SEARCH(" - ",MID('Industriesektor GWh'!$B2499,41,1000))-1),nrg_cb_e!$C$3:$C$40,0))</f>
        <v>FC_IND_TE_E</v>
      </c>
      <c r="G2499" s="21">
        <v>1431.107</v>
      </c>
    </row>
    <row r="2500" spans="1:7" x14ac:dyDescent="0.2">
      <c r="A2500" s="16" t="s">
        <v>51</v>
      </c>
      <c r="B2500" s="17" t="s">
        <v>66</v>
      </c>
      <c r="C2500" s="17" t="s">
        <v>8</v>
      </c>
      <c r="D2500" s="17" t="s">
        <v>10</v>
      </c>
      <c r="E2500" s="17" t="s">
        <v>28</v>
      </c>
      <c r="F2500" s="17" t="str">
        <f>INDEX(nrg_cb_e!$A$3:$A$40,MATCH(LEFT(MID('Industriesektor GWh'!$B2500,41,1000),SEARCH(" - ",MID('Industriesektor GWh'!$B2500,41,1000))-1),nrg_cb_e!$C$3:$C$40,0))</f>
        <v>FC_IND_TE_E</v>
      </c>
      <c r="G2500" s="18">
        <v>1657.626</v>
      </c>
    </row>
    <row r="2501" spans="1:7" x14ac:dyDescent="0.2">
      <c r="A2501" s="19" t="s">
        <v>52</v>
      </c>
      <c r="B2501" s="20" t="s">
        <v>66</v>
      </c>
      <c r="C2501" s="20" t="s">
        <v>8</v>
      </c>
      <c r="D2501" s="20" t="s">
        <v>10</v>
      </c>
      <c r="E2501" s="20" t="s">
        <v>12</v>
      </c>
      <c r="F2501" s="20" t="str">
        <f>INDEX(nrg_cb_e!$A$3:$A$40,MATCH(LEFT(MID('Industriesektor GWh'!$B2501,41,1000),SEARCH(" - ",MID('Industriesektor GWh'!$B2501,41,1000))-1),nrg_cb_e!$C$3:$C$40,0))</f>
        <v>FC_IND_TE_E</v>
      </c>
      <c r="G2501" s="21">
        <v>118</v>
      </c>
    </row>
    <row r="2502" spans="1:7" x14ac:dyDescent="0.2">
      <c r="A2502" s="16" t="s">
        <v>52</v>
      </c>
      <c r="B2502" s="17" t="s">
        <v>66</v>
      </c>
      <c r="C2502" s="17" t="s">
        <v>8</v>
      </c>
      <c r="D2502" s="17" t="s">
        <v>10</v>
      </c>
      <c r="E2502" s="17" t="s">
        <v>13</v>
      </c>
      <c r="F2502" s="17" t="str">
        <f>INDEX(nrg_cb_e!$A$3:$A$40,MATCH(LEFT(MID('Industriesektor GWh'!$B2502,41,1000),SEARCH(" - ",MID('Industriesektor GWh'!$B2502,41,1000))-1),nrg_cb_e!$C$3:$C$40,0))</f>
        <v>FC_IND_TE_E</v>
      </c>
      <c r="G2502" s="18">
        <v>132</v>
      </c>
    </row>
    <row r="2503" spans="1:7" x14ac:dyDescent="0.2">
      <c r="A2503" s="19" t="s">
        <v>52</v>
      </c>
      <c r="B2503" s="20" t="s">
        <v>66</v>
      </c>
      <c r="C2503" s="20" t="s">
        <v>8</v>
      </c>
      <c r="D2503" s="20" t="s">
        <v>10</v>
      </c>
      <c r="E2503" s="20" t="s">
        <v>14</v>
      </c>
      <c r="F2503" s="20" t="str">
        <f>INDEX(nrg_cb_e!$A$3:$A$40,MATCH(LEFT(MID('Industriesektor GWh'!$B2503,41,1000),SEARCH(" - ",MID('Industriesektor GWh'!$B2503,41,1000))-1),nrg_cb_e!$C$3:$C$40,0))</f>
        <v>FC_IND_TE_E</v>
      </c>
      <c r="G2503" s="21">
        <v>135</v>
      </c>
    </row>
    <row r="2504" spans="1:7" x14ac:dyDescent="0.2">
      <c r="A2504" s="16" t="s">
        <v>52</v>
      </c>
      <c r="B2504" s="17" t="s">
        <v>66</v>
      </c>
      <c r="C2504" s="17" t="s">
        <v>8</v>
      </c>
      <c r="D2504" s="17" t="s">
        <v>10</v>
      </c>
      <c r="E2504" s="17" t="s">
        <v>15</v>
      </c>
      <c r="F2504" s="17" t="str">
        <f>INDEX(nrg_cb_e!$A$3:$A$40,MATCH(LEFT(MID('Industriesektor GWh'!$B2504,41,1000),SEARCH(" - ",MID('Industriesektor GWh'!$B2504,41,1000))-1),nrg_cb_e!$C$3:$C$40,0))</f>
        <v>FC_IND_TE_E</v>
      </c>
      <c r="G2504" s="18">
        <v>155</v>
      </c>
    </row>
    <row r="2505" spans="1:7" x14ac:dyDescent="0.2">
      <c r="A2505" s="19" t="s">
        <v>52</v>
      </c>
      <c r="B2505" s="20" t="s">
        <v>66</v>
      </c>
      <c r="C2505" s="20" t="s">
        <v>8</v>
      </c>
      <c r="D2505" s="20" t="s">
        <v>10</v>
      </c>
      <c r="E2505" s="20" t="s">
        <v>16</v>
      </c>
      <c r="F2505" s="20" t="str">
        <f>INDEX(nrg_cb_e!$A$3:$A$40,MATCH(LEFT(MID('Industriesektor GWh'!$B2505,41,1000),SEARCH(" - ",MID('Industriesektor GWh'!$B2505,41,1000))-1),nrg_cb_e!$C$3:$C$40,0))</f>
        <v>FC_IND_TE_E</v>
      </c>
      <c r="G2505" s="21">
        <v>165</v>
      </c>
    </row>
    <row r="2506" spans="1:7" x14ac:dyDescent="0.2">
      <c r="A2506" s="16" t="s">
        <v>52</v>
      </c>
      <c r="B2506" s="17" t="s">
        <v>66</v>
      </c>
      <c r="C2506" s="17" t="s">
        <v>8</v>
      </c>
      <c r="D2506" s="17" t="s">
        <v>10</v>
      </c>
      <c r="E2506" s="17" t="s">
        <v>17</v>
      </c>
      <c r="F2506" s="17" t="str">
        <f>INDEX(nrg_cb_e!$A$3:$A$40,MATCH(LEFT(MID('Industriesektor GWh'!$B2506,41,1000),SEARCH(" - ",MID('Industriesektor GWh'!$B2506,41,1000))-1),nrg_cb_e!$C$3:$C$40,0))</f>
        <v>FC_IND_TE_E</v>
      </c>
      <c r="G2506" s="18">
        <v>216</v>
      </c>
    </row>
    <row r="2507" spans="1:7" x14ac:dyDescent="0.2">
      <c r="A2507" s="19" t="s">
        <v>52</v>
      </c>
      <c r="B2507" s="20" t="s">
        <v>66</v>
      </c>
      <c r="C2507" s="20" t="s">
        <v>8</v>
      </c>
      <c r="D2507" s="20" t="s">
        <v>10</v>
      </c>
      <c r="E2507" s="20" t="s">
        <v>18</v>
      </c>
      <c r="F2507" s="20" t="str">
        <f>INDEX(nrg_cb_e!$A$3:$A$40,MATCH(LEFT(MID('Industriesektor GWh'!$B2507,41,1000),SEARCH(" - ",MID('Industriesektor GWh'!$B2507,41,1000))-1),nrg_cb_e!$C$3:$C$40,0))</f>
        <v>FC_IND_TE_E</v>
      </c>
      <c r="G2507" s="21">
        <v>231</v>
      </c>
    </row>
    <row r="2508" spans="1:7" x14ac:dyDescent="0.2">
      <c r="A2508" s="16" t="s">
        <v>52</v>
      </c>
      <c r="B2508" s="17" t="s">
        <v>66</v>
      </c>
      <c r="C2508" s="17" t="s">
        <v>8</v>
      </c>
      <c r="D2508" s="17" t="s">
        <v>10</v>
      </c>
      <c r="E2508" s="17" t="s">
        <v>19</v>
      </c>
      <c r="F2508" s="17" t="str">
        <f>INDEX(nrg_cb_e!$A$3:$A$40,MATCH(LEFT(MID('Industriesektor GWh'!$B2508,41,1000),SEARCH(" - ",MID('Industriesektor GWh'!$B2508,41,1000))-1),nrg_cb_e!$C$3:$C$40,0))</f>
        <v>FC_IND_TE_E</v>
      </c>
      <c r="G2508" s="18">
        <v>201</v>
      </c>
    </row>
    <row r="2509" spans="1:7" x14ac:dyDescent="0.2">
      <c r="A2509" s="19" t="s">
        <v>52</v>
      </c>
      <c r="B2509" s="20" t="s">
        <v>66</v>
      </c>
      <c r="C2509" s="20" t="s">
        <v>8</v>
      </c>
      <c r="D2509" s="20" t="s">
        <v>10</v>
      </c>
      <c r="E2509" s="20" t="s">
        <v>20</v>
      </c>
      <c r="F2509" s="20" t="str">
        <f>INDEX(nrg_cb_e!$A$3:$A$40,MATCH(LEFT(MID('Industriesektor GWh'!$B2509,41,1000),SEARCH(" - ",MID('Industriesektor GWh'!$B2509,41,1000))-1),nrg_cb_e!$C$3:$C$40,0))</f>
        <v>FC_IND_TE_E</v>
      </c>
      <c r="G2509" s="21">
        <v>212</v>
      </c>
    </row>
    <row r="2510" spans="1:7" x14ac:dyDescent="0.2">
      <c r="A2510" s="16" t="s">
        <v>52</v>
      </c>
      <c r="B2510" s="17" t="s">
        <v>66</v>
      </c>
      <c r="C2510" s="17" t="s">
        <v>8</v>
      </c>
      <c r="D2510" s="17" t="s">
        <v>10</v>
      </c>
      <c r="E2510" s="17" t="s">
        <v>21</v>
      </c>
      <c r="F2510" s="17" t="str">
        <f>INDEX(nrg_cb_e!$A$3:$A$40,MATCH(LEFT(MID('Industriesektor GWh'!$B2510,41,1000),SEARCH(" - ",MID('Industriesektor GWh'!$B2510,41,1000))-1),nrg_cb_e!$C$3:$C$40,0))</f>
        <v>FC_IND_TE_E</v>
      </c>
      <c r="G2510" s="18">
        <v>217</v>
      </c>
    </row>
    <row r="2511" spans="1:7" x14ac:dyDescent="0.2">
      <c r="A2511" s="19" t="s">
        <v>52</v>
      </c>
      <c r="B2511" s="20" t="s">
        <v>66</v>
      </c>
      <c r="C2511" s="20" t="s">
        <v>8</v>
      </c>
      <c r="D2511" s="20" t="s">
        <v>10</v>
      </c>
      <c r="E2511" s="20" t="s">
        <v>22</v>
      </c>
      <c r="F2511" s="20" t="str">
        <f>INDEX(nrg_cb_e!$A$3:$A$40,MATCH(LEFT(MID('Industriesektor GWh'!$B2511,41,1000),SEARCH(" - ",MID('Industriesektor GWh'!$B2511,41,1000))-1),nrg_cb_e!$C$3:$C$40,0))</f>
        <v>FC_IND_TE_E</v>
      </c>
      <c r="G2511" s="21">
        <v>245</v>
      </c>
    </row>
    <row r="2512" spans="1:7" x14ac:dyDescent="0.2">
      <c r="A2512" s="16" t="s">
        <v>52</v>
      </c>
      <c r="B2512" s="17" t="s">
        <v>66</v>
      </c>
      <c r="C2512" s="17" t="s">
        <v>8</v>
      </c>
      <c r="D2512" s="17" t="s">
        <v>10</v>
      </c>
      <c r="E2512" s="17" t="s">
        <v>23</v>
      </c>
      <c r="F2512" s="17" t="str">
        <f>INDEX(nrg_cb_e!$A$3:$A$40,MATCH(LEFT(MID('Industriesektor GWh'!$B2512,41,1000),SEARCH(" - ",MID('Industriesektor GWh'!$B2512,41,1000))-1),nrg_cb_e!$C$3:$C$40,0))</f>
        <v>FC_IND_TE_E</v>
      </c>
      <c r="G2512" s="18">
        <v>211</v>
      </c>
    </row>
    <row r="2513" spans="1:7" x14ac:dyDescent="0.2">
      <c r="A2513" s="19" t="s">
        <v>52</v>
      </c>
      <c r="B2513" s="20" t="s">
        <v>66</v>
      </c>
      <c r="C2513" s="20" t="s">
        <v>8</v>
      </c>
      <c r="D2513" s="20" t="s">
        <v>10</v>
      </c>
      <c r="E2513" s="20" t="s">
        <v>24</v>
      </c>
      <c r="F2513" s="20" t="str">
        <f>INDEX(nrg_cb_e!$A$3:$A$40,MATCH(LEFT(MID('Industriesektor GWh'!$B2513,41,1000),SEARCH(" - ",MID('Industriesektor GWh'!$B2513,41,1000))-1),nrg_cb_e!$C$3:$C$40,0))</f>
        <v>FC_IND_TE_E</v>
      </c>
      <c r="G2513" s="21">
        <v>233</v>
      </c>
    </row>
    <row r="2514" spans="1:7" x14ac:dyDescent="0.2">
      <c r="A2514" s="16" t="s">
        <v>52</v>
      </c>
      <c r="B2514" s="17" t="s">
        <v>66</v>
      </c>
      <c r="C2514" s="17" t="s">
        <v>8</v>
      </c>
      <c r="D2514" s="17" t="s">
        <v>10</v>
      </c>
      <c r="E2514" s="17" t="s">
        <v>25</v>
      </c>
      <c r="F2514" s="17" t="str">
        <f>INDEX(nrg_cb_e!$A$3:$A$40,MATCH(LEFT(MID('Industriesektor GWh'!$B2514,41,1000),SEARCH(" - ",MID('Industriesektor GWh'!$B2514,41,1000))-1),nrg_cb_e!$C$3:$C$40,0))</f>
        <v>FC_IND_TE_E</v>
      </c>
      <c r="G2514" s="18">
        <v>222</v>
      </c>
    </row>
    <row r="2515" spans="1:7" x14ac:dyDescent="0.2">
      <c r="A2515" s="19" t="s">
        <v>52</v>
      </c>
      <c r="B2515" s="20" t="s">
        <v>66</v>
      </c>
      <c r="C2515" s="20" t="s">
        <v>8</v>
      </c>
      <c r="D2515" s="20" t="s">
        <v>10</v>
      </c>
      <c r="E2515" s="20" t="s">
        <v>26</v>
      </c>
      <c r="F2515" s="20" t="str">
        <f>INDEX(nrg_cb_e!$A$3:$A$40,MATCH(LEFT(MID('Industriesektor GWh'!$B2515,41,1000),SEARCH(" - ",MID('Industriesektor GWh'!$B2515,41,1000))-1),nrg_cb_e!$C$3:$C$40,0))</f>
        <v>FC_IND_TE_E</v>
      </c>
      <c r="G2515" s="21">
        <v>214</v>
      </c>
    </row>
    <row r="2516" spans="1:7" x14ac:dyDescent="0.2">
      <c r="A2516" s="16" t="s">
        <v>52</v>
      </c>
      <c r="B2516" s="17" t="s">
        <v>66</v>
      </c>
      <c r="C2516" s="17" t="s">
        <v>8</v>
      </c>
      <c r="D2516" s="17" t="s">
        <v>10</v>
      </c>
      <c r="E2516" s="17" t="s">
        <v>27</v>
      </c>
      <c r="F2516" s="17" t="str">
        <f>INDEX(nrg_cb_e!$A$3:$A$40,MATCH(LEFT(MID('Industriesektor GWh'!$B2516,41,1000),SEARCH(" - ",MID('Industriesektor GWh'!$B2516,41,1000))-1),nrg_cb_e!$C$3:$C$40,0))</f>
        <v>FC_IND_TE_E</v>
      </c>
      <c r="G2516" s="18">
        <v>246.92500000000001</v>
      </c>
    </row>
    <row r="2517" spans="1:7" x14ac:dyDescent="0.2">
      <c r="A2517" s="19" t="s">
        <v>52</v>
      </c>
      <c r="B2517" s="20" t="s">
        <v>66</v>
      </c>
      <c r="C2517" s="20" t="s">
        <v>8</v>
      </c>
      <c r="D2517" s="20" t="s">
        <v>10</v>
      </c>
      <c r="E2517" s="20" t="s">
        <v>28</v>
      </c>
      <c r="F2517" s="20" t="str">
        <f>INDEX(nrg_cb_e!$A$3:$A$40,MATCH(LEFT(MID('Industriesektor GWh'!$B2517,41,1000),SEARCH(" - ",MID('Industriesektor GWh'!$B2517,41,1000))-1),nrg_cb_e!$C$3:$C$40,0))</f>
        <v>FC_IND_TE_E</v>
      </c>
      <c r="G2517" s="21">
        <v>239.78800000000001</v>
      </c>
    </row>
    <row r="2518" spans="1:7" x14ac:dyDescent="0.2">
      <c r="A2518" s="16" t="s">
        <v>53</v>
      </c>
      <c r="B2518" s="17" t="s">
        <v>66</v>
      </c>
      <c r="C2518" s="17" t="s">
        <v>8</v>
      </c>
      <c r="D2518" s="17" t="s">
        <v>10</v>
      </c>
      <c r="E2518" s="17" t="s">
        <v>12</v>
      </c>
      <c r="F2518" s="17" t="str">
        <f>INDEX(nrg_cb_e!$A$3:$A$40,MATCH(LEFT(MID('Industriesektor GWh'!$B2518,41,1000),SEARCH(" - ",MID('Industriesektor GWh'!$B2518,41,1000))-1),nrg_cb_e!$C$3:$C$40,0))</f>
        <v>FC_IND_TE_E</v>
      </c>
      <c r="G2518" s="18">
        <v>154</v>
      </c>
    </row>
    <row r="2519" spans="1:7" x14ac:dyDescent="0.2">
      <c r="A2519" s="19" t="s">
        <v>53</v>
      </c>
      <c r="B2519" s="20" t="s">
        <v>66</v>
      </c>
      <c r="C2519" s="20" t="s">
        <v>8</v>
      </c>
      <c r="D2519" s="20" t="s">
        <v>10</v>
      </c>
      <c r="E2519" s="20" t="s">
        <v>13</v>
      </c>
      <c r="F2519" s="20" t="str">
        <f>INDEX(nrg_cb_e!$A$3:$A$40,MATCH(LEFT(MID('Industriesektor GWh'!$B2519,41,1000),SEARCH(" - ",MID('Industriesektor GWh'!$B2519,41,1000))-1),nrg_cb_e!$C$3:$C$40,0))</f>
        <v>FC_IND_TE_E</v>
      </c>
      <c r="G2519" s="21">
        <v>177</v>
      </c>
    </row>
    <row r="2520" spans="1:7" x14ac:dyDescent="0.2">
      <c r="A2520" s="16" t="s">
        <v>53</v>
      </c>
      <c r="B2520" s="17" t="s">
        <v>66</v>
      </c>
      <c r="C2520" s="17" t="s">
        <v>8</v>
      </c>
      <c r="D2520" s="17" t="s">
        <v>10</v>
      </c>
      <c r="E2520" s="17" t="s">
        <v>14</v>
      </c>
      <c r="F2520" s="17" t="str">
        <f>INDEX(nrg_cb_e!$A$3:$A$40,MATCH(LEFT(MID('Industriesektor GWh'!$B2520,41,1000),SEARCH(" - ",MID('Industriesektor GWh'!$B2520,41,1000))-1),nrg_cb_e!$C$3:$C$40,0))</f>
        <v>FC_IND_TE_E</v>
      </c>
      <c r="G2520" s="18">
        <v>196</v>
      </c>
    </row>
    <row r="2521" spans="1:7" x14ac:dyDescent="0.2">
      <c r="A2521" s="19" t="s">
        <v>53</v>
      </c>
      <c r="B2521" s="20" t="s">
        <v>66</v>
      </c>
      <c r="C2521" s="20" t="s">
        <v>8</v>
      </c>
      <c r="D2521" s="20" t="s">
        <v>10</v>
      </c>
      <c r="E2521" s="20" t="s">
        <v>15</v>
      </c>
      <c r="F2521" s="20" t="str">
        <f>INDEX(nrg_cb_e!$A$3:$A$40,MATCH(LEFT(MID('Industriesektor GWh'!$B2521,41,1000),SEARCH(" - ",MID('Industriesektor GWh'!$B2521,41,1000))-1),nrg_cb_e!$C$3:$C$40,0))</f>
        <v>FC_IND_TE_E</v>
      </c>
      <c r="G2521" s="21">
        <v>233</v>
      </c>
    </row>
    <row r="2522" spans="1:7" x14ac:dyDescent="0.2">
      <c r="A2522" s="16" t="s">
        <v>53</v>
      </c>
      <c r="B2522" s="17" t="s">
        <v>66</v>
      </c>
      <c r="C2522" s="17" t="s">
        <v>8</v>
      </c>
      <c r="D2522" s="17" t="s">
        <v>10</v>
      </c>
      <c r="E2522" s="17" t="s">
        <v>16</v>
      </c>
      <c r="F2522" s="17" t="str">
        <f>INDEX(nrg_cb_e!$A$3:$A$40,MATCH(LEFT(MID('Industriesektor GWh'!$B2522,41,1000),SEARCH(" - ",MID('Industriesektor GWh'!$B2522,41,1000))-1),nrg_cb_e!$C$3:$C$40,0))</f>
        <v>FC_IND_TE_E</v>
      </c>
      <c r="G2522" s="18">
        <v>563</v>
      </c>
    </row>
    <row r="2523" spans="1:7" x14ac:dyDescent="0.2">
      <c r="A2523" s="19" t="s">
        <v>53</v>
      </c>
      <c r="B2523" s="20" t="s">
        <v>66</v>
      </c>
      <c r="C2523" s="20" t="s">
        <v>8</v>
      </c>
      <c r="D2523" s="20" t="s">
        <v>10</v>
      </c>
      <c r="E2523" s="20" t="s">
        <v>17</v>
      </c>
      <c r="F2523" s="20" t="str">
        <f>INDEX(nrg_cb_e!$A$3:$A$40,MATCH(LEFT(MID('Industriesektor GWh'!$B2523,41,1000),SEARCH(" - ",MID('Industriesektor GWh'!$B2523,41,1000))-1),nrg_cb_e!$C$3:$C$40,0))</f>
        <v>FC_IND_TE_E</v>
      </c>
      <c r="G2523" s="21">
        <v>715</v>
      </c>
    </row>
    <row r="2524" spans="1:7" x14ac:dyDescent="0.2">
      <c r="A2524" s="16" t="s">
        <v>53</v>
      </c>
      <c r="B2524" s="17" t="s">
        <v>66</v>
      </c>
      <c r="C2524" s="17" t="s">
        <v>8</v>
      </c>
      <c r="D2524" s="17" t="s">
        <v>10</v>
      </c>
      <c r="E2524" s="17" t="s">
        <v>18</v>
      </c>
      <c r="F2524" s="17" t="str">
        <f>INDEX(nrg_cb_e!$A$3:$A$40,MATCH(LEFT(MID('Industriesektor GWh'!$B2524,41,1000),SEARCH(" - ",MID('Industriesektor GWh'!$B2524,41,1000))-1),nrg_cb_e!$C$3:$C$40,0))</f>
        <v>FC_IND_TE_E</v>
      </c>
      <c r="G2524" s="18">
        <v>745</v>
      </c>
    </row>
    <row r="2525" spans="1:7" x14ac:dyDescent="0.2">
      <c r="A2525" s="19" t="s">
        <v>53</v>
      </c>
      <c r="B2525" s="20" t="s">
        <v>66</v>
      </c>
      <c r="C2525" s="20" t="s">
        <v>8</v>
      </c>
      <c r="D2525" s="20" t="s">
        <v>10</v>
      </c>
      <c r="E2525" s="20" t="s">
        <v>19</v>
      </c>
      <c r="F2525" s="20" t="str">
        <f>INDEX(nrg_cb_e!$A$3:$A$40,MATCH(LEFT(MID('Industriesektor GWh'!$B2525,41,1000),SEARCH(" - ",MID('Industriesektor GWh'!$B2525,41,1000))-1),nrg_cb_e!$C$3:$C$40,0))</f>
        <v>FC_IND_TE_E</v>
      </c>
      <c r="G2525" s="21">
        <v>632</v>
      </c>
    </row>
    <row r="2526" spans="1:7" x14ac:dyDescent="0.2">
      <c r="A2526" s="16" t="s">
        <v>53</v>
      </c>
      <c r="B2526" s="17" t="s">
        <v>66</v>
      </c>
      <c r="C2526" s="17" t="s">
        <v>8</v>
      </c>
      <c r="D2526" s="17" t="s">
        <v>10</v>
      </c>
      <c r="E2526" s="17" t="s">
        <v>20</v>
      </c>
      <c r="F2526" s="17" t="str">
        <f>INDEX(nrg_cb_e!$A$3:$A$40,MATCH(LEFT(MID('Industriesektor GWh'!$B2526,41,1000),SEARCH(" - ",MID('Industriesektor GWh'!$B2526,41,1000))-1),nrg_cb_e!$C$3:$C$40,0))</f>
        <v>FC_IND_TE_E</v>
      </c>
      <c r="G2526" s="18">
        <v>737</v>
      </c>
    </row>
    <row r="2527" spans="1:7" x14ac:dyDescent="0.2">
      <c r="A2527" s="19" t="s">
        <v>53</v>
      </c>
      <c r="B2527" s="20" t="s">
        <v>66</v>
      </c>
      <c r="C2527" s="20" t="s">
        <v>8</v>
      </c>
      <c r="D2527" s="20" t="s">
        <v>10</v>
      </c>
      <c r="E2527" s="20" t="s">
        <v>21</v>
      </c>
      <c r="F2527" s="20" t="str">
        <f>INDEX(nrg_cb_e!$A$3:$A$40,MATCH(LEFT(MID('Industriesektor GWh'!$B2527,41,1000),SEARCH(" - ",MID('Industriesektor GWh'!$B2527,41,1000))-1),nrg_cb_e!$C$3:$C$40,0))</f>
        <v>FC_IND_TE_E</v>
      </c>
      <c r="G2527" s="21">
        <v>848</v>
      </c>
    </row>
    <row r="2528" spans="1:7" x14ac:dyDescent="0.2">
      <c r="A2528" s="16" t="s">
        <v>53</v>
      </c>
      <c r="B2528" s="17" t="s">
        <v>66</v>
      </c>
      <c r="C2528" s="17" t="s">
        <v>8</v>
      </c>
      <c r="D2528" s="17" t="s">
        <v>10</v>
      </c>
      <c r="E2528" s="17" t="s">
        <v>22</v>
      </c>
      <c r="F2528" s="17" t="str">
        <f>INDEX(nrg_cb_e!$A$3:$A$40,MATCH(LEFT(MID('Industriesektor GWh'!$B2528,41,1000),SEARCH(" - ",MID('Industriesektor GWh'!$B2528,41,1000))-1),nrg_cb_e!$C$3:$C$40,0))</f>
        <v>FC_IND_TE_E</v>
      </c>
      <c r="G2528" s="18">
        <v>939</v>
      </c>
    </row>
    <row r="2529" spans="1:7" x14ac:dyDescent="0.2">
      <c r="A2529" s="19" t="s">
        <v>53</v>
      </c>
      <c r="B2529" s="20" t="s">
        <v>66</v>
      </c>
      <c r="C2529" s="20" t="s">
        <v>8</v>
      </c>
      <c r="D2529" s="20" t="s">
        <v>10</v>
      </c>
      <c r="E2529" s="20" t="s">
        <v>23</v>
      </c>
      <c r="F2529" s="20" t="str">
        <f>INDEX(nrg_cb_e!$A$3:$A$40,MATCH(LEFT(MID('Industriesektor GWh'!$B2529,41,1000),SEARCH(" - ",MID('Industriesektor GWh'!$B2529,41,1000))-1),nrg_cb_e!$C$3:$C$40,0))</f>
        <v>FC_IND_TE_E</v>
      </c>
      <c r="G2529" s="21">
        <v>945</v>
      </c>
    </row>
    <row r="2530" spans="1:7" x14ac:dyDescent="0.2">
      <c r="A2530" s="16" t="s">
        <v>53</v>
      </c>
      <c r="B2530" s="17" t="s">
        <v>66</v>
      </c>
      <c r="C2530" s="17" t="s">
        <v>8</v>
      </c>
      <c r="D2530" s="17" t="s">
        <v>10</v>
      </c>
      <c r="E2530" s="17" t="s">
        <v>24</v>
      </c>
      <c r="F2530" s="17" t="str">
        <f>INDEX(nrg_cb_e!$A$3:$A$40,MATCH(LEFT(MID('Industriesektor GWh'!$B2530,41,1000),SEARCH(" - ",MID('Industriesektor GWh'!$B2530,41,1000))-1),nrg_cb_e!$C$3:$C$40,0))</f>
        <v>FC_IND_TE_E</v>
      </c>
      <c r="G2530" s="18">
        <v>1459</v>
      </c>
    </row>
    <row r="2531" spans="1:7" x14ac:dyDescent="0.2">
      <c r="A2531" s="19" t="s">
        <v>53</v>
      </c>
      <c r="B2531" s="20" t="s">
        <v>66</v>
      </c>
      <c r="C2531" s="20" t="s">
        <v>8</v>
      </c>
      <c r="D2531" s="20" t="s">
        <v>10</v>
      </c>
      <c r="E2531" s="20" t="s">
        <v>25</v>
      </c>
      <c r="F2531" s="20" t="str">
        <f>INDEX(nrg_cb_e!$A$3:$A$40,MATCH(LEFT(MID('Industriesektor GWh'!$B2531,41,1000),SEARCH(" - ",MID('Industriesektor GWh'!$B2531,41,1000))-1),nrg_cb_e!$C$3:$C$40,0))</f>
        <v>FC_IND_TE_E</v>
      </c>
      <c r="G2531" s="21">
        <v>969</v>
      </c>
    </row>
    <row r="2532" spans="1:7" x14ac:dyDescent="0.2">
      <c r="A2532" s="16" t="s">
        <v>53</v>
      </c>
      <c r="B2532" s="17" t="s">
        <v>66</v>
      </c>
      <c r="C2532" s="17" t="s">
        <v>8</v>
      </c>
      <c r="D2532" s="17" t="s">
        <v>10</v>
      </c>
      <c r="E2532" s="17" t="s">
        <v>26</v>
      </c>
      <c r="F2532" s="17" t="str">
        <f>INDEX(nrg_cb_e!$A$3:$A$40,MATCH(LEFT(MID('Industriesektor GWh'!$B2532,41,1000),SEARCH(" - ",MID('Industriesektor GWh'!$B2532,41,1000))-1),nrg_cb_e!$C$3:$C$40,0))</f>
        <v>FC_IND_TE_E</v>
      </c>
      <c r="G2532" s="18">
        <v>1072</v>
      </c>
    </row>
    <row r="2533" spans="1:7" x14ac:dyDescent="0.2">
      <c r="A2533" s="19" t="s">
        <v>53</v>
      </c>
      <c r="B2533" s="20" t="s">
        <v>66</v>
      </c>
      <c r="C2533" s="20" t="s">
        <v>8</v>
      </c>
      <c r="D2533" s="20" t="s">
        <v>10</v>
      </c>
      <c r="E2533" s="20" t="s">
        <v>27</v>
      </c>
      <c r="F2533" s="20" t="str">
        <f>INDEX(nrg_cb_e!$A$3:$A$40,MATCH(LEFT(MID('Industriesektor GWh'!$B2533,41,1000),SEARCH(" - ",MID('Industriesektor GWh'!$B2533,41,1000))-1),nrg_cb_e!$C$3:$C$40,0))</f>
        <v>FC_IND_TE_E</v>
      </c>
      <c r="G2533" s="21">
        <v>969</v>
      </c>
    </row>
    <row r="2534" spans="1:7" x14ac:dyDescent="0.2">
      <c r="A2534" s="16" t="s">
        <v>53</v>
      </c>
      <c r="B2534" s="17" t="s">
        <v>66</v>
      </c>
      <c r="C2534" s="17" t="s">
        <v>8</v>
      </c>
      <c r="D2534" s="17" t="s">
        <v>10</v>
      </c>
      <c r="E2534" s="17" t="s">
        <v>28</v>
      </c>
      <c r="F2534" s="17" t="str">
        <f>INDEX(nrg_cb_e!$A$3:$A$40,MATCH(LEFT(MID('Industriesektor GWh'!$B2534,41,1000),SEARCH(" - ",MID('Industriesektor GWh'!$B2534,41,1000))-1),nrg_cb_e!$C$3:$C$40,0))</f>
        <v>FC_IND_TE_E</v>
      </c>
      <c r="G2534" s="18">
        <v>1357</v>
      </c>
    </row>
    <row r="2535" spans="1:7" x14ac:dyDescent="0.2">
      <c r="A2535" s="19" t="s">
        <v>54</v>
      </c>
      <c r="B2535" s="20" t="s">
        <v>66</v>
      </c>
      <c r="C2535" s="20" t="s">
        <v>8</v>
      </c>
      <c r="D2535" s="20" t="s">
        <v>10</v>
      </c>
      <c r="E2535" s="20" t="s">
        <v>12</v>
      </c>
      <c r="F2535" s="20" t="str">
        <f>INDEX(nrg_cb_e!$A$3:$A$40,MATCH(LEFT(MID('Industriesektor GWh'!$B2535,41,1000),SEARCH(" - ",MID('Industriesektor GWh'!$B2535,41,1000))-1),nrg_cb_e!$C$3:$C$40,0))</f>
        <v>FC_IND_TE_E</v>
      </c>
      <c r="G2535" s="21">
        <v>350</v>
      </c>
    </row>
    <row r="2536" spans="1:7" x14ac:dyDescent="0.2">
      <c r="A2536" s="16" t="s">
        <v>54</v>
      </c>
      <c r="B2536" s="17" t="s">
        <v>66</v>
      </c>
      <c r="C2536" s="17" t="s">
        <v>8</v>
      </c>
      <c r="D2536" s="17" t="s">
        <v>10</v>
      </c>
      <c r="E2536" s="17" t="s">
        <v>13</v>
      </c>
      <c r="F2536" s="17" t="str">
        <f>INDEX(nrg_cb_e!$A$3:$A$40,MATCH(LEFT(MID('Industriesektor GWh'!$B2536,41,1000),SEARCH(" - ",MID('Industriesektor GWh'!$B2536,41,1000))-1),nrg_cb_e!$C$3:$C$40,0))</f>
        <v>FC_IND_TE_E</v>
      </c>
      <c r="G2536" s="18">
        <v>302</v>
      </c>
    </row>
    <row r="2537" spans="1:7" x14ac:dyDescent="0.2">
      <c r="A2537" s="19" t="s">
        <v>54</v>
      </c>
      <c r="B2537" s="20" t="s">
        <v>66</v>
      </c>
      <c r="C2537" s="20" t="s">
        <v>8</v>
      </c>
      <c r="D2537" s="20" t="s">
        <v>10</v>
      </c>
      <c r="E2537" s="20" t="s">
        <v>14</v>
      </c>
      <c r="F2537" s="20" t="str">
        <f>INDEX(nrg_cb_e!$A$3:$A$40,MATCH(LEFT(MID('Industriesektor GWh'!$B2537,41,1000),SEARCH(" - ",MID('Industriesektor GWh'!$B2537,41,1000))-1),nrg_cb_e!$C$3:$C$40,0))</f>
        <v>FC_IND_TE_E</v>
      </c>
      <c r="G2537" s="21">
        <v>263</v>
      </c>
    </row>
    <row r="2538" spans="1:7" x14ac:dyDescent="0.2">
      <c r="A2538" s="16" t="s">
        <v>54</v>
      </c>
      <c r="B2538" s="17" t="s">
        <v>66</v>
      </c>
      <c r="C2538" s="17" t="s">
        <v>8</v>
      </c>
      <c r="D2538" s="17" t="s">
        <v>10</v>
      </c>
      <c r="E2538" s="17" t="s">
        <v>15</v>
      </c>
      <c r="F2538" s="17" t="str">
        <f>INDEX(nrg_cb_e!$A$3:$A$40,MATCH(LEFT(MID('Industriesektor GWh'!$B2538,41,1000),SEARCH(" - ",MID('Industriesektor GWh'!$B2538,41,1000))-1),nrg_cb_e!$C$3:$C$40,0))</f>
        <v>FC_IND_TE_E</v>
      </c>
      <c r="G2538" s="18">
        <v>289</v>
      </c>
    </row>
    <row r="2539" spans="1:7" x14ac:dyDescent="0.2">
      <c r="A2539" s="19" t="s">
        <v>54</v>
      </c>
      <c r="B2539" s="20" t="s">
        <v>66</v>
      </c>
      <c r="C2539" s="20" t="s">
        <v>8</v>
      </c>
      <c r="D2539" s="20" t="s">
        <v>10</v>
      </c>
      <c r="E2539" s="20" t="s">
        <v>16</v>
      </c>
      <c r="F2539" s="20" t="str">
        <f>INDEX(nrg_cb_e!$A$3:$A$40,MATCH(LEFT(MID('Industriesektor GWh'!$B2539,41,1000),SEARCH(" - ",MID('Industriesektor GWh'!$B2539,41,1000))-1),nrg_cb_e!$C$3:$C$40,0))</f>
        <v>FC_IND_TE_E</v>
      </c>
      <c r="G2539" s="21">
        <v>314</v>
      </c>
    </row>
    <row r="2540" spans="1:7" x14ac:dyDescent="0.2">
      <c r="A2540" s="16" t="s">
        <v>54</v>
      </c>
      <c r="B2540" s="17" t="s">
        <v>66</v>
      </c>
      <c r="C2540" s="17" t="s">
        <v>8</v>
      </c>
      <c r="D2540" s="17" t="s">
        <v>10</v>
      </c>
      <c r="E2540" s="17" t="s">
        <v>17</v>
      </c>
      <c r="F2540" s="17" t="str">
        <f>INDEX(nrg_cb_e!$A$3:$A$40,MATCH(LEFT(MID('Industriesektor GWh'!$B2540,41,1000),SEARCH(" - ",MID('Industriesektor GWh'!$B2540,41,1000))-1),nrg_cb_e!$C$3:$C$40,0))</f>
        <v>FC_IND_TE_E</v>
      </c>
      <c r="G2540" s="18">
        <v>397</v>
      </c>
    </row>
    <row r="2541" spans="1:7" x14ac:dyDescent="0.2">
      <c r="A2541" s="19" t="s">
        <v>54</v>
      </c>
      <c r="B2541" s="20" t="s">
        <v>66</v>
      </c>
      <c r="C2541" s="20" t="s">
        <v>8</v>
      </c>
      <c r="D2541" s="20" t="s">
        <v>10</v>
      </c>
      <c r="E2541" s="20" t="s">
        <v>18</v>
      </c>
      <c r="F2541" s="20" t="str">
        <f>INDEX(nrg_cb_e!$A$3:$A$40,MATCH(LEFT(MID('Industriesektor GWh'!$B2541,41,1000),SEARCH(" - ",MID('Industriesektor GWh'!$B2541,41,1000))-1),nrg_cb_e!$C$3:$C$40,0))</f>
        <v>FC_IND_TE_E</v>
      </c>
      <c r="G2541" s="21">
        <v>369</v>
      </c>
    </row>
    <row r="2542" spans="1:7" x14ac:dyDescent="0.2">
      <c r="A2542" s="16" t="s">
        <v>54</v>
      </c>
      <c r="B2542" s="17" t="s">
        <v>66</v>
      </c>
      <c r="C2542" s="17" t="s">
        <v>8</v>
      </c>
      <c r="D2542" s="17" t="s">
        <v>10</v>
      </c>
      <c r="E2542" s="17" t="s">
        <v>19</v>
      </c>
      <c r="F2542" s="17" t="str">
        <f>INDEX(nrg_cb_e!$A$3:$A$40,MATCH(LEFT(MID('Industriesektor GWh'!$B2542,41,1000),SEARCH(" - ",MID('Industriesektor GWh'!$B2542,41,1000))-1),nrg_cb_e!$C$3:$C$40,0))</f>
        <v>FC_IND_TE_E</v>
      </c>
      <c r="G2542" s="18">
        <v>310</v>
      </c>
    </row>
    <row r="2543" spans="1:7" x14ac:dyDescent="0.2">
      <c r="A2543" s="19" t="s">
        <v>54</v>
      </c>
      <c r="B2543" s="20" t="s">
        <v>66</v>
      </c>
      <c r="C2543" s="20" t="s">
        <v>8</v>
      </c>
      <c r="D2543" s="20" t="s">
        <v>10</v>
      </c>
      <c r="E2543" s="20" t="s">
        <v>20</v>
      </c>
      <c r="F2543" s="20" t="str">
        <f>INDEX(nrg_cb_e!$A$3:$A$40,MATCH(LEFT(MID('Industriesektor GWh'!$B2543,41,1000),SEARCH(" - ",MID('Industriesektor GWh'!$B2543,41,1000))-1),nrg_cb_e!$C$3:$C$40,0))</f>
        <v>FC_IND_TE_E</v>
      </c>
      <c r="G2543" s="21">
        <v>400</v>
      </c>
    </row>
    <row r="2544" spans="1:7" x14ac:dyDescent="0.2">
      <c r="A2544" s="16" t="s">
        <v>54</v>
      </c>
      <c r="B2544" s="17" t="s">
        <v>66</v>
      </c>
      <c r="C2544" s="17" t="s">
        <v>8</v>
      </c>
      <c r="D2544" s="17" t="s">
        <v>10</v>
      </c>
      <c r="E2544" s="17" t="s">
        <v>21</v>
      </c>
      <c r="F2544" s="17" t="str">
        <f>INDEX(nrg_cb_e!$A$3:$A$40,MATCH(LEFT(MID('Industriesektor GWh'!$B2544,41,1000),SEARCH(" - ",MID('Industriesektor GWh'!$B2544,41,1000))-1),nrg_cb_e!$C$3:$C$40,0))</f>
        <v>FC_IND_TE_E</v>
      </c>
      <c r="G2544" s="18">
        <v>298</v>
      </c>
    </row>
    <row r="2545" spans="1:7" x14ac:dyDescent="0.2">
      <c r="A2545" s="19" t="s">
        <v>54</v>
      </c>
      <c r="B2545" s="20" t="s">
        <v>66</v>
      </c>
      <c r="C2545" s="20" t="s">
        <v>8</v>
      </c>
      <c r="D2545" s="20" t="s">
        <v>10</v>
      </c>
      <c r="E2545" s="20" t="s">
        <v>22</v>
      </c>
      <c r="F2545" s="20" t="str">
        <f>INDEX(nrg_cb_e!$A$3:$A$40,MATCH(LEFT(MID('Industriesektor GWh'!$B2545,41,1000),SEARCH(" - ",MID('Industriesektor GWh'!$B2545,41,1000))-1),nrg_cb_e!$C$3:$C$40,0))</f>
        <v>FC_IND_TE_E</v>
      </c>
      <c r="G2545" s="21">
        <v>284</v>
      </c>
    </row>
    <row r="2546" spans="1:7" x14ac:dyDescent="0.2">
      <c r="A2546" s="16" t="s">
        <v>54</v>
      </c>
      <c r="B2546" s="17" t="s">
        <v>66</v>
      </c>
      <c r="C2546" s="17" t="s">
        <v>8</v>
      </c>
      <c r="D2546" s="17" t="s">
        <v>10</v>
      </c>
      <c r="E2546" s="17" t="s">
        <v>23</v>
      </c>
      <c r="F2546" s="17" t="str">
        <f>INDEX(nrg_cb_e!$A$3:$A$40,MATCH(LEFT(MID('Industriesektor GWh'!$B2546,41,1000),SEARCH(" - ",MID('Industriesektor GWh'!$B2546,41,1000))-1),nrg_cb_e!$C$3:$C$40,0))</f>
        <v>FC_IND_TE_E</v>
      </c>
      <c r="G2546" s="18">
        <v>273</v>
      </c>
    </row>
    <row r="2547" spans="1:7" x14ac:dyDescent="0.2">
      <c r="A2547" s="19" t="s">
        <v>54</v>
      </c>
      <c r="B2547" s="20" t="s">
        <v>66</v>
      </c>
      <c r="C2547" s="20" t="s">
        <v>8</v>
      </c>
      <c r="D2547" s="20" t="s">
        <v>10</v>
      </c>
      <c r="E2547" s="20" t="s">
        <v>24</v>
      </c>
      <c r="F2547" s="20" t="str">
        <f>INDEX(nrg_cb_e!$A$3:$A$40,MATCH(LEFT(MID('Industriesektor GWh'!$B2547,41,1000),SEARCH(" - ",MID('Industriesektor GWh'!$B2547,41,1000))-1),nrg_cb_e!$C$3:$C$40,0))</f>
        <v>FC_IND_TE_E</v>
      </c>
      <c r="G2547" s="21">
        <v>280</v>
      </c>
    </row>
    <row r="2548" spans="1:7" x14ac:dyDescent="0.2">
      <c r="A2548" s="16" t="s">
        <v>54</v>
      </c>
      <c r="B2548" s="17" t="s">
        <v>66</v>
      </c>
      <c r="C2548" s="17" t="s">
        <v>8</v>
      </c>
      <c r="D2548" s="17" t="s">
        <v>10</v>
      </c>
      <c r="E2548" s="17" t="s">
        <v>25</v>
      </c>
      <c r="F2548" s="17" t="str">
        <f>INDEX(nrg_cb_e!$A$3:$A$40,MATCH(LEFT(MID('Industriesektor GWh'!$B2548,41,1000),SEARCH(" - ",MID('Industriesektor GWh'!$B2548,41,1000))-1),nrg_cb_e!$C$3:$C$40,0))</f>
        <v>FC_IND_TE_E</v>
      </c>
      <c r="G2548" s="18">
        <v>325</v>
      </c>
    </row>
    <row r="2549" spans="1:7" x14ac:dyDescent="0.2">
      <c r="A2549" s="19" t="s">
        <v>54</v>
      </c>
      <c r="B2549" s="20" t="s">
        <v>66</v>
      </c>
      <c r="C2549" s="20" t="s">
        <v>8</v>
      </c>
      <c r="D2549" s="20" t="s">
        <v>10</v>
      </c>
      <c r="E2549" s="20" t="s">
        <v>26</v>
      </c>
      <c r="F2549" s="20" t="str">
        <f>INDEX(nrg_cb_e!$A$3:$A$40,MATCH(LEFT(MID('Industriesektor GWh'!$B2549,41,1000),SEARCH(" - ",MID('Industriesektor GWh'!$B2549,41,1000))-1),nrg_cb_e!$C$3:$C$40,0))</f>
        <v>FC_IND_TE_E</v>
      </c>
      <c r="G2549" s="21">
        <v>350</v>
      </c>
    </row>
    <row r="2550" spans="1:7" x14ac:dyDescent="0.2">
      <c r="A2550" s="16" t="s">
        <v>54</v>
      </c>
      <c r="B2550" s="17" t="s">
        <v>66</v>
      </c>
      <c r="C2550" s="17" t="s">
        <v>8</v>
      </c>
      <c r="D2550" s="17" t="s">
        <v>10</v>
      </c>
      <c r="E2550" s="17" t="s">
        <v>27</v>
      </c>
      <c r="F2550" s="17" t="str">
        <f>INDEX(nrg_cb_e!$A$3:$A$40,MATCH(LEFT(MID('Industriesektor GWh'!$B2550,41,1000),SEARCH(" - ",MID('Industriesektor GWh'!$B2550,41,1000))-1),nrg_cb_e!$C$3:$C$40,0))</f>
        <v>FC_IND_TE_E</v>
      </c>
      <c r="G2550" s="18">
        <v>326</v>
      </c>
    </row>
    <row r="2551" spans="1:7" x14ac:dyDescent="0.2">
      <c r="A2551" s="19" t="s">
        <v>54</v>
      </c>
      <c r="B2551" s="20" t="s">
        <v>66</v>
      </c>
      <c r="C2551" s="20" t="s">
        <v>8</v>
      </c>
      <c r="D2551" s="20" t="s">
        <v>10</v>
      </c>
      <c r="E2551" s="20" t="s">
        <v>28</v>
      </c>
      <c r="F2551" s="20" t="str">
        <f>INDEX(nrg_cb_e!$A$3:$A$40,MATCH(LEFT(MID('Industriesektor GWh'!$B2551,41,1000),SEARCH(" - ",MID('Industriesektor GWh'!$B2551,41,1000))-1),nrg_cb_e!$C$3:$C$40,0))</f>
        <v>FC_IND_TE_E</v>
      </c>
      <c r="G2551" s="21">
        <v>295</v>
      </c>
    </row>
    <row r="2552" spans="1:7" x14ac:dyDescent="0.2">
      <c r="A2552" s="16" t="s">
        <v>55</v>
      </c>
      <c r="B2552" s="17" t="s">
        <v>66</v>
      </c>
      <c r="C2552" s="17" t="s">
        <v>8</v>
      </c>
      <c r="D2552" s="17" t="s">
        <v>10</v>
      </c>
      <c r="E2552" s="17" t="s">
        <v>12</v>
      </c>
      <c r="F2552" s="17" t="str">
        <f>INDEX(nrg_cb_e!$A$3:$A$40,MATCH(LEFT(MID('Industriesektor GWh'!$B2552,41,1000),SEARCH(" - ",MID('Industriesektor GWh'!$B2552,41,1000))-1),nrg_cb_e!$C$3:$C$40,0))</f>
        <v>FC_IND_TE_E</v>
      </c>
      <c r="G2552" s="18">
        <v>2600</v>
      </c>
    </row>
    <row r="2553" spans="1:7" x14ac:dyDescent="0.2">
      <c r="A2553" s="19" t="s">
        <v>55</v>
      </c>
      <c r="B2553" s="20" t="s">
        <v>66</v>
      </c>
      <c r="C2553" s="20" t="s">
        <v>8</v>
      </c>
      <c r="D2553" s="20" t="s">
        <v>10</v>
      </c>
      <c r="E2553" s="20" t="s">
        <v>13</v>
      </c>
      <c r="F2553" s="20" t="str">
        <f>INDEX(nrg_cb_e!$A$3:$A$40,MATCH(LEFT(MID('Industriesektor GWh'!$B2553,41,1000),SEARCH(" - ",MID('Industriesektor GWh'!$B2553,41,1000))-1),nrg_cb_e!$C$3:$C$40,0))</f>
        <v>FC_IND_TE_E</v>
      </c>
      <c r="G2553" s="21">
        <v>2392</v>
      </c>
    </row>
    <row r="2554" spans="1:7" x14ac:dyDescent="0.2">
      <c r="A2554" s="16" t="s">
        <v>55</v>
      </c>
      <c r="B2554" s="17" t="s">
        <v>66</v>
      </c>
      <c r="C2554" s="17" t="s">
        <v>8</v>
      </c>
      <c r="D2554" s="17" t="s">
        <v>10</v>
      </c>
      <c r="E2554" s="17" t="s">
        <v>14</v>
      </c>
      <c r="F2554" s="17" t="str">
        <f>INDEX(nrg_cb_e!$A$3:$A$40,MATCH(LEFT(MID('Industriesektor GWh'!$B2554,41,1000),SEARCH(" - ",MID('Industriesektor GWh'!$B2554,41,1000))-1),nrg_cb_e!$C$3:$C$40,0))</f>
        <v>FC_IND_TE_E</v>
      </c>
      <c r="G2554" s="18">
        <v>2440</v>
      </c>
    </row>
    <row r="2555" spans="1:7" x14ac:dyDescent="0.2">
      <c r="A2555" s="19" t="s">
        <v>55</v>
      </c>
      <c r="B2555" s="20" t="s">
        <v>66</v>
      </c>
      <c r="C2555" s="20" t="s">
        <v>8</v>
      </c>
      <c r="D2555" s="20" t="s">
        <v>10</v>
      </c>
      <c r="E2555" s="20" t="s">
        <v>15</v>
      </c>
      <c r="F2555" s="20" t="str">
        <f>INDEX(nrg_cb_e!$A$3:$A$40,MATCH(LEFT(MID('Industriesektor GWh'!$B2555,41,1000),SEARCH(" - ",MID('Industriesektor GWh'!$B2555,41,1000))-1),nrg_cb_e!$C$3:$C$40,0))</f>
        <v>FC_IND_TE_E</v>
      </c>
      <c r="G2555" s="21">
        <v>2609</v>
      </c>
    </row>
    <row r="2556" spans="1:7" x14ac:dyDescent="0.2">
      <c r="A2556" s="16" t="s">
        <v>55</v>
      </c>
      <c r="B2556" s="17" t="s">
        <v>66</v>
      </c>
      <c r="C2556" s="17" t="s">
        <v>8</v>
      </c>
      <c r="D2556" s="17" t="s">
        <v>10</v>
      </c>
      <c r="E2556" s="17" t="s">
        <v>16</v>
      </c>
      <c r="F2556" s="17" t="str">
        <f>INDEX(nrg_cb_e!$A$3:$A$40,MATCH(LEFT(MID('Industriesektor GWh'!$B2556,41,1000),SEARCH(" - ",MID('Industriesektor GWh'!$B2556,41,1000))-1),nrg_cb_e!$C$3:$C$40,0))</f>
        <v>FC_IND_TE_E</v>
      </c>
      <c r="G2556" s="18">
        <v>2472</v>
      </c>
    </row>
    <row r="2557" spans="1:7" x14ac:dyDescent="0.2">
      <c r="A2557" s="19" t="s">
        <v>55</v>
      </c>
      <c r="B2557" s="20" t="s">
        <v>66</v>
      </c>
      <c r="C2557" s="20" t="s">
        <v>8</v>
      </c>
      <c r="D2557" s="20" t="s">
        <v>10</v>
      </c>
      <c r="E2557" s="20" t="s">
        <v>17</v>
      </c>
      <c r="F2557" s="20" t="str">
        <f>INDEX(nrg_cb_e!$A$3:$A$40,MATCH(LEFT(MID('Industriesektor GWh'!$B2557,41,1000),SEARCH(" - ",MID('Industriesektor GWh'!$B2557,41,1000))-1),nrg_cb_e!$C$3:$C$40,0))</f>
        <v>FC_IND_TE_E</v>
      </c>
      <c r="G2557" s="21">
        <v>2518</v>
      </c>
    </row>
    <row r="2558" spans="1:7" x14ac:dyDescent="0.2">
      <c r="A2558" s="16" t="s">
        <v>55</v>
      </c>
      <c r="B2558" s="17" t="s">
        <v>66</v>
      </c>
      <c r="C2558" s="17" t="s">
        <v>8</v>
      </c>
      <c r="D2558" s="17" t="s">
        <v>10</v>
      </c>
      <c r="E2558" s="17" t="s">
        <v>18</v>
      </c>
      <c r="F2558" s="17" t="str">
        <f>INDEX(nrg_cb_e!$A$3:$A$40,MATCH(LEFT(MID('Industriesektor GWh'!$B2558,41,1000),SEARCH(" - ",MID('Industriesektor GWh'!$B2558,41,1000))-1),nrg_cb_e!$C$3:$C$40,0))</f>
        <v>FC_IND_TE_E</v>
      </c>
      <c r="G2558" s="18">
        <v>2109</v>
      </c>
    </row>
    <row r="2559" spans="1:7" x14ac:dyDescent="0.2">
      <c r="A2559" s="19" t="s">
        <v>55</v>
      </c>
      <c r="B2559" s="20" t="s">
        <v>66</v>
      </c>
      <c r="C2559" s="20" t="s">
        <v>8</v>
      </c>
      <c r="D2559" s="20" t="s">
        <v>10</v>
      </c>
      <c r="E2559" s="20" t="s">
        <v>19</v>
      </c>
      <c r="F2559" s="20" t="str">
        <f>INDEX(nrg_cb_e!$A$3:$A$40,MATCH(LEFT(MID('Industriesektor GWh'!$B2559,41,1000),SEARCH(" - ",MID('Industriesektor GWh'!$B2559,41,1000))-1),nrg_cb_e!$C$3:$C$40,0))</f>
        <v>FC_IND_TE_E</v>
      </c>
      <c r="G2559" s="21">
        <v>1737</v>
      </c>
    </row>
    <row r="2560" spans="1:7" x14ac:dyDescent="0.2">
      <c r="A2560" s="16" t="s">
        <v>55</v>
      </c>
      <c r="B2560" s="17" t="s">
        <v>66</v>
      </c>
      <c r="C2560" s="17" t="s">
        <v>8</v>
      </c>
      <c r="D2560" s="17" t="s">
        <v>10</v>
      </c>
      <c r="E2560" s="17" t="s">
        <v>20</v>
      </c>
      <c r="F2560" s="17" t="str">
        <f>INDEX(nrg_cb_e!$A$3:$A$40,MATCH(LEFT(MID('Industriesektor GWh'!$B2560,41,1000),SEARCH(" - ",MID('Industriesektor GWh'!$B2560,41,1000))-1),nrg_cb_e!$C$3:$C$40,0))</f>
        <v>FC_IND_TE_E</v>
      </c>
      <c r="G2560" s="18">
        <v>1883</v>
      </c>
    </row>
    <row r="2561" spans="1:7" x14ac:dyDescent="0.2">
      <c r="A2561" s="19" t="s">
        <v>55</v>
      </c>
      <c r="B2561" s="20" t="s">
        <v>66</v>
      </c>
      <c r="C2561" s="20" t="s">
        <v>8</v>
      </c>
      <c r="D2561" s="20" t="s">
        <v>10</v>
      </c>
      <c r="E2561" s="20" t="s">
        <v>21</v>
      </c>
      <c r="F2561" s="20" t="str">
        <f>INDEX(nrg_cb_e!$A$3:$A$40,MATCH(LEFT(MID('Industriesektor GWh'!$B2561,41,1000),SEARCH(" - ",MID('Industriesektor GWh'!$B2561,41,1000))-1),nrg_cb_e!$C$3:$C$40,0))</f>
        <v>FC_IND_TE_E</v>
      </c>
      <c r="G2561" s="21">
        <v>2012</v>
      </c>
    </row>
    <row r="2562" spans="1:7" x14ac:dyDescent="0.2">
      <c r="A2562" s="16" t="s">
        <v>55</v>
      </c>
      <c r="B2562" s="17" t="s">
        <v>66</v>
      </c>
      <c r="C2562" s="17" t="s">
        <v>8</v>
      </c>
      <c r="D2562" s="17" t="s">
        <v>10</v>
      </c>
      <c r="E2562" s="17" t="s">
        <v>22</v>
      </c>
      <c r="F2562" s="17" t="str">
        <f>INDEX(nrg_cb_e!$A$3:$A$40,MATCH(LEFT(MID('Industriesektor GWh'!$B2562,41,1000),SEARCH(" - ",MID('Industriesektor GWh'!$B2562,41,1000))-1),nrg_cb_e!$C$3:$C$40,0))</f>
        <v>FC_IND_TE_E</v>
      </c>
      <c r="G2562" s="18">
        <v>1948</v>
      </c>
    </row>
    <row r="2563" spans="1:7" x14ac:dyDescent="0.2">
      <c r="A2563" s="19" t="s">
        <v>55</v>
      </c>
      <c r="B2563" s="20" t="s">
        <v>66</v>
      </c>
      <c r="C2563" s="20" t="s">
        <v>8</v>
      </c>
      <c r="D2563" s="20" t="s">
        <v>10</v>
      </c>
      <c r="E2563" s="20" t="s">
        <v>23</v>
      </c>
      <c r="F2563" s="20" t="str">
        <f>INDEX(nrg_cb_e!$A$3:$A$40,MATCH(LEFT(MID('Industriesektor GWh'!$B2563,41,1000),SEARCH(" - ",MID('Industriesektor GWh'!$B2563,41,1000))-1),nrg_cb_e!$C$3:$C$40,0))</f>
        <v>FC_IND_TE_E</v>
      </c>
      <c r="G2563" s="21">
        <v>1961</v>
      </c>
    </row>
    <row r="2564" spans="1:7" x14ac:dyDescent="0.2">
      <c r="A2564" s="16" t="s">
        <v>55</v>
      </c>
      <c r="B2564" s="17" t="s">
        <v>66</v>
      </c>
      <c r="C2564" s="17" t="s">
        <v>8</v>
      </c>
      <c r="D2564" s="17" t="s">
        <v>10</v>
      </c>
      <c r="E2564" s="17" t="s">
        <v>24</v>
      </c>
      <c r="F2564" s="17" t="str">
        <f>INDEX(nrg_cb_e!$A$3:$A$40,MATCH(LEFT(MID('Industriesektor GWh'!$B2564,41,1000),SEARCH(" - ",MID('Industriesektor GWh'!$B2564,41,1000))-1),nrg_cb_e!$C$3:$C$40,0))</f>
        <v>FC_IND_TE_E</v>
      </c>
      <c r="G2564" s="18">
        <v>1959</v>
      </c>
    </row>
    <row r="2565" spans="1:7" x14ac:dyDescent="0.2">
      <c r="A2565" s="19" t="s">
        <v>55</v>
      </c>
      <c r="B2565" s="20" t="s">
        <v>66</v>
      </c>
      <c r="C2565" s="20" t="s">
        <v>8</v>
      </c>
      <c r="D2565" s="20" t="s">
        <v>10</v>
      </c>
      <c r="E2565" s="20" t="s">
        <v>25</v>
      </c>
      <c r="F2565" s="20" t="str">
        <f>INDEX(nrg_cb_e!$A$3:$A$40,MATCH(LEFT(MID('Industriesektor GWh'!$B2565,41,1000),SEARCH(" - ",MID('Industriesektor GWh'!$B2565,41,1000))-1),nrg_cb_e!$C$3:$C$40,0))</f>
        <v>FC_IND_TE_E</v>
      </c>
      <c r="G2565" s="21">
        <v>1930</v>
      </c>
    </row>
    <row r="2566" spans="1:7" x14ac:dyDescent="0.2">
      <c r="A2566" s="16" t="s">
        <v>55</v>
      </c>
      <c r="B2566" s="17" t="s">
        <v>66</v>
      </c>
      <c r="C2566" s="17" t="s">
        <v>8</v>
      </c>
      <c r="D2566" s="17" t="s">
        <v>10</v>
      </c>
      <c r="E2566" s="17" t="s">
        <v>26</v>
      </c>
      <c r="F2566" s="17" t="str">
        <f>INDEX(nrg_cb_e!$A$3:$A$40,MATCH(LEFT(MID('Industriesektor GWh'!$B2566,41,1000),SEARCH(" - ",MID('Industriesektor GWh'!$B2566,41,1000))-1),nrg_cb_e!$C$3:$C$40,0))</f>
        <v>FC_IND_TE_E</v>
      </c>
      <c r="G2566" s="18">
        <v>1938</v>
      </c>
    </row>
    <row r="2567" spans="1:7" x14ac:dyDescent="0.2">
      <c r="A2567" s="19" t="s">
        <v>55</v>
      </c>
      <c r="B2567" s="20" t="s">
        <v>66</v>
      </c>
      <c r="C2567" s="20" t="s">
        <v>8</v>
      </c>
      <c r="D2567" s="20" t="s">
        <v>10</v>
      </c>
      <c r="E2567" s="20" t="s">
        <v>27</v>
      </c>
      <c r="F2567" s="20" t="str">
        <f>INDEX(nrg_cb_e!$A$3:$A$40,MATCH(LEFT(MID('Industriesektor GWh'!$B2567,41,1000),SEARCH(" - ",MID('Industriesektor GWh'!$B2567,41,1000))-1),nrg_cb_e!$C$3:$C$40,0))</f>
        <v>FC_IND_TE_E</v>
      </c>
      <c r="G2567" s="21">
        <v>1977</v>
      </c>
    </row>
    <row r="2568" spans="1:7" x14ac:dyDescent="0.2">
      <c r="A2568" s="16" t="s">
        <v>55</v>
      </c>
      <c r="B2568" s="17" t="s">
        <v>66</v>
      </c>
      <c r="C2568" s="17" t="s">
        <v>8</v>
      </c>
      <c r="D2568" s="17" t="s">
        <v>10</v>
      </c>
      <c r="E2568" s="17" t="s">
        <v>28</v>
      </c>
      <c r="F2568" s="17" t="str">
        <f>INDEX(nrg_cb_e!$A$3:$A$40,MATCH(LEFT(MID('Industriesektor GWh'!$B2568,41,1000),SEARCH(" - ",MID('Industriesektor GWh'!$B2568,41,1000))-1),nrg_cb_e!$C$3:$C$40,0))</f>
        <v>FC_IND_TE_E</v>
      </c>
      <c r="G2568" s="18">
        <v>1990</v>
      </c>
    </row>
    <row r="2569" spans="1:7" x14ac:dyDescent="0.2">
      <c r="A2569" s="19" t="s">
        <v>56</v>
      </c>
      <c r="B2569" s="20" t="s">
        <v>66</v>
      </c>
      <c r="C2569" s="20" t="s">
        <v>8</v>
      </c>
      <c r="D2569" s="20" t="s">
        <v>10</v>
      </c>
      <c r="E2569" s="20" t="s">
        <v>12</v>
      </c>
      <c r="F2569" s="20" t="str">
        <f>INDEX(nrg_cb_e!$A$3:$A$40,MATCH(LEFT(MID('Industriesektor GWh'!$B2569,41,1000),SEARCH(" - ",MID('Industriesektor GWh'!$B2569,41,1000))-1),nrg_cb_e!$C$3:$C$40,0))</f>
        <v>FC_IND_TE_E</v>
      </c>
      <c r="G2569" s="21">
        <v>5625</v>
      </c>
    </row>
    <row r="2570" spans="1:7" x14ac:dyDescent="0.2">
      <c r="A2570" s="16" t="s">
        <v>56</v>
      </c>
      <c r="B2570" s="17" t="s">
        <v>66</v>
      </c>
      <c r="C2570" s="17" t="s">
        <v>8</v>
      </c>
      <c r="D2570" s="17" t="s">
        <v>10</v>
      </c>
      <c r="E2570" s="17" t="s">
        <v>13</v>
      </c>
      <c r="F2570" s="17" t="str">
        <f>INDEX(nrg_cb_e!$A$3:$A$40,MATCH(LEFT(MID('Industriesektor GWh'!$B2570,41,1000),SEARCH(" - ",MID('Industriesektor GWh'!$B2570,41,1000))-1),nrg_cb_e!$C$3:$C$40,0))</f>
        <v>FC_IND_TE_E</v>
      </c>
      <c r="G2570" s="18">
        <v>5610</v>
      </c>
    </row>
    <row r="2571" spans="1:7" x14ac:dyDescent="0.2">
      <c r="A2571" s="19" t="s">
        <v>56</v>
      </c>
      <c r="B2571" s="20" t="s">
        <v>66</v>
      </c>
      <c r="C2571" s="20" t="s">
        <v>8</v>
      </c>
      <c r="D2571" s="20" t="s">
        <v>10</v>
      </c>
      <c r="E2571" s="20" t="s">
        <v>14</v>
      </c>
      <c r="F2571" s="20" t="str">
        <f>INDEX(nrg_cb_e!$A$3:$A$40,MATCH(LEFT(MID('Industriesektor GWh'!$B2571,41,1000),SEARCH(" - ",MID('Industriesektor GWh'!$B2571,41,1000))-1),nrg_cb_e!$C$3:$C$40,0))</f>
        <v>FC_IND_TE_E</v>
      </c>
      <c r="G2571" s="21">
        <v>5582</v>
      </c>
    </row>
    <row r="2572" spans="1:7" x14ac:dyDescent="0.2">
      <c r="A2572" s="16" t="s">
        <v>56</v>
      </c>
      <c r="B2572" s="17" t="s">
        <v>66</v>
      </c>
      <c r="C2572" s="17" t="s">
        <v>8</v>
      </c>
      <c r="D2572" s="17" t="s">
        <v>10</v>
      </c>
      <c r="E2572" s="17" t="s">
        <v>15</v>
      </c>
      <c r="F2572" s="17" t="str">
        <f>INDEX(nrg_cb_e!$A$3:$A$40,MATCH(LEFT(MID('Industriesektor GWh'!$B2572,41,1000),SEARCH(" - ",MID('Industriesektor GWh'!$B2572,41,1000))-1),nrg_cb_e!$C$3:$C$40,0))</f>
        <v>FC_IND_TE_E</v>
      </c>
      <c r="G2572" s="18">
        <v>5841</v>
      </c>
    </row>
    <row r="2573" spans="1:7" x14ac:dyDescent="0.2">
      <c r="A2573" s="19" t="s">
        <v>56</v>
      </c>
      <c r="B2573" s="20" t="s">
        <v>66</v>
      </c>
      <c r="C2573" s="20" t="s">
        <v>8</v>
      </c>
      <c r="D2573" s="20" t="s">
        <v>10</v>
      </c>
      <c r="E2573" s="20" t="s">
        <v>16</v>
      </c>
      <c r="F2573" s="20" t="str">
        <f>INDEX(nrg_cb_e!$A$3:$A$40,MATCH(LEFT(MID('Industriesektor GWh'!$B2573,41,1000),SEARCH(" - ",MID('Industriesektor GWh'!$B2573,41,1000))-1),nrg_cb_e!$C$3:$C$40,0))</f>
        <v>FC_IND_TE_E</v>
      </c>
      <c r="G2573" s="21">
        <v>5748</v>
      </c>
    </row>
    <row r="2574" spans="1:7" x14ac:dyDescent="0.2">
      <c r="A2574" s="16" t="s">
        <v>56</v>
      </c>
      <c r="B2574" s="17" t="s">
        <v>66</v>
      </c>
      <c r="C2574" s="17" t="s">
        <v>8</v>
      </c>
      <c r="D2574" s="17" t="s">
        <v>10</v>
      </c>
      <c r="E2574" s="17" t="s">
        <v>17</v>
      </c>
      <c r="F2574" s="17" t="str">
        <f>INDEX(nrg_cb_e!$A$3:$A$40,MATCH(LEFT(MID('Industriesektor GWh'!$B2574,41,1000),SEARCH(" - ",MID('Industriesektor GWh'!$B2574,41,1000))-1),nrg_cb_e!$C$3:$C$40,0))</f>
        <v>FC_IND_TE_E</v>
      </c>
      <c r="G2574" s="18">
        <v>5723</v>
      </c>
    </row>
    <row r="2575" spans="1:7" x14ac:dyDescent="0.2">
      <c r="A2575" s="19" t="s">
        <v>56</v>
      </c>
      <c r="B2575" s="20" t="s">
        <v>66</v>
      </c>
      <c r="C2575" s="20" t="s">
        <v>8</v>
      </c>
      <c r="D2575" s="20" t="s">
        <v>10</v>
      </c>
      <c r="E2575" s="20" t="s">
        <v>18</v>
      </c>
      <c r="F2575" s="20" t="str">
        <f>INDEX(nrg_cb_e!$A$3:$A$40,MATCH(LEFT(MID('Industriesektor GWh'!$B2575,41,1000),SEARCH(" - ",MID('Industriesektor GWh'!$B2575,41,1000))-1),nrg_cb_e!$C$3:$C$40,0))</f>
        <v>FC_IND_TE_E</v>
      </c>
      <c r="G2575" s="21">
        <v>5812</v>
      </c>
    </row>
    <row r="2576" spans="1:7" x14ac:dyDescent="0.2">
      <c r="A2576" s="16" t="s">
        <v>56</v>
      </c>
      <c r="B2576" s="17" t="s">
        <v>66</v>
      </c>
      <c r="C2576" s="17" t="s">
        <v>8</v>
      </c>
      <c r="D2576" s="17" t="s">
        <v>10</v>
      </c>
      <c r="E2576" s="17" t="s">
        <v>19</v>
      </c>
      <c r="F2576" s="17" t="str">
        <f>INDEX(nrg_cb_e!$A$3:$A$40,MATCH(LEFT(MID('Industriesektor GWh'!$B2576,41,1000),SEARCH(" - ",MID('Industriesektor GWh'!$B2576,41,1000))-1),nrg_cb_e!$C$3:$C$40,0))</f>
        <v>FC_IND_TE_E</v>
      </c>
      <c r="G2576" s="18">
        <v>5012</v>
      </c>
    </row>
    <row r="2577" spans="1:7" x14ac:dyDescent="0.2">
      <c r="A2577" s="19" t="s">
        <v>56</v>
      </c>
      <c r="B2577" s="20" t="s">
        <v>66</v>
      </c>
      <c r="C2577" s="20" t="s">
        <v>8</v>
      </c>
      <c r="D2577" s="20" t="s">
        <v>10</v>
      </c>
      <c r="E2577" s="20" t="s">
        <v>20</v>
      </c>
      <c r="F2577" s="20" t="str">
        <f>INDEX(nrg_cb_e!$A$3:$A$40,MATCH(LEFT(MID('Industriesektor GWh'!$B2577,41,1000),SEARCH(" - ",MID('Industriesektor GWh'!$B2577,41,1000))-1),nrg_cb_e!$C$3:$C$40,0))</f>
        <v>FC_IND_TE_E</v>
      </c>
      <c r="G2577" s="21">
        <v>5284</v>
      </c>
    </row>
    <row r="2578" spans="1:7" x14ac:dyDescent="0.2">
      <c r="A2578" s="16" t="s">
        <v>56</v>
      </c>
      <c r="B2578" s="17" t="s">
        <v>66</v>
      </c>
      <c r="C2578" s="17" t="s">
        <v>8</v>
      </c>
      <c r="D2578" s="17" t="s">
        <v>10</v>
      </c>
      <c r="E2578" s="17" t="s">
        <v>21</v>
      </c>
      <c r="F2578" s="17" t="str">
        <f>INDEX(nrg_cb_e!$A$3:$A$40,MATCH(LEFT(MID('Industriesektor GWh'!$B2578,41,1000),SEARCH(" - ",MID('Industriesektor GWh'!$B2578,41,1000))-1),nrg_cb_e!$C$3:$C$40,0))</f>
        <v>FC_IND_TE_E</v>
      </c>
      <c r="G2578" s="18">
        <v>5188</v>
      </c>
    </row>
    <row r="2579" spans="1:7" x14ac:dyDescent="0.2">
      <c r="A2579" s="19" t="s">
        <v>56</v>
      </c>
      <c r="B2579" s="20" t="s">
        <v>66</v>
      </c>
      <c r="C2579" s="20" t="s">
        <v>8</v>
      </c>
      <c r="D2579" s="20" t="s">
        <v>10</v>
      </c>
      <c r="E2579" s="20" t="s">
        <v>22</v>
      </c>
      <c r="F2579" s="20" t="str">
        <f>INDEX(nrg_cb_e!$A$3:$A$40,MATCH(LEFT(MID('Industriesektor GWh'!$B2579,41,1000),SEARCH(" - ",MID('Industriesektor GWh'!$B2579,41,1000))-1),nrg_cb_e!$C$3:$C$40,0))</f>
        <v>FC_IND_TE_E</v>
      </c>
      <c r="G2579" s="21">
        <v>5081</v>
      </c>
    </row>
    <row r="2580" spans="1:7" x14ac:dyDescent="0.2">
      <c r="A2580" s="16" t="s">
        <v>56</v>
      </c>
      <c r="B2580" s="17" t="s">
        <v>66</v>
      </c>
      <c r="C2580" s="17" t="s">
        <v>8</v>
      </c>
      <c r="D2580" s="17" t="s">
        <v>10</v>
      </c>
      <c r="E2580" s="17" t="s">
        <v>23</v>
      </c>
      <c r="F2580" s="17" t="str">
        <f>INDEX(nrg_cb_e!$A$3:$A$40,MATCH(LEFT(MID('Industriesektor GWh'!$B2580,41,1000),SEARCH(" - ",MID('Industriesektor GWh'!$B2580,41,1000))-1),nrg_cb_e!$C$3:$C$40,0))</f>
        <v>FC_IND_TE_E</v>
      </c>
      <c r="G2580" s="18">
        <v>5067</v>
      </c>
    </row>
    <row r="2581" spans="1:7" x14ac:dyDescent="0.2">
      <c r="A2581" s="19" t="s">
        <v>56</v>
      </c>
      <c r="B2581" s="20" t="s">
        <v>66</v>
      </c>
      <c r="C2581" s="20" t="s">
        <v>8</v>
      </c>
      <c r="D2581" s="20" t="s">
        <v>10</v>
      </c>
      <c r="E2581" s="20" t="s">
        <v>24</v>
      </c>
      <c r="F2581" s="20" t="str">
        <f>INDEX(nrg_cb_e!$A$3:$A$40,MATCH(LEFT(MID('Industriesektor GWh'!$B2581,41,1000),SEARCH(" - ",MID('Industriesektor GWh'!$B2581,41,1000))-1),nrg_cb_e!$C$3:$C$40,0))</f>
        <v>FC_IND_TE_E</v>
      </c>
      <c r="G2581" s="21">
        <v>4831</v>
      </c>
    </row>
    <row r="2582" spans="1:7" x14ac:dyDescent="0.2">
      <c r="A2582" s="16" t="s">
        <v>56</v>
      </c>
      <c r="B2582" s="17" t="s">
        <v>66</v>
      </c>
      <c r="C2582" s="17" t="s">
        <v>8</v>
      </c>
      <c r="D2582" s="17" t="s">
        <v>10</v>
      </c>
      <c r="E2582" s="17" t="s">
        <v>25</v>
      </c>
      <c r="F2582" s="17" t="str">
        <f>INDEX(nrg_cb_e!$A$3:$A$40,MATCH(LEFT(MID('Industriesektor GWh'!$B2582,41,1000),SEARCH(" - ",MID('Industriesektor GWh'!$B2582,41,1000))-1),nrg_cb_e!$C$3:$C$40,0))</f>
        <v>FC_IND_TE_E</v>
      </c>
      <c r="G2582" s="18">
        <v>4875.9780000000001</v>
      </c>
    </row>
    <row r="2583" spans="1:7" x14ac:dyDescent="0.2">
      <c r="A2583" s="19" t="s">
        <v>56</v>
      </c>
      <c r="B2583" s="20" t="s">
        <v>66</v>
      </c>
      <c r="C2583" s="20" t="s">
        <v>8</v>
      </c>
      <c r="D2583" s="20" t="s">
        <v>10</v>
      </c>
      <c r="E2583" s="20" t="s">
        <v>26</v>
      </c>
      <c r="F2583" s="20" t="str">
        <f>INDEX(nrg_cb_e!$A$3:$A$40,MATCH(LEFT(MID('Industriesektor GWh'!$B2583,41,1000),SEARCH(" - ",MID('Industriesektor GWh'!$B2583,41,1000))-1),nrg_cb_e!$C$3:$C$40,0))</f>
        <v>FC_IND_TE_E</v>
      </c>
      <c r="G2583" s="21">
        <v>4847.8609999999999</v>
      </c>
    </row>
    <row r="2584" spans="1:7" x14ac:dyDescent="0.2">
      <c r="A2584" s="16" t="s">
        <v>56</v>
      </c>
      <c r="B2584" s="17" t="s">
        <v>66</v>
      </c>
      <c r="C2584" s="17" t="s">
        <v>8</v>
      </c>
      <c r="D2584" s="17" t="s">
        <v>10</v>
      </c>
      <c r="E2584" s="17" t="s">
        <v>27</v>
      </c>
      <c r="F2584" s="17" t="str">
        <f>INDEX(nrg_cb_e!$A$3:$A$40,MATCH(LEFT(MID('Industriesektor GWh'!$B2584,41,1000),SEARCH(" - ",MID('Industriesektor GWh'!$B2584,41,1000))-1),nrg_cb_e!$C$3:$C$40,0))</f>
        <v>FC_IND_TE_E</v>
      </c>
      <c r="G2584" s="18">
        <v>4756.2830000000004</v>
      </c>
    </row>
    <row r="2585" spans="1:7" x14ac:dyDescent="0.2">
      <c r="A2585" s="19" t="s">
        <v>56</v>
      </c>
      <c r="B2585" s="20" t="s">
        <v>66</v>
      </c>
      <c r="C2585" s="20" t="s">
        <v>8</v>
      </c>
      <c r="D2585" s="20" t="s">
        <v>10</v>
      </c>
      <c r="E2585" s="20" t="s">
        <v>28</v>
      </c>
      <c r="F2585" s="20" t="str">
        <f>INDEX(nrg_cb_e!$A$3:$A$40,MATCH(LEFT(MID('Industriesektor GWh'!$B2585,41,1000),SEARCH(" - ",MID('Industriesektor GWh'!$B2585,41,1000))-1),nrg_cb_e!$C$3:$C$40,0))</f>
        <v>FC_IND_TE_E</v>
      </c>
      <c r="G2585" s="21">
        <v>4767.6450000000004</v>
      </c>
    </row>
    <row r="2586" spans="1:7" x14ac:dyDescent="0.2">
      <c r="A2586" s="16" t="s">
        <v>57</v>
      </c>
      <c r="B2586" s="17" t="s">
        <v>66</v>
      </c>
      <c r="C2586" s="17" t="s">
        <v>8</v>
      </c>
      <c r="D2586" s="17" t="s">
        <v>10</v>
      </c>
      <c r="E2586" s="17" t="s">
        <v>12</v>
      </c>
      <c r="F2586" s="17" t="str">
        <f>INDEX(nrg_cb_e!$A$3:$A$40,MATCH(LEFT(MID('Industriesektor GWh'!$B2586,41,1000),SEARCH(" - ",MID('Industriesektor GWh'!$B2586,41,1000))-1),nrg_cb_e!$C$3:$C$40,0))</f>
        <v>FC_IND_TE_E</v>
      </c>
      <c r="G2586" s="18">
        <v>8</v>
      </c>
    </row>
    <row r="2587" spans="1:7" x14ac:dyDescent="0.2">
      <c r="A2587" s="19" t="s">
        <v>57</v>
      </c>
      <c r="B2587" s="20" t="s">
        <v>66</v>
      </c>
      <c r="C2587" s="20" t="s">
        <v>8</v>
      </c>
      <c r="D2587" s="20" t="s">
        <v>10</v>
      </c>
      <c r="E2587" s="20" t="s">
        <v>13</v>
      </c>
      <c r="F2587" s="20" t="str">
        <f>INDEX(nrg_cb_e!$A$3:$A$40,MATCH(LEFT(MID('Industriesektor GWh'!$B2587,41,1000),SEARCH(" - ",MID('Industriesektor GWh'!$B2587,41,1000))-1),nrg_cb_e!$C$3:$C$40,0))</f>
        <v>FC_IND_TE_E</v>
      </c>
      <c r="G2587" s="21">
        <v>6</v>
      </c>
    </row>
    <row r="2588" spans="1:7" x14ac:dyDescent="0.2">
      <c r="A2588" s="16" t="s">
        <v>57</v>
      </c>
      <c r="B2588" s="17" t="s">
        <v>66</v>
      </c>
      <c r="C2588" s="17" t="s">
        <v>8</v>
      </c>
      <c r="D2588" s="17" t="s">
        <v>10</v>
      </c>
      <c r="E2588" s="17" t="s">
        <v>14</v>
      </c>
      <c r="F2588" s="17" t="str">
        <f>INDEX(nrg_cb_e!$A$3:$A$40,MATCH(LEFT(MID('Industriesektor GWh'!$B2588,41,1000),SEARCH(" - ",MID('Industriesektor GWh'!$B2588,41,1000))-1),nrg_cb_e!$C$3:$C$40,0))</f>
        <v>FC_IND_TE_E</v>
      </c>
      <c r="G2588" s="18">
        <v>6</v>
      </c>
    </row>
    <row r="2589" spans="1:7" x14ac:dyDescent="0.2">
      <c r="A2589" s="19" t="s">
        <v>57</v>
      </c>
      <c r="B2589" s="20" t="s">
        <v>66</v>
      </c>
      <c r="C2589" s="20" t="s">
        <v>8</v>
      </c>
      <c r="D2589" s="20" t="s">
        <v>10</v>
      </c>
      <c r="E2589" s="20" t="s">
        <v>15</v>
      </c>
      <c r="F2589" s="20" t="str">
        <f>INDEX(nrg_cb_e!$A$3:$A$40,MATCH(LEFT(MID('Industriesektor GWh'!$B2589,41,1000),SEARCH(" - ",MID('Industriesektor GWh'!$B2589,41,1000))-1),nrg_cb_e!$C$3:$C$40,0))</f>
        <v>FC_IND_TE_E</v>
      </c>
      <c r="G2589" s="21">
        <v>5</v>
      </c>
    </row>
    <row r="2590" spans="1:7" x14ac:dyDescent="0.2">
      <c r="A2590" s="16" t="s">
        <v>57</v>
      </c>
      <c r="B2590" s="17" t="s">
        <v>66</v>
      </c>
      <c r="C2590" s="17" t="s">
        <v>8</v>
      </c>
      <c r="D2590" s="17" t="s">
        <v>10</v>
      </c>
      <c r="E2590" s="17" t="s">
        <v>16</v>
      </c>
      <c r="F2590" s="17" t="str">
        <f>INDEX(nrg_cb_e!$A$3:$A$40,MATCH(LEFT(MID('Industriesektor GWh'!$B2590,41,1000),SEARCH(" - ",MID('Industriesektor GWh'!$B2590,41,1000))-1),nrg_cb_e!$C$3:$C$40,0))</f>
        <v>FC_IND_TE_E</v>
      </c>
      <c r="G2590" s="18">
        <v>5</v>
      </c>
    </row>
    <row r="2591" spans="1:7" x14ac:dyDescent="0.2">
      <c r="A2591" s="19" t="s">
        <v>57</v>
      </c>
      <c r="B2591" s="20" t="s">
        <v>66</v>
      </c>
      <c r="C2591" s="20" t="s">
        <v>8</v>
      </c>
      <c r="D2591" s="20" t="s">
        <v>10</v>
      </c>
      <c r="E2591" s="20" t="s">
        <v>17</v>
      </c>
      <c r="F2591" s="20" t="str">
        <f>INDEX(nrg_cb_e!$A$3:$A$40,MATCH(LEFT(MID('Industriesektor GWh'!$B2591,41,1000),SEARCH(" - ",MID('Industriesektor GWh'!$B2591,41,1000))-1),nrg_cb_e!$C$3:$C$40,0))</f>
        <v>FC_IND_TE_E</v>
      </c>
      <c r="G2591" s="21">
        <v>5</v>
      </c>
    </row>
    <row r="2592" spans="1:7" x14ac:dyDescent="0.2">
      <c r="A2592" s="16" t="s">
        <v>57</v>
      </c>
      <c r="B2592" s="17" t="s">
        <v>66</v>
      </c>
      <c r="C2592" s="17" t="s">
        <v>8</v>
      </c>
      <c r="D2592" s="17" t="s">
        <v>10</v>
      </c>
      <c r="E2592" s="17" t="s">
        <v>18</v>
      </c>
      <c r="F2592" s="17" t="str">
        <f>INDEX(nrg_cb_e!$A$3:$A$40,MATCH(LEFT(MID('Industriesektor GWh'!$B2592,41,1000),SEARCH(" - ",MID('Industriesektor GWh'!$B2592,41,1000))-1),nrg_cb_e!$C$3:$C$40,0))</f>
        <v>FC_IND_TE_E</v>
      </c>
      <c r="G2592" s="18">
        <v>5</v>
      </c>
    </row>
    <row r="2593" spans="1:7" x14ac:dyDescent="0.2">
      <c r="A2593" s="19" t="s">
        <v>57</v>
      </c>
      <c r="B2593" s="20" t="s">
        <v>66</v>
      </c>
      <c r="C2593" s="20" t="s">
        <v>8</v>
      </c>
      <c r="D2593" s="20" t="s">
        <v>10</v>
      </c>
      <c r="E2593" s="20" t="s">
        <v>19</v>
      </c>
      <c r="F2593" s="20" t="str">
        <f>INDEX(nrg_cb_e!$A$3:$A$40,MATCH(LEFT(MID('Industriesektor GWh'!$B2593,41,1000),SEARCH(" - ",MID('Industriesektor GWh'!$B2593,41,1000))-1),nrg_cb_e!$C$3:$C$40,0))</f>
        <v>FC_IND_TE_E</v>
      </c>
      <c r="G2593" s="21">
        <v>5</v>
      </c>
    </row>
    <row r="2594" spans="1:7" x14ac:dyDescent="0.2">
      <c r="A2594" s="16" t="s">
        <v>57</v>
      </c>
      <c r="B2594" s="17" t="s">
        <v>66</v>
      </c>
      <c r="C2594" s="17" t="s">
        <v>8</v>
      </c>
      <c r="D2594" s="17" t="s">
        <v>10</v>
      </c>
      <c r="E2594" s="17" t="s">
        <v>20</v>
      </c>
      <c r="F2594" s="17" t="str">
        <f>INDEX(nrg_cb_e!$A$3:$A$40,MATCH(LEFT(MID('Industriesektor GWh'!$B2594,41,1000),SEARCH(" - ",MID('Industriesektor GWh'!$B2594,41,1000))-1),nrg_cb_e!$C$3:$C$40,0))</f>
        <v>FC_IND_TE_E</v>
      </c>
      <c r="G2594" s="18">
        <v>4</v>
      </c>
    </row>
    <row r="2595" spans="1:7" x14ac:dyDescent="0.2">
      <c r="A2595" s="19" t="s">
        <v>57</v>
      </c>
      <c r="B2595" s="20" t="s">
        <v>66</v>
      </c>
      <c r="C2595" s="20" t="s">
        <v>8</v>
      </c>
      <c r="D2595" s="20" t="s">
        <v>10</v>
      </c>
      <c r="E2595" s="20" t="s">
        <v>21</v>
      </c>
      <c r="F2595" s="20" t="str">
        <f>INDEX(nrg_cb_e!$A$3:$A$40,MATCH(LEFT(MID('Industriesektor GWh'!$B2595,41,1000),SEARCH(" - ",MID('Industriesektor GWh'!$B2595,41,1000))-1),nrg_cb_e!$C$3:$C$40,0))</f>
        <v>FC_IND_TE_E</v>
      </c>
      <c r="G2595" s="21">
        <v>4</v>
      </c>
    </row>
    <row r="2596" spans="1:7" x14ac:dyDescent="0.2">
      <c r="A2596" s="16" t="s">
        <v>57</v>
      </c>
      <c r="B2596" s="17" t="s">
        <v>66</v>
      </c>
      <c r="C2596" s="17" t="s">
        <v>8</v>
      </c>
      <c r="D2596" s="17" t="s">
        <v>10</v>
      </c>
      <c r="E2596" s="17" t="s">
        <v>22</v>
      </c>
      <c r="F2596" s="17" t="str">
        <f>INDEX(nrg_cb_e!$A$3:$A$40,MATCH(LEFT(MID('Industriesektor GWh'!$B2596,41,1000),SEARCH(" - ",MID('Industriesektor GWh'!$B2596,41,1000))-1),nrg_cb_e!$C$3:$C$40,0))</f>
        <v>FC_IND_TE_E</v>
      </c>
      <c r="G2596" s="18">
        <v>5</v>
      </c>
    </row>
    <row r="2597" spans="1:7" x14ac:dyDescent="0.2">
      <c r="A2597" s="19" t="s">
        <v>57</v>
      </c>
      <c r="B2597" s="20" t="s">
        <v>66</v>
      </c>
      <c r="C2597" s="20" t="s">
        <v>8</v>
      </c>
      <c r="D2597" s="20" t="s">
        <v>10</v>
      </c>
      <c r="E2597" s="20" t="s">
        <v>23</v>
      </c>
      <c r="F2597" s="20" t="str">
        <f>INDEX(nrg_cb_e!$A$3:$A$40,MATCH(LEFT(MID('Industriesektor GWh'!$B2597,41,1000),SEARCH(" - ",MID('Industriesektor GWh'!$B2597,41,1000))-1),nrg_cb_e!$C$3:$C$40,0))</f>
        <v>FC_IND_TE_E</v>
      </c>
      <c r="G2597" s="21">
        <v>5</v>
      </c>
    </row>
    <row r="2598" spans="1:7" x14ac:dyDescent="0.2">
      <c r="A2598" s="16" t="s">
        <v>57</v>
      </c>
      <c r="B2598" s="17" t="s">
        <v>66</v>
      </c>
      <c r="C2598" s="17" t="s">
        <v>8</v>
      </c>
      <c r="D2598" s="17" t="s">
        <v>10</v>
      </c>
      <c r="E2598" s="17" t="s">
        <v>24</v>
      </c>
      <c r="F2598" s="17" t="str">
        <f>INDEX(nrg_cb_e!$A$3:$A$40,MATCH(LEFT(MID('Industriesektor GWh'!$B2598,41,1000),SEARCH(" - ",MID('Industriesektor GWh'!$B2598,41,1000))-1),nrg_cb_e!$C$3:$C$40,0))</f>
        <v>FC_IND_TE_E</v>
      </c>
      <c r="G2598" s="18">
        <v>5</v>
      </c>
    </row>
    <row r="2599" spans="1:7" x14ac:dyDescent="0.2">
      <c r="A2599" s="19" t="s">
        <v>57</v>
      </c>
      <c r="B2599" s="20" t="s">
        <v>66</v>
      </c>
      <c r="C2599" s="20" t="s">
        <v>8</v>
      </c>
      <c r="D2599" s="20" t="s">
        <v>10</v>
      </c>
      <c r="E2599" s="20" t="s">
        <v>25</v>
      </c>
      <c r="F2599" s="20" t="str">
        <f>INDEX(nrg_cb_e!$A$3:$A$40,MATCH(LEFT(MID('Industriesektor GWh'!$B2599,41,1000),SEARCH(" - ",MID('Industriesektor GWh'!$B2599,41,1000))-1),nrg_cb_e!$C$3:$C$40,0))</f>
        <v>FC_IND_TE_E</v>
      </c>
      <c r="G2599" s="21">
        <v>6</v>
      </c>
    </row>
    <row r="2600" spans="1:7" x14ac:dyDescent="0.2">
      <c r="A2600" s="16" t="s">
        <v>57</v>
      </c>
      <c r="B2600" s="17" t="s">
        <v>66</v>
      </c>
      <c r="C2600" s="17" t="s">
        <v>8</v>
      </c>
      <c r="D2600" s="17" t="s">
        <v>10</v>
      </c>
      <c r="E2600" s="17" t="s">
        <v>26</v>
      </c>
      <c r="F2600" s="17" t="str">
        <f>INDEX(nrg_cb_e!$A$3:$A$40,MATCH(LEFT(MID('Industriesektor GWh'!$B2600,41,1000),SEARCH(" - ",MID('Industriesektor GWh'!$B2600,41,1000))-1),nrg_cb_e!$C$3:$C$40,0))</f>
        <v>FC_IND_TE_E</v>
      </c>
      <c r="G2600" s="18">
        <v>5</v>
      </c>
    </row>
    <row r="2601" spans="1:7" x14ac:dyDescent="0.2">
      <c r="A2601" s="19" t="s">
        <v>57</v>
      </c>
      <c r="B2601" s="20" t="s">
        <v>66</v>
      </c>
      <c r="C2601" s="20" t="s">
        <v>8</v>
      </c>
      <c r="D2601" s="20" t="s">
        <v>10</v>
      </c>
      <c r="E2601" s="20" t="s">
        <v>27</v>
      </c>
      <c r="F2601" s="20" t="str">
        <f>INDEX(nrg_cb_e!$A$3:$A$40,MATCH(LEFT(MID('Industriesektor GWh'!$B2601,41,1000),SEARCH(" - ",MID('Industriesektor GWh'!$B2601,41,1000))-1),nrg_cb_e!$C$3:$C$40,0))</f>
        <v>FC_IND_TE_E</v>
      </c>
      <c r="G2601" s="21">
        <v>5.2469999999999999</v>
      </c>
    </row>
    <row r="2602" spans="1:7" x14ac:dyDescent="0.2">
      <c r="A2602" s="16" t="s">
        <v>57</v>
      </c>
      <c r="B2602" s="17" t="s">
        <v>66</v>
      </c>
      <c r="C2602" s="17" t="s">
        <v>8</v>
      </c>
      <c r="D2602" s="17" t="s">
        <v>10</v>
      </c>
      <c r="E2602" s="17" t="s">
        <v>28</v>
      </c>
      <c r="F2602" s="17" t="str">
        <f>INDEX(nrg_cb_e!$A$3:$A$40,MATCH(LEFT(MID('Industriesektor GWh'!$B2602,41,1000),SEARCH(" - ",MID('Industriesektor GWh'!$B2602,41,1000))-1),nrg_cb_e!$C$3:$C$40,0))</f>
        <v>FC_IND_TE_E</v>
      </c>
      <c r="G2602" s="18">
        <v>4.6609999999999996</v>
      </c>
    </row>
    <row r="2603" spans="1:7" x14ac:dyDescent="0.2">
      <c r="A2603" s="19" t="s">
        <v>58</v>
      </c>
      <c r="B2603" s="20" t="s">
        <v>66</v>
      </c>
      <c r="C2603" s="20" t="s">
        <v>8</v>
      </c>
      <c r="D2603" s="20" t="s">
        <v>10</v>
      </c>
      <c r="E2603" s="20" t="s">
        <v>12</v>
      </c>
      <c r="F2603" s="20" t="str">
        <f>INDEX(nrg_cb_e!$A$3:$A$40,MATCH(LEFT(MID('Industriesektor GWh'!$B2603,41,1000),SEARCH(" - ",MID('Industriesektor GWh'!$B2603,41,1000))-1),nrg_cb_e!$C$3:$C$40,0))</f>
        <v>FC_IND_TE_E</v>
      </c>
      <c r="G2603" s="21">
        <v>876</v>
      </c>
    </row>
    <row r="2604" spans="1:7" x14ac:dyDescent="0.2">
      <c r="A2604" s="16" t="s">
        <v>58</v>
      </c>
      <c r="B2604" s="17" t="s">
        <v>66</v>
      </c>
      <c r="C2604" s="17" t="s">
        <v>8</v>
      </c>
      <c r="D2604" s="17" t="s">
        <v>10</v>
      </c>
      <c r="E2604" s="17" t="s">
        <v>13</v>
      </c>
      <c r="F2604" s="17" t="str">
        <f>INDEX(nrg_cb_e!$A$3:$A$40,MATCH(LEFT(MID('Industriesektor GWh'!$B2604,41,1000),SEARCH(" - ",MID('Industriesektor GWh'!$B2604,41,1000))-1),nrg_cb_e!$C$3:$C$40,0))</f>
        <v>FC_IND_TE_E</v>
      </c>
      <c r="G2604" s="18">
        <v>731</v>
      </c>
    </row>
    <row r="2605" spans="1:7" x14ac:dyDescent="0.2">
      <c r="A2605" s="19" t="s">
        <v>58</v>
      </c>
      <c r="B2605" s="20" t="s">
        <v>66</v>
      </c>
      <c r="C2605" s="20" t="s">
        <v>8</v>
      </c>
      <c r="D2605" s="20" t="s">
        <v>10</v>
      </c>
      <c r="E2605" s="20" t="s">
        <v>14</v>
      </c>
      <c r="F2605" s="20" t="str">
        <f>INDEX(nrg_cb_e!$A$3:$A$40,MATCH(LEFT(MID('Industriesektor GWh'!$B2605,41,1000),SEARCH(" - ",MID('Industriesektor GWh'!$B2605,41,1000))-1),nrg_cb_e!$C$3:$C$40,0))</f>
        <v>FC_IND_TE_E</v>
      </c>
      <c r="G2605" s="21">
        <v>717</v>
      </c>
    </row>
    <row r="2606" spans="1:7" x14ac:dyDescent="0.2">
      <c r="A2606" s="16" t="s">
        <v>58</v>
      </c>
      <c r="B2606" s="17" t="s">
        <v>66</v>
      </c>
      <c r="C2606" s="17" t="s">
        <v>8</v>
      </c>
      <c r="D2606" s="17" t="s">
        <v>10</v>
      </c>
      <c r="E2606" s="17" t="s">
        <v>15</v>
      </c>
      <c r="F2606" s="17" t="str">
        <f>INDEX(nrg_cb_e!$A$3:$A$40,MATCH(LEFT(MID('Industriesektor GWh'!$B2606,41,1000),SEARCH(" - ",MID('Industriesektor GWh'!$B2606,41,1000))-1),nrg_cb_e!$C$3:$C$40,0))</f>
        <v>FC_IND_TE_E</v>
      </c>
      <c r="G2606" s="18">
        <v>724</v>
      </c>
    </row>
    <row r="2607" spans="1:7" x14ac:dyDescent="0.2">
      <c r="A2607" s="19" t="s">
        <v>58</v>
      </c>
      <c r="B2607" s="20" t="s">
        <v>66</v>
      </c>
      <c r="C2607" s="20" t="s">
        <v>8</v>
      </c>
      <c r="D2607" s="20" t="s">
        <v>10</v>
      </c>
      <c r="E2607" s="20" t="s">
        <v>16</v>
      </c>
      <c r="F2607" s="20" t="str">
        <f>INDEX(nrg_cb_e!$A$3:$A$40,MATCH(LEFT(MID('Industriesektor GWh'!$B2607,41,1000),SEARCH(" - ",MID('Industriesektor GWh'!$B2607,41,1000))-1),nrg_cb_e!$C$3:$C$40,0))</f>
        <v>FC_IND_TE_E</v>
      </c>
      <c r="G2607" s="21">
        <v>852</v>
      </c>
    </row>
    <row r="2608" spans="1:7" x14ac:dyDescent="0.2">
      <c r="A2608" s="16" t="s">
        <v>58</v>
      </c>
      <c r="B2608" s="17" t="s">
        <v>66</v>
      </c>
      <c r="C2608" s="17" t="s">
        <v>8</v>
      </c>
      <c r="D2608" s="17" t="s">
        <v>10</v>
      </c>
      <c r="E2608" s="17" t="s">
        <v>17</v>
      </c>
      <c r="F2608" s="17" t="str">
        <f>INDEX(nrg_cb_e!$A$3:$A$40,MATCH(LEFT(MID('Industriesektor GWh'!$B2608,41,1000),SEARCH(" - ",MID('Industriesektor GWh'!$B2608,41,1000))-1),nrg_cb_e!$C$3:$C$40,0))</f>
        <v>FC_IND_TE_E</v>
      </c>
      <c r="G2608" s="18">
        <v>662</v>
      </c>
    </row>
    <row r="2609" spans="1:7" x14ac:dyDescent="0.2">
      <c r="A2609" s="19" t="s">
        <v>58</v>
      </c>
      <c r="B2609" s="20" t="s">
        <v>66</v>
      </c>
      <c r="C2609" s="20" t="s">
        <v>8</v>
      </c>
      <c r="D2609" s="20" t="s">
        <v>10</v>
      </c>
      <c r="E2609" s="20" t="s">
        <v>18</v>
      </c>
      <c r="F2609" s="20" t="str">
        <f>INDEX(nrg_cb_e!$A$3:$A$40,MATCH(LEFT(MID('Industriesektor GWh'!$B2609,41,1000),SEARCH(" - ",MID('Industriesektor GWh'!$B2609,41,1000))-1),nrg_cb_e!$C$3:$C$40,0))</f>
        <v>FC_IND_TE_E</v>
      </c>
      <c r="G2609" s="21">
        <v>714</v>
      </c>
    </row>
    <row r="2610" spans="1:7" x14ac:dyDescent="0.2">
      <c r="A2610" s="16" t="s">
        <v>58</v>
      </c>
      <c r="B2610" s="17" t="s">
        <v>66</v>
      </c>
      <c r="C2610" s="17" t="s">
        <v>8</v>
      </c>
      <c r="D2610" s="17" t="s">
        <v>10</v>
      </c>
      <c r="E2610" s="17" t="s">
        <v>19</v>
      </c>
      <c r="F2610" s="17" t="str">
        <f>INDEX(nrg_cb_e!$A$3:$A$40,MATCH(LEFT(MID('Industriesektor GWh'!$B2610,41,1000),SEARCH(" - ",MID('Industriesektor GWh'!$B2610,41,1000))-1),nrg_cb_e!$C$3:$C$40,0))</f>
        <v>FC_IND_TE_E</v>
      </c>
      <c r="G2610" s="18">
        <v>499</v>
      </c>
    </row>
    <row r="2611" spans="1:7" x14ac:dyDescent="0.2">
      <c r="A2611" s="19" t="s">
        <v>58</v>
      </c>
      <c r="B2611" s="20" t="s">
        <v>66</v>
      </c>
      <c r="C2611" s="20" t="s">
        <v>8</v>
      </c>
      <c r="D2611" s="20" t="s">
        <v>10</v>
      </c>
      <c r="E2611" s="20" t="s">
        <v>20</v>
      </c>
      <c r="F2611" s="20" t="str">
        <f>INDEX(nrg_cb_e!$A$3:$A$40,MATCH(LEFT(MID('Industriesektor GWh'!$B2611,41,1000),SEARCH(" - ",MID('Industriesektor GWh'!$B2611,41,1000))-1),nrg_cb_e!$C$3:$C$40,0))</f>
        <v>FC_IND_TE_E</v>
      </c>
      <c r="G2611" s="21">
        <v>557</v>
      </c>
    </row>
    <row r="2612" spans="1:7" x14ac:dyDescent="0.2">
      <c r="A2612" s="16" t="s">
        <v>58</v>
      </c>
      <c r="B2612" s="17" t="s">
        <v>66</v>
      </c>
      <c r="C2612" s="17" t="s">
        <v>8</v>
      </c>
      <c r="D2612" s="17" t="s">
        <v>10</v>
      </c>
      <c r="E2612" s="17" t="s">
        <v>21</v>
      </c>
      <c r="F2612" s="17" t="str">
        <f>INDEX(nrg_cb_e!$A$3:$A$40,MATCH(LEFT(MID('Industriesektor GWh'!$B2612,41,1000),SEARCH(" - ",MID('Industriesektor GWh'!$B2612,41,1000))-1),nrg_cb_e!$C$3:$C$40,0))</f>
        <v>FC_IND_TE_E</v>
      </c>
      <c r="G2612" s="18">
        <v>503</v>
      </c>
    </row>
    <row r="2613" spans="1:7" x14ac:dyDescent="0.2">
      <c r="A2613" s="19" t="s">
        <v>58</v>
      </c>
      <c r="B2613" s="20" t="s">
        <v>66</v>
      </c>
      <c r="C2613" s="20" t="s">
        <v>8</v>
      </c>
      <c r="D2613" s="20" t="s">
        <v>10</v>
      </c>
      <c r="E2613" s="20" t="s">
        <v>22</v>
      </c>
      <c r="F2613" s="20" t="str">
        <f>INDEX(nrg_cb_e!$A$3:$A$40,MATCH(LEFT(MID('Industriesektor GWh'!$B2613,41,1000),SEARCH(" - ",MID('Industriesektor GWh'!$B2613,41,1000))-1),nrg_cb_e!$C$3:$C$40,0))</f>
        <v>FC_IND_TE_E</v>
      </c>
      <c r="G2613" s="21">
        <v>498</v>
      </c>
    </row>
    <row r="2614" spans="1:7" x14ac:dyDescent="0.2">
      <c r="A2614" s="16" t="s">
        <v>58</v>
      </c>
      <c r="B2614" s="17" t="s">
        <v>66</v>
      </c>
      <c r="C2614" s="17" t="s">
        <v>8</v>
      </c>
      <c r="D2614" s="17" t="s">
        <v>10</v>
      </c>
      <c r="E2614" s="17" t="s">
        <v>23</v>
      </c>
      <c r="F2614" s="17" t="str">
        <f>INDEX(nrg_cb_e!$A$3:$A$40,MATCH(LEFT(MID('Industriesektor GWh'!$B2614,41,1000),SEARCH(" - ",MID('Industriesektor GWh'!$B2614,41,1000))-1),nrg_cb_e!$C$3:$C$40,0))</f>
        <v>FC_IND_TE_E</v>
      </c>
      <c r="G2614" s="18">
        <v>541</v>
      </c>
    </row>
    <row r="2615" spans="1:7" x14ac:dyDescent="0.2">
      <c r="A2615" s="19" t="s">
        <v>58</v>
      </c>
      <c r="B2615" s="20" t="s">
        <v>66</v>
      </c>
      <c r="C2615" s="20" t="s">
        <v>8</v>
      </c>
      <c r="D2615" s="20" t="s">
        <v>10</v>
      </c>
      <c r="E2615" s="20" t="s">
        <v>24</v>
      </c>
      <c r="F2615" s="20" t="str">
        <f>INDEX(nrg_cb_e!$A$3:$A$40,MATCH(LEFT(MID('Industriesektor GWh'!$B2615,41,1000),SEARCH(" - ",MID('Industriesektor GWh'!$B2615,41,1000))-1),nrg_cb_e!$C$3:$C$40,0))</f>
        <v>FC_IND_TE_E</v>
      </c>
      <c r="G2615" s="21">
        <v>623</v>
      </c>
    </row>
    <row r="2616" spans="1:7" x14ac:dyDescent="0.2">
      <c r="A2616" s="16" t="s">
        <v>58</v>
      </c>
      <c r="B2616" s="17" t="s">
        <v>66</v>
      </c>
      <c r="C2616" s="17" t="s">
        <v>8</v>
      </c>
      <c r="D2616" s="17" t="s">
        <v>10</v>
      </c>
      <c r="E2616" s="17" t="s">
        <v>25</v>
      </c>
      <c r="F2616" s="17" t="str">
        <f>INDEX(nrg_cb_e!$A$3:$A$40,MATCH(LEFT(MID('Industriesektor GWh'!$B2616,41,1000),SEARCH(" - ",MID('Industriesektor GWh'!$B2616,41,1000))-1),nrg_cb_e!$C$3:$C$40,0))</f>
        <v>FC_IND_TE_E</v>
      </c>
      <c r="G2616" s="18">
        <v>413</v>
      </c>
    </row>
    <row r="2617" spans="1:7" x14ac:dyDescent="0.2">
      <c r="A2617" s="19" t="s">
        <v>58</v>
      </c>
      <c r="B2617" s="20" t="s">
        <v>66</v>
      </c>
      <c r="C2617" s="20" t="s">
        <v>8</v>
      </c>
      <c r="D2617" s="20" t="s">
        <v>10</v>
      </c>
      <c r="E2617" s="20" t="s">
        <v>26</v>
      </c>
      <c r="F2617" s="20" t="str">
        <f>INDEX(nrg_cb_e!$A$3:$A$40,MATCH(LEFT(MID('Industriesektor GWh'!$B2617,41,1000),SEARCH(" - ",MID('Industriesektor GWh'!$B2617,41,1000))-1),nrg_cb_e!$C$3:$C$40,0))</f>
        <v>FC_IND_TE_E</v>
      </c>
      <c r="G2617" s="21">
        <v>433</v>
      </c>
    </row>
    <row r="2618" spans="1:7" x14ac:dyDescent="0.2">
      <c r="A2618" s="16" t="s">
        <v>58</v>
      </c>
      <c r="B2618" s="17" t="s">
        <v>66</v>
      </c>
      <c r="C2618" s="17" t="s">
        <v>8</v>
      </c>
      <c r="D2618" s="17" t="s">
        <v>10</v>
      </c>
      <c r="E2618" s="17" t="s">
        <v>27</v>
      </c>
      <c r="F2618" s="17" t="str">
        <f>INDEX(nrg_cb_e!$A$3:$A$40,MATCH(LEFT(MID('Industriesektor GWh'!$B2618,41,1000),SEARCH(" - ",MID('Industriesektor GWh'!$B2618,41,1000))-1),nrg_cb_e!$C$3:$C$40,0))</f>
        <v>FC_IND_TE_E</v>
      </c>
      <c r="G2618" s="18">
        <v>397</v>
      </c>
    </row>
    <row r="2619" spans="1:7" x14ac:dyDescent="0.2">
      <c r="A2619" s="19" t="s">
        <v>58</v>
      </c>
      <c r="B2619" s="20" t="s">
        <v>66</v>
      </c>
      <c r="C2619" s="20" t="s">
        <v>8</v>
      </c>
      <c r="D2619" s="20" t="s">
        <v>10</v>
      </c>
      <c r="E2619" s="20" t="s">
        <v>28</v>
      </c>
      <c r="F2619" s="20" t="str">
        <f>INDEX(nrg_cb_e!$A$3:$A$40,MATCH(LEFT(MID('Industriesektor GWh'!$B2619,41,1000),SEARCH(" - ",MID('Industriesektor GWh'!$B2619,41,1000))-1),nrg_cb_e!$C$3:$C$40,0))</f>
        <v>FC_IND_TE_E</v>
      </c>
      <c r="G2619" s="21">
        <v>431.99900000000002</v>
      </c>
    </row>
    <row r="2620" spans="1:7" x14ac:dyDescent="0.2">
      <c r="A2620" s="16" t="s">
        <v>59</v>
      </c>
      <c r="B2620" s="17" t="s">
        <v>66</v>
      </c>
      <c r="C2620" s="17" t="s">
        <v>8</v>
      </c>
      <c r="D2620" s="17" t="s">
        <v>10</v>
      </c>
      <c r="E2620" s="17" t="s">
        <v>12</v>
      </c>
      <c r="F2620" s="17" t="str">
        <f>INDEX(nrg_cb_e!$A$3:$A$40,MATCH(LEFT(MID('Industriesektor GWh'!$B2620,41,1000),SEARCH(" - ",MID('Industriesektor GWh'!$B2620,41,1000))-1),nrg_cb_e!$C$3:$C$40,0))</f>
        <v>FC_IND_TE_E</v>
      </c>
      <c r="G2620" s="18">
        <v>0</v>
      </c>
    </row>
    <row r="2621" spans="1:7" x14ac:dyDescent="0.2">
      <c r="A2621" s="19" t="s">
        <v>59</v>
      </c>
      <c r="B2621" s="20" t="s">
        <v>66</v>
      </c>
      <c r="C2621" s="20" t="s">
        <v>8</v>
      </c>
      <c r="D2621" s="20" t="s">
        <v>10</v>
      </c>
      <c r="E2621" s="20" t="s">
        <v>13</v>
      </c>
      <c r="F2621" s="20" t="str">
        <f>INDEX(nrg_cb_e!$A$3:$A$40,MATCH(LEFT(MID('Industriesektor GWh'!$B2621,41,1000),SEARCH(" - ",MID('Industriesektor GWh'!$B2621,41,1000))-1),nrg_cb_e!$C$3:$C$40,0))</f>
        <v>FC_IND_TE_E</v>
      </c>
      <c r="G2621" s="21">
        <v>0</v>
      </c>
    </row>
    <row r="2622" spans="1:7" x14ac:dyDescent="0.2">
      <c r="A2622" s="16" t="s">
        <v>59</v>
      </c>
      <c r="B2622" s="17" t="s">
        <v>66</v>
      </c>
      <c r="C2622" s="17" t="s">
        <v>8</v>
      </c>
      <c r="D2622" s="17" t="s">
        <v>10</v>
      </c>
      <c r="E2622" s="17" t="s">
        <v>14</v>
      </c>
      <c r="F2622" s="17" t="str">
        <f>INDEX(nrg_cb_e!$A$3:$A$40,MATCH(LEFT(MID('Industriesektor GWh'!$B2622,41,1000),SEARCH(" - ",MID('Industriesektor GWh'!$B2622,41,1000))-1),nrg_cb_e!$C$3:$C$40,0))</f>
        <v>FC_IND_TE_E</v>
      </c>
      <c r="G2622" s="18">
        <v>684</v>
      </c>
    </row>
    <row r="2623" spans="1:7" x14ac:dyDescent="0.2">
      <c r="A2623" s="19" t="s">
        <v>59</v>
      </c>
      <c r="B2623" s="20" t="s">
        <v>66</v>
      </c>
      <c r="C2623" s="20" t="s">
        <v>8</v>
      </c>
      <c r="D2623" s="20" t="s">
        <v>10</v>
      </c>
      <c r="E2623" s="20" t="s">
        <v>15</v>
      </c>
      <c r="F2623" s="20" t="str">
        <f>INDEX(nrg_cb_e!$A$3:$A$40,MATCH(LEFT(MID('Industriesektor GWh'!$B2623,41,1000),SEARCH(" - ",MID('Industriesektor GWh'!$B2623,41,1000))-1),nrg_cb_e!$C$3:$C$40,0))</f>
        <v>FC_IND_TE_E</v>
      </c>
      <c r="G2623" s="21">
        <v>670</v>
      </c>
    </row>
    <row r="2624" spans="1:7" x14ac:dyDescent="0.2">
      <c r="A2624" s="16" t="s">
        <v>59</v>
      </c>
      <c r="B2624" s="17" t="s">
        <v>66</v>
      </c>
      <c r="C2624" s="17" t="s">
        <v>8</v>
      </c>
      <c r="D2624" s="17" t="s">
        <v>10</v>
      </c>
      <c r="E2624" s="17" t="s">
        <v>16</v>
      </c>
      <c r="F2624" s="17" t="str">
        <f>INDEX(nrg_cb_e!$A$3:$A$40,MATCH(LEFT(MID('Industriesektor GWh'!$B2624,41,1000),SEARCH(" - ",MID('Industriesektor GWh'!$B2624,41,1000))-1),nrg_cb_e!$C$3:$C$40,0))</f>
        <v>FC_IND_TE_E</v>
      </c>
      <c r="G2624" s="18">
        <v>128</v>
      </c>
    </row>
    <row r="2625" spans="1:7" x14ac:dyDescent="0.2">
      <c r="A2625" s="19" t="s">
        <v>59</v>
      </c>
      <c r="B2625" s="20" t="s">
        <v>66</v>
      </c>
      <c r="C2625" s="20" t="s">
        <v>8</v>
      </c>
      <c r="D2625" s="20" t="s">
        <v>10</v>
      </c>
      <c r="E2625" s="20" t="s">
        <v>17</v>
      </c>
      <c r="F2625" s="20" t="str">
        <f>INDEX(nrg_cb_e!$A$3:$A$40,MATCH(LEFT(MID('Industriesektor GWh'!$B2625,41,1000),SEARCH(" - ",MID('Industriesektor GWh'!$B2625,41,1000))-1),nrg_cb_e!$C$3:$C$40,0))</f>
        <v>FC_IND_TE_E</v>
      </c>
      <c r="G2625" s="21">
        <v>135</v>
      </c>
    </row>
    <row r="2626" spans="1:7" x14ac:dyDescent="0.2">
      <c r="A2626" s="16" t="s">
        <v>59</v>
      </c>
      <c r="B2626" s="17" t="s">
        <v>66</v>
      </c>
      <c r="C2626" s="17" t="s">
        <v>8</v>
      </c>
      <c r="D2626" s="17" t="s">
        <v>10</v>
      </c>
      <c r="E2626" s="17" t="s">
        <v>18</v>
      </c>
      <c r="F2626" s="17" t="str">
        <f>INDEX(nrg_cb_e!$A$3:$A$40,MATCH(LEFT(MID('Industriesektor GWh'!$B2626,41,1000),SEARCH(" - ",MID('Industriesektor GWh'!$B2626,41,1000))-1),nrg_cb_e!$C$3:$C$40,0))</f>
        <v>FC_IND_TE_E</v>
      </c>
      <c r="G2626" s="18">
        <v>364</v>
      </c>
    </row>
    <row r="2627" spans="1:7" x14ac:dyDescent="0.2">
      <c r="A2627" s="19" t="s">
        <v>59</v>
      </c>
      <c r="B2627" s="20" t="s">
        <v>66</v>
      </c>
      <c r="C2627" s="20" t="s">
        <v>8</v>
      </c>
      <c r="D2627" s="20" t="s">
        <v>10</v>
      </c>
      <c r="E2627" s="20" t="s">
        <v>19</v>
      </c>
      <c r="F2627" s="20" t="str">
        <f>INDEX(nrg_cb_e!$A$3:$A$40,MATCH(LEFT(MID('Industriesektor GWh'!$B2627,41,1000),SEARCH(" - ",MID('Industriesektor GWh'!$B2627,41,1000))-1),nrg_cb_e!$C$3:$C$40,0))</f>
        <v>FC_IND_TE_E</v>
      </c>
      <c r="G2627" s="21">
        <v>1492</v>
      </c>
    </row>
    <row r="2628" spans="1:7" x14ac:dyDescent="0.2">
      <c r="A2628" s="16" t="s">
        <v>59</v>
      </c>
      <c r="B2628" s="17" t="s">
        <v>66</v>
      </c>
      <c r="C2628" s="17" t="s">
        <v>8</v>
      </c>
      <c r="D2628" s="17" t="s">
        <v>10</v>
      </c>
      <c r="E2628" s="17" t="s">
        <v>20</v>
      </c>
      <c r="F2628" s="17" t="str">
        <f>INDEX(nrg_cb_e!$A$3:$A$40,MATCH(LEFT(MID('Industriesektor GWh'!$B2628,41,1000),SEARCH(" - ",MID('Industriesektor GWh'!$B2628,41,1000))-1),nrg_cb_e!$C$3:$C$40,0))</f>
        <v>FC_IND_TE_E</v>
      </c>
      <c r="G2628" s="18">
        <v>148</v>
      </c>
    </row>
    <row r="2629" spans="1:7" x14ac:dyDescent="0.2">
      <c r="A2629" s="19" t="s">
        <v>59</v>
      </c>
      <c r="B2629" s="20" t="s">
        <v>66</v>
      </c>
      <c r="C2629" s="20" t="s">
        <v>8</v>
      </c>
      <c r="D2629" s="20" t="s">
        <v>10</v>
      </c>
      <c r="E2629" s="20" t="s">
        <v>21</v>
      </c>
      <c r="F2629" s="20" t="str">
        <f>INDEX(nrg_cb_e!$A$3:$A$40,MATCH(LEFT(MID('Industriesektor GWh'!$B2629,41,1000),SEARCH(" - ",MID('Industriesektor GWh'!$B2629,41,1000))-1),nrg_cb_e!$C$3:$C$40,0))</f>
        <v>FC_IND_TE_E</v>
      </c>
      <c r="G2629" s="21">
        <v>194</v>
      </c>
    </row>
    <row r="2630" spans="1:7" x14ac:dyDescent="0.2">
      <c r="A2630" s="16" t="s">
        <v>59</v>
      </c>
      <c r="B2630" s="17" t="s">
        <v>66</v>
      </c>
      <c r="C2630" s="17" t="s">
        <v>8</v>
      </c>
      <c r="D2630" s="17" t="s">
        <v>10</v>
      </c>
      <c r="E2630" s="17" t="s">
        <v>22</v>
      </c>
      <c r="F2630" s="17" t="str">
        <f>INDEX(nrg_cb_e!$A$3:$A$40,MATCH(LEFT(MID('Industriesektor GWh'!$B2630,41,1000),SEARCH(" - ",MID('Industriesektor GWh'!$B2630,41,1000))-1),nrg_cb_e!$C$3:$C$40,0))</f>
        <v>FC_IND_TE_E</v>
      </c>
      <c r="G2630" s="18">
        <v>234</v>
      </c>
    </row>
    <row r="2631" spans="1:7" x14ac:dyDescent="0.2">
      <c r="A2631" s="19" t="s">
        <v>59</v>
      </c>
      <c r="B2631" s="20" t="s">
        <v>66</v>
      </c>
      <c r="C2631" s="20" t="s">
        <v>8</v>
      </c>
      <c r="D2631" s="20" t="s">
        <v>10</v>
      </c>
      <c r="E2631" s="20" t="s">
        <v>23</v>
      </c>
      <c r="F2631" s="20" t="str">
        <f>INDEX(nrg_cb_e!$A$3:$A$40,MATCH(LEFT(MID('Industriesektor GWh'!$B2631,41,1000),SEARCH(" - ",MID('Industriesektor GWh'!$B2631,41,1000))-1),nrg_cb_e!$C$3:$C$40,0))</f>
        <v>FC_IND_TE_E</v>
      </c>
      <c r="G2631" s="21">
        <v>317</v>
      </c>
    </row>
    <row r="2632" spans="1:7" x14ac:dyDescent="0.2">
      <c r="A2632" s="16" t="s">
        <v>59</v>
      </c>
      <c r="B2632" s="17" t="s">
        <v>66</v>
      </c>
      <c r="C2632" s="17" t="s">
        <v>8</v>
      </c>
      <c r="D2632" s="17" t="s">
        <v>10</v>
      </c>
      <c r="E2632" s="17" t="s">
        <v>24</v>
      </c>
      <c r="F2632" s="17" t="str">
        <f>INDEX(nrg_cb_e!$A$3:$A$40,MATCH(LEFT(MID('Industriesektor GWh'!$B2632,41,1000),SEARCH(" - ",MID('Industriesektor GWh'!$B2632,41,1000))-1),nrg_cb_e!$C$3:$C$40,0))</f>
        <v>FC_IND_TE_E</v>
      </c>
      <c r="G2632" s="18">
        <v>260</v>
      </c>
    </row>
    <row r="2633" spans="1:7" x14ac:dyDescent="0.2">
      <c r="A2633" s="19" t="s">
        <v>59</v>
      </c>
      <c r="B2633" s="20" t="s">
        <v>66</v>
      </c>
      <c r="C2633" s="20" t="s">
        <v>8</v>
      </c>
      <c r="D2633" s="20" t="s">
        <v>10</v>
      </c>
      <c r="E2633" s="20" t="s">
        <v>25</v>
      </c>
      <c r="F2633" s="20" t="str">
        <f>INDEX(nrg_cb_e!$A$3:$A$40,MATCH(LEFT(MID('Industriesektor GWh'!$B2633,41,1000),SEARCH(" - ",MID('Industriesektor GWh'!$B2633,41,1000))-1),nrg_cb_e!$C$3:$C$40,0))</f>
        <v>FC_IND_TE_E</v>
      </c>
      <c r="G2633" s="21">
        <v>213</v>
      </c>
    </row>
    <row r="2634" spans="1:7" x14ac:dyDescent="0.2">
      <c r="A2634" s="16" t="s">
        <v>59</v>
      </c>
      <c r="B2634" s="17" t="s">
        <v>66</v>
      </c>
      <c r="C2634" s="17" t="s">
        <v>8</v>
      </c>
      <c r="D2634" s="17" t="s">
        <v>10</v>
      </c>
      <c r="E2634" s="17" t="s">
        <v>26</v>
      </c>
      <c r="F2634" s="17" t="str">
        <f>INDEX(nrg_cb_e!$A$3:$A$40,MATCH(LEFT(MID('Industriesektor GWh'!$B2634,41,1000),SEARCH(" - ",MID('Industriesektor GWh'!$B2634,41,1000))-1),nrg_cb_e!$C$3:$C$40,0))</f>
        <v>FC_IND_TE_E</v>
      </c>
      <c r="G2634" s="18">
        <v>244</v>
      </c>
    </row>
    <row r="2635" spans="1:7" x14ac:dyDescent="0.2">
      <c r="A2635" s="19" t="s">
        <v>59</v>
      </c>
      <c r="B2635" s="20" t="s">
        <v>66</v>
      </c>
      <c r="C2635" s="20" t="s">
        <v>8</v>
      </c>
      <c r="D2635" s="20" t="s">
        <v>10</v>
      </c>
      <c r="E2635" s="20" t="s">
        <v>27</v>
      </c>
      <c r="F2635" s="20" t="str">
        <f>INDEX(nrg_cb_e!$A$3:$A$40,MATCH(LEFT(MID('Industriesektor GWh'!$B2635,41,1000),SEARCH(" - ",MID('Industriesektor GWh'!$B2635,41,1000))-1),nrg_cb_e!$C$3:$C$40,0))</f>
        <v>FC_IND_TE_E</v>
      </c>
      <c r="G2635" s="21">
        <v>256.37599999999998</v>
      </c>
    </row>
    <row r="2636" spans="1:7" x14ac:dyDescent="0.2">
      <c r="A2636" s="16" t="s">
        <v>59</v>
      </c>
      <c r="B2636" s="17" t="s">
        <v>66</v>
      </c>
      <c r="C2636" s="17" t="s">
        <v>8</v>
      </c>
      <c r="D2636" s="17" t="s">
        <v>10</v>
      </c>
      <c r="E2636" s="17" t="s">
        <v>28</v>
      </c>
      <c r="F2636" s="17" t="str">
        <f>INDEX(nrg_cb_e!$A$3:$A$40,MATCH(LEFT(MID('Industriesektor GWh'!$B2636,41,1000),SEARCH(" - ",MID('Industriesektor GWh'!$B2636,41,1000))-1),nrg_cb_e!$C$3:$C$40,0))</f>
        <v>FC_IND_TE_E</v>
      </c>
      <c r="G2636" s="18">
        <v>213.26300000000001</v>
      </c>
    </row>
    <row r="2637" spans="1:7" x14ac:dyDescent="0.2">
      <c r="A2637" s="19" t="s">
        <v>29</v>
      </c>
      <c r="B2637" s="20" t="s">
        <v>71</v>
      </c>
      <c r="C2637" s="20" t="s">
        <v>8</v>
      </c>
      <c r="D2637" s="20" t="s">
        <v>10</v>
      </c>
      <c r="E2637" s="20" t="s">
        <v>12</v>
      </c>
      <c r="F2637" s="20" t="str">
        <f>INDEX(nrg_cb_e!$A$3:$A$40,MATCH(LEFT(MID('Industriesektor GWh'!$B2637,41,1000),SEARCH(" - ",MID('Industriesektor GWh'!$B2637,41,1000))-1),nrg_cb_e!$C$3:$C$40,0))</f>
        <v>FC_IND_WP_E</v>
      </c>
      <c r="G2637" s="21">
        <v>585</v>
      </c>
    </row>
    <row r="2638" spans="1:7" x14ac:dyDescent="0.2">
      <c r="A2638" s="16" t="s">
        <v>29</v>
      </c>
      <c r="B2638" s="17" t="s">
        <v>71</v>
      </c>
      <c r="C2638" s="17" t="s">
        <v>8</v>
      </c>
      <c r="D2638" s="17" t="s">
        <v>10</v>
      </c>
      <c r="E2638" s="17" t="s">
        <v>13</v>
      </c>
      <c r="F2638" s="17" t="str">
        <f>INDEX(nrg_cb_e!$A$3:$A$40,MATCH(LEFT(MID('Industriesektor GWh'!$B2638,41,1000),SEARCH(" - ",MID('Industriesektor GWh'!$B2638,41,1000))-1),nrg_cb_e!$C$3:$C$40,0))</f>
        <v>FC_IND_WP_E</v>
      </c>
      <c r="G2638" s="18">
        <v>601</v>
      </c>
    </row>
    <row r="2639" spans="1:7" x14ac:dyDescent="0.2">
      <c r="A2639" s="19" t="s">
        <v>29</v>
      </c>
      <c r="B2639" s="20" t="s">
        <v>71</v>
      </c>
      <c r="C2639" s="20" t="s">
        <v>8</v>
      </c>
      <c r="D2639" s="20" t="s">
        <v>10</v>
      </c>
      <c r="E2639" s="20" t="s">
        <v>14</v>
      </c>
      <c r="F2639" s="20" t="str">
        <f>INDEX(nrg_cb_e!$A$3:$A$40,MATCH(LEFT(MID('Industriesektor GWh'!$B2639,41,1000),SEARCH(" - ",MID('Industriesektor GWh'!$B2639,41,1000))-1),nrg_cb_e!$C$3:$C$40,0))</f>
        <v>FC_IND_WP_E</v>
      </c>
      <c r="G2639" s="21">
        <v>612</v>
      </c>
    </row>
    <row r="2640" spans="1:7" x14ac:dyDescent="0.2">
      <c r="A2640" s="16" t="s">
        <v>29</v>
      </c>
      <c r="B2640" s="17" t="s">
        <v>71</v>
      </c>
      <c r="C2640" s="17" t="s">
        <v>8</v>
      </c>
      <c r="D2640" s="17" t="s">
        <v>10</v>
      </c>
      <c r="E2640" s="17" t="s">
        <v>15</v>
      </c>
      <c r="F2640" s="17" t="str">
        <f>INDEX(nrg_cb_e!$A$3:$A$40,MATCH(LEFT(MID('Industriesektor GWh'!$B2640,41,1000),SEARCH(" - ",MID('Industriesektor GWh'!$B2640,41,1000))-1),nrg_cb_e!$C$3:$C$40,0))</f>
        <v>FC_IND_WP_E</v>
      </c>
      <c r="G2640" s="18">
        <v>1859</v>
      </c>
    </row>
    <row r="2641" spans="1:7" x14ac:dyDescent="0.2">
      <c r="A2641" s="19" t="s">
        <v>29</v>
      </c>
      <c r="B2641" s="20" t="s">
        <v>71</v>
      </c>
      <c r="C2641" s="20" t="s">
        <v>8</v>
      </c>
      <c r="D2641" s="20" t="s">
        <v>10</v>
      </c>
      <c r="E2641" s="20" t="s">
        <v>16</v>
      </c>
      <c r="F2641" s="20" t="str">
        <f>INDEX(nrg_cb_e!$A$3:$A$40,MATCH(LEFT(MID('Industriesektor GWh'!$B2641,41,1000),SEARCH(" - ",MID('Industriesektor GWh'!$B2641,41,1000))-1),nrg_cb_e!$C$3:$C$40,0))</f>
        <v>FC_IND_WP_E</v>
      </c>
      <c r="G2641" s="21">
        <v>1894</v>
      </c>
    </row>
    <row r="2642" spans="1:7" x14ac:dyDescent="0.2">
      <c r="A2642" s="16" t="s">
        <v>29</v>
      </c>
      <c r="B2642" s="17" t="s">
        <v>71</v>
      </c>
      <c r="C2642" s="17" t="s">
        <v>8</v>
      </c>
      <c r="D2642" s="17" t="s">
        <v>10</v>
      </c>
      <c r="E2642" s="17" t="s">
        <v>17</v>
      </c>
      <c r="F2642" s="17" t="str">
        <f>INDEX(nrg_cb_e!$A$3:$A$40,MATCH(LEFT(MID('Industriesektor GWh'!$B2642,41,1000),SEARCH(" - ",MID('Industriesektor GWh'!$B2642,41,1000))-1),nrg_cb_e!$C$3:$C$40,0))</f>
        <v>FC_IND_WP_E</v>
      </c>
      <c r="G2642" s="18">
        <v>1549</v>
      </c>
    </row>
    <row r="2643" spans="1:7" x14ac:dyDescent="0.2">
      <c r="A2643" s="19" t="s">
        <v>29</v>
      </c>
      <c r="B2643" s="20" t="s">
        <v>71</v>
      </c>
      <c r="C2643" s="20" t="s">
        <v>8</v>
      </c>
      <c r="D2643" s="20" t="s">
        <v>10</v>
      </c>
      <c r="E2643" s="20" t="s">
        <v>18</v>
      </c>
      <c r="F2643" s="20" t="str">
        <f>INDEX(nrg_cb_e!$A$3:$A$40,MATCH(LEFT(MID('Industriesektor GWh'!$B2643,41,1000),SEARCH(" - ",MID('Industriesektor GWh'!$B2643,41,1000))-1),nrg_cb_e!$C$3:$C$40,0))</f>
        <v>FC_IND_WP_E</v>
      </c>
      <c r="G2643" s="21">
        <v>1382</v>
      </c>
    </row>
    <row r="2644" spans="1:7" x14ac:dyDescent="0.2">
      <c r="A2644" s="16" t="s">
        <v>29</v>
      </c>
      <c r="B2644" s="17" t="s">
        <v>71</v>
      </c>
      <c r="C2644" s="17" t="s">
        <v>8</v>
      </c>
      <c r="D2644" s="17" t="s">
        <v>10</v>
      </c>
      <c r="E2644" s="17" t="s">
        <v>19</v>
      </c>
      <c r="F2644" s="17" t="str">
        <f>INDEX(nrg_cb_e!$A$3:$A$40,MATCH(LEFT(MID('Industriesektor GWh'!$B2644,41,1000),SEARCH(" - ",MID('Industriesektor GWh'!$B2644,41,1000))-1),nrg_cb_e!$C$3:$C$40,0))</f>
        <v>FC_IND_WP_E</v>
      </c>
      <c r="G2644" s="18">
        <v>778</v>
      </c>
    </row>
    <row r="2645" spans="1:7" x14ac:dyDescent="0.2">
      <c r="A2645" s="19" t="s">
        <v>29</v>
      </c>
      <c r="B2645" s="20" t="s">
        <v>71</v>
      </c>
      <c r="C2645" s="20" t="s">
        <v>8</v>
      </c>
      <c r="D2645" s="20" t="s">
        <v>10</v>
      </c>
      <c r="E2645" s="20" t="s">
        <v>20</v>
      </c>
      <c r="F2645" s="20" t="str">
        <f>INDEX(nrg_cb_e!$A$3:$A$40,MATCH(LEFT(MID('Industriesektor GWh'!$B2645,41,1000),SEARCH(" - ",MID('Industriesektor GWh'!$B2645,41,1000))-1),nrg_cb_e!$C$3:$C$40,0))</f>
        <v>FC_IND_WP_E</v>
      </c>
      <c r="G2645" s="21">
        <v>662</v>
      </c>
    </row>
    <row r="2646" spans="1:7" x14ac:dyDescent="0.2">
      <c r="A2646" s="16" t="s">
        <v>29</v>
      </c>
      <c r="B2646" s="17" t="s">
        <v>71</v>
      </c>
      <c r="C2646" s="17" t="s">
        <v>8</v>
      </c>
      <c r="D2646" s="17" t="s">
        <v>10</v>
      </c>
      <c r="E2646" s="17" t="s">
        <v>21</v>
      </c>
      <c r="F2646" s="17" t="str">
        <f>INDEX(nrg_cb_e!$A$3:$A$40,MATCH(LEFT(MID('Industriesektor GWh'!$B2646,41,1000),SEARCH(" - ",MID('Industriesektor GWh'!$B2646,41,1000))-1),nrg_cb_e!$C$3:$C$40,0))</f>
        <v>FC_IND_WP_E</v>
      </c>
      <c r="G2646" s="18">
        <v>393</v>
      </c>
    </row>
    <row r="2647" spans="1:7" x14ac:dyDescent="0.2">
      <c r="A2647" s="19" t="s">
        <v>29</v>
      </c>
      <c r="B2647" s="20" t="s">
        <v>71</v>
      </c>
      <c r="C2647" s="20" t="s">
        <v>8</v>
      </c>
      <c r="D2647" s="20" t="s">
        <v>10</v>
      </c>
      <c r="E2647" s="20" t="s">
        <v>22</v>
      </c>
      <c r="F2647" s="20" t="str">
        <f>INDEX(nrg_cb_e!$A$3:$A$40,MATCH(LEFT(MID('Industriesektor GWh'!$B2647,41,1000),SEARCH(" - ",MID('Industriesektor GWh'!$B2647,41,1000))-1),nrg_cb_e!$C$3:$C$40,0))</f>
        <v>FC_IND_WP_E</v>
      </c>
      <c r="G2647" s="21">
        <v>378</v>
      </c>
    </row>
    <row r="2648" spans="1:7" x14ac:dyDescent="0.2">
      <c r="A2648" s="16" t="s">
        <v>29</v>
      </c>
      <c r="B2648" s="17" t="s">
        <v>71</v>
      </c>
      <c r="C2648" s="17" t="s">
        <v>8</v>
      </c>
      <c r="D2648" s="17" t="s">
        <v>10</v>
      </c>
      <c r="E2648" s="17" t="s">
        <v>23</v>
      </c>
      <c r="F2648" s="17" t="str">
        <f>INDEX(nrg_cb_e!$A$3:$A$40,MATCH(LEFT(MID('Industriesektor GWh'!$B2648,41,1000),SEARCH(" - ",MID('Industriesektor GWh'!$B2648,41,1000))-1),nrg_cb_e!$C$3:$C$40,0))</f>
        <v>FC_IND_WP_E</v>
      </c>
      <c r="G2648" s="18">
        <v>376</v>
      </c>
    </row>
    <row r="2649" spans="1:7" x14ac:dyDescent="0.2">
      <c r="A2649" s="19" t="s">
        <v>29</v>
      </c>
      <c r="B2649" s="20" t="s">
        <v>71</v>
      </c>
      <c r="C2649" s="20" t="s">
        <v>8</v>
      </c>
      <c r="D2649" s="20" t="s">
        <v>10</v>
      </c>
      <c r="E2649" s="20" t="s">
        <v>24</v>
      </c>
      <c r="F2649" s="20" t="str">
        <f>INDEX(nrg_cb_e!$A$3:$A$40,MATCH(LEFT(MID('Industriesektor GWh'!$B2649,41,1000),SEARCH(" - ",MID('Industriesektor GWh'!$B2649,41,1000))-1),nrg_cb_e!$C$3:$C$40,0))</f>
        <v>FC_IND_WP_E</v>
      </c>
      <c r="G2649" s="21">
        <v>375.9</v>
      </c>
    </row>
    <row r="2650" spans="1:7" x14ac:dyDescent="0.2">
      <c r="A2650" s="16" t="s">
        <v>29</v>
      </c>
      <c r="B2650" s="17" t="s">
        <v>71</v>
      </c>
      <c r="C2650" s="17" t="s">
        <v>8</v>
      </c>
      <c r="D2650" s="17" t="s">
        <v>10</v>
      </c>
      <c r="E2650" s="17" t="s">
        <v>25</v>
      </c>
      <c r="F2650" s="17" t="str">
        <f>INDEX(nrg_cb_e!$A$3:$A$40,MATCH(LEFT(MID('Industriesektor GWh'!$B2650,41,1000),SEARCH(" - ",MID('Industriesektor GWh'!$B2650,41,1000))-1),nrg_cb_e!$C$3:$C$40,0))</f>
        <v>FC_IND_WP_E</v>
      </c>
      <c r="G2650" s="18">
        <v>384.6</v>
      </c>
    </row>
    <row r="2651" spans="1:7" x14ac:dyDescent="0.2">
      <c r="A2651" s="19" t="s">
        <v>29</v>
      </c>
      <c r="B2651" s="20" t="s">
        <v>71</v>
      </c>
      <c r="C2651" s="20" t="s">
        <v>8</v>
      </c>
      <c r="D2651" s="20" t="s">
        <v>10</v>
      </c>
      <c r="E2651" s="20" t="s">
        <v>26</v>
      </c>
      <c r="F2651" s="20" t="str">
        <f>INDEX(nrg_cb_e!$A$3:$A$40,MATCH(LEFT(MID('Industriesektor GWh'!$B2651,41,1000),SEARCH(" - ",MID('Industriesektor GWh'!$B2651,41,1000))-1),nrg_cb_e!$C$3:$C$40,0))</f>
        <v>FC_IND_WP_E</v>
      </c>
      <c r="G2651" s="21">
        <v>364.2</v>
      </c>
    </row>
    <row r="2652" spans="1:7" x14ac:dyDescent="0.2">
      <c r="A2652" s="16" t="s">
        <v>29</v>
      </c>
      <c r="B2652" s="17" t="s">
        <v>71</v>
      </c>
      <c r="C2652" s="17" t="s">
        <v>8</v>
      </c>
      <c r="D2652" s="17" t="s">
        <v>10</v>
      </c>
      <c r="E2652" s="17" t="s">
        <v>27</v>
      </c>
      <c r="F2652" s="17" t="str">
        <f>INDEX(nrg_cb_e!$A$3:$A$40,MATCH(LEFT(MID('Industriesektor GWh'!$B2652,41,1000),SEARCH(" - ",MID('Industriesektor GWh'!$B2652,41,1000))-1),nrg_cb_e!$C$3:$C$40,0))</f>
        <v>FC_IND_WP_E</v>
      </c>
      <c r="G2652" s="18">
        <v>389.5</v>
      </c>
    </row>
    <row r="2653" spans="1:7" x14ac:dyDescent="0.2">
      <c r="A2653" s="19" t="s">
        <v>29</v>
      </c>
      <c r="B2653" s="20" t="s">
        <v>71</v>
      </c>
      <c r="C2653" s="20" t="s">
        <v>8</v>
      </c>
      <c r="D2653" s="20" t="s">
        <v>10</v>
      </c>
      <c r="E2653" s="20" t="s">
        <v>28</v>
      </c>
      <c r="F2653" s="20" t="str">
        <f>INDEX(nrg_cb_e!$A$3:$A$40,MATCH(LEFT(MID('Industriesektor GWh'!$B2653,41,1000),SEARCH(" - ",MID('Industriesektor GWh'!$B2653,41,1000))-1),nrg_cb_e!$C$3:$C$40,0))</f>
        <v>FC_IND_WP_E</v>
      </c>
      <c r="G2653" s="21">
        <v>407.5</v>
      </c>
    </row>
    <row r="2654" spans="1:7" x14ac:dyDescent="0.2">
      <c r="A2654" s="16" t="s">
        <v>30</v>
      </c>
      <c r="B2654" s="17" t="s">
        <v>71</v>
      </c>
      <c r="C2654" s="17" t="s">
        <v>8</v>
      </c>
      <c r="D2654" s="17" t="s">
        <v>10</v>
      </c>
      <c r="E2654" s="17" t="s">
        <v>12</v>
      </c>
      <c r="F2654" s="17" t="str">
        <f>INDEX(nrg_cb_e!$A$3:$A$40,MATCH(LEFT(MID('Industriesektor GWh'!$B2654,41,1000),SEARCH(" - ",MID('Industriesektor GWh'!$B2654,41,1000))-1),nrg_cb_e!$C$3:$C$40,0))</f>
        <v>FC_IND_WP_E</v>
      </c>
      <c r="G2654" s="18">
        <v>152</v>
      </c>
    </row>
    <row r="2655" spans="1:7" x14ac:dyDescent="0.2">
      <c r="A2655" s="19" t="s">
        <v>30</v>
      </c>
      <c r="B2655" s="20" t="s">
        <v>71</v>
      </c>
      <c r="C2655" s="20" t="s">
        <v>8</v>
      </c>
      <c r="D2655" s="20" t="s">
        <v>10</v>
      </c>
      <c r="E2655" s="20" t="s">
        <v>13</v>
      </c>
      <c r="F2655" s="20" t="str">
        <f>INDEX(nrg_cb_e!$A$3:$A$40,MATCH(LEFT(MID('Industriesektor GWh'!$B2655,41,1000),SEARCH(" - ",MID('Industriesektor GWh'!$B2655,41,1000))-1),nrg_cb_e!$C$3:$C$40,0))</f>
        <v>FC_IND_WP_E</v>
      </c>
      <c r="G2655" s="21">
        <v>168</v>
      </c>
    </row>
    <row r="2656" spans="1:7" x14ac:dyDescent="0.2">
      <c r="A2656" s="16" t="s">
        <v>30</v>
      </c>
      <c r="B2656" s="17" t="s">
        <v>71</v>
      </c>
      <c r="C2656" s="17" t="s">
        <v>8</v>
      </c>
      <c r="D2656" s="17" t="s">
        <v>10</v>
      </c>
      <c r="E2656" s="17" t="s">
        <v>14</v>
      </c>
      <c r="F2656" s="17" t="str">
        <f>INDEX(nrg_cb_e!$A$3:$A$40,MATCH(LEFT(MID('Industriesektor GWh'!$B2656,41,1000),SEARCH(" - ",MID('Industriesektor GWh'!$B2656,41,1000))-1),nrg_cb_e!$C$3:$C$40,0))</f>
        <v>FC_IND_WP_E</v>
      </c>
      <c r="G2656" s="18">
        <v>174</v>
      </c>
    </row>
    <row r="2657" spans="1:7" x14ac:dyDescent="0.2">
      <c r="A2657" s="19" t="s">
        <v>30</v>
      </c>
      <c r="B2657" s="20" t="s">
        <v>71</v>
      </c>
      <c r="C2657" s="20" t="s">
        <v>8</v>
      </c>
      <c r="D2657" s="20" t="s">
        <v>10</v>
      </c>
      <c r="E2657" s="20" t="s">
        <v>15</v>
      </c>
      <c r="F2657" s="20" t="str">
        <f>INDEX(nrg_cb_e!$A$3:$A$40,MATCH(LEFT(MID('Industriesektor GWh'!$B2657,41,1000),SEARCH(" - ",MID('Industriesektor GWh'!$B2657,41,1000))-1),nrg_cb_e!$C$3:$C$40,0))</f>
        <v>FC_IND_WP_E</v>
      </c>
      <c r="G2657" s="21">
        <v>137</v>
      </c>
    </row>
    <row r="2658" spans="1:7" x14ac:dyDescent="0.2">
      <c r="A2658" s="16" t="s">
        <v>30</v>
      </c>
      <c r="B2658" s="17" t="s">
        <v>71</v>
      </c>
      <c r="C2658" s="17" t="s">
        <v>8</v>
      </c>
      <c r="D2658" s="17" t="s">
        <v>10</v>
      </c>
      <c r="E2658" s="17" t="s">
        <v>16</v>
      </c>
      <c r="F2658" s="17" t="str">
        <f>INDEX(nrg_cb_e!$A$3:$A$40,MATCH(LEFT(MID('Industriesektor GWh'!$B2658,41,1000),SEARCH(" - ",MID('Industriesektor GWh'!$B2658,41,1000))-1),nrg_cb_e!$C$3:$C$40,0))</f>
        <v>FC_IND_WP_E</v>
      </c>
      <c r="G2658" s="18">
        <v>167</v>
      </c>
    </row>
    <row r="2659" spans="1:7" x14ac:dyDescent="0.2">
      <c r="A2659" s="19" t="s">
        <v>30</v>
      </c>
      <c r="B2659" s="20" t="s">
        <v>71</v>
      </c>
      <c r="C2659" s="20" t="s">
        <v>8</v>
      </c>
      <c r="D2659" s="20" t="s">
        <v>10</v>
      </c>
      <c r="E2659" s="20" t="s">
        <v>17</v>
      </c>
      <c r="F2659" s="20" t="str">
        <f>INDEX(nrg_cb_e!$A$3:$A$40,MATCH(LEFT(MID('Industriesektor GWh'!$B2659,41,1000),SEARCH(" - ",MID('Industriesektor GWh'!$B2659,41,1000))-1),nrg_cb_e!$C$3:$C$40,0))</f>
        <v>FC_IND_WP_E</v>
      </c>
      <c r="G2659" s="21">
        <v>176</v>
      </c>
    </row>
    <row r="2660" spans="1:7" x14ac:dyDescent="0.2">
      <c r="A2660" s="16" t="s">
        <v>30</v>
      </c>
      <c r="B2660" s="17" t="s">
        <v>71</v>
      </c>
      <c r="C2660" s="17" t="s">
        <v>8</v>
      </c>
      <c r="D2660" s="17" t="s">
        <v>10</v>
      </c>
      <c r="E2660" s="17" t="s">
        <v>18</v>
      </c>
      <c r="F2660" s="17" t="str">
        <f>INDEX(nrg_cb_e!$A$3:$A$40,MATCH(LEFT(MID('Industriesektor GWh'!$B2660,41,1000),SEARCH(" - ",MID('Industriesektor GWh'!$B2660,41,1000))-1),nrg_cb_e!$C$3:$C$40,0))</f>
        <v>FC_IND_WP_E</v>
      </c>
      <c r="G2660" s="18">
        <v>194</v>
      </c>
    </row>
    <row r="2661" spans="1:7" x14ac:dyDescent="0.2">
      <c r="A2661" s="19" t="s">
        <v>30</v>
      </c>
      <c r="B2661" s="20" t="s">
        <v>71</v>
      </c>
      <c r="C2661" s="20" t="s">
        <v>8</v>
      </c>
      <c r="D2661" s="20" t="s">
        <v>10</v>
      </c>
      <c r="E2661" s="20" t="s">
        <v>19</v>
      </c>
      <c r="F2661" s="20" t="str">
        <f>INDEX(nrg_cb_e!$A$3:$A$40,MATCH(LEFT(MID('Industriesektor GWh'!$B2661,41,1000),SEARCH(" - ",MID('Industriesektor GWh'!$B2661,41,1000))-1),nrg_cb_e!$C$3:$C$40,0))</f>
        <v>FC_IND_WP_E</v>
      </c>
      <c r="G2661" s="21">
        <v>144</v>
      </c>
    </row>
    <row r="2662" spans="1:7" x14ac:dyDescent="0.2">
      <c r="A2662" s="16" t="s">
        <v>30</v>
      </c>
      <c r="B2662" s="17" t="s">
        <v>71</v>
      </c>
      <c r="C2662" s="17" t="s">
        <v>8</v>
      </c>
      <c r="D2662" s="17" t="s">
        <v>10</v>
      </c>
      <c r="E2662" s="17" t="s">
        <v>20</v>
      </c>
      <c r="F2662" s="17" t="str">
        <f>INDEX(nrg_cb_e!$A$3:$A$40,MATCH(LEFT(MID('Industriesektor GWh'!$B2662,41,1000),SEARCH(" - ",MID('Industriesektor GWh'!$B2662,41,1000))-1),nrg_cb_e!$C$3:$C$40,0))</f>
        <v>FC_IND_WP_E</v>
      </c>
      <c r="G2662" s="18">
        <v>173</v>
      </c>
    </row>
    <row r="2663" spans="1:7" x14ac:dyDescent="0.2">
      <c r="A2663" s="19" t="s">
        <v>30</v>
      </c>
      <c r="B2663" s="20" t="s">
        <v>71</v>
      </c>
      <c r="C2663" s="20" t="s">
        <v>8</v>
      </c>
      <c r="D2663" s="20" t="s">
        <v>10</v>
      </c>
      <c r="E2663" s="20" t="s">
        <v>21</v>
      </c>
      <c r="F2663" s="20" t="str">
        <f>INDEX(nrg_cb_e!$A$3:$A$40,MATCH(LEFT(MID('Industriesektor GWh'!$B2663,41,1000),SEARCH(" - ",MID('Industriesektor GWh'!$B2663,41,1000))-1),nrg_cb_e!$C$3:$C$40,0))</f>
        <v>FC_IND_WP_E</v>
      </c>
      <c r="G2663" s="21">
        <v>183</v>
      </c>
    </row>
    <row r="2664" spans="1:7" x14ac:dyDescent="0.2">
      <c r="A2664" s="16" t="s">
        <v>30</v>
      </c>
      <c r="B2664" s="17" t="s">
        <v>71</v>
      </c>
      <c r="C2664" s="17" t="s">
        <v>8</v>
      </c>
      <c r="D2664" s="17" t="s">
        <v>10</v>
      </c>
      <c r="E2664" s="17" t="s">
        <v>22</v>
      </c>
      <c r="F2664" s="17" t="str">
        <f>INDEX(nrg_cb_e!$A$3:$A$40,MATCH(LEFT(MID('Industriesektor GWh'!$B2664,41,1000),SEARCH(" - ",MID('Industriesektor GWh'!$B2664,41,1000))-1),nrg_cb_e!$C$3:$C$40,0))</f>
        <v>FC_IND_WP_E</v>
      </c>
      <c r="G2664" s="18">
        <v>181</v>
      </c>
    </row>
    <row r="2665" spans="1:7" x14ac:dyDescent="0.2">
      <c r="A2665" s="19" t="s">
        <v>30</v>
      </c>
      <c r="B2665" s="20" t="s">
        <v>71</v>
      </c>
      <c r="C2665" s="20" t="s">
        <v>8</v>
      </c>
      <c r="D2665" s="20" t="s">
        <v>10</v>
      </c>
      <c r="E2665" s="20" t="s">
        <v>23</v>
      </c>
      <c r="F2665" s="20" t="str">
        <f>INDEX(nrg_cb_e!$A$3:$A$40,MATCH(LEFT(MID('Industriesektor GWh'!$B2665,41,1000),SEARCH(" - ",MID('Industriesektor GWh'!$B2665,41,1000))-1),nrg_cb_e!$C$3:$C$40,0))</f>
        <v>FC_IND_WP_E</v>
      </c>
      <c r="G2665" s="21">
        <v>180</v>
      </c>
    </row>
    <row r="2666" spans="1:7" x14ac:dyDescent="0.2">
      <c r="A2666" s="16" t="s">
        <v>30</v>
      </c>
      <c r="B2666" s="17" t="s">
        <v>71</v>
      </c>
      <c r="C2666" s="17" t="s">
        <v>8</v>
      </c>
      <c r="D2666" s="17" t="s">
        <v>10</v>
      </c>
      <c r="E2666" s="17" t="s">
        <v>24</v>
      </c>
      <c r="F2666" s="17" t="str">
        <f>INDEX(nrg_cb_e!$A$3:$A$40,MATCH(LEFT(MID('Industriesektor GWh'!$B2666,41,1000),SEARCH(" - ",MID('Industriesektor GWh'!$B2666,41,1000))-1),nrg_cb_e!$C$3:$C$40,0))</f>
        <v>FC_IND_WP_E</v>
      </c>
      <c r="G2666" s="18">
        <v>197</v>
      </c>
    </row>
    <row r="2667" spans="1:7" x14ac:dyDescent="0.2">
      <c r="A2667" s="19" t="s">
        <v>30</v>
      </c>
      <c r="B2667" s="20" t="s">
        <v>71</v>
      </c>
      <c r="C2667" s="20" t="s">
        <v>8</v>
      </c>
      <c r="D2667" s="20" t="s">
        <v>10</v>
      </c>
      <c r="E2667" s="20" t="s">
        <v>25</v>
      </c>
      <c r="F2667" s="20" t="str">
        <f>INDEX(nrg_cb_e!$A$3:$A$40,MATCH(LEFT(MID('Industriesektor GWh'!$B2667,41,1000),SEARCH(" - ",MID('Industriesektor GWh'!$B2667,41,1000))-1),nrg_cb_e!$C$3:$C$40,0))</f>
        <v>FC_IND_WP_E</v>
      </c>
      <c r="G2667" s="21">
        <v>207</v>
      </c>
    </row>
    <row r="2668" spans="1:7" x14ac:dyDescent="0.2">
      <c r="A2668" s="16" t="s">
        <v>30</v>
      </c>
      <c r="B2668" s="17" t="s">
        <v>71</v>
      </c>
      <c r="C2668" s="17" t="s">
        <v>8</v>
      </c>
      <c r="D2668" s="17" t="s">
        <v>10</v>
      </c>
      <c r="E2668" s="17" t="s">
        <v>26</v>
      </c>
      <c r="F2668" s="17" t="str">
        <f>INDEX(nrg_cb_e!$A$3:$A$40,MATCH(LEFT(MID('Industriesektor GWh'!$B2668,41,1000),SEARCH(" - ",MID('Industriesektor GWh'!$B2668,41,1000))-1),nrg_cb_e!$C$3:$C$40,0))</f>
        <v>FC_IND_WP_E</v>
      </c>
      <c r="G2668" s="18">
        <v>200</v>
      </c>
    </row>
    <row r="2669" spans="1:7" x14ac:dyDescent="0.2">
      <c r="A2669" s="19" t="s">
        <v>30</v>
      </c>
      <c r="B2669" s="20" t="s">
        <v>71</v>
      </c>
      <c r="C2669" s="20" t="s">
        <v>8</v>
      </c>
      <c r="D2669" s="20" t="s">
        <v>10</v>
      </c>
      <c r="E2669" s="20" t="s">
        <v>27</v>
      </c>
      <c r="F2669" s="20" t="str">
        <f>INDEX(nrg_cb_e!$A$3:$A$40,MATCH(LEFT(MID('Industriesektor GWh'!$B2669,41,1000),SEARCH(" - ",MID('Industriesektor GWh'!$B2669,41,1000))-1),nrg_cb_e!$C$3:$C$40,0))</f>
        <v>FC_IND_WP_E</v>
      </c>
      <c r="G2669" s="21">
        <v>226.93</v>
      </c>
    </row>
    <row r="2670" spans="1:7" x14ac:dyDescent="0.2">
      <c r="A2670" s="16" t="s">
        <v>30</v>
      </c>
      <c r="B2670" s="17" t="s">
        <v>71</v>
      </c>
      <c r="C2670" s="17" t="s">
        <v>8</v>
      </c>
      <c r="D2670" s="17" t="s">
        <v>10</v>
      </c>
      <c r="E2670" s="17" t="s">
        <v>28</v>
      </c>
      <c r="F2670" s="17" t="str">
        <f>INDEX(nrg_cb_e!$A$3:$A$40,MATCH(LEFT(MID('Industriesektor GWh'!$B2670,41,1000),SEARCH(" - ",MID('Industriesektor GWh'!$B2670,41,1000))-1),nrg_cb_e!$C$3:$C$40,0))</f>
        <v>FC_IND_WP_E</v>
      </c>
      <c r="G2670" s="18">
        <v>251.08699999999999</v>
      </c>
    </row>
    <row r="2671" spans="1:7" x14ac:dyDescent="0.2">
      <c r="A2671" s="19" t="s">
        <v>31</v>
      </c>
      <c r="B2671" s="20" t="s">
        <v>71</v>
      </c>
      <c r="C2671" s="20" t="s">
        <v>8</v>
      </c>
      <c r="D2671" s="20" t="s">
        <v>10</v>
      </c>
      <c r="E2671" s="20" t="s">
        <v>12</v>
      </c>
      <c r="F2671" s="20" t="str">
        <f>INDEX(nrg_cb_e!$A$3:$A$40,MATCH(LEFT(MID('Industriesektor GWh'!$B2671,41,1000),SEARCH(" - ",MID('Industriesektor GWh'!$B2671,41,1000))-1),nrg_cb_e!$C$3:$C$40,0))</f>
        <v>FC_IND_WP_E</v>
      </c>
      <c r="G2671" s="21">
        <v>396</v>
      </c>
    </row>
    <row r="2672" spans="1:7" x14ac:dyDescent="0.2">
      <c r="A2672" s="16" t="s">
        <v>31</v>
      </c>
      <c r="B2672" s="17" t="s">
        <v>71</v>
      </c>
      <c r="C2672" s="17" t="s">
        <v>8</v>
      </c>
      <c r="D2672" s="17" t="s">
        <v>10</v>
      </c>
      <c r="E2672" s="17" t="s">
        <v>13</v>
      </c>
      <c r="F2672" s="17" t="str">
        <f>INDEX(nrg_cb_e!$A$3:$A$40,MATCH(LEFT(MID('Industriesektor GWh'!$B2672,41,1000),SEARCH(" - ",MID('Industriesektor GWh'!$B2672,41,1000))-1),nrg_cb_e!$C$3:$C$40,0))</f>
        <v>FC_IND_WP_E</v>
      </c>
      <c r="G2672" s="18">
        <v>398</v>
      </c>
    </row>
    <row r="2673" spans="1:7" x14ac:dyDescent="0.2">
      <c r="A2673" s="19" t="s">
        <v>31</v>
      </c>
      <c r="B2673" s="20" t="s">
        <v>71</v>
      </c>
      <c r="C2673" s="20" t="s">
        <v>8</v>
      </c>
      <c r="D2673" s="20" t="s">
        <v>10</v>
      </c>
      <c r="E2673" s="20" t="s">
        <v>14</v>
      </c>
      <c r="F2673" s="20" t="str">
        <f>INDEX(nrg_cb_e!$A$3:$A$40,MATCH(LEFT(MID('Industriesektor GWh'!$B2673,41,1000),SEARCH(" - ",MID('Industriesektor GWh'!$B2673,41,1000))-1),nrg_cb_e!$C$3:$C$40,0))</f>
        <v>FC_IND_WP_E</v>
      </c>
      <c r="G2673" s="21">
        <v>484</v>
      </c>
    </row>
    <row r="2674" spans="1:7" x14ac:dyDescent="0.2">
      <c r="A2674" s="16" t="s">
        <v>31</v>
      </c>
      <c r="B2674" s="17" t="s">
        <v>71</v>
      </c>
      <c r="C2674" s="17" t="s">
        <v>8</v>
      </c>
      <c r="D2674" s="17" t="s">
        <v>10</v>
      </c>
      <c r="E2674" s="17" t="s">
        <v>15</v>
      </c>
      <c r="F2674" s="17" t="str">
        <f>INDEX(nrg_cb_e!$A$3:$A$40,MATCH(LEFT(MID('Industriesektor GWh'!$B2674,41,1000),SEARCH(" - ",MID('Industriesektor GWh'!$B2674,41,1000))-1),nrg_cb_e!$C$3:$C$40,0))</f>
        <v>FC_IND_WP_E</v>
      </c>
      <c r="G2674" s="18">
        <v>538</v>
      </c>
    </row>
    <row r="2675" spans="1:7" x14ac:dyDescent="0.2">
      <c r="A2675" s="19" t="s">
        <v>31</v>
      </c>
      <c r="B2675" s="20" t="s">
        <v>71</v>
      </c>
      <c r="C2675" s="20" t="s">
        <v>8</v>
      </c>
      <c r="D2675" s="20" t="s">
        <v>10</v>
      </c>
      <c r="E2675" s="20" t="s">
        <v>16</v>
      </c>
      <c r="F2675" s="20" t="str">
        <f>INDEX(nrg_cb_e!$A$3:$A$40,MATCH(LEFT(MID('Industriesektor GWh'!$B2675,41,1000),SEARCH(" - ",MID('Industriesektor GWh'!$B2675,41,1000))-1),nrg_cb_e!$C$3:$C$40,0))</f>
        <v>FC_IND_WP_E</v>
      </c>
      <c r="G2675" s="21">
        <v>517</v>
      </c>
    </row>
    <row r="2676" spans="1:7" x14ac:dyDescent="0.2">
      <c r="A2676" s="16" t="s">
        <v>31</v>
      </c>
      <c r="B2676" s="17" t="s">
        <v>71</v>
      </c>
      <c r="C2676" s="17" t="s">
        <v>8</v>
      </c>
      <c r="D2676" s="17" t="s">
        <v>10</v>
      </c>
      <c r="E2676" s="17" t="s">
        <v>17</v>
      </c>
      <c r="F2676" s="17" t="str">
        <f>INDEX(nrg_cb_e!$A$3:$A$40,MATCH(LEFT(MID('Industriesektor GWh'!$B2676,41,1000),SEARCH(" - ",MID('Industriesektor GWh'!$B2676,41,1000))-1),nrg_cb_e!$C$3:$C$40,0))</f>
        <v>FC_IND_WP_E</v>
      </c>
      <c r="G2676" s="18">
        <v>549</v>
      </c>
    </row>
    <row r="2677" spans="1:7" x14ac:dyDescent="0.2">
      <c r="A2677" s="19" t="s">
        <v>31</v>
      </c>
      <c r="B2677" s="20" t="s">
        <v>71</v>
      </c>
      <c r="C2677" s="20" t="s">
        <v>8</v>
      </c>
      <c r="D2677" s="20" t="s">
        <v>10</v>
      </c>
      <c r="E2677" s="20" t="s">
        <v>18</v>
      </c>
      <c r="F2677" s="20" t="str">
        <f>INDEX(nrg_cb_e!$A$3:$A$40,MATCH(LEFT(MID('Industriesektor GWh'!$B2677,41,1000),SEARCH(" - ",MID('Industriesektor GWh'!$B2677,41,1000))-1),nrg_cb_e!$C$3:$C$40,0))</f>
        <v>FC_IND_WP_E</v>
      </c>
      <c r="G2677" s="21">
        <v>550</v>
      </c>
    </row>
    <row r="2678" spans="1:7" x14ac:dyDescent="0.2">
      <c r="A2678" s="16" t="s">
        <v>31</v>
      </c>
      <c r="B2678" s="17" t="s">
        <v>71</v>
      </c>
      <c r="C2678" s="17" t="s">
        <v>8</v>
      </c>
      <c r="D2678" s="17" t="s">
        <v>10</v>
      </c>
      <c r="E2678" s="17" t="s">
        <v>19</v>
      </c>
      <c r="F2678" s="17" t="str">
        <f>INDEX(nrg_cb_e!$A$3:$A$40,MATCH(LEFT(MID('Industriesektor GWh'!$B2678,41,1000),SEARCH(" - ",MID('Industriesektor GWh'!$B2678,41,1000))-1),nrg_cb_e!$C$3:$C$40,0))</f>
        <v>FC_IND_WP_E</v>
      </c>
      <c r="G2678" s="18">
        <v>480</v>
      </c>
    </row>
    <row r="2679" spans="1:7" x14ac:dyDescent="0.2">
      <c r="A2679" s="19" t="s">
        <v>31</v>
      </c>
      <c r="B2679" s="20" t="s">
        <v>71</v>
      </c>
      <c r="C2679" s="20" t="s">
        <v>8</v>
      </c>
      <c r="D2679" s="20" t="s">
        <v>10</v>
      </c>
      <c r="E2679" s="20" t="s">
        <v>20</v>
      </c>
      <c r="F2679" s="20" t="str">
        <f>INDEX(nrg_cb_e!$A$3:$A$40,MATCH(LEFT(MID('Industriesektor GWh'!$B2679,41,1000),SEARCH(" - ",MID('Industriesektor GWh'!$B2679,41,1000))-1),nrg_cb_e!$C$3:$C$40,0))</f>
        <v>FC_IND_WP_E</v>
      </c>
      <c r="G2679" s="21">
        <v>487</v>
      </c>
    </row>
    <row r="2680" spans="1:7" x14ac:dyDescent="0.2">
      <c r="A2680" s="16" t="s">
        <v>31</v>
      </c>
      <c r="B2680" s="17" t="s">
        <v>71</v>
      </c>
      <c r="C2680" s="17" t="s">
        <v>8</v>
      </c>
      <c r="D2680" s="17" t="s">
        <v>10</v>
      </c>
      <c r="E2680" s="17" t="s">
        <v>21</v>
      </c>
      <c r="F2680" s="17" t="str">
        <f>INDEX(nrg_cb_e!$A$3:$A$40,MATCH(LEFT(MID('Industriesektor GWh'!$B2680,41,1000),SEARCH(" - ",MID('Industriesektor GWh'!$B2680,41,1000))-1),nrg_cb_e!$C$3:$C$40,0))</f>
        <v>FC_IND_WP_E</v>
      </c>
      <c r="G2680" s="18">
        <v>461</v>
      </c>
    </row>
    <row r="2681" spans="1:7" x14ac:dyDescent="0.2">
      <c r="A2681" s="19" t="s">
        <v>31</v>
      </c>
      <c r="B2681" s="20" t="s">
        <v>71</v>
      </c>
      <c r="C2681" s="20" t="s">
        <v>8</v>
      </c>
      <c r="D2681" s="20" t="s">
        <v>10</v>
      </c>
      <c r="E2681" s="20" t="s">
        <v>22</v>
      </c>
      <c r="F2681" s="20" t="str">
        <f>INDEX(nrg_cb_e!$A$3:$A$40,MATCH(LEFT(MID('Industriesektor GWh'!$B2681,41,1000),SEARCH(" - ",MID('Industriesektor GWh'!$B2681,41,1000))-1),nrg_cb_e!$C$3:$C$40,0))</f>
        <v>FC_IND_WP_E</v>
      </c>
      <c r="G2681" s="21">
        <v>521</v>
      </c>
    </row>
    <row r="2682" spans="1:7" x14ac:dyDescent="0.2">
      <c r="A2682" s="16" t="s">
        <v>31</v>
      </c>
      <c r="B2682" s="17" t="s">
        <v>71</v>
      </c>
      <c r="C2682" s="17" t="s">
        <v>8</v>
      </c>
      <c r="D2682" s="17" t="s">
        <v>10</v>
      </c>
      <c r="E2682" s="17" t="s">
        <v>23</v>
      </c>
      <c r="F2682" s="17" t="str">
        <f>INDEX(nrg_cb_e!$A$3:$A$40,MATCH(LEFT(MID('Industriesektor GWh'!$B2682,41,1000),SEARCH(" - ",MID('Industriesektor GWh'!$B2682,41,1000))-1),nrg_cb_e!$C$3:$C$40,0))</f>
        <v>FC_IND_WP_E</v>
      </c>
      <c r="G2682" s="18">
        <v>515</v>
      </c>
    </row>
    <row r="2683" spans="1:7" x14ac:dyDescent="0.2">
      <c r="A2683" s="19" t="s">
        <v>31</v>
      </c>
      <c r="B2683" s="20" t="s">
        <v>71</v>
      </c>
      <c r="C2683" s="20" t="s">
        <v>8</v>
      </c>
      <c r="D2683" s="20" t="s">
        <v>10</v>
      </c>
      <c r="E2683" s="20" t="s">
        <v>24</v>
      </c>
      <c r="F2683" s="20" t="str">
        <f>INDEX(nrg_cb_e!$A$3:$A$40,MATCH(LEFT(MID('Industriesektor GWh'!$B2683,41,1000),SEARCH(" - ",MID('Industriesektor GWh'!$B2683,41,1000))-1),nrg_cb_e!$C$3:$C$40,0))</f>
        <v>FC_IND_WP_E</v>
      </c>
      <c r="G2683" s="21">
        <v>480</v>
      </c>
    </row>
    <row r="2684" spans="1:7" x14ac:dyDescent="0.2">
      <c r="A2684" s="16" t="s">
        <v>31</v>
      </c>
      <c r="B2684" s="17" t="s">
        <v>71</v>
      </c>
      <c r="C2684" s="17" t="s">
        <v>8</v>
      </c>
      <c r="D2684" s="17" t="s">
        <v>10</v>
      </c>
      <c r="E2684" s="17" t="s">
        <v>25</v>
      </c>
      <c r="F2684" s="17" t="str">
        <f>INDEX(nrg_cb_e!$A$3:$A$40,MATCH(LEFT(MID('Industriesektor GWh'!$B2684,41,1000),SEARCH(" - ",MID('Industriesektor GWh'!$B2684,41,1000))-1),nrg_cb_e!$C$3:$C$40,0))</f>
        <v>FC_IND_WP_E</v>
      </c>
      <c r="G2684" s="18">
        <v>481</v>
      </c>
    </row>
    <row r="2685" spans="1:7" x14ac:dyDescent="0.2">
      <c r="A2685" s="19" t="s">
        <v>31</v>
      </c>
      <c r="B2685" s="20" t="s">
        <v>71</v>
      </c>
      <c r="C2685" s="20" t="s">
        <v>8</v>
      </c>
      <c r="D2685" s="20" t="s">
        <v>10</v>
      </c>
      <c r="E2685" s="20" t="s">
        <v>26</v>
      </c>
      <c r="F2685" s="20" t="str">
        <f>INDEX(nrg_cb_e!$A$3:$A$40,MATCH(LEFT(MID('Industriesektor GWh'!$B2685,41,1000),SEARCH(" - ",MID('Industriesektor GWh'!$B2685,41,1000))-1),nrg_cb_e!$C$3:$C$40,0))</f>
        <v>FC_IND_WP_E</v>
      </c>
      <c r="G2685" s="21">
        <v>511</v>
      </c>
    </row>
    <row r="2686" spans="1:7" x14ac:dyDescent="0.2">
      <c r="A2686" s="16" t="s">
        <v>31</v>
      </c>
      <c r="B2686" s="17" t="s">
        <v>71</v>
      </c>
      <c r="C2686" s="17" t="s">
        <v>8</v>
      </c>
      <c r="D2686" s="17" t="s">
        <v>10</v>
      </c>
      <c r="E2686" s="17" t="s">
        <v>27</v>
      </c>
      <c r="F2686" s="17" t="str">
        <f>INDEX(nrg_cb_e!$A$3:$A$40,MATCH(LEFT(MID('Industriesektor GWh'!$B2686,41,1000),SEARCH(" - ",MID('Industriesektor GWh'!$B2686,41,1000))-1),nrg_cb_e!$C$3:$C$40,0))</f>
        <v>FC_IND_WP_E</v>
      </c>
      <c r="G2686" s="18">
        <v>525.976</v>
      </c>
    </row>
    <row r="2687" spans="1:7" x14ac:dyDescent="0.2">
      <c r="A2687" s="19" t="s">
        <v>31</v>
      </c>
      <c r="B2687" s="20" t="s">
        <v>71</v>
      </c>
      <c r="C2687" s="20" t="s">
        <v>8</v>
      </c>
      <c r="D2687" s="20" t="s">
        <v>10</v>
      </c>
      <c r="E2687" s="20" t="s">
        <v>28</v>
      </c>
      <c r="F2687" s="20" t="str">
        <f>INDEX(nrg_cb_e!$A$3:$A$40,MATCH(LEFT(MID('Industriesektor GWh'!$B2687,41,1000),SEARCH(" - ",MID('Industriesektor GWh'!$B2687,41,1000))-1),nrg_cb_e!$C$3:$C$40,0))</f>
        <v>FC_IND_WP_E</v>
      </c>
      <c r="G2687" s="21">
        <v>559.351</v>
      </c>
    </row>
    <row r="2688" spans="1:7" x14ac:dyDescent="0.2">
      <c r="A2688" s="16" t="s">
        <v>32</v>
      </c>
      <c r="B2688" s="17" t="s">
        <v>71</v>
      </c>
      <c r="C2688" s="17" t="s">
        <v>8</v>
      </c>
      <c r="D2688" s="17" t="s">
        <v>10</v>
      </c>
      <c r="E2688" s="17" t="s">
        <v>12</v>
      </c>
      <c r="F2688" s="17" t="str">
        <f>INDEX(nrg_cb_e!$A$3:$A$40,MATCH(LEFT(MID('Industriesektor GWh'!$B2688,41,1000),SEARCH(" - ",MID('Industriesektor GWh'!$B2688,41,1000))-1),nrg_cb_e!$C$3:$C$40,0))</f>
        <v>FC_IND_WP_E</v>
      </c>
      <c r="G2688" s="18">
        <v>305</v>
      </c>
    </row>
    <row r="2689" spans="1:7" x14ac:dyDescent="0.2">
      <c r="A2689" s="19" t="s">
        <v>32</v>
      </c>
      <c r="B2689" s="20" t="s">
        <v>71</v>
      </c>
      <c r="C2689" s="20" t="s">
        <v>8</v>
      </c>
      <c r="D2689" s="20" t="s">
        <v>10</v>
      </c>
      <c r="E2689" s="20" t="s">
        <v>13</v>
      </c>
      <c r="F2689" s="20" t="str">
        <f>INDEX(nrg_cb_e!$A$3:$A$40,MATCH(LEFT(MID('Industriesektor GWh'!$B2689,41,1000),SEARCH(" - ",MID('Industriesektor GWh'!$B2689,41,1000))-1),nrg_cb_e!$C$3:$C$40,0))</f>
        <v>FC_IND_WP_E</v>
      </c>
      <c r="G2689" s="21">
        <v>319</v>
      </c>
    </row>
    <row r="2690" spans="1:7" x14ac:dyDescent="0.2">
      <c r="A2690" s="16" t="s">
        <v>32</v>
      </c>
      <c r="B2690" s="17" t="s">
        <v>71</v>
      </c>
      <c r="C2690" s="17" t="s">
        <v>8</v>
      </c>
      <c r="D2690" s="17" t="s">
        <v>10</v>
      </c>
      <c r="E2690" s="17" t="s">
        <v>14</v>
      </c>
      <c r="F2690" s="17" t="str">
        <f>INDEX(nrg_cb_e!$A$3:$A$40,MATCH(LEFT(MID('Industriesektor GWh'!$B2690,41,1000),SEARCH(" - ",MID('Industriesektor GWh'!$B2690,41,1000))-1),nrg_cb_e!$C$3:$C$40,0))</f>
        <v>FC_IND_WP_E</v>
      </c>
      <c r="G2690" s="18">
        <v>331</v>
      </c>
    </row>
    <row r="2691" spans="1:7" x14ac:dyDescent="0.2">
      <c r="A2691" s="19" t="s">
        <v>32</v>
      </c>
      <c r="B2691" s="20" t="s">
        <v>71</v>
      </c>
      <c r="C2691" s="20" t="s">
        <v>8</v>
      </c>
      <c r="D2691" s="20" t="s">
        <v>10</v>
      </c>
      <c r="E2691" s="20" t="s">
        <v>15</v>
      </c>
      <c r="F2691" s="20" t="str">
        <f>INDEX(nrg_cb_e!$A$3:$A$40,MATCH(LEFT(MID('Industriesektor GWh'!$B2691,41,1000),SEARCH(" - ",MID('Industriesektor GWh'!$B2691,41,1000))-1),nrg_cb_e!$C$3:$C$40,0))</f>
        <v>FC_IND_WP_E</v>
      </c>
      <c r="G2691" s="21">
        <v>328</v>
      </c>
    </row>
    <row r="2692" spans="1:7" x14ac:dyDescent="0.2">
      <c r="A2692" s="16" t="s">
        <v>32</v>
      </c>
      <c r="B2692" s="17" t="s">
        <v>71</v>
      </c>
      <c r="C2692" s="17" t="s">
        <v>8</v>
      </c>
      <c r="D2692" s="17" t="s">
        <v>10</v>
      </c>
      <c r="E2692" s="17" t="s">
        <v>16</v>
      </c>
      <c r="F2692" s="17" t="str">
        <f>INDEX(nrg_cb_e!$A$3:$A$40,MATCH(LEFT(MID('Industriesektor GWh'!$B2692,41,1000),SEARCH(" - ",MID('Industriesektor GWh'!$B2692,41,1000))-1),nrg_cb_e!$C$3:$C$40,0))</f>
        <v>FC_IND_WP_E</v>
      </c>
      <c r="G2692" s="18">
        <v>329</v>
      </c>
    </row>
    <row r="2693" spans="1:7" x14ac:dyDescent="0.2">
      <c r="A2693" s="19" t="s">
        <v>32</v>
      </c>
      <c r="B2693" s="20" t="s">
        <v>71</v>
      </c>
      <c r="C2693" s="20" t="s">
        <v>8</v>
      </c>
      <c r="D2693" s="20" t="s">
        <v>10</v>
      </c>
      <c r="E2693" s="20" t="s">
        <v>17</v>
      </c>
      <c r="F2693" s="20" t="str">
        <f>INDEX(nrg_cb_e!$A$3:$A$40,MATCH(LEFT(MID('Industriesektor GWh'!$B2693,41,1000),SEARCH(" - ",MID('Industriesektor GWh'!$B2693,41,1000))-1),nrg_cb_e!$C$3:$C$40,0))</f>
        <v>FC_IND_WP_E</v>
      </c>
      <c r="G2693" s="21">
        <v>321</v>
      </c>
    </row>
    <row r="2694" spans="1:7" x14ac:dyDescent="0.2">
      <c r="A2694" s="16" t="s">
        <v>32</v>
      </c>
      <c r="B2694" s="17" t="s">
        <v>71</v>
      </c>
      <c r="C2694" s="17" t="s">
        <v>8</v>
      </c>
      <c r="D2694" s="17" t="s">
        <v>10</v>
      </c>
      <c r="E2694" s="17" t="s">
        <v>18</v>
      </c>
      <c r="F2694" s="17" t="str">
        <f>INDEX(nrg_cb_e!$A$3:$A$40,MATCH(LEFT(MID('Industriesektor GWh'!$B2694,41,1000),SEARCH(" - ",MID('Industriesektor GWh'!$B2694,41,1000))-1),nrg_cb_e!$C$3:$C$40,0))</f>
        <v>FC_IND_WP_E</v>
      </c>
      <c r="G2694" s="18">
        <v>276</v>
      </c>
    </row>
    <row r="2695" spans="1:7" x14ac:dyDescent="0.2">
      <c r="A2695" s="19" t="s">
        <v>32</v>
      </c>
      <c r="B2695" s="20" t="s">
        <v>71</v>
      </c>
      <c r="C2695" s="20" t="s">
        <v>8</v>
      </c>
      <c r="D2695" s="20" t="s">
        <v>10</v>
      </c>
      <c r="E2695" s="20" t="s">
        <v>19</v>
      </c>
      <c r="F2695" s="20" t="str">
        <f>INDEX(nrg_cb_e!$A$3:$A$40,MATCH(LEFT(MID('Industriesektor GWh'!$B2695,41,1000),SEARCH(" - ",MID('Industriesektor GWh'!$B2695,41,1000))-1),nrg_cb_e!$C$3:$C$40,0))</f>
        <v>FC_IND_WP_E</v>
      </c>
      <c r="G2695" s="21">
        <v>226</v>
      </c>
    </row>
    <row r="2696" spans="1:7" x14ac:dyDescent="0.2">
      <c r="A2696" s="16" t="s">
        <v>32</v>
      </c>
      <c r="B2696" s="17" t="s">
        <v>71</v>
      </c>
      <c r="C2696" s="17" t="s">
        <v>8</v>
      </c>
      <c r="D2696" s="17" t="s">
        <v>10</v>
      </c>
      <c r="E2696" s="17" t="s">
        <v>20</v>
      </c>
      <c r="F2696" s="17" t="str">
        <f>INDEX(nrg_cb_e!$A$3:$A$40,MATCH(LEFT(MID('Industriesektor GWh'!$B2696,41,1000),SEARCH(" - ",MID('Industriesektor GWh'!$B2696,41,1000))-1),nrg_cb_e!$C$3:$C$40,0))</f>
        <v>FC_IND_WP_E</v>
      </c>
      <c r="G2696" s="18">
        <v>226</v>
      </c>
    </row>
    <row r="2697" spans="1:7" x14ac:dyDescent="0.2">
      <c r="A2697" s="19" t="s">
        <v>32</v>
      </c>
      <c r="B2697" s="20" t="s">
        <v>71</v>
      </c>
      <c r="C2697" s="20" t="s">
        <v>8</v>
      </c>
      <c r="D2697" s="20" t="s">
        <v>10</v>
      </c>
      <c r="E2697" s="20" t="s">
        <v>21</v>
      </c>
      <c r="F2697" s="20" t="str">
        <f>INDEX(nrg_cb_e!$A$3:$A$40,MATCH(LEFT(MID('Industriesektor GWh'!$B2697,41,1000),SEARCH(" - ",MID('Industriesektor GWh'!$B2697,41,1000))-1),nrg_cb_e!$C$3:$C$40,0))</f>
        <v>FC_IND_WP_E</v>
      </c>
      <c r="G2697" s="21">
        <v>238</v>
      </c>
    </row>
    <row r="2698" spans="1:7" x14ac:dyDescent="0.2">
      <c r="A2698" s="16" t="s">
        <v>32</v>
      </c>
      <c r="B2698" s="17" t="s">
        <v>71</v>
      </c>
      <c r="C2698" s="17" t="s">
        <v>8</v>
      </c>
      <c r="D2698" s="17" t="s">
        <v>10</v>
      </c>
      <c r="E2698" s="17" t="s">
        <v>22</v>
      </c>
      <c r="F2698" s="17" t="str">
        <f>INDEX(nrg_cb_e!$A$3:$A$40,MATCH(LEFT(MID('Industriesektor GWh'!$B2698,41,1000),SEARCH(" - ",MID('Industriesektor GWh'!$B2698,41,1000))-1),nrg_cb_e!$C$3:$C$40,0))</f>
        <v>FC_IND_WP_E</v>
      </c>
      <c r="G2698" s="18">
        <v>236</v>
      </c>
    </row>
    <row r="2699" spans="1:7" x14ac:dyDescent="0.2">
      <c r="A2699" s="19" t="s">
        <v>32</v>
      </c>
      <c r="B2699" s="20" t="s">
        <v>71</v>
      </c>
      <c r="C2699" s="20" t="s">
        <v>8</v>
      </c>
      <c r="D2699" s="20" t="s">
        <v>10</v>
      </c>
      <c r="E2699" s="20" t="s">
        <v>23</v>
      </c>
      <c r="F2699" s="20" t="str">
        <f>INDEX(nrg_cb_e!$A$3:$A$40,MATCH(LEFT(MID('Industriesektor GWh'!$B2699,41,1000),SEARCH(" - ",MID('Industriesektor GWh'!$B2699,41,1000))-1),nrg_cb_e!$C$3:$C$40,0))</f>
        <v>FC_IND_WP_E</v>
      </c>
      <c r="G2699" s="21">
        <v>219</v>
      </c>
    </row>
    <row r="2700" spans="1:7" x14ac:dyDescent="0.2">
      <c r="A2700" s="16" t="s">
        <v>32</v>
      </c>
      <c r="B2700" s="17" t="s">
        <v>71</v>
      </c>
      <c r="C2700" s="17" t="s">
        <v>8</v>
      </c>
      <c r="D2700" s="17" t="s">
        <v>10</v>
      </c>
      <c r="E2700" s="17" t="s">
        <v>24</v>
      </c>
      <c r="F2700" s="17" t="str">
        <f>INDEX(nrg_cb_e!$A$3:$A$40,MATCH(LEFT(MID('Industriesektor GWh'!$B2700,41,1000),SEARCH(" - ",MID('Industriesektor GWh'!$B2700,41,1000))-1),nrg_cb_e!$C$3:$C$40,0))</f>
        <v>FC_IND_WP_E</v>
      </c>
      <c r="G2700" s="18">
        <v>207</v>
      </c>
    </row>
    <row r="2701" spans="1:7" x14ac:dyDescent="0.2">
      <c r="A2701" s="19" t="s">
        <v>32</v>
      </c>
      <c r="B2701" s="20" t="s">
        <v>71</v>
      </c>
      <c r="C2701" s="20" t="s">
        <v>8</v>
      </c>
      <c r="D2701" s="20" t="s">
        <v>10</v>
      </c>
      <c r="E2701" s="20" t="s">
        <v>25</v>
      </c>
      <c r="F2701" s="20" t="str">
        <f>INDEX(nrg_cb_e!$A$3:$A$40,MATCH(LEFT(MID('Industriesektor GWh'!$B2701,41,1000),SEARCH(" - ",MID('Industriesektor GWh'!$B2701,41,1000))-1),nrg_cb_e!$C$3:$C$40,0))</f>
        <v>FC_IND_WP_E</v>
      </c>
      <c r="G2701" s="21">
        <v>205.071</v>
      </c>
    </row>
    <row r="2702" spans="1:7" x14ac:dyDescent="0.2">
      <c r="A2702" s="16" t="s">
        <v>32</v>
      </c>
      <c r="B2702" s="17" t="s">
        <v>71</v>
      </c>
      <c r="C2702" s="17" t="s">
        <v>8</v>
      </c>
      <c r="D2702" s="17" t="s">
        <v>10</v>
      </c>
      <c r="E2702" s="17" t="s">
        <v>26</v>
      </c>
      <c r="F2702" s="17" t="str">
        <f>INDEX(nrg_cb_e!$A$3:$A$40,MATCH(LEFT(MID('Industriesektor GWh'!$B2702,41,1000),SEARCH(" - ",MID('Industriesektor GWh'!$B2702,41,1000))-1),nrg_cb_e!$C$3:$C$40,0))</f>
        <v>FC_IND_WP_E</v>
      </c>
      <c r="G2702" s="18">
        <v>209.09399999999999</v>
      </c>
    </row>
    <row r="2703" spans="1:7" x14ac:dyDescent="0.2">
      <c r="A2703" s="19" t="s">
        <v>32</v>
      </c>
      <c r="B2703" s="20" t="s">
        <v>71</v>
      </c>
      <c r="C2703" s="20" t="s">
        <v>8</v>
      </c>
      <c r="D2703" s="20" t="s">
        <v>10</v>
      </c>
      <c r="E2703" s="20" t="s">
        <v>27</v>
      </c>
      <c r="F2703" s="20" t="str">
        <f>INDEX(nrg_cb_e!$A$3:$A$40,MATCH(LEFT(MID('Industriesektor GWh'!$B2703,41,1000),SEARCH(" - ",MID('Industriesektor GWh'!$B2703,41,1000))-1),nrg_cb_e!$C$3:$C$40,0))</f>
        <v>FC_IND_WP_E</v>
      </c>
      <c r="G2703" s="21">
        <v>212.303</v>
      </c>
    </row>
    <row r="2704" spans="1:7" x14ac:dyDescent="0.2">
      <c r="A2704" s="16" t="s">
        <v>32</v>
      </c>
      <c r="B2704" s="17" t="s">
        <v>71</v>
      </c>
      <c r="C2704" s="17" t="s">
        <v>8</v>
      </c>
      <c r="D2704" s="17" t="s">
        <v>10</v>
      </c>
      <c r="E2704" s="17" t="s">
        <v>28</v>
      </c>
      <c r="F2704" s="17" t="str">
        <f>INDEX(nrg_cb_e!$A$3:$A$40,MATCH(LEFT(MID('Industriesektor GWh'!$B2704,41,1000),SEARCH(" - ",MID('Industriesektor GWh'!$B2704,41,1000))-1),nrg_cb_e!$C$3:$C$40,0))</f>
        <v>FC_IND_WP_E</v>
      </c>
      <c r="G2704" s="18">
        <v>212.096</v>
      </c>
    </row>
    <row r="2705" spans="1:7" x14ac:dyDescent="0.2">
      <c r="A2705" s="19" t="s">
        <v>33</v>
      </c>
      <c r="B2705" s="20" t="s">
        <v>71</v>
      </c>
      <c r="C2705" s="20" t="s">
        <v>8</v>
      </c>
      <c r="D2705" s="20" t="s">
        <v>10</v>
      </c>
      <c r="E2705" s="20" t="s">
        <v>12</v>
      </c>
      <c r="F2705" s="20" t="str">
        <f>INDEX(nrg_cb_e!$A$3:$A$40,MATCH(LEFT(MID('Industriesektor GWh'!$B2705,41,1000),SEARCH(" - ",MID('Industriesektor GWh'!$B2705,41,1000))-1),nrg_cb_e!$C$3:$C$40,0))</f>
        <v>FC_IND_WP_E</v>
      </c>
      <c r="G2705" s="21">
        <v>4075</v>
      </c>
    </row>
    <row r="2706" spans="1:7" x14ac:dyDescent="0.2">
      <c r="A2706" s="16" t="s">
        <v>33</v>
      </c>
      <c r="B2706" s="17" t="s">
        <v>71</v>
      </c>
      <c r="C2706" s="17" t="s">
        <v>8</v>
      </c>
      <c r="D2706" s="17" t="s">
        <v>10</v>
      </c>
      <c r="E2706" s="17" t="s">
        <v>13</v>
      </c>
      <c r="F2706" s="17" t="str">
        <f>INDEX(nrg_cb_e!$A$3:$A$40,MATCH(LEFT(MID('Industriesektor GWh'!$B2706,41,1000),SEARCH(" - ",MID('Industriesektor GWh'!$B2706,41,1000))-1),nrg_cb_e!$C$3:$C$40,0))</f>
        <v>FC_IND_WP_E</v>
      </c>
      <c r="G2706" s="18">
        <v>4136</v>
      </c>
    </row>
    <row r="2707" spans="1:7" x14ac:dyDescent="0.2">
      <c r="A2707" s="19" t="s">
        <v>33</v>
      </c>
      <c r="B2707" s="20" t="s">
        <v>71</v>
      </c>
      <c r="C2707" s="20" t="s">
        <v>8</v>
      </c>
      <c r="D2707" s="20" t="s">
        <v>10</v>
      </c>
      <c r="E2707" s="20" t="s">
        <v>14</v>
      </c>
      <c r="F2707" s="20" t="str">
        <f>INDEX(nrg_cb_e!$A$3:$A$40,MATCH(LEFT(MID('Industriesektor GWh'!$B2707,41,1000),SEARCH(" - ",MID('Industriesektor GWh'!$B2707,41,1000))-1),nrg_cb_e!$C$3:$C$40,0))</f>
        <v>FC_IND_WP_E</v>
      </c>
      <c r="G2707" s="21">
        <v>4429</v>
      </c>
    </row>
    <row r="2708" spans="1:7" x14ac:dyDescent="0.2">
      <c r="A2708" s="16" t="s">
        <v>33</v>
      </c>
      <c r="B2708" s="17" t="s">
        <v>71</v>
      </c>
      <c r="C2708" s="17" t="s">
        <v>8</v>
      </c>
      <c r="D2708" s="17" t="s">
        <v>10</v>
      </c>
      <c r="E2708" s="17" t="s">
        <v>15</v>
      </c>
      <c r="F2708" s="17" t="str">
        <f>INDEX(nrg_cb_e!$A$3:$A$40,MATCH(LEFT(MID('Industriesektor GWh'!$B2708,41,1000),SEARCH(" - ",MID('Industriesektor GWh'!$B2708,41,1000))-1),nrg_cb_e!$C$3:$C$40,0))</f>
        <v>FC_IND_WP_E</v>
      </c>
      <c r="G2708" s="18">
        <v>4413</v>
      </c>
    </row>
    <row r="2709" spans="1:7" x14ac:dyDescent="0.2">
      <c r="A2709" s="19" t="s">
        <v>33</v>
      </c>
      <c r="B2709" s="20" t="s">
        <v>71</v>
      </c>
      <c r="C2709" s="20" t="s">
        <v>8</v>
      </c>
      <c r="D2709" s="20" t="s">
        <v>10</v>
      </c>
      <c r="E2709" s="20" t="s">
        <v>16</v>
      </c>
      <c r="F2709" s="20" t="str">
        <f>INDEX(nrg_cb_e!$A$3:$A$40,MATCH(LEFT(MID('Industriesektor GWh'!$B2709,41,1000),SEARCH(" - ",MID('Industriesektor GWh'!$B2709,41,1000))-1),nrg_cb_e!$C$3:$C$40,0))</f>
        <v>FC_IND_WP_E</v>
      </c>
      <c r="G2709" s="21">
        <v>4561</v>
      </c>
    </row>
    <row r="2710" spans="1:7" x14ac:dyDescent="0.2">
      <c r="A2710" s="16" t="s">
        <v>33</v>
      </c>
      <c r="B2710" s="17" t="s">
        <v>71</v>
      </c>
      <c r="C2710" s="17" t="s">
        <v>8</v>
      </c>
      <c r="D2710" s="17" t="s">
        <v>10</v>
      </c>
      <c r="E2710" s="17" t="s">
        <v>17</v>
      </c>
      <c r="F2710" s="17" t="str">
        <f>INDEX(nrg_cb_e!$A$3:$A$40,MATCH(LEFT(MID('Industriesektor GWh'!$B2710,41,1000),SEARCH(" - ",MID('Industriesektor GWh'!$B2710,41,1000))-1),nrg_cb_e!$C$3:$C$40,0))</f>
        <v>FC_IND_WP_E</v>
      </c>
      <c r="G2710" s="18">
        <v>4864</v>
      </c>
    </row>
    <row r="2711" spans="1:7" x14ac:dyDescent="0.2">
      <c r="A2711" s="19" t="s">
        <v>33</v>
      </c>
      <c r="B2711" s="20" t="s">
        <v>71</v>
      </c>
      <c r="C2711" s="20" t="s">
        <v>8</v>
      </c>
      <c r="D2711" s="20" t="s">
        <v>10</v>
      </c>
      <c r="E2711" s="20" t="s">
        <v>18</v>
      </c>
      <c r="F2711" s="20" t="str">
        <f>INDEX(nrg_cb_e!$A$3:$A$40,MATCH(LEFT(MID('Industriesektor GWh'!$B2711,41,1000),SEARCH(" - ",MID('Industriesektor GWh'!$B2711,41,1000))-1),nrg_cb_e!$C$3:$C$40,0))</f>
        <v>FC_IND_WP_E</v>
      </c>
      <c r="G2711" s="21">
        <v>4678</v>
      </c>
    </row>
    <row r="2712" spans="1:7" x14ac:dyDescent="0.2">
      <c r="A2712" s="16" t="s">
        <v>33</v>
      </c>
      <c r="B2712" s="17" t="s">
        <v>71</v>
      </c>
      <c r="C2712" s="17" t="s">
        <v>8</v>
      </c>
      <c r="D2712" s="17" t="s">
        <v>10</v>
      </c>
      <c r="E2712" s="17" t="s">
        <v>19</v>
      </c>
      <c r="F2712" s="17" t="str">
        <f>INDEX(nrg_cb_e!$A$3:$A$40,MATCH(LEFT(MID('Industriesektor GWh'!$B2712,41,1000),SEARCH(" - ",MID('Industriesektor GWh'!$B2712,41,1000))-1),nrg_cb_e!$C$3:$C$40,0))</f>
        <v>FC_IND_WP_E</v>
      </c>
      <c r="G2712" s="18">
        <v>4474</v>
      </c>
    </row>
    <row r="2713" spans="1:7" x14ac:dyDescent="0.2">
      <c r="A2713" s="19" t="s">
        <v>33</v>
      </c>
      <c r="B2713" s="20" t="s">
        <v>71</v>
      </c>
      <c r="C2713" s="20" t="s">
        <v>8</v>
      </c>
      <c r="D2713" s="20" t="s">
        <v>10</v>
      </c>
      <c r="E2713" s="20" t="s">
        <v>20</v>
      </c>
      <c r="F2713" s="20" t="str">
        <f>INDEX(nrg_cb_e!$A$3:$A$40,MATCH(LEFT(MID('Industriesektor GWh'!$B2713,41,1000),SEARCH(" - ",MID('Industriesektor GWh'!$B2713,41,1000))-1),nrg_cb_e!$C$3:$C$40,0))</f>
        <v>FC_IND_WP_E</v>
      </c>
      <c r="G2713" s="21">
        <v>4510</v>
      </c>
    </row>
    <row r="2714" spans="1:7" x14ac:dyDescent="0.2">
      <c r="A2714" s="16" t="s">
        <v>33</v>
      </c>
      <c r="B2714" s="17" t="s">
        <v>71</v>
      </c>
      <c r="C2714" s="17" t="s">
        <v>8</v>
      </c>
      <c r="D2714" s="17" t="s">
        <v>10</v>
      </c>
      <c r="E2714" s="17" t="s">
        <v>21</v>
      </c>
      <c r="F2714" s="17" t="str">
        <f>INDEX(nrg_cb_e!$A$3:$A$40,MATCH(LEFT(MID('Industriesektor GWh'!$B2714,41,1000),SEARCH(" - ",MID('Industriesektor GWh'!$B2714,41,1000))-1),nrg_cb_e!$C$3:$C$40,0))</f>
        <v>FC_IND_WP_E</v>
      </c>
      <c r="G2714" s="18">
        <v>4552</v>
      </c>
    </row>
    <row r="2715" spans="1:7" x14ac:dyDescent="0.2">
      <c r="A2715" s="19" t="s">
        <v>33</v>
      </c>
      <c r="B2715" s="20" t="s">
        <v>71</v>
      </c>
      <c r="C2715" s="20" t="s">
        <v>8</v>
      </c>
      <c r="D2715" s="20" t="s">
        <v>10</v>
      </c>
      <c r="E2715" s="20" t="s">
        <v>22</v>
      </c>
      <c r="F2715" s="20" t="str">
        <f>INDEX(nrg_cb_e!$A$3:$A$40,MATCH(LEFT(MID('Industriesektor GWh'!$B2715,41,1000),SEARCH(" - ",MID('Industriesektor GWh'!$B2715,41,1000))-1),nrg_cb_e!$C$3:$C$40,0))</f>
        <v>FC_IND_WP_E</v>
      </c>
      <c r="G2715" s="21">
        <v>4332</v>
      </c>
    </row>
    <row r="2716" spans="1:7" x14ac:dyDescent="0.2">
      <c r="A2716" s="16" t="s">
        <v>33</v>
      </c>
      <c r="B2716" s="17" t="s">
        <v>71</v>
      </c>
      <c r="C2716" s="17" t="s">
        <v>8</v>
      </c>
      <c r="D2716" s="17" t="s">
        <v>10</v>
      </c>
      <c r="E2716" s="17" t="s">
        <v>23</v>
      </c>
      <c r="F2716" s="17" t="str">
        <f>INDEX(nrg_cb_e!$A$3:$A$40,MATCH(LEFT(MID('Industriesektor GWh'!$B2716,41,1000),SEARCH(" - ",MID('Industriesektor GWh'!$B2716,41,1000))-1),nrg_cb_e!$C$3:$C$40,0))</f>
        <v>FC_IND_WP_E</v>
      </c>
      <c r="G2716" s="18">
        <v>4317</v>
      </c>
    </row>
    <row r="2717" spans="1:7" x14ac:dyDescent="0.2">
      <c r="A2717" s="19" t="s">
        <v>33</v>
      </c>
      <c r="B2717" s="20" t="s">
        <v>71</v>
      </c>
      <c r="C2717" s="20" t="s">
        <v>8</v>
      </c>
      <c r="D2717" s="20" t="s">
        <v>10</v>
      </c>
      <c r="E2717" s="20" t="s">
        <v>24</v>
      </c>
      <c r="F2717" s="20" t="str">
        <f>INDEX(nrg_cb_e!$A$3:$A$40,MATCH(LEFT(MID('Industriesektor GWh'!$B2717,41,1000),SEARCH(" - ",MID('Industriesektor GWh'!$B2717,41,1000))-1),nrg_cb_e!$C$3:$C$40,0))</f>
        <v>FC_IND_WP_E</v>
      </c>
      <c r="G2717" s="21">
        <v>4278</v>
      </c>
    </row>
    <row r="2718" spans="1:7" x14ac:dyDescent="0.2">
      <c r="A2718" s="16" t="s">
        <v>33</v>
      </c>
      <c r="B2718" s="17" t="s">
        <v>71</v>
      </c>
      <c r="C2718" s="17" t="s">
        <v>8</v>
      </c>
      <c r="D2718" s="17" t="s">
        <v>10</v>
      </c>
      <c r="E2718" s="17" t="s">
        <v>25</v>
      </c>
      <c r="F2718" s="17" t="str">
        <f>INDEX(nrg_cb_e!$A$3:$A$40,MATCH(LEFT(MID('Industriesektor GWh'!$B2718,41,1000),SEARCH(" - ",MID('Industriesektor GWh'!$B2718,41,1000))-1),nrg_cb_e!$C$3:$C$40,0))</f>
        <v>FC_IND_WP_E</v>
      </c>
      <c r="G2718" s="18">
        <v>4492</v>
      </c>
    </row>
    <row r="2719" spans="1:7" x14ac:dyDescent="0.2">
      <c r="A2719" s="19" t="s">
        <v>33</v>
      </c>
      <c r="B2719" s="20" t="s">
        <v>71</v>
      </c>
      <c r="C2719" s="20" t="s">
        <v>8</v>
      </c>
      <c r="D2719" s="20" t="s">
        <v>10</v>
      </c>
      <c r="E2719" s="20" t="s">
        <v>26</v>
      </c>
      <c r="F2719" s="20" t="str">
        <f>INDEX(nrg_cb_e!$A$3:$A$40,MATCH(LEFT(MID('Industriesektor GWh'!$B2719,41,1000),SEARCH(" - ",MID('Industriesektor GWh'!$B2719,41,1000))-1),nrg_cb_e!$C$3:$C$40,0))</f>
        <v>FC_IND_WP_E</v>
      </c>
      <c r="G2719" s="21">
        <v>4637</v>
      </c>
    </row>
    <row r="2720" spans="1:7" x14ac:dyDescent="0.2">
      <c r="A2720" s="16" t="s">
        <v>33</v>
      </c>
      <c r="B2720" s="17" t="s">
        <v>71</v>
      </c>
      <c r="C2720" s="17" t="s">
        <v>8</v>
      </c>
      <c r="D2720" s="17" t="s">
        <v>10</v>
      </c>
      <c r="E2720" s="17" t="s">
        <v>27</v>
      </c>
      <c r="F2720" s="17" t="str">
        <f>INDEX(nrg_cb_e!$A$3:$A$40,MATCH(LEFT(MID('Industriesektor GWh'!$B2720,41,1000),SEARCH(" - ",MID('Industriesektor GWh'!$B2720,41,1000))-1),nrg_cb_e!$C$3:$C$40,0))</f>
        <v>FC_IND_WP_E</v>
      </c>
      <c r="G2720" s="18">
        <v>4817</v>
      </c>
    </row>
    <row r="2721" spans="1:7" x14ac:dyDescent="0.2">
      <c r="A2721" s="19" t="s">
        <v>33</v>
      </c>
      <c r="B2721" s="20" t="s">
        <v>71</v>
      </c>
      <c r="C2721" s="20" t="s">
        <v>8</v>
      </c>
      <c r="D2721" s="20" t="s">
        <v>10</v>
      </c>
      <c r="E2721" s="20" t="s">
        <v>28</v>
      </c>
      <c r="F2721" s="20" t="str">
        <f>INDEX(nrg_cb_e!$A$3:$A$40,MATCH(LEFT(MID('Industriesektor GWh'!$B2721,41,1000),SEARCH(" - ",MID('Industriesektor GWh'!$B2721,41,1000))-1),nrg_cb_e!$C$3:$C$40,0))</f>
        <v>FC_IND_WP_E</v>
      </c>
      <c r="G2721" s="21">
        <v>4668</v>
      </c>
    </row>
    <row r="2722" spans="1:7" x14ac:dyDescent="0.2">
      <c r="A2722" s="16" t="s">
        <v>34</v>
      </c>
      <c r="B2722" s="17" t="s">
        <v>71</v>
      </c>
      <c r="C2722" s="17" t="s">
        <v>8</v>
      </c>
      <c r="D2722" s="17" t="s">
        <v>10</v>
      </c>
      <c r="E2722" s="17" t="s">
        <v>12</v>
      </c>
      <c r="F2722" s="17" t="str">
        <f>INDEX(nrg_cb_e!$A$3:$A$40,MATCH(LEFT(MID('Industriesektor GWh'!$B2722,41,1000),SEARCH(" - ",MID('Industriesektor GWh'!$B2722,41,1000))-1),nrg_cb_e!$C$3:$C$40,0))</f>
        <v>FC_IND_WP_E</v>
      </c>
      <c r="G2722" s="18">
        <v>243</v>
      </c>
    </row>
    <row r="2723" spans="1:7" x14ac:dyDescent="0.2">
      <c r="A2723" s="19" t="s">
        <v>34</v>
      </c>
      <c r="B2723" s="20" t="s">
        <v>71</v>
      </c>
      <c r="C2723" s="20" t="s">
        <v>8</v>
      </c>
      <c r="D2723" s="20" t="s">
        <v>10</v>
      </c>
      <c r="E2723" s="20" t="s">
        <v>13</v>
      </c>
      <c r="F2723" s="20" t="str">
        <f>INDEX(nrg_cb_e!$A$3:$A$40,MATCH(LEFT(MID('Industriesektor GWh'!$B2723,41,1000),SEARCH(" - ",MID('Industriesektor GWh'!$B2723,41,1000))-1),nrg_cb_e!$C$3:$C$40,0))</f>
        <v>FC_IND_WP_E</v>
      </c>
      <c r="G2723" s="21">
        <v>301</v>
      </c>
    </row>
    <row r="2724" spans="1:7" x14ac:dyDescent="0.2">
      <c r="A2724" s="16" t="s">
        <v>34</v>
      </c>
      <c r="B2724" s="17" t="s">
        <v>71</v>
      </c>
      <c r="C2724" s="17" t="s">
        <v>8</v>
      </c>
      <c r="D2724" s="17" t="s">
        <v>10</v>
      </c>
      <c r="E2724" s="17" t="s">
        <v>14</v>
      </c>
      <c r="F2724" s="17" t="str">
        <f>INDEX(nrg_cb_e!$A$3:$A$40,MATCH(LEFT(MID('Industriesektor GWh'!$B2724,41,1000),SEARCH(" - ",MID('Industriesektor GWh'!$B2724,41,1000))-1),nrg_cb_e!$C$3:$C$40,0))</f>
        <v>FC_IND_WP_E</v>
      </c>
      <c r="G2724" s="18">
        <v>341</v>
      </c>
    </row>
    <row r="2725" spans="1:7" x14ac:dyDescent="0.2">
      <c r="A2725" s="19" t="s">
        <v>34</v>
      </c>
      <c r="B2725" s="20" t="s">
        <v>71</v>
      </c>
      <c r="C2725" s="20" t="s">
        <v>8</v>
      </c>
      <c r="D2725" s="20" t="s">
        <v>10</v>
      </c>
      <c r="E2725" s="20" t="s">
        <v>15</v>
      </c>
      <c r="F2725" s="20" t="str">
        <f>INDEX(nrg_cb_e!$A$3:$A$40,MATCH(LEFT(MID('Industriesektor GWh'!$B2725,41,1000),SEARCH(" - ",MID('Industriesektor GWh'!$B2725,41,1000))-1),nrg_cb_e!$C$3:$C$40,0))</f>
        <v>FC_IND_WP_E</v>
      </c>
      <c r="G2725" s="21">
        <v>359</v>
      </c>
    </row>
    <row r="2726" spans="1:7" x14ac:dyDescent="0.2">
      <c r="A2726" s="16" t="s">
        <v>34</v>
      </c>
      <c r="B2726" s="17" t="s">
        <v>71</v>
      </c>
      <c r="C2726" s="17" t="s">
        <v>8</v>
      </c>
      <c r="D2726" s="17" t="s">
        <v>10</v>
      </c>
      <c r="E2726" s="17" t="s">
        <v>16</v>
      </c>
      <c r="F2726" s="17" t="str">
        <f>INDEX(nrg_cb_e!$A$3:$A$40,MATCH(LEFT(MID('Industriesektor GWh'!$B2726,41,1000),SEARCH(" - ",MID('Industriesektor GWh'!$B2726,41,1000))-1),nrg_cb_e!$C$3:$C$40,0))</f>
        <v>FC_IND_WP_E</v>
      </c>
      <c r="G2726" s="18">
        <v>364</v>
      </c>
    </row>
    <row r="2727" spans="1:7" x14ac:dyDescent="0.2">
      <c r="A2727" s="19" t="s">
        <v>34</v>
      </c>
      <c r="B2727" s="20" t="s">
        <v>71</v>
      </c>
      <c r="C2727" s="20" t="s">
        <v>8</v>
      </c>
      <c r="D2727" s="20" t="s">
        <v>10</v>
      </c>
      <c r="E2727" s="20" t="s">
        <v>17</v>
      </c>
      <c r="F2727" s="20" t="str">
        <f>INDEX(nrg_cb_e!$A$3:$A$40,MATCH(LEFT(MID('Industriesektor GWh'!$B2727,41,1000),SEARCH(" - ",MID('Industriesektor GWh'!$B2727,41,1000))-1),nrg_cb_e!$C$3:$C$40,0))</f>
        <v>FC_IND_WP_E</v>
      </c>
      <c r="G2727" s="21">
        <v>336</v>
      </c>
    </row>
    <row r="2728" spans="1:7" x14ac:dyDescent="0.2">
      <c r="A2728" s="16" t="s">
        <v>34</v>
      </c>
      <c r="B2728" s="17" t="s">
        <v>71</v>
      </c>
      <c r="C2728" s="17" t="s">
        <v>8</v>
      </c>
      <c r="D2728" s="17" t="s">
        <v>10</v>
      </c>
      <c r="E2728" s="17" t="s">
        <v>18</v>
      </c>
      <c r="F2728" s="17" t="str">
        <f>INDEX(nrg_cb_e!$A$3:$A$40,MATCH(LEFT(MID('Industriesektor GWh'!$B2728,41,1000),SEARCH(" - ",MID('Industriesektor GWh'!$B2728,41,1000))-1),nrg_cb_e!$C$3:$C$40,0))</f>
        <v>FC_IND_WP_E</v>
      </c>
      <c r="G2728" s="18">
        <v>288</v>
      </c>
    </row>
    <row r="2729" spans="1:7" x14ac:dyDescent="0.2">
      <c r="A2729" s="19" t="s">
        <v>34</v>
      </c>
      <c r="B2729" s="20" t="s">
        <v>71</v>
      </c>
      <c r="C2729" s="20" t="s">
        <v>8</v>
      </c>
      <c r="D2729" s="20" t="s">
        <v>10</v>
      </c>
      <c r="E2729" s="20" t="s">
        <v>19</v>
      </c>
      <c r="F2729" s="20" t="str">
        <f>INDEX(nrg_cb_e!$A$3:$A$40,MATCH(LEFT(MID('Industriesektor GWh'!$B2729,41,1000),SEARCH(" - ",MID('Industriesektor GWh'!$B2729,41,1000))-1),nrg_cb_e!$C$3:$C$40,0))</f>
        <v>FC_IND_WP_E</v>
      </c>
      <c r="G2729" s="21">
        <v>233</v>
      </c>
    </row>
    <row r="2730" spans="1:7" x14ac:dyDescent="0.2">
      <c r="A2730" s="16" t="s">
        <v>34</v>
      </c>
      <c r="B2730" s="17" t="s">
        <v>71</v>
      </c>
      <c r="C2730" s="17" t="s">
        <v>8</v>
      </c>
      <c r="D2730" s="17" t="s">
        <v>10</v>
      </c>
      <c r="E2730" s="17" t="s">
        <v>20</v>
      </c>
      <c r="F2730" s="17" t="str">
        <f>INDEX(nrg_cb_e!$A$3:$A$40,MATCH(LEFT(MID('Industriesektor GWh'!$B2730,41,1000),SEARCH(" - ",MID('Industriesektor GWh'!$B2730,41,1000))-1),nrg_cb_e!$C$3:$C$40,0))</f>
        <v>FC_IND_WP_E</v>
      </c>
      <c r="G2730" s="18">
        <v>278</v>
      </c>
    </row>
    <row r="2731" spans="1:7" x14ac:dyDescent="0.2">
      <c r="A2731" s="19" t="s">
        <v>34</v>
      </c>
      <c r="B2731" s="20" t="s">
        <v>71</v>
      </c>
      <c r="C2731" s="20" t="s">
        <v>8</v>
      </c>
      <c r="D2731" s="20" t="s">
        <v>10</v>
      </c>
      <c r="E2731" s="20" t="s">
        <v>21</v>
      </c>
      <c r="F2731" s="20" t="str">
        <f>INDEX(nrg_cb_e!$A$3:$A$40,MATCH(LEFT(MID('Industriesektor GWh'!$B2731,41,1000),SEARCH(" - ",MID('Industriesektor GWh'!$B2731,41,1000))-1),nrg_cb_e!$C$3:$C$40,0))</f>
        <v>FC_IND_WP_E</v>
      </c>
      <c r="G2731" s="21">
        <v>290</v>
      </c>
    </row>
    <row r="2732" spans="1:7" x14ac:dyDescent="0.2">
      <c r="A2732" s="16" t="s">
        <v>34</v>
      </c>
      <c r="B2732" s="17" t="s">
        <v>71</v>
      </c>
      <c r="C2732" s="17" t="s">
        <v>8</v>
      </c>
      <c r="D2732" s="17" t="s">
        <v>10</v>
      </c>
      <c r="E2732" s="17" t="s">
        <v>22</v>
      </c>
      <c r="F2732" s="17" t="str">
        <f>INDEX(nrg_cb_e!$A$3:$A$40,MATCH(LEFT(MID('Industriesektor GWh'!$B2732,41,1000),SEARCH(" - ",MID('Industriesektor GWh'!$B2732,41,1000))-1),nrg_cb_e!$C$3:$C$40,0))</f>
        <v>FC_IND_WP_E</v>
      </c>
      <c r="G2732" s="18">
        <v>314</v>
      </c>
    </row>
    <row r="2733" spans="1:7" x14ac:dyDescent="0.2">
      <c r="A2733" s="19" t="s">
        <v>34</v>
      </c>
      <c r="B2733" s="20" t="s">
        <v>71</v>
      </c>
      <c r="C2733" s="20" t="s">
        <v>8</v>
      </c>
      <c r="D2733" s="20" t="s">
        <v>10</v>
      </c>
      <c r="E2733" s="20" t="s">
        <v>23</v>
      </c>
      <c r="F2733" s="20" t="str">
        <f>INDEX(nrg_cb_e!$A$3:$A$40,MATCH(LEFT(MID('Industriesektor GWh'!$B2733,41,1000),SEARCH(" - ",MID('Industriesektor GWh'!$B2733,41,1000))-1),nrg_cb_e!$C$3:$C$40,0))</f>
        <v>FC_IND_WP_E</v>
      </c>
      <c r="G2733" s="21">
        <v>339</v>
      </c>
    </row>
    <row r="2734" spans="1:7" x14ac:dyDescent="0.2">
      <c r="A2734" s="16" t="s">
        <v>34</v>
      </c>
      <c r="B2734" s="17" t="s">
        <v>71</v>
      </c>
      <c r="C2734" s="17" t="s">
        <v>8</v>
      </c>
      <c r="D2734" s="17" t="s">
        <v>10</v>
      </c>
      <c r="E2734" s="17" t="s">
        <v>24</v>
      </c>
      <c r="F2734" s="17" t="str">
        <f>INDEX(nrg_cb_e!$A$3:$A$40,MATCH(LEFT(MID('Industriesektor GWh'!$B2734,41,1000),SEARCH(" - ",MID('Industriesektor GWh'!$B2734,41,1000))-1),nrg_cb_e!$C$3:$C$40,0))</f>
        <v>FC_IND_WP_E</v>
      </c>
      <c r="G2734" s="18">
        <v>365</v>
      </c>
    </row>
    <row r="2735" spans="1:7" x14ac:dyDescent="0.2">
      <c r="A2735" s="19" t="s">
        <v>34</v>
      </c>
      <c r="B2735" s="20" t="s">
        <v>71</v>
      </c>
      <c r="C2735" s="20" t="s">
        <v>8</v>
      </c>
      <c r="D2735" s="20" t="s">
        <v>10</v>
      </c>
      <c r="E2735" s="20" t="s">
        <v>25</v>
      </c>
      <c r="F2735" s="20" t="str">
        <f>INDEX(nrg_cb_e!$A$3:$A$40,MATCH(LEFT(MID('Industriesektor GWh'!$B2735,41,1000),SEARCH(" - ",MID('Industriesektor GWh'!$B2735,41,1000))-1),nrg_cb_e!$C$3:$C$40,0))</f>
        <v>FC_IND_WP_E</v>
      </c>
      <c r="G2735" s="21">
        <v>374</v>
      </c>
    </row>
    <row r="2736" spans="1:7" x14ac:dyDescent="0.2">
      <c r="A2736" s="16" t="s">
        <v>34</v>
      </c>
      <c r="B2736" s="17" t="s">
        <v>71</v>
      </c>
      <c r="C2736" s="17" t="s">
        <v>8</v>
      </c>
      <c r="D2736" s="17" t="s">
        <v>10</v>
      </c>
      <c r="E2736" s="17" t="s">
        <v>26</v>
      </c>
      <c r="F2736" s="17" t="str">
        <f>INDEX(nrg_cb_e!$A$3:$A$40,MATCH(LEFT(MID('Industriesektor GWh'!$B2736,41,1000),SEARCH(" - ",MID('Industriesektor GWh'!$B2736,41,1000))-1),nrg_cb_e!$C$3:$C$40,0))</f>
        <v>FC_IND_WP_E</v>
      </c>
      <c r="G2736" s="18">
        <v>412</v>
      </c>
    </row>
    <row r="2737" spans="1:7" x14ac:dyDescent="0.2">
      <c r="A2737" s="19" t="s">
        <v>34</v>
      </c>
      <c r="B2737" s="20" t="s">
        <v>71</v>
      </c>
      <c r="C2737" s="20" t="s">
        <v>8</v>
      </c>
      <c r="D2737" s="20" t="s">
        <v>10</v>
      </c>
      <c r="E2737" s="20" t="s">
        <v>27</v>
      </c>
      <c r="F2737" s="20" t="str">
        <f>INDEX(nrg_cb_e!$A$3:$A$40,MATCH(LEFT(MID('Industriesektor GWh'!$B2737,41,1000),SEARCH(" - ",MID('Industriesektor GWh'!$B2737,41,1000))-1),nrg_cb_e!$C$3:$C$40,0))</f>
        <v>FC_IND_WP_E</v>
      </c>
      <c r="G2737" s="21">
        <v>499</v>
      </c>
    </row>
    <row r="2738" spans="1:7" x14ac:dyDescent="0.2">
      <c r="A2738" s="16" t="s">
        <v>34</v>
      </c>
      <c r="B2738" s="17" t="s">
        <v>71</v>
      </c>
      <c r="C2738" s="17" t="s">
        <v>8</v>
      </c>
      <c r="D2738" s="17" t="s">
        <v>10</v>
      </c>
      <c r="E2738" s="17" t="s">
        <v>28</v>
      </c>
      <c r="F2738" s="17" t="str">
        <f>INDEX(nrg_cb_e!$A$3:$A$40,MATCH(LEFT(MID('Industriesektor GWh'!$B2738,41,1000),SEARCH(" - ",MID('Industriesektor GWh'!$B2738,41,1000))-1),nrg_cb_e!$C$3:$C$40,0))</f>
        <v>FC_IND_WP_E</v>
      </c>
      <c r="G2738" s="18">
        <v>539</v>
      </c>
    </row>
    <row r="2739" spans="1:7" x14ac:dyDescent="0.2">
      <c r="A2739" s="19" t="s">
        <v>35</v>
      </c>
      <c r="B2739" s="20" t="s">
        <v>71</v>
      </c>
      <c r="C2739" s="20" t="s">
        <v>8</v>
      </c>
      <c r="D2739" s="20" t="s">
        <v>10</v>
      </c>
      <c r="E2739" s="20" t="s">
        <v>12</v>
      </c>
      <c r="F2739" s="20" t="str">
        <f>INDEX(nrg_cb_e!$A$3:$A$40,MATCH(LEFT(MID('Industriesektor GWh'!$B2739,41,1000),SEARCH(" - ",MID('Industriesektor GWh'!$B2739,41,1000))-1),nrg_cb_e!$C$3:$C$40,0))</f>
        <v>FC_IND_WP_E</v>
      </c>
      <c r="G2739" s="21">
        <v>341.82400000000001</v>
      </c>
    </row>
    <row r="2740" spans="1:7" x14ac:dyDescent="0.2">
      <c r="A2740" s="16" t="s">
        <v>35</v>
      </c>
      <c r="B2740" s="17" t="s">
        <v>71</v>
      </c>
      <c r="C2740" s="17" t="s">
        <v>8</v>
      </c>
      <c r="D2740" s="17" t="s">
        <v>10</v>
      </c>
      <c r="E2740" s="17" t="s">
        <v>13</v>
      </c>
      <c r="F2740" s="17" t="str">
        <f>INDEX(nrg_cb_e!$A$3:$A$40,MATCH(LEFT(MID('Industriesektor GWh'!$B2740,41,1000),SEARCH(" - ",MID('Industriesektor GWh'!$B2740,41,1000))-1),nrg_cb_e!$C$3:$C$40,0))</f>
        <v>FC_IND_WP_E</v>
      </c>
      <c r="G2740" s="18">
        <v>318.286</v>
      </c>
    </row>
    <row r="2741" spans="1:7" x14ac:dyDescent="0.2">
      <c r="A2741" s="19" t="s">
        <v>35</v>
      </c>
      <c r="B2741" s="20" t="s">
        <v>71</v>
      </c>
      <c r="C2741" s="20" t="s">
        <v>8</v>
      </c>
      <c r="D2741" s="20" t="s">
        <v>10</v>
      </c>
      <c r="E2741" s="20" t="s">
        <v>14</v>
      </c>
      <c r="F2741" s="20" t="str">
        <f>INDEX(nrg_cb_e!$A$3:$A$40,MATCH(LEFT(MID('Industriesektor GWh'!$B2741,41,1000),SEARCH(" - ",MID('Industriesektor GWh'!$B2741,41,1000))-1),nrg_cb_e!$C$3:$C$40,0))</f>
        <v>FC_IND_WP_E</v>
      </c>
      <c r="G2741" s="21">
        <v>301.22300000000001</v>
      </c>
    </row>
    <row r="2742" spans="1:7" x14ac:dyDescent="0.2">
      <c r="A2742" s="16" t="s">
        <v>35</v>
      </c>
      <c r="B2742" s="17" t="s">
        <v>71</v>
      </c>
      <c r="C2742" s="17" t="s">
        <v>8</v>
      </c>
      <c r="D2742" s="17" t="s">
        <v>10</v>
      </c>
      <c r="E2742" s="17" t="s">
        <v>15</v>
      </c>
      <c r="F2742" s="17" t="str">
        <f>INDEX(nrg_cb_e!$A$3:$A$40,MATCH(LEFT(MID('Industriesektor GWh'!$B2742,41,1000),SEARCH(" - ",MID('Industriesektor GWh'!$B2742,41,1000))-1),nrg_cb_e!$C$3:$C$40,0))</f>
        <v>FC_IND_WP_E</v>
      </c>
      <c r="G2742" s="18">
        <v>335.69900000000001</v>
      </c>
    </row>
    <row r="2743" spans="1:7" x14ac:dyDescent="0.2">
      <c r="A2743" s="19" t="s">
        <v>35</v>
      </c>
      <c r="B2743" s="20" t="s">
        <v>71</v>
      </c>
      <c r="C2743" s="20" t="s">
        <v>8</v>
      </c>
      <c r="D2743" s="20" t="s">
        <v>10</v>
      </c>
      <c r="E2743" s="20" t="s">
        <v>16</v>
      </c>
      <c r="F2743" s="20" t="str">
        <f>INDEX(nrg_cb_e!$A$3:$A$40,MATCH(LEFT(MID('Industriesektor GWh'!$B2743,41,1000),SEARCH(" - ",MID('Industriesektor GWh'!$B2743,41,1000))-1),nrg_cb_e!$C$3:$C$40,0))</f>
        <v>FC_IND_WP_E</v>
      </c>
      <c r="G2743" s="21">
        <v>366.78199999999998</v>
      </c>
    </row>
    <row r="2744" spans="1:7" x14ac:dyDescent="0.2">
      <c r="A2744" s="16" t="s">
        <v>35</v>
      </c>
      <c r="B2744" s="17" t="s">
        <v>71</v>
      </c>
      <c r="C2744" s="17" t="s">
        <v>8</v>
      </c>
      <c r="D2744" s="17" t="s">
        <v>10</v>
      </c>
      <c r="E2744" s="17" t="s">
        <v>17</v>
      </c>
      <c r="F2744" s="17" t="str">
        <f>INDEX(nrg_cb_e!$A$3:$A$40,MATCH(LEFT(MID('Industriesektor GWh'!$B2744,41,1000),SEARCH(" - ",MID('Industriesektor GWh'!$B2744,41,1000))-1),nrg_cb_e!$C$3:$C$40,0))</f>
        <v>FC_IND_WP_E</v>
      </c>
      <c r="G2744" s="18">
        <v>389.053</v>
      </c>
    </row>
    <row r="2745" spans="1:7" x14ac:dyDescent="0.2">
      <c r="A2745" s="19" t="s">
        <v>35</v>
      </c>
      <c r="B2745" s="20" t="s">
        <v>71</v>
      </c>
      <c r="C2745" s="20" t="s">
        <v>8</v>
      </c>
      <c r="D2745" s="20" t="s">
        <v>10</v>
      </c>
      <c r="E2745" s="20" t="s">
        <v>18</v>
      </c>
      <c r="F2745" s="20" t="str">
        <f>INDEX(nrg_cb_e!$A$3:$A$40,MATCH(LEFT(MID('Industriesektor GWh'!$B2745,41,1000),SEARCH(" - ",MID('Industriesektor GWh'!$B2745,41,1000))-1),nrg_cb_e!$C$3:$C$40,0))</f>
        <v>FC_IND_WP_E</v>
      </c>
      <c r="G2745" s="21">
        <v>301.33499999999998</v>
      </c>
    </row>
    <row r="2746" spans="1:7" x14ac:dyDescent="0.2">
      <c r="A2746" s="16" t="s">
        <v>35</v>
      </c>
      <c r="B2746" s="17" t="s">
        <v>71</v>
      </c>
      <c r="C2746" s="17" t="s">
        <v>8</v>
      </c>
      <c r="D2746" s="17" t="s">
        <v>10</v>
      </c>
      <c r="E2746" s="17" t="s">
        <v>19</v>
      </c>
      <c r="F2746" s="17" t="str">
        <f>INDEX(nrg_cb_e!$A$3:$A$40,MATCH(LEFT(MID('Industriesektor GWh'!$B2746,41,1000),SEARCH(" - ",MID('Industriesektor GWh'!$B2746,41,1000))-1),nrg_cb_e!$C$3:$C$40,0))</f>
        <v>FC_IND_WP_E</v>
      </c>
      <c r="G2746" s="18">
        <v>329.62599999999998</v>
      </c>
    </row>
    <row r="2747" spans="1:7" x14ac:dyDescent="0.2">
      <c r="A2747" s="19" t="s">
        <v>35</v>
      </c>
      <c r="B2747" s="20" t="s">
        <v>71</v>
      </c>
      <c r="C2747" s="20" t="s">
        <v>8</v>
      </c>
      <c r="D2747" s="20" t="s">
        <v>10</v>
      </c>
      <c r="E2747" s="20" t="s">
        <v>20</v>
      </c>
      <c r="F2747" s="20" t="str">
        <f>INDEX(nrg_cb_e!$A$3:$A$40,MATCH(LEFT(MID('Industriesektor GWh'!$B2747,41,1000),SEARCH(" - ",MID('Industriesektor GWh'!$B2747,41,1000))-1),nrg_cb_e!$C$3:$C$40,0))</f>
        <v>FC_IND_WP_E</v>
      </c>
      <c r="G2747" s="21">
        <v>390.31299999999999</v>
      </c>
    </row>
    <row r="2748" spans="1:7" x14ac:dyDescent="0.2">
      <c r="A2748" s="16" t="s">
        <v>35</v>
      </c>
      <c r="B2748" s="17" t="s">
        <v>71</v>
      </c>
      <c r="C2748" s="17" t="s">
        <v>8</v>
      </c>
      <c r="D2748" s="17" t="s">
        <v>10</v>
      </c>
      <c r="E2748" s="17" t="s">
        <v>21</v>
      </c>
      <c r="F2748" s="17" t="str">
        <f>INDEX(nrg_cb_e!$A$3:$A$40,MATCH(LEFT(MID('Industriesektor GWh'!$B2748,41,1000),SEARCH(" - ",MID('Industriesektor GWh'!$B2748,41,1000))-1),nrg_cb_e!$C$3:$C$40,0))</f>
        <v>FC_IND_WP_E</v>
      </c>
      <c r="G2748" s="18">
        <v>407.47800000000001</v>
      </c>
    </row>
    <row r="2749" spans="1:7" x14ac:dyDescent="0.2">
      <c r="A2749" s="19" t="s">
        <v>35</v>
      </c>
      <c r="B2749" s="20" t="s">
        <v>71</v>
      </c>
      <c r="C2749" s="20" t="s">
        <v>8</v>
      </c>
      <c r="D2749" s="20" t="s">
        <v>10</v>
      </c>
      <c r="E2749" s="20" t="s">
        <v>22</v>
      </c>
      <c r="F2749" s="20" t="str">
        <f>INDEX(nrg_cb_e!$A$3:$A$40,MATCH(LEFT(MID('Industriesektor GWh'!$B2749,41,1000),SEARCH(" - ",MID('Industriesektor GWh'!$B2749,41,1000))-1),nrg_cb_e!$C$3:$C$40,0))</f>
        <v>FC_IND_WP_E</v>
      </c>
      <c r="G2749" s="21">
        <v>392.18599999999998</v>
      </c>
    </row>
    <row r="2750" spans="1:7" x14ac:dyDescent="0.2">
      <c r="A2750" s="16" t="s">
        <v>35</v>
      </c>
      <c r="B2750" s="17" t="s">
        <v>71</v>
      </c>
      <c r="C2750" s="17" t="s">
        <v>8</v>
      </c>
      <c r="D2750" s="17" t="s">
        <v>10</v>
      </c>
      <c r="E2750" s="17" t="s">
        <v>23</v>
      </c>
      <c r="F2750" s="17" t="str">
        <f>INDEX(nrg_cb_e!$A$3:$A$40,MATCH(LEFT(MID('Industriesektor GWh'!$B2750,41,1000),SEARCH(" - ",MID('Industriesektor GWh'!$B2750,41,1000))-1),nrg_cb_e!$C$3:$C$40,0))</f>
        <v>FC_IND_WP_E</v>
      </c>
      <c r="G2750" s="18">
        <v>398.26799999999997</v>
      </c>
    </row>
    <row r="2751" spans="1:7" x14ac:dyDescent="0.2">
      <c r="A2751" s="19" t="s">
        <v>35</v>
      </c>
      <c r="B2751" s="20" t="s">
        <v>71</v>
      </c>
      <c r="C2751" s="20" t="s">
        <v>8</v>
      </c>
      <c r="D2751" s="20" t="s">
        <v>10</v>
      </c>
      <c r="E2751" s="20" t="s">
        <v>24</v>
      </c>
      <c r="F2751" s="20" t="str">
        <f>INDEX(nrg_cb_e!$A$3:$A$40,MATCH(LEFT(MID('Industriesektor GWh'!$B2751,41,1000),SEARCH(" - ",MID('Industriesektor GWh'!$B2751,41,1000))-1),nrg_cb_e!$C$3:$C$40,0))</f>
        <v>FC_IND_WP_E</v>
      </c>
      <c r="G2751" s="21">
        <v>403.02499999999998</v>
      </c>
    </row>
    <row r="2752" spans="1:7" x14ac:dyDescent="0.2">
      <c r="A2752" s="16" t="s">
        <v>35</v>
      </c>
      <c r="B2752" s="17" t="s">
        <v>71</v>
      </c>
      <c r="C2752" s="17" t="s">
        <v>8</v>
      </c>
      <c r="D2752" s="17" t="s">
        <v>10</v>
      </c>
      <c r="E2752" s="17" t="s">
        <v>25</v>
      </c>
      <c r="F2752" s="17" t="str">
        <f>INDEX(nrg_cb_e!$A$3:$A$40,MATCH(LEFT(MID('Industriesektor GWh'!$B2752,41,1000),SEARCH(" - ",MID('Industriesektor GWh'!$B2752,41,1000))-1),nrg_cb_e!$C$3:$C$40,0))</f>
        <v>FC_IND_WP_E</v>
      </c>
      <c r="G2752" s="18">
        <v>422.14499999999998</v>
      </c>
    </row>
    <row r="2753" spans="1:7" x14ac:dyDescent="0.2">
      <c r="A2753" s="19" t="s">
        <v>35</v>
      </c>
      <c r="B2753" s="20" t="s">
        <v>71</v>
      </c>
      <c r="C2753" s="20" t="s">
        <v>8</v>
      </c>
      <c r="D2753" s="20" t="s">
        <v>10</v>
      </c>
      <c r="E2753" s="20" t="s">
        <v>26</v>
      </c>
      <c r="F2753" s="20" t="str">
        <f>INDEX(nrg_cb_e!$A$3:$A$40,MATCH(LEFT(MID('Industriesektor GWh'!$B2753,41,1000),SEARCH(" - ",MID('Industriesektor GWh'!$B2753,41,1000))-1),nrg_cb_e!$C$3:$C$40,0))</f>
        <v>FC_IND_WP_E</v>
      </c>
      <c r="G2753" s="21">
        <v>435.88200000000001</v>
      </c>
    </row>
    <row r="2754" spans="1:7" x14ac:dyDescent="0.2">
      <c r="A2754" s="16" t="s">
        <v>35</v>
      </c>
      <c r="B2754" s="17" t="s">
        <v>71</v>
      </c>
      <c r="C2754" s="17" t="s">
        <v>8</v>
      </c>
      <c r="D2754" s="17" t="s">
        <v>10</v>
      </c>
      <c r="E2754" s="17" t="s">
        <v>27</v>
      </c>
      <c r="F2754" s="17" t="str">
        <f>INDEX(nrg_cb_e!$A$3:$A$40,MATCH(LEFT(MID('Industriesektor GWh'!$B2754,41,1000),SEARCH(" - ",MID('Industriesektor GWh'!$B2754,41,1000))-1),nrg_cb_e!$C$3:$C$40,0))</f>
        <v>FC_IND_WP_E</v>
      </c>
      <c r="G2754" s="18">
        <v>440.73</v>
      </c>
    </row>
    <row r="2755" spans="1:7" x14ac:dyDescent="0.2">
      <c r="A2755" s="19" t="s">
        <v>35</v>
      </c>
      <c r="B2755" s="20" t="s">
        <v>71</v>
      </c>
      <c r="C2755" s="20" t="s">
        <v>8</v>
      </c>
      <c r="D2755" s="20" t="s">
        <v>10</v>
      </c>
      <c r="E2755" s="20" t="s">
        <v>28</v>
      </c>
      <c r="F2755" s="20" t="str">
        <f>INDEX(nrg_cb_e!$A$3:$A$40,MATCH(LEFT(MID('Industriesektor GWh'!$B2755,41,1000),SEARCH(" - ",MID('Industriesektor GWh'!$B2755,41,1000))-1),nrg_cb_e!$C$3:$C$40,0))</f>
        <v>FC_IND_WP_E</v>
      </c>
      <c r="G2755" s="21">
        <v>469.036</v>
      </c>
    </row>
    <row r="2756" spans="1:7" x14ac:dyDescent="0.2">
      <c r="A2756" s="16" t="s">
        <v>36</v>
      </c>
      <c r="B2756" s="17" t="s">
        <v>71</v>
      </c>
      <c r="C2756" s="17" t="s">
        <v>8</v>
      </c>
      <c r="D2756" s="17" t="s">
        <v>10</v>
      </c>
      <c r="E2756" s="17" t="s">
        <v>12</v>
      </c>
      <c r="F2756" s="17" t="str">
        <f>INDEX(nrg_cb_e!$A$3:$A$40,MATCH(LEFT(MID('Industriesektor GWh'!$B2756,41,1000),SEARCH(" - ",MID('Industriesektor GWh'!$B2756,41,1000))-1),nrg_cb_e!$C$3:$C$40,0))</f>
        <v>FC_IND_WP_E</v>
      </c>
      <c r="G2756" s="18">
        <v>150</v>
      </c>
    </row>
    <row r="2757" spans="1:7" x14ac:dyDescent="0.2">
      <c r="A2757" s="19" t="s">
        <v>36</v>
      </c>
      <c r="B2757" s="20" t="s">
        <v>71</v>
      </c>
      <c r="C2757" s="20" t="s">
        <v>8</v>
      </c>
      <c r="D2757" s="20" t="s">
        <v>10</v>
      </c>
      <c r="E2757" s="20" t="s">
        <v>13</v>
      </c>
      <c r="F2757" s="20" t="str">
        <f>INDEX(nrg_cb_e!$A$3:$A$40,MATCH(LEFT(MID('Industriesektor GWh'!$B2757,41,1000),SEARCH(" - ",MID('Industriesektor GWh'!$B2757,41,1000))-1),nrg_cb_e!$C$3:$C$40,0))</f>
        <v>FC_IND_WP_E</v>
      </c>
      <c r="G2757" s="21">
        <v>248</v>
      </c>
    </row>
    <row r="2758" spans="1:7" x14ac:dyDescent="0.2">
      <c r="A2758" s="16" t="s">
        <v>36</v>
      </c>
      <c r="B2758" s="17" t="s">
        <v>71</v>
      </c>
      <c r="C2758" s="17" t="s">
        <v>8</v>
      </c>
      <c r="D2758" s="17" t="s">
        <v>10</v>
      </c>
      <c r="E2758" s="17" t="s">
        <v>14</v>
      </c>
      <c r="F2758" s="17" t="str">
        <f>INDEX(nrg_cb_e!$A$3:$A$40,MATCH(LEFT(MID('Industriesektor GWh'!$B2758,41,1000),SEARCH(" - ",MID('Industriesektor GWh'!$B2758,41,1000))-1),nrg_cb_e!$C$3:$C$40,0))</f>
        <v>FC_IND_WP_E</v>
      </c>
      <c r="G2758" s="18">
        <v>273</v>
      </c>
    </row>
    <row r="2759" spans="1:7" x14ac:dyDescent="0.2">
      <c r="A2759" s="19" t="s">
        <v>36</v>
      </c>
      <c r="B2759" s="20" t="s">
        <v>71</v>
      </c>
      <c r="C2759" s="20" t="s">
        <v>8</v>
      </c>
      <c r="D2759" s="20" t="s">
        <v>10</v>
      </c>
      <c r="E2759" s="20" t="s">
        <v>15</v>
      </c>
      <c r="F2759" s="20" t="str">
        <f>INDEX(nrg_cb_e!$A$3:$A$40,MATCH(LEFT(MID('Industriesektor GWh'!$B2759,41,1000),SEARCH(" - ",MID('Industriesektor GWh'!$B2759,41,1000))-1),nrg_cb_e!$C$3:$C$40,0))</f>
        <v>FC_IND_WP_E</v>
      </c>
      <c r="G2759" s="21">
        <v>221</v>
      </c>
    </row>
    <row r="2760" spans="1:7" x14ac:dyDescent="0.2">
      <c r="A2760" s="16" t="s">
        <v>36</v>
      </c>
      <c r="B2760" s="17" t="s">
        <v>71</v>
      </c>
      <c r="C2760" s="17" t="s">
        <v>8</v>
      </c>
      <c r="D2760" s="17" t="s">
        <v>10</v>
      </c>
      <c r="E2760" s="17" t="s">
        <v>16</v>
      </c>
      <c r="F2760" s="17" t="str">
        <f>INDEX(nrg_cb_e!$A$3:$A$40,MATCH(LEFT(MID('Industriesektor GWh'!$B2760,41,1000),SEARCH(" - ",MID('Industriesektor GWh'!$B2760,41,1000))-1),nrg_cb_e!$C$3:$C$40,0))</f>
        <v>FC_IND_WP_E</v>
      </c>
      <c r="G2760" s="18">
        <v>237</v>
      </c>
    </row>
    <row r="2761" spans="1:7" x14ac:dyDescent="0.2">
      <c r="A2761" s="19" t="s">
        <v>36</v>
      </c>
      <c r="B2761" s="20" t="s">
        <v>71</v>
      </c>
      <c r="C2761" s="20" t="s">
        <v>8</v>
      </c>
      <c r="D2761" s="20" t="s">
        <v>10</v>
      </c>
      <c r="E2761" s="20" t="s">
        <v>17</v>
      </c>
      <c r="F2761" s="20" t="str">
        <f>INDEX(nrg_cb_e!$A$3:$A$40,MATCH(LEFT(MID('Industriesektor GWh'!$B2761,41,1000),SEARCH(" - ",MID('Industriesektor GWh'!$B2761,41,1000))-1),nrg_cb_e!$C$3:$C$40,0))</f>
        <v>FC_IND_WP_E</v>
      </c>
      <c r="G2761" s="21">
        <v>265</v>
      </c>
    </row>
    <row r="2762" spans="1:7" x14ac:dyDescent="0.2">
      <c r="A2762" s="16" t="s">
        <v>36</v>
      </c>
      <c r="B2762" s="17" t="s">
        <v>71</v>
      </c>
      <c r="C2762" s="17" t="s">
        <v>8</v>
      </c>
      <c r="D2762" s="17" t="s">
        <v>10</v>
      </c>
      <c r="E2762" s="17" t="s">
        <v>18</v>
      </c>
      <c r="F2762" s="17" t="str">
        <f>INDEX(nrg_cb_e!$A$3:$A$40,MATCH(LEFT(MID('Industriesektor GWh'!$B2762,41,1000),SEARCH(" - ",MID('Industriesektor GWh'!$B2762,41,1000))-1),nrg_cb_e!$C$3:$C$40,0))</f>
        <v>FC_IND_WP_E</v>
      </c>
      <c r="G2762" s="18">
        <v>270</v>
      </c>
    </row>
    <row r="2763" spans="1:7" x14ac:dyDescent="0.2">
      <c r="A2763" s="19" t="s">
        <v>36</v>
      </c>
      <c r="B2763" s="20" t="s">
        <v>71</v>
      </c>
      <c r="C2763" s="20" t="s">
        <v>8</v>
      </c>
      <c r="D2763" s="20" t="s">
        <v>10</v>
      </c>
      <c r="E2763" s="20" t="s">
        <v>19</v>
      </c>
      <c r="F2763" s="20" t="str">
        <f>INDEX(nrg_cb_e!$A$3:$A$40,MATCH(LEFT(MID('Industriesektor GWh'!$B2763,41,1000),SEARCH(" - ",MID('Industriesektor GWh'!$B2763,41,1000))-1),nrg_cb_e!$C$3:$C$40,0))</f>
        <v>FC_IND_WP_E</v>
      </c>
      <c r="G2763" s="21">
        <v>226</v>
      </c>
    </row>
    <row r="2764" spans="1:7" x14ac:dyDescent="0.2">
      <c r="A2764" s="16" t="s">
        <v>36</v>
      </c>
      <c r="B2764" s="17" t="s">
        <v>71</v>
      </c>
      <c r="C2764" s="17" t="s">
        <v>8</v>
      </c>
      <c r="D2764" s="17" t="s">
        <v>10</v>
      </c>
      <c r="E2764" s="17" t="s">
        <v>20</v>
      </c>
      <c r="F2764" s="17" t="str">
        <f>INDEX(nrg_cb_e!$A$3:$A$40,MATCH(LEFT(MID('Industriesektor GWh'!$B2764,41,1000),SEARCH(" - ",MID('Industriesektor GWh'!$B2764,41,1000))-1),nrg_cb_e!$C$3:$C$40,0))</f>
        <v>FC_IND_WP_E</v>
      </c>
      <c r="G2764" s="18">
        <v>222</v>
      </c>
    </row>
    <row r="2765" spans="1:7" x14ac:dyDescent="0.2">
      <c r="A2765" s="19" t="s">
        <v>36</v>
      </c>
      <c r="B2765" s="20" t="s">
        <v>71</v>
      </c>
      <c r="C2765" s="20" t="s">
        <v>8</v>
      </c>
      <c r="D2765" s="20" t="s">
        <v>10</v>
      </c>
      <c r="E2765" s="20" t="s">
        <v>21</v>
      </c>
      <c r="F2765" s="20" t="str">
        <f>INDEX(nrg_cb_e!$A$3:$A$40,MATCH(LEFT(MID('Industriesektor GWh'!$B2765,41,1000),SEARCH(" - ",MID('Industriesektor GWh'!$B2765,41,1000))-1),nrg_cb_e!$C$3:$C$40,0))</f>
        <v>FC_IND_WP_E</v>
      </c>
      <c r="G2765" s="21">
        <v>308</v>
      </c>
    </row>
    <row r="2766" spans="1:7" x14ac:dyDescent="0.2">
      <c r="A2766" s="16" t="s">
        <v>36</v>
      </c>
      <c r="B2766" s="17" t="s">
        <v>71</v>
      </c>
      <c r="C2766" s="17" t="s">
        <v>8</v>
      </c>
      <c r="D2766" s="17" t="s">
        <v>10</v>
      </c>
      <c r="E2766" s="17" t="s">
        <v>22</v>
      </c>
      <c r="F2766" s="17" t="str">
        <f>INDEX(nrg_cb_e!$A$3:$A$40,MATCH(LEFT(MID('Industriesektor GWh'!$B2766,41,1000),SEARCH(" - ",MID('Industriesektor GWh'!$B2766,41,1000))-1),nrg_cb_e!$C$3:$C$40,0))</f>
        <v>FC_IND_WP_E</v>
      </c>
      <c r="G2766" s="18">
        <v>200</v>
      </c>
    </row>
    <row r="2767" spans="1:7" x14ac:dyDescent="0.2">
      <c r="A2767" s="19" t="s">
        <v>36</v>
      </c>
      <c r="B2767" s="20" t="s">
        <v>71</v>
      </c>
      <c r="C2767" s="20" t="s">
        <v>8</v>
      </c>
      <c r="D2767" s="20" t="s">
        <v>10</v>
      </c>
      <c r="E2767" s="20" t="s">
        <v>23</v>
      </c>
      <c r="F2767" s="20" t="str">
        <f>INDEX(nrg_cb_e!$A$3:$A$40,MATCH(LEFT(MID('Industriesektor GWh'!$B2767,41,1000),SEARCH(" - ",MID('Industriesektor GWh'!$B2767,41,1000))-1),nrg_cb_e!$C$3:$C$40,0))</f>
        <v>FC_IND_WP_E</v>
      </c>
      <c r="G2767" s="21">
        <v>137</v>
      </c>
    </row>
    <row r="2768" spans="1:7" x14ac:dyDescent="0.2">
      <c r="A2768" s="16" t="s">
        <v>36</v>
      </c>
      <c r="B2768" s="17" t="s">
        <v>71</v>
      </c>
      <c r="C2768" s="17" t="s">
        <v>8</v>
      </c>
      <c r="D2768" s="17" t="s">
        <v>10</v>
      </c>
      <c r="E2768" s="17" t="s">
        <v>24</v>
      </c>
      <c r="F2768" s="17" t="str">
        <f>INDEX(nrg_cb_e!$A$3:$A$40,MATCH(LEFT(MID('Industriesektor GWh'!$B2768,41,1000),SEARCH(" - ",MID('Industriesektor GWh'!$B2768,41,1000))-1),nrg_cb_e!$C$3:$C$40,0))</f>
        <v>FC_IND_WP_E</v>
      </c>
      <c r="G2768" s="18">
        <v>130</v>
      </c>
    </row>
    <row r="2769" spans="1:7" x14ac:dyDescent="0.2">
      <c r="A2769" s="19" t="s">
        <v>36</v>
      </c>
      <c r="B2769" s="20" t="s">
        <v>71</v>
      </c>
      <c r="C2769" s="20" t="s">
        <v>8</v>
      </c>
      <c r="D2769" s="20" t="s">
        <v>10</v>
      </c>
      <c r="E2769" s="20" t="s">
        <v>25</v>
      </c>
      <c r="F2769" s="20" t="str">
        <f>INDEX(nrg_cb_e!$A$3:$A$40,MATCH(LEFT(MID('Industriesektor GWh'!$B2769,41,1000),SEARCH(" - ",MID('Industriesektor GWh'!$B2769,41,1000))-1),nrg_cb_e!$C$3:$C$40,0))</f>
        <v>FC_IND_WP_E</v>
      </c>
      <c r="G2769" s="21">
        <v>128</v>
      </c>
    </row>
    <row r="2770" spans="1:7" x14ac:dyDescent="0.2">
      <c r="A2770" s="16" t="s">
        <v>36</v>
      </c>
      <c r="B2770" s="17" t="s">
        <v>71</v>
      </c>
      <c r="C2770" s="17" t="s">
        <v>8</v>
      </c>
      <c r="D2770" s="17" t="s">
        <v>10</v>
      </c>
      <c r="E2770" s="17" t="s">
        <v>26</v>
      </c>
      <c r="F2770" s="17" t="str">
        <f>INDEX(nrg_cb_e!$A$3:$A$40,MATCH(LEFT(MID('Industriesektor GWh'!$B2770,41,1000),SEARCH(" - ",MID('Industriesektor GWh'!$B2770,41,1000))-1),nrg_cb_e!$C$3:$C$40,0))</f>
        <v>FC_IND_WP_E</v>
      </c>
      <c r="G2770" s="18">
        <v>54</v>
      </c>
    </row>
    <row r="2771" spans="1:7" x14ac:dyDescent="0.2">
      <c r="A2771" s="19" t="s">
        <v>36</v>
      </c>
      <c r="B2771" s="20" t="s">
        <v>71</v>
      </c>
      <c r="C2771" s="20" t="s">
        <v>8</v>
      </c>
      <c r="D2771" s="20" t="s">
        <v>10</v>
      </c>
      <c r="E2771" s="20" t="s">
        <v>27</v>
      </c>
      <c r="F2771" s="20" t="str">
        <f>INDEX(nrg_cb_e!$A$3:$A$40,MATCH(LEFT(MID('Industriesektor GWh'!$B2771,41,1000),SEARCH(" - ",MID('Industriesektor GWh'!$B2771,41,1000))-1),nrg_cb_e!$C$3:$C$40,0))</f>
        <v>FC_IND_WP_E</v>
      </c>
      <c r="G2771" s="21">
        <v>65.814999999999998</v>
      </c>
    </row>
    <row r="2772" spans="1:7" x14ac:dyDescent="0.2">
      <c r="A2772" s="16" t="s">
        <v>36</v>
      </c>
      <c r="B2772" s="17" t="s">
        <v>71</v>
      </c>
      <c r="C2772" s="17" t="s">
        <v>8</v>
      </c>
      <c r="D2772" s="17" t="s">
        <v>10</v>
      </c>
      <c r="E2772" s="17" t="s">
        <v>28</v>
      </c>
      <c r="F2772" s="17" t="str">
        <f>INDEX(nrg_cb_e!$A$3:$A$40,MATCH(LEFT(MID('Industriesektor GWh'!$B2772,41,1000),SEARCH(" - ",MID('Industriesektor GWh'!$B2772,41,1000))-1),nrg_cb_e!$C$3:$C$40,0))</f>
        <v>FC_IND_WP_E</v>
      </c>
      <c r="G2772" s="18">
        <v>265.74</v>
      </c>
    </row>
    <row r="2773" spans="1:7" x14ac:dyDescent="0.2">
      <c r="A2773" s="19" t="s">
        <v>37</v>
      </c>
      <c r="B2773" s="20" t="s">
        <v>71</v>
      </c>
      <c r="C2773" s="20" t="s">
        <v>8</v>
      </c>
      <c r="D2773" s="20" t="s">
        <v>10</v>
      </c>
      <c r="E2773" s="20" t="s">
        <v>12</v>
      </c>
      <c r="F2773" s="20" t="str">
        <f>INDEX(nrg_cb_e!$A$3:$A$40,MATCH(LEFT(MID('Industriesektor GWh'!$B2773,41,1000),SEARCH(" - ",MID('Industriesektor GWh'!$B2773,41,1000))-1),nrg_cb_e!$C$3:$C$40,0))</f>
        <v>FC_IND_WP_E</v>
      </c>
      <c r="G2773" s="21">
        <v>1974</v>
      </c>
    </row>
    <row r="2774" spans="1:7" x14ac:dyDescent="0.2">
      <c r="A2774" s="16" t="s">
        <v>37</v>
      </c>
      <c r="B2774" s="17" t="s">
        <v>71</v>
      </c>
      <c r="C2774" s="17" t="s">
        <v>8</v>
      </c>
      <c r="D2774" s="17" t="s">
        <v>10</v>
      </c>
      <c r="E2774" s="17" t="s">
        <v>13</v>
      </c>
      <c r="F2774" s="17" t="str">
        <f>INDEX(nrg_cb_e!$A$3:$A$40,MATCH(LEFT(MID('Industriesektor GWh'!$B2774,41,1000),SEARCH(" - ",MID('Industriesektor GWh'!$B2774,41,1000))-1),nrg_cb_e!$C$3:$C$40,0))</f>
        <v>FC_IND_WP_E</v>
      </c>
      <c r="G2774" s="18">
        <v>2634</v>
      </c>
    </row>
    <row r="2775" spans="1:7" x14ac:dyDescent="0.2">
      <c r="A2775" s="19" t="s">
        <v>37</v>
      </c>
      <c r="B2775" s="20" t="s">
        <v>71</v>
      </c>
      <c r="C2775" s="20" t="s">
        <v>8</v>
      </c>
      <c r="D2775" s="20" t="s">
        <v>10</v>
      </c>
      <c r="E2775" s="20" t="s">
        <v>14</v>
      </c>
      <c r="F2775" s="20" t="str">
        <f>INDEX(nrg_cb_e!$A$3:$A$40,MATCH(LEFT(MID('Industriesektor GWh'!$B2775,41,1000),SEARCH(" - ",MID('Industriesektor GWh'!$B2775,41,1000))-1),nrg_cb_e!$C$3:$C$40,0))</f>
        <v>FC_IND_WP_E</v>
      </c>
      <c r="G2775" s="21">
        <v>2463</v>
      </c>
    </row>
    <row r="2776" spans="1:7" x14ac:dyDescent="0.2">
      <c r="A2776" s="16" t="s">
        <v>37</v>
      </c>
      <c r="B2776" s="17" t="s">
        <v>71</v>
      </c>
      <c r="C2776" s="17" t="s">
        <v>8</v>
      </c>
      <c r="D2776" s="17" t="s">
        <v>10</v>
      </c>
      <c r="E2776" s="17" t="s">
        <v>15</v>
      </c>
      <c r="F2776" s="17" t="str">
        <f>INDEX(nrg_cb_e!$A$3:$A$40,MATCH(LEFT(MID('Industriesektor GWh'!$B2776,41,1000),SEARCH(" - ",MID('Industriesektor GWh'!$B2776,41,1000))-1),nrg_cb_e!$C$3:$C$40,0))</f>
        <v>FC_IND_WP_E</v>
      </c>
      <c r="G2776" s="18">
        <v>2598</v>
      </c>
    </row>
    <row r="2777" spans="1:7" x14ac:dyDescent="0.2">
      <c r="A2777" s="19" t="s">
        <v>37</v>
      </c>
      <c r="B2777" s="20" t="s">
        <v>71</v>
      </c>
      <c r="C2777" s="20" t="s">
        <v>8</v>
      </c>
      <c r="D2777" s="20" t="s">
        <v>10</v>
      </c>
      <c r="E2777" s="20" t="s">
        <v>16</v>
      </c>
      <c r="F2777" s="20" t="str">
        <f>INDEX(nrg_cb_e!$A$3:$A$40,MATCH(LEFT(MID('Industriesektor GWh'!$B2777,41,1000),SEARCH(" - ",MID('Industriesektor GWh'!$B2777,41,1000))-1),nrg_cb_e!$C$3:$C$40,0))</f>
        <v>FC_IND_WP_E</v>
      </c>
      <c r="G2777" s="21">
        <v>2260</v>
      </c>
    </row>
    <row r="2778" spans="1:7" x14ac:dyDescent="0.2">
      <c r="A2778" s="16" t="s">
        <v>37</v>
      </c>
      <c r="B2778" s="17" t="s">
        <v>71</v>
      </c>
      <c r="C2778" s="17" t="s">
        <v>8</v>
      </c>
      <c r="D2778" s="17" t="s">
        <v>10</v>
      </c>
      <c r="E2778" s="17" t="s">
        <v>17</v>
      </c>
      <c r="F2778" s="17" t="str">
        <f>INDEX(nrg_cb_e!$A$3:$A$40,MATCH(LEFT(MID('Industriesektor GWh'!$B2778,41,1000),SEARCH(" - ",MID('Industriesektor GWh'!$B2778,41,1000))-1),nrg_cb_e!$C$3:$C$40,0))</f>
        <v>FC_IND_WP_E</v>
      </c>
      <c r="G2778" s="18">
        <v>2250</v>
      </c>
    </row>
    <row r="2779" spans="1:7" x14ac:dyDescent="0.2">
      <c r="A2779" s="19" t="s">
        <v>37</v>
      </c>
      <c r="B2779" s="20" t="s">
        <v>71</v>
      </c>
      <c r="C2779" s="20" t="s">
        <v>8</v>
      </c>
      <c r="D2779" s="20" t="s">
        <v>10</v>
      </c>
      <c r="E2779" s="20" t="s">
        <v>18</v>
      </c>
      <c r="F2779" s="20" t="str">
        <f>INDEX(nrg_cb_e!$A$3:$A$40,MATCH(LEFT(MID('Industriesektor GWh'!$B2779,41,1000),SEARCH(" - ",MID('Industriesektor GWh'!$B2779,41,1000))-1),nrg_cb_e!$C$3:$C$40,0))</f>
        <v>FC_IND_WP_E</v>
      </c>
      <c r="G2779" s="21">
        <v>2056</v>
      </c>
    </row>
    <row r="2780" spans="1:7" x14ac:dyDescent="0.2">
      <c r="A2780" s="16" t="s">
        <v>37</v>
      </c>
      <c r="B2780" s="17" t="s">
        <v>71</v>
      </c>
      <c r="C2780" s="17" t="s">
        <v>8</v>
      </c>
      <c r="D2780" s="17" t="s">
        <v>10</v>
      </c>
      <c r="E2780" s="17" t="s">
        <v>19</v>
      </c>
      <c r="F2780" s="17" t="str">
        <f>INDEX(nrg_cb_e!$A$3:$A$40,MATCH(LEFT(MID('Industriesektor GWh'!$B2780,41,1000),SEARCH(" - ",MID('Industriesektor GWh'!$B2780,41,1000))-1),nrg_cb_e!$C$3:$C$40,0))</f>
        <v>FC_IND_WP_E</v>
      </c>
      <c r="G2780" s="18">
        <v>1474</v>
      </c>
    </row>
    <row r="2781" spans="1:7" x14ac:dyDescent="0.2">
      <c r="A2781" s="19" t="s">
        <v>37</v>
      </c>
      <c r="B2781" s="20" t="s">
        <v>71</v>
      </c>
      <c r="C2781" s="20" t="s">
        <v>8</v>
      </c>
      <c r="D2781" s="20" t="s">
        <v>10</v>
      </c>
      <c r="E2781" s="20" t="s">
        <v>20</v>
      </c>
      <c r="F2781" s="20" t="str">
        <f>INDEX(nrg_cb_e!$A$3:$A$40,MATCH(LEFT(MID('Industriesektor GWh'!$B2781,41,1000),SEARCH(" - ",MID('Industriesektor GWh'!$B2781,41,1000))-1),nrg_cb_e!$C$3:$C$40,0))</f>
        <v>FC_IND_WP_E</v>
      </c>
      <c r="G2781" s="21">
        <v>1415</v>
      </c>
    </row>
    <row r="2782" spans="1:7" x14ac:dyDescent="0.2">
      <c r="A2782" s="16" t="s">
        <v>37</v>
      </c>
      <c r="B2782" s="17" t="s">
        <v>71</v>
      </c>
      <c r="C2782" s="17" t="s">
        <v>8</v>
      </c>
      <c r="D2782" s="17" t="s">
        <v>10</v>
      </c>
      <c r="E2782" s="17" t="s">
        <v>21</v>
      </c>
      <c r="F2782" s="17" t="str">
        <f>INDEX(nrg_cb_e!$A$3:$A$40,MATCH(LEFT(MID('Industriesektor GWh'!$B2782,41,1000),SEARCH(" - ",MID('Industriesektor GWh'!$B2782,41,1000))-1),nrg_cb_e!$C$3:$C$40,0))</f>
        <v>FC_IND_WP_E</v>
      </c>
      <c r="G2782" s="18">
        <v>1406</v>
      </c>
    </row>
    <row r="2783" spans="1:7" x14ac:dyDescent="0.2">
      <c r="A2783" s="19" t="s">
        <v>37</v>
      </c>
      <c r="B2783" s="20" t="s">
        <v>71</v>
      </c>
      <c r="C2783" s="20" t="s">
        <v>8</v>
      </c>
      <c r="D2783" s="20" t="s">
        <v>10</v>
      </c>
      <c r="E2783" s="20" t="s">
        <v>22</v>
      </c>
      <c r="F2783" s="20" t="str">
        <f>INDEX(nrg_cb_e!$A$3:$A$40,MATCH(LEFT(MID('Industriesektor GWh'!$B2783,41,1000),SEARCH(" - ",MID('Industriesektor GWh'!$B2783,41,1000))-1),nrg_cb_e!$C$3:$C$40,0))</f>
        <v>FC_IND_WP_E</v>
      </c>
      <c r="G2783" s="21">
        <v>1387</v>
      </c>
    </row>
    <row r="2784" spans="1:7" x14ac:dyDescent="0.2">
      <c r="A2784" s="16" t="s">
        <v>37</v>
      </c>
      <c r="B2784" s="17" t="s">
        <v>71</v>
      </c>
      <c r="C2784" s="17" t="s">
        <v>8</v>
      </c>
      <c r="D2784" s="17" t="s">
        <v>10</v>
      </c>
      <c r="E2784" s="17" t="s">
        <v>23</v>
      </c>
      <c r="F2784" s="17" t="str">
        <f>INDEX(nrg_cb_e!$A$3:$A$40,MATCH(LEFT(MID('Industriesektor GWh'!$B2784,41,1000),SEARCH(" - ",MID('Industriesektor GWh'!$B2784,41,1000))-1),nrg_cb_e!$C$3:$C$40,0))</f>
        <v>FC_IND_WP_E</v>
      </c>
      <c r="G2784" s="18">
        <v>1415</v>
      </c>
    </row>
    <row r="2785" spans="1:7" x14ac:dyDescent="0.2">
      <c r="A2785" s="19" t="s">
        <v>37</v>
      </c>
      <c r="B2785" s="20" t="s">
        <v>71</v>
      </c>
      <c r="C2785" s="20" t="s">
        <v>8</v>
      </c>
      <c r="D2785" s="20" t="s">
        <v>10</v>
      </c>
      <c r="E2785" s="20" t="s">
        <v>24</v>
      </c>
      <c r="F2785" s="20" t="str">
        <f>INDEX(nrg_cb_e!$A$3:$A$40,MATCH(LEFT(MID('Industriesektor GWh'!$B2785,41,1000),SEARCH(" - ",MID('Industriesektor GWh'!$B2785,41,1000))-1),nrg_cb_e!$C$3:$C$40,0))</f>
        <v>FC_IND_WP_E</v>
      </c>
      <c r="G2785" s="21">
        <v>1089</v>
      </c>
    </row>
    <row r="2786" spans="1:7" x14ac:dyDescent="0.2">
      <c r="A2786" s="16" t="s">
        <v>37</v>
      </c>
      <c r="B2786" s="17" t="s">
        <v>71</v>
      </c>
      <c r="C2786" s="17" t="s">
        <v>8</v>
      </c>
      <c r="D2786" s="17" t="s">
        <v>10</v>
      </c>
      <c r="E2786" s="17" t="s">
        <v>25</v>
      </c>
      <c r="F2786" s="17" t="str">
        <f>INDEX(nrg_cb_e!$A$3:$A$40,MATCH(LEFT(MID('Industriesektor GWh'!$B2786,41,1000),SEARCH(" - ",MID('Industriesektor GWh'!$B2786,41,1000))-1),nrg_cb_e!$C$3:$C$40,0))</f>
        <v>FC_IND_WP_E</v>
      </c>
      <c r="G2786" s="18">
        <v>1132</v>
      </c>
    </row>
    <row r="2787" spans="1:7" x14ac:dyDescent="0.2">
      <c r="A2787" s="19" t="s">
        <v>37</v>
      </c>
      <c r="B2787" s="20" t="s">
        <v>71</v>
      </c>
      <c r="C2787" s="20" t="s">
        <v>8</v>
      </c>
      <c r="D2787" s="20" t="s">
        <v>10</v>
      </c>
      <c r="E2787" s="20" t="s">
        <v>26</v>
      </c>
      <c r="F2787" s="20" t="str">
        <f>INDEX(nrg_cb_e!$A$3:$A$40,MATCH(LEFT(MID('Industriesektor GWh'!$B2787,41,1000),SEARCH(" - ",MID('Industriesektor GWh'!$B2787,41,1000))-1),nrg_cb_e!$C$3:$C$40,0))</f>
        <v>FC_IND_WP_E</v>
      </c>
      <c r="G2787" s="21">
        <v>1233</v>
      </c>
    </row>
    <row r="2788" spans="1:7" x14ac:dyDescent="0.2">
      <c r="A2788" s="16" t="s">
        <v>37</v>
      </c>
      <c r="B2788" s="17" t="s">
        <v>71</v>
      </c>
      <c r="C2788" s="17" t="s">
        <v>8</v>
      </c>
      <c r="D2788" s="17" t="s">
        <v>10</v>
      </c>
      <c r="E2788" s="17" t="s">
        <v>27</v>
      </c>
      <c r="F2788" s="17" t="str">
        <f>INDEX(nrg_cb_e!$A$3:$A$40,MATCH(LEFT(MID('Industriesektor GWh'!$B2788,41,1000),SEARCH(" - ",MID('Industriesektor GWh'!$B2788,41,1000))-1),nrg_cb_e!$C$3:$C$40,0))</f>
        <v>FC_IND_WP_E</v>
      </c>
      <c r="G2788" s="18">
        <v>1593</v>
      </c>
    </row>
    <row r="2789" spans="1:7" x14ac:dyDescent="0.2">
      <c r="A2789" s="19" t="s">
        <v>37</v>
      </c>
      <c r="B2789" s="20" t="s">
        <v>71</v>
      </c>
      <c r="C2789" s="20" t="s">
        <v>8</v>
      </c>
      <c r="D2789" s="20" t="s">
        <v>10</v>
      </c>
      <c r="E2789" s="20" t="s">
        <v>28</v>
      </c>
      <c r="F2789" s="20" t="str">
        <f>INDEX(nrg_cb_e!$A$3:$A$40,MATCH(LEFT(MID('Industriesektor GWh'!$B2789,41,1000),SEARCH(" - ",MID('Industriesektor GWh'!$B2789,41,1000))-1),nrg_cb_e!$C$3:$C$40,0))</f>
        <v>FC_IND_WP_E</v>
      </c>
      <c r="G2789" s="21">
        <v>1414</v>
      </c>
    </row>
    <row r="2790" spans="1:7" x14ac:dyDescent="0.2">
      <c r="A2790" s="16" t="s">
        <v>38</v>
      </c>
      <c r="B2790" s="17" t="s">
        <v>71</v>
      </c>
      <c r="C2790" s="17" t="s">
        <v>8</v>
      </c>
      <c r="D2790" s="17" t="s">
        <v>10</v>
      </c>
      <c r="E2790" s="17" t="s">
        <v>12</v>
      </c>
      <c r="F2790" s="17" t="str">
        <f>INDEX(nrg_cb_e!$A$3:$A$40,MATCH(LEFT(MID('Industriesektor GWh'!$B2790,41,1000),SEARCH(" - ",MID('Industriesektor GWh'!$B2790,41,1000))-1),nrg_cb_e!$C$3:$C$40,0))</f>
        <v>FC_IND_WP_E</v>
      </c>
      <c r="G2790" s="18">
        <v>2168</v>
      </c>
    </row>
    <row r="2791" spans="1:7" x14ac:dyDescent="0.2">
      <c r="A2791" s="19" t="s">
        <v>38</v>
      </c>
      <c r="B2791" s="20" t="s">
        <v>71</v>
      </c>
      <c r="C2791" s="20" t="s">
        <v>8</v>
      </c>
      <c r="D2791" s="20" t="s">
        <v>10</v>
      </c>
      <c r="E2791" s="20" t="s">
        <v>13</v>
      </c>
      <c r="F2791" s="20" t="str">
        <f>INDEX(nrg_cb_e!$A$3:$A$40,MATCH(LEFT(MID('Industriesektor GWh'!$B2791,41,1000),SEARCH(" - ",MID('Industriesektor GWh'!$B2791,41,1000))-1),nrg_cb_e!$C$3:$C$40,0))</f>
        <v>FC_IND_WP_E</v>
      </c>
      <c r="G2791" s="21">
        <v>2221</v>
      </c>
    </row>
    <row r="2792" spans="1:7" x14ac:dyDescent="0.2">
      <c r="A2792" s="16" t="s">
        <v>38</v>
      </c>
      <c r="B2792" s="17" t="s">
        <v>71</v>
      </c>
      <c r="C2792" s="17" t="s">
        <v>8</v>
      </c>
      <c r="D2792" s="17" t="s">
        <v>10</v>
      </c>
      <c r="E2792" s="17" t="s">
        <v>14</v>
      </c>
      <c r="F2792" s="17" t="str">
        <f>INDEX(nrg_cb_e!$A$3:$A$40,MATCH(LEFT(MID('Industriesektor GWh'!$B2792,41,1000),SEARCH(" - ",MID('Industriesektor GWh'!$B2792,41,1000))-1),nrg_cb_e!$C$3:$C$40,0))</f>
        <v>FC_IND_WP_E</v>
      </c>
      <c r="G2792" s="18">
        <v>2276</v>
      </c>
    </row>
    <row r="2793" spans="1:7" x14ac:dyDescent="0.2">
      <c r="A2793" s="19" t="s">
        <v>38</v>
      </c>
      <c r="B2793" s="20" t="s">
        <v>71</v>
      </c>
      <c r="C2793" s="20" t="s">
        <v>8</v>
      </c>
      <c r="D2793" s="20" t="s">
        <v>10</v>
      </c>
      <c r="E2793" s="20" t="s">
        <v>15</v>
      </c>
      <c r="F2793" s="20" t="str">
        <f>INDEX(nrg_cb_e!$A$3:$A$40,MATCH(LEFT(MID('Industriesektor GWh'!$B2793,41,1000),SEARCH(" - ",MID('Industriesektor GWh'!$B2793,41,1000))-1),nrg_cb_e!$C$3:$C$40,0))</f>
        <v>FC_IND_WP_E</v>
      </c>
      <c r="G2793" s="21">
        <v>2276</v>
      </c>
    </row>
    <row r="2794" spans="1:7" x14ac:dyDescent="0.2">
      <c r="A2794" s="16" t="s">
        <v>38</v>
      </c>
      <c r="B2794" s="17" t="s">
        <v>71</v>
      </c>
      <c r="C2794" s="17" t="s">
        <v>8</v>
      </c>
      <c r="D2794" s="17" t="s">
        <v>10</v>
      </c>
      <c r="E2794" s="17" t="s">
        <v>16</v>
      </c>
      <c r="F2794" s="17" t="str">
        <f>INDEX(nrg_cb_e!$A$3:$A$40,MATCH(LEFT(MID('Industriesektor GWh'!$B2794,41,1000),SEARCH(" - ",MID('Industriesektor GWh'!$B2794,41,1000))-1),nrg_cb_e!$C$3:$C$40,0))</f>
        <v>FC_IND_WP_E</v>
      </c>
      <c r="G2794" s="18">
        <v>2300</v>
      </c>
    </row>
    <row r="2795" spans="1:7" x14ac:dyDescent="0.2">
      <c r="A2795" s="19" t="s">
        <v>38</v>
      </c>
      <c r="B2795" s="20" t="s">
        <v>71</v>
      </c>
      <c r="C2795" s="20" t="s">
        <v>8</v>
      </c>
      <c r="D2795" s="20" t="s">
        <v>10</v>
      </c>
      <c r="E2795" s="20" t="s">
        <v>17</v>
      </c>
      <c r="F2795" s="20" t="str">
        <f>INDEX(nrg_cb_e!$A$3:$A$40,MATCH(LEFT(MID('Industriesektor GWh'!$B2795,41,1000),SEARCH(" - ",MID('Industriesektor GWh'!$B2795,41,1000))-1),nrg_cb_e!$C$3:$C$40,0))</f>
        <v>FC_IND_WP_E</v>
      </c>
      <c r="G2795" s="21">
        <v>2293</v>
      </c>
    </row>
    <row r="2796" spans="1:7" x14ac:dyDescent="0.2">
      <c r="A2796" s="16" t="s">
        <v>38</v>
      </c>
      <c r="B2796" s="17" t="s">
        <v>71</v>
      </c>
      <c r="C2796" s="17" t="s">
        <v>8</v>
      </c>
      <c r="D2796" s="17" t="s">
        <v>10</v>
      </c>
      <c r="E2796" s="17" t="s">
        <v>18</v>
      </c>
      <c r="F2796" s="17" t="str">
        <f>INDEX(nrg_cb_e!$A$3:$A$40,MATCH(LEFT(MID('Industriesektor GWh'!$B2796,41,1000),SEARCH(" - ",MID('Industriesektor GWh'!$B2796,41,1000))-1),nrg_cb_e!$C$3:$C$40,0))</f>
        <v>FC_IND_WP_E</v>
      </c>
      <c r="G2796" s="18">
        <v>2442</v>
      </c>
    </row>
    <row r="2797" spans="1:7" x14ac:dyDescent="0.2">
      <c r="A2797" s="19" t="s">
        <v>38</v>
      </c>
      <c r="B2797" s="20" t="s">
        <v>71</v>
      </c>
      <c r="C2797" s="20" t="s">
        <v>8</v>
      </c>
      <c r="D2797" s="20" t="s">
        <v>10</v>
      </c>
      <c r="E2797" s="20" t="s">
        <v>19</v>
      </c>
      <c r="F2797" s="20" t="str">
        <f>INDEX(nrg_cb_e!$A$3:$A$40,MATCH(LEFT(MID('Industriesektor GWh'!$B2797,41,1000),SEARCH(" - ",MID('Industriesektor GWh'!$B2797,41,1000))-1),nrg_cb_e!$C$3:$C$40,0))</f>
        <v>FC_IND_WP_E</v>
      </c>
      <c r="G2797" s="21">
        <v>2138</v>
      </c>
    </row>
    <row r="2798" spans="1:7" x14ac:dyDescent="0.2">
      <c r="A2798" s="16" t="s">
        <v>38</v>
      </c>
      <c r="B2798" s="17" t="s">
        <v>71</v>
      </c>
      <c r="C2798" s="17" t="s">
        <v>8</v>
      </c>
      <c r="D2798" s="17" t="s">
        <v>10</v>
      </c>
      <c r="E2798" s="17" t="s">
        <v>20</v>
      </c>
      <c r="F2798" s="17" t="str">
        <f>INDEX(nrg_cb_e!$A$3:$A$40,MATCH(LEFT(MID('Industriesektor GWh'!$B2798,41,1000),SEARCH(" - ",MID('Industriesektor GWh'!$B2798,41,1000))-1),nrg_cb_e!$C$3:$C$40,0))</f>
        <v>FC_IND_WP_E</v>
      </c>
      <c r="G2798" s="18">
        <v>2248</v>
      </c>
    </row>
    <row r="2799" spans="1:7" x14ac:dyDescent="0.2">
      <c r="A2799" s="19" t="s">
        <v>38</v>
      </c>
      <c r="B2799" s="20" t="s">
        <v>71</v>
      </c>
      <c r="C2799" s="20" t="s">
        <v>8</v>
      </c>
      <c r="D2799" s="20" t="s">
        <v>10</v>
      </c>
      <c r="E2799" s="20" t="s">
        <v>21</v>
      </c>
      <c r="F2799" s="20" t="str">
        <f>INDEX(nrg_cb_e!$A$3:$A$40,MATCH(LEFT(MID('Industriesektor GWh'!$B2799,41,1000),SEARCH(" - ",MID('Industriesektor GWh'!$B2799,41,1000))-1),nrg_cb_e!$C$3:$C$40,0))</f>
        <v>FC_IND_WP_E</v>
      </c>
      <c r="G2799" s="21">
        <v>2218.509</v>
      </c>
    </row>
    <row r="2800" spans="1:7" x14ac:dyDescent="0.2">
      <c r="A2800" s="16" t="s">
        <v>38</v>
      </c>
      <c r="B2800" s="17" t="s">
        <v>71</v>
      </c>
      <c r="C2800" s="17" t="s">
        <v>8</v>
      </c>
      <c r="D2800" s="17" t="s">
        <v>10</v>
      </c>
      <c r="E2800" s="17" t="s">
        <v>22</v>
      </c>
      <c r="F2800" s="17" t="str">
        <f>INDEX(nrg_cb_e!$A$3:$A$40,MATCH(LEFT(MID('Industriesektor GWh'!$B2800,41,1000),SEARCH(" - ",MID('Industriesektor GWh'!$B2800,41,1000))-1),nrg_cb_e!$C$3:$C$40,0))</f>
        <v>FC_IND_WP_E</v>
      </c>
      <c r="G2800" s="18">
        <v>2277.7330000000002</v>
      </c>
    </row>
    <row r="2801" spans="1:7" x14ac:dyDescent="0.2">
      <c r="A2801" s="19" t="s">
        <v>38</v>
      </c>
      <c r="B2801" s="20" t="s">
        <v>71</v>
      </c>
      <c r="C2801" s="20" t="s">
        <v>8</v>
      </c>
      <c r="D2801" s="20" t="s">
        <v>10</v>
      </c>
      <c r="E2801" s="20" t="s">
        <v>23</v>
      </c>
      <c r="F2801" s="20" t="str">
        <f>INDEX(nrg_cb_e!$A$3:$A$40,MATCH(LEFT(MID('Industriesektor GWh'!$B2801,41,1000),SEARCH(" - ",MID('Industriesektor GWh'!$B2801,41,1000))-1),nrg_cb_e!$C$3:$C$40,0))</f>
        <v>FC_IND_WP_E</v>
      </c>
      <c r="G2801" s="21">
        <v>2248.9389999999999</v>
      </c>
    </row>
    <row r="2802" spans="1:7" x14ac:dyDescent="0.2">
      <c r="A2802" s="16" t="s">
        <v>38</v>
      </c>
      <c r="B2802" s="17" t="s">
        <v>71</v>
      </c>
      <c r="C2802" s="17" t="s">
        <v>8</v>
      </c>
      <c r="D2802" s="17" t="s">
        <v>10</v>
      </c>
      <c r="E2802" s="17" t="s">
        <v>24</v>
      </c>
      <c r="F2802" s="17" t="str">
        <f>INDEX(nrg_cb_e!$A$3:$A$40,MATCH(LEFT(MID('Industriesektor GWh'!$B2802,41,1000),SEARCH(" - ",MID('Industriesektor GWh'!$B2802,41,1000))-1),nrg_cb_e!$C$3:$C$40,0))</f>
        <v>FC_IND_WP_E</v>
      </c>
      <c r="G2802" s="18">
        <v>2187.7089999999998</v>
      </c>
    </row>
    <row r="2803" spans="1:7" x14ac:dyDescent="0.2">
      <c r="A2803" s="19" t="s">
        <v>38</v>
      </c>
      <c r="B2803" s="20" t="s">
        <v>71</v>
      </c>
      <c r="C2803" s="20" t="s">
        <v>8</v>
      </c>
      <c r="D2803" s="20" t="s">
        <v>10</v>
      </c>
      <c r="E2803" s="20" t="s">
        <v>25</v>
      </c>
      <c r="F2803" s="20" t="str">
        <f>INDEX(nrg_cb_e!$A$3:$A$40,MATCH(LEFT(MID('Industriesektor GWh'!$B2803,41,1000),SEARCH(" - ",MID('Industriesektor GWh'!$B2803,41,1000))-1),nrg_cb_e!$C$3:$C$40,0))</f>
        <v>FC_IND_WP_E</v>
      </c>
      <c r="G2803" s="21">
        <v>2228.9259999999999</v>
      </c>
    </row>
    <row r="2804" spans="1:7" x14ac:dyDescent="0.2">
      <c r="A2804" s="16" t="s">
        <v>38</v>
      </c>
      <c r="B2804" s="17" t="s">
        <v>71</v>
      </c>
      <c r="C2804" s="17" t="s">
        <v>8</v>
      </c>
      <c r="D2804" s="17" t="s">
        <v>10</v>
      </c>
      <c r="E2804" s="17" t="s">
        <v>26</v>
      </c>
      <c r="F2804" s="17" t="str">
        <f>INDEX(nrg_cb_e!$A$3:$A$40,MATCH(LEFT(MID('Industriesektor GWh'!$B2804,41,1000),SEARCH(" - ",MID('Industriesektor GWh'!$B2804,41,1000))-1),nrg_cb_e!$C$3:$C$40,0))</f>
        <v>FC_IND_WP_E</v>
      </c>
      <c r="G2804" s="18">
        <v>2198.0279999999998</v>
      </c>
    </row>
    <row r="2805" spans="1:7" x14ac:dyDescent="0.2">
      <c r="A2805" s="19" t="s">
        <v>38</v>
      </c>
      <c r="B2805" s="20" t="s">
        <v>71</v>
      </c>
      <c r="C2805" s="20" t="s">
        <v>8</v>
      </c>
      <c r="D2805" s="20" t="s">
        <v>10</v>
      </c>
      <c r="E2805" s="20" t="s">
        <v>27</v>
      </c>
      <c r="F2805" s="20" t="str">
        <f>INDEX(nrg_cb_e!$A$3:$A$40,MATCH(LEFT(MID('Industriesektor GWh'!$B2805,41,1000),SEARCH(" - ",MID('Industriesektor GWh'!$B2805,41,1000))-1),nrg_cb_e!$C$3:$C$40,0))</f>
        <v>FC_IND_WP_E</v>
      </c>
      <c r="G2805" s="21">
        <v>2208.7809999999999</v>
      </c>
    </row>
    <row r="2806" spans="1:7" x14ac:dyDescent="0.2">
      <c r="A2806" s="16" t="s">
        <v>38</v>
      </c>
      <c r="B2806" s="17" t="s">
        <v>71</v>
      </c>
      <c r="C2806" s="17" t="s">
        <v>8</v>
      </c>
      <c r="D2806" s="17" t="s">
        <v>10</v>
      </c>
      <c r="E2806" s="17" t="s">
        <v>28</v>
      </c>
      <c r="F2806" s="17" t="str">
        <f>INDEX(nrg_cb_e!$A$3:$A$40,MATCH(LEFT(MID('Industriesektor GWh'!$B2806,41,1000),SEARCH(" - ",MID('Industriesektor GWh'!$B2806,41,1000))-1),nrg_cb_e!$C$3:$C$40,0))</f>
        <v>FC_IND_WP_E</v>
      </c>
      <c r="G2806" s="18">
        <v>2245.2109999999998</v>
      </c>
    </row>
    <row r="2807" spans="1:7" x14ac:dyDescent="0.2">
      <c r="A2807" s="19" t="s">
        <v>39</v>
      </c>
      <c r="B2807" s="20" t="s">
        <v>71</v>
      </c>
      <c r="C2807" s="20" t="s">
        <v>8</v>
      </c>
      <c r="D2807" s="20" t="s">
        <v>10</v>
      </c>
      <c r="E2807" s="20" t="s">
        <v>12</v>
      </c>
      <c r="F2807" s="20" t="str">
        <f>INDEX(nrg_cb_e!$A$3:$A$40,MATCH(LEFT(MID('Industriesektor GWh'!$B2807,41,1000),SEARCH(" - ",MID('Industriesektor GWh'!$B2807,41,1000))-1),nrg_cb_e!$C$3:$C$40,0))</f>
        <v>FC_IND_WP_E</v>
      </c>
      <c r="G2807" s="21">
        <v>95</v>
      </c>
    </row>
    <row r="2808" spans="1:7" x14ac:dyDescent="0.2">
      <c r="A2808" s="16" t="s">
        <v>39</v>
      </c>
      <c r="B2808" s="17" t="s">
        <v>71</v>
      </c>
      <c r="C2808" s="17" t="s">
        <v>8</v>
      </c>
      <c r="D2808" s="17" t="s">
        <v>10</v>
      </c>
      <c r="E2808" s="17" t="s">
        <v>13</v>
      </c>
      <c r="F2808" s="17" t="str">
        <f>INDEX(nrg_cb_e!$A$3:$A$40,MATCH(LEFT(MID('Industriesektor GWh'!$B2808,41,1000),SEARCH(" - ",MID('Industriesektor GWh'!$B2808,41,1000))-1),nrg_cb_e!$C$3:$C$40,0))</f>
        <v>FC_IND_WP_E</v>
      </c>
      <c r="G2808" s="18">
        <v>102</v>
      </c>
    </row>
    <row r="2809" spans="1:7" x14ac:dyDescent="0.2">
      <c r="A2809" s="19" t="s">
        <v>39</v>
      </c>
      <c r="B2809" s="20" t="s">
        <v>71</v>
      </c>
      <c r="C2809" s="20" t="s">
        <v>8</v>
      </c>
      <c r="D2809" s="20" t="s">
        <v>10</v>
      </c>
      <c r="E2809" s="20" t="s">
        <v>14</v>
      </c>
      <c r="F2809" s="20" t="str">
        <f>INDEX(nrg_cb_e!$A$3:$A$40,MATCH(LEFT(MID('Industriesektor GWh'!$B2809,41,1000),SEARCH(" - ",MID('Industriesektor GWh'!$B2809,41,1000))-1),nrg_cb_e!$C$3:$C$40,0))</f>
        <v>FC_IND_WP_E</v>
      </c>
      <c r="G2809" s="21">
        <v>124</v>
      </c>
    </row>
    <row r="2810" spans="1:7" x14ac:dyDescent="0.2">
      <c r="A2810" s="16" t="s">
        <v>39</v>
      </c>
      <c r="B2810" s="17" t="s">
        <v>71</v>
      </c>
      <c r="C2810" s="17" t="s">
        <v>8</v>
      </c>
      <c r="D2810" s="17" t="s">
        <v>10</v>
      </c>
      <c r="E2810" s="17" t="s">
        <v>15</v>
      </c>
      <c r="F2810" s="17" t="str">
        <f>INDEX(nrg_cb_e!$A$3:$A$40,MATCH(LEFT(MID('Industriesektor GWh'!$B2810,41,1000),SEARCH(" - ",MID('Industriesektor GWh'!$B2810,41,1000))-1),nrg_cb_e!$C$3:$C$40,0))</f>
        <v>FC_IND_WP_E</v>
      </c>
      <c r="G2810" s="18">
        <v>146</v>
      </c>
    </row>
    <row r="2811" spans="1:7" x14ac:dyDescent="0.2">
      <c r="A2811" s="19" t="s">
        <v>39</v>
      </c>
      <c r="B2811" s="20" t="s">
        <v>71</v>
      </c>
      <c r="C2811" s="20" t="s">
        <v>8</v>
      </c>
      <c r="D2811" s="20" t="s">
        <v>10</v>
      </c>
      <c r="E2811" s="20" t="s">
        <v>16</v>
      </c>
      <c r="F2811" s="20" t="str">
        <f>INDEX(nrg_cb_e!$A$3:$A$40,MATCH(LEFT(MID('Industriesektor GWh'!$B2811,41,1000),SEARCH(" - ",MID('Industriesektor GWh'!$B2811,41,1000))-1),nrg_cb_e!$C$3:$C$40,0))</f>
        <v>FC_IND_WP_E</v>
      </c>
      <c r="G2811" s="21">
        <v>159</v>
      </c>
    </row>
    <row r="2812" spans="1:7" x14ac:dyDescent="0.2">
      <c r="A2812" s="16" t="s">
        <v>39</v>
      </c>
      <c r="B2812" s="17" t="s">
        <v>71</v>
      </c>
      <c r="C2812" s="17" t="s">
        <v>8</v>
      </c>
      <c r="D2812" s="17" t="s">
        <v>10</v>
      </c>
      <c r="E2812" s="17" t="s">
        <v>17</v>
      </c>
      <c r="F2812" s="17" t="str">
        <f>INDEX(nrg_cb_e!$A$3:$A$40,MATCH(LEFT(MID('Industriesektor GWh'!$B2812,41,1000),SEARCH(" - ",MID('Industriesektor GWh'!$B2812,41,1000))-1),nrg_cb_e!$C$3:$C$40,0))</f>
        <v>FC_IND_WP_E</v>
      </c>
      <c r="G2812" s="18">
        <v>150</v>
      </c>
    </row>
    <row r="2813" spans="1:7" x14ac:dyDescent="0.2">
      <c r="A2813" s="19" t="s">
        <v>39</v>
      </c>
      <c r="B2813" s="20" t="s">
        <v>71</v>
      </c>
      <c r="C2813" s="20" t="s">
        <v>8</v>
      </c>
      <c r="D2813" s="20" t="s">
        <v>10</v>
      </c>
      <c r="E2813" s="20" t="s">
        <v>18</v>
      </c>
      <c r="F2813" s="20" t="str">
        <f>INDEX(nrg_cb_e!$A$3:$A$40,MATCH(LEFT(MID('Industriesektor GWh'!$B2813,41,1000),SEARCH(" - ",MID('Industriesektor GWh'!$B2813,41,1000))-1),nrg_cb_e!$C$3:$C$40,0))</f>
        <v>FC_IND_WP_E</v>
      </c>
      <c r="G2813" s="21">
        <v>165</v>
      </c>
    </row>
    <row r="2814" spans="1:7" x14ac:dyDescent="0.2">
      <c r="A2814" s="16" t="s">
        <v>39</v>
      </c>
      <c r="B2814" s="17" t="s">
        <v>71</v>
      </c>
      <c r="C2814" s="17" t="s">
        <v>8</v>
      </c>
      <c r="D2814" s="17" t="s">
        <v>10</v>
      </c>
      <c r="E2814" s="17" t="s">
        <v>19</v>
      </c>
      <c r="F2814" s="17" t="str">
        <f>INDEX(nrg_cb_e!$A$3:$A$40,MATCH(LEFT(MID('Industriesektor GWh'!$B2814,41,1000),SEARCH(" - ",MID('Industriesektor GWh'!$B2814,41,1000))-1),nrg_cb_e!$C$3:$C$40,0))</f>
        <v>FC_IND_WP_E</v>
      </c>
      <c r="G2814" s="18">
        <v>159</v>
      </c>
    </row>
    <row r="2815" spans="1:7" x14ac:dyDescent="0.2">
      <c r="A2815" s="19" t="s">
        <v>39</v>
      </c>
      <c r="B2815" s="20" t="s">
        <v>71</v>
      </c>
      <c r="C2815" s="20" t="s">
        <v>8</v>
      </c>
      <c r="D2815" s="20" t="s">
        <v>10</v>
      </c>
      <c r="E2815" s="20" t="s">
        <v>20</v>
      </c>
      <c r="F2815" s="20" t="str">
        <f>INDEX(nrg_cb_e!$A$3:$A$40,MATCH(LEFT(MID('Industriesektor GWh'!$B2815,41,1000),SEARCH(" - ",MID('Industriesektor GWh'!$B2815,41,1000))-1),nrg_cb_e!$C$3:$C$40,0))</f>
        <v>FC_IND_WP_E</v>
      </c>
      <c r="G2815" s="21">
        <v>179</v>
      </c>
    </row>
    <row r="2816" spans="1:7" x14ac:dyDescent="0.2">
      <c r="A2816" s="16" t="s">
        <v>39</v>
      </c>
      <c r="B2816" s="17" t="s">
        <v>71</v>
      </c>
      <c r="C2816" s="17" t="s">
        <v>8</v>
      </c>
      <c r="D2816" s="17" t="s">
        <v>10</v>
      </c>
      <c r="E2816" s="17" t="s">
        <v>21</v>
      </c>
      <c r="F2816" s="17" t="str">
        <f>INDEX(nrg_cb_e!$A$3:$A$40,MATCH(LEFT(MID('Industriesektor GWh'!$B2816,41,1000),SEARCH(" - ",MID('Industriesektor GWh'!$B2816,41,1000))-1),nrg_cb_e!$C$3:$C$40,0))</f>
        <v>FC_IND_WP_E</v>
      </c>
      <c r="G2816" s="18">
        <v>198</v>
      </c>
    </row>
    <row r="2817" spans="1:7" x14ac:dyDescent="0.2">
      <c r="A2817" s="19" t="s">
        <v>39</v>
      </c>
      <c r="B2817" s="20" t="s">
        <v>71</v>
      </c>
      <c r="C2817" s="20" t="s">
        <v>8</v>
      </c>
      <c r="D2817" s="20" t="s">
        <v>10</v>
      </c>
      <c r="E2817" s="20" t="s">
        <v>22</v>
      </c>
      <c r="F2817" s="20" t="str">
        <f>INDEX(nrg_cb_e!$A$3:$A$40,MATCH(LEFT(MID('Industriesektor GWh'!$B2817,41,1000),SEARCH(" - ",MID('Industriesektor GWh'!$B2817,41,1000))-1),nrg_cb_e!$C$3:$C$40,0))</f>
        <v>FC_IND_WP_E</v>
      </c>
      <c r="G2817" s="21">
        <v>198</v>
      </c>
    </row>
    <row r="2818" spans="1:7" x14ac:dyDescent="0.2">
      <c r="A2818" s="16" t="s">
        <v>39</v>
      </c>
      <c r="B2818" s="17" t="s">
        <v>71</v>
      </c>
      <c r="C2818" s="17" t="s">
        <v>8</v>
      </c>
      <c r="D2818" s="17" t="s">
        <v>10</v>
      </c>
      <c r="E2818" s="17" t="s">
        <v>23</v>
      </c>
      <c r="F2818" s="17" t="str">
        <f>INDEX(nrg_cb_e!$A$3:$A$40,MATCH(LEFT(MID('Industriesektor GWh'!$B2818,41,1000),SEARCH(" - ",MID('Industriesektor GWh'!$B2818,41,1000))-1),nrg_cb_e!$C$3:$C$40,0))</f>
        <v>FC_IND_WP_E</v>
      </c>
      <c r="G2818" s="18">
        <v>224</v>
      </c>
    </row>
    <row r="2819" spans="1:7" x14ac:dyDescent="0.2">
      <c r="A2819" s="19" t="s">
        <v>39</v>
      </c>
      <c r="B2819" s="20" t="s">
        <v>71</v>
      </c>
      <c r="C2819" s="20" t="s">
        <v>8</v>
      </c>
      <c r="D2819" s="20" t="s">
        <v>10</v>
      </c>
      <c r="E2819" s="20" t="s">
        <v>24</v>
      </c>
      <c r="F2819" s="20" t="str">
        <f>INDEX(nrg_cb_e!$A$3:$A$40,MATCH(LEFT(MID('Industriesektor GWh'!$B2819,41,1000),SEARCH(" - ",MID('Industriesektor GWh'!$B2819,41,1000))-1),nrg_cb_e!$C$3:$C$40,0))</f>
        <v>FC_IND_WP_E</v>
      </c>
      <c r="G2819" s="21">
        <v>238</v>
      </c>
    </row>
    <row r="2820" spans="1:7" x14ac:dyDescent="0.2">
      <c r="A2820" s="16" t="s">
        <v>39</v>
      </c>
      <c r="B2820" s="17" t="s">
        <v>71</v>
      </c>
      <c r="C2820" s="17" t="s">
        <v>8</v>
      </c>
      <c r="D2820" s="17" t="s">
        <v>10</v>
      </c>
      <c r="E2820" s="17" t="s">
        <v>25</v>
      </c>
      <c r="F2820" s="17" t="str">
        <f>INDEX(nrg_cb_e!$A$3:$A$40,MATCH(LEFT(MID('Industriesektor GWh'!$B2820,41,1000),SEARCH(" - ",MID('Industriesektor GWh'!$B2820,41,1000))-1),nrg_cb_e!$C$3:$C$40,0))</f>
        <v>FC_IND_WP_E</v>
      </c>
      <c r="G2820" s="18">
        <v>265</v>
      </c>
    </row>
    <row r="2821" spans="1:7" x14ac:dyDescent="0.2">
      <c r="A2821" s="19" t="s">
        <v>39</v>
      </c>
      <c r="B2821" s="20" t="s">
        <v>71</v>
      </c>
      <c r="C2821" s="20" t="s">
        <v>8</v>
      </c>
      <c r="D2821" s="20" t="s">
        <v>10</v>
      </c>
      <c r="E2821" s="20" t="s">
        <v>26</v>
      </c>
      <c r="F2821" s="20" t="str">
        <f>INDEX(nrg_cb_e!$A$3:$A$40,MATCH(LEFT(MID('Industriesektor GWh'!$B2821,41,1000),SEARCH(" - ",MID('Industriesektor GWh'!$B2821,41,1000))-1),nrg_cb_e!$C$3:$C$40,0))</f>
        <v>FC_IND_WP_E</v>
      </c>
      <c r="G2821" s="21">
        <v>279</v>
      </c>
    </row>
    <row r="2822" spans="1:7" x14ac:dyDescent="0.2">
      <c r="A2822" s="16" t="s">
        <v>39</v>
      </c>
      <c r="B2822" s="17" t="s">
        <v>71</v>
      </c>
      <c r="C2822" s="17" t="s">
        <v>8</v>
      </c>
      <c r="D2822" s="17" t="s">
        <v>10</v>
      </c>
      <c r="E2822" s="17" t="s">
        <v>27</v>
      </c>
      <c r="F2822" s="17" t="str">
        <f>INDEX(nrg_cb_e!$A$3:$A$40,MATCH(LEFT(MID('Industriesektor GWh'!$B2822,41,1000),SEARCH(" - ",MID('Industriesektor GWh'!$B2822,41,1000))-1),nrg_cb_e!$C$3:$C$40,0))</f>
        <v>FC_IND_WP_E</v>
      </c>
      <c r="G2822" s="18">
        <v>310.5</v>
      </c>
    </row>
    <row r="2823" spans="1:7" x14ac:dyDescent="0.2">
      <c r="A2823" s="19" t="s">
        <v>39</v>
      </c>
      <c r="B2823" s="20" t="s">
        <v>71</v>
      </c>
      <c r="C2823" s="20" t="s">
        <v>8</v>
      </c>
      <c r="D2823" s="20" t="s">
        <v>10</v>
      </c>
      <c r="E2823" s="20" t="s">
        <v>28</v>
      </c>
      <c r="F2823" s="20" t="str">
        <f>INDEX(nrg_cb_e!$A$3:$A$40,MATCH(LEFT(MID('Industriesektor GWh'!$B2823,41,1000),SEARCH(" - ",MID('Industriesektor GWh'!$B2823,41,1000))-1),nrg_cb_e!$C$3:$C$40,0))</f>
        <v>FC_IND_WP_E</v>
      </c>
      <c r="G2823" s="21">
        <v>316.39999999999998</v>
      </c>
    </row>
    <row r="2824" spans="1:7" x14ac:dyDescent="0.2">
      <c r="A2824" s="16" t="s">
        <v>40</v>
      </c>
      <c r="B2824" s="17" t="s">
        <v>71</v>
      </c>
      <c r="C2824" s="17" t="s">
        <v>8</v>
      </c>
      <c r="D2824" s="17" t="s">
        <v>10</v>
      </c>
      <c r="E2824" s="17" t="s">
        <v>12</v>
      </c>
      <c r="F2824" s="17" t="str">
        <f>INDEX(nrg_cb_e!$A$3:$A$40,MATCH(LEFT(MID('Industriesektor GWh'!$B2824,41,1000),SEARCH(" - ",MID('Industriesektor GWh'!$B2824,41,1000))-1),nrg_cb_e!$C$3:$C$40,0))</f>
        <v>FC_IND_WP_E</v>
      </c>
      <c r="G2824" s="18">
        <v>4255</v>
      </c>
    </row>
    <row r="2825" spans="1:7" x14ac:dyDescent="0.2">
      <c r="A2825" s="19" t="s">
        <v>40</v>
      </c>
      <c r="B2825" s="20" t="s">
        <v>71</v>
      </c>
      <c r="C2825" s="20" t="s">
        <v>8</v>
      </c>
      <c r="D2825" s="20" t="s">
        <v>10</v>
      </c>
      <c r="E2825" s="20" t="s">
        <v>13</v>
      </c>
      <c r="F2825" s="20" t="str">
        <f>INDEX(nrg_cb_e!$A$3:$A$40,MATCH(LEFT(MID('Industriesektor GWh'!$B2825,41,1000),SEARCH(" - ",MID('Industriesektor GWh'!$B2825,41,1000))-1),nrg_cb_e!$C$3:$C$40,0))</f>
        <v>FC_IND_WP_E</v>
      </c>
      <c r="G2825" s="21">
        <v>4250</v>
      </c>
    </row>
    <row r="2826" spans="1:7" x14ac:dyDescent="0.2">
      <c r="A2826" s="16" t="s">
        <v>40</v>
      </c>
      <c r="B2826" s="17" t="s">
        <v>71</v>
      </c>
      <c r="C2826" s="17" t="s">
        <v>8</v>
      </c>
      <c r="D2826" s="17" t="s">
        <v>10</v>
      </c>
      <c r="E2826" s="17" t="s">
        <v>14</v>
      </c>
      <c r="F2826" s="17" t="str">
        <f>INDEX(nrg_cb_e!$A$3:$A$40,MATCH(LEFT(MID('Industriesektor GWh'!$B2826,41,1000),SEARCH(" - ",MID('Industriesektor GWh'!$B2826,41,1000))-1),nrg_cb_e!$C$3:$C$40,0))</f>
        <v>FC_IND_WP_E</v>
      </c>
      <c r="G2826" s="18">
        <v>4333</v>
      </c>
    </row>
    <row r="2827" spans="1:7" x14ac:dyDescent="0.2">
      <c r="A2827" s="19" t="s">
        <v>40</v>
      </c>
      <c r="B2827" s="20" t="s">
        <v>71</v>
      </c>
      <c r="C2827" s="20" t="s">
        <v>8</v>
      </c>
      <c r="D2827" s="20" t="s">
        <v>10</v>
      </c>
      <c r="E2827" s="20" t="s">
        <v>15</v>
      </c>
      <c r="F2827" s="20" t="str">
        <f>INDEX(nrg_cb_e!$A$3:$A$40,MATCH(LEFT(MID('Industriesektor GWh'!$B2827,41,1000),SEARCH(" - ",MID('Industriesektor GWh'!$B2827,41,1000))-1),nrg_cb_e!$C$3:$C$40,0))</f>
        <v>FC_IND_WP_E</v>
      </c>
      <c r="G2827" s="21">
        <v>4373</v>
      </c>
    </row>
    <row r="2828" spans="1:7" x14ac:dyDescent="0.2">
      <c r="A2828" s="16" t="s">
        <v>40</v>
      </c>
      <c r="B2828" s="17" t="s">
        <v>71</v>
      </c>
      <c r="C2828" s="17" t="s">
        <v>8</v>
      </c>
      <c r="D2828" s="17" t="s">
        <v>10</v>
      </c>
      <c r="E2828" s="17" t="s">
        <v>16</v>
      </c>
      <c r="F2828" s="17" t="str">
        <f>INDEX(nrg_cb_e!$A$3:$A$40,MATCH(LEFT(MID('Industriesektor GWh'!$B2828,41,1000),SEARCH(" - ",MID('Industriesektor GWh'!$B2828,41,1000))-1),nrg_cb_e!$C$3:$C$40,0))</f>
        <v>FC_IND_WP_E</v>
      </c>
      <c r="G2828" s="18">
        <v>4490</v>
      </c>
    </row>
    <row r="2829" spans="1:7" x14ac:dyDescent="0.2">
      <c r="A2829" s="19" t="s">
        <v>40</v>
      </c>
      <c r="B2829" s="20" t="s">
        <v>71</v>
      </c>
      <c r="C2829" s="20" t="s">
        <v>8</v>
      </c>
      <c r="D2829" s="20" t="s">
        <v>10</v>
      </c>
      <c r="E2829" s="20" t="s">
        <v>17</v>
      </c>
      <c r="F2829" s="20" t="str">
        <f>INDEX(nrg_cb_e!$A$3:$A$40,MATCH(LEFT(MID('Industriesektor GWh'!$B2829,41,1000),SEARCH(" - ",MID('Industriesektor GWh'!$B2829,41,1000))-1),nrg_cb_e!$C$3:$C$40,0))</f>
        <v>FC_IND_WP_E</v>
      </c>
      <c r="G2829" s="21">
        <v>4456</v>
      </c>
    </row>
    <row r="2830" spans="1:7" x14ac:dyDescent="0.2">
      <c r="A2830" s="16" t="s">
        <v>40</v>
      </c>
      <c r="B2830" s="17" t="s">
        <v>71</v>
      </c>
      <c r="C2830" s="17" t="s">
        <v>8</v>
      </c>
      <c r="D2830" s="17" t="s">
        <v>10</v>
      </c>
      <c r="E2830" s="17" t="s">
        <v>18</v>
      </c>
      <c r="F2830" s="17" t="str">
        <f>INDEX(nrg_cb_e!$A$3:$A$40,MATCH(LEFT(MID('Industriesektor GWh'!$B2830,41,1000),SEARCH(" - ",MID('Industriesektor GWh'!$B2830,41,1000))-1),nrg_cb_e!$C$3:$C$40,0))</f>
        <v>FC_IND_WP_E</v>
      </c>
      <c r="G2830" s="18">
        <v>4324</v>
      </c>
    </row>
    <row r="2831" spans="1:7" x14ac:dyDescent="0.2">
      <c r="A2831" s="19" t="s">
        <v>40</v>
      </c>
      <c r="B2831" s="20" t="s">
        <v>71</v>
      </c>
      <c r="C2831" s="20" t="s">
        <v>8</v>
      </c>
      <c r="D2831" s="20" t="s">
        <v>10</v>
      </c>
      <c r="E2831" s="20" t="s">
        <v>19</v>
      </c>
      <c r="F2831" s="20" t="str">
        <f>INDEX(nrg_cb_e!$A$3:$A$40,MATCH(LEFT(MID('Industriesektor GWh'!$B2831,41,1000),SEARCH(" - ",MID('Industriesektor GWh'!$B2831,41,1000))-1),nrg_cb_e!$C$3:$C$40,0))</f>
        <v>FC_IND_WP_E</v>
      </c>
      <c r="G2831" s="21">
        <v>3804</v>
      </c>
    </row>
    <row r="2832" spans="1:7" x14ac:dyDescent="0.2">
      <c r="A2832" s="16" t="s">
        <v>40</v>
      </c>
      <c r="B2832" s="17" t="s">
        <v>71</v>
      </c>
      <c r="C2832" s="17" t="s">
        <v>8</v>
      </c>
      <c r="D2832" s="17" t="s">
        <v>10</v>
      </c>
      <c r="E2832" s="17" t="s">
        <v>20</v>
      </c>
      <c r="F2832" s="17" t="str">
        <f>INDEX(nrg_cb_e!$A$3:$A$40,MATCH(LEFT(MID('Industriesektor GWh'!$B2832,41,1000),SEARCH(" - ",MID('Industriesektor GWh'!$B2832,41,1000))-1),nrg_cb_e!$C$3:$C$40,0))</f>
        <v>FC_IND_WP_E</v>
      </c>
      <c r="G2832" s="18">
        <v>3913</v>
      </c>
    </row>
    <row r="2833" spans="1:7" x14ac:dyDescent="0.2">
      <c r="A2833" s="19" t="s">
        <v>40</v>
      </c>
      <c r="B2833" s="20" t="s">
        <v>71</v>
      </c>
      <c r="C2833" s="20" t="s">
        <v>8</v>
      </c>
      <c r="D2833" s="20" t="s">
        <v>10</v>
      </c>
      <c r="E2833" s="20" t="s">
        <v>21</v>
      </c>
      <c r="F2833" s="20" t="str">
        <f>INDEX(nrg_cb_e!$A$3:$A$40,MATCH(LEFT(MID('Industriesektor GWh'!$B2833,41,1000),SEARCH(" - ",MID('Industriesektor GWh'!$B2833,41,1000))-1),nrg_cb_e!$C$3:$C$40,0))</f>
        <v>FC_IND_WP_E</v>
      </c>
      <c r="G2833" s="21">
        <v>3605</v>
      </c>
    </row>
    <row r="2834" spans="1:7" x14ac:dyDescent="0.2">
      <c r="A2834" s="16" t="s">
        <v>40</v>
      </c>
      <c r="B2834" s="17" t="s">
        <v>71</v>
      </c>
      <c r="C2834" s="17" t="s">
        <v>8</v>
      </c>
      <c r="D2834" s="17" t="s">
        <v>10</v>
      </c>
      <c r="E2834" s="17" t="s">
        <v>22</v>
      </c>
      <c r="F2834" s="17" t="str">
        <f>INDEX(nrg_cb_e!$A$3:$A$40,MATCH(LEFT(MID('Industriesektor GWh'!$B2834,41,1000),SEARCH(" - ",MID('Industriesektor GWh'!$B2834,41,1000))-1),nrg_cb_e!$C$3:$C$40,0))</f>
        <v>FC_IND_WP_E</v>
      </c>
      <c r="G2834" s="18">
        <v>3195</v>
      </c>
    </row>
    <row r="2835" spans="1:7" x14ac:dyDescent="0.2">
      <c r="A2835" s="19" t="s">
        <v>40</v>
      </c>
      <c r="B2835" s="20" t="s">
        <v>71</v>
      </c>
      <c r="C2835" s="20" t="s">
        <v>8</v>
      </c>
      <c r="D2835" s="20" t="s">
        <v>10</v>
      </c>
      <c r="E2835" s="20" t="s">
        <v>23</v>
      </c>
      <c r="F2835" s="20" t="str">
        <f>INDEX(nrg_cb_e!$A$3:$A$40,MATCH(LEFT(MID('Industriesektor GWh'!$B2835,41,1000),SEARCH(" - ",MID('Industriesektor GWh'!$B2835,41,1000))-1),nrg_cb_e!$C$3:$C$40,0))</f>
        <v>FC_IND_WP_E</v>
      </c>
      <c r="G2835" s="21">
        <v>2980</v>
      </c>
    </row>
    <row r="2836" spans="1:7" x14ac:dyDescent="0.2">
      <c r="A2836" s="16" t="s">
        <v>40</v>
      </c>
      <c r="B2836" s="17" t="s">
        <v>71</v>
      </c>
      <c r="C2836" s="17" t="s">
        <v>8</v>
      </c>
      <c r="D2836" s="17" t="s">
        <v>10</v>
      </c>
      <c r="E2836" s="17" t="s">
        <v>24</v>
      </c>
      <c r="F2836" s="17" t="str">
        <f>INDEX(nrg_cb_e!$A$3:$A$40,MATCH(LEFT(MID('Industriesektor GWh'!$B2836,41,1000),SEARCH(" - ",MID('Industriesektor GWh'!$B2836,41,1000))-1),nrg_cb_e!$C$3:$C$40,0))</f>
        <v>FC_IND_WP_E</v>
      </c>
      <c r="G2836" s="18">
        <v>2894</v>
      </c>
    </row>
    <row r="2837" spans="1:7" x14ac:dyDescent="0.2">
      <c r="A2837" s="19" t="s">
        <v>40</v>
      </c>
      <c r="B2837" s="20" t="s">
        <v>71</v>
      </c>
      <c r="C2837" s="20" t="s">
        <v>8</v>
      </c>
      <c r="D2837" s="20" t="s">
        <v>10</v>
      </c>
      <c r="E2837" s="20" t="s">
        <v>25</v>
      </c>
      <c r="F2837" s="20" t="str">
        <f>INDEX(nrg_cb_e!$A$3:$A$40,MATCH(LEFT(MID('Industriesektor GWh'!$B2837,41,1000),SEARCH(" - ",MID('Industriesektor GWh'!$B2837,41,1000))-1),nrg_cb_e!$C$3:$C$40,0))</f>
        <v>FC_IND_WP_E</v>
      </c>
      <c r="G2837" s="21">
        <v>3009</v>
      </c>
    </row>
    <row r="2838" spans="1:7" x14ac:dyDescent="0.2">
      <c r="A2838" s="16" t="s">
        <v>40</v>
      </c>
      <c r="B2838" s="17" t="s">
        <v>71</v>
      </c>
      <c r="C2838" s="17" t="s">
        <v>8</v>
      </c>
      <c r="D2838" s="17" t="s">
        <v>10</v>
      </c>
      <c r="E2838" s="17" t="s">
        <v>26</v>
      </c>
      <c r="F2838" s="17" t="str">
        <f>INDEX(nrg_cb_e!$A$3:$A$40,MATCH(LEFT(MID('Industriesektor GWh'!$B2838,41,1000),SEARCH(" - ",MID('Industriesektor GWh'!$B2838,41,1000))-1),nrg_cb_e!$C$3:$C$40,0))</f>
        <v>FC_IND_WP_E</v>
      </c>
      <c r="G2838" s="18">
        <v>2965</v>
      </c>
    </row>
    <row r="2839" spans="1:7" x14ac:dyDescent="0.2">
      <c r="A2839" s="19" t="s">
        <v>40</v>
      </c>
      <c r="B2839" s="20" t="s">
        <v>71</v>
      </c>
      <c r="C2839" s="20" t="s">
        <v>8</v>
      </c>
      <c r="D2839" s="20" t="s">
        <v>10</v>
      </c>
      <c r="E2839" s="20" t="s">
        <v>27</v>
      </c>
      <c r="F2839" s="20" t="str">
        <f>INDEX(nrg_cb_e!$A$3:$A$40,MATCH(LEFT(MID('Industriesektor GWh'!$B2839,41,1000),SEARCH(" - ",MID('Industriesektor GWh'!$B2839,41,1000))-1),nrg_cb_e!$C$3:$C$40,0))</f>
        <v>FC_IND_WP_E</v>
      </c>
      <c r="G2839" s="21">
        <v>2979.0590000000002</v>
      </c>
    </row>
    <row r="2840" spans="1:7" x14ac:dyDescent="0.2">
      <c r="A2840" s="16" t="s">
        <v>40</v>
      </c>
      <c r="B2840" s="17" t="s">
        <v>71</v>
      </c>
      <c r="C2840" s="17" t="s">
        <v>8</v>
      </c>
      <c r="D2840" s="17" t="s">
        <v>10</v>
      </c>
      <c r="E2840" s="17" t="s">
        <v>28</v>
      </c>
      <c r="F2840" s="17" t="str">
        <f>INDEX(nrg_cb_e!$A$3:$A$40,MATCH(LEFT(MID('Industriesektor GWh'!$B2840,41,1000),SEARCH(" - ",MID('Industriesektor GWh'!$B2840,41,1000))-1),nrg_cb_e!$C$3:$C$40,0))</f>
        <v>FC_IND_WP_E</v>
      </c>
      <c r="G2840" s="18">
        <v>2988.6869999999999</v>
      </c>
    </row>
    <row r="2841" spans="1:7" x14ac:dyDescent="0.2">
      <c r="A2841" s="19" t="s">
        <v>41</v>
      </c>
      <c r="B2841" s="20" t="s">
        <v>71</v>
      </c>
      <c r="C2841" s="20" t="s">
        <v>8</v>
      </c>
      <c r="D2841" s="20" t="s">
        <v>10</v>
      </c>
      <c r="E2841" s="20" t="s">
        <v>12</v>
      </c>
      <c r="F2841" s="20" t="str">
        <f>INDEX(nrg_cb_e!$A$3:$A$40,MATCH(LEFT(MID('Industriesektor GWh'!$B2841,41,1000),SEARCH(" - ",MID('Industriesektor GWh'!$B2841,41,1000))-1),nrg_cb_e!$C$3:$C$40,0))</f>
        <v>FC_IND_WP_E</v>
      </c>
      <c r="G2841" s="21">
        <v>7</v>
      </c>
    </row>
    <row r="2842" spans="1:7" x14ac:dyDescent="0.2">
      <c r="A2842" s="16" t="s">
        <v>41</v>
      </c>
      <c r="B2842" s="17" t="s">
        <v>71</v>
      </c>
      <c r="C2842" s="17" t="s">
        <v>8</v>
      </c>
      <c r="D2842" s="17" t="s">
        <v>10</v>
      </c>
      <c r="E2842" s="17" t="s">
        <v>13</v>
      </c>
      <c r="F2842" s="17" t="str">
        <f>INDEX(nrg_cb_e!$A$3:$A$40,MATCH(LEFT(MID('Industriesektor GWh'!$B2842,41,1000),SEARCH(" - ",MID('Industriesektor GWh'!$B2842,41,1000))-1),nrg_cb_e!$C$3:$C$40,0))</f>
        <v>FC_IND_WP_E</v>
      </c>
      <c r="G2842" s="18">
        <v>8</v>
      </c>
    </row>
    <row r="2843" spans="1:7" x14ac:dyDescent="0.2">
      <c r="A2843" s="19" t="s">
        <v>41</v>
      </c>
      <c r="B2843" s="20" t="s">
        <v>71</v>
      </c>
      <c r="C2843" s="20" t="s">
        <v>8</v>
      </c>
      <c r="D2843" s="20" t="s">
        <v>10</v>
      </c>
      <c r="E2843" s="20" t="s">
        <v>14</v>
      </c>
      <c r="F2843" s="20" t="str">
        <f>INDEX(nrg_cb_e!$A$3:$A$40,MATCH(LEFT(MID('Industriesektor GWh'!$B2843,41,1000),SEARCH(" - ",MID('Industriesektor GWh'!$B2843,41,1000))-1),nrg_cb_e!$C$3:$C$40,0))</f>
        <v>FC_IND_WP_E</v>
      </c>
      <c r="G2843" s="21">
        <v>8</v>
      </c>
    </row>
    <row r="2844" spans="1:7" x14ac:dyDescent="0.2">
      <c r="A2844" s="16" t="s">
        <v>41</v>
      </c>
      <c r="B2844" s="17" t="s">
        <v>71</v>
      </c>
      <c r="C2844" s="17" t="s">
        <v>8</v>
      </c>
      <c r="D2844" s="17" t="s">
        <v>10</v>
      </c>
      <c r="E2844" s="17" t="s">
        <v>15</v>
      </c>
      <c r="F2844" s="17" t="str">
        <f>INDEX(nrg_cb_e!$A$3:$A$40,MATCH(LEFT(MID('Industriesektor GWh'!$B2844,41,1000),SEARCH(" - ",MID('Industriesektor GWh'!$B2844,41,1000))-1),nrg_cb_e!$C$3:$C$40,0))</f>
        <v>FC_IND_WP_E</v>
      </c>
      <c r="G2844" s="18">
        <v>8</v>
      </c>
    </row>
    <row r="2845" spans="1:7" x14ac:dyDescent="0.2">
      <c r="A2845" s="19" t="s">
        <v>41</v>
      </c>
      <c r="B2845" s="20" t="s">
        <v>71</v>
      </c>
      <c r="C2845" s="20" t="s">
        <v>8</v>
      </c>
      <c r="D2845" s="20" t="s">
        <v>10</v>
      </c>
      <c r="E2845" s="20" t="s">
        <v>16</v>
      </c>
      <c r="F2845" s="20" t="str">
        <f>INDEX(nrg_cb_e!$A$3:$A$40,MATCH(LEFT(MID('Industriesektor GWh'!$B2845,41,1000),SEARCH(" - ",MID('Industriesektor GWh'!$B2845,41,1000))-1),nrg_cb_e!$C$3:$C$40,0))</f>
        <v>FC_IND_WP_E</v>
      </c>
      <c r="G2845" s="21">
        <v>8</v>
      </c>
    </row>
    <row r="2846" spans="1:7" x14ac:dyDescent="0.2">
      <c r="A2846" s="16" t="s">
        <v>41</v>
      </c>
      <c r="B2846" s="17" t="s">
        <v>71</v>
      </c>
      <c r="C2846" s="17" t="s">
        <v>8</v>
      </c>
      <c r="D2846" s="17" t="s">
        <v>10</v>
      </c>
      <c r="E2846" s="17" t="s">
        <v>17</v>
      </c>
      <c r="F2846" s="17" t="str">
        <f>INDEX(nrg_cb_e!$A$3:$A$40,MATCH(LEFT(MID('Industriesektor GWh'!$B2846,41,1000),SEARCH(" - ",MID('Industriesektor GWh'!$B2846,41,1000))-1),nrg_cb_e!$C$3:$C$40,0))</f>
        <v>FC_IND_WP_E</v>
      </c>
      <c r="G2846" s="18">
        <v>9</v>
      </c>
    </row>
    <row r="2847" spans="1:7" x14ac:dyDescent="0.2">
      <c r="A2847" s="19" t="s">
        <v>41</v>
      </c>
      <c r="B2847" s="20" t="s">
        <v>71</v>
      </c>
      <c r="C2847" s="20" t="s">
        <v>8</v>
      </c>
      <c r="D2847" s="20" t="s">
        <v>10</v>
      </c>
      <c r="E2847" s="20" t="s">
        <v>18</v>
      </c>
      <c r="F2847" s="20" t="str">
        <f>INDEX(nrg_cb_e!$A$3:$A$40,MATCH(LEFT(MID('Industriesektor GWh'!$B2847,41,1000),SEARCH(" - ",MID('Industriesektor GWh'!$B2847,41,1000))-1),nrg_cb_e!$C$3:$C$40,0))</f>
        <v>FC_IND_WP_E</v>
      </c>
      <c r="G2847" s="21">
        <v>9</v>
      </c>
    </row>
    <row r="2848" spans="1:7" x14ac:dyDescent="0.2">
      <c r="A2848" s="16" t="s">
        <v>41</v>
      </c>
      <c r="B2848" s="17" t="s">
        <v>71</v>
      </c>
      <c r="C2848" s="17" t="s">
        <v>8</v>
      </c>
      <c r="D2848" s="17" t="s">
        <v>10</v>
      </c>
      <c r="E2848" s="17" t="s">
        <v>19</v>
      </c>
      <c r="F2848" s="17" t="str">
        <f>INDEX(nrg_cb_e!$A$3:$A$40,MATCH(LEFT(MID('Industriesektor GWh'!$B2848,41,1000),SEARCH(" - ",MID('Industriesektor GWh'!$B2848,41,1000))-1),nrg_cb_e!$C$3:$C$40,0))</f>
        <v>FC_IND_WP_E</v>
      </c>
      <c r="G2848" s="18">
        <v>9</v>
      </c>
    </row>
    <row r="2849" spans="1:7" x14ac:dyDescent="0.2">
      <c r="A2849" s="19" t="s">
        <v>41</v>
      </c>
      <c r="B2849" s="20" t="s">
        <v>71</v>
      </c>
      <c r="C2849" s="20" t="s">
        <v>8</v>
      </c>
      <c r="D2849" s="20" t="s">
        <v>10</v>
      </c>
      <c r="E2849" s="20" t="s">
        <v>20</v>
      </c>
      <c r="F2849" s="20" t="str">
        <f>INDEX(nrg_cb_e!$A$3:$A$40,MATCH(LEFT(MID('Industriesektor GWh'!$B2849,41,1000),SEARCH(" - ",MID('Industriesektor GWh'!$B2849,41,1000))-1),nrg_cb_e!$C$3:$C$40,0))</f>
        <v>FC_IND_WP_E</v>
      </c>
      <c r="G2849" s="21">
        <v>9</v>
      </c>
    </row>
    <row r="2850" spans="1:7" x14ac:dyDescent="0.2">
      <c r="A2850" s="16" t="s">
        <v>41</v>
      </c>
      <c r="B2850" s="17" t="s">
        <v>71</v>
      </c>
      <c r="C2850" s="17" t="s">
        <v>8</v>
      </c>
      <c r="D2850" s="17" t="s">
        <v>10</v>
      </c>
      <c r="E2850" s="17" t="s">
        <v>21</v>
      </c>
      <c r="F2850" s="17" t="str">
        <f>INDEX(nrg_cb_e!$A$3:$A$40,MATCH(LEFT(MID('Industriesektor GWh'!$B2850,41,1000),SEARCH(" - ",MID('Industriesektor GWh'!$B2850,41,1000))-1),nrg_cb_e!$C$3:$C$40,0))</f>
        <v>FC_IND_WP_E</v>
      </c>
      <c r="G2850" s="18">
        <v>8</v>
      </c>
    </row>
    <row r="2851" spans="1:7" x14ac:dyDescent="0.2">
      <c r="A2851" s="19" t="s">
        <v>41</v>
      </c>
      <c r="B2851" s="20" t="s">
        <v>71</v>
      </c>
      <c r="C2851" s="20" t="s">
        <v>8</v>
      </c>
      <c r="D2851" s="20" t="s">
        <v>10</v>
      </c>
      <c r="E2851" s="20" t="s">
        <v>22</v>
      </c>
      <c r="F2851" s="20" t="str">
        <f>INDEX(nrg_cb_e!$A$3:$A$40,MATCH(LEFT(MID('Industriesektor GWh'!$B2851,41,1000),SEARCH(" - ",MID('Industriesektor GWh'!$B2851,41,1000))-1),nrg_cb_e!$C$3:$C$40,0))</f>
        <v>FC_IND_WP_E</v>
      </c>
      <c r="G2851" s="21">
        <v>7</v>
      </c>
    </row>
    <row r="2852" spans="1:7" x14ac:dyDescent="0.2">
      <c r="A2852" s="16" t="s">
        <v>41</v>
      </c>
      <c r="B2852" s="17" t="s">
        <v>71</v>
      </c>
      <c r="C2852" s="17" t="s">
        <v>8</v>
      </c>
      <c r="D2852" s="17" t="s">
        <v>10</v>
      </c>
      <c r="E2852" s="17" t="s">
        <v>23</v>
      </c>
      <c r="F2852" s="17" t="str">
        <f>INDEX(nrg_cb_e!$A$3:$A$40,MATCH(LEFT(MID('Industriesektor GWh'!$B2852,41,1000),SEARCH(" - ",MID('Industriesektor GWh'!$B2852,41,1000))-1),nrg_cb_e!$C$3:$C$40,0))</f>
        <v>FC_IND_WP_E</v>
      </c>
      <c r="G2852" s="18">
        <v>5</v>
      </c>
    </row>
    <row r="2853" spans="1:7" x14ac:dyDescent="0.2">
      <c r="A2853" s="19" t="s">
        <v>41</v>
      </c>
      <c r="B2853" s="20" t="s">
        <v>71</v>
      </c>
      <c r="C2853" s="20" t="s">
        <v>8</v>
      </c>
      <c r="D2853" s="20" t="s">
        <v>10</v>
      </c>
      <c r="E2853" s="20" t="s">
        <v>24</v>
      </c>
      <c r="F2853" s="20" t="str">
        <f>INDEX(nrg_cb_e!$A$3:$A$40,MATCH(LEFT(MID('Industriesektor GWh'!$B2853,41,1000),SEARCH(" - ",MID('Industriesektor GWh'!$B2853,41,1000))-1),nrg_cb_e!$C$3:$C$40,0))</f>
        <v>FC_IND_WP_E</v>
      </c>
      <c r="G2853" s="21">
        <v>5</v>
      </c>
    </row>
    <row r="2854" spans="1:7" x14ac:dyDescent="0.2">
      <c r="A2854" s="16" t="s">
        <v>41</v>
      </c>
      <c r="B2854" s="17" t="s">
        <v>71</v>
      </c>
      <c r="C2854" s="17" t="s">
        <v>8</v>
      </c>
      <c r="D2854" s="17" t="s">
        <v>10</v>
      </c>
      <c r="E2854" s="17" t="s">
        <v>25</v>
      </c>
      <c r="F2854" s="17" t="str">
        <f>INDEX(nrg_cb_e!$A$3:$A$40,MATCH(LEFT(MID('Industriesektor GWh'!$B2854,41,1000),SEARCH(" - ",MID('Industriesektor GWh'!$B2854,41,1000))-1),nrg_cb_e!$C$3:$C$40,0))</f>
        <v>FC_IND_WP_E</v>
      </c>
      <c r="G2854" s="18">
        <v>5</v>
      </c>
    </row>
    <row r="2855" spans="1:7" x14ac:dyDescent="0.2">
      <c r="A2855" s="19" t="s">
        <v>41</v>
      </c>
      <c r="B2855" s="20" t="s">
        <v>71</v>
      </c>
      <c r="C2855" s="20" t="s">
        <v>8</v>
      </c>
      <c r="D2855" s="20" t="s">
        <v>10</v>
      </c>
      <c r="E2855" s="20" t="s">
        <v>26</v>
      </c>
      <c r="F2855" s="20" t="str">
        <f>INDEX(nrg_cb_e!$A$3:$A$40,MATCH(LEFT(MID('Industriesektor GWh'!$B2855,41,1000),SEARCH(" - ",MID('Industriesektor GWh'!$B2855,41,1000))-1),nrg_cb_e!$C$3:$C$40,0))</f>
        <v>FC_IND_WP_E</v>
      </c>
      <c r="G2855" s="21">
        <v>6</v>
      </c>
    </row>
    <row r="2856" spans="1:7" x14ac:dyDescent="0.2">
      <c r="A2856" s="16" t="s">
        <v>41</v>
      </c>
      <c r="B2856" s="17" t="s">
        <v>71</v>
      </c>
      <c r="C2856" s="17" t="s">
        <v>8</v>
      </c>
      <c r="D2856" s="17" t="s">
        <v>10</v>
      </c>
      <c r="E2856" s="17" t="s">
        <v>27</v>
      </c>
      <c r="F2856" s="17" t="str">
        <f>INDEX(nrg_cb_e!$A$3:$A$40,MATCH(LEFT(MID('Industriesektor GWh'!$B2856,41,1000),SEARCH(" - ",MID('Industriesektor GWh'!$B2856,41,1000))-1),nrg_cb_e!$C$3:$C$40,0))</f>
        <v>FC_IND_WP_E</v>
      </c>
      <c r="G2856" s="18">
        <v>6.0010000000000003</v>
      </c>
    </row>
    <row r="2857" spans="1:7" x14ac:dyDescent="0.2">
      <c r="A2857" s="19" t="s">
        <v>41</v>
      </c>
      <c r="B2857" s="20" t="s">
        <v>71</v>
      </c>
      <c r="C2857" s="20" t="s">
        <v>8</v>
      </c>
      <c r="D2857" s="20" t="s">
        <v>10</v>
      </c>
      <c r="E2857" s="20" t="s">
        <v>28</v>
      </c>
      <c r="F2857" s="20" t="str">
        <f>INDEX(nrg_cb_e!$A$3:$A$40,MATCH(LEFT(MID('Industriesektor GWh'!$B2857,41,1000),SEARCH(" - ",MID('Industriesektor GWh'!$B2857,41,1000))-1),nrg_cb_e!$C$3:$C$40,0))</f>
        <v>FC_IND_WP_E</v>
      </c>
      <c r="G2857" s="21">
        <v>6.1920000000000002</v>
      </c>
    </row>
    <row r="2858" spans="1:7" x14ac:dyDescent="0.2">
      <c r="A2858" s="16" t="s">
        <v>42</v>
      </c>
      <c r="B2858" s="17" t="s">
        <v>71</v>
      </c>
      <c r="C2858" s="17" t="s">
        <v>8</v>
      </c>
      <c r="D2858" s="17" t="s">
        <v>10</v>
      </c>
      <c r="E2858" s="17" t="s">
        <v>12</v>
      </c>
      <c r="F2858" s="17" t="str">
        <f>INDEX(nrg_cb_e!$A$3:$A$40,MATCH(LEFT(MID('Industriesektor GWh'!$B2858,41,1000),SEARCH(" - ",MID('Industriesektor GWh'!$B2858,41,1000))-1),nrg_cb_e!$C$3:$C$40,0))</f>
        <v>FC_IND_WP_E</v>
      </c>
      <c r="G2858" s="18">
        <v>284</v>
      </c>
    </row>
    <row r="2859" spans="1:7" x14ac:dyDescent="0.2">
      <c r="A2859" s="19" t="s">
        <v>42</v>
      </c>
      <c r="B2859" s="20" t="s">
        <v>71</v>
      </c>
      <c r="C2859" s="20" t="s">
        <v>8</v>
      </c>
      <c r="D2859" s="20" t="s">
        <v>10</v>
      </c>
      <c r="E2859" s="20" t="s">
        <v>13</v>
      </c>
      <c r="F2859" s="20" t="str">
        <f>INDEX(nrg_cb_e!$A$3:$A$40,MATCH(LEFT(MID('Industriesektor GWh'!$B2859,41,1000),SEARCH(" - ",MID('Industriesektor GWh'!$B2859,41,1000))-1),nrg_cb_e!$C$3:$C$40,0))</f>
        <v>FC_IND_WP_E</v>
      </c>
      <c r="G2859" s="21">
        <v>318</v>
      </c>
    </row>
    <row r="2860" spans="1:7" x14ac:dyDescent="0.2">
      <c r="A2860" s="16" t="s">
        <v>42</v>
      </c>
      <c r="B2860" s="17" t="s">
        <v>71</v>
      </c>
      <c r="C2860" s="17" t="s">
        <v>8</v>
      </c>
      <c r="D2860" s="17" t="s">
        <v>10</v>
      </c>
      <c r="E2860" s="17" t="s">
        <v>14</v>
      </c>
      <c r="F2860" s="17" t="str">
        <f>INDEX(nrg_cb_e!$A$3:$A$40,MATCH(LEFT(MID('Industriesektor GWh'!$B2860,41,1000),SEARCH(" - ",MID('Industriesektor GWh'!$B2860,41,1000))-1),nrg_cb_e!$C$3:$C$40,0))</f>
        <v>FC_IND_WP_E</v>
      </c>
      <c r="G2860" s="18">
        <v>359</v>
      </c>
    </row>
    <row r="2861" spans="1:7" x14ac:dyDescent="0.2">
      <c r="A2861" s="19" t="s">
        <v>42</v>
      </c>
      <c r="B2861" s="20" t="s">
        <v>71</v>
      </c>
      <c r="C2861" s="20" t="s">
        <v>8</v>
      </c>
      <c r="D2861" s="20" t="s">
        <v>10</v>
      </c>
      <c r="E2861" s="20" t="s">
        <v>15</v>
      </c>
      <c r="F2861" s="20" t="str">
        <f>INDEX(nrg_cb_e!$A$3:$A$40,MATCH(LEFT(MID('Industriesektor GWh'!$B2861,41,1000),SEARCH(" - ",MID('Industriesektor GWh'!$B2861,41,1000))-1),nrg_cb_e!$C$3:$C$40,0))</f>
        <v>FC_IND_WP_E</v>
      </c>
      <c r="G2861" s="21">
        <v>388</v>
      </c>
    </row>
    <row r="2862" spans="1:7" x14ac:dyDescent="0.2">
      <c r="A2862" s="16" t="s">
        <v>42</v>
      </c>
      <c r="B2862" s="17" t="s">
        <v>71</v>
      </c>
      <c r="C2862" s="17" t="s">
        <v>8</v>
      </c>
      <c r="D2862" s="17" t="s">
        <v>10</v>
      </c>
      <c r="E2862" s="17" t="s">
        <v>16</v>
      </c>
      <c r="F2862" s="17" t="str">
        <f>INDEX(nrg_cb_e!$A$3:$A$40,MATCH(LEFT(MID('Industriesektor GWh'!$B2862,41,1000),SEARCH(" - ",MID('Industriesektor GWh'!$B2862,41,1000))-1),nrg_cb_e!$C$3:$C$40,0))</f>
        <v>FC_IND_WP_E</v>
      </c>
      <c r="G2862" s="18">
        <v>429</v>
      </c>
    </row>
    <row r="2863" spans="1:7" x14ac:dyDescent="0.2">
      <c r="A2863" s="19" t="s">
        <v>42</v>
      </c>
      <c r="B2863" s="20" t="s">
        <v>71</v>
      </c>
      <c r="C2863" s="20" t="s">
        <v>8</v>
      </c>
      <c r="D2863" s="20" t="s">
        <v>10</v>
      </c>
      <c r="E2863" s="20" t="s">
        <v>17</v>
      </c>
      <c r="F2863" s="20" t="str">
        <f>INDEX(nrg_cb_e!$A$3:$A$40,MATCH(LEFT(MID('Industriesektor GWh'!$B2863,41,1000),SEARCH(" - ",MID('Industriesektor GWh'!$B2863,41,1000))-1),nrg_cb_e!$C$3:$C$40,0))</f>
        <v>FC_IND_WP_E</v>
      </c>
      <c r="G2863" s="21">
        <v>439</v>
      </c>
    </row>
    <row r="2864" spans="1:7" x14ac:dyDescent="0.2">
      <c r="A2864" s="16" t="s">
        <v>42</v>
      </c>
      <c r="B2864" s="17" t="s">
        <v>71</v>
      </c>
      <c r="C2864" s="17" t="s">
        <v>8</v>
      </c>
      <c r="D2864" s="17" t="s">
        <v>10</v>
      </c>
      <c r="E2864" s="17" t="s">
        <v>18</v>
      </c>
      <c r="F2864" s="17" t="str">
        <f>INDEX(nrg_cb_e!$A$3:$A$40,MATCH(LEFT(MID('Industriesektor GWh'!$B2864,41,1000),SEARCH(" - ",MID('Industriesektor GWh'!$B2864,41,1000))-1),nrg_cb_e!$C$3:$C$40,0))</f>
        <v>FC_IND_WP_E</v>
      </c>
      <c r="G2864" s="18">
        <v>408</v>
      </c>
    </row>
    <row r="2865" spans="1:7" x14ac:dyDescent="0.2">
      <c r="A2865" s="19" t="s">
        <v>42</v>
      </c>
      <c r="B2865" s="20" t="s">
        <v>71</v>
      </c>
      <c r="C2865" s="20" t="s">
        <v>8</v>
      </c>
      <c r="D2865" s="20" t="s">
        <v>10</v>
      </c>
      <c r="E2865" s="20" t="s">
        <v>19</v>
      </c>
      <c r="F2865" s="20" t="str">
        <f>INDEX(nrg_cb_e!$A$3:$A$40,MATCH(LEFT(MID('Industriesektor GWh'!$B2865,41,1000),SEARCH(" - ",MID('Industriesektor GWh'!$B2865,41,1000))-1),nrg_cb_e!$C$3:$C$40,0))</f>
        <v>FC_IND_WP_E</v>
      </c>
      <c r="G2865" s="21">
        <v>458</v>
      </c>
    </row>
    <row r="2866" spans="1:7" x14ac:dyDescent="0.2">
      <c r="A2866" s="16" t="s">
        <v>42</v>
      </c>
      <c r="B2866" s="17" t="s">
        <v>71</v>
      </c>
      <c r="C2866" s="17" t="s">
        <v>8</v>
      </c>
      <c r="D2866" s="17" t="s">
        <v>10</v>
      </c>
      <c r="E2866" s="17" t="s">
        <v>20</v>
      </c>
      <c r="F2866" s="17" t="str">
        <f>INDEX(nrg_cb_e!$A$3:$A$40,MATCH(LEFT(MID('Industriesektor GWh'!$B2866,41,1000),SEARCH(" - ",MID('Industriesektor GWh'!$B2866,41,1000))-1),nrg_cb_e!$C$3:$C$40,0))</f>
        <v>FC_IND_WP_E</v>
      </c>
      <c r="G2866" s="18">
        <v>477</v>
      </c>
    </row>
    <row r="2867" spans="1:7" x14ac:dyDescent="0.2">
      <c r="A2867" s="19" t="s">
        <v>42</v>
      </c>
      <c r="B2867" s="20" t="s">
        <v>71</v>
      </c>
      <c r="C2867" s="20" t="s">
        <v>8</v>
      </c>
      <c r="D2867" s="20" t="s">
        <v>10</v>
      </c>
      <c r="E2867" s="20" t="s">
        <v>21</v>
      </c>
      <c r="F2867" s="20" t="str">
        <f>INDEX(nrg_cb_e!$A$3:$A$40,MATCH(LEFT(MID('Industriesektor GWh'!$B2867,41,1000),SEARCH(" - ",MID('Industriesektor GWh'!$B2867,41,1000))-1),nrg_cb_e!$C$3:$C$40,0))</f>
        <v>FC_IND_WP_E</v>
      </c>
      <c r="G2867" s="21">
        <v>498</v>
      </c>
    </row>
    <row r="2868" spans="1:7" x14ac:dyDescent="0.2">
      <c r="A2868" s="16" t="s">
        <v>42</v>
      </c>
      <c r="B2868" s="17" t="s">
        <v>71</v>
      </c>
      <c r="C2868" s="17" t="s">
        <v>8</v>
      </c>
      <c r="D2868" s="17" t="s">
        <v>10</v>
      </c>
      <c r="E2868" s="17" t="s">
        <v>22</v>
      </c>
      <c r="F2868" s="17" t="str">
        <f>INDEX(nrg_cb_e!$A$3:$A$40,MATCH(LEFT(MID('Industriesektor GWh'!$B2868,41,1000),SEARCH(" - ",MID('Industriesektor GWh'!$B2868,41,1000))-1),nrg_cb_e!$C$3:$C$40,0))</f>
        <v>FC_IND_WP_E</v>
      </c>
      <c r="G2868" s="18">
        <v>560</v>
      </c>
    </row>
    <row r="2869" spans="1:7" x14ac:dyDescent="0.2">
      <c r="A2869" s="19" t="s">
        <v>42</v>
      </c>
      <c r="B2869" s="20" t="s">
        <v>71</v>
      </c>
      <c r="C2869" s="20" t="s">
        <v>8</v>
      </c>
      <c r="D2869" s="20" t="s">
        <v>10</v>
      </c>
      <c r="E2869" s="20" t="s">
        <v>23</v>
      </c>
      <c r="F2869" s="20" t="str">
        <f>INDEX(nrg_cb_e!$A$3:$A$40,MATCH(LEFT(MID('Industriesektor GWh'!$B2869,41,1000),SEARCH(" - ",MID('Industriesektor GWh'!$B2869,41,1000))-1),nrg_cb_e!$C$3:$C$40,0))</f>
        <v>FC_IND_WP_E</v>
      </c>
      <c r="G2869" s="21">
        <v>625</v>
      </c>
    </row>
    <row r="2870" spans="1:7" x14ac:dyDescent="0.2">
      <c r="A2870" s="16" t="s">
        <v>42</v>
      </c>
      <c r="B2870" s="17" t="s">
        <v>71</v>
      </c>
      <c r="C2870" s="17" t="s">
        <v>8</v>
      </c>
      <c r="D2870" s="17" t="s">
        <v>10</v>
      </c>
      <c r="E2870" s="17" t="s">
        <v>24</v>
      </c>
      <c r="F2870" s="17" t="str">
        <f>INDEX(nrg_cb_e!$A$3:$A$40,MATCH(LEFT(MID('Industriesektor GWh'!$B2870,41,1000),SEARCH(" - ",MID('Industriesektor GWh'!$B2870,41,1000))-1),nrg_cb_e!$C$3:$C$40,0))</f>
        <v>FC_IND_WP_E</v>
      </c>
      <c r="G2870" s="18">
        <v>681</v>
      </c>
    </row>
    <row r="2871" spans="1:7" x14ac:dyDescent="0.2">
      <c r="A2871" s="19" t="s">
        <v>42</v>
      </c>
      <c r="B2871" s="20" t="s">
        <v>71</v>
      </c>
      <c r="C2871" s="20" t="s">
        <v>8</v>
      </c>
      <c r="D2871" s="20" t="s">
        <v>10</v>
      </c>
      <c r="E2871" s="20" t="s">
        <v>25</v>
      </c>
      <c r="F2871" s="20" t="str">
        <f>INDEX(nrg_cb_e!$A$3:$A$40,MATCH(LEFT(MID('Industriesektor GWh'!$B2871,41,1000),SEARCH(" - ",MID('Industriesektor GWh'!$B2871,41,1000))-1),nrg_cb_e!$C$3:$C$40,0))</f>
        <v>FC_IND_WP_E</v>
      </c>
      <c r="G2871" s="21">
        <v>724</v>
      </c>
    </row>
    <row r="2872" spans="1:7" x14ac:dyDescent="0.2">
      <c r="A2872" s="16" t="s">
        <v>42</v>
      </c>
      <c r="B2872" s="17" t="s">
        <v>71</v>
      </c>
      <c r="C2872" s="17" t="s">
        <v>8</v>
      </c>
      <c r="D2872" s="17" t="s">
        <v>10</v>
      </c>
      <c r="E2872" s="17" t="s">
        <v>26</v>
      </c>
      <c r="F2872" s="17" t="str">
        <f>INDEX(nrg_cb_e!$A$3:$A$40,MATCH(LEFT(MID('Industriesektor GWh'!$B2872,41,1000),SEARCH(" - ",MID('Industriesektor GWh'!$B2872,41,1000))-1),nrg_cb_e!$C$3:$C$40,0))</f>
        <v>FC_IND_WP_E</v>
      </c>
      <c r="G2872" s="18">
        <v>738</v>
      </c>
    </row>
    <row r="2873" spans="1:7" x14ac:dyDescent="0.2">
      <c r="A2873" s="19" t="s">
        <v>42</v>
      </c>
      <c r="B2873" s="20" t="s">
        <v>71</v>
      </c>
      <c r="C2873" s="20" t="s">
        <v>8</v>
      </c>
      <c r="D2873" s="20" t="s">
        <v>10</v>
      </c>
      <c r="E2873" s="20" t="s">
        <v>27</v>
      </c>
      <c r="F2873" s="20" t="str">
        <f>INDEX(nrg_cb_e!$A$3:$A$40,MATCH(LEFT(MID('Industriesektor GWh'!$B2873,41,1000),SEARCH(" - ",MID('Industriesektor GWh'!$B2873,41,1000))-1),nrg_cb_e!$C$3:$C$40,0))</f>
        <v>FC_IND_WP_E</v>
      </c>
      <c r="G2873" s="21">
        <v>762.08299999999997</v>
      </c>
    </row>
    <row r="2874" spans="1:7" x14ac:dyDescent="0.2">
      <c r="A2874" s="16" t="s">
        <v>42</v>
      </c>
      <c r="B2874" s="17" t="s">
        <v>71</v>
      </c>
      <c r="C2874" s="17" t="s">
        <v>8</v>
      </c>
      <c r="D2874" s="17" t="s">
        <v>10</v>
      </c>
      <c r="E2874" s="17" t="s">
        <v>28</v>
      </c>
      <c r="F2874" s="17" t="str">
        <f>INDEX(nrg_cb_e!$A$3:$A$40,MATCH(LEFT(MID('Industriesektor GWh'!$B2874,41,1000),SEARCH(" - ",MID('Industriesektor GWh'!$B2874,41,1000))-1),nrg_cb_e!$C$3:$C$40,0))</f>
        <v>FC_IND_WP_E</v>
      </c>
      <c r="G2874" s="18">
        <v>806.59699999999998</v>
      </c>
    </row>
    <row r="2875" spans="1:7" x14ac:dyDescent="0.2">
      <c r="A2875" s="19" t="s">
        <v>43</v>
      </c>
      <c r="B2875" s="20" t="s">
        <v>71</v>
      </c>
      <c r="C2875" s="20" t="s">
        <v>8</v>
      </c>
      <c r="D2875" s="20" t="s">
        <v>10</v>
      </c>
      <c r="E2875" s="20" t="s">
        <v>12</v>
      </c>
      <c r="F2875" s="20" t="str">
        <f>INDEX(nrg_cb_e!$A$3:$A$40,MATCH(LEFT(MID('Industriesektor GWh'!$B2875,41,1000),SEARCH(" - ",MID('Industriesektor GWh'!$B2875,41,1000))-1),nrg_cb_e!$C$3:$C$40,0))</f>
        <v>FC_IND_WP_E</v>
      </c>
      <c r="G2875" s="21">
        <v>202</v>
      </c>
    </row>
    <row r="2876" spans="1:7" x14ac:dyDescent="0.2">
      <c r="A2876" s="16" t="s">
        <v>43</v>
      </c>
      <c r="B2876" s="17" t="s">
        <v>71</v>
      </c>
      <c r="C2876" s="17" t="s">
        <v>8</v>
      </c>
      <c r="D2876" s="17" t="s">
        <v>10</v>
      </c>
      <c r="E2876" s="17" t="s">
        <v>13</v>
      </c>
      <c r="F2876" s="17" t="str">
        <f>INDEX(nrg_cb_e!$A$3:$A$40,MATCH(LEFT(MID('Industriesektor GWh'!$B2876,41,1000),SEARCH(" - ",MID('Industriesektor GWh'!$B2876,41,1000))-1),nrg_cb_e!$C$3:$C$40,0))</f>
        <v>FC_IND_WP_E</v>
      </c>
      <c r="G2876" s="18">
        <v>218</v>
      </c>
    </row>
    <row r="2877" spans="1:7" x14ac:dyDescent="0.2">
      <c r="A2877" s="19" t="s">
        <v>43</v>
      </c>
      <c r="B2877" s="20" t="s">
        <v>71</v>
      </c>
      <c r="C2877" s="20" t="s">
        <v>8</v>
      </c>
      <c r="D2877" s="20" t="s">
        <v>10</v>
      </c>
      <c r="E2877" s="20" t="s">
        <v>14</v>
      </c>
      <c r="F2877" s="20" t="str">
        <f>INDEX(nrg_cb_e!$A$3:$A$40,MATCH(LEFT(MID('Industriesektor GWh'!$B2877,41,1000),SEARCH(" - ",MID('Industriesektor GWh'!$B2877,41,1000))-1),nrg_cb_e!$C$3:$C$40,0))</f>
        <v>FC_IND_WP_E</v>
      </c>
      <c r="G2877" s="21">
        <v>256</v>
      </c>
    </row>
    <row r="2878" spans="1:7" x14ac:dyDescent="0.2">
      <c r="A2878" s="16" t="s">
        <v>43</v>
      </c>
      <c r="B2878" s="17" t="s">
        <v>71</v>
      </c>
      <c r="C2878" s="17" t="s">
        <v>8</v>
      </c>
      <c r="D2878" s="17" t="s">
        <v>10</v>
      </c>
      <c r="E2878" s="17" t="s">
        <v>15</v>
      </c>
      <c r="F2878" s="17" t="str">
        <f>INDEX(nrg_cb_e!$A$3:$A$40,MATCH(LEFT(MID('Industriesektor GWh'!$B2878,41,1000),SEARCH(" - ",MID('Industriesektor GWh'!$B2878,41,1000))-1),nrg_cb_e!$C$3:$C$40,0))</f>
        <v>FC_IND_WP_E</v>
      </c>
      <c r="G2878" s="18">
        <v>280</v>
      </c>
    </row>
    <row r="2879" spans="1:7" x14ac:dyDescent="0.2">
      <c r="A2879" s="19" t="s">
        <v>43</v>
      </c>
      <c r="B2879" s="20" t="s">
        <v>71</v>
      </c>
      <c r="C2879" s="20" t="s">
        <v>8</v>
      </c>
      <c r="D2879" s="20" t="s">
        <v>10</v>
      </c>
      <c r="E2879" s="20" t="s">
        <v>16</v>
      </c>
      <c r="F2879" s="20" t="str">
        <f>INDEX(nrg_cb_e!$A$3:$A$40,MATCH(LEFT(MID('Industriesektor GWh'!$B2879,41,1000),SEARCH(" - ",MID('Industriesektor GWh'!$B2879,41,1000))-1),nrg_cb_e!$C$3:$C$40,0))</f>
        <v>FC_IND_WP_E</v>
      </c>
      <c r="G2879" s="21">
        <v>292</v>
      </c>
    </row>
    <row r="2880" spans="1:7" x14ac:dyDescent="0.2">
      <c r="A2880" s="16" t="s">
        <v>43</v>
      </c>
      <c r="B2880" s="17" t="s">
        <v>71</v>
      </c>
      <c r="C2880" s="17" t="s">
        <v>8</v>
      </c>
      <c r="D2880" s="17" t="s">
        <v>10</v>
      </c>
      <c r="E2880" s="17" t="s">
        <v>17</v>
      </c>
      <c r="F2880" s="17" t="str">
        <f>INDEX(nrg_cb_e!$A$3:$A$40,MATCH(LEFT(MID('Industriesektor GWh'!$B2880,41,1000),SEARCH(" - ",MID('Industriesektor GWh'!$B2880,41,1000))-1),nrg_cb_e!$C$3:$C$40,0))</f>
        <v>FC_IND_WP_E</v>
      </c>
      <c r="G2880" s="18">
        <v>301</v>
      </c>
    </row>
    <row r="2881" spans="1:7" x14ac:dyDescent="0.2">
      <c r="A2881" s="19" t="s">
        <v>43</v>
      </c>
      <c r="B2881" s="20" t="s">
        <v>71</v>
      </c>
      <c r="C2881" s="20" t="s">
        <v>8</v>
      </c>
      <c r="D2881" s="20" t="s">
        <v>10</v>
      </c>
      <c r="E2881" s="20" t="s">
        <v>18</v>
      </c>
      <c r="F2881" s="20" t="str">
        <f>INDEX(nrg_cb_e!$A$3:$A$40,MATCH(LEFT(MID('Industriesektor GWh'!$B2881,41,1000),SEARCH(" - ",MID('Industriesektor GWh'!$B2881,41,1000))-1),nrg_cb_e!$C$3:$C$40,0))</f>
        <v>FC_IND_WP_E</v>
      </c>
      <c r="G2881" s="21">
        <v>283</v>
      </c>
    </row>
    <row r="2882" spans="1:7" x14ac:dyDescent="0.2">
      <c r="A2882" s="16" t="s">
        <v>43</v>
      </c>
      <c r="B2882" s="17" t="s">
        <v>71</v>
      </c>
      <c r="C2882" s="17" t="s">
        <v>8</v>
      </c>
      <c r="D2882" s="17" t="s">
        <v>10</v>
      </c>
      <c r="E2882" s="17" t="s">
        <v>19</v>
      </c>
      <c r="F2882" s="17" t="str">
        <f>INDEX(nrg_cb_e!$A$3:$A$40,MATCH(LEFT(MID('Industriesektor GWh'!$B2882,41,1000),SEARCH(" - ",MID('Industriesektor GWh'!$B2882,41,1000))-1),nrg_cb_e!$C$3:$C$40,0))</f>
        <v>FC_IND_WP_E</v>
      </c>
      <c r="G2882" s="18">
        <v>234</v>
      </c>
    </row>
    <row r="2883" spans="1:7" x14ac:dyDescent="0.2">
      <c r="A2883" s="19" t="s">
        <v>43</v>
      </c>
      <c r="B2883" s="20" t="s">
        <v>71</v>
      </c>
      <c r="C2883" s="20" t="s">
        <v>8</v>
      </c>
      <c r="D2883" s="20" t="s">
        <v>10</v>
      </c>
      <c r="E2883" s="20" t="s">
        <v>20</v>
      </c>
      <c r="F2883" s="20" t="str">
        <f>INDEX(nrg_cb_e!$A$3:$A$40,MATCH(LEFT(MID('Industriesektor GWh'!$B2883,41,1000),SEARCH(" - ",MID('Industriesektor GWh'!$B2883,41,1000))-1),nrg_cb_e!$C$3:$C$40,0))</f>
        <v>FC_IND_WP_E</v>
      </c>
      <c r="G2883" s="21">
        <v>250</v>
      </c>
    </row>
    <row r="2884" spans="1:7" x14ac:dyDescent="0.2">
      <c r="A2884" s="16" t="s">
        <v>43</v>
      </c>
      <c r="B2884" s="17" t="s">
        <v>71</v>
      </c>
      <c r="C2884" s="17" t="s">
        <v>8</v>
      </c>
      <c r="D2884" s="17" t="s">
        <v>10</v>
      </c>
      <c r="E2884" s="17" t="s">
        <v>21</v>
      </c>
      <c r="F2884" s="17" t="str">
        <f>INDEX(nrg_cb_e!$A$3:$A$40,MATCH(LEFT(MID('Industriesektor GWh'!$B2884,41,1000),SEARCH(" - ",MID('Industriesektor GWh'!$B2884,41,1000))-1),nrg_cb_e!$C$3:$C$40,0))</f>
        <v>FC_IND_WP_E</v>
      </c>
      <c r="G2884" s="18">
        <v>219</v>
      </c>
    </row>
    <row r="2885" spans="1:7" x14ac:dyDescent="0.2">
      <c r="A2885" s="19" t="s">
        <v>43</v>
      </c>
      <c r="B2885" s="20" t="s">
        <v>71</v>
      </c>
      <c r="C2885" s="20" t="s">
        <v>8</v>
      </c>
      <c r="D2885" s="20" t="s">
        <v>10</v>
      </c>
      <c r="E2885" s="20" t="s">
        <v>22</v>
      </c>
      <c r="F2885" s="20" t="str">
        <f>INDEX(nrg_cb_e!$A$3:$A$40,MATCH(LEFT(MID('Industriesektor GWh'!$B2885,41,1000),SEARCH(" - ",MID('Industriesektor GWh'!$B2885,41,1000))-1),nrg_cb_e!$C$3:$C$40,0))</f>
        <v>FC_IND_WP_E</v>
      </c>
      <c r="G2885" s="21">
        <v>275</v>
      </c>
    </row>
    <row r="2886" spans="1:7" x14ac:dyDescent="0.2">
      <c r="A2886" s="16" t="s">
        <v>43</v>
      </c>
      <c r="B2886" s="17" t="s">
        <v>71</v>
      </c>
      <c r="C2886" s="17" t="s">
        <v>8</v>
      </c>
      <c r="D2886" s="17" t="s">
        <v>10</v>
      </c>
      <c r="E2886" s="17" t="s">
        <v>23</v>
      </c>
      <c r="F2886" s="17" t="str">
        <f>INDEX(nrg_cb_e!$A$3:$A$40,MATCH(LEFT(MID('Industriesektor GWh'!$B2886,41,1000),SEARCH(" - ",MID('Industriesektor GWh'!$B2886,41,1000))-1),nrg_cb_e!$C$3:$C$40,0))</f>
        <v>FC_IND_WP_E</v>
      </c>
      <c r="G2886" s="18">
        <v>261</v>
      </c>
    </row>
    <row r="2887" spans="1:7" x14ac:dyDescent="0.2">
      <c r="A2887" s="19" t="s">
        <v>43</v>
      </c>
      <c r="B2887" s="20" t="s">
        <v>71</v>
      </c>
      <c r="C2887" s="20" t="s">
        <v>8</v>
      </c>
      <c r="D2887" s="20" t="s">
        <v>10</v>
      </c>
      <c r="E2887" s="20" t="s">
        <v>24</v>
      </c>
      <c r="F2887" s="20" t="str">
        <f>INDEX(nrg_cb_e!$A$3:$A$40,MATCH(LEFT(MID('Industriesektor GWh'!$B2887,41,1000),SEARCH(" - ",MID('Industriesektor GWh'!$B2887,41,1000))-1),nrg_cb_e!$C$3:$C$40,0))</f>
        <v>FC_IND_WP_E</v>
      </c>
      <c r="G2887" s="21">
        <v>299</v>
      </c>
    </row>
    <row r="2888" spans="1:7" x14ac:dyDescent="0.2">
      <c r="A2888" s="16" t="s">
        <v>43</v>
      </c>
      <c r="B2888" s="17" t="s">
        <v>71</v>
      </c>
      <c r="C2888" s="17" t="s">
        <v>8</v>
      </c>
      <c r="D2888" s="17" t="s">
        <v>10</v>
      </c>
      <c r="E2888" s="17" t="s">
        <v>25</v>
      </c>
      <c r="F2888" s="17" t="str">
        <f>INDEX(nrg_cb_e!$A$3:$A$40,MATCH(LEFT(MID('Industriesektor GWh'!$B2888,41,1000),SEARCH(" - ",MID('Industriesektor GWh'!$B2888,41,1000))-1),nrg_cb_e!$C$3:$C$40,0))</f>
        <v>FC_IND_WP_E</v>
      </c>
      <c r="G2888" s="18">
        <v>343</v>
      </c>
    </row>
    <row r="2889" spans="1:7" x14ac:dyDescent="0.2">
      <c r="A2889" s="19" t="s">
        <v>43</v>
      </c>
      <c r="B2889" s="20" t="s">
        <v>71</v>
      </c>
      <c r="C2889" s="20" t="s">
        <v>8</v>
      </c>
      <c r="D2889" s="20" t="s">
        <v>10</v>
      </c>
      <c r="E2889" s="20" t="s">
        <v>26</v>
      </c>
      <c r="F2889" s="20" t="str">
        <f>INDEX(nrg_cb_e!$A$3:$A$40,MATCH(LEFT(MID('Industriesektor GWh'!$B2889,41,1000),SEARCH(" - ",MID('Industriesektor GWh'!$B2889,41,1000))-1),nrg_cb_e!$C$3:$C$40,0))</f>
        <v>FC_IND_WP_E</v>
      </c>
      <c r="G2889" s="21">
        <v>366</v>
      </c>
    </row>
    <row r="2890" spans="1:7" x14ac:dyDescent="0.2">
      <c r="A2890" s="16" t="s">
        <v>43</v>
      </c>
      <c r="B2890" s="17" t="s">
        <v>71</v>
      </c>
      <c r="C2890" s="17" t="s">
        <v>8</v>
      </c>
      <c r="D2890" s="17" t="s">
        <v>10</v>
      </c>
      <c r="E2890" s="17" t="s">
        <v>27</v>
      </c>
      <c r="F2890" s="17" t="str">
        <f>INDEX(nrg_cb_e!$A$3:$A$40,MATCH(LEFT(MID('Industriesektor GWh'!$B2890,41,1000),SEARCH(" - ",MID('Industriesektor GWh'!$B2890,41,1000))-1),nrg_cb_e!$C$3:$C$40,0))</f>
        <v>FC_IND_WP_E</v>
      </c>
      <c r="G2890" s="18">
        <v>364.9</v>
      </c>
    </row>
    <row r="2891" spans="1:7" x14ac:dyDescent="0.2">
      <c r="A2891" s="19" t="s">
        <v>43</v>
      </c>
      <c r="B2891" s="20" t="s">
        <v>71</v>
      </c>
      <c r="C2891" s="20" t="s">
        <v>8</v>
      </c>
      <c r="D2891" s="20" t="s">
        <v>10</v>
      </c>
      <c r="E2891" s="20" t="s">
        <v>28</v>
      </c>
      <c r="F2891" s="20" t="str">
        <f>INDEX(nrg_cb_e!$A$3:$A$40,MATCH(LEFT(MID('Industriesektor GWh'!$B2891,41,1000),SEARCH(" - ",MID('Industriesektor GWh'!$B2891,41,1000))-1),nrg_cb_e!$C$3:$C$40,0))</f>
        <v>FC_IND_WP_E</v>
      </c>
      <c r="G2891" s="21">
        <v>355.7</v>
      </c>
    </row>
    <row r="2892" spans="1:7" x14ac:dyDescent="0.2">
      <c r="A2892" s="16" t="s">
        <v>44</v>
      </c>
      <c r="B2892" s="17" t="s">
        <v>71</v>
      </c>
      <c r="C2892" s="17" t="s">
        <v>8</v>
      </c>
      <c r="D2892" s="17" t="s">
        <v>10</v>
      </c>
      <c r="E2892" s="17" t="s">
        <v>12</v>
      </c>
      <c r="F2892" s="17" t="str">
        <f>INDEX(nrg_cb_e!$A$3:$A$40,MATCH(LEFT(MID('Industriesektor GWh'!$B2892,41,1000),SEARCH(" - ",MID('Industriesektor GWh'!$B2892,41,1000))-1),nrg_cb_e!$C$3:$C$40,0))</f>
        <v>FC_IND_WP_E</v>
      </c>
      <c r="G2892" s="18">
        <v>20.154</v>
      </c>
    </row>
    <row r="2893" spans="1:7" x14ac:dyDescent="0.2">
      <c r="A2893" s="19" t="s">
        <v>44</v>
      </c>
      <c r="B2893" s="20" t="s">
        <v>71</v>
      </c>
      <c r="C2893" s="20" t="s">
        <v>8</v>
      </c>
      <c r="D2893" s="20" t="s">
        <v>10</v>
      </c>
      <c r="E2893" s="20" t="s">
        <v>13</v>
      </c>
      <c r="F2893" s="20" t="str">
        <f>INDEX(nrg_cb_e!$A$3:$A$40,MATCH(LEFT(MID('Industriesektor GWh'!$B2893,41,1000),SEARCH(" - ",MID('Industriesektor GWh'!$B2893,41,1000))-1),nrg_cb_e!$C$3:$C$40,0))</f>
        <v>FC_IND_WP_E</v>
      </c>
      <c r="G2893" s="21">
        <v>22.346</v>
      </c>
    </row>
    <row r="2894" spans="1:7" x14ac:dyDescent="0.2">
      <c r="A2894" s="16" t="s">
        <v>44</v>
      </c>
      <c r="B2894" s="17" t="s">
        <v>71</v>
      </c>
      <c r="C2894" s="17" t="s">
        <v>8</v>
      </c>
      <c r="D2894" s="17" t="s">
        <v>10</v>
      </c>
      <c r="E2894" s="17" t="s">
        <v>14</v>
      </c>
      <c r="F2894" s="17" t="str">
        <f>INDEX(nrg_cb_e!$A$3:$A$40,MATCH(LEFT(MID('Industriesektor GWh'!$B2894,41,1000),SEARCH(" - ",MID('Industriesektor GWh'!$B2894,41,1000))-1),nrg_cb_e!$C$3:$C$40,0))</f>
        <v>FC_IND_WP_E</v>
      </c>
      <c r="G2894" s="18">
        <v>23.282</v>
      </c>
    </row>
    <row r="2895" spans="1:7" x14ac:dyDescent="0.2">
      <c r="A2895" s="19" t="s">
        <v>44</v>
      </c>
      <c r="B2895" s="20" t="s">
        <v>71</v>
      </c>
      <c r="C2895" s="20" t="s">
        <v>8</v>
      </c>
      <c r="D2895" s="20" t="s">
        <v>10</v>
      </c>
      <c r="E2895" s="20" t="s">
        <v>15</v>
      </c>
      <c r="F2895" s="20" t="str">
        <f>INDEX(nrg_cb_e!$A$3:$A$40,MATCH(LEFT(MID('Industriesektor GWh'!$B2895,41,1000),SEARCH(" - ",MID('Industriesektor GWh'!$B2895,41,1000))-1),nrg_cb_e!$C$3:$C$40,0))</f>
        <v>FC_IND_WP_E</v>
      </c>
      <c r="G2895" s="21">
        <v>22.780999999999999</v>
      </c>
    </row>
    <row r="2896" spans="1:7" x14ac:dyDescent="0.2">
      <c r="A2896" s="16" t="s">
        <v>44</v>
      </c>
      <c r="B2896" s="17" t="s">
        <v>71</v>
      </c>
      <c r="C2896" s="17" t="s">
        <v>8</v>
      </c>
      <c r="D2896" s="17" t="s">
        <v>10</v>
      </c>
      <c r="E2896" s="17" t="s">
        <v>16</v>
      </c>
      <c r="F2896" s="17" t="str">
        <f>INDEX(nrg_cb_e!$A$3:$A$40,MATCH(LEFT(MID('Industriesektor GWh'!$B2896,41,1000),SEARCH(" - ",MID('Industriesektor GWh'!$B2896,41,1000))-1),nrg_cb_e!$C$3:$C$40,0))</f>
        <v>FC_IND_WP_E</v>
      </c>
      <c r="G2896" s="18">
        <v>18.904</v>
      </c>
    </row>
    <row r="2897" spans="1:7" x14ac:dyDescent="0.2">
      <c r="A2897" s="19" t="s">
        <v>44</v>
      </c>
      <c r="B2897" s="20" t="s">
        <v>71</v>
      </c>
      <c r="C2897" s="20" t="s">
        <v>8</v>
      </c>
      <c r="D2897" s="20" t="s">
        <v>10</v>
      </c>
      <c r="E2897" s="20" t="s">
        <v>17</v>
      </c>
      <c r="F2897" s="20" t="str">
        <f>INDEX(nrg_cb_e!$A$3:$A$40,MATCH(LEFT(MID('Industriesektor GWh'!$B2897,41,1000),SEARCH(" - ",MID('Industriesektor GWh'!$B2897,41,1000))-1),nrg_cb_e!$C$3:$C$40,0))</f>
        <v>FC_IND_WP_E</v>
      </c>
      <c r="G2897" s="21">
        <v>18.949000000000002</v>
      </c>
    </row>
    <row r="2898" spans="1:7" x14ac:dyDescent="0.2">
      <c r="A2898" s="16" t="s">
        <v>44</v>
      </c>
      <c r="B2898" s="17" t="s">
        <v>71</v>
      </c>
      <c r="C2898" s="17" t="s">
        <v>8</v>
      </c>
      <c r="D2898" s="17" t="s">
        <v>10</v>
      </c>
      <c r="E2898" s="17" t="s">
        <v>18</v>
      </c>
      <c r="F2898" s="17" t="str">
        <f>INDEX(nrg_cb_e!$A$3:$A$40,MATCH(LEFT(MID('Industriesektor GWh'!$B2898,41,1000),SEARCH(" - ",MID('Industriesektor GWh'!$B2898,41,1000))-1),nrg_cb_e!$C$3:$C$40,0))</f>
        <v>FC_IND_WP_E</v>
      </c>
      <c r="G2898" s="18">
        <v>16.564</v>
      </c>
    </row>
    <row r="2899" spans="1:7" x14ac:dyDescent="0.2">
      <c r="A2899" s="19" t="s">
        <v>44</v>
      </c>
      <c r="B2899" s="20" t="s">
        <v>71</v>
      </c>
      <c r="C2899" s="20" t="s">
        <v>8</v>
      </c>
      <c r="D2899" s="20" t="s">
        <v>10</v>
      </c>
      <c r="E2899" s="20" t="s">
        <v>19</v>
      </c>
      <c r="F2899" s="20" t="str">
        <f>INDEX(nrg_cb_e!$A$3:$A$40,MATCH(LEFT(MID('Industriesektor GWh'!$B2899,41,1000),SEARCH(" - ",MID('Industriesektor GWh'!$B2899,41,1000))-1),nrg_cb_e!$C$3:$C$40,0))</f>
        <v>FC_IND_WP_E</v>
      </c>
      <c r="G2899" s="21">
        <v>17.271000000000001</v>
      </c>
    </row>
    <row r="2900" spans="1:7" x14ac:dyDescent="0.2">
      <c r="A2900" s="16" t="s">
        <v>44</v>
      </c>
      <c r="B2900" s="17" t="s">
        <v>71</v>
      </c>
      <c r="C2900" s="17" t="s">
        <v>8</v>
      </c>
      <c r="D2900" s="17" t="s">
        <v>10</v>
      </c>
      <c r="E2900" s="17" t="s">
        <v>20</v>
      </c>
      <c r="F2900" s="17" t="str">
        <f>INDEX(nrg_cb_e!$A$3:$A$40,MATCH(LEFT(MID('Industriesektor GWh'!$B2900,41,1000),SEARCH(" - ",MID('Industriesektor GWh'!$B2900,41,1000))-1),nrg_cb_e!$C$3:$C$40,0))</f>
        <v>FC_IND_WP_E</v>
      </c>
      <c r="G2900" s="18">
        <v>17.02</v>
      </c>
    </row>
    <row r="2901" spans="1:7" x14ac:dyDescent="0.2">
      <c r="A2901" s="19" t="s">
        <v>44</v>
      </c>
      <c r="B2901" s="20" t="s">
        <v>71</v>
      </c>
      <c r="C2901" s="20" t="s">
        <v>8</v>
      </c>
      <c r="D2901" s="20" t="s">
        <v>10</v>
      </c>
      <c r="E2901" s="20" t="s">
        <v>21</v>
      </c>
      <c r="F2901" s="20" t="str">
        <f>INDEX(nrg_cb_e!$A$3:$A$40,MATCH(LEFT(MID('Industriesektor GWh'!$B2901,41,1000),SEARCH(" - ",MID('Industriesektor GWh'!$B2901,41,1000))-1),nrg_cb_e!$C$3:$C$40,0))</f>
        <v>FC_IND_WP_E</v>
      </c>
      <c r="G2901" s="21">
        <v>7.5839999999999996</v>
      </c>
    </row>
    <row r="2902" spans="1:7" x14ac:dyDescent="0.2">
      <c r="A2902" s="16" t="s">
        <v>44</v>
      </c>
      <c r="B2902" s="17" t="s">
        <v>71</v>
      </c>
      <c r="C2902" s="17" t="s">
        <v>8</v>
      </c>
      <c r="D2902" s="17" t="s">
        <v>10</v>
      </c>
      <c r="E2902" s="17" t="s">
        <v>22</v>
      </c>
      <c r="F2902" s="17" t="str">
        <f>INDEX(nrg_cb_e!$A$3:$A$40,MATCH(LEFT(MID('Industriesektor GWh'!$B2902,41,1000),SEARCH(" - ",MID('Industriesektor GWh'!$B2902,41,1000))-1),nrg_cb_e!$C$3:$C$40,0))</f>
        <v>FC_IND_WP_E</v>
      </c>
      <c r="G2902" s="18">
        <v>4.7130000000000001</v>
      </c>
    </row>
    <row r="2903" spans="1:7" x14ac:dyDescent="0.2">
      <c r="A2903" s="19" t="s">
        <v>44</v>
      </c>
      <c r="B2903" s="20" t="s">
        <v>71</v>
      </c>
      <c r="C2903" s="20" t="s">
        <v>8</v>
      </c>
      <c r="D2903" s="20" t="s">
        <v>10</v>
      </c>
      <c r="E2903" s="20" t="s">
        <v>23</v>
      </c>
      <c r="F2903" s="20" t="str">
        <f>INDEX(nrg_cb_e!$A$3:$A$40,MATCH(LEFT(MID('Industriesektor GWh'!$B2903,41,1000),SEARCH(" - ",MID('Industriesektor GWh'!$B2903,41,1000))-1),nrg_cb_e!$C$3:$C$40,0))</f>
        <v>FC_IND_WP_E</v>
      </c>
      <c r="G2903" s="21">
        <v>0.86199999999999999</v>
      </c>
    </row>
    <row r="2904" spans="1:7" x14ac:dyDescent="0.2">
      <c r="A2904" s="16" t="s">
        <v>44</v>
      </c>
      <c r="B2904" s="17" t="s">
        <v>71</v>
      </c>
      <c r="C2904" s="17" t="s">
        <v>8</v>
      </c>
      <c r="D2904" s="17" t="s">
        <v>10</v>
      </c>
      <c r="E2904" s="17" t="s">
        <v>24</v>
      </c>
      <c r="F2904" s="17" t="str">
        <f>INDEX(nrg_cb_e!$A$3:$A$40,MATCH(LEFT(MID('Industriesektor GWh'!$B2904,41,1000),SEARCH(" - ",MID('Industriesektor GWh'!$B2904,41,1000))-1),nrg_cb_e!$C$3:$C$40,0))</f>
        <v>FC_IND_WP_E</v>
      </c>
      <c r="G2904" s="18">
        <v>3.125</v>
      </c>
    </row>
    <row r="2905" spans="1:7" x14ac:dyDescent="0.2">
      <c r="A2905" s="19" t="s">
        <v>44</v>
      </c>
      <c r="B2905" s="20" t="s">
        <v>71</v>
      </c>
      <c r="C2905" s="20" t="s">
        <v>8</v>
      </c>
      <c r="D2905" s="20" t="s">
        <v>10</v>
      </c>
      <c r="E2905" s="20" t="s">
        <v>25</v>
      </c>
      <c r="F2905" s="20" t="str">
        <f>INDEX(nrg_cb_e!$A$3:$A$40,MATCH(LEFT(MID('Industriesektor GWh'!$B2905,41,1000),SEARCH(" - ",MID('Industriesektor GWh'!$B2905,41,1000))-1),nrg_cb_e!$C$3:$C$40,0))</f>
        <v>FC_IND_WP_E</v>
      </c>
      <c r="G2905" s="21">
        <v>6.4379999999999997</v>
      </c>
    </row>
    <row r="2906" spans="1:7" x14ac:dyDescent="0.2">
      <c r="A2906" s="16" t="s">
        <v>44</v>
      </c>
      <c r="B2906" s="17" t="s">
        <v>71</v>
      </c>
      <c r="C2906" s="17" t="s">
        <v>8</v>
      </c>
      <c r="D2906" s="17" t="s">
        <v>10</v>
      </c>
      <c r="E2906" s="17" t="s">
        <v>26</v>
      </c>
      <c r="F2906" s="17" t="str">
        <f>INDEX(nrg_cb_e!$A$3:$A$40,MATCH(LEFT(MID('Industriesektor GWh'!$B2906,41,1000),SEARCH(" - ",MID('Industriesektor GWh'!$B2906,41,1000))-1),nrg_cb_e!$C$3:$C$40,0))</f>
        <v>FC_IND_WP_E</v>
      </c>
      <c r="G2906" s="18">
        <v>4.117</v>
      </c>
    </row>
    <row r="2907" spans="1:7" x14ac:dyDescent="0.2">
      <c r="A2907" s="19" t="s">
        <v>44</v>
      </c>
      <c r="B2907" s="20" t="s">
        <v>71</v>
      </c>
      <c r="C2907" s="20" t="s">
        <v>8</v>
      </c>
      <c r="D2907" s="20" t="s">
        <v>10</v>
      </c>
      <c r="E2907" s="20" t="s">
        <v>27</v>
      </c>
      <c r="F2907" s="20" t="str">
        <f>INDEX(nrg_cb_e!$A$3:$A$40,MATCH(LEFT(MID('Industriesektor GWh'!$B2907,41,1000),SEARCH(" - ",MID('Industriesektor GWh'!$B2907,41,1000))-1),nrg_cb_e!$C$3:$C$40,0))</f>
        <v>FC_IND_WP_E</v>
      </c>
      <c r="G2907" s="21">
        <v>15.1</v>
      </c>
    </row>
    <row r="2908" spans="1:7" x14ac:dyDescent="0.2">
      <c r="A2908" s="16" t="s">
        <v>44</v>
      </c>
      <c r="B2908" s="17" t="s">
        <v>71</v>
      </c>
      <c r="C2908" s="17" t="s">
        <v>8</v>
      </c>
      <c r="D2908" s="17" t="s">
        <v>10</v>
      </c>
      <c r="E2908" s="17" t="s">
        <v>28</v>
      </c>
      <c r="F2908" s="17" t="str">
        <f>INDEX(nrg_cb_e!$A$3:$A$40,MATCH(LEFT(MID('Industriesektor GWh'!$B2908,41,1000),SEARCH(" - ",MID('Industriesektor GWh'!$B2908,41,1000))-1),nrg_cb_e!$C$3:$C$40,0))</f>
        <v>FC_IND_WP_E</v>
      </c>
      <c r="G2908" s="18">
        <v>15.782</v>
      </c>
    </row>
    <row r="2909" spans="1:7" x14ac:dyDescent="0.2">
      <c r="A2909" s="19" t="s">
        <v>45</v>
      </c>
      <c r="B2909" s="20" t="s">
        <v>71</v>
      </c>
      <c r="C2909" s="20" t="s">
        <v>8</v>
      </c>
      <c r="D2909" s="20" t="s">
        <v>10</v>
      </c>
      <c r="E2909" s="20" t="s">
        <v>12</v>
      </c>
      <c r="F2909" s="20" t="str">
        <f>INDEX(nrg_cb_e!$A$3:$A$40,MATCH(LEFT(MID('Industriesektor GWh'!$B2909,41,1000),SEARCH(" - ",MID('Industriesektor GWh'!$B2909,41,1000))-1),nrg_cb_e!$C$3:$C$40,0))</f>
        <v>FC_IND_WP_E</v>
      </c>
      <c r="G2909" s="21">
        <v>137</v>
      </c>
    </row>
    <row r="2910" spans="1:7" x14ac:dyDescent="0.2">
      <c r="A2910" s="16" t="s">
        <v>45</v>
      </c>
      <c r="B2910" s="17" t="s">
        <v>71</v>
      </c>
      <c r="C2910" s="17" t="s">
        <v>8</v>
      </c>
      <c r="D2910" s="17" t="s">
        <v>10</v>
      </c>
      <c r="E2910" s="17" t="s">
        <v>13</v>
      </c>
      <c r="F2910" s="17" t="str">
        <f>INDEX(nrg_cb_e!$A$3:$A$40,MATCH(LEFT(MID('Industriesektor GWh'!$B2910,41,1000),SEARCH(" - ",MID('Industriesektor GWh'!$B2910,41,1000))-1),nrg_cb_e!$C$3:$C$40,0))</f>
        <v>FC_IND_WP_E</v>
      </c>
      <c r="G2910" s="18">
        <v>148</v>
      </c>
    </row>
    <row r="2911" spans="1:7" x14ac:dyDescent="0.2">
      <c r="A2911" s="19" t="s">
        <v>45</v>
      </c>
      <c r="B2911" s="20" t="s">
        <v>71</v>
      </c>
      <c r="C2911" s="20" t="s">
        <v>8</v>
      </c>
      <c r="D2911" s="20" t="s">
        <v>10</v>
      </c>
      <c r="E2911" s="20" t="s">
        <v>14</v>
      </c>
      <c r="F2911" s="20" t="str">
        <f>INDEX(nrg_cb_e!$A$3:$A$40,MATCH(LEFT(MID('Industriesektor GWh'!$B2911,41,1000),SEARCH(" - ",MID('Industriesektor GWh'!$B2911,41,1000))-1),nrg_cb_e!$C$3:$C$40,0))</f>
        <v>FC_IND_WP_E</v>
      </c>
      <c r="G2911" s="21">
        <v>153</v>
      </c>
    </row>
    <row r="2912" spans="1:7" x14ac:dyDescent="0.2">
      <c r="A2912" s="16" t="s">
        <v>45</v>
      </c>
      <c r="B2912" s="17" t="s">
        <v>71</v>
      </c>
      <c r="C2912" s="17" t="s">
        <v>8</v>
      </c>
      <c r="D2912" s="17" t="s">
        <v>10</v>
      </c>
      <c r="E2912" s="17" t="s">
        <v>15</v>
      </c>
      <c r="F2912" s="17" t="str">
        <f>INDEX(nrg_cb_e!$A$3:$A$40,MATCH(LEFT(MID('Industriesektor GWh'!$B2912,41,1000),SEARCH(" - ",MID('Industriesektor GWh'!$B2912,41,1000))-1),nrg_cb_e!$C$3:$C$40,0))</f>
        <v>FC_IND_WP_E</v>
      </c>
      <c r="G2912" s="18">
        <v>149</v>
      </c>
    </row>
    <row r="2913" spans="1:7" x14ac:dyDescent="0.2">
      <c r="A2913" s="19" t="s">
        <v>45</v>
      </c>
      <c r="B2913" s="20" t="s">
        <v>71</v>
      </c>
      <c r="C2913" s="20" t="s">
        <v>8</v>
      </c>
      <c r="D2913" s="20" t="s">
        <v>10</v>
      </c>
      <c r="E2913" s="20" t="s">
        <v>16</v>
      </c>
      <c r="F2913" s="20" t="str">
        <f>INDEX(nrg_cb_e!$A$3:$A$40,MATCH(LEFT(MID('Industriesektor GWh'!$B2913,41,1000),SEARCH(" - ",MID('Industriesektor GWh'!$B2913,41,1000))-1),nrg_cb_e!$C$3:$C$40,0))</f>
        <v>FC_IND_WP_E</v>
      </c>
      <c r="G2913" s="21">
        <v>146</v>
      </c>
    </row>
    <row r="2914" spans="1:7" x14ac:dyDescent="0.2">
      <c r="A2914" s="16" t="s">
        <v>45</v>
      </c>
      <c r="B2914" s="17" t="s">
        <v>71</v>
      </c>
      <c r="C2914" s="17" t="s">
        <v>8</v>
      </c>
      <c r="D2914" s="17" t="s">
        <v>10</v>
      </c>
      <c r="E2914" s="17" t="s">
        <v>17</v>
      </c>
      <c r="F2914" s="17" t="str">
        <f>INDEX(nrg_cb_e!$A$3:$A$40,MATCH(LEFT(MID('Industriesektor GWh'!$B2914,41,1000),SEARCH(" - ",MID('Industriesektor GWh'!$B2914,41,1000))-1),nrg_cb_e!$C$3:$C$40,0))</f>
        <v>FC_IND_WP_E</v>
      </c>
      <c r="G2914" s="18">
        <v>159</v>
      </c>
    </row>
    <row r="2915" spans="1:7" x14ac:dyDescent="0.2">
      <c r="A2915" s="19" t="s">
        <v>45</v>
      </c>
      <c r="B2915" s="20" t="s">
        <v>71</v>
      </c>
      <c r="C2915" s="20" t="s">
        <v>8</v>
      </c>
      <c r="D2915" s="20" t="s">
        <v>10</v>
      </c>
      <c r="E2915" s="20" t="s">
        <v>18</v>
      </c>
      <c r="F2915" s="20" t="str">
        <f>INDEX(nrg_cb_e!$A$3:$A$40,MATCH(LEFT(MID('Industriesektor GWh'!$B2915,41,1000),SEARCH(" - ",MID('Industriesektor GWh'!$B2915,41,1000))-1),nrg_cb_e!$C$3:$C$40,0))</f>
        <v>FC_IND_WP_E</v>
      </c>
      <c r="G2915" s="21">
        <v>170</v>
      </c>
    </row>
    <row r="2916" spans="1:7" x14ac:dyDescent="0.2">
      <c r="A2916" s="16" t="s">
        <v>45</v>
      </c>
      <c r="B2916" s="17" t="s">
        <v>71</v>
      </c>
      <c r="C2916" s="17" t="s">
        <v>8</v>
      </c>
      <c r="D2916" s="17" t="s">
        <v>10</v>
      </c>
      <c r="E2916" s="17" t="s">
        <v>19</v>
      </c>
      <c r="F2916" s="17" t="str">
        <f>INDEX(nrg_cb_e!$A$3:$A$40,MATCH(LEFT(MID('Industriesektor GWh'!$B2916,41,1000),SEARCH(" - ",MID('Industriesektor GWh'!$B2916,41,1000))-1),nrg_cb_e!$C$3:$C$40,0))</f>
        <v>FC_IND_WP_E</v>
      </c>
      <c r="G2916" s="18">
        <v>119</v>
      </c>
    </row>
    <row r="2917" spans="1:7" x14ac:dyDescent="0.2">
      <c r="A2917" s="19" t="s">
        <v>45</v>
      </c>
      <c r="B2917" s="20" t="s">
        <v>71</v>
      </c>
      <c r="C2917" s="20" t="s">
        <v>8</v>
      </c>
      <c r="D2917" s="20" t="s">
        <v>10</v>
      </c>
      <c r="E2917" s="20" t="s">
        <v>20</v>
      </c>
      <c r="F2917" s="20" t="str">
        <f>INDEX(nrg_cb_e!$A$3:$A$40,MATCH(LEFT(MID('Industriesektor GWh'!$B2917,41,1000),SEARCH(" - ",MID('Industriesektor GWh'!$B2917,41,1000))-1),nrg_cb_e!$C$3:$C$40,0))</f>
        <v>FC_IND_WP_E</v>
      </c>
      <c r="G2917" s="21">
        <v>153</v>
      </c>
    </row>
    <row r="2918" spans="1:7" x14ac:dyDescent="0.2">
      <c r="A2918" s="16" t="s">
        <v>45</v>
      </c>
      <c r="B2918" s="17" t="s">
        <v>71</v>
      </c>
      <c r="C2918" s="17" t="s">
        <v>8</v>
      </c>
      <c r="D2918" s="17" t="s">
        <v>10</v>
      </c>
      <c r="E2918" s="17" t="s">
        <v>21</v>
      </c>
      <c r="F2918" s="17" t="str">
        <f>INDEX(nrg_cb_e!$A$3:$A$40,MATCH(LEFT(MID('Industriesektor GWh'!$B2918,41,1000),SEARCH(" - ",MID('Industriesektor GWh'!$B2918,41,1000))-1),nrg_cb_e!$C$3:$C$40,0))</f>
        <v>FC_IND_WP_E</v>
      </c>
      <c r="G2918" s="18">
        <v>154</v>
      </c>
    </row>
    <row r="2919" spans="1:7" x14ac:dyDescent="0.2">
      <c r="A2919" s="19" t="s">
        <v>45</v>
      </c>
      <c r="B2919" s="20" t="s">
        <v>71</v>
      </c>
      <c r="C2919" s="20" t="s">
        <v>8</v>
      </c>
      <c r="D2919" s="20" t="s">
        <v>10</v>
      </c>
      <c r="E2919" s="20" t="s">
        <v>22</v>
      </c>
      <c r="F2919" s="20" t="str">
        <f>INDEX(nrg_cb_e!$A$3:$A$40,MATCH(LEFT(MID('Industriesektor GWh'!$B2919,41,1000),SEARCH(" - ",MID('Industriesektor GWh'!$B2919,41,1000))-1),nrg_cb_e!$C$3:$C$40,0))</f>
        <v>FC_IND_WP_E</v>
      </c>
      <c r="G2919" s="21">
        <v>265</v>
      </c>
    </row>
    <row r="2920" spans="1:7" x14ac:dyDescent="0.2">
      <c r="A2920" s="16" t="s">
        <v>45</v>
      </c>
      <c r="B2920" s="17" t="s">
        <v>71</v>
      </c>
      <c r="C2920" s="17" t="s">
        <v>8</v>
      </c>
      <c r="D2920" s="17" t="s">
        <v>10</v>
      </c>
      <c r="E2920" s="17" t="s">
        <v>23</v>
      </c>
      <c r="F2920" s="17" t="str">
        <f>INDEX(nrg_cb_e!$A$3:$A$40,MATCH(LEFT(MID('Industriesektor GWh'!$B2920,41,1000),SEARCH(" - ",MID('Industriesektor GWh'!$B2920,41,1000))-1),nrg_cb_e!$C$3:$C$40,0))</f>
        <v>FC_IND_WP_E</v>
      </c>
      <c r="G2920" s="18">
        <v>328</v>
      </c>
    </row>
    <row r="2921" spans="1:7" x14ac:dyDescent="0.2">
      <c r="A2921" s="19" t="s">
        <v>45</v>
      </c>
      <c r="B2921" s="20" t="s">
        <v>71</v>
      </c>
      <c r="C2921" s="20" t="s">
        <v>8</v>
      </c>
      <c r="D2921" s="20" t="s">
        <v>10</v>
      </c>
      <c r="E2921" s="20" t="s">
        <v>24</v>
      </c>
      <c r="F2921" s="20" t="str">
        <f>INDEX(nrg_cb_e!$A$3:$A$40,MATCH(LEFT(MID('Industriesektor GWh'!$B2921,41,1000),SEARCH(" - ",MID('Industriesektor GWh'!$B2921,41,1000))-1),nrg_cb_e!$C$3:$C$40,0))</f>
        <v>FC_IND_WP_E</v>
      </c>
      <c r="G2921" s="21">
        <v>245</v>
      </c>
    </row>
    <row r="2922" spans="1:7" x14ac:dyDescent="0.2">
      <c r="A2922" s="16" t="s">
        <v>45</v>
      </c>
      <c r="B2922" s="17" t="s">
        <v>71</v>
      </c>
      <c r="C2922" s="17" t="s">
        <v>8</v>
      </c>
      <c r="D2922" s="17" t="s">
        <v>10</v>
      </c>
      <c r="E2922" s="17" t="s">
        <v>25</v>
      </c>
      <c r="F2922" s="17" t="str">
        <f>INDEX(nrg_cb_e!$A$3:$A$40,MATCH(LEFT(MID('Industriesektor GWh'!$B2922,41,1000),SEARCH(" - ",MID('Industriesektor GWh'!$B2922,41,1000))-1),nrg_cb_e!$C$3:$C$40,0))</f>
        <v>FC_IND_WP_E</v>
      </c>
      <c r="G2922" s="18">
        <v>258</v>
      </c>
    </row>
    <row r="2923" spans="1:7" x14ac:dyDescent="0.2">
      <c r="A2923" s="19" t="s">
        <v>45</v>
      </c>
      <c r="B2923" s="20" t="s">
        <v>71</v>
      </c>
      <c r="C2923" s="20" t="s">
        <v>8</v>
      </c>
      <c r="D2923" s="20" t="s">
        <v>10</v>
      </c>
      <c r="E2923" s="20" t="s">
        <v>26</v>
      </c>
      <c r="F2923" s="20" t="str">
        <f>INDEX(nrg_cb_e!$A$3:$A$40,MATCH(LEFT(MID('Industriesektor GWh'!$B2923,41,1000),SEARCH(" - ",MID('Industriesektor GWh'!$B2923,41,1000))-1),nrg_cb_e!$C$3:$C$40,0))</f>
        <v>FC_IND_WP_E</v>
      </c>
      <c r="G2923" s="21">
        <v>280</v>
      </c>
    </row>
    <row r="2924" spans="1:7" x14ac:dyDescent="0.2">
      <c r="A2924" s="16" t="s">
        <v>45</v>
      </c>
      <c r="B2924" s="17" t="s">
        <v>71</v>
      </c>
      <c r="C2924" s="17" t="s">
        <v>8</v>
      </c>
      <c r="D2924" s="17" t="s">
        <v>10</v>
      </c>
      <c r="E2924" s="17" t="s">
        <v>27</v>
      </c>
      <c r="F2924" s="17" t="str">
        <f>INDEX(nrg_cb_e!$A$3:$A$40,MATCH(LEFT(MID('Industriesektor GWh'!$B2924,41,1000),SEARCH(" - ",MID('Industriesektor GWh'!$B2924,41,1000))-1),nrg_cb_e!$C$3:$C$40,0))</f>
        <v>FC_IND_WP_E</v>
      </c>
      <c r="G2924" s="18">
        <v>337</v>
      </c>
    </row>
    <row r="2925" spans="1:7" x14ac:dyDescent="0.2">
      <c r="A2925" s="19" t="s">
        <v>45</v>
      </c>
      <c r="B2925" s="20" t="s">
        <v>71</v>
      </c>
      <c r="C2925" s="20" t="s">
        <v>8</v>
      </c>
      <c r="D2925" s="20" t="s">
        <v>10</v>
      </c>
      <c r="E2925" s="20" t="s">
        <v>28</v>
      </c>
      <c r="F2925" s="20" t="str">
        <f>INDEX(nrg_cb_e!$A$3:$A$40,MATCH(LEFT(MID('Industriesektor GWh'!$B2925,41,1000),SEARCH(" - ",MID('Industriesektor GWh'!$B2925,41,1000))-1),nrg_cb_e!$C$3:$C$40,0))</f>
        <v>FC_IND_WP_E</v>
      </c>
      <c r="G2925" s="21">
        <v>378</v>
      </c>
    </row>
    <row r="2926" spans="1:7" x14ac:dyDescent="0.2">
      <c r="A2926" s="16" t="s">
        <v>46</v>
      </c>
      <c r="B2926" s="17" t="s">
        <v>71</v>
      </c>
      <c r="C2926" s="17" t="s">
        <v>8</v>
      </c>
      <c r="D2926" s="17" t="s">
        <v>10</v>
      </c>
      <c r="E2926" s="17" t="s">
        <v>12</v>
      </c>
      <c r="F2926" s="17" t="str">
        <f>INDEX(nrg_cb_e!$A$3:$A$40,MATCH(LEFT(MID('Industriesektor GWh'!$B2926,41,1000),SEARCH(" - ",MID('Industriesektor GWh'!$B2926,41,1000))-1),nrg_cb_e!$C$3:$C$40,0))</f>
        <v>FC_IND_WP_E</v>
      </c>
      <c r="G2926" s="18">
        <v>0</v>
      </c>
    </row>
    <row r="2927" spans="1:7" x14ac:dyDescent="0.2">
      <c r="A2927" s="19" t="s">
        <v>46</v>
      </c>
      <c r="B2927" s="20" t="s">
        <v>71</v>
      </c>
      <c r="C2927" s="20" t="s">
        <v>8</v>
      </c>
      <c r="D2927" s="20" t="s">
        <v>10</v>
      </c>
      <c r="E2927" s="20" t="s">
        <v>13</v>
      </c>
      <c r="F2927" s="20" t="str">
        <f>INDEX(nrg_cb_e!$A$3:$A$40,MATCH(LEFT(MID('Industriesektor GWh'!$B2927,41,1000),SEARCH(" - ",MID('Industriesektor GWh'!$B2927,41,1000))-1),nrg_cb_e!$C$3:$C$40,0))</f>
        <v>FC_IND_WP_E</v>
      </c>
      <c r="G2927" s="21">
        <v>0</v>
      </c>
    </row>
    <row r="2928" spans="1:7" x14ac:dyDescent="0.2">
      <c r="A2928" s="16" t="s">
        <v>46</v>
      </c>
      <c r="B2928" s="17" t="s">
        <v>71</v>
      </c>
      <c r="C2928" s="17" t="s">
        <v>8</v>
      </c>
      <c r="D2928" s="17" t="s">
        <v>10</v>
      </c>
      <c r="E2928" s="17" t="s">
        <v>14</v>
      </c>
      <c r="F2928" s="17" t="str">
        <f>INDEX(nrg_cb_e!$A$3:$A$40,MATCH(LEFT(MID('Industriesektor GWh'!$B2928,41,1000),SEARCH(" - ",MID('Industriesektor GWh'!$B2928,41,1000))-1),nrg_cb_e!$C$3:$C$40,0))</f>
        <v>FC_IND_WP_E</v>
      </c>
      <c r="G2928" s="18">
        <v>0</v>
      </c>
    </row>
    <row r="2929" spans="1:7" x14ac:dyDescent="0.2">
      <c r="A2929" s="19" t="s">
        <v>46</v>
      </c>
      <c r="B2929" s="20" t="s">
        <v>71</v>
      </c>
      <c r="C2929" s="20" t="s">
        <v>8</v>
      </c>
      <c r="D2929" s="20" t="s">
        <v>10</v>
      </c>
      <c r="E2929" s="20" t="s">
        <v>15</v>
      </c>
      <c r="F2929" s="20" t="str">
        <f>INDEX(nrg_cb_e!$A$3:$A$40,MATCH(LEFT(MID('Industriesektor GWh'!$B2929,41,1000),SEARCH(" - ",MID('Industriesektor GWh'!$B2929,41,1000))-1),nrg_cb_e!$C$3:$C$40,0))</f>
        <v>FC_IND_WP_E</v>
      </c>
      <c r="G2929" s="21">
        <v>0</v>
      </c>
    </row>
    <row r="2930" spans="1:7" x14ac:dyDescent="0.2">
      <c r="A2930" s="16" t="s">
        <v>46</v>
      </c>
      <c r="B2930" s="17" t="s">
        <v>71</v>
      </c>
      <c r="C2930" s="17" t="s">
        <v>8</v>
      </c>
      <c r="D2930" s="17" t="s">
        <v>10</v>
      </c>
      <c r="E2930" s="17" t="s">
        <v>16</v>
      </c>
      <c r="F2930" s="17" t="str">
        <f>INDEX(nrg_cb_e!$A$3:$A$40,MATCH(LEFT(MID('Industriesektor GWh'!$B2930,41,1000),SEARCH(" - ",MID('Industriesektor GWh'!$B2930,41,1000))-1),nrg_cb_e!$C$3:$C$40,0))</f>
        <v>FC_IND_WP_E</v>
      </c>
      <c r="G2930" s="18">
        <v>0</v>
      </c>
    </row>
    <row r="2931" spans="1:7" x14ac:dyDescent="0.2">
      <c r="A2931" s="19" t="s">
        <v>46</v>
      </c>
      <c r="B2931" s="20" t="s">
        <v>71</v>
      </c>
      <c r="C2931" s="20" t="s">
        <v>8</v>
      </c>
      <c r="D2931" s="20" t="s">
        <v>10</v>
      </c>
      <c r="E2931" s="20" t="s">
        <v>17</v>
      </c>
      <c r="F2931" s="20" t="str">
        <f>INDEX(nrg_cb_e!$A$3:$A$40,MATCH(LEFT(MID('Industriesektor GWh'!$B2931,41,1000),SEARCH(" - ",MID('Industriesektor GWh'!$B2931,41,1000))-1),nrg_cb_e!$C$3:$C$40,0))</f>
        <v>FC_IND_WP_E</v>
      </c>
      <c r="G2931" s="21">
        <v>0</v>
      </c>
    </row>
    <row r="2932" spans="1:7" x14ac:dyDescent="0.2">
      <c r="A2932" s="16" t="s">
        <v>46</v>
      </c>
      <c r="B2932" s="17" t="s">
        <v>71</v>
      </c>
      <c r="C2932" s="17" t="s">
        <v>8</v>
      </c>
      <c r="D2932" s="17" t="s">
        <v>10</v>
      </c>
      <c r="E2932" s="17" t="s">
        <v>18</v>
      </c>
      <c r="F2932" s="17" t="str">
        <f>INDEX(nrg_cb_e!$A$3:$A$40,MATCH(LEFT(MID('Industriesektor GWh'!$B2932,41,1000),SEARCH(" - ",MID('Industriesektor GWh'!$B2932,41,1000))-1),nrg_cb_e!$C$3:$C$40,0))</f>
        <v>FC_IND_WP_E</v>
      </c>
      <c r="G2932" s="18">
        <v>0</v>
      </c>
    </row>
    <row r="2933" spans="1:7" x14ac:dyDescent="0.2">
      <c r="A2933" s="19" t="s">
        <v>46</v>
      </c>
      <c r="B2933" s="20" t="s">
        <v>71</v>
      </c>
      <c r="C2933" s="20" t="s">
        <v>8</v>
      </c>
      <c r="D2933" s="20" t="s">
        <v>10</v>
      </c>
      <c r="E2933" s="20" t="s">
        <v>19</v>
      </c>
      <c r="F2933" s="20" t="str">
        <f>INDEX(nrg_cb_e!$A$3:$A$40,MATCH(LEFT(MID('Industriesektor GWh'!$B2933,41,1000),SEARCH(" - ",MID('Industriesektor GWh'!$B2933,41,1000))-1),nrg_cb_e!$C$3:$C$40,0))</f>
        <v>FC_IND_WP_E</v>
      </c>
      <c r="G2933" s="21">
        <v>0</v>
      </c>
    </row>
    <row r="2934" spans="1:7" x14ac:dyDescent="0.2">
      <c r="A2934" s="16" t="s">
        <v>46</v>
      </c>
      <c r="B2934" s="17" t="s">
        <v>71</v>
      </c>
      <c r="C2934" s="17" t="s">
        <v>8</v>
      </c>
      <c r="D2934" s="17" t="s">
        <v>10</v>
      </c>
      <c r="E2934" s="17" t="s">
        <v>20</v>
      </c>
      <c r="F2934" s="17" t="str">
        <f>INDEX(nrg_cb_e!$A$3:$A$40,MATCH(LEFT(MID('Industriesektor GWh'!$B2934,41,1000),SEARCH(" - ",MID('Industriesektor GWh'!$B2934,41,1000))-1),nrg_cb_e!$C$3:$C$40,0))</f>
        <v>FC_IND_WP_E</v>
      </c>
      <c r="G2934" s="18">
        <v>1</v>
      </c>
    </row>
    <row r="2935" spans="1:7" x14ac:dyDescent="0.2">
      <c r="A2935" s="19" t="s">
        <v>46</v>
      </c>
      <c r="B2935" s="20" t="s">
        <v>71</v>
      </c>
      <c r="C2935" s="20" t="s">
        <v>8</v>
      </c>
      <c r="D2935" s="20" t="s">
        <v>10</v>
      </c>
      <c r="E2935" s="20" t="s">
        <v>21</v>
      </c>
      <c r="F2935" s="20" t="str">
        <f>INDEX(nrg_cb_e!$A$3:$A$40,MATCH(LEFT(MID('Industriesektor GWh'!$B2935,41,1000),SEARCH(" - ",MID('Industriesektor GWh'!$B2935,41,1000))-1),nrg_cb_e!$C$3:$C$40,0))</f>
        <v>FC_IND_WP_E</v>
      </c>
      <c r="G2935" s="21">
        <v>1</v>
      </c>
    </row>
    <row r="2936" spans="1:7" x14ac:dyDescent="0.2">
      <c r="A2936" s="16" t="s">
        <v>46</v>
      </c>
      <c r="B2936" s="17" t="s">
        <v>71</v>
      </c>
      <c r="C2936" s="17" t="s">
        <v>8</v>
      </c>
      <c r="D2936" s="17" t="s">
        <v>10</v>
      </c>
      <c r="E2936" s="17" t="s">
        <v>22</v>
      </c>
      <c r="F2936" s="17" t="str">
        <f>INDEX(nrg_cb_e!$A$3:$A$40,MATCH(LEFT(MID('Industriesektor GWh'!$B2936,41,1000),SEARCH(" - ",MID('Industriesektor GWh'!$B2936,41,1000))-1),nrg_cb_e!$C$3:$C$40,0))</f>
        <v>FC_IND_WP_E</v>
      </c>
      <c r="G2936" s="18">
        <v>1</v>
      </c>
    </row>
    <row r="2937" spans="1:7" x14ac:dyDescent="0.2">
      <c r="A2937" s="19" t="s">
        <v>46</v>
      </c>
      <c r="B2937" s="20" t="s">
        <v>71</v>
      </c>
      <c r="C2937" s="20" t="s">
        <v>8</v>
      </c>
      <c r="D2937" s="20" t="s">
        <v>10</v>
      </c>
      <c r="E2937" s="20" t="s">
        <v>23</v>
      </c>
      <c r="F2937" s="20" t="str">
        <f>INDEX(nrg_cb_e!$A$3:$A$40,MATCH(LEFT(MID('Industriesektor GWh'!$B2937,41,1000),SEARCH(" - ",MID('Industriesektor GWh'!$B2937,41,1000))-1),nrg_cb_e!$C$3:$C$40,0))</f>
        <v>FC_IND_WP_E</v>
      </c>
      <c r="G2937" s="21">
        <v>1</v>
      </c>
    </row>
    <row r="2938" spans="1:7" x14ac:dyDescent="0.2">
      <c r="A2938" s="16" t="s">
        <v>46</v>
      </c>
      <c r="B2938" s="17" t="s">
        <v>71</v>
      </c>
      <c r="C2938" s="17" t="s">
        <v>8</v>
      </c>
      <c r="D2938" s="17" t="s">
        <v>10</v>
      </c>
      <c r="E2938" s="17" t="s">
        <v>24</v>
      </c>
      <c r="F2938" s="17" t="str">
        <f>INDEX(nrg_cb_e!$A$3:$A$40,MATCH(LEFT(MID('Industriesektor GWh'!$B2938,41,1000),SEARCH(" - ",MID('Industriesektor GWh'!$B2938,41,1000))-1),nrg_cb_e!$C$3:$C$40,0))</f>
        <v>FC_IND_WP_E</v>
      </c>
      <c r="G2938" s="18">
        <v>2</v>
      </c>
    </row>
    <row r="2939" spans="1:7" x14ac:dyDescent="0.2">
      <c r="A2939" s="19" t="s">
        <v>46</v>
      </c>
      <c r="B2939" s="20" t="s">
        <v>71</v>
      </c>
      <c r="C2939" s="20" t="s">
        <v>8</v>
      </c>
      <c r="D2939" s="20" t="s">
        <v>10</v>
      </c>
      <c r="E2939" s="20" t="s">
        <v>25</v>
      </c>
      <c r="F2939" s="20" t="str">
        <f>INDEX(nrg_cb_e!$A$3:$A$40,MATCH(LEFT(MID('Industriesektor GWh'!$B2939,41,1000),SEARCH(" - ",MID('Industriesektor GWh'!$B2939,41,1000))-1),nrg_cb_e!$C$3:$C$40,0))</f>
        <v>FC_IND_WP_E</v>
      </c>
      <c r="G2939" s="21">
        <v>2</v>
      </c>
    </row>
    <row r="2940" spans="1:7" x14ac:dyDescent="0.2">
      <c r="A2940" s="16" t="s">
        <v>46</v>
      </c>
      <c r="B2940" s="17" t="s">
        <v>71</v>
      </c>
      <c r="C2940" s="17" t="s">
        <v>8</v>
      </c>
      <c r="D2940" s="17" t="s">
        <v>10</v>
      </c>
      <c r="E2940" s="17" t="s">
        <v>26</v>
      </c>
      <c r="F2940" s="17" t="str">
        <f>INDEX(nrg_cb_e!$A$3:$A$40,MATCH(LEFT(MID('Industriesektor GWh'!$B2940,41,1000),SEARCH(" - ",MID('Industriesektor GWh'!$B2940,41,1000))-1),nrg_cb_e!$C$3:$C$40,0))</f>
        <v>FC_IND_WP_E</v>
      </c>
      <c r="G2940" s="18">
        <v>2</v>
      </c>
    </row>
    <row r="2941" spans="1:7" x14ac:dyDescent="0.2">
      <c r="A2941" s="19" t="s">
        <v>46</v>
      </c>
      <c r="B2941" s="20" t="s">
        <v>71</v>
      </c>
      <c r="C2941" s="20" t="s">
        <v>8</v>
      </c>
      <c r="D2941" s="20" t="s">
        <v>10</v>
      </c>
      <c r="E2941" s="20" t="s">
        <v>27</v>
      </c>
      <c r="F2941" s="20" t="str">
        <f>INDEX(nrg_cb_e!$A$3:$A$40,MATCH(LEFT(MID('Industriesektor GWh'!$B2941,41,1000),SEARCH(" - ",MID('Industriesektor GWh'!$B2941,41,1000))-1),nrg_cb_e!$C$3:$C$40,0))</f>
        <v>FC_IND_WP_E</v>
      </c>
      <c r="G2941" s="21">
        <v>2.0880000000000001</v>
      </c>
    </row>
    <row r="2942" spans="1:7" x14ac:dyDescent="0.2">
      <c r="A2942" s="16" t="s">
        <v>46</v>
      </c>
      <c r="B2942" s="17" t="s">
        <v>71</v>
      </c>
      <c r="C2942" s="17" t="s">
        <v>8</v>
      </c>
      <c r="D2942" s="17" t="s">
        <v>10</v>
      </c>
      <c r="E2942" s="17" t="s">
        <v>28</v>
      </c>
      <c r="F2942" s="17" t="str">
        <f>INDEX(nrg_cb_e!$A$3:$A$40,MATCH(LEFT(MID('Industriesektor GWh'!$B2942,41,1000),SEARCH(" - ",MID('Industriesektor GWh'!$B2942,41,1000))-1),nrg_cb_e!$C$3:$C$40,0))</f>
        <v>FC_IND_WP_E</v>
      </c>
      <c r="G2942" s="18">
        <v>2.2890000000000001</v>
      </c>
    </row>
    <row r="2943" spans="1:7" x14ac:dyDescent="0.2">
      <c r="A2943" s="19" t="s">
        <v>47</v>
      </c>
      <c r="B2943" s="20" t="s">
        <v>71</v>
      </c>
      <c r="C2943" s="20" t="s">
        <v>8</v>
      </c>
      <c r="D2943" s="20" t="s">
        <v>10</v>
      </c>
      <c r="E2943" s="20" t="s">
        <v>12</v>
      </c>
      <c r="F2943" s="20" t="str">
        <f>INDEX(nrg_cb_e!$A$3:$A$40,MATCH(LEFT(MID('Industriesektor GWh'!$B2943,41,1000),SEARCH(" - ",MID('Industriesektor GWh'!$B2943,41,1000))-1),nrg_cb_e!$C$3:$C$40,0))</f>
        <v>FC_IND_WP_E</v>
      </c>
      <c r="G2943" s="21">
        <v>257</v>
      </c>
    </row>
    <row r="2944" spans="1:7" x14ac:dyDescent="0.2">
      <c r="A2944" s="16" t="s">
        <v>47</v>
      </c>
      <c r="B2944" s="17" t="s">
        <v>71</v>
      </c>
      <c r="C2944" s="17" t="s">
        <v>8</v>
      </c>
      <c r="D2944" s="17" t="s">
        <v>10</v>
      </c>
      <c r="E2944" s="17" t="s">
        <v>13</v>
      </c>
      <c r="F2944" s="17" t="str">
        <f>INDEX(nrg_cb_e!$A$3:$A$40,MATCH(LEFT(MID('Industriesektor GWh'!$B2944,41,1000),SEARCH(" - ",MID('Industriesektor GWh'!$B2944,41,1000))-1),nrg_cb_e!$C$3:$C$40,0))</f>
        <v>FC_IND_WP_E</v>
      </c>
      <c r="G2944" s="18">
        <v>225</v>
      </c>
    </row>
    <row r="2945" spans="1:7" x14ac:dyDescent="0.2">
      <c r="A2945" s="19" t="s">
        <v>47</v>
      </c>
      <c r="B2945" s="20" t="s">
        <v>71</v>
      </c>
      <c r="C2945" s="20" t="s">
        <v>8</v>
      </c>
      <c r="D2945" s="20" t="s">
        <v>10</v>
      </c>
      <c r="E2945" s="20" t="s">
        <v>14</v>
      </c>
      <c r="F2945" s="20" t="str">
        <f>INDEX(nrg_cb_e!$A$3:$A$40,MATCH(LEFT(MID('Industriesektor GWh'!$B2945,41,1000),SEARCH(" - ",MID('Industriesektor GWh'!$B2945,41,1000))-1),nrg_cb_e!$C$3:$C$40,0))</f>
        <v>FC_IND_WP_E</v>
      </c>
      <c r="G2945" s="21">
        <v>205</v>
      </c>
    </row>
    <row r="2946" spans="1:7" x14ac:dyDescent="0.2">
      <c r="A2946" s="16" t="s">
        <v>47</v>
      </c>
      <c r="B2946" s="17" t="s">
        <v>71</v>
      </c>
      <c r="C2946" s="17" t="s">
        <v>8</v>
      </c>
      <c r="D2946" s="17" t="s">
        <v>10</v>
      </c>
      <c r="E2946" s="17" t="s">
        <v>15</v>
      </c>
      <c r="F2946" s="17" t="str">
        <f>INDEX(nrg_cb_e!$A$3:$A$40,MATCH(LEFT(MID('Industriesektor GWh'!$B2946,41,1000),SEARCH(" - ",MID('Industriesektor GWh'!$B2946,41,1000))-1),nrg_cb_e!$C$3:$C$40,0))</f>
        <v>FC_IND_WP_E</v>
      </c>
      <c r="G2946" s="18">
        <v>242</v>
      </c>
    </row>
    <row r="2947" spans="1:7" x14ac:dyDescent="0.2">
      <c r="A2947" s="19" t="s">
        <v>47</v>
      </c>
      <c r="B2947" s="20" t="s">
        <v>71</v>
      </c>
      <c r="C2947" s="20" t="s">
        <v>8</v>
      </c>
      <c r="D2947" s="20" t="s">
        <v>10</v>
      </c>
      <c r="E2947" s="20" t="s">
        <v>16</v>
      </c>
      <c r="F2947" s="20" t="str">
        <f>INDEX(nrg_cb_e!$A$3:$A$40,MATCH(LEFT(MID('Industriesektor GWh'!$B2947,41,1000),SEARCH(" - ",MID('Industriesektor GWh'!$B2947,41,1000))-1),nrg_cb_e!$C$3:$C$40,0))</f>
        <v>FC_IND_WP_E</v>
      </c>
      <c r="G2947" s="21">
        <v>262</v>
      </c>
    </row>
    <row r="2948" spans="1:7" x14ac:dyDescent="0.2">
      <c r="A2948" s="16" t="s">
        <v>47</v>
      </c>
      <c r="B2948" s="17" t="s">
        <v>71</v>
      </c>
      <c r="C2948" s="17" t="s">
        <v>8</v>
      </c>
      <c r="D2948" s="17" t="s">
        <v>10</v>
      </c>
      <c r="E2948" s="17" t="s">
        <v>17</v>
      </c>
      <c r="F2948" s="17" t="str">
        <f>INDEX(nrg_cb_e!$A$3:$A$40,MATCH(LEFT(MID('Industriesektor GWh'!$B2948,41,1000),SEARCH(" - ",MID('Industriesektor GWh'!$B2948,41,1000))-1),nrg_cb_e!$C$3:$C$40,0))</f>
        <v>FC_IND_WP_E</v>
      </c>
      <c r="G2948" s="18">
        <v>278</v>
      </c>
    </row>
    <row r="2949" spans="1:7" x14ac:dyDescent="0.2">
      <c r="A2949" s="19" t="s">
        <v>47</v>
      </c>
      <c r="B2949" s="20" t="s">
        <v>71</v>
      </c>
      <c r="C2949" s="20" t="s">
        <v>8</v>
      </c>
      <c r="D2949" s="20" t="s">
        <v>10</v>
      </c>
      <c r="E2949" s="20" t="s">
        <v>18</v>
      </c>
      <c r="F2949" s="20" t="str">
        <f>INDEX(nrg_cb_e!$A$3:$A$40,MATCH(LEFT(MID('Industriesektor GWh'!$B2949,41,1000),SEARCH(" - ",MID('Industriesektor GWh'!$B2949,41,1000))-1),nrg_cb_e!$C$3:$C$40,0))</f>
        <v>FC_IND_WP_E</v>
      </c>
      <c r="G2949" s="21">
        <v>288</v>
      </c>
    </row>
    <row r="2950" spans="1:7" x14ac:dyDescent="0.2">
      <c r="A2950" s="16" t="s">
        <v>47</v>
      </c>
      <c r="B2950" s="17" t="s">
        <v>71</v>
      </c>
      <c r="C2950" s="17" t="s">
        <v>8</v>
      </c>
      <c r="D2950" s="17" t="s">
        <v>10</v>
      </c>
      <c r="E2950" s="17" t="s">
        <v>19</v>
      </c>
      <c r="F2950" s="17" t="str">
        <f>INDEX(nrg_cb_e!$A$3:$A$40,MATCH(LEFT(MID('Industriesektor GWh'!$B2950,41,1000),SEARCH(" - ",MID('Industriesektor GWh'!$B2950,41,1000))-1),nrg_cb_e!$C$3:$C$40,0))</f>
        <v>FC_IND_WP_E</v>
      </c>
      <c r="G2950" s="18">
        <v>284</v>
      </c>
    </row>
    <row r="2951" spans="1:7" x14ac:dyDescent="0.2">
      <c r="A2951" s="19" t="s">
        <v>47</v>
      </c>
      <c r="B2951" s="20" t="s">
        <v>71</v>
      </c>
      <c r="C2951" s="20" t="s">
        <v>8</v>
      </c>
      <c r="D2951" s="20" t="s">
        <v>10</v>
      </c>
      <c r="E2951" s="20" t="s">
        <v>20</v>
      </c>
      <c r="F2951" s="20" t="str">
        <f>INDEX(nrg_cb_e!$A$3:$A$40,MATCH(LEFT(MID('Industriesektor GWh'!$B2951,41,1000),SEARCH(" - ",MID('Industriesektor GWh'!$B2951,41,1000))-1),nrg_cb_e!$C$3:$C$40,0))</f>
        <v>FC_IND_WP_E</v>
      </c>
      <c r="G2951" s="21">
        <v>243</v>
      </c>
    </row>
    <row r="2952" spans="1:7" x14ac:dyDescent="0.2">
      <c r="A2952" s="16" t="s">
        <v>47</v>
      </c>
      <c r="B2952" s="17" t="s">
        <v>71</v>
      </c>
      <c r="C2952" s="17" t="s">
        <v>8</v>
      </c>
      <c r="D2952" s="17" t="s">
        <v>10</v>
      </c>
      <c r="E2952" s="17" t="s">
        <v>21</v>
      </c>
      <c r="F2952" s="17" t="str">
        <f>INDEX(nrg_cb_e!$A$3:$A$40,MATCH(LEFT(MID('Industriesektor GWh'!$B2952,41,1000),SEARCH(" - ",MID('Industriesektor GWh'!$B2952,41,1000))-1),nrg_cb_e!$C$3:$C$40,0))</f>
        <v>FC_IND_WP_E</v>
      </c>
      <c r="G2952" s="18">
        <v>223</v>
      </c>
    </row>
    <row r="2953" spans="1:7" x14ac:dyDescent="0.2">
      <c r="A2953" s="19" t="s">
        <v>47</v>
      </c>
      <c r="B2953" s="20" t="s">
        <v>71</v>
      </c>
      <c r="C2953" s="20" t="s">
        <v>8</v>
      </c>
      <c r="D2953" s="20" t="s">
        <v>10</v>
      </c>
      <c r="E2953" s="20" t="s">
        <v>22</v>
      </c>
      <c r="F2953" s="20" t="str">
        <f>INDEX(nrg_cb_e!$A$3:$A$40,MATCH(LEFT(MID('Industriesektor GWh'!$B2953,41,1000),SEARCH(" - ",MID('Industriesektor GWh'!$B2953,41,1000))-1),nrg_cb_e!$C$3:$C$40,0))</f>
        <v>FC_IND_WP_E</v>
      </c>
      <c r="G2953" s="21">
        <v>239</v>
      </c>
    </row>
    <row r="2954" spans="1:7" x14ac:dyDescent="0.2">
      <c r="A2954" s="16" t="s">
        <v>47</v>
      </c>
      <c r="B2954" s="17" t="s">
        <v>71</v>
      </c>
      <c r="C2954" s="17" t="s">
        <v>8</v>
      </c>
      <c r="D2954" s="17" t="s">
        <v>10</v>
      </c>
      <c r="E2954" s="17" t="s">
        <v>23</v>
      </c>
      <c r="F2954" s="17" t="str">
        <f>INDEX(nrg_cb_e!$A$3:$A$40,MATCH(LEFT(MID('Industriesektor GWh'!$B2954,41,1000),SEARCH(" - ",MID('Industriesektor GWh'!$B2954,41,1000))-1),nrg_cb_e!$C$3:$C$40,0))</f>
        <v>FC_IND_WP_E</v>
      </c>
      <c r="G2954" s="18">
        <v>171</v>
      </c>
    </row>
    <row r="2955" spans="1:7" x14ac:dyDescent="0.2">
      <c r="A2955" s="19" t="s">
        <v>47</v>
      </c>
      <c r="B2955" s="20" t="s">
        <v>71</v>
      </c>
      <c r="C2955" s="20" t="s">
        <v>8</v>
      </c>
      <c r="D2955" s="20" t="s">
        <v>10</v>
      </c>
      <c r="E2955" s="20" t="s">
        <v>24</v>
      </c>
      <c r="F2955" s="20" t="str">
        <f>INDEX(nrg_cb_e!$A$3:$A$40,MATCH(LEFT(MID('Industriesektor GWh'!$B2955,41,1000),SEARCH(" - ",MID('Industriesektor GWh'!$B2955,41,1000))-1),nrg_cb_e!$C$3:$C$40,0))</f>
        <v>FC_IND_WP_E</v>
      </c>
      <c r="G2955" s="21">
        <v>197</v>
      </c>
    </row>
    <row r="2956" spans="1:7" x14ac:dyDescent="0.2">
      <c r="A2956" s="16" t="s">
        <v>47</v>
      </c>
      <c r="B2956" s="17" t="s">
        <v>71</v>
      </c>
      <c r="C2956" s="17" t="s">
        <v>8</v>
      </c>
      <c r="D2956" s="17" t="s">
        <v>10</v>
      </c>
      <c r="E2956" s="17" t="s">
        <v>25</v>
      </c>
      <c r="F2956" s="17" t="str">
        <f>INDEX(nrg_cb_e!$A$3:$A$40,MATCH(LEFT(MID('Industriesektor GWh'!$B2956,41,1000),SEARCH(" - ",MID('Industriesektor GWh'!$B2956,41,1000))-1),nrg_cb_e!$C$3:$C$40,0))</f>
        <v>FC_IND_WP_E</v>
      </c>
      <c r="G2956" s="18">
        <v>235.78100000000001</v>
      </c>
    </row>
    <row r="2957" spans="1:7" x14ac:dyDescent="0.2">
      <c r="A2957" s="19" t="s">
        <v>47</v>
      </c>
      <c r="B2957" s="20" t="s">
        <v>71</v>
      </c>
      <c r="C2957" s="20" t="s">
        <v>8</v>
      </c>
      <c r="D2957" s="20" t="s">
        <v>10</v>
      </c>
      <c r="E2957" s="20" t="s">
        <v>26</v>
      </c>
      <c r="F2957" s="20" t="str">
        <f>INDEX(nrg_cb_e!$A$3:$A$40,MATCH(LEFT(MID('Industriesektor GWh'!$B2957,41,1000),SEARCH(" - ",MID('Industriesektor GWh'!$B2957,41,1000))-1),nrg_cb_e!$C$3:$C$40,0))</f>
        <v>FC_IND_WP_E</v>
      </c>
      <c r="G2957" s="21">
        <v>201.518</v>
      </c>
    </row>
    <row r="2958" spans="1:7" x14ac:dyDescent="0.2">
      <c r="A2958" s="16" t="s">
        <v>47</v>
      </c>
      <c r="B2958" s="17" t="s">
        <v>71</v>
      </c>
      <c r="C2958" s="17" t="s">
        <v>8</v>
      </c>
      <c r="D2958" s="17" t="s">
        <v>10</v>
      </c>
      <c r="E2958" s="17" t="s">
        <v>27</v>
      </c>
      <c r="F2958" s="17" t="str">
        <f>INDEX(nrg_cb_e!$A$3:$A$40,MATCH(LEFT(MID('Industriesektor GWh'!$B2958,41,1000),SEARCH(" - ",MID('Industriesektor GWh'!$B2958,41,1000))-1),nrg_cb_e!$C$3:$C$40,0))</f>
        <v>FC_IND_WP_E</v>
      </c>
      <c r="G2958" s="18">
        <v>155.77600000000001</v>
      </c>
    </row>
    <row r="2959" spans="1:7" x14ac:dyDescent="0.2">
      <c r="A2959" s="19" t="s">
        <v>47</v>
      </c>
      <c r="B2959" s="20" t="s">
        <v>71</v>
      </c>
      <c r="C2959" s="20" t="s">
        <v>8</v>
      </c>
      <c r="D2959" s="20" t="s">
        <v>10</v>
      </c>
      <c r="E2959" s="20" t="s">
        <v>28</v>
      </c>
      <c r="F2959" s="20" t="str">
        <f>INDEX(nrg_cb_e!$A$3:$A$40,MATCH(LEFT(MID('Industriesektor GWh'!$B2959,41,1000),SEARCH(" - ",MID('Industriesektor GWh'!$B2959,41,1000))-1),nrg_cb_e!$C$3:$C$40,0))</f>
        <v>FC_IND_WP_E</v>
      </c>
      <c r="G2959" s="21">
        <v>145.12200000000001</v>
      </c>
    </row>
    <row r="2960" spans="1:7" x14ac:dyDescent="0.2">
      <c r="A2960" s="16" t="s">
        <v>48</v>
      </c>
      <c r="B2960" s="17" t="s">
        <v>71</v>
      </c>
      <c r="C2960" s="17" t="s">
        <v>8</v>
      </c>
      <c r="D2960" s="17" t="s">
        <v>10</v>
      </c>
      <c r="E2960" s="17" t="s">
        <v>12</v>
      </c>
      <c r="F2960" s="17" t="str">
        <f>INDEX(nrg_cb_e!$A$3:$A$40,MATCH(LEFT(MID('Industriesektor GWh'!$B2960,41,1000),SEARCH(" - ",MID('Industriesektor GWh'!$B2960,41,1000))-1),nrg_cb_e!$C$3:$C$40,0))</f>
        <v>FC_IND_WP_E</v>
      </c>
      <c r="G2960" s="18">
        <v>1047</v>
      </c>
    </row>
    <row r="2961" spans="1:7" x14ac:dyDescent="0.2">
      <c r="A2961" s="19" t="s">
        <v>48</v>
      </c>
      <c r="B2961" s="20" t="s">
        <v>71</v>
      </c>
      <c r="C2961" s="20" t="s">
        <v>8</v>
      </c>
      <c r="D2961" s="20" t="s">
        <v>10</v>
      </c>
      <c r="E2961" s="20" t="s">
        <v>13</v>
      </c>
      <c r="F2961" s="20" t="str">
        <f>INDEX(nrg_cb_e!$A$3:$A$40,MATCH(LEFT(MID('Industriesektor GWh'!$B2961,41,1000),SEARCH(" - ",MID('Industriesektor GWh'!$B2961,41,1000))-1),nrg_cb_e!$C$3:$C$40,0))</f>
        <v>FC_IND_WP_E</v>
      </c>
      <c r="G2961" s="21">
        <v>1226</v>
      </c>
    </row>
    <row r="2962" spans="1:7" x14ac:dyDescent="0.2">
      <c r="A2962" s="16" t="s">
        <v>48</v>
      </c>
      <c r="B2962" s="17" t="s">
        <v>71</v>
      </c>
      <c r="C2962" s="17" t="s">
        <v>8</v>
      </c>
      <c r="D2962" s="17" t="s">
        <v>10</v>
      </c>
      <c r="E2962" s="17" t="s">
        <v>14</v>
      </c>
      <c r="F2962" s="17" t="str">
        <f>INDEX(nrg_cb_e!$A$3:$A$40,MATCH(LEFT(MID('Industriesektor GWh'!$B2962,41,1000),SEARCH(" - ",MID('Industriesektor GWh'!$B2962,41,1000))-1),nrg_cb_e!$C$3:$C$40,0))</f>
        <v>FC_IND_WP_E</v>
      </c>
      <c r="G2962" s="18">
        <v>1320</v>
      </c>
    </row>
    <row r="2963" spans="1:7" x14ac:dyDescent="0.2">
      <c r="A2963" s="19" t="s">
        <v>48</v>
      </c>
      <c r="B2963" s="20" t="s">
        <v>71</v>
      </c>
      <c r="C2963" s="20" t="s">
        <v>8</v>
      </c>
      <c r="D2963" s="20" t="s">
        <v>10</v>
      </c>
      <c r="E2963" s="20" t="s">
        <v>15</v>
      </c>
      <c r="F2963" s="20" t="str">
        <f>INDEX(nrg_cb_e!$A$3:$A$40,MATCH(LEFT(MID('Industriesektor GWh'!$B2963,41,1000),SEARCH(" - ",MID('Industriesektor GWh'!$B2963,41,1000))-1),nrg_cb_e!$C$3:$C$40,0))</f>
        <v>FC_IND_WP_E</v>
      </c>
      <c r="G2963" s="21">
        <v>1616.864</v>
      </c>
    </row>
    <row r="2964" spans="1:7" x14ac:dyDescent="0.2">
      <c r="A2964" s="16" t="s">
        <v>48</v>
      </c>
      <c r="B2964" s="17" t="s">
        <v>71</v>
      </c>
      <c r="C2964" s="17" t="s">
        <v>8</v>
      </c>
      <c r="D2964" s="17" t="s">
        <v>10</v>
      </c>
      <c r="E2964" s="17" t="s">
        <v>16</v>
      </c>
      <c r="F2964" s="17" t="str">
        <f>INDEX(nrg_cb_e!$A$3:$A$40,MATCH(LEFT(MID('Industriesektor GWh'!$B2964,41,1000),SEARCH(" - ",MID('Industriesektor GWh'!$B2964,41,1000))-1),nrg_cb_e!$C$3:$C$40,0))</f>
        <v>FC_IND_WP_E</v>
      </c>
      <c r="G2964" s="18">
        <v>1819.5920000000001</v>
      </c>
    </row>
    <row r="2965" spans="1:7" x14ac:dyDescent="0.2">
      <c r="A2965" s="19" t="s">
        <v>48</v>
      </c>
      <c r="B2965" s="20" t="s">
        <v>71</v>
      </c>
      <c r="C2965" s="20" t="s">
        <v>8</v>
      </c>
      <c r="D2965" s="20" t="s">
        <v>10</v>
      </c>
      <c r="E2965" s="20" t="s">
        <v>17</v>
      </c>
      <c r="F2965" s="20" t="str">
        <f>INDEX(nrg_cb_e!$A$3:$A$40,MATCH(LEFT(MID('Industriesektor GWh'!$B2965,41,1000),SEARCH(" - ",MID('Industriesektor GWh'!$B2965,41,1000))-1),nrg_cb_e!$C$3:$C$40,0))</f>
        <v>FC_IND_WP_E</v>
      </c>
      <c r="G2965" s="21">
        <v>1931.2950000000001</v>
      </c>
    </row>
    <row r="2966" spans="1:7" x14ac:dyDescent="0.2">
      <c r="A2966" s="16" t="s">
        <v>48</v>
      </c>
      <c r="B2966" s="17" t="s">
        <v>71</v>
      </c>
      <c r="C2966" s="17" t="s">
        <v>8</v>
      </c>
      <c r="D2966" s="17" t="s">
        <v>10</v>
      </c>
      <c r="E2966" s="17" t="s">
        <v>18</v>
      </c>
      <c r="F2966" s="17" t="str">
        <f>INDEX(nrg_cb_e!$A$3:$A$40,MATCH(LEFT(MID('Industriesektor GWh'!$B2966,41,1000),SEARCH(" - ",MID('Industriesektor GWh'!$B2966,41,1000))-1),nrg_cb_e!$C$3:$C$40,0))</f>
        <v>FC_IND_WP_E</v>
      </c>
      <c r="G2966" s="18">
        <v>1793.133</v>
      </c>
    </row>
    <row r="2967" spans="1:7" x14ac:dyDescent="0.2">
      <c r="A2967" s="19" t="s">
        <v>48</v>
      </c>
      <c r="B2967" s="20" t="s">
        <v>71</v>
      </c>
      <c r="C2967" s="20" t="s">
        <v>8</v>
      </c>
      <c r="D2967" s="20" t="s">
        <v>10</v>
      </c>
      <c r="E2967" s="20" t="s">
        <v>19</v>
      </c>
      <c r="F2967" s="20" t="str">
        <f>INDEX(nrg_cb_e!$A$3:$A$40,MATCH(LEFT(MID('Industriesektor GWh'!$B2967,41,1000),SEARCH(" - ",MID('Industriesektor GWh'!$B2967,41,1000))-1),nrg_cb_e!$C$3:$C$40,0))</f>
        <v>FC_IND_WP_E</v>
      </c>
      <c r="G2967" s="21">
        <v>1616.51</v>
      </c>
    </row>
    <row r="2968" spans="1:7" x14ac:dyDescent="0.2">
      <c r="A2968" s="16" t="s">
        <v>48</v>
      </c>
      <c r="B2968" s="17" t="s">
        <v>71</v>
      </c>
      <c r="C2968" s="17" t="s">
        <v>8</v>
      </c>
      <c r="D2968" s="17" t="s">
        <v>10</v>
      </c>
      <c r="E2968" s="17" t="s">
        <v>20</v>
      </c>
      <c r="F2968" s="17" t="str">
        <f>INDEX(nrg_cb_e!$A$3:$A$40,MATCH(LEFT(MID('Industriesektor GWh'!$B2968,41,1000),SEARCH(" - ",MID('Industriesektor GWh'!$B2968,41,1000))-1),nrg_cb_e!$C$3:$C$40,0))</f>
        <v>FC_IND_WP_E</v>
      </c>
      <c r="G2968" s="18">
        <v>1682.4549999999999</v>
      </c>
    </row>
    <row r="2969" spans="1:7" x14ac:dyDescent="0.2">
      <c r="A2969" s="19" t="s">
        <v>48</v>
      </c>
      <c r="B2969" s="20" t="s">
        <v>71</v>
      </c>
      <c r="C2969" s="20" t="s">
        <v>8</v>
      </c>
      <c r="D2969" s="20" t="s">
        <v>10</v>
      </c>
      <c r="E2969" s="20" t="s">
        <v>21</v>
      </c>
      <c r="F2969" s="20" t="str">
        <f>INDEX(nrg_cb_e!$A$3:$A$40,MATCH(LEFT(MID('Industriesektor GWh'!$B2969,41,1000),SEARCH(" - ",MID('Industriesektor GWh'!$B2969,41,1000))-1),nrg_cb_e!$C$3:$C$40,0))</f>
        <v>FC_IND_WP_E</v>
      </c>
      <c r="G2969" s="21">
        <v>1739.1379999999999</v>
      </c>
    </row>
    <row r="2970" spans="1:7" x14ac:dyDescent="0.2">
      <c r="A2970" s="16" t="s">
        <v>48</v>
      </c>
      <c r="B2970" s="17" t="s">
        <v>71</v>
      </c>
      <c r="C2970" s="17" t="s">
        <v>8</v>
      </c>
      <c r="D2970" s="17" t="s">
        <v>10</v>
      </c>
      <c r="E2970" s="17" t="s">
        <v>22</v>
      </c>
      <c r="F2970" s="17" t="str">
        <f>INDEX(nrg_cb_e!$A$3:$A$40,MATCH(LEFT(MID('Industriesektor GWh'!$B2970,41,1000),SEARCH(" - ",MID('Industriesektor GWh'!$B2970,41,1000))-1),nrg_cb_e!$C$3:$C$40,0))</f>
        <v>FC_IND_WP_E</v>
      </c>
      <c r="G2970" s="18">
        <v>1804.5319999999999</v>
      </c>
    </row>
    <row r="2971" spans="1:7" x14ac:dyDescent="0.2">
      <c r="A2971" s="19" t="s">
        <v>48</v>
      </c>
      <c r="B2971" s="20" t="s">
        <v>71</v>
      </c>
      <c r="C2971" s="20" t="s">
        <v>8</v>
      </c>
      <c r="D2971" s="20" t="s">
        <v>10</v>
      </c>
      <c r="E2971" s="20" t="s">
        <v>23</v>
      </c>
      <c r="F2971" s="20" t="str">
        <f>INDEX(nrg_cb_e!$A$3:$A$40,MATCH(LEFT(MID('Industriesektor GWh'!$B2971,41,1000),SEARCH(" - ",MID('Industriesektor GWh'!$B2971,41,1000))-1),nrg_cb_e!$C$3:$C$40,0))</f>
        <v>FC_IND_WP_E</v>
      </c>
      <c r="G2971" s="21">
        <v>1924.998</v>
      </c>
    </row>
    <row r="2972" spans="1:7" x14ac:dyDescent="0.2">
      <c r="A2972" s="16" t="s">
        <v>48</v>
      </c>
      <c r="B2972" s="17" t="s">
        <v>71</v>
      </c>
      <c r="C2972" s="17" t="s">
        <v>8</v>
      </c>
      <c r="D2972" s="17" t="s">
        <v>10</v>
      </c>
      <c r="E2972" s="17" t="s">
        <v>24</v>
      </c>
      <c r="F2972" s="17" t="str">
        <f>INDEX(nrg_cb_e!$A$3:$A$40,MATCH(LEFT(MID('Industriesektor GWh'!$B2972,41,1000),SEARCH(" - ",MID('Industriesektor GWh'!$B2972,41,1000))-1),nrg_cb_e!$C$3:$C$40,0))</f>
        <v>FC_IND_WP_E</v>
      </c>
      <c r="G2972" s="18">
        <v>1796.5609999999999</v>
      </c>
    </row>
    <row r="2973" spans="1:7" x14ac:dyDescent="0.2">
      <c r="A2973" s="19" t="s">
        <v>48</v>
      </c>
      <c r="B2973" s="20" t="s">
        <v>71</v>
      </c>
      <c r="C2973" s="20" t="s">
        <v>8</v>
      </c>
      <c r="D2973" s="20" t="s">
        <v>10</v>
      </c>
      <c r="E2973" s="20" t="s">
        <v>25</v>
      </c>
      <c r="F2973" s="20" t="str">
        <f>INDEX(nrg_cb_e!$A$3:$A$40,MATCH(LEFT(MID('Industriesektor GWh'!$B2973,41,1000),SEARCH(" - ",MID('Industriesektor GWh'!$B2973,41,1000))-1),nrg_cb_e!$C$3:$C$40,0))</f>
        <v>FC_IND_WP_E</v>
      </c>
      <c r="G2973" s="21">
        <v>1802.2139999999999</v>
      </c>
    </row>
    <row r="2974" spans="1:7" x14ac:dyDescent="0.2">
      <c r="A2974" s="16" t="s">
        <v>48</v>
      </c>
      <c r="B2974" s="17" t="s">
        <v>71</v>
      </c>
      <c r="C2974" s="17" t="s">
        <v>8</v>
      </c>
      <c r="D2974" s="17" t="s">
        <v>10</v>
      </c>
      <c r="E2974" s="17" t="s">
        <v>26</v>
      </c>
      <c r="F2974" s="17" t="str">
        <f>INDEX(nrg_cb_e!$A$3:$A$40,MATCH(LEFT(MID('Industriesektor GWh'!$B2974,41,1000),SEARCH(" - ",MID('Industriesektor GWh'!$B2974,41,1000))-1),nrg_cb_e!$C$3:$C$40,0))</f>
        <v>FC_IND_WP_E</v>
      </c>
      <c r="G2974" s="18">
        <v>1813.21</v>
      </c>
    </row>
    <row r="2975" spans="1:7" x14ac:dyDescent="0.2">
      <c r="A2975" s="19" t="s">
        <v>48</v>
      </c>
      <c r="B2975" s="20" t="s">
        <v>71</v>
      </c>
      <c r="C2975" s="20" t="s">
        <v>8</v>
      </c>
      <c r="D2975" s="20" t="s">
        <v>10</v>
      </c>
      <c r="E2975" s="20" t="s">
        <v>27</v>
      </c>
      <c r="F2975" s="20" t="str">
        <f>INDEX(nrg_cb_e!$A$3:$A$40,MATCH(LEFT(MID('Industriesektor GWh'!$B2975,41,1000),SEARCH(" - ",MID('Industriesektor GWh'!$B2975,41,1000))-1),nrg_cb_e!$C$3:$C$40,0))</f>
        <v>FC_IND_WP_E</v>
      </c>
      <c r="G2975" s="21">
        <v>1856.8050000000001</v>
      </c>
    </row>
    <row r="2976" spans="1:7" x14ac:dyDescent="0.2">
      <c r="A2976" s="16" t="s">
        <v>48</v>
      </c>
      <c r="B2976" s="17" t="s">
        <v>71</v>
      </c>
      <c r="C2976" s="17" t="s">
        <v>8</v>
      </c>
      <c r="D2976" s="17" t="s">
        <v>10</v>
      </c>
      <c r="E2976" s="17" t="s">
        <v>28</v>
      </c>
      <c r="F2976" s="17" t="str">
        <f>INDEX(nrg_cb_e!$A$3:$A$40,MATCH(LEFT(MID('Industriesektor GWh'!$B2976,41,1000),SEARCH(" - ",MID('Industriesektor GWh'!$B2976,41,1000))-1),nrg_cb_e!$C$3:$C$40,0))</f>
        <v>FC_IND_WP_E</v>
      </c>
      <c r="G2976" s="18">
        <v>1821.5719999999999</v>
      </c>
    </row>
    <row r="2977" spans="1:7" x14ac:dyDescent="0.2">
      <c r="A2977" s="19" t="s">
        <v>49</v>
      </c>
      <c r="B2977" s="20" t="s">
        <v>71</v>
      </c>
      <c r="C2977" s="20" t="s">
        <v>8</v>
      </c>
      <c r="D2977" s="20" t="s">
        <v>10</v>
      </c>
      <c r="E2977" s="20" t="s">
        <v>12</v>
      </c>
      <c r="F2977" s="20" t="str">
        <f>INDEX(nrg_cb_e!$A$3:$A$40,MATCH(LEFT(MID('Industriesektor GWh'!$B2977,41,1000),SEARCH(" - ",MID('Industriesektor GWh'!$B2977,41,1000))-1),nrg_cb_e!$C$3:$C$40,0))</f>
        <v>FC_IND_WP_E</v>
      </c>
      <c r="G2977" s="21">
        <v>1538</v>
      </c>
    </row>
    <row r="2978" spans="1:7" x14ac:dyDescent="0.2">
      <c r="A2978" s="16" t="s">
        <v>49</v>
      </c>
      <c r="B2978" s="17" t="s">
        <v>71</v>
      </c>
      <c r="C2978" s="17" t="s">
        <v>8</v>
      </c>
      <c r="D2978" s="17" t="s">
        <v>10</v>
      </c>
      <c r="E2978" s="17" t="s">
        <v>13</v>
      </c>
      <c r="F2978" s="17" t="str">
        <f>INDEX(nrg_cb_e!$A$3:$A$40,MATCH(LEFT(MID('Industriesektor GWh'!$B2978,41,1000),SEARCH(" - ",MID('Industriesektor GWh'!$B2978,41,1000))-1),nrg_cb_e!$C$3:$C$40,0))</f>
        <v>FC_IND_WP_E</v>
      </c>
      <c r="G2978" s="18">
        <v>1228</v>
      </c>
    </row>
    <row r="2979" spans="1:7" x14ac:dyDescent="0.2">
      <c r="A2979" s="19" t="s">
        <v>49</v>
      </c>
      <c r="B2979" s="20" t="s">
        <v>71</v>
      </c>
      <c r="C2979" s="20" t="s">
        <v>8</v>
      </c>
      <c r="D2979" s="20" t="s">
        <v>10</v>
      </c>
      <c r="E2979" s="20" t="s">
        <v>14</v>
      </c>
      <c r="F2979" s="20" t="str">
        <f>INDEX(nrg_cb_e!$A$3:$A$40,MATCH(LEFT(MID('Industriesektor GWh'!$B2979,41,1000),SEARCH(" - ",MID('Industriesektor GWh'!$B2979,41,1000))-1),nrg_cb_e!$C$3:$C$40,0))</f>
        <v>FC_IND_WP_E</v>
      </c>
      <c r="G2979" s="21">
        <v>1608</v>
      </c>
    </row>
    <row r="2980" spans="1:7" x14ac:dyDescent="0.2">
      <c r="A2980" s="16" t="s">
        <v>49</v>
      </c>
      <c r="B2980" s="17" t="s">
        <v>71</v>
      </c>
      <c r="C2980" s="17" t="s">
        <v>8</v>
      </c>
      <c r="D2980" s="17" t="s">
        <v>10</v>
      </c>
      <c r="E2980" s="17" t="s">
        <v>15</v>
      </c>
      <c r="F2980" s="17" t="str">
        <f>INDEX(nrg_cb_e!$A$3:$A$40,MATCH(LEFT(MID('Industriesektor GWh'!$B2980,41,1000),SEARCH(" - ",MID('Industriesektor GWh'!$B2980,41,1000))-1),nrg_cb_e!$C$3:$C$40,0))</f>
        <v>FC_IND_WP_E</v>
      </c>
      <c r="G2980" s="18">
        <v>1584</v>
      </c>
    </row>
    <row r="2981" spans="1:7" x14ac:dyDescent="0.2">
      <c r="A2981" s="19" t="s">
        <v>49</v>
      </c>
      <c r="B2981" s="20" t="s">
        <v>71</v>
      </c>
      <c r="C2981" s="20" t="s">
        <v>8</v>
      </c>
      <c r="D2981" s="20" t="s">
        <v>10</v>
      </c>
      <c r="E2981" s="20" t="s">
        <v>16</v>
      </c>
      <c r="F2981" s="20" t="str">
        <f>INDEX(nrg_cb_e!$A$3:$A$40,MATCH(LEFT(MID('Industriesektor GWh'!$B2981,41,1000),SEARCH(" - ",MID('Industriesektor GWh'!$B2981,41,1000))-1),nrg_cb_e!$C$3:$C$40,0))</f>
        <v>FC_IND_WP_E</v>
      </c>
      <c r="G2981" s="21">
        <v>1398</v>
      </c>
    </row>
    <row r="2982" spans="1:7" x14ac:dyDescent="0.2">
      <c r="A2982" s="16" t="s">
        <v>49</v>
      </c>
      <c r="B2982" s="17" t="s">
        <v>71</v>
      </c>
      <c r="C2982" s="17" t="s">
        <v>8</v>
      </c>
      <c r="D2982" s="17" t="s">
        <v>10</v>
      </c>
      <c r="E2982" s="17" t="s">
        <v>17</v>
      </c>
      <c r="F2982" s="17" t="str">
        <f>INDEX(nrg_cb_e!$A$3:$A$40,MATCH(LEFT(MID('Industriesektor GWh'!$B2982,41,1000),SEARCH(" - ",MID('Industriesektor GWh'!$B2982,41,1000))-1),nrg_cb_e!$C$3:$C$40,0))</f>
        <v>FC_IND_WP_E</v>
      </c>
      <c r="G2982" s="18">
        <v>1537</v>
      </c>
    </row>
    <row r="2983" spans="1:7" x14ac:dyDescent="0.2">
      <c r="A2983" s="19" t="s">
        <v>49</v>
      </c>
      <c r="B2983" s="20" t="s">
        <v>71</v>
      </c>
      <c r="C2983" s="20" t="s">
        <v>8</v>
      </c>
      <c r="D2983" s="20" t="s">
        <v>10</v>
      </c>
      <c r="E2983" s="20" t="s">
        <v>18</v>
      </c>
      <c r="F2983" s="20" t="str">
        <f>INDEX(nrg_cb_e!$A$3:$A$40,MATCH(LEFT(MID('Industriesektor GWh'!$B2983,41,1000),SEARCH(" - ",MID('Industriesektor GWh'!$B2983,41,1000))-1),nrg_cb_e!$C$3:$C$40,0))</f>
        <v>FC_IND_WP_E</v>
      </c>
      <c r="G2983" s="21">
        <v>1824</v>
      </c>
    </row>
    <row r="2984" spans="1:7" x14ac:dyDescent="0.2">
      <c r="A2984" s="16" t="s">
        <v>49</v>
      </c>
      <c r="B2984" s="17" t="s">
        <v>71</v>
      </c>
      <c r="C2984" s="17" t="s">
        <v>8</v>
      </c>
      <c r="D2984" s="17" t="s">
        <v>10</v>
      </c>
      <c r="E2984" s="17" t="s">
        <v>19</v>
      </c>
      <c r="F2984" s="17" t="str">
        <f>INDEX(nrg_cb_e!$A$3:$A$40,MATCH(LEFT(MID('Industriesektor GWh'!$B2984,41,1000),SEARCH(" - ",MID('Industriesektor GWh'!$B2984,41,1000))-1),nrg_cb_e!$C$3:$C$40,0))</f>
        <v>FC_IND_WP_E</v>
      </c>
      <c r="G2984" s="18">
        <v>1815</v>
      </c>
    </row>
    <row r="2985" spans="1:7" x14ac:dyDescent="0.2">
      <c r="A2985" s="19" t="s">
        <v>49</v>
      </c>
      <c r="B2985" s="20" t="s">
        <v>71</v>
      </c>
      <c r="C2985" s="20" t="s">
        <v>8</v>
      </c>
      <c r="D2985" s="20" t="s">
        <v>10</v>
      </c>
      <c r="E2985" s="20" t="s">
        <v>20</v>
      </c>
      <c r="F2985" s="20" t="str">
        <f>INDEX(nrg_cb_e!$A$3:$A$40,MATCH(LEFT(MID('Industriesektor GWh'!$B2985,41,1000),SEARCH(" - ",MID('Industriesektor GWh'!$B2985,41,1000))-1),nrg_cb_e!$C$3:$C$40,0))</f>
        <v>FC_IND_WP_E</v>
      </c>
      <c r="G2985" s="21">
        <v>1855</v>
      </c>
    </row>
    <row r="2986" spans="1:7" x14ac:dyDescent="0.2">
      <c r="A2986" s="16" t="s">
        <v>49</v>
      </c>
      <c r="B2986" s="17" t="s">
        <v>71</v>
      </c>
      <c r="C2986" s="17" t="s">
        <v>8</v>
      </c>
      <c r="D2986" s="17" t="s">
        <v>10</v>
      </c>
      <c r="E2986" s="17" t="s">
        <v>21</v>
      </c>
      <c r="F2986" s="17" t="str">
        <f>INDEX(nrg_cb_e!$A$3:$A$40,MATCH(LEFT(MID('Industriesektor GWh'!$B2986,41,1000),SEARCH(" - ",MID('Industriesektor GWh'!$B2986,41,1000))-1),nrg_cb_e!$C$3:$C$40,0))</f>
        <v>FC_IND_WP_E</v>
      </c>
      <c r="G2986" s="18">
        <v>1849</v>
      </c>
    </row>
    <row r="2987" spans="1:7" x14ac:dyDescent="0.2">
      <c r="A2987" s="19" t="s">
        <v>49</v>
      </c>
      <c r="B2987" s="20" t="s">
        <v>71</v>
      </c>
      <c r="C2987" s="20" t="s">
        <v>8</v>
      </c>
      <c r="D2987" s="20" t="s">
        <v>10</v>
      </c>
      <c r="E2987" s="20" t="s">
        <v>22</v>
      </c>
      <c r="F2987" s="20" t="str">
        <f>INDEX(nrg_cb_e!$A$3:$A$40,MATCH(LEFT(MID('Industriesektor GWh'!$B2987,41,1000),SEARCH(" - ",MID('Industriesektor GWh'!$B2987,41,1000))-1),nrg_cb_e!$C$3:$C$40,0))</f>
        <v>FC_IND_WP_E</v>
      </c>
      <c r="G2987" s="21">
        <v>1886</v>
      </c>
    </row>
    <row r="2988" spans="1:7" x14ac:dyDescent="0.2">
      <c r="A2988" s="16" t="s">
        <v>49</v>
      </c>
      <c r="B2988" s="17" t="s">
        <v>71</v>
      </c>
      <c r="C2988" s="17" t="s">
        <v>8</v>
      </c>
      <c r="D2988" s="17" t="s">
        <v>10</v>
      </c>
      <c r="E2988" s="17" t="s">
        <v>23</v>
      </c>
      <c r="F2988" s="17" t="str">
        <f>INDEX(nrg_cb_e!$A$3:$A$40,MATCH(LEFT(MID('Industriesektor GWh'!$B2988,41,1000),SEARCH(" - ",MID('Industriesektor GWh'!$B2988,41,1000))-1),nrg_cb_e!$C$3:$C$40,0))</f>
        <v>FC_IND_WP_E</v>
      </c>
      <c r="G2988" s="18">
        <v>1988</v>
      </c>
    </row>
    <row r="2989" spans="1:7" x14ac:dyDescent="0.2">
      <c r="A2989" s="19" t="s">
        <v>49</v>
      </c>
      <c r="B2989" s="20" t="s">
        <v>71</v>
      </c>
      <c r="C2989" s="20" t="s">
        <v>8</v>
      </c>
      <c r="D2989" s="20" t="s">
        <v>10</v>
      </c>
      <c r="E2989" s="20" t="s">
        <v>24</v>
      </c>
      <c r="F2989" s="20" t="str">
        <f>INDEX(nrg_cb_e!$A$3:$A$40,MATCH(LEFT(MID('Industriesektor GWh'!$B2989,41,1000),SEARCH(" - ",MID('Industriesektor GWh'!$B2989,41,1000))-1),nrg_cb_e!$C$3:$C$40,0))</f>
        <v>FC_IND_WP_E</v>
      </c>
      <c r="G2989" s="21">
        <v>1967</v>
      </c>
    </row>
    <row r="2990" spans="1:7" x14ac:dyDescent="0.2">
      <c r="A2990" s="16" t="s">
        <v>49</v>
      </c>
      <c r="B2990" s="17" t="s">
        <v>71</v>
      </c>
      <c r="C2990" s="17" t="s">
        <v>8</v>
      </c>
      <c r="D2990" s="17" t="s">
        <v>10</v>
      </c>
      <c r="E2990" s="17" t="s">
        <v>25</v>
      </c>
      <c r="F2990" s="17" t="str">
        <f>INDEX(nrg_cb_e!$A$3:$A$40,MATCH(LEFT(MID('Industriesektor GWh'!$B2990,41,1000),SEARCH(" - ",MID('Industriesektor GWh'!$B2990,41,1000))-1),nrg_cb_e!$C$3:$C$40,0))</f>
        <v>FC_IND_WP_E</v>
      </c>
      <c r="G2990" s="18">
        <v>2086</v>
      </c>
    </row>
    <row r="2991" spans="1:7" x14ac:dyDescent="0.2">
      <c r="A2991" s="19" t="s">
        <v>49</v>
      </c>
      <c r="B2991" s="20" t="s">
        <v>71</v>
      </c>
      <c r="C2991" s="20" t="s">
        <v>8</v>
      </c>
      <c r="D2991" s="20" t="s">
        <v>10</v>
      </c>
      <c r="E2991" s="20" t="s">
        <v>26</v>
      </c>
      <c r="F2991" s="20" t="str">
        <f>INDEX(nrg_cb_e!$A$3:$A$40,MATCH(LEFT(MID('Industriesektor GWh'!$B2991,41,1000),SEARCH(" - ",MID('Industriesektor GWh'!$B2991,41,1000))-1),nrg_cb_e!$C$3:$C$40,0))</f>
        <v>FC_IND_WP_E</v>
      </c>
      <c r="G2991" s="21">
        <v>2421</v>
      </c>
    </row>
    <row r="2992" spans="1:7" x14ac:dyDescent="0.2">
      <c r="A2992" s="16" t="s">
        <v>49</v>
      </c>
      <c r="B2992" s="17" t="s">
        <v>71</v>
      </c>
      <c r="C2992" s="17" t="s">
        <v>8</v>
      </c>
      <c r="D2992" s="17" t="s">
        <v>10</v>
      </c>
      <c r="E2992" s="17" t="s">
        <v>27</v>
      </c>
      <c r="F2992" s="17" t="str">
        <f>INDEX(nrg_cb_e!$A$3:$A$40,MATCH(LEFT(MID('Industriesektor GWh'!$B2992,41,1000),SEARCH(" - ",MID('Industriesektor GWh'!$B2992,41,1000))-1),nrg_cb_e!$C$3:$C$40,0))</f>
        <v>FC_IND_WP_E</v>
      </c>
      <c r="G2992" s="18">
        <v>2400.4169999999999</v>
      </c>
    </row>
    <row r="2993" spans="1:7" x14ac:dyDescent="0.2">
      <c r="A2993" s="19" t="s">
        <v>49</v>
      </c>
      <c r="B2993" s="20" t="s">
        <v>71</v>
      </c>
      <c r="C2993" s="20" t="s">
        <v>8</v>
      </c>
      <c r="D2993" s="20" t="s">
        <v>10</v>
      </c>
      <c r="E2993" s="20" t="s">
        <v>28</v>
      </c>
      <c r="F2993" s="20" t="str">
        <f>INDEX(nrg_cb_e!$A$3:$A$40,MATCH(LEFT(MID('Industriesektor GWh'!$B2993,41,1000),SEARCH(" - ",MID('Industriesektor GWh'!$B2993,41,1000))-1),nrg_cb_e!$C$3:$C$40,0))</f>
        <v>FC_IND_WP_E</v>
      </c>
      <c r="G2993" s="21">
        <v>2518.636</v>
      </c>
    </row>
    <row r="2994" spans="1:7" x14ac:dyDescent="0.2">
      <c r="A2994" s="16" t="s">
        <v>50</v>
      </c>
      <c r="B2994" s="17" t="s">
        <v>71</v>
      </c>
      <c r="C2994" s="17" t="s">
        <v>8</v>
      </c>
      <c r="D2994" s="17" t="s">
        <v>10</v>
      </c>
      <c r="E2994" s="17" t="s">
        <v>12</v>
      </c>
      <c r="F2994" s="17" t="str">
        <f>INDEX(nrg_cb_e!$A$3:$A$40,MATCH(LEFT(MID('Industriesektor GWh'!$B2994,41,1000),SEARCH(" - ",MID('Industriesektor GWh'!$B2994,41,1000))-1),nrg_cb_e!$C$3:$C$40,0))</f>
        <v>FC_IND_WP_E</v>
      </c>
      <c r="G2994" s="18">
        <v>946</v>
      </c>
    </row>
    <row r="2995" spans="1:7" x14ac:dyDescent="0.2">
      <c r="A2995" s="19" t="s">
        <v>50</v>
      </c>
      <c r="B2995" s="20" t="s">
        <v>71</v>
      </c>
      <c r="C2995" s="20" t="s">
        <v>8</v>
      </c>
      <c r="D2995" s="20" t="s">
        <v>10</v>
      </c>
      <c r="E2995" s="20" t="s">
        <v>13</v>
      </c>
      <c r="F2995" s="20" t="str">
        <f>INDEX(nrg_cb_e!$A$3:$A$40,MATCH(LEFT(MID('Industriesektor GWh'!$B2995,41,1000),SEARCH(" - ",MID('Industriesektor GWh'!$B2995,41,1000))-1),nrg_cb_e!$C$3:$C$40,0))</f>
        <v>FC_IND_WP_E</v>
      </c>
      <c r="G2995" s="21">
        <v>678</v>
      </c>
    </row>
    <row r="2996" spans="1:7" x14ac:dyDescent="0.2">
      <c r="A2996" s="16" t="s">
        <v>50</v>
      </c>
      <c r="B2996" s="17" t="s">
        <v>71</v>
      </c>
      <c r="C2996" s="17" t="s">
        <v>8</v>
      </c>
      <c r="D2996" s="17" t="s">
        <v>10</v>
      </c>
      <c r="E2996" s="17" t="s">
        <v>14</v>
      </c>
      <c r="F2996" s="17" t="str">
        <f>INDEX(nrg_cb_e!$A$3:$A$40,MATCH(LEFT(MID('Industriesektor GWh'!$B2996,41,1000),SEARCH(" - ",MID('Industriesektor GWh'!$B2996,41,1000))-1),nrg_cb_e!$C$3:$C$40,0))</f>
        <v>FC_IND_WP_E</v>
      </c>
      <c r="G2996" s="18">
        <v>608</v>
      </c>
    </row>
    <row r="2997" spans="1:7" x14ac:dyDescent="0.2">
      <c r="A2997" s="19" t="s">
        <v>50</v>
      </c>
      <c r="B2997" s="20" t="s">
        <v>71</v>
      </c>
      <c r="C2997" s="20" t="s">
        <v>8</v>
      </c>
      <c r="D2997" s="20" t="s">
        <v>10</v>
      </c>
      <c r="E2997" s="20" t="s">
        <v>15</v>
      </c>
      <c r="F2997" s="20" t="str">
        <f>INDEX(nrg_cb_e!$A$3:$A$40,MATCH(LEFT(MID('Industriesektor GWh'!$B2997,41,1000),SEARCH(" - ",MID('Industriesektor GWh'!$B2997,41,1000))-1),nrg_cb_e!$C$3:$C$40,0))</f>
        <v>FC_IND_WP_E</v>
      </c>
      <c r="G2997" s="21">
        <v>715</v>
      </c>
    </row>
    <row r="2998" spans="1:7" x14ac:dyDescent="0.2">
      <c r="A2998" s="16" t="s">
        <v>50</v>
      </c>
      <c r="B2998" s="17" t="s">
        <v>71</v>
      </c>
      <c r="C2998" s="17" t="s">
        <v>8</v>
      </c>
      <c r="D2998" s="17" t="s">
        <v>10</v>
      </c>
      <c r="E2998" s="17" t="s">
        <v>16</v>
      </c>
      <c r="F2998" s="17" t="str">
        <f>INDEX(nrg_cb_e!$A$3:$A$40,MATCH(LEFT(MID('Industriesektor GWh'!$B2998,41,1000),SEARCH(" - ",MID('Industriesektor GWh'!$B2998,41,1000))-1),nrg_cb_e!$C$3:$C$40,0))</f>
        <v>FC_IND_WP_E</v>
      </c>
      <c r="G2998" s="18">
        <v>722</v>
      </c>
    </row>
    <row r="2999" spans="1:7" x14ac:dyDescent="0.2">
      <c r="A2999" s="19" t="s">
        <v>50</v>
      </c>
      <c r="B2999" s="20" t="s">
        <v>71</v>
      </c>
      <c r="C2999" s="20" t="s">
        <v>8</v>
      </c>
      <c r="D2999" s="20" t="s">
        <v>10</v>
      </c>
      <c r="E2999" s="20" t="s">
        <v>17</v>
      </c>
      <c r="F2999" s="20" t="str">
        <f>INDEX(nrg_cb_e!$A$3:$A$40,MATCH(LEFT(MID('Industriesektor GWh'!$B2999,41,1000),SEARCH(" - ",MID('Industriesektor GWh'!$B2999,41,1000))-1),nrg_cb_e!$C$3:$C$40,0))</f>
        <v>FC_IND_WP_E</v>
      </c>
      <c r="G2999" s="21">
        <v>728</v>
      </c>
    </row>
    <row r="3000" spans="1:7" x14ac:dyDescent="0.2">
      <c r="A3000" s="16" t="s">
        <v>50</v>
      </c>
      <c r="B3000" s="17" t="s">
        <v>71</v>
      </c>
      <c r="C3000" s="17" t="s">
        <v>8</v>
      </c>
      <c r="D3000" s="17" t="s">
        <v>10</v>
      </c>
      <c r="E3000" s="17" t="s">
        <v>18</v>
      </c>
      <c r="F3000" s="17" t="str">
        <f>INDEX(nrg_cb_e!$A$3:$A$40,MATCH(LEFT(MID('Industriesektor GWh'!$B3000,41,1000),SEARCH(" - ",MID('Industriesektor GWh'!$B3000,41,1000))-1),nrg_cb_e!$C$3:$C$40,0))</f>
        <v>FC_IND_WP_E</v>
      </c>
      <c r="G3000" s="18">
        <v>669</v>
      </c>
    </row>
    <row r="3001" spans="1:7" x14ac:dyDescent="0.2">
      <c r="A3001" s="19" t="s">
        <v>50</v>
      </c>
      <c r="B3001" s="20" t="s">
        <v>71</v>
      </c>
      <c r="C3001" s="20" t="s">
        <v>8</v>
      </c>
      <c r="D3001" s="20" t="s">
        <v>10</v>
      </c>
      <c r="E3001" s="20" t="s">
        <v>19</v>
      </c>
      <c r="F3001" s="20" t="str">
        <f>INDEX(nrg_cb_e!$A$3:$A$40,MATCH(LEFT(MID('Industriesektor GWh'!$B3001,41,1000),SEARCH(" - ",MID('Industriesektor GWh'!$B3001,41,1000))-1),nrg_cb_e!$C$3:$C$40,0))</f>
        <v>FC_IND_WP_E</v>
      </c>
      <c r="G3001" s="21">
        <v>557</v>
      </c>
    </row>
    <row r="3002" spans="1:7" x14ac:dyDescent="0.2">
      <c r="A3002" s="16" t="s">
        <v>50</v>
      </c>
      <c r="B3002" s="17" t="s">
        <v>71</v>
      </c>
      <c r="C3002" s="17" t="s">
        <v>8</v>
      </c>
      <c r="D3002" s="17" t="s">
        <v>10</v>
      </c>
      <c r="E3002" s="17" t="s">
        <v>20</v>
      </c>
      <c r="F3002" s="17" t="str">
        <f>INDEX(nrg_cb_e!$A$3:$A$40,MATCH(LEFT(MID('Industriesektor GWh'!$B3002,41,1000),SEARCH(" - ",MID('Industriesektor GWh'!$B3002,41,1000))-1),nrg_cb_e!$C$3:$C$40,0))</f>
        <v>FC_IND_WP_E</v>
      </c>
      <c r="G3002" s="18">
        <v>581</v>
      </c>
    </row>
    <row r="3003" spans="1:7" x14ac:dyDescent="0.2">
      <c r="A3003" s="19" t="s">
        <v>50</v>
      </c>
      <c r="B3003" s="20" t="s">
        <v>71</v>
      </c>
      <c r="C3003" s="20" t="s">
        <v>8</v>
      </c>
      <c r="D3003" s="20" t="s">
        <v>10</v>
      </c>
      <c r="E3003" s="20" t="s">
        <v>21</v>
      </c>
      <c r="F3003" s="20" t="str">
        <f>INDEX(nrg_cb_e!$A$3:$A$40,MATCH(LEFT(MID('Industriesektor GWh'!$B3003,41,1000),SEARCH(" - ",MID('Industriesektor GWh'!$B3003,41,1000))-1),nrg_cb_e!$C$3:$C$40,0))</f>
        <v>FC_IND_WP_E</v>
      </c>
      <c r="G3003" s="21">
        <v>573</v>
      </c>
    </row>
    <row r="3004" spans="1:7" x14ac:dyDescent="0.2">
      <c r="A3004" s="16" t="s">
        <v>50</v>
      </c>
      <c r="B3004" s="17" t="s">
        <v>71</v>
      </c>
      <c r="C3004" s="17" t="s">
        <v>8</v>
      </c>
      <c r="D3004" s="17" t="s">
        <v>10</v>
      </c>
      <c r="E3004" s="17" t="s">
        <v>22</v>
      </c>
      <c r="F3004" s="17" t="str">
        <f>INDEX(nrg_cb_e!$A$3:$A$40,MATCH(LEFT(MID('Industriesektor GWh'!$B3004,41,1000),SEARCH(" - ",MID('Industriesektor GWh'!$B3004,41,1000))-1),nrg_cb_e!$C$3:$C$40,0))</f>
        <v>FC_IND_WP_E</v>
      </c>
      <c r="G3004" s="18">
        <v>535</v>
      </c>
    </row>
    <row r="3005" spans="1:7" x14ac:dyDescent="0.2">
      <c r="A3005" s="19" t="s">
        <v>50</v>
      </c>
      <c r="B3005" s="20" t="s">
        <v>71</v>
      </c>
      <c r="C3005" s="20" t="s">
        <v>8</v>
      </c>
      <c r="D3005" s="20" t="s">
        <v>10</v>
      </c>
      <c r="E3005" s="20" t="s">
        <v>23</v>
      </c>
      <c r="F3005" s="20" t="str">
        <f>INDEX(nrg_cb_e!$A$3:$A$40,MATCH(LEFT(MID('Industriesektor GWh'!$B3005,41,1000),SEARCH(" - ",MID('Industriesektor GWh'!$B3005,41,1000))-1),nrg_cb_e!$C$3:$C$40,0))</f>
        <v>FC_IND_WP_E</v>
      </c>
      <c r="G3005" s="21">
        <v>509</v>
      </c>
    </row>
    <row r="3006" spans="1:7" x14ac:dyDescent="0.2">
      <c r="A3006" s="16" t="s">
        <v>50</v>
      </c>
      <c r="B3006" s="17" t="s">
        <v>71</v>
      </c>
      <c r="C3006" s="17" t="s">
        <v>8</v>
      </c>
      <c r="D3006" s="17" t="s">
        <v>10</v>
      </c>
      <c r="E3006" s="17" t="s">
        <v>24</v>
      </c>
      <c r="F3006" s="17" t="str">
        <f>INDEX(nrg_cb_e!$A$3:$A$40,MATCH(LEFT(MID('Industriesektor GWh'!$B3006,41,1000),SEARCH(" - ",MID('Industriesektor GWh'!$B3006,41,1000))-1),nrg_cb_e!$C$3:$C$40,0))</f>
        <v>FC_IND_WP_E</v>
      </c>
      <c r="G3006" s="18">
        <v>491</v>
      </c>
    </row>
    <row r="3007" spans="1:7" x14ac:dyDescent="0.2">
      <c r="A3007" s="19" t="s">
        <v>50</v>
      </c>
      <c r="B3007" s="20" t="s">
        <v>71</v>
      </c>
      <c r="C3007" s="20" t="s">
        <v>8</v>
      </c>
      <c r="D3007" s="20" t="s">
        <v>10</v>
      </c>
      <c r="E3007" s="20" t="s">
        <v>25</v>
      </c>
      <c r="F3007" s="20" t="str">
        <f>INDEX(nrg_cb_e!$A$3:$A$40,MATCH(LEFT(MID('Industriesektor GWh'!$B3007,41,1000),SEARCH(" - ",MID('Industriesektor GWh'!$B3007,41,1000))-1),nrg_cb_e!$C$3:$C$40,0))</f>
        <v>FC_IND_WP_E</v>
      </c>
      <c r="G3007" s="21">
        <v>511</v>
      </c>
    </row>
    <row r="3008" spans="1:7" x14ac:dyDescent="0.2">
      <c r="A3008" s="16" t="s">
        <v>50</v>
      </c>
      <c r="B3008" s="17" t="s">
        <v>71</v>
      </c>
      <c r="C3008" s="17" t="s">
        <v>8</v>
      </c>
      <c r="D3008" s="17" t="s">
        <v>10</v>
      </c>
      <c r="E3008" s="17" t="s">
        <v>26</v>
      </c>
      <c r="F3008" s="17" t="str">
        <f>INDEX(nrg_cb_e!$A$3:$A$40,MATCH(LEFT(MID('Industriesektor GWh'!$B3008,41,1000),SEARCH(" - ",MID('Industriesektor GWh'!$B3008,41,1000))-1),nrg_cb_e!$C$3:$C$40,0))</f>
        <v>FC_IND_WP_E</v>
      </c>
      <c r="G3008" s="18">
        <v>700.23099999999999</v>
      </c>
    </row>
    <row r="3009" spans="1:7" x14ac:dyDescent="0.2">
      <c r="A3009" s="19" t="s">
        <v>50</v>
      </c>
      <c r="B3009" s="20" t="s">
        <v>71</v>
      </c>
      <c r="C3009" s="20" t="s">
        <v>8</v>
      </c>
      <c r="D3009" s="20" t="s">
        <v>10</v>
      </c>
      <c r="E3009" s="20" t="s">
        <v>27</v>
      </c>
      <c r="F3009" s="20" t="str">
        <f>INDEX(nrg_cb_e!$A$3:$A$40,MATCH(LEFT(MID('Industriesektor GWh'!$B3009,41,1000),SEARCH(" - ",MID('Industriesektor GWh'!$B3009,41,1000))-1),nrg_cb_e!$C$3:$C$40,0))</f>
        <v>FC_IND_WP_E</v>
      </c>
      <c r="G3009" s="21">
        <v>702.39599999999996</v>
      </c>
    </row>
    <row r="3010" spans="1:7" x14ac:dyDescent="0.2">
      <c r="A3010" s="16" t="s">
        <v>50</v>
      </c>
      <c r="B3010" s="17" t="s">
        <v>71</v>
      </c>
      <c r="C3010" s="17" t="s">
        <v>8</v>
      </c>
      <c r="D3010" s="17" t="s">
        <v>10</v>
      </c>
      <c r="E3010" s="17" t="s">
        <v>28</v>
      </c>
      <c r="F3010" s="17" t="str">
        <f>INDEX(nrg_cb_e!$A$3:$A$40,MATCH(LEFT(MID('Industriesektor GWh'!$B3010,41,1000),SEARCH(" - ",MID('Industriesektor GWh'!$B3010,41,1000))-1),nrg_cb_e!$C$3:$C$40,0))</f>
        <v>FC_IND_WP_E</v>
      </c>
      <c r="G3010" s="18">
        <v>723.75400000000002</v>
      </c>
    </row>
    <row r="3011" spans="1:7" x14ac:dyDescent="0.2">
      <c r="A3011" s="19" t="s">
        <v>51</v>
      </c>
      <c r="B3011" s="20" t="s">
        <v>71</v>
      </c>
      <c r="C3011" s="20" t="s">
        <v>8</v>
      </c>
      <c r="D3011" s="20" t="s">
        <v>10</v>
      </c>
      <c r="E3011" s="20" t="s">
        <v>12</v>
      </c>
      <c r="F3011" s="20" t="str">
        <f>INDEX(nrg_cb_e!$A$3:$A$40,MATCH(LEFT(MID('Industriesektor GWh'!$B3011,41,1000),SEARCH(" - ",MID('Industriesektor GWh'!$B3011,41,1000))-1),nrg_cb_e!$C$3:$C$40,0))</f>
        <v>FC_IND_WP_E</v>
      </c>
      <c r="G3011" s="21">
        <v>544</v>
      </c>
    </row>
    <row r="3012" spans="1:7" x14ac:dyDescent="0.2">
      <c r="A3012" s="16" t="s">
        <v>51</v>
      </c>
      <c r="B3012" s="17" t="s">
        <v>71</v>
      </c>
      <c r="C3012" s="17" t="s">
        <v>8</v>
      </c>
      <c r="D3012" s="17" t="s">
        <v>10</v>
      </c>
      <c r="E3012" s="17" t="s">
        <v>13</v>
      </c>
      <c r="F3012" s="17" t="str">
        <f>INDEX(nrg_cb_e!$A$3:$A$40,MATCH(LEFT(MID('Industriesektor GWh'!$B3012,41,1000),SEARCH(" - ",MID('Industriesektor GWh'!$B3012,41,1000))-1),nrg_cb_e!$C$3:$C$40,0))</f>
        <v>FC_IND_WP_E</v>
      </c>
      <c r="G3012" s="18">
        <v>293</v>
      </c>
    </row>
    <row r="3013" spans="1:7" x14ac:dyDescent="0.2">
      <c r="A3013" s="19" t="s">
        <v>51</v>
      </c>
      <c r="B3013" s="20" t="s">
        <v>71</v>
      </c>
      <c r="C3013" s="20" t="s">
        <v>8</v>
      </c>
      <c r="D3013" s="20" t="s">
        <v>10</v>
      </c>
      <c r="E3013" s="20" t="s">
        <v>14</v>
      </c>
      <c r="F3013" s="20" t="str">
        <f>INDEX(nrg_cb_e!$A$3:$A$40,MATCH(LEFT(MID('Industriesektor GWh'!$B3013,41,1000),SEARCH(" - ",MID('Industriesektor GWh'!$B3013,41,1000))-1),nrg_cb_e!$C$3:$C$40,0))</f>
        <v>FC_IND_WP_E</v>
      </c>
      <c r="G3013" s="21">
        <v>715</v>
      </c>
    </row>
    <row r="3014" spans="1:7" x14ac:dyDescent="0.2">
      <c r="A3014" s="16" t="s">
        <v>51</v>
      </c>
      <c r="B3014" s="17" t="s">
        <v>71</v>
      </c>
      <c r="C3014" s="17" t="s">
        <v>8</v>
      </c>
      <c r="D3014" s="17" t="s">
        <v>10</v>
      </c>
      <c r="E3014" s="17" t="s">
        <v>15</v>
      </c>
      <c r="F3014" s="17" t="str">
        <f>INDEX(nrg_cb_e!$A$3:$A$40,MATCH(LEFT(MID('Industriesektor GWh'!$B3014,41,1000),SEARCH(" - ",MID('Industriesektor GWh'!$B3014,41,1000))-1),nrg_cb_e!$C$3:$C$40,0))</f>
        <v>FC_IND_WP_E</v>
      </c>
      <c r="G3014" s="18">
        <v>549</v>
      </c>
    </row>
    <row r="3015" spans="1:7" x14ac:dyDescent="0.2">
      <c r="A3015" s="19" t="s">
        <v>51</v>
      </c>
      <c r="B3015" s="20" t="s">
        <v>71</v>
      </c>
      <c r="C3015" s="20" t="s">
        <v>8</v>
      </c>
      <c r="D3015" s="20" t="s">
        <v>10</v>
      </c>
      <c r="E3015" s="20" t="s">
        <v>16</v>
      </c>
      <c r="F3015" s="20" t="str">
        <f>INDEX(nrg_cb_e!$A$3:$A$40,MATCH(LEFT(MID('Industriesektor GWh'!$B3015,41,1000),SEARCH(" - ",MID('Industriesektor GWh'!$B3015,41,1000))-1),nrg_cb_e!$C$3:$C$40,0))</f>
        <v>FC_IND_WP_E</v>
      </c>
      <c r="G3015" s="21">
        <v>735</v>
      </c>
    </row>
    <row r="3016" spans="1:7" x14ac:dyDescent="0.2">
      <c r="A3016" s="16" t="s">
        <v>51</v>
      </c>
      <c r="B3016" s="17" t="s">
        <v>71</v>
      </c>
      <c r="C3016" s="17" t="s">
        <v>8</v>
      </c>
      <c r="D3016" s="17" t="s">
        <v>10</v>
      </c>
      <c r="E3016" s="17" t="s">
        <v>17</v>
      </c>
      <c r="F3016" s="17" t="str">
        <f>INDEX(nrg_cb_e!$A$3:$A$40,MATCH(LEFT(MID('Industriesektor GWh'!$B3016,41,1000),SEARCH(" - ",MID('Industriesektor GWh'!$B3016,41,1000))-1),nrg_cb_e!$C$3:$C$40,0))</f>
        <v>FC_IND_WP_E</v>
      </c>
      <c r="G3016" s="18">
        <v>653</v>
      </c>
    </row>
    <row r="3017" spans="1:7" x14ac:dyDescent="0.2">
      <c r="A3017" s="19" t="s">
        <v>51</v>
      </c>
      <c r="B3017" s="20" t="s">
        <v>71</v>
      </c>
      <c r="C3017" s="20" t="s">
        <v>8</v>
      </c>
      <c r="D3017" s="20" t="s">
        <v>10</v>
      </c>
      <c r="E3017" s="20" t="s">
        <v>18</v>
      </c>
      <c r="F3017" s="20" t="str">
        <f>INDEX(nrg_cb_e!$A$3:$A$40,MATCH(LEFT(MID('Industriesektor GWh'!$B3017,41,1000),SEARCH(" - ",MID('Industriesektor GWh'!$B3017,41,1000))-1),nrg_cb_e!$C$3:$C$40,0))</f>
        <v>FC_IND_WP_E</v>
      </c>
      <c r="G3017" s="21">
        <v>879</v>
      </c>
    </row>
    <row r="3018" spans="1:7" x14ac:dyDescent="0.2">
      <c r="A3018" s="16" t="s">
        <v>51</v>
      </c>
      <c r="B3018" s="17" t="s">
        <v>71</v>
      </c>
      <c r="C3018" s="17" t="s">
        <v>8</v>
      </c>
      <c r="D3018" s="17" t="s">
        <v>10</v>
      </c>
      <c r="E3018" s="17" t="s">
        <v>19</v>
      </c>
      <c r="F3018" s="17" t="str">
        <f>INDEX(nrg_cb_e!$A$3:$A$40,MATCH(LEFT(MID('Industriesektor GWh'!$B3018,41,1000),SEARCH(" - ",MID('Industriesektor GWh'!$B3018,41,1000))-1),nrg_cb_e!$C$3:$C$40,0))</f>
        <v>FC_IND_WP_E</v>
      </c>
      <c r="G3018" s="18">
        <v>740</v>
      </c>
    </row>
    <row r="3019" spans="1:7" x14ac:dyDescent="0.2">
      <c r="A3019" s="19" t="s">
        <v>51</v>
      </c>
      <c r="B3019" s="20" t="s">
        <v>71</v>
      </c>
      <c r="C3019" s="20" t="s">
        <v>8</v>
      </c>
      <c r="D3019" s="20" t="s">
        <v>10</v>
      </c>
      <c r="E3019" s="20" t="s">
        <v>20</v>
      </c>
      <c r="F3019" s="20" t="str">
        <f>INDEX(nrg_cb_e!$A$3:$A$40,MATCH(LEFT(MID('Industriesektor GWh'!$B3019,41,1000),SEARCH(" - ",MID('Industriesektor GWh'!$B3019,41,1000))-1),nrg_cb_e!$C$3:$C$40,0))</f>
        <v>FC_IND_WP_E</v>
      </c>
      <c r="G3019" s="21">
        <v>701</v>
      </c>
    </row>
    <row r="3020" spans="1:7" x14ac:dyDescent="0.2">
      <c r="A3020" s="16" t="s">
        <v>51</v>
      </c>
      <c r="B3020" s="17" t="s">
        <v>71</v>
      </c>
      <c r="C3020" s="17" t="s">
        <v>8</v>
      </c>
      <c r="D3020" s="17" t="s">
        <v>10</v>
      </c>
      <c r="E3020" s="17" t="s">
        <v>21</v>
      </c>
      <c r="F3020" s="17" t="str">
        <f>INDEX(nrg_cb_e!$A$3:$A$40,MATCH(LEFT(MID('Industriesektor GWh'!$B3020,41,1000),SEARCH(" - ",MID('Industriesektor GWh'!$B3020,41,1000))-1),nrg_cb_e!$C$3:$C$40,0))</f>
        <v>FC_IND_WP_E</v>
      </c>
      <c r="G3020" s="18">
        <v>718</v>
      </c>
    </row>
    <row r="3021" spans="1:7" x14ac:dyDescent="0.2">
      <c r="A3021" s="19" t="s">
        <v>51</v>
      </c>
      <c r="B3021" s="20" t="s">
        <v>71</v>
      </c>
      <c r="C3021" s="20" t="s">
        <v>8</v>
      </c>
      <c r="D3021" s="20" t="s">
        <v>10</v>
      </c>
      <c r="E3021" s="20" t="s">
        <v>22</v>
      </c>
      <c r="F3021" s="20" t="str">
        <f>INDEX(nrg_cb_e!$A$3:$A$40,MATCH(LEFT(MID('Industriesektor GWh'!$B3021,41,1000),SEARCH(" - ",MID('Industriesektor GWh'!$B3021,41,1000))-1),nrg_cb_e!$C$3:$C$40,0))</f>
        <v>FC_IND_WP_E</v>
      </c>
      <c r="G3021" s="21">
        <v>847</v>
      </c>
    </row>
    <row r="3022" spans="1:7" x14ac:dyDescent="0.2">
      <c r="A3022" s="16" t="s">
        <v>51</v>
      </c>
      <c r="B3022" s="17" t="s">
        <v>71</v>
      </c>
      <c r="C3022" s="17" t="s">
        <v>8</v>
      </c>
      <c r="D3022" s="17" t="s">
        <v>10</v>
      </c>
      <c r="E3022" s="17" t="s">
        <v>23</v>
      </c>
      <c r="F3022" s="17" t="str">
        <f>INDEX(nrg_cb_e!$A$3:$A$40,MATCH(LEFT(MID('Industriesektor GWh'!$B3022,41,1000),SEARCH(" - ",MID('Industriesektor GWh'!$B3022,41,1000))-1),nrg_cb_e!$C$3:$C$40,0))</f>
        <v>FC_IND_WP_E</v>
      </c>
      <c r="G3022" s="18">
        <v>940</v>
      </c>
    </row>
    <row r="3023" spans="1:7" x14ac:dyDescent="0.2">
      <c r="A3023" s="19" t="s">
        <v>51</v>
      </c>
      <c r="B3023" s="20" t="s">
        <v>71</v>
      </c>
      <c r="C3023" s="20" t="s">
        <v>8</v>
      </c>
      <c r="D3023" s="20" t="s">
        <v>10</v>
      </c>
      <c r="E3023" s="20" t="s">
        <v>24</v>
      </c>
      <c r="F3023" s="20" t="str">
        <f>INDEX(nrg_cb_e!$A$3:$A$40,MATCH(LEFT(MID('Industriesektor GWh'!$B3023,41,1000),SEARCH(" - ",MID('Industriesektor GWh'!$B3023,41,1000))-1),nrg_cb_e!$C$3:$C$40,0))</f>
        <v>FC_IND_WP_E</v>
      </c>
      <c r="G3023" s="21">
        <v>912</v>
      </c>
    </row>
    <row r="3024" spans="1:7" x14ac:dyDescent="0.2">
      <c r="A3024" s="16" t="s">
        <v>51</v>
      </c>
      <c r="B3024" s="17" t="s">
        <v>71</v>
      </c>
      <c r="C3024" s="17" t="s">
        <v>8</v>
      </c>
      <c r="D3024" s="17" t="s">
        <v>10</v>
      </c>
      <c r="E3024" s="17" t="s">
        <v>25</v>
      </c>
      <c r="F3024" s="17" t="str">
        <f>INDEX(nrg_cb_e!$A$3:$A$40,MATCH(LEFT(MID('Industriesektor GWh'!$B3024,41,1000),SEARCH(" - ",MID('Industriesektor GWh'!$B3024,41,1000))-1),nrg_cb_e!$C$3:$C$40,0))</f>
        <v>FC_IND_WP_E</v>
      </c>
      <c r="G3024" s="18">
        <v>980</v>
      </c>
    </row>
    <row r="3025" spans="1:7" x14ac:dyDescent="0.2">
      <c r="A3025" s="19" t="s">
        <v>51</v>
      </c>
      <c r="B3025" s="20" t="s">
        <v>71</v>
      </c>
      <c r="C3025" s="20" t="s">
        <v>8</v>
      </c>
      <c r="D3025" s="20" t="s">
        <v>10</v>
      </c>
      <c r="E3025" s="20" t="s">
        <v>26</v>
      </c>
      <c r="F3025" s="20" t="str">
        <f>INDEX(nrg_cb_e!$A$3:$A$40,MATCH(LEFT(MID('Industriesektor GWh'!$B3025,41,1000),SEARCH(" - ",MID('Industriesektor GWh'!$B3025,41,1000))-1),nrg_cb_e!$C$3:$C$40,0))</f>
        <v>FC_IND_WP_E</v>
      </c>
      <c r="G3025" s="21">
        <v>968</v>
      </c>
    </row>
    <row r="3026" spans="1:7" x14ac:dyDescent="0.2">
      <c r="A3026" s="16" t="s">
        <v>51</v>
      </c>
      <c r="B3026" s="17" t="s">
        <v>71</v>
      </c>
      <c r="C3026" s="17" t="s">
        <v>8</v>
      </c>
      <c r="D3026" s="17" t="s">
        <v>10</v>
      </c>
      <c r="E3026" s="17" t="s">
        <v>27</v>
      </c>
      <c r="F3026" s="17" t="str">
        <f>INDEX(nrg_cb_e!$A$3:$A$40,MATCH(LEFT(MID('Industriesektor GWh'!$B3026,41,1000),SEARCH(" - ",MID('Industriesektor GWh'!$B3026,41,1000))-1),nrg_cb_e!$C$3:$C$40,0))</f>
        <v>FC_IND_WP_E</v>
      </c>
      <c r="G3026" s="18">
        <v>1053.046</v>
      </c>
    </row>
    <row r="3027" spans="1:7" x14ac:dyDescent="0.2">
      <c r="A3027" s="19" t="s">
        <v>51</v>
      </c>
      <c r="B3027" s="20" t="s">
        <v>71</v>
      </c>
      <c r="C3027" s="20" t="s">
        <v>8</v>
      </c>
      <c r="D3027" s="20" t="s">
        <v>10</v>
      </c>
      <c r="E3027" s="20" t="s">
        <v>28</v>
      </c>
      <c r="F3027" s="20" t="str">
        <f>INDEX(nrg_cb_e!$A$3:$A$40,MATCH(LEFT(MID('Industriesektor GWh'!$B3027,41,1000),SEARCH(" - ",MID('Industriesektor GWh'!$B3027,41,1000))-1),nrg_cb_e!$C$3:$C$40,0))</f>
        <v>FC_IND_WP_E</v>
      </c>
      <c r="G3027" s="21">
        <v>1035.8240000000001</v>
      </c>
    </row>
    <row r="3028" spans="1:7" x14ac:dyDescent="0.2">
      <c r="A3028" s="16" t="s">
        <v>52</v>
      </c>
      <c r="B3028" s="17" t="s">
        <v>71</v>
      </c>
      <c r="C3028" s="17" t="s">
        <v>8</v>
      </c>
      <c r="D3028" s="17" t="s">
        <v>10</v>
      </c>
      <c r="E3028" s="17" t="s">
        <v>12</v>
      </c>
      <c r="F3028" s="17" t="str">
        <f>INDEX(nrg_cb_e!$A$3:$A$40,MATCH(LEFT(MID('Industriesektor GWh'!$B3028,41,1000),SEARCH(" - ",MID('Industriesektor GWh'!$B3028,41,1000))-1),nrg_cb_e!$C$3:$C$40,0))</f>
        <v>FC_IND_WP_E</v>
      </c>
      <c r="G3028" s="18">
        <v>162</v>
      </c>
    </row>
    <row r="3029" spans="1:7" x14ac:dyDescent="0.2">
      <c r="A3029" s="19" t="s">
        <v>52</v>
      </c>
      <c r="B3029" s="20" t="s">
        <v>71</v>
      </c>
      <c r="C3029" s="20" t="s">
        <v>8</v>
      </c>
      <c r="D3029" s="20" t="s">
        <v>10</v>
      </c>
      <c r="E3029" s="20" t="s">
        <v>13</v>
      </c>
      <c r="F3029" s="20" t="str">
        <f>INDEX(nrg_cb_e!$A$3:$A$40,MATCH(LEFT(MID('Industriesektor GWh'!$B3029,41,1000),SEARCH(" - ",MID('Industriesektor GWh'!$B3029,41,1000))-1),nrg_cb_e!$C$3:$C$40,0))</f>
        <v>FC_IND_WP_E</v>
      </c>
      <c r="G3029" s="21">
        <v>169</v>
      </c>
    </row>
    <row r="3030" spans="1:7" x14ac:dyDescent="0.2">
      <c r="A3030" s="16" t="s">
        <v>52</v>
      </c>
      <c r="B3030" s="17" t="s">
        <v>71</v>
      </c>
      <c r="C3030" s="17" t="s">
        <v>8</v>
      </c>
      <c r="D3030" s="17" t="s">
        <v>10</v>
      </c>
      <c r="E3030" s="17" t="s">
        <v>14</v>
      </c>
      <c r="F3030" s="17" t="str">
        <f>INDEX(nrg_cb_e!$A$3:$A$40,MATCH(LEFT(MID('Industriesektor GWh'!$B3030,41,1000),SEARCH(" - ",MID('Industriesektor GWh'!$B3030,41,1000))-1),nrg_cb_e!$C$3:$C$40,0))</f>
        <v>FC_IND_WP_E</v>
      </c>
      <c r="G3030" s="18">
        <v>193</v>
      </c>
    </row>
    <row r="3031" spans="1:7" x14ac:dyDescent="0.2">
      <c r="A3031" s="19" t="s">
        <v>52</v>
      </c>
      <c r="B3031" s="20" t="s">
        <v>71</v>
      </c>
      <c r="C3031" s="20" t="s">
        <v>8</v>
      </c>
      <c r="D3031" s="20" t="s">
        <v>10</v>
      </c>
      <c r="E3031" s="20" t="s">
        <v>15</v>
      </c>
      <c r="F3031" s="20" t="str">
        <f>INDEX(nrg_cb_e!$A$3:$A$40,MATCH(LEFT(MID('Industriesektor GWh'!$B3031,41,1000),SEARCH(" - ",MID('Industriesektor GWh'!$B3031,41,1000))-1),nrg_cb_e!$C$3:$C$40,0))</f>
        <v>FC_IND_WP_E</v>
      </c>
      <c r="G3031" s="21">
        <v>217</v>
      </c>
    </row>
    <row r="3032" spans="1:7" x14ac:dyDescent="0.2">
      <c r="A3032" s="16" t="s">
        <v>52</v>
      </c>
      <c r="B3032" s="17" t="s">
        <v>71</v>
      </c>
      <c r="C3032" s="17" t="s">
        <v>8</v>
      </c>
      <c r="D3032" s="17" t="s">
        <v>10</v>
      </c>
      <c r="E3032" s="17" t="s">
        <v>16</v>
      </c>
      <c r="F3032" s="17" t="str">
        <f>INDEX(nrg_cb_e!$A$3:$A$40,MATCH(LEFT(MID('Industriesektor GWh'!$B3032,41,1000),SEARCH(" - ",MID('Industriesektor GWh'!$B3032,41,1000))-1),nrg_cb_e!$C$3:$C$40,0))</f>
        <v>FC_IND_WP_E</v>
      </c>
      <c r="G3032" s="18">
        <v>205</v>
      </c>
    </row>
    <row r="3033" spans="1:7" x14ac:dyDescent="0.2">
      <c r="A3033" s="19" t="s">
        <v>52</v>
      </c>
      <c r="B3033" s="20" t="s">
        <v>71</v>
      </c>
      <c r="C3033" s="20" t="s">
        <v>8</v>
      </c>
      <c r="D3033" s="20" t="s">
        <v>10</v>
      </c>
      <c r="E3033" s="20" t="s">
        <v>17</v>
      </c>
      <c r="F3033" s="20" t="str">
        <f>INDEX(nrg_cb_e!$A$3:$A$40,MATCH(LEFT(MID('Industriesektor GWh'!$B3033,41,1000),SEARCH(" - ",MID('Industriesektor GWh'!$B3033,41,1000))-1),nrg_cb_e!$C$3:$C$40,0))</f>
        <v>FC_IND_WP_E</v>
      </c>
      <c r="G3033" s="21">
        <v>203</v>
      </c>
    </row>
    <row r="3034" spans="1:7" x14ac:dyDescent="0.2">
      <c r="A3034" s="16" t="s">
        <v>52</v>
      </c>
      <c r="B3034" s="17" t="s">
        <v>71</v>
      </c>
      <c r="C3034" s="17" t="s">
        <v>8</v>
      </c>
      <c r="D3034" s="17" t="s">
        <v>10</v>
      </c>
      <c r="E3034" s="17" t="s">
        <v>18</v>
      </c>
      <c r="F3034" s="17" t="str">
        <f>INDEX(nrg_cb_e!$A$3:$A$40,MATCH(LEFT(MID('Industriesektor GWh'!$B3034,41,1000),SEARCH(" - ",MID('Industriesektor GWh'!$B3034,41,1000))-1),nrg_cb_e!$C$3:$C$40,0))</f>
        <v>FC_IND_WP_E</v>
      </c>
      <c r="G3034" s="18">
        <v>185</v>
      </c>
    </row>
    <row r="3035" spans="1:7" x14ac:dyDescent="0.2">
      <c r="A3035" s="19" t="s">
        <v>52</v>
      </c>
      <c r="B3035" s="20" t="s">
        <v>71</v>
      </c>
      <c r="C3035" s="20" t="s">
        <v>8</v>
      </c>
      <c r="D3035" s="20" t="s">
        <v>10</v>
      </c>
      <c r="E3035" s="20" t="s">
        <v>19</v>
      </c>
      <c r="F3035" s="20" t="str">
        <f>INDEX(nrg_cb_e!$A$3:$A$40,MATCH(LEFT(MID('Industriesektor GWh'!$B3035,41,1000),SEARCH(" - ",MID('Industriesektor GWh'!$B3035,41,1000))-1),nrg_cb_e!$C$3:$C$40,0))</f>
        <v>FC_IND_WP_E</v>
      </c>
      <c r="G3035" s="21">
        <v>158</v>
      </c>
    </row>
    <row r="3036" spans="1:7" x14ac:dyDescent="0.2">
      <c r="A3036" s="16" t="s">
        <v>52</v>
      </c>
      <c r="B3036" s="17" t="s">
        <v>71</v>
      </c>
      <c r="C3036" s="17" t="s">
        <v>8</v>
      </c>
      <c r="D3036" s="17" t="s">
        <v>10</v>
      </c>
      <c r="E3036" s="17" t="s">
        <v>20</v>
      </c>
      <c r="F3036" s="17" t="str">
        <f>INDEX(nrg_cb_e!$A$3:$A$40,MATCH(LEFT(MID('Industriesektor GWh'!$B3036,41,1000),SEARCH(" - ",MID('Industriesektor GWh'!$B3036,41,1000))-1),nrg_cb_e!$C$3:$C$40,0))</f>
        <v>FC_IND_WP_E</v>
      </c>
      <c r="G3036" s="18">
        <v>168</v>
      </c>
    </row>
    <row r="3037" spans="1:7" x14ac:dyDescent="0.2">
      <c r="A3037" s="19" t="s">
        <v>52</v>
      </c>
      <c r="B3037" s="20" t="s">
        <v>71</v>
      </c>
      <c r="C3037" s="20" t="s">
        <v>8</v>
      </c>
      <c r="D3037" s="20" t="s">
        <v>10</v>
      </c>
      <c r="E3037" s="20" t="s">
        <v>21</v>
      </c>
      <c r="F3037" s="20" t="str">
        <f>INDEX(nrg_cb_e!$A$3:$A$40,MATCH(LEFT(MID('Industriesektor GWh'!$B3037,41,1000),SEARCH(" - ",MID('Industriesektor GWh'!$B3037,41,1000))-1),nrg_cb_e!$C$3:$C$40,0))</f>
        <v>FC_IND_WP_E</v>
      </c>
      <c r="G3037" s="21">
        <v>173</v>
      </c>
    </row>
    <row r="3038" spans="1:7" x14ac:dyDescent="0.2">
      <c r="A3038" s="16" t="s">
        <v>52</v>
      </c>
      <c r="B3038" s="17" t="s">
        <v>71</v>
      </c>
      <c r="C3038" s="17" t="s">
        <v>8</v>
      </c>
      <c r="D3038" s="17" t="s">
        <v>10</v>
      </c>
      <c r="E3038" s="17" t="s">
        <v>22</v>
      </c>
      <c r="F3038" s="17" t="str">
        <f>INDEX(nrg_cb_e!$A$3:$A$40,MATCH(LEFT(MID('Industriesektor GWh'!$B3038,41,1000),SEARCH(" - ",MID('Industriesektor GWh'!$B3038,41,1000))-1),nrg_cb_e!$C$3:$C$40,0))</f>
        <v>FC_IND_WP_E</v>
      </c>
      <c r="G3038" s="18">
        <v>175</v>
      </c>
    </row>
    <row r="3039" spans="1:7" x14ac:dyDescent="0.2">
      <c r="A3039" s="19" t="s">
        <v>52</v>
      </c>
      <c r="B3039" s="20" t="s">
        <v>71</v>
      </c>
      <c r="C3039" s="20" t="s">
        <v>8</v>
      </c>
      <c r="D3039" s="20" t="s">
        <v>10</v>
      </c>
      <c r="E3039" s="20" t="s">
        <v>23</v>
      </c>
      <c r="F3039" s="20" t="str">
        <f>INDEX(nrg_cb_e!$A$3:$A$40,MATCH(LEFT(MID('Industriesektor GWh'!$B3039,41,1000),SEARCH(" - ",MID('Industriesektor GWh'!$B3039,41,1000))-1),nrg_cb_e!$C$3:$C$40,0))</f>
        <v>FC_IND_WP_E</v>
      </c>
      <c r="G3039" s="21">
        <v>152</v>
      </c>
    </row>
    <row r="3040" spans="1:7" x14ac:dyDescent="0.2">
      <c r="A3040" s="16" t="s">
        <v>52</v>
      </c>
      <c r="B3040" s="17" t="s">
        <v>71</v>
      </c>
      <c r="C3040" s="17" t="s">
        <v>8</v>
      </c>
      <c r="D3040" s="17" t="s">
        <v>10</v>
      </c>
      <c r="E3040" s="17" t="s">
        <v>24</v>
      </c>
      <c r="F3040" s="17" t="str">
        <f>INDEX(nrg_cb_e!$A$3:$A$40,MATCH(LEFT(MID('Industriesektor GWh'!$B3040,41,1000),SEARCH(" - ",MID('Industriesektor GWh'!$B3040,41,1000))-1),nrg_cb_e!$C$3:$C$40,0))</f>
        <v>FC_IND_WP_E</v>
      </c>
      <c r="G3040" s="18">
        <v>161</v>
      </c>
    </row>
    <row r="3041" spans="1:7" x14ac:dyDescent="0.2">
      <c r="A3041" s="19" t="s">
        <v>52</v>
      </c>
      <c r="B3041" s="20" t="s">
        <v>71</v>
      </c>
      <c r="C3041" s="20" t="s">
        <v>8</v>
      </c>
      <c r="D3041" s="20" t="s">
        <v>10</v>
      </c>
      <c r="E3041" s="20" t="s">
        <v>25</v>
      </c>
      <c r="F3041" s="20" t="str">
        <f>INDEX(nrg_cb_e!$A$3:$A$40,MATCH(LEFT(MID('Industriesektor GWh'!$B3041,41,1000),SEARCH(" - ",MID('Industriesektor GWh'!$B3041,41,1000))-1),nrg_cb_e!$C$3:$C$40,0))</f>
        <v>FC_IND_WP_E</v>
      </c>
      <c r="G3041" s="21">
        <v>168</v>
      </c>
    </row>
    <row r="3042" spans="1:7" x14ac:dyDescent="0.2">
      <c r="A3042" s="16" t="s">
        <v>52</v>
      </c>
      <c r="B3042" s="17" t="s">
        <v>71</v>
      </c>
      <c r="C3042" s="17" t="s">
        <v>8</v>
      </c>
      <c r="D3042" s="17" t="s">
        <v>10</v>
      </c>
      <c r="E3042" s="17" t="s">
        <v>26</v>
      </c>
      <c r="F3042" s="17" t="str">
        <f>INDEX(nrg_cb_e!$A$3:$A$40,MATCH(LEFT(MID('Industriesektor GWh'!$B3042,41,1000),SEARCH(" - ",MID('Industriesektor GWh'!$B3042,41,1000))-1),nrg_cb_e!$C$3:$C$40,0))</f>
        <v>FC_IND_WP_E</v>
      </c>
      <c r="G3042" s="18">
        <v>163</v>
      </c>
    </row>
    <row r="3043" spans="1:7" x14ac:dyDescent="0.2">
      <c r="A3043" s="19" t="s">
        <v>52</v>
      </c>
      <c r="B3043" s="20" t="s">
        <v>71</v>
      </c>
      <c r="C3043" s="20" t="s">
        <v>8</v>
      </c>
      <c r="D3043" s="20" t="s">
        <v>10</v>
      </c>
      <c r="E3043" s="20" t="s">
        <v>27</v>
      </c>
      <c r="F3043" s="20" t="str">
        <f>INDEX(nrg_cb_e!$A$3:$A$40,MATCH(LEFT(MID('Industriesektor GWh'!$B3043,41,1000),SEARCH(" - ",MID('Industriesektor GWh'!$B3043,41,1000))-1),nrg_cb_e!$C$3:$C$40,0))</f>
        <v>FC_IND_WP_E</v>
      </c>
      <c r="G3043" s="21">
        <v>154.922</v>
      </c>
    </row>
    <row r="3044" spans="1:7" x14ac:dyDescent="0.2">
      <c r="A3044" s="16" t="s">
        <v>52</v>
      </c>
      <c r="B3044" s="17" t="s">
        <v>71</v>
      </c>
      <c r="C3044" s="17" t="s">
        <v>8</v>
      </c>
      <c r="D3044" s="17" t="s">
        <v>10</v>
      </c>
      <c r="E3044" s="17" t="s">
        <v>28</v>
      </c>
      <c r="F3044" s="17" t="str">
        <f>INDEX(nrg_cb_e!$A$3:$A$40,MATCH(LEFT(MID('Industriesektor GWh'!$B3044,41,1000),SEARCH(" - ",MID('Industriesektor GWh'!$B3044,41,1000))-1),nrg_cb_e!$C$3:$C$40,0))</f>
        <v>FC_IND_WP_E</v>
      </c>
      <c r="G3044" s="18">
        <v>172.96199999999999</v>
      </c>
    </row>
    <row r="3045" spans="1:7" x14ac:dyDescent="0.2">
      <c r="A3045" s="19" t="s">
        <v>53</v>
      </c>
      <c r="B3045" s="20" t="s">
        <v>71</v>
      </c>
      <c r="C3045" s="20" t="s">
        <v>8</v>
      </c>
      <c r="D3045" s="20" t="s">
        <v>10</v>
      </c>
      <c r="E3045" s="20" t="s">
        <v>12</v>
      </c>
      <c r="F3045" s="20" t="str">
        <f>INDEX(nrg_cb_e!$A$3:$A$40,MATCH(LEFT(MID('Industriesektor GWh'!$B3045,41,1000),SEARCH(" - ",MID('Industriesektor GWh'!$B3045,41,1000))-1),nrg_cb_e!$C$3:$C$40,0))</f>
        <v>FC_IND_WP_E</v>
      </c>
      <c r="G3045" s="21">
        <v>178</v>
      </c>
    </row>
    <row r="3046" spans="1:7" x14ac:dyDescent="0.2">
      <c r="A3046" s="16" t="s">
        <v>53</v>
      </c>
      <c r="B3046" s="17" t="s">
        <v>71</v>
      </c>
      <c r="C3046" s="17" t="s">
        <v>8</v>
      </c>
      <c r="D3046" s="17" t="s">
        <v>10</v>
      </c>
      <c r="E3046" s="17" t="s">
        <v>13</v>
      </c>
      <c r="F3046" s="17" t="str">
        <f>INDEX(nrg_cb_e!$A$3:$A$40,MATCH(LEFT(MID('Industriesektor GWh'!$B3046,41,1000),SEARCH(" - ",MID('Industriesektor GWh'!$B3046,41,1000))-1),nrg_cb_e!$C$3:$C$40,0))</f>
        <v>FC_IND_WP_E</v>
      </c>
      <c r="G3046" s="18">
        <v>156</v>
      </c>
    </row>
    <row r="3047" spans="1:7" x14ac:dyDescent="0.2">
      <c r="A3047" s="19" t="s">
        <v>53</v>
      </c>
      <c r="B3047" s="20" t="s">
        <v>71</v>
      </c>
      <c r="C3047" s="20" t="s">
        <v>8</v>
      </c>
      <c r="D3047" s="20" t="s">
        <v>10</v>
      </c>
      <c r="E3047" s="20" t="s">
        <v>14</v>
      </c>
      <c r="F3047" s="20" t="str">
        <f>INDEX(nrg_cb_e!$A$3:$A$40,MATCH(LEFT(MID('Industriesektor GWh'!$B3047,41,1000),SEARCH(" - ",MID('Industriesektor GWh'!$B3047,41,1000))-1),nrg_cb_e!$C$3:$C$40,0))</f>
        <v>FC_IND_WP_E</v>
      </c>
      <c r="G3047" s="21">
        <v>182</v>
      </c>
    </row>
    <row r="3048" spans="1:7" x14ac:dyDescent="0.2">
      <c r="A3048" s="16" t="s">
        <v>53</v>
      </c>
      <c r="B3048" s="17" t="s">
        <v>71</v>
      </c>
      <c r="C3048" s="17" t="s">
        <v>8</v>
      </c>
      <c r="D3048" s="17" t="s">
        <v>10</v>
      </c>
      <c r="E3048" s="17" t="s">
        <v>15</v>
      </c>
      <c r="F3048" s="17" t="str">
        <f>INDEX(nrg_cb_e!$A$3:$A$40,MATCH(LEFT(MID('Industriesektor GWh'!$B3048,41,1000),SEARCH(" - ",MID('Industriesektor GWh'!$B3048,41,1000))-1),nrg_cb_e!$C$3:$C$40,0))</f>
        <v>FC_IND_WP_E</v>
      </c>
      <c r="G3048" s="18">
        <v>167</v>
      </c>
    </row>
    <row r="3049" spans="1:7" x14ac:dyDescent="0.2">
      <c r="A3049" s="19" t="s">
        <v>53</v>
      </c>
      <c r="B3049" s="20" t="s">
        <v>71</v>
      </c>
      <c r="C3049" s="20" t="s">
        <v>8</v>
      </c>
      <c r="D3049" s="20" t="s">
        <v>10</v>
      </c>
      <c r="E3049" s="20" t="s">
        <v>16</v>
      </c>
      <c r="F3049" s="20" t="str">
        <f>INDEX(nrg_cb_e!$A$3:$A$40,MATCH(LEFT(MID('Industriesektor GWh'!$B3049,41,1000),SEARCH(" - ",MID('Industriesektor GWh'!$B3049,41,1000))-1),nrg_cb_e!$C$3:$C$40,0))</f>
        <v>FC_IND_WP_E</v>
      </c>
      <c r="G3049" s="21">
        <v>161</v>
      </c>
    </row>
    <row r="3050" spans="1:7" x14ac:dyDescent="0.2">
      <c r="A3050" s="16" t="s">
        <v>53</v>
      </c>
      <c r="B3050" s="17" t="s">
        <v>71</v>
      </c>
      <c r="C3050" s="17" t="s">
        <v>8</v>
      </c>
      <c r="D3050" s="17" t="s">
        <v>10</v>
      </c>
      <c r="E3050" s="17" t="s">
        <v>17</v>
      </c>
      <c r="F3050" s="17" t="str">
        <f>INDEX(nrg_cb_e!$A$3:$A$40,MATCH(LEFT(MID('Industriesektor GWh'!$B3050,41,1000),SEARCH(" - ",MID('Industriesektor GWh'!$B3050,41,1000))-1),nrg_cb_e!$C$3:$C$40,0))</f>
        <v>FC_IND_WP_E</v>
      </c>
      <c r="G3050" s="18">
        <v>221</v>
      </c>
    </row>
    <row r="3051" spans="1:7" x14ac:dyDescent="0.2">
      <c r="A3051" s="19" t="s">
        <v>53</v>
      </c>
      <c r="B3051" s="20" t="s">
        <v>71</v>
      </c>
      <c r="C3051" s="20" t="s">
        <v>8</v>
      </c>
      <c r="D3051" s="20" t="s">
        <v>10</v>
      </c>
      <c r="E3051" s="20" t="s">
        <v>18</v>
      </c>
      <c r="F3051" s="20" t="str">
        <f>INDEX(nrg_cb_e!$A$3:$A$40,MATCH(LEFT(MID('Industriesektor GWh'!$B3051,41,1000),SEARCH(" - ",MID('Industriesektor GWh'!$B3051,41,1000))-1),nrg_cb_e!$C$3:$C$40,0))</f>
        <v>FC_IND_WP_E</v>
      </c>
      <c r="G3051" s="21">
        <v>225</v>
      </c>
    </row>
    <row r="3052" spans="1:7" x14ac:dyDescent="0.2">
      <c r="A3052" s="16" t="s">
        <v>53</v>
      </c>
      <c r="B3052" s="17" t="s">
        <v>71</v>
      </c>
      <c r="C3052" s="17" t="s">
        <v>8</v>
      </c>
      <c r="D3052" s="17" t="s">
        <v>10</v>
      </c>
      <c r="E3052" s="17" t="s">
        <v>19</v>
      </c>
      <c r="F3052" s="17" t="str">
        <f>INDEX(nrg_cb_e!$A$3:$A$40,MATCH(LEFT(MID('Industriesektor GWh'!$B3052,41,1000),SEARCH(" - ",MID('Industriesektor GWh'!$B3052,41,1000))-1),nrg_cb_e!$C$3:$C$40,0))</f>
        <v>FC_IND_WP_E</v>
      </c>
      <c r="G3052" s="18">
        <v>194</v>
      </c>
    </row>
    <row r="3053" spans="1:7" x14ac:dyDescent="0.2">
      <c r="A3053" s="19" t="s">
        <v>53</v>
      </c>
      <c r="B3053" s="20" t="s">
        <v>71</v>
      </c>
      <c r="C3053" s="20" t="s">
        <v>8</v>
      </c>
      <c r="D3053" s="20" t="s">
        <v>10</v>
      </c>
      <c r="E3053" s="20" t="s">
        <v>20</v>
      </c>
      <c r="F3053" s="20" t="str">
        <f>INDEX(nrg_cb_e!$A$3:$A$40,MATCH(LEFT(MID('Industriesektor GWh'!$B3053,41,1000),SEARCH(" - ",MID('Industriesektor GWh'!$B3053,41,1000))-1),nrg_cb_e!$C$3:$C$40,0))</f>
        <v>FC_IND_WP_E</v>
      </c>
      <c r="G3053" s="21">
        <v>164</v>
      </c>
    </row>
    <row r="3054" spans="1:7" x14ac:dyDescent="0.2">
      <c r="A3054" s="16" t="s">
        <v>53</v>
      </c>
      <c r="B3054" s="17" t="s">
        <v>71</v>
      </c>
      <c r="C3054" s="17" t="s">
        <v>8</v>
      </c>
      <c r="D3054" s="17" t="s">
        <v>10</v>
      </c>
      <c r="E3054" s="17" t="s">
        <v>21</v>
      </c>
      <c r="F3054" s="17" t="str">
        <f>INDEX(nrg_cb_e!$A$3:$A$40,MATCH(LEFT(MID('Industriesektor GWh'!$B3054,41,1000),SEARCH(" - ",MID('Industriesektor GWh'!$B3054,41,1000))-1),nrg_cb_e!$C$3:$C$40,0))</f>
        <v>FC_IND_WP_E</v>
      </c>
      <c r="G3054" s="18">
        <v>167</v>
      </c>
    </row>
    <row r="3055" spans="1:7" x14ac:dyDescent="0.2">
      <c r="A3055" s="19" t="s">
        <v>53</v>
      </c>
      <c r="B3055" s="20" t="s">
        <v>71</v>
      </c>
      <c r="C3055" s="20" t="s">
        <v>8</v>
      </c>
      <c r="D3055" s="20" t="s">
        <v>10</v>
      </c>
      <c r="E3055" s="20" t="s">
        <v>22</v>
      </c>
      <c r="F3055" s="20" t="str">
        <f>INDEX(nrg_cb_e!$A$3:$A$40,MATCH(LEFT(MID('Industriesektor GWh'!$B3055,41,1000),SEARCH(" - ",MID('Industriesektor GWh'!$B3055,41,1000))-1),nrg_cb_e!$C$3:$C$40,0))</f>
        <v>FC_IND_WP_E</v>
      </c>
      <c r="G3055" s="21">
        <v>158</v>
      </c>
    </row>
    <row r="3056" spans="1:7" x14ac:dyDescent="0.2">
      <c r="A3056" s="16" t="s">
        <v>53</v>
      </c>
      <c r="B3056" s="17" t="s">
        <v>71</v>
      </c>
      <c r="C3056" s="17" t="s">
        <v>8</v>
      </c>
      <c r="D3056" s="17" t="s">
        <v>10</v>
      </c>
      <c r="E3056" s="17" t="s">
        <v>23</v>
      </c>
      <c r="F3056" s="17" t="str">
        <f>INDEX(nrg_cb_e!$A$3:$A$40,MATCH(LEFT(MID('Industriesektor GWh'!$B3056,41,1000),SEARCH(" - ",MID('Industriesektor GWh'!$B3056,41,1000))-1),nrg_cb_e!$C$3:$C$40,0))</f>
        <v>FC_IND_WP_E</v>
      </c>
      <c r="G3056" s="18">
        <v>134</v>
      </c>
    </row>
    <row r="3057" spans="1:7" x14ac:dyDescent="0.2">
      <c r="A3057" s="19" t="s">
        <v>53</v>
      </c>
      <c r="B3057" s="20" t="s">
        <v>71</v>
      </c>
      <c r="C3057" s="20" t="s">
        <v>8</v>
      </c>
      <c r="D3057" s="20" t="s">
        <v>10</v>
      </c>
      <c r="E3057" s="20" t="s">
        <v>24</v>
      </c>
      <c r="F3057" s="20" t="str">
        <f>INDEX(nrg_cb_e!$A$3:$A$40,MATCH(LEFT(MID('Industriesektor GWh'!$B3057,41,1000),SEARCH(" - ",MID('Industriesektor GWh'!$B3057,41,1000))-1),nrg_cb_e!$C$3:$C$40,0))</f>
        <v>FC_IND_WP_E</v>
      </c>
      <c r="G3057" s="21">
        <v>145</v>
      </c>
    </row>
    <row r="3058" spans="1:7" x14ac:dyDescent="0.2">
      <c r="A3058" s="16" t="s">
        <v>53</v>
      </c>
      <c r="B3058" s="17" t="s">
        <v>71</v>
      </c>
      <c r="C3058" s="17" t="s">
        <v>8</v>
      </c>
      <c r="D3058" s="17" t="s">
        <v>10</v>
      </c>
      <c r="E3058" s="17" t="s">
        <v>25</v>
      </c>
      <c r="F3058" s="17" t="str">
        <f>INDEX(nrg_cb_e!$A$3:$A$40,MATCH(LEFT(MID('Industriesektor GWh'!$B3058,41,1000),SEARCH(" - ",MID('Industriesektor GWh'!$B3058,41,1000))-1),nrg_cb_e!$C$3:$C$40,0))</f>
        <v>FC_IND_WP_E</v>
      </c>
      <c r="G3058" s="18">
        <v>151</v>
      </c>
    </row>
    <row r="3059" spans="1:7" x14ac:dyDescent="0.2">
      <c r="A3059" s="19" t="s">
        <v>53</v>
      </c>
      <c r="B3059" s="20" t="s">
        <v>71</v>
      </c>
      <c r="C3059" s="20" t="s">
        <v>8</v>
      </c>
      <c r="D3059" s="20" t="s">
        <v>10</v>
      </c>
      <c r="E3059" s="20" t="s">
        <v>26</v>
      </c>
      <c r="F3059" s="20" t="str">
        <f>INDEX(nrg_cb_e!$A$3:$A$40,MATCH(LEFT(MID('Industriesektor GWh'!$B3059,41,1000),SEARCH(" - ",MID('Industriesektor GWh'!$B3059,41,1000))-1),nrg_cb_e!$C$3:$C$40,0))</f>
        <v>FC_IND_WP_E</v>
      </c>
      <c r="G3059" s="21">
        <v>154</v>
      </c>
    </row>
    <row r="3060" spans="1:7" x14ac:dyDescent="0.2">
      <c r="A3060" s="16" t="s">
        <v>53</v>
      </c>
      <c r="B3060" s="17" t="s">
        <v>71</v>
      </c>
      <c r="C3060" s="17" t="s">
        <v>8</v>
      </c>
      <c r="D3060" s="17" t="s">
        <v>10</v>
      </c>
      <c r="E3060" s="17" t="s">
        <v>27</v>
      </c>
      <c r="F3060" s="17" t="str">
        <f>INDEX(nrg_cb_e!$A$3:$A$40,MATCH(LEFT(MID('Industriesektor GWh'!$B3060,41,1000),SEARCH(" - ",MID('Industriesektor GWh'!$B3060,41,1000))-1),nrg_cb_e!$C$3:$C$40,0))</f>
        <v>FC_IND_WP_E</v>
      </c>
      <c r="G3060" s="18">
        <v>191</v>
      </c>
    </row>
    <row r="3061" spans="1:7" x14ac:dyDescent="0.2">
      <c r="A3061" s="19" t="s">
        <v>53</v>
      </c>
      <c r="B3061" s="20" t="s">
        <v>71</v>
      </c>
      <c r="C3061" s="20" t="s">
        <v>8</v>
      </c>
      <c r="D3061" s="20" t="s">
        <v>10</v>
      </c>
      <c r="E3061" s="20" t="s">
        <v>28</v>
      </c>
      <c r="F3061" s="20" t="str">
        <f>INDEX(nrg_cb_e!$A$3:$A$40,MATCH(LEFT(MID('Industriesektor GWh'!$B3061,41,1000),SEARCH(" - ",MID('Industriesektor GWh'!$B3061,41,1000))-1),nrg_cb_e!$C$3:$C$40,0))</f>
        <v>FC_IND_WP_E</v>
      </c>
      <c r="G3061" s="21">
        <v>194</v>
      </c>
    </row>
    <row r="3062" spans="1:7" x14ac:dyDescent="0.2">
      <c r="A3062" s="16" t="s">
        <v>54</v>
      </c>
      <c r="B3062" s="17" t="s">
        <v>71</v>
      </c>
      <c r="C3062" s="17" t="s">
        <v>8</v>
      </c>
      <c r="D3062" s="17" t="s">
        <v>10</v>
      </c>
      <c r="E3062" s="17" t="s">
        <v>12</v>
      </c>
      <c r="F3062" s="17" t="str">
        <f>INDEX(nrg_cb_e!$A$3:$A$40,MATCH(LEFT(MID('Industriesektor GWh'!$B3062,41,1000),SEARCH(" - ",MID('Industriesektor GWh'!$B3062,41,1000))-1),nrg_cb_e!$C$3:$C$40,0))</f>
        <v>FC_IND_WP_E</v>
      </c>
      <c r="G3062" s="18">
        <v>1564</v>
      </c>
    </row>
    <row r="3063" spans="1:7" x14ac:dyDescent="0.2">
      <c r="A3063" s="19" t="s">
        <v>54</v>
      </c>
      <c r="B3063" s="20" t="s">
        <v>71</v>
      </c>
      <c r="C3063" s="20" t="s">
        <v>8</v>
      </c>
      <c r="D3063" s="20" t="s">
        <v>10</v>
      </c>
      <c r="E3063" s="20" t="s">
        <v>13</v>
      </c>
      <c r="F3063" s="20" t="str">
        <f>INDEX(nrg_cb_e!$A$3:$A$40,MATCH(LEFT(MID('Industriesektor GWh'!$B3063,41,1000),SEARCH(" - ",MID('Industriesektor GWh'!$B3063,41,1000))-1),nrg_cb_e!$C$3:$C$40,0))</f>
        <v>FC_IND_WP_E</v>
      </c>
      <c r="G3063" s="21">
        <v>1630</v>
      </c>
    </row>
    <row r="3064" spans="1:7" x14ac:dyDescent="0.2">
      <c r="A3064" s="16" t="s">
        <v>54</v>
      </c>
      <c r="B3064" s="17" t="s">
        <v>71</v>
      </c>
      <c r="C3064" s="17" t="s">
        <v>8</v>
      </c>
      <c r="D3064" s="17" t="s">
        <v>10</v>
      </c>
      <c r="E3064" s="17" t="s">
        <v>14</v>
      </c>
      <c r="F3064" s="17" t="str">
        <f>INDEX(nrg_cb_e!$A$3:$A$40,MATCH(LEFT(MID('Industriesektor GWh'!$B3064,41,1000),SEARCH(" - ",MID('Industriesektor GWh'!$B3064,41,1000))-1),nrg_cb_e!$C$3:$C$40,0))</f>
        <v>FC_IND_WP_E</v>
      </c>
      <c r="G3064" s="18">
        <v>1652</v>
      </c>
    </row>
    <row r="3065" spans="1:7" x14ac:dyDescent="0.2">
      <c r="A3065" s="19" t="s">
        <v>54</v>
      </c>
      <c r="B3065" s="20" t="s">
        <v>71</v>
      </c>
      <c r="C3065" s="20" t="s">
        <v>8</v>
      </c>
      <c r="D3065" s="20" t="s">
        <v>10</v>
      </c>
      <c r="E3065" s="20" t="s">
        <v>15</v>
      </c>
      <c r="F3065" s="20" t="str">
        <f>INDEX(nrg_cb_e!$A$3:$A$40,MATCH(LEFT(MID('Industriesektor GWh'!$B3065,41,1000),SEARCH(" - ",MID('Industriesektor GWh'!$B3065,41,1000))-1),nrg_cb_e!$C$3:$C$40,0))</f>
        <v>FC_IND_WP_E</v>
      </c>
      <c r="G3065" s="21">
        <v>1625</v>
      </c>
    </row>
    <row r="3066" spans="1:7" x14ac:dyDescent="0.2">
      <c r="A3066" s="16" t="s">
        <v>54</v>
      </c>
      <c r="B3066" s="17" t="s">
        <v>71</v>
      </c>
      <c r="C3066" s="17" t="s">
        <v>8</v>
      </c>
      <c r="D3066" s="17" t="s">
        <v>10</v>
      </c>
      <c r="E3066" s="17" t="s">
        <v>16</v>
      </c>
      <c r="F3066" s="17" t="str">
        <f>INDEX(nrg_cb_e!$A$3:$A$40,MATCH(LEFT(MID('Industriesektor GWh'!$B3066,41,1000),SEARCH(" - ",MID('Industriesektor GWh'!$B3066,41,1000))-1),nrg_cb_e!$C$3:$C$40,0))</f>
        <v>FC_IND_WP_E</v>
      </c>
      <c r="G3066" s="18">
        <v>1694</v>
      </c>
    </row>
    <row r="3067" spans="1:7" x14ac:dyDescent="0.2">
      <c r="A3067" s="19" t="s">
        <v>54</v>
      </c>
      <c r="B3067" s="20" t="s">
        <v>71</v>
      </c>
      <c r="C3067" s="20" t="s">
        <v>8</v>
      </c>
      <c r="D3067" s="20" t="s">
        <v>10</v>
      </c>
      <c r="E3067" s="20" t="s">
        <v>17</v>
      </c>
      <c r="F3067" s="20" t="str">
        <f>INDEX(nrg_cb_e!$A$3:$A$40,MATCH(LEFT(MID('Industriesektor GWh'!$B3067,41,1000),SEARCH(" - ",MID('Industriesektor GWh'!$B3067,41,1000))-1),nrg_cb_e!$C$3:$C$40,0))</f>
        <v>FC_IND_WP_E</v>
      </c>
      <c r="G3067" s="21">
        <v>1837</v>
      </c>
    </row>
    <row r="3068" spans="1:7" x14ac:dyDescent="0.2">
      <c r="A3068" s="16" t="s">
        <v>54</v>
      </c>
      <c r="B3068" s="17" t="s">
        <v>71</v>
      </c>
      <c r="C3068" s="17" t="s">
        <v>8</v>
      </c>
      <c r="D3068" s="17" t="s">
        <v>10</v>
      </c>
      <c r="E3068" s="17" t="s">
        <v>18</v>
      </c>
      <c r="F3068" s="17" t="str">
        <f>INDEX(nrg_cb_e!$A$3:$A$40,MATCH(LEFT(MID('Industriesektor GWh'!$B3068,41,1000),SEARCH(" - ",MID('Industriesektor GWh'!$B3068,41,1000))-1),nrg_cb_e!$C$3:$C$40,0))</f>
        <v>FC_IND_WP_E</v>
      </c>
      <c r="G3068" s="18">
        <v>1581</v>
      </c>
    </row>
    <row r="3069" spans="1:7" x14ac:dyDescent="0.2">
      <c r="A3069" s="19" t="s">
        <v>54</v>
      </c>
      <c r="B3069" s="20" t="s">
        <v>71</v>
      </c>
      <c r="C3069" s="20" t="s">
        <v>8</v>
      </c>
      <c r="D3069" s="20" t="s">
        <v>10</v>
      </c>
      <c r="E3069" s="20" t="s">
        <v>19</v>
      </c>
      <c r="F3069" s="20" t="str">
        <f>INDEX(nrg_cb_e!$A$3:$A$40,MATCH(LEFT(MID('Industriesektor GWh'!$B3069,41,1000),SEARCH(" - ",MID('Industriesektor GWh'!$B3069,41,1000))-1),nrg_cb_e!$C$3:$C$40,0))</f>
        <v>FC_IND_WP_E</v>
      </c>
      <c r="G3069" s="21">
        <v>1535</v>
      </c>
    </row>
    <row r="3070" spans="1:7" x14ac:dyDescent="0.2">
      <c r="A3070" s="16" t="s">
        <v>54</v>
      </c>
      <c r="B3070" s="17" t="s">
        <v>71</v>
      </c>
      <c r="C3070" s="17" t="s">
        <v>8</v>
      </c>
      <c r="D3070" s="17" t="s">
        <v>10</v>
      </c>
      <c r="E3070" s="17" t="s">
        <v>20</v>
      </c>
      <c r="F3070" s="17" t="str">
        <f>INDEX(nrg_cb_e!$A$3:$A$40,MATCH(LEFT(MID('Industriesektor GWh'!$B3070,41,1000),SEARCH(" - ",MID('Industriesektor GWh'!$B3070,41,1000))-1),nrg_cb_e!$C$3:$C$40,0))</f>
        <v>FC_IND_WP_E</v>
      </c>
      <c r="G3070" s="18">
        <v>1544</v>
      </c>
    </row>
    <row r="3071" spans="1:7" x14ac:dyDescent="0.2">
      <c r="A3071" s="19" t="s">
        <v>54</v>
      </c>
      <c r="B3071" s="20" t="s">
        <v>71</v>
      </c>
      <c r="C3071" s="20" t="s">
        <v>8</v>
      </c>
      <c r="D3071" s="20" t="s">
        <v>10</v>
      </c>
      <c r="E3071" s="20" t="s">
        <v>21</v>
      </c>
      <c r="F3071" s="20" t="str">
        <f>INDEX(nrg_cb_e!$A$3:$A$40,MATCH(LEFT(MID('Industriesektor GWh'!$B3071,41,1000),SEARCH(" - ",MID('Industriesektor GWh'!$B3071,41,1000))-1),nrg_cb_e!$C$3:$C$40,0))</f>
        <v>FC_IND_WP_E</v>
      </c>
      <c r="G3071" s="21">
        <v>1694</v>
      </c>
    </row>
    <row r="3072" spans="1:7" x14ac:dyDescent="0.2">
      <c r="A3072" s="16" t="s">
        <v>54</v>
      </c>
      <c r="B3072" s="17" t="s">
        <v>71</v>
      </c>
      <c r="C3072" s="17" t="s">
        <v>8</v>
      </c>
      <c r="D3072" s="17" t="s">
        <v>10</v>
      </c>
      <c r="E3072" s="17" t="s">
        <v>22</v>
      </c>
      <c r="F3072" s="17" t="str">
        <f>INDEX(nrg_cb_e!$A$3:$A$40,MATCH(LEFT(MID('Industriesektor GWh'!$B3072,41,1000),SEARCH(" - ",MID('Industriesektor GWh'!$B3072,41,1000))-1),nrg_cb_e!$C$3:$C$40,0))</f>
        <v>FC_IND_WP_E</v>
      </c>
      <c r="G3072" s="18">
        <v>1488</v>
      </c>
    </row>
    <row r="3073" spans="1:7" x14ac:dyDescent="0.2">
      <c r="A3073" s="19" t="s">
        <v>54</v>
      </c>
      <c r="B3073" s="20" t="s">
        <v>71</v>
      </c>
      <c r="C3073" s="20" t="s">
        <v>8</v>
      </c>
      <c r="D3073" s="20" t="s">
        <v>10</v>
      </c>
      <c r="E3073" s="20" t="s">
        <v>23</v>
      </c>
      <c r="F3073" s="20" t="str">
        <f>INDEX(nrg_cb_e!$A$3:$A$40,MATCH(LEFT(MID('Industriesektor GWh'!$B3073,41,1000),SEARCH(" - ",MID('Industriesektor GWh'!$B3073,41,1000))-1),nrg_cb_e!$C$3:$C$40,0))</f>
        <v>FC_IND_WP_E</v>
      </c>
      <c r="G3073" s="21">
        <v>1484</v>
      </c>
    </row>
    <row r="3074" spans="1:7" x14ac:dyDescent="0.2">
      <c r="A3074" s="16" t="s">
        <v>54</v>
      </c>
      <c r="B3074" s="17" t="s">
        <v>71</v>
      </c>
      <c r="C3074" s="17" t="s">
        <v>8</v>
      </c>
      <c r="D3074" s="17" t="s">
        <v>10</v>
      </c>
      <c r="E3074" s="17" t="s">
        <v>24</v>
      </c>
      <c r="F3074" s="17" t="str">
        <f>INDEX(nrg_cb_e!$A$3:$A$40,MATCH(LEFT(MID('Industriesektor GWh'!$B3074,41,1000),SEARCH(" - ",MID('Industriesektor GWh'!$B3074,41,1000))-1),nrg_cb_e!$C$3:$C$40,0))</f>
        <v>FC_IND_WP_E</v>
      </c>
      <c r="G3074" s="18">
        <v>1268</v>
      </c>
    </row>
    <row r="3075" spans="1:7" x14ac:dyDescent="0.2">
      <c r="A3075" s="19" t="s">
        <v>54</v>
      </c>
      <c r="B3075" s="20" t="s">
        <v>71</v>
      </c>
      <c r="C3075" s="20" t="s">
        <v>8</v>
      </c>
      <c r="D3075" s="20" t="s">
        <v>10</v>
      </c>
      <c r="E3075" s="20" t="s">
        <v>25</v>
      </c>
      <c r="F3075" s="20" t="str">
        <f>INDEX(nrg_cb_e!$A$3:$A$40,MATCH(LEFT(MID('Industriesektor GWh'!$B3075,41,1000),SEARCH(" - ",MID('Industriesektor GWh'!$B3075,41,1000))-1),nrg_cb_e!$C$3:$C$40,0))</f>
        <v>FC_IND_WP_E</v>
      </c>
      <c r="G3075" s="21">
        <v>1281</v>
      </c>
    </row>
    <row r="3076" spans="1:7" x14ac:dyDescent="0.2">
      <c r="A3076" s="16" t="s">
        <v>54</v>
      </c>
      <c r="B3076" s="17" t="s">
        <v>71</v>
      </c>
      <c r="C3076" s="17" t="s">
        <v>8</v>
      </c>
      <c r="D3076" s="17" t="s">
        <v>10</v>
      </c>
      <c r="E3076" s="17" t="s">
        <v>26</v>
      </c>
      <c r="F3076" s="17" t="str">
        <f>INDEX(nrg_cb_e!$A$3:$A$40,MATCH(LEFT(MID('Industriesektor GWh'!$B3076,41,1000),SEARCH(" - ",MID('Industriesektor GWh'!$B3076,41,1000))-1),nrg_cb_e!$C$3:$C$40,0))</f>
        <v>FC_IND_WP_E</v>
      </c>
      <c r="G3076" s="18">
        <v>1299</v>
      </c>
    </row>
    <row r="3077" spans="1:7" x14ac:dyDescent="0.2">
      <c r="A3077" s="19" t="s">
        <v>54</v>
      </c>
      <c r="B3077" s="20" t="s">
        <v>71</v>
      </c>
      <c r="C3077" s="20" t="s">
        <v>8</v>
      </c>
      <c r="D3077" s="20" t="s">
        <v>10</v>
      </c>
      <c r="E3077" s="20" t="s">
        <v>27</v>
      </c>
      <c r="F3077" s="20" t="str">
        <f>INDEX(nrg_cb_e!$A$3:$A$40,MATCH(LEFT(MID('Industriesektor GWh'!$B3077,41,1000),SEARCH(" - ",MID('Industriesektor GWh'!$B3077,41,1000))-1),nrg_cb_e!$C$3:$C$40,0))</f>
        <v>FC_IND_WP_E</v>
      </c>
      <c r="G3077" s="21">
        <v>1618</v>
      </c>
    </row>
    <row r="3078" spans="1:7" x14ac:dyDescent="0.2">
      <c r="A3078" s="16" t="s">
        <v>54</v>
      </c>
      <c r="B3078" s="17" t="s">
        <v>71</v>
      </c>
      <c r="C3078" s="17" t="s">
        <v>8</v>
      </c>
      <c r="D3078" s="17" t="s">
        <v>10</v>
      </c>
      <c r="E3078" s="17" t="s">
        <v>28</v>
      </c>
      <c r="F3078" s="17" t="str">
        <f>INDEX(nrg_cb_e!$A$3:$A$40,MATCH(LEFT(MID('Industriesektor GWh'!$B3078,41,1000),SEARCH(" - ",MID('Industriesektor GWh'!$B3078,41,1000))-1),nrg_cb_e!$C$3:$C$40,0))</f>
        <v>FC_IND_WP_E</v>
      </c>
      <c r="G3078" s="18">
        <v>1661</v>
      </c>
    </row>
    <row r="3079" spans="1:7" x14ac:dyDescent="0.2">
      <c r="A3079" s="19" t="s">
        <v>55</v>
      </c>
      <c r="B3079" s="20" t="s">
        <v>71</v>
      </c>
      <c r="C3079" s="20" t="s">
        <v>8</v>
      </c>
      <c r="D3079" s="20" t="s">
        <v>10</v>
      </c>
      <c r="E3079" s="20" t="s">
        <v>12</v>
      </c>
      <c r="F3079" s="20" t="str">
        <f>INDEX(nrg_cb_e!$A$3:$A$40,MATCH(LEFT(MID('Industriesektor GWh'!$B3079,41,1000),SEARCH(" - ",MID('Industriesektor GWh'!$B3079,41,1000))-1),nrg_cb_e!$C$3:$C$40,0))</f>
        <v>FC_IND_WP_E</v>
      </c>
      <c r="G3079" s="21">
        <v>2282</v>
      </c>
    </row>
    <row r="3080" spans="1:7" x14ac:dyDescent="0.2">
      <c r="A3080" s="16" t="s">
        <v>55</v>
      </c>
      <c r="B3080" s="17" t="s">
        <v>71</v>
      </c>
      <c r="C3080" s="17" t="s">
        <v>8</v>
      </c>
      <c r="D3080" s="17" t="s">
        <v>10</v>
      </c>
      <c r="E3080" s="17" t="s">
        <v>13</v>
      </c>
      <c r="F3080" s="17" t="str">
        <f>INDEX(nrg_cb_e!$A$3:$A$40,MATCH(LEFT(MID('Industriesektor GWh'!$B3080,41,1000),SEARCH(" - ",MID('Industriesektor GWh'!$B3080,41,1000))-1),nrg_cb_e!$C$3:$C$40,0))</f>
        <v>FC_IND_WP_E</v>
      </c>
      <c r="G3080" s="18">
        <v>2245</v>
      </c>
    </row>
    <row r="3081" spans="1:7" x14ac:dyDescent="0.2">
      <c r="A3081" s="19" t="s">
        <v>55</v>
      </c>
      <c r="B3081" s="20" t="s">
        <v>71</v>
      </c>
      <c r="C3081" s="20" t="s">
        <v>8</v>
      </c>
      <c r="D3081" s="20" t="s">
        <v>10</v>
      </c>
      <c r="E3081" s="20" t="s">
        <v>14</v>
      </c>
      <c r="F3081" s="20" t="str">
        <f>INDEX(nrg_cb_e!$A$3:$A$40,MATCH(LEFT(MID('Industriesektor GWh'!$B3081,41,1000),SEARCH(" - ",MID('Industriesektor GWh'!$B3081,41,1000))-1),nrg_cb_e!$C$3:$C$40,0))</f>
        <v>FC_IND_WP_E</v>
      </c>
      <c r="G3081" s="21">
        <v>2290</v>
      </c>
    </row>
    <row r="3082" spans="1:7" x14ac:dyDescent="0.2">
      <c r="A3082" s="16" t="s">
        <v>55</v>
      </c>
      <c r="B3082" s="17" t="s">
        <v>71</v>
      </c>
      <c r="C3082" s="17" t="s">
        <v>8</v>
      </c>
      <c r="D3082" s="17" t="s">
        <v>10</v>
      </c>
      <c r="E3082" s="17" t="s">
        <v>15</v>
      </c>
      <c r="F3082" s="17" t="str">
        <f>INDEX(nrg_cb_e!$A$3:$A$40,MATCH(LEFT(MID('Industriesektor GWh'!$B3082,41,1000),SEARCH(" - ",MID('Industriesektor GWh'!$B3082,41,1000))-1),nrg_cb_e!$C$3:$C$40,0))</f>
        <v>FC_IND_WP_E</v>
      </c>
      <c r="G3082" s="18">
        <v>2202</v>
      </c>
    </row>
    <row r="3083" spans="1:7" x14ac:dyDescent="0.2">
      <c r="A3083" s="19" t="s">
        <v>55</v>
      </c>
      <c r="B3083" s="20" t="s">
        <v>71</v>
      </c>
      <c r="C3083" s="20" t="s">
        <v>8</v>
      </c>
      <c r="D3083" s="20" t="s">
        <v>10</v>
      </c>
      <c r="E3083" s="20" t="s">
        <v>16</v>
      </c>
      <c r="F3083" s="20" t="str">
        <f>INDEX(nrg_cb_e!$A$3:$A$40,MATCH(LEFT(MID('Industriesektor GWh'!$B3083,41,1000),SEARCH(" - ",MID('Industriesektor GWh'!$B3083,41,1000))-1),nrg_cb_e!$C$3:$C$40,0))</f>
        <v>FC_IND_WP_E</v>
      </c>
      <c r="G3083" s="21">
        <v>2166</v>
      </c>
    </row>
    <row r="3084" spans="1:7" x14ac:dyDescent="0.2">
      <c r="A3084" s="16" t="s">
        <v>55</v>
      </c>
      <c r="B3084" s="17" t="s">
        <v>71</v>
      </c>
      <c r="C3084" s="17" t="s">
        <v>8</v>
      </c>
      <c r="D3084" s="17" t="s">
        <v>10</v>
      </c>
      <c r="E3084" s="17" t="s">
        <v>17</v>
      </c>
      <c r="F3084" s="17" t="str">
        <f>INDEX(nrg_cb_e!$A$3:$A$40,MATCH(LEFT(MID('Industriesektor GWh'!$B3084,41,1000),SEARCH(" - ",MID('Industriesektor GWh'!$B3084,41,1000))-1),nrg_cb_e!$C$3:$C$40,0))</f>
        <v>FC_IND_WP_E</v>
      </c>
      <c r="G3084" s="18">
        <v>2231</v>
      </c>
    </row>
    <row r="3085" spans="1:7" x14ac:dyDescent="0.2">
      <c r="A3085" s="19" t="s">
        <v>55</v>
      </c>
      <c r="B3085" s="20" t="s">
        <v>71</v>
      </c>
      <c r="C3085" s="20" t="s">
        <v>8</v>
      </c>
      <c r="D3085" s="20" t="s">
        <v>10</v>
      </c>
      <c r="E3085" s="20" t="s">
        <v>18</v>
      </c>
      <c r="F3085" s="20" t="str">
        <f>INDEX(nrg_cb_e!$A$3:$A$40,MATCH(LEFT(MID('Industriesektor GWh'!$B3085,41,1000),SEARCH(" - ",MID('Industriesektor GWh'!$B3085,41,1000))-1),nrg_cb_e!$C$3:$C$40,0))</f>
        <v>FC_IND_WP_E</v>
      </c>
      <c r="G3085" s="21">
        <v>2223</v>
      </c>
    </row>
    <row r="3086" spans="1:7" x14ac:dyDescent="0.2">
      <c r="A3086" s="16" t="s">
        <v>55</v>
      </c>
      <c r="B3086" s="17" t="s">
        <v>71</v>
      </c>
      <c r="C3086" s="17" t="s">
        <v>8</v>
      </c>
      <c r="D3086" s="17" t="s">
        <v>10</v>
      </c>
      <c r="E3086" s="17" t="s">
        <v>19</v>
      </c>
      <c r="F3086" s="17" t="str">
        <f>INDEX(nrg_cb_e!$A$3:$A$40,MATCH(LEFT(MID('Industriesektor GWh'!$B3086,41,1000),SEARCH(" - ",MID('Industriesektor GWh'!$B3086,41,1000))-1),nrg_cb_e!$C$3:$C$40,0))</f>
        <v>FC_IND_WP_E</v>
      </c>
      <c r="G3086" s="18">
        <v>2067</v>
      </c>
    </row>
    <row r="3087" spans="1:7" x14ac:dyDescent="0.2">
      <c r="A3087" s="19" t="s">
        <v>55</v>
      </c>
      <c r="B3087" s="20" t="s">
        <v>71</v>
      </c>
      <c r="C3087" s="20" t="s">
        <v>8</v>
      </c>
      <c r="D3087" s="20" t="s">
        <v>10</v>
      </c>
      <c r="E3087" s="20" t="s">
        <v>20</v>
      </c>
      <c r="F3087" s="20" t="str">
        <f>INDEX(nrg_cb_e!$A$3:$A$40,MATCH(LEFT(MID('Industriesektor GWh'!$B3087,41,1000),SEARCH(" - ",MID('Industriesektor GWh'!$B3087,41,1000))-1),nrg_cb_e!$C$3:$C$40,0))</f>
        <v>FC_IND_WP_E</v>
      </c>
      <c r="G3087" s="21">
        <v>2225</v>
      </c>
    </row>
    <row r="3088" spans="1:7" x14ac:dyDescent="0.2">
      <c r="A3088" s="16" t="s">
        <v>55</v>
      </c>
      <c r="B3088" s="17" t="s">
        <v>71</v>
      </c>
      <c r="C3088" s="17" t="s">
        <v>8</v>
      </c>
      <c r="D3088" s="17" t="s">
        <v>10</v>
      </c>
      <c r="E3088" s="17" t="s">
        <v>21</v>
      </c>
      <c r="F3088" s="17" t="str">
        <f>INDEX(nrg_cb_e!$A$3:$A$40,MATCH(LEFT(MID('Industriesektor GWh'!$B3088,41,1000),SEARCH(" - ",MID('Industriesektor GWh'!$B3088,41,1000))-1),nrg_cb_e!$C$3:$C$40,0))</f>
        <v>FC_IND_WP_E</v>
      </c>
      <c r="G3088" s="18">
        <v>2031</v>
      </c>
    </row>
    <row r="3089" spans="1:7" x14ac:dyDescent="0.2">
      <c r="A3089" s="19" t="s">
        <v>55</v>
      </c>
      <c r="B3089" s="20" t="s">
        <v>71</v>
      </c>
      <c r="C3089" s="20" t="s">
        <v>8</v>
      </c>
      <c r="D3089" s="20" t="s">
        <v>10</v>
      </c>
      <c r="E3089" s="20" t="s">
        <v>22</v>
      </c>
      <c r="F3089" s="20" t="str">
        <f>INDEX(nrg_cb_e!$A$3:$A$40,MATCH(LEFT(MID('Industriesektor GWh'!$B3089,41,1000),SEARCH(" - ",MID('Industriesektor GWh'!$B3089,41,1000))-1),nrg_cb_e!$C$3:$C$40,0))</f>
        <v>FC_IND_WP_E</v>
      </c>
      <c r="G3089" s="21">
        <v>1927</v>
      </c>
    </row>
    <row r="3090" spans="1:7" x14ac:dyDescent="0.2">
      <c r="A3090" s="16" t="s">
        <v>55</v>
      </c>
      <c r="B3090" s="17" t="s">
        <v>71</v>
      </c>
      <c r="C3090" s="17" t="s">
        <v>8</v>
      </c>
      <c r="D3090" s="17" t="s">
        <v>10</v>
      </c>
      <c r="E3090" s="17" t="s">
        <v>23</v>
      </c>
      <c r="F3090" s="17" t="str">
        <f>INDEX(nrg_cb_e!$A$3:$A$40,MATCH(LEFT(MID('Industriesektor GWh'!$B3090,41,1000),SEARCH(" - ",MID('Industriesektor GWh'!$B3090,41,1000))-1),nrg_cb_e!$C$3:$C$40,0))</f>
        <v>FC_IND_WP_E</v>
      </c>
      <c r="G3090" s="18">
        <v>1837</v>
      </c>
    </row>
    <row r="3091" spans="1:7" x14ac:dyDescent="0.2">
      <c r="A3091" s="19" t="s">
        <v>55</v>
      </c>
      <c r="B3091" s="20" t="s">
        <v>71</v>
      </c>
      <c r="C3091" s="20" t="s">
        <v>8</v>
      </c>
      <c r="D3091" s="20" t="s">
        <v>10</v>
      </c>
      <c r="E3091" s="20" t="s">
        <v>24</v>
      </c>
      <c r="F3091" s="20" t="str">
        <f>INDEX(nrg_cb_e!$A$3:$A$40,MATCH(LEFT(MID('Industriesektor GWh'!$B3091,41,1000),SEARCH(" - ",MID('Industriesektor GWh'!$B3091,41,1000))-1),nrg_cb_e!$C$3:$C$40,0))</f>
        <v>FC_IND_WP_E</v>
      </c>
      <c r="G3091" s="21">
        <v>1877</v>
      </c>
    </row>
    <row r="3092" spans="1:7" x14ac:dyDescent="0.2">
      <c r="A3092" s="16" t="s">
        <v>55</v>
      </c>
      <c r="B3092" s="17" t="s">
        <v>71</v>
      </c>
      <c r="C3092" s="17" t="s">
        <v>8</v>
      </c>
      <c r="D3092" s="17" t="s">
        <v>10</v>
      </c>
      <c r="E3092" s="17" t="s">
        <v>25</v>
      </c>
      <c r="F3092" s="17" t="str">
        <f>INDEX(nrg_cb_e!$A$3:$A$40,MATCH(LEFT(MID('Industriesektor GWh'!$B3092,41,1000),SEARCH(" - ",MID('Industriesektor GWh'!$B3092,41,1000))-1),nrg_cb_e!$C$3:$C$40,0))</f>
        <v>FC_IND_WP_E</v>
      </c>
      <c r="G3092" s="18">
        <v>1879</v>
      </c>
    </row>
    <row r="3093" spans="1:7" x14ac:dyDescent="0.2">
      <c r="A3093" s="19" t="s">
        <v>55</v>
      </c>
      <c r="B3093" s="20" t="s">
        <v>71</v>
      </c>
      <c r="C3093" s="20" t="s">
        <v>8</v>
      </c>
      <c r="D3093" s="20" t="s">
        <v>10</v>
      </c>
      <c r="E3093" s="20" t="s">
        <v>26</v>
      </c>
      <c r="F3093" s="20" t="str">
        <f>INDEX(nrg_cb_e!$A$3:$A$40,MATCH(LEFT(MID('Industriesektor GWh'!$B3093,41,1000),SEARCH(" - ",MID('Industriesektor GWh'!$B3093,41,1000))-1),nrg_cb_e!$C$3:$C$40,0))</f>
        <v>FC_IND_WP_E</v>
      </c>
      <c r="G3093" s="21">
        <v>1871</v>
      </c>
    </row>
    <row r="3094" spans="1:7" x14ac:dyDescent="0.2">
      <c r="A3094" s="16" t="s">
        <v>55</v>
      </c>
      <c r="B3094" s="17" t="s">
        <v>71</v>
      </c>
      <c r="C3094" s="17" t="s">
        <v>8</v>
      </c>
      <c r="D3094" s="17" t="s">
        <v>10</v>
      </c>
      <c r="E3094" s="17" t="s">
        <v>27</v>
      </c>
      <c r="F3094" s="17" t="str">
        <f>INDEX(nrg_cb_e!$A$3:$A$40,MATCH(LEFT(MID('Industriesektor GWh'!$B3094,41,1000),SEARCH(" - ",MID('Industriesektor GWh'!$B3094,41,1000))-1),nrg_cb_e!$C$3:$C$40,0))</f>
        <v>FC_IND_WP_E</v>
      </c>
      <c r="G3094" s="18">
        <v>1851</v>
      </c>
    </row>
    <row r="3095" spans="1:7" x14ac:dyDescent="0.2">
      <c r="A3095" s="19" t="s">
        <v>55</v>
      </c>
      <c r="B3095" s="20" t="s">
        <v>71</v>
      </c>
      <c r="C3095" s="20" t="s">
        <v>8</v>
      </c>
      <c r="D3095" s="20" t="s">
        <v>10</v>
      </c>
      <c r="E3095" s="20" t="s">
        <v>28</v>
      </c>
      <c r="F3095" s="20" t="str">
        <f>INDEX(nrg_cb_e!$A$3:$A$40,MATCH(LEFT(MID('Industriesektor GWh'!$B3095,41,1000),SEARCH(" - ",MID('Industriesektor GWh'!$B3095,41,1000))-1),nrg_cb_e!$C$3:$C$40,0))</f>
        <v>FC_IND_WP_E</v>
      </c>
      <c r="G3095" s="21">
        <v>1825</v>
      </c>
    </row>
    <row r="3096" spans="1:7" x14ac:dyDescent="0.2">
      <c r="A3096" s="16" t="s">
        <v>56</v>
      </c>
      <c r="B3096" s="17" t="s">
        <v>71</v>
      </c>
      <c r="C3096" s="17" t="s">
        <v>8</v>
      </c>
      <c r="D3096" s="17" t="s">
        <v>10</v>
      </c>
      <c r="E3096" s="17" t="s">
        <v>12</v>
      </c>
      <c r="F3096" s="17" t="str">
        <f>INDEX(nrg_cb_e!$A$3:$A$40,MATCH(LEFT(MID('Industriesektor GWh'!$B3096,41,1000),SEARCH(" - ",MID('Industriesektor GWh'!$B3096,41,1000))-1),nrg_cb_e!$C$3:$C$40,0))</f>
        <v>FC_IND_WP_E</v>
      </c>
      <c r="G3096" s="18">
        <v>0</v>
      </c>
    </row>
    <row r="3097" spans="1:7" x14ac:dyDescent="0.2">
      <c r="A3097" s="19" t="s">
        <v>56</v>
      </c>
      <c r="B3097" s="20" t="s">
        <v>71</v>
      </c>
      <c r="C3097" s="20" t="s">
        <v>8</v>
      </c>
      <c r="D3097" s="20" t="s">
        <v>10</v>
      </c>
      <c r="E3097" s="20" t="s">
        <v>13</v>
      </c>
      <c r="F3097" s="20" t="str">
        <f>INDEX(nrg_cb_e!$A$3:$A$40,MATCH(LEFT(MID('Industriesektor GWh'!$B3097,41,1000),SEARCH(" - ",MID('Industriesektor GWh'!$B3097,41,1000))-1),nrg_cb_e!$C$3:$C$40,0))</f>
        <v>FC_IND_WP_E</v>
      </c>
      <c r="G3097" s="21">
        <v>0</v>
      </c>
    </row>
    <row r="3098" spans="1:7" x14ac:dyDescent="0.2">
      <c r="A3098" s="16" t="s">
        <v>56</v>
      </c>
      <c r="B3098" s="17" t="s">
        <v>71</v>
      </c>
      <c r="C3098" s="17" t="s">
        <v>8</v>
      </c>
      <c r="D3098" s="17" t="s">
        <v>10</v>
      </c>
      <c r="E3098" s="17" t="s">
        <v>14</v>
      </c>
      <c r="F3098" s="17" t="str">
        <f>INDEX(nrg_cb_e!$A$3:$A$40,MATCH(LEFT(MID('Industriesektor GWh'!$B3098,41,1000),SEARCH(" - ",MID('Industriesektor GWh'!$B3098,41,1000))-1),nrg_cb_e!$C$3:$C$40,0))</f>
        <v>FC_IND_WP_E</v>
      </c>
      <c r="G3098" s="18">
        <v>0</v>
      </c>
    </row>
    <row r="3099" spans="1:7" x14ac:dyDescent="0.2">
      <c r="A3099" s="19" t="s">
        <v>56</v>
      </c>
      <c r="B3099" s="20" t="s">
        <v>71</v>
      </c>
      <c r="C3099" s="20" t="s">
        <v>8</v>
      </c>
      <c r="D3099" s="20" t="s">
        <v>10</v>
      </c>
      <c r="E3099" s="20" t="s">
        <v>15</v>
      </c>
      <c r="F3099" s="20" t="str">
        <f>INDEX(nrg_cb_e!$A$3:$A$40,MATCH(LEFT(MID('Industriesektor GWh'!$B3099,41,1000),SEARCH(" - ",MID('Industriesektor GWh'!$B3099,41,1000))-1),nrg_cb_e!$C$3:$C$40,0))</f>
        <v>FC_IND_WP_E</v>
      </c>
      <c r="G3099" s="21">
        <v>0</v>
      </c>
    </row>
    <row r="3100" spans="1:7" x14ac:dyDescent="0.2">
      <c r="A3100" s="16" t="s">
        <v>56</v>
      </c>
      <c r="B3100" s="17" t="s">
        <v>71</v>
      </c>
      <c r="C3100" s="17" t="s">
        <v>8</v>
      </c>
      <c r="D3100" s="17" t="s">
        <v>10</v>
      </c>
      <c r="E3100" s="17" t="s">
        <v>16</v>
      </c>
      <c r="F3100" s="17" t="str">
        <f>INDEX(nrg_cb_e!$A$3:$A$40,MATCH(LEFT(MID('Industriesektor GWh'!$B3100,41,1000),SEARCH(" - ",MID('Industriesektor GWh'!$B3100,41,1000))-1),nrg_cb_e!$C$3:$C$40,0))</f>
        <v>FC_IND_WP_E</v>
      </c>
      <c r="G3100" s="18">
        <v>0</v>
      </c>
    </row>
    <row r="3101" spans="1:7" x14ac:dyDescent="0.2">
      <c r="A3101" s="19" t="s">
        <v>56</v>
      </c>
      <c r="B3101" s="20" t="s">
        <v>71</v>
      </c>
      <c r="C3101" s="20" t="s">
        <v>8</v>
      </c>
      <c r="D3101" s="20" t="s">
        <v>10</v>
      </c>
      <c r="E3101" s="20" t="s">
        <v>17</v>
      </c>
      <c r="F3101" s="20" t="str">
        <f>INDEX(nrg_cb_e!$A$3:$A$40,MATCH(LEFT(MID('Industriesektor GWh'!$B3101,41,1000),SEARCH(" - ",MID('Industriesektor GWh'!$B3101,41,1000))-1),nrg_cb_e!$C$3:$C$40,0))</f>
        <v>FC_IND_WP_E</v>
      </c>
      <c r="G3101" s="21">
        <v>0</v>
      </c>
    </row>
    <row r="3102" spans="1:7" x14ac:dyDescent="0.2">
      <c r="A3102" s="16" t="s">
        <v>56</v>
      </c>
      <c r="B3102" s="17" t="s">
        <v>71</v>
      </c>
      <c r="C3102" s="17" t="s">
        <v>8</v>
      </c>
      <c r="D3102" s="17" t="s">
        <v>10</v>
      </c>
      <c r="E3102" s="17" t="s">
        <v>18</v>
      </c>
      <c r="F3102" s="17" t="str">
        <f>INDEX(nrg_cb_e!$A$3:$A$40,MATCH(LEFT(MID('Industriesektor GWh'!$B3102,41,1000),SEARCH(" - ",MID('Industriesektor GWh'!$B3102,41,1000))-1),nrg_cb_e!$C$3:$C$40,0))</f>
        <v>FC_IND_WP_E</v>
      </c>
      <c r="G3102" s="18">
        <v>0</v>
      </c>
    </row>
    <row r="3103" spans="1:7" x14ac:dyDescent="0.2">
      <c r="A3103" s="19" t="s">
        <v>56</v>
      </c>
      <c r="B3103" s="20" t="s">
        <v>71</v>
      </c>
      <c r="C3103" s="20" t="s">
        <v>8</v>
      </c>
      <c r="D3103" s="20" t="s">
        <v>10</v>
      </c>
      <c r="E3103" s="20" t="s">
        <v>19</v>
      </c>
      <c r="F3103" s="20" t="str">
        <f>INDEX(nrg_cb_e!$A$3:$A$40,MATCH(LEFT(MID('Industriesektor GWh'!$B3103,41,1000),SEARCH(" - ",MID('Industriesektor GWh'!$B3103,41,1000))-1),nrg_cb_e!$C$3:$C$40,0))</f>
        <v>FC_IND_WP_E</v>
      </c>
      <c r="G3103" s="21">
        <v>0</v>
      </c>
    </row>
    <row r="3104" spans="1:7" x14ac:dyDescent="0.2">
      <c r="A3104" s="16" t="s">
        <v>56</v>
      </c>
      <c r="B3104" s="17" t="s">
        <v>71</v>
      </c>
      <c r="C3104" s="17" t="s">
        <v>8</v>
      </c>
      <c r="D3104" s="17" t="s">
        <v>10</v>
      </c>
      <c r="E3104" s="17" t="s">
        <v>20</v>
      </c>
      <c r="F3104" s="17" t="str">
        <f>INDEX(nrg_cb_e!$A$3:$A$40,MATCH(LEFT(MID('Industriesektor GWh'!$B3104,41,1000),SEARCH(" - ",MID('Industriesektor GWh'!$B3104,41,1000))-1),nrg_cb_e!$C$3:$C$40,0))</f>
        <v>FC_IND_WP_E</v>
      </c>
      <c r="G3104" s="18">
        <v>537</v>
      </c>
    </row>
    <row r="3105" spans="1:7" x14ac:dyDescent="0.2">
      <c r="A3105" s="19" t="s">
        <v>56</v>
      </c>
      <c r="B3105" s="20" t="s">
        <v>71</v>
      </c>
      <c r="C3105" s="20" t="s">
        <v>8</v>
      </c>
      <c r="D3105" s="20" t="s">
        <v>10</v>
      </c>
      <c r="E3105" s="20" t="s">
        <v>21</v>
      </c>
      <c r="F3105" s="20" t="str">
        <f>INDEX(nrg_cb_e!$A$3:$A$40,MATCH(LEFT(MID('Industriesektor GWh'!$B3105,41,1000),SEARCH(" - ",MID('Industriesektor GWh'!$B3105,41,1000))-1),nrg_cb_e!$C$3:$C$40,0))</f>
        <v>FC_IND_WP_E</v>
      </c>
      <c r="G3105" s="21">
        <v>533</v>
      </c>
    </row>
    <row r="3106" spans="1:7" x14ac:dyDescent="0.2">
      <c r="A3106" s="16" t="s">
        <v>56</v>
      </c>
      <c r="B3106" s="17" t="s">
        <v>71</v>
      </c>
      <c r="C3106" s="17" t="s">
        <v>8</v>
      </c>
      <c r="D3106" s="17" t="s">
        <v>10</v>
      </c>
      <c r="E3106" s="17" t="s">
        <v>22</v>
      </c>
      <c r="F3106" s="17" t="str">
        <f>INDEX(nrg_cb_e!$A$3:$A$40,MATCH(LEFT(MID('Industriesektor GWh'!$B3106,41,1000),SEARCH(" - ",MID('Industriesektor GWh'!$B3106,41,1000))-1),nrg_cb_e!$C$3:$C$40,0))</f>
        <v>FC_IND_WP_E</v>
      </c>
      <c r="G3106" s="18">
        <v>521</v>
      </c>
    </row>
    <row r="3107" spans="1:7" x14ac:dyDescent="0.2">
      <c r="A3107" s="19" t="s">
        <v>56</v>
      </c>
      <c r="B3107" s="20" t="s">
        <v>71</v>
      </c>
      <c r="C3107" s="20" t="s">
        <v>8</v>
      </c>
      <c r="D3107" s="20" t="s">
        <v>10</v>
      </c>
      <c r="E3107" s="20" t="s">
        <v>23</v>
      </c>
      <c r="F3107" s="20" t="str">
        <f>INDEX(nrg_cb_e!$A$3:$A$40,MATCH(LEFT(MID('Industriesektor GWh'!$B3107,41,1000),SEARCH(" - ",MID('Industriesektor GWh'!$B3107,41,1000))-1),nrg_cb_e!$C$3:$C$40,0))</f>
        <v>FC_IND_WP_E</v>
      </c>
      <c r="G3107" s="21">
        <v>522</v>
      </c>
    </row>
    <row r="3108" spans="1:7" x14ac:dyDescent="0.2">
      <c r="A3108" s="16" t="s">
        <v>56</v>
      </c>
      <c r="B3108" s="17" t="s">
        <v>71</v>
      </c>
      <c r="C3108" s="17" t="s">
        <v>8</v>
      </c>
      <c r="D3108" s="17" t="s">
        <v>10</v>
      </c>
      <c r="E3108" s="17" t="s">
        <v>24</v>
      </c>
      <c r="F3108" s="17" t="str">
        <f>INDEX(nrg_cb_e!$A$3:$A$40,MATCH(LEFT(MID('Industriesektor GWh'!$B3108,41,1000),SEARCH(" - ",MID('Industriesektor GWh'!$B3108,41,1000))-1),nrg_cb_e!$C$3:$C$40,0))</f>
        <v>FC_IND_WP_E</v>
      </c>
      <c r="G3108" s="18">
        <v>502</v>
      </c>
    </row>
    <row r="3109" spans="1:7" x14ac:dyDescent="0.2">
      <c r="A3109" s="19" t="s">
        <v>56</v>
      </c>
      <c r="B3109" s="20" t="s">
        <v>71</v>
      </c>
      <c r="C3109" s="20" t="s">
        <v>8</v>
      </c>
      <c r="D3109" s="20" t="s">
        <v>10</v>
      </c>
      <c r="E3109" s="20" t="s">
        <v>25</v>
      </c>
      <c r="F3109" s="20" t="str">
        <f>INDEX(nrg_cb_e!$A$3:$A$40,MATCH(LEFT(MID('Industriesektor GWh'!$B3109,41,1000),SEARCH(" - ",MID('Industriesektor GWh'!$B3109,41,1000))-1),nrg_cb_e!$C$3:$C$40,0))</f>
        <v>FC_IND_WP_E</v>
      </c>
      <c r="G3109" s="21">
        <v>0</v>
      </c>
    </row>
    <row r="3110" spans="1:7" x14ac:dyDescent="0.2">
      <c r="A3110" s="16" t="s">
        <v>56</v>
      </c>
      <c r="B3110" s="17" t="s">
        <v>71</v>
      </c>
      <c r="C3110" s="17" t="s">
        <v>8</v>
      </c>
      <c r="D3110" s="17" t="s">
        <v>10</v>
      </c>
      <c r="E3110" s="17" t="s">
        <v>26</v>
      </c>
      <c r="F3110" s="17" t="str">
        <f>INDEX(nrg_cb_e!$A$3:$A$40,MATCH(LEFT(MID('Industriesektor GWh'!$B3110,41,1000),SEARCH(" - ",MID('Industriesektor GWh'!$B3110,41,1000))-1),nrg_cb_e!$C$3:$C$40,0))</f>
        <v>FC_IND_WP_E</v>
      </c>
      <c r="G3110" s="18">
        <v>0</v>
      </c>
    </row>
    <row r="3111" spans="1:7" x14ac:dyDescent="0.2">
      <c r="A3111" s="19" t="s">
        <v>56</v>
      </c>
      <c r="B3111" s="20" t="s">
        <v>71</v>
      </c>
      <c r="C3111" s="20" t="s">
        <v>8</v>
      </c>
      <c r="D3111" s="20" t="s">
        <v>10</v>
      </c>
      <c r="E3111" s="20" t="s">
        <v>27</v>
      </c>
      <c r="F3111" s="20" t="str">
        <f>INDEX(nrg_cb_e!$A$3:$A$40,MATCH(LEFT(MID('Industriesektor GWh'!$B3111,41,1000),SEARCH(" - ",MID('Industriesektor GWh'!$B3111,41,1000))-1),nrg_cb_e!$C$3:$C$40,0))</f>
        <v>FC_IND_WP_E</v>
      </c>
      <c r="G3111" s="21">
        <v>0</v>
      </c>
    </row>
    <row r="3112" spans="1:7" x14ac:dyDescent="0.2">
      <c r="A3112" s="16" t="s">
        <v>56</v>
      </c>
      <c r="B3112" s="17" t="s">
        <v>71</v>
      </c>
      <c r="C3112" s="17" t="s">
        <v>8</v>
      </c>
      <c r="D3112" s="17" t="s">
        <v>10</v>
      </c>
      <c r="E3112" s="17" t="s">
        <v>28</v>
      </c>
      <c r="F3112" s="17" t="str">
        <f>INDEX(nrg_cb_e!$A$3:$A$40,MATCH(LEFT(MID('Industriesektor GWh'!$B3112,41,1000),SEARCH(" - ",MID('Industriesektor GWh'!$B3112,41,1000))-1),nrg_cb_e!$C$3:$C$40,0))</f>
        <v>FC_IND_WP_E</v>
      </c>
      <c r="G3112" s="18">
        <v>0</v>
      </c>
    </row>
    <row r="3113" spans="1:7" x14ac:dyDescent="0.2">
      <c r="A3113" s="19" t="s">
        <v>57</v>
      </c>
      <c r="B3113" s="20" t="s">
        <v>71</v>
      </c>
      <c r="C3113" s="20" t="s">
        <v>8</v>
      </c>
      <c r="D3113" s="20" t="s">
        <v>10</v>
      </c>
      <c r="E3113" s="20" t="s">
        <v>12</v>
      </c>
      <c r="F3113" s="20" t="str">
        <f>INDEX(nrg_cb_e!$A$3:$A$40,MATCH(LEFT(MID('Industriesektor GWh'!$B3113,41,1000),SEARCH(" - ",MID('Industriesektor GWh'!$B3113,41,1000))-1),nrg_cb_e!$C$3:$C$40,0))</f>
        <v>FC_IND_WP_E</v>
      </c>
      <c r="G3113" s="21">
        <v>7</v>
      </c>
    </row>
    <row r="3114" spans="1:7" x14ac:dyDescent="0.2">
      <c r="A3114" s="16" t="s">
        <v>57</v>
      </c>
      <c r="B3114" s="17" t="s">
        <v>71</v>
      </c>
      <c r="C3114" s="17" t="s">
        <v>8</v>
      </c>
      <c r="D3114" s="17" t="s">
        <v>10</v>
      </c>
      <c r="E3114" s="17" t="s">
        <v>13</v>
      </c>
      <c r="F3114" s="17" t="str">
        <f>INDEX(nrg_cb_e!$A$3:$A$40,MATCH(LEFT(MID('Industriesektor GWh'!$B3114,41,1000),SEARCH(" - ",MID('Industriesektor GWh'!$B3114,41,1000))-1),nrg_cb_e!$C$3:$C$40,0))</f>
        <v>FC_IND_WP_E</v>
      </c>
      <c r="G3114" s="18">
        <v>7</v>
      </c>
    </row>
    <row r="3115" spans="1:7" x14ac:dyDescent="0.2">
      <c r="A3115" s="19" t="s">
        <v>57</v>
      </c>
      <c r="B3115" s="20" t="s">
        <v>71</v>
      </c>
      <c r="C3115" s="20" t="s">
        <v>8</v>
      </c>
      <c r="D3115" s="20" t="s">
        <v>10</v>
      </c>
      <c r="E3115" s="20" t="s">
        <v>14</v>
      </c>
      <c r="F3115" s="20" t="str">
        <f>INDEX(nrg_cb_e!$A$3:$A$40,MATCH(LEFT(MID('Industriesektor GWh'!$B3115,41,1000),SEARCH(" - ",MID('Industriesektor GWh'!$B3115,41,1000))-1),nrg_cb_e!$C$3:$C$40,0))</f>
        <v>FC_IND_WP_E</v>
      </c>
      <c r="G3115" s="21">
        <v>7</v>
      </c>
    </row>
    <row r="3116" spans="1:7" x14ac:dyDescent="0.2">
      <c r="A3116" s="16" t="s">
        <v>57</v>
      </c>
      <c r="B3116" s="17" t="s">
        <v>71</v>
      </c>
      <c r="C3116" s="17" t="s">
        <v>8</v>
      </c>
      <c r="D3116" s="17" t="s">
        <v>10</v>
      </c>
      <c r="E3116" s="17" t="s">
        <v>15</v>
      </c>
      <c r="F3116" s="17" t="str">
        <f>INDEX(nrg_cb_e!$A$3:$A$40,MATCH(LEFT(MID('Industriesektor GWh'!$B3116,41,1000),SEARCH(" - ",MID('Industriesektor GWh'!$B3116,41,1000))-1),nrg_cb_e!$C$3:$C$40,0))</f>
        <v>FC_IND_WP_E</v>
      </c>
      <c r="G3116" s="18">
        <v>7</v>
      </c>
    </row>
    <row r="3117" spans="1:7" x14ac:dyDescent="0.2">
      <c r="A3117" s="19" t="s">
        <v>57</v>
      </c>
      <c r="B3117" s="20" t="s">
        <v>71</v>
      </c>
      <c r="C3117" s="20" t="s">
        <v>8</v>
      </c>
      <c r="D3117" s="20" t="s">
        <v>10</v>
      </c>
      <c r="E3117" s="20" t="s">
        <v>16</v>
      </c>
      <c r="F3117" s="20" t="str">
        <f>INDEX(nrg_cb_e!$A$3:$A$40,MATCH(LEFT(MID('Industriesektor GWh'!$B3117,41,1000),SEARCH(" - ",MID('Industriesektor GWh'!$B3117,41,1000))-1),nrg_cb_e!$C$3:$C$40,0))</f>
        <v>FC_IND_WP_E</v>
      </c>
      <c r="G3117" s="21">
        <v>5</v>
      </c>
    </row>
    <row r="3118" spans="1:7" x14ac:dyDescent="0.2">
      <c r="A3118" s="16" t="s">
        <v>57</v>
      </c>
      <c r="B3118" s="17" t="s">
        <v>71</v>
      </c>
      <c r="C3118" s="17" t="s">
        <v>8</v>
      </c>
      <c r="D3118" s="17" t="s">
        <v>10</v>
      </c>
      <c r="E3118" s="17" t="s">
        <v>17</v>
      </c>
      <c r="F3118" s="17" t="str">
        <f>INDEX(nrg_cb_e!$A$3:$A$40,MATCH(LEFT(MID('Industriesektor GWh'!$B3118,41,1000),SEARCH(" - ",MID('Industriesektor GWh'!$B3118,41,1000))-1),nrg_cb_e!$C$3:$C$40,0))</f>
        <v>FC_IND_WP_E</v>
      </c>
      <c r="G3118" s="18">
        <v>5</v>
      </c>
    </row>
    <row r="3119" spans="1:7" x14ac:dyDescent="0.2">
      <c r="A3119" s="19" t="s">
        <v>57</v>
      </c>
      <c r="B3119" s="20" t="s">
        <v>71</v>
      </c>
      <c r="C3119" s="20" t="s">
        <v>8</v>
      </c>
      <c r="D3119" s="20" t="s">
        <v>10</v>
      </c>
      <c r="E3119" s="20" t="s">
        <v>18</v>
      </c>
      <c r="F3119" s="20" t="str">
        <f>INDEX(nrg_cb_e!$A$3:$A$40,MATCH(LEFT(MID('Industriesektor GWh'!$B3119,41,1000),SEARCH(" - ",MID('Industriesektor GWh'!$B3119,41,1000))-1),nrg_cb_e!$C$3:$C$40,0))</f>
        <v>FC_IND_WP_E</v>
      </c>
      <c r="G3119" s="21">
        <v>5</v>
      </c>
    </row>
    <row r="3120" spans="1:7" x14ac:dyDescent="0.2">
      <c r="A3120" s="16" t="s">
        <v>57</v>
      </c>
      <c r="B3120" s="17" t="s">
        <v>71</v>
      </c>
      <c r="C3120" s="17" t="s">
        <v>8</v>
      </c>
      <c r="D3120" s="17" t="s">
        <v>10</v>
      </c>
      <c r="E3120" s="17" t="s">
        <v>19</v>
      </c>
      <c r="F3120" s="17" t="str">
        <f>INDEX(nrg_cb_e!$A$3:$A$40,MATCH(LEFT(MID('Industriesektor GWh'!$B3120,41,1000),SEARCH(" - ",MID('Industriesektor GWh'!$B3120,41,1000))-1),nrg_cb_e!$C$3:$C$40,0))</f>
        <v>FC_IND_WP_E</v>
      </c>
      <c r="G3120" s="18">
        <v>4</v>
      </c>
    </row>
    <row r="3121" spans="1:7" x14ac:dyDescent="0.2">
      <c r="A3121" s="19" t="s">
        <v>57</v>
      </c>
      <c r="B3121" s="20" t="s">
        <v>71</v>
      </c>
      <c r="C3121" s="20" t="s">
        <v>8</v>
      </c>
      <c r="D3121" s="20" t="s">
        <v>10</v>
      </c>
      <c r="E3121" s="20" t="s">
        <v>20</v>
      </c>
      <c r="F3121" s="20" t="str">
        <f>INDEX(nrg_cb_e!$A$3:$A$40,MATCH(LEFT(MID('Industriesektor GWh'!$B3121,41,1000),SEARCH(" - ",MID('Industriesektor GWh'!$B3121,41,1000))-1),nrg_cb_e!$C$3:$C$40,0))</f>
        <v>FC_IND_WP_E</v>
      </c>
      <c r="G3121" s="21">
        <v>3</v>
      </c>
    </row>
    <row r="3122" spans="1:7" x14ac:dyDescent="0.2">
      <c r="A3122" s="16" t="s">
        <v>57</v>
      </c>
      <c r="B3122" s="17" t="s">
        <v>71</v>
      </c>
      <c r="C3122" s="17" t="s">
        <v>8</v>
      </c>
      <c r="D3122" s="17" t="s">
        <v>10</v>
      </c>
      <c r="E3122" s="17" t="s">
        <v>21</v>
      </c>
      <c r="F3122" s="17" t="str">
        <f>INDEX(nrg_cb_e!$A$3:$A$40,MATCH(LEFT(MID('Industriesektor GWh'!$B3122,41,1000),SEARCH(" - ",MID('Industriesektor GWh'!$B3122,41,1000))-1),nrg_cb_e!$C$3:$C$40,0))</f>
        <v>FC_IND_WP_E</v>
      </c>
      <c r="G3122" s="18">
        <v>4</v>
      </c>
    </row>
    <row r="3123" spans="1:7" x14ac:dyDescent="0.2">
      <c r="A3123" s="19" t="s">
        <v>57</v>
      </c>
      <c r="B3123" s="20" t="s">
        <v>71</v>
      </c>
      <c r="C3123" s="20" t="s">
        <v>8</v>
      </c>
      <c r="D3123" s="20" t="s">
        <v>10</v>
      </c>
      <c r="E3123" s="20" t="s">
        <v>22</v>
      </c>
      <c r="F3123" s="20" t="str">
        <f>INDEX(nrg_cb_e!$A$3:$A$40,MATCH(LEFT(MID('Industriesektor GWh'!$B3123,41,1000),SEARCH(" - ",MID('Industriesektor GWh'!$B3123,41,1000))-1),nrg_cb_e!$C$3:$C$40,0))</f>
        <v>FC_IND_WP_E</v>
      </c>
      <c r="G3123" s="21">
        <v>4</v>
      </c>
    </row>
    <row r="3124" spans="1:7" x14ac:dyDescent="0.2">
      <c r="A3124" s="16" t="s">
        <v>57</v>
      </c>
      <c r="B3124" s="17" t="s">
        <v>71</v>
      </c>
      <c r="C3124" s="17" t="s">
        <v>8</v>
      </c>
      <c r="D3124" s="17" t="s">
        <v>10</v>
      </c>
      <c r="E3124" s="17" t="s">
        <v>23</v>
      </c>
      <c r="F3124" s="17" t="str">
        <f>INDEX(nrg_cb_e!$A$3:$A$40,MATCH(LEFT(MID('Industriesektor GWh'!$B3124,41,1000),SEARCH(" - ",MID('Industriesektor GWh'!$B3124,41,1000))-1),nrg_cb_e!$C$3:$C$40,0))</f>
        <v>FC_IND_WP_E</v>
      </c>
      <c r="G3124" s="18">
        <v>3</v>
      </c>
    </row>
    <row r="3125" spans="1:7" x14ac:dyDescent="0.2">
      <c r="A3125" s="19" t="s">
        <v>57</v>
      </c>
      <c r="B3125" s="20" t="s">
        <v>71</v>
      </c>
      <c r="C3125" s="20" t="s">
        <v>8</v>
      </c>
      <c r="D3125" s="20" t="s">
        <v>10</v>
      </c>
      <c r="E3125" s="20" t="s">
        <v>24</v>
      </c>
      <c r="F3125" s="20" t="str">
        <f>INDEX(nrg_cb_e!$A$3:$A$40,MATCH(LEFT(MID('Industriesektor GWh'!$B3125,41,1000),SEARCH(" - ",MID('Industriesektor GWh'!$B3125,41,1000))-1),nrg_cb_e!$C$3:$C$40,0))</f>
        <v>FC_IND_WP_E</v>
      </c>
      <c r="G3125" s="21">
        <v>3</v>
      </c>
    </row>
    <row r="3126" spans="1:7" x14ac:dyDescent="0.2">
      <c r="A3126" s="16" t="s">
        <v>57</v>
      </c>
      <c r="B3126" s="17" t="s">
        <v>71</v>
      </c>
      <c r="C3126" s="17" t="s">
        <v>8</v>
      </c>
      <c r="D3126" s="17" t="s">
        <v>10</v>
      </c>
      <c r="E3126" s="17" t="s">
        <v>25</v>
      </c>
      <c r="F3126" s="17" t="str">
        <f>INDEX(nrg_cb_e!$A$3:$A$40,MATCH(LEFT(MID('Industriesektor GWh'!$B3126,41,1000),SEARCH(" - ",MID('Industriesektor GWh'!$B3126,41,1000))-1),nrg_cb_e!$C$3:$C$40,0))</f>
        <v>FC_IND_WP_E</v>
      </c>
      <c r="G3126" s="18">
        <v>4</v>
      </c>
    </row>
    <row r="3127" spans="1:7" x14ac:dyDescent="0.2">
      <c r="A3127" s="19" t="s">
        <v>57</v>
      </c>
      <c r="B3127" s="20" t="s">
        <v>71</v>
      </c>
      <c r="C3127" s="20" t="s">
        <v>8</v>
      </c>
      <c r="D3127" s="20" t="s">
        <v>10</v>
      </c>
      <c r="E3127" s="20" t="s">
        <v>26</v>
      </c>
      <c r="F3127" s="20" t="str">
        <f>INDEX(nrg_cb_e!$A$3:$A$40,MATCH(LEFT(MID('Industriesektor GWh'!$B3127,41,1000),SEARCH(" - ",MID('Industriesektor GWh'!$B3127,41,1000))-1),nrg_cb_e!$C$3:$C$40,0))</f>
        <v>FC_IND_WP_E</v>
      </c>
      <c r="G3127" s="21">
        <v>4</v>
      </c>
    </row>
    <row r="3128" spans="1:7" x14ac:dyDescent="0.2">
      <c r="A3128" s="16" t="s">
        <v>57</v>
      </c>
      <c r="B3128" s="17" t="s">
        <v>71</v>
      </c>
      <c r="C3128" s="17" t="s">
        <v>8</v>
      </c>
      <c r="D3128" s="17" t="s">
        <v>10</v>
      </c>
      <c r="E3128" s="17" t="s">
        <v>27</v>
      </c>
      <c r="F3128" s="17" t="str">
        <f>INDEX(nrg_cb_e!$A$3:$A$40,MATCH(LEFT(MID('Industriesektor GWh'!$B3128,41,1000),SEARCH(" - ",MID('Industriesektor GWh'!$B3128,41,1000))-1),nrg_cb_e!$C$3:$C$40,0))</f>
        <v>FC_IND_WP_E</v>
      </c>
      <c r="G3128" s="18">
        <v>3.8220000000000001</v>
      </c>
    </row>
    <row r="3129" spans="1:7" x14ac:dyDescent="0.2">
      <c r="A3129" s="19" t="s">
        <v>57</v>
      </c>
      <c r="B3129" s="20" t="s">
        <v>71</v>
      </c>
      <c r="C3129" s="20" t="s">
        <v>8</v>
      </c>
      <c r="D3129" s="20" t="s">
        <v>10</v>
      </c>
      <c r="E3129" s="20" t="s">
        <v>28</v>
      </c>
      <c r="F3129" s="20" t="str">
        <f>INDEX(nrg_cb_e!$A$3:$A$40,MATCH(LEFT(MID('Industriesektor GWh'!$B3129,41,1000),SEARCH(" - ",MID('Industriesektor GWh'!$B3129,41,1000))-1),nrg_cb_e!$C$3:$C$40,0))</f>
        <v>FC_IND_WP_E</v>
      </c>
      <c r="G3129" s="21">
        <v>3.12</v>
      </c>
    </row>
    <row r="3130" spans="1:7" x14ac:dyDescent="0.2">
      <c r="A3130" s="16" t="s">
        <v>58</v>
      </c>
      <c r="B3130" s="17" t="s">
        <v>71</v>
      </c>
      <c r="C3130" s="17" t="s">
        <v>8</v>
      </c>
      <c r="D3130" s="17" t="s">
        <v>10</v>
      </c>
      <c r="E3130" s="17" t="s">
        <v>12</v>
      </c>
      <c r="F3130" s="17" t="str">
        <f>INDEX(nrg_cb_e!$A$3:$A$40,MATCH(LEFT(MID('Industriesektor GWh'!$B3130,41,1000),SEARCH(" - ",MID('Industriesektor GWh'!$B3130,41,1000))-1),nrg_cb_e!$C$3:$C$40,0))</f>
        <v>FC_IND_WP_E</v>
      </c>
      <c r="G3130" s="18">
        <v>763</v>
      </c>
    </row>
    <row r="3131" spans="1:7" x14ac:dyDescent="0.2">
      <c r="A3131" s="19" t="s">
        <v>58</v>
      </c>
      <c r="B3131" s="20" t="s">
        <v>71</v>
      </c>
      <c r="C3131" s="20" t="s">
        <v>8</v>
      </c>
      <c r="D3131" s="20" t="s">
        <v>10</v>
      </c>
      <c r="E3131" s="20" t="s">
        <v>13</v>
      </c>
      <c r="F3131" s="20" t="str">
        <f>INDEX(nrg_cb_e!$A$3:$A$40,MATCH(LEFT(MID('Industriesektor GWh'!$B3131,41,1000),SEARCH(" - ",MID('Industriesektor GWh'!$B3131,41,1000))-1),nrg_cb_e!$C$3:$C$40,0))</f>
        <v>FC_IND_WP_E</v>
      </c>
      <c r="G3131" s="21">
        <v>689</v>
      </c>
    </row>
    <row r="3132" spans="1:7" x14ac:dyDescent="0.2">
      <c r="A3132" s="16" t="s">
        <v>58</v>
      </c>
      <c r="B3132" s="17" t="s">
        <v>71</v>
      </c>
      <c r="C3132" s="17" t="s">
        <v>8</v>
      </c>
      <c r="D3132" s="17" t="s">
        <v>10</v>
      </c>
      <c r="E3132" s="17" t="s">
        <v>14</v>
      </c>
      <c r="F3132" s="17" t="str">
        <f>INDEX(nrg_cb_e!$A$3:$A$40,MATCH(LEFT(MID('Industriesektor GWh'!$B3132,41,1000),SEARCH(" - ",MID('Industriesektor GWh'!$B3132,41,1000))-1),nrg_cb_e!$C$3:$C$40,0))</f>
        <v>FC_IND_WP_E</v>
      </c>
      <c r="G3132" s="18">
        <v>705</v>
      </c>
    </row>
    <row r="3133" spans="1:7" x14ac:dyDescent="0.2">
      <c r="A3133" s="19" t="s">
        <v>58</v>
      </c>
      <c r="B3133" s="20" t="s">
        <v>71</v>
      </c>
      <c r="C3133" s="20" t="s">
        <v>8</v>
      </c>
      <c r="D3133" s="20" t="s">
        <v>10</v>
      </c>
      <c r="E3133" s="20" t="s">
        <v>15</v>
      </c>
      <c r="F3133" s="20" t="str">
        <f>INDEX(nrg_cb_e!$A$3:$A$40,MATCH(LEFT(MID('Industriesektor GWh'!$B3133,41,1000),SEARCH(" - ",MID('Industriesektor GWh'!$B3133,41,1000))-1),nrg_cb_e!$C$3:$C$40,0))</f>
        <v>FC_IND_WP_E</v>
      </c>
      <c r="G3133" s="21">
        <v>716</v>
      </c>
    </row>
    <row r="3134" spans="1:7" x14ac:dyDescent="0.2">
      <c r="A3134" s="16" t="s">
        <v>58</v>
      </c>
      <c r="B3134" s="17" t="s">
        <v>71</v>
      </c>
      <c r="C3134" s="17" t="s">
        <v>8</v>
      </c>
      <c r="D3134" s="17" t="s">
        <v>10</v>
      </c>
      <c r="E3134" s="17" t="s">
        <v>16</v>
      </c>
      <c r="F3134" s="17" t="str">
        <f>INDEX(nrg_cb_e!$A$3:$A$40,MATCH(LEFT(MID('Industriesektor GWh'!$B3134,41,1000),SEARCH(" - ",MID('Industriesektor GWh'!$B3134,41,1000))-1),nrg_cb_e!$C$3:$C$40,0))</f>
        <v>FC_IND_WP_E</v>
      </c>
      <c r="G3134" s="18">
        <v>711</v>
      </c>
    </row>
    <row r="3135" spans="1:7" x14ac:dyDescent="0.2">
      <c r="A3135" s="19" t="s">
        <v>58</v>
      </c>
      <c r="B3135" s="20" t="s">
        <v>71</v>
      </c>
      <c r="C3135" s="20" t="s">
        <v>8</v>
      </c>
      <c r="D3135" s="20" t="s">
        <v>10</v>
      </c>
      <c r="E3135" s="20" t="s">
        <v>17</v>
      </c>
      <c r="F3135" s="20" t="str">
        <f>INDEX(nrg_cb_e!$A$3:$A$40,MATCH(LEFT(MID('Industriesektor GWh'!$B3135,41,1000),SEARCH(" - ",MID('Industriesektor GWh'!$B3135,41,1000))-1),nrg_cb_e!$C$3:$C$40,0))</f>
        <v>FC_IND_WP_E</v>
      </c>
      <c r="G3135" s="21">
        <v>807</v>
      </c>
    </row>
    <row r="3136" spans="1:7" x14ac:dyDescent="0.2">
      <c r="A3136" s="16" t="s">
        <v>58</v>
      </c>
      <c r="B3136" s="17" t="s">
        <v>71</v>
      </c>
      <c r="C3136" s="17" t="s">
        <v>8</v>
      </c>
      <c r="D3136" s="17" t="s">
        <v>10</v>
      </c>
      <c r="E3136" s="17" t="s">
        <v>18</v>
      </c>
      <c r="F3136" s="17" t="str">
        <f>INDEX(nrg_cb_e!$A$3:$A$40,MATCH(LEFT(MID('Industriesektor GWh'!$B3136,41,1000),SEARCH(" - ",MID('Industriesektor GWh'!$B3136,41,1000))-1),nrg_cb_e!$C$3:$C$40,0))</f>
        <v>FC_IND_WP_E</v>
      </c>
      <c r="G3136" s="18">
        <v>741</v>
      </c>
    </row>
    <row r="3137" spans="1:7" x14ac:dyDescent="0.2">
      <c r="A3137" s="19" t="s">
        <v>58</v>
      </c>
      <c r="B3137" s="20" t="s">
        <v>71</v>
      </c>
      <c r="C3137" s="20" t="s">
        <v>8</v>
      </c>
      <c r="D3137" s="20" t="s">
        <v>10</v>
      </c>
      <c r="E3137" s="20" t="s">
        <v>19</v>
      </c>
      <c r="F3137" s="20" t="str">
        <f>INDEX(nrg_cb_e!$A$3:$A$40,MATCH(LEFT(MID('Industriesektor GWh'!$B3137,41,1000),SEARCH(" - ",MID('Industriesektor GWh'!$B3137,41,1000))-1),nrg_cb_e!$C$3:$C$40,0))</f>
        <v>FC_IND_WP_E</v>
      </c>
      <c r="G3137" s="21">
        <v>558</v>
      </c>
    </row>
    <row r="3138" spans="1:7" x14ac:dyDescent="0.2">
      <c r="A3138" s="16" t="s">
        <v>58</v>
      </c>
      <c r="B3138" s="17" t="s">
        <v>71</v>
      </c>
      <c r="C3138" s="17" t="s">
        <v>8</v>
      </c>
      <c r="D3138" s="17" t="s">
        <v>10</v>
      </c>
      <c r="E3138" s="17" t="s">
        <v>20</v>
      </c>
      <c r="F3138" s="17" t="str">
        <f>INDEX(nrg_cb_e!$A$3:$A$40,MATCH(LEFT(MID('Industriesektor GWh'!$B3138,41,1000),SEARCH(" - ",MID('Industriesektor GWh'!$B3138,41,1000))-1),nrg_cb_e!$C$3:$C$40,0))</f>
        <v>FC_IND_WP_E</v>
      </c>
      <c r="G3138" s="18">
        <v>717</v>
      </c>
    </row>
    <row r="3139" spans="1:7" x14ac:dyDescent="0.2">
      <c r="A3139" s="19" t="s">
        <v>58</v>
      </c>
      <c r="B3139" s="20" t="s">
        <v>71</v>
      </c>
      <c r="C3139" s="20" t="s">
        <v>8</v>
      </c>
      <c r="D3139" s="20" t="s">
        <v>10</v>
      </c>
      <c r="E3139" s="20" t="s">
        <v>21</v>
      </c>
      <c r="F3139" s="20" t="str">
        <f>INDEX(nrg_cb_e!$A$3:$A$40,MATCH(LEFT(MID('Industriesektor GWh'!$B3139,41,1000),SEARCH(" - ",MID('Industriesektor GWh'!$B3139,41,1000))-1),nrg_cb_e!$C$3:$C$40,0))</f>
        <v>FC_IND_WP_E</v>
      </c>
      <c r="G3139" s="21">
        <v>640</v>
      </c>
    </row>
    <row r="3140" spans="1:7" x14ac:dyDescent="0.2">
      <c r="A3140" s="16" t="s">
        <v>58</v>
      </c>
      <c r="B3140" s="17" t="s">
        <v>71</v>
      </c>
      <c r="C3140" s="17" t="s">
        <v>8</v>
      </c>
      <c r="D3140" s="17" t="s">
        <v>10</v>
      </c>
      <c r="E3140" s="17" t="s">
        <v>22</v>
      </c>
      <c r="F3140" s="17" t="str">
        <f>INDEX(nrg_cb_e!$A$3:$A$40,MATCH(LEFT(MID('Industriesektor GWh'!$B3140,41,1000),SEARCH(" - ",MID('Industriesektor GWh'!$B3140,41,1000))-1),nrg_cb_e!$C$3:$C$40,0))</f>
        <v>FC_IND_WP_E</v>
      </c>
      <c r="G3140" s="18">
        <v>658</v>
      </c>
    </row>
    <row r="3141" spans="1:7" x14ac:dyDescent="0.2">
      <c r="A3141" s="19" t="s">
        <v>58</v>
      </c>
      <c r="B3141" s="20" t="s">
        <v>71</v>
      </c>
      <c r="C3141" s="20" t="s">
        <v>8</v>
      </c>
      <c r="D3141" s="20" t="s">
        <v>10</v>
      </c>
      <c r="E3141" s="20" t="s">
        <v>23</v>
      </c>
      <c r="F3141" s="20" t="str">
        <f>INDEX(nrg_cb_e!$A$3:$A$40,MATCH(LEFT(MID('Industriesektor GWh'!$B3141,41,1000),SEARCH(" - ",MID('Industriesektor GWh'!$B3141,41,1000))-1),nrg_cb_e!$C$3:$C$40,0))</f>
        <v>FC_IND_WP_E</v>
      </c>
      <c r="G3141" s="21">
        <v>609</v>
      </c>
    </row>
    <row r="3142" spans="1:7" x14ac:dyDescent="0.2">
      <c r="A3142" s="16" t="s">
        <v>58</v>
      </c>
      <c r="B3142" s="17" t="s">
        <v>71</v>
      </c>
      <c r="C3142" s="17" t="s">
        <v>8</v>
      </c>
      <c r="D3142" s="17" t="s">
        <v>10</v>
      </c>
      <c r="E3142" s="17" t="s">
        <v>24</v>
      </c>
      <c r="F3142" s="17" t="str">
        <f>INDEX(nrg_cb_e!$A$3:$A$40,MATCH(LEFT(MID('Industriesektor GWh'!$B3142,41,1000),SEARCH(" - ",MID('Industriesektor GWh'!$B3142,41,1000))-1),nrg_cb_e!$C$3:$C$40,0))</f>
        <v>FC_IND_WP_E</v>
      </c>
      <c r="G3142" s="18">
        <v>629</v>
      </c>
    </row>
    <row r="3143" spans="1:7" x14ac:dyDescent="0.2">
      <c r="A3143" s="19" t="s">
        <v>58</v>
      </c>
      <c r="B3143" s="20" t="s">
        <v>71</v>
      </c>
      <c r="C3143" s="20" t="s">
        <v>8</v>
      </c>
      <c r="D3143" s="20" t="s">
        <v>10</v>
      </c>
      <c r="E3143" s="20" t="s">
        <v>25</v>
      </c>
      <c r="F3143" s="20" t="str">
        <f>INDEX(nrg_cb_e!$A$3:$A$40,MATCH(LEFT(MID('Industriesektor GWh'!$B3143,41,1000),SEARCH(" - ",MID('Industriesektor GWh'!$B3143,41,1000))-1),nrg_cb_e!$C$3:$C$40,0))</f>
        <v>FC_IND_WP_E</v>
      </c>
      <c r="G3143" s="21">
        <v>641</v>
      </c>
    </row>
    <row r="3144" spans="1:7" x14ac:dyDescent="0.2">
      <c r="A3144" s="16" t="s">
        <v>58</v>
      </c>
      <c r="B3144" s="17" t="s">
        <v>71</v>
      </c>
      <c r="C3144" s="17" t="s">
        <v>8</v>
      </c>
      <c r="D3144" s="17" t="s">
        <v>10</v>
      </c>
      <c r="E3144" s="17" t="s">
        <v>26</v>
      </c>
      <c r="F3144" s="17" t="str">
        <f>INDEX(nrg_cb_e!$A$3:$A$40,MATCH(LEFT(MID('Industriesektor GWh'!$B3144,41,1000),SEARCH(" - ",MID('Industriesektor GWh'!$B3144,41,1000))-1),nrg_cb_e!$C$3:$C$40,0))</f>
        <v>FC_IND_WP_E</v>
      </c>
      <c r="G3144" s="18">
        <v>675</v>
      </c>
    </row>
    <row r="3145" spans="1:7" x14ac:dyDescent="0.2">
      <c r="A3145" s="19" t="s">
        <v>58</v>
      </c>
      <c r="B3145" s="20" t="s">
        <v>71</v>
      </c>
      <c r="C3145" s="20" t="s">
        <v>8</v>
      </c>
      <c r="D3145" s="20" t="s">
        <v>10</v>
      </c>
      <c r="E3145" s="20" t="s">
        <v>27</v>
      </c>
      <c r="F3145" s="20" t="str">
        <f>INDEX(nrg_cb_e!$A$3:$A$40,MATCH(LEFT(MID('Industriesektor GWh'!$B3145,41,1000),SEARCH(" - ",MID('Industriesektor GWh'!$B3145,41,1000))-1),nrg_cb_e!$C$3:$C$40,0))</f>
        <v>FC_IND_WP_E</v>
      </c>
      <c r="G3145" s="21">
        <v>615</v>
      </c>
    </row>
    <row r="3146" spans="1:7" x14ac:dyDescent="0.2">
      <c r="A3146" s="16" t="s">
        <v>58</v>
      </c>
      <c r="B3146" s="17" t="s">
        <v>71</v>
      </c>
      <c r="C3146" s="17" t="s">
        <v>8</v>
      </c>
      <c r="D3146" s="17" t="s">
        <v>10</v>
      </c>
      <c r="E3146" s="17" t="s">
        <v>28</v>
      </c>
      <c r="F3146" s="17" t="str">
        <f>INDEX(nrg_cb_e!$A$3:$A$40,MATCH(LEFT(MID('Industriesektor GWh'!$B3146,41,1000),SEARCH(" - ",MID('Industriesektor GWh'!$B3146,41,1000))-1),nrg_cb_e!$C$3:$C$40,0))</f>
        <v>FC_IND_WP_E</v>
      </c>
      <c r="G3146" s="18">
        <v>612.89</v>
      </c>
    </row>
    <row r="3147" spans="1:7" x14ac:dyDescent="0.2">
      <c r="A3147" s="19" t="s">
        <v>59</v>
      </c>
      <c r="B3147" s="20" t="s">
        <v>71</v>
      </c>
      <c r="C3147" s="20" t="s">
        <v>8</v>
      </c>
      <c r="D3147" s="20" t="s">
        <v>10</v>
      </c>
      <c r="E3147" s="20" t="s">
        <v>12</v>
      </c>
      <c r="F3147" s="20" t="str">
        <f>INDEX(nrg_cb_e!$A$3:$A$40,MATCH(LEFT(MID('Industriesektor GWh'!$B3147,41,1000),SEARCH(" - ",MID('Industriesektor GWh'!$B3147,41,1000))-1),nrg_cb_e!$C$3:$C$40,0))</f>
        <v>FC_IND_WP_E</v>
      </c>
      <c r="G3147" s="21">
        <v>0</v>
      </c>
    </row>
    <row r="3148" spans="1:7" x14ac:dyDescent="0.2">
      <c r="A3148" s="16" t="s">
        <v>59</v>
      </c>
      <c r="B3148" s="17" t="s">
        <v>71</v>
      </c>
      <c r="C3148" s="17" t="s">
        <v>8</v>
      </c>
      <c r="D3148" s="17" t="s">
        <v>10</v>
      </c>
      <c r="E3148" s="17" t="s">
        <v>13</v>
      </c>
      <c r="F3148" s="17" t="str">
        <f>INDEX(nrg_cb_e!$A$3:$A$40,MATCH(LEFT(MID('Industriesektor GWh'!$B3148,41,1000),SEARCH(" - ",MID('Industriesektor GWh'!$B3148,41,1000))-1),nrg_cb_e!$C$3:$C$40,0))</f>
        <v>FC_IND_WP_E</v>
      </c>
      <c r="G3148" s="18">
        <v>0</v>
      </c>
    </row>
    <row r="3149" spans="1:7" x14ac:dyDescent="0.2">
      <c r="A3149" s="19" t="s">
        <v>59</v>
      </c>
      <c r="B3149" s="20" t="s">
        <v>71</v>
      </c>
      <c r="C3149" s="20" t="s">
        <v>8</v>
      </c>
      <c r="D3149" s="20" t="s">
        <v>10</v>
      </c>
      <c r="E3149" s="20" t="s">
        <v>14</v>
      </c>
      <c r="F3149" s="20" t="str">
        <f>INDEX(nrg_cb_e!$A$3:$A$40,MATCH(LEFT(MID('Industriesektor GWh'!$B3149,41,1000),SEARCH(" - ",MID('Industriesektor GWh'!$B3149,41,1000))-1),nrg_cb_e!$C$3:$C$40,0))</f>
        <v>FC_IND_WP_E</v>
      </c>
      <c r="G3149" s="21">
        <v>54</v>
      </c>
    </row>
    <row r="3150" spans="1:7" x14ac:dyDescent="0.2">
      <c r="A3150" s="16" t="s">
        <v>59</v>
      </c>
      <c r="B3150" s="17" t="s">
        <v>71</v>
      </c>
      <c r="C3150" s="17" t="s">
        <v>8</v>
      </c>
      <c r="D3150" s="17" t="s">
        <v>10</v>
      </c>
      <c r="E3150" s="17" t="s">
        <v>15</v>
      </c>
      <c r="F3150" s="17" t="str">
        <f>INDEX(nrg_cb_e!$A$3:$A$40,MATCH(LEFT(MID('Industriesektor GWh'!$B3150,41,1000),SEARCH(" - ",MID('Industriesektor GWh'!$B3150,41,1000))-1),nrg_cb_e!$C$3:$C$40,0))</f>
        <v>FC_IND_WP_E</v>
      </c>
      <c r="G3150" s="18">
        <v>55</v>
      </c>
    </row>
    <row r="3151" spans="1:7" x14ac:dyDescent="0.2">
      <c r="A3151" s="19" t="s">
        <v>59</v>
      </c>
      <c r="B3151" s="20" t="s">
        <v>71</v>
      </c>
      <c r="C3151" s="20" t="s">
        <v>8</v>
      </c>
      <c r="D3151" s="20" t="s">
        <v>10</v>
      </c>
      <c r="E3151" s="20" t="s">
        <v>16</v>
      </c>
      <c r="F3151" s="20" t="str">
        <f>INDEX(nrg_cb_e!$A$3:$A$40,MATCH(LEFT(MID('Industriesektor GWh'!$B3151,41,1000),SEARCH(" - ",MID('Industriesektor GWh'!$B3151,41,1000))-1),nrg_cb_e!$C$3:$C$40,0))</f>
        <v>FC_IND_WP_E</v>
      </c>
      <c r="G3151" s="21">
        <v>48</v>
      </c>
    </row>
    <row r="3152" spans="1:7" x14ac:dyDescent="0.2">
      <c r="A3152" s="16" t="s">
        <v>59</v>
      </c>
      <c r="B3152" s="17" t="s">
        <v>71</v>
      </c>
      <c r="C3152" s="17" t="s">
        <v>8</v>
      </c>
      <c r="D3152" s="17" t="s">
        <v>10</v>
      </c>
      <c r="E3152" s="17" t="s">
        <v>17</v>
      </c>
      <c r="F3152" s="17" t="str">
        <f>INDEX(nrg_cb_e!$A$3:$A$40,MATCH(LEFT(MID('Industriesektor GWh'!$B3152,41,1000),SEARCH(" - ",MID('Industriesektor GWh'!$B3152,41,1000))-1),nrg_cb_e!$C$3:$C$40,0))</f>
        <v>FC_IND_WP_E</v>
      </c>
      <c r="G3152" s="18">
        <v>58</v>
      </c>
    </row>
    <row r="3153" spans="1:7" x14ac:dyDescent="0.2">
      <c r="A3153" s="19" t="s">
        <v>59</v>
      </c>
      <c r="B3153" s="20" t="s">
        <v>71</v>
      </c>
      <c r="C3153" s="20" t="s">
        <v>8</v>
      </c>
      <c r="D3153" s="20" t="s">
        <v>10</v>
      </c>
      <c r="E3153" s="20" t="s">
        <v>18</v>
      </c>
      <c r="F3153" s="20" t="str">
        <f>INDEX(nrg_cb_e!$A$3:$A$40,MATCH(LEFT(MID('Industriesektor GWh'!$B3153,41,1000),SEARCH(" - ",MID('Industriesektor GWh'!$B3153,41,1000))-1),nrg_cb_e!$C$3:$C$40,0))</f>
        <v>FC_IND_WP_E</v>
      </c>
      <c r="G3153" s="21">
        <v>82</v>
      </c>
    </row>
    <row r="3154" spans="1:7" x14ac:dyDescent="0.2">
      <c r="A3154" s="16" t="s">
        <v>59</v>
      </c>
      <c r="B3154" s="17" t="s">
        <v>71</v>
      </c>
      <c r="C3154" s="17" t="s">
        <v>8</v>
      </c>
      <c r="D3154" s="17" t="s">
        <v>10</v>
      </c>
      <c r="E3154" s="17" t="s">
        <v>19</v>
      </c>
      <c r="F3154" s="17" t="str">
        <f>INDEX(nrg_cb_e!$A$3:$A$40,MATCH(LEFT(MID('Industriesektor GWh'!$B3154,41,1000),SEARCH(" - ",MID('Industriesektor GWh'!$B3154,41,1000))-1),nrg_cb_e!$C$3:$C$40,0))</f>
        <v>FC_IND_WP_E</v>
      </c>
      <c r="G3154" s="18">
        <v>23</v>
      </c>
    </row>
    <row r="3155" spans="1:7" x14ac:dyDescent="0.2">
      <c r="A3155" s="19" t="s">
        <v>59</v>
      </c>
      <c r="B3155" s="20" t="s">
        <v>71</v>
      </c>
      <c r="C3155" s="20" t="s">
        <v>8</v>
      </c>
      <c r="D3155" s="20" t="s">
        <v>10</v>
      </c>
      <c r="E3155" s="20" t="s">
        <v>20</v>
      </c>
      <c r="F3155" s="20" t="str">
        <f>INDEX(nrg_cb_e!$A$3:$A$40,MATCH(LEFT(MID('Industriesektor GWh'!$B3155,41,1000),SEARCH(" - ",MID('Industriesektor GWh'!$B3155,41,1000))-1),nrg_cb_e!$C$3:$C$40,0))</f>
        <v>FC_IND_WP_E</v>
      </c>
      <c r="G3155" s="21">
        <v>73</v>
      </c>
    </row>
    <row r="3156" spans="1:7" x14ac:dyDescent="0.2">
      <c r="A3156" s="16" t="s">
        <v>59</v>
      </c>
      <c r="B3156" s="17" t="s">
        <v>71</v>
      </c>
      <c r="C3156" s="17" t="s">
        <v>8</v>
      </c>
      <c r="D3156" s="17" t="s">
        <v>10</v>
      </c>
      <c r="E3156" s="17" t="s">
        <v>21</v>
      </c>
      <c r="F3156" s="17" t="str">
        <f>INDEX(nrg_cb_e!$A$3:$A$40,MATCH(LEFT(MID('Industriesektor GWh'!$B3156,41,1000),SEARCH(" - ",MID('Industriesektor GWh'!$B3156,41,1000))-1),nrg_cb_e!$C$3:$C$40,0))</f>
        <v>FC_IND_WP_E</v>
      </c>
      <c r="G3156" s="18">
        <v>85</v>
      </c>
    </row>
    <row r="3157" spans="1:7" x14ac:dyDescent="0.2">
      <c r="A3157" s="19" t="s">
        <v>59</v>
      </c>
      <c r="B3157" s="20" t="s">
        <v>71</v>
      </c>
      <c r="C3157" s="20" t="s">
        <v>8</v>
      </c>
      <c r="D3157" s="20" t="s">
        <v>10</v>
      </c>
      <c r="E3157" s="20" t="s">
        <v>22</v>
      </c>
      <c r="F3157" s="20" t="str">
        <f>INDEX(nrg_cb_e!$A$3:$A$40,MATCH(LEFT(MID('Industriesektor GWh'!$B3157,41,1000),SEARCH(" - ",MID('Industriesektor GWh'!$B3157,41,1000))-1),nrg_cb_e!$C$3:$C$40,0))</f>
        <v>FC_IND_WP_E</v>
      </c>
      <c r="G3157" s="21">
        <v>42</v>
      </c>
    </row>
    <row r="3158" spans="1:7" x14ac:dyDescent="0.2">
      <c r="A3158" s="16" t="s">
        <v>59</v>
      </c>
      <c r="B3158" s="17" t="s">
        <v>71</v>
      </c>
      <c r="C3158" s="17" t="s">
        <v>8</v>
      </c>
      <c r="D3158" s="17" t="s">
        <v>10</v>
      </c>
      <c r="E3158" s="17" t="s">
        <v>23</v>
      </c>
      <c r="F3158" s="17" t="str">
        <f>INDEX(nrg_cb_e!$A$3:$A$40,MATCH(LEFT(MID('Industriesektor GWh'!$B3158,41,1000),SEARCH(" - ",MID('Industriesektor GWh'!$B3158,41,1000))-1),nrg_cb_e!$C$3:$C$40,0))</f>
        <v>FC_IND_WP_E</v>
      </c>
      <c r="G3158" s="18">
        <v>92</v>
      </c>
    </row>
    <row r="3159" spans="1:7" x14ac:dyDescent="0.2">
      <c r="A3159" s="19" t="s">
        <v>59</v>
      </c>
      <c r="B3159" s="20" t="s">
        <v>71</v>
      </c>
      <c r="C3159" s="20" t="s">
        <v>8</v>
      </c>
      <c r="D3159" s="20" t="s">
        <v>10</v>
      </c>
      <c r="E3159" s="20" t="s">
        <v>24</v>
      </c>
      <c r="F3159" s="20" t="str">
        <f>INDEX(nrg_cb_e!$A$3:$A$40,MATCH(LEFT(MID('Industriesektor GWh'!$B3159,41,1000),SEARCH(" - ",MID('Industriesektor GWh'!$B3159,41,1000))-1),nrg_cb_e!$C$3:$C$40,0))</f>
        <v>FC_IND_WP_E</v>
      </c>
      <c r="G3159" s="21">
        <v>122</v>
      </c>
    </row>
    <row r="3160" spans="1:7" x14ac:dyDescent="0.2">
      <c r="A3160" s="16" t="s">
        <v>59</v>
      </c>
      <c r="B3160" s="17" t="s">
        <v>71</v>
      </c>
      <c r="C3160" s="17" t="s">
        <v>8</v>
      </c>
      <c r="D3160" s="17" t="s">
        <v>10</v>
      </c>
      <c r="E3160" s="17" t="s">
        <v>25</v>
      </c>
      <c r="F3160" s="17" t="str">
        <f>INDEX(nrg_cb_e!$A$3:$A$40,MATCH(LEFT(MID('Industriesektor GWh'!$B3160,41,1000),SEARCH(" - ",MID('Industriesektor GWh'!$B3160,41,1000))-1),nrg_cb_e!$C$3:$C$40,0))</f>
        <v>FC_IND_WP_E</v>
      </c>
      <c r="G3160" s="18">
        <v>128</v>
      </c>
    </row>
    <row r="3161" spans="1:7" x14ac:dyDescent="0.2">
      <c r="A3161" s="19" t="s">
        <v>59</v>
      </c>
      <c r="B3161" s="20" t="s">
        <v>71</v>
      </c>
      <c r="C3161" s="20" t="s">
        <v>8</v>
      </c>
      <c r="D3161" s="20" t="s">
        <v>10</v>
      </c>
      <c r="E3161" s="20" t="s">
        <v>26</v>
      </c>
      <c r="F3161" s="20" t="str">
        <f>INDEX(nrg_cb_e!$A$3:$A$40,MATCH(LEFT(MID('Industriesektor GWh'!$B3161,41,1000),SEARCH(" - ",MID('Industriesektor GWh'!$B3161,41,1000))-1),nrg_cb_e!$C$3:$C$40,0))</f>
        <v>FC_IND_WP_E</v>
      </c>
      <c r="G3161" s="21">
        <v>126</v>
      </c>
    </row>
    <row r="3162" spans="1:7" x14ac:dyDescent="0.2">
      <c r="A3162" s="16" t="s">
        <v>59</v>
      </c>
      <c r="B3162" s="17" t="s">
        <v>71</v>
      </c>
      <c r="C3162" s="17" t="s">
        <v>8</v>
      </c>
      <c r="D3162" s="17" t="s">
        <v>10</v>
      </c>
      <c r="E3162" s="17" t="s">
        <v>27</v>
      </c>
      <c r="F3162" s="17" t="str">
        <f>INDEX(nrg_cb_e!$A$3:$A$40,MATCH(LEFT(MID('Industriesektor GWh'!$B3162,41,1000),SEARCH(" - ",MID('Industriesektor GWh'!$B3162,41,1000))-1),nrg_cb_e!$C$3:$C$40,0))</f>
        <v>FC_IND_WP_E</v>
      </c>
      <c r="G3162" s="18">
        <v>132.21899999999999</v>
      </c>
    </row>
    <row r="3163" spans="1:7" x14ac:dyDescent="0.2">
      <c r="A3163" s="19" t="s">
        <v>59</v>
      </c>
      <c r="B3163" s="20" t="s">
        <v>71</v>
      </c>
      <c r="C3163" s="20" t="s">
        <v>8</v>
      </c>
      <c r="D3163" s="20" t="s">
        <v>10</v>
      </c>
      <c r="E3163" s="20" t="s">
        <v>28</v>
      </c>
      <c r="F3163" s="20" t="str">
        <f>INDEX(nrg_cb_e!$A$3:$A$40,MATCH(LEFT(MID('Industriesektor GWh'!$B3163,41,1000),SEARCH(" - ",MID('Industriesektor GWh'!$B3163,41,1000))-1),nrg_cb_e!$C$3:$C$40,0))</f>
        <v>FC_IND_WP_E</v>
      </c>
      <c r="G3163" s="21">
        <v>105.792</v>
      </c>
    </row>
    <row r="3164" spans="1:7" x14ac:dyDescent="0.2">
      <c r="A3164" s="16" t="s">
        <v>29</v>
      </c>
      <c r="B3164" s="17" t="s">
        <v>67</v>
      </c>
      <c r="C3164" s="17" t="s">
        <v>8</v>
      </c>
      <c r="D3164" s="17" t="s">
        <v>10</v>
      </c>
      <c r="E3164" s="17" t="s">
        <v>12</v>
      </c>
      <c r="F3164" s="17" t="str">
        <f>INDEX(nrg_cb_e!$A$3:$A$40,MATCH(LEFT(MID('Industriesektor GWh'!$B3164,41,1000),SEARCH(" - ",MID('Industriesektor GWh'!$B3164,41,1000))-1),nrg_cb_e!$C$3:$C$40,0))</f>
        <v>FC_IND_MAC_E</v>
      </c>
      <c r="G3164" s="18">
        <v>2025</v>
      </c>
    </row>
    <row r="3165" spans="1:7" x14ac:dyDescent="0.2">
      <c r="A3165" s="19" t="s">
        <v>29</v>
      </c>
      <c r="B3165" s="20" t="s">
        <v>67</v>
      </c>
      <c r="C3165" s="20" t="s">
        <v>8</v>
      </c>
      <c r="D3165" s="20" t="s">
        <v>10</v>
      </c>
      <c r="E3165" s="20" t="s">
        <v>13</v>
      </c>
      <c r="F3165" s="20" t="str">
        <f>INDEX(nrg_cb_e!$A$3:$A$40,MATCH(LEFT(MID('Industriesektor GWh'!$B3165,41,1000),SEARCH(" - ",MID('Industriesektor GWh'!$B3165,41,1000))-1),nrg_cb_e!$C$3:$C$40,0))</f>
        <v>FC_IND_MAC_E</v>
      </c>
      <c r="G3165" s="21">
        <v>2082</v>
      </c>
    </row>
    <row r="3166" spans="1:7" x14ac:dyDescent="0.2">
      <c r="A3166" s="16" t="s">
        <v>29</v>
      </c>
      <c r="B3166" s="17" t="s">
        <v>67</v>
      </c>
      <c r="C3166" s="17" t="s">
        <v>8</v>
      </c>
      <c r="D3166" s="17" t="s">
        <v>10</v>
      </c>
      <c r="E3166" s="17" t="s">
        <v>14</v>
      </c>
      <c r="F3166" s="17" t="str">
        <f>INDEX(nrg_cb_e!$A$3:$A$40,MATCH(LEFT(MID('Industriesektor GWh'!$B3166,41,1000),SEARCH(" - ",MID('Industriesektor GWh'!$B3166,41,1000))-1),nrg_cb_e!$C$3:$C$40,0))</f>
        <v>FC_IND_MAC_E</v>
      </c>
      <c r="G3166" s="18">
        <v>2122</v>
      </c>
    </row>
    <row r="3167" spans="1:7" x14ac:dyDescent="0.2">
      <c r="A3167" s="19" t="s">
        <v>29</v>
      </c>
      <c r="B3167" s="20" t="s">
        <v>67</v>
      </c>
      <c r="C3167" s="20" t="s">
        <v>8</v>
      </c>
      <c r="D3167" s="20" t="s">
        <v>10</v>
      </c>
      <c r="E3167" s="20" t="s">
        <v>15</v>
      </c>
      <c r="F3167" s="20" t="str">
        <f>INDEX(nrg_cb_e!$A$3:$A$40,MATCH(LEFT(MID('Industriesektor GWh'!$B3167,41,1000),SEARCH(" - ",MID('Industriesektor GWh'!$B3167,41,1000))-1),nrg_cb_e!$C$3:$C$40,0))</f>
        <v>FC_IND_MAC_E</v>
      </c>
      <c r="G3167" s="21">
        <v>2169</v>
      </c>
    </row>
    <row r="3168" spans="1:7" x14ac:dyDescent="0.2">
      <c r="A3168" s="16" t="s">
        <v>29</v>
      </c>
      <c r="B3168" s="17" t="s">
        <v>67</v>
      </c>
      <c r="C3168" s="17" t="s">
        <v>8</v>
      </c>
      <c r="D3168" s="17" t="s">
        <v>10</v>
      </c>
      <c r="E3168" s="17" t="s">
        <v>16</v>
      </c>
      <c r="F3168" s="17" t="str">
        <f>INDEX(nrg_cb_e!$A$3:$A$40,MATCH(LEFT(MID('Industriesektor GWh'!$B3168,41,1000),SEARCH(" - ",MID('Industriesektor GWh'!$B3168,41,1000))-1),nrg_cb_e!$C$3:$C$40,0))</f>
        <v>FC_IND_MAC_E</v>
      </c>
      <c r="G3168" s="18">
        <v>2176</v>
      </c>
    </row>
    <row r="3169" spans="1:7" x14ac:dyDescent="0.2">
      <c r="A3169" s="19" t="s">
        <v>29</v>
      </c>
      <c r="B3169" s="20" t="s">
        <v>67</v>
      </c>
      <c r="C3169" s="20" t="s">
        <v>8</v>
      </c>
      <c r="D3169" s="20" t="s">
        <v>10</v>
      </c>
      <c r="E3169" s="20" t="s">
        <v>17</v>
      </c>
      <c r="F3169" s="20" t="str">
        <f>INDEX(nrg_cb_e!$A$3:$A$40,MATCH(LEFT(MID('Industriesektor GWh'!$B3169,41,1000),SEARCH(" - ",MID('Industriesektor GWh'!$B3169,41,1000))-1),nrg_cb_e!$C$3:$C$40,0))</f>
        <v>FC_IND_MAC_E</v>
      </c>
      <c r="G3169" s="21">
        <v>2149</v>
      </c>
    </row>
    <row r="3170" spans="1:7" x14ac:dyDescent="0.2">
      <c r="A3170" s="16" t="s">
        <v>29</v>
      </c>
      <c r="B3170" s="17" t="s">
        <v>67</v>
      </c>
      <c r="C3170" s="17" t="s">
        <v>8</v>
      </c>
      <c r="D3170" s="17" t="s">
        <v>10</v>
      </c>
      <c r="E3170" s="17" t="s">
        <v>18</v>
      </c>
      <c r="F3170" s="17" t="str">
        <f>INDEX(nrg_cb_e!$A$3:$A$40,MATCH(LEFT(MID('Industriesektor GWh'!$B3170,41,1000),SEARCH(" - ",MID('Industriesektor GWh'!$B3170,41,1000))-1),nrg_cb_e!$C$3:$C$40,0))</f>
        <v>FC_IND_MAC_E</v>
      </c>
      <c r="G3170" s="18">
        <v>2188</v>
      </c>
    </row>
    <row r="3171" spans="1:7" x14ac:dyDescent="0.2">
      <c r="A3171" s="19" t="s">
        <v>29</v>
      </c>
      <c r="B3171" s="20" t="s">
        <v>67</v>
      </c>
      <c r="C3171" s="20" t="s">
        <v>8</v>
      </c>
      <c r="D3171" s="20" t="s">
        <v>10</v>
      </c>
      <c r="E3171" s="20" t="s">
        <v>19</v>
      </c>
      <c r="F3171" s="20" t="str">
        <f>INDEX(nrg_cb_e!$A$3:$A$40,MATCH(LEFT(MID('Industriesektor GWh'!$B3171,41,1000),SEARCH(" - ",MID('Industriesektor GWh'!$B3171,41,1000))-1),nrg_cb_e!$C$3:$C$40,0))</f>
        <v>FC_IND_MAC_E</v>
      </c>
      <c r="G3171" s="21">
        <v>1762</v>
      </c>
    </row>
    <row r="3172" spans="1:7" x14ac:dyDescent="0.2">
      <c r="A3172" s="16" t="s">
        <v>29</v>
      </c>
      <c r="B3172" s="17" t="s">
        <v>67</v>
      </c>
      <c r="C3172" s="17" t="s">
        <v>8</v>
      </c>
      <c r="D3172" s="17" t="s">
        <v>10</v>
      </c>
      <c r="E3172" s="17" t="s">
        <v>20</v>
      </c>
      <c r="F3172" s="17" t="str">
        <f>INDEX(nrg_cb_e!$A$3:$A$40,MATCH(LEFT(MID('Industriesektor GWh'!$B3172,41,1000),SEARCH(" - ",MID('Industriesektor GWh'!$B3172,41,1000))-1),nrg_cb_e!$C$3:$C$40,0))</f>
        <v>FC_IND_MAC_E</v>
      </c>
      <c r="G3172" s="18">
        <v>1899</v>
      </c>
    </row>
    <row r="3173" spans="1:7" x14ac:dyDescent="0.2">
      <c r="A3173" s="19" t="s">
        <v>29</v>
      </c>
      <c r="B3173" s="20" t="s">
        <v>67</v>
      </c>
      <c r="C3173" s="20" t="s">
        <v>8</v>
      </c>
      <c r="D3173" s="20" t="s">
        <v>10</v>
      </c>
      <c r="E3173" s="20" t="s">
        <v>21</v>
      </c>
      <c r="F3173" s="20" t="str">
        <f>INDEX(nrg_cb_e!$A$3:$A$40,MATCH(LEFT(MID('Industriesektor GWh'!$B3173,41,1000),SEARCH(" - ",MID('Industriesektor GWh'!$B3173,41,1000))-1),nrg_cb_e!$C$3:$C$40,0))</f>
        <v>FC_IND_MAC_E</v>
      </c>
      <c r="G3173" s="21">
        <v>1873</v>
      </c>
    </row>
    <row r="3174" spans="1:7" x14ac:dyDescent="0.2">
      <c r="A3174" s="16" t="s">
        <v>29</v>
      </c>
      <c r="B3174" s="17" t="s">
        <v>67</v>
      </c>
      <c r="C3174" s="17" t="s">
        <v>8</v>
      </c>
      <c r="D3174" s="17" t="s">
        <v>10</v>
      </c>
      <c r="E3174" s="17" t="s">
        <v>22</v>
      </c>
      <c r="F3174" s="17" t="str">
        <f>INDEX(nrg_cb_e!$A$3:$A$40,MATCH(LEFT(MID('Industriesektor GWh'!$B3174,41,1000),SEARCH(" - ",MID('Industriesektor GWh'!$B3174,41,1000))-1),nrg_cb_e!$C$3:$C$40,0))</f>
        <v>FC_IND_MAC_E</v>
      </c>
      <c r="G3174" s="18">
        <v>2030</v>
      </c>
    </row>
    <row r="3175" spans="1:7" x14ac:dyDescent="0.2">
      <c r="A3175" s="19" t="s">
        <v>29</v>
      </c>
      <c r="B3175" s="20" t="s">
        <v>67</v>
      </c>
      <c r="C3175" s="20" t="s">
        <v>8</v>
      </c>
      <c r="D3175" s="20" t="s">
        <v>10</v>
      </c>
      <c r="E3175" s="20" t="s">
        <v>23</v>
      </c>
      <c r="F3175" s="20" t="str">
        <f>INDEX(nrg_cb_e!$A$3:$A$40,MATCH(LEFT(MID('Industriesektor GWh'!$B3175,41,1000),SEARCH(" - ",MID('Industriesektor GWh'!$B3175,41,1000))-1),nrg_cb_e!$C$3:$C$40,0))</f>
        <v>FC_IND_MAC_E</v>
      </c>
      <c r="G3175" s="21">
        <v>1954</v>
      </c>
    </row>
    <row r="3176" spans="1:7" x14ac:dyDescent="0.2">
      <c r="A3176" s="16" t="s">
        <v>29</v>
      </c>
      <c r="B3176" s="17" t="s">
        <v>67</v>
      </c>
      <c r="C3176" s="17" t="s">
        <v>8</v>
      </c>
      <c r="D3176" s="17" t="s">
        <v>10</v>
      </c>
      <c r="E3176" s="17" t="s">
        <v>24</v>
      </c>
      <c r="F3176" s="17" t="str">
        <f>INDEX(nrg_cb_e!$A$3:$A$40,MATCH(LEFT(MID('Industriesektor GWh'!$B3176,41,1000),SEARCH(" - ",MID('Industriesektor GWh'!$B3176,41,1000))-1),nrg_cb_e!$C$3:$C$40,0))</f>
        <v>FC_IND_MAC_E</v>
      </c>
      <c r="G3176" s="18">
        <v>1924.7</v>
      </c>
    </row>
    <row r="3177" spans="1:7" x14ac:dyDescent="0.2">
      <c r="A3177" s="19" t="s">
        <v>29</v>
      </c>
      <c r="B3177" s="20" t="s">
        <v>67</v>
      </c>
      <c r="C3177" s="20" t="s">
        <v>8</v>
      </c>
      <c r="D3177" s="20" t="s">
        <v>10</v>
      </c>
      <c r="E3177" s="20" t="s">
        <v>25</v>
      </c>
      <c r="F3177" s="20" t="str">
        <f>INDEX(nrg_cb_e!$A$3:$A$40,MATCH(LEFT(MID('Industriesektor GWh'!$B3177,41,1000),SEARCH(" - ",MID('Industriesektor GWh'!$B3177,41,1000))-1),nrg_cb_e!$C$3:$C$40,0))</f>
        <v>FC_IND_MAC_E</v>
      </c>
      <c r="G3177" s="21">
        <v>1864.3</v>
      </c>
    </row>
    <row r="3178" spans="1:7" x14ac:dyDescent="0.2">
      <c r="A3178" s="16" t="s">
        <v>29</v>
      </c>
      <c r="B3178" s="17" t="s">
        <v>67</v>
      </c>
      <c r="C3178" s="17" t="s">
        <v>8</v>
      </c>
      <c r="D3178" s="17" t="s">
        <v>10</v>
      </c>
      <c r="E3178" s="17" t="s">
        <v>26</v>
      </c>
      <c r="F3178" s="17" t="str">
        <f>INDEX(nrg_cb_e!$A$3:$A$40,MATCH(LEFT(MID('Industriesektor GWh'!$B3178,41,1000),SEARCH(" - ",MID('Industriesektor GWh'!$B3178,41,1000))-1),nrg_cb_e!$C$3:$C$40,0))</f>
        <v>FC_IND_MAC_E</v>
      </c>
      <c r="G3178" s="18">
        <v>1756</v>
      </c>
    </row>
    <row r="3179" spans="1:7" x14ac:dyDescent="0.2">
      <c r="A3179" s="19" t="s">
        <v>29</v>
      </c>
      <c r="B3179" s="20" t="s">
        <v>67</v>
      </c>
      <c r="C3179" s="20" t="s">
        <v>8</v>
      </c>
      <c r="D3179" s="20" t="s">
        <v>10</v>
      </c>
      <c r="E3179" s="20" t="s">
        <v>27</v>
      </c>
      <c r="F3179" s="20" t="str">
        <f>INDEX(nrg_cb_e!$A$3:$A$40,MATCH(LEFT(MID('Industriesektor GWh'!$B3179,41,1000),SEARCH(" - ",MID('Industriesektor GWh'!$B3179,41,1000))-1),nrg_cb_e!$C$3:$C$40,0))</f>
        <v>FC_IND_MAC_E</v>
      </c>
      <c r="G3179" s="21">
        <v>1835.2</v>
      </c>
    </row>
    <row r="3180" spans="1:7" x14ac:dyDescent="0.2">
      <c r="A3180" s="16" t="s">
        <v>29</v>
      </c>
      <c r="B3180" s="17" t="s">
        <v>67</v>
      </c>
      <c r="C3180" s="17" t="s">
        <v>8</v>
      </c>
      <c r="D3180" s="17" t="s">
        <v>10</v>
      </c>
      <c r="E3180" s="17" t="s">
        <v>28</v>
      </c>
      <c r="F3180" s="17" t="str">
        <f>INDEX(nrg_cb_e!$A$3:$A$40,MATCH(LEFT(MID('Industriesektor GWh'!$B3180,41,1000),SEARCH(" - ",MID('Industriesektor GWh'!$B3180,41,1000))-1),nrg_cb_e!$C$3:$C$40,0))</f>
        <v>FC_IND_MAC_E</v>
      </c>
      <c r="G3180" s="18">
        <v>1838.1</v>
      </c>
    </row>
    <row r="3181" spans="1:7" x14ac:dyDescent="0.2">
      <c r="A3181" s="19" t="s">
        <v>30</v>
      </c>
      <c r="B3181" s="20" t="s">
        <v>67</v>
      </c>
      <c r="C3181" s="20" t="s">
        <v>8</v>
      </c>
      <c r="D3181" s="20" t="s">
        <v>10</v>
      </c>
      <c r="E3181" s="20" t="s">
        <v>12</v>
      </c>
      <c r="F3181" s="20" t="str">
        <f>INDEX(nrg_cb_e!$A$3:$A$40,MATCH(LEFT(MID('Industriesektor GWh'!$B3181,41,1000),SEARCH(" - ",MID('Industriesektor GWh'!$B3181,41,1000))-1),nrg_cb_e!$C$3:$C$40,0))</f>
        <v>FC_IND_MAC_E</v>
      </c>
      <c r="G3181" s="21">
        <v>750</v>
      </c>
    </row>
    <row r="3182" spans="1:7" x14ac:dyDescent="0.2">
      <c r="A3182" s="16" t="s">
        <v>30</v>
      </c>
      <c r="B3182" s="17" t="s">
        <v>67</v>
      </c>
      <c r="C3182" s="17" t="s">
        <v>8</v>
      </c>
      <c r="D3182" s="17" t="s">
        <v>10</v>
      </c>
      <c r="E3182" s="17" t="s">
        <v>13</v>
      </c>
      <c r="F3182" s="17" t="str">
        <f>INDEX(nrg_cb_e!$A$3:$A$40,MATCH(LEFT(MID('Industriesektor GWh'!$B3182,41,1000),SEARCH(" - ",MID('Industriesektor GWh'!$B3182,41,1000))-1),nrg_cb_e!$C$3:$C$40,0))</f>
        <v>FC_IND_MAC_E</v>
      </c>
      <c r="G3182" s="18">
        <v>802</v>
      </c>
    </row>
    <row r="3183" spans="1:7" x14ac:dyDescent="0.2">
      <c r="A3183" s="19" t="s">
        <v>30</v>
      </c>
      <c r="B3183" s="20" t="s">
        <v>67</v>
      </c>
      <c r="C3183" s="20" t="s">
        <v>8</v>
      </c>
      <c r="D3183" s="20" t="s">
        <v>10</v>
      </c>
      <c r="E3183" s="20" t="s">
        <v>14</v>
      </c>
      <c r="F3183" s="20" t="str">
        <f>INDEX(nrg_cb_e!$A$3:$A$40,MATCH(LEFT(MID('Industriesektor GWh'!$B3183,41,1000),SEARCH(" - ",MID('Industriesektor GWh'!$B3183,41,1000))-1),nrg_cb_e!$C$3:$C$40,0))</f>
        <v>FC_IND_MAC_E</v>
      </c>
      <c r="G3183" s="21">
        <v>760</v>
      </c>
    </row>
    <row r="3184" spans="1:7" x14ac:dyDescent="0.2">
      <c r="A3184" s="16" t="s">
        <v>30</v>
      </c>
      <c r="B3184" s="17" t="s">
        <v>67</v>
      </c>
      <c r="C3184" s="17" t="s">
        <v>8</v>
      </c>
      <c r="D3184" s="17" t="s">
        <v>10</v>
      </c>
      <c r="E3184" s="17" t="s">
        <v>15</v>
      </c>
      <c r="F3184" s="17" t="str">
        <f>INDEX(nrg_cb_e!$A$3:$A$40,MATCH(LEFT(MID('Industriesektor GWh'!$B3184,41,1000),SEARCH(" - ",MID('Industriesektor GWh'!$B3184,41,1000))-1),nrg_cb_e!$C$3:$C$40,0))</f>
        <v>FC_IND_MAC_E</v>
      </c>
      <c r="G3184" s="18">
        <v>819</v>
      </c>
    </row>
    <row r="3185" spans="1:7" x14ac:dyDescent="0.2">
      <c r="A3185" s="19" t="s">
        <v>30</v>
      </c>
      <c r="B3185" s="20" t="s">
        <v>67</v>
      </c>
      <c r="C3185" s="20" t="s">
        <v>8</v>
      </c>
      <c r="D3185" s="20" t="s">
        <v>10</v>
      </c>
      <c r="E3185" s="20" t="s">
        <v>16</v>
      </c>
      <c r="F3185" s="20" t="str">
        <f>INDEX(nrg_cb_e!$A$3:$A$40,MATCH(LEFT(MID('Industriesektor GWh'!$B3185,41,1000),SEARCH(" - ",MID('Industriesektor GWh'!$B3185,41,1000))-1),nrg_cb_e!$C$3:$C$40,0))</f>
        <v>FC_IND_MAC_E</v>
      </c>
      <c r="G3185" s="21">
        <v>795</v>
      </c>
    </row>
    <row r="3186" spans="1:7" x14ac:dyDescent="0.2">
      <c r="A3186" s="16" t="s">
        <v>30</v>
      </c>
      <c r="B3186" s="17" t="s">
        <v>67</v>
      </c>
      <c r="C3186" s="17" t="s">
        <v>8</v>
      </c>
      <c r="D3186" s="17" t="s">
        <v>10</v>
      </c>
      <c r="E3186" s="17" t="s">
        <v>17</v>
      </c>
      <c r="F3186" s="17" t="str">
        <f>INDEX(nrg_cb_e!$A$3:$A$40,MATCH(LEFT(MID('Industriesektor GWh'!$B3186,41,1000),SEARCH(" - ",MID('Industriesektor GWh'!$B3186,41,1000))-1),nrg_cb_e!$C$3:$C$40,0))</f>
        <v>FC_IND_MAC_E</v>
      </c>
      <c r="G3186" s="18">
        <v>848</v>
      </c>
    </row>
    <row r="3187" spans="1:7" x14ac:dyDescent="0.2">
      <c r="A3187" s="19" t="s">
        <v>30</v>
      </c>
      <c r="B3187" s="20" t="s">
        <v>67</v>
      </c>
      <c r="C3187" s="20" t="s">
        <v>8</v>
      </c>
      <c r="D3187" s="20" t="s">
        <v>10</v>
      </c>
      <c r="E3187" s="20" t="s">
        <v>18</v>
      </c>
      <c r="F3187" s="20" t="str">
        <f>INDEX(nrg_cb_e!$A$3:$A$40,MATCH(LEFT(MID('Industriesektor GWh'!$B3187,41,1000),SEARCH(" - ",MID('Industriesektor GWh'!$B3187,41,1000))-1),nrg_cb_e!$C$3:$C$40,0))</f>
        <v>FC_IND_MAC_E</v>
      </c>
      <c r="G3187" s="21">
        <v>891</v>
      </c>
    </row>
    <row r="3188" spans="1:7" x14ac:dyDescent="0.2">
      <c r="A3188" s="16" t="s">
        <v>30</v>
      </c>
      <c r="B3188" s="17" t="s">
        <v>67</v>
      </c>
      <c r="C3188" s="17" t="s">
        <v>8</v>
      </c>
      <c r="D3188" s="17" t="s">
        <v>10</v>
      </c>
      <c r="E3188" s="17" t="s">
        <v>19</v>
      </c>
      <c r="F3188" s="17" t="str">
        <f>INDEX(nrg_cb_e!$A$3:$A$40,MATCH(LEFT(MID('Industriesektor GWh'!$B3188,41,1000),SEARCH(" - ",MID('Industriesektor GWh'!$B3188,41,1000))-1),nrg_cb_e!$C$3:$C$40,0))</f>
        <v>FC_IND_MAC_E</v>
      </c>
      <c r="G3188" s="18">
        <v>685</v>
      </c>
    </row>
    <row r="3189" spans="1:7" x14ac:dyDescent="0.2">
      <c r="A3189" s="19" t="s">
        <v>30</v>
      </c>
      <c r="B3189" s="20" t="s">
        <v>67</v>
      </c>
      <c r="C3189" s="20" t="s">
        <v>8</v>
      </c>
      <c r="D3189" s="20" t="s">
        <v>10</v>
      </c>
      <c r="E3189" s="20" t="s">
        <v>20</v>
      </c>
      <c r="F3189" s="20" t="str">
        <f>INDEX(nrg_cb_e!$A$3:$A$40,MATCH(LEFT(MID('Industriesektor GWh'!$B3189,41,1000),SEARCH(" - ",MID('Industriesektor GWh'!$B3189,41,1000))-1),nrg_cb_e!$C$3:$C$40,0))</f>
        <v>FC_IND_MAC_E</v>
      </c>
      <c r="G3189" s="21">
        <v>738</v>
      </c>
    </row>
    <row r="3190" spans="1:7" x14ac:dyDescent="0.2">
      <c r="A3190" s="16" t="s">
        <v>30</v>
      </c>
      <c r="B3190" s="17" t="s">
        <v>67</v>
      </c>
      <c r="C3190" s="17" t="s">
        <v>8</v>
      </c>
      <c r="D3190" s="17" t="s">
        <v>10</v>
      </c>
      <c r="E3190" s="17" t="s">
        <v>21</v>
      </c>
      <c r="F3190" s="17" t="str">
        <f>INDEX(nrg_cb_e!$A$3:$A$40,MATCH(LEFT(MID('Industriesektor GWh'!$B3190,41,1000),SEARCH(" - ",MID('Industriesektor GWh'!$B3190,41,1000))-1),nrg_cb_e!$C$3:$C$40,0))</f>
        <v>FC_IND_MAC_E</v>
      </c>
      <c r="G3190" s="18">
        <v>912</v>
      </c>
    </row>
    <row r="3191" spans="1:7" x14ac:dyDescent="0.2">
      <c r="A3191" s="19" t="s">
        <v>30</v>
      </c>
      <c r="B3191" s="20" t="s">
        <v>67</v>
      </c>
      <c r="C3191" s="20" t="s">
        <v>8</v>
      </c>
      <c r="D3191" s="20" t="s">
        <v>10</v>
      </c>
      <c r="E3191" s="20" t="s">
        <v>22</v>
      </c>
      <c r="F3191" s="20" t="str">
        <f>INDEX(nrg_cb_e!$A$3:$A$40,MATCH(LEFT(MID('Industriesektor GWh'!$B3191,41,1000),SEARCH(" - ",MID('Industriesektor GWh'!$B3191,41,1000))-1),nrg_cb_e!$C$3:$C$40,0))</f>
        <v>FC_IND_MAC_E</v>
      </c>
      <c r="G3191" s="21">
        <v>901</v>
      </c>
    </row>
    <row r="3192" spans="1:7" x14ac:dyDescent="0.2">
      <c r="A3192" s="16" t="s">
        <v>30</v>
      </c>
      <c r="B3192" s="17" t="s">
        <v>67</v>
      </c>
      <c r="C3192" s="17" t="s">
        <v>8</v>
      </c>
      <c r="D3192" s="17" t="s">
        <v>10</v>
      </c>
      <c r="E3192" s="17" t="s">
        <v>23</v>
      </c>
      <c r="F3192" s="17" t="str">
        <f>INDEX(nrg_cb_e!$A$3:$A$40,MATCH(LEFT(MID('Industriesektor GWh'!$B3192,41,1000),SEARCH(" - ",MID('Industriesektor GWh'!$B3192,41,1000))-1),nrg_cb_e!$C$3:$C$40,0))</f>
        <v>FC_IND_MAC_E</v>
      </c>
      <c r="G3192" s="18">
        <v>905</v>
      </c>
    </row>
    <row r="3193" spans="1:7" x14ac:dyDescent="0.2">
      <c r="A3193" s="19" t="s">
        <v>30</v>
      </c>
      <c r="B3193" s="20" t="s">
        <v>67</v>
      </c>
      <c r="C3193" s="20" t="s">
        <v>8</v>
      </c>
      <c r="D3193" s="20" t="s">
        <v>10</v>
      </c>
      <c r="E3193" s="20" t="s">
        <v>24</v>
      </c>
      <c r="F3193" s="20" t="str">
        <f>INDEX(nrg_cb_e!$A$3:$A$40,MATCH(LEFT(MID('Industriesektor GWh'!$B3193,41,1000),SEARCH(" - ",MID('Industriesektor GWh'!$B3193,41,1000))-1),nrg_cb_e!$C$3:$C$40,0))</f>
        <v>FC_IND_MAC_E</v>
      </c>
      <c r="G3193" s="21">
        <v>902</v>
      </c>
    </row>
    <row r="3194" spans="1:7" x14ac:dyDescent="0.2">
      <c r="A3194" s="16" t="s">
        <v>30</v>
      </c>
      <c r="B3194" s="17" t="s">
        <v>67</v>
      </c>
      <c r="C3194" s="17" t="s">
        <v>8</v>
      </c>
      <c r="D3194" s="17" t="s">
        <v>10</v>
      </c>
      <c r="E3194" s="17" t="s">
        <v>25</v>
      </c>
      <c r="F3194" s="17" t="str">
        <f>INDEX(nrg_cb_e!$A$3:$A$40,MATCH(LEFT(MID('Industriesektor GWh'!$B3194,41,1000),SEARCH(" - ",MID('Industriesektor GWh'!$B3194,41,1000))-1),nrg_cb_e!$C$3:$C$40,0))</f>
        <v>FC_IND_MAC_E</v>
      </c>
      <c r="G3194" s="18">
        <v>931</v>
      </c>
    </row>
    <row r="3195" spans="1:7" x14ac:dyDescent="0.2">
      <c r="A3195" s="19" t="s">
        <v>30</v>
      </c>
      <c r="B3195" s="20" t="s">
        <v>67</v>
      </c>
      <c r="C3195" s="20" t="s">
        <v>8</v>
      </c>
      <c r="D3195" s="20" t="s">
        <v>10</v>
      </c>
      <c r="E3195" s="20" t="s">
        <v>26</v>
      </c>
      <c r="F3195" s="20" t="str">
        <f>INDEX(nrg_cb_e!$A$3:$A$40,MATCH(LEFT(MID('Industriesektor GWh'!$B3195,41,1000),SEARCH(" - ",MID('Industriesektor GWh'!$B3195,41,1000))-1),nrg_cb_e!$C$3:$C$40,0))</f>
        <v>FC_IND_MAC_E</v>
      </c>
      <c r="G3195" s="21">
        <v>984</v>
      </c>
    </row>
    <row r="3196" spans="1:7" x14ac:dyDescent="0.2">
      <c r="A3196" s="16" t="s">
        <v>30</v>
      </c>
      <c r="B3196" s="17" t="s">
        <v>67</v>
      </c>
      <c r="C3196" s="17" t="s">
        <v>8</v>
      </c>
      <c r="D3196" s="17" t="s">
        <v>10</v>
      </c>
      <c r="E3196" s="17" t="s">
        <v>27</v>
      </c>
      <c r="F3196" s="17" t="str">
        <f>INDEX(nrg_cb_e!$A$3:$A$40,MATCH(LEFT(MID('Industriesektor GWh'!$B3196,41,1000),SEARCH(" - ",MID('Industriesektor GWh'!$B3196,41,1000))-1),nrg_cb_e!$C$3:$C$40,0))</f>
        <v>FC_IND_MAC_E</v>
      </c>
      <c r="G3196" s="18">
        <v>1035.056</v>
      </c>
    </row>
    <row r="3197" spans="1:7" x14ac:dyDescent="0.2">
      <c r="A3197" s="19" t="s">
        <v>30</v>
      </c>
      <c r="B3197" s="20" t="s">
        <v>67</v>
      </c>
      <c r="C3197" s="20" t="s">
        <v>8</v>
      </c>
      <c r="D3197" s="20" t="s">
        <v>10</v>
      </c>
      <c r="E3197" s="20" t="s">
        <v>28</v>
      </c>
      <c r="F3197" s="20" t="str">
        <f>INDEX(nrg_cb_e!$A$3:$A$40,MATCH(LEFT(MID('Industriesektor GWh'!$B3197,41,1000),SEARCH(" - ",MID('Industriesektor GWh'!$B3197,41,1000))-1),nrg_cb_e!$C$3:$C$40,0))</f>
        <v>FC_IND_MAC_E</v>
      </c>
      <c r="G3197" s="21">
        <v>1070.636</v>
      </c>
    </row>
    <row r="3198" spans="1:7" x14ac:dyDescent="0.2">
      <c r="A3198" s="16" t="s">
        <v>31</v>
      </c>
      <c r="B3198" s="17" t="s">
        <v>67</v>
      </c>
      <c r="C3198" s="17" t="s">
        <v>8</v>
      </c>
      <c r="D3198" s="17" t="s">
        <v>10</v>
      </c>
      <c r="E3198" s="17" t="s">
        <v>12</v>
      </c>
      <c r="F3198" s="17" t="str">
        <f>INDEX(nrg_cb_e!$A$3:$A$40,MATCH(LEFT(MID('Industriesektor GWh'!$B3198,41,1000),SEARCH(" - ",MID('Industriesektor GWh'!$B3198,41,1000))-1),nrg_cb_e!$C$3:$C$40,0))</f>
        <v>FC_IND_MAC_E</v>
      </c>
      <c r="G3198" s="18">
        <v>2571</v>
      </c>
    </row>
    <row r="3199" spans="1:7" x14ac:dyDescent="0.2">
      <c r="A3199" s="19" t="s">
        <v>31</v>
      </c>
      <c r="B3199" s="20" t="s">
        <v>67</v>
      </c>
      <c r="C3199" s="20" t="s">
        <v>8</v>
      </c>
      <c r="D3199" s="20" t="s">
        <v>10</v>
      </c>
      <c r="E3199" s="20" t="s">
        <v>13</v>
      </c>
      <c r="F3199" s="20" t="str">
        <f>INDEX(nrg_cb_e!$A$3:$A$40,MATCH(LEFT(MID('Industriesektor GWh'!$B3199,41,1000),SEARCH(" - ",MID('Industriesektor GWh'!$B3199,41,1000))-1),nrg_cb_e!$C$3:$C$40,0))</f>
        <v>FC_IND_MAC_E</v>
      </c>
      <c r="G3199" s="21">
        <v>2711</v>
      </c>
    </row>
    <row r="3200" spans="1:7" x14ac:dyDescent="0.2">
      <c r="A3200" s="16" t="s">
        <v>31</v>
      </c>
      <c r="B3200" s="17" t="s">
        <v>67</v>
      </c>
      <c r="C3200" s="17" t="s">
        <v>8</v>
      </c>
      <c r="D3200" s="17" t="s">
        <v>10</v>
      </c>
      <c r="E3200" s="17" t="s">
        <v>14</v>
      </c>
      <c r="F3200" s="17" t="str">
        <f>INDEX(nrg_cb_e!$A$3:$A$40,MATCH(LEFT(MID('Industriesektor GWh'!$B3200,41,1000),SEARCH(" - ",MID('Industriesektor GWh'!$B3200,41,1000))-1),nrg_cb_e!$C$3:$C$40,0))</f>
        <v>FC_IND_MAC_E</v>
      </c>
      <c r="G3200" s="18">
        <v>3163</v>
      </c>
    </row>
    <row r="3201" spans="1:7" x14ac:dyDescent="0.2">
      <c r="A3201" s="19" t="s">
        <v>31</v>
      </c>
      <c r="B3201" s="20" t="s">
        <v>67</v>
      </c>
      <c r="C3201" s="20" t="s">
        <v>8</v>
      </c>
      <c r="D3201" s="20" t="s">
        <v>10</v>
      </c>
      <c r="E3201" s="20" t="s">
        <v>15</v>
      </c>
      <c r="F3201" s="20" t="str">
        <f>INDEX(nrg_cb_e!$A$3:$A$40,MATCH(LEFT(MID('Industriesektor GWh'!$B3201,41,1000),SEARCH(" - ",MID('Industriesektor GWh'!$B3201,41,1000))-1),nrg_cb_e!$C$3:$C$40,0))</f>
        <v>FC_IND_MAC_E</v>
      </c>
      <c r="G3201" s="21">
        <v>3403</v>
      </c>
    </row>
    <row r="3202" spans="1:7" x14ac:dyDescent="0.2">
      <c r="A3202" s="16" t="s">
        <v>31</v>
      </c>
      <c r="B3202" s="17" t="s">
        <v>67</v>
      </c>
      <c r="C3202" s="17" t="s">
        <v>8</v>
      </c>
      <c r="D3202" s="17" t="s">
        <v>10</v>
      </c>
      <c r="E3202" s="17" t="s">
        <v>16</v>
      </c>
      <c r="F3202" s="17" t="str">
        <f>INDEX(nrg_cb_e!$A$3:$A$40,MATCH(LEFT(MID('Industriesektor GWh'!$B3202,41,1000),SEARCH(" - ",MID('Industriesektor GWh'!$B3202,41,1000))-1),nrg_cb_e!$C$3:$C$40,0))</f>
        <v>FC_IND_MAC_E</v>
      </c>
      <c r="G3202" s="18">
        <v>3521</v>
      </c>
    </row>
    <row r="3203" spans="1:7" x14ac:dyDescent="0.2">
      <c r="A3203" s="19" t="s">
        <v>31</v>
      </c>
      <c r="B3203" s="20" t="s">
        <v>67</v>
      </c>
      <c r="C3203" s="20" t="s">
        <v>8</v>
      </c>
      <c r="D3203" s="20" t="s">
        <v>10</v>
      </c>
      <c r="E3203" s="20" t="s">
        <v>17</v>
      </c>
      <c r="F3203" s="20" t="str">
        <f>INDEX(nrg_cb_e!$A$3:$A$40,MATCH(LEFT(MID('Industriesektor GWh'!$B3203,41,1000),SEARCH(" - ",MID('Industriesektor GWh'!$B3203,41,1000))-1),nrg_cb_e!$C$3:$C$40,0))</f>
        <v>FC_IND_MAC_E</v>
      </c>
      <c r="G3203" s="21">
        <v>3882</v>
      </c>
    </row>
    <row r="3204" spans="1:7" x14ac:dyDescent="0.2">
      <c r="A3204" s="16" t="s">
        <v>31</v>
      </c>
      <c r="B3204" s="17" t="s">
        <v>67</v>
      </c>
      <c r="C3204" s="17" t="s">
        <v>8</v>
      </c>
      <c r="D3204" s="17" t="s">
        <v>10</v>
      </c>
      <c r="E3204" s="17" t="s">
        <v>18</v>
      </c>
      <c r="F3204" s="17" t="str">
        <f>INDEX(nrg_cb_e!$A$3:$A$40,MATCH(LEFT(MID('Industriesektor GWh'!$B3204,41,1000),SEARCH(" - ",MID('Industriesektor GWh'!$B3204,41,1000))-1),nrg_cb_e!$C$3:$C$40,0))</f>
        <v>FC_IND_MAC_E</v>
      </c>
      <c r="G3204" s="18">
        <v>4004</v>
      </c>
    </row>
    <row r="3205" spans="1:7" x14ac:dyDescent="0.2">
      <c r="A3205" s="19" t="s">
        <v>31</v>
      </c>
      <c r="B3205" s="20" t="s">
        <v>67</v>
      </c>
      <c r="C3205" s="20" t="s">
        <v>8</v>
      </c>
      <c r="D3205" s="20" t="s">
        <v>10</v>
      </c>
      <c r="E3205" s="20" t="s">
        <v>19</v>
      </c>
      <c r="F3205" s="20" t="str">
        <f>INDEX(nrg_cb_e!$A$3:$A$40,MATCH(LEFT(MID('Industriesektor GWh'!$B3205,41,1000),SEARCH(" - ",MID('Industriesektor GWh'!$B3205,41,1000))-1),nrg_cb_e!$C$3:$C$40,0))</f>
        <v>FC_IND_MAC_E</v>
      </c>
      <c r="G3205" s="21">
        <v>3101</v>
      </c>
    </row>
    <row r="3206" spans="1:7" x14ac:dyDescent="0.2">
      <c r="A3206" s="16" t="s">
        <v>31</v>
      </c>
      <c r="B3206" s="17" t="s">
        <v>67</v>
      </c>
      <c r="C3206" s="17" t="s">
        <v>8</v>
      </c>
      <c r="D3206" s="17" t="s">
        <v>10</v>
      </c>
      <c r="E3206" s="17" t="s">
        <v>20</v>
      </c>
      <c r="F3206" s="17" t="str">
        <f>INDEX(nrg_cb_e!$A$3:$A$40,MATCH(LEFT(MID('Industriesektor GWh'!$B3206,41,1000),SEARCH(" - ",MID('Industriesektor GWh'!$B3206,41,1000))-1),nrg_cb_e!$C$3:$C$40,0))</f>
        <v>FC_IND_MAC_E</v>
      </c>
      <c r="G3206" s="18">
        <v>3545</v>
      </c>
    </row>
    <row r="3207" spans="1:7" x14ac:dyDescent="0.2">
      <c r="A3207" s="19" t="s">
        <v>31</v>
      </c>
      <c r="B3207" s="20" t="s">
        <v>67</v>
      </c>
      <c r="C3207" s="20" t="s">
        <v>8</v>
      </c>
      <c r="D3207" s="20" t="s">
        <v>10</v>
      </c>
      <c r="E3207" s="20" t="s">
        <v>21</v>
      </c>
      <c r="F3207" s="20" t="str">
        <f>INDEX(nrg_cb_e!$A$3:$A$40,MATCH(LEFT(MID('Industriesektor GWh'!$B3207,41,1000),SEARCH(" - ",MID('Industriesektor GWh'!$B3207,41,1000))-1),nrg_cb_e!$C$3:$C$40,0))</f>
        <v>FC_IND_MAC_E</v>
      </c>
      <c r="G3207" s="21">
        <v>3820</v>
      </c>
    </row>
    <row r="3208" spans="1:7" x14ac:dyDescent="0.2">
      <c r="A3208" s="16" t="s">
        <v>31</v>
      </c>
      <c r="B3208" s="17" t="s">
        <v>67</v>
      </c>
      <c r="C3208" s="17" t="s">
        <v>8</v>
      </c>
      <c r="D3208" s="17" t="s">
        <v>10</v>
      </c>
      <c r="E3208" s="17" t="s">
        <v>22</v>
      </c>
      <c r="F3208" s="17" t="str">
        <f>INDEX(nrg_cb_e!$A$3:$A$40,MATCH(LEFT(MID('Industriesektor GWh'!$B3208,41,1000),SEARCH(" - ",MID('Industriesektor GWh'!$B3208,41,1000))-1),nrg_cb_e!$C$3:$C$40,0))</f>
        <v>FC_IND_MAC_E</v>
      </c>
      <c r="G3208" s="18">
        <v>3864</v>
      </c>
    </row>
    <row r="3209" spans="1:7" x14ac:dyDescent="0.2">
      <c r="A3209" s="19" t="s">
        <v>31</v>
      </c>
      <c r="B3209" s="20" t="s">
        <v>67</v>
      </c>
      <c r="C3209" s="20" t="s">
        <v>8</v>
      </c>
      <c r="D3209" s="20" t="s">
        <v>10</v>
      </c>
      <c r="E3209" s="20" t="s">
        <v>23</v>
      </c>
      <c r="F3209" s="20" t="str">
        <f>INDEX(nrg_cb_e!$A$3:$A$40,MATCH(LEFT(MID('Industriesektor GWh'!$B3209,41,1000),SEARCH(" - ",MID('Industriesektor GWh'!$B3209,41,1000))-1),nrg_cb_e!$C$3:$C$40,0))</f>
        <v>FC_IND_MAC_E</v>
      </c>
      <c r="G3209" s="21">
        <v>3724</v>
      </c>
    </row>
    <row r="3210" spans="1:7" x14ac:dyDescent="0.2">
      <c r="A3210" s="16" t="s">
        <v>31</v>
      </c>
      <c r="B3210" s="17" t="s">
        <v>67</v>
      </c>
      <c r="C3210" s="17" t="s">
        <v>8</v>
      </c>
      <c r="D3210" s="17" t="s">
        <v>10</v>
      </c>
      <c r="E3210" s="17" t="s">
        <v>24</v>
      </c>
      <c r="F3210" s="17" t="str">
        <f>INDEX(nrg_cb_e!$A$3:$A$40,MATCH(LEFT(MID('Industriesektor GWh'!$B3210,41,1000),SEARCH(" - ",MID('Industriesektor GWh'!$B3210,41,1000))-1),nrg_cb_e!$C$3:$C$40,0))</f>
        <v>FC_IND_MAC_E</v>
      </c>
      <c r="G3210" s="18">
        <v>3817</v>
      </c>
    </row>
    <row r="3211" spans="1:7" x14ac:dyDescent="0.2">
      <c r="A3211" s="19" t="s">
        <v>31</v>
      </c>
      <c r="B3211" s="20" t="s">
        <v>67</v>
      </c>
      <c r="C3211" s="20" t="s">
        <v>8</v>
      </c>
      <c r="D3211" s="20" t="s">
        <v>10</v>
      </c>
      <c r="E3211" s="20" t="s">
        <v>25</v>
      </c>
      <c r="F3211" s="20" t="str">
        <f>INDEX(nrg_cb_e!$A$3:$A$40,MATCH(LEFT(MID('Industriesektor GWh'!$B3211,41,1000),SEARCH(" - ",MID('Industriesektor GWh'!$B3211,41,1000))-1),nrg_cb_e!$C$3:$C$40,0))</f>
        <v>FC_IND_MAC_E</v>
      </c>
      <c r="G3211" s="21">
        <v>3996</v>
      </c>
    </row>
    <row r="3212" spans="1:7" x14ac:dyDescent="0.2">
      <c r="A3212" s="16" t="s">
        <v>31</v>
      </c>
      <c r="B3212" s="17" t="s">
        <v>67</v>
      </c>
      <c r="C3212" s="17" t="s">
        <v>8</v>
      </c>
      <c r="D3212" s="17" t="s">
        <v>10</v>
      </c>
      <c r="E3212" s="17" t="s">
        <v>26</v>
      </c>
      <c r="F3212" s="17" t="str">
        <f>INDEX(nrg_cb_e!$A$3:$A$40,MATCH(LEFT(MID('Industriesektor GWh'!$B3212,41,1000),SEARCH(" - ",MID('Industriesektor GWh'!$B3212,41,1000))-1),nrg_cb_e!$C$3:$C$40,0))</f>
        <v>FC_IND_MAC_E</v>
      </c>
      <c r="G3212" s="18">
        <v>4069</v>
      </c>
    </row>
    <row r="3213" spans="1:7" x14ac:dyDescent="0.2">
      <c r="A3213" s="19" t="s">
        <v>31</v>
      </c>
      <c r="B3213" s="20" t="s">
        <v>67</v>
      </c>
      <c r="C3213" s="20" t="s">
        <v>8</v>
      </c>
      <c r="D3213" s="20" t="s">
        <v>10</v>
      </c>
      <c r="E3213" s="20" t="s">
        <v>27</v>
      </c>
      <c r="F3213" s="20" t="str">
        <f>INDEX(nrg_cb_e!$A$3:$A$40,MATCH(LEFT(MID('Industriesektor GWh'!$B3213,41,1000),SEARCH(" - ",MID('Industriesektor GWh'!$B3213,41,1000))-1),nrg_cb_e!$C$3:$C$40,0))</f>
        <v>FC_IND_MAC_E</v>
      </c>
      <c r="G3213" s="21">
        <v>4343.018</v>
      </c>
    </row>
    <row r="3214" spans="1:7" x14ac:dyDescent="0.2">
      <c r="A3214" s="16" t="s">
        <v>31</v>
      </c>
      <c r="B3214" s="17" t="s">
        <v>67</v>
      </c>
      <c r="C3214" s="17" t="s">
        <v>8</v>
      </c>
      <c r="D3214" s="17" t="s">
        <v>10</v>
      </c>
      <c r="E3214" s="17" t="s">
        <v>28</v>
      </c>
      <c r="F3214" s="17" t="str">
        <f>INDEX(nrg_cb_e!$A$3:$A$40,MATCH(LEFT(MID('Industriesektor GWh'!$B3214,41,1000),SEARCH(" - ",MID('Industriesektor GWh'!$B3214,41,1000))-1),nrg_cb_e!$C$3:$C$40,0))</f>
        <v>FC_IND_MAC_E</v>
      </c>
      <c r="G3214" s="18">
        <v>4262.6899999999996</v>
      </c>
    </row>
    <row r="3215" spans="1:7" x14ac:dyDescent="0.2">
      <c r="A3215" s="19" t="s">
        <v>32</v>
      </c>
      <c r="B3215" s="20" t="s">
        <v>67</v>
      </c>
      <c r="C3215" s="20" t="s">
        <v>8</v>
      </c>
      <c r="D3215" s="20" t="s">
        <v>10</v>
      </c>
      <c r="E3215" s="20" t="s">
        <v>12</v>
      </c>
      <c r="F3215" s="20" t="str">
        <f>INDEX(nrg_cb_e!$A$3:$A$40,MATCH(LEFT(MID('Industriesektor GWh'!$B3215,41,1000),SEARCH(" - ",MID('Industriesektor GWh'!$B3215,41,1000))-1),nrg_cb_e!$C$3:$C$40,0))</f>
        <v>FC_IND_MAC_E</v>
      </c>
      <c r="G3215" s="21">
        <v>1567</v>
      </c>
    </row>
    <row r="3216" spans="1:7" x14ac:dyDescent="0.2">
      <c r="A3216" s="16" t="s">
        <v>32</v>
      </c>
      <c r="B3216" s="17" t="s">
        <v>67</v>
      </c>
      <c r="C3216" s="17" t="s">
        <v>8</v>
      </c>
      <c r="D3216" s="17" t="s">
        <v>10</v>
      </c>
      <c r="E3216" s="17" t="s">
        <v>13</v>
      </c>
      <c r="F3216" s="17" t="str">
        <f>INDEX(nrg_cb_e!$A$3:$A$40,MATCH(LEFT(MID('Industriesektor GWh'!$B3216,41,1000),SEARCH(" - ",MID('Industriesektor GWh'!$B3216,41,1000))-1),nrg_cb_e!$C$3:$C$40,0))</f>
        <v>FC_IND_MAC_E</v>
      </c>
      <c r="G3216" s="18">
        <v>1556</v>
      </c>
    </row>
    <row r="3217" spans="1:7" x14ac:dyDescent="0.2">
      <c r="A3217" s="19" t="s">
        <v>32</v>
      </c>
      <c r="B3217" s="20" t="s">
        <v>67</v>
      </c>
      <c r="C3217" s="20" t="s">
        <v>8</v>
      </c>
      <c r="D3217" s="20" t="s">
        <v>10</v>
      </c>
      <c r="E3217" s="20" t="s">
        <v>14</v>
      </c>
      <c r="F3217" s="20" t="str">
        <f>INDEX(nrg_cb_e!$A$3:$A$40,MATCH(LEFT(MID('Industriesektor GWh'!$B3217,41,1000),SEARCH(" - ",MID('Industriesektor GWh'!$B3217,41,1000))-1),nrg_cb_e!$C$3:$C$40,0))</f>
        <v>FC_IND_MAC_E</v>
      </c>
      <c r="G3217" s="21">
        <v>1618</v>
      </c>
    </row>
    <row r="3218" spans="1:7" x14ac:dyDescent="0.2">
      <c r="A3218" s="16" t="s">
        <v>32</v>
      </c>
      <c r="B3218" s="17" t="s">
        <v>67</v>
      </c>
      <c r="C3218" s="17" t="s">
        <v>8</v>
      </c>
      <c r="D3218" s="17" t="s">
        <v>10</v>
      </c>
      <c r="E3218" s="17" t="s">
        <v>15</v>
      </c>
      <c r="F3218" s="17" t="str">
        <f>INDEX(nrg_cb_e!$A$3:$A$40,MATCH(LEFT(MID('Industriesektor GWh'!$B3218,41,1000),SEARCH(" - ",MID('Industriesektor GWh'!$B3218,41,1000))-1),nrg_cb_e!$C$3:$C$40,0))</f>
        <v>FC_IND_MAC_E</v>
      </c>
      <c r="G3218" s="18">
        <v>1647</v>
      </c>
    </row>
    <row r="3219" spans="1:7" x14ac:dyDescent="0.2">
      <c r="A3219" s="19" t="s">
        <v>32</v>
      </c>
      <c r="B3219" s="20" t="s">
        <v>67</v>
      </c>
      <c r="C3219" s="20" t="s">
        <v>8</v>
      </c>
      <c r="D3219" s="20" t="s">
        <v>10</v>
      </c>
      <c r="E3219" s="20" t="s">
        <v>16</v>
      </c>
      <c r="F3219" s="20" t="str">
        <f>INDEX(nrg_cb_e!$A$3:$A$40,MATCH(LEFT(MID('Industriesektor GWh'!$B3219,41,1000),SEARCH(" - ",MID('Industriesektor GWh'!$B3219,41,1000))-1),nrg_cb_e!$C$3:$C$40,0))</f>
        <v>FC_IND_MAC_E</v>
      </c>
      <c r="G3219" s="21">
        <v>1695</v>
      </c>
    </row>
    <row r="3220" spans="1:7" x14ac:dyDescent="0.2">
      <c r="A3220" s="16" t="s">
        <v>32</v>
      </c>
      <c r="B3220" s="17" t="s">
        <v>67</v>
      </c>
      <c r="C3220" s="17" t="s">
        <v>8</v>
      </c>
      <c r="D3220" s="17" t="s">
        <v>10</v>
      </c>
      <c r="E3220" s="17" t="s">
        <v>17</v>
      </c>
      <c r="F3220" s="17" t="str">
        <f>INDEX(nrg_cb_e!$A$3:$A$40,MATCH(LEFT(MID('Industriesektor GWh'!$B3220,41,1000),SEARCH(" - ",MID('Industriesektor GWh'!$B3220,41,1000))-1),nrg_cb_e!$C$3:$C$40,0))</f>
        <v>FC_IND_MAC_E</v>
      </c>
      <c r="G3220" s="18">
        <v>1732</v>
      </c>
    </row>
    <row r="3221" spans="1:7" x14ac:dyDescent="0.2">
      <c r="A3221" s="19" t="s">
        <v>32</v>
      </c>
      <c r="B3221" s="20" t="s">
        <v>67</v>
      </c>
      <c r="C3221" s="20" t="s">
        <v>8</v>
      </c>
      <c r="D3221" s="20" t="s">
        <v>10</v>
      </c>
      <c r="E3221" s="20" t="s">
        <v>18</v>
      </c>
      <c r="F3221" s="20" t="str">
        <f>INDEX(nrg_cb_e!$A$3:$A$40,MATCH(LEFT(MID('Industriesektor GWh'!$B3221,41,1000),SEARCH(" - ",MID('Industriesektor GWh'!$B3221,41,1000))-1),nrg_cb_e!$C$3:$C$40,0))</f>
        <v>FC_IND_MAC_E</v>
      </c>
      <c r="G3221" s="21">
        <v>1667</v>
      </c>
    </row>
    <row r="3222" spans="1:7" x14ac:dyDescent="0.2">
      <c r="A3222" s="16" t="s">
        <v>32</v>
      </c>
      <c r="B3222" s="17" t="s">
        <v>67</v>
      </c>
      <c r="C3222" s="17" t="s">
        <v>8</v>
      </c>
      <c r="D3222" s="17" t="s">
        <v>10</v>
      </c>
      <c r="E3222" s="17" t="s">
        <v>19</v>
      </c>
      <c r="F3222" s="17" t="str">
        <f>INDEX(nrg_cb_e!$A$3:$A$40,MATCH(LEFT(MID('Industriesektor GWh'!$B3222,41,1000),SEARCH(" - ",MID('Industriesektor GWh'!$B3222,41,1000))-1),nrg_cb_e!$C$3:$C$40,0))</f>
        <v>FC_IND_MAC_E</v>
      </c>
      <c r="G3222" s="18">
        <v>1551</v>
      </c>
    </row>
    <row r="3223" spans="1:7" x14ac:dyDescent="0.2">
      <c r="A3223" s="19" t="s">
        <v>32</v>
      </c>
      <c r="B3223" s="20" t="s">
        <v>67</v>
      </c>
      <c r="C3223" s="20" t="s">
        <v>8</v>
      </c>
      <c r="D3223" s="20" t="s">
        <v>10</v>
      </c>
      <c r="E3223" s="20" t="s">
        <v>20</v>
      </c>
      <c r="F3223" s="20" t="str">
        <f>INDEX(nrg_cb_e!$A$3:$A$40,MATCH(LEFT(MID('Industriesektor GWh'!$B3223,41,1000),SEARCH(" - ",MID('Industriesektor GWh'!$B3223,41,1000))-1),nrg_cb_e!$C$3:$C$40,0))</f>
        <v>FC_IND_MAC_E</v>
      </c>
      <c r="G3223" s="21">
        <v>1552</v>
      </c>
    </row>
    <row r="3224" spans="1:7" x14ac:dyDescent="0.2">
      <c r="A3224" s="16" t="s">
        <v>32</v>
      </c>
      <c r="B3224" s="17" t="s">
        <v>67</v>
      </c>
      <c r="C3224" s="17" t="s">
        <v>8</v>
      </c>
      <c r="D3224" s="17" t="s">
        <v>10</v>
      </c>
      <c r="E3224" s="17" t="s">
        <v>21</v>
      </c>
      <c r="F3224" s="17" t="str">
        <f>INDEX(nrg_cb_e!$A$3:$A$40,MATCH(LEFT(MID('Industriesektor GWh'!$B3224,41,1000),SEARCH(" - ",MID('Industriesektor GWh'!$B3224,41,1000))-1),nrg_cb_e!$C$3:$C$40,0))</f>
        <v>FC_IND_MAC_E</v>
      </c>
      <c r="G3224" s="18">
        <v>1548</v>
      </c>
    </row>
    <row r="3225" spans="1:7" x14ac:dyDescent="0.2">
      <c r="A3225" s="19" t="s">
        <v>32</v>
      </c>
      <c r="B3225" s="20" t="s">
        <v>67</v>
      </c>
      <c r="C3225" s="20" t="s">
        <v>8</v>
      </c>
      <c r="D3225" s="20" t="s">
        <v>10</v>
      </c>
      <c r="E3225" s="20" t="s">
        <v>22</v>
      </c>
      <c r="F3225" s="20" t="str">
        <f>INDEX(nrg_cb_e!$A$3:$A$40,MATCH(LEFT(MID('Industriesektor GWh'!$B3225,41,1000),SEARCH(" - ",MID('Industriesektor GWh'!$B3225,41,1000))-1),nrg_cb_e!$C$3:$C$40,0))</f>
        <v>FC_IND_MAC_E</v>
      </c>
      <c r="G3225" s="21">
        <v>1496</v>
      </c>
    </row>
    <row r="3226" spans="1:7" x14ac:dyDescent="0.2">
      <c r="A3226" s="16" t="s">
        <v>32</v>
      </c>
      <c r="B3226" s="17" t="s">
        <v>67</v>
      </c>
      <c r="C3226" s="17" t="s">
        <v>8</v>
      </c>
      <c r="D3226" s="17" t="s">
        <v>10</v>
      </c>
      <c r="E3226" s="17" t="s">
        <v>23</v>
      </c>
      <c r="F3226" s="17" t="str">
        <f>INDEX(nrg_cb_e!$A$3:$A$40,MATCH(LEFT(MID('Industriesektor GWh'!$B3226,41,1000),SEARCH(" - ",MID('Industriesektor GWh'!$B3226,41,1000))-1),nrg_cb_e!$C$3:$C$40,0))</f>
        <v>FC_IND_MAC_E</v>
      </c>
      <c r="G3226" s="18">
        <v>1432</v>
      </c>
    </row>
    <row r="3227" spans="1:7" x14ac:dyDescent="0.2">
      <c r="A3227" s="19" t="s">
        <v>32</v>
      </c>
      <c r="B3227" s="20" t="s">
        <v>67</v>
      </c>
      <c r="C3227" s="20" t="s">
        <v>8</v>
      </c>
      <c r="D3227" s="20" t="s">
        <v>10</v>
      </c>
      <c r="E3227" s="20" t="s">
        <v>24</v>
      </c>
      <c r="F3227" s="20" t="str">
        <f>INDEX(nrg_cb_e!$A$3:$A$40,MATCH(LEFT(MID('Industriesektor GWh'!$B3227,41,1000),SEARCH(" - ",MID('Industriesektor GWh'!$B3227,41,1000))-1),nrg_cb_e!$C$3:$C$40,0))</f>
        <v>FC_IND_MAC_E</v>
      </c>
      <c r="G3227" s="21">
        <v>1400</v>
      </c>
    </row>
    <row r="3228" spans="1:7" x14ac:dyDescent="0.2">
      <c r="A3228" s="16" t="s">
        <v>32</v>
      </c>
      <c r="B3228" s="17" t="s">
        <v>67</v>
      </c>
      <c r="C3228" s="17" t="s">
        <v>8</v>
      </c>
      <c r="D3228" s="17" t="s">
        <v>10</v>
      </c>
      <c r="E3228" s="17" t="s">
        <v>25</v>
      </c>
      <c r="F3228" s="17" t="str">
        <f>INDEX(nrg_cb_e!$A$3:$A$40,MATCH(LEFT(MID('Industriesektor GWh'!$B3228,41,1000),SEARCH(" - ",MID('Industriesektor GWh'!$B3228,41,1000))-1),nrg_cb_e!$C$3:$C$40,0))</f>
        <v>FC_IND_MAC_E</v>
      </c>
      <c r="G3228" s="18">
        <v>1409.174</v>
      </c>
    </row>
    <row r="3229" spans="1:7" x14ac:dyDescent="0.2">
      <c r="A3229" s="19" t="s">
        <v>32</v>
      </c>
      <c r="B3229" s="20" t="s">
        <v>67</v>
      </c>
      <c r="C3229" s="20" t="s">
        <v>8</v>
      </c>
      <c r="D3229" s="20" t="s">
        <v>10</v>
      </c>
      <c r="E3229" s="20" t="s">
        <v>26</v>
      </c>
      <c r="F3229" s="20" t="str">
        <f>INDEX(nrg_cb_e!$A$3:$A$40,MATCH(LEFT(MID('Industriesektor GWh'!$B3229,41,1000),SEARCH(" - ",MID('Industriesektor GWh'!$B3229,41,1000))-1),nrg_cb_e!$C$3:$C$40,0))</f>
        <v>FC_IND_MAC_E</v>
      </c>
      <c r="G3229" s="21">
        <v>1319.8330000000001</v>
      </c>
    </row>
    <row r="3230" spans="1:7" x14ac:dyDescent="0.2">
      <c r="A3230" s="16" t="s">
        <v>32</v>
      </c>
      <c r="B3230" s="17" t="s">
        <v>67</v>
      </c>
      <c r="C3230" s="17" t="s">
        <v>8</v>
      </c>
      <c r="D3230" s="17" t="s">
        <v>10</v>
      </c>
      <c r="E3230" s="17" t="s">
        <v>27</v>
      </c>
      <c r="F3230" s="17" t="str">
        <f>INDEX(nrg_cb_e!$A$3:$A$40,MATCH(LEFT(MID('Industriesektor GWh'!$B3230,41,1000),SEARCH(" - ",MID('Industriesektor GWh'!$B3230,41,1000))-1),nrg_cb_e!$C$3:$C$40,0))</f>
        <v>FC_IND_MAC_E</v>
      </c>
      <c r="G3230" s="18">
        <v>1340.0830000000001</v>
      </c>
    </row>
    <row r="3231" spans="1:7" x14ac:dyDescent="0.2">
      <c r="A3231" s="19" t="s">
        <v>32</v>
      </c>
      <c r="B3231" s="20" t="s">
        <v>67</v>
      </c>
      <c r="C3231" s="20" t="s">
        <v>8</v>
      </c>
      <c r="D3231" s="20" t="s">
        <v>10</v>
      </c>
      <c r="E3231" s="20" t="s">
        <v>28</v>
      </c>
      <c r="F3231" s="20" t="str">
        <f>INDEX(nrg_cb_e!$A$3:$A$40,MATCH(LEFT(MID('Industriesektor GWh'!$B3231,41,1000),SEARCH(" - ",MID('Industriesektor GWh'!$B3231,41,1000))-1),nrg_cb_e!$C$3:$C$40,0))</f>
        <v>FC_IND_MAC_E</v>
      </c>
      <c r="G3231" s="21">
        <v>1338.7809999999999</v>
      </c>
    </row>
    <row r="3232" spans="1:7" x14ac:dyDescent="0.2">
      <c r="A3232" s="16" t="s">
        <v>33</v>
      </c>
      <c r="B3232" s="17" t="s">
        <v>67</v>
      </c>
      <c r="C3232" s="17" t="s">
        <v>8</v>
      </c>
      <c r="D3232" s="17" t="s">
        <v>10</v>
      </c>
      <c r="E3232" s="17" t="s">
        <v>12</v>
      </c>
      <c r="F3232" s="17" t="str">
        <f>INDEX(nrg_cb_e!$A$3:$A$40,MATCH(LEFT(MID('Industriesektor GWh'!$B3232,41,1000),SEARCH(" - ",MID('Industriesektor GWh'!$B3232,41,1000))-1),nrg_cb_e!$C$3:$C$40,0))</f>
        <v>FC_IND_MAC_E</v>
      </c>
      <c r="G3232" s="18">
        <v>10415</v>
      </c>
    </row>
    <row r="3233" spans="1:7" x14ac:dyDescent="0.2">
      <c r="A3233" s="19" t="s">
        <v>33</v>
      </c>
      <c r="B3233" s="20" t="s">
        <v>67</v>
      </c>
      <c r="C3233" s="20" t="s">
        <v>8</v>
      </c>
      <c r="D3233" s="20" t="s">
        <v>10</v>
      </c>
      <c r="E3233" s="20" t="s">
        <v>13</v>
      </c>
      <c r="F3233" s="20" t="str">
        <f>INDEX(nrg_cb_e!$A$3:$A$40,MATCH(LEFT(MID('Industriesektor GWh'!$B3233,41,1000),SEARCH(" - ",MID('Industriesektor GWh'!$B3233,41,1000))-1),nrg_cb_e!$C$3:$C$40,0))</f>
        <v>FC_IND_MAC_E</v>
      </c>
      <c r="G3233" s="21">
        <v>24573</v>
      </c>
    </row>
    <row r="3234" spans="1:7" x14ac:dyDescent="0.2">
      <c r="A3234" s="16" t="s">
        <v>33</v>
      </c>
      <c r="B3234" s="17" t="s">
        <v>67</v>
      </c>
      <c r="C3234" s="17" t="s">
        <v>8</v>
      </c>
      <c r="D3234" s="17" t="s">
        <v>10</v>
      </c>
      <c r="E3234" s="17" t="s">
        <v>14</v>
      </c>
      <c r="F3234" s="17" t="str">
        <f>INDEX(nrg_cb_e!$A$3:$A$40,MATCH(LEFT(MID('Industriesektor GWh'!$B3234,41,1000),SEARCH(" - ",MID('Industriesektor GWh'!$B3234,41,1000))-1),nrg_cb_e!$C$3:$C$40,0))</f>
        <v>FC_IND_MAC_E</v>
      </c>
      <c r="G3234" s="18">
        <v>24347</v>
      </c>
    </row>
    <row r="3235" spans="1:7" x14ac:dyDescent="0.2">
      <c r="A3235" s="19" t="s">
        <v>33</v>
      </c>
      <c r="B3235" s="20" t="s">
        <v>67</v>
      </c>
      <c r="C3235" s="20" t="s">
        <v>8</v>
      </c>
      <c r="D3235" s="20" t="s">
        <v>10</v>
      </c>
      <c r="E3235" s="20" t="s">
        <v>15</v>
      </c>
      <c r="F3235" s="20" t="str">
        <f>INDEX(nrg_cb_e!$A$3:$A$40,MATCH(LEFT(MID('Industriesektor GWh'!$B3235,41,1000),SEARCH(" - ",MID('Industriesektor GWh'!$B3235,41,1000))-1),nrg_cb_e!$C$3:$C$40,0))</f>
        <v>FC_IND_MAC_E</v>
      </c>
      <c r="G3235" s="21">
        <v>24293</v>
      </c>
    </row>
    <row r="3236" spans="1:7" x14ac:dyDescent="0.2">
      <c r="A3236" s="16" t="s">
        <v>33</v>
      </c>
      <c r="B3236" s="17" t="s">
        <v>67</v>
      </c>
      <c r="C3236" s="17" t="s">
        <v>8</v>
      </c>
      <c r="D3236" s="17" t="s">
        <v>10</v>
      </c>
      <c r="E3236" s="17" t="s">
        <v>16</v>
      </c>
      <c r="F3236" s="17" t="str">
        <f>INDEX(nrg_cb_e!$A$3:$A$40,MATCH(LEFT(MID('Industriesektor GWh'!$B3236,41,1000),SEARCH(" - ",MID('Industriesektor GWh'!$B3236,41,1000))-1),nrg_cb_e!$C$3:$C$40,0))</f>
        <v>FC_IND_MAC_E</v>
      </c>
      <c r="G3236" s="18">
        <v>25438</v>
      </c>
    </row>
    <row r="3237" spans="1:7" x14ac:dyDescent="0.2">
      <c r="A3237" s="19" t="s">
        <v>33</v>
      </c>
      <c r="B3237" s="20" t="s">
        <v>67</v>
      </c>
      <c r="C3237" s="20" t="s">
        <v>8</v>
      </c>
      <c r="D3237" s="20" t="s">
        <v>10</v>
      </c>
      <c r="E3237" s="20" t="s">
        <v>17</v>
      </c>
      <c r="F3237" s="20" t="str">
        <f>INDEX(nrg_cb_e!$A$3:$A$40,MATCH(LEFT(MID('Industriesektor GWh'!$B3237,41,1000),SEARCH(" - ",MID('Industriesektor GWh'!$B3237,41,1000))-1),nrg_cb_e!$C$3:$C$40,0))</f>
        <v>FC_IND_MAC_E</v>
      </c>
      <c r="G3237" s="21">
        <v>26559</v>
      </c>
    </row>
    <row r="3238" spans="1:7" x14ac:dyDescent="0.2">
      <c r="A3238" s="16" t="s">
        <v>33</v>
      </c>
      <c r="B3238" s="17" t="s">
        <v>67</v>
      </c>
      <c r="C3238" s="17" t="s">
        <v>8</v>
      </c>
      <c r="D3238" s="17" t="s">
        <v>10</v>
      </c>
      <c r="E3238" s="17" t="s">
        <v>18</v>
      </c>
      <c r="F3238" s="17" t="str">
        <f>INDEX(nrg_cb_e!$A$3:$A$40,MATCH(LEFT(MID('Industriesektor GWh'!$B3238,41,1000),SEARCH(" - ",MID('Industriesektor GWh'!$B3238,41,1000))-1),nrg_cb_e!$C$3:$C$40,0))</f>
        <v>FC_IND_MAC_E</v>
      </c>
      <c r="G3238" s="18">
        <v>36547</v>
      </c>
    </row>
    <row r="3239" spans="1:7" x14ac:dyDescent="0.2">
      <c r="A3239" s="19" t="s">
        <v>33</v>
      </c>
      <c r="B3239" s="20" t="s">
        <v>67</v>
      </c>
      <c r="C3239" s="20" t="s">
        <v>8</v>
      </c>
      <c r="D3239" s="20" t="s">
        <v>10</v>
      </c>
      <c r="E3239" s="20" t="s">
        <v>19</v>
      </c>
      <c r="F3239" s="20" t="str">
        <f>INDEX(nrg_cb_e!$A$3:$A$40,MATCH(LEFT(MID('Industriesektor GWh'!$B3239,41,1000),SEARCH(" - ",MID('Industriesektor GWh'!$B3239,41,1000))-1),nrg_cb_e!$C$3:$C$40,0))</f>
        <v>FC_IND_MAC_E</v>
      </c>
      <c r="G3239" s="21">
        <v>29222</v>
      </c>
    </row>
    <row r="3240" spans="1:7" x14ac:dyDescent="0.2">
      <c r="A3240" s="16" t="s">
        <v>33</v>
      </c>
      <c r="B3240" s="17" t="s">
        <v>67</v>
      </c>
      <c r="C3240" s="17" t="s">
        <v>8</v>
      </c>
      <c r="D3240" s="17" t="s">
        <v>10</v>
      </c>
      <c r="E3240" s="17" t="s">
        <v>20</v>
      </c>
      <c r="F3240" s="17" t="str">
        <f>INDEX(nrg_cb_e!$A$3:$A$40,MATCH(LEFT(MID('Industriesektor GWh'!$B3240,41,1000),SEARCH(" - ",MID('Industriesektor GWh'!$B3240,41,1000))-1),nrg_cb_e!$C$3:$C$40,0))</f>
        <v>FC_IND_MAC_E</v>
      </c>
      <c r="G3240" s="18">
        <v>32910</v>
      </c>
    </row>
    <row r="3241" spans="1:7" x14ac:dyDescent="0.2">
      <c r="A3241" s="19" t="s">
        <v>33</v>
      </c>
      <c r="B3241" s="20" t="s">
        <v>67</v>
      </c>
      <c r="C3241" s="20" t="s">
        <v>8</v>
      </c>
      <c r="D3241" s="20" t="s">
        <v>10</v>
      </c>
      <c r="E3241" s="20" t="s">
        <v>21</v>
      </c>
      <c r="F3241" s="20" t="str">
        <f>INDEX(nrg_cb_e!$A$3:$A$40,MATCH(LEFT(MID('Industriesektor GWh'!$B3241,41,1000),SEARCH(" - ",MID('Industriesektor GWh'!$B3241,41,1000))-1),nrg_cb_e!$C$3:$C$40,0))</f>
        <v>FC_IND_MAC_E</v>
      </c>
      <c r="G3241" s="21">
        <v>36361</v>
      </c>
    </row>
    <row r="3242" spans="1:7" x14ac:dyDescent="0.2">
      <c r="A3242" s="16" t="s">
        <v>33</v>
      </c>
      <c r="B3242" s="17" t="s">
        <v>67</v>
      </c>
      <c r="C3242" s="17" t="s">
        <v>8</v>
      </c>
      <c r="D3242" s="17" t="s">
        <v>10</v>
      </c>
      <c r="E3242" s="17" t="s">
        <v>22</v>
      </c>
      <c r="F3242" s="17" t="str">
        <f>INDEX(nrg_cb_e!$A$3:$A$40,MATCH(LEFT(MID('Industriesektor GWh'!$B3242,41,1000),SEARCH(" - ",MID('Industriesektor GWh'!$B3242,41,1000))-1),nrg_cb_e!$C$3:$C$40,0))</f>
        <v>FC_IND_MAC_E</v>
      </c>
      <c r="G3242" s="18">
        <v>36452</v>
      </c>
    </row>
    <row r="3243" spans="1:7" x14ac:dyDescent="0.2">
      <c r="A3243" s="19" t="s">
        <v>33</v>
      </c>
      <c r="B3243" s="20" t="s">
        <v>67</v>
      </c>
      <c r="C3243" s="20" t="s">
        <v>8</v>
      </c>
      <c r="D3243" s="20" t="s">
        <v>10</v>
      </c>
      <c r="E3243" s="20" t="s">
        <v>23</v>
      </c>
      <c r="F3243" s="20" t="str">
        <f>INDEX(nrg_cb_e!$A$3:$A$40,MATCH(LEFT(MID('Industriesektor GWh'!$B3243,41,1000),SEARCH(" - ",MID('Industriesektor GWh'!$B3243,41,1000))-1),nrg_cb_e!$C$3:$C$40,0))</f>
        <v>FC_IND_MAC_E</v>
      </c>
      <c r="G3243" s="21">
        <v>37202</v>
      </c>
    </row>
    <row r="3244" spans="1:7" x14ac:dyDescent="0.2">
      <c r="A3244" s="16" t="s">
        <v>33</v>
      </c>
      <c r="B3244" s="17" t="s">
        <v>67</v>
      </c>
      <c r="C3244" s="17" t="s">
        <v>8</v>
      </c>
      <c r="D3244" s="17" t="s">
        <v>10</v>
      </c>
      <c r="E3244" s="17" t="s">
        <v>24</v>
      </c>
      <c r="F3244" s="17" t="str">
        <f>INDEX(nrg_cb_e!$A$3:$A$40,MATCH(LEFT(MID('Industriesektor GWh'!$B3244,41,1000),SEARCH(" - ",MID('Industriesektor GWh'!$B3244,41,1000))-1),nrg_cb_e!$C$3:$C$40,0))</f>
        <v>FC_IND_MAC_E</v>
      </c>
      <c r="G3244" s="18">
        <v>39303</v>
      </c>
    </row>
    <row r="3245" spans="1:7" x14ac:dyDescent="0.2">
      <c r="A3245" s="19" t="s">
        <v>33</v>
      </c>
      <c r="B3245" s="20" t="s">
        <v>67</v>
      </c>
      <c r="C3245" s="20" t="s">
        <v>8</v>
      </c>
      <c r="D3245" s="20" t="s">
        <v>10</v>
      </c>
      <c r="E3245" s="20" t="s">
        <v>25</v>
      </c>
      <c r="F3245" s="20" t="str">
        <f>INDEX(nrg_cb_e!$A$3:$A$40,MATCH(LEFT(MID('Industriesektor GWh'!$B3245,41,1000),SEARCH(" - ",MID('Industriesektor GWh'!$B3245,41,1000))-1),nrg_cb_e!$C$3:$C$40,0))</f>
        <v>FC_IND_MAC_E</v>
      </c>
      <c r="G3245" s="21">
        <v>33421</v>
      </c>
    </row>
    <row r="3246" spans="1:7" x14ac:dyDescent="0.2">
      <c r="A3246" s="16" t="s">
        <v>33</v>
      </c>
      <c r="B3246" s="17" t="s">
        <v>67</v>
      </c>
      <c r="C3246" s="17" t="s">
        <v>8</v>
      </c>
      <c r="D3246" s="17" t="s">
        <v>10</v>
      </c>
      <c r="E3246" s="17" t="s">
        <v>26</v>
      </c>
      <c r="F3246" s="17" t="str">
        <f>INDEX(nrg_cb_e!$A$3:$A$40,MATCH(LEFT(MID('Industriesektor GWh'!$B3246,41,1000),SEARCH(" - ",MID('Industriesektor GWh'!$B3246,41,1000))-1),nrg_cb_e!$C$3:$C$40,0))</f>
        <v>FC_IND_MAC_E</v>
      </c>
      <c r="G3246" s="18">
        <v>33466</v>
      </c>
    </row>
    <row r="3247" spans="1:7" x14ac:dyDescent="0.2">
      <c r="A3247" s="19" t="s">
        <v>33</v>
      </c>
      <c r="B3247" s="20" t="s">
        <v>67</v>
      </c>
      <c r="C3247" s="20" t="s">
        <v>8</v>
      </c>
      <c r="D3247" s="20" t="s">
        <v>10</v>
      </c>
      <c r="E3247" s="20" t="s">
        <v>27</v>
      </c>
      <c r="F3247" s="20" t="str">
        <f>INDEX(nrg_cb_e!$A$3:$A$40,MATCH(LEFT(MID('Industriesektor GWh'!$B3247,41,1000),SEARCH(" - ",MID('Industriesektor GWh'!$B3247,41,1000))-1),nrg_cb_e!$C$3:$C$40,0))</f>
        <v>FC_IND_MAC_E</v>
      </c>
      <c r="G3247" s="21">
        <v>33908</v>
      </c>
    </row>
    <row r="3248" spans="1:7" x14ac:dyDescent="0.2">
      <c r="A3248" s="16" t="s">
        <v>33</v>
      </c>
      <c r="B3248" s="17" t="s">
        <v>67</v>
      </c>
      <c r="C3248" s="17" t="s">
        <v>8</v>
      </c>
      <c r="D3248" s="17" t="s">
        <v>10</v>
      </c>
      <c r="E3248" s="17" t="s">
        <v>28</v>
      </c>
      <c r="F3248" s="17" t="str">
        <f>INDEX(nrg_cb_e!$A$3:$A$40,MATCH(LEFT(MID('Industriesektor GWh'!$B3248,41,1000),SEARCH(" - ",MID('Industriesektor GWh'!$B3248,41,1000))-1),nrg_cb_e!$C$3:$C$40,0))</f>
        <v>FC_IND_MAC_E</v>
      </c>
      <c r="G3248" s="18">
        <v>34020</v>
      </c>
    </row>
    <row r="3249" spans="1:7" x14ac:dyDescent="0.2">
      <c r="A3249" s="19" t="s">
        <v>34</v>
      </c>
      <c r="B3249" s="20" t="s">
        <v>67</v>
      </c>
      <c r="C3249" s="20" t="s">
        <v>8</v>
      </c>
      <c r="D3249" s="20" t="s">
        <v>10</v>
      </c>
      <c r="E3249" s="20" t="s">
        <v>12</v>
      </c>
      <c r="F3249" s="20" t="str">
        <f>INDEX(nrg_cb_e!$A$3:$A$40,MATCH(LEFT(MID('Industriesektor GWh'!$B3249,41,1000),SEARCH(" - ",MID('Industriesektor GWh'!$B3249,41,1000))-1),nrg_cb_e!$C$3:$C$40,0))</f>
        <v>FC_IND_MAC_E</v>
      </c>
      <c r="G3249" s="21">
        <v>157</v>
      </c>
    </row>
    <row r="3250" spans="1:7" x14ac:dyDescent="0.2">
      <c r="A3250" s="16" t="s">
        <v>34</v>
      </c>
      <c r="B3250" s="17" t="s">
        <v>67</v>
      </c>
      <c r="C3250" s="17" t="s">
        <v>8</v>
      </c>
      <c r="D3250" s="17" t="s">
        <v>10</v>
      </c>
      <c r="E3250" s="17" t="s">
        <v>13</v>
      </c>
      <c r="F3250" s="17" t="str">
        <f>INDEX(nrg_cb_e!$A$3:$A$40,MATCH(LEFT(MID('Industriesektor GWh'!$B3250,41,1000),SEARCH(" - ",MID('Industriesektor GWh'!$B3250,41,1000))-1),nrg_cb_e!$C$3:$C$40,0))</f>
        <v>FC_IND_MAC_E</v>
      </c>
      <c r="G3250" s="18">
        <v>182</v>
      </c>
    </row>
    <row r="3251" spans="1:7" x14ac:dyDescent="0.2">
      <c r="A3251" s="19" t="s">
        <v>34</v>
      </c>
      <c r="B3251" s="20" t="s">
        <v>67</v>
      </c>
      <c r="C3251" s="20" t="s">
        <v>8</v>
      </c>
      <c r="D3251" s="20" t="s">
        <v>10</v>
      </c>
      <c r="E3251" s="20" t="s">
        <v>14</v>
      </c>
      <c r="F3251" s="20" t="str">
        <f>INDEX(nrg_cb_e!$A$3:$A$40,MATCH(LEFT(MID('Industriesektor GWh'!$B3251,41,1000),SEARCH(" - ",MID('Industriesektor GWh'!$B3251,41,1000))-1),nrg_cb_e!$C$3:$C$40,0))</f>
        <v>FC_IND_MAC_E</v>
      </c>
      <c r="G3251" s="21">
        <v>200</v>
      </c>
    </row>
    <row r="3252" spans="1:7" x14ac:dyDescent="0.2">
      <c r="A3252" s="16" t="s">
        <v>34</v>
      </c>
      <c r="B3252" s="17" t="s">
        <v>67</v>
      </c>
      <c r="C3252" s="17" t="s">
        <v>8</v>
      </c>
      <c r="D3252" s="17" t="s">
        <v>10</v>
      </c>
      <c r="E3252" s="17" t="s">
        <v>15</v>
      </c>
      <c r="F3252" s="17" t="str">
        <f>INDEX(nrg_cb_e!$A$3:$A$40,MATCH(LEFT(MID('Industriesektor GWh'!$B3252,41,1000),SEARCH(" - ",MID('Industriesektor GWh'!$B3252,41,1000))-1),nrg_cb_e!$C$3:$C$40,0))</f>
        <v>FC_IND_MAC_E</v>
      </c>
      <c r="G3252" s="18">
        <v>207</v>
      </c>
    </row>
    <row r="3253" spans="1:7" x14ac:dyDescent="0.2">
      <c r="A3253" s="19" t="s">
        <v>34</v>
      </c>
      <c r="B3253" s="20" t="s">
        <v>67</v>
      </c>
      <c r="C3253" s="20" t="s">
        <v>8</v>
      </c>
      <c r="D3253" s="20" t="s">
        <v>10</v>
      </c>
      <c r="E3253" s="20" t="s">
        <v>16</v>
      </c>
      <c r="F3253" s="20" t="str">
        <f>INDEX(nrg_cb_e!$A$3:$A$40,MATCH(LEFT(MID('Industriesektor GWh'!$B3253,41,1000),SEARCH(" - ",MID('Industriesektor GWh'!$B3253,41,1000))-1),nrg_cb_e!$C$3:$C$40,0))</f>
        <v>FC_IND_MAC_E</v>
      </c>
      <c r="G3253" s="21">
        <v>216</v>
      </c>
    </row>
    <row r="3254" spans="1:7" x14ac:dyDescent="0.2">
      <c r="A3254" s="16" t="s">
        <v>34</v>
      </c>
      <c r="B3254" s="17" t="s">
        <v>67</v>
      </c>
      <c r="C3254" s="17" t="s">
        <v>8</v>
      </c>
      <c r="D3254" s="17" t="s">
        <v>10</v>
      </c>
      <c r="E3254" s="17" t="s">
        <v>17</v>
      </c>
      <c r="F3254" s="17" t="str">
        <f>INDEX(nrg_cb_e!$A$3:$A$40,MATCH(LEFT(MID('Industriesektor GWh'!$B3254,41,1000),SEARCH(" - ",MID('Industriesektor GWh'!$B3254,41,1000))-1),nrg_cb_e!$C$3:$C$40,0))</f>
        <v>FC_IND_MAC_E</v>
      </c>
      <c r="G3254" s="18">
        <v>230</v>
      </c>
    </row>
    <row r="3255" spans="1:7" x14ac:dyDescent="0.2">
      <c r="A3255" s="19" t="s">
        <v>34</v>
      </c>
      <c r="B3255" s="20" t="s">
        <v>67</v>
      </c>
      <c r="C3255" s="20" t="s">
        <v>8</v>
      </c>
      <c r="D3255" s="20" t="s">
        <v>10</v>
      </c>
      <c r="E3255" s="20" t="s">
        <v>18</v>
      </c>
      <c r="F3255" s="20" t="str">
        <f>INDEX(nrg_cb_e!$A$3:$A$40,MATCH(LEFT(MID('Industriesektor GWh'!$B3255,41,1000),SEARCH(" - ",MID('Industriesektor GWh'!$B3255,41,1000))-1),nrg_cb_e!$C$3:$C$40,0))</f>
        <v>FC_IND_MAC_E</v>
      </c>
      <c r="G3255" s="21">
        <v>248</v>
      </c>
    </row>
    <row r="3256" spans="1:7" x14ac:dyDescent="0.2">
      <c r="A3256" s="16" t="s">
        <v>34</v>
      </c>
      <c r="B3256" s="17" t="s">
        <v>67</v>
      </c>
      <c r="C3256" s="17" t="s">
        <v>8</v>
      </c>
      <c r="D3256" s="17" t="s">
        <v>10</v>
      </c>
      <c r="E3256" s="17" t="s">
        <v>19</v>
      </c>
      <c r="F3256" s="17" t="str">
        <f>INDEX(nrg_cb_e!$A$3:$A$40,MATCH(LEFT(MID('Industriesektor GWh'!$B3256,41,1000),SEARCH(" - ",MID('Industriesektor GWh'!$B3256,41,1000))-1),nrg_cb_e!$C$3:$C$40,0))</f>
        <v>FC_IND_MAC_E</v>
      </c>
      <c r="G3256" s="18">
        <v>234</v>
      </c>
    </row>
    <row r="3257" spans="1:7" x14ac:dyDescent="0.2">
      <c r="A3257" s="19" t="s">
        <v>34</v>
      </c>
      <c r="B3257" s="20" t="s">
        <v>67</v>
      </c>
      <c r="C3257" s="20" t="s">
        <v>8</v>
      </c>
      <c r="D3257" s="20" t="s">
        <v>10</v>
      </c>
      <c r="E3257" s="20" t="s">
        <v>20</v>
      </c>
      <c r="F3257" s="20" t="str">
        <f>INDEX(nrg_cb_e!$A$3:$A$40,MATCH(LEFT(MID('Industriesektor GWh'!$B3257,41,1000),SEARCH(" - ",MID('Industriesektor GWh'!$B3257,41,1000))-1),nrg_cb_e!$C$3:$C$40,0))</f>
        <v>FC_IND_MAC_E</v>
      </c>
      <c r="G3257" s="21">
        <v>294</v>
      </c>
    </row>
    <row r="3258" spans="1:7" x14ac:dyDescent="0.2">
      <c r="A3258" s="16" t="s">
        <v>34</v>
      </c>
      <c r="B3258" s="17" t="s">
        <v>67</v>
      </c>
      <c r="C3258" s="17" t="s">
        <v>8</v>
      </c>
      <c r="D3258" s="17" t="s">
        <v>10</v>
      </c>
      <c r="E3258" s="17" t="s">
        <v>21</v>
      </c>
      <c r="F3258" s="17" t="str">
        <f>INDEX(nrg_cb_e!$A$3:$A$40,MATCH(LEFT(MID('Industriesektor GWh'!$B3258,41,1000),SEARCH(" - ",MID('Industriesektor GWh'!$B3258,41,1000))-1),nrg_cb_e!$C$3:$C$40,0))</f>
        <v>FC_IND_MAC_E</v>
      </c>
      <c r="G3258" s="18">
        <v>293</v>
      </c>
    </row>
    <row r="3259" spans="1:7" x14ac:dyDescent="0.2">
      <c r="A3259" s="19" t="s">
        <v>34</v>
      </c>
      <c r="B3259" s="20" t="s">
        <v>67</v>
      </c>
      <c r="C3259" s="20" t="s">
        <v>8</v>
      </c>
      <c r="D3259" s="20" t="s">
        <v>10</v>
      </c>
      <c r="E3259" s="20" t="s">
        <v>22</v>
      </c>
      <c r="F3259" s="20" t="str">
        <f>INDEX(nrg_cb_e!$A$3:$A$40,MATCH(LEFT(MID('Industriesektor GWh'!$B3259,41,1000),SEARCH(" - ",MID('Industriesektor GWh'!$B3259,41,1000))-1),nrg_cb_e!$C$3:$C$40,0))</f>
        <v>FC_IND_MAC_E</v>
      </c>
      <c r="G3259" s="21">
        <v>285</v>
      </c>
    </row>
    <row r="3260" spans="1:7" x14ac:dyDescent="0.2">
      <c r="A3260" s="16" t="s">
        <v>34</v>
      </c>
      <c r="B3260" s="17" t="s">
        <v>67</v>
      </c>
      <c r="C3260" s="17" t="s">
        <v>8</v>
      </c>
      <c r="D3260" s="17" t="s">
        <v>10</v>
      </c>
      <c r="E3260" s="17" t="s">
        <v>23</v>
      </c>
      <c r="F3260" s="17" t="str">
        <f>INDEX(nrg_cb_e!$A$3:$A$40,MATCH(LEFT(MID('Industriesektor GWh'!$B3260,41,1000),SEARCH(" - ",MID('Industriesektor GWh'!$B3260,41,1000))-1),nrg_cb_e!$C$3:$C$40,0))</f>
        <v>FC_IND_MAC_E</v>
      </c>
      <c r="G3260" s="18">
        <v>260</v>
      </c>
    </row>
    <row r="3261" spans="1:7" x14ac:dyDescent="0.2">
      <c r="A3261" s="19" t="s">
        <v>34</v>
      </c>
      <c r="B3261" s="20" t="s">
        <v>67</v>
      </c>
      <c r="C3261" s="20" t="s">
        <v>8</v>
      </c>
      <c r="D3261" s="20" t="s">
        <v>10</v>
      </c>
      <c r="E3261" s="20" t="s">
        <v>24</v>
      </c>
      <c r="F3261" s="20" t="str">
        <f>INDEX(nrg_cb_e!$A$3:$A$40,MATCH(LEFT(MID('Industriesektor GWh'!$B3261,41,1000),SEARCH(" - ",MID('Industriesektor GWh'!$B3261,41,1000))-1),nrg_cb_e!$C$3:$C$40,0))</f>
        <v>FC_IND_MAC_E</v>
      </c>
      <c r="G3261" s="21">
        <v>248</v>
      </c>
    </row>
    <row r="3262" spans="1:7" x14ac:dyDescent="0.2">
      <c r="A3262" s="16" t="s">
        <v>34</v>
      </c>
      <c r="B3262" s="17" t="s">
        <v>67</v>
      </c>
      <c r="C3262" s="17" t="s">
        <v>8</v>
      </c>
      <c r="D3262" s="17" t="s">
        <v>10</v>
      </c>
      <c r="E3262" s="17" t="s">
        <v>25</v>
      </c>
      <c r="F3262" s="17" t="str">
        <f>INDEX(nrg_cb_e!$A$3:$A$40,MATCH(LEFT(MID('Industriesektor GWh'!$B3262,41,1000),SEARCH(" - ",MID('Industriesektor GWh'!$B3262,41,1000))-1),nrg_cb_e!$C$3:$C$40,0))</f>
        <v>FC_IND_MAC_E</v>
      </c>
      <c r="G3262" s="18">
        <v>250</v>
      </c>
    </row>
    <row r="3263" spans="1:7" x14ac:dyDescent="0.2">
      <c r="A3263" s="19" t="s">
        <v>34</v>
      </c>
      <c r="B3263" s="20" t="s">
        <v>67</v>
      </c>
      <c r="C3263" s="20" t="s">
        <v>8</v>
      </c>
      <c r="D3263" s="20" t="s">
        <v>10</v>
      </c>
      <c r="E3263" s="20" t="s">
        <v>26</v>
      </c>
      <c r="F3263" s="20" t="str">
        <f>INDEX(nrg_cb_e!$A$3:$A$40,MATCH(LEFT(MID('Industriesektor GWh'!$B3263,41,1000),SEARCH(" - ",MID('Industriesektor GWh'!$B3263,41,1000))-1),nrg_cb_e!$C$3:$C$40,0))</f>
        <v>FC_IND_MAC_E</v>
      </c>
      <c r="G3263" s="21">
        <v>294</v>
      </c>
    </row>
    <row r="3264" spans="1:7" x14ac:dyDescent="0.2">
      <c r="A3264" s="16" t="s">
        <v>34</v>
      </c>
      <c r="B3264" s="17" t="s">
        <v>67</v>
      </c>
      <c r="C3264" s="17" t="s">
        <v>8</v>
      </c>
      <c r="D3264" s="17" t="s">
        <v>10</v>
      </c>
      <c r="E3264" s="17" t="s">
        <v>27</v>
      </c>
      <c r="F3264" s="17" t="str">
        <f>INDEX(nrg_cb_e!$A$3:$A$40,MATCH(LEFT(MID('Industriesektor GWh'!$B3264,41,1000),SEARCH(" - ",MID('Industriesektor GWh'!$B3264,41,1000))-1),nrg_cb_e!$C$3:$C$40,0))</f>
        <v>FC_IND_MAC_E</v>
      </c>
      <c r="G3264" s="18">
        <v>302</v>
      </c>
    </row>
    <row r="3265" spans="1:7" x14ac:dyDescent="0.2">
      <c r="A3265" s="19" t="s">
        <v>34</v>
      </c>
      <c r="B3265" s="20" t="s">
        <v>67</v>
      </c>
      <c r="C3265" s="20" t="s">
        <v>8</v>
      </c>
      <c r="D3265" s="20" t="s">
        <v>10</v>
      </c>
      <c r="E3265" s="20" t="s">
        <v>28</v>
      </c>
      <c r="F3265" s="20" t="str">
        <f>INDEX(nrg_cb_e!$A$3:$A$40,MATCH(LEFT(MID('Industriesektor GWh'!$B3265,41,1000),SEARCH(" - ",MID('Industriesektor GWh'!$B3265,41,1000))-1),nrg_cb_e!$C$3:$C$40,0))</f>
        <v>FC_IND_MAC_E</v>
      </c>
      <c r="G3265" s="21">
        <v>320</v>
      </c>
    </row>
    <row r="3266" spans="1:7" x14ac:dyDescent="0.2">
      <c r="A3266" s="16" t="s">
        <v>35</v>
      </c>
      <c r="B3266" s="17" t="s">
        <v>67</v>
      </c>
      <c r="C3266" s="17" t="s">
        <v>8</v>
      </c>
      <c r="D3266" s="17" t="s">
        <v>10</v>
      </c>
      <c r="E3266" s="17" t="s">
        <v>12</v>
      </c>
      <c r="F3266" s="17" t="str">
        <f>INDEX(nrg_cb_e!$A$3:$A$40,MATCH(LEFT(MID('Industriesektor GWh'!$B3266,41,1000),SEARCH(" - ",MID('Industriesektor GWh'!$B3266,41,1000))-1),nrg_cb_e!$C$3:$C$40,0))</f>
        <v>FC_IND_MAC_E</v>
      </c>
      <c r="G3266" s="18">
        <v>1416.683</v>
      </c>
    </row>
    <row r="3267" spans="1:7" x14ac:dyDescent="0.2">
      <c r="A3267" s="19" t="s">
        <v>35</v>
      </c>
      <c r="B3267" s="20" t="s">
        <v>67</v>
      </c>
      <c r="C3267" s="20" t="s">
        <v>8</v>
      </c>
      <c r="D3267" s="20" t="s">
        <v>10</v>
      </c>
      <c r="E3267" s="20" t="s">
        <v>13</v>
      </c>
      <c r="F3267" s="20" t="str">
        <f>INDEX(nrg_cb_e!$A$3:$A$40,MATCH(LEFT(MID('Industriesektor GWh'!$B3267,41,1000),SEARCH(" - ",MID('Industriesektor GWh'!$B3267,41,1000))-1),nrg_cb_e!$C$3:$C$40,0))</f>
        <v>FC_IND_MAC_E</v>
      </c>
      <c r="G3267" s="21">
        <v>1327.616</v>
      </c>
    </row>
    <row r="3268" spans="1:7" x14ac:dyDescent="0.2">
      <c r="A3268" s="16" t="s">
        <v>35</v>
      </c>
      <c r="B3268" s="17" t="s">
        <v>67</v>
      </c>
      <c r="C3268" s="17" t="s">
        <v>8</v>
      </c>
      <c r="D3268" s="17" t="s">
        <v>10</v>
      </c>
      <c r="E3268" s="17" t="s">
        <v>14</v>
      </c>
      <c r="F3268" s="17" t="str">
        <f>INDEX(nrg_cb_e!$A$3:$A$40,MATCH(LEFT(MID('Industriesektor GWh'!$B3268,41,1000),SEARCH(" - ",MID('Industriesektor GWh'!$B3268,41,1000))-1),nrg_cb_e!$C$3:$C$40,0))</f>
        <v>FC_IND_MAC_E</v>
      </c>
      <c r="G3268" s="18">
        <v>1255.8019999999999</v>
      </c>
    </row>
    <row r="3269" spans="1:7" x14ac:dyDescent="0.2">
      <c r="A3269" s="19" t="s">
        <v>35</v>
      </c>
      <c r="B3269" s="20" t="s">
        <v>67</v>
      </c>
      <c r="C3269" s="20" t="s">
        <v>8</v>
      </c>
      <c r="D3269" s="20" t="s">
        <v>10</v>
      </c>
      <c r="E3269" s="20" t="s">
        <v>15</v>
      </c>
      <c r="F3269" s="20" t="str">
        <f>INDEX(nrg_cb_e!$A$3:$A$40,MATCH(LEFT(MID('Industriesektor GWh'!$B3269,41,1000),SEARCH(" - ",MID('Industriesektor GWh'!$B3269,41,1000))-1),nrg_cb_e!$C$3:$C$40,0))</f>
        <v>FC_IND_MAC_E</v>
      </c>
      <c r="G3269" s="21">
        <v>1400.9069999999999</v>
      </c>
    </row>
    <row r="3270" spans="1:7" x14ac:dyDescent="0.2">
      <c r="A3270" s="16" t="s">
        <v>35</v>
      </c>
      <c r="B3270" s="17" t="s">
        <v>67</v>
      </c>
      <c r="C3270" s="17" t="s">
        <v>8</v>
      </c>
      <c r="D3270" s="17" t="s">
        <v>10</v>
      </c>
      <c r="E3270" s="17" t="s">
        <v>16</v>
      </c>
      <c r="F3270" s="17" t="str">
        <f>INDEX(nrg_cb_e!$A$3:$A$40,MATCH(LEFT(MID('Industriesektor GWh'!$B3270,41,1000),SEARCH(" - ",MID('Industriesektor GWh'!$B3270,41,1000))-1),nrg_cb_e!$C$3:$C$40,0))</f>
        <v>FC_IND_MAC_E</v>
      </c>
      <c r="G3270" s="18">
        <v>1926.3579999999999</v>
      </c>
    </row>
    <row r="3271" spans="1:7" x14ac:dyDescent="0.2">
      <c r="A3271" s="19" t="s">
        <v>35</v>
      </c>
      <c r="B3271" s="20" t="s">
        <v>67</v>
      </c>
      <c r="C3271" s="20" t="s">
        <v>8</v>
      </c>
      <c r="D3271" s="20" t="s">
        <v>10</v>
      </c>
      <c r="E3271" s="20" t="s">
        <v>17</v>
      </c>
      <c r="F3271" s="20" t="str">
        <f>INDEX(nrg_cb_e!$A$3:$A$40,MATCH(LEFT(MID('Industriesektor GWh'!$B3271,41,1000),SEARCH(" - ",MID('Industriesektor GWh'!$B3271,41,1000))-1),nrg_cb_e!$C$3:$C$40,0))</f>
        <v>FC_IND_MAC_E</v>
      </c>
      <c r="G3271" s="21">
        <v>1418.7639999999999</v>
      </c>
    </row>
    <row r="3272" spans="1:7" x14ac:dyDescent="0.2">
      <c r="A3272" s="16" t="s">
        <v>35</v>
      </c>
      <c r="B3272" s="17" t="s">
        <v>67</v>
      </c>
      <c r="C3272" s="17" t="s">
        <v>8</v>
      </c>
      <c r="D3272" s="17" t="s">
        <v>10</v>
      </c>
      <c r="E3272" s="17" t="s">
        <v>18</v>
      </c>
      <c r="F3272" s="17" t="str">
        <f>INDEX(nrg_cb_e!$A$3:$A$40,MATCH(LEFT(MID('Industriesektor GWh'!$B3272,41,1000),SEARCH(" - ",MID('Industriesektor GWh'!$B3272,41,1000))-1),nrg_cb_e!$C$3:$C$40,0))</f>
        <v>FC_IND_MAC_E</v>
      </c>
      <c r="G3272" s="18">
        <v>1345.422</v>
      </c>
    </row>
    <row r="3273" spans="1:7" x14ac:dyDescent="0.2">
      <c r="A3273" s="19" t="s">
        <v>35</v>
      </c>
      <c r="B3273" s="20" t="s">
        <v>67</v>
      </c>
      <c r="C3273" s="20" t="s">
        <v>8</v>
      </c>
      <c r="D3273" s="20" t="s">
        <v>10</v>
      </c>
      <c r="E3273" s="20" t="s">
        <v>19</v>
      </c>
      <c r="F3273" s="20" t="str">
        <f>INDEX(nrg_cb_e!$A$3:$A$40,MATCH(LEFT(MID('Industriesektor GWh'!$B3273,41,1000),SEARCH(" - ",MID('Industriesektor GWh'!$B3273,41,1000))-1),nrg_cb_e!$C$3:$C$40,0))</f>
        <v>FC_IND_MAC_E</v>
      </c>
      <c r="G3273" s="21">
        <v>1471.741</v>
      </c>
    </row>
    <row r="3274" spans="1:7" x14ac:dyDescent="0.2">
      <c r="A3274" s="16" t="s">
        <v>35</v>
      </c>
      <c r="B3274" s="17" t="s">
        <v>67</v>
      </c>
      <c r="C3274" s="17" t="s">
        <v>8</v>
      </c>
      <c r="D3274" s="17" t="s">
        <v>10</v>
      </c>
      <c r="E3274" s="17" t="s">
        <v>20</v>
      </c>
      <c r="F3274" s="17" t="str">
        <f>INDEX(nrg_cb_e!$A$3:$A$40,MATCH(LEFT(MID('Industriesektor GWh'!$B3274,41,1000),SEARCH(" - ",MID('Industriesektor GWh'!$B3274,41,1000))-1),nrg_cb_e!$C$3:$C$40,0))</f>
        <v>FC_IND_MAC_E</v>
      </c>
      <c r="G3274" s="18">
        <v>1355.4670000000001</v>
      </c>
    </row>
    <row r="3275" spans="1:7" x14ac:dyDescent="0.2">
      <c r="A3275" s="19" t="s">
        <v>35</v>
      </c>
      <c r="B3275" s="20" t="s">
        <v>67</v>
      </c>
      <c r="C3275" s="20" t="s">
        <v>8</v>
      </c>
      <c r="D3275" s="20" t="s">
        <v>10</v>
      </c>
      <c r="E3275" s="20" t="s">
        <v>21</v>
      </c>
      <c r="F3275" s="20" t="str">
        <f>INDEX(nrg_cb_e!$A$3:$A$40,MATCH(LEFT(MID('Industriesektor GWh'!$B3275,41,1000),SEARCH(" - ",MID('Industriesektor GWh'!$B3275,41,1000))-1),nrg_cb_e!$C$3:$C$40,0))</f>
        <v>FC_IND_MAC_E</v>
      </c>
      <c r="G3275" s="21">
        <v>1415.075</v>
      </c>
    </row>
    <row r="3276" spans="1:7" x14ac:dyDescent="0.2">
      <c r="A3276" s="16" t="s">
        <v>35</v>
      </c>
      <c r="B3276" s="17" t="s">
        <v>67</v>
      </c>
      <c r="C3276" s="17" t="s">
        <v>8</v>
      </c>
      <c r="D3276" s="17" t="s">
        <v>10</v>
      </c>
      <c r="E3276" s="17" t="s">
        <v>22</v>
      </c>
      <c r="F3276" s="17" t="str">
        <f>INDEX(nrg_cb_e!$A$3:$A$40,MATCH(LEFT(MID('Industriesektor GWh'!$B3276,41,1000),SEARCH(" - ",MID('Industriesektor GWh'!$B3276,41,1000))-1),nrg_cb_e!$C$3:$C$40,0))</f>
        <v>FC_IND_MAC_E</v>
      </c>
      <c r="G3276" s="18">
        <v>1361.972</v>
      </c>
    </row>
    <row r="3277" spans="1:7" x14ac:dyDescent="0.2">
      <c r="A3277" s="19" t="s">
        <v>35</v>
      </c>
      <c r="B3277" s="20" t="s">
        <v>67</v>
      </c>
      <c r="C3277" s="20" t="s">
        <v>8</v>
      </c>
      <c r="D3277" s="20" t="s">
        <v>10</v>
      </c>
      <c r="E3277" s="20" t="s">
        <v>23</v>
      </c>
      <c r="F3277" s="20" t="str">
        <f>INDEX(nrg_cb_e!$A$3:$A$40,MATCH(LEFT(MID('Industriesektor GWh'!$B3277,41,1000),SEARCH(" - ",MID('Industriesektor GWh'!$B3277,41,1000))-1),nrg_cb_e!$C$3:$C$40,0))</f>
        <v>FC_IND_MAC_E</v>
      </c>
      <c r="G3277" s="21">
        <v>1383.0930000000001</v>
      </c>
    </row>
    <row r="3278" spans="1:7" x14ac:dyDescent="0.2">
      <c r="A3278" s="16" t="s">
        <v>35</v>
      </c>
      <c r="B3278" s="17" t="s">
        <v>67</v>
      </c>
      <c r="C3278" s="17" t="s">
        <v>8</v>
      </c>
      <c r="D3278" s="17" t="s">
        <v>10</v>
      </c>
      <c r="E3278" s="17" t="s">
        <v>24</v>
      </c>
      <c r="F3278" s="17" t="str">
        <f>INDEX(nrg_cb_e!$A$3:$A$40,MATCH(LEFT(MID('Industriesektor GWh'!$B3278,41,1000),SEARCH(" - ",MID('Industriesektor GWh'!$B3278,41,1000))-1),nrg_cb_e!$C$3:$C$40,0))</f>
        <v>FC_IND_MAC_E</v>
      </c>
      <c r="G3278" s="18">
        <v>1399.6110000000001</v>
      </c>
    </row>
    <row r="3279" spans="1:7" x14ac:dyDescent="0.2">
      <c r="A3279" s="19" t="s">
        <v>35</v>
      </c>
      <c r="B3279" s="20" t="s">
        <v>67</v>
      </c>
      <c r="C3279" s="20" t="s">
        <v>8</v>
      </c>
      <c r="D3279" s="20" t="s">
        <v>10</v>
      </c>
      <c r="E3279" s="20" t="s">
        <v>25</v>
      </c>
      <c r="F3279" s="20" t="str">
        <f>INDEX(nrg_cb_e!$A$3:$A$40,MATCH(LEFT(MID('Industriesektor GWh'!$B3279,41,1000),SEARCH(" - ",MID('Industriesektor GWh'!$B3279,41,1000))-1),nrg_cb_e!$C$3:$C$40,0))</f>
        <v>FC_IND_MAC_E</v>
      </c>
      <c r="G3279" s="21">
        <v>1466.01</v>
      </c>
    </row>
    <row r="3280" spans="1:7" x14ac:dyDescent="0.2">
      <c r="A3280" s="16" t="s">
        <v>35</v>
      </c>
      <c r="B3280" s="17" t="s">
        <v>67</v>
      </c>
      <c r="C3280" s="17" t="s">
        <v>8</v>
      </c>
      <c r="D3280" s="17" t="s">
        <v>10</v>
      </c>
      <c r="E3280" s="17" t="s">
        <v>26</v>
      </c>
      <c r="F3280" s="17" t="str">
        <f>INDEX(nrg_cb_e!$A$3:$A$40,MATCH(LEFT(MID('Industriesektor GWh'!$B3280,41,1000),SEARCH(" - ",MID('Industriesektor GWh'!$B3280,41,1000))-1),nrg_cb_e!$C$3:$C$40,0))</f>
        <v>FC_IND_MAC_E</v>
      </c>
      <c r="G3280" s="18">
        <v>1513.7159999999999</v>
      </c>
    </row>
    <row r="3281" spans="1:7" x14ac:dyDescent="0.2">
      <c r="A3281" s="19" t="s">
        <v>35</v>
      </c>
      <c r="B3281" s="20" t="s">
        <v>67</v>
      </c>
      <c r="C3281" s="20" t="s">
        <v>8</v>
      </c>
      <c r="D3281" s="20" t="s">
        <v>10</v>
      </c>
      <c r="E3281" s="20" t="s">
        <v>27</v>
      </c>
      <c r="F3281" s="20" t="str">
        <f>INDEX(nrg_cb_e!$A$3:$A$40,MATCH(LEFT(MID('Industriesektor GWh'!$B3281,41,1000),SEARCH(" - ",MID('Industriesektor GWh'!$B3281,41,1000))-1),nrg_cb_e!$C$3:$C$40,0))</f>
        <v>FC_IND_MAC_E</v>
      </c>
      <c r="G3281" s="21">
        <v>1530.5530000000001</v>
      </c>
    </row>
    <row r="3282" spans="1:7" x14ac:dyDescent="0.2">
      <c r="A3282" s="16" t="s">
        <v>35</v>
      </c>
      <c r="B3282" s="17" t="s">
        <v>67</v>
      </c>
      <c r="C3282" s="17" t="s">
        <v>8</v>
      </c>
      <c r="D3282" s="17" t="s">
        <v>10</v>
      </c>
      <c r="E3282" s="17" t="s">
        <v>28</v>
      </c>
      <c r="F3282" s="17" t="str">
        <f>INDEX(nrg_cb_e!$A$3:$A$40,MATCH(LEFT(MID('Industriesektor GWh'!$B3282,41,1000),SEARCH(" - ",MID('Industriesektor GWh'!$B3282,41,1000))-1),nrg_cb_e!$C$3:$C$40,0))</f>
        <v>FC_IND_MAC_E</v>
      </c>
      <c r="G3282" s="18">
        <v>1628.854</v>
      </c>
    </row>
    <row r="3283" spans="1:7" x14ac:dyDescent="0.2">
      <c r="A3283" s="19" t="s">
        <v>36</v>
      </c>
      <c r="B3283" s="20" t="s">
        <v>67</v>
      </c>
      <c r="C3283" s="20" t="s">
        <v>8</v>
      </c>
      <c r="D3283" s="20" t="s">
        <v>10</v>
      </c>
      <c r="E3283" s="20" t="s">
        <v>12</v>
      </c>
      <c r="F3283" s="20" t="str">
        <f>INDEX(nrg_cb_e!$A$3:$A$40,MATCH(LEFT(MID('Industriesektor GWh'!$B3283,41,1000),SEARCH(" - ",MID('Industriesektor GWh'!$B3283,41,1000))-1),nrg_cb_e!$C$3:$C$40,0))</f>
        <v>FC_IND_MAC_E</v>
      </c>
      <c r="G3283" s="21">
        <v>636</v>
      </c>
    </row>
    <row r="3284" spans="1:7" x14ac:dyDescent="0.2">
      <c r="A3284" s="16" t="s">
        <v>36</v>
      </c>
      <c r="B3284" s="17" t="s">
        <v>67</v>
      </c>
      <c r="C3284" s="17" t="s">
        <v>8</v>
      </c>
      <c r="D3284" s="17" t="s">
        <v>10</v>
      </c>
      <c r="E3284" s="17" t="s">
        <v>13</v>
      </c>
      <c r="F3284" s="17" t="str">
        <f>INDEX(nrg_cb_e!$A$3:$A$40,MATCH(LEFT(MID('Industriesektor GWh'!$B3284,41,1000),SEARCH(" - ",MID('Industriesektor GWh'!$B3284,41,1000))-1),nrg_cb_e!$C$3:$C$40,0))</f>
        <v>FC_IND_MAC_E</v>
      </c>
      <c r="G3284" s="18">
        <v>879</v>
      </c>
    </row>
    <row r="3285" spans="1:7" x14ac:dyDescent="0.2">
      <c r="A3285" s="19" t="s">
        <v>36</v>
      </c>
      <c r="B3285" s="20" t="s">
        <v>67</v>
      </c>
      <c r="C3285" s="20" t="s">
        <v>8</v>
      </c>
      <c r="D3285" s="20" t="s">
        <v>10</v>
      </c>
      <c r="E3285" s="20" t="s">
        <v>14</v>
      </c>
      <c r="F3285" s="20" t="str">
        <f>INDEX(nrg_cb_e!$A$3:$A$40,MATCH(LEFT(MID('Industriesektor GWh'!$B3285,41,1000),SEARCH(" - ",MID('Industriesektor GWh'!$B3285,41,1000))-1),nrg_cb_e!$C$3:$C$40,0))</f>
        <v>FC_IND_MAC_E</v>
      </c>
      <c r="G3285" s="21">
        <v>561</v>
      </c>
    </row>
    <row r="3286" spans="1:7" x14ac:dyDescent="0.2">
      <c r="A3286" s="16" t="s">
        <v>36</v>
      </c>
      <c r="B3286" s="17" t="s">
        <v>67</v>
      </c>
      <c r="C3286" s="17" t="s">
        <v>8</v>
      </c>
      <c r="D3286" s="17" t="s">
        <v>10</v>
      </c>
      <c r="E3286" s="17" t="s">
        <v>15</v>
      </c>
      <c r="F3286" s="17" t="str">
        <f>INDEX(nrg_cb_e!$A$3:$A$40,MATCH(LEFT(MID('Industriesektor GWh'!$B3286,41,1000),SEARCH(" - ",MID('Industriesektor GWh'!$B3286,41,1000))-1),nrg_cb_e!$C$3:$C$40,0))</f>
        <v>FC_IND_MAC_E</v>
      </c>
      <c r="G3286" s="18">
        <v>566</v>
      </c>
    </row>
    <row r="3287" spans="1:7" x14ac:dyDescent="0.2">
      <c r="A3287" s="19" t="s">
        <v>36</v>
      </c>
      <c r="B3287" s="20" t="s">
        <v>67</v>
      </c>
      <c r="C3287" s="20" t="s">
        <v>8</v>
      </c>
      <c r="D3287" s="20" t="s">
        <v>10</v>
      </c>
      <c r="E3287" s="20" t="s">
        <v>16</v>
      </c>
      <c r="F3287" s="20" t="str">
        <f>INDEX(nrg_cb_e!$A$3:$A$40,MATCH(LEFT(MID('Industriesektor GWh'!$B3287,41,1000),SEARCH(" - ",MID('Industriesektor GWh'!$B3287,41,1000))-1),nrg_cb_e!$C$3:$C$40,0))</f>
        <v>FC_IND_MAC_E</v>
      </c>
      <c r="G3287" s="21">
        <v>603</v>
      </c>
    </row>
    <row r="3288" spans="1:7" x14ac:dyDescent="0.2">
      <c r="A3288" s="16" t="s">
        <v>36</v>
      </c>
      <c r="B3288" s="17" t="s">
        <v>67</v>
      </c>
      <c r="C3288" s="17" t="s">
        <v>8</v>
      </c>
      <c r="D3288" s="17" t="s">
        <v>10</v>
      </c>
      <c r="E3288" s="17" t="s">
        <v>17</v>
      </c>
      <c r="F3288" s="17" t="str">
        <f>INDEX(nrg_cb_e!$A$3:$A$40,MATCH(LEFT(MID('Industriesektor GWh'!$B3288,41,1000),SEARCH(" - ",MID('Industriesektor GWh'!$B3288,41,1000))-1),nrg_cb_e!$C$3:$C$40,0))</f>
        <v>FC_IND_MAC_E</v>
      </c>
      <c r="G3288" s="18">
        <v>674</v>
      </c>
    </row>
    <row r="3289" spans="1:7" x14ac:dyDescent="0.2">
      <c r="A3289" s="19" t="s">
        <v>36</v>
      </c>
      <c r="B3289" s="20" t="s">
        <v>67</v>
      </c>
      <c r="C3289" s="20" t="s">
        <v>8</v>
      </c>
      <c r="D3289" s="20" t="s">
        <v>10</v>
      </c>
      <c r="E3289" s="20" t="s">
        <v>18</v>
      </c>
      <c r="F3289" s="20" t="str">
        <f>INDEX(nrg_cb_e!$A$3:$A$40,MATCH(LEFT(MID('Industriesektor GWh'!$B3289,41,1000),SEARCH(" - ",MID('Industriesektor GWh'!$B3289,41,1000))-1),nrg_cb_e!$C$3:$C$40,0))</f>
        <v>FC_IND_MAC_E</v>
      </c>
      <c r="G3289" s="21">
        <v>680</v>
      </c>
    </row>
    <row r="3290" spans="1:7" x14ac:dyDescent="0.2">
      <c r="A3290" s="16" t="s">
        <v>36</v>
      </c>
      <c r="B3290" s="17" t="s">
        <v>67</v>
      </c>
      <c r="C3290" s="17" t="s">
        <v>8</v>
      </c>
      <c r="D3290" s="17" t="s">
        <v>10</v>
      </c>
      <c r="E3290" s="17" t="s">
        <v>19</v>
      </c>
      <c r="F3290" s="17" t="str">
        <f>INDEX(nrg_cb_e!$A$3:$A$40,MATCH(LEFT(MID('Industriesektor GWh'!$B3290,41,1000),SEARCH(" - ",MID('Industriesektor GWh'!$B3290,41,1000))-1),nrg_cb_e!$C$3:$C$40,0))</f>
        <v>FC_IND_MAC_E</v>
      </c>
      <c r="G3290" s="18">
        <v>51</v>
      </c>
    </row>
    <row r="3291" spans="1:7" x14ac:dyDescent="0.2">
      <c r="A3291" s="19" t="s">
        <v>36</v>
      </c>
      <c r="B3291" s="20" t="s">
        <v>67</v>
      </c>
      <c r="C3291" s="20" t="s">
        <v>8</v>
      </c>
      <c r="D3291" s="20" t="s">
        <v>10</v>
      </c>
      <c r="E3291" s="20" t="s">
        <v>20</v>
      </c>
      <c r="F3291" s="20" t="str">
        <f>INDEX(nrg_cb_e!$A$3:$A$40,MATCH(LEFT(MID('Industriesektor GWh'!$B3291,41,1000),SEARCH(" - ",MID('Industriesektor GWh'!$B3291,41,1000))-1),nrg_cb_e!$C$3:$C$40,0))</f>
        <v>FC_IND_MAC_E</v>
      </c>
      <c r="G3291" s="21">
        <v>140</v>
      </c>
    </row>
    <row r="3292" spans="1:7" x14ac:dyDescent="0.2">
      <c r="A3292" s="16" t="s">
        <v>36</v>
      </c>
      <c r="B3292" s="17" t="s">
        <v>67</v>
      </c>
      <c r="C3292" s="17" t="s">
        <v>8</v>
      </c>
      <c r="D3292" s="17" t="s">
        <v>10</v>
      </c>
      <c r="E3292" s="17" t="s">
        <v>21</v>
      </c>
      <c r="F3292" s="17" t="str">
        <f>INDEX(nrg_cb_e!$A$3:$A$40,MATCH(LEFT(MID('Industriesektor GWh'!$B3292,41,1000),SEARCH(" - ",MID('Industriesektor GWh'!$B3292,41,1000))-1),nrg_cb_e!$C$3:$C$40,0))</f>
        <v>FC_IND_MAC_E</v>
      </c>
      <c r="G3292" s="18">
        <v>475</v>
      </c>
    </row>
    <row r="3293" spans="1:7" x14ac:dyDescent="0.2">
      <c r="A3293" s="19" t="s">
        <v>36</v>
      </c>
      <c r="B3293" s="20" t="s">
        <v>67</v>
      </c>
      <c r="C3293" s="20" t="s">
        <v>8</v>
      </c>
      <c r="D3293" s="20" t="s">
        <v>10</v>
      </c>
      <c r="E3293" s="20" t="s">
        <v>22</v>
      </c>
      <c r="F3293" s="20" t="str">
        <f>INDEX(nrg_cb_e!$A$3:$A$40,MATCH(LEFT(MID('Industriesektor GWh'!$B3293,41,1000),SEARCH(" - ",MID('Industriesektor GWh'!$B3293,41,1000))-1),nrg_cb_e!$C$3:$C$40,0))</f>
        <v>FC_IND_MAC_E</v>
      </c>
      <c r="G3293" s="21">
        <v>191</v>
      </c>
    </row>
    <row r="3294" spans="1:7" x14ac:dyDescent="0.2">
      <c r="A3294" s="16" t="s">
        <v>36</v>
      </c>
      <c r="B3294" s="17" t="s">
        <v>67</v>
      </c>
      <c r="C3294" s="17" t="s">
        <v>8</v>
      </c>
      <c r="D3294" s="17" t="s">
        <v>10</v>
      </c>
      <c r="E3294" s="17" t="s">
        <v>23</v>
      </c>
      <c r="F3294" s="17" t="str">
        <f>INDEX(nrg_cb_e!$A$3:$A$40,MATCH(LEFT(MID('Industriesektor GWh'!$B3294,41,1000),SEARCH(" - ",MID('Industriesektor GWh'!$B3294,41,1000))-1),nrg_cb_e!$C$3:$C$40,0))</f>
        <v>FC_IND_MAC_E</v>
      </c>
      <c r="G3294" s="18">
        <v>205</v>
      </c>
    </row>
    <row r="3295" spans="1:7" x14ac:dyDescent="0.2">
      <c r="A3295" s="19" t="s">
        <v>36</v>
      </c>
      <c r="B3295" s="20" t="s">
        <v>67</v>
      </c>
      <c r="C3295" s="20" t="s">
        <v>8</v>
      </c>
      <c r="D3295" s="20" t="s">
        <v>10</v>
      </c>
      <c r="E3295" s="20" t="s">
        <v>24</v>
      </c>
      <c r="F3295" s="20" t="str">
        <f>INDEX(nrg_cb_e!$A$3:$A$40,MATCH(LEFT(MID('Industriesektor GWh'!$B3295,41,1000),SEARCH(" - ",MID('Industriesektor GWh'!$B3295,41,1000))-1),nrg_cb_e!$C$3:$C$40,0))</f>
        <v>FC_IND_MAC_E</v>
      </c>
      <c r="G3295" s="21">
        <v>198</v>
      </c>
    </row>
    <row r="3296" spans="1:7" x14ac:dyDescent="0.2">
      <c r="A3296" s="16" t="s">
        <v>36</v>
      </c>
      <c r="B3296" s="17" t="s">
        <v>67</v>
      </c>
      <c r="C3296" s="17" t="s">
        <v>8</v>
      </c>
      <c r="D3296" s="17" t="s">
        <v>10</v>
      </c>
      <c r="E3296" s="17" t="s">
        <v>25</v>
      </c>
      <c r="F3296" s="17" t="str">
        <f>INDEX(nrg_cb_e!$A$3:$A$40,MATCH(LEFT(MID('Industriesektor GWh'!$B3296,41,1000),SEARCH(" - ",MID('Industriesektor GWh'!$B3296,41,1000))-1),nrg_cb_e!$C$3:$C$40,0))</f>
        <v>FC_IND_MAC_E</v>
      </c>
      <c r="G3296" s="18">
        <v>175</v>
      </c>
    </row>
    <row r="3297" spans="1:7" x14ac:dyDescent="0.2">
      <c r="A3297" s="19" t="s">
        <v>36</v>
      </c>
      <c r="B3297" s="20" t="s">
        <v>67</v>
      </c>
      <c r="C3297" s="20" t="s">
        <v>8</v>
      </c>
      <c r="D3297" s="20" t="s">
        <v>10</v>
      </c>
      <c r="E3297" s="20" t="s">
        <v>26</v>
      </c>
      <c r="F3297" s="20" t="str">
        <f>INDEX(nrg_cb_e!$A$3:$A$40,MATCH(LEFT(MID('Industriesektor GWh'!$B3297,41,1000),SEARCH(" - ",MID('Industriesektor GWh'!$B3297,41,1000))-1),nrg_cb_e!$C$3:$C$40,0))</f>
        <v>FC_IND_MAC_E</v>
      </c>
      <c r="G3297" s="21">
        <v>151</v>
      </c>
    </row>
    <row r="3298" spans="1:7" x14ac:dyDescent="0.2">
      <c r="A3298" s="16" t="s">
        <v>36</v>
      </c>
      <c r="B3298" s="17" t="s">
        <v>67</v>
      </c>
      <c r="C3298" s="17" t="s">
        <v>8</v>
      </c>
      <c r="D3298" s="17" t="s">
        <v>10</v>
      </c>
      <c r="E3298" s="17" t="s">
        <v>27</v>
      </c>
      <c r="F3298" s="17" t="str">
        <f>INDEX(nrg_cb_e!$A$3:$A$40,MATCH(LEFT(MID('Industriesektor GWh'!$B3298,41,1000),SEARCH(" - ",MID('Industriesektor GWh'!$B3298,41,1000))-1),nrg_cb_e!$C$3:$C$40,0))</f>
        <v>FC_IND_MAC_E</v>
      </c>
      <c r="G3298" s="18">
        <v>425.05900000000003</v>
      </c>
    </row>
    <row r="3299" spans="1:7" x14ac:dyDescent="0.2">
      <c r="A3299" s="19" t="s">
        <v>36</v>
      </c>
      <c r="B3299" s="20" t="s">
        <v>67</v>
      </c>
      <c r="C3299" s="20" t="s">
        <v>8</v>
      </c>
      <c r="D3299" s="20" t="s">
        <v>10</v>
      </c>
      <c r="E3299" s="20" t="s">
        <v>28</v>
      </c>
      <c r="F3299" s="20" t="str">
        <f>INDEX(nrg_cb_e!$A$3:$A$40,MATCH(LEFT(MID('Industriesektor GWh'!$B3299,41,1000),SEARCH(" - ",MID('Industriesektor GWh'!$B3299,41,1000))-1),nrg_cb_e!$C$3:$C$40,0))</f>
        <v>FC_IND_MAC_E</v>
      </c>
      <c r="G3299" s="21">
        <v>554.47</v>
      </c>
    </row>
    <row r="3300" spans="1:7" x14ac:dyDescent="0.2">
      <c r="A3300" s="16" t="s">
        <v>37</v>
      </c>
      <c r="B3300" s="17" t="s">
        <v>67</v>
      </c>
      <c r="C3300" s="17" t="s">
        <v>8</v>
      </c>
      <c r="D3300" s="17" t="s">
        <v>10</v>
      </c>
      <c r="E3300" s="17" t="s">
        <v>12</v>
      </c>
      <c r="F3300" s="17" t="str">
        <f>INDEX(nrg_cb_e!$A$3:$A$40,MATCH(LEFT(MID('Industriesektor GWh'!$B3300,41,1000),SEARCH(" - ",MID('Industriesektor GWh'!$B3300,41,1000))-1),nrg_cb_e!$C$3:$C$40,0))</f>
        <v>FC_IND_MAC_E</v>
      </c>
      <c r="G3300" s="18">
        <v>6668</v>
      </c>
    </row>
    <row r="3301" spans="1:7" x14ac:dyDescent="0.2">
      <c r="A3301" s="19" t="s">
        <v>37</v>
      </c>
      <c r="B3301" s="20" t="s">
        <v>67</v>
      </c>
      <c r="C3301" s="20" t="s">
        <v>8</v>
      </c>
      <c r="D3301" s="20" t="s">
        <v>10</v>
      </c>
      <c r="E3301" s="20" t="s">
        <v>13</v>
      </c>
      <c r="F3301" s="20" t="str">
        <f>INDEX(nrg_cb_e!$A$3:$A$40,MATCH(LEFT(MID('Industriesektor GWh'!$B3301,41,1000),SEARCH(" - ",MID('Industriesektor GWh'!$B3301,41,1000))-1),nrg_cb_e!$C$3:$C$40,0))</f>
        <v>FC_IND_MAC_E</v>
      </c>
      <c r="G3301" s="21">
        <v>6869</v>
      </c>
    </row>
    <row r="3302" spans="1:7" x14ac:dyDescent="0.2">
      <c r="A3302" s="16" t="s">
        <v>37</v>
      </c>
      <c r="B3302" s="17" t="s">
        <v>67</v>
      </c>
      <c r="C3302" s="17" t="s">
        <v>8</v>
      </c>
      <c r="D3302" s="17" t="s">
        <v>10</v>
      </c>
      <c r="E3302" s="17" t="s">
        <v>14</v>
      </c>
      <c r="F3302" s="17" t="str">
        <f>INDEX(nrg_cb_e!$A$3:$A$40,MATCH(LEFT(MID('Industriesektor GWh'!$B3302,41,1000),SEARCH(" - ",MID('Industriesektor GWh'!$B3302,41,1000))-1),nrg_cb_e!$C$3:$C$40,0))</f>
        <v>FC_IND_MAC_E</v>
      </c>
      <c r="G3302" s="18">
        <v>7001</v>
      </c>
    </row>
    <row r="3303" spans="1:7" x14ac:dyDescent="0.2">
      <c r="A3303" s="19" t="s">
        <v>37</v>
      </c>
      <c r="B3303" s="20" t="s">
        <v>67</v>
      </c>
      <c r="C3303" s="20" t="s">
        <v>8</v>
      </c>
      <c r="D3303" s="20" t="s">
        <v>10</v>
      </c>
      <c r="E3303" s="20" t="s">
        <v>15</v>
      </c>
      <c r="F3303" s="20" t="str">
        <f>INDEX(nrg_cb_e!$A$3:$A$40,MATCH(LEFT(MID('Industriesektor GWh'!$B3303,41,1000),SEARCH(" - ",MID('Industriesektor GWh'!$B3303,41,1000))-1),nrg_cb_e!$C$3:$C$40,0))</f>
        <v>FC_IND_MAC_E</v>
      </c>
      <c r="G3303" s="21">
        <v>7331</v>
      </c>
    </row>
    <row r="3304" spans="1:7" x14ac:dyDescent="0.2">
      <c r="A3304" s="16" t="s">
        <v>37</v>
      </c>
      <c r="B3304" s="17" t="s">
        <v>67</v>
      </c>
      <c r="C3304" s="17" t="s">
        <v>8</v>
      </c>
      <c r="D3304" s="17" t="s">
        <v>10</v>
      </c>
      <c r="E3304" s="17" t="s">
        <v>16</v>
      </c>
      <c r="F3304" s="17" t="str">
        <f>INDEX(nrg_cb_e!$A$3:$A$40,MATCH(LEFT(MID('Industriesektor GWh'!$B3304,41,1000),SEARCH(" - ",MID('Industriesektor GWh'!$B3304,41,1000))-1),nrg_cb_e!$C$3:$C$40,0))</f>
        <v>FC_IND_MAC_E</v>
      </c>
      <c r="G3304" s="18">
        <v>6348</v>
      </c>
    </row>
    <row r="3305" spans="1:7" x14ac:dyDescent="0.2">
      <c r="A3305" s="19" t="s">
        <v>37</v>
      </c>
      <c r="B3305" s="20" t="s">
        <v>67</v>
      </c>
      <c r="C3305" s="20" t="s">
        <v>8</v>
      </c>
      <c r="D3305" s="20" t="s">
        <v>10</v>
      </c>
      <c r="E3305" s="20" t="s">
        <v>17</v>
      </c>
      <c r="F3305" s="20" t="str">
        <f>INDEX(nrg_cb_e!$A$3:$A$40,MATCH(LEFT(MID('Industriesektor GWh'!$B3305,41,1000),SEARCH(" - ",MID('Industriesektor GWh'!$B3305,41,1000))-1),nrg_cb_e!$C$3:$C$40,0))</f>
        <v>FC_IND_MAC_E</v>
      </c>
      <c r="G3305" s="21">
        <v>6650</v>
      </c>
    </row>
    <row r="3306" spans="1:7" x14ac:dyDescent="0.2">
      <c r="A3306" s="16" t="s">
        <v>37</v>
      </c>
      <c r="B3306" s="17" t="s">
        <v>67</v>
      </c>
      <c r="C3306" s="17" t="s">
        <v>8</v>
      </c>
      <c r="D3306" s="17" t="s">
        <v>10</v>
      </c>
      <c r="E3306" s="17" t="s">
        <v>18</v>
      </c>
      <c r="F3306" s="17" t="str">
        <f>INDEX(nrg_cb_e!$A$3:$A$40,MATCH(LEFT(MID('Industriesektor GWh'!$B3306,41,1000),SEARCH(" - ",MID('Industriesektor GWh'!$B3306,41,1000))-1),nrg_cb_e!$C$3:$C$40,0))</f>
        <v>FC_IND_MAC_E</v>
      </c>
      <c r="G3306" s="18">
        <v>6547</v>
      </c>
    </row>
    <row r="3307" spans="1:7" x14ac:dyDescent="0.2">
      <c r="A3307" s="19" t="s">
        <v>37</v>
      </c>
      <c r="B3307" s="20" t="s">
        <v>67</v>
      </c>
      <c r="C3307" s="20" t="s">
        <v>8</v>
      </c>
      <c r="D3307" s="20" t="s">
        <v>10</v>
      </c>
      <c r="E3307" s="20" t="s">
        <v>19</v>
      </c>
      <c r="F3307" s="20" t="str">
        <f>INDEX(nrg_cb_e!$A$3:$A$40,MATCH(LEFT(MID('Industriesektor GWh'!$B3307,41,1000),SEARCH(" - ",MID('Industriesektor GWh'!$B3307,41,1000))-1),nrg_cb_e!$C$3:$C$40,0))</f>
        <v>FC_IND_MAC_E</v>
      </c>
      <c r="G3307" s="21">
        <v>5126</v>
      </c>
    </row>
    <row r="3308" spans="1:7" x14ac:dyDescent="0.2">
      <c r="A3308" s="16" t="s">
        <v>37</v>
      </c>
      <c r="B3308" s="17" t="s">
        <v>67</v>
      </c>
      <c r="C3308" s="17" t="s">
        <v>8</v>
      </c>
      <c r="D3308" s="17" t="s">
        <v>10</v>
      </c>
      <c r="E3308" s="17" t="s">
        <v>20</v>
      </c>
      <c r="F3308" s="17" t="str">
        <f>INDEX(nrg_cb_e!$A$3:$A$40,MATCH(LEFT(MID('Industriesektor GWh'!$B3308,41,1000),SEARCH(" - ",MID('Industriesektor GWh'!$B3308,41,1000))-1),nrg_cb_e!$C$3:$C$40,0))</f>
        <v>FC_IND_MAC_E</v>
      </c>
      <c r="G3308" s="18">
        <v>3826</v>
      </c>
    </row>
    <row r="3309" spans="1:7" x14ac:dyDescent="0.2">
      <c r="A3309" s="19" t="s">
        <v>37</v>
      </c>
      <c r="B3309" s="20" t="s">
        <v>67</v>
      </c>
      <c r="C3309" s="20" t="s">
        <v>8</v>
      </c>
      <c r="D3309" s="20" t="s">
        <v>10</v>
      </c>
      <c r="E3309" s="20" t="s">
        <v>21</v>
      </c>
      <c r="F3309" s="20" t="str">
        <f>INDEX(nrg_cb_e!$A$3:$A$40,MATCH(LEFT(MID('Industriesektor GWh'!$B3309,41,1000),SEARCH(" - ",MID('Industriesektor GWh'!$B3309,41,1000))-1),nrg_cb_e!$C$3:$C$40,0))</f>
        <v>FC_IND_MAC_E</v>
      </c>
      <c r="G3309" s="21">
        <v>3797</v>
      </c>
    </row>
    <row r="3310" spans="1:7" x14ac:dyDescent="0.2">
      <c r="A3310" s="16" t="s">
        <v>37</v>
      </c>
      <c r="B3310" s="17" t="s">
        <v>67</v>
      </c>
      <c r="C3310" s="17" t="s">
        <v>8</v>
      </c>
      <c r="D3310" s="17" t="s">
        <v>10</v>
      </c>
      <c r="E3310" s="17" t="s">
        <v>22</v>
      </c>
      <c r="F3310" s="17" t="str">
        <f>INDEX(nrg_cb_e!$A$3:$A$40,MATCH(LEFT(MID('Industriesektor GWh'!$B3310,41,1000),SEARCH(" - ",MID('Industriesektor GWh'!$B3310,41,1000))-1),nrg_cb_e!$C$3:$C$40,0))</f>
        <v>FC_IND_MAC_E</v>
      </c>
      <c r="G3310" s="18">
        <v>3746</v>
      </c>
    </row>
    <row r="3311" spans="1:7" x14ac:dyDescent="0.2">
      <c r="A3311" s="19" t="s">
        <v>37</v>
      </c>
      <c r="B3311" s="20" t="s">
        <v>67</v>
      </c>
      <c r="C3311" s="20" t="s">
        <v>8</v>
      </c>
      <c r="D3311" s="20" t="s">
        <v>10</v>
      </c>
      <c r="E3311" s="20" t="s">
        <v>23</v>
      </c>
      <c r="F3311" s="20" t="str">
        <f>INDEX(nrg_cb_e!$A$3:$A$40,MATCH(LEFT(MID('Industriesektor GWh'!$B3311,41,1000),SEARCH(" - ",MID('Industriesektor GWh'!$B3311,41,1000))-1),nrg_cb_e!$C$3:$C$40,0))</f>
        <v>FC_IND_MAC_E</v>
      </c>
      <c r="G3311" s="21">
        <v>5241</v>
      </c>
    </row>
    <row r="3312" spans="1:7" x14ac:dyDescent="0.2">
      <c r="A3312" s="16" t="s">
        <v>37</v>
      </c>
      <c r="B3312" s="17" t="s">
        <v>67</v>
      </c>
      <c r="C3312" s="17" t="s">
        <v>8</v>
      </c>
      <c r="D3312" s="17" t="s">
        <v>10</v>
      </c>
      <c r="E3312" s="17" t="s">
        <v>24</v>
      </c>
      <c r="F3312" s="17" t="str">
        <f>INDEX(nrg_cb_e!$A$3:$A$40,MATCH(LEFT(MID('Industriesektor GWh'!$B3312,41,1000),SEARCH(" - ",MID('Industriesektor GWh'!$B3312,41,1000))-1),nrg_cb_e!$C$3:$C$40,0))</f>
        <v>FC_IND_MAC_E</v>
      </c>
      <c r="G3312" s="18">
        <v>4799</v>
      </c>
    </row>
    <row r="3313" spans="1:7" x14ac:dyDescent="0.2">
      <c r="A3313" s="19" t="s">
        <v>37</v>
      </c>
      <c r="B3313" s="20" t="s">
        <v>67</v>
      </c>
      <c r="C3313" s="20" t="s">
        <v>8</v>
      </c>
      <c r="D3313" s="20" t="s">
        <v>10</v>
      </c>
      <c r="E3313" s="20" t="s">
        <v>25</v>
      </c>
      <c r="F3313" s="20" t="str">
        <f>INDEX(nrg_cb_e!$A$3:$A$40,MATCH(LEFT(MID('Industriesektor GWh'!$B3313,41,1000),SEARCH(" - ",MID('Industriesektor GWh'!$B3313,41,1000))-1),nrg_cb_e!$C$3:$C$40,0))</f>
        <v>FC_IND_MAC_E</v>
      </c>
      <c r="G3313" s="21">
        <v>4821</v>
      </c>
    </row>
    <row r="3314" spans="1:7" x14ac:dyDescent="0.2">
      <c r="A3314" s="16" t="s">
        <v>37</v>
      </c>
      <c r="B3314" s="17" t="s">
        <v>67</v>
      </c>
      <c r="C3314" s="17" t="s">
        <v>8</v>
      </c>
      <c r="D3314" s="17" t="s">
        <v>10</v>
      </c>
      <c r="E3314" s="17" t="s">
        <v>26</v>
      </c>
      <c r="F3314" s="17" t="str">
        <f>INDEX(nrg_cb_e!$A$3:$A$40,MATCH(LEFT(MID('Industriesektor GWh'!$B3314,41,1000),SEARCH(" - ",MID('Industriesektor GWh'!$B3314,41,1000))-1),nrg_cb_e!$C$3:$C$40,0))</f>
        <v>FC_IND_MAC_E</v>
      </c>
      <c r="G3314" s="18">
        <v>4768</v>
      </c>
    </row>
    <row r="3315" spans="1:7" x14ac:dyDescent="0.2">
      <c r="A3315" s="19" t="s">
        <v>37</v>
      </c>
      <c r="B3315" s="20" t="s">
        <v>67</v>
      </c>
      <c r="C3315" s="20" t="s">
        <v>8</v>
      </c>
      <c r="D3315" s="20" t="s">
        <v>10</v>
      </c>
      <c r="E3315" s="20" t="s">
        <v>27</v>
      </c>
      <c r="F3315" s="20" t="str">
        <f>INDEX(nrg_cb_e!$A$3:$A$40,MATCH(LEFT(MID('Industriesektor GWh'!$B3315,41,1000),SEARCH(" - ",MID('Industriesektor GWh'!$B3315,41,1000))-1),nrg_cb_e!$C$3:$C$40,0))</f>
        <v>FC_IND_MAC_E</v>
      </c>
      <c r="G3315" s="21">
        <v>4936</v>
      </c>
    </row>
    <row r="3316" spans="1:7" x14ac:dyDescent="0.2">
      <c r="A3316" s="16" t="s">
        <v>37</v>
      </c>
      <c r="B3316" s="17" t="s">
        <v>67</v>
      </c>
      <c r="C3316" s="17" t="s">
        <v>8</v>
      </c>
      <c r="D3316" s="17" t="s">
        <v>10</v>
      </c>
      <c r="E3316" s="17" t="s">
        <v>28</v>
      </c>
      <c r="F3316" s="17" t="str">
        <f>INDEX(nrg_cb_e!$A$3:$A$40,MATCH(LEFT(MID('Industriesektor GWh'!$B3316,41,1000),SEARCH(" - ",MID('Industriesektor GWh'!$B3316,41,1000))-1),nrg_cb_e!$C$3:$C$40,0))</f>
        <v>FC_IND_MAC_E</v>
      </c>
      <c r="G3316" s="18">
        <v>5015</v>
      </c>
    </row>
    <row r="3317" spans="1:7" x14ac:dyDescent="0.2">
      <c r="A3317" s="19" t="s">
        <v>38</v>
      </c>
      <c r="B3317" s="20" t="s">
        <v>67</v>
      </c>
      <c r="C3317" s="20" t="s">
        <v>8</v>
      </c>
      <c r="D3317" s="20" t="s">
        <v>10</v>
      </c>
      <c r="E3317" s="20" t="s">
        <v>12</v>
      </c>
      <c r="F3317" s="20" t="str">
        <f>INDEX(nrg_cb_e!$A$3:$A$40,MATCH(LEFT(MID('Industriesektor GWh'!$B3317,41,1000),SEARCH(" - ",MID('Industriesektor GWh'!$B3317,41,1000))-1),nrg_cb_e!$C$3:$C$40,0))</f>
        <v>FC_IND_MAC_E</v>
      </c>
      <c r="G3317" s="21">
        <v>14497</v>
      </c>
    </row>
    <row r="3318" spans="1:7" x14ac:dyDescent="0.2">
      <c r="A3318" s="16" t="s">
        <v>38</v>
      </c>
      <c r="B3318" s="17" t="s">
        <v>67</v>
      </c>
      <c r="C3318" s="17" t="s">
        <v>8</v>
      </c>
      <c r="D3318" s="17" t="s">
        <v>10</v>
      </c>
      <c r="E3318" s="17" t="s">
        <v>13</v>
      </c>
      <c r="F3318" s="17" t="str">
        <f>INDEX(nrg_cb_e!$A$3:$A$40,MATCH(LEFT(MID('Industriesektor GWh'!$B3318,41,1000),SEARCH(" - ",MID('Industriesektor GWh'!$B3318,41,1000))-1),nrg_cb_e!$C$3:$C$40,0))</f>
        <v>FC_IND_MAC_E</v>
      </c>
      <c r="G3318" s="18">
        <v>13826</v>
      </c>
    </row>
    <row r="3319" spans="1:7" x14ac:dyDescent="0.2">
      <c r="A3319" s="19" t="s">
        <v>38</v>
      </c>
      <c r="B3319" s="20" t="s">
        <v>67</v>
      </c>
      <c r="C3319" s="20" t="s">
        <v>8</v>
      </c>
      <c r="D3319" s="20" t="s">
        <v>10</v>
      </c>
      <c r="E3319" s="20" t="s">
        <v>14</v>
      </c>
      <c r="F3319" s="20" t="str">
        <f>INDEX(nrg_cb_e!$A$3:$A$40,MATCH(LEFT(MID('Industriesektor GWh'!$B3319,41,1000),SEARCH(" - ",MID('Industriesektor GWh'!$B3319,41,1000))-1),nrg_cb_e!$C$3:$C$40,0))</f>
        <v>FC_IND_MAC_E</v>
      </c>
      <c r="G3319" s="21">
        <v>13815</v>
      </c>
    </row>
    <row r="3320" spans="1:7" x14ac:dyDescent="0.2">
      <c r="A3320" s="16" t="s">
        <v>38</v>
      </c>
      <c r="B3320" s="17" t="s">
        <v>67</v>
      </c>
      <c r="C3320" s="17" t="s">
        <v>8</v>
      </c>
      <c r="D3320" s="17" t="s">
        <v>10</v>
      </c>
      <c r="E3320" s="17" t="s">
        <v>15</v>
      </c>
      <c r="F3320" s="17" t="str">
        <f>INDEX(nrg_cb_e!$A$3:$A$40,MATCH(LEFT(MID('Industriesektor GWh'!$B3320,41,1000),SEARCH(" - ",MID('Industriesektor GWh'!$B3320,41,1000))-1),nrg_cb_e!$C$3:$C$40,0))</f>
        <v>FC_IND_MAC_E</v>
      </c>
      <c r="G3320" s="18">
        <v>11917</v>
      </c>
    </row>
    <row r="3321" spans="1:7" x14ac:dyDescent="0.2">
      <c r="A3321" s="19" t="s">
        <v>38</v>
      </c>
      <c r="B3321" s="20" t="s">
        <v>67</v>
      </c>
      <c r="C3321" s="20" t="s">
        <v>8</v>
      </c>
      <c r="D3321" s="20" t="s">
        <v>10</v>
      </c>
      <c r="E3321" s="20" t="s">
        <v>16</v>
      </c>
      <c r="F3321" s="20" t="str">
        <f>INDEX(nrg_cb_e!$A$3:$A$40,MATCH(LEFT(MID('Industriesektor GWh'!$B3321,41,1000),SEARCH(" - ",MID('Industriesektor GWh'!$B3321,41,1000))-1),nrg_cb_e!$C$3:$C$40,0))</f>
        <v>FC_IND_MAC_E</v>
      </c>
      <c r="G3321" s="21">
        <v>13587</v>
      </c>
    </row>
    <row r="3322" spans="1:7" x14ac:dyDescent="0.2">
      <c r="A3322" s="16" t="s">
        <v>38</v>
      </c>
      <c r="B3322" s="17" t="s">
        <v>67</v>
      </c>
      <c r="C3322" s="17" t="s">
        <v>8</v>
      </c>
      <c r="D3322" s="17" t="s">
        <v>10</v>
      </c>
      <c r="E3322" s="17" t="s">
        <v>17</v>
      </c>
      <c r="F3322" s="17" t="str">
        <f>INDEX(nrg_cb_e!$A$3:$A$40,MATCH(LEFT(MID('Industriesektor GWh'!$B3322,41,1000),SEARCH(" - ",MID('Industriesektor GWh'!$B3322,41,1000))-1),nrg_cb_e!$C$3:$C$40,0))</f>
        <v>FC_IND_MAC_E</v>
      </c>
      <c r="G3322" s="18">
        <v>13572</v>
      </c>
    </row>
    <row r="3323" spans="1:7" x14ac:dyDescent="0.2">
      <c r="A3323" s="19" t="s">
        <v>38</v>
      </c>
      <c r="B3323" s="20" t="s">
        <v>67</v>
      </c>
      <c r="C3323" s="20" t="s">
        <v>8</v>
      </c>
      <c r="D3323" s="20" t="s">
        <v>10</v>
      </c>
      <c r="E3323" s="20" t="s">
        <v>18</v>
      </c>
      <c r="F3323" s="20" t="str">
        <f>INDEX(nrg_cb_e!$A$3:$A$40,MATCH(LEFT(MID('Industriesektor GWh'!$B3323,41,1000),SEARCH(" - ",MID('Industriesektor GWh'!$B3323,41,1000))-1),nrg_cb_e!$C$3:$C$40,0))</f>
        <v>FC_IND_MAC_E</v>
      </c>
      <c r="G3323" s="21">
        <v>17299</v>
      </c>
    </row>
    <row r="3324" spans="1:7" x14ac:dyDescent="0.2">
      <c r="A3324" s="16" t="s">
        <v>38</v>
      </c>
      <c r="B3324" s="17" t="s">
        <v>67</v>
      </c>
      <c r="C3324" s="17" t="s">
        <v>8</v>
      </c>
      <c r="D3324" s="17" t="s">
        <v>10</v>
      </c>
      <c r="E3324" s="17" t="s">
        <v>19</v>
      </c>
      <c r="F3324" s="17" t="str">
        <f>INDEX(nrg_cb_e!$A$3:$A$40,MATCH(LEFT(MID('Industriesektor GWh'!$B3324,41,1000),SEARCH(" - ",MID('Industriesektor GWh'!$B3324,41,1000))-1),nrg_cb_e!$C$3:$C$40,0))</f>
        <v>FC_IND_MAC_E</v>
      </c>
      <c r="G3324" s="18">
        <v>14662</v>
      </c>
    </row>
    <row r="3325" spans="1:7" x14ac:dyDescent="0.2">
      <c r="A3325" s="19" t="s">
        <v>38</v>
      </c>
      <c r="B3325" s="20" t="s">
        <v>67</v>
      </c>
      <c r="C3325" s="20" t="s">
        <v>8</v>
      </c>
      <c r="D3325" s="20" t="s">
        <v>10</v>
      </c>
      <c r="E3325" s="20" t="s">
        <v>20</v>
      </c>
      <c r="F3325" s="20" t="str">
        <f>INDEX(nrg_cb_e!$A$3:$A$40,MATCH(LEFT(MID('Industriesektor GWh'!$B3325,41,1000),SEARCH(" - ",MID('Industriesektor GWh'!$B3325,41,1000))-1),nrg_cb_e!$C$3:$C$40,0))</f>
        <v>FC_IND_MAC_E</v>
      </c>
      <c r="G3325" s="21">
        <v>15936</v>
      </c>
    </row>
    <row r="3326" spans="1:7" x14ac:dyDescent="0.2">
      <c r="A3326" s="16" t="s">
        <v>38</v>
      </c>
      <c r="B3326" s="17" t="s">
        <v>67</v>
      </c>
      <c r="C3326" s="17" t="s">
        <v>8</v>
      </c>
      <c r="D3326" s="17" t="s">
        <v>10</v>
      </c>
      <c r="E3326" s="17" t="s">
        <v>21</v>
      </c>
      <c r="F3326" s="17" t="str">
        <f>INDEX(nrg_cb_e!$A$3:$A$40,MATCH(LEFT(MID('Industriesektor GWh'!$B3326,41,1000),SEARCH(" - ",MID('Industriesektor GWh'!$B3326,41,1000))-1),nrg_cb_e!$C$3:$C$40,0))</f>
        <v>FC_IND_MAC_E</v>
      </c>
      <c r="G3326" s="18">
        <v>13733.833000000001</v>
      </c>
    </row>
    <row r="3327" spans="1:7" x14ac:dyDescent="0.2">
      <c r="A3327" s="19" t="s">
        <v>38</v>
      </c>
      <c r="B3327" s="20" t="s">
        <v>67</v>
      </c>
      <c r="C3327" s="20" t="s">
        <v>8</v>
      </c>
      <c r="D3327" s="20" t="s">
        <v>10</v>
      </c>
      <c r="E3327" s="20" t="s">
        <v>22</v>
      </c>
      <c r="F3327" s="20" t="str">
        <f>INDEX(nrg_cb_e!$A$3:$A$40,MATCH(LEFT(MID('Industriesektor GWh'!$B3327,41,1000),SEARCH(" - ",MID('Industriesektor GWh'!$B3327,41,1000))-1),nrg_cb_e!$C$3:$C$40,0))</f>
        <v>FC_IND_MAC_E</v>
      </c>
      <c r="G3327" s="21">
        <v>13652.545</v>
      </c>
    </row>
    <row r="3328" spans="1:7" x14ac:dyDescent="0.2">
      <c r="A3328" s="16" t="s">
        <v>38</v>
      </c>
      <c r="B3328" s="17" t="s">
        <v>67</v>
      </c>
      <c r="C3328" s="17" t="s">
        <v>8</v>
      </c>
      <c r="D3328" s="17" t="s">
        <v>10</v>
      </c>
      <c r="E3328" s="17" t="s">
        <v>23</v>
      </c>
      <c r="F3328" s="17" t="str">
        <f>INDEX(nrg_cb_e!$A$3:$A$40,MATCH(LEFT(MID('Industriesektor GWh'!$B3328,41,1000),SEARCH(" - ",MID('Industriesektor GWh'!$B3328,41,1000))-1),nrg_cb_e!$C$3:$C$40,0))</f>
        <v>FC_IND_MAC_E</v>
      </c>
      <c r="G3328" s="18">
        <v>13595.088</v>
      </c>
    </row>
    <row r="3329" spans="1:7" x14ac:dyDescent="0.2">
      <c r="A3329" s="19" t="s">
        <v>38</v>
      </c>
      <c r="B3329" s="20" t="s">
        <v>67</v>
      </c>
      <c r="C3329" s="20" t="s">
        <v>8</v>
      </c>
      <c r="D3329" s="20" t="s">
        <v>10</v>
      </c>
      <c r="E3329" s="20" t="s">
        <v>24</v>
      </c>
      <c r="F3329" s="20" t="str">
        <f>INDEX(nrg_cb_e!$A$3:$A$40,MATCH(LEFT(MID('Industriesektor GWh'!$B3329,41,1000),SEARCH(" - ",MID('Industriesektor GWh'!$B3329,41,1000))-1),nrg_cb_e!$C$3:$C$40,0))</f>
        <v>FC_IND_MAC_E</v>
      </c>
      <c r="G3329" s="21">
        <v>13024.382</v>
      </c>
    </row>
    <row r="3330" spans="1:7" x14ac:dyDescent="0.2">
      <c r="A3330" s="16" t="s">
        <v>38</v>
      </c>
      <c r="B3330" s="17" t="s">
        <v>67</v>
      </c>
      <c r="C3330" s="17" t="s">
        <v>8</v>
      </c>
      <c r="D3330" s="17" t="s">
        <v>10</v>
      </c>
      <c r="E3330" s="17" t="s">
        <v>25</v>
      </c>
      <c r="F3330" s="17" t="str">
        <f>INDEX(nrg_cb_e!$A$3:$A$40,MATCH(LEFT(MID('Industriesektor GWh'!$B3330,41,1000),SEARCH(" - ",MID('Industriesektor GWh'!$B3330,41,1000))-1),nrg_cb_e!$C$3:$C$40,0))</f>
        <v>FC_IND_MAC_E</v>
      </c>
      <c r="G3330" s="18">
        <v>12974.174999999999</v>
      </c>
    </row>
    <row r="3331" spans="1:7" x14ac:dyDescent="0.2">
      <c r="A3331" s="19" t="s">
        <v>38</v>
      </c>
      <c r="B3331" s="20" t="s">
        <v>67</v>
      </c>
      <c r="C3331" s="20" t="s">
        <v>8</v>
      </c>
      <c r="D3331" s="20" t="s">
        <v>10</v>
      </c>
      <c r="E3331" s="20" t="s">
        <v>26</v>
      </c>
      <c r="F3331" s="20" t="str">
        <f>INDEX(nrg_cb_e!$A$3:$A$40,MATCH(LEFT(MID('Industriesektor GWh'!$B3331,41,1000),SEARCH(" - ",MID('Industriesektor GWh'!$B3331,41,1000))-1),nrg_cb_e!$C$3:$C$40,0))</f>
        <v>FC_IND_MAC_E</v>
      </c>
      <c r="G3331" s="21">
        <v>13020.529</v>
      </c>
    </row>
    <row r="3332" spans="1:7" x14ac:dyDescent="0.2">
      <c r="A3332" s="16" t="s">
        <v>38</v>
      </c>
      <c r="B3332" s="17" t="s">
        <v>67</v>
      </c>
      <c r="C3332" s="17" t="s">
        <v>8</v>
      </c>
      <c r="D3332" s="17" t="s">
        <v>10</v>
      </c>
      <c r="E3332" s="17" t="s">
        <v>27</v>
      </c>
      <c r="F3332" s="17" t="str">
        <f>INDEX(nrg_cb_e!$A$3:$A$40,MATCH(LEFT(MID('Industriesektor GWh'!$B3332,41,1000),SEARCH(" - ",MID('Industriesektor GWh'!$B3332,41,1000))-1),nrg_cb_e!$C$3:$C$40,0))</f>
        <v>FC_IND_MAC_E</v>
      </c>
      <c r="G3332" s="18">
        <v>13001.168</v>
      </c>
    </row>
    <row r="3333" spans="1:7" x14ac:dyDescent="0.2">
      <c r="A3333" s="19" t="s">
        <v>38</v>
      </c>
      <c r="B3333" s="20" t="s">
        <v>67</v>
      </c>
      <c r="C3333" s="20" t="s">
        <v>8</v>
      </c>
      <c r="D3333" s="20" t="s">
        <v>10</v>
      </c>
      <c r="E3333" s="20" t="s">
        <v>28</v>
      </c>
      <c r="F3333" s="20" t="str">
        <f>INDEX(nrg_cb_e!$A$3:$A$40,MATCH(LEFT(MID('Industriesektor GWh'!$B3333,41,1000),SEARCH(" - ",MID('Industriesektor GWh'!$B3333,41,1000))-1),nrg_cb_e!$C$3:$C$40,0))</f>
        <v>FC_IND_MAC_E</v>
      </c>
      <c r="G3333" s="21">
        <v>12912.174999999999</v>
      </c>
    </row>
    <row r="3334" spans="1:7" x14ac:dyDescent="0.2">
      <c r="A3334" s="16" t="s">
        <v>39</v>
      </c>
      <c r="B3334" s="17" t="s">
        <v>67</v>
      </c>
      <c r="C3334" s="17" t="s">
        <v>8</v>
      </c>
      <c r="D3334" s="17" t="s">
        <v>10</v>
      </c>
      <c r="E3334" s="17" t="s">
        <v>12</v>
      </c>
      <c r="F3334" s="17" t="str">
        <f>INDEX(nrg_cb_e!$A$3:$A$40,MATCH(LEFT(MID('Industriesektor GWh'!$B3334,41,1000),SEARCH(" - ",MID('Industriesektor GWh'!$B3334,41,1000))-1),nrg_cb_e!$C$3:$C$40,0))</f>
        <v>FC_IND_MAC_E</v>
      </c>
      <c r="G3334" s="18">
        <v>165</v>
      </c>
    </row>
    <row r="3335" spans="1:7" x14ac:dyDescent="0.2">
      <c r="A3335" s="19" t="s">
        <v>39</v>
      </c>
      <c r="B3335" s="20" t="s">
        <v>67</v>
      </c>
      <c r="C3335" s="20" t="s">
        <v>8</v>
      </c>
      <c r="D3335" s="20" t="s">
        <v>10</v>
      </c>
      <c r="E3335" s="20" t="s">
        <v>13</v>
      </c>
      <c r="F3335" s="20" t="str">
        <f>INDEX(nrg_cb_e!$A$3:$A$40,MATCH(LEFT(MID('Industriesektor GWh'!$B3335,41,1000),SEARCH(" - ",MID('Industriesektor GWh'!$B3335,41,1000))-1),nrg_cb_e!$C$3:$C$40,0))</f>
        <v>FC_IND_MAC_E</v>
      </c>
      <c r="G3335" s="21">
        <v>189</v>
      </c>
    </row>
    <row r="3336" spans="1:7" x14ac:dyDescent="0.2">
      <c r="A3336" s="16" t="s">
        <v>39</v>
      </c>
      <c r="B3336" s="17" t="s">
        <v>67</v>
      </c>
      <c r="C3336" s="17" t="s">
        <v>8</v>
      </c>
      <c r="D3336" s="17" t="s">
        <v>10</v>
      </c>
      <c r="E3336" s="17" t="s">
        <v>14</v>
      </c>
      <c r="F3336" s="17" t="str">
        <f>INDEX(nrg_cb_e!$A$3:$A$40,MATCH(LEFT(MID('Industriesektor GWh'!$B3336,41,1000),SEARCH(" - ",MID('Industriesektor GWh'!$B3336,41,1000))-1),nrg_cb_e!$C$3:$C$40,0))</f>
        <v>FC_IND_MAC_E</v>
      </c>
      <c r="G3336" s="18">
        <v>219</v>
      </c>
    </row>
    <row r="3337" spans="1:7" x14ac:dyDescent="0.2">
      <c r="A3337" s="19" t="s">
        <v>39</v>
      </c>
      <c r="B3337" s="20" t="s">
        <v>67</v>
      </c>
      <c r="C3337" s="20" t="s">
        <v>8</v>
      </c>
      <c r="D3337" s="20" t="s">
        <v>10</v>
      </c>
      <c r="E3337" s="20" t="s">
        <v>15</v>
      </c>
      <c r="F3337" s="20" t="str">
        <f>INDEX(nrg_cb_e!$A$3:$A$40,MATCH(LEFT(MID('Industriesektor GWh'!$B3337,41,1000),SEARCH(" - ",MID('Industriesektor GWh'!$B3337,41,1000))-1),nrg_cb_e!$C$3:$C$40,0))</f>
        <v>FC_IND_MAC_E</v>
      </c>
      <c r="G3337" s="21">
        <v>241</v>
      </c>
    </row>
    <row r="3338" spans="1:7" x14ac:dyDescent="0.2">
      <c r="A3338" s="16" t="s">
        <v>39</v>
      </c>
      <c r="B3338" s="17" t="s">
        <v>67</v>
      </c>
      <c r="C3338" s="17" t="s">
        <v>8</v>
      </c>
      <c r="D3338" s="17" t="s">
        <v>10</v>
      </c>
      <c r="E3338" s="17" t="s">
        <v>16</v>
      </c>
      <c r="F3338" s="17" t="str">
        <f>INDEX(nrg_cb_e!$A$3:$A$40,MATCH(LEFT(MID('Industriesektor GWh'!$B3338,41,1000),SEARCH(" - ",MID('Industriesektor GWh'!$B3338,41,1000))-1),nrg_cb_e!$C$3:$C$40,0))</f>
        <v>FC_IND_MAC_E</v>
      </c>
      <c r="G3338" s="18">
        <v>276</v>
      </c>
    </row>
    <row r="3339" spans="1:7" x14ac:dyDescent="0.2">
      <c r="A3339" s="19" t="s">
        <v>39</v>
      </c>
      <c r="B3339" s="20" t="s">
        <v>67</v>
      </c>
      <c r="C3339" s="20" t="s">
        <v>8</v>
      </c>
      <c r="D3339" s="20" t="s">
        <v>10</v>
      </c>
      <c r="E3339" s="20" t="s">
        <v>17</v>
      </c>
      <c r="F3339" s="20" t="str">
        <f>INDEX(nrg_cb_e!$A$3:$A$40,MATCH(LEFT(MID('Industriesektor GWh'!$B3339,41,1000),SEARCH(" - ",MID('Industriesektor GWh'!$B3339,41,1000))-1),nrg_cb_e!$C$3:$C$40,0))</f>
        <v>FC_IND_MAC_E</v>
      </c>
      <c r="G3339" s="21">
        <v>311</v>
      </c>
    </row>
    <row r="3340" spans="1:7" x14ac:dyDescent="0.2">
      <c r="A3340" s="16" t="s">
        <v>39</v>
      </c>
      <c r="B3340" s="17" t="s">
        <v>67</v>
      </c>
      <c r="C3340" s="17" t="s">
        <v>8</v>
      </c>
      <c r="D3340" s="17" t="s">
        <v>10</v>
      </c>
      <c r="E3340" s="17" t="s">
        <v>18</v>
      </c>
      <c r="F3340" s="17" t="str">
        <f>INDEX(nrg_cb_e!$A$3:$A$40,MATCH(LEFT(MID('Industriesektor GWh'!$B3340,41,1000),SEARCH(" - ",MID('Industriesektor GWh'!$B3340,41,1000))-1),nrg_cb_e!$C$3:$C$40,0))</f>
        <v>FC_IND_MAC_E</v>
      </c>
      <c r="G3340" s="18">
        <v>360</v>
      </c>
    </row>
    <row r="3341" spans="1:7" x14ac:dyDescent="0.2">
      <c r="A3341" s="19" t="s">
        <v>39</v>
      </c>
      <c r="B3341" s="20" t="s">
        <v>67</v>
      </c>
      <c r="C3341" s="20" t="s">
        <v>8</v>
      </c>
      <c r="D3341" s="20" t="s">
        <v>10</v>
      </c>
      <c r="E3341" s="20" t="s">
        <v>19</v>
      </c>
      <c r="F3341" s="20" t="str">
        <f>INDEX(nrg_cb_e!$A$3:$A$40,MATCH(LEFT(MID('Industriesektor GWh'!$B3341,41,1000),SEARCH(" - ",MID('Industriesektor GWh'!$B3341,41,1000))-1),nrg_cb_e!$C$3:$C$40,0))</f>
        <v>FC_IND_MAC_E</v>
      </c>
      <c r="G3341" s="21">
        <v>301</v>
      </c>
    </row>
    <row r="3342" spans="1:7" x14ac:dyDescent="0.2">
      <c r="A3342" s="16" t="s">
        <v>39</v>
      </c>
      <c r="B3342" s="17" t="s">
        <v>67</v>
      </c>
      <c r="C3342" s="17" t="s">
        <v>8</v>
      </c>
      <c r="D3342" s="17" t="s">
        <v>10</v>
      </c>
      <c r="E3342" s="17" t="s">
        <v>20</v>
      </c>
      <c r="F3342" s="17" t="str">
        <f>INDEX(nrg_cb_e!$A$3:$A$40,MATCH(LEFT(MID('Industriesektor GWh'!$B3342,41,1000),SEARCH(" - ",MID('Industriesektor GWh'!$B3342,41,1000))-1),nrg_cb_e!$C$3:$C$40,0))</f>
        <v>FC_IND_MAC_E</v>
      </c>
      <c r="G3342" s="18">
        <v>313</v>
      </c>
    </row>
    <row r="3343" spans="1:7" x14ac:dyDescent="0.2">
      <c r="A3343" s="19" t="s">
        <v>39</v>
      </c>
      <c r="B3343" s="20" t="s">
        <v>67</v>
      </c>
      <c r="C3343" s="20" t="s">
        <v>8</v>
      </c>
      <c r="D3343" s="20" t="s">
        <v>10</v>
      </c>
      <c r="E3343" s="20" t="s">
        <v>21</v>
      </c>
      <c r="F3343" s="20" t="str">
        <f>INDEX(nrg_cb_e!$A$3:$A$40,MATCH(LEFT(MID('Industriesektor GWh'!$B3343,41,1000),SEARCH(" - ",MID('Industriesektor GWh'!$B3343,41,1000))-1),nrg_cb_e!$C$3:$C$40,0))</f>
        <v>FC_IND_MAC_E</v>
      </c>
      <c r="G3343" s="21">
        <v>321</v>
      </c>
    </row>
    <row r="3344" spans="1:7" x14ac:dyDescent="0.2">
      <c r="A3344" s="16" t="s">
        <v>39</v>
      </c>
      <c r="B3344" s="17" t="s">
        <v>67</v>
      </c>
      <c r="C3344" s="17" t="s">
        <v>8</v>
      </c>
      <c r="D3344" s="17" t="s">
        <v>10</v>
      </c>
      <c r="E3344" s="17" t="s">
        <v>22</v>
      </c>
      <c r="F3344" s="17" t="str">
        <f>INDEX(nrg_cb_e!$A$3:$A$40,MATCH(LEFT(MID('Industriesektor GWh'!$B3344,41,1000),SEARCH(" - ",MID('Industriesektor GWh'!$B3344,41,1000))-1),nrg_cb_e!$C$3:$C$40,0))</f>
        <v>FC_IND_MAC_E</v>
      </c>
      <c r="G3344" s="18">
        <v>319</v>
      </c>
    </row>
    <row r="3345" spans="1:7" x14ac:dyDescent="0.2">
      <c r="A3345" s="19" t="s">
        <v>39</v>
      </c>
      <c r="B3345" s="20" t="s">
        <v>67</v>
      </c>
      <c r="C3345" s="20" t="s">
        <v>8</v>
      </c>
      <c r="D3345" s="20" t="s">
        <v>10</v>
      </c>
      <c r="E3345" s="20" t="s">
        <v>23</v>
      </c>
      <c r="F3345" s="20" t="str">
        <f>INDEX(nrg_cb_e!$A$3:$A$40,MATCH(LEFT(MID('Industriesektor GWh'!$B3345,41,1000),SEARCH(" - ",MID('Industriesektor GWh'!$B3345,41,1000))-1),nrg_cb_e!$C$3:$C$40,0))</f>
        <v>FC_IND_MAC_E</v>
      </c>
      <c r="G3345" s="21">
        <v>330</v>
      </c>
    </row>
    <row r="3346" spans="1:7" x14ac:dyDescent="0.2">
      <c r="A3346" s="16" t="s">
        <v>39</v>
      </c>
      <c r="B3346" s="17" t="s">
        <v>67</v>
      </c>
      <c r="C3346" s="17" t="s">
        <v>8</v>
      </c>
      <c r="D3346" s="17" t="s">
        <v>10</v>
      </c>
      <c r="E3346" s="17" t="s">
        <v>24</v>
      </c>
      <c r="F3346" s="17" t="str">
        <f>INDEX(nrg_cb_e!$A$3:$A$40,MATCH(LEFT(MID('Industriesektor GWh'!$B3346,41,1000),SEARCH(" - ",MID('Industriesektor GWh'!$B3346,41,1000))-1),nrg_cb_e!$C$3:$C$40,0))</f>
        <v>FC_IND_MAC_E</v>
      </c>
      <c r="G3346" s="18">
        <v>400</v>
      </c>
    </row>
    <row r="3347" spans="1:7" x14ac:dyDescent="0.2">
      <c r="A3347" s="19" t="s">
        <v>39</v>
      </c>
      <c r="B3347" s="20" t="s">
        <v>67</v>
      </c>
      <c r="C3347" s="20" t="s">
        <v>8</v>
      </c>
      <c r="D3347" s="20" t="s">
        <v>10</v>
      </c>
      <c r="E3347" s="20" t="s">
        <v>25</v>
      </c>
      <c r="F3347" s="20" t="str">
        <f>INDEX(nrg_cb_e!$A$3:$A$40,MATCH(LEFT(MID('Industriesektor GWh'!$B3347,41,1000),SEARCH(" - ",MID('Industriesektor GWh'!$B3347,41,1000))-1),nrg_cb_e!$C$3:$C$40,0))</f>
        <v>FC_IND_MAC_E</v>
      </c>
      <c r="G3347" s="21">
        <v>428</v>
      </c>
    </row>
    <row r="3348" spans="1:7" x14ac:dyDescent="0.2">
      <c r="A3348" s="16" t="s">
        <v>39</v>
      </c>
      <c r="B3348" s="17" t="s">
        <v>67</v>
      </c>
      <c r="C3348" s="17" t="s">
        <v>8</v>
      </c>
      <c r="D3348" s="17" t="s">
        <v>10</v>
      </c>
      <c r="E3348" s="17" t="s">
        <v>26</v>
      </c>
      <c r="F3348" s="17" t="str">
        <f>INDEX(nrg_cb_e!$A$3:$A$40,MATCH(LEFT(MID('Industriesektor GWh'!$B3348,41,1000),SEARCH(" - ",MID('Industriesektor GWh'!$B3348,41,1000))-1),nrg_cb_e!$C$3:$C$40,0))</f>
        <v>FC_IND_MAC_E</v>
      </c>
      <c r="G3348" s="18">
        <v>466</v>
      </c>
    </row>
    <row r="3349" spans="1:7" x14ac:dyDescent="0.2">
      <c r="A3349" s="19" t="s">
        <v>39</v>
      </c>
      <c r="B3349" s="20" t="s">
        <v>67</v>
      </c>
      <c r="C3349" s="20" t="s">
        <v>8</v>
      </c>
      <c r="D3349" s="20" t="s">
        <v>10</v>
      </c>
      <c r="E3349" s="20" t="s">
        <v>27</v>
      </c>
      <c r="F3349" s="20" t="str">
        <f>INDEX(nrg_cb_e!$A$3:$A$40,MATCH(LEFT(MID('Industriesektor GWh'!$B3349,41,1000),SEARCH(" - ",MID('Industriesektor GWh'!$B3349,41,1000))-1),nrg_cb_e!$C$3:$C$40,0))</f>
        <v>FC_IND_MAC_E</v>
      </c>
      <c r="G3349" s="21">
        <v>456.6</v>
      </c>
    </row>
    <row r="3350" spans="1:7" x14ac:dyDescent="0.2">
      <c r="A3350" s="16" t="s">
        <v>39</v>
      </c>
      <c r="B3350" s="17" t="s">
        <v>67</v>
      </c>
      <c r="C3350" s="17" t="s">
        <v>8</v>
      </c>
      <c r="D3350" s="17" t="s">
        <v>10</v>
      </c>
      <c r="E3350" s="17" t="s">
        <v>28</v>
      </c>
      <c r="F3350" s="17" t="str">
        <f>INDEX(nrg_cb_e!$A$3:$A$40,MATCH(LEFT(MID('Industriesektor GWh'!$B3350,41,1000),SEARCH(" - ",MID('Industriesektor GWh'!$B3350,41,1000))-1),nrg_cb_e!$C$3:$C$40,0))</f>
        <v>FC_IND_MAC_E</v>
      </c>
      <c r="G3350" s="18">
        <v>413.7</v>
      </c>
    </row>
    <row r="3351" spans="1:7" x14ac:dyDescent="0.2">
      <c r="A3351" s="19" t="s">
        <v>40</v>
      </c>
      <c r="B3351" s="20" t="s">
        <v>67</v>
      </c>
      <c r="C3351" s="20" t="s">
        <v>8</v>
      </c>
      <c r="D3351" s="20" t="s">
        <v>10</v>
      </c>
      <c r="E3351" s="20" t="s">
        <v>12</v>
      </c>
      <c r="F3351" s="20" t="str">
        <f>INDEX(nrg_cb_e!$A$3:$A$40,MATCH(LEFT(MID('Industriesektor GWh'!$B3351,41,1000),SEARCH(" - ",MID('Industriesektor GWh'!$B3351,41,1000))-1),nrg_cb_e!$C$3:$C$40,0))</f>
        <v>FC_IND_MAC_E</v>
      </c>
      <c r="G3351" s="21">
        <v>21631</v>
      </c>
    </row>
    <row r="3352" spans="1:7" x14ac:dyDescent="0.2">
      <c r="A3352" s="16" t="s">
        <v>40</v>
      </c>
      <c r="B3352" s="17" t="s">
        <v>67</v>
      </c>
      <c r="C3352" s="17" t="s">
        <v>8</v>
      </c>
      <c r="D3352" s="17" t="s">
        <v>10</v>
      </c>
      <c r="E3352" s="17" t="s">
        <v>13</v>
      </c>
      <c r="F3352" s="17" t="str">
        <f>INDEX(nrg_cb_e!$A$3:$A$40,MATCH(LEFT(MID('Industriesektor GWh'!$B3352,41,1000),SEARCH(" - ",MID('Industriesektor GWh'!$B3352,41,1000))-1),nrg_cb_e!$C$3:$C$40,0))</f>
        <v>FC_IND_MAC_E</v>
      </c>
      <c r="G3352" s="18">
        <v>22328</v>
      </c>
    </row>
    <row r="3353" spans="1:7" x14ac:dyDescent="0.2">
      <c r="A3353" s="19" t="s">
        <v>40</v>
      </c>
      <c r="B3353" s="20" t="s">
        <v>67</v>
      </c>
      <c r="C3353" s="20" t="s">
        <v>8</v>
      </c>
      <c r="D3353" s="20" t="s">
        <v>10</v>
      </c>
      <c r="E3353" s="20" t="s">
        <v>14</v>
      </c>
      <c r="F3353" s="20" t="str">
        <f>INDEX(nrg_cb_e!$A$3:$A$40,MATCH(LEFT(MID('Industriesektor GWh'!$B3353,41,1000),SEARCH(" - ",MID('Industriesektor GWh'!$B3353,41,1000))-1),nrg_cb_e!$C$3:$C$40,0))</f>
        <v>FC_IND_MAC_E</v>
      </c>
      <c r="G3353" s="21">
        <v>23037</v>
      </c>
    </row>
    <row r="3354" spans="1:7" x14ac:dyDescent="0.2">
      <c r="A3354" s="16" t="s">
        <v>40</v>
      </c>
      <c r="B3354" s="17" t="s">
        <v>67</v>
      </c>
      <c r="C3354" s="17" t="s">
        <v>8</v>
      </c>
      <c r="D3354" s="17" t="s">
        <v>10</v>
      </c>
      <c r="E3354" s="17" t="s">
        <v>15</v>
      </c>
      <c r="F3354" s="17" t="str">
        <f>INDEX(nrg_cb_e!$A$3:$A$40,MATCH(LEFT(MID('Industriesektor GWh'!$B3354,41,1000),SEARCH(" - ",MID('Industriesektor GWh'!$B3354,41,1000))-1),nrg_cb_e!$C$3:$C$40,0))</f>
        <v>FC_IND_MAC_E</v>
      </c>
      <c r="G3354" s="18">
        <v>23550</v>
      </c>
    </row>
    <row r="3355" spans="1:7" x14ac:dyDescent="0.2">
      <c r="A3355" s="19" t="s">
        <v>40</v>
      </c>
      <c r="B3355" s="20" t="s">
        <v>67</v>
      </c>
      <c r="C3355" s="20" t="s">
        <v>8</v>
      </c>
      <c r="D3355" s="20" t="s">
        <v>10</v>
      </c>
      <c r="E3355" s="20" t="s">
        <v>16</v>
      </c>
      <c r="F3355" s="20" t="str">
        <f>INDEX(nrg_cb_e!$A$3:$A$40,MATCH(LEFT(MID('Industriesektor GWh'!$B3355,41,1000),SEARCH(" - ",MID('Industriesektor GWh'!$B3355,41,1000))-1),nrg_cb_e!$C$3:$C$40,0))</f>
        <v>FC_IND_MAC_E</v>
      </c>
      <c r="G3355" s="21">
        <v>24076</v>
      </c>
    </row>
    <row r="3356" spans="1:7" x14ac:dyDescent="0.2">
      <c r="A3356" s="16" t="s">
        <v>40</v>
      </c>
      <c r="B3356" s="17" t="s">
        <v>67</v>
      </c>
      <c r="C3356" s="17" t="s">
        <v>8</v>
      </c>
      <c r="D3356" s="17" t="s">
        <v>10</v>
      </c>
      <c r="E3356" s="17" t="s">
        <v>17</v>
      </c>
      <c r="F3356" s="17" t="str">
        <f>INDEX(nrg_cb_e!$A$3:$A$40,MATCH(LEFT(MID('Industriesektor GWh'!$B3356,41,1000),SEARCH(" - ",MID('Industriesektor GWh'!$B3356,41,1000))-1),nrg_cb_e!$C$3:$C$40,0))</f>
        <v>FC_IND_MAC_E</v>
      </c>
      <c r="G3356" s="18">
        <v>23802</v>
      </c>
    </row>
    <row r="3357" spans="1:7" x14ac:dyDescent="0.2">
      <c r="A3357" s="19" t="s">
        <v>40</v>
      </c>
      <c r="B3357" s="20" t="s">
        <v>67</v>
      </c>
      <c r="C3357" s="20" t="s">
        <v>8</v>
      </c>
      <c r="D3357" s="20" t="s">
        <v>10</v>
      </c>
      <c r="E3357" s="20" t="s">
        <v>18</v>
      </c>
      <c r="F3357" s="20" t="str">
        <f>INDEX(nrg_cb_e!$A$3:$A$40,MATCH(LEFT(MID('Industriesektor GWh'!$B3357,41,1000),SEARCH(" - ",MID('Industriesektor GWh'!$B3357,41,1000))-1),nrg_cb_e!$C$3:$C$40,0))</f>
        <v>FC_IND_MAC_E</v>
      </c>
      <c r="G3357" s="21">
        <v>23129</v>
      </c>
    </row>
    <row r="3358" spans="1:7" x14ac:dyDescent="0.2">
      <c r="A3358" s="16" t="s">
        <v>40</v>
      </c>
      <c r="B3358" s="17" t="s">
        <v>67</v>
      </c>
      <c r="C3358" s="17" t="s">
        <v>8</v>
      </c>
      <c r="D3358" s="17" t="s">
        <v>10</v>
      </c>
      <c r="E3358" s="17" t="s">
        <v>19</v>
      </c>
      <c r="F3358" s="17" t="str">
        <f>INDEX(nrg_cb_e!$A$3:$A$40,MATCH(LEFT(MID('Industriesektor GWh'!$B3358,41,1000),SEARCH(" - ",MID('Industriesektor GWh'!$B3358,41,1000))-1),nrg_cb_e!$C$3:$C$40,0))</f>
        <v>FC_IND_MAC_E</v>
      </c>
      <c r="G3358" s="18">
        <v>19105</v>
      </c>
    </row>
    <row r="3359" spans="1:7" x14ac:dyDescent="0.2">
      <c r="A3359" s="19" t="s">
        <v>40</v>
      </c>
      <c r="B3359" s="20" t="s">
        <v>67</v>
      </c>
      <c r="C3359" s="20" t="s">
        <v>8</v>
      </c>
      <c r="D3359" s="20" t="s">
        <v>10</v>
      </c>
      <c r="E3359" s="20" t="s">
        <v>20</v>
      </c>
      <c r="F3359" s="20" t="str">
        <f>INDEX(nrg_cb_e!$A$3:$A$40,MATCH(LEFT(MID('Industriesektor GWh'!$B3359,41,1000),SEARCH(" - ",MID('Industriesektor GWh'!$B3359,41,1000))-1),nrg_cb_e!$C$3:$C$40,0))</f>
        <v>FC_IND_MAC_E</v>
      </c>
      <c r="G3359" s="21">
        <v>21336</v>
      </c>
    </row>
    <row r="3360" spans="1:7" x14ac:dyDescent="0.2">
      <c r="A3360" s="16" t="s">
        <v>40</v>
      </c>
      <c r="B3360" s="17" t="s">
        <v>67</v>
      </c>
      <c r="C3360" s="17" t="s">
        <v>8</v>
      </c>
      <c r="D3360" s="17" t="s">
        <v>10</v>
      </c>
      <c r="E3360" s="17" t="s">
        <v>21</v>
      </c>
      <c r="F3360" s="17" t="str">
        <f>INDEX(nrg_cb_e!$A$3:$A$40,MATCH(LEFT(MID('Industriesektor GWh'!$B3360,41,1000),SEARCH(" - ",MID('Industriesektor GWh'!$B3360,41,1000))-1),nrg_cb_e!$C$3:$C$40,0))</f>
        <v>FC_IND_MAC_E</v>
      </c>
      <c r="G3360" s="18">
        <v>21590</v>
      </c>
    </row>
    <row r="3361" spans="1:7" x14ac:dyDescent="0.2">
      <c r="A3361" s="19" t="s">
        <v>40</v>
      </c>
      <c r="B3361" s="20" t="s">
        <v>67</v>
      </c>
      <c r="C3361" s="20" t="s">
        <v>8</v>
      </c>
      <c r="D3361" s="20" t="s">
        <v>10</v>
      </c>
      <c r="E3361" s="20" t="s">
        <v>22</v>
      </c>
      <c r="F3361" s="20" t="str">
        <f>INDEX(nrg_cb_e!$A$3:$A$40,MATCH(LEFT(MID('Industriesektor GWh'!$B3361,41,1000),SEARCH(" - ",MID('Industriesektor GWh'!$B3361,41,1000))-1),nrg_cb_e!$C$3:$C$40,0))</f>
        <v>FC_IND_MAC_E</v>
      </c>
      <c r="G3361" s="21">
        <v>20241</v>
      </c>
    </row>
    <row r="3362" spans="1:7" x14ac:dyDescent="0.2">
      <c r="A3362" s="16" t="s">
        <v>40</v>
      </c>
      <c r="B3362" s="17" t="s">
        <v>67</v>
      </c>
      <c r="C3362" s="17" t="s">
        <v>8</v>
      </c>
      <c r="D3362" s="17" t="s">
        <v>10</v>
      </c>
      <c r="E3362" s="17" t="s">
        <v>23</v>
      </c>
      <c r="F3362" s="17" t="str">
        <f>INDEX(nrg_cb_e!$A$3:$A$40,MATCH(LEFT(MID('Industriesektor GWh'!$B3362,41,1000),SEARCH(" - ",MID('Industriesektor GWh'!$B3362,41,1000))-1),nrg_cb_e!$C$3:$C$40,0))</f>
        <v>FC_IND_MAC_E</v>
      </c>
      <c r="G3362" s="18">
        <v>19787</v>
      </c>
    </row>
    <row r="3363" spans="1:7" x14ac:dyDescent="0.2">
      <c r="A3363" s="19" t="s">
        <v>40</v>
      </c>
      <c r="B3363" s="20" t="s">
        <v>67</v>
      </c>
      <c r="C3363" s="20" t="s">
        <v>8</v>
      </c>
      <c r="D3363" s="20" t="s">
        <v>10</v>
      </c>
      <c r="E3363" s="20" t="s">
        <v>24</v>
      </c>
      <c r="F3363" s="20" t="str">
        <f>INDEX(nrg_cb_e!$A$3:$A$40,MATCH(LEFT(MID('Industriesektor GWh'!$B3363,41,1000),SEARCH(" - ",MID('Industriesektor GWh'!$B3363,41,1000))-1),nrg_cb_e!$C$3:$C$40,0))</f>
        <v>FC_IND_MAC_E</v>
      </c>
      <c r="G3363" s="21">
        <v>19531</v>
      </c>
    </row>
    <row r="3364" spans="1:7" x14ac:dyDescent="0.2">
      <c r="A3364" s="16" t="s">
        <v>40</v>
      </c>
      <c r="B3364" s="17" t="s">
        <v>67</v>
      </c>
      <c r="C3364" s="17" t="s">
        <v>8</v>
      </c>
      <c r="D3364" s="17" t="s">
        <v>10</v>
      </c>
      <c r="E3364" s="17" t="s">
        <v>25</v>
      </c>
      <c r="F3364" s="17" t="str">
        <f>INDEX(nrg_cb_e!$A$3:$A$40,MATCH(LEFT(MID('Industriesektor GWh'!$B3364,41,1000),SEARCH(" - ",MID('Industriesektor GWh'!$B3364,41,1000))-1),nrg_cb_e!$C$3:$C$40,0))</f>
        <v>FC_IND_MAC_E</v>
      </c>
      <c r="G3364" s="18">
        <v>19944</v>
      </c>
    </row>
    <row r="3365" spans="1:7" x14ac:dyDescent="0.2">
      <c r="A3365" s="19" t="s">
        <v>40</v>
      </c>
      <c r="B3365" s="20" t="s">
        <v>67</v>
      </c>
      <c r="C3365" s="20" t="s">
        <v>8</v>
      </c>
      <c r="D3365" s="20" t="s">
        <v>10</v>
      </c>
      <c r="E3365" s="20" t="s">
        <v>26</v>
      </c>
      <c r="F3365" s="20" t="str">
        <f>INDEX(nrg_cb_e!$A$3:$A$40,MATCH(LEFT(MID('Industriesektor GWh'!$B3365,41,1000),SEARCH(" - ",MID('Industriesektor GWh'!$B3365,41,1000))-1),nrg_cb_e!$C$3:$C$40,0))</f>
        <v>FC_IND_MAC_E</v>
      </c>
      <c r="G3365" s="21">
        <v>20128</v>
      </c>
    </row>
    <row r="3366" spans="1:7" x14ac:dyDescent="0.2">
      <c r="A3366" s="16" t="s">
        <v>40</v>
      </c>
      <c r="B3366" s="17" t="s">
        <v>67</v>
      </c>
      <c r="C3366" s="17" t="s">
        <v>8</v>
      </c>
      <c r="D3366" s="17" t="s">
        <v>10</v>
      </c>
      <c r="E3366" s="17" t="s">
        <v>27</v>
      </c>
      <c r="F3366" s="17" t="str">
        <f>INDEX(nrg_cb_e!$A$3:$A$40,MATCH(LEFT(MID('Industriesektor GWh'!$B3366,41,1000),SEARCH(" - ",MID('Industriesektor GWh'!$B3366,41,1000))-1),nrg_cb_e!$C$3:$C$40,0))</f>
        <v>FC_IND_MAC_E</v>
      </c>
      <c r="G3366" s="18">
        <v>20888.474999999999</v>
      </c>
    </row>
    <row r="3367" spans="1:7" x14ac:dyDescent="0.2">
      <c r="A3367" s="19" t="s">
        <v>40</v>
      </c>
      <c r="B3367" s="20" t="s">
        <v>67</v>
      </c>
      <c r="C3367" s="20" t="s">
        <v>8</v>
      </c>
      <c r="D3367" s="20" t="s">
        <v>10</v>
      </c>
      <c r="E3367" s="20" t="s">
        <v>28</v>
      </c>
      <c r="F3367" s="20" t="str">
        <f>INDEX(nrg_cb_e!$A$3:$A$40,MATCH(LEFT(MID('Industriesektor GWh'!$B3367,41,1000),SEARCH(" - ",MID('Industriesektor GWh'!$B3367,41,1000))-1),nrg_cb_e!$C$3:$C$40,0))</f>
        <v>FC_IND_MAC_E</v>
      </c>
      <c r="G3367" s="21">
        <v>21138.065999999999</v>
      </c>
    </row>
    <row r="3368" spans="1:7" x14ac:dyDescent="0.2">
      <c r="A3368" s="16" t="s">
        <v>41</v>
      </c>
      <c r="B3368" s="17" t="s">
        <v>67</v>
      </c>
      <c r="C3368" s="17" t="s">
        <v>8</v>
      </c>
      <c r="D3368" s="17" t="s">
        <v>10</v>
      </c>
      <c r="E3368" s="17" t="s">
        <v>12</v>
      </c>
      <c r="F3368" s="17" t="str">
        <f>INDEX(nrg_cb_e!$A$3:$A$40,MATCH(LEFT(MID('Industriesektor GWh'!$B3368,41,1000),SEARCH(" - ",MID('Industriesektor GWh'!$B3368,41,1000))-1),nrg_cb_e!$C$3:$C$40,0))</f>
        <v>FC_IND_MAC_E</v>
      </c>
      <c r="G3368" s="18">
        <v>24</v>
      </c>
    </row>
    <row r="3369" spans="1:7" x14ac:dyDescent="0.2">
      <c r="A3369" s="19" t="s">
        <v>41</v>
      </c>
      <c r="B3369" s="20" t="s">
        <v>67</v>
      </c>
      <c r="C3369" s="20" t="s">
        <v>8</v>
      </c>
      <c r="D3369" s="20" t="s">
        <v>10</v>
      </c>
      <c r="E3369" s="20" t="s">
        <v>13</v>
      </c>
      <c r="F3369" s="20" t="str">
        <f>INDEX(nrg_cb_e!$A$3:$A$40,MATCH(LEFT(MID('Industriesektor GWh'!$B3369,41,1000),SEARCH(" - ",MID('Industriesektor GWh'!$B3369,41,1000))-1),nrg_cb_e!$C$3:$C$40,0))</f>
        <v>FC_IND_MAC_E</v>
      </c>
      <c r="G3369" s="21">
        <v>23</v>
      </c>
    </row>
    <row r="3370" spans="1:7" x14ac:dyDescent="0.2">
      <c r="A3370" s="16" t="s">
        <v>41</v>
      </c>
      <c r="B3370" s="17" t="s">
        <v>67</v>
      </c>
      <c r="C3370" s="17" t="s">
        <v>8</v>
      </c>
      <c r="D3370" s="17" t="s">
        <v>10</v>
      </c>
      <c r="E3370" s="17" t="s">
        <v>14</v>
      </c>
      <c r="F3370" s="17" t="str">
        <f>INDEX(nrg_cb_e!$A$3:$A$40,MATCH(LEFT(MID('Industriesektor GWh'!$B3370,41,1000),SEARCH(" - ",MID('Industriesektor GWh'!$B3370,41,1000))-1),nrg_cb_e!$C$3:$C$40,0))</f>
        <v>FC_IND_MAC_E</v>
      </c>
      <c r="G3370" s="18">
        <v>27</v>
      </c>
    </row>
    <row r="3371" spans="1:7" x14ac:dyDescent="0.2">
      <c r="A3371" s="19" t="s">
        <v>41</v>
      </c>
      <c r="B3371" s="20" t="s">
        <v>67</v>
      </c>
      <c r="C3371" s="20" t="s">
        <v>8</v>
      </c>
      <c r="D3371" s="20" t="s">
        <v>10</v>
      </c>
      <c r="E3371" s="20" t="s">
        <v>15</v>
      </c>
      <c r="F3371" s="20" t="str">
        <f>INDEX(nrg_cb_e!$A$3:$A$40,MATCH(LEFT(MID('Industriesektor GWh'!$B3371,41,1000),SEARCH(" - ",MID('Industriesektor GWh'!$B3371,41,1000))-1),nrg_cb_e!$C$3:$C$40,0))</f>
        <v>FC_IND_MAC_E</v>
      </c>
      <c r="G3371" s="21">
        <v>29</v>
      </c>
    </row>
    <row r="3372" spans="1:7" x14ac:dyDescent="0.2">
      <c r="A3372" s="16" t="s">
        <v>41</v>
      </c>
      <c r="B3372" s="17" t="s">
        <v>67</v>
      </c>
      <c r="C3372" s="17" t="s">
        <v>8</v>
      </c>
      <c r="D3372" s="17" t="s">
        <v>10</v>
      </c>
      <c r="E3372" s="17" t="s">
        <v>16</v>
      </c>
      <c r="F3372" s="17" t="str">
        <f>INDEX(nrg_cb_e!$A$3:$A$40,MATCH(LEFT(MID('Industriesektor GWh'!$B3372,41,1000),SEARCH(" - ",MID('Industriesektor GWh'!$B3372,41,1000))-1),nrg_cb_e!$C$3:$C$40,0))</f>
        <v>FC_IND_MAC_E</v>
      </c>
      <c r="G3372" s="18">
        <v>31</v>
      </c>
    </row>
    <row r="3373" spans="1:7" x14ac:dyDescent="0.2">
      <c r="A3373" s="19" t="s">
        <v>41</v>
      </c>
      <c r="B3373" s="20" t="s">
        <v>67</v>
      </c>
      <c r="C3373" s="20" t="s">
        <v>8</v>
      </c>
      <c r="D3373" s="20" t="s">
        <v>10</v>
      </c>
      <c r="E3373" s="20" t="s">
        <v>17</v>
      </c>
      <c r="F3373" s="20" t="str">
        <f>INDEX(nrg_cb_e!$A$3:$A$40,MATCH(LEFT(MID('Industriesektor GWh'!$B3373,41,1000),SEARCH(" - ",MID('Industriesektor GWh'!$B3373,41,1000))-1),nrg_cb_e!$C$3:$C$40,0))</f>
        <v>FC_IND_MAC_E</v>
      </c>
      <c r="G3373" s="21">
        <v>33</v>
      </c>
    </row>
    <row r="3374" spans="1:7" x14ac:dyDescent="0.2">
      <c r="A3374" s="16" t="s">
        <v>41</v>
      </c>
      <c r="B3374" s="17" t="s">
        <v>67</v>
      </c>
      <c r="C3374" s="17" t="s">
        <v>8</v>
      </c>
      <c r="D3374" s="17" t="s">
        <v>10</v>
      </c>
      <c r="E3374" s="17" t="s">
        <v>18</v>
      </c>
      <c r="F3374" s="17" t="str">
        <f>INDEX(nrg_cb_e!$A$3:$A$40,MATCH(LEFT(MID('Industriesektor GWh'!$B3374,41,1000),SEARCH(" - ",MID('Industriesektor GWh'!$B3374,41,1000))-1),nrg_cb_e!$C$3:$C$40,0))</f>
        <v>FC_IND_MAC_E</v>
      </c>
      <c r="G3374" s="18">
        <v>34</v>
      </c>
    </row>
    <row r="3375" spans="1:7" x14ac:dyDescent="0.2">
      <c r="A3375" s="19" t="s">
        <v>41</v>
      </c>
      <c r="B3375" s="20" t="s">
        <v>67</v>
      </c>
      <c r="C3375" s="20" t="s">
        <v>8</v>
      </c>
      <c r="D3375" s="20" t="s">
        <v>10</v>
      </c>
      <c r="E3375" s="20" t="s">
        <v>19</v>
      </c>
      <c r="F3375" s="20" t="str">
        <f>INDEX(nrg_cb_e!$A$3:$A$40,MATCH(LEFT(MID('Industriesektor GWh'!$B3375,41,1000),SEARCH(" - ",MID('Industriesektor GWh'!$B3375,41,1000))-1),nrg_cb_e!$C$3:$C$40,0))</f>
        <v>FC_IND_MAC_E</v>
      </c>
      <c r="G3375" s="21">
        <v>30</v>
      </c>
    </row>
    <row r="3376" spans="1:7" x14ac:dyDescent="0.2">
      <c r="A3376" s="16" t="s">
        <v>41</v>
      </c>
      <c r="B3376" s="17" t="s">
        <v>67</v>
      </c>
      <c r="C3376" s="17" t="s">
        <v>8</v>
      </c>
      <c r="D3376" s="17" t="s">
        <v>10</v>
      </c>
      <c r="E3376" s="17" t="s">
        <v>20</v>
      </c>
      <c r="F3376" s="17" t="str">
        <f>INDEX(nrg_cb_e!$A$3:$A$40,MATCH(LEFT(MID('Industriesektor GWh'!$B3376,41,1000),SEARCH(" - ",MID('Industriesektor GWh'!$B3376,41,1000))-1),nrg_cb_e!$C$3:$C$40,0))</f>
        <v>FC_IND_MAC_E</v>
      </c>
      <c r="G3376" s="18">
        <v>29</v>
      </c>
    </row>
    <row r="3377" spans="1:7" x14ac:dyDescent="0.2">
      <c r="A3377" s="19" t="s">
        <v>41</v>
      </c>
      <c r="B3377" s="20" t="s">
        <v>67</v>
      </c>
      <c r="C3377" s="20" t="s">
        <v>8</v>
      </c>
      <c r="D3377" s="20" t="s">
        <v>10</v>
      </c>
      <c r="E3377" s="20" t="s">
        <v>21</v>
      </c>
      <c r="F3377" s="20" t="str">
        <f>INDEX(nrg_cb_e!$A$3:$A$40,MATCH(LEFT(MID('Industriesektor GWh'!$B3377,41,1000),SEARCH(" - ",MID('Industriesektor GWh'!$B3377,41,1000))-1),nrg_cb_e!$C$3:$C$40,0))</f>
        <v>FC_IND_MAC_E</v>
      </c>
      <c r="G3377" s="21">
        <v>26</v>
      </c>
    </row>
    <row r="3378" spans="1:7" x14ac:dyDescent="0.2">
      <c r="A3378" s="16" t="s">
        <v>41</v>
      </c>
      <c r="B3378" s="17" t="s">
        <v>67</v>
      </c>
      <c r="C3378" s="17" t="s">
        <v>8</v>
      </c>
      <c r="D3378" s="17" t="s">
        <v>10</v>
      </c>
      <c r="E3378" s="17" t="s">
        <v>22</v>
      </c>
      <c r="F3378" s="17" t="str">
        <f>INDEX(nrg_cb_e!$A$3:$A$40,MATCH(LEFT(MID('Industriesektor GWh'!$B3378,41,1000),SEARCH(" - ",MID('Industriesektor GWh'!$B3378,41,1000))-1),nrg_cb_e!$C$3:$C$40,0))</f>
        <v>FC_IND_MAC_E</v>
      </c>
      <c r="G3378" s="18">
        <v>24</v>
      </c>
    </row>
    <row r="3379" spans="1:7" x14ac:dyDescent="0.2">
      <c r="A3379" s="19" t="s">
        <v>41</v>
      </c>
      <c r="B3379" s="20" t="s">
        <v>67</v>
      </c>
      <c r="C3379" s="20" t="s">
        <v>8</v>
      </c>
      <c r="D3379" s="20" t="s">
        <v>10</v>
      </c>
      <c r="E3379" s="20" t="s">
        <v>23</v>
      </c>
      <c r="F3379" s="20" t="str">
        <f>INDEX(nrg_cb_e!$A$3:$A$40,MATCH(LEFT(MID('Industriesektor GWh'!$B3379,41,1000),SEARCH(" - ",MID('Industriesektor GWh'!$B3379,41,1000))-1),nrg_cb_e!$C$3:$C$40,0))</f>
        <v>FC_IND_MAC_E</v>
      </c>
      <c r="G3379" s="21">
        <v>20</v>
      </c>
    </row>
    <row r="3380" spans="1:7" x14ac:dyDescent="0.2">
      <c r="A3380" s="16" t="s">
        <v>41</v>
      </c>
      <c r="B3380" s="17" t="s">
        <v>67</v>
      </c>
      <c r="C3380" s="17" t="s">
        <v>8</v>
      </c>
      <c r="D3380" s="17" t="s">
        <v>10</v>
      </c>
      <c r="E3380" s="17" t="s">
        <v>24</v>
      </c>
      <c r="F3380" s="17" t="str">
        <f>INDEX(nrg_cb_e!$A$3:$A$40,MATCH(LEFT(MID('Industriesektor GWh'!$B3380,41,1000),SEARCH(" - ",MID('Industriesektor GWh'!$B3380,41,1000))-1),nrg_cb_e!$C$3:$C$40,0))</f>
        <v>FC_IND_MAC_E</v>
      </c>
      <c r="G3380" s="18">
        <v>17</v>
      </c>
    </row>
    <row r="3381" spans="1:7" x14ac:dyDescent="0.2">
      <c r="A3381" s="19" t="s">
        <v>41</v>
      </c>
      <c r="B3381" s="20" t="s">
        <v>67</v>
      </c>
      <c r="C3381" s="20" t="s">
        <v>8</v>
      </c>
      <c r="D3381" s="20" t="s">
        <v>10</v>
      </c>
      <c r="E3381" s="20" t="s">
        <v>25</v>
      </c>
      <c r="F3381" s="20" t="str">
        <f>INDEX(nrg_cb_e!$A$3:$A$40,MATCH(LEFT(MID('Industriesektor GWh'!$B3381,41,1000),SEARCH(" - ",MID('Industriesektor GWh'!$B3381,41,1000))-1),nrg_cb_e!$C$3:$C$40,0))</f>
        <v>FC_IND_MAC_E</v>
      </c>
      <c r="G3381" s="21">
        <v>17</v>
      </c>
    </row>
    <row r="3382" spans="1:7" x14ac:dyDescent="0.2">
      <c r="A3382" s="16" t="s">
        <v>41</v>
      </c>
      <c r="B3382" s="17" t="s">
        <v>67</v>
      </c>
      <c r="C3382" s="17" t="s">
        <v>8</v>
      </c>
      <c r="D3382" s="17" t="s">
        <v>10</v>
      </c>
      <c r="E3382" s="17" t="s">
        <v>26</v>
      </c>
      <c r="F3382" s="17" t="str">
        <f>INDEX(nrg_cb_e!$A$3:$A$40,MATCH(LEFT(MID('Industriesektor GWh'!$B3382,41,1000),SEARCH(" - ",MID('Industriesektor GWh'!$B3382,41,1000))-1),nrg_cb_e!$C$3:$C$40,0))</f>
        <v>FC_IND_MAC_E</v>
      </c>
      <c r="G3382" s="18">
        <v>20</v>
      </c>
    </row>
    <row r="3383" spans="1:7" x14ac:dyDescent="0.2">
      <c r="A3383" s="19" t="s">
        <v>41</v>
      </c>
      <c r="B3383" s="20" t="s">
        <v>67</v>
      </c>
      <c r="C3383" s="20" t="s">
        <v>8</v>
      </c>
      <c r="D3383" s="20" t="s">
        <v>10</v>
      </c>
      <c r="E3383" s="20" t="s">
        <v>27</v>
      </c>
      <c r="F3383" s="20" t="str">
        <f>INDEX(nrg_cb_e!$A$3:$A$40,MATCH(LEFT(MID('Industriesektor GWh'!$B3383,41,1000),SEARCH(" - ",MID('Industriesektor GWh'!$B3383,41,1000))-1),nrg_cb_e!$C$3:$C$40,0))</f>
        <v>FC_IND_MAC_E</v>
      </c>
      <c r="G3383" s="21">
        <v>20.681999999999999</v>
      </c>
    </row>
    <row r="3384" spans="1:7" x14ac:dyDescent="0.2">
      <c r="A3384" s="16" t="s">
        <v>41</v>
      </c>
      <c r="B3384" s="17" t="s">
        <v>67</v>
      </c>
      <c r="C3384" s="17" t="s">
        <v>8</v>
      </c>
      <c r="D3384" s="17" t="s">
        <v>10</v>
      </c>
      <c r="E3384" s="17" t="s">
        <v>28</v>
      </c>
      <c r="F3384" s="17" t="str">
        <f>INDEX(nrg_cb_e!$A$3:$A$40,MATCH(LEFT(MID('Industriesektor GWh'!$B3384,41,1000),SEARCH(" - ",MID('Industriesektor GWh'!$B3384,41,1000))-1),nrg_cb_e!$C$3:$C$40,0))</f>
        <v>FC_IND_MAC_E</v>
      </c>
      <c r="G3384" s="18">
        <v>24.297000000000001</v>
      </c>
    </row>
    <row r="3385" spans="1:7" x14ac:dyDescent="0.2">
      <c r="A3385" s="19" t="s">
        <v>42</v>
      </c>
      <c r="B3385" s="20" t="s">
        <v>67</v>
      </c>
      <c r="C3385" s="20" t="s">
        <v>8</v>
      </c>
      <c r="D3385" s="20" t="s">
        <v>10</v>
      </c>
      <c r="E3385" s="20" t="s">
        <v>12</v>
      </c>
      <c r="F3385" s="20" t="str">
        <f>INDEX(nrg_cb_e!$A$3:$A$40,MATCH(LEFT(MID('Industriesektor GWh'!$B3385,41,1000),SEARCH(" - ",MID('Industriesektor GWh'!$B3385,41,1000))-1),nrg_cb_e!$C$3:$C$40,0))</f>
        <v>FC_IND_MAC_E</v>
      </c>
      <c r="G3385" s="21">
        <v>139</v>
      </c>
    </row>
    <row r="3386" spans="1:7" x14ac:dyDescent="0.2">
      <c r="A3386" s="16" t="s">
        <v>42</v>
      </c>
      <c r="B3386" s="17" t="s">
        <v>67</v>
      </c>
      <c r="C3386" s="17" t="s">
        <v>8</v>
      </c>
      <c r="D3386" s="17" t="s">
        <v>10</v>
      </c>
      <c r="E3386" s="17" t="s">
        <v>13</v>
      </c>
      <c r="F3386" s="17" t="str">
        <f>INDEX(nrg_cb_e!$A$3:$A$40,MATCH(LEFT(MID('Industriesektor GWh'!$B3386,41,1000),SEARCH(" - ",MID('Industriesektor GWh'!$B3386,41,1000))-1),nrg_cb_e!$C$3:$C$40,0))</f>
        <v>FC_IND_MAC_E</v>
      </c>
      <c r="G3386" s="18">
        <v>145</v>
      </c>
    </row>
    <row r="3387" spans="1:7" x14ac:dyDescent="0.2">
      <c r="A3387" s="19" t="s">
        <v>42</v>
      </c>
      <c r="B3387" s="20" t="s">
        <v>67</v>
      </c>
      <c r="C3387" s="20" t="s">
        <v>8</v>
      </c>
      <c r="D3387" s="20" t="s">
        <v>10</v>
      </c>
      <c r="E3387" s="20" t="s">
        <v>14</v>
      </c>
      <c r="F3387" s="20" t="str">
        <f>INDEX(nrg_cb_e!$A$3:$A$40,MATCH(LEFT(MID('Industriesektor GWh'!$B3387,41,1000),SEARCH(" - ",MID('Industriesektor GWh'!$B3387,41,1000))-1),nrg_cb_e!$C$3:$C$40,0))</f>
        <v>FC_IND_MAC_E</v>
      </c>
      <c r="G3387" s="21">
        <v>153</v>
      </c>
    </row>
    <row r="3388" spans="1:7" x14ac:dyDescent="0.2">
      <c r="A3388" s="16" t="s">
        <v>42</v>
      </c>
      <c r="B3388" s="17" t="s">
        <v>67</v>
      </c>
      <c r="C3388" s="17" t="s">
        <v>8</v>
      </c>
      <c r="D3388" s="17" t="s">
        <v>10</v>
      </c>
      <c r="E3388" s="17" t="s">
        <v>15</v>
      </c>
      <c r="F3388" s="17" t="str">
        <f>INDEX(nrg_cb_e!$A$3:$A$40,MATCH(LEFT(MID('Industriesektor GWh'!$B3388,41,1000),SEARCH(" - ",MID('Industriesektor GWh'!$B3388,41,1000))-1),nrg_cb_e!$C$3:$C$40,0))</f>
        <v>FC_IND_MAC_E</v>
      </c>
      <c r="G3388" s="18">
        <v>157</v>
      </c>
    </row>
    <row r="3389" spans="1:7" x14ac:dyDescent="0.2">
      <c r="A3389" s="19" t="s">
        <v>42</v>
      </c>
      <c r="B3389" s="20" t="s">
        <v>67</v>
      </c>
      <c r="C3389" s="20" t="s">
        <v>8</v>
      </c>
      <c r="D3389" s="20" t="s">
        <v>10</v>
      </c>
      <c r="E3389" s="20" t="s">
        <v>16</v>
      </c>
      <c r="F3389" s="20" t="str">
        <f>INDEX(nrg_cb_e!$A$3:$A$40,MATCH(LEFT(MID('Industriesektor GWh'!$B3389,41,1000),SEARCH(" - ",MID('Industriesektor GWh'!$B3389,41,1000))-1),nrg_cb_e!$C$3:$C$40,0))</f>
        <v>FC_IND_MAC_E</v>
      </c>
      <c r="G3389" s="21">
        <v>161</v>
      </c>
    </row>
    <row r="3390" spans="1:7" x14ac:dyDescent="0.2">
      <c r="A3390" s="16" t="s">
        <v>42</v>
      </c>
      <c r="B3390" s="17" t="s">
        <v>67</v>
      </c>
      <c r="C3390" s="17" t="s">
        <v>8</v>
      </c>
      <c r="D3390" s="17" t="s">
        <v>10</v>
      </c>
      <c r="E3390" s="17" t="s">
        <v>17</v>
      </c>
      <c r="F3390" s="17" t="str">
        <f>INDEX(nrg_cb_e!$A$3:$A$40,MATCH(LEFT(MID('Industriesektor GWh'!$B3390,41,1000),SEARCH(" - ",MID('Industriesektor GWh'!$B3390,41,1000))-1),nrg_cb_e!$C$3:$C$40,0))</f>
        <v>FC_IND_MAC_E</v>
      </c>
      <c r="G3390" s="18">
        <v>140</v>
      </c>
    </row>
    <row r="3391" spans="1:7" x14ac:dyDescent="0.2">
      <c r="A3391" s="19" t="s">
        <v>42</v>
      </c>
      <c r="B3391" s="20" t="s">
        <v>67</v>
      </c>
      <c r="C3391" s="20" t="s">
        <v>8</v>
      </c>
      <c r="D3391" s="20" t="s">
        <v>10</v>
      </c>
      <c r="E3391" s="20" t="s">
        <v>18</v>
      </c>
      <c r="F3391" s="20" t="str">
        <f>INDEX(nrg_cb_e!$A$3:$A$40,MATCH(LEFT(MID('Industriesektor GWh'!$B3391,41,1000),SEARCH(" - ",MID('Industriesektor GWh'!$B3391,41,1000))-1),nrg_cb_e!$C$3:$C$40,0))</f>
        <v>FC_IND_MAC_E</v>
      </c>
      <c r="G3391" s="21">
        <v>136</v>
      </c>
    </row>
    <row r="3392" spans="1:7" x14ac:dyDescent="0.2">
      <c r="A3392" s="16" t="s">
        <v>42</v>
      </c>
      <c r="B3392" s="17" t="s">
        <v>67</v>
      </c>
      <c r="C3392" s="17" t="s">
        <v>8</v>
      </c>
      <c r="D3392" s="17" t="s">
        <v>10</v>
      </c>
      <c r="E3392" s="17" t="s">
        <v>19</v>
      </c>
      <c r="F3392" s="17" t="str">
        <f>INDEX(nrg_cb_e!$A$3:$A$40,MATCH(LEFT(MID('Industriesektor GWh'!$B3392,41,1000),SEARCH(" - ",MID('Industriesektor GWh'!$B3392,41,1000))-1),nrg_cb_e!$C$3:$C$40,0))</f>
        <v>FC_IND_MAC_E</v>
      </c>
      <c r="G3392" s="18">
        <v>86</v>
      </c>
    </row>
    <row r="3393" spans="1:7" x14ac:dyDescent="0.2">
      <c r="A3393" s="19" t="s">
        <v>42</v>
      </c>
      <c r="B3393" s="20" t="s">
        <v>67</v>
      </c>
      <c r="C3393" s="20" t="s">
        <v>8</v>
      </c>
      <c r="D3393" s="20" t="s">
        <v>10</v>
      </c>
      <c r="E3393" s="20" t="s">
        <v>20</v>
      </c>
      <c r="F3393" s="20" t="str">
        <f>INDEX(nrg_cb_e!$A$3:$A$40,MATCH(LEFT(MID('Industriesektor GWh'!$B3393,41,1000),SEARCH(" - ",MID('Industriesektor GWh'!$B3393,41,1000))-1),nrg_cb_e!$C$3:$C$40,0))</f>
        <v>FC_IND_MAC_E</v>
      </c>
      <c r="G3393" s="21">
        <v>96</v>
      </c>
    </row>
    <row r="3394" spans="1:7" x14ac:dyDescent="0.2">
      <c r="A3394" s="16" t="s">
        <v>42</v>
      </c>
      <c r="B3394" s="17" t="s">
        <v>67</v>
      </c>
      <c r="C3394" s="17" t="s">
        <v>8</v>
      </c>
      <c r="D3394" s="17" t="s">
        <v>10</v>
      </c>
      <c r="E3394" s="17" t="s">
        <v>21</v>
      </c>
      <c r="F3394" s="17" t="str">
        <f>INDEX(nrg_cb_e!$A$3:$A$40,MATCH(LEFT(MID('Industriesektor GWh'!$B3394,41,1000),SEARCH(" - ",MID('Industriesektor GWh'!$B3394,41,1000))-1),nrg_cb_e!$C$3:$C$40,0))</f>
        <v>FC_IND_MAC_E</v>
      </c>
      <c r="G3394" s="18">
        <v>108</v>
      </c>
    </row>
    <row r="3395" spans="1:7" x14ac:dyDescent="0.2">
      <c r="A3395" s="19" t="s">
        <v>42</v>
      </c>
      <c r="B3395" s="20" t="s">
        <v>67</v>
      </c>
      <c r="C3395" s="20" t="s">
        <v>8</v>
      </c>
      <c r="D3395" s="20" t="s">
        <v>10</v>
      </c>
      <c r="E3395" s="20" t="s">
        <v>22</v>
      </c>
      <c r="F3395" s="20" t="str">
        <f>INDEX(nrg_cb_e!$A$3:$A$40,MATCH(LEFT(MID('Industriesektor GWh'!$B3395,41,1000),SEARCH(" - ",MID('Industriesektor GWh'!$B3395,41,1000))-1),nrg_cb_e!$C$3:$C$40,0))</f>
        <v>FC_IND_MAC_E</v>
      </c>
      <c r="G3395" s="21">
        <v>110</v>
      </c>
    </row>
    <row r="3396" spans="1:7" x14ac:dyDescent="0.2">
      <c r="A3396" s="16" t="s">
        <v>42</v>
      </c>
      <c r="B3396" s="17" t="s">
        <v>67</v>
      </c>
      <c r="C3396" s="17" t="s">
        <v>8</v>
      </c>
      <c r="D3396" s="17" t="s">
        <v>10</v>
      </c>
      <c r="E3396" s="17" t="s">
        <v>23</v>
      </c>
      <c r="F3396" s="17" t="str">
        <f>INDEX(nrg_cb_e!$A$3:$A$40,MATCH(LEFT(MID('Industriesektor GWh'!$B3396,41,1000),SEARCH(" - ",MID('Industriesektor GWh'!$B3396,41,1000))-1),nrg_cb_e!$C$3:$C$40,0))</f>
        <v>FC_IND_MAC_E</v>
      </c>
      <c r="G3396" s="18">
        <v>116</v>
      </c>
    </row>
    <row r="3397" spans="1:7" x14ac:dyDescent="0.2">
      <c r="A3397" s="19" t="s">
        <v>42</v>
      </c>
      <c r="B3397" s="20" t="s">
        <v>67</v>
      </c>
      <c r="C3397" s="20" t="s">
        <v>8</v>
      </c>
      <c r="D3397" s="20" t="s">
        <v>10</v>
      </c>
      <c r="E3397" s="20" t="s">
        <v>24</v>
      </c>
      <c r="F3397" s="20" t="str">
        <f>INDEX(nrg_cb_e!$A$3:$A$40,MATCH(LEFT(MID('Industriesektor GWh'!$B3397,41,1000),SEARCH(" - ",MID('Industriesektor GWh'!$B3397,41,1000))-1),nrg_cb_e!$C$3:$C$40,0))</f>
        <v>FC_IND_MAC_E</v>
      </c>
      <c r="G3397" s="21">
        <v>108</v>
      </c>
    </row>
    <row r="3398" spans="1:7" x14ac:dyDescent="0.2">
      <c r="A3398" s="16" t="s">
        <v>42</v>
      </c>
      <c r="B3398" s="17" t="s">
        <v>67</v>
      </c>
      <c r="C3398" s="17" t="s">
        <v>8</v>
      </c>
      <c r="D3398" s="17" t="s">
        <v>10</v>
      </c>
      <c r="E3398" s="17" t="s">
        <v>25</v>
      </c>
      <c r="F3398" s="17" t="str">
        <f>INDEX(nrg_cb_e!$A$3:$A$40,MATCH(LEFT(MID('Industriesektor GWh'!$B3398,41,1000),SEARCH(" - ",MID('Industriesektor GWh'!$B3398,41,1000))-1),nrg_cb_e!$C$3:$C$40,0))</f>
        <v>FC_IND_MAC_E</v>
      </c>
      <c r="G3398" s="18">
        <v>93</v>
      </c>
    </row>
    <row r="3399" spans="1:7" x14ac:dyDescent="0.2">
      <c r="A3399" s="19" t="s">
        <v>42</v>
      </c>
      <c r="B3399" s="20" t="s">
        <v>67</v>
      </c>
      <c r="C3399" s="20" t="s">
        <v>8</v>
      </c>
      <c r="D3399" s="20" t="s">
        <v>10</v>
      </c>
      <c r="E3399" s="20" t="s">
        <v>26</v>
      </c>
      <c r="F3399" s="20" t="str">
        <f>INDEX(nrg_cb_e!$A$3:$A$40,MATCH(LEFT(MID('Industriesektor GWh'!$B3399,41,1000),SEARCH(" - ",MID('Industriesektor GWh'!$B3399,41,1000))-1),nrg_cb_e!$C$3:$C$40,0))</f>
        <v>FC_IND_MAC_E</v>
      </c>
      <c r="G3399" s="21">
        <v>97</v>
      </c>
    </row>
    <row r="3400" spans="1:7" x14ac:dyDescent="0.2">
      <c r="A3400" s="16" t="s">
        <v>42</v>
      </c>
      <c r="B3400" s="17" t="s">
        <v>67</v>
      </c>
      <c r="C3400" s="17" t="s">
        <v>8</v>
      </c>
      <c r="D3400" s="17" t="s">
        <v>10</v>
      </c>
      <c r="E3400" s="17" t="s">
        <v>27</v>
      </c>
      <c r="F3400" s="17" t="str">
        <f>INDEX(nrg_cb_e!$A$3:$A$40,MATCH(LEFT(MID('Industriesektor GWh'!$B3400,41,1000),SEARCH(" - ",MID('Industriesektor GWh'!$B3400,41,1000))-1),nrg_cb_e!$C$3:$C$40,0))</f>
        <v>FC_IND_MAC_E</v>
      </c>
      <c r="G3400" s="18">
        <v>89.174000000000007</v>
      </c>
    </row>
    <row r="3401" spans="1:7" x14ac:dyDescent="0.2">
      <c r="A3401" s="19" t="s">
        <v>42</v>
      </c>
      <c r="B3401" s="20" t="s">
        <v>67</v>
      </c>
      <c r="C3401" s="20" t="s">
        <v>8</v>
      </c>
      <c r="D3401" s="20" t="s">
        <v>10</v>
      </c>
      <c r="E3401" s="20" t="s">
        <v>28</v>
      </c>
      <c r="F3401" s="20" t="str">
        <f>INDEX(nrg_cb_e!$A$3:$A$40,MATCH(LEFT(MID('Industriesektor GWh'!$B3401,41,1000),SEARCH(" - ",MID('Industriesektor GWh'!$B3401,41,1000))-1),nrg_cb_e!$C$3:$C$40,0))</f>
        <v>FC_IND_MAC_E</v>
      </c>
      <c r="G3401" s="21">
        <v>91.846999999999994</v>
      </c>
    </row>
    <row r="3402" spans="1:7" x14ac:dyDescent="0.2">
      <c r="A3402" s="16" t="s">
        <v>43</v>
      </c>
      <c r="B3402" s="17" t="s">
        <v>67</v>
      </c>
      <c r="C3402" s="17" t="s">
        <v>8</v>
      </c>
      <c r="D3402" s="17" t="s">
        <v>10</v>
      </c>
      <c r="E3402" s="17" t="s">
        <v>12</v>
      </c>
      <c r="F3402" s="17" t="str">
        <f>INDEX(nrg_cb_e!$A$3:$A$40,MATCH(LEFT(MID('Industriesektor GWh'!$B3402,41,1000),SEARCH(" - ",MID('Industriesektor GWh'!$B3402,41,1000))-1),nrg_cb_e!$C$3:$C$40,0))</f>
        <v>FC_IND_MAC_E</v>
      </c>
      <c r="G3402" s="18">
        <v>325</v>
      </c>
    </row>
    <row r="3403" spans="1:7" x14ac:dyDescent="0.2">
      <c r="A3403" s="19" t="s">
        <v>43</v>
      </c>
      <c r="B3403" s="20" t="s">
        <v>67</v>
      </c>
      <c r="C3403" s="20" t="s">
        <v>8</v>
      </c>
      <c r="D3403" s="20" t="s">
        <v>10</v>
      </c>
      <c r="E3403" s="20" t="s">
        <v>13</v>
      </c>
      <c r="F3403" s="20" t="str">
        <f>INDEX(nrg_cb_e!$A$3:$A$40,MATCH(LEFT(MID('Industriesektor GWh'!$B3403,41,1000),SEARCH(" - ",MID('Industriesektor GWh'!$B3403,41,1000))-1),nrg_cb_e!$C$3:$C$40,0))</f>
        <v>FC_IND_MAC_E</v>
      </c>
      <c r="G3403" s="21">
        <v>336</v>
      </c>
    </row>
    <row r="3404" spans="1:7" x14ac:dyDescent="0.2">
      <c r="A3404" s="16" t="s">
        <v>43</v>
      </c>
      <c r="B3404" s="17" t="s">
        <v>67</v>
      </c>
      <c r="C3404" s="17" t="s">
        <v>8</v>
      </c>
      <c r="D3404" s="17" t="s">
        <v>10</v>
      </c>
      <c r="E3404" s="17" t="s">
        <v>14</v>
      </c>
      <c r="F3404" s="17" t="str">
        <f>INDEX(nrg_cb_e!$A$3:$A$40,MATCH(LEFT(MID('Industriesektor GWh'!$B3404,41,1000),SEARCH(" - ",MID('Industriesektor GWh'!$B3404,41,1000))-1),nrg_cb_e!$C$3:$C$40,0))</f>
        <v>FC_IND_MAC_E</v>
      </c>
      <c r="G3404" s="18">
        <v>374</v>
      </c>
    </row>
    <row r="3405" spans="1:7" x14ac:dyDescent="0.2">
      <c r="A3405" s="19" t="s">
        <v>43</v>
      </c>
      <c r="B3405" s="20" t="s">
        <v>67</v>
      </c>
      <c r="C3405" s="20" t="s">
        <v>8</v>
      </c>
      <c r="D3405" s="20" t="s">
        <v>10</v>
      </c>
      <c r="E3405" s="20" t="s">
        <v>15</v>
      </c>
      <c r="F3405" s="20" t="str">
        <f>INDEX(nrg_cb_e!$A$3:$A$40,MATCH(LEFT(MID('Industriesektor GWh'!$B3405,41,1000),SEARCH(" - ",MID('Industriesektor GWh'!$B3405,41,1000))-1),nrg_cb_e!$C$3:$C$40,0))</f>
        <v>FC_IND_MAC_E</v>
      </c>
      <c r="G3405" s="21">
        <v>335</v>
      </c>
    </row>
    <row r="3406" spans="1:7" x14ac:dyDescent="0.2">
      <c r="A3406" s="16" t="s">
        <v>43</v>
      </c>
      <c r="B3406" s="17" t="s">
        <v>67</v>
      </c>
      <c r="C3406" s="17" t="s">
        <v>8</v>
      </c>
      <c r="D3406" s="17" t="s">
        <v>10</v>
      </c>
      <c r="E3406" s="17" t="s">
        <v>16</v>
      </c>
      <c r="F3406" s="17" t="str">
        <f>INDEX(nrg_cb_e!$A$3:$A$40,MATCH(LEFT(MID('Industriesektor GWh'!$B3406,41,1000),SEARCH(" - ",MID('Industriesektor GWh'!$B3406,41,1000))-1),nrg_cb_e!$C$3:$C$40,0))</f>
        <v>FC_IND_MAC_E</v>
      </c>
      <c r="G3406" s="18">
        <v>234</v>
      </c>
    </row>
    <row r="3407" spans="1:7" x14ac:dyDescent="0.2">
      <c r="A3407" s="19" t="s">
        <v>43</v>
      </c>
      <c r="B3407" s="20" t="s">
        <v>67</v>
      </c>
      <c r="C3407" s="20" t="s">
        <v>8</v>
      </c>
      <c r="D3407" s="20" t="s">
        <v>10</v>
      </c>
      <c r="E3407" s="20" t="s">
        <v>17</v>
      </c>
      <c r="F3407" s="20" t="str">
        <f>INDEX(nrg_cb_e!$A$3:$A$40,MATCH(LEFT(MID('Industriesektor GWh'!$B3407,41,1000),SEARCH(" - ",MID('Industriesektor GWh'!$B3407,41,1000))-1),nrg_cb_e!$C$3:$C$40,0))</f>
        <v>FC_IND_MAC_E</v>
      </c>
      <c r="G3407" s="21">
        <v>173</v>
      </c>
    </row>
    <row r="3408" spans="1:7" x14ac:dyDescent="0.2">
      <c r="A3408" s="16" t="s">
        <v>43</v>
      </c>
      <c r="B3408" s="17" t="s">
        <v>67</v>
      </c>
      <c r="C3408" s="17" t="s">
        <v>8</v>
      </c>
      <c r="D3408" s="17" t="s">
        <v>10</v>
      </c>
      <c r="E3408" s="17" t="s">
        <v>18</v>
      </c>
      <c r="F3408" s="17" t="str">
        <f>INDEX(nrg_cb_e!$A$3:$A$40,MATCH(LEFT(MID('Industriesektor GWh'!$B3408,41,1000),SEARCH(" - ",MID('Industriesektor GWh'!$B3408,41,1000))-1),nrg_cb_e!$C$3:$C$40,0))</f>
        <v>FC_IND_MAC_E</v>
      </c>
      <c r="G3408" s="18">
        <v>136</v>
      </c>
    </row>
    <row r="3409" spans="1:7" x14ac:dyDescent="0.2">
      <c r="A3409" s="19" t="s">
        <v>43</v>
      </c>
      <c r="B3409" s="20" t="s">
        <v>67</v>
      </c>
      <c r="C3409" s="20" t="s">
        <v>8</v>
      </c>
      <c r="D3409" s="20" t="s">
        <v>10</v>
      </c>
      <c r="E3409" s="20" t="s">
        <v>19</v>
      </c>
      <c r="F3409" s="20" t="str">
        <f>INDEX(nrg_cb_e!$A$3:$A$40,MATCH(LEFT(MID('Industriesektor GWh'!$B3409,41,1000),SEARCH(" - ",MID('Industriesektor GWh'!$B3409,41,1000))-1),nrg_cb_e!$C$3:$C$40,0))</f>
        <v>FC_IND_MAC_E</v>
      </c>
      <c r="G3409" s="21">
        <v>92</v>
      </c>
    </row>
    <row r="3410" spans="1:7" x14ac:dyDescent="0.2">
      <c r="A3410" s="16" t="s">
        <v>43</v>
      </c>
      <c r="B3410" s="17" t="s">
        <v>67</v>
      </c>
      <c r="C3410" s="17" t="s">
        <v>8</v>
      </c>
      <c r="D3410" s="17" t="s">
        <v>10</v>
      </c>
      <c r="E3410" s="17" t="s">
        <v>20</v>
      </c>
      <c r="F3410" s="17" t="str">
        <f>INDEX(nrg_cb_e!$A$3:$A$40,MATCH(LEFT(MID('Industriesektor GWh'!$B3410,41,1000),SEARCH(" - ",MID('Industriesektor GWh'!$B3410,41,1000))-1),nrg_cb_e!$C$3:$C$40,0))</f>
        <v>FC_IND_MAC_E</v>
      </c>
      <c r="G3410" s="18">
        <v>108</v>
      </c>
    </row>
    <row r="3411" spans="1:7" x14ac:dyDescent="0.2">
      <c r="A3411" s="19" t="s">
        <v>43</v>
      </c>
      <c r="B3411" s="20" t="s">
        <v>67</v>
      </c>
      <c r="C3411" s="20" t="s">
        <v>8</v>
      </c>
      <c r="D3411" s="20" t="s">
        <v>10</v>
      </c>
      <c r="E3411" s="20" t="s">
        <v>21</v>
      </c>
      <c r="F3411" s="20" t="str">
        <f>INDEX(nrg_cb_e!$A$3:$A$40,MATCH(LEFT(MID('Industriesektor GWh'!$B3411,41,1000),SEARCH(" - ",MID('Industriesektor GWh'!$B3411,41,1000))-1),nrg_cb_e!$C$3:$C$40,0))</f>
        <v>FC_IND_MAC_E</v>
      </c>
      <c r="G3411" s="21">
        <v>125</v>
      </c>
    </row>
    <row r="3412" spans="1:7" x14ac:dyDescent="0.2">
      <c r="A3412" s="16" t="s">
        <v>43</v>
      </c>
      <c r="B3412" s="17" t="s">
        <v>67</v>
      </c>
      <c r="C3412" s="17" t="s">
        <v>8</v>
      </c>
      <c r="D3412" s="17" t="s">
        <v>10</v>
      </c>
      <c r="E3412" s="17" t="s">
        <v>22</v>
      </c>
      <c r="F3412" s="17" t="str">
        <f>INDEX(nrg_cb_e!$A$3:$A$40,MATCH(LEFT(MID('Industriesektor GWh'!$B3412,41,1000),SEARCH(" - ",MID('Industriesektor GWh'!$B3412,41,1000))-1),nrg_cb_e!$C$3:$C$40,0))</f>
        <v>FC_IND_MAC_E</v>
      </c>
      <c r="G3412" s="18">
        <v>173</v>
      </c>
    </row>
    <row r="3413" spans="1:7" x14ac:dyDescent="0.2">
      <c r="A3413" s="19" t="s">
        <v>43</v>
      </c>
      <c r="B3413" s="20" t="s">
        <v>67</v>
      </c>
      <c r="C3413" s="20" t="s">
        <v>8</v>
      </c>
      <c r="D3413" s="20" t="s">
        <v>10</v>
      </c>
      <c r="E3413" s="20" t="s">
        <v>23</v>
      </c>
      <c r="F3413" s="20" t="str">
        <f>INDEX(nrg_cb_e!$A$3:$A$40,MATCH(LEFT(MID('Industriesektor GWh'!$B3413,41,1000),SEARCH(" - ",MID('Industriesektor GWh'!$B3413,41,1000))-1),nrg_cb_e!$C$3:$C$40,0))</f>
        <v>FC_IND_MAC_E</v>
      </c>
      <c r="G3413" s="21">
        <v>167</v>
      </c>
    </row>
    <row r="3414" spans="1:7" x14ac:dyDescent="0.2">
      <c r="A3414" s="16" t="s">
        <v>43</v>
      </c>
      <c r="B3414" s="17" t="s">
        <v>67</v>
      </c>
      <c r="C3414" s="17" t="s">
        <v>8</v>
      </c>
      <c r="D3414" s="17" t="s">
        <v>10</v>
      </c>
      <c r="E3414" s="17" t="s">
        <v>24</v>
      </c>
      <c r="F3414" s="17" t="str">
        <f>INDEX(nrg_cb_e!$A$3:$A$40,MATCH(LEFT(MID('Industriesektor GWh'!$B3414,41,1000),SEARCH(" - ",MID('Industriesektor GWh'!$B3414,41,1000))-1),nrg_cb_e!$C$3:$C$40,0))</f>
        <v>FC_IND_MAC_E</v>
      </c>
      <c r="G3414" s="18">
        <v>165</v>
      </c>
    </row>
    <row r="3415" spans="1:7" x14ac:dyDescent="0.2">
      <c r="A3415" s="19" t="s">
        <v>43</v>
      </c>
      <c r="B3415" s="20" t="s">
        <v>67</v>
      </c>
      <c r="C3415" s="20" t="s">
        <v>8</v>
      </c>
      <c r="D3415" s="20" t="s">
        <v>10</v>
      </c>
      <c r="E3415" s="20" t="s">
        <v>25</v>
      </c>
      <c r="F3415" s="20" t="str">
        <f>INDEX(nrg_cb_e!$A$3:$A$40,MATCH(LEFT(MID('Industriesektor GWh'!$B3415,41,1000),SEARCH(" - ",MID('Industriesektor GWh'!$B3415,41,1000))-1),nrg_cb_e!$C$3:$C$40,0))</f>
        <v>FC_IND_MAC_E</v>
      </c>
      <c r="G3415" s="21">
        <v>171</v>
      </c>
    </row>
    <row r="3416" spans="1:7" x14ac:dyDescent="0.2">
      <c r="A3416" s="16" t="s">
        <v>43</v>
      </c>
      <c r="B3416" s="17" t="s">
        <v>67</v>
      </c>
      <c r="C3416" s="17" t="s">
        <v>8</v>
      </c>
      <c r="D3416" s="17" t="s">
        <v>10</v>
      </c>
      <c r="E3416" s="17" t="s">
        <v>26</v>
      </c>
      <c r="F3416" s="17" t="str">
        <f>INDEX(nrg_cb_e!$A$3:$A$40,MATCH(LEFT(MID('Industriesektor GWh'!$B3416,41,1000),SEARCH(" - ",MID('Industriesektor GWh'!$B3416,41,1000))-1),nrg_cb_e!$C$3:$C$40,0))</f>
        <v>FC_IND_MAC_E</v>
      </c>
      <c r="G3416" s="18">
        <v>185</v>
      </c>
    </row>
    <row r="3417" spans="1:7" x14ac:dyDescent="0.2">
      <c r="A3417" s="19" t="s">
        <v>43</v>
      </c>
      <c r="B3417" s="20" t="s">
        <v>67</v>
      </c>
      <c r="C3417" s="20" t="s">
        <v>8</v>
      </c>
      <c r="D3417" s="20" t="s">
        <v>10</v>
      </c>
      <c r="E3417" s="20" t="s">
        <v>27</v>
      </c>
      <c r="F3417" s="20" t="str">
        <f>INDEX(nrg_cb_e!$A$3:$A$40,MATCH(LEFT(MID('Industriesektor GWh'!$B3417,41,1000),SEARCH(" - ",MID('Industriesektor GWh'!$B3417,41,1000))-1),nrg_cb_e!$C$3:$C$40,0))</f>
        <v>FC_IND_MAC_E</v>
      </c>
      <c r="G3417" s="21">
        <v>244.3</v>
      </c>
    </row>
    <row r="3418" spans="1:7" x14ac:dyDescent="0.2">
      <c r="A3418" s="16" t="s">
        <v>43</v>
      </c>
      <c r="B3418" s="17" t="s">
        <v>67</v>
      </c>
      <c r="C3418" s="17" t="s">
        <v>8</v>
      </c>
      <c r="D3418" s="17" t="s">
        <v>10</v>
      </c>
      <c r="E3418" s="17" t="s">
        <v>28</v>
      </c>
      <c r="F3418" s="17" t="str">
        <f>INDEX(nrg_cb_e!$A$3:$A$40,MATCH(LEFT(MID('Industriesektor GWh'!$B3418,41,1000),SEARCH(" - ",MID('Industriesektor GWh'!$B3418,41,1000))-1),nrg_cb_e!$C$3:$C$40,0))</f>
        <v>FC_IND_MAC_E</v>
      </c>
      <c r="G3418" s="18">
        <v>219</v>
      </c>
    </row>
    <row r="3419" spans="1:7" x14ac:dyDescent="0.2">
      <c r="A3419" s="19" t="s">
        <v>44</v>
      </c>
      <c r="B3419" s="20" t="s">
        <v>67</v>
      </c>
      <c r="C3419" s="20" t="s">
        <v>8</v>
      </c>
      <c r="D3419" s="20" t="s">
        <v>10</v>
      </c>
      <c r="E3419" s="20" t="s">
        <v>12</v>
      </c>
      <c r="F3419" s="20" t="str">
        <f>INDEX(nrg_cb_e!$A$3:$A$40,MATCH(LEFT(MID('Industriesektor GWh'!$B3419,41,1000),SEARCH(" - ",MID('Industriesektor GWh'!$B3419,41,1000))-1),nrg_cb_e!$C$3:$C$40,0))</f>
        <v>FC_IND_MAC_E</v>
      </c>
      <c r="G3419" s="21">
        <v>112.23699999999999</v>
      </c>
    </row>
    <row r="3420" spans="1:7" x14ac:dyDescent="0.2">
      <c r="A3420" s="16" t="s">
        <v>44</v>
      </c>
      <c r="B3420" s="17" t="s">
        <v>67</v>
      </c>
      <c r="C3420" s="17" t="s">
        <v>8</v>
      </c>
      <c r="D3420" s="17" t="s">
        <v>10</v>
      </c>
      <c r="E3420" s="17" t="s">
        <v>13</v>
      </c>
      <c r="F3420" s="17" t="str">
        <f>INDEX(nrg_cb_e!$A$3:$A$40,MATCH(LEFT(MID('Industriesektor GWh'!$B3420,41,1000),SEARCH(" - ",MID('Industriesektor GWh'!$B3420,41,1000))-1),nrg_cb_e!$C$3:$C$40,0))</f>
        <v>FC_IND_MAC_E</v>
      </c>
      <c r="G3420" s="18">
        <v>159.494</v>
      </c>
    </row>
    <row r="3421" spans="1:7" x14ac:dyDescent="0.2">
      <c r="A3421" s="19" t="s">
        <v>44</v>
      </c>
      <c r="B3421" s="20" t="s">
        <v>67</v>
      </c>
      <c r="C3421" s="20" t="s">
        <v>8</v>
      </c>
      <c r="D3421" s="20" t="s">
        <v>10</v>
      </c>
      <c r="E3421" s="20" t="s">
        <v>14</v>
      </c>
      <c r="F3421" s="20" t="str">
        <f>INDEX(nrg_cb_e!$A$3:$A$40,MATCH(LEFT(MID('Industriesektor GWh'!$B3421,41,1000),SEARCH(" - ",MID('Industriesektor GWh'!$B3421,41,1000))-1),nrg_cb_e!$C$3:$C$40,0))</f>
        <v>FC_IND_MAC_E</v>
      </c>
      <c r="G3421" s="21">
        <v>148.596</v>
      </c>
    </row>
    <row r="3422" spans="1:7" x14ac:dyDescent="0.2">
      <c r="A3422" s="16" t="s">
        <v>44</v>
      </c>
      <c r="B3422" s="17" t="s">
        <v>67</v>
      </c>
      <c r="C3422" s="17" t="s">
        <v>8</v>
      </c>
      <c r="D3422" s="17" t="s">
        <v>10</v>
      </c>
      <c r="E3422" s="17" t="s">
        <v>15</v>
      </c>
      <c r="F3422" s="17" t="str">
        <f>INDEX(nrg_cb_e!$A$3:$A$40,MATCH(LEFT(MID('Industriesektor GWh'!$B3422,41,1000),SEARCH(" - ",MID('Industriesektor GWh'!$B3422,41,1000))-1),nrg_cb_e!$C$3:$C$40,0))</f>
        <v>FC_IND_MAC_E</v>
      </c>
      <c r="G3422" s="18">
        <v>137.38900000000001</v>
      </c>
    </row>
    <row r="3423" spans="1:7" x14ac:dyDescent="0.2">
      <c r="A3423" s="19" t="s">
        <v>44</v>
      </c>
      <c r="B3423" s="20" t="s">
        <v>67</v>
      </c>
      <c r="C3423" s="20" t="s">
        <v>8</v>
      </c>
      <c r="D3423" s="20" t="s">
        <v>10</v>
      </c>
      <c r="E3423" s="20" t="s">
        <v>16</v>
      </c>
      <c r="F3423" s="20" t="str">
        <f>INDEX(nrg_cb_e!$A$3:$A$40,MATCH(LEFT(MID('Industriesektor GWh'!$B3423,41,1000),SEARCH(" - ",MID('Industriesektor GWh'!$B3423,41,1000))-1),nrg_cb_e!$C$3:$C$40,0))</f>
        <v>FC_IND_MAC_E</v>
      </c>
      <c r="G3423" s="21">
        <v>132.92099999999999</v>
      </c>
    </row>
    <row r="3424" spans="1:7" x14ac:dyDescent="0.2">
      <c r="A3424" s="16" t="s">
        <v>44</v>
      </c>
      <c r="B3424" s="17" t="s">
        <v>67</v>
      </c>
      <c r="C3424" s="17" t="s">
        <v>8</v>
      </c>
      <c r="D3424" s="17" t="s">
        <v>10</v>
      </c>
      <c r="E3424" s="17" t="s">
        <v>17</v>
      </c>
      <c r="F3424" s="17" t="str">
        <f>INDEX(nrg_cb_e!$A$3:$A$40,MATCH(LEFT(MID('Industriesektor GWh'!$B3424,41,1000),SEARCH(" - ",MID('Industriesektor GWh'!$B3424,41,1000))-1),nrg_cb_e!$C$3:$C$40,0))</f>
        <v>FC_IND_MAC_E</v>
      </c>
      <c r="G3424" s="18">
        <v>140.46700000000001</v>
      </c>
    </row>
    <row r="3425" spans="1:7" x14ac:dyDescent="0.2">
      <c r="A3425" s="19" t="s">
        <v>44</v>
      </c>
      <c r="B3425" s="20" t="s">
        <v>67</v>
      </c>
      <c r="C3425" s="20" t="s">
        <v>8</v>
      </c>
      <c r="D3425" s="20" t="s">
        <v>10</v>
      </c>
      <c r="E3425" s="20" t="s">
        <v>18</v>
      </c>
      <c r="F3425" s="20" t="str">
        <f>INDEX(nrg_cb_e!$A$3:$A$40,MATCH(LEFT(MID('Industriesektor GWh'!$B3425,41,1000),SEARCH(" - ",MID('Industriesektor GWh'!$B3425,41,1000))-1),nrg_cb_e!$C$3:$C$40,0))</f>
        <v>FC_IND_MAC_E</v>
      </c>
      <c r="G3425" s="21">
        <v>143.601</v>
      </c>
    </row>
    <row r="3426" spans="1:7" x14ac:dyDescent="0.2">
      <c r="A3426" s="16" t="s">
        <v>44</v>
      </c>
      <c r="B3426" s="17" t="s">
        <v>67</v>
      </c>
      <c r="C3426" s="17" t="s">
        <v>8</v>
      </c>
      <c r="D3426" s="17" t="s">
        <v>10</v>
      </c>
      <c r="E3426" s="17" t="s">
        <v>19</v>
      </c>
      <c r="F3426" s="17" t="str">
        <f>INDEX(nrg_cb_e!$A$3:$A$40,MATCH(LEFT(MID('Industriesektor GWh'!$B3426,41,1000),SEARCH(" - ",MID('Industriesektor GWh'!$B3426,41,1000))-1),nrg_cb_e!$C$3:$C$40,0))</f>
        <v>FC_IND_MAC_E</v>
      </c>
      <c r="G3426" s="18">
        <v>131.68</v>
      </c>
    </row>
    <row r="3427" spans="1:7" x14ac:dyDescent="0.2">
      <c r="A3427" s="19" t="s">
        <v>44</v>
      </c>
      <c r="B3427" s="20" t="s">
        <v>67</v>
      </c>
      <c r="C3427" s="20" t="s">
        <v>8</v>
      </c>
      <c r="D3427" s="20" t="s">
        <v>10</v>
      </c>
      <c r="E3427" s="20" t="s">
        <v>20</v>
      </c>
      <c r="F3427" s="20" t="str">
        <f>INDEX(nrg_cb_e!$A$3:$A$40,MATCH(LEFT(MID('Industriesektor GWh'!$B3427,41,1000),SEARCH(" - ",MID('Industriesektor GWh'!$B3427,41,1000))-1),nrg_cb_e!$C$3:$C$40,0))</f>
        <v>FC_IND_MAC_E</v>
      </c>
      <c r="G3427" s="21">
        <v>150.88499999999999</v>
      </c>
    </row>
    <row r="3428" spans="1:7" x14ac:dyDescent="0.2">
      <c r="A3428" s="16" t="s">
        <v>44</v>
      </c>
      <c r="B3428" s="17" t="s">
        <v>67</v>
      </c>
      <c r="C3428" s="17" t="s">
        <v>8</v>
      </c>
      <c r="D3428" s="17" t="s">
        <v>10</v>
      </c>
      <c r="E3428" s="17" t="s">
        <v>21</v>
      </c>
      <c r="F3428" s="17" t="str">
        <f>INDEX(nrg_cb_e!$A$3:$A$40,MATCH(LEFT(MID('Industriesektor GWh'!$B3428,41,1000),SEARCH(" - ",MID('Industriesektor GWh'!$B3428,41,1000))-1),nrg_cb_e!$C$3:$C$40,0))</f>
        <v>FC_IND_MAC_E</v>
      </c>
      <c r="G3428" s="18">
        <v>99.28</v>
      </c>
    </row>
    <row r="3429" spans="1:7" x14ac:dyDescent="0.2">
      <c r="A3429" s="19" t="s">
        <v>44</v>
      </c>
      <c r="B3429" s="20" t="s">
        <v>67</v>
      </c>
      <c r="C3429" s="20" t="s">
        <v>8</v>
      </c>
      <c r="D3429" s="20" t="s">
        <v>10</v>
      </c>
      <c r="E3429" s="20" t="s">
        <v>22</v>
      </c>
      <c r="F3429" s="20" t="str">
        <f>INDEX(nrg_cb_e!$A$3:$A$40,MATCH(LEFT(MID('Industriesektor GWh'!$B3429,41,1000),SEARCH(" - ",MID('Industriesektor GWh'!$B3429,41,1000))-1),nrg_cb_e!$C$3:$C$40,0))</f>
        <v>FC_IND_MAC_E</v>
      </c>
      <c r="G3429" s="21">
        <v>94.769000000000005</v>
      </c>
    </row>
    <row r="3430" spans="1:7" x14ac:dyDescent="0.2">
      <c r="A3430" s="16" t="s">
        <v>44</v>
      </c>
      <c r="B3430" s="17" t="s">
        <v>67</v>
      </c>
      <c r="C3430" s="17" t="s">
        <v>8</v>
      </c>
      <c r="D3430" s="17" t="s">
        <v>10</v>
      </c>
      <c r="E3430" s="17" t="s">
        <v>23</v>
      </c>
      <c r="F3430" s="17" t="str">
        <f>INDEX(nrg_cb_e!$A$3:$A$40,MATCH(LEFT(MID('Industriesektor GWh'!$B3430,41,1000),SEARCH(" - ",MID('Industriesektor GWh'!$B3430,41,1000))-1),nrg_cb_e!$C$3:$C$40,0))</f>
        <v>FC_IND_MAC_E</v>
      </c>
      <c r="G3430" s="18">
        <v>91.099000000000004</v>
      </c>
    </row>
    <row r="3431" spans="1:7" x14ac:dyDescent="0.2">
      <c r="A3431" s="19" t="s">
        <v>44</v>
      </c>
      <c r="B3431" s="20" t="s">
        <v>67</v>
      </c>
      <c r="C3431" s="20" t="s">
        <v>8</v>
      </c>
      <c r="D3431" s="20" t="s">
        <v>10</v>
      </c>
      <c r="E3431" s="20" t="s">
        <v>24</v>
      </c>
      <c r="F3431" s="20" t="str">
        <f>INDEX(nrg_cb_e!$A$3:$A$40,MATCH(LEFT(MID('Industriesektor GWh'!$B3431,41,1000),SEARCH(" - ",MID('Industriesektor GWh'!$B3431,41,1000))-1),nrg_cb_e!$C$3:$C$40,0))</f>
        <v>FC_IND_MAC_E</v>
      </c>
      <c r="G3431" s="21">
        <v>82.635000000000005</v>
      </c>
    </row>
    <row r="3432" spans="1:7" x14ac:dyDescent="0.2">
      <c r="A3432" s="16" t="s">
        <v>44</v>
      </c>
      <c r="B3432" s="17" t="s">
        <v>67</v>
      </c>
      <c r="C3432" s="17" t="s">
        <v>8</v>
      </c>
      <c r="D3432" s="17" t="s">
        <v>10</v>
      </c>
      <c r="E3432" s="17" t="s">
        <v>25</v>
      </c>
      <c r="F3432" s="17" t="str">
        <f>INDEX(nrg_cb_e!$A$3:$A$40,MATCH(LEFT(MID('Industriesektor GWh'!$B3432,41,1000),SEARCH(" - ",MID('Industriesektor GWh'!$B3432,41,1000))-1),nrg_cb_e!$C$3:$C$40,0))</f>
        <v>FC_IND_MAC_E</v>
      </c>
      <c r="G3432" s="18">
        <v>83.316999999999993</v>
      </c>
    </row>
    <row r="3433" spans="1:7" x14ac:dyDescent="0.2">
      <c r="A3433" s="19" t="s">
        <v>44</v>
      </c>
      <c r="B3433" s="20" t="s">
        <v>67</v>
      </c>
      <c r="C3433" s="20" t="s">
        <v>8</v>
      </c>
      <c r="D3433" s="20" t="s">
        <v>10</v>
      </c>
      <c r="E3433" s="20" t="s">
        <v>26</v>
      </c>
      <c r="F3433" s="20" t="str">
        <f>INDEX(nrg_cb_e!$A$3:$A$40,MATCH(LEFT(MID('Industriesektor GWh'!$B3433,41,1000),SEARCH(" - ",MID('Industriesektor GWh'!$B3433,41,1000))-1),nrg_cb_e!$C$3:$C$40,0))</f>
        <v>FC_IND_MAC_E</v>
      </c>
      <c r="G3433" s="21">
        <v>90.113</v>
      </c>
    </row>
    <row r="3434" spans="1:7" x14ac:dyDescent="0.2">
      <c r="A3434" s="16" t="s">
        <v>44</v>
      </c>
      <c r="B3434" s="17" t="s">
        <v>67</v>
      </c>
      <c r="C3434" s="17" t="s">
        <v>8</v>
      </c>
      <c r="D3434" s="17" t="s">
        <v>10</v>
      </c>
      <c r="E3434" s="17" t="s">
        <v>27</v>
      </c>
      <c r="F3434" s="17" t="str">
        <f>INDEX(nrg_cb_e!$A$3:$A$40,MATCH(LEFT(MID('Industriesektor GWh'!$B3434,41,1000),SEARCH(" - ",MID('Industriesektor GWh'!$B3434,41,1000))-1),nrg_cb_e!$C$3:$C$40,0))</f>
        <v>FC_IND_MAC_E</v>
      </c>
      <c r="G3434" s="18">
        <v>74.468999999999994</v>
      </c>
    </row>
    <row r="3435" spans="1:7" x14ac:dyDescent="0.2">
      <c r="A3435" s="19" t="s">
        <v>44</v>
      </c>
      <c r="B3435" s="20" t="s">
        <v>67</v>
      </c>
      <c r="C3435" s="20" t="s">
        <v>8</v>
      </c>
      <c r="D3435" s="20" t="s">
        <v>10</v>
      </c>
      <c r="E3435" s="20" t="s">
        <v>28</v>
      </c>
      <c r="F3435" s="20" t="str">
        <f>INDEX(nrg_cb_e!$A$3:$A$40,MATCH(LEFT(MID('Industriesektor GWh'!$B3435,41,1000),SEARCH(" - ",MID('Industriesektor GWh'!$B3435,41,1000))-1),nrg_cb_e!$C$3:$C$40,0))</f>
        <v>FC_IND_MAC_E</v>
      </c>
      <c r="G3435" s="21">
        <v>79.203999999999994</v>
      </c>
    </row>
    <row r="3436" spans="1:7" x14ac:dyDescent="0.2">
      <c r="A3436" s="16" t="s">
        <v>45</v>
      </c>
      <c r="B3436" s="17" t="s">
        <v>67</v>
      </c>
      <c r="C3436" s="17" t="s">
        <v>8</v>
      </c>
      <c r="D3436" s="17" t="s">
        <v>10</v>
      </c>
      <c r="E3436" s="17" t="s">
        <v>12</v>
      </c>
      <c r="F3436" s="17" t="str">
        <f>INDEX(nrg_cb_e!$A$3:$A$40,MATCH(LEFT(MID('Industriesektor GWh'!$B3436,41,1000),SEARCH(" - ",MID('Industriesektor GWh'!$B3436,41,1000))-1),nrg_cb_e!$C$3:$C$40,0))</f>
        <v>FC_IND_MAC_E</v>
      </c>
      <c r="G3436" s="18">
        <v>837</v>
      </c>
    </row>
    <row r="3437" spans="1:7" x14ac:dyDescent="0.2">
      <c r="A3437" s="19" t="s">
        <v>45</v>
      </c>
      <c r="B3437" s="20" t="s">
        <v>67</v>
      </c>
      <c r="C3437" s="20" t="s">
        <v>8</v>
      </c>
      <c r="D3437" s="20" t="s">
        <v>10</v>
      </c>
      <c r="E3437" s="20" t="s">
        <v>13</v>
      </c>
      <c r="F3437" s="20" t="str">
        <f>INDEX(nrg_cb_e!$A$3:$A$40,MATCH(LEFT(MID('Industriesektor GWh'!$B3437,41,1000),SEARCH(" - ",MID('Industriesektor GWh'!$B3437,41,1000))-1),nrg_cb_e!$C$3:$C$40,0))</f>
        <v>FC_IND_MAC_E</v>
      </c>
      <c r="G3437" s="21">
        <v>881</v>
      </c>
    </row>
    <row r="3438" spans="1:7" x14ac:dyDescent="0.2">
      <c r="A3438" s="16" t="s">
        <v>45</v>
      </c>
      <c r="B3438" s="17" t="s">
        <v>67</v>
      </c>
      <c r="C3438" s="17" t="s">
        <v>8</v>
      </c>
      <c r="D3438" s="17" t="s">
        <v>10</v>
      </c>
      <c r="E3438" s="17" t="s">
        <v>14</v>
      </c>
      <c r="F3438" s="17" t="str">
        <f>INDEX(nrg_cb_e!$A$3:$A$40,MATCH(LEFT(MID('Industriesektor GWh'!$B3438,41,1000),SEARCH(" - ",MID('Industriesektor GWh'!$B3438,41,1000))-1),nrg_cb_e!$C$3:$C$40,0))</f>
        <v>FC_IND_MAC_E</v>
      </c>
      <c r="G3438" s="18">
        <v>1016</v>
      </c>
    </row>
    <row r="3439" spans="1:7" x14ac:dyDescent="0.2">
      <c r="A3439" s="19" t="s">
        <v>45</v>
      </c>
      <c r="B3439" s="20" t="s">
        <v>67</v>
      </c>
      <c r="C3439" s="20" t="s">
        <v>8</v>
      </c>
      <c r="D3439" s="20" t="s">
        <v>10</v>
      </c>
      <c r="E3439" s="20" t="s">
        <v>15</v>
      </c>
      <c r="F3439" s="20" t="str">
        <f>INDEX(nrg_cb_e!$A$3:$A$40,MATCH(LEFT(MID('Industriesektor GWh'!$B3439,41,1000),SEARCH(" - ",MID('Industriesektor GWh'!$B3439,41,1000))-1),nrg_cb_e!$C$3:$C$40,0))</f>
        <v>FC_IND_MAC_E</v>
      </c>
      <c r="G3439" s="21">
        <v>1254</v>
      </c>
    </row>
    <row r="3440" spans="1:7" x14ac:dyDescent="0.2">
      <c r="A3440" s="16" t="s">
        <v>45</v>
      </c>
      <c r="B3440" s="17" t="s">
        <v>67</v>
      </c>
      <c r="C3440" s="17" t="s">
        <v>8</v>
      </c>
      <c r="D3440" s="17" t="s">
        <v>10</v>
      </c>
      <c r="E3440" s="17" t="s">
        <v>16</v>
      </c>
      <c r="F3440" s="17" t="str">
        <f>INDEX(nrg_cb_e!$A$3:$A$40,MATCH(LEFT(MID('Industriesektor GWh'!$B3440,41,1000),SEARCH(" - ",MID('Industriesektor GWh'!$B3440,41,1000))-1),nrg_cb_e!$C$3:$C$40,0))</f>
        <v>FC_IND_MAC_E</v>
      </c>
      <c r="G3440" s="18">
        <v>1235</v>
      </c>
    </row>
    <row r="3441" spans="1:7" x14ac:dyDescent="0.2">
      <c r="A3441" s="19" t="s">
        <v>45</v>
      </c>
      <c r="B3441" s="20" t="s">
        <v>67</v>
      </c>
      <c r="C3441" s="20" t="s">
        <v>8</v>
      </c>
      <c r="D3441" s="20" t="s">
        <v>10</v>
      </c>
      <c r="E3441" s="20" t="s">
        <v>17</v>
      </c>
      <c r="F3441" s="20" t="str">
        <f>INDEX(nrg_cb_e!$A$3:$A$40,MATCH(LEFT(MID('Industriesektor GWh'!$B3441,41,1000),SEARCH(" - ",MID('Industriesektor GWh'!$B3441,41,1000))-1),nrg_cb_e!$C$3:$C$40,0))</f>
        <v>FC_IND_MAC_E</v>
      </c>
      <c r="G3441" s="21">
        <v>1257</v>
      </c>
    </row>
    <row r="3442" spans="1:7" x14ac:dyDescent="0.2">
      <c r="A3442" s="16" t="s">
        <v>45</v>
      </c>
      <c r="B3442" s="17" t="s">
        <v>67</v>
      </c>
      <c r="C3442" s="17" t="s">
        <v>8</v>
      </c>
      <c r="D3442" s="17" t="s">
        <v>10</v>
      </c>
      <c r="E3442" s="17" t="s">
        <v>18</v>
      </c>
      <c r="F3442" s="17" t="str">
        <f>INDEX(nrg_cb_e!$A$3:$A$40,MATCH(LEFT(MID('Industriesektor GWh'!$B3442,41,1000),SEARCH(" - ",MID('Industriesektor GWh'!$B3442,41,1000))-1),nrg_cb_e!$C$3:$C$40,0))</f>
        <v>FC_IND_MAC_E</v>
      </c>
      <c r="G3442" s="18">
        <v>1309</v>
      </c>
    </row>
    <row r="3443" spans="1:7" x14ac:dyDescent="0.2">
      <c r="A3443" s="19" t="s">
        <v>45</v>
      </c>
      <c r="B3443" s="20" t="s">
        <v>67</v>
      </c>
      <c r="C3443" s="20" t="s">
        <v>8</v>
      </c>
      <c r="D3443" s="20" t="s">
        <v>10</v>
      </c>
      <c r="E3443" s="20" t="s">
        <v>19</v>
      </c>
      <c r="F3443" s="20" t="str">
        <f>INDEX(nrg_cb_e!$A$3:$A$40,MATCH(LEFT(MID('Industriesektor GWh'!$B3443,41,1000),SEARCH(" - ",MID('Industriesektor GWh'!$B3443,41,1000))-1),nrg_cb_e!$C$3:$C$40,0))</f>
        <v>FC_IND_MAC_E</v>
      </c>
      <c r="G3443" s="21">
        <v>1292</v>
      </c>
    </row>
    <row r="3444" spans="1:7" x14ac:dyDescent="0.2">
      <c r="A3444" s="16" t="s">
        <v>45</v>
      </c>
      <c r="B3444" s="17" t="s">
        <v>67</v>
      </c>
      <c r="C3444" s="17" t="s">
        <v>8</v>
      </c>
      <c r="D3444" s="17" t="s">
        <v>10</v>
      </c>
      <c r="E3444" s="17" t="s">
        <v>20</v>
      </c>
      <c r="F3444" s="17" t="str">
        <f>INDEX(nrg_cb_e!$A$3:$A$40,MATCH(LEFT(MID('Industriesektor GWh'!$B3444,41,1000),SEARCH(" - ",MID('Industriesektor GWh'!$B3444,41,1000))-1),nrg_cb_e!$C$3:$C$40,0))</f>
        <v>FC_IND_MAC_E</v>
      </c>
      <c r="G3444" s="18">
        <v>1544</v>
      </c>
    </row>
    <row r="3445" spans="1:7" x14ac:dyDescent="0.2">
      <c r="A3445" s="19" t="s">
        <v>45</v>
      </c>
      <c r="B3445" s="20" t="s">
        <v>67</v>
      </c>
      <c r="C3445" s="20" t="s">
        <v>8</v>
      </c>
      <c r="D3445" s="20" t="s">
        <v>10</v>
      </c>
      <c r="E3445" s="20" t="s">
        <v>21</v>
      </c>
      <c r="F3445" s="20" t="str">
        <f>INDEX(nrg_cb_e!$A$3:$A$40,MATCH(LEFT(MID('Industriesektor GWh'!$B3445,41,1000),SEARCH(" - ",MID('Industriesektor GWh'!$B3445,41,1000))-1),nrg_cb_e!$C$3:$C$40,0))</f>
        <v>FC_IND_MAC_E</v>
      </c>
      <c r="G3445" s="21">
        <v>1559</v>
      </c>
    </row>
    <row r="3446" spans="1:7" x14ac:dyDescent="0.2">
      <c r="A3446" s="16" t="s">
        <v>45</v>
      </c>
      <c r="B3446" s="17" t="s">
        <v>67</v>
      </c>
      <c r="C3446" s="17" t="s">
        <v>8</v>
      </c>
      <c r="D3446" s="17" t="s">
        <v>10</v>
      </c>
      <c r="E3446" s="17" t="s">
        <v>22</v>
      </c>
      <c r="F3446" s="17" t="str">
        <f>INDEX(nrg_cb_e!$A$3:$A$40,MATCH(LEFT(MID('Industriesektor GWh'!$B3446,41,1000),SEARCH(" - ",MID('Industriesektor GWh'!$B3446,41,1000))-1),nrg_cb_e!$C$3:$C$40,0))</f>
        <v>FC_IND_MAC_E</v>
      </c>
      <c r="G3446" s="18">
        <v>2506</v>
      </c>
    </row>
    <row r="3447" spans="1:7" x14ac:dyDescent="0.2">
      <c r="A3447" s="19" t="s">
        <v>45</v>
      </c>
      <c r="B3447" s="20" t="s">
        <v>67</v>
      </c>
      <c r="C3447" s="20" t="s">
        <v>8</v>
      </c>
      <c r="D3447" s="20" t="s">
        <v>10</v>
      </c>
      <c r="E3447" s="20" t="s">
        <v>23</v>
      </c>
      <c r="F3447" s="20" t="str">
        <f>INDEX(nrg_cb_e!$A$3:$A$40,MATCH(LEFT(MID('Industriesektor GWh'!$B3447,41,1000),SEARCH(" - ",MID('Industriesektor GWh'!$B3447,41,1000))-1),nrg_cb_e!$C$3:$C$40,0))</f>
        <v>FC_IND_MAC_E</v>
      </c>
      <c r="G3447" s="21">
        <v>2410</v>
      </c>
    </row>
    <row r="3448" spans="1:7" x14ac:dyDescent="0.2">
      <c r="A3448" s="16" t="s">
        <v>45</v>
      </c>
      <c r="B3448" s="17" t="s">
        <v>67</v>
      </c>
      <c r="C3448" s="17" t="s">
        <v>8</v>
      </c>
      <c r="D3448" s="17" t="s">
        <v>10</v>
      </c>
      <c r="E3448" s="17" t="s">
        <v>24</v>
      </c>
      <c r="F3448" s="17" t="str">
        <f>INDEX(nrg_cb_e!$A$3:$A$40,MATCH(LEFT(MID('Industriesektor GWh'!$B3448,41,1000),SEARCH(" - ",MID('Industriesektor GWh'!$B3448,41,1000))-1),nrg_cb_e!$C$3:$C$40,0))</f>
        <v>FC_IND_MAC_E</v>
      </c>
      <c r="G3448" s="18">
        <v>2469</v>
      </c>
    </row>
    <row r="3449" spans="1:7" x14ac:dyDescent="0.2">
      <c r="A3449" s="19" t="s">
        <v>45</v>
      </c>
      <c r="B3449" s="20" t="s">
        <v>67</v>
      </c>
      <c r="C3449" s="20" t="s">
        <v>8</v>
      </c>
      <c r="D3449" s="20" t="s">
        <v>10</v>
      </c>
      <c r="E3449" s="20" t="s">
        <v>25</v>
      </c>
      <c r="F3449" s="20" t="str">
        <f>INDEX(nrg_cb_e!$A$3:$A$40,MATCH(LEFT(MID('Industriesektor GWh'!$B3449,41,1000),SEARCH(" - ",MID('Industriesektor GWh'!$B3449,41,1000))-1),nrg_cb_e!$C$3:$C$40,0))</f>
        <v>FC_IND_MAC_E</v>
      </c>
      <c r="G3449" s="21">
        <v>2478</v>
      </c>
    </row>
    <row r="3450" spans="1:7" x14ac:dyDescent="0.2">
      <c r="A3450" s="16" t="s">
        <v>45</v>
      </c>
      <c r="B3450" s="17" t="s">
        <v>67</v>
      </c>
      <c r="C3450" s="17" t="s">
        <v>8</v>
      </c>
      <c r="D3450" s="17" t="s">
        <v>10</v>
      </c>
      <c r="E3450" s="17" t="s">
        <v>26</v>
      </c>
      <c r="F3450" s="17" t="str">
        <f>INDEX(nrg_cb_e!$A$3:$A$40,MATCH(LEFT(MID('Industriesektor GWh'!$B3450,41,1000),SEARCH(" - ",MID('Industriesektor GWh'!$B3450,41,1000))-1),nrg_cb_e!$C$3:$C$40,0))</f>
        <v>FC_IND_MAC_E</v>
      </c>
      <c r="G3450" s="18">
        <v>2574</v>
      </c>
    </row>
    <row r="3451" spans="1:7" x14ac:dyDescent="0.2">
      <c r="A3451" s="19" t="s">
        <v>45</v>
      </c>
      <c r="B3451" s="20" t="s">
        <v>67</v>
      </c>
      <c r="C3451" s="20" t="s">
        <v>8</v>
      </c>
      <c r="D3451" s="20" t="s">
        <v>10</v>
      </c>
      <c r="E3451" s="20" t="s">
        <v>27</v>
      </c>
      <c r="F3451" s="20" t="str">
        <f>INDEX(nrg_cb_e!$A$3:$A$40,MATCH(LEFT(MID('Industriesektor GWh'!$B3451,41,1000),SEARCH(" - ",MID('Industriesektor GWh'!$B3451,41,1000))-1),nrg_cb_e!$C$3:$C$40,0))</f>
        <v>FC_IND_MAC_E</v>
      </c>
      <c r="G3451" s="21">
        <v>2751</v>
      </c>
    </row>
    <row r="3452" spans="1:7" x14ac:dyDescent="0.2">
      <c r="A3452" s="16" t="s">
        <v>45</v>
      </c>
      <c r="B3452" s="17" t="s">
        <v>67</v>
      </c>
      <c r="C3452" s="17" t="s">
        <v>8</v>
      </c>
      <c r="D3452" s="17" t="s">
        <v>10</v>
      </c>
      <c r="E3452" s="17" t="s">
        <v>28</v>
      </c>
      <c r="F3452" s="17" t="str">
        <f>INDEX(nrg_cb_e!$A$3:$A$40,MATCH(LEFT(MID('Industriesektor GWh'!$B3452,41,1000),SEARCH(" - ",MID('Industriesektor GWh'!$B3452,41,1000))-1),nrg_cb_e!$C$3:$C$40,0))</f>
        <v>FC_IND_MAC_E</v>
      </c>
      <c r="G3452" s="18">
        <v>2827</v>
      </c>
    </row>
    <row r="3453" spans="1:7" x14ac:dyDescent="0.2">
      <c r="A3453" s="19" t="s">
        <v>46</v>
      </c>
      <c r="B3453" s="20" t="s">
        <v>67</v>
      </c>
      <c r="C3453" s="20" t="s">
        <v>8</v>
      </c>
      <c r="D3453" s="20" t="s">
        <v>10</v>
      </c>
      <c r="E3453" s="20" t="s">
        <v>12</v>
      </c>
      <c r="F3453" s="20" t="str">
        <f>INDEX(nrg_cb_e!$A$3:$A$40,MATCH(LEFT(MID('Industriesektor GWh'!$B3453,41,1000),SEARCH(" - ",MID('Industriesektor GWh'!$B3453,41,1000))-1),nrg_cb_e!$C$3:$C$40,0))</f>
        <v>FC_IND_MAC_E</v>
      </c>
      <c r="G3453" s="21">
        <v>0</v>
      </c>
    </row>
    <row r="3454" spans="1:7" x14ac:dyDescent="0.2">
      <c r="A3454" s="16" t="s">
        <v>46</v>
      </c>
      <c r="B3454" s="17" t="s">
        <v>67</v>
      </c>
      <c r="C3454" s="17" t="s">
        <v>8</v>
      </c>
      <c r="D3454" s="17" t="s">
        <v>10</v>
      </c>
      <c r="E3454" s="17" t="s">
        <v>13</v>
      </c>
      <c r="F3454" s="17" t="str">
        <f>INDEX(nrg_cb_e!$A$3:$A$40,MATCH(LEFT(MID('Industriesektor GWh'!$B3454,41,1000),SEARCH(" - ",MID('Industriesektor GWh'!$B3454,41,1000))-1),nrg_cb_e!$C$3:$C$40,0))</f>
        <v>FC_IND_MAC_E</v>
      </c>
      <c r="G3454" s="18">
        <v>0</v>
      </c>
    </row>
    <row r="3455" spans="1:7" x14ac:dyDescent="0.2">
      <c r="A3455" s="19" t="s">
        <v>46</v>
      </c>
      <c r="B3455" s="20" t="s">
        <v>67</v>
      </c>
      <c r="C3455" s="20" t="s">
        <v>8</v>
      </c>
      <c r="D3455" s="20" t="s">
        <v>10</v>
      </c>
      <c r="E3455" s="20" t="s">
        <v>14</v>
      </c>
      <c r="F3455" s="20" t="str">
        <f>INDEX(nrg_cb_e!$A$3:$A$40,MATCH(LEFT(MID('Industriesektor GWh'!$B3455,41,1000),SEARCH(" - ",MID('Industriesektor GWh'!$B3455,41,1000))-1),nrg_cb_e!$C$3:$C$40,0))</f>
        <v>FC_IND_MAC_E</v>
      </c>
      <c r="G3455" s="21">
        <v>0</v>
      </c>
    </row>
    <row r="3456" spans="1:7" x14ac:dyDescent="0.2">
      <c r="A3456" s="16" t="s">
        <v>46</v>
      </c>
      <c r="B3456" s="17" t="s">
        <v>67</v>
      </c>
      <c r="C3456" s="17" t="s">
        <v>8</v>
      </c>
      <c r="D3456" s="17" t="s">
        <v>10</v>
      </c>
      <c r="E3456" s="17" t="s">
        <v>15</v>
      </c>
      <c r="F3456" s="17" t="str">
        <f>INDEX(nrg_cb_e!$A$3:$A$40,MATCH(LEFT(MID('Industriesektor GWh'!$B3456,41,1000),SEARCH(" - ",MID('Industriesektor GWh'!$B3456,41,1000))-1),nrg_cb_e!$C$3:$C$40,0))</f>
        <v>FC_IND_MAC_E</v>
      </c>
      <c r="G3456" s="18">
        <v>0</v>
      </c>
    </row>
    <row r="3457" spans="1:7" x14ac:dyDescent="0.2">
      <c r="A3457" s="19" t="s">
        <v>46</v>
      </c>
      <c r="B3457" s="20" t="s">
        <v>67</v>
      </c>
      <c r="C3457" s="20" t="s">
        <v>8</v>
      </c>
      <c r="D3457" s="20" t="s">
        <v>10</v>
      </c>
      <c r="E3457" s="20" t="s">
        <v>16</v>
      </c>
      <c r="F3457" s="20" t="str">
        <f>INDEX(nrg_cb_e!$A$3:$A$40,MATCH(LEFT(MID('Industriesektor GWh'!$B3457,41,1000),SEARCH(" - ",MID('Industriesektor GWh'!$B3457,41,1000))-1),nrg_cb_e!$C$3:$C$40,0))</f>
        <v>FC_IND_MAC_E</v>
      </c>
      <c r="G3457" s="21">
        <v>0</v>
      </c>
    </row>
    <row r="3458" spans="1:7" x14ac:dyDescent="0.2">
      <c r="A3458" s="16" t="s">
        <v>46</v>
      </c>
      <c r="B3458" s="17" t="s">
        <v>67</v>
      </c>
      <c r="C3458" s="17" t="s">
        <v>8</v>
      </c>
      <c r="D3458" s="17" t="s">
        <v>10</v>
      </c>
      <c r="E3458" s="17" t="s">
        <v>17</v>
      </c>
      <c r="F3458" s="17" t="str">
        <f>INDEX(nrg_cb_e!$A$3:$A$40,MATCH(LEFT(MID('Industriesektor GWh'!$B3458,41,1000),SEARCH(" - ",MID('Industriesektor GWh'!$B3458,41,1000))-1),nrg_cb_e!$C$3:$C$40,0))</f>
        <v>FC_IND_MAC_E</v>
      </c>
      <c r="G3458" s="18">
        <v>0</v>
      </c>
    </row>
    <row r="3459" spans="1:7" x14ac:dyDescent="0.2">
      <c r="A3459" s="19" t="s">
        <v>46</v>
      </c>
      <c r="B3459" s="20" t="s">
        <v>67</v>
      </c>
      <c r="C3459" s="20" t="s">
        <v>8</v>
      </c>
      <c r="D3459" s="20" t="s">
        <v>10</v>
      </c>
      <c r="E3459" s="20" t="s">
        <v>18</v>
      </c>
      <c r="F3459" s="20" t="str">
        <f>INDEX(nrg_cb_e!$A$3:$A$40,MATCH(LEFT(MID('Industriesektor GWh'!$B3459,41,1000),SEARCH(" - ",MID('Industriesektor GWh'!$B3459,41,1000))-1),nrg_cb_e!$C$3:$C$40,0))</f>
        <v>FC_IND_MAC_E</v>
      </c>
      <c r="G3459" s="21">
        <v>0</v>
      </c>
    </row>
    <row r="3460" spans="1:7" x14ac:dyDescent="0.2">
      <c r="A3460" s="16" t="s">
        <v>46</v>
      </c>
      <c r="B3460" s="17" t="s">
        <v>67</v>
      </c>
      <c r="C3460" s="17" t="s">
        <v>8</v>
      </c>
      <c r="D3460" s="17" t="s">
        <v>10</v>
      </c>
      <c r="E3460" s="17" t="s">
        <v>19</v>
      </c>
      <c r="F3460" s="17" t="str">
        <f>INDEX(nrg_cb_e!$A$3:$A$40,MATCH(LEFT(MID('Industriesektor GWh'!$B3460,41,1000),SEARCH(" - ",MID('Industriesektor GWh'!$B3460,41,1000))-1),nrg_cb_e!$C$3:$C$40,0))</f>
        <v>FC_IND_MAC_E</v>
      </c>
      <c r="G3460" s="18">
        <v>0</v>
      </c>
    </row>
    <row r="3461" spans="1:7" x14ac:dyDescent="0.2">
      <c r="A3461" s="19" t="s">
        <v>46</v>
      </c>
      <c r="B3461" s="20" t="s">
        <v>67</v>
      </c>
      <c r="C3461" s="20" t="s">
        <v>8</v>
      </c>
      <c r="D3461" s="20" t="s">
        <v>10</v>
      </c>
      <c r="E3461" s="20" t="s">
        <v>20</v>
      </c>
      <c r="F3461" s="20" t="str">
        <f>INDEX(nrg_cb_e!$A$3:$A$40,MATCH(LEFT(MID('Industriesektor GWh'!$B3461,41,1000),SEARCH(" - ",MID('Industriesektor GWh'!$B3461,41,1000))-1),nrg_cb_e!$C$3:$C$40,0))</f>
        <v>FC_IND_MAC_E</v>
      </c>
      <c r="G3461" s="21">
        <v>110</v>
      </c>
    </row>
    <row r="3462" spans="1:7" x14ac:dyDescent="0.2">
      <c r="A3462" s="16" t="s">
        <v>46</v>
      </c>
      <c r="B3462" s="17" t="s">
        <v>67</v>
      </c>
      <c r="C3462" s="17" t="s">
        <v>8</v>
      </c>
      <c r="D3462" s="17" t="s">
        <v>10</v>
      </c>
      <c r="E3462" s="17" t="s">
        <v>21</v>
      </c>
      <c r="F3462" s="17" t="str">
        <f>INDEX(nrg_cb_e!$A$3:$A$40,MATCH(LEFT(MID('Industriesektor GWh'!$B3462,41,1000),SEARCH(" - ",MID('Industriesektor GWh'!$B3462,41,1000))-1),nrg_cb_e!$C$3:$C$40,0))</f>
        <v>FC_IND_MAC_E</v>
      </c>
      <c r="G3462" s="18">
        <v>109</v>
      </c>
    </row>
    <row r="3463" spans="1:7" x14ac:dyDescent="0.2">
      <c r="A3463" s="19" t="s">
        <v>46</v>
      </c>
      <c r="B3463" s="20" t="s">
        <v>67</v>
      </c>
      <c r="C3463" s="20" t="s">
        <v>8</v>
      </c>
      <c r="D3463" s="20" t="s">
        <v>10</v>
      </c>
      <c r="E3463" s="20" t="s">
        <v>22</v>
      </c>
      <c r="F3463" s="20" t="str">
        <f>INDEX(nrg_cb_e!$A$3:$A$40,MATCH(LEFT(MID('Industriesektor GWh'!$B3463,41,1000),SEARCH(" - ",MID('Industriesektor GWh'!$B3463,41,1000))-1),nrg_cb_e!$C$3:$C$40,0))</f>
        <v>FC_IND_MAC_E</v>
      </c>
      <c r="G3463" s="21">
        <v>108</v>
      </c>
    </row>
    <row r="3464" spans="1:7" x14ac:dyDescent="0.2">
      <c r="A3464" s="16" t="s">
        <v>46</v>
      </c>
      <c r="B3464" s="17" t="s">
        <v>67</v>
      </c>
      <c r="C3464" s="17" t="s">
        <v>8</v>
      </c>
      <c r="D3464" s="17" t="s">
        <v>10</v>
      </c>
      <c r="E3464" s="17" t="s">
        <v>23</v>
      </c>
      <c r="F3464" s="17" t="str">
        <f>INDEX(nrg_cb_e!$A$3:$A$40,MATCH(LEFT(MID('Industriesektor GWh'!$B3464,41,1000),SEARCH(" - ",MID('Industriesektor GWh'!$B3464,41,1000))-1),nrg_cb_e!$C$3:$C$40,0))</f>
        <v>FC_IND_MAC_E</v>
      </c>
      <c r="G3464" s="18">
        <v>114</v>
      </c>
    </row>
    <row r="3465" spans="1:7" x14ac:dyDescent="0.2">
      <c r="A3465" s="19" t="s">
        <v>46</v>
      </c>
      <c r="B3465" s="20" t="s">
        <v>67</v>
      </c>
      <c r="C3465" s="20" t="s">
        <v>8</v>
      </c>
      <c r="D3465" s="20" t="s">
        <v>10</v>
      </c>
      <c r="E3465" s="20" t="s">
        <v>24</v>
      </c>
      <c r="F3465" s="20" t="str">
        <f>INDEX(nrg_cb_e!$A$3:$A$40,MATCH(LEFT(MID('Industriesektor GWh'!$B3465,41,1000),SEARCH(" - ",MID('Industriesektor GWh'!$B3465,41,1000))-1),nrg_cb_e!$C$3:$C$40,0))</f>
        <v>FC_IND_MAC_E</v>
      </c>
      <c r="G3465" s="21">
        <v>116</v>
      </c>
    </row>
    <row r="3466" spans="1:7" x14ac:dyDescent="0.2">
      <c r="A3466" s="16" t="s">
        <v>46</v>
      </c>
      <c r="B3466" s="17" t="s">
        <v>67</v>
      </c>
      <c r="C3466" s="17" t="s">
        <v>8</v>
      </c>
      <c r="D3466" s="17" t="s">
        <v>10</v>
      </c>
      <c r="E3466" s="17" t="s">
        <v>25</v>
      </c>
      <c r="F3466" s="17" t="str">
        <f>INDEX(nrg_cb_e!$A$3:$A$40,MATCH(LEFT(MID('Industriesektor GWh'!$B3466,41,1000),SEARCH(" - ",MID('Industriesektor GWh'!$B3466,41,1000))-1),nrg_cb_e!$C$3:$C$40,0))</f>
        <v>FC_IND_MAC_E</v>
      </c>
      <c r="G3466" s="18">
        <v>115</v>
      </c>
    </row>
    <row r="3467" spans="1:7" x14ac:dyDescent="0.2">
      <c r="A3467" s="19" t="s">
        <v>46</v>
      </c>
      <c r="B3467" s="20" t="s">
        <v>67</v>
      </c>
      <c r="C3467" s="20" t="s">
        <v>8</v>
      </c>
      <c r="D3467" s="20" t="s">
        <v>10</v>
      </c>
      <c r="E3467" s="20" t="s">
        <v>26</v>
      </c>
      <c r="F3467" s="20" t="str">
        <f>INDEX(nrg_cb_e!$A$3:$A$40,MATCH(LEFT(MID('Industriesektor GWh'!$B3467,41,1000),SEARCH(" - ",MID('Industriesektor GWh'!$B3467,41,1000))-1),nrg_cb_e!$C$3:$C$40,0))</f>
        <v>FC_IND_MAC_E</v>
      </c>
      <c r="G3467" s="21">
        <v>109</v>
      </c>
    </row>
    <row r="3468" spans="1:7" x14ac:dyDescent="0.2">
      <c r="A3468" s="16" t="s">
        <v>46</v>
      </c>
      <c r="B3468" s="17" t="s">
        <v>67</v>
      </c>
      <c r="C3468" s="17" t="s">
        <v>8</v>
      </c>
      <c r="D3468" s="17" t="s">
        <v>10</v>
      </c>
      <c r="E3468" s="17" t="s">
        <v>27</v>
      </c>
      <c r="F3468" s="17" t="str">
        <f>INDEX(nrg_cb_e!$A$3:$A$40,MATCH(LEFT(MID('Industriesektor GWh'!$B3468,41,1000),SEARCH(" - ",MID('Industriesektor GWh'!$B3468,41,1000))-1),nrg_cb_e!$C$3:$C$40,0))</f>
        <v>FC_IND_MAC_E</v>
      </c>
      <c r="G3468" s="18">
        <v>116.47199999999999</v>
      </c>
    </row>
    <row r="3469" spans="1:7" x14ac:dyDescent="0.2">
      <c r="A3469" s="19" t="s">
        <v>46</v>
      </c>
      <c r="B3469" s="20" t="s">
        <v>67</v>
      </c>
      <c r="C3469" s="20" t="s">
        <v>8</v>
      </c>
      <c r="D3469" s="20" t="s">
        <v>10</v>
      </c>
      <c r="E3469" s="20" t="s">
        <v>28</v>
      </c>
      <c r="F3469" s="20" t="str">
        <f>INDEX(nrg_cb_e!$A$3:$A$40,MATCH(LEFT(MID('Industriesektor GWh'!$B3469,41,1000),SEARCH(" - ",MID('Industriesektor GWh'!$B3469,41,1000))-1),nrg_cb_e!$C$3:$C$40,0))</f>
        <v>FC_IND_MAC_E</v>
      </c>
      <c r="G3469" s="21">
        <v>119.71899999999999</v>
      </c>
    </row>
    <row r="3470" spans="1:7" x14ac:dyDescent="0.2">
      <c r="A3470" s="16" t="s">
        <v>47</v>
      </c>
      <c r="B3470" s="17" t="s">
        <v>67</v>
      </c>
      <c r="C3470" s="17" t="s">
        <v>8</v>
      </c>
      <c r="D3470" s="17" t="s">
        <v>10</v>
      </c>
      <c r="E3470" s="17" t="s">
        <v>12</v>
      </c>
      <c r="F3470" s="17" t="str">
        <f>INDEX(nrg_cb_e!$A$3:$A$40,MATCH(LEFT(MID('Industriesektor GWh'!$B3470,41,1000),SEARCH(" - ",MID('Industriesektor GWh'!$B3470,41,1000))-1),nrg_cb_e!$C$3:$C$40,0))</f>
        <v>FC_IND_MAC_E</v>
      </c>
      <c r="G3470" s="18">
        <v>3645</v>
      </c>
    </row>
    <row r="3471" spans="1:7" x14ac:dyDescent="0.2">
      <c r="A3471" s="19" t="s">
        <v>47</v>
      </c>
      <c r="B3471" s="20" t="s">
        <v>67</v>
      </c>
      <c r="C3471" s="20" t="s">
        <v>8</v>
      </c>
      <c r="D3471" s="20" t="s">
        <v>10</v>
      </c>
      <c r="E3471" s="20" t="s">
        <v>13</v>
      </c>
      <c r="F3471" s="20" t="str">
        <f>INDEX(nrg_cb_e!$A$3:$A$40,MATCH(LEFT(MID('Industriesektor GWh'!$B3471,41,1000),SEARCH(" - ",MID('Industriesektor GWh'!$B3471,41,1000))-1),nrg_cb_e!$C$3:$C$40,0))</f>
        <v>FC_IND_MAC_E</v>
      </c>
      <c r="G3471" s="21">
        <v>3358</v>
      </c>
    </row>
    <row r="3472" spans="1:7" x14ac:dyDescent="0.2">
      <c r="A3472" s="16" t="s">
        <v>47</v>
      </c>
      <c r="B3472" s="17" t="s">
        <v>67</v>
      </c>
      <c r="C3472" s="17" t="s">
        <v>8</v>
      </c>
      <c r="D3472" s="17" t="s">
        <v>10</v>
      </c>
      <c r="E3472" s="17" t="s">
        <v>14</v>
      </c>
      <c r="F3472" s="17" t="str">
        <f>INDEX(nrg_cb_e!$A$3:$A$40,MATCH(LEFT(MID('Industriesektor GWh'!$B3472,41,1000),SEARCH(" - ",MID('Industriesektor GWh'!$B3472,41,1000))-1),nrg_cb_e!$C$3:$C$40,0))</f>
        <v>FC_IND_MAC_E</v>
      </c>
      <c r="G3472" s="18">
        <v>3450</v>
      </c>
    </row>
    <row r="3473" spans="1:7" x14ac:dyDescent="0.2">
      <c r="A3473" s="19" t="s">
        <v>47</v>
      </c>
      <c r="B3473" s="20" t="s">
        <v>67</v>
      </c>
      <c r="C3473" s="20" t="s">
        <v>8</v>
      </c>
      <c r="D3473" s="20" t="s">
        <v>10</v>
      </c>
      <c r="E3473" s="20" t="s">
        <v>15</v>
      </c>
      <c r="F3473" s="20" t="str">
        <f>INDEX(nrg_cb_e!$A$3:$A$40,MATCH(LEFT(MID('Industriesektor GWh'!$B3473,41,1000),SEARCH(" - ",MID('Industriesektor GWh'!$B3473,41,1000))-1),nrg_cb_e!$C$3:$C$40,0))</f>
        <v>FC_IND_MAC_E</v>
      </c>
      <c r="G3473" s="21">
        <v>3573</v>
      </c>
    </row>
    <row r="3474" spans="1:7" x14ac:dyDescent="0.2">
      <c r="A3474" s="16" t="s">
        <v>47</v>
      </c>
      <c r="B3474" s="17" t="s">
        <v>67</v>
      </c>
      <c r="C3474" s="17" t="s">
        <v>8</v>
      </c>
      <c r="D3474" s="17" t="s">
        <v>10</v>
      </c>
      <c r="E3474" s="17" t="s">
        <v>16</v>
      </c>
      <c r="F3474" s="17" t="str">
        <f>INDEX(nrg_cb_e!$A$3:$A$40,MATCH(LEFT(MID('Industriesektor GWh'!$B3474,41,1000),SEARCH(" - ",MID('Industriesektor GWh'!$B3474,41,1000))-1),nrg_cb_e!$C$3:$C$40,0))</f>
        <v>FC_IND_MAC_E</v>
      </c>
      <c r="G3474" s="18">
        <v>3537</v>
      </c>
    </row>
    <row r="3475" spans="1:7" x14ac:dyDescent="0.2">
      <c r="A3475" s="19" t="s">
        <v>47</v>
      </c>
      <c r="B3475" s="20" t="s">
        <v>67</v>
      </c>
      <c r="C3475" s="20" t="s">
        <v>8</v>
      </c>
      <c r="D3475" s="20" t="s">
        <v>10</v>
      </c>
      <c r="E3475" s="20" t="s">
        <v>17</v>
      </c>
      <c r="F3475" s="20" t="str">
        <f>INDEX(nrg_cb_e!$A$3:$A$40,MATCH(LEFT(MID('Industriesektor GWh'!$B3475,41,1000),SEARCH(" - ",MID('Industriesektor GWh'!$B3475,41,1000))-1),nrg_cb_e!$C$3:$C$40,0))</f>
        <v>FC_IND_MAC_E</v>
      </c>
      <c r="G3475" s="21">
        <v>3265</v>
      </c>
    </row>
    <row r="3476" spans="1:7" x14ac:dyDescent="0.2">
      <c r="A3476" s="16" t="s">
        <v>47</v>
      </c>
      <c r="B3476" s="17" t="s">
        <v>67</v>
      </c>
      <c r="C3476" s="17" t="s">
        <v>8</v>
      </c>
      <c r="D3476" s="17" t="s">
        <v>10</v>
      </c>
      <c r="E3476" s="17" t="s">
        <v>18</v>
      </c>
      <c r="F3476" s="17" t="str">
        <f>INDEX(nrg_cb_e!$A$3:$A$40,MATCH(LEFT(MID('Industriesektor GWh'!$B3476,41,1000),SEARCH(" - ",MID('Industriesektor GWh'!$B3476,41,1000))-1),nrg_cb_e!$C$3:$C$40,0))</f>
        <v>FC_IND_MAC_E</v>
      </c>
      <c r="G3476" s="18">
        <v>3549</v>
      </c>
    </row>
    <row r="3477" spans="1:7" x14ac:dyDescent="0.2">
      <c r="A3477" s="19" t="s">
        <v>47</v>
      </c>
      <c r="B3477" s="20" t="s">
        <v>67</v>
      </c>
      <c r="C3477" s="20" t="s">
        <v>8</v>
      </c>
      <c r="D3477" s="20" t="s">
        <v>10</v>
      </c>
      <c r="E3477" s="20" t="s">
        <v>19</v>
      </c>
      <c r="F3477" s="20" t="str">
        <f>INDEX(nrg_cb_e!$A$3:$A$40,MATCH(LEFT(MID('Industriesektor GWh'!$B3477,41,1000),SEARCH(" - ",MID('Industriesektor GWh'!$B3477,41,1000))-1),nrg_cb_e!$C$3:$C$40,0))</f>
        <v>FC_IND_MAC_E</v>
      </c>
      <c r="G3477" s="21">
        <v>3460</v>
      </c>
    </row>
    <row r="3478" spans="1:7" x14ac:dyDescent="0.2">
      <c r="A3478" s="16" t="s">
        <v>47</v>
      </c>
      <c r="B3478" s="17" t="s">
        <v>67</v>
      </c>
      <c r="C3478" s="17" t="s">
        <v>8</v>
      </c>
      <c r="D3478" s="17" t="s">
        <v>10</v>
      </c>
      <c r="E3478" s="17" t="s">
        <v>20</v>
      </c>
      <c r="F3478" s="17" t="str">
        <f>INDEX(nrg_cb_e!$A$3:$A$40,MATCH(LEFT(MID('Industriesektor GWh'!$B3478,41,1000),SEARCH(" - ",MID('Industriesektor GWh'!$B3478,41,1000))-1),nrg_cb_e!$C$3:$C$40,0))</f>
        <v>FC_IND_MAC_E</v>
      </c>
      <c r="G3478" s="18">
        <v>3416</v>
      </c>
    </row>
    <row r="3479" spans="1:7" x14ac:dyDescent="0.2">
      <c r="A3479" s="19" t="s">
        <v>47</v>
      </c>
      <c r="B3479" s="20" t="s">
        <v>67</v>
      </c>
      <c r="C3479" s="20" t="s">
        <v>8</v>
      </c>
      <c r="D3479" s="20" t="s">
        <v>10</v>
      </c>
      <c r="E3479" s="20" t="s">
        <v>21</v>
      </c>
      <c r="F3479" s="20" t="str">
        <f>INDEX(nrg_cb_e!$A$3:$A$40,MATCH(LEFT(MID('Industriesektor GWh'!$B3479,41,1000),SEARCH(" - ",MID('Industriesektor GWh'!$B3479,41,1000))-1),nrg_cb_e!$C$3:$C$40,0))</f>
        <v>FC_IND_MAC_E</v>
      </c>
      <c r="G3479" s="21">
        <v>2850</v>
      </c>
    </row>
    <row r="3480" spans="1:7" x14ac:dyDescent="0.2">
      <c r="A3480" s="16" t="s">
        <v>47</v>
      </c>
      <c r="B3480" s="17" t="s">
        <v>67</v>
      </c>
      <c r="C3480" s="17" t="s">
        <v>8</v>
      </c>
      <c r="D3480" s="17" t="s">
        <v>10</v>
      </c>
      <c r="E3480" s="17" t="s">
        <v>22</v>
      </c>
      <c r="F3480" s="17" t="str">
        <f>INDEX(nrg_cb_e!$A$3:$A$40,MATCH(LEFT(MID('Industriesektor GWh'!$B3480,41,1000),SEARCH(" - ",MID('Industriesektor GWh'!$B3480,41,1000))-1),nrg_cb_e!$C$3:$C$40,0))</f>
        <v>FC_IND_MAC_E</v>
      </c>
      <c r="G3480" s="18">
        <v>2848</v>
      </c>
    </row>
    <row r="3481" spans="1:7" x14ac:dyDescent="0.2">
      <c r="A3481" s="19" t="s">
        <v>47</v>
      </c>
      <c r="B3481" s="20" t="s">
        <v>67</v>
      </c>
      <c r="C3481" s="20" t="s">
        <v>8</v>
      </c>
      <c r="D3481" s="20" t="s">
        <v>10</v>
      </c>
      <c r="E3481" s="20" t="s">
        <v>23</v>
      </c>
      <c r="F3481" s="20" t="str">
        <f>INDEX(nrg_cb_e!$A$3:$A$40,MATCH(LEFT(MID('Industriesektor GWh'!$B3481,41,1000),SEARCH(" - ",MID('Industriesektor GWh'!$B3481,41,1000))-1),nrg_cb_e!$C$3:$C$40,0))</f>
        <v>FC_IND_MAC_E</v>
      </c>
      <c r="G3481" s="21">
        <v>2688</v>
      </c>
    </row>
    <row r="3482" spans="1:7" x14ac:dyDescent="0.2">
      <c r="A3482" s="16" t="s">
        <v>47</v>
      </c>
      <c r="B3482" s="17" t="s">
        <v>67</v>
      </c>
      <c r="C3482" s="17" t="s">
        <v>8</v>
      </c>
      <c r="D3482" s="17" t="s">
        <v>10</v>
      </c>
      <c r="E3482" s="17" t="s">
        <v>24</v>
      </c>
      <c r="F3482" s="17" t="str">
        <f>INDEX(nrg_cb_e!$A$3:$A$40,MATCH(LEFT(MID('Industriesektor GWh'!$B3482,41,1000),SEARCH(" - ",MID('Industriesektor GWh'!$B3482,41,1000))-1),nrg_cb_e!$C$3:$C$40,0))</f>
        <v>FC_IND_MAC_E</v>
      </c>
      <c r="G3482" s="18">
        <v>2853</v>
      </c>
    </row>
    <row r="3483" spans="1:7" x14ac:dyDescent="0.2">
      <c r="A3483" s="19" t="s">
        <v>47</v>
      </c>
      <c r="B3483" s="20" t="s">
        <v>67</v>
      </c>
      <c r="C3483" s="20" t="s">
        <v>8</v>
      </c>
      <c r="D3483" s="20" t="s">
        <v>10</v>
      </c>
      <c r="E3483" s="20" t="s">
        <v>25</v>
      </c>
      <c r="F3483" s="20" t="str">
        <f>INDEX(nrg_cb_e!$A$3:$A$40,MATCH(LEFT(MID('Industriesektor GWh'!$B3483,41,1000),SEARCH(" - ",MID('Industriesektor GWh'!$B3483,41,1000))-1),nrg_cb_e!$C$3:$C$40,0))</f>
        <v>FC_IND_MAC_E</v>
      </c>
      <c r="G3483" s="21">
        <v>2809.09</v>
      </c>
    </row>
    <row r="3484" spans="1:7" x14ac:dyDescent="0.2">
      <c r="A3484" s="16" t="s">
        <v>47</v>
      </c>
      <c r="B3484" s="17" t="s">
        <v>67</v>
      </c>
      <c r="C3484" s="17" t="s">
        <v>8</v>
      </c>
      <c r="D3484" s="17" t="s">
        <v>10</v>
      </c>
      <c r="E3484" s="17" t="s">
        <v>26</v>
      </c>
      <c r="F3484" s="17" t="str">
        <f>INDEX(nrg_cb_e!$A$3:$A$40,MATCH(LEFT(MID('Industriesektor GWh'!$B3484,41,1000),SEARCH(" - ",MID('Industriesektor GWh'!$B3484,41,1000))-1),nrg_cb_e!$C$3:$C$40,0))</f>
        <v>FC_IND_MAC_E</v>
      </c>
      <c r="G3484" s="18">
        <v>3003.8910000000001</v>
      </c>
    </row>
    <row r="3485" spans="1:7" x14ac:dyDescent="0.2">
      <c r="A3485" s="19" t="s">
        <v>47</v>
      </c>
      <c r="B3485" s="20" t="s">
        <v>67</v>
      </c>
      <c r="C3485" s="20" t="s">
        <v>8</v>
      </c>
      <c r="D3485" s="20" t="s">
        <v>10</v>
      </c>
      <c r="E3485" s="20" t="s">
        <v>27</v>
      </c>
      <c r="F3485" s="20" t="str">
        <f>INDEX(nrg_cb_e!$A$3:$A$40,MATCH(LEFT(MID('Industriesektor GWh'!$B3485,41,1000),SEARCH(" - ",MID('Industriesektor GWh'!$B3485,41,1000))-1),nrg_cb_e!$C$3:$C$40,0))</f>
        <v>FC_IND_MAC_E</v>
      </c>
      <c r="G3485" s="21">
        <v>3250.57</v>
      </c>
    </row>
    <row r="3486" spans="1:7" x14ac:dyDescent="0.2">
      <c r="A3486" s="16" t="s">
        <v>47</v>
      </c>
      <c r="B3486" s="17" t="s">
        <v>67</v>
      </c>
      <c r="C3486" s="17" t="s">
        <v>8</v>
      </c>
      <c r="D3486" s="17" t="s">
        <v>10</v>
      </c>
      <c r="E3486" s="17" t="s">
        <v>28</v>
      </c>
      <c r="F3486" s="17" t="str">
        <f>INDEX(nrg_cb_e!$A$3:$A$40,MATCH(LEFT(MID('Industriesektor GWh'!$B3486,41,1000),SEARCH(" - ",MID('Industriesektor GWh'!$B3486,41,1000))-1),nrg_cb_e!$C$3:$C$40,0))</f>
        <v>FC_IND_MAC_E</v>
      </c>
      <c r="G3486" s="18">
        <v>3145.5630000000001</v>
      </c>
    </row>
    <row r="3487" spans="1:7" x14ac:dyDescent="0.2">
      <c r="A3487" s="19" t="s">
        <v>48</v>
      </c>
      <c r="B3487" s="20" t="s">
        <v>67</v>
      </c>
      <c r="C3487" s="20" t="s">
        <v>8</v>
      </c>
      <c r="D3487" s="20" t="s">
        <v>10</v>
      </c>
      <c r="E3487" s="20" t="s">
        <v>12</v>
      </c>
      <c r="F3487" s="20" t="str">
        <f>INDEX(nrg_cb_e!$A$3:$A$40,MATCH(LEFT(MID('Industriesektor GWh'!$B3487,41,1000),SEARCH(" - ",MID('Industriesektor GWh'!$B3487,41,1000))-1),nrg_cb_e!$C$3:$C$40,0))</f>
        <v>FC_IND_MAC_E</v>
      </c>
      <c r="G3487" s="21">
        <v>2312</v>
      </c>
    </row>
    <row r="3488" spans="1:7" x14ac:dyDescent="0.2">
      <c r="A3488" s="16" t="s">
        <v>48</v>
      </c>
      <c r="B3488" s="17" t="s">
        <v>67</v>
      </c>
      <c r="C3488" s="17" t="s">
        <v>8</v>
      </c>
      <c r="D3488" s="17" t="s">
        <v>10</v>
      </c>
      <c r="E3488" s="17" t="s">
        <v>13</v>
      </c>
      <c r="F3488" s="17" t="str">
        <f>INDEX(nrg_cb_e!$A$3:$A$40,MATCH(LEFT(MID('Industriesektor GWh'!$B3488,41,1000),SEARCH(" - ",MID('Industriesektor GWh'!$B3488,41,1000))-1),nrg_cb_e!$C$3:$C$40,0))</f>
        <v>FC_IND_MAC_E</v>
      </c>
      <c r="G3488" s="18">
        <v>2402</v>
      </c>
    </row>
    <row r="3489" spans="1:7" x14ac:dyDescent="0.2">
      <c r="A3489" s="19" t="s">
        <v>48</v>
      </c>
      <c r="B3489" s="20" t="s">
        <v>67</v>
      </c>
      <c r="C3489" s="20" t="s">
        <v>8</v>
      </c>
      <c r="D3489" s="20" t="s">
        <v>10</v>
      </c>
      <c r="E3489" s="20" t="s">
        <v>14</v>
      </c>
      <c r="F3489" s="20" t="str">
        <f>INDEX(nrg_cb_e!$A$3:$A$40,MATCH(LEFT(MID('Industriesektor GWh'!$B3489,41,1000),SEARCH(" - ",MID('Industriesektor GWh'!$B3489,41,1000))-1),nrg_cb_e!$C$3:$C$40,0))</f>
        <v>FC_IND_MAC_E</v>
      </c>
      <c r="G3489" s="21">
        <v>2800</v>
      </c>
    </row>
    <row r="3490" spans="1:7" x14ac:dyDescent="0.2">
      <c r="A3490" s="16" t="s">
        <v>48</v>
      </c>
      <c r="B3490" s="17" t="s">
        <v>67</v>
      </c>
      <c r="C3490" s="17" t="s">
        <v>8</v>
      </c>
      <c r="D3490" s="17" t="s">
        <v>10</v>
      </c>
      <c r="E3490" s="17" t="s">
        <v>15</v>
      </c>
      <c r="F3490" s="17" t="str">
        <f>INDEX(nrg_cb_e!$A$3:$A$40,MATCH(LEFT(MID('Industriesektor GWh'!$B3490,41,1000),SEARCH(" - ",MID('Industriesektor GWh'!$B3490,41,1000))-1),nrg_cb_e!$C$3:$C$40,0))</f>
        <v>FC_IND_MAC_E</v>
      </c>
      <c r="G3490" s="18">
        <v>2934.3069999999998</v>
      </c>
    </row>
    <row r="3491" spans="1:7" x14ac:dyDescent="0.2">
      <c r="A3491" s="19" t="s">
        <v>48</v>
      </c>
      <c r="B3491" s="20" t="s">
        <v>67</v>
      </c>
      <c r="C3491" s="20" t="s">
        <v>8</v>
      </c>
      <c r="D3491" s="20" t="s">
        <v>10</v>
      </c>
      <c r="E3491" s="20" t="s">
        <v>16</v>
      </c>
      <c r="F3491" s="20" t="str">
        <f>INDEX(nrg_cb_e!$A$3:$A$40,MATCH(LEFT(MID('Industriesektor GWh'!$B3491,41,1000),SEARCH(" - ",MID('Industriesektor GWh'!$B3491,41,1000))-1),nrg_cb_e!$C$3:$C$40,0))</f>
        <v>FC_IND_MAC_E</v>
      </c>
      <c r="G3491" s="21">
        <v>3134.5120000000002</v>
      </c>
    </row>
    <row r="3492" spans="1:7" x14ac:dyDescent="0.2">
      <c r="A3492" s="16" t="s">
        <v>48</v>
      </c>
      <c r="B3492" s="17" t="s">
        <v>67</v>
      </c>
      <c r="C3492" s="17" t="s">
        <v>8</v>
      </c>
      <c r="D3492" s="17" t="s">
        <v>10</v>
      </c>
      <c r="E3492" s="17" t="s">
        <v>17</v>
      </c>
      <c r="F3492" s="17" t="str">
        <f>INDEX(nrg_cb_e!$A$3:$A$40,MATCH(LEFT(MID('Industriesektor GWh'!$B3492,41,1000),SEARCH(" - ",MID('Industriesektor GWh'!$B3492,41,1000))-1),nrg_cb_e!$C$3:$C$40,0))</f>
        <v>FC_IND_MAC_E</v>
      </c>
      <c r="G3492" s="18">
        <v>3272.09</v>
      </c>
    </row>
    <row r="3493" spans="1:7" x14ac:dyDescent="0.2">
      <c r="A3493" s="19" t="s">
        <v>48</v>
      </c>
      <c r="B3493" s="20" t="s">
        <v>67</v>
      </c>
      <c r="C3493" s="20" t="s">
        <v>8</v>
      </c>
      <c r="D3493" s="20" t="s">
        <v>10</v>
      </c>
      <c r="E3493" s="20" t="s">
        <v>18</v>
      </c>
      <c r="F3493" s="20" t="str">
        <f>INDEX(nrg_cb_e!$A$3:$A$40,MATCH(LEFT(MID('Industriesektor GWh'!$B3493,41,1000),SEARCH(" - ",MID('Industriesektor GWh'!$B3493,41,1000))-1),nrg_cb_e!$C$3:$C$40,0))</f>
        <v>FC_IND_MAC_E</v>
      </c>
      <c r="G3493" s="21">
        <v>3298.7080000000001</v>
      </c>
    </row>
    <row r="3494" spans="1:7" x14ac:dyDescent="0.2">
      <c r="A3494" s="16" t="s">
        <v>48</v>
      </c>
      <c r="B3494" s="17" t="s">
        <v>67</v>
      </c>
      <c r="C3494" s="17" t="s">
        <v>8</v>
      </c>
      <c r="D3494" s="17" t="s">
        <v>10</v>
      </c>
      <c r="E3494" s="17" t="s">
        <v>19</v>
      </c>
      <c r="F3494" s="17" t="str">
        <f>INDEX(nrg_cb_e!$A$3:$A$40,MATCH(LEFT(MID('Industriesektor GWh'!$B3494,41,1000),SEARCH(" - ",MID('Industriesektor GWh'!$B3494,41,1000))-1),nrg_cb_e!$C$3:$C$40,0))</f>
        <v>FC_IND_MAC_E</v>
      </c>
      <c r="G3494" s="18">
        <v>3228.45</v>
      </c>
    </row>
    <row r="3495" spans="1:7" x14ac:dyDescent="0.2">
      <c r="A3495" s="19" t="s">
        <v>48</v>
      </c>
      <c r="B3495" s="20" t="s">
        <v>67</v>
      </c>
      <c r="C3495" s="20" t="s">
        <v>8</v>
      </c>
      <c r="D3495" s="20" t="s">
        <v>10</v>
      </c>
      <c r="E3495" s="20" t="s">
        <v>20</v>
      </c>
      <c r="F3495" s="20" t="str">
        <f>INDEX(nrg_cb_e!$A$3:$A$40,MATCH(LEFT(MID('Industriesektor GWh'!$B3495,41,1000),SEARCH(" - ",MID('Industriesektor GWh'!$B3495,41,1000))-1),nrg_cb_e!$C$3:$C$40,0))</f>
        <v>FC_IND_MAC_E</v>
      </c>
      <c r="G3495" s="21">
        <v>3556.623</v>
      </c>
    </row>
    <row r="3496" spans="1:7" x14ac:dyDescent="0.2">
      <c r="A3496" s="16" t="s">
        <v>48</v>
      </c>
      <c r="B3496" s="17" t="s">
        <v>67</v>
      </c>
      <c r="C3496" s="17" t="s">
        <v>8</v>
      </c>
      <c r="D3496" s="17" t="s">
        <v>10</v>
      </c>
      <c r="E3496" s="17" t="s">
        <v>21</v>
      </c>
      <c r="F3496" s="17" t="str">
        <f>INDEX(nrg_cb_e!$A$3:$A$40,MATCH(LEFT(MID('Industriesektor GWh'!$B3496,41,1000),SEARCH(" - ",MID('Industriesektor GWh'!$B3496,41,1000))-1),nrg_cb_e!$C$3:$C$40,0))</f>
        <v>FC_IND_MAC_E</v>
      </c>
      <c r="G3496" s="18">
        <v>3750.3359999999998</v>
      </c>
    </row>
    <row r="3497" spans="1:7" x14ac:dyDescent="0.2">
      <c r="A3497" s="19" t="s">
        <v>48</v>
      </c>
      <c r="B3497" s="20" t="s">
        <v>67</v>
      </c>
      <c r="C3497" s="20" t="s">
        <v>8</v>
      </c>
      <c r="D3497" s="20" t="s">
        <v>10</v>
      </c>
      <c r="E3497" s="20" t="s">
        <v>22</v>
      </c>
      <c r="F3497" s="20" t="str">
        <f>INDEX(nrg_cb_e!$A$3:$A$40,MATCH(LEFT(MID('Industriesektor GWh'!$B3497,41,1000),SEARCH(" - ",MID('Industriesektor GWh'!$B3497,41,1000))-1),nrg_cb_e!$C$3:$C$40,0))</f>
        <v>FC_IND_MAC_E</v>
      </c>
      <c r="G3497" s="21">
        <v>3807.33</v>
      </c>
    </row>
    <row r="3498" spans="1:7" x14ac:dyDescent="0.2">
      <c r="A3498" s="16" t="s">
        <v>48</v>
      </c>
      <c r="B3498" s="17" t="s">
        <v>67</v>
      </c>
      <c r="C3498" s="17" t="s">
        <v>8</v>
      </c>
      <c r="D3498" s="17" t="s">
        <v>10</v>
      </c>
      <c r="E3498" s="17" t="s">
        <v>23</v>
      </c>
      <c r="F3498" s="17" t="str">
        <f>INDEX(nrg_cb_e!$A$3:$A$40,MATCH(LEFT(MID('Industriesektor GWh'!$B3498,41,1000),SEARCH(" - ",MID('Industriesektor GWh'!$B3498,41,1000))-1),nrg_cb_e!$C$3:$C$40,0))</f>
        <v>FC_IND_MAC_E</v>
      </c>
      <c r="G3498" s="18">
        <v>3419.3009999999999</v>
      </c>
    </row>
    <row r="3499" spans="1:7" x14ac:dyDescent="0.2">
      <c r="A3499" s="19" t="s">
        <v>48</v>
      </c>
      <c r="B3499" s="20" t="s">
        <v>67</v>
      </c>
      <c r="C3499" s="20" t="s">
        <v>8</v>
      </c>
      <c r="D3499" s="20" t="s">
        <v>10</v>
      </c>
      <c r="E3499" s="20" t="s">
        <v>24</v>
      </c>
      <c r="F3499" s="20" t="str">
        <f>INDEX(nrg_cb_e!$A$3:$A$40,MATCH(LEFT(MID('Industriesektor GWh'!$B3499,41,1000),SEARCH(" - ",MID('Industriesektor GWh'!$B3499,41,1000))-1),nrg_cb_e!$C$3:$C$40,0))</f>
        <v>FC_IND_MAC_E</v>
      </c>
      <c r="G3499" s="21">
        <v>3315.3969999999999</v>
      </c>
    </row>
    <row r="3500" spans="1:7" x14ac:dyDescent="0.2">
      <c r="A3500" s="16" t="s">
        <v>48</v>
      </c>
      <c r="B3500" s="17" t="s">
        <v>67</v>
      </c>
      <c r="C3500" s="17" t="s">
        <v>8</v>
      </c>
      <c r="D3500" s="17" t="s">
        <v>10</v>
      </c>
      <c r="E3500" s="17" t="s">
        <v>25</v>
      </c>
      <c r="F3500" s="17" t="str">
        <f>INDEX(nrg_cb_e!$A$3:$A$40,MATCH(LEFT(MID('Industriesektor GWh'!$B3500,41,1000),SEARCH(" - ",MID('Industriesektor GWh'!$B3500,41,1000))-1),nrg_cb_e!$C$3:$C$40,0))</f>
        <v>FC_IND_MAC_E</v>
      </c>
      <c r="G3500" s="18">
        <v>3497.8240000000001</v>
      </c>
    </row>
    <row r="3501" spans="1:7" x14ac:dyDescent="0.2">
      <c r="A3501" s="19" t="s">
        <v>48</v>
      </c>
      <c r="B3501" s="20" t="s">
        <v>67</v>
      </c>
      <c r="C3501" s="20" t="s">
        <v>8</v>
      </c>
      <c r="D3501" s="20" t="s">
        <v>10</v>
      </c>
      <c r="E3501" s="20" t="s">
        <v>26</v>
      </c>
      <c r="F3501" s="20" t="str">
        <f>INDEX(nrg_cb_e!$A$3:$A$40,MATCH(LEFT(MID('Industriesektor GWh'!$B3501,41,1000),SEARCH(" - ",MID('Industriesektor GWh'!$B3501,41,1000))-1),nrg_cb_e!$C$3:$C$40,0))</f>
        <v>FC_IND_MAC_E</v>
      </c>
      <c r="G3501" s="21">
        <v>3723.7170000000001</v>
      </c>
    </row>
    <row r="3502" spans="1:7" x14ac:dyDescent="0.2">
      <c r="A3502" s="16" t="s">
        <v>48</v>
      </c>
      <c r="B3502" s="17" t="s">
        <v>67</v>
      </c>
      <c r="C3502" s="17" t="s">
        <v>8</v>
      </c>
      <c r="D3502" s="17" t="s">
        <v>10</v>
      </c>
      <c r="E3502" s="17" t="s">
        <v>27</v>
      </c>
      <c r="F3502" s="17" t="str">
        <f>INDEX(nrg_cb_e!$A$3:$A$40,MATCH(LEFT(MID('Industriesektor GWh'!$B3502,41,1000),SEARCH(" - ",MID('Industriesektor GWh'!$B3502,41,1000))-1),nrg_cb_e!$C$3:$C$40,0))</f>
        <v>FC_IND_MAC_E</v>
      </c>
      <c r="G3502" s="18">
        <v>3686.375</v>
      </c>
    </row>
    <row r="3503" spans="1:7" x14ac:dyDescent="0.2">
      <c r="A3503" s="19" t="s">
        <v>48</v>
      </c>
      <c r="B3503" s="20" t="s">
        <v>67</v>
      </c>
      <c r="C3503" s="20" t="s">
        <v>8</v>
      </c>
      <c r="D3503" s="20" t="s">
        <v>10</v>
      </c>
      <c r="E3503" s="20" t="s">
        <v>28</v>
      </c>
      <c r="F3503" s="20" t="str">
        <f>INDEX(nrg_cb_e!$A$3:$A$40,MATCH(LEFT(MID('Industriesektor GWh'!$B3503,41,1000),SEARCH(" - ",MID('Industriesektor GWh'!$B3503,41,1000))-1),nrg_cb_e!$C$3:$C$40,0))</f>
        <v>FC_IND_MAC_E</v>
      </c>
      <c r="G3503" s="21">
        <v>4129.4470000000001</v>
      </c>
    </row>
    <row r="3504" spans="1:7" x14ac:dyDescent="0.2">
      <c r="A3504" s="16" t="s">
        <v>49</v>
      </c>
      <c r="B3504" s="17" t="s">
        <v>67</v>
      </c>
      <c r="C3504" s="17" t="s">
        <v>8</v>
      </c>
      <c r="D3504" s="17" t="s">
        <v>10</v>
      </c>
      <c r="E3504" s="17" t="s">
        <v>12</v>
      </c>
      <c r="F3504" s="17" t="str">
        <f>INDEX(nrg_cb_e!$A$3:$A$40,MATCH(LEFT(MID('Industriesektor GWh'!$B3504,41,1000),SEARCH(" - ",MID('Industriesektor GWh'!$B3504,41,1000))-1),nrg_cb_e!$C$3:$C$40,0))</f>
        <v>FC_IND_MAC_E</v>
      </c>
      <c r="G3504" s="18">
        <v>3354</v>
      </c>
    </row>
    <row r="3505" spans="1:7" x14ac:dyDescent="0.2">
      <c r="A3505" s="19" t="s">
        <v>49</v>
      </c>
      <c r="B3505" s="20" t="s">
        <v>67</v>
      </c>
      <c r="C3505" s="20" t="s">
        <v>8</v>
      </c>
      <c r="D3505" s="20" t="s">
        <v>10</v>
      </c>
      <c r="E3505" s="20" t="s">
        <v>13</v>
      </c>
      <c r="F3505" s="20" t="str">
        <f>INDEX(nrg_cb_e!$A$3:$A$40,MATCH(LEFT(MID('Industriesektor GWh'!$B3505,41,1000),SEARCH(" - ",MID('Industriesektor GWh'!$B3505,41,1000))-1),nrg_cb_e!$C$3:$C$40,0))</f>
        <v>FC_IND_MAC_E</v>
      </c>
      <c r="G3505" s="21">
        <v>3384</v>
      </c>
    </row>
    <row r="3506" spans="1:7" x14ac:dyDescent="0.2">
      <c r="A3506" s="16" t="s">
        <v>49</v>
      </c>
      <c r="B3506" s="17" t="s">
        <v>67</v>
      </c>
      <c r="C3506" s="17" t="s">
        <v>8</v>
      </c>
      <c r="D3506" s="17" t="s">
        <v>10</v>
      </c>
      <c r="E3506" s="17" t="s">
        <v>14</v>
      </c>
      <c r="F3506" s="17" t="str">
        <f>INDEX(nrg_cb_e!$A$3:$A$40,MATCH(LEFT(MID('Industriesektor GWh'!$B3506,41,1000),SEARCH(" - ",MID('Industriesektor GWh'!$B3506,41,1000))-1),nrg_cb_e!$C$3:$C$40,0))</f>
        <v>FC_IND_MAC_E</v>
      </c>
      <c r="G3506" s="18">
        <v>3370</v>
      </c>
    </row>
    <row r="3507" spans="1:7" x14ac:dyDescent="0.2">
      <c r="A3507" s="19" t="s">
        <v>49</v>
      </c>
      <c r="B3507" s="20" t="s">
        <v>67</v>
      </c>
      <c r="C3507" s="20" t="s">
        <v>8</v>
      </c>
      <c r="D3507" s="20" t="s">
        <v>10</v>
      </c>
      <c r="E3507" s="20" t="s">
        <v>15</v>
      </c>
      <c r="F3507" s="20" t="str">
        <f>INDEX(nrg_cb_e!$A$3:$A$40,MATCH(LEFT(MID('Industriesektor GWh'!$B3507,41,1000),SEARCH(" - ",MID('Industriesektor GWh'!$B3507,41,1000))-1),nrg_cb_e!$C$3:$C$40,0))</f>
        <v>FC_IND_MAC_E</v>
      </c>
      <c r="G3507" s="21">
        <v>3533</v>
      </c>
    </row>
    <row r="3508" spans="1:7" x14ac:dyDescent="0.2">
      <c r="A3508" s="16" t="s">
        <v>49</v>
      </c>
      <c r="B3508" s="17" t="s">
        <v>67</v>
      </c>
      <c r="C3508" s="17" t="s">
        <v>8</v>
      </c>
      <c r="D3508" s="17" t="s">
        <v>10</v>
      </c>
      <c r="E3508" s="17" t="s">
        <v>16</v>
      </c>
      <c r="F3508" s="17" t="str">
        <f>INDEX(nrg_cb_e!$A$3:$A$40,MATCH(LEFT(MID('Industriesektor GWh'!$B3508,41,1000),SEARCH(" - ",MID('Industriesektor GWh'!$B3508,41,1000))-1),nrg_cb_e!$C$3:$C$40,0))</f>
        <v>FC_IND_MAC_E</v>
      </c>
      <c r="G3508" s="18">
        <v>3755</v>
      </c>
    </row>
    <row r="3509" spans="1:7" x14ac:dyDescent="0.2">
      <c r="A3509" s="19" t="s">
        <v>49</v>
      </c>
      <c r="B3509" s="20" t="s">
        <v>67</v>
      </c>
      <c r="C3509" s="20" t="s">
        <v>8</v>
      </c>
      <c r="D3509" s="20" t="s">
        <v>10</v>
      </c>
      <c r="E3509" s="20" t="s">
        <v>17</v>
      </c>
      <c r="F3509" s="20" t="str">
        <f>INDEX(nrg_cb_e!$A$3:$A$40,MATCH(LEFT(MID('Industriesektor GWh'!$B3509,41,1000),SEARCH(" - ",MID('Industriesektor GWh'!$B3509,41,1000))-1),nrg_cb_e!$C$3:$C$40,0))</f>
        <v>FC_IND_MAC_E</v>
      </c>
      <c r="G3509" s="21">
        <v>3992</v>
      </c>
    </row>
    <row r="3510" spans="1:7" x14ac:dyDescent="0.2">
      <c r="A3510" s="16" t="s">
        <v>49</v>
      </c>
      <c r="B3510" s="17" t="s">
        <v>67</v>
      </c>
      <c r="C3510" s="17" t="s">
        <v>8</v>
      </c>
      <c r="D3510" s="17" t="s">
        <v>10</v>
      </c>
      <c r="E3510" s="17" t="s">
        <v>18</v>
      </c>
      <c r="F3510" s="17" t="str">
        <f>INDEX(nrg_cb_e!$A$3:$A$40,MATCH(LEFT(MID('Industriesektor GWh'!$B3510,41,1000),SEARCH(" - ",MID('Industriesektor GWh'!$B3510,41,1000))-1),nrg_cb_e!$C$3:$C$40,0))</f>
        <v>FC_IND_MAC_E</v>
      </c>
      <c r="G3510" s="18">
        <v>3847</v>
      </c>
    </row>
    <row r="3511" spans="1:7" x14ac:dyDescent="0.2">
      <c r="A3511" s="19" t="s">
        <v>49</v>
      </c>
      <c r="B3511" s="20" t="s">
        <v>67</v>
      </c>
      <c r="C3511" s="20" t="s">
        <v>8</v>
      </c>
      <c r="D3511" s="20" t="s">
        <v>10</v>
      </c>
      <c r="E3511" s="20" t="s">
        <v>19</v>
      </c>
      <c r="F3511" s="20" t="str">
        <f>INDEX(nrg_cb_e!$A$3:$A$40,MATCH(LEFT(MID('Industriesektor GWh'!$B3511,41,1000),SEARCH(" - ",MID('Industriesektor GWh'!$B3511,41,1000))-1),nrg_cb_e!$C$3:$C$40,0))</f>
        <v>FC_IND_MAC_E</v>
      </c>
      <c r="G3511" s="21">
        <v>3255</v>
      </c>
    </row>
    <row r="3512" spans="1:7" x14ac:dyDescent="0.2">
      <c r="A3512" s="16" t="s">
        <v>49</v>
      </c>
      <c r="B3512" s="17" t="s">
        <v>67</v>
      </c>
      <c r="C3512" s="17" t="s">
        <v>8</v>
      </c>
      <c r="D3512" s="17" t="s">
        <v>10</v>
      </c>
      <c r="E3512" s="17" t="s">
        <v>20</v>
      </c>
      <c r="F3512" s="17" t="str">
        <f>INDEX(nrg_cb_e!$A$3:$A$40,MATCH(LEFT(MID('Industriesektor GWh'!$B3512,41,1000),SEARCH(" - ",MID('Industriesektor GWh'!$B3512,41,1000))-1),nrg_cb_e!$C$3:$C$40,0))</f>
        <v>FC_IND_MAC_E</v>
      </c>
      <c r="G3512" s="18">
        <v>3630</v>
      </c>
    </row>
    <row r="3513" spans="1:7" x14ac:dyDescent="0.2">
      <c r="A3513" s="19" t="s">
        <v>49</v>
      </c>
      <c r="B3513" s="20" t="s">
        <v>67</v>
      </c>
      <c r="C3513" s="20" t="s">
        <v>8</v>
      </c>
      <c r="D3513" s="20" t="s">
        <v>10</v>
      </c>
      <c r="E3513" s="20" t="s">
        <v>21</v>
      </c>
      <c r="F3513" s="20" t="str">
        <f>INDEX(nrg_cb_e!$A$3:$A$40,MATCH(LEFT(MID('Industriesektor GWh'!$B3513,41,1000),SEARCH(" - ",MID('Industriesektor GWh'!$B3513,41,1000))-1),nrg_cb_e!$C$3:$C$40,0))</f>
        <v>FC_IND_MAC_E</v>
      </c>
      <c r="G3513" s="21">
        <v>3974</v>
      </c>
    </row>
    <row r="3514" spans="1:7" x14ac:dyDescent="0.2">
      <c r="A3514" s="16" t="s">
        <v>49</v>
      </c>
      <c r="B3514" s="17" t="s">
        <v>67</v>
      </c>
      <c r="C3514" s="17" t="s">
        <v>8</v>
      </c>
      <c r="D3514" s="17" t="s">
        <v>10</v>
      </c>
      <c r="E3514" s="17" t="s">
        <v>22</v>
      </c>
      <c r="F3514" s="17" t="str">
        <f>INDEX(nrg_cb_e!$A$3:$A$40,MATCH(LEFT(MID('Industriesektor GWh'!$B3514,41,1000),SEARCH(" - ",MID('Industriesektor GWh'!$B3514,41,1000))-1),nrg_cb_e!$C$3:$C$40,0))</f>
        <v>FC_IND_MAC_E</v>
      </c>
      <c r="G3514" s="18">
        <v>3918</v>
      </c>
    </row>
    <row r="3515" spans="1:7" x14ac:dyDescent="0.2">
      <c r="A3515" s="19" t="s">
        <v>49</v>
      </c>
      <c r="B3515" s="20" t="s">
        <v>67</v>
      </c>
      <c r="C3515" s="20" t="s">
        <v>8</v>
      </c>
      <c r="D3515" s="20" t="s">
        <v>10</v>
      </c>
      <c r="E3515" s="20" t="s">
        <v>23</v>
      </c>
      <c r="F3515" s="20" t="str">
        <f>INDEX(nrg_cb_e!$A$3:$A$40,MATCH(LEFT(MID('Industriesektor GWh'!$B3515,41,1000),SEARCH(" - ",MID('Industriesektor GWh'!$B3515,41,1000))-1),nrg_cb_e!$C$3:$C$40,0))</f>
        <v>FC_IND_MAC_E</v>
      </c>
      <c r="G3515" s="21">
        <v>4251</v>
      </c>
    </row>
    <row r="3516" spans="1:7" x14ac:dyDescent="0.2">
      <c r="A3516" s="16" t="s">
        <v>49</v>
      </c>
      <c r="B3516" s="17" t="s">
        <v>67</v>
      </c>
      <c r="C3516" s="17" t="s">
        <v>8</v>
      </c>
      <c r="D3516" s="17" t="s">
        <v>10</v>
      </c>
      <c r="E3516" s="17" t="s">
        <v>24</v>
      </c>
      <c r="F3516" s="17" t="str">
        <f>INDEX(nrg_cb_e!$A$3:$A$40,MATCH(LEFT(MID('Industriesektor GWh'!$B3516,41,1000),SEARCH(" - ",MID('Industriesektor GWh'!$B3516,41,1000))-1),nrg_cb_e!$C$3:$C$40,0))</f>
        <v>FC_IND_MAC_E</v>
      </c>
      <c r="G3516" s="18">
        <v>4397</v>
      </c>
    </row>
    <row r="3517" spans="1:7" x14ac:dyDescent="0.2">
      <c r="A3517" s="19" t="s">
        <v>49</v>
      </c>
      <c r="B3517" s="20" t="s">
        <v>67</v>
      </c>
      <c r="C3517" s="20" t="s">
        <v>8</v>
      </c>
      <c r="D3517" s="20" t="s">
        <v>10</v>
      </c>
      <c r="E3517" s="20" t="s">
        <v>25</v>
      </c>
      <c r="F3517" s="20" t="str">
        <f>INDEX(nrg_cb_e!$A$3:$A$40,MATCH(LEFT(MID('Industriesektor GWh'!$B3517,41,1000),SEARCH(" - ",MID('Industriesektor GWh'!$B3517,41,1000))-1),nrg_cb_e!$C$3:$C$40,0))</f>
        <v>FC_IND_MAC_E</v>
      </c>
      <c r="G3517" s="21">
        <v>4543</v>
      </c>
    </row>
    <row r="3518" spans="1:7" x14ac:dyDescent="0.2">
      <c r="A3518" s="16" t="s">
        <v>49</v>
      </c>
      <c r="B3518" s="17" t="s">
        <v>67</v>
      </c>
      <c r="C3518" s="17" t="s">
        <v>8</v>
      </c>
      <c r="D3518" s="17" t="s">
        <v>10</v>
      </c>
      <c r="E3518" s="17" t="s">
        <v>26</v>
      </c>
      <c r="F3518" s="17" t="str">
        <f>INDEX(nrg_cb_e!$A$3:$A$40,MATCH(LEFT(MID('Industriesektor GWh'!$B3518,41,1000),SEARCH(" - ",MID('Industriesektor GWh'!$B3518,41,1000))-1),nrg_cb_e!$C$3:$C$40,0))</f>
        <v>FC_IND_MAC_E</v>
      </c>
      <c r="G3518" s="18">
        <v>4581</v>
      </c>
    </row>
    <row r="3519" spans="1:7" x14ac:dyDescent="0.2">
      <c r="A3519" s="19" t="s">
        <v>49</v>
      </c>
      <c r="B3519" s="20" t="s">
        <v>67</v>
      </c>
      <c r="C3519" s="20" t="s">
        <v>8</v>
      </c>
      <c r="D3519" s="20" t="s">
        <v>10</v>
      </c>
      <c r="E3519" s="20" t="s">
        <v>27</v>
      </c>
      <c r="F3519" s="20" t="str">
        <f>INDEX(nrg_cb_e!$A$3:$A$40,MATCH(LEFT(MID('Industriesektor GWh'!$B3519,41,1000),SEARCH(" - ",MID('Industriesektor GWh'!$B3519,41,1000))-1),nrg_cb_e!$C$3:$C$40,0))</f>
        <v>FC_IND_MAC_E</v>
      </c>
      <c r="G3519" s="21">
        <v>4804.0309999999999</v>
      </c>
    </row>
    <row r="3520" spans="1:7" x14ac:dyDescent="0.2">
      <c r="A3520" s="16" t="s">
        <v>49</v>
      </c>
      <c r="B3520" s="17" t="s">
        <v>67</v>
      </c>
      <c r="C3520" s="17" t="s">
        <v>8</v>
      </c>
      <c r="D3520" s="17" t="s">
        <v>10</v>
      </c>
      <c r="E3520" s="17" t="s">
        <v>28</v>
      </c>
      <c r="F3520" s="17" t="str">
        <f>INDEX(nrg_cb_e!$A$3:$A$40,MATCH(LEFT(MID('Industriesektor GWh'!$B3520,41,1000),SEARCH(" - ",MID('Industriesektor GWh'!$B3520,41,1000))-1),nrg_cb_e!$C$3:$C$40,0))</f>
        <v>FC_IND_MAC_E</v>
      </c>
      <c r="G3520" s="18">
        <v>5125.9539999999997</v>
      </c>
    </row>
    <row r="3521" spans="1:7" x14ac:dyDescent="0.2">
      <c r="A3521" s="19" t="s">
        <v>50</v>
      </c>
      <c r="B3521" s="20" t="s">
        <v>67</v>
      </c>
      <c r="C3521" s="20" t="s">
        <v>8</v>
      </c>
      <c r="D3521" s="20" t="s">
        <v>10</v>
      </c>
      <c r="E3521" s="20" t="s">
        <v>12</v>
      </c>
      <c r="F3521" s="20" t="str">
        <f>INDEX(nrg_cb_e!$A$3:$A$40,MATCH(LEFT(MID('Industriesektor GWh'!$B3521,41,1000),SEARCH(" - ",MID('Industriesektor GWh'!$B3521,41,1000))-1),nrg_cb_e!$C$3:$C$40,0))</f>
        <v>FC_IND_MAC_E</v>
      </c>
      <c r="G3521" s="21">
        <v>1071</v>
      </c>
    </row>
    <row r="3522" spans="1:7" x14ac:dyDescent="0.2">
      <c r="A3522" s="16" t="s">
        <v>50</v>
      </c>
      <c r="B3522" s="17" t="s">
        <v>67</v>
      </c>
      <c r="C3522" s="17" t="s">
        <v>8</v>
      </c>
      <c r="D3522" s="17" t="s">
        <v>10</v>
      </c>
      <c r="E3522" s="17" t="s">
        <v>13</v>
      </c>
      <c r="F3522" s="17" t="str">
        <f>INDEX(nrg_cb_e!$A$3:$A$40,MATCH(LEFT(MID('Industriesektor GWh'!$B3522,41,1000),SEARCH(" - ",MID('Industriesektor GWh'!$B3522,41,1000))-1),nrg_cb_e!$C$3:$C$40,0))</f>
        <v>FC_IND_MAC_E</v>
      </c>
      <c r="G3522" s="18">
        <v>1132</v>
      </c>
    </row>
    <row r="3523" spans="1:7" x14ac:dyDescent="0.2">
      <c r="A3523" s="19" t="s">
        <v>50</v>
      </c>
      <c r="B3523" s="20" t="s">
        <v>67</v>
      </c>
      <c r="C3523" s="20" t="s">
        <v>8</v>
      </c>
      <c r="D3523" s="20" t="s">
        <v>10</v>
      </c>
      <c r="E3523" s="20" t="s">
        <v>14</v>
      </c>
      <c r="F3523" s="20" t="str">
        <f>INDEX(nrg_cb_e!$A$3:$A$40,MATCH(LEFT(MID('Industriesektor GWh'!$B3523,41,1000),SEARCH(" - ",MID('Industriesektor GWh'!$B3523,41,1000))-1),nrg_cb_e!$C$3:$C$40,0))</f>
        <v>FC_IND_MAC_E</v>
      </c>
      <c r="G3523" s="21">
        <v>1185</v>
      </c>
    </row>
    <row r="3524" spans="1:7" x14ac:dyDescent="0.2">
      <c r="A3524" s="16" t="s">
        <v>50</v>
      </c>
      <c r="B3524" s="17" t="s">
        <v>67</v>
      </c>
      <c r="C3524" s="17" t="s">
        <v>8</v>
      </c>
      <c r="D3524" s="17" t="s">
        <v>10</v>
      </c>
      <c r="E3524" s="17" t="s">
        <v>15</v>
      </c>
      <c r="F3524" s="17" t="str">
        <f>INDEX(nrg_cb_e!$A$3:$A$40,MATCH(LEFT(MID('Industriesektor GWh'!$B3524,41,1000),SEARCH(" - ",MID('Industriesektor GWh'!$B3524,41,1000))-1),nrg_cb_e!$C$3:$C$40,0))</f>
        <v>FC_IND_MAC_E</v>
      </c>
      <c r="G3524" s="18">
        <v>1196</v>
      </c>
    </row>
    <row r="3525" spans="1:7" x14ac:dyDescent="0.2">
      <c r="A3525" s="19" t="s">
        <v>50</v>
      </c>
      <c r="B3525" s="20" t="s">
        <v>67</v>
      </c>
      <c r="C3525" s="20" t="s">
        <v>8</v>
      </c>
      <c r="D3525" s="20" t="s">
        <v>10</v>
      </c>
      <c r="E3525" s="20" t="s">
        <v>16</v>
      </c>
      <c r="F3525" s="20" t="str">
        <f>INDEX(nrg_cb_e!$A$3:$A$40,MATCH(LEFT(MID('Industriesektor GWh'!$B3525,41,1000),SEARCH(" - ",MID('Industriesektor GWh'!$B3525,41,1000))-1),nrg_cb_e!$C$3:$C$40,0))</f>
        <v>FC_IND_MAC_E</v>
      </c>
      <c r="G3525" s="21">
        <v>1250</v>
      </c>
    </row>
    <row r="3526" spans="1:7" x14ac:dyDescent="0.2">
      <c r="A3526" s="16" t="s">
        <v>50</v>
      </c>
      <c r="B3526" s="17" t="s">
        <v>67</v>
      </c>
      <c r="C3526" s="17" t="s">
        <v>8</v>
      </c>
      <c r="D3526" s="17" t="s">
        <v>10</v>
      </c>
      <c r="E3526" s="17" t="s">
        <v>17</v>
      </c>
      <c r="F3526" s="17" t="str">
        <f>INDEX(nrg_cb_e!$A$3:$A$40,MATCH(LEFT(MID('Industriesektor GWh'!$B3526,41,1000),SEARCH(" - ",MID('Industriesektor GWh'!$B3526,41,1000))-1),nrg_cb_e!$C$3:$C$40,0))</f>
        <v>FC_IND_MAC_E</v>
      </c>
      <c r="G3526" s="18">
        <v>1272</v>
      </c>
    </row>
    <row r="3527" spans="1:7" x14ac:dyDescent="0.2">
      <c r="A3527" s="19" t="s">
        <v>50</v>
      </c>
      <c r="B3527" s="20" t="s">
        <v>67</v>
      </c>
      <c r="C3527" s="20" t="s">
        <v>8</v>
      </c>
      <c r="D3527" s="20" t="s">
        <v>10</v>
      </c>
      <c r="E3527" s="20" t="s">
        <v>18</v>
      </c>
      <c r="F3527" s="20" t="str">
        <f>INDEX(nrg_cb_e!$A$3:$A$40,MATCH(LEFT(MID('Industriesektor GWh'!$B3527,41,1000),SEARCH(" - ",MID('Industriesektor GWh'!$B3527,41,1000))-1),nrg_cb_e!$C$3:$C$40,0))</f>
        <v>FC_IND_MAC_E</v>
      </c>
      <c r="G3527" s="21">
        <v>1272</v>
      </c>
    </row>
    <row r="3528" spans="1:7" x14ac:dyDescent="0.2">
      <c r="A3528" s="16" t="s">
        <v>50</v>
      </c>
      <c r="B3528" s="17" t="s">
        <v>67</v>
      </c>
      <c r="C3528" s="17" t="s">
        <v>8</v>
      </c>
      <c r="D3528" s="17" t="s">
        <v>10</v>
      </c>
      <c r="E3528" s="17" t="s">
        <v>19</v>
      </c>
      <c r="F3528" s="17" t="str">
        <f>INDEX(nrg_cb_e!$A$3:$A$40,MATCH(LEFT(MID('Industriesektor GWh'!$B3528,41,1000),SEARCH(" - ",MID('Industriesektor GWh'!$B3528,41,1000))-1),nrg_cb_e!$C$3:$C$40,0))</f>
        <v>FC_IND_MAC_E</v>
      </c>
      <c r="G3528" s="18">
        <v>1240</v>
      </c>
    </row>
    <row r="3529" spans="1:7" x14ac:dyDescent="0.2">
      <c r="A3529" s="19" t="s">
        <v>50</v>
      </c>
      <c r="B3529" s="20" t="s">
        <v>67</v>
      </c>
      <c r="C3529" s="20" t="s">
        <v>8</v>
      </c>
      <c r="D3529" s="20" t="s">
        <v>10</v>
      </c>
      <c r="E3529" s="20" t="s">
        <v>20</v>
      </c>
      <c r="F3529" s="20" t="str">
        <f>INDEX(nrg_cb_e!$A$3:$A$40,MATCH(LEFT(MID('Industriesektor GWh'!$B3529,41,1000),SEARCH(" - ",MID('Industriesektor GWh'!$B3529,41,1000))-1),nrg_cb_e!$C$3:$C$40,0))</f>
        <v>FC_IND_MAC_E</v>
      </c>
      <c r="G3529" s="21">
        <v>1346</v>
      </c>
    </row>
    <row r="3530" spans="1:7" x14ac:dyDescent="0.2">
      <c r="A3530" s="16" t="s">
        <v>50</v>
      </c>
      <c r="B3530" s="17" t="s">
        <v>67</v>
      </c>
      <c r="C3530" s="17" t="s">
        <v>8</v>
      </c>
      <c r="D3530" s="17" t="s">
        <v>10</v>
      </c>
      <c r="E3530" s="17" t="s">
        <v>21</v>
      </c>
      <c r="F3530" s="17" t="str">
        <f>INDEX(nrg_cb_e!$A$3:$A$40,MATCH(LEFT(MID('Industriesektor GWh'!$B3530,41,1000),SEARCH(" - ",MID('Industriesektor GWh'!$B3530,41,1000))-1),nrg_cb_e!$C$3:$C$40,0))</f>
        <v>FC_IND_MAC_E</v>
      </c>
      <c r="G3530" s="18">
        <v>1316</v>
      </c>
    </row>
    <row r="3531" spans="1:7" x14ac:dyDescent="0.2">
      <c r="A3531" s="19" t="s">
        <v>50</v>
      </c>
      <c r="B3531" s="20" t="s">
        <v>67</v>
      </c>
      <c r="C3531" s="20" t="s">
        <v>8</v>
      </c>
      <c r="D3531" s="20" t="s">
        <v>10</v>
      </c>
      <c r="E3531" s="20" t="s">
        <v>22</v>
      </c>
      <c r="F3531" s="20" t="str">
        <f>INDEX(nrg_cb_e!$A$3:$A$40,MATCH(LEFT(MID('Industriesektor GWh'!$B3531,41,1000),SEARCH(" - ",MID('Industriesektor GWh'!$B3531,41,1000))-1),nrg_cb_e!$C$3:$C$40,0))</f>
        <v>FC_IND_MAC_E</v>
      </c>
      <c r="G3531" s="21">
        <v>1274</v>
      </c>
    </row>
    <row r="3532" spans="1:7" x14ac:dyDescent="0.2">
      <c r="A3532" s="16" t="s">
        <v>50</v>
      </c>
      <c r="B3532" s="17" t="s">
        <v>67</v>
      </c>
      <c r="C3532" s="17" t="s">
        <v>8</v>
      </c>
      <c r="D3532" s="17" t="s">
        <v>10</v>
      </c>
      <c r="E3532" s="17" t="s">
        <v>23</v>
      </c>
      <c r="F3532" s="17" t="str">
        <f>INDEX(nrg_cb_e!$A$3:$A$40,MATCH(LEFT(MID('Industriesektor GWh'!$B3532,41,1000),SEARCH(" - ",MID('Industriesektor GWh'!$B3532,41,1000))-1),nrg_cb_e!$C$3:$C$40,0))</f>
        <v>FC_IND_MAC_E</v>
      </c>
      <c r="G3532" s="18">
        <v>1272</v>
      </c>
    </row>
    <row r="3533" spans="1:7" x14ac:dyDescent="0.2">
      <c r="A3533" s="19" t="s">
        <v>50</v>
      </c>
      <c r="B3533" s="20" t="s">
        <v>67</v>
      </c>
      <c r="C3533" s="20" t="s">
        <v>8</v>
      </c>
      <c r="D3533" s="20" t="s">
        <v>10</v>
      </c>
      <c r="E3533" s="20" t="s">
        <v>24</v>
      </c>
      <c r="F3533" s="20" t="str">
        <f>INDEX(nrg_cb_e!$A$3:$A$40,MATCH(LEFT(MID('Industriesektor GWh'!$B3533,41,1000),SEARCH(" - ",MID('Industriesektor GWh'!$B3533,41,1000))-1),nrg_cb_e!$C$3:$C$40,0))</f>
        <v>FC_IND_MAC_E</v>
      </c>
      <c r="G3533" s="21">
        <v>1307</v>
      </c>
    </row>
    <row r="3534" spans="1:7" x14ac:dyDescent="0.2">
      <c r="A3534" s="16" t="s">
        <v>50</v>
      </c>
      <c r="B3534" s="17" t="s">
        <v>67</v>
      </c>
      <c r="C3534" s="17" t="s">
        <v>8</v>
      </c>
      <c r="D3534" s="17" t="s">
        <v>10</v>
      </c>
      <c r="E3534" s="17" t="s">
        <v>25</v>
      </c>
      <c r="F3534" s="17" t="str">
        <f>INDEX(nrg_cb_e!$A$3:$A$40,MATCH(LEFT(MID('Industriesektor GWh'!$B3534,41,1000),SEARCH(" - ",MID('Industriesektor GWh'!$B3534,41,1000))-1),nrg_cb_e!$C$3:$C$40,0))</f>
        <v>FC_IND_MAC_E</v>
      </c>
      <c r="G3534" s="18">
        <v>1330</v>
      </c>
    </row>
    <row r="3535" spans="1:7" x14ac:dyDescent="0.2">
      <c r="A3535" s="19" t="s">
        <v>50</v>
      </c>
      <c r="B3535" s="20" t="s">
        <v>67</v>
      </c>
      <c r="C3535" s="20" t="s">
        <v>8</v>
      </c>
      <c r="D3535" s="20" t="s">
        <v>10</v>
      </c>
      <c r="E3535" s="20" t="s">
        <v>26</v>
      </c>
      <c r="F3535" s="20" t="str">
        <f>INDEX(nrg_cb_e!$A$3:$A$40,MATCH(LEFT(MID('Industriesektor GWh'!$B3535,41,1000),SEARCH(" - ",MID('Industriesektor GWh'!$B3535,41,1000))-1),nrg_cb_e!$C$3:$C$40,0))</f>
        <v>FC_IND_MAC_E</v>
      </c>
      <c r="G3535" s="21">
        <v>1076.6220000000001</v>
      </c>
    </row>
    <row r="3536" spans="1:7" x14ac:dyDescent="0.2">
      <c r="A3536" s="16" t="s">
        <v>50</v>
      </c>
      <c r="B3536" s="17" t="s">
        <v>67</v>
      </c>
      <c r="C3536" s="17" t="s">
        <v>8</v>
      </c>
      <c r="D3536" s="17" t="s">
        <v>10</v>
      </c>
      <c r="E3536" s="17" t="s">
        <v>27</v>
      </c>
      <c r="F3536" s="17" t="str">
        <f>INDEX(nrg_cb_e!$A$3:$A$40,MATCH(LEFT(MID('Industriesektor GWh'!$B3536,41,1000),SEARCH(" - ",MID('Industriesektor GWh'!$B3536,41,1000))-1),nrg_cb_e!$C$3:$C$40,0))</f>
        <v>FC_IND_MAC_E</v>
      </c>
      <c r="G3536" s="18">
        <v>1085.038</v>
      </c>
    </row>
    <row r="3537" spans="1:7" x14ac:dyDescent="0.2">
      <c r="A3537" s="19" t="s">
        <v>50</v>
      </c>
      <c r="B3537" s="20" t="s">
        <v>67</v>
      </c>
      <c r="C3537" s="20" t="s">
        <v>8</v>
      </c>
      <c r="D3537" s="20" t="s">
        <v>10</v>
      </c>
      <c r="E3537" s="20" t="s">
        <v>28</v>
      </c>
      <c r="F3537" s="20" t="str">
        <f>INDEX(nrg_cb_e!$A$3:$A$40,MATCH(LEFT(MID('Industriesektor GWh'!$B3537,41,1000),SEARCH(" - ",MID('Industriesektor GWh'!$B3537,41,1000))-1),nrg_cb_e!$C$3:$C$40,0))</f>
        <v>FC_IND_MAC_E</v>
      </c>
      <c r="G3537" s="21">
        <v>1162.7070000000001</v>
      </c>
    </row>
    <row r="3538" spans="1:7" x14ac:dyDescent="0.2">
      <c r="A3538" s="16" t="s">
        <v>51</v>
      </c>
      <c r="B3538" s="17" t="s">
        <v>67</v>
      </c>
      <c r="C3538" s="17" t="s">
        <v>8</v>
      </c>
      <c r="D3538" s="17" t="s">
        <v>10</v>
      </c>
      <c r="E3538" s="17" t="s">
        <v>12</v>
      </c>
      <c r="F3538" s="17" t="str">
        <f>INDEX(nrg_cb_e!$A$3:$A$40,MATCH(LEFT(MID('Industriesektor GWh'!$B3538,41,1000),SEARCH(" - ",MID('Industriesektor GWh'!$B3538,41,1000))-1),nrg_cb_e!$C$3:$C$40,0))</f>
        <v>FC_IND_MAC_E</v>
      </c>
      <c r="G3538" s="18">
        <v>2681</v>
      </c>
    </row>
    <row r="3539" spans="1:7" x14ac:dyDescent="0.2">
      <c r="A3539" s="19" t="s">
        <v>51</v>
      </c>
      <c r="B3539" s="20" t="s">
        <v>67</v>
      </c>
      <c r="C3539" s="20" t="s">
        <v>8</v>
      </c>
      <c r="D3539" s="20" t="s">
        <v>10</v>
      </c>
      <c r="E3539" s="20" t="s">
        <v>13</v>
      </c>
      <c r="F3539" s="20" t="str">
        <f>INDEX(nrg_cb_e!$A$3:$A$40,MATCH(LEFT(MID('Industriesektor GWh'!$B3539,41,1000),SEARCH(" - ",MID('Industriesektor GWh'!$B3539,41,1000))-1),nrg_cb_e!$C$3:$C$40,0))</f>
        <v>FC_IND_MAC_E</v>
      </c>
      <c r="G3539" s="21">
        <v>2428</v>
      </c>
    </row>
    <row r="3540" spans="1:7" x14ac:dyDescent="0.2">
      <c r="A3540" s="16" t="s">
        <v>51</v>
      </c>
      <c r="B3540" s="17" t="s">
        <v>67</v>
      </c>
      <c r="C3540" s="17" t="s">
        <v>8</v>
      </c>
      <c r="D3540" s="17" t="s">
        <v>10</v>
      </c>
      <c r="E3540" s="17" t="s">
        <v>14</v>
      </c>
      <c r="F3540" s="17" t="str">
        <f>INDEX(nrg_cb_e!$A$3:$A$40,MATCH(LEFT(MID('Industriesektor GWh'!$B3540,41,1000),SEARCH(" - ",MID('Industriesektor GWh'!$B3540,41,1000))-1),nrg_cb_e!$C$3:$C$40,0))</f>
        <v>FC_IND_MAC_E</v>
      </c>
      <c r="G3540" s="18">
        <v>2101</v>
      </c>
    </row>
    <row r="3541" spans="1:7" x14ac:dyDescent="0.2">
      <c r="A3541" s="19" t="s">
        <v>51</v>
      </c>
      <c r="B3541" s="20" t="s">
        <v>67</v>
      </c>
      <c r="C3541" s="20" t="s">
        <v>8</v>
      </c>
      <c r="D3541" s="20" t="s">
        <v>10</v>
      </c>
      <c r="E3541" s="20" t="s">
        <v>15</v>
      </c>
      <c r="F3541" s="20" t="str">
        <f>INDEX(nrg_cb_e!$A$3:$A$40,MATCH(LEFT(MID('Industriesektor GWh'!$B3541,41,1000),SEARCH(" - ",MID('Industriesektor GWh'!$B3541,41,1000))-1),nrg_cb_e!$C$3:$C$40,0))</f>
        <v>FC_IND_MAC_E</v>
      </c>
      <c r="G3541" s="21">
        <v>1859</v>
      </c>
    </row>
    <row r="3542" spans="1:7" x14ac:dyDescent="0.2">
      <c r="A3542" s="16" t="s">
        <v>51</v>
      </c>
      <c r="B3542" s="17" t="s">
        <v>67</v>
      </c>
      <c r="C3542" s="17" t="s">
        <v>8</v>
      </c>
      <c r="D3542" s="17" t="s">
        <v>10</v>
      </c>
      <c r="E3542" s="17" t="s">
        <v>16</v>
      </c>
      <c r="F3542" s="17" t="str">
        <f>INDEX(nrg_cb_e!$A$3:$A$40,MATCH(LEFT(MID('Industriesektor GWh'!$B3542,41,1000),SEARCH(" - ",MID('Industriesektor GWh'!$B3542,41,1000))-1),nrg_cb_e!$C$3:$C$40,0))</f>
        <v>FC_IND_MAC_E</v>
      </c>
      <c r="G3542" s="18">
        <v>1691</v>
      </c>
    </row>
    <row r="3543" spans="1:7" x14ac:dyDescent="0.2">
      <c r="A3543" s="19" t="s">
        <v>51</v>
      </c>
      <c r="B3543" s="20" t="s">
        <v>67</v>
      </c>
      <c r="C3543" s="20" t="s">
        <v>8</v>
      </c>
      <c r="D3543" s="20" t="s">
        <v>10</v>
      </c>
      <c r="E3543" s="20" t="s">
        <v>17</v>
      </c>
      <c r="F3543" s="20" t="str">
        <f>INDEX(nrg_cb_e!$A$3:$A$40,MATCH(LEFT(MID('Industriesektor GWh'!$B3543,41,1000),SEARCH(" - ",MID('Industriesektor GWh'!$B3543,41,1000))-1),nrg_cb_e!$C$3:$C$40,0))</f>
        <v>FC_IND_MAC_E</v>
      </c>
      <c r="G3543" s="21">
        <v>1789</v>
      </c>
    </row>
    <row r="3544" spans="1:7" x14ac:dyDescent="0.2">
      <c r="A3544" s="16" t="s">
        <v>51</v>
      </c>
      <c r="B3544" s="17" t="s">
        <v>67</v>
      </c>
      <c r="C3544" s="17" t="s">
        <v>8</v>
      </c>
      <c r="D3544" s="17" t="s">
        <v>10</v>
      </c>
      <c r="E3544" s="17" t="s">
        <v>18</v>
      </c>
      <c r="F3544" s="17" t="str">
        <f>INDEX(nrg_cb_e!$A$3:$A$40,MATCH(LEFT(MID('Industriesektor GWh'!$B3544,41,1000),SEARCH(" - ",MID('Industriesektor GWh'!$B3544,41,1000))-1),nrg_cb_e!$C$3:$C$40,0))</f>
        <v>FC_IND_MAC_E</v>
      </c>
      <c r="G3544" s="18">
        <v>2108</v>
      </c>
    </row>
    <row r="3545" spans="1:7" x14ac:dyDescent="0.2">
      <c r="A3545" s="19" t="s">
        <v>51</v>
      </c>
      <c r="B3545" s="20" t="s">
        <v>67</v>
      </c>
      <c r="C3545" s="20" t="s">
        <v>8</v>
      </c>
      <c r="D3545" s="20" t="s">
        <v>10</v>
      </c>
      <c r="E3545" s="20" t="s">
        <v>19</v>
      </c>
      <c r="F3545" s="20" t="str">
        <f>INDEX(nrg_cb_e!$A$3:$A$40,MATCH(LEFT(MID('Industriesektor GWh'!$B3545,41,1000),SEARCH(" - ",MID('Industriesektor GWh'!$B3545,41,1000))-1),nrg_cb_e!$C$3:$C$40,0))</f>
        <v>FC_IND_MAC_E</v>
      </c>
      <c r="G3545" s="21">
        <v>1623</v>
      </c>
    </row>
    <row r="3546" spans="1:7" x14ac:dyDescent="0.2">
      <c r="A3546" s="16" t="s">
        <v>51</v>
      </c>
      <c r="B3546" s="17" t="s">
        <v>67</v>
      </c>
      <c r="C3546" s="17" t="s">
        <v>8</v>
      </c>
      <c r="D3546" s="17" t="s">
        <v>10</v>
      </c>
      <c r="E3546" s="17" t="s">
        <v>20</v>
      </c>
      <c r="F3546" s="17" t="str">
        <f>INDEX(nrg_cb_e!$A$3:$A$40,MATCH(LEFT(MID('Industriesektor GWh'!$B3546,41,1000),SEARCH(" - ",MID('Industriesektor GWh'!$B3546,41,1000))-1),nrg_cb_e!$C$3:$C$40,0))</f>
        <v>FC_IND_MAC_E</v>
      </c>
      <c r="G3546" s="18">
        <v>2265</v>
      </c>
    </row>
    <row r="3547" spans="1:7" x14ac:dyDescent="0.2">
      <c r="A3547" s="19" t="s">
        <v>51</v>
      </c>
      <c r="B3547" s="20" t="s">
        <v>67</v>
      </c>
      <c r="C3547" s="20" t="s">
        <v>8</v>
      </c>
      <c r="D3547" s="20" t="s">
        <v>10</v>
      </c>
      <c r="E3547" s="20" t="s">
        <v>21</v>
      </c>
      <c r="F3547" s="20" t="str">
        <f>INDEX(nrg_cb_e!$A$3:$A$40,MATCH(LEFT(MID('Industriesektor GWh'!$B3547,41,1000),SEARCH(" - ",MID('Industriesektor GWh'!$B3547,41,1000))-1),nrg_cb_e!$C$3:$C$40,0))</f>
        <v>FC_IND_MAC_E</v>
      </c>
      <c r="G3547" s="21">
        <v>1823</v>
      </c>
    </row>
    <row r="3548" spans="1:7" x14ac:dyDescent="0.2">
      <c r="A3548" s="16" t="s">
        <v>51</v>
      </c>
      <c r="B3548" s="17" t="s">
        <v>67</v>
      </c>
      <c r="C3548" s="17" t="s">
        <v>8</v>
      </c>
      <c r="D3548" s="17" t="s">
        <v>10</v>
      </c>
      <c r="E3548" s="17" t="s">
        <v>22</v>
      </c>
      <c r="F3548" s="17" t="str">
        <f>INDEX(nrg_cb_e!$A$3:$A$40,MATCH(LEFT(MID('Industriesektor GWh'!$B3548,41,1000),SEARCH(" - ",MID('Industriesektor GWh'!$B3548,41,1000))-1),nrg_cb_e!$C$3:$C$40,0))</f>
        <v>FC_IND_MAC_E</v>
      </c>
      <c r="G3548" s="18">
        <v>1937</v>
      </c>
    </row>
    <row r="3549" spans="1:7" x14ac:dyDescent="0.2">
      <c r="A3549" s="19" t="s">
        <v>51</v>
      </c>
      <c r="B3549" s="20" t="s">
        <v>67</v>
      </c>
      <c r="C3549" s="20" t="s">
        <v>8</v>
      </c>
      <c r="D3549" s="20" t="s">
        <v>10</v>
      </c>
      <c r="E3549" s="20" t="s">
        <v>23</v>
      </c>
      <c r="F3549" s="20" t="str">
        <f>INDEX(nrg_cb_e!$A$3:$A$40,MATCH(LEFT(MID('Industriesektor GWh'!$B3549,41,1000),SEARCH(" - ",MID('Industriesektor GWh'!$B3549,41,1000))-1),nrg_cb_e!$C$3:$C$40,0))</f>
        <v>FC_IND_MAC_E</v>
      </c>
      <c r="G3549" s="21">
        <v>1835</v>
      </c>
    </row>
    <row r="3550" spans="1:7" x14ac:dyDescent="0.2">
      <c r="A3550" s="16" t="s">
        <v>51</v>
      </c>
      <c r="B3550" s="17" t="s">
        <v>67</v>
      </c>
      <c r="C3550" s="17" t="s">
        <v>8</v>
      </c>
      <c r="D3550" s="17" t="s">
        <v>10</v>
      </c>
      <c r="E3550" s="17" t="s">
        <v>24</v>
      </c>
      <c r="F3550" s="17" t="str">
        <f>INDEX(nrg_cb_e!$A$3:$A$40,MATCH(LEFT(MID('Industriesektor GWh'!$B3550,41,1000),SEARCH(" - ",MID('Industriesektor GWh'!$B3550,41,1000))-1),nrg_cb_e!$C$3:$C$40,0))</f>
        <v>FC_IND_MAC_E</v>
      </c>
      <c r="G3550" s="18">
        <v>2024</v>
      </c>
    </row>
    <row r="3551" spans="1:7" x14ac:dyDescent="0.2">
      <c r="A3551" s="19" t="s">
        <v>51</v>
      </c>
      <c r="B3551" s="20" t="s">
        <v>67</v>
      </c>
      <c r="C3551" s="20" t="s">
        <v>8</v>
      </c>
      <c r="D3551" s="20" t="s">
        <v>10</v>
      </c>
      <c r="E3551" s="20" t="s">
        <v>25</v>
      </c>
      <c r="F3551" s="20" t="str">
        <f>INDEX(nrg_cb_e!$A$3:$A$40,MATCH(LEFT(MID('Industriesektor GWh'!$B3551,41,1000),SEARCH(" - ",MID('Industriesektor GWh'!$B3551,41,1000))-1),nrg_cb_e!$C$3:$C$40,0))</f>
        <v>FC_IND_MAC_E</v>
      </c>
      <c r="G3551" s="21">
        <v>2037</v>
      </c>
    </row>
    <row r="3552" spans="1:7" x14ac:dyDescent="0.2">
      <c r="A3552" s="16" t="s">
        <v>51</v>
      </c>
      <c r="B3552" s="17" t="s">
        <v>67</v>
      </c>
      <c r="C3552" s="17" t="s">
        <v>8</v>
      </c>
      <c r="D3552" s="17" t="s">
        <v>10</v>
      </c>
      <c r="E3552" s="17" t="s">
        <v>26</v>
      </c>
      <c r="F3552" s="17" t="str">
        <f>INDEX(nrg_cb_e!$A$3:$A$40,MATCH(LEFT(MID('Industriesektor GWh'!$B3552,41,1000),SEARCH(" - ",MID('Industriesektor GWh'!$B3552,41,1000))-1),nrg_cb_e!$C$3:$C$40,0))</f>
        <v>FC_IND_MAC_E</v>
      </c>
      <c r="G3552" s="18">
        <v>2190</v>
      </c>
    </row>
    <row r="3553" spans="1:7" x14ac:dyDescent="0.2">
      <c r="A3553" s="19" t="s">
        <v>51</v>
      </c>
      <c r="B3553" s="20" t="s">
        <v>67</v>
      </c>
      <c r="C3553" s="20" t="s">
        <v>8</v>
      </c>
      <c r="D3553" s="20" t="s">
        <v>10</v>
      </c>
      <c r="E3553" s="20" t="s">
        <v>27</v>
      </c>
      <c r="F3553" s="20" t="str">
        <f>INDEX(nrg_cb_e!$A$3:$A$40,MATCH(LEFT(MID('Industriesektor GWh'!$B3553,41,1000),SEARCH(" - ",MID('Industriesektor GWh'!$B3553,41,1000))-1),nrg_cb_e!$C$3:$C$40,0))</f>
        <v>FC_IND_MAC_E</v>
      </c>
      <c r="G3553" s="21">
        <v>2456.3519999999999</v>
      </c>
    </row>
    <row r="3554" spans="1:7" x14ac:dyDescent="0.2">
      <c r="A3554" s="16" t="s">
        <v>51</v>
      </c>
      <c r="B3554" s="17" t="s">
        <v>67</v>
      </c>
      <c r="C3554" s="17" t="s">
        <v>8</v>
      </c>
      <c r="D3554" s="17" t="s">
        <v>10</v>
      </c>
      <c r="E3554" s="17" t="s">
        <v>28</v>
      </c>
      <c r="F3554" s="17" t="str">
        <f>INDEX(nrg_cb_e!$A$3:$A$40,MATCH(LEFT(MID('Industriesektor GWh'!$B3554,41,1000),SEARCH(" - ",MID('Industriesektor GWh'!$B3554,41,1000))-1),nrg_cb_e!$C$3:$C$40,0))</f>
        <v>FC_IND_MAC_E</v>
      </c>
      <c r="G3554" s="18">
        <v>2758.6610000000001</v>
      </c>
    </row>
    <row r="3555" spans="1:7" x14ac:dyDescent="0.2">
      <c r="A3555" s="19" t="s">
        <v>52</v>
      </c>
      <c r="B3555" s="20" t="s">
        <v>67</v>
      </c>
      <c r="C3555" s="20" t="s">
        <v>8</v>
      </c>
      <c r="D3555" s="20" t="s">
        <v>10</v>
      </c>
      <c r="E3555" s="20" t="s">
        <v>12</v>
      </c>
      <c r="F3555" s="20" t="str">
        <f>INDEX(nrg_cb_e!$A$3:$A$40,MATCH(LEFT(MID('Industriesektor GWh'!$B3555,41,1000),SEARCH(" - ",MID('Industriesektor GWh'!$B3555,41,1000))-1),nrg_cb_e!$C$3:$C$40,0))</f>
        <v>FC_IND_MAC_E</v>
      </c>
      <c r="G3555" s="21">
        <v>646</v>
      </c>
    </row>
    <row r="3556" spans="1:7" x14ac:dyDescent="0.2">
      <c r="A3556" s="16" t="s">
        <v>52</v>
      </c>
      <c r="B3556" s="17" t="s">
        <v>67</v>
      </c>
      <c r="C3556" s="17" t="s">
        <v>8</v>
      </c>
      <c r="D3556" s="17" t="s">
        <v>10</v>
      </c>
      <c r="E3556" s="17" t="s">
        <v>13</v>
      </c>
      <c r="F3556" s="17" t="str">
        <f>INDEX(nrg_cb_e!$A$3:$A$40,MATCH(LEFT(MID('Industriesektor GWh'!$B3556,41,1000),SEARCH(" - ",MID('Industriesektor GWh'!$B3556,41,1000))-1),nrg_cb_e!$C$3:$C$40,0))</f>
        <v>FC_IND_MAC_E</v>
      </c>
      <c r="G3556" s="18">
        <v>757</v>
      </c>
    </row>
    <row r="3557" spans="1:7" x14ac:dyDescent="0.2">
      <c r="A3557" s="19" t="s">
        <v>52</v>
      </c>
      <c r="B3557" s="20" t="s">
        <v>67</v>
      </c>
      <c r="C3557" s="20" t="s">
        <v>8</v>
      </c>
      <c r="D3557" s="20" t="s">
        <v>10</v>
      </c>
      <c r="E3557" s="20" t="s">
        <v>14</v>
      </c>
      <c r="F3557" s="20" t="str">
        <f>INDEX(nrg_cb_e!$A$3:$A$40,MATCH(LEFT(MID('Industriesektor GWh'!$B3557,41,1000),SEARCH(" - ",MID('Industriesektor GWh'!$B3557,41,1000))-1),nrg_cb_e!$C$3:$C$40,0))</f>
        <v>FC_IND_MAC_E</v>
      </c>
      <c r="G3557" s="21">
        <v>810</v>
      </c>
    </row>
    <row r="3558" spans="1:7" x14ac:dyDescent="0.2">
      <c r="A3558" s="16" t="s">
        <v>52</v>
      </c>
      <c r="B3558" s="17" t="s">
        <v>67</v>
      </c>
      <c r="C3558" s="17" t="s">
        <v>8</v>
      </c>
      <c r="D3558" s="17" t="s">
        <v>10</v>
      </c>
      <c r="E3558" s="17" t="s">
        <v>15</v>
      </c>
      <c r="F3558" s="17" t="str">
        <f>INDEX(nrg_cb_e!$A$3:$A$40,MATCH(LEFT(MID('Industriesektor GWh'!$B3558,41,1000),SEARCH(" - ",MID('Industriesektor GWh'!$B3558,41,1000))-1),nrg_cb_e!$C$3:$C$40,0))</f>
        <v>FC_IND_MAC_E</v>
      </c>
      <c r="G3558" s="18">
        <v>880</v>
      </c>
    </row>
    <row r="3559" spans="1:7" x14ac:dyDescent="0.2">
      <c r="A3559" s="19" t="s">
        <v>52</v>
      </c>
      <c r="B3559" s="20" t="s">
        <v>67</v>
      </c>
      <c r="C3559" s="20" t="s">
        <v>8</v>
      </c>
      <c r="D3559" s="20" t="s">
        <v>10</v>
      </c>
      <c r="E3559" s="20" t="s">
        <v>16</v>
      </c>
      <c r="F3559" s="20" t="str">
        <f>INDEX(nrg_cb_e!$A$3:$A$40,MATCH(LEFT(MID('Industriesektor GWh'!$B3559,41,1000),SEARCH(" - ",MID('Industriesektor GWh'!$B3559,41,1000))-1),nrg_cb_e!$C$3:$C$40,0))</f>
        <v>FC_IND_MAC_E</v>
      </c>
      <c r="G3559" s="21">
        <v>997</v>
      </c>
    </row>
    <row r="3560" spans="1:7" x14ac:dyDescent="0.2">
      <c r="A3560" s="16" t="s">
        <v>52</v>
      </c>
      <c r="B3560" s="17" t="s">
        <v>67</v>
      </c>
      <c r="C3560" s="17" t="s">
        <v>8</v>
      </c>
      <c r="D3560" s="17" t="s">
        <v>10</v>
      </c>
      <c r="E3560" s="17" t="s">
        <v>17</v>
      </c>
      <c r="F3560" s="17" t="str">
        <f>INDEX(nrg_cb_e!$A$3:$A$40,MATCH(LEFT(MID('Industriesektor GWh'!$B3560,41,1000),SEARCH(" - ",MID('Industriesektor GWh'!$B3560,41,1000))-1),nrg_cb_e!$C$3:$C$40,0))</f>
        <v>FC_IND_MAC_E</v>
      </c>
      <c r="G3560" s="18">
        <v>1091</v>
      </c>
    </row>
    <row r="3561" spans="1:7" x14ac:dyDescent="0.2">
      <c r="A3561" s="19" t="s">
        <v>52</v>
      </c>
      <c r="B3561" s="20" t="s">
        <v>67</v>
      </c>
      <c r="C3561" s="20" t="s">
        <v>8</v>
      </c>
      <c r="D3561" s="20" t="s">
        <v>10</v>
      </c>
      <c r="E3561" s="20" t="s">
        <v>18</v>
      </c>
      <c r="F3561" s="20" t="str">
        <f>INDEX(nrg_cb_e!$A$3:$A$40,MATCH(LEFT(MID('Industriesektor GWh'!$B3561,41,1000),SEARCH(" - ",MID('Industriesektor GWh'!$B3561,41,1000))-1),nrg_cb_e!$C$3:$C$40,0))</f>
        <v>FC_IND_MAC_E</v>
      </c>
      <c r="G3561" s="21">
        <v>951</v>
      </c>
    </row>
    <row r="3562" spans="1:7" x14ac:dyDescent="0.2">
      <c r="A3562" s="16" t="s">
        <v>52</v>
      </c>
      <c r="B3562" s="17" t="s">
        <v>67</v>
      </c>
      <c r="C3562" s="17" t="s">
        <v>8</v>
      </c>
      <c r="D3562" s="17" t="s">
        <v>10</v>
      </c>
      <c r="E3562" s="17" t="s">
        <v>19</v>
      </c>
      <c r="F3562" s="17" t="str">
        <f>INDEX(nrg_cb_e!$A$3:$A$40,MATCH(LEFT(MID('Industriesektor GWh'!$B3562,41,1000),SEARCH(" - ",MID('Industriesektor GWh'!$B3562,41,1000))-1),nrg_cb_e!$C$3:$C$40,0))</f>
        <v>FC_IND_MAC_E</v>
      </c>
      <c r="G3562" s="18">
        <v>779</v>
      </c>
    </row>
    <row r="3563" spans="1:7" x14ac:dyDescent="0.2">
      <c r="A3563" s="19" t="s">
        <v>52</v>
      </c>
      <c r="B3563" s="20" t="s">
        <v>67</v>
      </c>
      <c r="C3563" s="20" t="s">
        <v>8</v>
      </c>
      <c r="D3563" s="20" t="s">
        <v>10</v>
      </c>
      <c r="E3563" s="20" t="s">
        <v>20</v>
      </c>
      <c r="F3563" s="20" t="str">
        <f>INDEX(nrg_cb_e!$A$3:$A$40,MATCH(LEFT(MID('Industriesektor GWh'!$B3563,41,1000),SEARCH(" - ",MID('Industriesektor GWh'!$B3563,41,1000))-1),nrg_cb_e!$C$3:$C$40,0))</f>
        <v>FC_IND_MAC_E</v>
      </c>
      <c r="G3563" s="21">
        <v>931</v>
      </c>
    </row>
    <row r="3564" spans="1:7" x14ac:dyDescent="0.2">
      <c r="A3564" s="16" t="s">
        <v>52</v>
      </c>
      <c r="B3564" s="17" t="s">
        <v>67</v>
      </c>
      <c r="C3564" s="17" t="s">
        <v>8</v>
      </c>
      <c r="D3564" s="17" t="s">
        <v>10</v>
      </c>
      <c r="E3564" s="17" t="s">
        <v>21</v>
      </c>
      <c r="F3564" s="17" t="str">
        <f>INDEX(nrg_cb_e!$A$3:$A$40,MATCH(LEFT(MID('Industriesektor GWh'!$B3564,41,1000),SEARCH(" - ",MID('Industriesektor GWh'!$B3564,41,1000))-1),nrg_cb_e!$C$3:$C$40,0))</f>
        <v>FC_IND_MAC_E</v>
      </c>
      <c r="G3564" s="18">
        <v>914</v>
      </c>
    </row>
    <row r="3565" spans="1:7" x14ac:dyDescent="0.2">
      <c r="A3565" s="19" t="s">
        <v>52</v>
      </c>
      <c r="B3565" s="20" t="s">
        <v>67</v>
      </c>
      <c r="C3565" s="20" t="s">
        <v>8</v>
      </c>
      <c r="D3565" s="20" t="s">
        <v>10</v>
      </c>
      <c r="E3565" s="20" t="s">
        <v>22</v>
      </c>
      <c r="F3565" s="20" t="str">
        <f>INDEX(nrg_cb_e!$A$3:$A$40,MATCH(LEFT(MID('Industriesektor GWh'!$B3565,41,1000),SEARCH(" - ",MID('Industriesektor GWh'!$B3565,41,1000))-1),nrg_cb_e!$C$3:$C$40,0))</f>
        <v>FC_IND_MAC_E</v>
      </c>
      <c r="G3565" s="21">
        <v>862</v>
      </c>
    </row>
    <row r="3566" spans="1:7" x14ac:dyDescent="0.2">
      <c r="A3566" s="16" t="s">
        <v>52</v>
      </c>
      <c r="B3566" s="17" t="s">
        <v>67</v>
      </c>
      <c r="C3566" s="17" t="s">
        <v>8</v>
      </c>
      <c r="D3566" s="17" t="s">
        <v>10</v>
      </c>
      <c r="E3566" s="17" t="s">
        <v>23</v>
      </c>
      <c r="F3566" s="17" t="str">
        <f>INDEX(nrg_cb_e!$A$3:$A$40,MATCH(LEFT(MID('Industriesektor GWh'!$B3566,41,1000),SEARCH(" - ",MID('Industriesektor GWh'!$B3566,41,1000))-1),nrg_cb_e!$C$3:$C$40,0))</f>
        <v>FC_IND_MAC_E</v>
      </c>
      <c r="G3566" s="18">
        <v>887</v>
      </c>
    </row>
    <row r="3567" spans="1:7" x14ac:dyDescent="0.2">
      <c r="A3567" s="19" t="s">
        <v>52</v>
      </c>
      <c r="B3567" s="20" t="s">
        <v>67</v>
      </c>
      <c r="C3567" s="20" t="s">
        <v>8</v>
      </c>
      <c r="D3567" s="20" t="s">
        <v>10</v>
      </c>
      <c r="E3567" s="20" t="s">
        <v>24</v>
      </c>
      <c r="F3567" s="20" t="str">
        <f>INDEX(nrg_cb_e!$A$3:$A$40,MATCH(LEFT(MID('Industriesektor GWh'!$B3567,41,1000),SEARCH(" - ",MID('Industriesektor GWh'!$B3567,41,1000))-1),nrg_cb_e!$C$3:$C$40,0))</f>
        <v>FC_IND_MAC_E</v>
      </c>
      <c r="G3567" s="21">
        <v>905</v>
      </c>
    </row>
    <row r="3568" spans="1:7" x14ac:dyDescent="0.2">
      <c r="A3568" s="16" t="s">
        <v>52</v>
      </c>
      <c r="B3568" s="17" t="s">
        <v>67</v>
      </c>
      <c r="C3568" s="17" t="s">
        <v>8</v>
      </c>
      <c r="D3568" s="17" t="s">
        <v>10</v>
      </c>
      <c r="E3568" s="17" t="s">
        <v>25</v>
      </c>
      <c r="F3568" s="17" t="str">
        <f>INDEX(nrg_cb_e!$A$3:$A$40,MATCH(LEFT(MID('Industriesektor GWh'!$B3568,41,1000),SEARCH(" - ",MID('Industriesektor GWh'!$B3568,41,1000))-1),nrg_cb_e!$C$3:$C$40,0))</f>
        <v>FC_IND_MAC_E</v>
      </c>
      <c r="G3568" s="18">
        <v>937</v>
      </c>
    </row>
    <row r="3569" spans="1:7" x14ac:dyDescent="0.2">
      <c r="A3569" s="19" t="s">
        <v>52</v>
      </c>
      <c r="B3569" s="20" t="s">
        <v>67</v>
      </c>
      <c r="C3569" s="20" t="s">
        <v>8</v>
      </c>
      <c r="D3569" s="20" t="s">
        <v>10</v>
      </c>
      <c r="E3569" s="20" t="s">
        <v>26</v>
      </c>
      <c r="F3569" s="20" t="str">
        <f>INDEX(nrg_cb_e!$A$3:$A$40,MATCH(LEFT(MID('Industriesektor GWh'!$B3569,41,1000),SEARCH(" - ",MID('Industriesektor GWh'!$B3569,41,1000))-1),nrg_cb_e!$C$3:$C$40,0))</f>
        <v>FC_IND_MAC_E</v>
      </c>
      <c r="G3569" s="21">
        <v>984</v>
      </c>
    </row>
    <row r="3570" spans="1:7" x14ac:dyDescent="0.2">
      <c r="A3570" s="16" t="s">
        <v>52</v>
      </c>
      <c r="B3570" s="17" t="s">
        <v>67</v>
      </c>
      <c r="C3570" s="17" t="s">
        <v>8</v>
      </c>
      <c r="D3570" s="17" t="s">
        <v>10</v>
      </c>
      <c r="E3570" s="17" t="s">
        <v>27</v>
      </c>
      <c r="F3570" s="17" t="str">
        <f>INDEX(nrg_cb_e!$A$3:$A$40,MATCH(LEFT(MID('Industriesektor GWh'!$B3570,41,1000),SEARCH(" - ",MID('Industriesektor GWh'!$B3570,41,1000))-1),nrg_cb_e!$C$3:$C$40,0))</f>
        <v>FC_IND_MAC_E</v>
      </c>
      <c r="G3570" s="18">
        <v>1005.197</v>
      </c>
    </row>
    <row r="3571" spans="1:7" x14ac:dyDescent="0.2">
      <c r="A3571" s="19" t="s">
        <v>52</v>
      </c>
      <c r="B3571" s="20" t="s">
        <v>67</v>
      </c>
      <c r="C3571" s="20" t="s">
        <v>8</v>
      </c>
      <c r="D3571" s="20" t="s">
        <v>10</v>
      </c>
      <c r="E3571" s="20" t="s">
        <v>28</v>
      </c>
      <c r="F3571" s="20" t="str">
        <f>INDEX(nrg_cb_e!$A$3:$A$40,MATCH(LEFT(MID('Industriesektor GWh'!$B3571,41,1000),SEARCH(" - ",MID('Industriesektor GWh'!$B3571,41,1000))-1),nrg_cb_e!$C$3:$C$40,0))</f>
        <v>FC_IND_MAC_E</v>
      </c>
      <c r="G3571" s="21">
        <v>1345.384</v>
      </c>
    </row>
    <row r="3572" spans="1:7" x14ac:dyDescent="0.2">
      <c r="A3572" s="16" t="s">
        <v>53</v>
      </c>
      <c r="B3572" s="17" t="s">
        <v>67</v>
      </c>
      <c r="C3572" s="17" t="s">
        <v>8</v>
      </c>
      <c r="D3572" s="17" t="s">
        <v>10</v>
      </c>
      <c r="E3572" s="17" t="s">
        <v>12</v>
      </c>
      <c r="F3572" s="17" t="str">
        <f>INDEX(nrg_cb_e!$A$3:$A$40,MATCH(LEFT(MID('Industriesektor GWh'!$B3572,41,1000),SEARCH(" - ",MID('Industriesektor GWh'!$B3572,41,1000))-1),nrg_cb_e!$C$3:$C$40,0))</f>
        <v>FC_IND_MAC_E</v>
      </c>
      <c r="G3572" s="18">
        <v>496</v>
      </c>
    </row>
    <row r="3573" spans="1:7" x14ac:dyDescent="0.2">
      <c r="A3573" s="19" t="s">
        <v>53</v>
      </c>
      <c r="B3573" s="20" t="s">
        <v>67</v>
      </c>
      <c r="C3573" s="20" t="s">
        <v>8</v>
      </c>
      <c r="D3573" s="20" t="s">
        <v>10</v>
      </c>
      <c r="E3573" s="20" t="s">
        <v>13</v>
      </c>
      <c r="F3573" s="20" t="str">
        <f>INDEX(nrg_cb_e!$A$3:$A$40,MATCH(LEFT(MID('Industriesektor GWh'!$B3573,41,1000),SEARCH(" - ",MID('Industriesektor GWh'!$B3573,41,1000))-1),nrg_cb_e!$C$3:$C$40,0))</f>
        <v>FC_IND_MAC_E</v>
      </c>
      <c r="G3573" s="21">
        <v>742</v>
      </c>
    </row>
    <row r="3574" spans="1:7" x14ac:dyDescent="0.2">
      <c r="A3574" s="16" t="s">
        <v>53</v>
      </c>
      <c r="B3574" s="17" t="s">
        <v>67</v>
      </c>
      <c r="C3574" s="17" t="s">
        <v>8</v>
      </c>
      <c r="D3574" s="17" t="s">
        <v>10</v>
      </c>
      <c r="E3574" s="17" t="s">
        <v>14</v>
      </c>
      <c r="F3574" s="17" t="str">
        <f>INDEX(nrg_cb_e!$A$3:$A$40,MATCH(LEFT(MID('Industriesektor GWh'!$B3574,41,1000),SEARCH(" - ",MID('Industriesektor GWh'!$B3574,41,1000))-1),nrg_cb_e!$C$3:$C$40,0))</f>
        <v>FC_IND_MAC_E</v>
      </c>
      <c r="G3574" s="18">
        <v>805</v>
      </c>
    </row>
    <row r="3575" spans="1:7" x14ac:dyDescent="0.2">
      <c r="A3575" s="19" t="s">
        <v>53</v>
      </c>
      <c r="B3575" s="20" t="s">
        <v>67</v>
      </c>
      <c r="C3575" s="20" t="s">
        <v>8</v>
      </c>
      <c r="D3575" s="20" t="s">
        <v>10</v>
      </c>
      <c r="E3575" s="20" t="s">
        <v>15</v>
      </c>
      <c r="F3575" s="20" t="str">
        <f>INDEX(nrg_cb_e!$A$3:$A$40,MATCH(LEFT(MID('Industriesektor GWh'!$B3575,41,1000),SEARCH(" - ",MID('Industriesektor GWh'!$B3575,41,1000))-1),nrg_cb_e!$C$3:$C$40,0))</f>
        <v>FC_IND_MAC_E</v>
      </c>
      <c r="G3575" s="21">
        <v>766</v>
      </c>
    </row>
    <row r="3576" spans="1:7" x14ac:dyDescent="0.2">
      <c r="A3576" s="16" t="s">
        <v>53</v>
      </c>
      <c r="B3576" s="17" t="s">
        <v>67</v>
      </c>
      <c r="C3576" s="17" t="s">
        <v>8</v>
      </c>
      <c r="D3576" s="17" t="s">
        <v>10</v>
      </c>
      <c r="E3576" s="17" t="s">
        <v>16</v>
      </c>
      <c r="F3576" s="17" t="str">
        <f>INDEX(nrg_cb_e!$A$3:$A$40,MATCH(LEFT(MID('Industriesektor GWh'!$B3576,41,1000),SEARCH(" - ",MID('Industriesektor GWh'!$B3576,41,1000))-1),nrg_cb_e!$C$3:$C$40,0))</f>
        <v>FC_IND_MAC_E</v>
      </c>
      <c r="G3576" s="18">
        <v>882</v>
      </c>
    </row>
    <row r="3577" spans="1:7" x14ac:dyDescent="0.2">
      <c r="A3577" s="19" t="s">
        <v>53</v>
      </c>
      <c r="B3577" s="20" t="s">
        <v>67</v>
      </c>
      <c r="C3577" s="20" t="s">
        <v>8</v>
      </c>
      <c r="D3577" s="20" t="s">
        <v>10</v>
      </c>
      <c r="E3577" s="20" t="s">
        <v>17</v>
      </c>
      <c r="F3577" s="20" t="str">
        <f>INDEX(nrg_cb_e!$A$3:$A$40,MATCH(LEFT(MID('Industriesektor GWh'!$B3577,41,1000),SEARCH(" - ",MID('Industriesektor GWh'!$B3577,41,1000))-1),nrg_cb_e!$C$3:$C$40,0))</f>
        <v>FC_IND_MAC_E</v>
      </c>
      <c r="G3577" s="21">
        <v>1062</v>
      </c>
    </row>
    <row r="3578" spans="1:7" x14ac:dyDescent="0.2">
      <c r="A3578" s="16" t="s">
        <v>53</v>
      </c>
      <c r="B3578" s="17" t="s">
        <v>67</v>
      </c>
      <c r="C3578" s="17" t="s">
        <v>8</v>
      </c>
      <c r="D3578" s="17" t="s">
        <v>10</v>
      </c>
      <c r="E3578" s="17" t="s">
        <v>18</v>
      </c>
      <c r="F3578" s="17" t="str">
        <f>INDEX(nrg_cb_e!$A$3:$A$40,MATCH(LEFT(MID('Industriesektor GWh'!$B3578,41,1000),SEARCH(" - ",MID('Industriesektor GWh'!$B3578,41,1000))-1),nrg_cb_e!$C$3:$C$40,0))</f>
        <v>FC_IND_MAC_E</v>
      </c>
      <c r="G3578" s="18">
        <v>1390</v>
      </c>
    </row>
    <row r="3579" spans="1:7" x14ac:dyDescent="0.2">
      <c r="A3579" s="19" t="s">
        <v>53</v>
      </c>
      <c r="B3579" s="20" t="s">
        <v>67</v>
      </c>
      <c r="C3579" s="20" t="s">
        <v>8</v>
      </c>
      <c r="D3579" s="20" t="s">
        <v>10</v>
      </c>
      <c r="E3579" s="20" t="s">
        <v>19</v>
      </c>
      <c r="F3579" s="20" t="str">
        <f>INDEX(nrg_cb_e!$A$3:$A$40,MATCH(LEFT(MID('Industriesektor GWh'!$B3579,41,1000),SEARCH(" - ",MID('Industriesektor GWh'!$B3579,41,1000))-1),nrg_cb_e!$C$3:$C$40,0))</f>
        <v>FC_IND_MAC_E</v>
      </c>
      <c r="G3579" s="21">
        <v>961</v>
      </c>
    </row>
    <row r="3580" spans="1:7" x14ac:dyDescent="0.2">
      <c r="A3580" s="16" t="s">
        <v>53</v>
      </c>
      <c r="B3580" s="17" t="s">
        <v>67</v>
      </c>
      <c r="C3580" s="17" t="s">
        <v>8</v>
      </c>
      <c r="D3580" s="17" t="s">
        <v>10</v>
      </c>
      <c r="E3580" s="17" t="s">
        <v>20</v>
      </c>
      <c r="F3580" s="17" t="str">
        <f>INDEX(nrg_cb_e!$A$3:$A$40,MATCH(LEFT(MID('Industriesektor GWh'!$B3580,41,1000),SEARCH(" - ",MID('Industriesektor GWh'!$B3580,41,1000))-1),nrg_cb_e!$C$3:$C$40,0))</f>
        <v>FC_IND_MAC_E</v>
      </c>
      <c r="G3580" s="18">
        <v>1081</v>
      </c>
    </row>
    <row r="3581" spans="1:7" x14ac:dyDescent="0.2">
      <c r="A3581" s="19" t="s">
        <v>53</v>
      </c>
      <c r="B3581" s="20" t="s">
        <v>67</v>
      </c>
      <c r="C3581" s="20" t="s">
        <v>8</v>
      </c>
      <c r="D3581" s="20" t="s">
        <v>10</v>
      </c>
      <c r="E3581" s="20" t="s">
        <v>21</v>
      </c>
      <c r="F3581" s="20" t="str">
        <f>INDEX(nrg_cb_e!$A$3:$A$40,MATCH(LEFT(MID('Industriesektor GWh'!$B3581,41,1000),SEARCH(" - ",MID('Industriesektor GWh'!$B3581,41,1000))-1),nrg_cb_e!$C$3:$C$40,0))</f>
        <v>FC_IND_MAC_E</v>
      </c>
      <c r="G3581" s="21">
        <v>1074</v>
      </c>
    </row>
    <row r="3582" spans="1:7" x14ac:dyDescent="0.2">
      <c r="A3582" s="16" t="s">
        <v>53</v>
      </c>
      <c r="B3582" s="17" t="s">
        <v>67</v>
      </c>
      <c r="C3582" s="17" t="s">
        <v>8</v>
      </c>
      <c r="D3582" s="17" t="s">
        <v>10</v>
      </c>
      <c r="E3582" s="17" t="s">
        <v>22</v>
      </c>
      <c r="F3582" s="17" t="str">
        <f>INDEX(nrg_cb_e!$A$3:$A$40,MATCH(LEFT(MID('Industriesektor GWh'!$B3582,41,1000),SEARCH(" - ",MID('Industriesektor GWh'!$B3582,41,1000))-1),nrg_cb_e!$C$3:$C$40,0))</f>
        <v>FC_IND_MAC_E</v>
      </c>
      <c r="G3582" s="18">
        <v>1124</v>
      </c>
    </row>
    <row r="3583" spans="1:7" x14ac:dyDescent="0.2">
      <c r="A3583" s="19" t="s">
        <v>53</v>
      </c>
      <c r="B3583" s="20" t="s">
        <v>67</v>
      </c>
      <c r="C3583" s="20" t="s">
        <v>8</v>
      </c>
      <c r="D3583" s="20" t="s">
        <v>10</v>
      </c>
      <c r="E3583" s="20" t="s">
        <v>23</v>
      </c>
      <c r="F3583" s="20" t="str">
        <f>INDEX(nrg_cb_e!$A$3:$A$40,MATCH(LEFT(MID('Industriesektor GWh'!$B3583,41,1000),SEARCH(" - ",MID('Industriesektor GWh'!$B3583,41,1000))-1),nrg_cb_e!$C$3:$C$40,0))</f>
        <v>FC_IND_MAC_E</v>
      </c>
      <c r="G3583" s="21">
        <v>1156</v>
      </c>
    </row>
    <row r="3584" spans="1:7" x14ac:dyDescent="0.2">
      <c r="A3584" s="16" t="s">
        <v>53</v>
      </c>
      <c r="B3584" s="17" t="s">
        <v>67</v>
      </c>
      <c r="C3584" s="17" t="s">
        <v>8</v>
      </c>
      <c r="D3584" s="17" t="s">
        <v>10</v>
      </c>
      <c r="E3584" s="17" t="s">
        <v>24</v>
      </c>
      <c r="F3584" s="17" t="str">
        <f>INDEX(nrg_cb_e!$A$3:$A$40,MATCH(LEFT(MID('Industriesektor GWh'!$B3584,41,1000),SEARCH(" - ",MID('Industriesektor GWh'!$B3584,41,1000))-1),nrg_cb_e!$C$3:$C$40,0))</f>
        <v>FC_IND_MAC_E</v>
      </c>
      <c r="G3584" s="18">
        <v>1301</v>
      </c>
    </row>
    <row r="3585" spans="1:7" x14ac:dyDescent="0.2">
      <c r="A3585" s="19" t="s">
        <v>53</v>
      </c>
      <c r="B3585" s="20" t="s">
        <v>67</v>
      </c>
      <c r="C3585" s="20" t="s">
        <v>8</v>
      </c>
      <c r="D3585" s="20" t="s">
        <v>10</v>
      </c>
      <c r="E3585" s="20" t="s">
        <v>25</v>
      </c>
      <c r="F3585" s="20" t="str">
        <f>INDEX(nrg_cb_e!$A$3:$A$40,MATCH(LEFT(MID('Industriesektor GWh'!$B3585,41,1000),SEARCH(" - ",MID('Industriesektor GWh'!$B3585,41,1000))-1),nrg_cb_e!$C$3:$C$40,0))</f>
        <v>FC_IND_MAC_E</v>
      </c>
      <c r="G3585" s="21">
        <v>1329</v>
      </c>
    </row>
    <row r="3586" spans="1:7" x14ac:dyDescent="0.2">
      <c r="A3586" s="16" t="s">
        <v>53</v>
      </c>
      <c r="B3586" s="17" t="s">
        <v>67</v>
      </c>
      <c r="C3586" s="17" t="s">
        <v>8</v>
      </c>
      <c r="D3586" s="17" t="s">
        <v>10</v>
      </c>
      <c r="E3586" s="17" t="s">
        <v>26</v>
      </c>
      <c r="F3586" s="17" t="str">
        <f>INDEX(nrg_cb_e!$A$3:$A$40,MATCH(LEFT(MID('Industriesektor GWh'!$B3586,41,1000),SEARCH(" - ",MID('Industriesektor GWh'!$B3586,41,1000))-1),nrg_cb_e!$C$3:$C$40,0))</f>
        <v>FC_IND_MAC_E</v>
      </c>
      <c r="G3586" s="18">
        <v>1449</v>
      </c>
    </row>
    <row r="3587" spans="1:7" x14ac:dyDescent="0.2">
      <c r="A3587" s="19" t="s">
        <v>53</v>
      </c>
      <c r="B3587" s="20" t="s">
        <v>67</v>
      </c>
      <c r="C3587" s="20" t="s">
        <v>8</v>
      </c>
      <c r="D3587" s="20" t="s">
        <v>10</v>
      </c>
      <c r="E3587" s="20" t="s">
        <v>27</v>
      </c>
      <c r="F3587" s="20" t="str">
        <f>INDEX(nrg_cb_e!$A$3:$A$40,MATCH(LEFT(MID('Industriesektor GWh'!$B3587,41,1000),SEARCH(" - ",MID('Industriesektor GWh'!$B3587,41,1000))-1),nrg_cb_e!$C$3:$C$40,0))</f>
        <v>FC_IND_MAC_E</v>
      </c>
      <c r="G3587" s="21">
        <v>1693</v>
      </c>
    </row>
    <row r="3588" spans="1:7" x14ac:dyDescent="0.2">
      <c r="A3588" s="16" t="s">
        <v>53</v>
      </c>
      <c r="B3588" s="17" t="s">
        <v>67</v>
      </c>
      <c r="C3588" s="17" t="s">
        <v>8</v>
      </c>
      <c r="D3588" s="17" t="s">
        <v>10</v>
      </c>
      <c r="E3588" s="17" t="s">
        <v>28</v>
      </c>
      <c r="F3588" s="17" t="str">
        <f>INDEX(nrg_cb_e!$A$3:$A$40,MATCH(LEFT(MID('Industriesektor GWh'!$B3588,41,1000),SEARCH(" - ",MID('Industriesektor GWh'!$B3588,41,1000))-1),nrg_cb_e!$C$3:$C$40,0))</f>
        <v>FC_IND_MAC_E</v>
      </c>
      <c r="G3588" s="18">
        <v>1818</v>
      </c>
    </row>
    <row r="3589" spans="1:7" x14ac:dyDescent="0.2">
      <c r="A3589" s="19" t="s">
        <v>54</v>
      </c>
      <c r="B3589" s="20" t="s">
        <v>67</v>
      </c>
      <c r="C3589" s="20" t="s">
        <v>8</v>
      </c>
      <c r="D3589" s="20" t="s">
        <v>10</v>
      </c>
      <c r="E3589" s="20" t="s">
        <v>12</v>
      </c>
      <c r="F3589" s="20" t="str">
        <f>INDEX(nrg_cb_e!$A$3:$A$40,MATCH(LEFT(MID('Industriesektor GWh'!$B3589,41,1000),SEARCH(" - ",MID('Industriesektor GWh'!$B3589,41,1000))-1),nrg_cb_e!$C$3:$C$40,0))</f>
        <v>FC_IND_MAC_E</v>
      </c>
      <c r="G3589" s="21">
        <v>2077</v>
      </c>
    </row>
    <row r="3590" spans="1:7" x14ac:dyDescent="0.2">
      <c r="A3590" s="16" t="s">
        <v>54</v>
      </c>
      <c r="B3590" s="17" t="s">
        <v>67</v>
      </c>
      <c r="C3590" s="17" t="s">
        <v>8</v>
      </c>
      <c r="D3590" s="17" t="s">
        <v>10</v>
      </c>
      <c r="E3590" s="17" t="s">
        <v>13</v>
      </c>
      <c r="F3590" s="17" t="str">
        <f>INDEX(nrg_cb_e!$A$3:$A$40,MATCH(LEFT(MID('Industriesektor GWh'!$B3590,41,1000),SEARCH(" - ",MID('Industriesektor GWh'!$B3590,41,1000))-1),nrg_cb_e!$C$3:$C$40,0))</f>
        <v>FC_IND_MAC_E</v>
      </c>
      <c r="G3590" s="18">
        <v>2165</v>
      </c>
    </row>
    <row r="3591" spans="1:7" x14ac:dyDescent="0.2">
      <c r="A3591" s="19" t="s">
        <v>54</v>
      </c>
      <c r="B3591" s="20" t="s">
        <v>67</v>
      </c>
      <c r="C3591" s="20" t="s">
        <v>8</v>
      </c>
      <c r="D3591" s="20" t="s">
        <v>10</v>
      </c>
      <c r="E3591" s="20" t="s">
        <v>14</v>
      </c>
      <c r="F3591" s="20" t="str">
        <f>INDEX(nrg_cb_e!$A$3:$A$40,MATCH(LEFT(MID('Industriesektor GWh'!$B3591,41,1000),SEARCH(" - ",MID('Industriesektor GWh'!$B3591,41,1000))-1),nrg_cb_e!$C$3:$C$40,0))</f>
        <v>FC_IND_MAC_E</v>
      </c>
      <c r="G3591" s="21">
        <v>2208</v>
      </c>
    </row>
    <row r="3592" spans="1:7" x14ac:dyDescent="0.2">
      <c r="A3592" s="16" t="s">
        <v>54</v>
      </c>
      <c r="B3592" s="17" t="s">
        <v>67</v>
      </c>
      <c r="C3592" s="17" t="s">
        <v>8</v>
      </c>
      <c r="D3592" s="17" t="s">
        <v>10</v>
      </c>
      <c r="E3592" s="17" t="s">
        <v>15</v>
      </c>
      <c r="F3592" s="17" t="str">
        <f>INDEX(nrg_cb_e!$A$3:$A$40,MATCH(LEFT(MID('Industriesektor GWh'!$B3592,41,1000),SEARCH(" - ",MID('Industriesektor GWh'!$B3592,41,1000))-1),nrg_cb_e!$C$3:$C$40,0))</f>
        <v>FC_IND_MAC_E</v>
      </c>
      <c r="G3592" s="18">
        <v>2097</v>
      </c>
    </row>
    <row r="3593" spans="1:7" x14ac:dyDescent="0.2">
      <c r="A3593" s="19" t="s">
        <v>54</v>
      </c>
      <c r="B3593" s="20" t="s">
        <v>67</v>
      </c>
      <c r="C3593" s="20" t="s">
        <v>8</v>
      </c>
      <c r="D3593" s="20" t="s">
        <v>10</v>
      </c>
      <c r="E3593" s="20" t="s">
        <v>16</v>
      </c>
      <c r="F3593" s="20" t="str">
        <f>INDEX(nrg_cb_e!$A$3:$A$40,MATCH(LEFT(MID('Industriesektor GWh'!$B3593,41,1000),SEARCH(" - ",MID('Industriesektor GWh'!$B3593,41,1000))-1),nrg_cb_e!$C$3:$C$40,0))</f>
        <v>FC_IND_MAC_E</v>
      </c>
      <c r="G3593" s="21">
        <v>2145</v>
      </c>
    </row>
    <row r="3594" spans="1:7" x14ac:dyDescent="0.2">
      <c r="A3594" s="16" t="s">
        <v>54</v>
      </c>
      <c r="B3594" s="17" t="s">
        <v>67</v>
      </c>
      <c r="C3594" s="17" t="s">
        <v>8</v>
      </c>
      <c r="D3594" s="17" t="s">
        <v>10</v>
      </c>
      <c r="E3594" s="17" t="s">
        <v>17</v>
      </c>
      <c r="F3594" s="17" t="str">
        <f>INDEX(nrg_cb_e!$A$3:$A$40,MATCH(LEFT(MID('Industriesektor GWh'!$B3594,41,1000),SEARCH(" - ",MID('Industriesektor GWh'!$B3594,41,1000))-1),nrg_cb_e!$C$3:$C$40,0))</f>
        <v>FC_IND_MAC_E</v>
      </c>
      <c r="G3594" s="18">
        <v>2252</v>
      </c>
    </row>
    <row r="3595" spans="1:7" x14ac:dyDescent="0.2">
      <c r="A3595" s="19" t="s">
        <v>54</v>
      </c>
      <c r="B3595" s="20" t="s">
        <v>67</v>
      </c>
      <c r="C3595" s="20" t="s">
        <v>8</v>
      </c>
      <c r="D3595" s="20" t="s">
        <v>10</v>
      </c>
      <c r="E3595" s="20" t="s">
        <v>18</v>
      </c>
      <c r="F3595" s="20" t="str">
        <f>INDEX(nrg_cb_e!$A$3:$A$40,MATCH(LEFT(MID('Industriesektor GWh'!$B3595,41,1000),SEARCH(" - ",MID('Industriesektor GWh'!$B3595,41,1000))-1),nrg_cb_e!$C$3:$C$40,0))</f>
        <v>FC_IND_MAC_E</v>
      </c>
      <c r="G3595" s="21">
        <v>2530</v>
      </c>
    </row>
    <row r="3596" spans="1:7" x14ac:dyDescent="0.2">
      <c r="A3596" s="16" t="s">
        <v>54</v>
      </c>
      <c r="B3596" s="17" t="s">
        <v>67</v>
      </c>
      <c r="C3596" s="17" t="s">
        <v>8</v>
      </c>
      <c r="D3596" s="17" t="s">
        <v>10</v>
      </c>
      <c r="E3596" s="17" t="s">
        <v>19</v>
      </c>
      <c r="F3596" s="17" t="str">
        <f>INDEX(nrg_cb_e!$A$3:$A$40,MATCH(LEFT(MID('Industriesektor GWh'!$B3596,41,1000),SEARCH(" - ",MID('Industriesektor GWh'!$B3596,41,1000))-1),nrg_cb_e!$C$3:$C$40,0))</f>
        <v>FC_IND_MAC_E</v>
      </c>
      <c r="G3596" s="18">
        <v>2397</v>
      </c>
    </row>
    <row r="3597" spans="1:7" x14ac:dyDescent="0.2">
      <c r="A3597" s="19" t="s">
        <v>54</v>
      </c>
      <c r="B3597" s="20" t="s">
        <v>67</v>
      </c>
      <c r="C3597" s="20" t="s">
        <v>8</v>
      </c>
      <c r="D3597" s="20" t="s">
        <v>10</v>
      </c>
      <c r="E3597" s="20" t="s">
        <v>20</v>
      </c>
      <c r="F3597" s="20" t="str">
        <f>INDEX(nrg_cb_e!$A$3:$A$40,MATCH(LEFT(MID('Industriesektor GWh'!$B3597,41,1000),SEARCH(" - ",MID('Industriesektor GWh'!$B3597,41,1000))-1),nrg_cb_e!$C$3:$C$40,0))</f>
        <v>FC_IND_MAC_E</v>
      </c>
      <c r="G3597" s="21">
        <v>2446</v>
      </c>
    </row>
    <row r="3598" spans="1:7" x14ac:dyDescent="0.2">
      <c r="A3598" s="16" t="s">
        <v>54</v>
      </c>
      <c r="B3598" s="17" t="s">
        <v>67</v>
      </c>
      <c r="C3598" s="17" t="s">
        <v>8</v>
      </c>
      <c r="D3598" s="17" t="s">
        <v>10</v>
      </c>
      <c r="E3598" s="17" t="s">
        <v>21</v>
      </c>
      <c r="F3598" s="17" t="str">
        <f>INDEX(nrg_cb_e!$A$3:$A$40,MATCH(LEFT(MID('Industriesektor GWh'!$B3598,41,1000),SEARCH(" - ",MID('Industriesektor GWh'!$B3598,41,1000))-1),nrg_cb_e!$C$3:$C$40,0))</f>
        <v>FC_IND_MAC_E</v>
      </c>
      <c r="G3598" s="18">
        <v>2373</v>
      </c>
    </row>
    <row r="3599" spans="1:7" x14ac:dyDescent="0.2">
      <c r="A3599" s="19" t="s">
        <v>54</v>
      </c>
      <c r="B3599" s="20" t="s">
        <v>67</v>
      </c>
      <c r="C3599" s="20" t="s">
        <v>8</v>
      </c>
      <c r="D3599" s="20" t="s">
        <v>10</v>
      </c>
      <c r="E3599" s="20" t="s">
        <v>22</v>
      </c>
      <c r="F3599" s="20" t="str">
        <f>INDEX(nrg_cb_e!$A$3:$A$40,MATCH(LEFT(MID('Industriesektor GWh'!$B3599,41,1000),SEARCH(" - ",MID('Industriesektor GWh'!$B3599,41,1000))-1),nrg_cb_e!$C$3:$C$40,0))</f>
        <v>FC_IND_MAC_E</v>
      </c>
      <c r="G3599" s="21">
        <v>2145</v>
      </c>
    </row>
    <row r="3600" spans="1:7" x14ac:dyDescent="0.2">
      <c r="A3600" s="16" t="s">
        <v>54</v>
      </c>
      <c r="B3600" s="17" t="s">
        <v>67</v>
      </c>
      <c r="C3600" s="17" t="s">
        <v>8</v>
      </c>
      <c r="D3600" s="17" t="s">
        <v>10</v>
      </c>
      <c r="E3600" s="17" t="s">
        <v>23</v>
      </c>
      <c r="F3600" s="17" t="str">
        <f>INDEX(nrg_cb_e!$A$3:$A$40,MATCH(LEFT(MID('Industriesektor GWh'!$B3600,41,1000),SEARCH(" - ",MID('Industriesektor GWh'!$B3600,41,1000))-1),nrg_cb_e!$C$3:$C$40,0))</f>
        <v>FC_IND_MAC_E</v>
      </c>
      <c r="G3600" s="18">
        <v>2196</v>
      </c>
    </row>
    <row r="3601" spans="1:7" x14ac:dyDescent="0.2">
      <c r="A3601" s="19" t="s">
        <v>54</v>
      </c>
      <c r="B3601" s="20" t="s">
        <v>67</v>
      </c>
      <c r="C3601" s="20" t="s">
        <v>8</v>
      </c>
      <c r="D3601" s="20" t="s">
        <v>10</v>
      </c>
      <c r="E3601" s="20" t="s">
        <v>24</v>
      </c>
      <c r="F3601" s="20" t="str">
        <f>INDEX(nrg_cb_e!$A$3:$A$40,MATCH(LEFT(MID('Industriesektor GWh'!$B3601,41,1000),SEARCH(" - ",MID('Industriesektor GWh'!$B3601,41,1000))-1),nrg_cb_e!$C$3:$C$40,0))</f>
        <v>FC_IND_MAC_E</v>
      </c>
      <c r="G3601" s="21">
        <v>2163</v>
      </c>
    </row>
    <row r="3602" spans="1:7" x14ac:dyDescent="0.2">
      <c r="A3602" s="16" t="s">
        <v>54</v>
      </c>
      <c r="B3602" s="17" t="s">
        <v>67</v>
      </c>
      <c r="C3602" s="17" t="s">
        <v>8</v>
      </c>
      <c r="D3602" s="17" t="s">
        <v>10</v>
      </c>
      <c r="E3602" s="17" t="s">
        <v>25</v>
      </c>
      <c r="F3602" s="17" t="str">
        <f>INDEX(nrg_cb_e!$A$3:$A$40,MATCH(LEFT(MID('Industriesektor GWh'!$B3602,41,1000),SEARCH(" - ",MID('Industriesektor GWh'!$B3602,41,1000))-1),nrg_cb_e!$C$3:$C$40,0))</f>
        <v>FC_IND_MAC_E</v>
      </c>
      <c r="G3602" s="18">
        <v>1994</v>
      </c>
    </row>
    <row r="3603" spans="1:7" x14ac:dyDescent="0.2">
      <c r="A3603" s="19" t="s">
        <v>54</v>
      </c>
      <c r="B3603" s="20" t="s">
        <v>67</v>
      </c>
      <c r="C3603" s="20" t="s">
        <v>8</v>
      </c>
      <c r="D3603" s="20" t="s">
        <v>10</v>
      </c>
      <c r="E3603" s="20" t="s">
        <v>26</v>
      </c>
      <c r="F3603" s="20" t="str">
        <f>INDEX(nrg_cb_e!$A$3:$A$40,MATCH(LEFT(MID('Industriesektor GWh'!$B3603,41,1000),SEARCH(" - ",MID('Industriesektor GWh'!$B3603,41,1000))-1),nrg_cb_e!$C$3:$C$40,0))</f>
        <v>FC_IND_MAC_E</v>
      </c>
      <c r="G3603" s="21">
        <v>2029</v>
      </c>
    </row>
    <row r="3604" spans="1:7" x14ac:dyDescent="0.2">
      <c r="A3604" s="16" t="s">
        <v>54</v>
      </c>
      <c r="B3604" s="17" t="s">
        <v>67</v>
      </c>
      <c r="C3604" s="17" t="s">
        <v>8</v>
      </c>
      <c r="D3604" s="17" t="s">
        <v>10</v>
      </c>
      <c r="E3604" s="17" t="s">
        <v>27</v>
      </c>
      <c r="F3604" s="17" t="str">
        <f>INDEX(nrg_cb_e!$A$3:$A$40,MATCH(LEFT(MID('Industriesektor GWh'!$B3604,41,1000),SEARCH(" - ",MID('Industriesektor GWh'!$B3604,41,1000))-1),nrg_cb_e!$C$3:$C$40,0))</f>
        <v>FC_IND_MAC_E</v>
      </c>
      <c r="G3604" s="18">
        <v>2158</v>
      </c>
    </row>
    <row r="3605" spans="1:7" x14ac:dyDescent="0.2">
      <c r="A3605" s="19" t="s">
        <v>54</v>
      </c>
      <c r="B3605" s="20" t="s">
        <v>67</v>
      </c>
      <c r="C3605" s="20" t="s">
        <v>8</v>
      </c>
      <c r="D3605" s="20" t="s">
        <v>10</v>
      </c>
      <c r="E3605" s="20" t="s">
        <v>28</v>
      </c>
      <c r="F3605" s="20" t="str">
        <f>INDEX(nrg_cb_e!$A$3:$A$40,MATCH(LEFT(MID('Industriesektor GWh'!$B3605,41,1000),SEARCH(" - ",MID('Industriesektor GWh'!$B3605,41,1000))-1),nrg_cb_e!$C$3:$C$40,0))</f>
        <v>FC_IND_MAC_E</v>
      </c>
      <c r="G3605" s="21">
        <v>2338</v>
      </c>
    </row>
    <row r="3606" spans="1:7" x14ac:dyDescent="0.2">
      <c r="A3606" s="16" t="s">
        <v>55</v>
      </c>
      <c r="B3606" s="17" t="s">
        <v>67</v>
      </c>
      <c r="C3606" s="17" t="s">
        <v>8</v>
      </c>
      <c r="D3606" s="17" t="s">
        <v>10</v>
      </c>
      <c r="E3606" s="17" t="s">
        <v>12</v>
      </c>
      <c r="F3606" s="17" t="str">
        <f>INDEX(nrg_cb_e!$A$3:$A$40,MATCH(LEFT(MID('Industriesektor GWh'!$B3606,41,1000),SEARCH(" - ",MID('Industriesektor GWh'!$B3606,41,1000))-1),nrg_cb_e!$C$3:$C$40,0))</f>
        <v>FC_IND_MAC_E</v>
      </c>
      <c r="G3606" s="18">
        <v>1803</v>
      </c>
    </row>
    <row r="3607" spans="1:7" x14ac:dyDescent="0.2">
      <c r="A3607" s="19" t="s">
        <v>55</v>
      </c>
      <c r="B3607" s="20" t="s">
        <v>67</v>
      </c>
      <c r="C3607" s="20" t="s">
        <v>8</v>
      </c>
      <c r="D3607" s="20" t="s">
        <v>10</v>
      </c>
      <c r="E3607" s="20" t="s">
        <v>13</v>
      </c>
      <c r="F3607" s="20" t="str">
        <f>INDEX(nrg_cb_e!$A$3:$A$40,MATCH(LEFT(MID('Industriesektor GWh'!$B3607,41,1000),SEARCH(" - ",MID('Industriesektor GWh'!$B3607,41,1000))-1),nrg_cb_e!$C$3:$C$40,0))</f>
        <v>FC_IND_MAC_E</v>
      </c>
      <c r="G3607" s="21">
        <v>1781</v>
      </c>
    </row>
    <row r="3608" spans="1:7" x14ac:dyDescent="0.2">
      <c r="A3608" s="16" t="s">
        <v>55</v>
      </c>
      <c r="B3608" s="17" t="s">
        <v>67</v>
      </c>
      <c r="C3608" s="17" t="s">
        <v>8</v>
      </c>
      <c r="D3608" s="17" t="s">
        <v>10</v>
      </c>
      <c r="E3608" s="17" t="s">
        <v>14</v>
      </c>
      <c r="F3608" s="17" t="str">
        <f>INDEX(nrg_cb_e!$A$3:$A$40,MATCH(LEFT(MID('Industriesektor GWh'!$B3608,41,1000),SEARCH(" - ",MID('Industriesektor GWh'!$B3608,41,1000))-1),nrg_cb_e!$C$3:$C$40,0))</f>
        <v>FC_IND_MAC_E</v>
      </c>
      <c r="G3608" s="18">
        <v>1817</v>
      </c>
    </row>
    <row r="3609" spans="1:7" x14ac:dyDescent="0.2">
      <c r="A3609" s="19" t="s">
        <v>55</v>
      </c>
      <c r="B3609" s="20" t="s">
        <v>67</v>
      </c>
      <c r="C3609" s="20" t="s">
        <v>8</v>
      </c>
      <c r="D3609" s="20" t="s">
        <v>10</v>
      </c>
      <c r="E3609" s="20" t="s">
        <v>15</v>
      </c>
      <c r="F3609" s="20" t="str">
        <f>INDEX(nrg_cb_e!$A$3:$A$40,MATCH(LEFT(MID('Industriesektor GWh'!$B3609,41,1000),SEARCH(" - ",MID('Industriesektor GWh'!$B3609,41,1000))-1),nrg_cb_e!$C$3:$C$40,0))</f>
        <v>FC_IND_MAC_E</v>
      </c>
      <c r="G3609" s="21">
        <v>1746</v>
      </c>
    </row>
    <row r="3610" spans="1:7" x14ac:dyDescent="0.2">
      <c r="A3610" s="16" t="s">
        <v>55</v>
      </c>
      <c r="B3610" s="17" t="s">
        <v>67</v>
      </c>
      <c r="C3610" s="17" t="s">
        <v>8</v>
      </c>
      <c r="D3610" s="17" t="s">
        <v>10</v>
      </c>
      <c r="E3610" s="17" t="s">
        <v>16</v>
      </c>
      <c r="F3610" s="17" t="str">
        <f>INDEX(nrg_cb_e!$A$3:$A$40,MATCH(LEFT(MID('Industriesektor GWh'!$B3610,41,1000),SEARCH(" - ",MID('Industriesektor GWh'!$B3610,41,1000))-1),nrg_cb_e!$C$3:$C$40,0))</f>
        <v>FC_IND_MAC_E</v>
      </c>
      <c r="G3610" s="18">
        <v>1851</v>
      </c>
    </row>
    <row r="3611" spans="1:7" x14ac:dyDescent="0.2">
      <c r="A3611" s="19" t="s">
        <v>55</v>
      </c>
      <c r="B3611" s="20" t="s">
        <v>67</v>
      </c>
      <c r="C3611" s="20" t="s">
        <v>8</v>
      </c>
      <c r="D3611" s="20" t="s">
        <v>10</v>
      </c>
      <c r="E3611" s="20" t="s">
        <v>17</v>
      </c>
      <c r="F3611" s="20" t="str">
        <f>INDEX(nrg_cb_e!$A$3:$A$40,MATCH(LEFT(MID('Industriesektor GWh'!$B3611,41,1000),SEARCH(" - ",MID('Industriesektor GWh'!$B3611,41,1000))-1),nrg_cb_e!$C$3:$C$40,0))</f>
        <v>FC_IND_MAC_E</v>
      </c>
      <c r="G3611" s="21">
        <v>1730</v>
      </c>
    </row>
    <row r="3612" spans="1:7" x14ac:dyDescent="0.2">
      <c r="A3612" s="16" t="s">
        <v>55</v>
      </c>
      <c r="B3612" s="17" t="s">
        <v>67</v>
      </c>
      <c r="C3612" s="17" t="s">
        <v>8</v>
      </c>
      <c r="D3612" s="17" t="s">
        <v>10</v>
      </c>
      <c r="E3612" s="17" t="s">
        <v>18</v>
      </c>
      <c r="F3612" s="17" t="str">
        <f>INDEX(nrg_cb_e!$A$3:$A$40,MATCH(LEFT(MID('Industriesektor GWh'!$B3612,41,1000),SEARCH(" - ",MID('Industriesektor GWh'!$B3612,41,1000))-1),nrg_cb_e!$C$3:$C$40,0))</f>
        <v>FC_IND_MAC_E</v>
      </c>
      <c r="G3612" s="18">
        <v>1495</v>
      </c>
    </row>
    <row r="3613" spans="1:7" x14ac:dyDescent="0.2">
      <c r="A3613" s="19" t="s">
        <v>55</v>
      </c>
      <c r="B3613" s="20" t="s">
        <v>67</v>
      </c>
      <c r="C3613" s="20" t="s">
        <v>8</v>
      </c>
      <c r="D3613" s="20" t="s">
        <v>10</v>
      </c>
      <c r="E3613" s="20" t="s">
        <v>19</v>
      </c>
      <c r="F3613" s="20" t="str">
        <f>INDEX(nrg_cb_e!$A$3:$A$40,MATCH(LEFT(MID('Industriesektor GWh'!$B3613,41,1000),SEARCH(" - ",MID('Industriesektor GWh'!$B3613,41,1000))-1),nrg_cb_e!$C$3:$C$40,0))</f>
        <v>FC_IND_MAC_E</v>
      </c>
      <c r="G3613" s="21">
        <v>2035</v>
      </c>
    </row>
    <row r="3614" spans="1:7" x14ac:dyDescent="0.2">
      <c r="A3614" s="16" t="s">
        <v>55</v>
      </c>
      <c r="B3614" s="17" t="s">
        <v>67</v>
      </c>
      <c r="C3614" s="17" t="s">
        <v>8</v>
      </c>
      <c r="D3614" s="17" t="s">
        <v>10</v>
      </c>
      <c r="E3614" s="17" t="s">
        <v>20</v>
      </c>
      <c r="F3614" s="17" t="str">
        <f>INDEX(nrg_cb_e!$A$3:$A$40,MATCH(LEFT(MID('Industriesektor GWh'!$B3614,41,1000),SEARCH(" - ",MID('Industriesektor GWh'!$B3614,41,1000))-1),nrg_cb_e!$C$3:$C$40,0))</f>
        <v>FC_IND_MAC_E</v>
      </c>
      <c r="G3614" s="18">
        <v>3997</v>
      </c>
    </row>
    <row r="3615" spans="1:7" x14ac:dyDescent="0.2">
      <c r="A3615" s="19" t="s">
        <v>55</v>
      </c>
      <c r="B3615" s="20" t="s">
        <v>67</v>
      </c>
      <c r="C3615" s="20" t="s">
        <v>8</v>
      </c>
      <c r="D3615" s="20" t="s">
        <v>10</v>
      </c>
      <c r="E3615" s="20" t="s">
        <v>21</v>
      </c>
      <c r="F3615" s="20" t="str">
        <f>INDEX(nrg_cb_e!$A$3:$A$40,MATCH(LEFT(MID('Industriesektor GWh'!$B3615,41,1000),SEARCH(" - ",MID('Industriesektor GWh'!$B3615,41,1000))-1),nrg_cb_e!$C$3:$C$40,0))</f>
        <v>FC_IND_MAC_E</v>
      </c>
      <c r="G3615" s="21">
        <v>3739</v>
      </c>
    </row>
    <row r="3616" spans="1:7" x14ac:dyDescent="0.2">
      <c r="A3616" s="16" t="s">
        <v>55</v>
      </c>
      <c r="B3616" s="17" t="s">
        <v>67</v>
      </c>
      <c r="C3616" s="17" t="s">
        <v>8</v>
      </c>
      <c r="D3616" s="17" t="s">
        <v>10</v>
      </c>
      <c r="E3616" s="17" t="s">
        <v>22</v>
      </c>
      <c r="F3616" s="17" t="str">
        <f>INDEX(nrg_cb_e!$A$3:$A$40,MATCH(LEFT(MID('Industriesektor GWh'!$B3616,41,1000),SEARCH(" - ",MID('Industriesektor GWh'!$B3616,41,1000))-1),nrg_cb_e!$C$3:$C$40,0))</f>
        <v>FC_IND_MAC_E</v>
      </c>
      <c r="G3616" s="18">
        <v>3628</v>
      </c>
    </row>
    <row r="3617" spans="1:7" x14ac:dyDescent="0.2">
      <c r="A3617" s="19" t="s">
        <v>55</v>
      </c>
      <c r="B3617" s="20" t="s">
        <v>67</v>
      </c>
      <c r="C3617" s="20" t="s">
        <v>8</v>
      </c>
      <c r="D3617" s="20" t="s">
        <v>10</v>
      </c>
      <c r="E3617" s="20" t="s">
        <v>23</v>
      </c>
      <c r="F3617" s="20" t="str">
        <f>INDEX(nrg_cb_e!$A$3:$A$40,MATCH(LEFT(MID('Industriesektor GWh'!$B3617,41,1000),SEARCH(" - ",MID('Industriesektor GWh'!$B3617,41,1000))-1),nrg_cb_e!$C$3:$C$40,0))</f>
        <v>FC_IND_MAC_E</v>
      </c>
      <c r="G3617" s="21">
        <v>3483</v>
      </c>
    </row>
    <row r="3618" spans="1:7" x14ac:dyDescent="0.2">
      <c r="A3618" s="16" t="s">
        <v>55</v>
      </c>
      <c r="B3618" s="17" t="s">
        <v>67</v>
      </c>
      <c r="C3618" s="17" t="s">
        <v>8</v>
      </c>
      <c r="D3618" s="17" t="s">
        <v>10</v>
      </c>
      <c r="E3618" s="17" t="s">
        <v>24</v>
      </c>
      <c r="F3618" s="17" t="str">
        <f>INDEX(nrg_cb_e!$A$3:$A$40,MATCH(LEFT(MID('Industriesektor GWh'!$B3618,41,1000),SEARCH(" - ",MID('Industriesektor GWh'!$B3618,41,1000))-1),nrg_cb_e!$C$3:$C$40,0))</f>
        <v>FC_IND_MAC_E</v>
      </c>
      <c r="G3618" s="18">
        <v>3654</v>
      </c>
    </row>
    <row r="3619" spans="1:7" x14ac:dyDescent="0.2">
      <c r="A3619" s="19" t="s">
        <v>55</v>
      </c>
      <c r="B3619" s="20" t="s">
        <v>67</v>
      </c>
      <c r="C3619" s="20" t="s">
        <v>8</v>
      </c>
      <c r="D3619" s="20" t="s">
        <v>10</v>
      </c>
      <c r="E3619" s="20" t="s">
        <v>25</v>
      </c>
      <c r="F3619" s="20" t="str">
        <f>INDEX(nrg_cb_e!$A$3:$A$40,MATCH(LEFT(MID('Industriesektor GWh'!$B3619,41,1000),SEARCH(" - ",MID('Industriesektor GWh'!$B3619,41,1000))-1),nrg_cb_e!$C$3:$C$40,0))</f>
        <v>FC_IND_MAC_E</v>
      </c>
      <c r="G3619" s="21">
        <v>3381</v>
      </c>
    </row>
    <row r="3620" spans="1:7" x14ac:dyDescent="0.2">
      <c r="A3620" s="16" t="s">
        <v>55</v>
      </c>
      <c r="B3620" s="17" t="s">
        <v>67</v>
      </c>
      <c r="C3620" s="17" t="s">
        <v>8</v>
      </c>
      <c r="D3620" s="17" t="s">
        <v>10</v>
      </c>
      <c r="E3620" s="17" t="s">
        <v>26</v>
      </c>
      <c r="F3620" s="17" t="str">
        <f>INDEX(nrg_cb_e!$A$3:$A$40,MATCH(LEFT(MID('Industriesektor GWh'!$B3620,41,1000),SEARCH(" - ",MID('Industriesektor GWh'!$B3620,41,1000))-1),nrg_cb_e!$C$3:$C$40,0))</f>
        <v>FC_IND_MAC_E</v>
      </c>
      <c r="G3620" s="18">
        <v>3276</v>
      </c>
    </row>
    <row r="3621" spans="1:7" x14ac:dyDescent="0.2">
      <c r="A3621" s="19" t="s">
        <v>55</v>
      </c>
      <c r="B3621" s="20" t="s">
        <v>67</v>
      </c>
      <c r="C3621" s="20" t="s">
        <v>8</v>
      </c>
      <c r="D3621" s="20" t="s">
        <v>10</v>
      </c>
      <c r="E3621" s="20" t="s">
        <v>27</v>
      </c>
      <c r="F3621" s="20" t="str">
        <f>INDEX(nrg_cb_e!$A$3:$A$40,MATCH(LEFT(MID('Industriesektor GWh'!$B3621,41,1000),SEARCH(" - ",MID('Industriesektor GWh'!$B3621,41,1000))-1),nrg_cb_e!$C$3:$C$40,0))</f>
        <v>FC_IND_MAC_E</v>
      </c>
      <c r="G3621" s="21">
        <v>3330</v>
      </c>
    </row>
    <row r="3622" spans="1:7" x14ac:dyDescent="0.2">
      <c r="A3622" s="16" t="s">
        <v>55</v>
      </c>
      <c r="B3622" s="17" t="s">
        <v>67</v>
      </c>
      <c r="C3622" s="17" t="s">
        <v>8</v>
      </c>
      <c r="D3622" s="17" t="s">
        <v>10</v>
      </c>
      <c r="E3622" s="17" t="s">
        <v>28</v>
      </c>
      <c r="F3622" s="17" t="str">
        <f>INDEX(nrg_cb_e!$A$3:$A$40,MATCH(LEFT(MID('Industriesektor GWh'!$B3622,41,1000),SEARCH(" - ",MID('Industriesektor GWh'!$B3622,41,1000))-1),nrg_cb_e!$C$3:$C$40,0))</f>
        <v>FC_IND_MAC_E</v>
      </c>
      <c r="G3622" s="18">
        <v>3399</v>
      </c>
    </row>
    <row r="3623" spans="1:7" x14ac:dyDescent="0.2">
      <c r="A3623" s="19" t="s">
        <v>56</v>
      </c>
      <c r="B3623" s="20" t="s">
        <v>67</v>
      </c>
      <c r="C3623" s="20" t="s">
        <v>8</v>
      </c>
      <c r="D3623" s="20" t="s">
        <v>10</v>
      </c>
      <c r="E3623" s="20" t="s">
        <v>12</v>
      </c>
      <c r="F3623" s="20" t="str">
        <f>INDEX(nrg_cb_e!$A$3:$A$40,MATCH(LEFT(MID('Industriesektor GWh'!$B3623,41,1000),SEARCH(" - ",MID('Industriesektor GWh'!$B3623,41,1000))-1),nrg_cb_e!$C$3:$C$40,0))</f>
        <v>FC_IND_MAC_E</v>
      </c>
      <c r="G3623" s="21">
        <v>14674</v>
      </c>
    </row>
    <row r="3624" spans="1:7" x14ac:dyDescent="0.2">
      <c r="A3624" s="16" t="s">
        <v>56</v>
      </c>
      <c r="B3624" s="17" t="s">
        <v>67</v>
      </c>
      <c r="C3624" s="17" t="s">
        <v>8</v>
      </c>
      <c r="D3624" s="17" t="s">
        <v>10</v>
      </c>
      <c r="E3624" s="17" t="s">
        <v>13</v>
      </c>
      <c r="F3624" s="17" t="str">
        <f>INDEX(nrg_cb_e!$A$3:$A$40,MATCH(LEFT(MID('Industriesektor GWh'!$B3624,41,1000),SEARCH(" - ",MID('Industriesektor GWh'!$B3624,41,1000))-1),nrg_cb_e!$C$3:$C$40,0))</f>
        <v>FC_IND_MAC_E</v>
      </c>
      <c r="G3624" s="18">
        <v>14509</v>
      </c>
    </row>
    <row r="3625" spans="1:7" x14ac:dyDescent="0.2">
      <c r="A3625" s="19" t="s">
        <v>56</v>
      </c>
      <c r="B3625" s="20" t="s">
        <v>67</v>
      </c>
      <c r="C3625" s="20" t="s">
        <v>8</v>
      </c>
      <c r="D3625" s="20" t="s">
        <v>10</v>
      </c>
      <c r="E3625" s="20" t="s">
        <v>14</v>
      </c>
      <c r="F3625" s="20" t="str">
        <f>INDEX(nrg_cb_e!$A$3:$A$40,MATCH(LEFT(MID('Industriesektor GWh'!$B3625,41,1000),SEARCH(" - ",MID('Industriesektor GWh'!$B3625,41,1000))-1),nrg_cb_e!$C$3:$C$40,0))</f>
        <v>FC_IND_MAC_E</v>
      </c>
      <c r="G3625" s="21">
        <v>15019</v>
      </c>
    </row>
    <row r="3626" spans="1:7" x14ac:dyDescent="0.2">
      <c r="A3626" s="16" t="s">
        <v>56</v>
      </c>
      <c r="B3626" s="17" t="s">
        <v>67</v>
      </c>
      <c r="C3626" s="17" t="s">
        <v>8</v>
      </c>
      <c r="D3626" s="17" t="s">
        <v>10</v>
      </c>
      <c r="E3626" s="17" t="s">
        <v>15</v>
      </c>
      <c r="F3626" s="17" t="str">
        <f>INDEX(nrg_cb_e!$A$3:$A$40,MATCH(LEFT(MID('Industriesektor GWh'!$B3626,41,1000),SEARCH(" - ",MID('Industriesektor GWh'!$B3626,41,1000))-1),nrg_cb_e!$C$3:$C$40,0))</f>
        <v>FC_IND_MAC_E</v>
      </c>
      <c r="G3626" s="18">
        <v>16053</v>
      </c>
    </row>
    <row r="3627" spans="1:7" x14ac:dyDescent="0.2">
      <c r="A3627" s="19" t="s">
        <v>56</v>
      </c>
      <c r="B3627" s="20" t="s">
        <v>67</v>
      </c>
      <c r="C3627" s="20" t="s">
        <v>8</v>
      </c>
      <c r="D3627" s="20" t="s">
        <v>10</v>
      </c>
      <c r="E3627" s="20" t="s">
        <v>16</v>
      </c>
      <c r="F3627" s="20" t="str">
        <f>INDEX(nrg_cb_e!$A$3:$A$40,MATCH(LEFT(MID('Industriesektor GWh'!$B3627,41,1000),SEARCH(" - ",MID('Industriesektor GWh'!$B3627,41,1000))-1),nrg_cb_e!$C$3:$C$40,0))</f>
        <v>FC_IND_MAC_E</v>
      </c>
      <c r="G3627" s="21">
        <v>15832</v>
      </c>
    </row>
    <row r="3628" spans="1:7" x14ac:dyDescent="0.2">
      <c r="A3628" s="16" t="s">
        <v>56</v>
      </c>
      <c r="B3628" s="17" t="s">
        <v>67</v>
      </c>
      <c r="C3628" s="17" t="s">
        <v>8</v>
      </c>
      <c r="D3628" s="17" t="s">
        <v>10</v>
      </c>
      <c r="E3628" s="17" t="s">
        <v>17</v>
      </c>
      <c r="F3628" s="17" t="str">
        <f>INDEX(nrg_cb_e!$A$3:$A$40,MATCH(LEFT(MID('Industriesektor GWh'!$B3628,41,1000),SEARCH(" - ",MID('Industriesektor GWh'!$B3628,41,1000))-1),nrg_cb_e!$C$3:$C$40,0))</f>
        <v>FC_IND_MAC_E</v>
      </c>
      <c r="G3628" s="18">
        <v>15748</v>
      </c>
    </row>
    <row r="3629" spans="1:7" x14ac:dyDescent="0.2">
      <c r="A3629" s="19" t="s">
        <v>56</v>
      </c>
      <c r="B3629" s="20" t="s">
        <v>67</v>
      </c>
      <c r="C3629" s="20" t="s">
        <v>8</v>
      </c>
      <c r="D3629" s="20" t="s">
        <v>10</v>
      </c>
      <c r="E3629" s="20" t="s">
        <v>18</v>
      </c>
      <c r="F3629" s="20" t="str">
        <f>INDEX(nrg_cb_e!$A$3:$A$40,MATCH(LEFT(MID('Industriesektor GWh'!$B3629,41,1000),SEARCH(" - ",MID('Industriesektor GWh'!$B3629,41,1000))-1),nrg_cb_e!$C$3:$C$40,0))</f>
        <v>FC_IND_MAC_E</v>
      </c>
      <c r="G3629" s="21">
        <v>16010</v>
      </c>
    </row>
    <row r="3630" spans="1:7" x14ac:dyDescent="0.2">
      <c r="A3630" s="16" t="s">
        <v>56</v>
      </c>
      <c r="B3630" s="17" t="s">
        <v>67</v>
      </c>
      <c r="C3630" s="17" t="s">
        <v>8</v>
      </c>
      <c r="D3630" s="17" t="s">
        <v>10</v>
      </c>
      <c r="E3630" s="17" t="s">
        <v>19</v>
      </c>
      <c r="F3630" s="17" t="str">
        <f>INDEX(nrg_cb_e!$A$3:$A$40,MATCH(LEFT(MID('Industriesektor GWh'!$B3630,41,1000),SEARCH(" - ",MID('Industriesektor GWh'!$B3630,41,1000))-1),nrg_cb_e!$C$3:$C$40,0))</f>
        <v>FC_IND_MAC_E</v>
      </c>
      <c r="G3630" s="18">
        <v>14143</v>
      </c>
    </row>
    <row r="3631" spans="1:7" x14ac:dyDescent="0.2">
      <c r="A3631" s="19" t="s">
        <v>56</v>
      </c>
      <c r="B3631" s="20" t="s">
        <v>67</v>
      </c>
      <c r="C3631" s="20" t="s">
        <v>8</v>
      </c>
      <c r="D3631" s="20" t="s">
        <v>10</v>
      </c>
      <c r="E3631" s="20" t="s">
        <v>20</v>
      </c>
      <c r="F3631" s="20" t="str">
        <f>INDEX(nrg_cb_e!$A$3:$A$40,MATCH(LEFT(MID('Industriesektor GWh'!$B3631,41,1000),SEARCH(" - ",MID('Industriesektor GWh'!$B3631,41,1000))-1),nrg_cb_e!$C$3:$C$40,0))</f>
        <v>FC_IND_MAC_E</v>
      </c>
      <c r="G3631" s="21">
        <v>14309</v>
      </c>
    </row>
    <row r="3632" spans="1:7" x14ac:dyDescent="0.2">
      <c r="A3632" s="16" t="s">
        <v>56</v>
      </c>
      <c r="B3632" s="17" t="s">
        <v>67</v>
      </c>
      <c r="C3632" s="17" t="s">
        <v>8</v>
      </c>
      <c r="D3632" s="17" t="s">
        <v>10</v>
      </c>
      <c r="E3632" s="17" t="s">
        <v>21</v>
      </c>
      <c r="F3632" s="17" t="str">
        <f>INDEX(nrg_cb_e!$A$3:$A$40,MATCH(LEFT(MID('Industriesektor GWh'!$B3632,41,1000),SEARCH(" - ",MID('Industriesektor GWh'!$B3632,41,1000))-1),nrg_cb_e!$C$3:$C$40,0))</f>
        <v>FC_IND_MAC_E</v>
      </c>
      <c r="G3632" s="18">
        <v>13645</v>
      </c>
    </row>
    <row r="3633" spans="1:7" x14ac:dyDescent="0.2">
      <c r="A3633" s="19" t="s">
        <v>56</v>
      </c>
      <c r="B3633" s="20" t="s">
        <v>67</v>
      </c>
      <c r="C3633" s="20" t="s">
        <v>8</v>
      </c>
      <c r="D3633" s="20" t="s">
        <v>10</v>
      </c>
      <c r="E3633" s="20" t="s">
        <v>22</v>
      </c>
      <c r="F3633" s="20" t="str">
        <f>INDEX(nrg_cb_e!$A$3:$A$40,MATCH(LEFT(MID('Industriesektor GWh'!$B3633,41,1000),SEARCH(" - ",MID('Industriesektor GWh'!$B3633,41,1000))-1),nrg_cb_e!$C$3:$C$40,0))</f>
        <v>FC_IND_MAC_E</v>
      </c>
      <c r="G3633" s="21">
        <v>13261</v>
      </c>
    </row>
    <row r="3634" spans="1:7" x14ac:dyDescent="0.2">
      <c r="A3634" s="16" t="s">
        <v>56</v>
      </c>
      <c r="B3634" s="17" t="s">
        <v>67</v>
      </c>
      <c r="C3634" s="17" t="s">
        <v>8</v>
      </c>
      <c r="D3634" s="17" t="s">
        <v>10</v>
      </c>
      <c r="E3634" s="17" t="s">
        <v>23</v>
      </c>
      <c r="F3634" s="17" t="str">
        <f>INDEX(nrg_cb_e!$A$3:$A$40,MATCH(LEFT(MID('Industriesektor GWh'!$B3634,41,1000),SEARCH(" - ",MID('Industriesektor GWh'!$B3634,41,1000))-1),nrg_cb_e!$C$3:$C$40,0))</f>
        <v>FC_IND_MAC_E</v>
      </c>
      <c r="G3634" s="18">
        <v>13235</v>
      </c>
    </row>
    <row r="3635" spans="1:7" x14ac:dyDescent="0.2">
      <c r="A3635" s="19" t="s">
        <v>56</v>
      </c>
      <c r="B3635" s="20" t="s">
        <v>67</v>
      </c>
      <c r="C3635" s="20" t="s">
        <v>8</v>
      </c>
      <c r="D3635" s="20" t="s">
        <v>10</v>
      </c>
      <c r="E3635" s="20" t="s">
        <v>24</v>
      </c>
      <c r="F3635" s="20" t="str">
        <f>INDEX(nrg_cb_e!$A$3:$A$40,MATCH(LEFT(MID('Industriesektor GWh'!$B3635,41,1000),SEARCH(" - ",MID('Industriesektor GWh'!$B3635,41,1000))-1),nrg_cb_e!$C$3:$C$40,0))</f>
        <v>FC_IND_MAC_E</v>
      </c>
      <c r="G3635" s="21">
        <v>12627</v>
      </c>
    </row>
    <row r="3636" spans="1:7" x14ac:dyDescent="0.2">
      <c r="A3636" s="16" t="s">
        <v>56</v>
      </c>
      <c r="B3636" s="17" t="s">
        <v>67</v>
      </c>
      <c r="C3636" s="17" t="s">
        <v>8</v>
      </c>
      <c r="D3636" s="17" t="s">
        <v>10</v>
      </c>
      <c r="E3636" s="17" t="s">
        <v>25</v>
      </c>
      <c r="F3636" s="17" t="str">
        <f>INDEX(nrg_cb_e!$A$3:$A$40,MATCH(LEFT(MID('Industriesektor GWh'!$B3636,41,1000),SEARCH(" - ",MID('Industriesektor GWh'!$B3636,41,1000))-1),nrg_cb_e!$C$3:$C$40,0))</f>
        <v>FC_IND_MAC_E</v>
      </c>
      <c r="G3636" s="18">
        <v>12225.583000000001</v>
      </c>
    </row>
    <row r="3637" spans="1:7" x14ac:dyDescent="0.2">
      <c r="A3637" s="19" t="s">
        <v>56</v>
      </c>
      <c r="B3637" s="20" t="s">
        <v>67</v>
      </c>
      <c r="C3637" s="20" t="s">
        <v>8</v>
      </c>
      <c r="D3637" s="20" t="s">
        <v>10</v>
      </c>
      <c r="E3637" s="20" t="s">
        <v>26</v>
      </c>
      <c r="F3637" s="20" t="str">
        <f>INDEX(nrg_cb_e!$A$3:$A$40,MATCH(LEFT(MID('Industriesektor GWh'!$B3637,41,1000),SEARCH(" - ",MID('Industriesektor GWh'!$B3637,41,1000))-1),nrg_cb_e!$C$3:$C$40,0))</f>
        <v>FC_IND_MAC_E</v>
      </c>
      <c r="G3637" s="21">
        <v>12268.34</v>
      </c>
    </row>
    <row r="3638" spans="1:7" x14ac:dyDescent="0.2">
      <c r="A3638" s="16" t="s">
        <v>56</v>
      </c>
      <c r="B3638" s="17" t="s">
        <v>67</v>
      </c>
      <c r="C3638" s="17" t="s">
        <v>8</v>
      </c>
      <c r="D3638" s="17" t="s">
        <v>10</v>
      </c>
      <c r="E3638" s="17" t="s">
        <v>27</v>
      </c>
      <c r="F3638" s="17" t="str">
        <f>INDEX(nrg_cb_e!$A$3:$A$40,MATCH(LEFT(MID('Industriesektor GWh'!$B3638,41,1000),SEARCH(" - ",MID('Industriesektor GWh'!$B3638,41,1000))-1),nrg_cb_e!$C$3:$C$40,0))</f>
        <v>FC_IND_MAC_E</v>
      </c>
      <c r="G3638" s="18">
        <v>12456.5</v>
      </c>
    </row>
    <row r="3639" spans="1:7" x14ac:dyDescent="0.2">
      <c r="A3639" s="19" t="s">
        <v>56</v>
      </c>
      <c r="B3639" s="20" t="s">
        <v>67</v>
      </c>
      <c r="C3639" s="20" t="s">
        <v>8</v>
      </c>
      <c r="D3639" s="20" t="s">
        <v>10</v>
      </c>
      <c r="E3639" s="20" t="s">
        <v>28</v>
      </c>
      <c r="F3639" s="20" t="str">
        <f>INDEX(nrg_cb_e!$A$3:$A$40,MATCH(LEFT(MID('Industriesektor GWh'!$B3639,41,1000),SEARCH(" - ",MID('Industriesektor GWh'!$B3639,41,1000))-1),nrg_cb_e!$C$3:$C$40,0))</f>
        <v>FC_IND_MAC_E</v>
      </c>
      <c r="G3639" s="21">
        <v>12601.316999999999</v>
      </c>
    </row>
    <row r="3640" spans="1:7" x14ac:dyDescent="0.2">
      <c r="A3640" s="16" t="s">
        <v>57</v>
      </c>
      <c r="B3640" s="17" t="s">
        <v>67</v>
      </c>
      <c r="C3640" s="17" t="s">
        <v>8</v>
      </c>
      <c r="D3640" s="17" t="s">
        <v>10</v>
      </c>
      <c r="E3640" s="17" t="s">
        <v>12</v>
      </c>
      <c r="F3640" s="17" t="str">
        <f>INDEX(nrg_cb_e!$A$3:$A$40,MATCH(LEFT(MID('Industriesektor GWh'!$B3640,41,1000),SEARCH(" - ",MID('Industriesektor GWh'!$B3640,41,1000))-1),nrg_cb_e!$C$3:$C$40,0))</f>
        <v>FC_IND_MAC_E</v>
      </c>
      <c r="G3640" s="18">
        <v>9</v>
      </c>
    </row>
    <row r="3641" spans="1:7" x14ac:dyDescent="0.2">
      <c r="A3641" s="19" t="s">
        <v>57</v>
      </c>
      <c r="B3641" s="20" t="s">
        <v>67</v>
      </c>
      <c r="C3641" s="20" t="s">
        <v>8</v>
      </c>
      <c r="D3641" s="20" t="s">
        <v>10</v>
      </c>
      <c r="E3641" s="20" t="s">
        <v>13</v>
      </c>
      <c r="F3641" s="20" t="str">
        <f>INDEX(nrg_cb_e!$A$3:$A$40,MATCH(LEFT(MID('Industriesektor GWh'!$B3641,41,1000),SEARCH(" - ",MID('Industriesektor GWh'!$B3641,41,1000))-1),nrg_cb_e!$C$3:$C$40,0))</f>
        <v>FC_IND_MAC_E</v>
      </c>
      <c r="G3641" s="21">
        <v>8</v>
      </c>
    </row>
    <row r="3642" spans="1:7" x14ac:dyDescent="0.2">
      <c r="A3642" s="16" t="s">
        <v>57</v>
      </c>
      <c r="B3642" s="17" t="s">
        <v>67</v>
      </c>
      <c r="C3642" s="17" t="s">
        <v>8</v>
      </c>
      <c r="D3642" s="17" t="s">
        <v>10</v>
      </c>
      <c r="E3642" s="17" t="s">
        <v>14</v>
      </c>
      <c r="F3642" s="17" t="str">
        <f>INDEX(nrg_cb_e!$A$3:$A$40,MATCH(LEFT(MID('Industriesektor GWh'!$B3642,41,1000),SEARCH(" - ",MID('Industriesektor GWh'!$B3642,41,1000))-1),nrg_cb_e!$C$3:$C$40,0))</f>
        <v>FC_IND_MAC_E</v>
      </c>
      <c r="G3642" s="18">
        <v>9</v>
      </c>
    </row>
    <row r="3643" spans="1:7" x14ac:dyDescent="0.2">
      <c r="A3643" s="19" t="s">
        <v>57</v>
      </c>
      <c r="B3643" s="20" t="s">
        <v>67</v>
      </c>
      <c r="C3643" s="20" t="s">
        <v>8</v>
      </c>
      <c r="D3643" s="20" t="s">
        <v>10</v>
      </c>
      <c r="E3643" s="20" t="s">
        <v>15</v>
      </c>
      <c r="F3643" s="20" t="str">
        <f>INDEX(nrg_cb_e!$A$3:$A$40,MATCH(LEFT(MID('Industriesektor GWh'!$B3643,41,1000),SEARCH(" - ",MID('Industriesektor GWh'!$B3643,41,1000))-1),nrg_cb_e!$C$3:$C$40,0))</f>
        <v>FC_IND_MAC_E</v>
      </c>
      <c r="G3643" s="21">
        <v>11</v>
      </c>
    </row>
    <row r="3644" spans="1:7" x14ac:dyDescent="0.2">
      <c r="A3644" s="16" t="s">
        <v>57</v>
      </c>
      <c r="B3644" s="17" t="s">
        <v>67</v>
      </c>
      <c r="C3644" s="17" t="s">
        <v>8</v>
      </c>
      <c r="D3644" s="17" t="s">
        <v>10</v>
      </c>
      <c r="E3644" s="17" t="s">
        <v>16</v>
      </c>
      <c r="F3644" s="17" t="str">
        <f>INDEX(nrg_cb_e!$A$3:$A$40,MATCH(LEFT(MID('Industriesektor GWh'!$B3644,41,1000),SEARCH(" - ",MID('Industriesektor GWh'!$B3644,41,1000))-1),nrg_cb_e!$C$3:$C$40,0))</f>
        <v>FC_IND_MAC_E</v>
      </c>
      <c r="G3644" s="18">
        <v>10</v>
      </c>
    </row>
    <row r="3645" spans="1:7" x14ac:dyDescent="0.2">
      <c r="A3645" s="19" t="s">
        <v>57</v>
      </c>
      <c r="B3645" s="20" t="s">
        <v>67</v>
      </c>
      <c r="C3645" s="20" t="s">
        <v>8</v>
      </c>
      <c r="D3645" s="20" t="s">
        <v>10</v>
      </c>
      <c r="E3645" s="20" t="s">
        <v>17</v>
      </c>
      <c r="F3645" s="20" t="str">
        <f>INDEX(nrg_cb_e!$A$3:$A$40,MATCH(LEFT(MID('Industriesektor GWh'!$B3645,41,1000),SEARCH(" - ",MID('Industriesektor GWh'!$B3645,41,1000))-1),nrg_cb_e!$C$3:$C$40,0))</f>
        <v>FC_IND_MAC_E</v>
      </c>
      <c r="G3645" s="21">
        <v>11</v>
      </c>
    </row>
    <row r="3646" spans="1:7" x14ac:dyDescent="0.2">
      <c r="A3646" s="16" t="s">
        <v>57</v>
      </c>
      <c r="B3646" s="17" t="s">
        <v>67</v>
      </c>
      <c r="C3646" s="17" t="s">
        <v>8</v>
      </c>
      <c r="D3646" s="17" t="s">
        <v>10</v>
      </c>
      <c r="E3646" s="17" t="s">
        <v>18</v>
      </c>
      <c r="F3646" s="17" t="str">
        <f>INDEX(nrg_cb_e!$A$3:$A$40,MATCH(LEFT(MID('Industriesektor GWh'!$B3646,41,1000),SEARCH(" - ",MID('Industriesektor GWh'!$B3646,41,1000))-1),nrg_cb_e!$C$3:$C$40,0))</f>
        <v>FC_IND_MAC_E</v>
      </c>
      <c r="G3646" s="18">
        <v>11</v>
      </c>
    </row>
    <row r="3647" spans="1:7" x14ac:dyDescent="0.2">
      <c r="A3647" s="19" t="s">
        <v>57</v>
      </c>
      <c r="B3647" s="20" t="s">
        <v>67</v>
      </c>
      <c r="C3647" s="20" t="s">
        <v>8</v>
      </c>
      <c r="D3647" s="20" t="s">
        <v>10</v>
      </c>
      <c r="E3647" s="20" t="s">
        <v>19</v>
      </c>
      <c r="F3647" s="20" t="str">
        <f>INDEX(nrg_cb_e!$A$3:$A$40,MATCH(LEFT(MID('Industriesektor GWh'!$B3647,41,1000),SEARCH(" - ",MID('Industriesektor GWh'!$B3647,41,1000))-1),nrg_cb_e!$C$3:$C$40,0))</f>
        <v>FC_IND_MAC_E</v>
      </c>
      <c r="G3647" s="21">
        <v>9</v>
      </c>
    </row>
    <row r="3648" spans="1:7" x14ac:dyDescent="0.2">
      <c r="A3648" s="16" t="s">
        <v>57</v>
      </c>
      <c r="B3648" s="17" t="s">
        <v>67</v>
      </c>
      <c r="C3648" s="17" t="s">
        <v>8</v>
      </c>
      <c r="D3648" s="17" t="s">
        <v>10</v>
      </c>
      <c r="E3648" s="17" t="s">
        <v>20</v>
      </c>
      <c r="F3648" s="17" t="str">
        <f>INDEX(nrg_cb_e!$A$3:$A$40,MATCH(LEFT(MID('Industriesektor GWh'!$B3648,41,1000),SEARCH(" - ",MID('Industriesektor GWh'!$B3648,41,1000))-1),nrg_cb_e!$C$3:$C$40,0))</f>
        <v>FC_IND_MAC_E</v>
      </c>
      <c r="G3648" s="18">
        <v>10</v>
      </c>
    </row>
    <row r="3649" spans="1:7" x14ac:dyDescent="0.2">
      <c r="A3649" s="19" t="s">
        <v>57</v>
      </c>
      <c r="B3649" s="20" t="s">
        <v>67</v>
      </c>
      <c r="C3649" s="20" t="s">
        <v>8</v>
      </c>
      <c r="D3649" s="20" t="s">
        <v>10</v>
      </c>
      <c r="E3649" s="20" t="s">
        <v>21</v>
      </c>
      <c r="F3649" s="20" t="str">
        <f>INDEX(nrg_cb_e!$A$3:$A$40,MATCH(LEFT(MID('Industriesektor GWh'!$B3649,41,1000),SEARCH(" - ",MID('Industriesektor GWh'!$B3649,41,1000))-1),nrg_cb_e!$C$3:$C$40,0))</f>
        <v>FC_IND_MAC_E</v>
      </c>
      <c r="G3649" s="21">
        <v>10</v>
      </c>
    </row>
    <row r="3650" spans="1:7" x14ac:dyDescent="0.2">
      <c r="A3650" s="16" t="s">
        <v>57</v>
      </c>
      <c r="B3650" s="17" t="s">
        <v>67</v>
      </c>
      <c r="C3650" s="17" t="s">
        <v>8</v>
      </c>
      <c r="D3650" s="17" t="s">
        <v>10</v>
      </c>
      <c r="E3650" s="17" t="s">
        <v>22</v>
      </c>
      <c r="F3650" s="17" t="str">
        <f>INDEX(nrg_cb_e!$A$3:$A$40,MATCH(LEFT(MID('Industriesektor GWh'!$B3650,41,1000),SEARCH(" - ",MID('Industriesektor GWh'!$B3650,41,1000))-1),nrg_cb_e!$C$3:$C$40,0))</f>
        <v>FC_IND_MAC_E</v>
      </c>
      <c r="G3650" s="18">
        <v>11</v>
      </c>
    </row>
    <row r="3651" spans="1:7" x14ac:dyDescent="0.2">
      <c r="A3651" s="19" t="s">
        <v>57</v>
      </c>
      <c r="B3651" s="20" t="s">
        <v>67</v>
      </c>
      <c r="C3651" s="20" t="s">
        <v>8</v>
      </c>
      <c r="D3651" s="20" t="s">
        <v>10</v>
      </c>
      <c r="E3651" s="20" t="s">
        <v>23</v>
      </c>
      <c r="F3651" s="20" t="str">
        <f>INDEX(nrg_cb_e!$A$3:$A$40,MATCH(LEFT(MID('Industriesektor GWh'!$B3651,41,1000),SEARCH(" - ",MID('Industriesektor GWh'!$B3651,41,1000))-1),nrg_cb_e!$C$3:$C$40,0))</f>
        <v>FC_IND_MAC_E</v>
      </c>
      <c r="G3651" s="21">
        <v>11</v>
      </c>
    </row>
    <row r="3652" spans="1:7" x14ac:dyDescent="0.2">
      <c r="A3652" s="16" t="s">
        <v>57</v>
      </c>
      <c r="B3652" s="17" t="s">
        <v>67</v>
      </c>
      <c r="C3652" s="17" t="s">
        <v>8</v>
      </c>
      <c r="D3652" s="17" t="s">
        <v>10</v>
      </c>
      <c r="E3652" s="17" t="s">
        <v>24</v>
      </c>
      <c r="F3652" s="17" t="str">
        <f>INDEX(nrg_cb_e!$A$3:$A$40,MATCH(LEFT(MID('Industriesektor GWh'!$B3652,41,1000),SEARCH(" - ",MID('Industriesektor GWh'!$B3652,41,1000))-1),nrg_cb_e!$C$3:$C$40,0))</f>
        <v>FC_IND_MAC_E</v>
      </c>
      <c r="G3652" s="18">
        <v>10</v>
      </c>
    </row>
    <row r="3653" spans="1:7" x14ac:dyDescent="0.2">
      <c r="A3653" s="19" t="s">
        <v>57</v>
      </c>
      <c r="B3653" s="20" t="s">
        <v>67</v>
      </c>
      <c r="C3653" s="20" t="s">
        <v>8</v>
      </c>
      <c r="D3653" s="20" t="s">
        <v>10</v>
      </c>
      <c r="E3653" s="20" t="s">
        <v>25</v>
      </c>
      <c r="F3653" s="20" t="str">
        <f>INDEX(nrg_cb_e!$A$3:$A$40,MATCH(LEFT(MID('Industriesektor GWh'!$B3653,41,1000),SEARCH(" - ",MID('Industriesektor GWh'!$B3653,41,1000))-1),nrg_cb_e!$C$3:$C$40,0))</f>
        <v>FC_IND_MAC_E</v>
      </c>
      <c r="G3653" s="21">
        <v>10</v>
      </c>
    </row>
    <row r="3654" spans="1:7" x14ac:dyDescent="0.2">
      <c r="A3654" s="16" t="s">
        <v>57</v>
      </c>
      <c r="B3654" s="17" t="s">
        <v>67</v>
      </c>
      <c r="C3654" s="17" t="s">
        <v>8</v>
      </c>
      <c r="D3654" s="17" t="s">
        <v>10</v>
      </c>
      <c r="E3654" s="17" t="s">
        <v>26</v>
      </c>
      <c r="F3654" s="17" t="str">
        <f>INDEX(nrg_cb_e!$A$3:$A$40,MATCH(LEFT(MID('Industriesektor GWh'!$B3654,41,1000),SEARCH(" - ",MID('Industriesektor GWh'!$B3654,41,1000))-1),nrg_cb_e!$C$3:$C$40,0))</f>
        <v>FC_IND_MAC_E</v>
      </c>
      <c r="G3654" s="18">
        <v>11</v>
      </c>
    </row>
    <row r="3655" spans="1:7" x14ac:dyDescent="0.2">
      <c r="A3655" s="19" t="s">
        <v>57</v>
      </c>
      <c r="B3655" s="20" t="s">
        <v>67</v>
      </c>
      <c r="C3655" s="20" t="s">
        <v>8</v>
      </c>
      <c r="D3655" s="20" t="s">
        <v>10</v>
      </c>
      <c r="E3655" s="20" t="s">
        <v>27</v>
      </c>
      <c r="F3655" s="20" t="str">
        <f>INDEX(nrg_cb_e!$A$3:$A$40,MATCH(LEFT(MID('Industriesektor GWh'!$B3655,41,1000),SEARCH(" - ",MID('Industriesektor GWh'!$B3655,41,1000))-1),nrg_cb_e!$C$3:$C$40,0))</f>
        <v>FC_IND_MAC_E</v>
      </c>
      <c r="G3655" s="21">
        <v>10.872</v>
      </c>
    </row>
    <row r="3656" spans="1:7" x14ac:dyDescent="0.2">
      <c r="A3656" s="16" t="s">
        <v>57</v>
      </c>
      <c r="B3656" s="17" t="s">
        <v>67</v>
      </c>
      <c r="C3656" s="17" t="s">
        <v>8</v>
      </c>
      <c r="D3656" s="17" t="s">
        <v>10</v>
      </c>
      <c r="E3656" s="17" t="s">
        <v>28</v>
      </c>
      <c r="F3656" s="17" t="str">
        <f>INDEX(nrg_cb_e!$A$3:$A$40,MATCH(LEFT(MID('Industriesektor GWh'!$B3656,41,1000),SEARCH(" - ",MID('Industriesektor GWh'!$B3656,41,1000))-1),nrg_cb_e!$C$3:$C$40,0))</f>
        <v>FC_IND_MAC_E</v>
      </c>
      <c r="G3656" s="18">
        <v>10.853999999999999</v>
      </c>
    </row>
    <row r="3657" spans="1:7" x14ac:dyDescent="0.2">
      <c r="A3657" s="19" t="s">
        <v>58</v>
      </c>
      <c r="B3657" s="20" t="s">
        <v>67</v>
      </c>
      <c r="C3657" s="20" t="s">
        <v>8</v>
      </c>
      <c r="D3657" s="20" t="s">
        <v>10</v>
      </c>
      <c r="E3657" s="20" t="s">
        <v>12</v>
      </c>
      <c r="F3657" s="20" t="str">
        <f>INDEX(nrg_cb_e!$A$3:$A$40,MATCH(LEFT(MID('Industriesektor GWh'!$B3657,41,1000),SEARCH(" - ",MID('Industriesektor GWh'!$B3657,41,1000))-1),nrg_cb_e!$C$3:$C$40,0))</f>
        <v>FC_IND_MAC_E</v>
      </c>
      <c r="G3657" s="21">
        <v>1324</v>
      </c>
    </row>
    <row r="3658" spans="1:7" x14ac:dyDescent="0.2">
      <c r="A3658" s="16" t="s">
        <v>58</v>
      </c>
      <c r="B3658" s="17" t="s">
        <v>67</v>
      </c>
      <c r="C3658" s="17" t="s">
        <v>8</v>
      </c>
      <c r="D3658" s="17" t="s">
        <v>10</v>
      </c>
      <c r="E3658" s="17" t="s">
        <v>13</v>
      </c>
      <c r="F3658" s="17" t="str">
        <f>INDEX(nrg_cb_e!$A$3:$A$40,MATCH(LEFT(MID('Industriesektor GWh'!$B3658,41,1000),SEARCH(" - ",MID('Industriesektor GWh'!$B3658,41,1000))-1),nrg_cb_e!$C$3:$C$40,0))</f>
        <v>FC_IND_MAC_E</v>
      </c>
      <c r="G3658" s="18">
        <v>1178</v>
      </c>
    </row>
    <row r="3659" spans="1:7" x14ac:dyDescent="0.2">
      <c r="A3659" s="19" t="s">
        <v>58</v>
      </c>
      <c r="B3659" s="20" t="s">
        <v>67</v>
      </c>
      <c r="C3659" s="20" t="s">
        <v>8</v>
      </c>
      <c r="D3659" s="20" t="s">
        <v>10</v>
      </c>
      <c r="E3659" s="20" t="s">
        <v>14</v>
      </c>
      <c r="F3659" s="20" t="str">
        <f>INDEX(nrg_cb_e!$A$3:$A$40,MATCH(LEFT(MID('Industriesektor GWh'!$B3659,41,1000),SEARCH(" - ",MID('Industriesektor GWh'!$B3659,41,1000))-1),nrg_cb_e!$C$3:$C$40,0))</f>
        <v>FC_IND_MAC_E</v>
      </c>
      <c r="G3659" s="21">
        <v>1208</v>
      </c>
    </row>
    <row r="3660" spans="1:7" x14ac:dyDescent="0.2">
      <c r="A3660" s="16" t="s">
        <v>58</v>
      </c>
      <c r="B3660" s="17" t="s">
        <v>67</v>
      </c>
      <c r="C3660" s="17" t="s">
        <v>8</v>
      </c>
      <c r="D3660" s="17" t="s">
        <v>10</v>
      </c>
      <c r="E3660" s="17" t="s">
        <v>15</v>
      </c>
      <c r="F3660" s="17" t="str">
        <f>INDEX(nrg_cb_e!$A$3:$A$40,MATCH(LEFT(MID('Industriesektor GWh'!$B3660,41,1000),SEARCH(" - ",MID('Industriesektor GWh'!$B3660,41,1000))-1),nrg_cb_e!$C$3:$C$40,0))</f>
        <v>FC_IND_MAC_E</v>
      </c>
      <c r="G3660" s="18">
        <v>1224</v>
      </c>
    </row>
    <row r="3661" spans="1:7" x14ac:dyDescent="0.2">
      <c r="A3661" s="19" t="s">
        <v>58</v>
      </c>
      <c r="B3661" s="20" t="s">
        <v>67</v>
      </c>
      <c r="C3661" s="20" t="s">
        <v>8</v>
      </c>
      <c r="D3661" s="20" t="s">
        <v>10</v>
      </c>
      <c r="E3661" s="20" t="s">
        <v>16</v>
      </c>
      <c r="F3661" s="20" t="str">
        <f>INDEX(nrg_cb_e!$A$3:$A$40,MATCH(LEFT(MID('Industriesektor GWh'!$B3661,41,1000),SEARCH(" - ",MID('Industriesektor GWh'!$B3661,41,1000))-1),nrg_cb_e!$C$3:$C$40,0))</f>
        <v>FC_IND_MAC_E</v>
      </c>
      <c r="G3661" s="21">
        <v>1246</v>
      </c>
    </row>
    <row r="3662" spans="1:7" x14ac:dyDescent="0.2">
      <c r="A3662" s="16" t="s">
        <v>58</v>
      </c>
      <c r="B3662" s="17" t="s">
        <v>67</v>
      </c>
      <c r="C3662" s="17" t="s">
        <v>8</v>
      </c>
      <c r="D3662" s="17" t="s">
        <v>10</v>
      </c>
      <c r="E3662" s="17" t="s">
        <v>17</v>
      </c>
      <c r="F3662" s="17" t="str">
        <f>INDEX(nrg_cb_e!$A$3:$A$40,MATCH(LEFT(MID('Industriesektor GWh'!$B3662,41,1000),SEARCH(" - ",MID('Industriesektor GWh'!$B3662,41,1000))-1),nrg_cb_e!$C$3:$C$40,0))</f>
        <v>FC_IND_MAC_E</v>
      </c>
      <c r="G3662" s="18">
        <v>1317</v>
      </c>
    </row>
    <row r="3663" spans="1:7" x14ac:dyDescent="0.2">
      <c r="A3663" s="19" t="s">
        <v>58</v>
      </c>
      <c r="B3663" s="20" t="s">
        <v>67</v>
      </c>
      <c r="C3663" s="20" t="s">
        <v>8</v>
      </c>
      <c r="D3663" s="20" t="s">
        <v>10</v>
      </c>
      <c r="E3663" s="20" t="s">
        <v>18</v>
      </c>
      <c r="F3663" s="20" t="str">
        <f>INDEX(nrg_cb_e!$A$3:$A$40,MATCH(LEFT(MID('Industriesektor GWh'!$B3663,41,1000),SEARCH(" - ",MID('Industriesektor GWh'!$B3663,41,1000))-1),nrg_cb_e!$C$3:$C$40,0))</f>
        <v>FC_IND_MAC_E</v>
      </c>
      <c r="G3663" s="21">
        <v>1317</v>
      </c>
    </row>
    <row r="3664" spans="1:7" x14ac:dyDescent="0.2">
      <c r="A3664" s="16" t="s">
        <v>58</v>
      </c>
      <c r="B3664" s="17" t="s">
        <v>67</v>
      </c>
      <c r="C3664" s="17" t="s">
        <v>8</v>
      </c>
      <c r="D3664" s="17" t="s">
        <v>10</v>
      </c>
      <c r="E3664" s="17" t="s">
        <v>19</v>
      </c>
      <c r="F3664" s="17" t="str">
        <f>INDEX(nrg_cb_e!$A$3:$A$40,MATCH(LEFT(MID('Industriesektor GWh'!$B3664,41,1000),SEARCH(" - ",MID('Industriesektor GWh'!$B3664,41,1000))-1),nrg_cb_e!$C$3:$C$40,0))</f>
        <v>FC_IND_MAC_E</v>
      </c>
      <c r="G3664" s="18">
        <v>963</v>
      </c>
    </row>
    <row r="3665" spans="1:7" x14ac:dyDescent="0.2">
      <c r="A3665" s="19" t="s">
        <v>58</v>
      </c>
      <c r="B3665" s="20" t="s">
        <v>67</v>
      </c>
      <c r="C3665" s="20" t="s">
        <v>8</v>
      </c>
      <c r="D3665" s="20" t="s">
        <v>10</v>
      </c>
      <c r="E3665" s="20" t="s">
        <v>20</v>
      </c>
      <c r="F3665" s="20" t="str">
        <f>INDEX(nrg_cb_e!$A$3:$A$40,MATCH(LEFT(MID('Industriesektor GWh'!$B3665,41,1000),SEARCH(" - ",MID('Industriesektor GWh'!$B3665,41,1000))-1),nrg_cb_e!$C$3:$C$40,0))</f>
        <v>FC_IND_MAC_E</v>
      </c>
      <c r="G3665" s="21">
        <v>1171</v>
      </c>
    </row>
    <row r="3666" spans="1:7" x14ac:dyDescent="0.2">
      <c r="A3666" s="16" t="s">
        <v>58</v>
      </c>
      <c r="B3666" s="17" t="s">
        <v>67</v>
      </c>
      <c r="C3666" s="17" t="s">
        <v>8</v>
      </c>
      <c r="D3666" s="17" t="s">
        <v>10</v>
      </c>
      <c r="E3666" s="17" t="s">
        <v>21</v>
      </c>
      <c r="F3666" s="17" t="str">
        <f>INDEX(nrg_cb_e!$A$3:$A$40,MATCH(LEFT(MID('Industriesektor GWh'!$B3666,41,1000),SEARCH(" - ",MID('Industriesektor GWh'!$B3666,41,1000))-1),nrg_cb_e!$C$3:$C$40,0))</f>
        <v>FC_IND_MAC_E</v>
      </c>
      <c r="G3666" s="18">
        <v>1117</v>
      </c>
    </row>
    <row r="3667" spans="1:7" x14ac:dyDescent="0.2">
      <c r="A3667" s="19" t="s">
        <v>58</v>
      </c>
      <c r="B3667" s="20" t="s">
        <v>67</v>
      </c>
      <c r="C3667" s="20" t="s">
        <v>8</v>
      </c>
      <c r="D3667" s="20" t="s">
        <v>10</v>
      </c>
      <c r="E3667" s="20" t="s">
        <v>22</v>
      </c>
      <c r="F3667" s="20" t="str">
        <f>INDEX(nrg_cb_e!$A$3:$A$40,MATCH(LEFT(MID('Industriesektor GWh'!$B3667,41,1000),SEARCH(" - ",MID('Industriesektor GWh'!$B3667,41,1000))-1),nrg_cb_e!$C$3:$C$40,0))</f>
        <v>FC_IND_MAC_E</v>
      </c>
      <c r="G3667" s="21">
        <v>1109</v>
      </c>
    </row>
    <row r="3668" spans="1:7" x14ac:dyDescent="0.2">
      <c r="A3668" s="16" t="s">
        <v>58</v>
      </c>
      <c r="B3668" s="17" t="s">
        <v>67</v>
      </c>
      <c r="C3668" s="17" t="s">
        <v>8</v>
      </c>
      <c r="D3668" s="17" t="s">
        <v>10</v>
      </c>
      <c r="E3668" s="17" t="s">
        <v>23</v>
      </c>
      <c r="F3668" s="17" t="str">
        <f>INDEX(nrg_cb_e!$A$3:$A$40,MATCH(LEFT(MID('Industriesektor GWh'!$B3668,41,1000),SEARCH(" - ",MID('Industriesektor GWh'!$B3668,41,1000))-1),nrg_cb_e!$C$3:$C$40,0))</f>
        <v>FC_IND_MAC_E</v>
      </c>
      <c r="G3668" s="18">
        <v>1164</v>
      </c>
    </row>
    <row r="3669" spans="1:7" x14ac:dyDescent="0.2">
      <c r="A3669" s="19" t="s">
        <v>58</v>
      </c>
      <c r="B3669" s="20" t="s">
        <v>67</v>
      </c>
      <c r="C3669" s="20" t="s">
        <v>8</v>
      </c>
      <c r="D3669" s="20" t="s">
        <v>10</v>
      </c>
      <c r="E3669" s="20" t="s">
        <v>24</v>
      </c>
      <c r="F3669" s="20" t="str">
        <f>INDEX(nrg_cb_e!$A$3:$A$40,MATCH(LEFT(MID('Industriesektor GWh'!$B3669,41,1000),SEARCH(" - ",MID('Industriesektor GWh'!$B3669,41,1000))-1),nrg_cb_e!$C$3:$C$40,0))</f>
        <v>FC_IND_MAC_E</v>
      </c>
      <c r="G3669" s="21">
        <v>1195</v>
      </c>
    </row>
    <row r="3670" spans="1:7" x14ac:dyDescent="0.2">
      <c r="A3670" s="16" t="s">
        <v>58</v>
      </c>
      <c r="B3670" s="17" t="s">
        <v>67</v>
      </c>
      <c r="C3670" s="17" t="s">
        <v>8</v>
      </c>
      <c r="D3670" s="17" t="s">
        <v>10</v>
      </c>
      <c r="E3670" s="17" t="s">
        <v>25</v>
      </c>
      <c r="F3670" s="17" t="str">
        <f>INDEX(nrg_cb_e!$A$3:$A$40,MATCH(LEFT(MID('Industriesektor GWh'!$B3670,41,1000),SEARCH(" - ",MID('Industriesektor GWh'!$B3670,41,1000))-1),nrg_cb_e!$C$3:$C$40,0))</f>
        <v>FC_IND_MAC_E</v>
      </c>
      <c r="G3670" s="18">
        <v>1241</v>
      </c>
    </row>
    <row r="3671" spans="1:7" x14ac:dyDescent="0.2">
      <c r="A3671" s="19" t="s">
        <v>58</v>
      </c>
      <c r="B3671" s="20" t="s">
        <v>67</v>
      </c>
      <c r="C3671" s="20" t="s">
        <v>8</v>
      </c>
      <c r="D3671" s="20" t="s">
        <v>10</v>
      </c>
      <c r="E3671" s="20" t="s">
        <v>26</v>
      </c>
      <c r="F3671" s="20" t="str">
        <f>INDEX(nrg_cb_e!$A$3:$A$40,MATCH(LEFT(MID('Industriesektor GWh'!$B3671,41,1000),SEARCH(" - ",MID('Industriesektor GWh'!$B3671,41,1000))-1),nrg_cb_e!$C$3:$C$40,0))</f>
        <v>FC_IND_MAC_E</v>
      </c>
      <c r="G3671" s="21">
        <v>1148</v>
      </c>
    </row>
    <row r="3672" spans="1:7" x14ac:dyDescent="0.2">
      <c r="A3672" s="16" t="s">
        <v>58</v>
      </c>
      <c r="B3672" s="17" t="s">
        <v>67</v>
      </c>
      <c r="C3672" s="17" t="s">
        <v>8</v>
      </c>
      <c r="D3672" s="17" t="s">
        <v>10</v>
      </c>
      <c r="E3672" s="17" t="s">
        <v>27</v>
      </c>
      <c r="F3672" s="17" t="str">
        <f>INDEX(nrg_cb_e!$A$3:$A$40,MATCH(LEFT(MID('Industriesektor GWh'!$B3672,41,1000),SEARCH(" - ",MID('Industriesektor GWh'!$B3672,41,1000))-1),nrg_cb_e!$C$3:$C$40,0))</f>
        <v>FC_IND_MAC_E</v>
      </c>
      <c r="G3672" s="18">
        <v>1060</v>
      </c>
    </row>
    <row r="3673" spans="1:7" x14ac:dyDescent="0.2">
      <c r="A3673" s="19" t="s">
        <v>58</v>
      </c>
      <c r="B3673" s="20" t="s">
        <v>67</v>
      </c>
      <c r="C3673" s="20" t="s">
        <v>8</v>
      </c>
      <c r="D3673" s="20" t="s">
        <v>10</v>
      </c>
      <c r="E3673" s="20" t="s">
        <v>28</v>
      </c>
      <c r="F3673" s="20" t="str">
        <f>INDEX(nrg_cb_e!$A$3:$A$40,MATCH(LEFT(MID('Industriesektor GWh'!$B3673,41,1000),SEARCH(" - ",MID('Industriesektor GWh'!$B3673,41,1000))-1),nrg_cb_e!$C$3:$C$40,0))</f>
        <v>FC_IND_MAC_E</v>
      </c>
      <c r="G3673" s="21">
        <v>1010.635</v>
      </c>
    </row>
    <row r="3674" spans="1:7" x14ac:dyDescent="0.2">
      <c r="A3674" s="16" t="s">
        <v>59</v>
      </c>
      <c r="B3674" s="17" t="s">
        <v>67</v>
      </c>
      <c r="C3674" s="17" t="s">
        <v>8</v>
      </c>
      <c r="D3674" s="17" t="s">
        <v>10</v>
      </c>
      <c r="E3674" s="17" t="s">
        <v>12</v>
      </c>
      <c r="F3674" s="17" t="str">
        <f>INDEX(nrg_cb_e!$A$3:$A$40,MATCH(LEFT(MID('Industriesektor GWh'!$B3674,41,1000),SEARCH(" - ",MID('Industriesektor GWh'!$B3674,41,1000))-1),nrg_cb_e!$C$3:$C$40,0))</f>
        <v>FC_IND_MAC_E</v>
      </c>
      <c r="G3674" s="18">
        <v>0</v>
      </c>
    </row>
    <row r="3675" spans="1:7" x14ac:dyDescent="0.2">
      <c r="A3675" s="19" t="s">
        <v>59</v>
      </c>
      <c r="B3675" s="20" t="s">
        <v>67</v>
      </c>
      <c r="C3675" s="20" t="s">
        <v>8</v>
      </c>
      <c r="D3675" s="20" t="s">
        <v>10</v>
      </c>
      <c r="E3675" s="20" t="s">
        <v>13</v>
      </c>
      <c r="F3675" s="20" t="str">
        <f>INDEX(nrg_cb_e!$A$3:$A$40,MATCH(LEFT(MID('Industriesektor GWh'!$B3675,41,1000),SEARCH(" - ",MID('Industriesektor GWh'!$B3675,41,1000))-1),nrg_cb_e!$C$3:$C$40,0))</f>
        <v>FC_IND_MAC_E</v>
      </c>
      <c r="G3675" s="21">
        <v>0</v>
      </c>
    </row>
    <row r="3676" spans="1:7" x14ac:dyDescent="0.2">
      <c r="A3676" s="16" t="s">
        <v>59</v>
      </c>
      <c r="B3676" s="17" t="s">
        <v>67</v>
      </c>
      <c r="C3676" s="17" t="s">
        <v>8</v>
      </c>
      <c r="D3676" s="17" t="s">
        <v>10</v>
      </c>
      <c r="E3676" s="17" t="s">
        <v>14</v>
      </c>
      <c r="F3676" s="17" t="str">
        <f>INDEX(nrg_cb_e!$A$3:$A$40,MATCH(LEFT(MID('Industriesektor GWh'!$B3676,41,1000),SEARCH(" - ",MID('Industriesektor GWh'!$B3676,41,1000))-1),nrg_cb_e!$C$3:$C$40,0))</f>
        <v>FC_IND_MAC_E</v>
      </c>
      <c r="G3676" s="18">
        <v>408</v>
      </c>
    </row>
    <row r="3677" spans="1:7" x14ac:dyDescent="0.2">
      <c r="A3677" s="19" t="s">
        <v>59</v>
      </c>
      <c r="B3677" s="20" t="s">
        <v>67</v>
      </c>
      <c r="C3677" s="20" t="s">
        <v>8</v>
      </c>
      <c r="D3677" s="20" t="s">
        <v>10</v>
      </c>
      <c r="E3677" s="20" t="s">
        <v>15</v>
      </c>
      <c r="F3677" s="20" t="str">
        <f>INDEX(nrg_cb_e!$A$3:$A$40,MATCH(LEFT(MID('Industriesektor GWh'!$B3677,41,1000),SEARCH(" - ",MID('Industriesektor GWh'!$B3677,41,1000))-1),nrg_cb_e!$C$3:$C$40,0))</f>
        <v>FC_IND_MAC_E</v>
      </c>
      <c r="G3677" s="21">
        <v>434</v>
      </c>
    </row>
    <row r="3678" spans="1:7" x14ac:dyDescent="0.2">
      <c r="A3678" s="16" t="s">
        <v>59</v>
      </c>
      <c r="B3678" s="17" t="s">
        <v>67</v>
      </c>
      <c r="C3678" s="17" t="s">
        <v>8</v>
      </c>
      <c r="D3678" s="17" t="s">
        <v>10</v>
      </c>
      <c r="E3678" s="17" t="s">
        <v>16</v>
      </c>
      <c r="F3678" s="17" t="str">
        <f>INDEX(nrg_cb_e!$A$3:$A$40,MATCH(LEFT(MID('Industriesektor GWh'!$B3678,41,1000),SEARCH(" - ",MID('Industriesektor GWh'!$B3678,41,1000))-1),nrg_cb_e!$C$3:$C$40,0))</f>
        <v>FC_IND_MAC_E</v>
      </c>
      <c r="G3678" s="18">
        <v>475</v>
      </c>
    </row>
    <row r="3679" spans="1:7" x14ac:dyDescent="0.2">
      <c r="A3679" s="19" t="s">
        <v>59</v>
      </c>
      <c r="B3679" s="20" t="s">
        <v>67</v>
      </c>
      <c r="C3679" s="20" t="s">
        <v>8</v>
      </c>
      <c r="D3679" s="20" t="s">
        <v>10</v>
      </c>
      <c r="E3679" s="20" t="s">
        <v>17</v>
      </c>
      <c r="F3679" s="20" t="str">
        <f>INDEX(nrg_cb_e!$A$3:$A$40,MATCH(LEFT(MID('Industriesektor GWh'!$B3679,41,1000),SEARCH(" - ",MID('Industriesektor GWh'!$B3679,41,1000))-1),nrg_cb_e!$C$3:$C$40,0))</f>
        <v>FC_IND_MAC_E</v>
      </c>
      <c r="G3679" s="21">
        <v>876</v>
      </c>
    </row>
    <row r="3680" spans="1:7" x14ac:dyDescent="0.2">
      <c r="A3680" s="16" t="s">
        <v>59</v>
      </c>
      <c r="B3680" s="17" t="s">
        <v>67</v>
      </c>
      <c r="C3680" s="17" t="s">
        <v>8</v>
      </c>
      <c r="D3680" s="17" t="s">
        <v>10</v>
      </c>
      <c r="E3680" s="17" t="s">
        <v>18</v>
      </c>
      <c r="F3680" s="17" t="str">
        <f>INDEX(nrg_cb_e!$A$3:$A$40,MATCH(LEFT(MID('Industriesektor GWh'!$B3680,41,1000),SEARCH(" - ",MID('Industriesektor GWh'!$B3680,41,1000))-1),nrg_cb_e!$C$3:$C$40,0))</f>
        <v>FC_IND_MAC_E</v>
      </c>
      <c r="G3680" s="18">
        <v>1185</v>
      </c>
    </row>
    <row r="3681" spans="1:7" x14ac:dyDescent="0.2">
      <c r="A3681" s="19" t="s">
        <v>59</v>
      </c>
      <c r="B3681" s="20" t="s">
        <v>67</v>
      </c>
      <c r="C3681" s="20" t="s">
        <v>8</v>
      </c>
      <c r="D3681" s="20" t="s">
        <v>10</v>
      </c>
      <c r="E3681" s="20" t="s">
        <v>19</v>
      </c>
      <c r="F3681" s="20" t="str">
        <f>INDEX(nrg_cb_e!$A$3:$A$40,MATCH(LEFT(MID('Industriesektor GWh'!$B3681,41,1000),SEARCH(" - ",MID('Industriesektor GWh'!$B3681,41,1000))-1),nrg_cb_e!$C$3:$C$40,0))</f>
        <v>FC_IND_MAC_E</v>
      </c>
      <c r="G3681" s="21">
        <v>551</v>
      </c>
    </row>
    <row r="3682" spans="1:7" x14ac:dyDescent="0.2">
      <c r="A3682" s="16" t="s">
        <v>59</v>
      </c>
      <c r="B3682" s="17" t="s">
        <v>67</v>
      </c>
      <c r="C3682" s="17" t="s">
        <v>8</v>
      </c>
      <c r="D3682" s="17" t="s">
        <v>10</v>
      </c>
      <c r="E3682" s="17" t="s">
        <v>20</v>
      </c>
      <c r="F3682" s="17" t="str">
        <f>INDEX(nrg_cb_e!$A$3:$A$40,MATCH(LEFT(MID('Industriesektor GWh'!$B3682,41,1000),SEARCH(" - ",MID('Industriesektor GWh'!$B3682,41,1000))-1),nrg_cb_e!$C$3:$C$40,0))</f>
        <v>FC_IND_MAC_E</v>
      </c>
      <c r="G3682" s="18">
        <v>660</v>
      </c>
    </row>
    <row r="3683" spans="1:7" x14ac:dyDescent="0.2">
      <c r="A3683" s="19" t="s">
        <v>59</v>
      </c>
      <c r="B3683" s="20" t="s">
        <v>67</v>
      </c>
      <c r="C3683" s="20" t="s">
        <v>8</v>
      </c>
      <c r="D3683" s="20" t="s">
        <v>10</v>
      </c>
      <c r="E3683" s="20" t="s">
        <v>21</v>
      </c>
      <c r="F3683" s="20" t="str">
        <f>INDEX(nrg_cb_e!$A$3:$A$40,MATCH(LEFT(MID('Industriesektor GWh'!$B3683,41,1000),SEARCH(" - ",MID('Industriesektor GWh'!$B3683,41,1000))-1),nrg_cb_e!$C$3:$C$40,0))</f>
        <v>FC_IND_MAC_E</v>
      </c>
      <c r="G3683" s="21">
        <v>2062</v>
      </c>
    </row>
    <row r="3684" spans="1:7" x14ac:dyDescent="0.2">
      <c r="A3684" s="16" t="s">
        <v>59</v>
      </c>
      <c r="B3684" s="17" t="s">
        <v>67</v>
      </c>
      <c r="C3684" s="17" t="s">
        <v>8</v>
      </c>
      <c r="D3684" s="17" t="s">
        <v>10</v>
      </c>
      <c r="E3684" s="17" t="s">
        <v>22</v>
      </c>
      <c r="F3684" s="17" t="str">
        <f>INDEX(nrg_cb_e!$A$3:$A$40,MATCH(LEFT(MID('Industriesektor GWh'!$B3684,41,1000),SEARCH(" - ",MID('Industriesektor GWh'!$B3684,41,1000))-1),nrg_cb_e!$C$3:$C$40,0))</f>
        <v>FC_IND_MAC_E</v>
      </c>
      <c r="G3684" s="18">
        <v>816</v>
      </c>
    </row>
    <row r="3685" spans="1:7" x14ac:dyDescent="0.2">
      <c r="A3685" s="19" t="s">
        <v>59</v>
      </c>
      <c r="B3685" s="20" t="s">
        <v>67</v>
      </c>
      <c r="C3685" s="20" t="s">
        <v>8</v>
      </c>
      <c r="D3685" s="20" t="s">
        <v>10</v>
      </c>
      <c r="E3685" s="20" t="s">
        <v>23</v>
      </c>
      <c r="F3685" s="20" t="str">
        <f>INDEX(nrg_cb_e!$A$3:$A$40,MATCH(LEFT(MID('Industriesektor GWh'!$B3685,41,1000),SEARCH(" - ",MID('Industriesektor GWh'!$B3685,41,1000))-1),nrg_cb_e!$C$3:$C$40,0))</f>
        <v>FC_IND_MAC_E</v>
      </c>
      <c r="G3685" s="21">
        <v>788</v>
      </c>
    </row>
    <row r="3686" spans="1:7" x14ac:dyDescent="0.2">
      <c r="A3686" s="16" t="s">
        <v>59</v>
      </c>
      <c r="B3686" s="17" t="s">
        <v>67</v>
      </c>
      <c r="C3686" s="17" t="s">
        <v>8</v>
      </c>
      <c r="D3686" s="17" t="s">
        <v>10</v>
      </c>
      <c r="E3686" s="17" t="s">
        <v>24</v>
      </c>
      <c r="F3686" s="17" t="str">
        <f>INDEX(nrg_cb_e!$A$3:$A$40,MATCH(LEFT(MID('Industriesektor GWh'!$B3686,41,1000),SEARCH(" - ",MID('Industriesektor GWh'!$B3686,41,1000))-1),nrg_cb_e!$C$3:$C$40,0))</f>
        <v>FC_IND_MAC_E</v>
      </c>
      <c r="G3686" s="18">
        <v>715</v>
      </c>
    </row>
    <row r="3687" spans="1:7" x14ac:dyDescent="0.2">
      <c r="A3687" s="19" t="s">
        <v>59</v>
      </c>
      <c r="B3687" s="20" t="s">
        <v>67</v>
      </c>
      <c r="C3687" s="20" t="s">
        <v>8</v>
      </c>
      <c r="D3687" s="20" t="s">
        <v>10</v>
      </c>
      <c r="E3687" s="20" t="s">
        <v>25</v>
      </c>
      <c r="F3687" s="20" t="str">
        <f>INDEX(nrg_cb_e!$A$3:$A$40,MATCH(LEFT(MID('Industriesektor GWh'!$B3687,41,1000),SEARCH(" - ",MID('Industriesektor GWh'!$B3687,41,1000))-1),nrg_cb_e!$C$3:$C$40,0))</f>
        <v>FC_IND_MAC_E</v>
      </c>
      <c r="G3687" s="21">
        <v>686</v>
      </c>
    </row>
    <row r="3688" spans="1:7" x14ac:dyDescent="0.2">
      <c r="A3688" s="16" t="s">
        <v>59</v>
      </c>
      <c r="B3688" s="17" t="s">
        <v>67</v>
      </c>
      <c r="C3688" s="17" t="s">
        <v>8</v>
      </c>
      <c r="D3688" s="17" t="s">
        <v>10</v>
      </c>
      <c r="E3688" s="17" t="s">
        <v>26</v>
      </c>
      <c r="F3688" s="17" t="str">
        <f>INDEX(nrg_cb_e!$A$3:$A$40,MATCH(LEFT(MID('Industriesektor GWh'!$B3688,41,1000),SEARCH(" - ",MID('Industriesektor GWh'!$B3688,41,1000))-1),nrg_cb_e!$C$3:$C$40,0))</f>
        <v>FC_IND_MAC_E</v>
      </c>
      <c r="G3688" s="18">
        <v>626</v>
      </c>
    </row>
    <row r="3689" spans="1:7" x14ac:dyDescent="0.2">
      <c r="A3689" s="19" t="s">
        <v>59</v>
      </c>
      <c r="B3689" s="20" t="s">
        <v>67</v>
      </c>
      <c r="C3689" s="20" t="s">
        <v>8</v>
      </c>
      <c r="D3689" s="20" t="s">
        <v>10</v>
      </c>
      <c r="E3689" s="20" t="s">
        <v>27</v>
      </c>
      <c r="F3689" s="20" t="str">
        <f>INDEX(nrg_cb_e!$A$3:$A$40,MATCH(LEFT(MID('Industriesektor GWh'!$B3689,41,1000),SEARCH(" - ",MID('Industriesektor GWh'!$B3689,41,1000))-1),nrg_cb_e!$C$3:$C$40,0))</f>
        <v>FC_IND_MAC_E</v>
      </c>
      <c r="G3689" s="21">
        <v>657.06399999999996</v>
      </c>
    </row>
    <row r="3690" spans="1:7" x14ac:dyDescent="0.2">
      <c r="A3690" s="16" t="s">
        <v>59</v>
      </c>
      <c r="B3690" s="17" t="s">
        <v>67</v>
      </c>
      <c r="C3690" s="17" t="s">
        <v>8</v>
      </c>
      <c r="D3690" s="17" t="s">
        <v>10</v>
      </c>
      <c r="E3690" s="17" t="s">
        <v>28</v>
      </c>
      <c r="F3690" s="17" t="str">
        <f>INDEX(nrg_cb_e!$A$3:$A$40,MATCH(LEFT(MID('Industriesektor GWh'!$B3690,41,1000),SEARCH(" - ",MID('Industriesektor GWh'!$B3690,41,1000))-1),nrg_cb_e!$C$3:$C$40,0))</f>
        <v>FC_IND_MAC_E</v>
      </c>
      <c r="G3690" s="18">
        <v>654.90200000000004</v>
      </c>
    </row>
    <row r="3691" spans="1:7" x14ac:dyDescent="0.2">
      <c r="A3691" s="19" t="s">
        <v>29</v>
      </c>
      <c r="B3691" s="20" t="s">
        <v>69</v>
      </c>
      <c r="C3691" s="20" t="s">
        <v>8</v>
      </c>
      <c r="D3691" s="20" t="s">
        <v>10</v>
      </c>
      <c r="E3691" s="20" t="s">
        <v>12</v>
      </c>
      <c r="F3691" s="20" t="str">
        <f>INDEX(nrg_cb_e!$A$3:$A$40,MATCH(LEFT(MID('Industriesektor GWh'!$B3691,41,1000),SEARCH(" - ",MID('Industriesektor GWh'!$B3691,41,1000))-1),nrg_cb_e!$C$3:$C$40,0))</f>
        <v>FC_IND_FBT_E</v>
      </c>
      <c r="G3691" s="21">
        <v>3907</v>
      </c>
    </row>
    <row r="3692" spans="1:7" x14ac:dyDescent="0.2">
      <c r="A3692" s="16" t="s">
        <v>29</v>
      </c>
      <c r="B3692" s="17" t="s">
        <v>69</v>
      </c>
      <c r="C3692" s="17" t="s">
        <v>8</v>
      </c>
      <c r="D3692" s="17" t="s">
        <v>10</v>
      </c>
      <c r="E3692" s="17" t="s">
        <v>13</v>
      </c>
      <c r="F3692" s="17" t="str">
        <f>INDEX(nrg_cb_e!$A$3:$A$40,MATCH(LEFT(MID('Industriesektor GWh'!$B3692,41,1000),SEARCH(" - ",MID('Industriesektor GWh'!$B3692,41,1000))-1),nrg_cb_e!$C$3:$C$40,0))</f>
        <v>FC_IND_FBT_E</v>
      </c>
      <c r="G3692" s="18">
        <v>4005</v>
      </c>
    </row>
    <row r="3693" spans="1:7" x14ac:dyDescent="0.2">
      <c r="A3693" s="19" t="s">
        <v>29</v>
      </c>
      <c r="B3693" s="20" t="s">
        <v>69</v>
      </c>
      <c r="C3693" s="20" t="s">
        <v>8</v>
      </c>
      <c r="D3693" s="20" t="s">
        <v>10</v>
      </c>
      <c r="E3693" s="20" t="s">
        <v>14</v>
      </c>
      <c r="F3693" s="20" t="str">
        <f>INDEX(nrg_cb_e!$A$3:$A$40,MATCH(LEFT(MID('Industriesektor GWh'!$B3693,41,1000),SEARCH(" - ",MID('Industriesektor GWh'!$B3693,41,1000))-1),nrg_cb_e!$C$3:$C$40,0))</f>
        <v>FC_IND_FBT_E</v>
      </c>
      <c r="G3693" s="21">
        <v>4083</v>
      </c>
    </row>
    <row r="3694" spans="1:7" x14ac:dyDescent="0.2">
      <c r="A3694" s="16" t="s">
        <v>29</v>
      </c>
      <c r="B3694" s="17" t="s">
        <v>69</v>
      </c>
      <c r="C3694" s="17" t="s">
        <v>8</v>
      </c>
      <c r="D3694" s="17" t="s">
        <v>10</v>
      </c>
      <c r="E3694" s="17" t="s">
        <v>15</v>
      </c>
      <c r="F3694" s="17" t="str">
        <f>INDEX(nrg_cb_e!$A$3:$A$40,MATCH(LEFT(MID('Industriesektor GWh'!$B3694,41,1000),SEARCH(" - ",MID('Industriesektor GWh'!$B3694,41,1000))-1),nrg_cb_e!$C$3:$C$40,0))</f>
        <v>FC_IND_FBT_E</v>
      </c>
      <c r="G3694" s="18">
        <v>3991</v>
      </c>
    </row>
    <row r="3695" spans="1:7" x14ac:dyDescent="0.2">
      <c r="A3695" s="19" t="s">
        <v>29</v>
      </c>
      <c r="B3695" s="20" t="s">
        <v>69</v>
      </c>
      <c r="C3695" s="20" t="s">
        <v>8</v>
      </c>
      <c r="D3695" s="20" t="s">
        <v>10</v>
      </c>
      <c r="E3695" s="20" t="s">
        <v>16</v>
      </c>
      <c r="F3695" s="20" t="str">
        <f>INDEX(nrg_cb_e!$A$3:$A$40,MATCH(LEFT(MID('Industriesektor GWh'!$B3695,41,1000),SEARCH(" - ",MID('Industriesektor GWh'!$B3695,41,1000))-1),nrg_cb_e!$C$3:$C$40,0))</f>
        <v>FC_IND_FBT_E</v>
      </c>
      <c r="G3695" s="21">
        <v>4427</v>
      </c>
    </row>
    <row r="3696" spans="1:7" x14ac:dyDescent="0.2">
      <c r="A3696" s="16" t="s">
        <v>29</v>
      </c>
      <c r="B3696" s="17" t="s">
        <v>69</v>
      </c>
      <c r="C3696" s="17" t="s">
        <v>8</v>
      </c>
      <c r="D3696" s="17" t="s">
        <v>10</v>
      </c>
      <c r="E3696" s="17" t="s">
        <v>17</v>
      </c>
      <c r="F3696" s="17" t="str">
        <f>INDEX(nrg_cb_e!$A$3:$A$40,MATCH(LEFT(MID('Industriesektor GWh'!$B3696,41,1000),SEARCH(" - ",MID('Industriesektor GWh'!$B3696,41,1000))-1),nrg_cb_e!$C$3:$C$40,0))</f>
        <v>FC_IND_FBT_E</v>
      </c>
      <c r="G3696" s="18">
        <v>4574</v>
      </c>
    </row>
    <row r="3697" spans="1:7" x14ac:dyDescent="0.2">
      <c r="A3697" s="19" t="s">
        <v>29</v>
      </c>
      <c r="B3697" s="20" t="s">
        <v>69</v>
      </c>
      <c r="C3697" s="20" t="s">
        <v>8</v>
      </c>
      <c r="D3697" s="20" t="s">
        <v>10</v>
      </c>
      <c r="E3697" s="20" t="s">
        <v>18</v>
      </c>
      <c r="F3697" s="20" t="str">
        <f>INDEX(nrg_cb_e!$A$3:$A$40,MATCH(LEFT(MID('Industriesektor GWh'!$B3697,41,1000),SEARCH(" - ",MID('Industriesektor GWh'!$B3697,41,1000))-1),nrg_cb_e!$C$3:$C$40,0))</f>
        <v>FC_IND_FBT_E</v>
      </c>
      <c r="G3697" s="21">
        <v>4448</v>
      </c>
    </row>
    <row r="3698" spans="1:7" x14ac:dyDescent="0.2">
      <c r="A3698" s="16" t="s">
        <v>29</v>
      </c>
      <c r="B3698" s="17" t="s">
        <v>69</v>
      </c>
      <c r="C3698" s="17" t="s">
        <v>8</v>
      </c>
      <c r="D3698" s="17" t="s">
        <v>10</v>
      </c>
      <c r="E3698" s="17" t="s">
        <v>19</v>
      </c>
      <c r="F3698" s="17" t="str">
        <f>INDEX(nrg_cb_e!$A$3:$A$40,MATCH(LEFT(MID('Industriesektor GWh'!$B3698,41,1000),SEARCH(" - ",MID('Industriesektor GWh'!$B3698,41,1000))-1),nrg_cb_e!$C$3:$C$40,0))</f>
        <v>FC_IND_FBT_E</v>
      </c>
      <c r="G3698" s="18">
        <v>4650</v>
      </c>
    </row>
    <row r="3699" spans="1:7" x14ac:dyDescent="0.2">
      <c r="A3699" s="19" t="s">
        <v>29</v>
      </c>
      <c r="B3699" s="20" t="s">
        <v>69</v>
      </c>
      <c r="C3699" s="20" t="s">
        <v>8</v>
      </c>
      <c r="D3699" s="20" t="s">
        <v>10</v>
      </c>
      <c r="E3699" s="20" t="s">
        <v>20</v>
      </c>
      <c r="F3699" s="20" t="str">
        <f>INDEX(nrg_cb_e!$A$3:$A$40,MATCH(LEFT(MID('Industriesektor GWh'!$B3699,41,1000),SEARCH(" - ",MID('Industriesektor GWh'!$B3699,41,1000))-1),nrg_cb_e!$C$3:$C$40,0))</f>
        <v>FC_IND_FBT_E</v>
      </c>
      <c r="G3699" s="21">
        <v>4720</v>
      </c>
    </row>
    <row r="3700" spans="1:7" x14ac:dyDescent="0.2">
      <c r="A3700" s="16" t="s">
        <v>29</v>
      </c>
      <c r="B3700" s="17" t="s">
        <v>69</v>
      </c>
      <c r="C3700" s="17" t="s">
        <v>8</v>
      </c>
      <c r="D3700" s="17" t="s">
        <v>10</v>
      </c>
      <c r="E3700" s="17" t="s">
        <v>21</v>
      </c>
      <c r="F3700" s="17" t="str">
        <f>INDEX(nrg_cb_e!$A$3:$A$40,MATCH(LEFT(MID('Industriesektor GWh'!$B3700,41,1000),SEARCH(" - ",MID('Industriesektor GWh'!$B3700,41,1000))-1),nrg_cb_e!$C$3:$C$40,0))</f>
        <v>FC_IND_FBT_E</v>
      </c>
      <c r="G3700" s="18">
        <v>4817</v>
      </c>
    </row>
    <row r="3701" spans="1:7" x14ac:dyDescent="0.2">
      <c r="A3701" s="19" t="s">
        <v>29</v>
      </c>
      <c r="B3701" s="20" t="s">
        <v>69</v>
      </c>
      <c r="C3701" s="20" t="s">
        <v>8</v>
      </c>
      <c r="D3701" s="20" t="s">
        <v>10</v>
      </c>
      <c r="E3701" s="20" t="s">
        <v>22</v>
      </c>
      <c r="F3701" s="20" t="str">
        <f>INDEX(nrg_cb_e!$A$3:$A$40,MATCH(LEFT(MID('Industriesektor GWh'!$B3701,41,1000),SEARCH(" - ",MID('Industriesektor GWh'!$B3701,41,1000))-1),nrg_cb_e!$C$3:$C$40,0))</f>
        <v>FC_IND_FBT_E</v>
      </c>
      <c r="G3701" s="21">
        <v>4925</v>
      </c>
    </row>
    <row r="3702" spans="1:7" x14ac:dyDescent="0.2">
      <c r="A3702" s="16" t="s">
        <v>29</v>
      </c>
      <c r="B3702" s="17" t="s">
        <v>69</v>
      </c>
      <c r="C3702" s="17" t="s">
        <v>8</v>
      </c>
      <c r="D3702" s="17" t="s">
        <v>10</v>
      </c>
      <c r="E3702" s="17" t="s">
        <v>23</v>
      </c>
      <c r="F3702" s="17" t="str">
        <f>INDEX(nrg_cb_e!$A$3:$A$40,MATCH(LEFT(MID('Industriesektor GWh'!$B3702,41,1000),SEARCH(" - ",MID('Industriesektor GWh'!$B3702,41,1000))-1),nrg_cb_e!$C$3:$C$40,0))</f>
        <v>FC_IND_FBT_E</v>
      </c>
      <c r="G3702" s="18">
        <v>5398</v>
      </c>
    </row>
    <row r="3703" spans="1:7" x14ac:dyDescent="0.2">
      <c r="A3703" s="19" t="s">
        <v>29</v>
      </c>
      <c r="B3703" s="20" t="s">
        <v>69</v>
      </c>
      <c r="C3703" s="20" t="s">
        <v>8</v>
      </c>
      <c r="D3703" s="20" t="s">
        <v>10</v>
      </c>
      <c r="E3703" s="20" t="s">
        <v>24</v>
      </c>
      <c r="F3703" s="20" t="str">
        <f>INDEX(nrg_cb_e!$A$3:$A$40,MATCH(LEFT(MID('Industriesektor GWh'!$B3703,41,1000),SEARCH(" - ",MID('Industriesektor GWh'!$B3703,41,1000))-1),nrg_cb_e!$C$3:$C$40,0))</f>
        <v>FC_IND_FBT_E</v>
      </c>
      <c r="G3703" s="21">
        <v>5562.1</v>
      </c>
    </row>
    <row r="3704" spans="1:7" x14ac:dyDescent="0.2">
      <c r="A3704" s="16" t="s">
        <v>29</v>
      </c>
      <c r="B3704" s="17" t="s">
        <v>69</v>
      </c>
      <c r="C3704" s="17" t="s">
        <v>8</v>
      </c>
      <c r="D3704" s="17" t="s">
        <v>10</v>
      </c>
      <c r="E3704" s="17" t="s">
        <v>25</v>
      </c>
      <c r="F3704" s="17" t="str">
        <f>INDEX(nrg_cb_e!$A$3:$A$40,MATCH(LEFT(MID('Industriesektor GWh'!$B3704,41,1000),SEARCH(" - ",MID('Industriesektor GWh'!$B3704,41,1000))-1),nrg_cb_e!$C$3:$C$40,0))</f>
        <v>FC_IND_FBT_E</v>
      </c>
      <c r="G3704" s="18">
        <v>5560.6</v>
      </c>
    </row>
    <row r="3705" spans="1:7" x14ac:dyDescent="0.2">
      <c r="A3705" s="19" t="s">
        <v>29</v>
      </c>
      <c r="B3705" s="20" t="s">
        <v>69</v>
      </c>
      <c r="C3705" s="20" t="s">
        <v>8</v>
      </c>
      <c r="D3705" s="20" t="s">
        <v>10</v>
      </c>
      <c r="E3705" s="20" t="s">
        <v>26</v>
      </c>
      <c r="F3705" s="20" t="str">
        <f>INDEX(nrg_cb_e!$A$3:$A$40,MATCH(LEFT(MID('Industriesektor GWh'!$B3705,41,1000),SEARCH(" - ",MID('Industriesektor GWh'!$B3705,41,1000))-1),nrg_cb_e!$C$3:$C$40,0))</f>
        <v>FC_IND_FBT_E</v>
      </c>
      <c r="G3705" s="21">
        <v>5740.4</v>
      </c>
    </row>
    <row r="3706" spans="1:7" x14ac:dyDescent="0.2">
      <c r="A3706" s="16" t="s">
        <v>29</v>
      </c>
      <c r="B3706" s="17" t="s">
        <v>69</v>
      </c>
      <c r="C3706" s="17" t="s">
        <v>8</v>
      </c>
      <c r="D3706" s="17" t="s">
        <v>10</v>
      </c>
      <c r="E3706" s="17" t="s">
        <v>27</v>
      </c>
      <c r="F3706" s="17" t="str">
        <f>INDEX(nrg_cb_e!$A$3:$A$40,MATCH(LEFT(MID('Industriesektor GWh'!$B3706,41,1000),SEARCH(" - ",MID('Industriesektor GWh'!$B3706,41,1000))-1),nrg_cb_e!$C$3:$C$40,0))</f>
        <v>FC_IND_FBT_E</v>
      </c>
      <c r="G3706" s="18">
        <v>5950.3</v>
      </c>
    </row>
    <row r="3707" spans="1:7" x14ac:dyDescent="0.2">
      <c r="A3707" s="19" t="s">
        <v>29</v>
      </c>
      <c r="B3707" s="20" t="s">
        <v>69</v>
      </c>
      <c r="C3707" s="20" t="s">
        <v>8</v>
      </c>
      <c r="D3707" s="20" t="s">
        <v>10</v>
      </c>
      <c r="E3707" s="20" t="s">
        <v>28</v>
      </c>
      <c r="F3707" s="20" t="str">
        <f>INDEX(nrg_cb_e!$A$3:$A$40,MATCH(LEFT(MID('Industriesektor GWh'!$B3707,41,1000),SEARCH(" - ",MID('Industriesektor GWh'!$B3707,41,1000))-1),nrg_cb_e!$C$3:$C$40,0))</f>
        <v>FC_IND_FBT_E</v>
      </c>
      <c r="G3707" s="21">
        <v>6040.1</v>
      </c>
    </row>
    <row r="3708" spans="1:7" x14ac:dyDescent="0.2">
      <c r="A3708" s="16" t="s">
        <v>30</v>
      </c>
      <c r="B3708" s="17" t="s">
        <v>69</v>
      </c>
      <c r="C3708" s="17" t="s">
        <v>8</v>
      </c>
      <c r="D3708" s="17" t="s">
        <v>10</v>
      </c>
      <c r="E3708" s="17" t="s">
        <v>12</v>
      </c>
      <c r="F3708" s="17" t="str">
        <f>INDEX(nrg_cb_e!$A$3:$A$40,MATCH(LEFT(MID('Industriesektor GWh'!$B3708,41,1000),SEARCH(" - ",MID('Industriesektor GWh'!$B3708,41,1000))-1),nrg_cb_e!$C$3:$C$40,0))</f>
        <v>FC_IND_FBT_E</v>
      </c>
      <c r="G3708" s="18">
        <v>854</v>
      </c>
    </row>
    <row r="3709" spans="1:7" x14ac:dyDescent="0.2">
      <c r="A3709" s="19" t="s">
        <v>30</v>
      </c>
      <c r="B3709" s="20" t="s">
        <v>69</v>
      </c>
      <c r="C3709" s="20" t="s">
        <v>8</v>
      </c>
      <c r="D3709" s="20" t="s">
        <v>10</v>
      </c>
      <c r="E3709" s="20" t="s">
        <v>13</v>
      </c>
      <c r="F3709" s="20" t="str">
        <f>INDEX(nrg_cb_e!$A$3:$A$40,MATCH(LEFT(MID('Industriesektor GWh'!$B3709,41,1000),SEARCH(" - ",MID('Industriesektor GWh'!$B3709,41,1000))-1),nrg_cb_e!$C$3:$C$40,0))</f>
        <v>FC_IND_FBT_E</v>
      </c>
      <c r="G3709" s="21">
        <v>869</v>
      </c>
    </row>
    <row r="3710" spans="1:7" x14ac:dyDescent="0.2">
      <c r="A3710" s="16" t="s">
        <v>30</v>
      </c>
      <c r="B3710" s="17" t="s">
        <v>69</v>
      </c>
      <c r="C3710" s="17" t="s">
        <v>8</v>
      </c>
      <c r="D3710" s="17" t="s">
        <v>10</v>
      </c>
      <c r="E3710" s="17" t="s">
        <v>14</v>
      </c>
      <c r="F3710" s="17" t="str">
        <f>INDEX(nrg_cb_e!$A$3:$A$40,MATCH(LEFT(MID('Industriesektor GWh'!$B3710,41,1000),SEARCH(" - ",MID('Industriesektor GWh'!$B3710,41,1000))-1),nrg_cb_e!$C$3:$C$40,0))</f>
        <v>FC_IND_FBT_E</v>
      </c>
      <c r="G3710" s="18">
        <v>1117</v>
      </c>
    </row>
    <row r="3711" spans="1:7" x14ac:dyDescent="0.2">
      <c r="A3711" s="19" t="s">
        <v>30</v>
      </c>
      <c r="B3711" s="20" t="s">
        <v>69</v>
      </c>
      <c r="C3711" s="20" t="s">
        <v>8</v>
      </c>
      <c r="D3711" s="20" t="s">
        <v>10</v>
      </c>
      <c r="E3711" s="20" t="s">
        <v>15</v>
      </c>
      <c r="F3711" s="20" t="str">
        <f>INDEX(nrg_cb_e!$A$3:$A$40,MATCH(LEFT(MID('Industriesektor GWh'!$B3711,41,1000),SEARCH(" - ",MID('Industriesektor GWh'!$B3711,41,1000))-1),nrg_cb_e!$C$3:$C$40,0))</f>
        <v>FC_IND_FBT_E</v>
      </c>
      <c r="G3711" s="21">
        <v>1240</v>
      </c>
    </row>
    <row r="3712" spans="1:7" x14ac:dyDescent="0.2">
      <c r="A3712" s="16" t="s">
        <v>30</v>
      </c>
      <c r="B3712" s="17" t="s">
        <v>69</v>
      </c>
      <c r="C3712" s="17" t="s">
        <v>8</v>
      </c>
      <c r="D3712" s="17" t="s">
        <v>10</v>
      </c>
      <c r="E3712" s="17" t="s">
        <v>16</v>
      </c>
      <c r="F3712" s="17" t="str">
        <f>INDEX(nrg_cb_e!$A$3:$A$40,MATCH(LEFT(MID('Industriesektor GWh'!$B3712,41,1000),SEARCH(" - ",MID('Industriesektor GWh'!$B3712,41,1000))-1),nrg_cb_e!$C$3:$C$40,0))</f>
        <v>FC_IND_FBT_E</v>
      </c>
      <c r="G3712" s="18">
        <v>1068</v>
      </c>
    </row>
    <row r="3713" spans="1:7" x14ac:dyDescent="0.2">
      <c r="A3713" s="19" t="s">
        <v>30</v>
      </c>
      <c r="B3713" s="20" t="s">
        <v>69</v>
      </c>
      <c r="C3713" s="20" t="s">
        <v>8</v>
      </c>
      <c r="D3713" s="20" t="s">
        <v>10</v>
      </c>
      <c r="E3713" s="20" t="s">
        <v>17</v>
      </c>
      <c r="F3713" s="20" t="str">
        <f>INDEX(nrg_cb_e!$A$3:$A$40,MATCH(LEFT(MID('Industriesektor GWh'!$B3713,41,1000),SEARCH(" - ",MID('Industriesektor GWh'!$B3713,41,1000))-1),nrg_cb_e!$C$3:$C$40,0))</f>
        <v>FC_IND_FBT_E</v>
      </c>
      <c r="G3713" s="21">
        <v>1057</v>
      </c>
    </row>
    <row r="3714" spans="1:7" x14ac:dyDescent="0.2">
      <c r="A3714" s="16" t="s">
        <v>30</v>
      </c>
      <c r="B3714" s="17" t="s">
        <v>69</v>
      </c>
      <c r="C3714" s="17" t="s">
        <v>8</v>
      </c>
      <c r="D3714" s="17" t="s">
        <v>10</v>
      </c>
      <c r="E3714" s="17" t="s">
        <v>18</v>
      </c>
      <c r="F3714" s="17" t="str">
        <f>INDEX(nrg_cb_e!$A$3:$A$40,MATCH(LEFT(MID('Industriesektor GWh'!$B3714,41,1000),SEARCH(" - ",MID('Industriesektor GWh'!$B3714,41,1000))-1),nrg_cb_e!$C$3:$C$40,0))</f>
        <v>FC_IND_FBT_E</v>
      </c>
      <c r="G3714" s="18">
        <v>1281</v>
      </c>
    </row>
    <row r="3715" spans="1:7" x14ac:dyDescent="0.2">
      <c r="A3715" s="19" t="s">
        <v>30</v>
      </c>
      <c r="B3715" s="20" t="s">
        <v>69</v>
      </c>
      <c r="C3715" s="20" t="s">
        <v>8</v>
      </c>
      <c r="D3715" s="20" t="s">
        <v>10</v>
      </c>
      <c r="E3715" s="20" t="s">
        <v>19</v>
      </c>
      <c r="F3715" s="20" t="str">
        <f>INDEX(nrg_cb_e!$A$3:$A$40,MATCH(LEFT(MID('Industriesektor GWh'!$B3715,41,1000),SEARCH(" - ",MID('Industriesektor GWh'!$B3715,41,1000))-1),nrg_cb_e!$C$3:$C$40,0))</f>
        <v>FC_IND_FBT_E</v>
      </c>
      <c r="G3715" s="21">
        <v>1120</v>
      </c>
    </row>
    <row r="3716" spans="1:7" x14ac:dyDescent="0.2">
      <c r="A3716" s="16" t="s">
        <v>30</v>
      </c>
      <c r="B3716" s="17" t="s">
        <v>69</v>
      </c>
      <c r="C3716" s="17" t="s">
        <v>8</v>
      </c>
      <c r="D3716" s="17" t="s">
        <v>10</v>
      </c>
      <c r="E3716" s="17" t="s">
        <v>20</v>
      </c>
      <c r="F3716" s="17" t="str">
        <f>INDEX(nrg_cb_e!$A$3:$A$40,MATCH(LEFT(MID('Industriesektor GWh'!$B3716,41,1000),SEARCH(" - ",MID('Industriesektor GWh'!$B3716,41,1000))-1),nrg_cb_e!$C$3:$C$40,0))</f>
        <v>FC_IND_FBT_E</v>
      </c>
      <c r="G3716" s="18">
        <v>1098</v>
      </c>
    </row>
    <row r="3717" spans="1:7" x14ac:dyDescent="0.2">
      <c r="A3717" s="19" t="s">
        <v>30</v>
      </c>
      <c r="B3717" s="20" t="s">
        <v>69</v>
      </c>
      <c r="C3717" s="20" t="s">
        <v>8</v>
      </c>
      <c r="D3717" s="20" t="s">
        <v>10</v>
      </c>
      <c r="E3717" s="20" t="s">
        <v>21</v>
      </c>
      <c r="F3717" s="20" t="str">
        <f>INDEX(nrg_cb_e!$A$3:$A$40,MATCH(LEFT(MID('Industriesektor GWh'!$B3717,41,1000),SEARCH(" - ",MID('Industriesektor GWh'!$B3717,41,1000))-1),nrg_cb_e!$C$3:$C$40,0))</f>
        <v>FC_IND_FBT_E</v>
      </c>
      <c r="G3717" s="21">
        <v>1121</v>
      </c>
    </row>
    <row r="3718" spans="1:7" x14ac:dyDescent="0.2">
      <c r="A3718" s="16" t="s">
        <v>30</v>
      </c>
      <c r="B3718" s="17" t="s">
        <v>69</v>
      </c>
      <c r="C3718" s="17" t="s">
        <v>8</v>
      </c>
      <c r="D3718" s="17" t="s">
        <v>10</v>
      </c>
      <c r="E3718" s="17" t="s">
        <v>22</v>
      </c>
      <c r="F3718" s="17" t="str">
        <f>INDEX(nrg_cb_e!$A$3:$A$40,MATCH(LEFT(MID('Industriesektor GWh'!$B3718,41,1000),SEARCH(" - ",MID('Industriesektor GWh'!$B3718,41,1000))-1),nrg_cb_e!$C$3:$C$40,0))</f>
        <v>FC_IND_FBT_E</v>
      </c>
      <c r="G3718" s="18">
        <v>1096</v>
      </c>
    </row>
    <row r="3719" spans="1:7" x14ac:dyDescent="0.2">
      <c r="A3719" s="19" t="s">
        <v>30</v>
      </c>
      <c r="B3719" s="20" t="s">
        <v>69</v>
      </c>
      <c r="C3719" s="20" t="s">
        <v>8</v>
      </c>
      <c r="D3719" s="20" t="s">
        <v>10</v>
      </c>
      <c r="E3719" s="20" t="s">
        <v>23</v>
      </c>
      <c r="F3719" s="20" t="str">
        <f>INDEX(nrg_cb_e!$A$3:$A$40,MATCH(LEFT(MID('Industriesektor GWh'!$B3719,41,1000),SEARCH(" - ",MID('Industriesektor GWh'!$B3719,41,1000))-1),nrg_cb_e!$C$3:$C$40,0))</f>
        <v>FC_IND_FBT_E</v>
      </c>
      <c r="G3719" s="21">
        <v>1139</v>
      </c>
    </row>
    <row r="3720" spans="1:7" x14ac:dyDescent="0.2">
      <c r="A3720" s="16" t="s">
        <v>30</v>
      </c>
      <c r="B3720" s="17" t="s">
        <v>69</v>
      </c>
      <c r="C3720" s="17" t="s">
        <v>8</v>
      </c>
      <c r="D3720" s="17" t="s">
        <v>10</v>
      </c>
      <c r="E3720" s="17" t="s">
        <v>24</v>
      </c>
      <c r="F3720" s="17" t="str">
        <f>INDEX(nrg_cb_e!$A$3:$A$40,MATCH(LEFT(MID('Industriesektor GWh'!$B3720,41,1000),SEARCH(" - ",MID('Industriesektor GWh'!$B3720,41,1000))-1),nrg_cb_e!$C$3:$C$40,0))</f>
        <v>FC_IND_FBT_E</v>
      </c>
      <c r="G3720" s="18">
        <v>1173</v>
      </c>
    </row>
    <row r="3721" spans="1:7" x14ac:dyDescent="0.2">
      <c r="A3721" s="19" t="s">
        <v>30</v>
      </c>
      <c r="B3721" s="20" t="s">
        <v>69</v>
      </c>
      <c r="C3721" s="20" t="s">
        <v>8</v>
      </c>
      <c r="D3721" s="20" t="s">
        <v>10</v>
      </c>
      <c r="E3721" s="20" t="s">
        <v>25</v>
      </c>
      <c r="F3721" s="20" t="str">
        <f>INDEX(nrg_cb_e!$A$3:$A$40,MATCH(LEFT(MID('Industriesektor GWh'!$B3721,41,1000),SEARCH(" - ",MID('Industriesektor GWh'!$B3721,41,1000))-1),nrg_cb_e!$C$3:$C$40,0))</f>
        <v>FC_IND_FBT_E</v>
      </c>
      <c r="G3721" s="21">
        <v>1202</v>
      </c>
    </row>
    <row r="3722" spans="1:7" x14ac:dyDescent="0.2">
      <c r="A3722" s="16" t="s">
        <v>30</v>
      </c>
      <c r="B3722" s="17" t="s">
        <v>69</v>
      </c>
      <c r="C3722" s="17" t="s">
        <v>8</v>
      </c>
      <c r="D3722" s="17" t="s">
        <v>10</v>
      </c>
      <c r="E3722" s="17" t="s">
        <v>26</v>
      </c>
      <c r="F3722" s="17" t="str">
        <f>INDEX(nrg_cb_e!$A$3:$A$40,MATCH(LEFT(MID('Industriesektor GWh'!$B3722,41,1000),SEARCH(" - ",MID('Industriesektor GWh'!$B3722,41,1000))-1),nrg_cb_e!$C$3:$C$40,0))</f>
        <v>FC_IND_FBT_E</v>
      </c>
      <c r="G3722" s="18">
        <v>1218</v>
      </c>
    </row>
    <row r="3723" spans="1:7" x14ac:dyDescent="0.2">
      <c r="A3723" s="19" t="s">
        <v>30</v>
      </c>
      <c r="B3723" s="20" t="s">
        <v>69</v>
      </c>
      <c r="C3723" s="20" t="s">
        <v>8</v>
      </c>
      <c r="D3723" s="20" t="s">
        <v>10</v>
      </c>
      <c r="E3723" s="20" t="s">
        <v>27</v>
      </c>
      <c r="F3723" s="20" t="str">
        <f>INDEX(nrg_cb_e!$A$3:$A$40,MATCH(LEFT(MID('Industriesektor GWh'!$B3723,41,1000),SEARCH(" - ",MID('Industriesektor GWh'!$B3723,41,1000))-1),nrg_cb_e!$C$3:$C$40,0))</f>
        <v>FC_IND_FBT_E</v>
      </c>
      <c r="G3723" s="21">
        <v>1254.4870000000001</v>
      </c>
    </row>
    <row r="3724" spans="1:7" x14ac:dyDescent="0.2">
      <c r="A3724" s="16" t="s">
        <v>30</v>
      </c>
      <c r="B3724" s="17" t="s">
        <v>69</v>
      </c>
      <c r="C3724" s="17" t="s">
        <v>8</v>
      </c>
      <c r="D3724" s="17" t="s">
        <v>10</v>
      </c>
      <c r="E3724" s="17" t="s">
        <v>28</v>
      </c>
      <c r="F3724" s="17" t="str">
        <f>INDEX(nrg_cb_e!$A$3:$A$40,MATCH(LEFT(MID('Industriesektor GWh'!$B3724,41,1000),SEARCH(" - ",MID('Industriesektor GWh'!$B3724,41,1000))-1),nrg_cb_e!$C$3:$C$40,0))</f>
        <v>FC_IND_FBT_E</v>
      </c>
      <c r="G3724" s="18">
        <v>1329.0050000000001</v>
      </c>
    </row>
    <row r="3725" spans="1:7" x14ac:dyDescent="0.2">
      <c r="A3725" s="19" t="s">
        <v>31</v>
      </c>
      <c r="B3725" s="20" t="s">
        <v>69</v>
      </c>
      <c r="C3725" s="20" t="s">
        <v>8</v>
      </c>
      <c r="D3725" s="20" t="s">
        <v>10</v>
      </c>
      <c r="E3725" s="20" t="s">
        <v>12</v>
      </c>
      <c r="F3725" s="20" t="str">
        <f>INDEX(nrg_cb_e!$A$3:$A$40,MATCH(LEFT(MID('Industriesektor GWh'!$B3725,41,1000),SEARCH(" - ",MID('Industriesektor GWh'!$B3725,41,1000))-1),nrg_cb_e!$C$3:$C$40,0))</f>
        <v>FC_IND_FBT_E</v>
      </c>
      <c r="G3725" s="21">
        <v>1534</v>
      </c>
    </row>
    <row r="3726" spans="1:7" x14ac:dyDescent="0.2">
      <c r="A3726" s="16" t="s">
        <v>31</v>
      </c>
      <c r="B3726" s="17" t="s">
        <v>69</v>
      </c>
      <c r="C3726" s="17" t="s">
        <v>8</v>
      </c>
      <c r="D3726" s="17" t="s">
        <v>10</v>
      </c>
      <c r="E3726" s="17" t="s">
        <v>13</v>
      </c>
      <c r="F3726" s="17" t="str">
        <f>INDEX(nrg_cb_e!$A$3:$A$40,MATCH(LEFT(MID('Industriesektor GWh'!$B3726,41,1000),SEARCH(" - ",MID('Industriesektor GWh'!$B3726,41,1000))-1),nrg_cb_e!$C$3:$C$40,0))</f>
        <v>FC_IND_FBT_E</v>
      </c>
      <c r="G3726" s="18">
        <v>1557</v>
      </c>
    </row>
    <row r="3727" spans="1:7" x14ac:dyDescent="0.2">
      <c r="A3727" s="19" t="s">
        <v>31</v>
      </c>
      <c r="B3727" s="20" t="s">
        <v>69</v>
      </c>
      <c r="C3727" s="20" t="s">
        <v>8</v>
      </c>
      <c r="D3727" s="20" t="s">
        <v>10</v>
      </c>
      <c r="E3727" s="20" t="s">
        <v>14</v>
      </c>
      <c r="F3727" s="20" t="str">
        <f>INDEX(nrg_cb_e!$A$3:$A$40,MATCH(LEFT(MID('Industriesektor GWh'!$B3727,41,1000),SEARCH(" - ",MID('Industriesektor GWh'!$B3727,41,1000))-1),nrg_cb_e!$C$3:$C$40,0))</f>
        <v>FC_IND_FBT_E</v>
      </c>
      <c r="G3727" s="21">
        <v>1594</v>
      </c>
    </row>
    <row r="3728" spans="1:7" x14ac:dyDescent="0.2">
      <c r="A3728" s="16" t="s">
        <v>31</v>
      </c>
      <c r="B3728" s="17" t="s">
        <v>69</v>
      </c>
      <c r="C3728" s="17" t="s">
        <v>8</v>
      </c>
      <c r="D3728" s="17" t="s">
        <v>10</v>
      </c>
      <c r="E3728" s="17" t="s">
        <v>15</v>
      </c>
      <c r="F3728" s="17" t="str">
        <f>INDEX(nrg_cb_e!$A$3:$A$40,MATCH(LEFT(MID('Industriesektor GWh'!$B3728,41,1000),SEARCH(" - ",MID('Industriesektor GWh'!$B3728,41,1000))-1),nrg_cb_e!$C$3:$C$40,0))</f>
        <v>FC_IND_FBT_E</v>
      </c>
      <c r="G3728" s="18">
        <v>1590</v>
      </c>
    </row>
    <row r="3729" spans="1:7" x14ac:dyDescent="0.2">
      <c r="A3729" s="19" t="s">
        <v>31</v>
      </c>
      <c r="B3729" s="20" t="s">
        <v>69</v>
      </c>
      <c r="C3729" s="20" t="s">
        <v>8</v>
      </c>
      <c r="D3729" s="20" t="s">
        <v>10</v>
      </c>
      <c r="E3729" s="20" t="s">
        <v>16</v>
      </c>
      <c r="F3729" s="20" t="str">
        <f>INDEX(nrg_cb_e!$A$3:$A$40,MATCH(LEFT(MID('Industriesektor GWh'!$B3729,41,1000),SEARCH(" - ",MID('Industriesektor GWh'!$B3729,41,1000))-1),nrg_cb_e!$C$3:$C$40,0))</f>
        <v>FC_IND_FBT_E</v>
      </c>
      <c r="G3729" s="21">
        <v>1603</v>
      </c>
    </row>
    <row r="3730" spans="1:7" x14ac:dyDescent="0.2">
      <c r="A3730" s="16" t="s">
        <v>31</v>
      </c>
      <c r="B3730" s="17" t="s">
        <v>69</v>
      </c>
      <c r="C3730" s="17" t="s">
        <v>8</v>
      </c>
      <c r="D3730" s="17" t="s">
        <v>10</v>
      </c>
      <c r="E3730" s="17" t="s">
        <v>17</v>
      </c>
      <c r="F3730" s="17" t="str">
        <f>INDEX(nrg_cb_e!$A$3:$A$40,MATCH(LEFT(MID('Industriesektor GWh'!$B3730,41,1000),SEARCH(" - ",MID('Industriesektor GWh'!$B3730,41,1000))-1),nrg_cb_e!$C$3:$C$40,0))</f>
        <v>FC_IND_FBT_E</v>
      </c>
      <c r="G3730" s="18">
        <v>1572</v>
      </c>
    </row>
    <row r="3731" spans="1:7" x14ac:dyDescent="0.2">
      <c r="A3731" s="19" t="s">
        <v>31</v>
      </c>
      <c r="B3731" s="20" t="s">
        <v>69</v>
      </c>
      <c r="C3731" s="20" t="s">
        <v>8</v>
      </c>
      <c r="D3731" s="20" t="s">
        <v>10</v>
      </c>
      <c r="E3731" s="20" t="s">
        <v>18</v>
      </c>
      <c r="F3731" s="20" t="str">
        <f>INDEX(nrg_cb_e!$A$3:$A$40,MATCH(LEFT(MID('Industriesektor GWh'!$B3731,41,1000),SEARCH(" - ",MID('Industriesektor GWh'!$B3731,41,1000))-1),nrg_cb_e!$C$3:$C$40,0))</f>
        <v>FC_IND_FBT_E</v>
      </c>
      <c r="G3731" s="21">
        <v>1722</v>
      </c>
    </row>
    <row r="3732" spans="1:7" x14ac:dyDescent="0.2">
      <c r="A3732" s="16" t="s">
        <v>31</v>
      </c>
      <c r="B3732" s="17" t="s">
        <v>69</v>
      </c>
      <c r="C3732" s="17" t="s">
        <v>8</v>
      </c>
      <c r="D3732" s="17" t="s">
        <v>10</v>
      </c>
      <c r="E3732" s="17" t="s">
        <v>19</v>
      </c>
      <c r="F3732" s="17" t="str">
        <f>INDEX(nrg_cb_e!$A$3:$A$40,MATCH(LEFT(MID('Industriesektor GWh'!$B3732,41,1000),SEARCH(" - ",MID('Industriesektor GWh'!$B3732,41,1000))-1),nrg_cb_e!$C$3:$C$40,0))</f>
        <v>FC_IND_FBT_E</v>
      </c>
      <c r="G3732" s="18">
        <v>1632</v>
      </c>
    </row>
    <row r="3733" spans="1:7" x14ac:dyDescent="0.2">
      <c r="A3733" s="19" t="s">
        <v>31</v>
      </c>
      <c r="B3733" s="20" t="s">
        <v>69</v>
      </c>
      <c r="C3733" s="20" t="s">
        <v>8</v>
      </c>
      <c r="D3733" s="20" t="s">
        <v>10</v>
      </c>
      <c r="E3733" s="20" t="s">
        <v>20</v>
      </c>
      <c r="F3733" s="20" t="str">
        <f>INDEX(nrg_cb_e!$A$3:$A$40,MATCH(LEFT(MID('Industriesektor GWh'!$B3733,41,1000),SEARCH(" - ",MID('Industriesektor GWh'!$B3733,41,1000))-1),nrg_cb_e!$C$3:$C$40,0))</f>
        <v>FC_IND_FBT_E</v>
      </c>
      <c r="G3733" s="21">
        <v>1593</v>
      </c>
    </row>
    <row r="3734" spans="1:7" x14ac:dyDescent="0.2">
      <c r="A3734" s="16" t="s">
        <v>31</v>
      </c>
      <c r="B3734" s="17" t="s">
        <v>69</v>
      </c>
      <c r="C3734" s="17" t="s">
        <v>8</v>
      </c>
      <c r="D3734" s="17" t="s">
        <v>10</v>
      </c>
      <c r="E3734" s="17" t="s">
        <v>21</v>
      </c>
      <c r="F3734" s="17" t="str">
        <f>INDEX(nrg_cb_e!$A$3:$A$40,MATCH(LEFT(MID('Industriesektor GWh'!$B3734,41,1000),SEARCH(" - ",MID('Industriesektor GWh'!$B3734,41,1000))-1),nrg_cb_e!$C$3:$C$40,0))</f>
        <v>FC_IND_FBT_E</v>
      </c>
      <c r="G3734" s="18">
        <v>1625</v>
      </c>
    </row>
    <row r="3735" spans="1:7" x14ac:dyDescent="0.2">
      <c r="A3735" s="19" t="s">
        <v>31</v>
      </c>
      <c r="B3735" s="20" t="s">
        <v>69</v>
      </c>
      <c r="C3735" s="20" t="s">
        <v>8</v>
      </c>
      <c r="D3735" s="20" t="s">
        <v>10</v>
      </c>
      <c r="E3735" s="20" t="s">
        <v>22</v>
      </c>
      <c r="F3735" s="20" t="str">
        <f>INDEX(nrg_cb_e!$A$3:$A$40,MATCH(LEFT(MID('Industriesektor GWh'!$B3735,41,1000),SEARCH(" - ",MID('Industriesektor GWh'!$B3735,41,1000))-1),nrg_cb_e!$C$3:$C$40,0))</f>
        <v>FC_IND_FBT_E</v>
      </c>
      <c r="G3735" s="21">
        <v>1620</v>
      </c>
    </row>
    <row r="3736" spans="1:7" x14ac:dyDescent="0.2">
      <c r="A3736" s="16" t="s">
        <v>31</v>
      </c>
      <c r="B3736" s="17" t="s">
        <v>69</v>
      </c>
      <c r="C3736" s="17" t="s">
        <v>8</v>
      </c>
      <c r="D3736" s="17" t="s">
        <v>10</v>
      </c>
      <c r="E3736" s="17" t="s">
        <v>23</v>
      </c>
      <c r="F3736" s="17" t="str">
        <f>INDEX(nrg_cb_e!$A$3:$A$40,MATCH(LEFT(MID('Industriesektor GWh'!$B3736,41,1000),SEARCH(" - ",MID('Industriesektor GWh'!$B3736,41,1000))-1),nrg_cb_e!$C$3:$C$40,0))</f>
        <v>FC_IND_FBT_E</v>
      </c>
      <c r="G3736" s="18">
        <v>1468</v>
      </c>
    </row>
    <row r="3737" spans="1:7" x14ac:dyDescent="0.2">
      <c r="A3737" s="19" t="s">
        <v>31</v>
      </c>
      <c r="B3737" s="20" t="s">
        <v>69</v>
      </c>
      <c r="C3737" s="20" t="s">
        <v>8</v>
      </c>
      <c r="D3737" s="20" t="s">
        <v>10</v>
      </c>
      <c r="E3737" s="20" t="s">
        <v>24</v>
      </c>
      <c r="F3737" s="20" t="str">
        <f>INDEX(nrg_cb_e!$A$3:$A$40,MATCH(LEFT(MID('Industriesektor GWh'!$B3737,41,1000),SEARCH(" - ",MID('Industriesektor GWh'!$B3737,41,1000))-1),nrg_cb_e!$C$3:$C$40,0))</f>
        <v>FC_IND_FBT_E</v>
      </c>
      <c r="G3737" s="21">
        <v>1483</v>
      </c>
    </row>
    <row r="3738" spans="1:7" x14ac:dyDescent="0.2">
      <c r="A3738" s="16" t="s">
        <v>31</v>
      </c>
      <c r="B3738" s="17" t="s">
        <v>69</v>
      </c>
      <c r="C3738" s="17" t="s">
        <v>8</v>
      </c>
      <c r="D3738" s="17" t="s">
        <v>10</v>
      </c>
      <c r="E3738" s="17" t="s">
        <v>25</v>
      </c>
      <c r="F3738" s="17" t="str">
        <f>INDEX(nrg_cb_e!$A$3:$A$40,MATCH(LEFT(MID('Industriesektor GWh'!$B3738,41,1000),SEARCH(" - ",MID('Industriesektor GWh'!$B3738,41,1000))-1),nrg_cb_e!$C$3:$C$40,0))</f>
        <v>FC_IND_FBT_E</v>
      </c>
      <c r="G3738" s="18">
        <v>1585</v>
      </c>
    </row>
    <row r="3739" spans="1:7" x14ac:dyDescent="0.2">
      <c r="A3739" s="19" t="s">
        <v>31</v>
      </c>
      <c r="B3739" s="20" t="s">
        <v>69</v>
      </c>
      <c r="C3739" s="20" t="s">
        <v>8</v>
      </c>
      <c r="D3739" s="20" t="s">
        <v>10</v>
      </c>
      <c r="E3739" s="20" t="s">
        <v>26</v>
      </c>
      <c r="F3739" s="20" t="str">
        <f>INDEX(nrg_cb_e!$A$3:$A$40,MATCH(LEFT(MID('Industriesektor GWh'!$B3739,41,1000),SEARCH(" - ",MID('Industriesektor GWh'!$B3739,41,1000))-1),nrg_cb_e!$C$3:$C$40,0))</f>
        <v>FC_IND_FBT_E</v>
      </c>
      <c r="G3739" s="21">
        <v>1589</v>
      </c>
    </row>
    <row r="3740" spans="1:7" x14ac:dyDescent="0.2">
      <c r="A3740" s="16" t="s">
        <v>31</v>
      </c>
      <c r="B3740" s="17" t="s">
        <v>69</v>
      </c>
      <c r="C3740" s="17" t="s">
        <v>8</v>
      </c>
      <c r="D3740" s="17" t="s">
        <v>10</v>
      </c>
      <c r="E3740" s="17" t="s">
        <v>27</v>
      </c>
      <c r="F3740" s="17" t="str">
        <f>INDEX(nrg_cb_e!$A$3:$A$40,MATCH(LEFT(MID('Industriesektor GWh'!$B3740,41,1000),SEARCH(" - ",MID('Industriesektor GWh'!$B3740,41,1000))-1),nrg_cb_e!$C$3:$C$40,0))</f>
        <v>FC_IND_FBT_E</v>
      </c>
      <c r="G3740" s="18">
        <v>1651.2339999999999</v>
      </c>
    </row>
    <row r="3741" spans="1:7" x14ac:dyDescent="0.2">
      <c r="A3741" s="19" t="s">
        <v>31</v>
      </c>
      <c r="B3741" s="20" t="s">
        <v>69</v>
      </c>
      <c r="C3741" s="20" t="s">
        <v>8</v>
      </c>
      <c r="D3741" s="20" t="s">
        <v>10</v>
      </c>
      <c r="E3741" s="20" t="s">
        <v>28</v>
      </c>
      <c r="F3741" s="20" t="str">
        <f>INDEX(nrg_cb_e!$A$3:$A$40,MATCH(LEFT(MID('Industriesektor GWh'!$B3741,41,1000),SEARCH(" - ",MID('Industriesektor GWh'!$B3741,41,1000))-1),nrg_cb_e!$C$3:$C$40,0))</f>
        <v>FC_IND_FBT_E</v>
      </c>
      <c r="G3741" s="21">
        <v>1667.5170000000001</v>
      </c>
    </row>
    <row r="3742" spans="1:7" x14ac:dyDescent="0.2">
      <c r="A3742" s="16" t="s">
        <v>32</v>
      </c>
      <c r="B3742" s="17" t="s">
        <v>69</v>
      </c>
      <c r="C3742" s="17" t="s">
        <v>8</v>
      </c>
      <c r="D3742" s="17" t="s">
        <v>10</v>
      </c>
      <c r="E3742" s="17" t="s">
        <v>12</v>
      </c>
      <c r="F3742" s="17" t="str">
        <f>INDEX(nrg_cb_e!$A$3:$A$40,MATCH(LEFT(MID('Industriesektor GWh'!$B3742,41,1000),SEARCH(" - ",MID('Industriesektor GWh'!$B3742,41,1000))-1),nrg_cb_e!$C$3:$C$40,0))</f>
        <v>FC_IND_FBT_E</v>
      </c>
      <c r="G3742" s="18">
        <v>2368</v>
      </c>
    </row>
    <row r="3743" spans="1:7" x14ac:dyDescent="0.2">
      <c r="A3743" s="19" t="s">
        <v>32</v>
      </c>
      <c r="B3743" s="20" t="s">
        <v>69</v>
      </c>
      <c r="C3743" s="20" t="s">
        <v>8</v>
      </c>
      <c r="D3743" s="20" t="s">
        <v>10</v>
      </c>
      <c r="E3743" s="20" t="s">
        <v>13</v>
      </c>
      <c r="F3743" s="20" t="str">
        <f>INDEX(nrg_cb_e!$A$3:$A$40,MATCH(LEFT(MID('Industriesektor GWh'!$B3743,41,1000),SEARCH(" - ",MID('Industriesektor GWh'!$B3743,41,1000))-1),nrg_cb_e!$C$3:$C$40,0))</f>
        <v>FC_IND_FBT_E</v>
      </c>
      <c r="G3743" s="21">
        <v>2345</v>
      </c>
    </row>
    <row r="3744" spans="1:7" x14ac:dyDescent="0.2">
      <c r="A3744" s="16" t="s">
        <v>32</v>
      </c>
      <c r="B3744" s="17" t="s">
        <v>69</v>
      </c>
      <c r="C3744" s="17" t="s">
        <v>8</v>
      </c>
      <c r="D3744" s="17" t="s">
        <v>10</v>
      </c>
      <c r="E3744" s="17" t="s">
        <v>14</v>
      </c>
      <c r="F3744" s="17" t="str">
        <f>INDEX(nrg_cb_e!$A$3:$A$40,MATCH(LEFT(MID('Industriesektor GWh'!$B3744,41,1000),SEARCH(" - ",MID('Industriesektor GWh'!$B3744,41,1000))-1),nrg_cb_e!$C$3:$C$40,0))</f>
        <v>FC_IND_FBT_E</v>
      </c>
      <c r="G3744" s="18">
        <v>2430</v>
      </c>
    </row>
    <row r="3745" spans="1:7" x14ac:dyDescent="0.2">
      <c r="A3745" s="19" t="s">
        <v>32</v>
      </c>
      <c r="B3745" s="20" t="s">
        <v>69</v>
      </c>
      <c r="C3745" s="20" t="s">
        <v>8</v>
      </c>
      <c r="D3745" s="20" t="s">
        <v>10</v>
      </c>
      <c r="E3745" s="20" t="s">
        <v>15</v>
      </c>
      <c r="F3745" s="20" t="str">
        <f>INDEX(nrg_cb_e!$A$3:$A$40,MATCH(LEFT(MID('Industriesektor GWh'!$B3745,41,1000),SEARCH(" - ",MID('Industriesektor GWh'!$B3745,41,1000))-1),nrg_cb_e!$C$3:$C$40,0))</f>
        <v>FC_IND_FBT_E</v>
      </c>
      <c r="G3745" s="21">
        <v>2559</v>
      </c>
    </row>
    <row r="3746" spans="1:7" x14ac:dyDescent="0.2">
      <c r="A3746" s="16" t="s">
        <v>32</v>
      </c>
      <c r="B3746" s="17" t="s">
        <v>69</v>
      </c>
      <c r="C3746" s="17" t="s">
        <v>8</v>
      </c>
      <c r="D3746" s="17" t="s">
        <v>10</v>
      </c>
      <c r="E3746" s="17" t="s">
        <v>16</v>
      </c>
      <c r="F3746" s="17" t="str">
        <f>INDEX(nrg_cb_e!$A$3:$A$40,MATCH(LEFT(MID('Industriesektor GWh'!$B3746,41,1000),SEARCH(" - ",MID('Industriesektor GWh'!$B3746,41,1000))-1),nrg_cb_e!$C$3:$C$40,0))</f>
        <v>FC_IND_FBT_E</v>
      </c>
      <c r="G3746" s="18">
        <v>2493</v>
      </c>
    </row>
    <row r="3747" spans="1:7" x14ac:dyDescent="0.2">
      <c r="A3747" s="19" t="s">
        <v>32</v>
      </c>
      <c r="B3747" s="20" t="s">
        <v>69</v>
      </c>
      <c r="C3747" s="20" t="s">
        <v>8</v>
      </c>
      <c r="D3747" s="20" t="s">
        <v>10</v>
      </c>
      <c r="E3747" s="20" t="s">
        <v>17</v>
      </c>
      <c r="F3747" s="20" t="str">
        <f>INDEX(nrg_cb_e!$A$3:$A$40,MATCH(LEFT(MID('Industriesektor GWh'!$B3747,41,1000),SEARCH(" - ",MID('Industriesektor GWh'!$B3747,41,1000))-1),nrg_cb_e!$C$3:$C$40,0))</f>
        <v>FC_IND_FBT_E</v>
      </c>
      <c r="G3747" s="21">
        <v>2431</v>
      </c>
    </row>
    <row r="3748" spans="1:7" x14ac:dyDescent="0.2">
      <c r="A3748" s="16" t="s">
        <v>32</v>
      </c>
      <c r="B3748" s="17" t="s">
        <v>69</v>
      </c>
      <c r="C3748" s="17" t="s">
        <v>8</v>
      </c>
      <c r="D3748" s="17" t="s">
        <v>10</v>
      </c>
      <c r="E3748" s="17" t="s">
        <v>18</v>
      </c>
      <c r="F3748" s="17" t="str">
        <f>INDEX(nrg_cb_e!$A$3:$A$40,MATCH(LEFT(MID('Industriesektor GWh'!$B3748,41,1000),SEARCH(" - ",MID('Industriesektor GWh'!$B3748,41,1000))-1),nrg_cb_e!$C$3:$C$40,0))</f>
        <v>FC_IND_FBT_E</v>
      </c>
      <c r="G3748" s="18">
        <v>2470</v>
      </c>
    </row>
    <row r="3749" spans="1:7" x14ac:dyDescent="0.2">
      <c r="A3749" s="19" t="s">
        <v>32</v>
      </c>
      <c r="B3749" s="20" t="s">
        <v>69</v>
      </c>
      <c r="C3749" s="20" t="s">
        <v>8</v>
      </c>
      <c r="D3749" s="20" t="s">
        <v>10</v>
      </c>
      <c r="E3749" s="20" t="s">
        <v>19</v>
      </c>
      <c r="F3749" s="20" t="str">
        <f>INDEX(nrg_cb_e!$A$3:$A$40,MATCH(LEFT(MID('Industriesektor GWh'!$B3749,41,1000),SEARCH(" - ",MID('Industriesektor GWh'!$B3749,41,1000))-1),nrg_cb_e!$C$3:$C$40,0))</f>
        <v>FC_IND_FBT_E</v>
      </c>
      <c r="G3749" s="21">
        <v>2251</v>
      </c>
    </row>
    <row r="3750" spans="1:7" x14ac:dyDescent="0.2">
      <c r="A3750" s="16" t="s">
        <v>32</v>
      </c>
      <c r="B3750" s="17" t="s">
        <v>69</v>
      </c>
      <c r="C3750" s="17" t="s">
        <v>8</v>
      </c>
      <c r="D3750" s="17" t="s">
        <v>10</v>
      </c>
      <c r="E3750" s="17" t="s">
        <v>20</v>
      </c>
      <c r="F3750" s="17" t="str">
        <f>INDEX(nrg_cb_e!$A$3:$A$40,MATCH(LEFT(MID('Industriesektor GWh'!$B3750,41,1000),SEARCH(" - ",MID('Industriesektor GWh'!$B3750,41,1000))-1),nrg_cb_e!$C$3:$C$40,0))</f>
        <v>FC_IND_FBT_E</v>
      </c>
      <c r="G3750" s="18">
        <v>2315</v>
      </c>
    </row>
    <row r="3751" spans="1:7" x14ac:dyDescent="0.2">
      <c r="A3751" s="19" t="s">
        <v>32</v>
      </c>
      <c r="B3751" s="20" t="s">
        <v>69</v>
      </c>
      <c r="C3751" s="20" t="s">
        <v>8</v>
      </c>
      <c r="D3751" s="20" t="s">
        <v>10</v>
      </c>
      <c r="E3751" s="20" t="s">
        <v>21</v>
      </c>
      <c r="F3751" s="20" t="str">
        <f>INDEX(nrg_cb_e!$A$3:$A$40,MATCH(LEFT(MID('Industriesektor GWh'!$B3751,41,1000),SEARCH(" - ",MID('Industriesektor GWh'!$B3751,41,1000))-1),nrg_cb_e!$C$3:$C$40,0))</f>
        <v>FC_IND_FBT_E</v>
      </c>
      <c r="G3751" s="21">
        <v>2389</v>
      </c>
    </row>
    <row r="3752" spans="1:7" x14ac:dyDescent="0.2">
      <c r="A3752" s="16" t="s">
        <v>32</v>
      </c>
      <c r="B3752" s="17" t="s">
        <v>69</v>
      </c>
      <c r="C3752" s="17" t="s">
        <v>8</v>
      </c>
      <c r="D3752" s="17" t="s">
        <v>10</v>
      </c>
      <c r="E3752" s="17" t="s">
        <v>22</v>
      </c>
      <c r="F3752" s="17" t="str">
        <f>INDEX(nrg_cb_e!$A$3:$A$40,MATCH(LEFT(MID('Industriesektor GWh'!$B3752,41,1000),SEARCH(" - ",MID('Industriesektor GWh'!$B3752,41,1000))-1),nrg_cb_e!$C$3:$C$40,0))</f>
        <v>FC_IND_FBT_E</v>
      </c>
      <c r="G3752" s="18">
        <v>2350</v>
      </c>
    </row>
    <row r="3753" spans="1:7" x14ac:dyDescent="0.2">
      <c r="A3753" s="19" t="s">
        <v>32</v>
      </c>
      <c r="B3753" s="20" t="s">
        <v>69</v>
      </c>
      <c r="C3753" s="20" t="s">
        <v>8</v>
      </c>
      <c r="D3753" s="20" t="s">
        <v>10</v>
      </c>
      <c r="E3753" s="20" t="s">
        <v>23</v>
      </c>
      <c r="F3753" s="20" t="str">
        <f>INDEX(nrg_cb_e!$A$3:$A$40,MATCH(LEFT(MID('Industriesektor GWh'!$B3753,41,1000),SEARCH(" - ",MID('Industriesektor GWh'!$B3753,41,1000))-1),nrg_cb_e!$C$3:$C$40,0))</f>
        <v>FC_IND_FBT_E</v>
      </c>
      <c r="G3753" s="21">
        <v>2273</v>
      </c>
    </row>
    <row r="3754" spans="1:7" x14ac:dyDescent="0.2">
      <c r="A3754" s="16" t="s">
        <v>32</v>
      </c>
      <c r="B3754" s="17" t="s">
        <v>69</v>
      </c>
      <c r="C3754" s="17" t="s">
        <v>8</v>
      </c>
      <c r="D3754" s="17" t="s">
        <v>10</v>
      </c>
      <c r="E3754" s="17" t="s">
        <v>24</v>
      </c>
      <c r="F3754" s="17" t="str">
        <f>INDEX(nrg_cb_e!$A$3:$A$40,MATCH(LEFT(MID('Industriesektor GWh'!$B3754,41,1000),SEARCH(" - ",MID('Industriesektor GWh'!$B3754,41,1000))-1),nrg_cb_e!$C$3:$C$40,0))</f>
        <v>FC_IND_FBT_E</v>
      </c>
      <c r="G3754" s="18">
        <v>2329</v>
      </c>
    </row>
    <row r="3755" spans="1:7" x14ac:dyDescent="0.2">
      <c r="A3755" s="19" t="s">
        <v>32</v>
      </c>
      <c r="B3755" s="20" t="s">
        <v>69</v>
      </c>
      <c r="C3755" s="20" t="s">
        <v>8</v>
      </c>
      <c r="D3755" s="20" t="s">
        <v>10</v>
      </c>
      <c r="E3755" s="20" t="s">
        <v>25</v>
      </c>
      <c r="F3755" s="20" t="str">
        <f>INDEX(nrg_cb_e!$A$3:$A$40,MATCH(LEFT(MID('Industriesektor GWh'!$B3755,41,1000),SEARCH(" - ",MID('Industriesektor GWh'!$B3755,41,1000))-1),nrg_cb_e!$C$3:$C$40,0))</f>
        <v>FC_IND_FBT_E</v>
      </c>
      <c r="G3755" s="21">
        <v>2381.384</v>
      </c>
    </row>
    <row r="3756" spans="1:7" x14ac:dyDescent="0.2">
      <c r="A3756" s="16" t="s">
        <v>32</v>
      </c>
      <c r="B3756" s="17" t="s">
        <v>69</v>
      </c>
      <c r="C3756" s="17" t="s">
        <v>8</v>
      </c>
      <c r="D3756" s="17" t="s">
        <v>10</v>
      </c>
      <c r="E3756" s="17" t="s">
        <v>26</v>
      </c>
      <c r="F3756" s="17" t="str">
        <f>INDEX(nrg_cb_e!$A$3:$A$40,MATCH(LEFT(MID('Industriesektor GWh'!$B3756,41,1000),SEARCH(" - ",MID('Industriesektor GWh'!$B3756,41,1000))-1),nrg_cb_e!$C$3:$C$40,0))</f>
        <v>FC_IND_FBT_E</v>
      </c>
      <c r="G3756" s="18">
        <v>2374.9749999999999</v>
      </c>
    </row>
    <row r="3757" spans="1:7" x14ac:dyDescent="0.2">
      <c r="A3757" s="19" t="s">
        <v>32</v>
      </c>
      <c r="B3757" s="20" t="s">
        <v>69</v>
      </c>
      <c r="C3757" s="20" t="s">
        <v>8</v>
      </c>
      <c r="D3757" s="20" t="s">
        <v>10</v>
      </c>
      <c r="E3757" s="20" t="s">
        <v>27</v>
      </c>
      <c r="F3757" s="20" t="str">
        <f>INDEX(nrg_cb_e!$A$3:$A$40,MATCH(LEFT(MID('Industriesektor GWh'!$B3757,41,1000),SEARCH(" - ",MID('Industriesektor GWh'!$B3757,41,1000))-1),nrg_cb_e!$C$3:$C$40,0))</f>
        <v>FC_IND_FBT_E</v>
      </c>
      <c r="G3757" s="21">
        <v>2411.413</v>
      </c>
    </row>
    <row r="3758" spans="1:7" x14ac:dyDescent="0.2">
      <c r="A3758" s="16" t="s">
        <v>32</v>
      </c>
      <c r="B3758" s="17" t="s">
        <v>69</v>
      </c>
      <c r="C3758" s="17" t="s">
        <v>8</v>
      </c>
      <c r="D3758" s="17" t="s">
        <v>10</v>
      </c>
      <c r="E3758" s="17" t="s">
        <v>28</v>
      </c>
      <c r="F3758" s="17" t="str">
        <f>INDEX(nrg_cb_e!$A$3:$A$40,MATCH(LEFT(MID('Industriesektor GWh'!$B3758,41,1000),SEARCH(" - ",MID('Industriesektor GWh'!$B3758,41,1000))-1),nrg_cb_e!$C$3:$C$40,0))</f>
        <v>FC_IND_FBT_E</v>
      </c>
      <c r="G3758" s="18">
        <v>2409.0720000000001</v>
      </c>
    </row>
    <row r="3759" spans="1:7" x14ac:dyDescent="0.2">
      <c r="A3759" s="19" t="s">
        <v>33</v>
      </c>
      <c r="B3759" s="20" t="s">
        <v>69</v>
      </c>
      <c r="C3759" s="20" t="s">
        <v>8</v>
      </c>
      <c r="D3759" s="20" t="s">
        <v>10</v>
      </c>
      <c r="E3759" s="20" t="s">
        <v>12</v>
      </c>
      <c r="F3759" s="20" t="str">
        <f>INDEX(nrg_cb_e!$A$3:$A$40,MATCH(LEFT(MID('Industriesektor GWh'!$B3759,41,1000),SEARCH(" - ",MID('Industriesektor GWh'!$B3759,41,1000))-1),nrg_cb_e!$C$3:$C$40,0))</f>
        <v>FC_IND_FBT_E</v>
      </c>
      <c r="G3759" s="21">
        <v>15957</v>
      </c>
    </row>
    <row r="3760" spans="1:7" x14ac:dyDescent="0.2">
      <c r="A3760" s="16" t="s">
        <v>33</v>
      </c>
      <c r="B3760" s="17" t="s">
        <v>69</v>
      </c>
      <c r="C3760" s="17" t="s">
        <v>8</v>
      </c>
      <c r="D3760" s="17" t="s">
        <v>10</v>
      </c>
      <c r="E3760" s="17" t="s">
        <v>13</v>
      </c>
      <c r="F3760" s="17" t="str">
        <f>INDEX(nrg_cb_e!$A$3:$A$40,MATCH(LEFT(MID('Industriesektor GWh'!$B3760,41,1000),SEARCH(" - ",MID('Industriesektor GWh'!$B3760,41,1000))-1),nrg_cb_e!$C$3:$C$40,0))</f>
        <v>FC_IND_FBT_E</v>
      </c>
      <c r="G3760" s="18">
        <v>16582</v>
      </c>
    </row>
    <row r="3761" spans="1:7" x14ac:dyDescent="0.2">
      <c r="A3761" s="19" t="s">
        <v>33</v>
      </c>
      <c r="B3761" s="20" t="s">
        <v>69</v>
      </c>
      <c r="C3761" s="20" t="s">
        <v>8</v>
      </c>
      <c r="D3761" s="20" t="s">
        <v>10</v>
      </c>
      <c r="E3761" s="20" t="s">
        <v>14</v>
      </c>
      <c r="F3761" s="20" t="str">
        <f>INDEX(nrg_cb_e!$A$3:$A$40,MATCH(LEFT(MID('Industriesektor GWh'!$B3761,41,1000),SEARCH(" - ",MID('Industriesektor GWh'!$B3761,41,1000))-1),nrg_cb_e!$C$3:$C$40,0))</f>
        <v>FC_IND_FBT_E</v>
      </c>
      <c r="G3761" s="21">
        <v>16405</v>
      </c>
    </row>
    <row r="3762" spans="1:7" x14ac:dyDescent="0.2">
      <c r="A3762" s="16" t="s">
        <v>33</v>
      </c>
      <c r="B3762" s="17" t="s">
        <v>69</v>
      </c>
      <c r="C3762" s="17" t="s">
        <v>8</v>
      </c>
      <c r="D3762" s="17" t="s">
        <v>10</v>
      </c>
      <c r="E3762" s="17" t="s">
        <v>15</v>
      </c>
      <c r="F3762" s="17" t="str">
        <f>INDEX(nrg_cb_e!$A$3:$A$40,MATCH(LEFT(MID('Industriesektor GWh'!$B3762,41,1000),SEARCH(" - ",MID('Industriesektor GWh'!$B3762,41,1000))-1),nrg_cb_e!$C$3:$C$40,0))</f>
        <v>FC_IND_FBT_E</v>
      </c>
      <c r="G3762" s="18">
        <v>16906</v>
      </c>
    </row>
    <row r="3763" spans="1:7" x14ac:dyDescent="0.2">
      <c r="A3763" s="19" t="s">
        <v>33</v>
      </c>
      <c r="B3763" s="20" t="s">
        <v>69</v>
      </c>
      <c r="C3763" s="20" t="s">
        <v>8</v>
      </c>
      <c r="D3763" s="20" t="s">
        <v>10</v>
      </c>
      <c r="E3763" s="20" t="s">
        <v>16</v>
      </c>
      <c r="F3763" s="20" t="str">
        <f>INDEX(nrg_cb_e!$A$3:$A$40,MATCH(LEFT(MID('Industriesektor GWh'!$B3763,41,1000),SEARCH(" - ",MID('Industriesektor GWh'!$B3763,41,1000))-1),nrg_cb_e!$C$3:$C$40,0))</f>
        <v>FC_IND_FBT_E</v>
      </c>
      <c r="G3763" s="21">
        <v>17266</v>
      </c>
    </row>
    <row r="3764" spans="1:7" x14ac:dyDescent="0.2">
      <c r="A3764" s="16" t="s">
        <v>33</v>
      </c>
      <c r="B3764" s="17" t="s">
        <v>69</v>
      </c>
      <c r="C3764" s="17" t="s">
        <v>8</v>
      </c>
      <c r="D3764" s="17" t="s">
        <v>10</v>
      </c>
      <c r="E3764" s="17" t="s">
        <v>17</v>
      </c>
      <c r="F3764" s="17" t="str">
        <f>INDEX(nrg_cb_e!$A$3:$A$40,MATCH(LEFT(MID('Industriesektor GWh'!$B3764,41,1000),SEARCH(" - ",MID('Industriesektor GWh'!$B3764,41,1000))-1),nrg_cb_e!$C$3:$C$40,0))</f>
        <v>FC_IND_FBT_E</v>
      </c>
      <c r="G3764" s="18">
        <v>17213</v>
      </c>
    </row>
    <row r="3765" spans="1:7" x14ac:dyDescent="0.2">
      <c r="A3765" s="19" t="s">
        <v>33</v>
      </c>
      <c r="B3765" s="20" t="s">
        <v>69</v>
      </c>
      <c r="C3765" s="20" t="s">
        <v>8</v>
      </c>
      <c r="D3765" s="20" t="s">
        <v>10</v>
      </c>
      <c r="E3765" s="20" t="s">
        <v>18</v>
      </c>
      <c r="F3765" s="20" t="str">
        <f>INDEX(nrg_cb_e!$A$3:$A$40,MATCH(LEFT(MID('Industriesektor GWh'!$B3765,41,1000),SEARCH(" - ",MID('Industriesektor GWh'!$B3765,41,1000))-1),nrg_cb_e!$C$3:$C$40,0))</f>
        <v>FC_IND_FBT_E</v>
      </c>
      <c r="G3765" s="21">
        <v>18015</v>
      </c>
    </row>
    <row r="3766" spans="1:7" x14ac:dyDescent="0.2">
      <c r="A3766" s="16" t="s">
        <v>33</v>
      </c>
      <c r="B3766" s="17" t="s">
        <v>69</v>
      </c>
      <c r="C3766" s="17" t="s">
        <v>8</v>
      </c>
      <c r="D3766" s="17" t="s">
        <v>10</v>
      </c>
      <c r="E3766" s="17" t="s">
        <v>19</v>
      </c>
      <c r="F3766" s="17" t="str">
        <f>INDEX(nrg_cb_e!$A$3:$A$40,MATCH(LEFT(MID('Industriesektor GWh'!$B3766,41,1000),SEARCH(" - ",MID('Industriesektor GWh'!$B3766,41,1000))-1),nrg_cb_e!$C$3:$C$40,0))</f>
        <v>FC_IND_FBT_E</v>
      </c>
      <c r="G3766" s="18">
        <v>17832</v>
      </c>
    </row>
    <row r="3767" spans="1:7" x14ac:dyDescent="0.2">
      <c r="A3767" s="19" t="s">
        <v>33</v>
      </c>
      <c r="B3767" s="20" t="s">
        <v>69</v>
      </c>
      <c r="C3767" s="20" t="s">
        <v>8</v>
      </c>
      <c r="D3767" s="20" t="s">
        <v>10</v>
      </c>
      <c r="E3767" s="20" t="s">
        <v>20</v>
      </c>
      <c r="F3767" s="20" t="str">
        <f>INDEX(nrg_cb_e!$A$3:$A$40,MATCH(LEFT(MID('Industriesektor GWh'!$B3767,41,1000),SEARCH(" - ",MID('Industriesektor GWh'!$B3767,41,1000))-1),nrg_cb_e!$C$3:$C$40,0))</f>
        <v>FC_IND_FBT_E</v>
      </c>
      <c r="G3767" s="21">
        <v>17525</v>
      </c>
    </row>
    <row r="3768" spans="1:7" x14ac:dyDescent="0.2">
      <c r="A3768" s="16" t="s">
        <v>33</v>
      </c>
      <c r="B3768" s="17" t="s">
        <v>69</v>
      </c>
      <c r="C3768" s="17" t="s">
        <v>8</v>
      </c>
      <c r="D3768" s="17" t="s">
        <v>10</v>
      </c>
      <c r="E3768" s="17" t="s">
        <v>21</v>
      </c>
      <c r="F3768" s="17" t="str">
        <f>INDEX(nrg_cb_e!$A$3:$A$40,MATCH(LEFT(MID('Industriesektor GWh'!$B3768,41,1000),SEARCH(" - ",MID('Industriesektor GWh'!$B3768,41,1000))-1),nrg_cb_e!$C$3:$C$40,0))</f>
        <v>FC_IND_FBT_E</v>
      </c>
      <c r="G3768" s="18">
        <v>17770</v>
      </c>
    </row>
    <row r="3769" spans="1:7" x14ac:dyDescent="0.2">
      <c r="A3769" s="19" t="s">
        <v>33</v>
      </c>
      <c r="B3769" s="20" t="s">
        <v>69</v>
      </c>
      <c r="C3769" s="20" t="s">
        <v>8</v>
      </c>
      <c r="D3769" s="20" t="s">
        <v>10</v>
      </c>
      <c r="E3769" s="20" t="s">
        <v>22</v>
      </c>
      <c r="F3769" s="20" t="str">
        <f>INDEX(nrg_cb_e!$A$3:$A$40,MATCH(LEFT(MID('Industriesektor GWh'!$B3769,41,1000),SEARCH(" - ",MID('Industriesektor GWh'!$B3769,41,1000))-1),nrg_cb_e!$C$3:$C$40,0))</f>
        <v>FC_IND_FBT_E</v>
      </c>
      <c r="G3769" s="21">
        <v>17981</v>
      </c>
    </row>
    <row r="3770" spans="1:7" x14ac:dyDescent="0.2">
      <c r="A3770" s="16" t="s">
        <v>33</v>
      </c>
      <c r="B3770" s="17" t="s">
        <v>69</v>
      </c>
      <c r="C3770" s="17" t="s">
        <v>8</v>
      </c>
      <c r="D3770" s="17" t="s">
        <v>10</v>
      </c>
      <c r="E3770" s="17" t="s">
        <v>23</v>
      </c>
      <c r="F3770" s="17" t="str">
        <f>INDEX(nrg_cb_e!$A$3:$A$40,MATCH(LEFT(MID('Industriesektor GWh'!$B3770,41,1000),SEARCH(" - ",MID('Industriesektor GWh'!$B3770,41,1000))-1),nrg_cb_e!$C$3:$C$40,0))</f>
        <v>FC_IND_FBT_E</v>
      </c>
      <c r="G3770" s="18">
        <v>17821</v>
      </c>
    </row>
    <row r="3771" spans="1:7" x14ac:dyDescent="0.2">
      <c r="A3771" s="19" t="s">
        <v>33</v>
      </c>
      <c r="B3771" s="20" t="s">
        <v>69</v>
      </c>
      <c r="C3771" s="20" t="s">
        <v>8</v>
      </c>
      <c r="D3771" s="20" t="s">
        <v>10</v>
      </c>
      <c r="E3771" s="20" t="s">
        <v>24</v>
      </c>
      <c r="F3771" s="20" t="str">
        <f>INDEX(nrg_cb_e!$A$3:$A$40,MATCH(LEFT(MID('Industriesektor GWh'!$B3771,41,1000),SEARCH(" - ",MID('Industriesektor GWh'!$B3771,41,1000))-1),nrg_cb_e!$C$3:$C$40,0))</f>
        <v>FC_IND_FBT_E</v>
      </c>
      <c r="G3771" s="21">
        <v>18074</v>
      </c>
    </row>
    <row r="3772" spans="1:7" x14ac:dyDescent="0.2">
      <c r="A3772" s="16" t="s">
        <v>33</v>
      </c>
      <c r="B3772" s="17" t="s">
        <v>69</v>
      </c>
      <c r="C3772" s="17" t="s">
        <v>8</v>
      </c>
      <c r="D3772" s="17" t="s">
        <v>10</v>
      </c>
      <c r="E3772" s="17" t="s">
        <v>25</v>
      </c>
      <c r="F3772" s="17" t="str">
        <f>INDEX(nrg_cb_e!$A$3:$A$40,MATCH(LEFT(MID('Industriesektor GWh'!$B3772,41,1000),SEARCH(" - ",MID('Industriesektor GWh'!$B3772,41,1000))-1),nrg_cb_e!$C$3:$C$40,0))</f>
        <v>FC_IND_FBT_E</v>
      </c>
      <c r="G3772" s="18">
        <v>18194</v>
      </c>
    </row>
    <row r="3773" spans="1:7" x14ac:dyDescent="0.2">
      <c r="A3773" s="19" t="s">
        <v>33</v>
      </c>
      <c r="B3773" s="20" t="s">
        <v>69</v>
      </c>
      <c r="C3773" s="20" t="s">
        <v>8</v>
      </c>
      <c r="D3773" s="20" t="s">
        <v>10</v>
      </c>
      <c r="E3773" s="20" t="s">
        <v>26</v>
      </c>
      <c r="F3773" s="20" t="str">
        <f>INDEX(nrg_cb_e!$A$3:$A$40,MATCH(LEFT(MID('Industriesektor GWh'!$B3773,41,1000),SEARCH(" - ",MID('Industriesektor GWh'!$B3773,41,1000))-1),nrg_cb_e!$C$3:$C$40,0))</f>
        <v>FC_IND_FBT_E</v>
      </c>
      <c r="G3773" s="21">
        <v>18522</v>
      </c>
    </row>
    <row r="3774" spans="1:7" x14ac:dyDescent="0.2">
      <c r="A3774" s="16" t="s">
        <v>33</v>
      </c>
      <c r="B3774" s="17" t="s">
        <v>69</v>
      </c>
      <c r="C3774" s="17" t="s">
        <v>8</v>
      </c>
      <c r="D3774" s="17" t="s">
        <v>10</v>
      </c>
      <c r="E3774" s="17" t="s">
        <v>27</v>
      </c>
      <c r="F3774" s="17" t="str">
        <f>INDEX(nrg_cb_e!$A$3:$A$40,MATCH(LEFT(MID('Industriesektor GWh'!$B3774,41,1000),SEARCH(" - ",MID('Industriesektor GWh'!$B3774,41,1000))-1),nrg_cb_e!$C$3:$C$40,0))</f>
        <v>FC_IND_FBT_E</v>
      </c>
      <c r="G3774" s="18">
        <v>18639</v>
      </c>
    </row>
    <row r="3775" spans="1:7" x14ac:dyDescent="0.2">
      <c r="A3775" s="19" t="s">
        <v>33</v>
      </c>
      <c r="B3775" s="20" t="s">
        <v>69</v>
      </c>
      <c r="C3775" s="20" t="s">
        <v>8</v>
      </c>
      <c r="D3775" s="20" t="s">
        <v>10</v>
      </c>
      <c r="E3775" s="20" t="s">
        <v>28</v>
      </c>
      <c r="F3775" s="20" t="str">
        <f>INDEX(nrg_cb_e!$A$3:$A$40,MATCH(LEFT(MID('Industriesektor GWh'!$B3775,41,1000),SEARCH(" - ",MID('Industriesektor GWh'!$B3775,41,1000))-1),nrg_cb_e!$C$3:$C$40,0))</f>
        <v>FC_IND_FBT_E</v>
      </c>
      <c r="G3775" s="21">
        <v>18962</v>
      </c>
    </row>
    <row r="3776" spans="1:7" x14ac:dyDescent="0.2">
      <c r="A3776" s="16" t="s">
        <v>34</v>
      </c>
      <c r="B3776" s="17" t="s">
        <v>69</v>
      </c>
      <c r="C3776" s="17" t="s">
        <v>8</v>
      </c>
      <c r="D3776" s="17" t="s">
        <v>10</v>
      </c>
      <c r="E3776" s="17" t="s">
        <v>12</v>
      </c>
      <c r="F3776" s="17" t="str">
        <f>INDEX(nrg_cb_e!$A$3:$A$40,MATCH(LEFT(MID('Industriesektor GWh'!$B3776,41,1000),SEARCH(" - ",MID('Industriesektor GWh'!$B3776,41,1000))-1),nrg_cb_e!$C$3:$C$40,0))</f>
        <v>FC_IND_FBT_E</v>
      </c>
      <c r="G3776" s="18">
        <v>292</v>
      </c>
    </row>
    <row r="3777" spans="1:7" x14ac:dyDescent="0.2">
      <c r="A3777" s="19" t="s">
        <v>34</v>
      </c>
      <c r="B3777" s="20" t="s">
        <v>69</v>
      </c>
      <c r="C3777" s="20" t="s">
        <v>8</v>
      </c>
      <c r="D3777" s="20" t="s">
        <v>10</v>
      </c>
      <c r="E3777" s="20" t="s">
        <v>13</v>
      </c>
      <c r="F3777" s="20" t="str">
        <f>INDEX(nrg_cb_e!$A$3:$A$40,MATCH(LEFT(MID('Industriesektor GWh'!$B3777,41,1000),SEARCH(" - ",MID('Industriesektor GWh'!$B3777,41,1000))-1),nrg_cb_e!$C$3:$C$40,0))</f>
        <v>FC_IND_FBT_E</v>
      </c>
      <c r="G3777" s="21">
        <v>289</v>
      </c>
    </row>
    <row r="3778" spans="1:7" x14ac:dyDescent="0.2">
      <c r="A3778" s="16" t="s">
        <v>34</v>
      </c>
      <c r="B3778" s="17" t="s">
        <v>69</v>
      </c>
      <c r="C3778" s="17" t="s">
        <v>8</v>
      </c>
      <c r="D3778" s="17" t="s">
        <v>10</v>
      </c>
      <c r="E3778" s="17" t="s">
        <v>14</v>
      </c>
      <c r="F3778" s="17" t="str">
        <f>INDEX(nrg_cb_e!$A$3:$A$40,MATCH(LEFT(MID('Industriesektor GWh'!$B3778,41,1000),SEARCH(" - ",MID('Industriesektor GWh'!$B3778,41,1000))-1),nrg_cb_e!$C$3:$C$40,0))</f>
        <v>FC_IND_FBT_E</v>
      </c>
      <c r="G3778" s="18">
        <v>300</v>
      </c>
    </row>
    <row r="3779" spans="1:7" x14ac:dyDescent="0.2">
      <c r="A3779" s="19" t="s">
        <v>34</v>
      </c>
      <c r="B3779" s="20" t="s">
        <v>69</v>
      </c>
      <c r="C3779" s="20" t="s">
        <v>8</v>
      </c>
      <c r="D3779" s="20" t="s">
        <v>10</v>
      </c>
      <c r="E3779" s="20" t="s">
        <v>15</v>
      </c>
      <c r="F3779" s="20" t="str">
        <f>INDEX(nrg_cb_e!$A$3:$A$40,MATCH(LEFT(MID('Industriesektor GWh'!$B3779,41,1000),SEARCH(" - ",MID('Industriesektor GWh'!$B3779,41,1000))-1),nrg_cb_e!$C$3:$C$40,0))</f>
        <v>FC_IND_FBT_E</v>
      </c>
      <c r="G3779" s="21">
        <v>304</v>
      </c>
    </row>
    <row r="3780" spans="1:7" x14ac:dyDescent="0.2">
      <c r="A3780" s="16" t="s">
        <v>34</v>
      </c>
      <c r="B3780" s="17" t="s">
        <v>69</v>
      </c>
      <c r="C3780" s="17" t="s">
        <v>8</v>
      </c>
      <c r="D3780" s="17" t="s">
        <v>10</v>
      </c>
      <c r="E3780" s="17" t="s">
        <v>16</v>
      </c>
      <c r="F3780" s="17" t="str">
        <f>INDEX(nrg_cb_e!$A$3:$A$40,MATCH(LEFT(MID('Industriesektor GWh'!$B3780,41,1000),SEARCH(" - ",MID('Industriesektor GWh'!$B3780,41,1000))-1),nrg_cb_e!$C$3:$C$40,0))</f>
        <v>FC_IND_FBT_E</v>
      </c>
      <c r="G3780" s="18">
        <v>294</v>
      </c>
    </row>
    <row r="3781" spans="1:7" x14ac:dyDescent="0.2">
      <c r="A3781" s="19" t="s">
        <v>34</v>
      </c>
      <c r="B3781" s="20" t="s">
        <v>69</v>
      </c>
      <c r="C3781" s="20" t="s">
        <v>8</v>
      </c>
      <c r="D3781" s="20" t="s">
        <v>10</v>
      </c>
      <c r="E3781" s="20" t="s">
        <v>17</v>
      </c>
      <c r="F3781" s="20" t="str">
        <f>INDEX(nrg_cb_e!$A$3:$A$40,MATCH(LEFT(MID('Industriesektor GWh'!$B3781,41,1000),SEARCH(" - ",MID('Industriesektor GWh'!$B3781,41,1000))-1),nrg_cb_e!$C$3:$C$40,0))</f>
        <v>FC_IND_FBT_E</v>
      </c>
      <c r="G3781" s="21">
        <v>315</v>
      </c>
    </row>
    <row r="3782" spans="1:7" x14ac:dyDescent="0.2">
      <c r="A3782" s="16" t="s">
        <v>34</v>
      </c>
      <c r="B3782" s="17" t="s">
        <v>69</v>
      </c>
      <c r="C3782" s="17" t="s">
        <v>8</v>
      </c>
      <c r="D3782" s="17" t="s">
        <v>10</v>
      </c>
      <c r="E3782" s="17" t="s">
        <v>18</v>
      </c>
      <c r="F3782" s="17" t="str">
        <f>INDEX(nrg_cb_e!$A$3:$A$40,MATCH(LEFT(MID('Industriesektor GWh'!$B3782,41,1000),SEARCH(" - ",MID('Industriesektor GWh'!$B3782,41,1000))-1),nrg_cb_e!$C$3:$C$40,0))</f>
        <v>FC_IND_FBT_E</v>
      </c>
      <c r="G3782" s="18">
        <v>310</v>
      </c>
    </row>
    <row r="3783" spans="1:7" x14ac:dyDescent="0.2">
      <c r="A3783" s="19" t="s">
        <v>34</v>
      </c>
      <c r="B3783" s="20" t="s">
        <v>69</v>
      </c>
      <c r="C3783" s="20" t="s">
        <v>8</v>
      </c>
      <c r="D3783" s="20" t="s">
        <v>10</v>
      </c>
      <c r="E3783" s="20" t="s">
        <v>19</v>
      </c>
      <c r="F3783" s="20" t="str">
        <f>INDEX(nrg_cb_e!$A$3:$A$40,MATCH(LEFT(MID('Industriesektor GWh'!$B3783,41,1000),SEARCH(" - ",MID('Industriesektor GWh'!$B3783,41,1000))-1),nrg_cb_e!$C$3:$C$40,0))</f>
        <v>FC_IND_FBT_E</v>
      </c>
      <c r="G3783" s="21">
        <v>249</v>
      </c>
    </row>
    <row r="3784" spans="1:7" x14ac:dyDescent="0.2">
      <c r="A3784" s="16" t="s">
        <v>34</v>
      </c>
      <c r="B3784" s="17" t="s">
        <v>69</v>
      </c>
      <c r="C3784" s="17" t="s">
        <v>8</v>
      </c>
      <c r="D3784" s="17" t="s">
        <v>10</v>
      </c>
      <c r="E3784" s="17" t="s">
        <v>20</v>
      </c>
      <c r="F3784" s="17" t="str">
        <f>INDEX(nrg_cb_e!$A$3:$A$40,MATCH(LEFT(MID('Industriesektor GWh'!$B3784,41,1000),SEARCH(" - ",MID('Industriesektor GWh'!$B3784,41,1000))-1),nrg_cb_e!$C$3:$C$40,0))</f>
        <v>FC_IND_FBT_E</v>
      </c>
      <c r="G3784" s="18">
        <v>278</v>
      </c>
    </row>
    <row r="3785" spans="1:7" x14ac:dyDescent="0.2">
      <c r="A3785" s="19" t="s">
        <v>34</v>
      </c>
      <c r="B3785" s="20" t="s">
        <v>69</v>
      </c>
      <c r="C3785" s="20" t="s">
        <v>8</v>
      </c>
      <c r="D3785" s="20" t="s">
        <v>10</v>
      </c>
      <c r="E3785" s="20" t="s">
        <v>21</v>
      </c>
      <c r="F3785" s="20" t="str">
        <f>INDEX(nrg_cb_e!$A$3:$A$40,MATCH(LEFT(MID('Industriesektor GWh'!$B3785,41,1000),SEARCH(" - ",MID('Industriesektor GWh'!$B3785,41,1000))-1),nrg_cb_e!$C$3:$C$40,0))</f>
        <v>FC_IND_FBT_E</v>
      </c>
      <c r="G3785" s="21">
        <v>265</v>
      </c>
    </row>
    <row r="3786" spans="1:7" x14ac:dyDescent="0.2">
      <c r="A3786" s="16" t="s">
        <v>34</v>
      </c>
      <c r="B3786" s="17" t="s">
        <v>69</v>
      </c>
      <c r="C3786" s="17" t="s">
        <v>8</v>
      </c>
      <c r="D3786" s="17" t="s">
        <v>10</v>
      </c>
      <c r="E3786" s="17" t="s">
        <v>22</v>
      </c>
      <c r="F3786" s="17" t="str">
        <f>INDEX(nrg_cb_e!$A$3:$A$40,MATCH(LEFT(MID('Industriesektor GWh'!$B3786,41,1000),SEARCH(" - ",MID('Industriesektor GWh'!$B3786,41,1000))-1),nrg_cb_e!$C$3:$C$40,0))</f>
        <v>FC_IND_FBT_E</v>
      </c>
      <c r="G3786" s="18">
        <v>321</v>
      </c>
    </row>
    <row r="3787" spans="1:7" x14ac:dyDescent="0.2">
      <c r="A3787" s="19" t="s">
        <v>34</v>
      </c>
      <c r="B3787" s="20" t="s">
        <v>69</v>
      </c>
      <c r="C3787" s="20" t="s">
        <v>8</v>
      </c>
      <c r="D3787" s="20" t="s">
        <v>10</v>
      </c>
      <c r="E3787" s="20" t="s">
        <v>23</v>
      </c>
      <c r="F3787" s="20" t="str">
        <f>INDEX(nrg_cb_e!$A$3:$A$40,MATCH(LEFT(MID('Industriesektor GWh'!$B3787,41,1000),SEARCH(" - ",MID('Industriesektor GWh'!$B3787,41,1000))-1),nrg_cb_e!$C$3:$C$40,0))</f>
        <v>FC_IND_FBT_E</v>
      </c>
      <c r="G3787" s="21">
        <v>288</v>
      </c>
    </row>
    <row r="3788" spans="1:7" x14ac:dyDescent="0.2">
      <c r="A3788" s="16" t="s">
        <v>34</v>
      </c>
      <c r="B3788" s="17" t="s">
        <v>69</v>
      </c>
      <c r="C3788" s="17" t="s">
        <v>8</v>
      </c>
      <c r="D3788" s="17" t="s">
        <v>10</v>
      </c>
      <c r="E3788" s="17" t="s">
        <v>24</v>
      </c>
      <c r="F3788" s="17" t="str">
        <f>INDEX(nrg_cb_e!$A$3:$A$40,MATCH(LEFT(MID('Industriesektor GWh'!$B3788,41,1000),SEARCH(" - ",MID('Industriesektor GWh'!$B3788,41,1000))-1),nrg_cb_e!$C$3:$C$40,0))</f>
        <v>FC_IND_FBT_E</v>
      </c>
      <c r="G3788" s="18">
        <v>318</v>
      </c>
    </row>
    <row r="3789" spans="1:7" x14ac:dyDescent="0.2">
      <c r="A3789" s="19" t="s">
        <v>34</v>
      </c>
      <c r="B3789" s="20" t="s">
        <v>69</v>
      </c>
      <c r="C3789" s="20" t="s">
        <v>8</v>
      </c>
      <c r="D3789" s="20" t="s">
        <v>10</v>
      </c>
      <c r="E3789" s="20" t="s">
        <v>25</v>
      </c>
      <c r="F3789" s="20" t="str">
        <f>INDEX(nrg_cb_e!$A$3:$A$40,MATCH(LEFT(MID('Industriesektor GWh'!$B3789,41,1000),SEARCH(" - ",MID('Industriesektor GWh'!$B3789,41,1000))-1),nrg_cb_e!$C$3:$C$40,0))</f>
        <v>FC_IND_FBT_E</v>
      </c>
      <c r="G3789" s="21">
        <v>321</v>
      </c>
    </row>
    <row r="3790" spans="1:7" x14ac:dyDescent="0.2">
      <c r="A3790" s="16" t="s">
        <v>34</v>
      </c>
      <c r="B3790" s="17" t="s">
        <v>69</v>
      </c>
      <c r="C3790" s="17" t="s">
        <v>8</v>
      </c>
      <c r="D3790" s="17" t="s">
        <v>10</v>
      </c>
      <c r="E3790" s="17" t="s">
        <v>26</v>
      </c>
      <c r="F3790" s="17" t="str">
        <f>INDEX(nrg_cb_e!$A$3:$A$40,MATCH(LEFT(MID('Industriesektor GWh'!$B3790,41,1000),SEARCH(" - ",MID('Industriesektor GWh'!$B3790,41,1000))-1),nrg_cb_e!$C$3:$C$40,0))</f>
        <v>FC_IND_FBT_E</v>
      </c>
      <c r="G3790" s="18">
        <v>320</v>
      </c>
    </row>
    <row r="3791" spans="1:7" x14ac:dyDescent="0.2">
      <c r="A3791" s="19" t="s">
        <v>34</v>
      </c>
      <c r="B3791" s="20" t="s">
        <v>69</v>
      </c>
      <c r="C3791" s="20" t="s">
        <v>8</v>
      </c>
      <c r="D3791" s="20" t="s">
        <v>10</v>
      </c>
      <c r="E3791" s="20" t="s">
        <v>27</v>
      </c>
      <c r="F3791" s="20" t="str">
        <f>INDEX(nrg_cb_e!$A$3:$A$40,MATCH(LEFT(MID('Industriesektor GWh'!$B3791,41,1000),SEARCH(" - ",MID('Industriesektor GWh'!$B3791,41,1000))-1),nrg_cb_e!$C$3:$C$40,0))</f>
        <v>FC_IND_FBT_E</v>
      </c>
      <c r="G3791" s="21">
        <v>309</v>
      </c>
    </row>
    <row r="3792" spans="1:7" x14ac:dyDescent="0.2">
      <c r="A3792" s="16" t="s">
        <v>34</v>
      </c>
      <c r="B3792" s="17" t="s">
        <v>69</v>
      </c>
      <c r="C3792" s="17" t="s">
        <v>8</v>
      </c>
      <c r="D3792" s="17" t="s">
        <v>10</v>
      </c>
      <c r="E3792" s="17" t="s">
        <v>28</v>
      </c>
      <c r="F3792" s="17" t="str">
        <f>INDEX(nrg_cb_e!$A$3:$A$40,MATCH(LEFT(MID('Industriesektor GWh'!$B3792,41,1000),SEARCH(" - ",MID('Industriesektor GWh'!$B3792,41,1000))-1),nrg_cb_e!$C$3:$C$40,0))</f>
        <v>FC_IND_FBT_E</v>
      </c>
      <c r="G3792" s="18">
        <v>290</v>
      </c>
    </row>
    <row r="3793" spans="1:7" x14ac:dyDescent="0.2">
      <c r="A3793" s="19" t="s">
        <v>35</v>
      </c>
      <c r="B3793" s="20" t="s">
        <v>69</v>
      </c>
      <c r="C3793" s="20" t="s">
        <v>8</v>
      </c>
      <c r="D3793" s="20" t="s">
        <v>10</v>
      </c>
      <c r="E3793" s="20" t="s">
        <v>12</v>
      </c>
      <c r="F3793" s="20" t="str">
        <f>INDEX(nrg_cb_e!$A$3:$A$40,MATCH(LEFT(MID('Industriesektor GWh'!$B3793,41,1000),SEARCH(" - ",MID('Industriesektor GWh'!$B3793,41,1000))-1),nrg_cb_e!$C$3:$C$40,0))</f>
        <v>FC_IND_FBT_E</v>
      </c>
      <c r="G3793" s="21">
        <v>1888.9739999999999</v>
      </c>
    </row>
    <row r="3794" spans="1:7" x14ac:dyDescent="0.2">
      <c r="A3794" s="16" t="s">
        <v>35</v>
      </c>
      <c r="B3794" s="17" t="s">
        <v>69</v>
      </c>
      <c r="C3794" s="17" t="s">
        <v>8</v>
      </c>
      <c r="D3794" s="17" t="s">
        <v>10</v>
      </c>
      <c r="E3794" s="17" t="s">
        <v>13</v>
      </c>
      <c r="F3794" s="17" t="str">
        <f>INDEX(nrg_cb_e!$A$3:$A$40,MATCH(LEFT(MID('Industriesektor GWh'!$B3794,41,1000),SEARCH(" - ",MID('Industriesektor GWh'!$B3794,41,1000))-1),nrg_cb_e!$C$3:$C$40,0))</f>
        <v>FC_IND_FBT_E</v>
      </c>
      <c r="G3794" s="18">
        <v>1758.9</v>
      </c>
    </row>
    <row r="3795" spans="1:7" x14ac:dyDescent="0.2">
      <c r="A3795" s="19" t="s">
        <v>35</v>
      </c>
      <c r="B3795" s="20" t="s">
        <v>69</v>
      </c>
      <c r="C3795" s="20" t="s">
        <v>8</v>
      </c>
      <c r="D3795" s="20" t="s">
        <v>10</v>
      </c>
      <c r="E3795" s="20" t="s">
        <v>14</v>
      </c>
      <c r="F3795" s="20" t="str">
        <f>INDEX(nrg_cb_e!$A$3:$A$40,MATCH(LEFT(MID('Industriesektor GWh'!$B3795,41,1000),SEARCH(" - ",MID('Industriesektor GWh'!$B3795,41,1000))-1),nrg_cb_e!$C$3:$C$40,0))</f>
        <v>FC_IND_FBT_E</v>
      </c>
      <c r="G3795" s="21">
        <v>1664.6079999999999</v>
      </c>
    </row>
    <row r="3796" spans="1:7" x14ac:dyDescent="0.2">
      <c r="A3796" s="16" t="s">
        <v>35</v>
      </c>
      <c r="B3796" s="17" t="s">
        <v>69</v>
      </c>
      <c r="C3796" s="17" t="s">
        <v>8</v>
      </c>
      <c r="D3796" s="17" t="s">
        <v>10</v>
      </c>
      <c r="E3796" s="17" t="s">
        <v>15</v>
      </c>
      <c r="F3796" s="17" t="str">
        <f>INDEX(nrg_cb_e!$A$3:$A$40,MATCH(LEFT(MID('Industriesektor GWh'!$B3796,41,1000),SEARCH(" - ",MID('Industriesektor GWh'!$B3796,41,1000))-1),nrg_cb_e!$C$3:$C$40,0))</f>
        <v>FC_IND_FBT_E</v>
      </c>
      <c r="G3796" s="18">
        <v>1855.13</v>
      </c>
    </row>
    <row r="3797" spans="1:7" x14ac:dyDescent="0.2">
      <c r="A3797" s="19" t="s">
        <v>35</v>
      </c>
      <c r="B3797" s="20" t="s">
        <v>69</v>
      </c>
      <c r="C3797" s="20" t="s">
        <v>8</v>
      </c>
      <c r="D3797" s="20" t="s">
        <v>10</v>
      </c>
      <c r="E3797" s="20" t="s">
        <v>16</v>
      </c>
      <c r="F3797" s="20" t="str">
        <f>INDEX(nrg_cb_e!$A$3:$A$40,MATCH(LEFT(MID('Industriesektor GWh'!$B3797,41,1000),SEARCH(" - ",MID('Industriesektor GWh'!$B3797,41,1000))-1),nrg_cb_e!$C$3:$C$40,0))</f>
        <v>FC_IND_FBT_E</v>
      </c>
      <c r="G3797" s="21">
        <v>1807.55</v>
      </c>
    </row>
    <row r="3798" spans="1:7" x14ac:dyDescent="0.2">
      <c r="A3798" s="16" t="s">
        <v>35</v>
      </c>
      <c r="B3798" s="17" t="s">
        <v>69</v>
      </c>
      <c r="C3798" s="17" t="s">
        <v>8</v>
      </c>
      <c r="D3798" s="17" t="s">
        <v>10</v>
      </c>
      <c r="E3798" s="17" t="s">
        <v>17</v>
      </c>
      <c r="F3798" s="17" t="str">
        <f>INDEX(nrg_cb_e!$A$3:$A$40,MATCH(LEFT(MID('Industriesektor GWh'!$B3798,41,1000),SEARCH(" - ",MID('Industriesektor GWh'!$B3798,41,1000))-1),nrg_cb_e!$C$3:$C$40,0))</f>
        <v>FC_IND_FBT_E</v>
      </c>
      <c r="G3798" s="18">
        <v>1664.0440000000001</v>
      </c>
    </row>
    <row r="3799" spans="1:7" x14ac:dyDescent="0.2">
      <c r="A3799" s="19" t="s">
        <v>35</v>
      </c>
      <c r="B3799" s="20" t="s">
        <v>69</v>
      </c>
      <c r="C3799" s="20" t="s">
        <v>8</v>
      </c>
      <c r="D3799" s="20" t="s">
        <v>10</v>
      </c>
      <c r="E3799" s="20" t="s">
        <v>18</v>
      </c>
      <c r="F3799" s="20" t="str">
        <f>INDEX(nrg_cb_e!$A$3:$A$40,MATCH(LEFT(MID('Industriesektor GWh'!$B3799,41,1000),SEARCH(" - ",MID('Industriesektor GWh'!$B3799,41,1000))-1),nrg_cb_e!$C$3:$C$40,0))</f>
        <v>FC_IND_FBT_E</v>
      </c>
      <c r="G3799" s="21">
        <v>1545.152</v>
      </c>
    </row>
    <row r="3800" spans="1:7" x14ac:dyDescent="0.2">
      <c r="A3800" s="16" t="s">
        <v>35</v>
      </c>
      <c r="B3800" s="17" t="s">
        <v>69</v>
      </c>
      <c r="C3800" s="17" t="s">
        <v>8</v>
      </c>
      <c r="D3800" s="17" t="s">
        <v>10</v>
      </c>
      <c r="E3800" s="17" t="s">
        <v>19</v>
      </c>
      <c r="F3800" s="17" t="str">
        <f>INDEX(nrg_cb_e!$A$3:$A$40,MATCH(LEFT(MID('Industriesektor GWh'!$B3800,41,1000),SEARCH(" - ",MID('Industriesektor GWh'!$B3800,41,1000))-1),nrg_cb_e!$C$3:$C$40,0))</f>
        <v>FC_IND_FBT_E</v>
      </c>
      <c r="G3800" s="18">
        <v>1690.223</v>
      </c>
    </row>
    <row r="3801" spans="1:7" x14ac:dyDescent="0.2">
      <c r="A3801" s="19" t="s">
        <v>35</v>
      </c>
      <c r="B3801" s="20" t="s">
        <v>69</v>
      </c>
      <c r="C3801" s="20" t="s">
        <v>8</v>
      </c>
      <c r="D3801" s="20" t="s">
        <v>10</v>
      </c>
      <c r="E3801" s="20" t="s">
        <v>20</v>
      </c>
      <c r="F3801" s="20" t="str">
        <f>INDEX(nrg_cb_e!$A$3:$A$40,MATCH(LEFT(MID('Industriesektor GWh'!$B3801,41,1000),SEARCH(" - ",MID('Industriesektor GWh'!$B3801,41,1000))-1),nrg_cb_e!$C$3:$C$40,0))</f>
        <v>FC_IND_FBT_E</v>
      </c>
      <c r="G3801" s="21">
        <v>1940.329</v>
      </c>
    </row>
    <row r="3802" spans="1:7" x14ac:dyDescent="0.2">
      <c r="A3802" s="16" t="s">
        <v>35</v>
      </c>
      <c r="B3802" s="17" t="s">
        <v>69</v>
      </c>
      <c r="C3802" s="17" t="s">
        <v>8</v>
      </c>
      <c r="D3802" s="17" t="s">
        <v>10</v>
      </c>
      <c r="E3802" s="17" t="s">
        <v>21</v>
      </c>
      <c r="F3802" s="17" t="str">
        <f>INDEX(nrg_cb_e!$A$3:$A$40,MATCH(LEFT(MID('Industriesektor GWh'!$B3802,41,1000),SEARCH(" - ",MID('Industriesektor GWh'!$B3802,41,1000))-1),nrg_cb_e!$C$3:$C$40,0))</f>
        <v>FC_IND_FBT_E</v>
      </c>
      <c r="G3802" s="18">
        <v>2025.6569999999999</v>
      </c>
    </row>
    <row r="3803" spans="1:7" x14ac:dyDescent="0.2">
      <c r="A3803" s="19" t="s">
        <v>35</v>
      </c>
      <c r="B3803" s="20" t="s">
        <v>69</v>
      </c>
      <c r="C3803" s="20" t="s">
        <v>8</v>
      </c>
      <c r="D3803" s="20" t="s">
        <v>10</v>
      </c>
      <c r="E3803" s="20" t="s">
        <v>22</v>
      </c>
      <c r="F3803" s="20" t="str">
        <f>INDEX(nrg_cb_e!$A$3:$A$40,MATCH(LEFT(MID('Industriesektor GWh'!$B3803,41,1000),SEARCH(" - ",MID('Industriesektor GWh'!$B3803,41,1000))-1),nrg_cb_e!$C$3:$C$40,0))</f>
        <v>FC_IND_FBT_E</v>
      </c>
      <c r="G3803" s="21">
        <v>1949.6410000000001</v>
      </c>
    </row>
    <row r="3804" spans="1:7" x14ac:dyDescent="0.2">
      <c r="A3804" s="16" t="s">
        <v>35</v>
      </c>
      <c r="B3804" s="17" t="s">
        <v>69</v>
      </c>
      <c r="C3804" s="17" t="s">
        <v>8</v>
      </c>
      <c r="D3804" s="17" t="s">
        <v>10</v>
      </c>
      <c r="E3804" s="17" t="s">
        <v>23</v>
      </c>
      <c r="F3804" s="17" t="str">
        <f>INDEX(nrg_cb_e!$A$3:$A$40,MATCH(LEFT(MID('Industriesektor GWh'!$B3804,41,1000),SEARCH(" - ",MID('Industriesektor GWh'!$B3804,41,1000))-1),nrg_cb_e!$C$3:$C$40,0))</f>
        <v>FC_IND_FBT_E</v>
      </c>
      <c r="G3804" s="18">
        <v>1979.876</v>
      </c>
    </row>
    <row r="3805" spans="1:7" x14ac:dyDescent="0.2">
      <c r="A3805" s="19" t="s">
        <v>35</v>
      </c>
      <c r="B3805" s="20" t="s">
        <v>69</v>
      </c>
      <c r="C3805" s="20" t="s">
        <v>8</v>
      </c>
      <c r="D3805" s="20" t="s">
        <v>10</v>
      </c>
      <c r="E3805" s="20" t="s">
        <v>24</v>
      </c>
      <c r="F3805" s="20" t="str">
        <f>INDEX(nrg_cb_e!$A$3:$A$40,MATCH(LEFT(MID('Industriesektor GWh'!$B3805,41,1000),SEARCH(" - ",MID('Industriesektor GWh'!$B3805,41,1000))-1),nrg_cb_e!$C$3:$C$40,0))</f>
        <v>FC_IND_FBT_E</v>
      </c>
      <c r="G3805" s="21">
        <v>2003.521</v>
      </c>
    </row>
    <row r="3806" spans="1:7" x14ac:dyDescent="0.2">
      <c r="A3806" s="16" t="s">
        <v>35</v>
      </c>
      <c r="B3806" s="17" t="s">
        <v>69</v>
      </c>
      <c r="C3806" s="17" t="s">
        <v>8</v>
      </c>
      <c r="D3806" s="17" t="s">
        <v>10</v>
      </c>
      <c r="E3806" s="17" t="s">
        <v>25</v>
      </c>
      <c r="F3806" s="17" t="str">
        <f>INDEX(nrg_cb_e!$A$3:$A$40,MATCH(LEFT(MID('Industriesektor GWh'!$B3806,41,1000),SEARCH(" - ",MID('Industriesektor GWh'!$B3806,41,1000))-1),nrg_cb_e!$C$3:$C$40,0))</f>
        <v>FC_IND_FBT_E</v>
      </c>
      <c r="G3806" s="18">
        <v>2098.5700000000002</v>
      </c>
    </row>
    <row r="3807" spans="1:7" x14ac:dyDescent="0.2">
      <c r="A3807" s="19" t="s">
        <v>35</v>
      </c>
      <c r="B3807" s="20" t="s">
        <v>69</v>
      </c>
      <c r="C3807" s="20" t="s">
        <v>8</v>
      </c>
      <c r="D3807" s="20" t="s">
        <v>10</v>
      </c>
      <c r="E3807" s="20" t="s">
        <v>26</v>
      </c>
      <c r="F3807" s="20" t="str">
        <f>INDEX(nrg_cb_e!$A$3:$A$40,MATCH(LEFT(MID('Industriesektor GWh'!$B3807,41,1000),SEARCH(" - ",MID('Industriesektor GWh'!$B3807,41,1000))-1),nrg_cb_e!$C$3:$C$40,0))</f>
        <v>FC_IND_FBT_E</v>
      </c>
      <c r="G3807" s="21">
        <v>2166.86</v>
      </c>
    </row>
    <row r="3808" spans="1:7" x14ac:dyDescent="0.2">
      <c r="A3808" s="16" t="s">
        <v>35</v>
      </c>
      <c r="B3808" s="17" t="s">
        <v>69</v>
      </c>
      <c r="C3808" s="17" t="s">
        <v>8</v>
      </c>
      <c r="D3808" s="17" t="s">
        <v>10</v>
      </c>
      <c r="E3808" s="17" t="s">
        <v>27</v>
      </c>
      <c r="F3808" s="17" t="str">
        <f>INDEX(nrg_cb_e!$A$3:$A$40,MATCH(LEFT(MID('Industriesektor GWh'!$B3808,41,1000),SEARCH(" - ",MID('Industriesektor GWh'!$B3808,41,1000))-1),nrg_cb_e!$C$3:$C$40,0))</f>
        <v>FC_IND_FBT_E</v>
      </c>
      <c r="G3808" s="18">
        <v>2190.962</v>
      </c>
    </row>
    <row r="3809" spans="1:7" x14ac:dyDescent="0.2">
      <c r="A3809" s="19" t="s">
        <v>35</v>
      </c>
      <c r="B3809" s="20" t="s">
        <v>69</v>
      </c>
      <c r="C3809" s="20" t="s">
        <v>8</v>
      </c>
      <c r="D3809" s="20" t="s">
        <v>10</v>
      </c>
      <c r="E3809" s="20" t="s">
        <v>28</v>
      </c>
      <c r="F3809" s="20" t="str">
        <f>INDEX(nrg_cb_e!$A$3:$A$40,MATCH(LEFT(MID('Industriesektor GWh'!$B3809,41,1000),SEARCH(" - ",MID('Industriesektor GWh'!$B3809,41,1000))-1),nrg_cb_e!$C$3:$C$40,0))</f>
        <v>FC_IND_FBT_E</v>
      </c>
      <c r="G3809" s="21">
        <v>2331.6779999999999</v>
      </c>
    </row>
    <row r="3810" spans="1:7" x14ac:dyDescent="0.2">
      <c r="A3810" s="16" t="s">
        <v>36</v>
      </c>
      <c r="B3810" s="17" t="s">
        <v>69</v>
      </c>
      <c r="C3810" s="17" t="s">
        <v>8</v>
      </c>
      <c r="D3810" s="17" t="s">
        <v>10</v>
      </c>
      <c r="E3810" s="17" t="s">
        <v>12</v>
      </c>
      <c r="F3810" s="17" t="str">
        <f>INDEX(nrg_cb_e!$A$3:$A$40,MATCH(LEFT(MID('Industriesektor GWh'!$B3810,41,1000),SEARCH(" - ",MID('Industriesektor GWh'!$B3810,41,1000))-1),nrg_cb_e!$C$3:$C$40,0))</f>
        <v>FC_IND_FBT_E</v>
      </c>
      <c r="G3810" s="18">
        <v>1285</v>
      </c>
    </row>
    <row r="3811" spans="1:7" x14ac:dyDescent="0.2">
      <c r="A3811" s="19" t="s">
        <v>36</v>
      </c>
      <c r="B3811" s="20" t="s">
        <v>69</v>
      </c>
      <c r="C3811" s="20" t="s">
        <v>8</v>
      </c>
      <c r="D3811" s="20" t="s">
        <v>10</v>
      </c>
      <c r="E3811" s="20" t="s">
        <v>13</v>
      </c>
      <c r="F3811" s="20" t="str">
        <f>INDEX(nrg_cb_e!$A$3:$A$40,MATCH(LEFT(MID('Industriesektor GWh'!$B3811,41,1000),SEARCH(" - ",MID('Industriesektor GWh'!$B3811,41,1000))-1),nrg_cb_e!$C$3:$C$40,0))</f>
        <v>FC_IND_FBT_E</v>
      </c>
      <c r="G3811" s="21">
        <v>1875</v>
      </c>
    </row>
    <row r="3812" spans="1:7" x14ac:dyDescent="0.2">
      <c r="A3812" s="16" t="s">
        <v>36</v>
      </c>
      <c r="B3812" s="17" t="s">
        <v>69</v>
      </c>
      <c r="C3812" s="17" t="s">
        <v>8</v>
      </c>
      <c r="D3812" s="17" t="s">
        <v>10</v>
      </c>
      <c r="E3812" s="17" t="s">
        <v>14</v>
      </c>
      <c r="F3812" s="17" t="str">
        <f>INDEX(nrg_cb_e!$A$3:$A$40,MATCH(LEFT(MID('Industriesektor GWh'!$B3812,41,1000),SEARCH(" - ",MID('Industriesektor GWh'!$B3812,41,1000))-1),nrg_cb_e!$C$3:$C$40,0))</f>
        <v>FC_IND_FBT_E</v>
      </c>
      <c r="G3812" s="18">
        <v>1899</v>
      </c>
    </row>
    <row r="3813" spans="1:7" x14ac:dyDescent="0.2">
      <c r="A3813" s="19" t="s">
        <v>36</v>
      </c>
      <c r="B3813" s="20" t="s">
        <v>69</v>
      </c>
      <c r="C3813" s="20" t="s">
        <v>8</v>
      </c>
      <c r="D3813" s="20" t="s">
        <v>10</v>
      </c>
      <c r="E3813" s="20" t="s">
        <v>15</v>
      </c>
      <c r="F3813" s="20" t="str">
        <f>INDEX(nrg_cb_e!$A$3:$A$40,MATCH(LEFT(MID('Industriesektor GWh'!$B3813,41,1000),SEARCH(" - ",MID('Industriesektor GWh'!$B3813,41,1000))-1),nrg_cb_e!$C$3:$C$40,0))</f>
        <v>FC_IND_FBT_E</v>
      </c>
      <c r="G3813" s="21">
        <v>1896</v>
      </c>
    </row>
    <row r="3814" spans="1:7" x14ac:dyDescent="0.2">
      <c r="A3814" s="16" t="s">
        <v>36</v>
      </c>
      <c r="B3814" s="17" t="s">
        <v>69</v>
      </c>
      <c r="C3814" s="17" t="s">
        <v>8</v>
      </c>
      <c r="D3814" s="17" t="s">
        <v>10</v>
      </c>
      <c r="E3814" s="17" t="s">
        <v>16</v>
      </c>
      <c r="F3814" s="17" t="str">
        <f>INDEX(nrg_cb_e!$A$3:$A$40,MATCH(LEFT(MID('Industriesektor GWh'!$B3814,41,1000),SEARCH(" - ",MID('Industriesektor GWh'!$B3814,41,1000))-1),nrg_cb_e!$C$3:$C$40,0))</f>
        <v>FC_IND_FBT_E</v>
      </c>
      <c r="G3814" s="18">
        <v>2006</v>
      </c>
    </row>
    <row r="3815" spans="1:7" x14ac:dyDescent="0.2">
      <c r="A3815" s="19" t="s">
        <v>36</v>
      </c>
      <c r="B3815" s="20" t="s">
        <v>69</v>
      </c>
      <c r="C3815" s="20" t="s">
        <v>8</v>
      </c>
      <c r="D3815" s="20" t="s">
        <v>10</v>
      </c>
      <c r="E3815" s="20" t="s">
        <v>17</v>
      </c>
      <c r="F3815" s="20" t="str">
        <f>INDEX(nrg_cb_e!$A$3:$A$40,MATCH(LEFT(MID('Industriesektor GWh'!$B3815,41,1000),SEARCH(" - ",MID('Industriesektor GWh'!$B3815,41,1000))-1),nrg_cb_e!$C$3:$C$40,0))</f>
        <v>FC_IND_FBT_E</v>
      </c>
      <c r="G3815" s="21">
        <v>2242</v>
      </c>
    </row>
    <row r="3816" spans="1:7" x14ac:dyDescent="0.2">
      <c r="A3816" s="16" t="s">
        <v>36</v>
      </c>
      <c r="B3816" s="17" t="s">
        <v>69</v>
      </c>
      <c r="C3816" s="17" t="s">
        <v>8</v>
      </c>
      <c r="D3816" s="17" t="s">
        <v>10</v>
      </c>
      <c r="E3816" s="17" t="s">
        <v>18</v>
      </c>
      <c r="F3816" s="17" t="str">
        <f>INDEX(nrg_cb_e!$A$3:$A$40,MATCH(LEFT(MID('Industriesektor GWh'!$B3816,41,1000),SEARCH(" - ",MID('Industriesektor GWh'!$B3816,41,1000))-1),nrg_cb_e!$C$3:$C$40,0))</f>
        <v>FC_IND_FBT_E</v>
      </c>
      <c r="G3816" s="18">
        <v>2230</v>
      </c>
    </row>
    <row r="3817" spans="1:7" x14ac:dyDescent="0.2">
      <c r="A3817" s="19" t="s">
        <v>36</v>
      </c>
      <c r="B3817" s="20" t="s">
        <v>69</v>
      </c>
      <c r="C3817" s="20" t="s">
        <v>8</v>
      </c>
      <c r="D3817" s="20" t="s">
        <v>10</v>
      </c>
      <c r="E3817" s="20" t="s">
        <v>19</v>
      </c>
      <c r="F3817" s="20" t="str">
        <f>INDEX(nrg_cb_e!$A$3:$A$40,MATCH(LEFT(MID('Industriesektor GWh'!$B3817,41,1000),SEARCH(" - ",MID('Industriesektor GWh'!$B3817,41,1000))-1),nrg_cb_e!$C$3:$C$40,0))</f>
        <v>FC_IND_FBT_E</v>
      </c>
      <c r="G3817" s="21">
        <v>2184</v>
      </c>
    </row>
    <row r="3818" spans="1:7" x14ac:dyDescent="0.2">
      <c r="A3818" s="16" t="s">
        <v>36</v>
      </c>
      <c r="B3818" s="17" t="s">
        <v>69</v>
      </c>
      <c r="C3818" s="17" t="s">
        <v>8</v>
      </c>
      <c r="D3818" s="17" t="s">
        <v>10</v>
      </c>
      <c r="E3818" s="17" t="s">
        <v>20</v>
      </c>
      <c r="F3818" s="17" t="str">
        <f>INDEX(nrg_cb_e!$A$3:$A$40,MATCH(LEFT(MID('Industriesektor GWh'!$B3818,41,1000),SEARCH(" - ",MID('Industriesektor GWh'!$B3818,41,1000))-1),nrg_cb_e!$C$3:$C$40,0))</f>
        <v>FC_IND_FBT_E</v>
      </c>
      <c r="G3818" s="18">
        <v>2155</v>
      </c>
    </row>
    <row r="3819" spans="1:7" x14ac:dyDescent="0.2">
      <c r="A3819" s="19" t="s">
        <v>36</v>
      </c>
      <c r="B3819" s="20" t="s">
        <v>69</v>
      </c>
      <c r="C3819" s="20" t="s">
        <v>8</v>
      </c>
      <c r="D3819" s="20" t="s">
        <v>10</v>
      </c>
      <c r="E3819" s="20" t="s">
        <v>21</v>
      </c>
      <c r="F3819" s="20" t="str">
        <f>INDEX(nrg_cb_e!$A$3:$A$40,MATCH(LEFT(MID('Industriesektor GWh'!$B3819,41,1000),SEARCH(" - ",MID('Industriesektor GWh'!$B3819,41,1000))-1),nrg_cb_e!$C$3:$C$40,0))</f>
        <v>FC_IND_FBT_E</v>
      </c>
      <c r="G3819" s="21">
        <v>2676</v>
      </c>
    </row>
    <row r="3820" spans="1:7" x14ac:dyDescent="0.2">
      <c r="A3820" s="16" t="s">
        <v>36</v>
      </c>
      <c r="B3820" s="17" t="s">
        <v>69</v>
      </c>
      <c r="C3820" s="17" t="s">
        <v>8</v>
      </c>
      <c r="D3820" s="17" t="s">
        <v>10</v>
      </c>
      <c r="E3820" s="17" t="s">
        <v>22</v>
      </c>
      <c r="F3820" s="17" t="str">
        <f>INDEX(nrg_cb_e!$A$3:$A$40,MATCH(LEFT(MID('Industriesektor GWh'!$B3820,41,1000),SEARCH(" - ",MID('Industriesektor GWh'!$B3820,41,1000))-1),nrg_cb_e!$C$3:$C$40,0))</f>
        <v>FC_IND_FBT_E</v>
      </c>
      <c r="G3820" s="18">
        <v>2210</v>
      </c>
    </row>
    <row r="3821" spans="1:7" x14ac:dyDescent="0.2">
      <c r="A3821" s="19" t="s">
        <v>36</v>
      </c>
      <c r="B3821" s="20" t="s">
        <v>69</v>
      </c>
      <c r="C3821" s="20" t="s">
        <v>8</v>
      </c>
      <c r="D3821" s="20" t="s">
        <v>10</v>
      </c>
      <c r="E3821" s="20" t="s">
        <v>23</v>
      </c>
      <c r="F3821" s="20" t="str">
        <f>INDEX(nrg_cb_e!$A$3:$A$40,MATCH(LEFT(MID('Industriesektor GWh'!$B3821,41,1000),SEARCH(" - ",MID('Industriesektor GWh'!$B3821,41,1000))-1),nrg_cb_e!$C$3:$C$40,0))</f>
        <v>FC_IND_FBT_E</v>
      </c>
      <c r="G3821" s="21">
        <v>2113</v>
      </c>
    </row>
    <row r="3822" spans="1:7" x14ac:dyDescent="0.2">
      <c r="A3822" s="16" t="s">
        <v>36</v>
      </c>
      <c r="B3822" s="17" t="s">
        <v>69</v>
      </c>
      <c r="C3822" s="17" t="s">
        <v>8</v>
      </c>
      <c r="D3822" s="17" t="s">
        <v>10</v>
      </c>
      <c r="E3822" s="17" t="s">
        <v>24</v>
      </c>
      <c r="F3822" s="17" t="str">
        <f>INDEX(nrg_cb_e!$A$3:$A$40,MATCH(LEFT(MID('Industriesektor GWh'!$B3822,41,1000),SEARCH(" - ",MID('Industriesektor GWh'!$B3822,41,1000))-1),nrg_cb_e!$C$3:$C$40,0))</f>
        <v>FC_IND_FBT_E</v>
      </c>
      <c r="G3822" s="18">
        <v>2175</v>
      </c>
    </row>
    <row r="3823" spans="1:7" x14ac:dyDescent="0.2">
      <c r="A3823" s="19" t="s">
        <v>36</v>
      </c>
      <c r="B3823" s="20" t="s">
        <v>69</v>
      </c>
      <c r="C3823" s="20" t="s">
        <v>8</v>
      </c>
      <c r="D3823" s="20" t="s">
        <v>10</v>
      </c>
      <c r="E3823" s="20" t="s">
        <v>25</v>
      </c>
      <c r="F3823" s="20" t="str">
        <f>INDEX(nrg_cb_e!$A$3:$A$40,MATCH(LEFT(MID('Industriesektor GWh'!$B3823,41,1000),SEARCH(" - ",MID('Industriesektor GWh'!$B3823,41,1000))-1),nrg_cb_e!$C$3:$C$40,0))</f>
        <v>FC_IND_FBT_E</v>
      </c>
      <c r="G3823" s="21">
        <v>1852</v>
      </c>
    </row>
    <row r="3824" spans="1:7" x14ac:dyDescent="0.2">
      <c r="A3824" s="16" t="s">
        <v>36</v>
      </c>
      <c r="B3824" s="17" t="s">
        <v>69</v>
      </c>
      <c r="C3824" s="17" t="s">
        <v>8</v>
      </c>
      <c r="D3824" s="17" t="s">
        <v>10</v>
      </c>
      <c r="E3824" s="17" t="s">
        <v>26</v>
      </c>
      <c r="F3824" s="17" t="str">
        <f>INDEX(nrg_cb_e!$A$3:$A$40,MATCH(LEFT(MID('Industriesektor GWh'!$B3824,41,1000),SEARCH(" - ",MID('Industriesektor GWh'!$B3824,41,1000))-1),nrg_cb_e!$C$3:$C$40,0))</f>
        <v>FC_IND_FBT_E</v>
      </c>
      <c r="G3824" s="18">
        <v>1401</v>
      </c>
    </row>
    <row r="3825" spans="1:7" x14ac:dyDescent="0.2">
      <c r="A3825" s="19" t="s">
        <v>36</v>
      </c>
      <c r="B3825" s="20" t="s">
        <v>69</v>
      </c>
      <c r="C3825" s="20" t="s">
        <v>8</v>
      </c>
      <c r="D3825" s="20" t="s">
        <v>10</v>
      </c>
      <c r="E3825" s="20" t="s">
        <v>27</v>
      </c>
      <c r="F3825" s="20" t="str">
        <f>INDEX(nrg_cb_e!$A$3:$A$40,MATCH(LEFT(MID('Industriesektor GWh'!$B3825,41,1000),SEARCH(" - ",MID('Industriesektor GWh'!$B3825,41,1000))-1),nrg_cb_e!$C$3:$C$40,0))</f>
        <v>FC_IND_FBT_E</v>
      </c>
      <c r="G3825" s="21">
        <v>1037.8610000000001</v>
      </c>
    </row>
    <row r="3826" spans="1:7" x14ac:dyDescent="0.2">
      <c r="A3826" s="16" t="s">
        <v>36</v>
      </c>
      <c r="B3826" s="17" t="s">
        <v>69</v>
      </c>
      <c r="C3826" s="17" t="s">
        <v>8</v>
      </c>
      <c r="D3826" s="17" t="s">
        <v>10</v>
      </c>
      <c r="E3826" s="17" t="s">
        <v>28</v>
      </c>
      <c r="F3826" s="17" t="str">
        <f>INDEX(nrg_cb_e!$A$3:$A$40,MATCH(LEFT(MID('Industriesektor GWh'!$B3826,41,1000),SEARCH(" - ",MID('Industriesektor GWh'!$B3826,41,1000))-1),nrg_cb_e!$C$3:$C$40,0))</f>
        <v>FC_IND_FBT_E</v>
      </c>
      <c r="G3826" s="18">
        <v>1523.18</v>
      </c>
    </row>
    <row r="3827" spans="1:7" x14ac:dyDescent="0.2">
      <c r="A3827" s="19" t="s">
        <v>37</v>
      </c>
      <c r="B3827" s="20" t="s">
        <v>69</v>
      </c>
      <c r="C3827" s="20" t="s">
        <v>8</v>
      </c>
      <c r="D3827" s="20" t="s">
        <v>10</v>
      </c>
      <c r="E3827" s="20" t="s">
        <v>12</v>
      </c>
      <c r="F3827" s="20" t="str">
        <f>INDEX(nrg_cb_e!$A$3:$A$40,MATCH(LEFT(MID('Industriesektor GWh'!$B3827,41,1000),SEARCH(" - ",MID('Industriesektor GWh'!$B3827,41,1000))-1),nrg_cb_e!$C$3:$C$40,0))</f>
        <v>FC_IND_FBT_E</v>
      </c>
      <c r="G3827" s="21">
        <v>9183</v>
      </c>
    </row>
    <row r="3828" spans="1:7" x14ac:dyDescent="0.2">
      <c r="A3828" s="16" t="s">
        <v>37</v>
      </c>
      <c r="B3828" s="17" t="s">
        <v>69</v>
      </c>
      <c r="C3828" s="17" t="s">
        <v>8</v>
      </c>
      <c r="D3828" s="17" t="s">
        <v>10</v>
      </c>
      <c r="E3828" s="17" t="s">
        <v>13</v>
      </c>
      <c r="F3828" s="17" t="str">
        <f>INDEX(nrg_cb_e!$A$3:$A$40,MATCH(LEFT(MID('Industriesektor GWh'!$B3828,41,1000),SEARCH(" - ",MID('Industriesektor GWh'!$B3828,41,1000))-1),nrg_cb_e!$C$3:$C$40,0))</f>
        <v>FC_IND_FBT_E</v>
      </c>
      <c r="G3828" s="18">
        <v>10051</v>
      </c>
    </row>
    <row r="3829" spans="1:7" x14ac:dyDescent="0.2">
      <c r="A3829" s="19" t="s">
        <v>37</v>
      </c>
      <c r="B3829" s="20" t="s">
        <v>69</v>
      </c>
      <c r="C3829" s="20" t="s">
        <v>8</v>
      </c>
      <c r="D3829" s="20" t="s">
        <v>10</v>
      </c>
      <c r="E3829" s="20" t="s">
        <v>14</v>
      </c>
      <c r="F3829" s="20" t="str">
        <f>INDEX(nrg_cb_e!$A$3:$A$40,MATCH(LEFT(MID('Industriesektor GWh'!$B3829,41,1000),SEARCH(" - ",MID('Industriesektor GWh'!$B3829,41,1000))-1),nrg_cb_e!$C$3:$C$40,0))</f>
        <v>FC_IND_FBT_E</v>
      </c>
      <c r="G3829" s="21">
        <v>10641</v>
      </c>
    </row>
    <row r="3830" spans="1:7" x14ac:dyDescent="0.2">
      <c r="A3830" s="16" t="s">
        <v>37</v>
      </c>
      <c r="B3830" s="17" t="s">
        <v>69</v>
      </c>
      <c r="C3830" s="17" t="s">
        <v>8</v>
      </c>
      <c r="D3830" s="17" t="s">
        <v>10</v>
      </c>
      <c r="E3830" s="17" t="s">
        <v>15</v>
      </c>
      <c r="F3830" s="17" t="str">
        <f>INDEX(nrg_cb_e!$A$3:$A$40,MATCH(LEFT(MID('Industriesektor GWh'!$B3830,41,1000),SEARCH(" - ",MID('Industriesektor GWh'!$B3830,41,1000))-1),nrg_cb_e!$C$3:$C$40,0))</f>
        <v>FC_IND_FBT_E</v>
      </c>
      <c r="G3830" s="18">
        <v>11512</v>
      </c>
    </row>
    <row r="3831" spans="1:7" x14ac:dyDescent="0.2">
      <c r="A3831" s="19" t="s">
        <v>37</v>
      </c>
      <c r="B3831" s="20" t="s">
        <v>69</v>
      </c>
      <c r="C3831" s="20" t="s">
        <v>8</v>
      </c>
      <c r="D3831" s="20" t="s">
        <v>10</v>
      </c>
      <c r="E3831" s="20" t="s">
        <v>16</v>
      </c>
      <c r="F3831" s="20" t="str">
        <f>INDEX(nrg_cb_e!$A$3:$A$40,MATCH(LEFT(MID('Industriesektor GWh'!$B3831,41,1000),SEARCH(" - ",MID('Industriesektor GWh'!$B3831,41,1000))-1),nrg_cb_e!$C$3:$C$40,0))</f>
        <v>FC_IND_FBT_E</v>
      </c>
      <c r="G3831" s="21">
        <v>10102</v>
      </c>
    </row>
    <row r="3832" spans="1:7" x14ac:dyDescent="0.2">
      <c r="A3832" s="16" t="s">
        <v>37</v>
      </c>
      <c r="B3832" s="17" t="s">
        <v>69</v>
      </c>
      <c r="C3832" s="17" t="s">
        <v>8</v>
      </c>
      <c r="D3832" s="17" t="s">
        <v>10</v>
      </c>
      <c r="E3832" s="17" t="s">
        <v>17</v>
      </c>
      <c r="F3832" s="17" t="str">
        <f>INDEX(nrg_cb_e!$A$3:$A$40,MATCH(LEFT(MID('Industriesektor GWh'!$B3832,41,1000),SEARCH(" - ",MID('Industriesektor GWh'!$B3832,41,1000))-1),nrg_cb_e!$C$3:$C$40,0))</f>
        <v>FC_IND_FBT_E</v>
      </c>
      <c r="G3832" s="18">
        <v>10540</v>
      </c>
    </row>
    <row r="3833" spans="1:7" x14ac:dyDescent="0.2">
      <c r="A3833" s="19" t="s">
        <v>37</v>
      </c>
      <c r="B3833" s="20" t="s">
        <v>69</v>
      </c>
      <c r="C3833" s="20" t="s">
        <v>8</v>
      </c>
      <c r="D3833" s="20" t="s">
        <v>10</v>
      </c>
      <c r="E3833" s="20" t="s">
        <v>18</v>
      </c>
      <c r="F3833" s="20" t="str">
        <f>INDEX(nrg_cb_e!$A$3:$A$40,MATCH(LEFT(MID('Industriesektor GWh'!$B3833,41,1000),SEARCH(" - ",MID('Industriesektor GWh'!$B3833,41,1000))-1),nrg_cb_e!$C$3:$C$40,0))</f>
        <v>FC_IND_FBT_E</v>
      </c>
      <c r="G3833" s="21">
        <v>10416</v>
      </c>
    </row>
    <row r="3834" spans="1:7" x14ac:dyDescent="0.2">
      <c r="A3834" s="16" t="s">
        <v>37</v>
      </c>
      <c r="B3834" s="17" t="s">
        <v>69</v>
      </c>
      <c r="C3834" s="17" t="s">
        <v>8</v>
      </c>
      <c r="D3834" s="17" t="s">
        <v>10</v>
      </c>
      <c r="E3834" s="17" t="s">
        <v>19</v>
      </c>
      <c r="F3834" s="17" t="str">
        <f>INDEX(nrg_cb_e!$A$3:$A$40,MATCH(LEFT(MID('Industriesektor GWh'!$B3834,41,1000),SEARCH(" - ",MID('Industriesektor GWh'!$B3834,41,1000))-1),nrg_cb_e!$C$3:$C$40,0))</f>
        <v>FC_IND_FBT_E</v>
      </c>
      <c r="G3834" s="18">
        <v>10158</v>
      </c>
    </row>
    <row r="3835" spans="1:7" x14ac:dyDescent="0.2">
      <c r="A3835" s="19" t="s">
        <v>37</v>
      </c>
      <c r="B3835" s="20" t="s">
        <v>69</v>
      </c>
      <c r="C3835" s="20" t="s">
        <v>8</v>
      </c>
      <c r="D3835" s="20" t="s">
        <v>10</v>
      </c>
      <c r="E3835" s="20" t="s">
        <v>20</v>
      </c>
      <c r="F3835" s="20" t="str">
        <f>INDEX(nrg_cb_e!$A$3:$A$40,MATCH(LEFT(MID('Industriesektor GWh'!$B3835,41,1000),SEARCH(" - ",MID('Industriesektor GWh'!$B3835,41,1000))-1),nrg_cb_e!$C$3:$C$40,0))</f>
        <v>FC_IND_FBT_E</v>
      </c>
      <c r="G3835" s="21">
        <v>10472</v>
      </c>
    </row>
    <row r="3836" spans="1:7" x14ac:dyDescent="0.2">
      <c r="A3836" s="16" t="s">
        <v>37</v>
      </c>
      <c r="B3836" s="17" t="s">
        <v>69</v>
      </c>
      <c r="C3836" s="17" t="s">
        <v>8</v>
      </c>
      <c r="D3836" s="17" t="s">
        <v>10</v>
      </c>
      <c r="E3836" s="17" t="s">
        <v>21</v>
      </c>
      <c r="F3836" s="17" t="str">
        <f>INDEX(nrg_cb_e!$A$3:$A$40,MATCH(LEFT(MID('Industriesektor GWh'!$B3836,41,1000),SEARCH(" - ",MID('Industriesektor GWh'!$B3836,41,1000))-1),nrg_cb_e!$C$3:$C$40,0))</f>
        <v>FC_IND_FBT_E</v>
      </c>
      <c r="G3836" s="18">
        <v>9601</v>
      </c>
    </row>
    <row r="3837" spans="1:7" x14ac:dyDescent="0.2">
      <c r="A3837" s="19" t="s">
        <v>37</v>
      </c>
      <c r="B3837" s="20" t="s">
        <v>69</v>
      </c>
      <c r="C3837" s="20" t="s">
        <v>8</v>
      </c>
      <c r="D3837" s="20" t="s">
        <v>10</v>
      </c>
      <c r="E3837" s="20" t="s">
        <v>22</v>
      </c>
      <c r="F3837" s="20" t="str">
        <f>INDEX(nrg_cb_e!$A$3:$A$40,MATCH(LEFT(MID('Industriesektor GWh'!$B3837,41,1000),SEARCH(" - ",MID('Industriesektor GWh'!$B3837,41,1000))-1),nrg_cb_e!$C$3:$C$40,0))</f>
        <v>FC_IND_FBT_E</v>
      </c>
      <c r="G3837" s="21">
        <v>9472</v>
      </c>
    </row>
    <row r="3838" spans="1:7" x14ac:dyDescent="0.2">
      <c r="A3838" s="16" t="s">
        <v>37</v>
      </c>
      <c r="B3838" s="17" t="s">
        <v>69</v>
      </c>
      <c r="C3838" s="17" t="s">
        <v>8</v>
      </c>
      <c r="D3838" s="17" t="s">
        <v>10</v>
      </c>
      <c r="E3838" s="17" t="s">
        <v>23</v>
      </c>
      <c r="F3838" s="17" t="str">
        <f>INDEX(nrg_cb_e!$A$3:$A$40,MATCH(LEFT(MID('Industriesektor GWh'!$B3838,41,1000),SEARCH(" - ",MID('Industriesektor GWh'!$B3838,41,1000))-1),nrg_cb_e!$C$3:$C$40,0))</f>
        <v>FC_IND_FBT_E</v>
      </c>
      <c r="G3838" s="18">
        <v>9322</v>
      </c>
    </row>
    <row r="3839" spans="1:7" x14ac:dyDescent="0.2">
      <c r="A3839" s="19" t="s">
        <v>37</v>
      </c>
      <c r="B3839" s="20" t="s">
        <v>69</v>
      </c>
      <c r="C3839" s="20" t="s">
        <v>8</v>
      </c>
      <c r="D3839" s="20" t="s">
        <v>10</v>
      </c>
      <c r="E3839" s="20" t="s">
        <v>24</v>
      </c>
      <c r="F3839" s="20" t="str">
        <f>INDEX(nrg_cb_e!$A$3:$A$40,MATCH(LEFT(MID('Industriesektor GWh'!$B3839,41,1000),SEARCH(" - ",MID('Industriesektor GWh'!$B3839,41,1000))-1),nrg_cb_e!$C$3:$C$40,0))</f>
        <v>FC_IND_FBT_E</v>
      </c>
      <c r="G3839" s="21">
        <v>10903</v>
      </c>
    </row>
    <row r="3840" spans="1:7" x14ac:dyDescent="0.2">
      <c r="A3840" s="16" t="s">
        <v>37</v>
      </c>
      <c r="B3840" s="17" t="s">
        <v>69</v>
      </c>
      <c r="C3840" s="17" t="s">
        <v>8</v>
      </c>
      <c r="D3840" s="17" t="s">
        <v>10</v>
      </c>
      <c r="E3840" s="17" t="s">
        <v>25</v>
      </c>
      <c r="F3840" s="17" t="str">
        <f>INDEX(nrg_cb_e!$A$3:$A$40,MATCH(LEFT(MID('Industriesektor GWh'!$B3840,41,1000),SEARCH(" - ",MID('Industriesektor GWh'!$B3840,41,1000))-1),nrg_cb_e!$C$3:$C$40,0))</f>
        <v>FC_IND_FBT_E</v>
      </c>
      <c r="G3840" s="18">
        <v>10963</v>
      </c>
    </row>
    <row r="3841" spans="1:7" x14ac:dyDescent="0.2">
      <c r="A3841" s="19" t="s">
        <v>37</v>
      </c>
      <c r="B3841" s="20" t="s">
        <v>69</v>
      </c>
      <c r="C3841" s="20" t="s">
        <v>8</v>
      </c>
      <c r="D3841" s="20" t="s">
        <v>10</v>
      </c>
      <c r="E3841" s="20" t="s">
        <v>26</v>
      </c>
      <c r="F3841" s="20" t="str">
        <f>INDEX(nrg_cb_e!$A$3:$A$40,MATCH(LEFT(MID('Industriesektor GWh'!$B3841,41,1000),SEARCH(" - ",MID('Industriesektor GWh'!$B3841,41,1000))-1),nrg_cb_e!$C$3:$C$40,0))</f>
        <v>FC_IND_FBT_E</v>
      </c>
      <c r="G3841" s="21">
        <v>11128</v>
      </c>
    </row>
    <row r="3842" spans="1:7" x14ac:dyDescent="0.2">
      <c r="A3842" s="16" t="s">
        <v>37</v>
      </c>
      <c r="B3842" s="17" t="s">
        <v>69</v>
      </c>
      <c r="C3842" s="17" t="s">
        <v>8</v>
      </c>
      <c r="D3842" s="17" t="s">
        <v>10</v>
      </c>
      <c r="E3842" s="17" t="s">
        <v>27</v>
      </c>
      <c r="F3842" s="17" t="str">
        <f>INDEX(nrg_cb_e!$A$3:$A$40,MATCH(LEFT(MID('Industriesektor GWh'!$B3842,41,1000),SEARCH(" - ",MID('Industriesektor GWh'!$B3842,41,1000))-1),nrg_cb_e!$C$3:$C$40,0))</f>
        <v>FC_IND_FBT_E</v>
      </c>
      <c r="G3842" s="18">
        <v>10541</v>
      </c>
    </row>
    <row r="3843" spans="1:7" x14ac:dyDescent="0.2">
      <c r="A3843" s="19" t="s">
        <v>37</v>
      </c>
      <c r="B3843" s="20" t="s">
        <v>69</v>
      </c>
      <c r="C3843" s="20" t="s">
        <v>8</v>
      </c>
      <c r="D3843" s="20" t="s">
        <v>10</v>
      </c>
      <c r="E3843" s="20" t="s">
        <v>28</v>
      </c>
      <c r="F3843" s="20" t="str">
        <f>INDEX(nrg_cb_e!$A$3:$A$40,MATCH(LEFT(MID('Industriesektor GWh'!$B3843,41,1000),SEARCH(" - ",MID('Industriesektor GWh'!$B3843,41,1000))-1),nrg_cb_e!$C$3:$C$40,0))</f>
        <v>FC_IND_FBT_E</v>
      </c>
      <c r="G3843" s="21">
        <v>9994</v>
      </c>
    </row>
    <row r="3844" spans="1:7" x14ac:dyDescent="0.2">
      <c r="A3844" s="16" t="s">
        <v>38</v>
      </c>
      <c r="B3844" s="17" t="s">
        <v>69</v>
      </c>
      <c r="C3844" s="17" t="s">
        <v>8</v>
      </c>
      <c r="D3844" s="17" t="s">
        <v>10</v>
      </c>
      <c r="E3844" s="17" t="s">
        <v>12</v>
      </c>
      <c r="F3844" s="17" t="str">
        <f>INDEX(nrg_cb_e!$A$3:$A$40,MATCH(LEFT(MID('Industriesektor GWh'!$B3844,41,1000),SEARCH(" - ",MID('Industriesektor GWh'!$B3844,41,1000))-1),nrg_cb_e!$C$3:$C$40,0))</f>
        <v>FC_IND_FBT_E</v>
      </c>
      <c r="G3844" s="18">
        <v>18931</v>
      </c>
    </row>
    <row r="3845" spans="1:7" x14ac:dyDescent="0.2">
      <c r="A3845" s="19" t="s">
        <v>38</v>
      </c>
      <c r="B3845" s="20" t="s">
        <v>69</v>
      </c>
      <c r="C3845" s="20" t="s">
        <v>8</v>
      </c>
      <c r="D3845" s="20" t="s">
        <v>10</v>
      </c>
      <c r="E3845" s="20" t="s">
        <v>13</v>
      </c>
      <c r="F3845" s="20" t="str">
        <f>INDEX(nrg_cb_e!$A$3:$A$40,MATCH(LEFT(MID('Industriesektor GWh'!$B3845,41,1000),SEARCH(" - ",MID('Industriesektor GWh'!$B3845,41,1000))-1),nrg_cb_e!$C$3:$C$40,0))</f>
        <v>FC_IND_FBT_E</v>
      </c>
      <c r="G3845" s="21">
        <v>19595</v>
      </c>
    </row>
    <row r="3846" spans="1:7" x14ac:dyDescent="0.2">
      <c r="A3846" s="16" t="s">
        <v>38</v>
      </c>
      <c r="B3846" s="17" t="s">
        <v>69</v>
      </c>
      <c r="C3846" s="17" t="s">
        <v>8</v>
      </c>
      <c r="D3846" s="17" t="s">
        <v>10</v>
      </c>
      <c r="E3846" s="17" t="s">
        <v>14</v>
      </c>
      <c r="F3846" s="17" t="str">
        <f>INDEX(nrg_cb_e!$A$3:$A$40,MATCH(LEFT(MID('Industriesektor GWh'!$B3846,41,1000),SEARCH(" - ",MID('Industriesektor GWh'!$B3846,41,1000))-1),nrg_cb_e!$C$3:$C$40,0))</f>
        <v>FC_IND_FBT_E</v>
      </c>
      <c r="G3846" s="18">
        <v>19259</v>
      </c>
    </row>
    <row r="3847" spans="1:7" x14ac:dyDescent="0.2">
      <c r="A3847" s="19" t="s">
        <v>38</v>
      </c>
      <c r="B3847" s="20" t="s">
        <v>69</v>
      </c>
      <c r="C3847" s="20" t="s">
        <v>8</v>
      </c>
      <c r="D3847" s="20" t="s">
        <v>10</v>
      </c>
      <c r="E3847" s="20" t="s">
        <v>15</v>
      </c>
      <c r="F3847" s="20" t="str">
        <f>INDEX(nrg_cb_e!$A$3:$A$40,MATCH(LEFT(MID('Industriesektor GWh'!$B3847,41,1000),SEARCH(" - ",MID('Industriesektor GWh'!$B3847,41,1000))-1),nrg_cb_e!$C$3:$C$40,0))</f>
        <v>FC_IND_FBT_E</v>
      </c>
      <c r="G3847" s="21">
        <v>19748</v>
      </c>
    </row>
    <row r="3848" spans="1:7" x14ac:dyDescent="0.2">
      <c r="A3848" s="16" t="s">
        <v>38</v>
      </c>
      <c r="B3848" s="17" t="s">
        <v>69</v>
      </c>
      <c r="C3848" s="17" t="s">
        <v>8</v>
      </c>
      <c r="D3848" s="17" t="s">
        <v>10</v>
      </c>
      <c r="E3848" s="17" t="s">
        <v>16</v>
      </c>
      <c r="F3848" s="17" t="str">
        <f>INDEX(nrg_cb_e!$A$3:$A$40,MATCH(LEFT(MID('Industriesektor GWh'!$B3848,41,1000),SEARCH(" - ",MID('Industriesektor GWh'!$B3848,41,1000))-1),nrg_cb_e!$C$3:$C$40,0))</f>
        <v>FC_IND_FBT_E</v>
      </c>
      <c r="G3848" s="18">
        <v>20100</v>
      </c>
    </row>
    <row r="3849" spans="1:7" x14ac:dyDescent="0.2">
      <c r="A3849" s="19" t="s">
        <v>38</v>
      </c>
      <c r="B3849" s="20" t="s">
        <v>69</v>
      </c>
      <c r="C3849" s="20" t="s">
        <v>8</v>
      </c>
      <c r="D3849" s="20" t="s">
        <v>10</v>
      </c>
      <c r="E3849" s="20" t="s">
        <v>17</v>
      </c>
      <c r="F3849" s="20" t="str">
        <f>INDEX(nrg_cb_e!$A$3:$A$40,MATCH(LEFT(MID('Industriesektor GWh'!$B3849,41,1000),SEARCH(" - ",MID('Industriesektor GWh'!$B3849,41,1000))-1),nrg_cb_e!$C$3:$C$40,0))</f>
        <v>FC_IND_FBT_E</v>
      </c>
      <c r="G3849" s="21">
        <v>20294</v>
      </c>
    </row>
    <row r="3850" spans="1:7" x14ac:dyDescent="0.2">
      <c r="A3850" s="16" t="s">
        <v>38</v>
      </c>
      <c r="B3850" s="17" t="s">
        <v>69</v>
      </c>
      <c r="C3850" s="17" t="s">
        <v>8</v>
      </c>
      <c r="D3850" s="17" t="s">
        <v>10</v>
      </c>
      <c r="E3850" s="17" t="s">
        <v>18</v>
      </c>
      <c r="F3850" s="17" t="str">
        <f>INDEX(nrg_cb_e!$A$3:$A$40,MATCH(LEFT(MID('Industriesektor GWh'!$B3850,41,1000),SEARCH(" - ",MID('Industriesektor GWh'!$B3850,41,1000))-1),nrg_cb_e!$C$3:$C$40,0))</f>
        <v>FC_IND_FBT_E</v>
      </c>
      <c r="G3850" s="18">
        <v>20380</v>
      </c>
    </row>
    <row r="3851" spans="1:7" x14ac:dyDescent="0.2">
      <c r="A3851" s="19" t="s">
        <v>38</v>
      </c>
      <c r="B3851" s="20" t="s">
        <v>69</v>
      </c>
      <c r="C3851" s="20" t="s">
        <v>8</v>
      </c>
      <c r="D3851" s="20" t="s">
        <v>10</v>
      </c>
      <c r="E3851" s="20" t="s">
        <v>19</v>
      </c>
      <c r="F3851" s="20" t="str">
        <f>INDEX(nrg_cb_e!$A$3:$A$40,MATCH(LEFT(MID('Industriesektor GWh'!$B3851,41,1000),SEARCH(" - ",MID('Industriesektor GWh'!$B3851,41,1000))-1),nrg_cb_e!$C$3:$C$40,0))</f>
        <v>FC_IND_FBT_E</v>
      </c>
      <c r="G3851" s="21">
        <v>20087</v>
      </c>
    </row>
    <row r="3852" spans="1:7" x14ac:dyDescent="0.2">
      <c r="A3852" s="16" t="s">
        <v>38</v>
      </c>
      <c r="B3852" s="17" t="s">
        <v>69</v>
      </c>
      <c r="C3852" s="17" t="s">
        <v>8</v>
      </c>
      <c r="D3852" s="17" t="s">
        <v>10</v>
      </c>
      <c r="E3852" s="17" t="s">
        <v>20</v>
      </c>
      <c r="F3852" s="17" t="str">
        <f>INDEX(nrg_cb_e!$A$3:$A$40,MATCH(LEFT(MID('Industriesektor GWh'!$B3852,41,1000),SEARCH(" - ",MID('Industriesektor GWh'!$B3852,41,1000))-1),nrg_cb_e!$C$3:$C$40,0))</f>
        <v>FC_IND_FBT_E</v>
      </c>
      <c r="G3852" s="18">
        <v>20102</v>
      </c>
    </row>
    <row r="3853" spans="1:7" x14ac:dyDescent="0.2">
      <c r="A3853" s="19" t="s">
        <v>38</v>
      </c>
      <c r="B3853" s="20" t="s">
        <v>69</v>
      </c>
      <c r="C3853" s="20" t="s">
        <v>8</v>
      </c>
      <c r="D3853" s="20" t="s">
        <v>10</v>
      </c>
      <c r="E3853" s="20" t="s">
        <v>21</v>
      </c>
      <c r="F3853" s="20" t="str">
        <f>INDEX(nrg_cb_e!$A$3:$A$40,MATCH(LEFT(MID('Industriesektor GWh'!$B3853,41,1000),SEARCH(" - ",MID('Industriesektor GWh'!$B3853,41,1000))-1),nrg_cb_e!$C$3:$C$40,0))</f>
        <v>FC_IND_FBT_E</v>
      </c>
      <c r="G3853" s="21">
        <v>21147.565999999999</v>
      </c>
    </row>
    <row r="3854" spans="1:7" x14ac:dyDescent="0.2">
      <c r="A3854" s="16" t="s">
        <v>38</v>
      </c>
      <c r="B3854" s="17" t="s">
        <v>69</v>
      </c>
      <c r="C3854" s="17" t="s">
        <v>8</v>
      </c>
      <c r="D3854" s="17" t="s">
        <v>10</v>
      </c>
      <c r="E3854" s="17" t="s">
        <v>22</v>
      </c>
      <c r="F3854" s="17" t="str">
        <f>INDEX(nrg_cb_e!$A$3:$A$40,MATCH(LEFT(MID('Industriesektor GWh'!$B3854,41,1000),SEARCH(" - ",MID('Industriesektor GWh'!$B3854,41,1000))-1),nrg_cb_e!$C$3:$C$40,0))</f>
        <v>FC_IND_FBT_E</v>
      </c>
      <c r="G3854" s="18">
        <v>22130.891</v>
      </c>
    </row>
    <row r="3855" spans="1:7" x14ac:dyDescent="0.2">
      <c r="A3855" s="19" t="s">
        <v>38</v>
      </c>
      <c r="B3855" s="20" t="s">
        <v>69</v>
      </c>
      <c r="C3855" s="20" t="s">
        <v>8</v>
      </c>
      <c r="D3855" s="20" t="s">
        <v>10</v>
      </c>
      <c r="E3855" s="20" t="s">
        <v>23</v>
      </c>
      <c r="F3855" s="20" t="str">
        <f>INDEX(nrg_cb_e!$A$3:$A$40,MATCH(LEFT(MID('Industriesektor GWh'!$B3855,41,1000),SEARCH(" - ",MID('Industriesektor GWh'!$B3855,41,1000))-1),nrg_cb_e!$C$3:$C$40,0))</f>
        <v>FC_IND_FBT_E</v>
      </c>
      <c r="G3855" s="21">
        <v>22041.330999999998</v>
      </c>
    </row>
    <row r="3856" spans="1:7" x14ac:dyDescent="0.2">
      <c r="A3856" s="16" t="s">
        <v>38</v>
      </c>
      <c r="B3856" s="17" t="s">
        <v>69</v>
      </c>
      <c r="C3856" s="17" t="s">
        <v>8</v>
      </c>
      <c r="D3856" s="17" t="s">
        <v>10</v>
      </c>
      <c r="E3856" s="17" t="s">
        <v>24</v>
      </c>
      <c r="F3856" s="17" t="str">
        <f>INDEX(nrg_cb_e!$A$3:$A$40,MATCH(LEFT(MID('Industriesektor GWh'!$B3856,41,1000),SEARCH(" - ",MID('Industriesektor GWh'!$B3856,41,1000))-1),nrg_cb_e!$C$3:$C$40,0))</f>
        <v>FC_IND_FBT_E</v>
      </c>
      <c r="G3856" s="18">
        <v>21951.3</v>
      </c>
    </row>
    <row r="3857" spans="1:7" x14ac:dyDescent="0.2">
      <c r="A3857" s="19" t="s">
        <v>38</v>
      </c>
      <c r="B3857" s="20" t="s">
        <v>69</v>
      </c>
      <c r="C3857" s="20" t="s">
        <v>8</v>
      </c>
      <c r="D3857" s="20" t="s">
        <v>10</v>
      </c>
      <c r="E3857" s="20" t="s">
        <v>25</v>
      </c>
      <c r="F3857" s="20" t="str">
        <f>INDEX(nrg_cb_e!$A$3:$A$40,MATCH(LEFT(MID('Industriesektor GWh'!$B3857,41,1000),SEARCH(" - ",MID('Industriesektor GWh'!$B3857,41,1000))-1),nrg_cb_e!$C$3:$C$40,0))</f>
        <v>FC_IND_FBT_E</v>
      </c>
      <c r="G3857" s="21">
        <v>21960.723999999998</v>
      </c>
    </row>
    <row r="3858" spans="1:7" x14ac:dyDescent="0.2">
      <c r="A3858" s="16" t="s">
        <v>38</v>
      </c>
      <c r="B3858" s="17" t="s">
        <v>69</v>
      </c>
      <c r="C3858" s="17" t="s">
        <v>8</v>
      </c>
      <c r="D3858" s="17" t="s">
        <v>10</v>
      </c>
      <c r="E3858" s="17" t="s">
        <v>26</v>
      </c>
      <c r="F3858" s="17" t="str">
        <f>INDEX(nrg_cb_e!$A$3:$A$40,MATCH(LEFT(MID('Industriesektor GWh'!$B3858,41,1000),SEARCH(" - ",MID('Industriesektor GWh'!$B3858,41,1000))-1),nrg_cb_e!$C$3:$C$40,0))</f>
        <v>FC_IND_FBT_E</v>
      </c>
      <c r="G3858" s="18">
        <v>22335.911</v>
      </c>
    </row>
    <row r="3859" spans="1:7" x14ac:dyDescent="0.2">
      <c r="A3859" s="19" t="s">
        <v>38</v>
      </c>
      <c r="B3859" s="20" t="s">
        <v>69</v>
      </c>
      <c r="C3859" s="20" t="s">
        <v>8</v>
      </c>
      <c r="D3859" s="20" t="s">
        <v>10</v>
      </c>
      <c r="E3859" s="20" t="s">
        <v>27</v>
      </c>
      <c r="F3859" s="20" t="str">
        <f>INDEX(nrg_cb_e!$A$3:$A$40,MATCH(LEFT(MID('Industriesektor GWh'!$B3859,41,1000),SEARCH(" - ",MID('Industriesektor GWh'!$B3859,41,1000))-1),nrg_cb_e!$C$3:$C$40,0))</f>
        <v>FC_IND_FBT_E</v>
      </c>
      <c r="G3859" s="21">
        <v>21649.350999999999</v>
      </c>
    </row>
    <row r="3860" spans="1:7" x14ac:dyDescent="0.2">
      <c r="A3860" s="16" t="s">
        <v>38</v>
      </c>
      <c r="B3860" s="17" t="s">
        <v>69</v>
      </c>
      <c r="C3860" s="17" t="s">
        <v>8</v>
      </c>
      <c r="D3860" s="17" t="s">
        <v>10</v>
      </c>
      <c r="E3860" s="17" t="s">
        <v>28</v>
      </c>
      <c r="F3860" s="17" t="str">
        <f>INDEX(nrg_cb_e!$A$3:$A$40,MATCH(LEFT(MID('Industriesektor GWh'!$B3860,41,1000),SEARCH(" - ",MID('Industriesektor GWh'!$B3860,41,1000))-1),nrg_cb_e!$C$3:$C$40,0))</f>
        <v>FC_IND_FBT_E</v>
      </c>
      <c r="G3860" s="18">
        <v>22780.812000000002</v>
      </c>
    </row>
    <row r="3861" spans="1:7" x14ac:dyDescent="0.2">
      <c r="A3861" s="19" t="s">
        <v>39</v>
      </c>
      <c r="B3861" s="20" t="s">
        <v>69</v>
      </c>
      <c r="C3861" s="20" t="s">
        <v>8</v>
      </c>
      <c r="D3861" s="20" t="s">
        <v>10</v>
      </c>
      <c r="E3861" s="20" t="s">
        <v>12</v>
      </c>
      <c r="F3861" s="20" t="str">
        <f>INDEX(nrg_cb_e!$A$3:$A$40,MATCH(LEFT(MID('Industriesektor GWh'!$B3861,41,1000),SEARCH(" - ",MID('Industriesektor GWh'!$B3861,41,1000))-1),nrg_cb_e!$C$3:$C$40,0))</f>
        <v>FC_IND_FBT_E</v>
      </c>
      <c r="G3861" s="21">
        <v>455</v>
      </c>
    </row>
    <row r="3862" spans="1:7" x14ac:dyDescent="0.2">
      <c r="A3862" s="16" t="s">
        <v>39</v>
      </c>
      <c r="B3862" s="17" t="s">
        <v>69</v>
      </c>
      <c r="C3862" s="17" t="s">
        <v>8</v>
      </c>
      <c r="D3862" s="17" t="s">
        <v>10</v>
      </c>
      <c r="E3862" s="17" t="s">
        <v>13</v>
      </c>
      <c r="F3862" s="17" t="str">
        <f>INDEX(nrg_cb_e!$A$3:$A$40,MATCH(LEFT(MID('Industriesektor GWh'!$B3862,41,1000),SEARCH(" - ",MID('Industriesektor GWh'!$B3862,41,1000))-1),nrg_cb_e!$C$3:$C$40,0))</f>
        <v>FC_IND_FBT_E</v>
      </c>
      <c r="G3862" s="18">
        <v>528</v>
      </c>
    </row>
    <row r="3863" spans="1:7" x14ac:dyDescent="0.2">
      <c r="A3863" s="19" t="s">
        <v>39</v>
      </c>
      <c r="B3863" s="20" t="s">
        <v>69</v>
      </c>
      <c r="C3863" s="20" t="s">
        <v>8</v>
      </c>
      <c r="D3863" s="20" t="s">
        <v>10</v>
      </c>
      <c r="E3863" s="20" t="s">
        <v>14</v>
      </c>
      <c r="F3863" s="20" t="str">
        <f>INDEX(nrg_cb_e!$A$3:$A$40,MATCH(LEFT(MID('Industriesektor GWh'!$B3863,41,1000),SEARCH(" - ",MID('Industriesektor GWh'!$B3863,41,1000))-1),nrg_cb_e!$C$3:$C$40,0))</f>
        <v>FC_IND_FBT_E</v>
      </c>
      <c r="G3863" s="21">
        <v>583</v>
      </c>
    </row>
    <row r="3864" spans="1:7" x14ac:dyDescent="0.2">
      <c r="A3864" s="16" t="s">
        <v>39</v>
      </c>
      <c r="B3864" s="17" t="s">
        <v>69</v>
      </c>
      <c r="C3864" s="17" t="s">
        <v>8</v>
      </c>
      <c r="D3864" s="17" t="s">
        <v>10</v>
      </c>
      <c r="E3864" s="17" t="s">
        <v>15</v>
      </c>
      <c r="F3864" s="17" t="str">
        <f>INDEX(nrg_cb_e!$A$3:$A$40,MATCH(LEFT(MID('Industriesektor GWh'!$B3864,41,1000),SEARCH(" - ",MID('Industriesektor GWh'!$B3864,41,1000))-1),nrg_cb_e!$C$3:$C$40,0))</f>
        <v>FC_IND_FBT_E</v>
      </c>
      <c r="G3864" s="18">
        <v>530</v>
      </c>
    </row>
    <row r="3865" spans="1:7" x14ac:dyDescent="0.2">
      <c r="A3865" s="19" t="s">
        <v>39</v>
      </c>
      <c r="B3865" s="20" t="s">
        <v>69</v>
      </c>
      <c r="C3865" s="20" t="s">
        <v>8</v>
      </c>
      <c r="D3865" s="20" t="s">
        <v>10</v>
      </c>
      <c r="E3865" s="20" t="s">
        <v>16</v>
      </c>
      <c r="F3865" s="20" t="str">
        <f>INDEX(nrg_cb_e!$A$3:$A$40,MATCH(LEFT(MID('Industriesektor GWh'!$B3865,41,1000),SEARCH(" - ",MID('Industriesektor GWh'!$B3865,41,1000))-1),nrg_cb_e!$C$3:$C$40,0))</f>
        <v>FC_IND_FBT_E</v>
      </c>
      <c r="G3865" s="21">
        <v>566</v>
      </c>
    </row>
    <row r="3866" spans="1:7" x14ac:dyDescent="0.2">
      <c r="A3866" s="16" t="s">
        <v>39</v>
      </c>
      <c r="B3866" s="17" t="s">
        <v>69</v>
      </c>
      <c r="C3866" s="17" t="s">
        <v>8</v>
      </c>
      <c r="D3866" s="17" t="s">
        <v>10</v>
      </c>
      <c r="E3866" s="17" t="s">
        <v>17</v>
      </c>
      <c r="F3866" s="17" t="str">
        <f>INDEX(nrg_cb_e!$A$3:$A$40,MATCH(LEFT(MID('Industriesektor GWh'!$B3866,41,1000),SEARCH(" - ",MID('Industriesektor GWh'!$B3866,41,1000))-1),nrg_cb_e!$C$3:$C$40,0))</f>
        <v>FC_IND_FBT_E</v>
      </c>
      <c r="G3866" s="18">
        <v>588</v>
      </c>
    </row>
    <row r="3867" spans="1:7" x14ac:dyDescent="0.2">
      <c r="A3867" s="19" t="s">
        <v>39</v>
      </c>
      <c r="B3867" s="20" t="s">
        <v>69</v>
      </c>
      <c r="C3867" s="20" t="s">
        <v>8</v>
      </c>
      <c r="D3867" s="20" t="s">
        <v>10</v>
      </c>
      <c r="E3867" s="20" t="s">
        <v>18</v>
      </c>
      <c r="F3867" s="20" t="str">
        <f>INDEX(nrg_cb_e!$A$3:$A$40,MATCH(LEFT(MID('Industriesektor GWh'!$B3867,41,1000),SEARCH(" - ",MID('Industriesektor GWh'!$B3867,41,1000))-1),nrg_cb_e!$C$3:$C$40,0))</f>
        <v>FC_IND_FBT_E</v>
      </c>
      <c r="G3867" s="21">
        <v>651</v>
      </c>
    </row>
    <row r="3868" spans="1:7" x14ac:dyDescent="0.2">
      <c r="A3868" s="16" t="s">
        <v>39</v>
      </c>
      <c r="B3868" s="17" t="s">
        <v>69</v>
      </c>
      <c r="C3868" s="17" t="s">
        <v>8</v>
      </c>
      <c r="D3868" s="17" t="s">
        <v>10</v>
      </c>
      <c r="E3868" s="17" t="s">
        <v>19</v>
      </c>
      <c r="F3868" s="17" t="str">
        <f>INDEX(nrg_cb_e!$A$3:$A$40,MATCH(LEFT(MID('Industriesektor GWh'!$B3868,41,1000),SEARCH(" - ",MID('Industriesektor GWh'!$B3868,41,1000))-1),nrg_cb_e!$C$3:$C$40,0))</f>
        <v>FC_IND_FBT_E</v>
      </c>
      <c r="G3868" s="18">
        <v>629</v>
      </c>
    </row>
    <row r="3869" spans="1:7" x14ac:dyDescent="0.2">
      <c r="A3869" s="19" t="s">
        <v>39</v>
      </c>
      <c r="B3869" s="20" t="s">
        <v>69</v>
      </c>
      <c r="C3869" s="20" t="s">
        <v>8</v>
      </c>
      <c r="D3869" s="20" t="s">
        <v>10</v>
      </c>
      <c r="E3869" s="20" t="s">
        <v>20</v>
      </c>
      <c r="F3869" s="20" t="str">
        <f>INDEX(nrg_cb_e!$A$3:$A$40,MATCH(LEFT(MID('Industriesektor GWh'!$B3869,41,1000),SEARCH(" - ",MID('Industriesektor GWh'!$B3869,41,1000))-1),nrg_cb_e!$C$3:$C$40,0))</f>
        <v>FC_IND_FBT_E</v>
      </c>
      <c r="G3869" s="21">
        <v>656</v>
      </c>
    </row>
    <row r="3870" spans="1:7" x14ac:dyDescent="0.2">
      <c r="A3870" s="16" t="s">
        <v>39</v>
      </c>
      <c r="B3870" s="17" t="s">
        <v>69</v>
      </c>
      <c r="C3870" s="17" t="s">
        <v>8</v>
      </c>
      <c r="D3870" s="17" t="s">
        <v>10</v>
      </c>
      <c r="E3870" s="17" t="s">
        <v>21</v>
      </c>
      <c r="F3870" s="17" t="str">
        <f>INDEX(nrg_cb_e!$A$3:$A$40,MATCH(LEFT(MID('Industriesektor GWh'!$B3870,41,1000),SEARCH(" - ",MID('Industriesektor GWh'!$B3870,41,1000))-1),nrg_cb_e!$C$3:$C$40,0))</f>
        <v>FC_IND_FBT_E</v>
      </c>
      <c r="G3870" s="18">
        <v>659</v>
      </c>
    </row>
    <row r="3871" spans="1:7" x14ac:dyDescent="0.2">
      <c r="A3871" s="19" t="s">
        <v>39</v>
      </c>
      <c r="B3871" s="20" t="s">
        <v>69</v>
      </c>
      <c r="C3871" s="20" t="s">
        <v>8</v>
      </c>
      <c r="D3871" s="20" t="s">
        <v>10</v>
      </c>
      <c r="E3871" s="20" t="s">
        <v>22</v>
      </c>
      <c r="F3871" s="20" t="str">
        <f>INDEX(nrg_cb_e!$A$3:$A$40,MATCH(LEFT(MID('Industriesektor GWh'!$B3871,41,1000),SEARCH(" - ",MID('Industriesektor GWh'!$B3871,41,1000))-1),nrg_cb_e!$C$3:$C$40,0))</f>
        <v>FC_IND_FBT_E</v>
      </c>
      <c r="G3871" s="21">
        <v>658</v>
      </c>
    </row>
    <row r="3872" spans="1:7" x14ac:dyDescent="0.2">
      <c r="A3872" s="16" t="s">
        <v>39</v>
      </c>
      <c r="B3872" s="17" t="s">
        <v>69</v>
      </c>
      <c r="C3872" s="17" t="s">
        <v>8</v>
      </c>
      <c r="D3872" s="17" t="s">
        <v>10</v>
      </c>
      <c r="E3872" s="17" t="s">
        <v>23</v>
      </c>
      <c r="F3872" s="17" t="str">
        <f>INDEX(nrg_cb_e!$A$3:$A$40,MATCH(LEFT(MID('Industriesektor GWh'!$B3872,41,1000),SEARCH(" - ",MID('Industriesektor GWh'!$B3872,41,1000))-1),nrg_cb_e!$C$3:$C$40,0))</f>
        <v>FC_IND_FBT_E</v>
      </c>
      <c r="G3872" s="18">
        <v>676</v>
      </c>
    </row>
    <row r="3873" spans="1:7" x14ac:dyDescent="0.2">
      <c r="A3873" s="19" t="s">
        <v>39</v>
      </c>
      <c r="B3873" s="20" t="s">
        <v>69</v>
      </c>
      <c r="C3873" s="20" t="s">
        <v>8</v>
      </c>
      <c r="D3873" s="20" t="s">
        <v>10</v>
      </c>
      <c r="E3873" s="20" t="s">
        <v>24</v>
      </c>
      <c r="F3873" s="20" t="str">
        <f>INDEX(nrg_cb_e!$A$3:$A$40,MATCH(LEFT(MID('Industriesektor GWh'!$B3873,41,1000),SEARCH(" - ",MID('Industriesektor GWh'!$B3873,41,1000))-1),nrg_cb_e!$C$3:$C$40,0))</f>
        <v>FC_IND_FBT_E</v>
      </c>
      <c r="G3873" s="21">
        <v>699</v>
      </c>
    </row>
    <row r="3874" spans="1:7" x14ac:dyDescent="0.2">
      <c r="A3874" s="16" t="s">
        <v>39</v>
      </c>
      <c r="B3874" s="17" t="s">
        <v>69</v>
      </c>
      <c r="C3874" s="17" t="s">
        <v>8</v>
      </c>
      <c r="D3874" s="17" t="s">
        <v>10</v>
      </c>
      <c r="E3874" s="17" t="s">
        <v>25</v>
      </c>
      <c r="F3874" s="17" t="str">
        <f>INDEX(nrg_cb_e!$A$3:$A$40,MATCH(LEFT(MID('Industriesektor GWh'!$B3874,41,1000),SEARCH(" - ",MID('Industriesektor GWh'!$B3874,41,1000))-1),nrg_cb_e!$C$3:$C$40,0))</f>
        <v>FC_IND_FBT_E</v>
      </c>
      <c r="G3874" s="18">
        <v>710</v>
      </c>
    </row>
    <row r="3875" spans="1:7" x14ac:dyDescent="0.2">
      <c r="A3875" s="19" t="s">
        <v>39</v>
      </c>
      <c r="B3875" s="20" t="s">
        <v>69</v>
      </c>
      <c r="C3875" s="20" t="s">
        <v>8</v>
      </c>
      <c r="D3875" s="20" t="s">
        <v>10</v>
      </c>
      <c r="E3875" s="20" t="s">
        <v>26</v>
      </c>
      <c r="F3875" s="20" t="str">
        <f>INDEX(nrg_cb_e!$A$3:$A$40,MATCH(LEFT(MID('Industriesektor GWh'!$B3875,41,1000),SEARCH(" - ",MID('Industriesektor GWh'!$B3875,41,1000))-1),nrg_cb_e!$C$3:$C$40,0))</f>
        <v>FC_IND_FBT_E</v>
      </c>
      <c r="G3875" s="21">
        <v>713</v>
      </c>
    </row>
    <row r="3876" spans="1:7" x14ac:dyDescent="0.2">
      <c r="A3876" s="16" t="s">
        <v>39</v>
      </c>
      <c r="B3876" s="17" t="s">
        <v>69</v>
      </c>
      <c r="C3876" s="17" t="s">
        <v>8</v>
      </c>
      <c r="D3876" s="17" t="s">
        <v>10</v>
      </c>
      <c r="E3876" s="17" t="s">
        <v>27</v>
      </c>
      <c r="F3876" s="17" t="str">
        <f>INDEX(nrg_cb_e!$A$3:$A$40,MATCH(LEFT(MID('Industriesektor GWh'!$B3876,41,1000),SEARCH(" - ",MID('Industriesektor GWh'!$B3876,41,1000))-1),nrg_cb_e!$C$3:$C$40,0))</f>
        <v>FC_IND_FBT_E</v>
      </c>
      <c r="G3876" s="18">
        <v>695.6</v>
      </c>
    </row>
    <row r="3877" spans="1:7" x14ac:dyDescent="0.2">
      <c r="A3877" s="19" t="s">
        <v>39</v>
      </c>
      <c r="B3877" s="20" t="s">
        <v>69</v>
      </c>
      <c r="C3877" s="20" t="s">
        <v>8</v>
      </c>
      <c r="D3877" s="20" t="s">
        <v>10</v>
      </c>
      <c r="E3877" s="20" t="s">
        <v>28</v>
      </c>
      <c r="F3877" s="20" t="str">
        <f>INDEX(nrg_cb_e!$A$3:$A$40,MATCH(LEFT(MID('Industriesektor GWh'!$B3877,41,1000),SEARCH(" - ",MID('Industriesektor GWh'!$B3877,41,1000))-1),nrg_cb_e!$C$3:$C$40,0))</f>
        <v>FC_IND_FBT_E</v>
      </c>
      <c r="G3877" s="21">
        <v>679.1</v>
      </c>
    </row>
    <row r="3878" spans="1:7" x14ac:dyDescent="0.2">
      <c r="A3878" s="16" t="s">
        <v>40</v>
      </c>
      <c r="B3878" s="17" t="s">
        <v>69</v>
      </c>
      <c r="C3878" s="17" t="s">
        <v>8</v>
      </c>
      <c r="D3878" s="17" t="s">
        <v>10</v>
      </c>
      <c r="E3878" s="17" t="s">
        <v>12</v>
      </c>
      <c r="F3878" s="17" t="str">
        <f>INDEX(nrg_cb_e!$A$3:$A$40,MATCH(LEFT(MID('Industriesektor GWh'!$B3878,41,1000),SEARCH(" - ",MID('Industriesektor GWh'!$B3878,41,1000))-1),nrg_cb_e!$C$3:$C$40,0))</f>
        <v>FC_IND_FBT_E</v>
      </c>
      <c r="G3878" s="18">
        <v>12360</v>
      </c>
    </row>
    <row r="3879" spans="1:7" x14ac:dyDescent="0.2">
      <c r="A3879" s="19" t="s">
        <v>40</v>
      </c>
      <c r="B3879" s="20" t="s">
        <v>69</v>
      </c>
      <c r="C3879" s="20" t="s">
        <v>8</v>
      </c>
      <c r="D3879" s="20" t="s">
        <v>10</v>
      </c>
      <c r="E3879" s="20" t="s">
        <v>13</v>
      </c>
      <c r="F3879" s="20" t="str">
        <f>INDEX(nrg_cb_e!$A$3:$A$40,MATCH(LEFT(MID('Industriesektor GWh'!$B3879,41,1000),SEARCH(" - ",MID('Industriesektor GWh'!$B3879,41,1000))-1),nrg_cb_e!$C$3:$C$40,0))</f>
        <v>FC_IND_FBT_E</v>
      </c>
      <c r="G3879" s="21">
        <v>12535</v>
      </c>
    </row>
    <row r="3880" spans="1:7" x14ac:dyDescent="0.2">
      <c r="A3880" s="16" t="s">
        <v>40</v>
      </c>
      <c r="B3880" s="17" t="s">
        <v>69</v>
      </c>
      <c r="C3880" s="17" t="s">
        <v>8</v>
      </c>
      <c r="D3880" s="17" t="s">
        <v>10</v>
      </c>
      <c r="E3880" s="17" t="s">
        <v>14</v>
      </c>
      <c r="F3880" s="17" t="str">
        <f>INDEX(nrg_cb_e!$A$3:$A$40,MATCH(LEFT(MID('Industriesektor GWh'!$B3880,41,1000),SEARCH(" - ",MID('Industriesektor GWh'!$B3880,41,1000))-1),nrg_cb_e!$C$3:$C$40,0))</f>
        <v>FC_IND_FBT_E</v>
      </c>
      <c r="G3880" s="18">
        <v>12702</v>
      </c>
    </row>
    <row r="3881" spans="1:7" x14ac:dyDescent="0.2">
      <c r="A3881" s="19" t="s">
        <v>40</v>
      </c>
      <c r="B3881" s="20" t="s">
        <v>69</v>
      </c>
      <c r="C3881" s="20" t="s">
        <v>8</v>
      </c>
      <c r="D3881" s="20" t="s">
        <v>10</v>
      </c>
      <c r="E3881" s="20" t="s">
        <v>15</v>
      </c>
      <c r="F3881" s="20" t="str">
        <f>INDEX(nrg_cb_e!$A$3:$A$40,MATCH(LEFT(MID('Industriesektor GWh'!$B3881,41,1000),SEARCH(" - ",MID('Industriesektor GWh'!$B3881,41,1000))-1),nrg_cb_e!$C$3:$C$40,0))</f>
        <v>FC_IND_FBT_E</v>
      </c>
      <c r="G3881" s="21">
        <v>13004</v>
      </c>
    </row>
    <row r="3882" spans="1:7" x14ac:dyDescent="0.2">
      <c r="A3882" s="16" t="s">
        <v>40</v>
      </c>
      <c r="B3882" s="17" t="s">
        <v>69</v>
      </c>
      <c r="C3882" s="17" t="s">
        <v>8</v>
      </c>
      <c r="D3882" s="17" t="s">
        <v>10</v>
      </c>
      <c r="E3882" s="17" t="s">
        <v>16</v>
      </c>
      <c r="F3882" s="17" t="str">
        <f>INDEX(nrg_cb_e!$A$3:$A$40,MATCH(LEFT(MID('Industriesektor GWh'!$B3882,41,1000),SEARCH(" - ",MID('Industriesektor GWh'!$B3882,41,1000))-1),nrg_cb_e!$C$3:$C$40,0))</f>
        <v>FC_IND_FBT_E</v>
      </c>
      <c r="G3882" s="18">
        <v>12843</v>
      </c>
    </row>
    <row r="3883" spans="1:7" x14ac:dyDescent="0.2">
      <c r="A3883" s="19" t="s">
        <v>40</v>
      </c>
      <c r="B3883" s="20" t="s">
        <v>69</v>
      </c>
      <c r="C3883" s="20" t="s">
        <v>8</v>
      </c>
      <c r="D3883" s="20" t="s">
        <v>10</v>
      </c>
      <c r="E3883" s="20" t="s">
        <v>17</v>
      </c>
      <c r="F3883" s="20" t="str">
        <f>INDEX(nrg_cb_e!$A$3:$A$40,MATCH(LEFT(MID('Industriesektor GWh'!$B3883,41,1000),SEARCH(" - ",MID('Industriesektor GWh'!$B3883,41,1000))-1),nrg_cb_e!$C$3:$C$40,0))</f>
        <v>FC_IND_FBT_E</v>
      </c>
      <c r="G3883" s="21">
        <v>12855</v>
      </c>
    </row>
    <row r="3884" spans="1:7" x14ac:dyDescent="0.2">
      <c r="A3884" s="16" t="s">
        <v>40</v>
      </c>
      <c r="B3884" s="17" t="s">
        <v>69</v>
      </c>
      <c r="C3884" s="17" t="s">
        <v>8</v>
      </c>
      <c r="D3884" s="17" t="s">
        <v>10</v>
      </c>
      <c r="E3884" s="17" t="s">
        <v>18</v>
      </c>
      <c r="F3884" s="17" t="str">
        <f>INDEX(nrg_cb_e!$A$3:$A$40,MATCH(LEFT(MID('Industriesektor GWh'!$B3884,41,1000),SEARCH(" - ",MID('Industriesektor GWh'!$B3884,41,1000))-1),nrg_cb_e!$C$3:$C$40,0))</f>
        <v>FC_IND_FBT_E</v>
      </c>
      <c r="G3884" s="18">
        <v>12826</v>
      </c>
    </row>
    <row r="3885" spans="1:7" x14ac:dyDescent="0.2">
      <c r="A3885" s="19" t="s">
        <v>40</v>
      </c>
      <c r="B3885" s="20" t="s">
        <v>69</v>
      </c>
      <c r="C3885" s="20" t="s">
        <v>8</v>
      </c>
      <c r="D3885" s="20" t="s">
        <v>10</v>
      </c>
      <c r="E3885" s="20" t="s">
        <v>19</v>
      </c>
      <c r="F3885" s="20" t="str">
        <f>INDEX(nrg_cb_e!$A$3:$A$40,MATCH(LEFT(MID('Industriesektor GWh'!$B3885,41,1000),SEARCH(" - ",MID('Industriesektor GWh'!$B3885,41,1000))-1),nrg_cb_e!$C$3:$C$40,0))</f>
        <v>FC_IND_FBT_E</v>
      </c>
      <c r="G3885" s="21">
        <v>12558</v>
      </c>
    </row>
    <row r="3886" spans="1:7" x14ac:dyDescent="0.2">
      <c r="A3886" s="16" t="s">
        <v>40</v>
      </c>
      <c r="B3886" s="17" t="s">
        <v>69</v>
      </c>
      <c r="C3886" s="17" t="s">
        <v>8</v>
      </c>
      <c r="D3886" s="17" t="s">
        <v>10</v>
      </c>
      <c r="E3886" s="17" t="s">
        <v>20</v>
      </c>
      <c r="F3886" s="17" t="str">
        <f>INDEX(nrg_cb_e!$A$3:$A$40,MATCH(LEFT(MID('Industriesektor GWh'!$B3886,41,1000),SEARCH(" - ",MID('Industriesektor GWh'!$B3886,41,1000))-1),nrg_cb_e!$C$3:$C$40,0))</f>
        <v>FC_IND_FBT_E</v>
      </c>
      <c r="G3886" s="18">
        <v>12788</v>
      </c>
    </row>
    <row r="3887" spans="1:7" x14ac:dyDescent="0.2">
      <c r="A3887" s="19" t="s">
        <v>40</v>
      </c>
      <c r="B3887" s="20" t="s">
        <v>69</v>
      </c>
      <c r="C3887" s="20" t="s">
        <v>8</v>
      </c>
      <c r="D3887" s="20" t="s">
        <v>10</v>
      </c>
      <c r="E3887" s="20" t="s">
        <v>21</v>
      </c>
      <c r="F3887" s="20" t="str">
        <f>INDEX(nrg_cb_e!$A$3:$A$40,MATCH(LEFT(MID('Industriesektor GWh'!$B3887,41,1000),SEARCH(" - ",MID('Industriesektor GWh'!$B3887,41,1000))-1),nrg_cb_e!$C$3:$C$40,0))</f>
        <v>FC_IND_FBT_E</v>
      </c>
      <c r="G3887" s="21">
        <v>12617</v>
      </c>
    </row>
    <row r="3888" spans="1:7" x14ac:dyDescent="0.2">
      <c r="A3888" s="16" t="s">
        <v>40</v>
      </c>
      <c r="B3888" s="17" t="s">
        <v>69</v>
      </c>
      <c r="C3888" s="17" t="s">
        <v>8</v>
      </c>
      <c r="D3888" s="17" t="s">
        <v>10</v>
      </c>
      <c r="E3888" s="17" t="s">
        <v>22</v>
      </c>
      <c r="F3888" s="17" t="str">
        <f>INDEX(nrg_cb_e!$A$3:$A$40,MATCH(LEFT(MID('Industriesektor GWh'!$B3888,41,1000),SEARCH(" - ",MID('Industriesektor GWh'!$B3888,41,1000))-1),nrg_cb_e!$C$3:$C$40,0))</f>
        <v>FC_IND_FBT_E</v>
      </c>
      <c r="G3888" s="18">
        <v>12060</v>
      </c>
    </row>
    <row r="3889" spans="1:7" x14ac:dyDescent="0.2">
      <c r="A3889" s="19" t="s">
        <v>40</v>
      </c>
      <c r="B3889" s="20" t="s">
        <v>69</v>
      </c>
      <c r="C3889" s="20" t="s">
        <v>8</v>
      </c>
      <c r="D3889" s="20" t="s">
        <v>10</v>
      </c>
      <c r="E3889" s="20" t="s">
        <v>23</v>
      </c>
      <c r="F3889" s="20" t="str">
        <f>INDEX(nrg_cb_e!$A$3:$A$40,MATCH(LEFT(MID('Industriesektor GWh'!$B3889,41,1000),SEARCH(" - ",MID('Industriesektor GWh'!$B3889,41,1000))-1),nrg_cb_e!$C$3:$C$40,0))</f>
        <v>FC_IND_FBT_E</v>
      </c>
      <c r="G3889" s="21">
        <v>11953</v>
      </c>
    </row>
    <row r="3890" spans="1:7" x14ac:dyDescent="0.2">
      <c r="A3890" s="16" t="s">
        <v>40</v>
      </c>
      <c r="B3890" s="17" t="s">
        <v>69</v>
      </c>
      <c r="C3890" s="17" t="s">
        <v>8</v>
      </c>
      <c r="D3890" s="17" t="s">
        <v>10</v>
      </c>
      <c r="E3890" s="17" t="s">
        <v>24</v>
      </c>
      <c r="F3890" s="17" t="str">
        <f>INDEX(nrg_cb_e!$A$3:$A$40,MATCH(LEFT(MID('Industriesektor GWh'!$B3890,41,1000),SEARCH(" - ",MID('Industriesektor GWh'!$B3890,41,1000))-1),nrg_cb_e!$C$3:$C$40,0))</f>
        <v>FC_IND_FBT_E</v>
      </c>
      <c r="G3890" s="18">
        <v>11972</v>
      </c>
    </row>
    <row r="3891" spans="1:7" x14ac:dyDescent="0.2">
      <c r="A3891" s="19" t="s">
        <v>40</v>
      </c>
      <c r="B3891" s="20" t="s">
        <v>69</v>
      </c>
      <c r="C3891" s="20" t="s">
        <v>8</v>
      </c>
      <c r="D3891" s="20" t="s">
        <v>10</v>
      </c>
      <c r="E3891" s="20" t="s">
        <v>25</v>
      </c>
      <c r="F3891" s="20" t="str">
        <f>INDEX(nrg_cb_e!$A$3:$A$40,MATCH(LEFT(MID('Industriesektor GWh'!$B3891,41,1000),SEARCH(" - ",MID('Industriesektor GWh'!$B3891,41,1000))-1),nrg_cb_e!$C$3:$C$40,0))</f>
        <v>FC_IND_FBT_E</v>
      </c>
      <c r="G3891" s="21">
        <v>12148</v>
      </c>
    </row>
    <row r="3892" spans="1:7" x14ac:dyDescent="0.2">
      <c r="A3892" s="16" t="s">
        <v>40</v>
      </c>
      <c r="B3892" s="17" t="s">
        <v>69</v>
      </c>
      <c r="C3892" s="17" t="s">
        <v>8</v>
      </c>
      <c r="D3892" s="17" t="s">
        <v>10</v>
      </c>
      <c r="E3892" s="17" t="s">
        <v>26</v>
      </c>
      <c r="F3892" s="17" t="str">
        <f>INDEX(nrg_cb_e!$A$3:$A$40,MATCH(LEFT(MID('Industriesektor GWh'!$B3892,41,1000),SEARCH(" - ",MID('Industriesektor GWh'!$B3892,41,1000))-1),nrg_cb_e!$C$3:$C$40,0))</f>
        <v>FC_IND_FBT_E</v>
      </c>
      <c r="G3892" s="18">
        <v>12170</v>
      </c>
    </row>
    <row r="3893" spans="1:7" x14ac:dyDescent="0.2">
      <c r="A3893" s="19" t="s">
        <v>40</v>
      </c>
      <c r="B3893" s="20" t="s">
        <v>69</v>
      </c>
      <c r="C3893" s="20" t="s">
        <v>8</v>
      </c>
      <c r="D3893" s="20" t="s">
        <v>10</v>
      </c>
      <c r="E3893" s="20" t="s">
        <v>27</v>
      </c>
      <c r="F3893" s="20" t="str">
        <f>INDEX(nrg_cb_e!$A$3:$A$40,MATCH(LEFT(MID('Industriesektor GWh'!$B3893,41,1000),SEARCH(" - ",MID('Industriesektor GWh'!$B3893,41,1000))-1),nrg_cb_e!$C$3:$C$40,0))</f>
        <v>FC_IND_FBT_E</v>
      </c>
      <c r="G3893" s="21">
        <v>12412.668</v>
      </c>
    </row>
    <row r="3894" spans="1:7" x14ac:dyDescent="0.2">
      <c r="A3894" s="16" t="s">
        <v>40</v>
      </c>
      <c r="B3894" s="17" t="s">
        <v>69</v>
      </c>
      <c r="C3894" s="17" t="s">
        <v>8</v>
      </c>
      <c r="D3894" s="17" t="s">
        <v>10</v>
      </c>
      <c r="E3894" s="17" t="s">
        <v>28</v>
      </c>
      <c r="F3894" s="17" t="str">
        <f>INDEX(nrg_cb_e!$A$3:$A$40,MATCH(LEFT(MID('Industriesektor GWh'!$B3894,41,1000),SEARCH(" - ",MID('Industriesektor GWh'!$B3894,41,1000))-1),nrg_cb_e!$C$3:$C$40,0))</f>
        <v>FC_IND_FBT_E</v>
      </c>
      <c r="G3894" s="18">
        <v>12532.748</v>
      </c>
    </row>
    <row r="3895" spans="1:7" x14ac:dyDescent="0.2">
      <c r="A3895" s="19" t="s">
        <v>41</v>
      </c>
      <c r="B3895" s="20" t="s">
        <v>69</v>
      </c>
      <c r="C3895" s="20" t="s">
        <v>8</v>
      </c>
      <c r="D3895" s="20" t="s">
        <v>10</v>
      </c>
      <c r="E3895" s="20" t="s">
        <v>12</v>
      </c>
      <c r="F3895" s="20" t="str">
        <f>INDEX(nrg_cb_e!$A$3:$A$40,MATCH(LEFT(MID('Industriesektor GWh'!$B3895,41,1000),SEARCH(" - ",MID('Industriesektor GWh'!$B3895,41,1000))-1),nrg_cb_e!$C$3:$C$40,0))</f>
        <v>FC_IND_FBT_E</v>
      </c>
      <c r="G3895" s="21">
        <v>147</v>
      </c>
    </row>
    <row r="3896" spans="1:7" x14ac:dyDescent="0.2">
      <c r="A3896" s="16" t="s">
        <v>41</v>
      </c>
      <c r="B3896" s="17" t="s">
        <v>69</v>
      </c>
      <c r="C3896" s="17" t="s">
        <v>8</v>
      </c>
      <c r="D3896" s="17" t="s">
        <v>10</v>
      </c>
      <c r="E3896" s="17" t="s">
        <v>13</v>
      </c>
      <c r="F3896" s="17" t="str">
        <f>INDEX(nrg_cb_e!$A$3:$A$40,MATCH(LEFT(MID('Industriesektor GWh'!$B3896,41,1000),SEARCH(" - ",MID('Industriesektor GWh'!$B3896,41,1000))-1),nrg_cb_e!$C$3:$C$40,0))</f>
        <v>FC_IND_FBT_E</v>
      </c>
      <c r="G3896" s="18">
        <v>159</v>
      </c>
    </row>
    <row r="3897" spans="1:7" x14ac:dyDescent="0.2">
      <c r="A3897" s="19" t="s">
        <v>41</v>
      </c>
      <c r="B3897" s="20" t="s">
        <v>69</v>
      </c>
      <c r="C3897" s="20" t="s">
        <v>8</v>
      </c>
      <c r="D3897" s="20" t="s">
        <v>10</v>
      </c>
      <c r="E3897" s="20" t="s">
        <v>14</v>
      </c>
      <c r="F3897" s="20" t="str">
        <f>INDEX(nrg_cb_e!$A$3:$A$40,MATCH(LEFT(MID('Industriesektor GWh'!$B3897,41,1000),SEARCH(" - ",MID('Industriesektor GWh'!$B3897,41,1000))-1),nrg_cb_e!$C$3:$C$40,0))</f>
        <v>FC_IND_FBT_E</v>
      </c>
      <c r="G3897" s="21">
        <v>162</v>
      </c>
    </row>
    <row r="3898" spans="1:7" x14ac:dyDescent="0.2">
      <c r="A3898" s="16" t="s">
        <v>41</v>
      </c>
      <c r="B3898" s="17" t="s">
        <v>69</v>
      </c>
      <c r="C3898" s="17" t="s">
        <v>8</v>
      </c>
      <c r="D3898" s="17" t="s">
        <v>10</v>
      </c>
      <c r="E3898" s="17" t="s">
        <v>15</v>
      </c>
      <c r="F3898" s="17" t="str">
        <f>INDEX(nrg_cb_e!$A$3:$A$40,MATCH(LEFT(MID('Industriesektor GWh'!$B3898,41,1000),SEARCH(" - ",MID('Industriesektor GWh'!$B3898,41,1000))-1),nrg_cb_e!$C$3:$C$40,0))</f>
        <v>FC_IND_FBT_E</v>
      </c>
      <c r="G3898" s="18">
        <v>166</v>
      </c>
    </row>
    <row r="3899" spans="1:7" x14ac:dyDescent="0.2">
      <c r="A3899" s="19" t="s">
        <v>41</v>
      </c>
      <c r="B3899" s="20" t="s">
        <v>69</v>
      </c>
      <c r="C3899" s="20" t="s">
        <v>8</v>
      </c>
      <c r="D3899" s="20" t="s">
        <v>10</v>
      </c>
      <c r="E3899" s="20" t="s">
        <v>16</v>
      </c>
      <c r="F3899" s="20" t="str">
        <f>INDEX(nrg_cb_e!$A$3:$A$40,MATCH(LEFT(MID('Industriesektor GWh'!$B3899,41,1000),SEARCH(" - ",MID('Industriesektor GWh'!$B3899,41,1000))-1),nrg_cb_e!$C$3:$C$40,0))</f>
        <v>FC_IND_FBT_E</v>
      </c>
      <c r="G3899" s="21">
        <v>171</v>
      </c>
    </row>
    <row r="3900" spans="1:7" x14ac:dyDescent="0.2">
      <c r="A3900" s="16" t="s">
        <v>41</v>
      </c>
      <c r="B3900" s="17" t="s">
        <v>69</v>
      </c>
      <c r="C3900" s="17" t="s">
        <v>8</v>
      </c>
      <c r="D3900" s="17" t="s">
        <v>10</v>
      </c>
      <c r="E3900" s="17" t="s">
        <v>17</v>
      </c>
      <c r="F3900" s="17" t="str">
        <f>INDEX(nrg_cb_e!$A$3:$A$40,MATCH(LEFT(MID('Industriesektor GWh'!$B3900,41,1000),SEARCH(" - ",MID('Industriesektor GWh'!$B3900,41,1000))-1),nrg_cb_e!$C$3:$C$40,0))</f>
        <v>FC_IND_FBT_E</v>
      </c>
      <c r="G3900" s="18">
        <v>183</v>
      </c>
    </row>
    <row r="3901" spans="1:7" x14ac:dyDescent="0.2">
      <c r="A3901" s="19" t="s">
        <v>41</v>
      </c>
      <c r="B3901" s="20" t="s">
        <v>69</v>
      </c>
      <c r="C3901" s="20" t="s">
        <v>8</v>
      </c>
      <c r="D3901" s="20" t="s">
        <v>10</v>
      </c>
      <c r="E3901" s="20" t="s">
        <v>18</v>
      </c>
      <c r="F3901" s="20" t="str">
        <f>INDEX(nrg_cb_e!$A$3:$A$40,MATCH(LEFT(MID('Industriesektor GWh'!$B3901,41,1000),SEARCH(" - ",MID('Industriesektor GWh'!$B3901,41,1000))-1),nrg_cb_e!$C$3:$C$40,0))</f>
        <v>FC_IND_FBT_E</v>
      </c>
      <c r="G3901" s="21">
        <v>195</v>
      </c>
    </row>
    <row r="3902" spans="1:7" x14ac:dyDescent="0.2">
      <c r="A3902" s="16" t="s">
        <v>41</v>
      </c>
      <c r="B3902" s="17" t="s">
        <v>69</v>
      </c>
      <c r="C3902" s="17" t="s">
        <v>8</v>
      </c>
      <c r="D3902" s="17" t="s">
        <v>10</v>
      </c>
      <c r="E3902" s="17" t="s">
        <v>19</v>
      </c>
      <c r="F3902" s="17" t="str">
        <f>INDEX(nrg_cb_e!$A$3:$A$40,MATCH(LEFT(MID('Industriesektor GWh'!$B3902,41,1000),SEARCH(" - ",MID('Industriesektor GWh'!$B3902,41,1000))-1),nrg_cb_e!$C$3:$C$40,0))</f>
        <v>FC_IND_FBT_E</v>
      </c>
      <c r="G3902" s="18">
        <v>193</v>
      </c>
    </row>
    <row r="3903" spans="1:7" x14ac:dyDescent="0.2">
      <c r="A3903" s="19" t="s">
        <v>41</v>
      </c>
      <c r="B3903" s="20" t="s">
        <v>69</v>
      </c>
      <c r="C3903" s="20" t="s">
        <v>8</v>
      </c>
      <c r="D3903" s="20" t="s">
        <v>10</v>
      </c>
      <c r="E3903" s="20" t="s">
        <v>20</v>
      </c>
      <c r="F3903" s="20" t="str">
        <f>INDEX(nrg_cb_e!$A$3:$A$40,MATCH(LEFT(MID('Industriesektor GWh'!$B3903,41,1000),SEARCH(" - ",MID('Industriesektor GWh'!$B3903,41,1000))-1),nrg_cb_e!$C$3:$C$40,0))</f>
        <v>FC_IND_FBT_E</v>
      </c>
      <c r="G3903" s="21">
        <v>197</v>
      </c>
    </row>
    <row r="3904" spans="1:7" x14ac:dyDescent="0.2">
      <c r="A3904" s="16" t="s">
        <v>41</v>
      </c>
      <c r="B3904" s="17" t="s">
        <v>69</v>
      </c>
      <c r="C3904" s="17" t="s">
        <v>8</v>
      </c>
      <c r="D3904" s="17" t="s">
        <v>10</v>
      </c>
      <c r="E3904" s="17" t="s">
        <v>21</v>
      </c>
      <c r="F3904" s="17" t="str">
        <f>INDEX(nrg_cb_e!$A$3:$A$40,MATCH(LEFT(MID('Industriesektor GWh'!$B3904,41,1000),SEARCH(" - ",MID('Industriesektor GWh'!$B3904,41,1000))-1),nrg_cb_e!$C$3:$C$40,0))</f>
        <v>FC_IND_FBT_E</v>
      </c>
      <c r="G3904" s="18">
        <v>185</v>
      </c>
    </row>
    <row r="3905" spans="1:7" x14ac:dyDescent="0.2">
      <c r="A3905" s="19" t="s">
        <v>41</v>
      </c>
      <c r="B3905" s="20" t="s">
        <v>69</v>
      </c>
      <c r="C3905" s="20" t="s">
        <v>8</v>
      </c>
      <c r="D3905" s="20" t="s">
        <v>10</v>
      </c>
      <c r="E3905" s="20" t="s">
        <v>22</v>
      </c>
      <c r="F3905" s="20" t="str">
        <f>INDEX(nrg_cb_e!$A$3:$A$40,MATCH(LEFT(MID('Industriesektor GWh'!$B3905,41,1000),SEARCH(" - ",MID('Industriesektor GWh'!$B3905,41,1000))-1),nrg_cb_e!$C$3:$C$40,0))</f>
        <v>FC_IND_FBT_E</v>
      </c>
      <c r="G3905" s="21">
        <v>184</v>
      </c>
    </row>
    <row r="3906" spans="1:7" x14ac:dyDescent="0.2">
      <c r="A3906" s="16" t="s">
        <v>41</v>
      </c>
      <c r="B3906" s="17" t="s">
        <v>69</v>
      </c>
      <c r="C3906" s="17" t="s">
        <v>8</v>
      </c>
      <c r="D3906" s="17" t="s">
        <v>10</v>
      </c>
      <c r="E3906" s="17" t="s">
        <v>23</v>
      </c>
      <c r="F3906" s="17" t="str">
        <f>INDEX(nrg_cb_e!$A$3:$A$40,MATCH(LEFT(MID('Industriesektor GWh'!$B3906,41,1000),SEARCH(" - ",MID('Industriesektor GWh'!$B3906,41,1000))-1),nrg_cb_e!$C$3:$C$40,0))</f>
        <v>FC_IND_FBT_E</v>
      </c>
      <c r="G3906" s="18">
        <v>170</v>
      </c>
    </row>
    <row r="3907" spans="1:7" x14ac:dyDescent="0.2">
      <c r="A3907" s="19" t="s">
        <v>41</v>
      </c>
      <c r="B3907" s="20" t="s">
        <v>69</v>
      </c>
      <c r="C3907" s="20" t="s">
        <v>8</v>
      </c>
      <c r="D3907" s="20" t="s">
        <v>10</v>
      </c>
      <c r="E3907" s="20" t="s">
        <v>24</v>
      </c>
      <c r="F3907" s="20" t="str">
        <f>INDEX(nrg_cb_e!$A$3:$A$40,MATCH(LEFT(MID('Industriesektor GWh'!$B3907,41,1000),SEARCH(" - ",MID('Industriesektor GWh'!$B3907,41,1000))-1),nrg_cb_e!$C$3:$C$40,0))</f>
        <v>FC_IND_FBT_E</v>
      </c>
      <c r="G3907" s="21">
        <v>161</v>
      </c>
    </row>
    <row r="3908" spans="1:7" x14ac:dyDescent="0.2">
      <c r="A3908" s="16" t="s">
        <v>41</v>
      </c>
      <c r="B3908" s="17" t="s">
        <v>69</v>
      </c>
      <c r="C3908" s="17" t="s">
        <v>8</v>
      </c>
      <c r="D3908" s="17" t="s">
        <v>10</v>
      </c>
      <c r="E3908" s="17" t="s">
        <v>25</v>
      </c>
      <c r="F3908" s="17" t="str">
        <f>INDEX(nrg_cb_e!$A$3:$A$40,MATCH(LEFT(MID('Industriesektor GWh'!$B3908,41,1000),SEARCH(" - ",MID('Industriesektor GWh'!$B3908,41,1000))-1),nrg_cb_e!$C$3:$C$40,0))</f>
        <v>FC_IND_FBT_E</v>
      </c>
      <c r="G3908" s="18">
        <v>162</v>
      </c>
    </row>
    <row r="3909" spans="1:7" x14ac:dyDescent="0.2">
      <c r="A3909" s="19" t="s">
        <v>41</v>
      </c>
      <c r="B3909" s="20" t="s">
        <v>69</v>
      </c>
      <c r="C3909" s="20" t="s">
        <v>8</v>
      </c>
      <c r="D3909" s="20" t="s">
        <v>10</v>
      </c>
      <c r="E3909" s="20" t="s">
        <v>26</v>
      </c>
      <c r="F3909" s="20" t="str">
        <f>INDEX(nrg_cb_e!$A$3:$A$40,MATCH(LEFT(MID('Industriesektor GWh'!$B3909,41,1000),SEARCH(" - ",MID('Industriesektor GWh'!$B3909,41,1000))-1),nrg_cb_e!$C$3:$C$40,0))</f>
        <v>FC_IND_FBT_E</v>
      </c>
      <c r="G3909" s="21">
        <v>170</v>
      </c>
    </row>
    <row r="3910" spans="1:7" x14ac:dyDescent="0.2">
      <c r="A3910" s="16" t="s">
        <v>41</v>
      </c>
      <c r="B3910" s="17" t="s">
        <v>69</v>
      </c>
      <c r="C3910" s="17" t="s">
        <v>8</v>
      </c>
      <c r="D3910" s="17" t="s">
        <v>10</v>
      </c>
      <c r="E3910" s="17" t="s">
        <v>27</v>
      </c>
      <c r="F3910" s="17" t="str">
        <f>INDEX(nrg_cb_e!$A$3:$A$40,MATCH(LEFT(MID('Industriesektor GWh'!$B3910,41,1000),SEARCH(" - ",MID('Industriesektor GWh'!$B3910,41,1000))-1),nrg_cb_e!$C$3:$C$40,0))</f>
        <v>FC_IND_FBT_E</v>
      </c>
      <c r="G3910" s="18">
        <v>176.16900000000001</v>
      </c>
    </row>
    <row r="3911" spans="1:7" x14ac:dyDescent="0.2">
      <c r="A3911" s="19" t="s">
        <v>41</v>
      </c>
      <c r="B3911" s="20" t="s">
        <v>69</v>
      </c>
      <c r="C3911" s="20" t="s">
        <v>8</v>
      </c>
      <c r="D3911" s="20" t="s">
        <v>10</v>
      </c>
      <c r="E3911" s="20" t="s">
        <v>28</v>
      </c>
      <c r="F3911" s="20" t="str">
        <f>INDEX(nrg_cb_e!$A$3:$A$40,MATCH(LEFT(MID('Industriesektor GWh'!$B3911,41,1000),SEARCH(" - ",MID('Industriesektor GWh'!$B3911,41,1000))-1),nrg_cb_e!$C$3:$C$40,0))</f>
        <v>FC_IND_FBT_E</v>
      </c>
      <c r="G3911" s="21">
        <v>182.05600000000001</v>
      </c>
    </row>
    <row r="3912" spans="1:7" x14ac:dyDescent="0.2">
      <c r="A3912" s="16" t="s">
        <v>42</v>
      </c>
      <c r="B3912" s="17" t="s">
        <v>69</v>
      </c>
      <c r="C3912" s="17" t="s">
        <v>8</v>
      </c>
      <c r="D3912" s="17" t="s">
        <v>10</v>
      </c>
      <c r="E3912" s="17" t="s">
        <v>12</v>
      </c>
      <c r="F3912" s="17" t="str">
        <f>INDEX(nrg_cb_e!$A$3:$A$40,MATCH(LEFT(MID('Industriesektor GWh'!$B3912,41,1000),SEARCH(" - ",MID('Industriesektor GWh'!$B3912,41,1000))-1),nrg_cb_e!$C$3:$C$40,0))</f>
        <v>FC_IND_FBT_E</v>
      </c>
      <c r="G3912" s="18">
        <v>308</v>
      </c>
    </row>
    <row r="3913" spans="1:7" x14ac:dyDescent="0.2">
      <c r="A3913" s="19" t="s">
        <v>42</v>
      </c>
      <c r="B3913" s="20" t="s">
        <v>69</v>
      </c>
      <c r="C3913" s="20" t="s">
        <v>8</v>
      </c>
      <c r="D3913" s="20" t="s">
        <v>10</v>
      </c>
      <c r="E3913" s="20" t="s">
        <v>13</v>
      </c>
      <c r="F3913" s="20" t="str">
        <f>INDEX(nrg_cb_e!$A$3:$A$40,MATCH(LEFT(MID('Industriesektor GWh'!$B3913,41,1000),SEARCH(" - ",MID('Industriesektor GWh'!$B3913,41,1000))-1),nrg_cb_e!$C$3:$C$40,0))</f>
        <v>FC_IND_FBT_E</v>
      </c>
      <c r="G3913" s="21">
        <v>313</v>
      </c>
    </row>
    <row r="3914" spans="1:7" x14ac:dyDescent="0.2">
      <c r="A3914" s="16" t="s">
        <v>42</v>
      </c>
      <c r="B3914" s="17" t="s">
        <v>69</v>
      </c>
      <c r="C3914" s="17" t="s">
        <v>8</v>
      </c>
      <c r="D3914" s="17" t="s">
        <v>10</v>
      </c>
      <c r="E3914" s="17" t="s">
        <v>14</v>
      </c>
      <c r="F3914" s="17" t="str">
        <f>INDEX(nrg_cb_e!$A$3:$A$40,MATCH(LEFT(MID('Industriesektor GWh'!$B3914,41,1000),SEARCH(" - ",MID('Industriesektor GWh'!$B3914,41,1000))-1),nrg_cb_e!$C$3:$C$40,0))</f>
        <v>FC_IND_FBT_E</v>
      </c>
      <c r="G3914" s="18">
        <v>298</v>
      </c>
    </row>
    <row r="3915" spans="1:7" x14ac:dyDescent="0.2">
      <c r="A3915" s="19" t="s">
        <v>42</v>
      </c>
      <c r="B3915" s="20" t="s">
        <v>69</v>
      </c>
      <c r="C3915" s="20" t="s">
        <v>8</v>
      </c>
      <c r="D3915" s="20" t="s">
        <v>10</v>
      </c>
      <c r="E3915" s="20" t="s">
        <v>15</v>
      </c>
      <c r="F3915" s="20" t="str">
        <f>INDEX(nrg_cb_e!$A$3:$A$40,MATCH(LEFT(MID('Industriesektor GWh'!$B3915,41,1000),SEARCH(" - ",MID('Industriesektor GWh'!$B3915,41,1000))-1),nrg_cb_e!$C$3:$C$40,0))</f>
        <v>FC_IND_FBT_E</v>
      </c>
      <c r="G3915" s="21">
        <v>318</v>
      </c>
    </row>
    <row r="3916" spans="1:7" x14ac:dyDescent="0.2">
      <c r="A3916" s="16" t="s">
        <v>42</v>
      </c>
      <c r="B3916" s="17" t="s">
        <v>69</v>
      </c>
      <c r="C3916" s="17" t="s">
        <v>8</v>
      </c>
      <c r="D3916" s="17" t="s">
        <v>10</v>
      </c>
      <c r="E3916" s="17" t="s">
        <v>16</v>
      </c>
      <c r="F3916" s="17" t="str">
        <f>INDEX(nrg_cb_e!$A$3:$A$40,MATCH(LEFT(MID('Industriesektor GWh'!$B3916,41,1000),SEARCH(" - ",MID('Industriesektor GWh'!$B3916,41,1000))-1),nrg_cb_e!$C$3:$C$40,0))</f>
        <v>FC_IND_FBT_E</v>
      </c>
      <c r="G3916" s="18">
        <v>323</v>
      </c>
    </row>
    <row r="3917" spans="1:7" x14ac:dyDescent="0.2">
      <c r="A3917" s="19" t="s">
        <v>42</v>
      </c>
      <c r="B3917" s="20" t="s">
        <v>69</v>
      </c>
      <c r="C3917" s="20" t="s">
        <v>8</v>
      </c>
      <c r="D3917" s="20" t="s">
        <v>10</v>
      </c>
      <c r="E3917" s="20" t="s">
        <v>17</v>
      </c>
      <c r="F3917" s="20" t="str">
        <f>INDEX(nrg_cb_e!$A$3:$A$40,MATCH(LEFT(MID('Industriesektor GWh'!$B3917,41,1000),SEARCH(" - ",MID('Industriesektor GWh'!$B3917,41,1000))-1),nrg_cb_e!$C$3:$C$40,0))</f>
        <v>FC_IND_FBT_E</v>
      </c>
      <c r="G3917" s="21">
        <v>351</v>
      </c>
    </row>
    <row r="3918" spans="1:7" x14ac:dyDescent="0.2">
      <c r="A3918" s="16" t="s">
        <v>42</v>
      </c>
      <c r="B3918" s="17" t="s">
        <v>69</v>
      </c>
      <c r="C3918" s="17" t="s">
        <v>8</v>
      </c>
      <c r="D3918" s="17" t="s">
        <v>10</v>
      </c>
      <c r="E3918" s="17" t="s">
        <v>18</v>
      </c>
      <c r="F3918" s="17" t="str">
        <f>INDEX(nrg_cb_e!$A$3:$A$40,MATCH(LEFT(MID('Industriesektor GWh'!$B3918,41,1000),SEARCH(" - ",MID('Industriesektor GWh'!$B3918,41,1000))-1),nrg_cb_e!$C$3:$C$40,0))</f>
        <v>FC_IND_FBT_E</v>
      </c>
      <c r="G3918" s="18">
        <v>346</v>
      </c>
    </row>
    <row r="3919" spans="1:7" x14ac:dyDescent="0.2">
      <c r="A3919" s="19" t="s">
        <v>42</v>
      </c>
      <c r="B3919" s="20" t="s">
        <v>69</v>
      </c>
      <c r="C3919" s="20" t="s">
        <v>8</v>
      </c>
      <c r="D3919" s="20" t="s">
        <v>10</v>
      </c>
      <c r="E3919" s="20" t="s">
        <v>19</v>
      </c>
      <c r="F3919" s="20" t="str">
        <f>INDEX(nrg_cb_e!$A$3:$A$40,MATCH(LEFT(MID('Industriesektor GWh'!$B3919,41,1000),SEARCH(" - ",MID('Industriesektor GWh'!$B3919,41,1000))-1),nrg_cb_e!$C$3:$C$40,0))</f>
        <v>FC_IND_FBT_E</v>
      </c>
      <c r="G3919" s="21">
        <v>282</v>
      </c>
    </row>
    <row r="3920" spans="1:7" x14ac:dyDescent="0.2">
      <c r="A3920" s="16" t="s">
        <v>42</v>
      </c>
      <c r="B3920" s="17" t="s">
        <v>69</v>
      </c>
      <c r="C3920" s="17" t="s">
        <v>8</v>
      </c>
      <c r="D3920" s="17" t="s">
        <v>10</v>
      </c>
      <c r="E3920" s="17" t="s">
        <v>20</v>
      </c>
      <c r="F3920" s="17" t="str">
        <f>INDEX(nrg_cb_e!$A$3:$A$40,MATCH(LEFT(MID('Industriesektor GWh'!$B3920,41,1000),SEARCH(" - ",MID('Industriesektor GWh'!$B3920,41,1000))-1),nrg_cb_e!$C$3:$C$40,0))</f>
        <v>FC_IND_FBT_E</v>
      </c>
      <c r="G3920" s="18">
        <v>292</v>
      </c>
    </row>
    <row r="3921" spans="1:7" x14ac:dyDescent="0.2">
      <c r="A3921" s="19" t="s">
        <v>42</v>
      </c>
      <c r="B3921" s="20" t="s">
        <v>69</v>
      </c>
      <c r="C3921" s="20" t="s">
        <v>8</v>
      </c>
      <c r="D3921" s="20" t="s">
        <v>10</v>
      </c>
      <c r="E3921" s="20" t="s">
        <v>21</v>
      </c>
      <c r="F3921" s="20" t="str">
        <f>INDEX(nrg_cb_e!$A$3:$A$40,MATCH(LEFT(MID('Industriesektor GWh'!$B3921,41,1000),SEARCH(" - ",MID('Industriesektor GWh'!$B3921,41,1000))-1),nrg_cb_e!$C$3:$C$40,0))</f>
        <v>FC_IND_FBT_E</v>
      </c>
      <c r="G3921" s="21">
        <v>293</v>
      </c>
    </row>
    <row r="3922" spans="1:7" x14ac:dyDescent="0.2">
      <c r="A3922" s="16" t="s">
        <v>42</v>
      </c>
      <c r="B3922" s="17" t="s">
        <v>69</v>
      </c>
      <c r="C3922" s="17" t="s">
        <v>8</v>
      </c>
      <c r="D3922" s="17" t="s">
        <v>10</v>
      </c>
      <c r="E3922" s="17" t="s">
        <v>22</v>
      </c>
      <c r="F3922" s="17" t="str">
        <f>INDEX(nrg_cb_e!$A$3:$A$40,MATCH(LEFT(MID('Industriesektor GWh'!$B3922,41,1000),SEARCH(" - ",MID('Industriesektor GWh'!$B3922,41,1000))-1),nrg_cb_e!$C$3:$C$40,0))</f>
        <v>FC_IND_FBT_E</v>
      </c>
      <c r="G3922" s="18">
        <v>258</v>
      </c>
    </row>
    <row r="3923" spans="1:7" x14ac:dyDescent="0.2">
      <c r="A3923" s="19" t="s">
        <v>42</v>
      </c>
      <c r="B3923" s="20" t="s">
        <v>69</v>
      </c>
      <c r="C3923" s="20" t="s">
        <v>8</v>
      </c>
      <c r="D3923" s="20" t="s">
        <v>10</v>
      </c>
      <c r="E3923" s="20" t="s">
        <v>23</v>
      </c>
      <c r="F3923" s="20" t="str">
        <f>INDEX(nrg_cb_e!$A$3:$A$40,MATCH(LEFT(MID('Industriesektor GWh'!$B3923,41,1000),SEARCH(" - ",MID('Industriesektor GWh'!$B3923,41,1000))-1),nrg_cb_e!$C$3:$C$40,0))</f>
        <v>FC_IND_FBT_E</v>
      </c>
      <c r="G3923" s="21">
        <v>320</v>
      </c>
    </row>
    <row r="3924" spans="1:7" x14ac:dyDescent="0.2">
      <c r="A3924" s="16" t="s">
        <v>42</v>
      </c>
      <c r="B3924" s="17" t="s">
        <v>69</v>
      </c>
      <c r="C3924" s="17" t="s">
        <v>8</v>
      </c>
      <c r="D3924" s="17" t="s">
        <v>10</v>
      </c>
      <c r="E3924" s="17" t="s">
        <v>24</v>
      </c>
      <c r="F3924" s="17" t="str">
        <f>INDEX(nrg_cb_e!$A$3:$A$40,MATCH(LEFT(MID('Industriesektor GWh'!$B3924,41,1000),SEARCH(" - ",MID('Industriesektor GWh'!$B3924,41,1000))-1),nrg_cb_e!$C$3:$C$40,0))</f>
        <v>FC_IND_FBT_E</v>
      </c>
      <c r="G3924" s="18">
        <v>280</v>
      </c>
    </row>
    <row r="3925" spans="1:7" x14ac:dyDescent="0.2">
      <c r="A3925" s="19" t="s">
        <v>42</v>
      </c>
      <c r="B3925" s="20" t="s">
        <v>69</v>
      </c>
      <c r="C3925" s="20" t="s">
        <v>8</v>
      </c>
      <c r="D3925" s="20" t="s">
        <v>10</v>
      </c>
      <c r="E3925" s="20" t="s">
        <v>25</v>
      </c>
      <c r="F3925" s="20" t="str">
        <f>INDEX(nrg_cb_e!$A$3:$A$40,MATCH(LEFT(MID('Industriesektor GWh'!$B3925,41,1000),SEARCH(" - ",MID('Industriesektor GWh'!$B3925,41,1000))-1),nrg_cb_e!$C$3:$C$40,0))</f>
        <v>FC_IND_FBT_E</v>
      </c>
      <c r="G3925" s="21">
        <v>278</v>
      </c>
    </row>
    <row r="3926" spans="1:7" x14ac:dyDescent="0.2">
      <c r="A3926" s="16" t="s">
        <v>42</v>
      </c>
      <c r="B3926" s="17" t="s">
        <v>69</v>
      </c>
      <c r="C3926" s="17" t="s">
        <v>8</v>
      </c>
      <c r="D3926" s="17" t="s">
        <v>10</v>
      </c>
      <c r="E3926" s="17" t="s">
        <v>26</v>
      </c>
      <c r="F3926" s="17" t="str">
        <f>INDEX(nrg_cb_e!$A$3:$A$40,MATCH(LEFT(MID('Industriesektor GWh'!$B3926,41,1000),SEARCH(" - ",MID('Industriesektor GWh'!$B3926,41,1000))-1),nrg_cb_e!$C$3:$C$40,0))</f>
        <v>FC_IND_FBT_E</v>
      </c>
      <c r="G3926" s="18">
        <v>277</v>
      </c>
    </row>
    <row r="3927" spans="1:7" x14ac:dyDescent="0.2">
      <c r="A3927" s="19" t="s">
        <v>42</v>
      </c>
      <c r="B3927" s="20" t="s">
        <v>69</v>
      </c>
      <c r="C3927" s="20" t="s">
        <v>8</v>
      </c>
      <c r="D3927" s="20" t="s">
        <v>10</v>
      </c>
      <c r="E3927" s="20" t="s">
        <v>27</v>
      </c>
      <c r="F3927" s="20" t="str">
        <f>INDEX(nrg_cb_e!$A$3:$A$40,MATCH(LEFT(MID('Industriesektor GWh'!$B3927,41,1000),SEARCH(" - ",MID('Industriesektor GWh'!$B3927,41,1000))-1),nrg_cb_e!$C$3:$C$40,0))</f>
        <v>FC_IND_FBT_E</v>
      </c>
      <c r="G3927" s="21">
        <v>288.18799999999999</v>
      </c>
    </row>
    <row r="3928" spans="1:7" x14ac:dyDescent="0.2">
      <c r="A3928" s="16" t="s">
        <v>42</v>
      </c>
      <c r="B3928" s="17" t="s">
        <v>69</v>
      </c>
      <c r="C3928" s="17" t="s">
        <v>8</v>
      </c>
      <c r="D3928" s="17" t="s">
        <v>10</v>
      </c>
      <c r="E3928" s="17" t="s">
        <v>28</v>
      </c>
      <c r="F3928" s="17" t="str">
        <f>INDEX(nrg_cb_e!$A$3:$A$40,MATCH(LEFT(MID('Industriesektor GWh'!$B3928,41,1000),SEARCH(" - ",MID('Industriesektor GWh'!$B3928,41,1000))-1),nrg_cb_e!$C$3:$C$40,0))</f>
        <v>FC_IND_FBT_E</v>
      </c>
      <c r="G3928" s="18">
        <v>284.16000000000003</v>
      </c>
    </row>
    <row r="3929" spans="1:7" x14ac:dyDescent="0.2">
      <c r="A3929" s="19" t="s">
        <v>43</v>
      </c>
      <c r="B3929" s="20" t="s">
        <v>69</v>
      </c>
      <c r="C3929" s="20" t="s">
        <v>8</v>
      </c>
      <c r="D3929" s="20" t="s">
        <v>10</v>
      </c>
      <c r="E3929" s="20" t="s">
        <v>12</v>
      </c>
      <c r="F3929" s="20" t="str">
        <f>INDEX(nrg_cb_e!$A$3:$A$40,MATCH(LEFT(MID('Industriesektor GWh'!$B3929,41,1000),SEARCH(" - ",MID('Industriesektor GWh'!$B3929,41,1000))-1),nrg_cb_e!$C$3:$C$40,0))</f>
        <v>FC_IND_FBT_E</v>
      </c>
      <c r="G3929" s="21">
        <v>454</v>
      </c>
    </row>
    <row r="3930" spans="1:7" x14ac:dyDescent="0.2">
      <c r="A3930" s="16" t="s">
        <v>43</v>
      </c>
      <c r="B3930" s="17" t="s">
        <v>69</v>
      </c>
      <c r="C3930" s="17" t="s">
        <v>8</v>
      </c>
      <c r="D3930" s="17" t="s">
        <v>10</v>
      </c>
      <c r="E3930" s="17" t="s">
        <v>13</v>
      </c>
      <c r="F3930" s="17" t="str">
        <f>INDEX(nrg_cb_e!$A$3:$A$40,MATCH(LEFT(MID('Industriesektor GWh'!$B3930,41,1000),SEARCH(" - ",MID('Industriesektor GWh'!$B3930,41,1000))-1),nrg_cb_e!$C$3:$C$40,0))</f>
        <v>FC_IND_FBT_E</v>
      </c>
      <c r="G3930" s="18">
        <v>451</v>
      </c>
    </row>
    <row r="3931" spans="1:7" x14ac:dyDescent="0.2">
      <c r="A3931" s="19" t="s">
        <v>43</v>
      </c>
      <c r="B3931" s="20" t="s">
        <v>69</v>
      </c>
      <c r="C3931" s="20" t="s">
        <v>8</v>
      </c>
      <c r="D3931" s="20" t="s">
        <v>10</v>
      </c>
      <c r="E3931" s="20" t="s">
        <v>14</v>
      </c>
      <c r="F3931" s="20" t="str">
        <f>INDEX(nrg_cb_e!$A$3:$A$40,MATCH(LEFT(MID('Industriesektor GWh'!$B3931,41,1000),SEARCH(" - ",MID('Industriesektor GWh'!$B3931,41,1000))-1),nrg_cb_e!$C$3:$C$40,0))</f>
        <v>FC_IND_FBT_E</v>
      </c>
      <c r="G3931" s="21">
        <v>453</v>
      </c>
    </row>
    <row r="3932" spans="1:7" x14ac:dyDescent="0.2">
      <c r="A3932" s="16" t="s">
        <v>43</v>
      </c>
      <c r="B3932" s="17" t="s">
        <v>69</v>
      </c>
      <c r="C3932" s="17" t="s">
        <v>8</v>
      </c>
      <c r="D3932" s="17" t="s">
        <v>10</v>
      </c>
      <c r="E3932" s="17" t="s">
        <v>15</v>
      </c>
      <c r="F3932" s="17" t="str">
        <f>INDEX(nrg_cb_e!$A$3:$A$40,MATCH(LEFT(MID('Industriesektor GWh'!$B3932,41,1000),SEARCH(" - ",MID('Industriesektor GWh'!$B3932,41,1000))-1),nrg_cb_e!$C$3:$C$40,0))</f>
        <v>FC_IND_FBT_E</v>
      </c>
      <c r="G3932" s="18">
        <v>496</v>
      </c>
    </row>
    <row r="3933" spans="1:7" x14ac:dyDescent="0.2">
      <c r="A3933" s="19" t="s">
        <v>43</v>
      </c>
      <c r="B3933" s="20" t="s">
        <v>69</v>
      </c>
      <c r="C3933" s="20" t="s">
        <v>8</v>
      </c>
      <c r="D3933" s="20" t="s">
        <v>10</v>
      </c>
      <c r="E3933" s="20" t="s">
        <v>16</v>
      </c>
      <c r="F3933" s="20" t="str">
        <f>INDEX(nrg_cb_e!$A$3:$A$40,MATCH(LEFT(MID('Industriesektor GWh'!$B3933,41,1000),SEARCH(" - ",MID('Industriesektor GWh'!$B3933,41,1000))-1),nrg_cb_e!$C$3:$C$40,0))</f>
        <v>FC_IND_FBT_E</v>
      </c>
      <c r="G3933" s="21">
        <v>513</v>
      </c>
    </row>
    <row r="3934" spans="1:7" x14ac:dyDescent="0.2">
      <c r="A3934" s="16" t="s">
        <v>43</v>
      </c>
      <c r="B3934" s="17" t="s">
        <v>69</v>
      </c>
      <c r="C3934" s="17" t="s">
        <v>8</v>
      </c>
      <c r="D3934" s="17" t="s">
        <v>10</v>
      </c>
      <c r="E3934" s="17" t="s">
        <v>17</v>
      </c>
      <c r="F3934" s="17" t="str">
        <f>INDEX(nrg_cb_e!$A$3:$A$40,MATCH(LEFT(MID('Industriesektor GWh'!$B3934,41,1000),SEARCH(" - ",MID('Industriesektor GWh'!$B3934,41,1000))-1),nrg_cb_e!$C$3:$C$40,0))</f>
        <v>FC_IND_FBT_E</v>
      </c>
      <c r="G3934" s="18">
        <v>567</v>
      </c>
    </row>
    <row r="3935" spans="1:7" x14ac:dyDescent="0.2">
      <c r="A3935" s="19" t="s">
        <v>43</v>
      </c>
      <c r="B3935" s="20" t="s">
        <v>69</v>
      </c>
      <c r="C3935" s="20" t="s">
        <v>8</v>
      </c>
      <c r="D3935" s="20" t="s">
        <v>10</v>
      </c>
      <c r="E3935" s="20" t="s">
        <v>18</v>
      </c>
      <c r="F3935" s="20" t="str">
        <f>INDEX(nrg_cb_e!$A$3:$A$40,MATCH(LEFT(MID('Industriesektor GWh'!$B3935,41,1000),SEARCH(" - ",MID('Industriesektor GWh'!$B3935,41,1000))-1),nrg_cb_e!$C$3:$C$40,0))</f>
        <v>FC_IND_FBT_E</v>
      </c>
      <c r="G3935" s="21">
        <v>540</v>
      </c>
    </row>
    <row r="3936" spans="1:7" x14ac:dyDescent="0.2">
      <c r="A3936" s="16" t="s">
        <v>43</v>
      </c>
      <c r="B3936" s="17" t="s">
        <v>69</v>
      </c>
      <c r="C3936" s="17" t="s">
        <v>8</v>
      </c>
      <c r="D3936" s="17" t="s">
        <v>10</v>
      </c>
      <c r="E3936" s="17" t="s">
        <v>19</v>
      </c>
      <c r="F3936" s="17" t="str">
        <f>INDEX(nrg_cb_e!$A$3:$A$40,MATCH(LEFT(MID('Industriesektor GWh'!$B3936,41,1000),SEARCH(" - ",MID('Industriesektor GWh'!$B3936,41,1000))-1),nrg_cb_e!$C$3:$C$40,0))</f>
        <v>FC_IND_FBT_E</v>
      </c>
      <c r="G3936" s="18">
        <v>531</v>
      </c>
    </row>
    <row r="3937" spans="1:7" x14ac:dyDescent="0.2">
      <c r="A3937" s="19" t="s">
        <v>43</v>
      </c>
      <c r="B3937" s="20" t="s">
        <v>69</v>
      </c>
      <c r="C3937" s="20" t="s">
        <v>8</v>
      </c>
      <c r="D3937" s="20" t="s">
        <v>10</v>
      </c>
      <c r="E3937" s="20" t="s">
        <v>20</v>
      </c>
      <c r="F3937" s="20" t="str">
        <f>INDEX(nrg_cb_e!$A$3:$A$40,MATCH(LEFT(MID('Industriesektor GWh'!$B3937,41,1000),SEARCH(" - ",MID('Industriesektor GWh'!$B3937,41,1000))-1),nrg_cb_e!$C$3:$C$40,0))</f>
        <v>FC_IND_FBT_E</v>
      </c>
      <c r="G3937" s="21">
        <v>545</v>
      </c>
    </row>
    <row r="3938" spans="1:7" x14ac:dyDescent="0.2">
      <c r="A3938" s="16" t="s">
        <v>43</v>
      </c>
      <c r="B3938" s="17" t="s">
        <v>69</v>
      </c>
      <c r="C3938" s="17" t="s">
        <v>8</v>
      </c>
      <c r="D3938" s="17" t="s">
        <v>10</v>
      </c>
      <c r="E3938" s="17" t="s">
        <v>21</v>
      </c>
      <c r="F3938" s="17" t="str">
        <f>INDEX(nrg_cb_e!$A$3:$A$40,MATCH(LEFT(MID('Industriesektor GWh'!$B3938,41,1000),SEARCH(" - ",MID('Industriesektor GWh'!$B3938,41,1000))-1),nrg_cb_e!$C$3:$C$40,0))</f>
        <v>FC_IND_FBT_E</v>
      </c>
      <c r="G3938" s="18">
        <v>604</v>
      </c>
    </row>
    <row r="3939" spans="1:7" x14ac:dyDescent="0.2">
      <c r="A3939" s="19" t="s">
        <v>43</v>
      </c>
      <c r="B3939" s="20" t="s">
        <v>69</v>
      </c>
      <c r="C3939" s="20" t="s">
        <v>8</v>
      </c>
      <c r="D3939" s="20" t="s">
        <v>10</v>
      </c>
      <c r="E3939" s="20" t="s">
        <v>22</v>
      </c>
      <c r="F3939" s="20" t="str">
        <f>INDEX(nrg_cb_e!$A$3:$A$40,MATCH(LEFT(MID('Industriesektor GWh'!$B3939,41,1000),SEARCH(" - ",MID('Industriesektor GWh'!$B3939,41,1000))-1),nrg_cb_e!$C$3:$C$40,0))</f>
        <v>FC_IND_FBT_E</v>
      </c>
      <c r="G3939" s="21">
        <v>605</v>
      </c>
    </row>
    <row r="3940" spans="1:7" x14ac:dyDescent="0.2">
      <c r="A3940" s="16" t="s">
        <v>43</v>
      </c>
      <c r="B3940" s="17" t="s">
        <v>69</v>
      </c>
      <c r="C3940" s="17" t="s">
        <v>8</v>
      </c>
      <c r="D3940" s="17" t="s">
        <v>10</v>
      </c>
      <c r="E3940" s="17" t="s">
        <v>23</v>
      </c>
      <c r="F3940" s="17" t="str">
        <f>INDEX(nrg_cb_e!$A$3:$A$40,MATCH(LEFT(MID('Industriesektor GWh'!$B3940,41,1000),SEARCH(" - ",MID('Industriesektor GWh'!$B3940,41,1000))-1),nrg_cb_e!$C$3:$C$40,0))</f>
        <v>FC_IND_FBT_E</v>
      </c>
      <c r="G3940" s="18">
        <v>657</v>
      </c>
    </row>
    <row r="3941" spans="1:7" x14ac:dyDescent="0.2">
      <c r="A3941" s="19" t="s">
        <v>43</v>
      </c>
      <c r="B3941" s="20" t="s">
        <v>69</v>
      </c>
      <c r="C3941" s="20" t="s">
        <v>8</v>
      </c>
      <c r="D3941" s="20" t="s">
        <v>10</v>
      </c>
      <c r="E3941" s="20" t="s">
        <v>24</v>
      </c>
      <c r="F3941" s="20" t="str">
        <f>INDEX(nrg_cb_e!$A$3:$A$40,MATCH(LEFT(MID('Industriesektor GWh'!$B3941,41,1000),SEARCH(" - ",MID('Industriesektor GWh'!$B3941,41,1000))-1),nrg_cb_e!$C$3:$C$40,0))</f>
        <v>FC_IND_FBT_E</v>
      </c>
      <c r="G3941" s="21">
        <v>683</v>
      </c>
    </row>
    <row r="3942" spans="1:7" x14ac:dyDescent="0.2">
      <c r="A3942" s="16" t="s">
        <v>43</v>
      </c>
      <c r="B3942" s="17" t="s">
        <v>69</v>
      </c>
      <c r="C3942" s="17" t="s">
        <v>8</v>
      </c>
      <c r="D3942" s="17" t="s">
        <v>10</v>
      </c>
      <c r="E3942" s="17" t="s">
        <v>25</v>
      </c>
      <c r="F3942" s="17" t="str">
        <f>INDEX(nrg_cb_e!$A$3:$A$40,MATCH(LEFT(MID('Industriesektor GWh'!$B3942,41,1000),SEARCH(" - ",MID('Industriesektor GWh'!$B3942,41,1000))-1),nrg_cb_e!$C$3:$C$40,0))</f>
        <v>FC_IND_FBT_E</v>
      </c>
      <c r="G3942" s="18">
        <v>698</v>
      </c>
    </row>
    <row r="3943" spans="1:7" x14ac:dyDescent="0.2">
      <c r="A3943" s="19" t="s">
        <v>43</v>
      </c>
      <c r="B3943" s="20" t="s">
        <v>69</v>
      </c>
      <c r="C3943" s="20" t="s">
        <v>8</v>
      </c>
      <c r="D3943" s="20" t="s">
        <v>10</v>
      </c>
      <c r="E3943" s="20" t="s">
        <v>26</v>
      </c>
      <c r="F3943" s="20" t="str">
        <f>INDEX(nrg_cb_e!$A$3:$A$40,MATCH(LEFT(MID('Industriesektor GWh'!$B3943,41,1000),SEARCH(" - ",MID('Industriesektor GWh'!$B3943,41,1000))-1),nrg_cb_e!$C$3:$C$40,0))</f>
        <v>FC_IND_FBT_E</v>
      </c>
      <c r="G3943" s="21">
        <v>729</v>
      </c>
    </row>
    <row r="3944" spans="1:7" x14ac:dyDescent="0.2">
      <c r="A3944" s="16" t="s">
        <v>43</v>
      </c>
      <c r="B3944" s="17" t="s">
        <v>69</v>
      </c>
      <c r="C3944" s="17" t="s">
        <v>8</v>
      </c>
      <c r="D3944" s="17" t="s">
        <v>10</v>
      </c>
      <c r="E3944" s="17" t="s">
        <v>27</v>
      </c>
      <c r="F3944" s="17" t="str">
        <f>INDEX(nrg_cb_e!$A$3:$A$40,MATCH(LEFT(MID('Industriesektor GWh'!$B3944,41,1000),SEARCH(" - ",MID('Industriesektor GWh'!$B3944,41,1000))-1),nrg_cb_e!$C$3:$C$40,0))</f>
        <v>FC_IND_FBT_E</v>
      </c>
      <c r="G3944" s="18">
        <v>786.2</v>
      </c>
    </row>
    <row r="3945" spans="1:7" x14ac:dyDescent="0.2">
      <c r="A3945" s="19" t="s">
        <v>43</v>
      </c>
      <c r="B3945" s="20" t="s">
        <v>69</v>
      </c>
      <c r="C3945" s="20" t="s">
        <v>8</v>
      </c>
      <c r="D3945" s="20" t="s">
        <v>10</v>
      </c>
      <c r="E3945" s="20" t="s">
        <v>28</v>
      </c>
      <c r="F3945" s="20" t="str">
        <f>INDEX(nrg_cb_e!$A$3:$A$40,MATCH(LEFT(MID('Industriesektor GWh'!$B3945,41,1000),SEARCH(" - ",MID('Industriesektor GWh'!$B3945,41,1000))-1),nrg_cb_e!$C$3:$C$40,0))</f>
        <v>FC_IND_FBT_E</v>
      </c>
      <c r="G3945" s="21">
        <v>763.7</v>
      </c>
    </row>
    <row r="3946" spans="1:7" x14ac:dyDescent="0.2">
      <c r="A3946" s="16" t="s">
        <v>44</v>
      </c>
      <c r="B3946" s="17" t="s">
        <v>69</v>
      </c>
      <c r="C3946" s="17" t="s">
        <v>8</v>
      </c>
      <c r="D3946" s="17" t="s">
        <v>10</v>
      </c>
      <c r="E3946" s="17" t="s">
        <v>12</v>
      </c>
      <c r="F3946" s="17" t="str">
        <f>INDEX(nrg_cb_e!$A$3:$A$40,MATCH(LEFT(MID('Industriesektor GWh'!$B3946,41,1000),SEARCH(" - ",MID('Industriesektor GWh'!$B3946,41,1000))-1),nrg_cb_e!$C$3:$C$40,0))</f>
        <v>FC_IND_FBT_E</v>
      </c>
      <c r="G3946" s="18">
        <v>191.434</v>
      </c>
    </row>
    <row r="3947" spans="1:7" x14ac:dyDescent="0.2">
      <c r="A3947" s="19" t="s">
        <v>44</v>
      </c>
      <c r="B3947" s="20" t="s">
        <v>69</v>
      </c>
      <c r="C3947" s="20" t="s">
        <v>8</v>
      </c>
      <c r="D3947" s="20" t="s">
        <v>10</v>
      </c>
      <c r="E3947" s="20" t="s">
        <v>13</v>
      </c>
      <c r="F3947" s="20" t="str">
        <f>INDEX(nrg_cb_e!$A$3:$A$40,MATCH(LEFT(MID('Industriesektor GWh'!$B3947,41,1000),SEARCH(" - ",MID('Industriesektor GWh'!$B3947,41,1000))-1),nrg_cb_e!$C$3:$C$40,0))</f>
        <v>FC_IND_FBT_E</v>
      </c>
      <c r="G3947" s="21">
        <v>188.46700000000001</v>
      </c>
    </row>
    <row r="3948" spans="1:7" x14ac:dyDescent="0.2">
      <c r="A3948" s="16" t="s">
        <v>44</v>
      </c>
      <c r="B3948" s="17" t="s">
        <v>69</v>
      </c>
      <c r="C3948" s="17" t="s">
        <v>8</v>
      </c>
      <c r="D3948" s="17" t="s">
        <v>10</v>
      </c>
      <c r="E3948" s="17" t="s">
        <v>14</v>
      </c>
      <c r="F3948" s="17" t="str">
        <f>INDEX(nrg_cb_e!$A$3:$A$40,MATCH(LEFT(MID('Industriesektor GWh'!$B3948,41,1000),SEARCH(" - ",MID('Industriesektor GWh'!$B3948,41,1000))-1),nrg_cb_e!$C$3:$C$40,0))</f>
        <v>FC_IND_FBT_E</v>
      </c>
      <c r="G3948" s="18">
        <v>164.815</v>
      </c>
    </row>
    <row r="3949" spans="1:7" x14ac:dyDescent="0.2">
      <c r="A3949" s="19" t="s">
        <v>44</v>
      </c>
      <c r="B3949" s="20" t="s">
        <v>69</v>
      </c>
      <c r="C3949" s="20" t="s">
        <v>8</v>
      </c>
      <c r="D3949" s="20" t="s">
        <v>10</v>
      </c>
      <c r="E3949" s="20" t="s">
        <v>15</v>
      </c>
      <c r="F3949" s="20" t="str">
        <f>INDEX(nrg_cb_e!$A$3:$A$40,MATCH(LEFT(MID('Industriesektor GWh'!$B3949,41,1000),SEARCH(" - ",MID('Industriesektor GWh'!$B3949,41,1000))-1),nrg_cb_e!$C$3:$C$40,0))</f>
        <v>FC_IND_FBT_E</v>
      </c>
      <c r="G3949" s="21">
        <v>167.11099999999999</v>
      </c>
    </row>
    <row r="3950" spans="1:7" x14ac:dyDescent="0.2">
      <c r="A3950" s="16" t="s">
        <v>44</v>
      </c>
      <c r="B3950" s="17" t="s">
        <v>69</v>
      </c>
      <c r="C3950" s="17" t="s">
        <v>8</v>
      </c>
      <c r="D3950" s="17" t="s">
        <v>10</v>
      </c>
      <c r="E3950" s="17" t="s">
        <v>16</v>
      </c>
      <c r="F3950" s="17" t="str">
        <f>INDEX(nrg_cb_e!$A$3:$A$40,MATCH(LEFT(MID('Industriesektor GWh'!$B3950,41,1000),SEARCH(" - ",MID('Industriesektor GWh'!$B3950,41,1000))-1),nrg_cb_e!$C$3:$C$40,0))</f>
        <v>FC_IND_FBT_E</v>
      </c>
      <c r="G3950" s="18">
        <v>149.24</v>
      </c>
    </row>
    <row r="3951" spans="1:7" x14ac:dyDescent="0.2">
      <c r="A3951" s="19" t="s">
        <v>44</v>
      </c>
      <c r="B3951" s="20" t="s">
        <v>69</v>
      </c>
      <c r="C3951" s="20" t="s">
        <v>8</v>
      </c>
      <c r="D3951" s="20" t="s">
        <v>10</v>
      </c>
      <c r="E3951" s="20" t="s">
        <v>17</v>
      </c>
      <c r="F3951" s="20" t="str">
        <f>INDEX(nrg_cb_e!$A$3:$A$40,MATCH(LEFT(MID('Industriesektor GWh'!$B3951,41,1000),SEARCH(" - ",MID('Industriesektor GWh'!$B3951,41,1000))-1),nrg_cb_e!$C$3:$C$40,0))</f>
        <v>FC_IND_FBT_E</v>
      </c>
      <c r="G3951" s="21">
        <v>129.387</v>
      </c>
    </row>
    <row r="3952" spans="1:7" x14ac:dyDescent="0.2">
      <c r="A3952" s="16" t="s">
        <v>44</v>
      </c>
      <c r="B3952" s="17" t="s">
        <v>69</v>
      </c>
      <c r="C3952" s="17" t="s">
        <v>8</v>
      </c>
      <c r="D3952" s="17" t="s">
        <v>10</v>
      </c>
      <c r="E3952" s="17" t="s">
        <v>18</v>
      </c>
      <c r="F3952" s="17" t="str">
        <f>INDEX(nrg_cb_e!$A$3:$A$40,MATCH(LEFT(MID('Industriesektor GWh'!$B3952,41,1000),SEARCH(" - ",MID('Industriesektor GWh'!$B3952,41,1000))-1),nrg_cb_e!$C$3:$C$40,0))</f>
        <v>FC_IND_FBT_E</v>
      </c>
      <c r="G3952" s="18">
        <v>133.624</v>
      </c>
    </row>
    <row r="3953" spans="1:7" x14ac:dyDescent="0.2">
      <c r="A3953" s="19" t="s">
        <v>44</v>
      </c>
      <c r="B3953" s="20" t="s">
        <v>69</v>
      </c>
      <c r="C3953" s="20" t="s">
        <v>8</v>
      </c>
      <c r="D3953" s="20" t="s">
        <v>10</v>
      </c>
      <c r="E3953" s="20" t="s">
        <v>19</v>
      </c>
      <c r="F3953" s="20" t="str">
        <f>INDEX(nrg_cb_e!$A$3:$A$40,MATCH(LEFT(MID('Industriesektor GWh'!$B3953,41,1000),SEARCH(" - ",MID('Industriesektor GWh'!$B3953,41,1000))-1),nrg_cb_e!$C$3:$C$40,0))</f>
        <v>FC_IND_FBT_E</v>
      </c>
      <c r="G3953" s="21">
        <v>145.78</v>
      </c>
    </row>
    <row r="3954" spans="1:7" x14ac:dyDescent="0.2">
      <c r="A3954" s="16" t="s">
        <v>44</v>
      </c>
      <c r="B3954" s="17" t="s">
        <v>69</v>
      </c>
      <c r="C3954" s="17" t="s">
        <v>8</v>
      </c>
      <c r="D3954" s="17" t="s">
        <v>10</v>
      </c>
      <c r="E3954" s="17" t="s">
        <v>20</v>
      </c>
      <c r="F3954" s="17" t="str">
        <f>INDEX(nrg_cb_e!$A$3:$A$40,MATCH(LEFT(MID('Industriesektor GWh'!$B3954,41,1000),SEARCH(" - ",MID('Industriesektor GWh'!$B3954,41,1000))-1),nrg_cb_e!$C$3:$C$40,0))</f>
        <v>FC_IND_FBT_E</v>
      </c>
      <c r="G3954" s="18">
        <v>145.37899999999999</v>
      </c>
    </row>
    <row r="3955" spans="1:7" x14ac:dyDescent="0.2">
      <c r="A3955" s="19" t="s">
        <v>44</v>
      </c>
      <c r="B3955" s="20" t="s">
        <v>69</v>
      </c>
      <c r="C3955" s="20" t="s">
        <v>8</v>
      </c>
      <c r="D3955" s="20" t="s">
        <v>10</v>
      </c>
      <c r="E3955" s="20" t="s">
        <v>21</v>
      </c>
      <c r="F3955" s="20" t="str">
        <f>INDEX(nrg_cb_e!$A$3:$A$40,MATCH(LEFT(MID('Industriesektor GWh'!$B3955,41,1000),SEARCH(" - ",MID('Industriesektor GWh'!$B3955,41,1000))-1),nrg_cb_e!$C$3:$C$40,0))</f>
        <v>FC_IND_FBT_E</v>
      </c>
      <c r="G3955" s="21">
        <v>167.08699999999999</v>
      </c>
    </row>
    <row r="3956" spans="1:7" x14ac:dyDescent="0.2">
      <c r="A3956" s="16" t="s">
        <v>44</v>
      </c>
      <c r="B3956" s="17" t="s">
        <v>69</v>
      </c>
      <c r="C3956" s="17" t="s">
        <v>8</v>
      </c>
      <c r="D3956" s="17" t="s">
        <v>10</v>
      </c>
      <c r="E3956" s="17" t="s">
        <v>22</v>
      </c>
      <c r="F3956" s="17" t="str">
        <f>INDEX(nrg_cb_e!$A$3:$A$40,MATCH(LEFT(MID('Industriesektor GWh'!$B3956,41,1000),SEARCH(" - ",MID('Industriesektor GWh'!$B3956,41,1000))-1),nrg_cb_e!$C$3:$C$40,0))</f>
        <v>FC_IND_FBT_E</v>
      </c>
      <c r="G3956" s="18">
        <v>155.04</v>
      </c>
    </row>
    <row r="3957" spans="1:7" x14ac:dyDescent="0.2">
      <c r="A3957" s="19" t="s">
        <v>44</v>
      </c>
      <c r="B3957" s="20" t="s">
        <v>69</v>
      </c>
      <c r="C3957" s="20" t="s">
        <v>8</v>
      </c>
      <c r="D3957" s="20" t="s">
        <v>10</v>
      </c>
      <c r="E3957" s="20" t="s">
        <v>23</v>
      </c>
      <c r="F3957" s="20" t="str">
        <f>INDEX(nrg_cb_e!$A$3:$A$40,MATCH(LEFT(MID('Industriesektor GWh'!$B3957,41,1000),SEARCH(" - ",MID('Industriesektor GWh'!$B3957,41,1000))-1),nrg_cb_e!$C$3:$C$40,0))</f>
        <v>FC_IND_FBT_E</v>
      </c>
      <c r="G3957" s="21">
        <v>143.071</v>
      </c>
    </row>
    <row r="3958" spans="1:7" x14ac:dyDescent="0.2">
      <c r="A3958" s="16" t="s">
        <v>44</v>
      </c>
      <c r="B3958" s="17" t="s">
        <v>69</v>
      </c>
      <c r="C3958" s="17" t="s">
        <v>8</v>
      </c>
      <c r="D3958" s="17" t="s">
        <v>10</v>
      </c>
      <c r="E3958" s="17" t="s">
        <v>24</v>
      </c>
      <c r="F3958" s="17" t="str">
        <f>INDEX(nrg_cb_e!$A$3:$A$40,MATCH(LEFT(MID('Industriesektor GWh'!$B3958,41,1000),SEARCH(" - ",MID('Industriesektor GWh'!$B3958,41,1000))-1),nrg_cb_e!$C$3:$C$40,0))</f>
        <v>FC_IND_FBT_E</v>
      </c>
      <c r="G3958" s="18">
        <v>214.81200000000001</v>
      </c>
    </row>
    <row r="3959" spans="1:7" x14ac:dyDescent="0.2">
      <c r="A3959" s="19" t="s">
        <v>44</v>
      </c>
      <c r="B3959" s="20" t="s">
        <v>69</v>
      </c>
      <c r="C3959" s="20" t="s">
        <v>8</v>
      </c>
      <c r="D3959" s="20" t="s">
        <v>10</v>
      </c>
      <c r="E3959" s="20" t="s">
        <v>25</v>
      </c>
      <c r="F3959" s="20" t="str">
        <f>INDEX(nrg_cb_e!$A$3:$A$40,MATCH(LEFT(MID('Industriesektor GWh'!$B3959,41,1000),SEARCH(" - ",MID('Industriesektor GWh'!$B3959,41,1000))-1),nrg_cb_e!$C$3:$C$40,0))</f>
        <v>FC_IND_FBT_E</v>
      </c>
      <c r="G3959" s="21">
        <v>157.751</v>
      </c>
    </row>
    <row r="3960" spans="1:7" x14ac:dyDescent="0.2">
      <c r="A3960" s="16" t="s">
        <v>44</v>
      </c>
      <c r="B3960" s="17" t="s">
        <v>69</v>
      </c>
      <c r="C3960" s="17" t="s">
        <v>8</v>
      </c>
      <c r="D3960" s="17" t="s">
        <v>10</v>
      </c>
      <c r="E3960" s="17" t="s">
        <v>26</v>
      </c>
      <c r="F3960" s="17" t="str">
        <f>INDEX(nrg_cb_e!$A$3:$A$40,MATCH(LEFT(MID('Industriesektor GWh'!$B3960,41,1000),SEARCH(" - ",MID('Industriesektor GWh'!$B3960,41,1000))-1),nrg_cb_e!$C$3:$C$40,0))</f>
        <v>FC_IND_FBT_E</v>
      </c>
      <c r="G3960" s="18">
        <v>176.45500000000001</v>
      </c>
    </row>
    <row r="3961" spans="1:7" x14ac:dyDescent="0.2">
      <c r="A3961" s="19" t="s">
        <v>44</v>
      </c>
      <c r="B3961" s="20" t="s">
        <v>69</v>
      </c>
      <c r="C3961" s="20" t="s">
        <v>8</v>
      </c>
      <c r="D3961" s="20" t="s">
        <v>10</v>
      </c>
      <c r="E3961" s="20" t="s">
        <v>27</v>
      </c>
      <c r="F3961" s="20" t="str">
        <f>INDEX(nrg_cb_e!$A$3:$A$40,MATCH(LEFT(MID('Industriesektor GWh'!$B3961,41,1000),SEARCH(" - ",MID('Industriesektor GWh'!$B3961,41,1000))-1),nrg_cb_e!$C$3:$C$40,0))</f>
        <v>FC_IND_FBT_E</v>
      </c>
      <c r="G3961" s="21">
        <v>139.119</v>
      </c>
    </row>
    <row r="3962" spans="1:7" x14ac:dyDescent="0.2">
      <c r="A3962" s="16" t="s">
        <v>44</v>
      </c>
      <c r="B3962" s="17" t="s">
        <v>69</v>
      </c>
      <c r="C3962" s="17" t="s">
        <v>8</v>
      </c>
      <c r="D3962" s="17" t="s">
        <v>10</v>
      </c>
      <c r="E3962" s="17" t="s">
        <v>28</v>
      </c>
      <c r="F3962" s="17" t="str">
        <f>INDEX(nrg_cb_e!$A$3:$A$40,MATCH(LEFT(MID('Industriesektor GWh'!$B3962,41,1000),SEARCH(" - ",MID('Industriesektor GWh'!$B3962,41,1000))-1),nrg_cb_e!$C$3:$C$40,0))</f>
        <v>FC_IND_FBT_E</v>
      </c>
      <c r="G3962" s="18">
        <v>147.965</v>
      </c>
    </row>
    <row r="3963" spans="1:7" x14ac:dyDescent="0.2">
      <c r="A3963" s="19" t="s">
        <v>45</v>
      </c>
      <c r="B3963" s="20" t="s">
        <v>69</v>
      </c>
      <c r="C3963" s="20" t="s">
        <v>8</v>
      </c>
      <c r="D3963" s="20" t="s">
        <v>10</v>
      </c>
      <c r="E3963" s="20" t="s">
        <v>12</v>
      </c>
      <c r="F3963" s="20" t="str">
        <f>INDEX(nrg_cb_e!$A$3:$A$40,MATCH(LEFT(MID('Industriesektor GWh'!$B3963,41,1000),SEARCH(" - ",MID('Industriesektor GWh'!$B3963,41,1000))-1),nrg_cb_e!$C$3:$C$40,0))</f>
        <v>FC_IND_FBT_E</v>
      </c>
      <c r="G3963" s="21">
        <v>1403</v>
      </c>
    </row>
    <row r="3964" spans="1:7" x14ac:dyDescent="0.2">
      <c r="A3964" s="16" t="s">
        <v>45</v>
      </c>
      <c r="B3964" s="17" t="s">
        <v>69</v>
      </c>
      <c r="C3964" s="17" t="s">
        <v>8</v>
      </c>
      <c r="D3964" s="17" t="s">
        <v>10</v>
      </c>
      <c r="E3964" s="17" t="s">
        <v>13</v>
      </c>
      <c r="F3964" s="17" t="str">
        <f>INDEX(nrg_cb_e!$A$3:$A$40,MATCH(LEFT(MID('Industriesektor GWh'!$B3964,41,1000),SEARCH(" - ",MID('Industriesektor GWh'!$B3964,41,1000))-1),nrg_cb_e!$C$3:$C$40,0))</f>
        <v>FC_IND_FBT_E</v>
      </c>
      <c r="G3964" s="18">
        <v>1538</v>
      </c>
    </row>
    <row r="3965" spans="1:7" x14ac:dyDescent="0.2">
      <c r="A3965" s="19" t="s">
        <v>45</v>
      </c>
      <c r="B3965" s="20" t="s">
        <v>69</v>
      </c>
      <c r="C3965" s="20" t="s">
        <v>8</v>
      </c>
      <c r="D3965" s="20" t="s">
        <v>10</v>
      </c>
      <c r="E3965" s="20" t="s">
        <v>14</v>
      </c>
      <c r="F3965" s="20" t="str">
        <f>INDEX(nrg_cb_e!$A$3:$A$40,MATCH(LEFT(MID('Industriesektor GWh'!$B3965,41,1000),SEARCH(" - ",MID('Industriesektor GWh'!$B3965,41,1000))-1),nrg_cb_e!$C$3:$C$40,0))</f>
        <v>FC_IND_FBT_E</v>
      </c>
      <c r="G3965" s="21">
        <v>1362</v>
      </c>
    </row>
    <row r="3966" spans="1:7" x14ac:dyDescent="0.2">
      <c r="A3966" s="16" t="s">
        <v>45</v>
      </c>
      <c r="B3966" s="17" t="s">
        <v>69</v>
      </c>
      <c r="C3966" s="17" t="s">
        <v>8</v>
      </c>
      <c r="D3966" s="17" t="s">
        <v>10</v>
      </c>
      <c r="E3966" s="17" t="s">
        <v>15</v>
      </c>
      <c r="F3966" s="17" t="str">
        <f>INDEX(nrg_cb_e!$A$3:$A$40,MATCH(LEFT(MID('Industriesektor GWh'!$B3966,41,1000),SEARCH(" - ",MID('Industriesektor GWh'!$B3966,41,1000))-1),nrg_cb_e!$C$3:$C$40,0))</f>
        <v>FC_IND_FBT_E</v>
      </c>
      <c r="G3966" s="18">
        <v>1233</v>
      </c>
    </row>
    <row r="3967" spans="1:7" x14ac:dyDescent="0.2">
      <c r="A3967" s="19" t="s">
        <v>45</v>
      </c>
      <c r="B3967" s="20" t="s">
        <v>69</v>
      </c>
      <c r="C3967" s="20" t="s">
        <v>8</v>
      </c>
      <c r="D3967" s="20" t="s">
        <v>10</v>
      </c>
      <c r="E3967" s="20" t="s">
        <v>16</v>
      </c>
      <c r="F3967" s="20" t="str">
        <f>INDEX(nrg_cb_e!$A$3:$A$40,MATCH(LEFT(MID('Industriesektor GWh'!$B3967,41,1000),SEARCH(" - ",MID('Industriesektor GWh'!$B3967,41,1000))-1),nrg_cb_e!$C$3:$C$40,0))</f>
        <v>FC_IND_FBT_E</v>
      </c>
      <c r="G3967" s="21">
        <v>1247</v>
      </c>
    </row>
    <row r="3968" spans="1:7" x14ac:dyDescent="0.2">
      <c r="A3968" s="16" t="s">
        <v>45</v>
      </c>
      <c r="B3968" s="17" t="s">
        <v>69</v>
      </c>
      <c r="C3968" s="17" t="s">
        <v>8</v>
      </c>
      <c r="D3968" s="17" t="s">
        <v>10</v>
      </c>
      <c r="E3968" s="17" t="s">
        <v>17</v>
      </c>
      <c r="F3968" s="17" t="str">
        <f>INDEX(nrg_cb_e!$A$3:$A$40,MATCH(LEFT(MID('Industriesektor GWh'!$B3968,41,1000),SEARCH(" - ",MID('Industriesektor GWh'!$B3968,41,1000))-1),nrg_cb_e!$C$3:$C$40,0))</f>
        <v>FC_IND_FBT_E</v>
      </c>
      <c r="G3968" s="18">
        <v>1189</v>
      </c>
    </row>
    <row r="3969" spans="1:7" x14ac:dyDescent="0.2">
      <c r="A3969" s="19" t="s">
        <v>45</v>
      </c>
      <c r="B3969" s="20" t="s">
        <v>69</v>
      </c>
      <c r="C3969" s="20" t="s">
        <v>8</v>
      </c>
      <c r="D3969" s="20" t="s">
        <v>10</v>
      </c>
      <c r="E3969" s="20" t="s">
        <v>18</v>
      </c>
      <c r="F3969" s="20" t="str">
        <f>INDEX(nrg_cb_e!$A$3:$A$40,MATCH(LEFT(MID('Industriesektor GWh'!$B3969,41,1000),SEARCH(" - ",MID('Industriesektor GWh'!$B3969,41,1000))-1),nrg_cb_e!$C$3:$C$40,0))</f>
        <v>FC_IND_FBT_E</v>
      </c>
      <c r="G3969" s="21">
        <v>1252</v>
      </c>
    </row>
    <row r="3970" spans="1:7" x14ac:dyDescent="0.2">
      <c r="A3970" s="16" t="s">
        <v>45</v>
      </c>
      <c r="B3970" s="17" t="s">
        <v>69</v>
      </c>
      <c r="C3970" s="17" t="s">
        <v>8</v>
      </c>
      <c r="D3970" s="17" t="s">
        <v>10</v>
      </c>
      <c r="E3970" s="17" t="s">
        <v>19</v>
      </c>
      <c r="F3970" s="17" t="str">
        <f>INDEX(nrg_cb_e!$A$3:$A$40,MATCH(LEFT(MID('Industriesektor GWh'!$B3970,41,1000),SEARCH(" - ",MID('Industriesektor GWh'!$B3970,41,1000))-1),nrg_cb_e!$C$3:$C$40,0))</f>
        <v>FC_IND_FBT_E</v>
      </c>
      <c r="G3970" s="18">
        <v>1222</v>
      </c>
    </row>
    <row r="3971" spans="1:7" x14ac:dyDescent="0.2">
      <c r="A3971" s="19" t="s">
        <v>45</v>
      </c>
      <c r="B3971" s="20" t="s">
        <v>69</v>
      </c>
      <c r="C3971" s="20" t="s">
        <v>8</v>
      </c>
      <c r="D3971" s="20" t="s">
        <v>10</v>
      </c>
      <c r="E3971" s="20" t="s">
        <v>20</v>
      </c>
      <c r="F3971" s="20" t="str">
        <f>INDEX(nrg_cb_e!$A$3:$A$40,MATCH(LEFT(MID('Industriesektor GWh'!$B3971,41,1000),SEARCH(" - ",MID('Industriesektor GWh'!$B3971,41,1000))-1),nrg_cb_e!$C$3:$C$40,0))</f>
        <v>FC_IND_FBT_E</v>
      </c>
      <c r="G3971" s="21">
        <v>1360</v>
      </c>
    </row>
    <row r="3972" spans="1:7" x14ac:dyDescent="0.2">
      <c r="A3972" s="16" t="s">
        <v>45</v>
      </c>
      <c r="B3972" s="17" t="s">
        <v>69</v>
      </c>
      <c r="C3972" s="17" t="s">
        <v>8</v>
      </c>
      <c r="D3972" s="17" t="s">
        <v>10</v>
      </c>
      <c r="E3972" s="17" t="s">
        <v>21</v>
      </c>
      <c r="F3972" s="17" t="str">
        <f>INDEX(nrg_cb_e!$A$3:$A$40,MATCH(LEFT(MID('Industriesektor GWh'!$B3972,41,1000),SEARCH(" - ",MID('Industriesektor GWh'!$B3972,41,1000))-1),nrg_cb_e!$C$3:$C$40,0))</f>
        <v>FC_IND_FBT_E</v>
      </c>
      <c r="G3972" s="18">
        <v>1373</v>
      </c>
    </row>
    <row r="3973" spans="1:7" x14ac:dyDescent="0.2">
      <c r="A3973" s="19" t="s">
        <v>45</v>
      </c>
      <c r="B3973" s="20" t="s">
        <v>69</v>
      </c>
      <c r="C3973" s="20" t="s">
        <v>8</v>
      </c>
      <c r="D3973" s="20" t="s">
        <v>10</v>
      </c>
      <c r="E3973" s="20" t="s">
        <v>22</v>
      </c>
      <c r="F3973" s="20" t="str">
        <f>INDEX(nrg_cb_e!$A$3:$A$40,MATCH(LEFT(MID('Industriesektor GWh'!$B3973,41,1000),SEARCH(" - ",MID('Industriesektor GWh'!$B3973,41,1000))-1),nrg_cb_e!$C$3:$C$40,0))</f>
        <v>FC_IND_FBT_E</v>
      </c>
      <c r="G3973" s="21">
        <v>2384</v>
      </c>
    </row>
    <row r="3974" spans="1:7" x14ac:dyDescent="0.2">
      <c r="A3974" s="16" t="s">
        <v>45</v>
      </c>
      <c r="B3974" s="17" t="s">
        <v>69</v>
      </c>
      <c r="C3974" s="17" t="s">
        <v>8</v>
      </c>
      <c r="D3974" s="17" t="s">
        <v>10</v>
      </c>
      <c r="E3974" s="17" t="s">
        <v>23</v>
      </c>
      <c r="F3974" s="17" t="str">
        <f>INDEX(nrg_cb_e!$A$3:$A$40,MATCH(LEFT(MID('Industriesektor GWh'!$B3974,41,1000),SEARCH(" - ",MID('Industriesektor GWh'!$B3974,41,1000))-1),nrg_cb_e!$C$3:$C$40,0))</f>
        <v>FC_IND_FBT_E</v>
      </c>
      <c r="G3974" s="18">
        <v>2255</v>
      </c>
    </row>
    <row r="3975" spans="1:7" x14ac:dyDescent="0.2">
      <c r="A3975" s="19" t="s">
        <v>45</v>
      </c>
      <c r="B3975" s="20" t="s">
        <v>69</v>
      </c>
      <c r="C3975" s="20" t="s">
        <v>8</v>
      </c>
      <c r="D3975" s="20" t="s">
        <v>10</v>
      </c>
      <c r="E3975" s="20" t="s">
        <v>24</v>
      </c>
      <c r="F3975" s="20" t="str">
        <f>INDEX(nrg_cb_e!$A$3:$A$40,MATCH(LEFT(MID('Industriesektor GWh'!$B3975,41,1000),SEARCH(" - ",MID('Industriesektor GWh'!$B3975,41,1000))-1),nrg_cb_e!$C$3:$C$40,0))</f>
        <v>FC_IND_FBT_E</v>
      </c>
      <c r="G3975" s="21">
        <v>2086</v>
      </c>
    </row>
    <row r="3976" spans="1:7" x14ac:dyDescent="0.2">
      <c r="A3976" s="16" t="s">
        <v>45</v>
      </c>
      <c r="B3976" s="17" t="s">
        <v>69</v>
      </c>
      <c r="C3976" s="17" t="s">
        <v>8</v>
      </c>
      <c r="D3976" s="17" t="s">
        <v>10</v>
      </c>
      <c r="E3976" s="17" t="s">
        <v>25</v>
      </c>
      <c r="F3976" s="17" t="str">
        <f>INDEX(nrg_cb_e!$A$3:$A$40,MATCH(LEFT(MID('Industriesektor GWh'!$B3976,41,1000),SEARCH(" - ",MID('Industriesektor GWh'!$B3976,41,1000))-1),nrg_cb_e!$C$3:$C$40,0))</f>
        <v>FC_IND_FBT_E</v>
      </c>
      <c r="G3976" s="18">
        <v>2241</v>
      </c>
    </row>
    <row r="3977" spans="1:7" x14ac:dyDescent="0.2">
      <c r="A3977" s="19" t="s">
        <v>45</v>
      </c>
      <c r="B3977" s="20" t="s">
        <v>69</v>
      </c>
      <c r="C3977" s="20" t="s">
        <v>8</v>
      </c>
      <c r="D3977" s="20" t="s">
        <v>10</v>
      </c>
      <c r="E3977" s="20" t="s">
        <v>26</v>
      </c>
      <c r="F3977" s="20" t="str">
        <f>INDEX(nrg_cb_e!$A$3:$A$40,MATCH(LEFT(MID('Industriesektor GWh'!$B3977,41,1000),SEARCH(" - ",MID('Industriesektor GWh'!$B3977,41,1000))-1),nrg_cb_e!$C$3:$C$40,0))</f>
        <v>FC_IND_FBT_E</v>
      </c>
      <c r="G3977" s="21">
        <v>2374</v>
      </c>
    </row>
    <row r="3978" spans="1:7" x14ac:dyDescent="0.2">
      <c r="A3978" s="16" t="s">
        <v>45</v>
      </c>
      <c r="B3978" s="17" t="s">
        <v>69</v>
      </c>
      <c r="C3978" s="17" t="s">
        <v>8</v>
      </c>
      <c r="D3978" s="17" t="s">
        <v>10</v>
      </c>
      <c r="E3978" s="17" t="s">
        <v>27</v>
      </c>
      <c r="F3978" s="17" t="str">
        <f>INDEX(nrg_cb_e!$A$3:$A$40,MATCH(LEFT(MID('Industriesektor GWh'!$B3978,41,1000),SEARCH(" - ",MID('Industriesektor GWh'!$B3978,41,1000))-1),nrg_cb_e!$C$3:$C$40,0))</f>
        <v>FC_IND_FBT_E</v>
      </c>
      <c r="G3978" s="18">
        <v>2453</v>
      </c>
    </row>
    <row r="3979" spans="1:7" x14ac:dyDescent="0.2">
      <c r="A3979" s="19" t="s">
        <v>45</v>
      </c>
      <c r="B3979" s="20" t="s">
        <v>69</v>
      </c>
      <c r="C3979" s="20" t="s">
        <v>8</v>
      </c>
      <c r="D3979" s="20" t="s">
        <v>10</v>
      </c>
      <c r="E3979" s="20" t="s">
        <v>28</v>
      </c>
      <c r="F3979" s="20" t="str">
        <f>INDEX(nrg_cb_e!$A$3:$A$40,MATCH(LEFT(MID('Industriesektor GWh'!$B3979,41,1000),SEARCH(" - ",MID('Industriesektor GWh'!$B3979,41,1000))-1),nrg_cb_e!$C$3:$C$40,0))</f>
        <v>FC_IND_FBT_E</v>
      </c>
      <c r="G3979" s="21">
        <v>2526</v>
      </c>
    </row>
    <row r="3980" spans="1:7" x14ac:dyDescent="0.2">
      <c r="A3980" s="16" t="s">
        <v>46</v>
      </c>
      <c r="B3980" s="17" t="s">
        <v>69</v>
      </c>
      <c r="C3980" s="17" t="s">
        <v>8</v>
      </c>
      <c r="D3980" s="17" t="s">
        <v>10</v>
      </c>
      <c r="E3980" s="17" t="s">
        <v>12</v>
      </c>
      <c r="F3980" s="17" t="str">
        <f>INDEX(nrg_cb_e!$A$3:$A$40,MATCH(LEFT(MID('Industriesektor GWh'!$B3980,41,1000),SEARCH(" - ",MID('Industriesektor GWh'!$B3980,41,1000))-1),nrg_cb_e!$C$3:$C$40,0))</f>
        <v>FC_IND_FBT_E</v>
      </c>
      <c r="G3980" s="18">
        <v>0</v>
      </c>
    </row>
    <row r="3981" spans="1:7" x14ac:dyDescent="0.2">
      <c r="A3981" s="19" t="s">
        <v>46</v>
      </c>
      <c r="B3981" s="20" t="s">
        <v>69</v>
      </c>
      <c r="C3981" s="20" t="s">
        <v>8</v>
      </c>
      <c r="D3981" s="20" t="s">
        <v>10</v>
      </c>
      <c r="E3981" s="20" t="s">
        <v>13</v>
      </c>
      <c r="F3981" s="20" t="str">
        <f>INDEX(nrg_cb_e!$A$3:$A$40,MATCH(LEFT(MID('Industriesektor GWh'!$B3981,41,1000),SEARCH(" - ",MID('Industriesektor GWh'!$B3981,41,1000))-1),nrg_cb_e!$C$3:$C$40,0))</f>
        <v>FC_IND_FBT_E</v>
      </c>
      <c r="G3981" s="21">
        <v>0</v>
      </c>
    </row>
    <row r="3982" spans="1:7" x14ac:dyDescent="0.2">
      <c r="A3982" s="16" t="s">
        <v>46</v>
      </c>
      <c r="B3982" s="17" t="s">
        <v>69</v>
      </c>
      <c r="C3982" s="17" t="s">
        <v>8</v>
      </c>
      <c r="D3982" s="17" t="s">
        <v>10</v>
      </c>
      <c r="E3982" s="17" t="s">
        <v>14</v>
      </c>
      <c r="F3982" s="17" t="str">
        <f>INDEX(nrg_cb_e!$A$3:$A$40,MATCH(LEFT(MID('Industriesektor GWh'!$B3982,41,1000),SEARCH(" - ",MID('Industriesektor GWh'!$B3982,41,1000))-1),nrg_cb_e!$C$3:$C$40,0))</f>
        <v>FC_IND_FBT_E</v>
      </c>
      <c r="G3982" s="18">
        <v>0</v>
      </c>
    </row>
    <row r="3983" spans="1:7" x14ac:dyDescent="0.2">
      <c r="A3983" s="19" t="s">
        <v>46</v>
      </c>
      <c r="B3983" s="20" t="s">
        <v>69</v>
      </c>
      <c r="C3983" s="20" t="s">
        <v>8</v>
      </c>
      <c r="D3983" s="20" t="s">
        <v>10</v>
      </c>
      <c r="E3983" s="20" t="s">
        <v>15</v>
      </c>
      <c r="F3983" s="20" t="str">
        <f>INDEX(nrg_cb_e!$A$3:$A$40,MATCH(LEFT(MID('Industriesektor GWh'!$B3983,41,1000),SEARCH(" - ",MID('Industriesektor GWh'!$B3983,41,1000))-1),nrg_cb_e!$C$3:$C$40,0))</f>
        <v>FC_IND_FBT_E</v>
      </c>
      <c r="G3983" s="21">
        <v>0</v>
      </c>
    </row>
    <row r="3984" spans="1:7" x14ac:dyDescent="0.2">
      <c r="A3984" s="16" t="s">
        <v>46</v>
      </c>
      <c r="B3984" s="17" t="s">
        <v>69</v>
      </c>
      <c r="C3984" s="17" t="s">
        <v>8</v>
      </c>
      <c r="D3984" s="17" t="s">
        <v>10</v>
      </c>
      <c r="E3984" s="17" t="s">
        <v>16</v>
      </c>
      <c r="F3984" s="17" t="str">
        <f>INDEX(nrg_cb_e!$A$3:$A$40,MATCH(LEFT(MID('Industriesektor GWh'!$B3984,41,1000),SEARCH(" - ",MID('Industriesektor GWh'!$B3984,41,1000))-1),nrg_cb_e!$C$3:$C$40,0))</f>
        <v>FC_IND_FBT_E</v>
      </c>
      <c r="G3984" s="18">
        <v>0</v>
      </c>
    </row>
    <row r="3985" spans="1:7" x14ac:dyDescent="0.2">
      <c r="A3985" s="19" t="s">
        <v>46</v>
      </c>
      <c r="B3985" s="20" t="s">
        <v>69</v>
      </c>
      <c r="C3985" s="20" t="s">
        <v>8</v>
      </c>
      <c r="D3985" s="20" t="s">
        <v>10</v>
      </c>
      <c r="E3985" s="20" t="s">
        <v>17</v>
      </c>
      <c r="F3985" s="20" t="str">
        <f>INDEX(nrg_cb_e!$A$3:$A$40,MATCH(LEFT(MID('Industriesektor GWh'!$B3985,41,1000),SEARCH(" - ",MID('Industriesektor GWh'!$B3985,41,1000))-1),nrg_cb_e!$C$3:$C$40,0))</f>
        <v>FC_IND_FBT_E</v>
      </c>
      <c r="G3985" s="21">
        <v>0</v>
      </c>
    </row>
    <row r="3986" spans="1:7" x14ac:dyDescent="0.2">
      <c r="A3986" s="16" t="s">
        <v>46</v>
      </c>
      <c r="B3986" s="17" t="s">
        <v>69</v>
      </c>
      <c r="C3986" s="17" t="s">
        <v>8</v>
      </c>
      <c r="D3986" s="17" t="s">
        <v>10</v>
      </c>
      <c r="E3986" s="17" t="s">
        <v>18</v>
      </c>
      <c r="F3986" s="17" t="str">
        <f>INDEX(nrg_cb_e!$A$3:$A$40,MATCH(LEFT(MID('Industriesektor GWh'!$B3986,41,1000),SEARCH(" - ",MID('Industriesektor GWh'!$B3986,41,1000))-1),nrg_cb_e!$C$3:$C$40,0))</f>
        <v>FC_IND_FBT_E</v>
      </c>
      <c r="G3986" s="18">
        <v>0</v>
      </c>
    </row>
    <row r="3987" spans="1:7" x14ac:dyDescent="0.2">
      <c r="A3987" s="19" t="s">
        <v>46</v>
      </c>
      <c r="B3987" s="20" t="s">
        <v>69</v>
      </c>
      <c r="C3987" s="20" t="s">
        <v>8</v>
      </c>
      <c r="D3987" s="20" t="s">
        <v>10</v>
      </c>
      <c r="E3987" s="20" t="s">
        <v>19</v>
      </c>
      <c r="F3987" s="20" t="str">
        <f>INDEX(nrg_cb_e!$A$3:$A$40,MATCH(LEFT(MID('Industriesektor GWh'!$B3987,41,1000),SEARCH(" - ",MID('Industriesektor GWh'!$B3987,41,1000))-1),nrg_cb_e!$C$3:$C$40,0))</f>
        <v>FC_IND_FBT_E</v>
      </c>
      <c r="G3987" s="21">
        <v>0</v>
      </c>
    </row>
    <row r="3988" spans="1:7" x14ac:dyDescent="0.2">
      <c r="A3988" s="16" t="s">
        <v>46</v>
      </c>
      <c r="B3988" s="17" t="s">
        <v>69</v>
      </c>
      <c r="C3988" s="17" t="s">
        <v>8</v>
      </c>
      <c r="D3988" s="17" t="s">
        <v>10</v>
      </c>
      <c r="E3988" s="17" t="s">
        <v>20</v>
      </c>
      <c r="F3988" s="17" t="str">
        <f>INDEX(nrg_cb_e!$A$3:$A$40,MATCH(LEFT(MID('Industriesektor GWh'!$B3988,41,1000),SEARCH(" - ",MID('Industriesektor GWh'!$B3988,41,1000))-1),nrg_cb_e!$C$3:$C$40,0))</f>
        <v>FC_IND_FBT_E</v>
      </c>
      <c r="G3988" s="18">
        <v>59</v>
      </c>
    </row>
    <row r="3989" spans="1:7" x14ac:dyDescent="0.2">
      <c r="A3989" s="19" t="s">
        <v>46</v>
      </c>
      <c r="B3989" s="20" t="s">
        <v>69</v>
      </c>
      <c r="C3989" s="20" t="s">
        <v>8</v>
      </c>
      <c r="D3989" s="20" t="s">
        <v>10</v>
      </c>
      <c r="E3989" s="20" t="s">
        <v>21</v>
      </c>
      <c r="F3989" s="20" t="str">
        <f>INDEX(nrg_cb_e!$A$3:$A$40,MATCH(LEFT(MID('Industriesektor GWh'!$B3989,41,1000),SEARCH(" - ",MID('Industriesektor GWh'!$B3989,41,1000))-1),nrg_cb_e!$C$3:$C$40,0))</f>
        <v>FC_IND_FBT_E</v>
      </c>
      <c r="G3989" s="21">
        <v>59</v>
      </c>
    </row>
    <row r="3990" spans="1:7" x14ac:dyDescent="0.2">
      <c r="A3990" s="16" t="s">
        <v>46</v>
      </c>
      <c r="B3990" s="17" t="s">
        <v>69</v>
      </c>
      <c r="C3990" s="17" t="s">
        <v>8</v>
      </c>
      <c r="D3990" s="17" t="s">
        <v>10</v>
      </c>
      <c r="E3990" s="17" t="s">
        <v>22</v>
      </c>
      <c r="F3990" s="17" t="str">
        <f>INDEX(nrg_cb_e!$A$3:$A$40,MATCH(LEFT(MID('Industriesektor GWh'!$B3990,41,1000),SEARCH(" - ",MID('Industriesektor GWh'!$B3990,41,1000))-1),nrg_cb_e!$C$3:$C$40,0))</f>
        <v>FC_IND_FBT_E</v>
      </c>
      <c r="G3990" s="18">
        <v>58</v>
      </c>
    </row>
    <row r="3991" spans="1:7" x14ac:dyDescent="0.2">
      <c r="A3991" s="19" t="s">
        <v>46</v>
      </c>
      <c r="B3991" s="20" t="s">
        <v>69</v>
      </c>
      <c r="C3991" s="20" t="s">
        <v>8</v>
      </c>
      <c r="D3991" s="20" t="s">
        <v>10</v>
      </c>
      <c r="E3991" s="20" t="s">
        <v>23</v>
      </c>
      <c r="F3991" s="20" t="str">
        <f>INDEX(nrg_cb_e!$A$3:$A$40,MATCH(LEFT(MID('Industriesektor GWh'!$B3991,41,1000),SEARCH(" - ",MID('Industriesektor GWh'!$B3991,41,1000))-1),nrg_cb_e!$C$3:$C$40,0))</f>
        <v>FC_IND_FBT_E</v>
      </c>
      <c r="G3991" s="21">
        <v>57</v>
      </c>
    </row>
    <row r="3992" spans="1:7" x14ac:dyDescent="0.2">
      <c r="A3992" s="16" t="s">
        <v>46</v>
      </c>
      <c r="B3992" s="17" t="s">
        <v>69</v>
      </c>
      <c r="C3992" s="17" t="s">
        <v>8</v>
      </c>
      <c r="D3992" s="17" t="s">
        <v>10</v>
      </c>
      <c r="E3992" s="17" t="s">
        <v>24</v>
      </c>
      <c r="F3992" s="17" t="str">
        <f>INDEX(nrg_cb_e!$A$3:$A$40,MATCH(LEFT(MID('Industriesektor GWh'!$B3992,41,1000),SEARCH(" - ",MID('Industriesektor GWh'!$B3992,41,1000))-1),nrg_cb_e!$C$3:$C$40,0))</f>
        <v>FC_IND_FBT_E</v>
      </c>
      <c r="G3992" s="18">
        <v>60</v>
      </c>
    </row>
    <row r="3993" spans="1:7" x14ac:dyDescent="0.2">
      <c r="A3993" s="19" t="s">
        <v>46</v>
      </c>
      <c r="B3993" s="20" t="s">
        <v>69</v>
      </c>
      <c r="C3993" s="20" t="s">
        <v>8</v>
      </c>
      <c r="D3993" s="20" t="s">
        <v>10</v>
      </c>
      <c r="E3993" s="20" t="s">
        <v>25</v>
      </c>
      <c r="F3993" s="20" t="str">
        <f>INDEX(nrg_cb_e!$A$3:$A$40,MATCH(LEFT(MID('Industriesektor GWh'!$B3993,41,1000),SEARCH(" - ",MID('Industriesektor GWh'!$B3993,41,1000))-1),nrg_cb_e!$C$3:$C$40,0))</f>
        <v>FC_IND_FBT_E</v>
      </c>
      <c r="G3993" s="21">
        <v>62</v>
      </c>
    </row>
    <row r="3994" spans="1:7" x14ac:dyDescent="0.2">
      <c r="A3994" s="16" t="s">
        <v>46</v>
      </c>
      <c r="B3994" s="17" t="s">
        <v>69</v>
      </c>
      <c r="C3994" s="17" t="s">
        <v>8</v>
      </c>
      <c r="D3994" s="17" t="s">
        <v>10</v>
      </c>
      <c r="E3994" s="17" t="s">
        <v>26</v>
      </c>
      <c r="F3994" s="17" t="str">
        <f>INDEX(nrg_cb_e!$A$3:$A$40,MATCH(LEFT(MID('Industriesektor GWh'!$B3994,41,1000),SEARCH(" - ",MID('Industriesektor GWh'!$B3994,41,1000))-1),nrg_cb_e!$C$3:$C$40,0))</f>
        <v>FC_IND_FBT_E</v>
      </c>
      <c r="G3994" s="18">
        <v>60</v>
      </c>
    </row>
    <row r="3995" spans="1:7" x14ac:dyDescent="0.2">
      <c r="A3995" s="19" t="s">
        <v>46</v>
      </c>
      <c r="B3995" s="20" t="s">
        <v>69</v>
      </c>
      <c r="C3995" s="20" t="s">
        <v>8</v>
      </c>
      <c r="D3995" s="20" t="s">
        <v>10</v>
      </c>
      <c r="E3995" s="20" t="s">
        <v>27</v>
      </c>
      <c r="F3995" s="20" t="str">
        <f>INDEX(nrg_cb_e!$A$3:$A$40,MATCH(LEFT(MID('Industriesektor GWh'!$B3995,41,1000),SEARCH(" - ",MID('Industriesektor GWh'!$B3995,41,1000))-1),nrg_cb_e!$C$3:$C$40,0))</f>
        <v>FC_IND_FBT_E</v>
      </c>
      <c r="G3995" s="21">
        <v>68.572000000000003</v>
      </c>
    </row>
    <row r="3996" spans="1:7" x14ac:dyDescent="0.2">
      <c r="A3996" s="16" t="s">
        <v>46</v>
      </c>
      <c r="B3996" s="17" t="s">
        <v>69</v>
      </c>
      <c r="C3996" s="17" t="s">
        <v>8</v>
      </c>
      <c r="D3996" s="17" t="s">
        <v>10</v>
      </c>
      <c r="E3996" s="17" t="s">
        <v>28</v>
      </c>
      <c r="F3996" s="17" t="str">
        <f>INDEX(nrg_cb_e!$A$3:$A$40,MATCH(LEFT(MID('Industriesektor GWh'!$B3996,41,1000),SEARCH(" - ",MID('Industriesektor GWh'!$B3996,41,1000))-1),nrg_cb_e!$C$3:$C$40,0))</f>
        <v>FC_IND_FBT_E</v>
      </c>
      <c r="G3996" s="18">
        <v>72.515000000000001</v>
      </c>
    </row>
    <row r="3997" spans="1:7" x14ac:dyDescent="0.2">
      <c r="A3997" s="19" t="s">
        <v>47</v>
      </c>
      <c r="B3997" s="20" t="s">
        <v>69</v>
      </c>
      <c r="C3997" s="20" t="s">
        <v>8</v>
      </c>
      <c r="D3997" s="20" t="s">
        <v>10</v>
      </c>
      <c r="E3997" s="20" t="s">
        <v>12</v>
      </c>
      <c r="F3997" s="20" t="str">
        <f>INDEX(nrg_cb_e!$A$3:$A$40,MATCH(LEFT(MID('Industriesektor GWh'!$B3997,41,1000),SEARCH(" - ",MID('Industriesektor GWh'!$B3997,41,1000))-1),nrg_cb_e!$C$3:$C$40,0))</f>
        <v>FC_IND_FBT_E</v>
      </c>
      <c r="G3997" s="21">
        <v>6696</v>
      </c>
    </row>
    <row r="3998" spans="1:7" x14ac:dyDescent="0.2">
      <c r="A3998" s="16" t="s">
        <v>47</v>
      </c>
      <c r="B3998" s="17" t="s">
        <v>69</v>
      </c>
      <c r="C3998" s="17" t="s">
        <v>8</v>
      </c>
      <c r="D3998" s="17" t="s">
        <v>10</v>
      </c>
      <c r="E3998" s="17" t="s">
        <v>13</v>
      </c>
      <c r="F3998" s="17" t="str">
        <f>INDEX(nrg_cb_e!$A$3:$A$40,MATCH(LEFT(MID('Industriesektor GWh'!$B3998,41,1000),SEARCH(" - ",MID('Industriesektor GWh'!$B3998,41,1000))-1),nrg_cb_e!$C$3:$C$40,0))</f>
        <v>FC_IND_FBT_E</v>
      </c>
      <c r="G3998" s="18">
        <v>6591</v>
      </c>
    </row>
    <row r="3999" spans="1:7" x14ac:dyDescent="0.2">
      <c r="A3999" s="19" t="s">
        <v>47</v>
      </c>
      <c r="B3999" s="20" t="s">
        <v>69</v>
      </c>
      <c r="C3999" s="20" t="s">
        <v>8</v>
      </c>
      <c r="D3999" s="20" t="s">
        <v>10</v>
      </c>
      <c r="E3999" s="20" t="s">
        <v>14</v>
      </c>
      <c r="F3999" s="20" t="str">
        <f>INDEX(nrg_cb_e!$A$3:$A$40,MATCH(LEFT(MID('Industriesektor GWh'!$B3999,41,1000),SEARCH(" - ",MID('Industriesektor GWh'!$B3999,41,1000))-1),nrg_cb_e!$C$3:$C$40,0))</f>
        <v>FC_IND_FBT_E</v>
      </c>
      <c r="G3999" s="21">
        <v>6532</v>
      </c>
    </row>
    <row r="4000" spans="1:7" x14ac:dyDescent="0.2">
      <c r="A4000" s="16" t="s">
        <v>47</v>
      </c>
      <c r="B4000" s="17" t="s">
        <v>69</v>
      </c>
      <c r="C4000" s="17" t="s">
        <v>8</v>
      </c>
      <c r="D4000" s="17" t="s">
        <v>10</v>
      </c>
      <c r="E4000" s="17" t="s">
        <v>15</v>
      </c>
      <c r="F4000" s="17" t="str">
        <f>INDEX(nrg_cb_e!$A$3:$A$40,MATCH(LEFT(MID('Industriesektor GWh'!$B4000,41,1000),SEARCH(" - ",MID('Industriesektor GWh'!$B4000,41,1000))-1),nrg_cb_e!$C$3:$C$40,0))</f>
        <v>FC_IND_FBT_E</v>
      </c>
      <c r="G4000" s="18">
        <v>6567</v>
      </c>
    </row>
    <row r="4001" spans="1:7" x14ac:dyDescent="0.2">
      <c r="A4001" s="19" t="s">
        <v>47</v>
      </c>
      <c r="B4001" s="20" t="s">
        <v>69</v>
      </c>
      <c r="C4001" s="20" t="s">
        <v>8</v>
      </c>
      <c r="D4001" s="20" t="s">
        <v>10</v>
      </c>
      <c r="E4001" s="20" t="s">
        <v>16</v>
      </c>
      <c r="F4001" s="20" t="str">
        <f>INDEX(nrg_cb_e!$A$3:$A$40,MATCH(LEFT(MID('Industriesektor GWh'!$B4001,41,1000),SEARCH(" - ",MID('Industriesektor GWh'!$B4001,41,1000))-1),nrg_cb_e!$C$3:$C$40,0))</f>
        <v>FC_IND_FBT_E</v>
      </c>
      <c r="G4001" s="21">
        <v>6888</v>
      </c>
    </row>
    <row r="4002" spans="1:7" x14ac:dyDescent="0.2">
      <c r="A4002" s="16" t="s">
        <v>47</v>
      </c>
      <c r="B4002" s="17" t="s">
        <v>69</v>
      </c>
      <c r="C4002" s="17" t="s">
        <v>8</v>
      </c>
      <c r="D4002" s="17" t="s">
        <v>10</v>
      </c>
      <c r="E4002" s="17" t="s">
        <v>17</v>
      </c>
      <c r="F4002" s="17" t="str">
        <f>INDEX(nrg_cb_e!$A$3:$A$40,MATCH(LEFT(MID('Industriesektor GWh'!$B4002,41,1000),SEARCH(" - ",MID('Industriesektor GWh'!$B4002,41,1000))-1),nrg_cb_e!$C$3:$C$40,0))</f>
        <v>FC_IND_FBT_E</v>
      </c>
      <c r="G4002" s="18">
        <v>7203</v>
      </c>
    </row>
    <row r="4003" spans="1:7" x14ac:dyDescent="0.2">
      <c r="A4003" s="19" t="s">
        <v>47</v>
      </c>
      <c r="B4003" s="20" t="s">
        <v>69</v>
      </c>
      <c r="C4003" s="20" t="s">
        <v>8</v>
      </c>
      <c r="D4003" s="20" t="s">
        <v>10</v>
      </c>
      <c r="E4003" s="20" t="s">
        <v>18</v>
      </c>
      <c r="F4003" s="20" t="str">
        <f>INDEX(nrg_cb_e!$A$3:$A$40,MATCH(LEFT(MID('Industriesektor GWh'!$B4003,41,1000),SEARCH(" - ",MID('Industriesektor GWh'!$B4003,41,1000))-1),nrg_cb_e!$C$3:$C$40,0))</f>
        <v>FC_IND_FBT_E</v>
      </c>
      <c r="G4003" s="21">
        <v>6844</v>
      </c>
    </row>
    <row r="4004" spans="1:7" x14ac:dyDescent="0.2">
      <c r="A4004" s="16" t="s">
        <v>47</v>
      </c>
      <c r="B4004" s="17" t="s">
        <v>69</v>
      </c>
      <c r="C4004" s="17" t="s">
        <v>8</v>
      </c>
      <c r="D4004" s="17" t="s">
        <v>10</v>
      </c>
      <c r="E4004" s="17" t="s">
        <v>19</v>
      </c>
      <c r="F4004" s="17" t="str">
        <f>INDEX(nrg_cb_e!$A$3:$A$40,MATCH(LEFT(MID('Industriesektor GWh'!$B4004,41,1000),SEARCH(" - ",MID('Industriesektor GWh'!$B4004,41,1000))-1),nrg_cb_e!$C$3:$C$40,0))</f>
        <v>FC_IND_FBT_E</v>
      </c>
      <c r="G4004" s="18">
        <v>6098</v>
      </c>
    </row>
    <row r="4005" spans="1:7" x14ac:dyDescent="0.2">
      <c r="A4005" s="19" t="s">
        <v>47</v>
      </c>
      <c r="B4005" s="20" t="s">
        <v>69</v>
      </c>
      <c r="C4005" s="20" t="s">
        <v>8</v>
      </c>
      <c r="D4005" s="20" t="s">
        <v>10</v>
      </c>
      <c r="E4005" s="20" t="s">
        <v>20</v>
      </c>
      <c r="F4005" s="20" t="str">
        <f>INDEX(nrg_cb_e!$A$3:$A$40,MATCH(LEFT(MID('Industriesektor GWh'!$B4005,41,1000),SEARCH(" - ",MID('Industriesektor GWh'!$B4005,41,1000))-1),nrg_cb_e!$C$3:$C$40,0))</f>
        <v>FC_IND_FBT_E</v>
      </c>
      <c r="G4005" s="21">
        <v>6372</v>
      </c>
    </row>
    <row r="4006" spans="1:7" x14ac:dyDescent="0.2">
      <c r="A4006" s="16" t="s">
        <v>47</v>
      </c>
      <c r="B4006" s="17" t="s">
        <v>69</v>
      </c>
      <c r="C4006" s="17" t="s">
        <v>8</v>
      </c>
      <c r="D4006" s="17" t="s">
        <v>10</v>
      </c>
      <c r="E4006" s="17" t="s">
        <v>21</v>
      </c>
      <c r="F4006" s="17" t="str">
        <f>INDEX(nrg_cb_e!$A$3:$A$40,MATCH(LEFT(MID('Industriesektor GWh'!$B4006,41,1000),SEARCH(" - ",MID('Industriesektor GWh'!$B4006,41,1000))-1),nrg_cb_e!$C$3:$C$40,0))</f>
        <v>FC_IND_FBT_E</v>
      </c>
      <c r="G4006" s="18">
        <v>6424</v>
      </c>
    </row>
    <row r="4007" spans="1:7" x14ac:dyDescent="0.2">
      <c r="A4007" s="19" t="s">
        <v>47</v>
      </c>
      <c r="B4007" s="20" t="s">
        <v>69</v>
      </c>
      <c r="C4007" s="20" t="s">
        <v>8</v>
      </c>
      <c r="D4007" s="20" t="s">
        <v>10</v>
      </c>
      <c r="E4007" s="20" t="s">
        <v>22</v>
      </c>
      <c r="F4007" s="20" t="str">
        <f>INDEX(nrg_cb_e!$A$3:$A$40,MATCH(LEFT(MID('Industriesektor GWh'!$B4007,41,1000),SEARCH(" - ",MID('Industriesektor GWh'!$B4007,41,1000))-1),nrg_cb_e!$C$3:$C$40,0))</f>
        <v>FC_IND_FBT_E</v>
      </c>
      <c r="G4007" s="21">
        <v>6306</v>
      </c>
    </row>
    <row r="4008" spans="1:7" x14ac:dyDescent="0.2">
      <c r="A4008" s="16" t="s">
        <v>47</v>
      </c>
      <c r="B4008" s="17" t="s">
        <v>69</v>
      </c>
      <c r="C4008" s="17" t="s">
        <v>8</v>
      </c>
      <c r="D4008" s="17" t="s">
        <v>10</v>
      </c>
      <c r="E4008" s="17" t="s">
        <v>23</v>
      </c>
      <c r="F4008" s="17" t="str">
        <f>INDEX(nrg_cb_e!$A$3:$A$40,MATCH(LEFT(MID('Industriesektor GWh'!$B4008,41,1000),SEARCH(" - ",MID('Industriesektor GWh'!$B4008,41,1000))-1),nrg_cb_e!$C$3:$C$40,0))</f>
        <v>FC_IND_FBT_E</v>
      </c>
      <c r="G4008" s="18">
        <v>6186</v>
      </c>
    </row>
    <row r="4009" spans="1:7" x14ac:dyDescent="0.2">
      <c r="A4009" s="19" t="s">
        <v>47</v>
      </c>
      <c r="B4009" s="20" t="s">
        <v>69</v>
      </c>
      <c r="C4009" s="20" t="s">
        <v>8</v>
      </c>
      <c r="D4009" s="20" t="s">
        <v>10</v>
      </c>
      <c r="E4009" s="20" t="s">
        <v>24</v>
      </c>
      <c r="F4009" s="20" t="str">
        <f>INDEX(nrg_cb_e!$A$3:$A$40,MATCH(LEFT(MID('Industriesektor GWh'!$B4009,41,1000),SEARCH(" - ",MID('Industriesektor GWh'!$B4009,41,1000))-1),nrg_cb_e!$C$3:$C$40,0))</f>
        <v>FC_IND_FBT_E</v>
      </c>
      <c r="G4009" s="21">
        <v>6338</v>
      </c>
    </row>
    <row r="4010" spans="1:7" x14ac:dyDescent="0.2">
      <c r="A4010" s="16" t="s">
        <v>47</v>
      </c>
      <c r="B4010" s="17" t="s">
        <v>69</v>
      </c>
      <c r="C4010" s="17" t="s">
        <v>8</v>
      </c>
      <c r="D4010" s="17" t="s">
        <v>10</v>
      </c>
      <c r="E4010" s="17" t="s">
        <v>25</v>
      </c>
      <c r="F4010" s="17" t="str">
        <f>INDEX(nrg_cb_e!$A$3:$A$40,MATCH(LEFT(MID('Industriesektor GWh'!$B4010,41,1000),SEARCH(" - ",MID('Industriesektor GWh'!$B4010,41,1000))-1),nrg_cb_e!$C$3:$C$40,0))</f>
        <v>FC_IND_FBT_E</v>
      </c>
      <c r="G4010" s="18">
        <v>6394.1769999999997</v>
      </c>
    </row>
    <row r="4011" spans="1:7" x14ac:dyDescent="0.2">
      <c r="A4011" s="19" t="s">
        <v>47</v>
      </c>
      <c r="B4011" s="20" t="s">
        <v>69</v>
      </c>
      <c r="C4011" s="20" t="s">
        <v>8</v>
      </c>
      <c r="D4011" s="20" t="s">
        <v>10</v>
      </c>
      <c r="E4011" s="20" t="s">
        <v>26</v>
      </c>
      <c r="F4011" s="20" t="str">
        <f>INDEX(nrg_cb_e!$A$3:$A$40,MATCH(LEFT(MID('Industriesektor GWh'!$B4011,41,1000),SEARCH(" - ",MID('Industriesektor GWh'!$B4011,41,1000))-1),nrg_cb_e!$C$3:$C$40,0))</f>
        <v>FC_IND_FBT_E</v>
      </c>
      <c r="G4011" s="21">
        <v>6859.4549999999999</v>
      </c>
    </row>
    <row r="4012" spans="1:7" x14ac:dyDescent="0.2">
      <c r="A4012" s="16" t="s">
        <v>47</v>
      </c>
      <c r="B4012" s="17" t="s">
        <v>69</v>
      </c>
      <c r="C4012" s="17" t="s">
        <v>8</v>
      </c>
      <c r="D4012" s="17" t="s">
        <v>10</v>
      </c>
      <c r="E4012" s="17" t="s">
        <v>27</v>
      </c>
      <c r="F4012" s="17" t="str">
        <f>INDEX(nrg_cb_e!$A$3:$A$40,MATCH(LEFT(MID('Industriesektor GWh'!$B4012,41,1000),SEARCH(" - ",MID('Industriesektor GWh'!$B4012,41,1000))-1),nrg_cb_e!$C$3:$C$40,0))</f>
        <v>FC_IND_FBT_E</v>
      </c>
      <c r="G4012" s="18">
        <v>7012.3059999999996</v>
      </c>
    </row>
    <row r="4013" spans="1:7" x14ac:dyDescent="0.2">
      <c r="A4013" s="19" t="s">
        <v>47</v>
      </c>
      <c r="B4013" s="20" t="s">
        <v>69</v>
      </c>
      <c r="C4013" s="20" t="s">
        <v>8</v>
      </c>
      <c r="D4013" s="20" t="s">
        <v>10</v>
      </c>
      <c r="E4013" s="20" t="s">
        <v>28</v>
      </c>
      <c r="F4013" s="20" t="str">
        <f>INDEX(nrg_cb_e!$A$3:$A$40,MATCH(LEFT(MID('Industriesektor GWh'!$B4013,41,1000),SEARCH(" - ",MID('Industriesektor GWh'!$B4013,41,1000))-1),nrg_cb_e!$C$3:$C$40,0))</f>
        <v>FC_IND_FBT_E</v>
      </c>
      <c r="G4013" s="21">
        <v>6858.44</v>
      </c>
    </row>
    <row r="4014" spans="1:7" x14ac:dyDescent="0.2">
      <c r="A4014" s="16" t="s">
        <v>48</v>
      </c>
      <c r="B4014" s="17" t="s">
        <v>69</v>
      </c>
      <c r="C4014" s="17" t="s">
        <v>8</v>
      </c>
      <c r="D4014" s="17" t="s">
        <v>10</v>
      </c>
      <c r="E4014" s="17" t="s">
        <v>12</v>
      </c>
      <c r="F4014" s="17" t="str">
        <f>INDEX(nrg_cb_e!$A$3:$A$40,MATCH(LEFT(MID('Industriesektor GWh'!$B4014,41,1000),SEARCH(" - ",MID('Industriesektor GWh'!$B4014,41,1000))-1),nrg_cb_e!$C$3:$C$40,0))</f>
        <v>FC_IND_FBT_E</v>
      </c>
      <c r="G4014" s="18">
        <v>1290</v>
      </c>
    </row>
    <row r="4015" spans="1:7" x14ac:dyDescent="0.2">
      <c r="A4015" s="19" t="s">
        <v>48</v>
      </c>
      <c r="B4015" s="20" t="s">
        <v>69</v>
      </c>
      <c r="C4015" s="20" t="s">
        <v>8</v>
      </c>
      <c r="D4015" s="20" t="s">
        <v>10</v>
      </c>
      <c r="E4015" s="20" t="s">
        <v>13</v>
      </c>
      <c r="F4015" s="20" t="str">
        <f>INDEX(nrg_cb_e!$A$3:$A$40,MATCH(LEFT(MID('Industriesektor GWh'!$B4015,41,1000),SEARCH(" - ",MID('Industriesektor GWh'!$B4015,41,1000))-1),nrg_cb_e!$C$3:$C$40,0))</f>
        <v>FC_IND_FBT_E</v>
      </c>
      <c r="G4015" s="21">
        <v>1471</v>
      </c>
    </row>
    <row r="4016" spans="1:7" x14ac:dyDescent="0.2">
      <c r="A4016" s="16" t="s">
        <v>48</v>
      </c>
      <c r="B4016" s="17" t="s">
        <v>69</v>
      </c>
      <c r="C4016" s="17" t="s">
        <v>8</v>
      </c>
      <c r="D4016" s="17" t="s">
        <v>10</v>
      </c>
      <c r="E4016" s="17" t="s">
        <v>14</v>
      </c>
      <c r="F4016" s="17" t="str">
        <f>INDEX(nrg_cb_e!$A$3:$A$40,MATCH(LEFT(MID('Industriesektor GWh'!$B4016,41,1000),SEARCH(" - ",MID('Industriesektor GWh'!$B4016,41,1000))-1),nrg_cb_e!$C$3:$C$40,0))</f>
        <v>FC_IND_FBT_E</v>
      </c>
      <c r="G4016" s="18">
        <v>1725</v>
      </c>
    </row>
    <row r="4017" spans="1:7" x14ac:dyDescent="0.2">
      <c r="A4017" s="19" t="s">
        <v>48</v>
      </c>
      <c r="B4017" s="20" t="s">
        <v>69</v>
      </c>
      <c r="C4017" s="20" t="s">
        <v>8</v>
      </c>
      <c r="D4017" s="20" t="s">
        <v>10</v>
      </c>
      <c r="E4017" s="20" t="s">
        <v>15</v>
      </c>
      <c r="F4017" s="20" t="str">
        <f>INDEX(nrg_cb_e!$A$3:$A$40,MATCH(LEFT(MID('Industriesektor GWh'!$B4017,41,1000),SEARCH(" - ",MID('Industriesektor GWh'!$B4017,41,1000))-1),nrg_cb_e!$C$3:$C$40,0))</f>
        <v>FC_IND_FBT_E</v>
      </c>
      <c r="G4017" s="21">
        <v>1760.086</v>
      </c>
    </row>
    <row r="4018" spans="1:7" x14ac:dyDescent="0.2">
      <c r="A4018" s="16" t="s">
        <v>48</v>
      </c>
      <c r="B4018" s="17" t="s">
        <v>69</v>
      </c>
      <c r="C4018" s="17" t="s">
        <v>8</v>
      </c>
      <c r="D4018" s="17" t="s">
        <v>10</v>
      </c>
      <c r="E4018" s="17" t="s">
        <v>16</v>
      </c>
      <c r="F4018" s="17" t="str">
        <f>INDEX(nrg_cb_e!$A$3:$A$40,MATCH(LEFT(MID('Industriesektor GWh'!$B4018,41,1000),SEARCH(" - ",MID('Industriesektor GWh'!$B4018,41,1000))-1),nrg_cb_e!$C$3:$C$40,0))</f>
        <v>FC_IND_FBT_E</v>
      </c>
      <c r="G4018" s="18">
        <v>1872.864</v>
      </c>
    </row>
    <row r="4019" spans="1:7" x14ac:dyDescent="0.2">
      <c r="A4019" s="19" t="s">
        <v>48</v>
      </c>
      <c r="B4019" s="20" t="s">
        <v>69</v>
      </c>
      <c r="C4019" s="20" t="s">
        <v>8</v>
      </c>
      <c r="D4019" s="20" t="s">
        <v>10</v>
      </c>
      <c r="E4019" s="20" t="s">
        <v>17</v>
      </c>
      <c r="F4019" s="20" t="str">
        <f>INDEX(nrg_cb_e!$A$3:$A$40,MATCH(LEFT(MID('Industriesektor GWh'!$B4019,41,1000),SEARCH(" - ",MID('Industriesektor GWh'!$B4019,41,1000))-1),nrg_cb_e!$C$3:$C$40,0))</f>
        <v>FC_IND_FBT_E</v>
      </c>
      <c r="G4019" s="21">
        <v>1841.7260000000001</v>
      </c>
    </row>
    <row r="4020" spans="1:7" x14ac:dyDescent="0.2">
      <c r="A4020" s="16" t="s">
        <v>48</v>
      </c>
      <c r="B4020" s="17" t="s">
        <v>69</v>
      </c>
      <c r="C4020" s="17" t="s">
        <v>8</v>
      </c>
      <c r="D4020" s="17" t="s">
        <v>10</v>
      </c>
      <c r="E4020" s="17" t="s">
        <v>18</v>
      </c>
      <c r="F4020" s="17" t="str">
        <f>INDEX(nrg_cb_e!$A$3:$A$40,MATCH(LEFT(MID('Industriesektor GWh'!$B4020,41,1000),SEARCH(" - ",MID('Industriesektor GWh'!$B4020,41,1000))-1),nrg_cb_e!$C$3:$C$40,0))</f>
        <v>FC_IND_FBT_E</v>
      </c>
      <c r="G4020" s="18">
        <v>1770.1569999999999</v>
      </c>
    </row>
    <row r="4021" spans="1:7" x14ac:dyDescent="0.2">
      <c r="A4021" s="19" t="s">
        <v>48</v>
      </c>
      <c r="B4021" s="20" t="s">
        <v>69</v>
      </c>
      <c r="C4021" s="20" t="s">
        <v>8</v>
      </c>
      <c r="D4021" s="20" t="s">
        <v>10</v>
      </c>
      <c r="E4021" s="20" t="s">
        <v>19</v>
      </c>
      <c r="F4021" s="20" t="str">
        <f>INDEX(nrg_cb_e!$A$3:$A$40,MATCH(LEFT(MID('Industriesektor GWh'!$B4021,41,1000),SEARCH(" - ",MID('Industriesektor GWh'!$B4021,41,1000))-1),nrg_cb_e!$C$3:$C$40,0))</f>
        <v>FC_IND_FBT_E</v>
      </c>
      <c r="G4021" s="21">
        <v>1956.5419999999999</v>
      </c>
    </row>
    <row r="4022" spans="1:7" x14ac:dyDescent="0.2">
      <c r="A4022" s="16" t="s">
        <v>48</v>
      </c>
      <c r="B4022" s="17" t="s">
        <v>69</v>
      </c>
      <c r="C4022" s="17" t="s">
        <v>8</v>
      </c>
      <c r="D4022" s="17" t="s">
        <v>10</v>
      </c>
      <c r="E4022" s="17" t="s">
        <v>20</v>
      </c>
      <c r="F4022" s="17" t="str">
        <f>INDEX(nrg_cb_e!$A$3:$A$40,MATCH(LEFT(MID('Industriesektor GWh'!$B4022,41,1000),SEARCH(" - ",MID('Industriesektor GWh'!$B4022,41,1000))-1),nrg_cb_e!$C$3:$C$40,0))</f>
        <v>FC_IND_FBT_E</v>
      </c>
      <c r="G4022" s="18">
        <v>2069.4940000000001</v>
      </c>
    </row>
    <row r="4023" spans="1:7" x14ac:dyDescent="0.2">
      <c r="A4023" s="19" t="s">
        <v>48</v>
      </c>
      <c r="B4023" s="20" t="s">
        <v>69</v>
      </c>
      <c r="C4023" s="20" t="s">
        <v>8</v>
      </c>
      <c r="D4023" s="20" t="s">
        <v>10</v>
      </c>
      <c r="E4023" s="20" t="s">
        <v>21</v>
      </c>
      <c r="F4023" s="20" t="str">
        <f>INDEX(nrg_cb_e!$A$3:$A$40,MATCH(LEFT(MID('Industriesektor GWh'!$B4023,41,1000),SEARCH(" - ",MID('Industriesektor GWh'!$B4023,41,1000))-1),nrg_cb_e!$C$3:$C$40,0))</f>
        <v>FC_IND_FBT_E</v>
      </c>
      <c r="G4023" s="21">
        <v>2105.7359999999999</v>
      </c>
    </row>
    <row r="4024" spans="1:7" x14ac:dyDescent="0.2">
      <c r="A4024" s="16" t="s">
        <v>48</v>
      </c>
      <c r="B4024" s="17" t="s">
        <v>69</v>
      </c>
      <c r="C4024" s="17" t="s">
        <v>8</v>
      </c>
      <c r="D4024" s="17" t="s">
        <v>10</v>
      </c>
      <c r="E4024" s="17" t="s">
        <v>22</v>
      </c>
      <c r="F4024" s="17" t="str">
        <f>INDEX(nrg_cb_e!$A$3:$A$40,MATCH(LEFT(MID('Industriesektor GWh'!$B4024,41,1000),SEARCH(" - ",MID('Industriesektor GWh'!$B4024,41,1000))-1),nrg_cb_e!$C$3:$C$40,0))</f>
        <v>FC_IND_FBT_E</v>
      </c>
      <c r="G4024" s="18">
        <v>2131.509</v>
      </c>
    </row>
    <row r="4025" spans="1:7" x14ac:dyDescent="0.2">
      <c r="A4025" s="19" t="s">
        <v>48</v>
      </c>
      <c r="B4025" s="20" t="s">
        <v>69</v>
      </c>
      <c r="C4025" s="20" t="s">
        <v>8</v>
      </c>
      <c r="D4025" s="20" t="s">
        <v>10</v>
      </c>
      <c r="E4025" s="20" t="s">
        <v>23</v>
      </c>
      <c r="F4025" s="20" t="str">
        <f>INDEX(nrg_cb_e!$A$3:$A$40,MATCH(LEFT(MID('Industriesektor GWh'!$B4025,41,1000),SEARCH(" - ",MID('Industriesektor GWh'!$B4025,41,1000))-1),nrg_cb_e!$C$3:$C$40,0))</f>
        <v>FC_IND_FBT_E</v>
      </c>
      <c r="G4025" s="21">
        <v>1750.924</v>
      </c>
    </row>
    <row r="4026" spans="1:7" x14ac:dyDescent="0.2">
      <c r="A4026" s="16" t="s">
        <v>48</v>
      </c>
      <c r="B4026" s="17" t="s">
        <v>69</v>
      </c>
      <c r="C4026" s="17" t="s">
        <v>8</v>
      </c>
      <c r="D4026" s="17" t="s">
        <v>10</v>
      </c>
      <c r="E4026" s="17" t="s">
        <v>24</v>
      </c>
      <c r="F4026" s="17" t="str">
        <f>INDEX(nrg_cb_e!$A$3:$A$40,MATCH(LEFT(MID('Industriesektor GWh'!$B4026,41,1000),SEARCH(" - ",MID('Industriesektor GWh'!$B4026,41,1000))-1),nrg_cb_e!$C$3:$C$40,0))</f>
        <v>FC_IND_FBT_E</v>
      </c>
      <c r="G4026" s="18">
        <v>2074.4540000000002</v>
      </c>
    </row>
    <row r="4027" spans="1:7" x14ac:dyDescent="0.2">
      <c r="A4027" s="19" t="s">
        <v>48</v>
      </c>
      <c r="B4027" s="20" t="s">
        <v>69</v>
      </c>
      <c r="C4027" s="20" t="s">
        <v>8</v>
      </c>
      <c r="D4027" s="20" t="s">
        <v>10</v>
      </c>
      <c r="E4027" s="20" t="s">
        <v>25</v>
      </c>
      <c r="F4027" s="20" t="str">
        <f>INDEX(nrg_cb_e!$A$3:$A$40,MATCH(LEFT(MID('Industriesektor GWh'!$B4027,41,1000),SEARCH(" - ",MID('Industriesektor GWh'!$B4027,41,1000))-1),nrg_cb_e!$C$3:$C$40,0))</f>
        <v>FC_IND_FBT_E</v>
      </c>
      <c r="G4027" s="21">
        <v>1910.6610000000001</v>
      </c>
    </row>
    <row r="4028" spans="1:7" x14ac:dyDescent="0.2">
      <c r="A4028" s="16" t="s">
        <v>48</v>
      </c>
      <c r="B4028" s="17" t="s">
        <v>69</v>
      </c>
      <c r="C4028" s="17" t="s">
        <v>8</v>
      </c>
      <c r="D4028" s="17" t="s">
        <v>10</v>
      </c>
      <c r="E4028" s="17" t="s">
        <v>26</v>
      </c>
      <c r="F4028" s="17" t="str">
        <f>INDEX(nrg_cb_e!$A$3:$A$40,MATCH(LEFT(MID('Industriesektor GWh'!$B4028,41,1000),SEARCH(" - ",MID('Industriesektor GWh'!$B4028,41,1000))-1),nrg_cb_e!$C$3:$C$40,0))</f>
        <v>FC_IND_FBT_E</v>
      </c>
      <c r="G4028" s="18">
        <v>1988.328</v>
      </c>
    </row>
    <row r="4029" spans="1:7" x14ac:dyDescent="0.2">
      <c r="A4029" s="19" t="s">
        <v>48</v>
      </c>
      <c r="B4029" s="20" t="s">
        <v>69</v>
      </c>
      <c r="C4029" s="20" t="s">
        <v>8</v>
      </c>
      <c r="D4029" s="20" t="s">
        <v>10</v>
      </c>
      <c r="E4029" s="20" t="s">
        <v>27</v>
      </c>
      <c r="F4029" s="20" t="str">
        <f>INDEX(nrg_cb_e!$A$3:$A$40,MATCH(LEFT(MID('Industriesektor GWh'!$B4029,41,1000),SEARCH(" - ",MID('Industriesektor GWh'!$B4029,41,1000))-1),nrg_cb_e!$C$3:$C$40,0))</f>
        <v>FC_IND_FBT_E</v>
      </c>
      <c r="G4029" s="21">
        <v>2006.9169999999999</v>
      </c>
    </row>
    <row r="4030" spans="1:7" x14ac:dyDescent="0.2">
      <c r="A4030" s="16" t="s">
        <v>48</v>
      </c>
      <c r="B4030" s="17" t="s">
        <v>69</v>
      </c>
      <c r="C4030" s="17" t="s">
        <v>8</v>
      </c>
      <c r="D4030" s="17" t="s">
        <v>10</v>
      </c>
      <c r="E4030" s="17" t="s">
        <v>28</v>
      </c>
      <c r="F4030" s="17" t="str">
        <f>INDEX(nrg_cb_e!$A$3:$A$40,MATCH(LEFT(MID('Industriesektor GWh'!$B4030,41,1000),SEARCH(" - ",MID('Industriesektor GWh'!$B4030,41,1000))-1),nrg_cb_e!$C$3:$C$40,0))</f>
        <v>FC_IND_FBT_E</v>
      </c>
      <c r="G4030" s="18">
        <v>2068.098</v>
      </c>
    </row>
    <row r="4031" spans="1:7" x14ac:dyDescent="0.2">
      <c r="A4031" s="19" t="s">
        <v>49</v>
      </c>
      <c r="B4031" s="20" t="s">
        <v>69</v>
      </c>
      <c r="C4031" s="20" t="s">
        <v>8</v>
      </c>
      <c r="D4031" s="20" t="s">
        <v>10</v>
      </c>
      <c r="E4031" s="20" t="s">
        <v>12</v>
      </c>
      <c r="F4031" s="20" t="str">
        <f>INDEX(nrg_cb_e!$A$3:$A$40,MATCH(LEFT(MID('Industriesektor GWh'!$B4031,41,1000),SEARCH(" - ",MID('Industriesektor GWh'!$B4031,41,1000))-1),nrg_cb_e!$C$3:$C$40,0))</f>
        <v>FC_IND_FBT_E</v>
      </c>
      <c r="G4031" s="21">
        <v>3980</v>
      </c>
    </row>
    <row r="4032" spans="1:7" x14ac:dyDescent="0.2">
      <c r="A4032" s="16" t="s">
        <v>49</v>
      </c>
      <c r="B4032" s="17" t="s">
        <v>69</v>
      </c>
      <c r="C4032" s="17" t="s">
        <v>8</v>
      </c>
      <c r="D4032" s="17" t="s">
        <v>10</v>
      </c>
      <c r="E4032" s="17" t="s">
        <v>13</v>
      </c>
      <c r="F4032" s="17" t="str">
        <f>INDEX(nrg_cb_e!$A$3:$A$40,MATCH(LEFT(MID('Industriesektor GWh'!$B4032,41,1000),SEARCH(" - ",MID('Industriesektor GWh'!$B4032,41,1000))-1),nrg_cb_e!$C$3:$C$40,0))</f>
        <v>FC_IND_FBT_E</v>
      </c>
      <c r="G4032" s="18">
        <v>4259</v>
      </c>
    </row>
    <row r="4033" spans="1:7" x14ac:dyDescent="0.2">
      <c r="A4033" s="19" t="s">
        <v>49</v>
      </c>
      <c r="B4033" s="20" t="s">
        <v>69</v>
      </c>
      <c r="C4033" s="20" t="s">
        <v>8</v>
      </c>
      <c r="D4033" s="20" t="s">
        <v>10</v>
      </c>
      <c r="E4033" s="20" t="s">
        <v>14</v>
      </c>
      <c r="F4033" s="20" t="str">
        <f>INDEX(nrg_cb_e!$A$3:$A$40,MATCH(LEFT(MID('Industriesektor GWh'!$B4033,41,1000),SEARCH(" - ",MID('Industriesektor GWh'!$B4033,41,1000))-1),nrg_cb_e!$C$3:$C$40,0))</f>
        <v>FC_IND_FBT_E</v>
      </c>
      <c r="G4033" s="21">
        <v>4319</v>
      </c>
    </row>
    <row r="4034" spans="1:7" x14ac:dyDescent="0.2">
      <c r="A4034" s="16" t="s">
        <v>49</v>
      </c>
      <c r="B4034" s="17" t="s">
        <v>69</v>
      </c>
      <c r="C4034" s="17" t="s">
        <v>8</v>
      </c>
      <c r="D4034" s="17" t="s">
        <v>10</v>
      </c>
      <c r="E4034" s="17" t="s">
        <v>15</v>
      </c>
      <c r="F4034" s="17" t="str">
        <f>INDEX(nrg_cb_e!$A$3:$A$40,MATCH(LEFT(MID('Industriesektor GWh'!$B4034,41,1000),SEARCH(" - ",MID('Industriesektor GWh'!$B4034,41,1000))-1),nrg_cb_e!$C$3:$C$40,0))</f>
        <v>FC_IND_FBT_E</v>
      </c>
      <c r="G4034" s="18">
        <v>4442</v>
      </c>
    </row>
    <row r="4035" spans="1:7" x14ac:dyDescent="0.2">
      <c r="A4035" s="19" t="s">
        <v>49</v>
      </c>
      <c r="B4035" s="20" t="s">
        <v>69</v>
      </c>
      <c r="C4035" s="20" t="s">
        <v>8</v>
      </c>
      <c r="D4035" s="20" t="s">
        <v>10</v>
      </c>
      <c r="E4035" s="20" t="s">
        <v>16</v>
      </c>
      <c r="F4035" s="20" t="str">
        <f>INDEX(nrg_cb_e!$A$3:$A$40,MATCH(LEFT(MID('Industriesektor GWh'!$B4035,41,1000),SEARCH(" - ",MID('Industriesektor GWh'!$B4035,41,1000))-1),nrg_cb_e!$C$3:$C$40,0))</f>
        <v>FC_IND_FBT_E</v>
      </c>
      <c r="G4035" s="21">
        <v>4493</v>
      </c>
    </row>
    <row r="4036" spans="1:7" x14ac:dyDescent="0.2">
      <c r="A4036" s="16" t="s">
        <v>49</v>
      </c>
      <c r="B4036" s="17" t="s">
        <v>69</v>
      </c>
      <c r="C4036" s="17" t="s">
        <v>8</v>
      </c>
      <c r="D4036" s="17" t="s">
        <v>10</v>
      </c>
      <c r="E4036" s="17" t="s">
        <v>17</v>
      </c>
      <c r="F4036" s="17" t="str">
        <f>INDEX(nrg_cb_e!$A$3:$A$40,MATCH(LEFT(MID('Industriesektor GWh'!$B4036,41,1000),SEARCH(" - ",MID('Industriesektor GWh'!$B4036,41,1000))-1),nrg_cb_e!$C$3:$C$40,0))</f>
        <v>FC_IND_FBT_E</v>
      </c>
      <c r="G4036" s="18">
        <v>5073</v>
      </c>
    </row>
    <row r="4037" spans="1:7" x14ac:dyDescent="0.2">
      <c r="A4037" s="19" t="s">
        <v>49</v>
      </c>
      <c r="B4037" s="20" t="s">
        <v>69</v>
      </c>
      <c r="C4037" s="20" t="s">
        <v>8</v>
      </c>
      <c r="D4037" s="20" t="s">
        <v>10</v>
      </c>
      <c r="E4037" s="20" t="s">
        <v>18</v>
      </c>
      <c r="F4037" s="20" t="str">
        <f>INDEX(nrg_cb_e!$A$3:$A$40,MATCH(LEFT(MID('Industriesektor GWh'!$B4037,41,1000),SEARCH(" - ",MID('Industriesektor GWh'!$B4037,41,1000))-1),nrg_cb_e!$C$3:$C$40,0))</f>
        <v>FC_IND_FBT_E</v>
      </c>
      <c r="G4037" s="21">
        <v>5061</v>
      </c>
    </row>
    <row r="4038" spans="1:7" x14ac:dyDescent="0.2">
      <c r="A4038" s="16" t="s">
        <v>49</v>
      </c>
      <c r="B4038" s="17" t="s">
        <v>69</v>
      </c>
      <c r="C4038" s="17" t="s">
        <v>8</v>
      </c>
      <c r="D4038" s="17" t="s">
        <v>10</v>
      </c>
      <c r="E4038" s="17" t="s">
        <v>19</v>
      </c>
      <c r="F4038" s="17" t="str">
        <f>INDEX(nrg_cb_e!$A$3:$A$40,MATCH(LEFT(MID('Industriesektor GWh'!$B4038,41,1000),SEARCH(" - ",MID('Industriesektor GWh'!$B4038,41,1000))-1),nrg_cb_e!$C$3:$C$40,0))</f>
        <v>FC_IND_FBT_E</v>
      </c>
      <c r="G4038" s="18">
        <v>4947</v>
      </c>
    </row>
    <row r="4039" spans="1:7" x14ac:dyDescent="0.2">
      <c r="A4039" s="19" t="s">
        <v>49</v>
      </c>
      <c r="B4039" s="20" t="s">
        <v>69</v>
      </c>
      <c r="C4039" s="20" t="s">
        <v>8</v>
      </c>
      <c r="D4039" s="20" t="s">
        <v>10</v>
      </c>
      <c r="E4039" s="20" t="s">
        <v>20</v>
      </c>
      <c r="F4039" s="20" t="str">
        <f>INDEX(nrg_cb_e!$A$3:$A$40,MATCH(LEFT(MID('Industriesektor GWh'!$B4039,41,1000),SEARCH(" - ",MID('Industriesektor GWh'!$B4039,41,1000))-1),nrg_cb_e!$C$3:$C$40,0))</f>
        <v>FC_IND_FBT_E</v>
      </c>
      <c r="G4039" s="21">
        <v>5087</v>
      </c>
    </row>
    <row r="4040" spans="1:7" x14ac:dyDescent="0.2">
      <c r="A4040" s="16" t="s">
        <v>49</v>
      </c>
      <c r="B4040" s="17" t="s">
        <v>69</v>
      </c>
      <c r="C4040" s="17" t="s">
        <v>8</v>
      </c>
      <c r="D4040" s="17" t="s">
        <v>10</v>
      </c>
      <c r="E4040" s="17" t="s">
        <v>21</v>
      </c>
      <c r="F4040" s="17" t="str">
        <f>INDEX(nrg_cb_e!$A$3:$A$40,MATCH(LEFT(MID('Industriesektor GWh'!$B4040,41,1000),SEARCH(" - ",MID('Industriesektor GWh'!$B4040,41,1000))-1),nrg_cb_e!$C$3:$C$40,0))</f>
        <v>FC_IND_FBT_E</v>
      </c>
      <c r="G4040" s="18">
        <v>5099</v>
      </c>
    </row>
    <row r="4041" spans="1:7" x14ac:dyDescent="0.2">
      <c r="A4041" s="19" t="s">
        <v>49</v>
      </c>
      <c r="B4041" s="20" t="s">
        <v>69</v>
      </c>
      <c r="C4041" s="20" t="s">
        <v>8</v>
      </c>
      <c r="D4041" s="20" t="s">
        <v>10</v>
      </c>
      <c r="E4041" s="20" t="s">
        <v>22</v>
      </c>
      <c r="F4041" s="20" t="str">
        <f>INDEX(nrg_cb_e!$A$3:$A$40,MATCH(LEFT(MID('Industriesektor GWh'!$B4041,41,1000),SEARCH(" - ",MID('Industriesektor GWh'!$B4041,41,1000))-1),nrg_cb_e!$C$3:$C$40,0))</f>
        <v>FC_IND_FBT_E</v>
      </c>
      <c r="G4041" s="21">
        <v>5410</v>
      </c>
    </row>
    <row r="4042" spans="1:7" x14ac:dyDescent="0.2">
      <c r="A4042" s="16" t="s">
        <v>49</v>
      </c>
      <c r="B4042" s="17" t="s">
        <v>69</v>
      </c>
      <c r="C4042" s="17" t="s">
        <v>8</v>
      </c>
      <c r="D4042" s="17" t="s">
        <v>10</v>
      </c>
      <c r="E4042" s="17" t="s">
        <v>23</v>
      </c>
      <c r="F4042" s="17" t="str">
        <f>INDEX(nrg_cb_e!$A$3:$A$40,MATCH(LEFT(MID('Industriesektor GWh'!$B4042,41,1000),SEARCH(" - ",MID('Industriesektor GWh'!$B4042,41,1000))-1),nrg_cb_e!$C$3:$C$40,0))</f>
        <v>FC_IND_FBT_E</v>
      </c>
      <c r="G4042" s="18">
        <v>5634</v>
      </c>
    </row>
    <row r="4043" spans="1:7" x14ac:dyDescent="0.2">
      <c r="A4043" s="19" t="s">
        <v>49</v>
      </c>
      <c r="B4043" s="20" t="s">
        <v>69</v>
      </c>
      <c r="C4043" s="20" t="s">
        <v>8</v>
      </c>
      <c r="D4043" s="20" t="s">
        <v>10</v>
      </c>
      <c r="E4043" s="20" t="s">
        <v>24</v>
      </c>
      <c r="F4043" s="20" t="str">
        <f>INDEX(nrg_cb_e!$A$3:$A$40,MATCH(LEFT(MID('Industriesektor GWh'!$B4043,41,1000),SEARCH(" - ",MID('Industriesektor GWh'!$B4043,41,1000))-1),nrg_cb_e!$C$3:$C$40,0))</f>
        <v>FC_IND_FBT_E</v>
      </c>
      <c r="G4043" s="21">
        <v>5744</v>
      </c>
    </row>
    <row r="4044" spans="1:7" x14ac:dyDescent="0.2">
      <c r="A4044" s="16" t="s">
        <v>49</v>
      </c>
      <c r="B4044" s="17" t="s">
        <v>69</v>
      </c>
      <c r="C4044" s="17" t="s">
        <v>8</v>
      </c>
      <c r="D4044" s="17" t="s">
        <v>10</v>
      </c>
      <c r="E4044" s="17" t="s">
        <v>25</v>
      </c>
      <c r="F4044" s="17" t="str">
        <f>INDEX(nrg_cb_e!$A$3:$A$40,MATCH(LEFT(MID('Industriesektor GWh'!$B4044,41,1000),SEARCH(" - ",MID('Industriesektor GWh'!$B4044,41,1000))-1),nrg_cb_e!$C$3:$C$40,0))</f>
        <v>FC_IND_FBT_E</v>
      </c>
      <c r="G4044" s="18">
        <v>6240</v>
      </c>
    </row>
    <row r="4045" spans="1:7" x14ac:dyDescent="0.2">
      <c r="A4045" s="19" t="s">
        <v>49</v>
      </c>
      <c r="B4045" s="20" t="s">
        <v>69</v>
      </c>
      <c r="C4045" s="20" t="s">
        <v>8</v>
      </c>
      <c r="D4045" s="20" t="s">
        <v>10</v>
      </c>
      <c r="E4045" s="20" t="s">
        <v>26</v>
      </c>
      <c r="F4045" s="20" t="str">
        <f>INDEX(nrg_cb_e!$A$3:$A$40,MATCH(LEFT(MID('Industriesektor GWh'!$B4045,41,1000),SEARCH(" - ",MID('Industriesektor GWh'!$B4045,41,1000))-1),nrg_cb_e!$C$3:$C$40,0))</f>
        <v>FC_IND_FBT_E</v>
      </c>
      <c r="G4045" s="21">
        <v>6517</v>
      </c>
    </row>
    <row r="4046" spans="1:7" x14ac:dyDescent="0.2">
      <c r="A4046" s="16" t="s">
        <v>49</v>
      </c>
      <c r="B4046" s="17" t="s">
        <v>69</v>
      </c>
      <c r="C4046" s="17" t="s">
        <v>8</v>
      </c>
      <c r="D4046" s="17" t="s">
        <v>10</v>
      </c>
      <c r="E4046" s="17" t="s">
        <v>27</v>
      </c>
      <c r="F4046" s="17" t="str">
        <f>INDEX(nrg_cb_e!$A$3:$A$40,MATCH(LEFT(MID('Industriesektor GWh'!$B4046,41,1000),SEARCH(" - ",MID('Industriesektor GWh'!$B4046,41,1000))-1),nrg_cb_e!$C$3:$C$40,0))</f>
        <v>FC_IND_FBT_E</v>
      </c>
      <c r="G4046" s="18">
        <v>6758.7790000000005</v>
      </c>
    </row>
    <row r="4047" spans="1:7" x14ac:dyDescent="0.2">
      <c r="A4047" s="19" t="s">
        <v>49</v>
      </c>
      <c r="B4047" s="20" t="s">
        <v>69</v>
      </c>
      <c r="C4047" s="20" t="s">
        <v>8</v>
      </c>
      <c r="D4047" s="20" t="s">
        <v>10</v>
      </c>
      <c r="E4047" s="20" t="s">
        <v>28</v>
      </c>
      <c r="F4047" s="20" t="str">
        <f>INDEX(nrg_cb_e!$A$3:$A$40,MATCH(LEFT(MID('Industriesektor GWh'!$B4047,41,1000),SEARCH(" - ",MID('Industriesektor GWh'!$B4047,41,1000))-1),nrg_cb_e!$C$3:$C$40,0))</f>
        <v>FC_IND_FBT_E</v>
      </c>
      <c r="G4047" s="21">
        <v>7358.4530000000004</v>
      </c>
    </row>
    <row r="4048" spans="1:7" x14ac:dyDescent="0.2">
      <c r="A4048" s="16" t="s">
        <v>50</v>
      </c>
      <c r="B4048" s="17" t="s">
        <v>69</v>
      </c>
      <c r="C4048" s="17" t="s">
        <v>8</v>
      </c>
      <c r="D4048" s="17" t="s">
        <v>10</v>
      </c>
      <c r="E4048" s="17" t="s">
        <v>12</v>
      </c>
      <c r="F4048" s="17" t="str">
        <f>INDEX(nrg_cb_e!$A$3:$A$40,MATCH(LEFT(MID('Industriesektor GWh'!$B4048,41,1000),SEARCH(" - ",MID('Industriesektor GWh'!$B4048,41,1000))-1),nrg_cb_e!$C$3:$C$40,0))</f>
        <v>FC_IND_FBT_E</v>
      </c>
      <c r="G4048" s="18">
        <v>1603</v>
      </c>
    </row>
    <row r="4049" spans="1:7" x14ac:dyDescent="0.2">
      <c r="A4049" s="19" t="s">
        <v>50</v>
      </c>
      <c r="B4049" s="20" t="s">
        <v>69</v>
      </c>
      <c r="C4049" s="20" t="s">
        <v>8</v>
      </c>
      <c r="D4049" s="20" t="s">
        <v>10</v>
      </c>
      <c r="E4049" s="20" t="s">
        <v>13</v>
      </c>
      <c r="F4049" s="20" t="str">
        <f>INDEX(nrg_cb_e!$A$3:$A$40,MATCH(LEFT(MID('Industriesektor GWh'!$B4049,41,1000),SEARCH(" - ",MID('Industriesektor GWh'!$B4049,41,1000))-1),nrg_cb_e!$C$3:$C$40,0))</f>
        <v>FC_IND_FBT_E</v>
      </c>
      <c r="G4049" s="21">
        <v>1644</v>
      </c>
    </row>
    <row r="4050" spans="1:7" x14ac:dyDescent="0.2">
      <c r="A4050" s="16" t="s">
        <v>50</v>
      </c>
      <c r="B4050" s="17" t="s">
        <v>69</v>
      </c>
      <c r="C4050" s="17" t="s">
        <v>8</v>
      </c>
      <c r="D4050" s="17" t="s">
        <v>10</v>
      </c>
      <c r="E4050" s="17" t="s">
        <v>14</v>
      </c>
      <c r="F4050" s="17" t="str">
        <f>INDEX(nrg_cb_e!$A$3:$A$40,MATCH(LEFT(MID('Industriesektor GWh'!$B4050,41,1000),SEARCH(" - ",MID('Industriesektor GWh'!$B4050,41,1000))-1),nrg_cb_e!$C$3:$C$40,0))</f>
        <v>FC_IND_FBT_E</v>
      </c>
      <c r="G4050" s="18">
        <v>1688</v>
      </c>
    </row>
    <row r="4051" spans="1:7" x14ac:dyDescent="0.2">
      <c r="A4051" s="19" t="s">
        <v>50</v>
      </c>
      <c r="B4051" s="20" t="s">
        <v>69</v>
      </c>
      <c r="C4051" s="20" t="s">
        <v>8</v>
      </c>
      <c r="D4051" s="20" t="s">
        <v>10</v>
      </c>
      <c r="E4051" s="20" t="s">
        <v>15</v>
      </c>
      <c r="F4051" s="20" t="str">
        <f>INDEX(nrg_cb_e!$A$3:$A$40,MATCH(LEFT(MID('Industriesektor GWh'!$B4051,41,1000),SEARCH(" - ",MID('Industriesektor GWh'!$B4051,41,1000))-1),nrg_cb_e!$C$3:$C$40,0))</f>
        <v>FC_IND_FBT_E</v>
      </c>
      <c r="G4051" s="21">
        <v>1695</v>
      </c>
    </row>
    <row r="4052" spans="1:7" x14ac:dyDescent="0.2">
      <c r="A4052" s="16" t="s">
        <v>50</v>
      </c>
      <c r="B4052" s="17" t="s">
        <v>69</v>
      </c>
      <c r="C4052" s="17" t="s">
        <v>8</v>
      </c>
      <c r="D4052" s="17" t="s">
        <v>10</v>
      </c>
      <c r="E4052" s="17" t="s">
        <v>16</v>
      </c>
      <c r="F4052" s="17" t="str">
        <f>INDEX(nrg_cb_e!$A$3:$A$40,MATCH(LEFT(MID('Industriesektor GWh'!$B4052,41,1000),SEARCH(" - ",MID('Industriesektor GWh'!$B4052,41,1000))-1),nrg_cb_e!$C$3:$C$40,0))</f>
        <v>FC_IND_FBT_E</v>
      </c>
      <c r="G4052" s="18">
        <v>1773</v>
      </c>
    </row>
    <row r="4053" spans="1:7" x14ac:dyDescent="0.2">
      <c r="A4053" s="19" t="s">
        <v>50</v>
      </c>
      <c r="B4053" s="20" t="s">
        <v>69</v>
      </c>
      <c r="C4053" s="20" t="s">
        <v>8</v>
      </c>
      <c r="D4053" s="20" t="s">
        <v>10</v>
      </c>
      <c r="E4053" s="20" t="s">
        <v>17</v>
      </c>
      <c r="F4053" s="20" t="str">
        <f>INDEX(nrg_cb_e!$A$3:$A$40,MATCH(LEFT(MID('Industriesektor GWh'!$B4053,41,1000),SEARCH(" - ",MID('Industriesektor GWh'!$B4053,41,1000))-1),nrg_cb_e!$C$3:$C$40,0))</f>
        <v>FC_IND_FBT_E</v>
      </c>
      <c r="G4053" s="21">
        <v>1825</v>
      </c>
    </row>
    <row r="4054" spans="1:7" x14ac:dyDescent="0.2">
      <c r="A4054" s="16" t="s">
        <v>50</v>
      </c>
      <c r="B4054" s="17" t="s">
        <v>69</v>
      </c>
      <c r="C4054" s="17" t="s">
        <v>8</v>
      </c>
      <c r="D4054" s="17" t="s">
        <v>10</v>
      </c>
      <c r="E4054" s="17" t="s">
        <v>18</v>
      </c>
      <c r="F4054" s="17" t="str">
        <f>INDEX(nrg_cb_e!$A$3:$A$40,MATCH(LEFT(MID('Industriesektor GWh'!$B4054,41,1000),SEARCH(" - ",MID('Industriesektor GWh'!$B4054,41,1000))-1),nrg_cb_e!$C$3:$C$40,0))</f>
        <v>FC_IND_FBT_E</v>
      </c>
      <c r="G4054" s="18">
        <v>1774</v>
      </c>
    </row>
    <row r="4055" spans="1:7" x14ac:dyDescent="0.2">
      <c r="A4055" s="19" t="s">
        <v>50</v>
      </c>
      <c r="B4055" s="20" t="s">
        <v>69</v>
      </c>
      <c r="C4055" s="20" t="s">
        <v>8</v>
      </c>
      <c r="D4055" s="20" t="s">
        <v>10</v>
      </c>
      <c r="E4055" s="20" t="s">
        <v>19</v>
      </c>
      <c r="F4055" s="20" t="str">
        <f>INDEX(nrg_cb_e!$A$3:$A$40,MATCH(LEFT(MID('Industriesektor GWh'!$B4055,41,1000),SEARCH(" - ",MID('Industriesektor GWh'!$B4055,41,1000))-1),nrg_cb_e!$C$3:$C$40,0))</f>
        <v>FC_IND_FBT_E</v>
      </c>
      <c r="G4055" s="21">
        <v>1835</v>
      </c>
    </row>
    <row r="4056" spans="1:7" x14ac:dyDescent="0.2">
      <c r="A4056" s="16" t="s">
        <v>50</v>
      </c>
      <c r="B4056" s="17" t="s">
        <v>69</v>
      </c>
      <c r="C4056" s="17" t="s">
        <v>8</v>
      </c>
      <c r="D4056" s="17" t="s">
        <v>10</v>
      </c>
      <c r="E4056" s="17" t="s">
        <v>20</v>
      </c>
      <c r="F4056" s="17" t="str">
        <f>INDEX(nrg_cb_e!$A$3:$A$40,MATCH(LEFT(MID('Industriesektor GWh'!$B4056,41,1000),SEARCH(" - ",MID('Industriesektor GWh'!$B4056,41,1000))-1),nrg_cb_e!$C$3:$C$40,0))</f>
        <v>FC_IND_FBT_E</v>
      </c>
      <c r="G4056" s="18">
        <v>1905</v>
      </c>
    </row>
    <row r="4057" spans="1:7" x14ac:dyDescent="0.2">
      <c r="A4057" s="19" t="s">
        <v>50</v>
      </c>
      <c r="B4057" s="20" t="s">
        <v>69</v>
      </c>
      <c r="C4057" s="20" t="s">
        <v>8</v>
      </c>
      <c r="D4057" s="20" t="s">
        <v>10</v>
      </c>
      <c r="E4057" s="20" t="s">
        <v>21</v>
      </c>
      <c r="F4057" s="20" t="str">
        <f>INDEX(nrg_cb_e!$A$3:$A$40,MATCH(LEFT(MID('Industriesektor GWh'!$B4057,41,1000),SEARCH(" - ",MID('Industriesektor GWh'!$B4057,41,1000))-1),nrg_cb_e!$C$3:$C$40,0))</f>
        <v>FC_IND_FBT_E</v>
      </c>
      <c r="G4057" s="21">
        <v>1867</v>
      </c>
    </row>
    <row r="4058" spans="1:7" x14ac:dyDescent="0.2">
      <c r="A4058" s="16" t="s">
        <v>50</v>
      </c>
      <c r="B4058" s="17" t="s">
        <v>69</v>
      </c>
      <c r="C4058" s="17" t="s">
        <v>8</v>
      </c>
      <c r="D4058" s="17" t="s">
        <v>10</v>
      </c>
      <c r="E4058" s="17" t="s">
        <v>22</v>
      </c>
      <c r="F4058" s="17" t="str">
        <f>INDEX(nrg_cb_e!$A$3:$A$40,MATCH(LEFT(MID('Industriesektor GWh'!$B4058,41,1000),SEARCH(" - ",MID('Industriesektor GWh'!$B4058,41,1000))-1),nrg_cb_e!$C$3:$C$40,0))</f>
        <v>FC_IND_FBT_E</v>
      </c>
      <c r="G4058" s="18">
        <v>1750</v>
      </c>
    </row>
    <row r="4059" spans="1:7" x14ac:dyDescent="0.2">
      <c r="A4059" s="19" t="s">
        <v>50</v>
      </c>
      <c r="B4059" s="20" t="s">
        <v>69</v>
      </c>
      <c r="C4059" s="20" t="s">
        <v>8</v>
      </c>
      <c r="D4059" s="20" t="s">
        <v>10</v>
      </c>
      <c r="E4059" s="20" t="s">
        <v>23</v>
      </c>
      <c r="F4059" s="20" t="str">
        <f>INDEX(nrg_cb_e!$A$3:$A$40,MATCH(LEFT(MID('Industriesektor GWh'!$B4059,41,1000),SEARCH(" - ",MID('Industriesektor GWh'!$B4059,41,1000))-1),nrg_cb_e!$C$3:$C$40,0))</f>
        <v>FC_IND_FBT_E</v>
      </c>
      <c r="G4059" s="21">
        <v>1766</v>
      </c>
    </row>
    <row r="4060" spans="1:7" x14ac:dyDescent="0.2">
      <c r="A4060" s="16" t="s">
        <v>50</v>
      </c>
      <c r="B4060" s="17" t="s">
        <v>69</v>
      </c>
      <c r="C4060" s="17" t="s">
        <v>8</v>
      </c>
      <c r="D4060" s="17" t="s">
        <v>10</v>
      </c>
      <c r="E4060" s="17" t="s">
        <v>24</v>
      </c>
      <c r="F4060" s="17" t="str">
        <f>INDEX(nrg_cb_e!$A$3:$A$40,MATCH(LEFT(MID('Industriesektor GWh'!$B4060,41,1000),SEARCH(" - ",MID('Industriesektor GWh'!$B4060,41,1000))-1),nrg_cb_e!$C$3:$C$40,0))</f>
        <v>FC_IND_FBT_E</v>
      </c>
      <c r="G4060" s="18">
        <v>1856</v>
      </c>
    </row>
    <row r="4061" spans="1:7" x14ac:dyDescent="0.2">
      <c r="A4061" s="19" t="s">
        <v>50</v>
      </c>
      <c r="B4061" s="20" t="s">
        <v>69</v>
      </c>
      <c r="C4061" s="20" t="s">
        <v>8</v>
      </c>
      <c r="D4061" s="20" t="s">
        <v>10</v>
      </c>
      <c r="E4061" s="20" t="s">
        <v>25</v>
      </c>
      <c r="F4061" s="20" t="str">
        <f>INDEX(nrg_cb_e!$A$3:$A$40,MATCH(LEFT(MID('Industriesektor GWh'!$B4061,41,1000),SEARCH(" - ",MID('Industriesektor GWh'!$B4061,41,1000))-1),nrg_cb_e!$C$3:$C$40,0))</f>
        <v>FC_IND_FBT_E</v>
      </c>
      <c r="G4061" s="21">
        <v>1854</v>
      </c>
    </row>
    <row r="4062" spans="1:7" x14ac:dyDescent="0.2">
      <c r="A4062" s="16" t="s">
        <v>50</v>
      </c>
      <c r="B4062" s="17" t="s">
        <v>69</v>
      </c>
      <c r="C4062" s="17" t="s">
        <v>8</v>
      </c>
      <c r="D4062" s="17" t="s">
        <v>10</v>
      </c>
      <c r="E4062" s="17" t="s">
        <v>26</v>
      </c>
      <c r="F4062" s="17" t="str">
        <f>INDEX(nrg_cb_e!$A$3:$A$40,MATCH(LEFT(MID('Industriesektor GWh'!$B4062,41,1000),SEARCH(" - ",MID('Industriesektor GWh'!$B4062,41,1000))-1),nrg_cb_e!$C$3:$C$40,0))</f>
        <v>FC_IND_FBT_E</v>
      </c>
      <c r="G4062" s="18">
        <v>1926.212</v>
      </c>
    </row>
    <row r="4063" spans="1:7" x14ac:dyDescent="0.2">
      <c r="A4063" s="19" t="s">
        <v>50</v>
      </c>
      <c r="B4063" s="20" t="s">
        <v>69</v>
      </c>
      <c r="C4063" s="20" t="s">
        <v>8</v>
      </c>
      <c r="D4063" s="20" t="s">
        <v>10</v>
      </c>
      <c r="E4063" s="20" t="s">
        <v>27</v>
      </c>
      <c r="F4063" s="20" t="str">
        <f>INDEX(nrg_cb_e!$A$3:$A$40,MATCH(LEFT(MID('Industriesektor GWh'!$B4063,41,1000),SEARCH(" - ",MID('Industriesektor GWh'!$B4063,41,1000))-1),nrg_cb_e!$C$3:$C$40,0))</f>
        <v>FC_IND_FBT_E</v>
      </c>
      <c r="G4063" s="21">
        <v>1975.9359999999999</v>
      </c>
    </row>
    <row r="4064" spans="1:7" x14ac:dyDescent="0.2">
      <c r="A4064" s="16" t="s">
        <v>50</v>
      </c>
      <c r="B4064" s="17" t="s">
        <v>69</v>
      </c>
      <c r="C4064" s="17" t="s">
        <v>8</v>
      </c>
      <c r="D4064" s="17" t="s">
        <v>10</v>
      </c>
      <c r="E4064" s="17" t="s">
        <v>28</v>
      </c>
      <c r="F4064" s="17" t="str">
        <f>INDEX(nrg_cb_e!$A$3:$A$40,MATCH(LEFT(MID('Industriesektor GWh'!$B4064,41,1000),SEARCH(" - ",MID('Industriesektor GWh'!$B4064,41,1000))-1),nrg_cb_e!$C$3:$C$40,0))</f>
        <v>FC_IND_FBT_E</v>
      </c>
      <c r="G4064" s="18">
        <v>2032.8869999999999</v>
      </c>
    </row>
    <row r="4065" spans="1:7" x14ac:dyDescent="0.2">
      <c r="A4065" s="19" t="s">
        <v>51</v>
      </c>
      <c r="B4065" s="20" t="s">
        <v>69</v>
      </c>
      <c r="C4065" s="20" t="s">
        <v>8</v>
      </c>
      <c r="D4065" s="20" t="s">
        <v>10</v>
      </c>
      <c r="E4065" s="20" t="s">
        <v>12</v>
      </c>
      <c r="F4065" s="20" t="str">
        <f>INDEX(nrg_cb_e!$A$3:$A$40,MATCH(LEFT(MID('Industriesektor GWh'!$B4065,41,1000),SEARCH(" - ",MID('Industriesektor GWh'!$B4065,41,1000))-1),nrg_cb_e!$C$3:$C$40,0))</f>
        <v>FC_IND_FBT_E</v>
      </c>
      <c r="G4065" s="21">
        <v>1536</v>
      </c>
    </row>
    <row r="4066" spans="1:7" x14ac:dyDescent="0.2">
      <c r="A4066" s="16" t="s">
        <v>51</v>
      </c>
      <c r="B4066" s="17" t="s">
        <v>69</v>
      </c>
      <c r="C4066" s="17" t="s">
        <v>8</v>
      </c>
      <c r="D4066" s="17" t="s">
        <v>10</v>
      </c>
      <c r="E4066" s="17" t="s">
        <v>13</v>
      </c>
      <c r="F4066" s="17" t="str">
        <f>INDEX(nrg_cb_e!$A$3:$A$40,MATCH(LEFT(MID('Industriesektor GWh'!$B4066,41,1000),SEARCH(" - ",MID('Industriesektor GWh'!$B4066,41,1000))-1),nrg_cb_e!$C$3:$C$40,0))</f>
        <v>FC_IND_FBT_E</v>
      </c>
      <c r="G4066" s="18">
        <v>2570</v>
      </c>
    </row>
    <row r="4067" spans="1:7" x14ac:dyDescent="0.2">
      <c r="A4067" s="19" t="s">
        <v>51</v>
      </c>
      <c r="B4067" s="20" t="s">
        <v>69</v>
      </c>
      <c r="C4067" s="20" t="s">
        <v>8</v>
      </c>
      <c r="D4067" s="20" t="s">
        <v>10</v>
      </c>
      <c r="E4067" s="20" t="s">
        <v>14</v>
      </c>
      <c r="F4067" s="20" t="str">
        <f>INDEX(nrg_cb_e!$A$3:$A$40,MATCH(LEFT(MID('Industriesektor GWh'!$B4067,41,1000),SEARCH(" - ",MID('Industriesektor GWh'!$B4067,41,1000))-1),nrg_cb_e!$C$3:$C$40,0))</f>
        <v>FC_IND_FBT_E</v>
      </c>
      <c r="G4067" s="21">
        <v>3343</v>
      </c>
    </row>
    <row r="4068" spans="1:7" x14ac:dyDescent="0.2">
      <c r="A4068" s="16" t="s">
        <v>51</v>
      </c>
      <c r="B4068" s="17" t="s">
        <v>69</v>
      </c>
      <c r="C4068" s="17" t="s">
        <v>8</v>
      </c>
      <c r="D4068" s="17" t="s">
        <v>10</v>
      </c>
      <c r="E4068" s="17" t="s">
        <v>15</v>
      </c>
      <c r="F4068" s="17" t="str">
        <f>INDEX(nrg_cb_e!$A$3:$A$40,MATCH(LEFT(MID('Industriesektor GWh'!$B4068,41,1000),SEARCH(" - ",MID('Industriesektor GWh'!$B4068,41,1000))-1),nrg_cb_e!$C$3:$C$40,0))</f>
        <v>FC_IND_FBT_E</v>
      </c>
      <c r="G4068" s="18">
        <v>2905</v>
      </c>
    </row>
    <row r="4069" spans="1:7" x14ac:dyDescent="0.2">
      <c r="A4069" s="19" t="s">
        <v>51</v>
      </c>
      <c r="B4069" s="20" t="s">
        <v>69</v>
      </c>
      <c r="C4069" s="20" t="s">
        <v>8</v>
      </c>
      <c r="D4069" s="20" t="s">
        <v>10</v>
      </c>
      <c r="E4069" s="20" t="s">
        <v>16</v>
      </c>
      <c r="F4069" s="20" t="str">
        <f>INDEX(nrg_cb_e!$A$3:$A$40,MATCH(LEFT(MID('Industriesektor GWh'!$B4069,41,1000),SEARCH(" - ",MID('Industriesektor GWh'!$B4069,41,1000))-1),nrg_cb_e!$C$3:$C$40,0))</f>
        <v>FC_IND_FBT_E</v>
      </c>
      <c r="G4069" s="21">
        <v>1418</v>
      </c>
    </row>
    <row r="4070" spans="1:7" x14ac:dyDescent="0.2">
      <c r="A4070" s="16" t="s">
        <v>51</v>
      </c>
      <c r="B4070" s="17" t="s">
        <v>69</v>
      </c>
      <c r="C4070" s="17" t="s">
        <v>8</v>
      </c>
      <c r="D4070" s="17" t="s">
        <v>10</v>
      </c>
      <c r="E4070" s="17" t="s">
        <v>17</v>
      </c>
      <c r="F4070" s="17" t="str">
        <f>INDEX(nrg_cb_e!$A$3:$A$40,MATCH(LEFT(MID('Industriesektor GWh'!$B4070,41,1000),SEARCH(" - ",MID('Industriesektor GWh'!$B4070,41,1000))-1),nrg_cb_e!$C$3:$C$40,0))</f>
        <v>FC_IND_FBT_E</v>
      </c>
      <c r="G4070" s="18">
        <v>1424</v>
      </c>
    </row>
    <row r="4071" spans="1:7" x14ac:dyDescent="0.2">
      <c r="A4071" s="19" t="s">
        <v>51</v>
      </c>
      <c r="B4071" s="20" t="s">
        <v>69</v>
      </c>
      <c r="C4071" s="20" t="s">
        <v>8</v>
      </c>
      <c r="D4071" s="20" t="s">
        <v>10</v>
      </c>
      <c r="E4071" s="20" t="s">
        <v>18</v>
      </c>
      <c r="F4071" s="20" t="str">
        <f>INDEX(nrg_cb_e!$A$3:$A$40,MATCH(LEFT(MID('Industriesektor GWh'!$B4071,41,1000),SEARCH(" - ",MID('Industriesektor GWh'!$B4071,41,1000))-1),nrg_cb_e!$C$3:$C$40,0))</f>
        <v>FC_IND_FBT_E</v>
      </c>
      <c r="G4071" s="21">
        <v>1686</v>
      </c>
    </row>
    <row r="4072" spans="1:7" x14ac:dyDescent="0.2">
      <c r="A4072" s="16" t="s">
        <v>51</v>
      </c>
      <c r="B4072" s="17" t="s">
        <v>69</v>
      </c>
      <c r="C4072" s="17" t="s">
        <v>8</v>
      </c>
      <c r="D4072" s="17" t="s">
        <v>10</v>
      </c>
      <c r="E4072" s="17" t="s">
        <v>19</v>
      </c>
      <c r="F4072" s="17" t="str">
        <f>INDEX(nrg_cb_e!$A$3:$A$40,MATCH(LEFT(MID('Industriesektor GWh'!$B4072,41,1000),SEARCH(" - ",MID('Industriesektor GWh'!$B4072,41,1000))-1),nrg_cb_e!$C$3:$C$40,0))</f>
        <v>FC_IND_FBT_E</v>
      </c>
      <c r="G4072" s="18">
        <v>1554</v>
      </c>
    </row>
    <row r="4073" spans="1:7" x14ac:dyDescent="0.2">
      <c r="A4073" s="19" t="s">
        <v>51</v>
      </c>
      <c r="B4073" s="20" t="s">
        <v>69</v>
      </c>
      <c r="C4073" s="20" t="s">
        <v>8</v>
      </c>
      <c r="D4073" s="20" t="s">
        <v>10</v>
      </c>
      <c r="E4073" s="20" t="s">
        <v>20</v>
      </c>
      <c r="F4073" s="20" t="str">
        <f>INDEX(nrg_cb_e!$A$3:$A$40,MATCH(LEFT(MID('Industriesektor GWh'!$B4073,41,1000),SEARCH(" - ",MID('Industriesektor GWh'!$B4073,41,1000))-1),nrg_cb_e!$C$3:$C$40,0))</f>
        <v>FC_IND_FBT_E</v>
      </c>
      <c r="G4073" s="21">
        <v>1562</v>
      </c>
    </row>
    <row r="4074" spans="1:7" x14ac:dyDescent="0.2">
      <c r="A4074" s="16" t="s">
        <v>51</v>
      </c>
      <c r="B4074" s="17" t="s">
        <v>69</v>
      </c>
      <c r="C4074" s="17" t="s">
        <v>8</v>
      </c>
      <c r="D4074" s="17" t="s">
        <v>10</v>
      </c>
      <c r="E4074" s="17" t="s">
        <v>21</v>
      </c>
      <c r="F4074" s="17" t="str">
        <f>INDEX(nrg_cb_e!$A$3:$A$40,MATCH(LEFT(MID('Industriesektor GWh'!$B4074,41,1000),SEARCH(" - ",MID('Industriesektor GWh'!$B4074,41,1000))-1),nrg_cb_e!$C$3:$C$40,0))</f>
        <v>FC_IND_FBT_E</v>
      </c>
      <c r="G4074" s="18">
        <v>1590</v>
      </c>
    </row>
    <row r="4075" spans="1:7" x14ac:dyDescent="0.2">
      <c r="A4075" s="19" t="s">
        <v>51</v>
      </c>
      <c r="B4075" s="20" t="s">
        <v>69</v>
      </c>
      <c r="C4075" s="20" t="s">
        <v>8</v>
      </c>
      <c r="D4075" s="20" t="s">
        <v>10</v>
      </c>
      <c r="E4075" s="20" t="s">
        <v>22</v>
      </c>
      <c r="F4075" s="20" t="str">
        <f>INDEX(nrg_cb_e!$A$3:$A$40,MATCH(LEFT(MID('Industriesektor GWh'!$B4075,41,1000),SEARCH(" - ",MID('Industriesektor GWh'!$B4075,41,1000))-1),nrg_cb_e!$C$3:$C$40,0))</f>
        <v>FC_IND_FBT_E</v>
      </c>
      <c r="G4075" s="21">
        <v>1650</v>
      </c>
    </row>
    <row r="4076" spans="1:7" x14ac:dyDescent="0.2">
      <c r="A4076" s="16" t="s">
        <v>51</v>
      </c>
      <c r="B4076" s="17" t="s">
        <v>69</v>
      </c>
      <c r="C4076" s="17" t="s">
        <v>8</v>
      </c>
      <c r="D4076" s="17" t="s">
        <v>10</v>
      </c>
      <c r="E4076" s="17" t="s">
        <v>23</v>
      </c>
      <c r="F4076" s="17" t="str">
        <f>INDEX(nrg_cb_e!$A$3:$A$40,MATCH(LEFT(MID('Industriesektor GWh'!$B4076,41,1000),SEARCH(" - ",MID('Industriesektor GWh'!$B4076,41,1000))-1),nrg_cb_e!$C$3:$C$40,0))</f>
        <v>FC_IND_FBT_E</v>
      </c>
      <c r="G4076" s="18">
        <v>1673</v>
      </c>
    </row>
    <row r="4077" spans="1:7" x14ac:dyDescent="0.2">
      <c r="A4077" s="19" t="s">
        <v>51</v>
      </c>
      <c r="B4077" s="20" t="s">
        <v>69</v>
      </c>
      <c r="C4077" s="20" t="s">
        <v>8</v>
      </c>
      <c r="D4077" s="20" t="s">
        <v>10</v>
      </c>
      <c r="E4077" s="20" t="s">
        <v>24</v>
      </c>
      <c r="F4077" s="20" t="str">
        <f>INDEX(nrg_cb_e!$A$3:$A$40,MATCH(LEFT(MID('Industriesektor GWh'!$B4077,41,1000),SEARCH(" - ",MID('Industriesektor GWh'!$B4077,41,1000))-1),nrg_cb_e!$C$3:$C$40,0))</f>
        <v>FC_IND_FBT_E</v>
      </c>
      <c r="G4077" s="21">
        <v>1769</v>
      </c>
    </row>
    <row r="4078" spans="1:7" x14ac:dyDescent="0.2">
      <c r="A4078" s="16" t="s">
        <v>51</v>
      </c>
      <c r="B4078" s="17" t="s">
        <v>69</v>
      </c>
      <c r="C4078" s="17" t="s">
        <v>8</v>
      </c>
      <c r="D4078" s="17" t="s">
        <v>10</v>
      </c>
      <c r="E4078" s="17" t="s">
        <v>25</v>
      </c>
      <c r="F4078" s="17" t="str">
        <f>INDEX(nrg_cb_e!$A$3:$A$40,MATCH(LEFT(MID('Industriesektor GWh'!$B4078,41,1000),SEARCH(" - ",MID('Industriesektor GWh'!$B4078,41,1000))-1),nrg_cb_e!$C$3:$C$40,0))</f>
        <v>FC_IND_FBT_E</v>
      </c>
      <c r="G4078" s="18">
        <v>1824</v>
      </c>
    </row>
    <row r="4079" spans="1:7" x14ac:dyDescent="0.2">
      <c r="A4079" s="19" t="s">
        <v>51</v>
      </c>
      <c r="B4079" s="20" t="s">
        <v>69</v>
      </c>
      <c r="C4079" s="20" t="s">
        <v>8</v>
      </c>
      <c r="D4079" s="20" t="s">
        <v>10</v>
      </c>
      <c r="E4079" s="20" t="s">
        <v>26</v>
      </c>
      <c r="F4079" s="20" t="str">
        <f>INDEX(nrg_cb_e!$A$3:$A$40,MATCH(LEFT(MID('Industriesektor GWh'!$B4079,41,1000),SEARCH(" - ",MID('Industriesektor GWh'!$B4079,41,1000))-1),nrg_cb_e!$C$3:$C$40,0))</f>
        <v>FC_IND_FBT_E</v>
      </c>
      <c r="G4079" s="21">
        <v>1867</v>
      </c>
    </row>
    <row r="4080" spans="1:7" x14ac:dyDescent="0.2">
      <c r="A4080" s="16" t="s">
        <v>51</v>
      </c>
      <c r="B4080" s="17" t="s">
        <v>69</v>
      </c>
      <c r="C4080" s="17" t="s">
        <v>8</v>
      </c>
      <c r="D4080" s="17" t="s">
        <v>10</v>
      </c>
      <c r="E4080" s="17" t="s">
        <v>27</v>
      </c>
      <c r="F4080" s="17" t="str">
        <f>INDEX(nrg_cb_e!$A$3:$A$40,MATCH(LEFT(MID('Industriesektor GWh'!$B4080,41,1000),SEARCH(" - ",MID('Industriesektor GWh'!$B4080,41,1000))-1),nrg_cb_e!$C$3:$C$40,0))</f>
        <v>FC_IND_FBT_E</v>
      </c>
      <c r="G4080" s="18">
        <v>1886.635</v>
      </c>
    </row>
    <row r="4081" spans="1:7" x14ac:dyDescent="0.2">
      <c r="A4081" s="19" t="s">
        <v>51</v>
      </c>
      <c r="B4081" s="20" t="s">
        <v>69</v>
      </c>
      <c r="C4081" s="20" t="s">
        <v>8</v>
      </c>
      <c r="D4081" s="20" t="s">
        <v>10</v>
      </c>
      <c r="E4081" s="20" t="s">
        <v>28</v>
      </c>
      <c r="F4081" s="20" t="str">
        <f>INDEX(nrg_cb_e!$A$3:$A$40,MATCH(LEFT(MID('Industriesektor GWh'!$B4081,41,1000),SEARCH(" - ",MID('Industriesektor GWh'!$B4081,41,1000))-1),nrg_cb_e!$C$3:$C$40,0))</f>
        <v>FC_IND_FBT_E</v>
      </c>
      <c r="G4081" s="21">
        <v>1912.35</v>
      </c>
    </row>
    <row r="4082" spans="1:7" x14ac:dyDescent="0.2">
      <c r="A4082" s="16" t="s">
        <v>52</v>
      </c>
      <c r="B4082" s="17" t="s">
        <v>69</v>
      </c>
      <c r="C4082" s="17" t="s">
        <v>8</v>
      </c>
      <c r="D4082" s="17" t="s">
        <v>10</v>
      </c>
      <c r="E4082" s="17" t="s">
        <v>12</v>
      </c>
      <c r="F4082" s="17" t="str">
        <f>INDEX(nrg_cb_e!$A$3:$A$40,MATCH(LEFT(MID('Industriesektor GWh'!$B4082,41,1000),SEARCH(" - ",MID('Industriesektor GWh'!$B4082,41,1000))-1),nrg_cb_e!$C$3:$C$40,0))</f>
        <v>FC_IND_FBT_E</v>
      </c>
      <c r="G4082" s="18">
        <v>254</v>
      </c>
    </row>
    <row r="4083" spans="1:7" x14ac:dyDescent="0.2">
      <c r="A4083" s="19" t="s">
        <v>52</v>
      </c>
      <c r="B4083" s="20" t="s">
        <v>69</v>
      </c>
      <c r="C4083" s="20" t="s">
        <v>8</v>
      </c>
      <c r="D4083" s="20" t="s">
        <v>10</v>
      </c>
      <c r="E4083" s="20" t="s">
        <v>13</v>
      </c>
      <c r="F4083" s="20" t="str">
        <f>INDEX(nrg_cb_e!$A$3:$A$40,MATCH(LEFT(MID('Industriesektor GWh'!$B4083,41,1000),SEARCH(" - ",MID('Industriesektor GWh'!$B4083,41,1000))-1),nrg_cb_e!$C$3:$C$40,0))</f>
        <v>FC_IND_FBT_E</v>
      </c>
      <c r="G4083" s="21">
        <v>300</v>
      </c>
    </row>
    <row r="4084" spans="1:7" x14ac:dyDescent="0.2">
      <c r="A4084" s="16" t="s">
        <v>52</v>
      </c>
      <c r="B4084" s="17" t="s">
        <v>69</v>
      </c>
      <c r="C4084" s="17" t="s">
        <v>8</v>
      </c>
      <c r="D4084" s="17" t="s">
        <v>10</v>
      </c>
      <c r="E4084" s="17" t="s">
        <v>14</v>
      </c>
      <c r="F4084" s="17" t="str">
        <f>INDEX(nrg_cb_e!$A$3:$A$40,MATCH(LEFT(MID('Industriesektor GWh'!$B4084,41,1000),SEARCH(" - ",MID('Industriesektor GWh'!$B4084,41,1000))-1),nrg_cb_e!$C$3:$C$40,0))</f>
        <v>FC_IND_FBT_E</v>
      </c>
      <c r="G4084" s="18">
        <v>284</v>
      </c>
    </row>
    <row r="4085" spans="1:7" x14ac:dyDescent="0.2">
      <c r="A4085" s="19" t="s">
        <v>52</v>
      </c>
      <c r="B4085" s="20" t="s">
        <v>69</v>
      </c>
      <c r="C4085" s="20" t="s">
        <v>8</v>
      </c>
      <c r="D4085" s="20" t="s">
        <v>10</v>
      </c>
      <c r="E4085" s="20" t="s">
        <v>15</v>
      </c>
      <c r="F4085" s="20" t="str">
        <f>INDEX(nrg_cb_e!$A$3:$A$40,MATCH(LEFT(MID('Industriesektor GWh'!$B4085,41,1000),SEARCH(" - ",MID('Industriesektor GWh'!$B4085,41,1000))-1),nrg_cb_e!$C$3:$C$40,0))</f>
        <v>FC_IND_FBT_E</v>
      </c>
      <c r="G4085" s="21">
        <v>296</v>
      </c>
    </row>
    <row r="4086" spans="1:7" x14ac:dyDescent="0.2">
      <c r="A4086" s="16" t="s">
        <v>52</v>
      </c>
      <c r="B4086" s="17" t="s">
        <v>69</v>
      </c>
      <c r="C4086" s="17" t="s">
        <v>8</v>
      </c>
      <c r="D4086" s="17" t="s">
        <v>10</v>
      </c>
      <c r="E4086" s="17" t="s">
        <v>16</v>
      </c>
      <c r="F4086" s="17" t="str">
        <f>INDEX(nrg_cb_e!$A$3:$A$40,MATCH(LEFT(MID('Industriesektor GWh'!$B4086,41,1000),SEARCH(" - ",MID('Industriesektor GWh'!$B4086,41,1000))-1),nrg_cb_e!$C$3:$C$40,0))</f>
        <v>FC_IND_FBT_E</v>
      </c>
      <c r="G4086" s="18">
        <v>352</v>
      </c>
    </row>
    <row r="4087" spans="1:7" x14ac:dyDescent="0.2">
      <c r="A4087" s="19" t="s">
        <v>52</v>
      </c>
      <c r="B4087" s="20" t="s">
        <v>69</v>
      </c>
      <c r="C4087" s="20" t="s">
        <v>8</v>
      </c>
      <c r="D4087" s="20" t="s">
        <v>10</v>
      </c>
      <c r="E4087" s="20" t="s">
        <v>17</v>
      </c>
      <c r="F4087" s="20" t="str">
        <f>INDEX(nrg_cb_e!$A$3:$A$40,MATCH(LEFT(MID('Industriesektor GWh'!$B4087,41,1000),SEARCH(" - ",MID('Industriesektor GWh'!$B4087,41,1000))-1),nrg_cb_e!$C$3:$C$40,0))</f>
        <v>FC_IND_FBT_E</v>
      </c>
      <c r="G4087" s="21">
        <v>319</v>
      </c>
    </row>
    <row r="4088" spans="1:7" x14ac:dyDescent="0.2">
      <c r="A4088" s="16" t="s">
        <v>52</v>
      </c>
      <c r="B4088" s="17" t="s">
        <v>69</v>
      </c>
      <c r="C4088" s="17" t="s">
        <v>8</v>
      </c>
      <c r="D4088" s="17" t="s">
        <v>10</v>
      </c>
      <c r="E4088" s="17" t="s">
        <v>18</v>
      </c>
      <c r="F4088" s="17" t="str">
        <f>INDEX(nrg_cb_e!$A$3:$A$40,MATCH(LEFT(MID('Industriesektor GWh'!$B4088,41,1000),SEARCH(" - ",MID('Industriesektor GWh'!$B4088,41,1000))-1),nrg_cb_e!$C$3:$C$40,0))</f>
        <v>FC_IND_FBT_E</v>
      </c>
      <c r="G4088" s="18">
        <v>296</v>
      </c>
    </row>
    <row r="4089" spans="1:7" x14ac:dyDescent="0.2">
      <c r="A4089" s="19" t="s">
        <v>52</v>
      </c>
      <c r="B4089" s="20" t="s">
        <v>69</v>
      </c>
      <c r="C4089" s="20" t="s">
        <v>8</v>
      </c>
      <c r="D4089" s="20" t="s">
        <v>10</v>
      </c>
      <c r="E4089" s="20" t="s">
        <v>19</v>
      </c>
      <c r="F4089" s="20" t="str">
        <f>INDEX(nrg_cb_e!$A$3:$A$40,MATCH(LEFT(MID('Industriesektor GWh'!$B4089,41,1000),SEARCH(" - ",MID('Industriesektor GWh'!$B4089,41,1000))-1),nrg_cb_e!$C$3:$C$40,0))</f>
        <v>FC_IND_FBT_E</v>
      </c>
      <c r="G4089" s="21">
        <v>278</v>
      </c>
    </row>
    <row r="4090" spans="1:7" x14ac:dyDescent="0.2">
      <c r="A4090" s="16" t="s">
        <v>52</v>
      </c>
      <c r="B4090" s="17" t="s">
        <v>69</v>
      </c>
      <c r="C4090" s="17" t="s">
        <v>8</v>
      </c>
      <c r="D4090" s="17" t="s">
        <v>10</v>
      </c>
      <c r="E4090" s="17" t="s">
        <v>20</v>
      </c>
      <c r="F4090" s="17" t="str">
        <f>INDEX(nrg_cb_e!$A$3:$A$40,MATCH(LEFT(MID('Industriesektor GWh'!$B4090,41,1000),SEARCH(" - ",MID('Industriesektor GWh'!$B4090,41,1000))-1),nrg_cb_e!$C$3:$C$40,0))</f>
        <v>FC_IND_FBT_E</v>
      </c>
      <c r="G4090" s="18">
        <v>276</v>
      </c>
    </row>
    <row r="4091" spans="1:7" x14ac:dyDescent="0.2">
      <c r="A4091" s="19" t="s">
        <v>52</v>
      </c>
      <c r="B4091" s="20" t="s">
        <v>69</v>
      </c>
      <c r="C4091" s="20" t="s">
        <v>8</v>
      </c>
      <c r="D4091" s="20" t="s">
        <v>10</v>
      </c>
      <c r="E4091" s="20" t="s">
        <v>21</v>
      </c>
      <c r="F4091" s="20" t="str">
        <f>INDEX(nrg_cb_e!$A$3:$A$40,MATCH(LEFT(MID('Industriesektor GWh'!$B4091,41,1000),SEARCH(" - ",MID('Industriesektor GWh'!$B4091,41,1000))-1),nrg_cb_e!$C$3:$C$40,0))</f>
        <v>FC_IND_FBT_E</v>
      </c>
      <c r="G4091" s="21">
        <v>275</v>
      </c>
    </row>
    <row r="4092" spans="1:7" x14ac:dyDescent="0.2">
      <c r="A4092" s="16" t="s">
        <v>52</v>
      </c>
      <c r="B4092" s="17" t="s">
        <v>69</v>
      </c>
      <c r="C4092" s="17" t="s">
        <v>8</v>
      </c>
      <c r="D4092" s="17" t="s">
        <v>10</v>
      </c>
      <c r="E4092" s="17" t="s">
        <v>22</v>
      </c>
      <c r="F4092" s="17" t="str">
        <f>INDEX(nrg_cb_e!$A$3:$A$40,MATCH(LEFT(MID('Industriesektor GWh'!$B4092,41,1000),SEARCH(" - ",MID('Industriesektor GWh'!$B4092,41,1000))-1),nrg_cb_e!$C$3:$C$40,0))</f>
        <v>FC_IND_FBT_E</v>
      </c>
      <c r="G4092" s="18">
        <v>274</v>
      </c>
    </row>
    <row r="4093" spans="1:7" x14ac:dyDescent="0.2">
      <c r="A4093" s="19" t="s">
        <v>52</v>
      </c>
      <c r="B4093" s="20" t="s">
        <v>69</v>
      </c>
      <c r="C4093" s="20" t="s">
        <v>8</v>
      </c>
      <c r="D4093" s="20" t="s">
        <v>10</v>
      </c>
      <c r="E4093" s="20" t="s">
        <v>23</v>
      </c>
      <c r="F4093" s="20" t="str">
        <f>INDEX(nrg_cb_e!$A$3:$A$40,MATCH(LEFT(MID('Industriesektor GWh'!$B4093,41,1000),SEARCH(" - ",MID('Industriesektor GWh'!$B4093,41,1000))-1),nrg_cb_e!$C$3:$C$40,0))</f>
        <v>FC_IND_FBT_E</v>
      </c>
      <c r="G4093" s="21">
        <v>266</v>
      </c>
    </row>
    <row r="4094" spans="1:7" x14ac:dyDescent="0.2">
      <c r="A4094" s="16" t="s">
        <v>52</v>
      </c>
      <c r="B4094" s="17" t="s">
        <v>69</v>
      </c>
      <c r="C4094" s="17" t="s">
        <v>8</v>
      </c>
      <c r="D4094" s="17" t="s">
        <v>10</v>
      </c>
      <c r="E4094" s="17" t="s">
        <v>24</v>
      </c>
      <c r="F4094" s="17" t="str">
        <f>INDEX(nrg_cb_e!$A$3:$A$40,MATCH(LEFT(MID('Industriesektor GWh'!$B4094,41,1000),SEARCH(" - ",MID('Industriesektor GWh'!$B4094,41,1000))-1),nrg_cb_e!$C$3:$C$40,0))</f>
        <v>FC_IND_FBT_E</v>
      </c>
      <c r="G4094" s="18">
        <v>281</v>
      </c>
    </row>
    <row r="4095" spans="1:7" x14ac:dyDescent="0.2">
      <c r="A4095" s="19" t="s">
        <v>52</v>
      </c>
      <c r="B4095" s="20" t="s">
        <v>69</v>
      </c>
      <c r="C4095" s="20" t="s">
        <v>8</v>
      </c>
      <c r="D4095" s="20" t="s">
        <v>10</v>
      </c>
      <c r="E4095" s="20" t="s">
        <v>25</v>
      </c>
      <c r="F4095" s="20" t="str">
        <f>INDEX(nrg_cb_e!$A$3:$A$40,MATCH(LEFT(MID('Industriesektor GWh'!$B4095,41,1000),SEARCH(" - ",MID('Industriesektor GWh'!$B4095,41,1000))-1),nrg_cb_e!$C$3:$C$40,0))</f>
        <v>FC_IND_FBT_E</v>
      </c>
      <c r="G4095" s="21">
        <v>290</v>
      </c>
    </row>
    <row r="4096" spans="1:7" x14ac:dyDescent="0.2">
      <c r="A4096" s="16" t="s">
        <v>52</v>
      </c>
      <c r="B4096" s="17" t="s">
        <v>69</v>
      </c>
      <c r="C4096" s="17" t="s">
        <v>8</v>
      </c>
      <c r="D4096" s="17" t="s">
        <v>10</v>
      </c>
      <c r="E4096" s="17" t="s">
        <v>26</v>
      </c>
      <c r="F4096" s="17" t="str">
        <f>INDEX(nrg_cb_e!$A$3:$A$40,MATCH(LEFT(MID('Industriesektor GWh'!$B4096,41,1000),SEARCH(" - ",MID('Industriesektor GWh'!$B4096,41,1000))-1),nrg_cb_e!$C$3:$C$40,0))</f>
        <v>FC_IND_FBT_E</v>
      </c>
      <c r="G4096" s="18">
        <v>286</v>
      </c>
    </row>
    <row r="4097" spans="1:7" x14ac:dyDescent="0.2">
      <c r="A4097" s="19" t="s">
        <v>52</v>
      </c>
      <c r="B4097" s="20" t="s">
        <v>69</v>
      </c>
      <c r="C4097" s="20" t="s">
        <v>8</v>
      </c>
      <c r="D4097" s="20" t="s">
        <v>10</v>
      </c>
      <c r="E4097" s="20" t="s">
        <v>27</v>
      </c>
      <c r="F4097" s="20" t="str">
        <f>INDEX(nrg_cb_e!$A$3:$A$40,MATCH(LEFT(MID('Industriesektor GWh'!$B4097,41,1000),SEARCH(" - ",MID('Industriesektor GWh'!$B4097,41,1000))-1),nrg_cb_e!$C$3:$C$40,0))</f>
        <v>FC_IND_FBT_E</v>
      </c>
      <c r="G4097" s="21">
        <v>300.29000000000002</v>
      </c>
    </row>
    <row r="4098" spans="1:7" x14ac:dyDescent="0.2">
      <c r="A4098" s="16" t="s">
        <v>52</v>
      </c>
      <c r="B4098" s="17" t="s">
        <v>69</v>
      </c>
      <c r="C4098" s="17" t="s">
        <v>8</v>
      </c>
      <c r="D4098" s="17" t="s">
        <v>10</v>
      </c>
      <c r="E4098" s="17" t="s">
        <v>28</v>
      </c>
      <c r="F4098" s="17" t="str">
        <f>INDEX(nrg_cb_e!$A$3:$A$40,MATCH(LEFT(MID('Industriesektor GWh'!$B4098,41,1000),SEARCH(" - ",MID('Industriesektor GWh'!$B4098,41,1000))-1),nrg_cb_e!$C$3:$C$40,0))</f>
        <v>FC_IND_FBT_E</v>
      </c>
      <c r="G4098" s="18">
        <v>326.589</v>
      </c>
    </row>
    <row r="4099" spans="1:7" x14ac:dyDescent="0.2">
      <c r="A4099" s="19" t="s">
        <v>53</v>
      </c>
      <c r="B4099" s="20" t="s">
        <v>69</v>
      </c>
      <c r="C4099" s="20" t="s">
        <v>8</v>
      </c>
      <c r="D4099" s="20" t="s">
        <v>10</v>
      </c>
      <c r="E4099" s="20" t="s">
        <v>12</v>
      </c>
      <c r="F4099" s="20" t="str">
        <f>INDEX(nrg_cb_e!$A$3:$A$40,MATCH(LEFT(MID('Industriesektor GWh'!$B4099,41,1000),SEARCH(" - ",MID('Industriesektor GWh'!$B4099,41,1000))-1),nrg_cb_e!$C$3:$C$40,0))</f>
        <v>FC_IND_FBT_E</v>
      </c>
      <c r="G4099" s="21">
        <v>1080</v>
      </c>
    </row>
    <row r="4100" spans="1:7" x14ac:dyDescent="0.2">
      <c r="A4100" s="16" t="s">
        <v>53</v>
      </c>
      <c r="B4100" s="17" t="s">
        <v>69</v>
      </c>
      <c r="C4100" s="17" t="s">
        <v>8</v>
      </c>
      <c r="D4100" s="17" t="s">
        <v>10</v>
      </c>
      <c r="E4100" s="17" t="s">
        <v>13</v>
      </c>
      <c r="F4100" s="17" t="str">
        <f>INDEX(nrg_cb_e!$A$3:$A$40,MATCH(LEFT(MID('Industriesektor GWh'!$B4100,41,1000),SEARCH(" - ",MID('Industriesektor GWh'!$B4100,41,1000))-1),nrg_cb_e!$C$3:$C$40,0))</f>
        <v>FC_IND_FBT_E</v>
      </c>
      <c r="G4100" s="18">
        <v>529</v>
      </c>
    </row>
    <row r="4101" spans="1:7" x14ac:dyDescent="0.2">
      <c r="A4101" s="19" t="s">
        <v>53</v>
      </c>
      <c r="B4101" s="20" t="s">
        <v>69</v>
      </c>
      <c r="C4101" s="20" t="s">
        <v>8</v>
      </c>
      <c r="D4101" s="20" t="s">
        <v>10</v>
      </c>
      <c r="E4101" s="20" t="s">
        <v>14</v>
      </c>
      <c r="F4101" s="20" t="str">
        <f>INDEX(nrg_cb_e!$A$3:$A$40,MATCH(LEFT(MID('Industriesektor GWh'!$B4101,41,1000),SEARCH(" - ",MID('Industriesektor GWh'!$B4101,41,1000))-1),nrg_cb_e!$C$3:$C$40,0))</f>
        <v>FC_IND_FBT_E</v>
      </c>
      <c r="G4101" s="21">
        <v>506</v>
      </c>
    </row>
    <row r="4102" spans="1:7" x14ac:dyDescent="0.2">
      <c r="A4102" s="16" t="s">
        <v>53</v>
      </c>
      <c r="B4102" s="17" t="s">
        <v>69</v>
      </c>
      <c r="C4102" s="17" t="s">
        <v>8</v>
      </c>
      <c r="D4102" s="17" t="s">
        <v>10</v>
      </c>
      <c r="E4102" s="17" t="s">
        <v>15</v>
      </c>
      <c r="F4102" s="17" t="str">
        <f>INDEX(nrg_cb_e!$A$3:$A$40,MATCH(LEFT(MID('Industriesektor GWh'!$B4102,41,1000),SEARCH(" - ",MID('Industriesektor GWh'!$B4102,41,1000))-1),nrg_cb_e!$C$3:$C$40,0))</f>
        <v>FC_IND_FBT_E</v>
      </c>
      <c r="G4102" s="18">
        <v>543</v>
      </c>
    </row>
    <row r="4103" spans="1:7" x14ac:dyDescent="0.2">
      <c r="A4103" s="19" t="s">
        <v>53</v>
      </c>
      <c r="B4103" s="20" t="s">
        <v>69</v>
      </c>
      <c r="C4103" s="20" t="s">
        <v>8</v>
      </c>
      <c r="D4103" s="20" t="s">
        <v>10</v>
      </c>
      <c r="E4103" s="20" t="s">
        <v>16</v>
      </c>
      <c r="F4103" s="20" t="str">
        <f>INDEX(nrg_cb_e!$A$3:$A$40,MATCH(LEFT(MID('Industriesektor GWh'!$B4103,41,1000),SEARCH(" - ",MID('Industriesektor GWh'!$B4103,41,1000))-1),nrg_cb_e!$C$3:$C$40,0))</f>
        <v>FC_IND_FBT_E</v>
      </c>
      <c r="G4103" s="21">
        <v>508</v>
      </c>
    </row>
    <row r="4104" spans="1:7" x14ac:dyDescent="0.2">
      <c r="A4104" s="16" t="s">
        <v>53</v>
      </c>
      <c r="B4104" s="17" t="s">
        <v>69</v>
      </c>
      <c r="C4104" s="17" t="s">
        <v>8</v>
      </c>
      <c r="D4104" s="17" t="s">
        <v>10</v>
      </c>
      <c r="E4104" s="17" t="s">
        <v>17</v>
      </c>
      <c r="F4104" s="17" t="str">
        <f>INDEX(nrg_cb_e!$A$3:$A$40,MATCH(LEFT(MID('Industriesektor GWh'!$B4104,41,1000),SEARCH(" - ",MID('Industriesektor GWh'!$B4104,41,1000))-1),nrg_cb_e!$C$3:$C$40,0))</f>
        <v>FC_IND_FBT_E</v>
      </c>
      <c r="G4104" s="18">
        <v>520</v>
      </c>
    </row>
    <row r="4105" spans="1:7" x14ac:dyDescent="0.2">
      <c r="A4105" s="19" t="s">
        <v>53</v>
      </c>
      <c r="B4105" s="20" t="s">
        <v>69</v>
      </c>
      <c r="C4105" s="20" t="s">
        <v>8</v>
      </c>
      <c r="D4105" s="20" t="s">
        <v>10</v>
      </c>
      <c r="E4105" s="20" t="s">
        <v>18</v>
      </c>
      <c r="F4105" s="20" t="str">
        <f>INDEX(nrg_cb_e!$A$3:$A$40,MATCH(LEFT(MID('Industriesektor GWh'!$B4105,41,1000),SEARCH(" - ",MID('Industriesektor GWh'!$B4105,41,1000))-1),nrg_cb_e!$C$3:$C$40,0))</f>
        <v>FC_IND_FBT_E</v>
      </c>
      <c r="G4105" s="21">
        <v>541</v>
      </c>
    </row>
    <row r="4106" spans="1:7" x14ac:dyDescent="0.2">
      <c r="A4106" s="16" t="s">
        <v>53</v>
      </c>
      <c r="B4106" s="17" t="s">
        <v>69</v>
      </c>
      <c r="C4106" s="17" t="s">
        <v>8</v>
      </c>
      <c r="D4106" s="17" t="s">
        <v>10</v>
      </c>
      <c r="E4106" s="17" t="s">
        <v>19</v>
      </c>
      <c r="F4106" s="17" t="str">
        <f>INDEX(nrg_cb_e!$A$3:$A$40,MATCH(LEFT(MID('Industriesektor GWh'!$B4106,41,1000),SEARCH(" - ",MID('Industriesektor GWh'!$B4106,41,1000))-1),nrg_cb_e!$C$3:$C$40,0))</f>
        <v>FC_IND_FBT_E</v>
      </c>
      <c r="G4106" s="18">
        <v>478</v>
      </c>
    </row>
    <row r="4107" spans="1:7" x14ac:dyDescent="0.2">
      <c r="A4107" s="19" t="s">
        <v>53</v>
      </c>
      <c r="B4107" s="20" t="s">
        <v>69</v>
      </c>
      <c r="C4107" s="20" t="s">
        <v>8</v>
      </c>
      <c r="D4107" s="20" t="s">
        <v>10</v>
      </c>
      <c r="E4107" s="20" t="s">
        <v>20</v>
      </c>
      <c r="F4107" s="20" t="str">
        <f>INDEX(nrg_cb_e!$A$3:$A$40,MATCH(LEFT(MID('Industriesektor GWh'!$B4107,41,1000),SEARCH(" - ",MID('Industriesektor GWh'!$B4107,41,1000))-1),nrg_cb_e!$C$3:$C$40,0))</f>
        <v>FC_IND_FBT_E</v>
      </c>
      <c r="G4107" s="21">
        <v>477</v>
      </c>
    </row>
    <row r="4108" spans="1:7" x14ac:dyDescent="0.2">
      <c r="A4108" s="16" t="s">
        <v>53</v>
      </c>
      <c r="B4108" s="17" t="s">
        <v>69</v>
      </c>
      <c r="C4108" s="17" t="s">
        <v>8</v>
      </c>
      <c r="D4108" s="17" t="s">
        <v>10</v>
      </c>
      <c r="E4108" s="17" t="s">
        <v>21</v>
      </c>
      <c r="F4108" s="17" t="str">
        <f>INDEX(nrg_cb_e!$A$3:$A$40,MATCH(LEFT(MID('Industriesektor GWh'!$B4108,41,1000),SEARCH(" - ",MID('Industriesektor GWh'!$B4108,41,1000))-1),nrg_cb_e!$C$3:$C$40,0))</f>
        <v>FC_IND_FBT_E</v>
      </c>
      <c r="G4108" s="18">
        <v>435</v>
      </c>
    </row>
    <row r="4109" spans="1:7" x14ac:dyDescent="0.2">
      <c r="A4109" s="19" t="s">
        <v>53</v>
      </c>
      <c r="B4109" s="20" t="s">
        <v>69</v>
      </c>
      <c r="C4109" s="20" t="s">
        <v>8</v>
      </c>
      <c r="D4109" s="20" t="s">
        <v>10</v>
      </c>
      <c r="E4109" s="20" t="s">
        <v>22</v>
      </c>
      <c r="F4109" s="20" t="str">
        <f>INDEX(nrg_cb_e!$A$3:$A$40,MATCH(LEFT(MID('Industriesektor GWh'!$B4109,41,1000),SEARCH(" - ",MID('Industriesektor GWh'!$B4109,41,1000))-1),nrg_cb_e!$C$3:$C$40,0))</f>
        <v>FC_IND_FBT_E</v>
      </c>
      <c r="G4109" s="21">
        <v>518</v>
      </c>
    </row>
    <row r="4110" spans="1:7" x14ac:dyDescent="0.2">
      <c r="A4110" s="16" t="s">
        <v>53</v>
      </c>
      <c r="B4110" s="17" t="s">
        <v>69</v>
      </c>
      <c r="C4110" s="17" t="s">
        <v>8</v>
      </c>
      <c r="D4110" s="17" t="s">
        <v>10</v>
      </c>
      <c r="E4110" s="17" t="s">
        <v>23</v>
      </c>
      <c r="F4110" s="17" t="str">
        <f>INDEX(nrg_cb_e!$A$3:$A$40,MATCH(LEFT(MID('Industriesektor GWh'!$B4110,41,1000),SEARCH(" - ",MID('Industriesektor GWh'!$B4110,41,1000))-1),nrg_cb_e!$C$3:$C$40,0))</f>
        <v>FC_IND_FBT_E</v>
      </c>
      <c r="G4110" s="18">
        <v>504</v>
      </c>
    </row>
    <row r="4111" spans="1:7" x14ac:dyDescent="0.2">
      <c r="A4111" s="19" t="s">
        <v>53</v>
      </c>
      <c r="B4111" s="20" t="s">
        <v>69</v>
      </c>
      <c r="C4111" s="20" t="s">
        <v>8</v>
      </c>
      <c r="D4111" s="20" t="s">
        <v>10</v>
      </c>
      <c r="E4111" s="20" t="s">
        <v>24</v>
      </c>
      <c r="F4111" s="20" t="str">
        <f>INDEX(nrg_cb_e!$A$3:$A$40,MATCH(LEFT(MID('Industriesektor GWh'!$B4111,41,1000),SEARCH(" - ",MID('Industriesektor GWh'!$B4111,41,1000))-1),nrg_cb_e!$C$3:$C$40,0))</f>
        <v>FC_IND_FBT_E</v>
      </c>
      <c r="G4111" s="21">
        <v>567</v>
      </c>
    </row>
    <row r="4112" spans="1:7" x14ac:dyDescent="0.2">
      <c r="A4112" s="16" t="s">
        <v>53</v>
      </c>
      <c r="B4112" s="17" t="s">
        <v>69</v>
      </c>
      <c r="C4112" s="17" t="s">
        <v>8</v>
      </c>
      <c r="D4112" s="17" t="s">
        <v>10</v>
      </c>
      <c r="E4112" s="17" t="s">
        <v>25</v>
      </c>
      <c r="F4112" s="17" t="str">
        <f>INDEX(nrg_cb_e!$A$3:$A$40,MATCH(LEFT(MID('Industriesektor GWh'!$B4112,41,1000),SEARCH(" - ",MID('Industriesektor GWh'!$B4112,41,1000))-1),nrg_cb_e!$C$3:$C$40,0))</f>
        <v>FC_IND_FBT_E</v>
      </c>
      <c r="G4112" s="18">
        <v>537</v>
      </c>
    </row>
    <row r="4113" spans="1:7" x14ac:dyDescent="0.2">
      <c r="A4113" s="19" t="s">
        <v>53</v>
      </c>
      <c r="B4113" s="20" t="s">
        <v>69</v>
      </c>
      <c r="C4113" s="20" t="s">
        <v>8</v>
      </c>
      <c r="D4113" s="20" t="s">
        <v>10</v>
      </c>
      <c r="E4113" s="20" t="s">
        <v>26</v>
      </c>
      <c r="F4113" s="20" t="str">
        <f>INDEX(nrg_cb_e!$A$3:$A$40,MATCH(LEFT(MID('Industriesektor GWh'!$B4113,41,1000),SEARCH(" - ",MID('Industriesektor GWh'!$B4113,41,1000))-1),nrg_cb_e!$C$3:$C$40,0))</f>
        <v>FC_IND_FBT_E</v>
      </c>
      <c r="G4113" s="21">
        <v>536</v>
      </c>
    </row>
    <row r="4114" spans="1:7" x14ac:dyDescent="0.2">
      <c r="A4114" s="16" t="s">
        <v>53</v>
      </c>
      <c r="B4114" s="17" t="s">
        <v>69</v>
      </c>
      <c r="C4114" s="17" t="s">
        <v>8</v>
      </c>
      <c r="D4114" s="17" t="s">
        <v>10</v>
      </c>
      <c r="E4114" s="17" t="s">
        <v>27</v>
      </c>
      <c r="F4114" s="17" t="str">
        <f>INDEX(nrg_cb_e!$A$3:$A$40,MATCH(LEFT(MID('Industriesektor GWh'!$B4114,41,1000),SEARCH(" - ",MID('Industriesektor GWh'!$B4114,41,1000))-1),nrg_cb_e!$C$3:$C$40,0))</f>
        <v>FC_IND_FBT_E</v>
      </c>
      <c r="G4114" s="18">
        <v>477</v>
      </c>
    </row>
    <row r="4115" spans="1:7" x14ac:dyDescent="0.2">
      <c r="A4115" s="19" t="s">
        <v>53</v>
      </c>
      <c r="B4115" s="20" t="s">
        <v>69</v>
      </c>
      <c r="C4115" s="20" t="s">
        <v>8</v>
      </c>
      <c r="D4115" s="20" t="s">
        <v>10</v>
      </c>
      <c r="E4115" s="20" t="s">
        <v>28</v>
      </c>
      <c r="F4115" s="20" t="str">
        <f>INDEX(nrg_cb_e!$A$3:$A$40,MATCH(LEFT(MID('Industriesektor GWh'!$B4115,41,1000),SEARCH(" - ",MID('Industriesektor GWh'!$B4115,41,1000))-1),nrg_cb_e!$C$3:$C$40,0))</f>
        <v>FC_IND_FBT_E</v>
      </c>
      <c r="G4115" s="21">
        <v>490</v>
      </c>
    </row>
    <row r="4116" spans="1:7" x14ac:dyDescent="0.2">
      <c r="A4116" s="16" t="s">
        <v>54</v>
      </c>
      <c r="B4116" s="17" t="s">
        <v>69</v>
      </c>
      <c r="C4116" s="17" t="s">
        <v>8</v>
      </c>
      <c r="D4116" s="17" t="s">
        <v>10</v>
      </c>
      <c r="E4116" s="17" t="s">
        <v>12</v>
      </c>
      <c r="F4116" s="17" t="str">
        <f>INDEX(nrg_cb_e!$A$3:$A$40,MATCH(LEFT(MID('Industriesektor GWh'!$B4116,41,1000),SEARCH(" - ",MID('Industriesektor GWh'!$B4116,41,1000))-1),nrg_cb_e!$C$3:$C$40,0))</f>
        <v>FC_IND_FBT_E</v>
      </c>
      <c r="G4116" s="18">
        <v>1564</v>
      </c>
    </row>
    <row r="4117" spans="1:7" x14ac:dyDescent="0.2">
      <c r="A4117" s="19" t="s">
        <v>54</v>
      </c>
      <c r="B4117" s="20" t="s">
        <v>69</v>
      </c>
      <c r="C4117" s="20" t="s">
        <v>8</v>
      </c>
      <c r="D4117" s="20" t="s">
        <v>10</v>
      </c>
      <c r="E4117" s="20" t="s">
        <v>13</v>
      </c>
      <c r="F4117" s="20" t="str">
        <f>INDEX(nrg_cb_e!$A$3:$A$40,MATCH(LEFT(MID('Industriesektor GWh'!$B4117,41,1000),SEARCH(" - ",MID('Industriesektor GWh'!$B4117,41,1000))-1),nrg_cb_e!$C$3:$C$40,0))</f>
        <v>FC_IND_FBT_E</v>
      </c>
      <c r="G4117" s="21">
        <v>1547</v>
      </c>
    </row>
    <row r="4118" spans="1:7" x14ac:dyDescent="0.2">
      <c r="A4118" s="16" t="s">
        <v>54</v>
      </c>
      <c r="B4118" s="17" t="s">
        <v>69</v>
      </c>
      <c r="C4118" s="17" t="s">
        <v>8</v>
      </c>
      <c r="D4118" s="17" t="s">
        <v>10</v>
      </c>
      <c r="E4118" s="17" t="s">
        <v>14</v>
      </c>
      <c r="F4118" s="17" t="str">
        <f>INDEX(nrg_cb_e!$A$3:$A$40,MATCH(LEFT(MID('Industriesektor GWh'!$B4118,41,1000),SEARCH(" - ",MID('Industriesektor GWh'!$B4118,41,1000))-1),nrg_cb_e!$C$3:$C$40,0))</f>
        <v>FC_IND_FBT_E</v>
      </c>
      <c r="G4118" s="18">
        <v>1493</v>
      </c>
    </row>
    <row r="4119" spans="1:7" x14ac:dyDescent="0.2">
      <c r="A4119" s="19" t="s">
        <v>54</v>
      </c>
      <c r="B4119" s="20" t="s">
        <v>69</v>
      </c>
      <c r="C4119" s="20" t="s">
        <v>8</v>
      </c>
      <c r="D4119" s="20" t="s">
        <v>10</v>
      </c>
      <c r="E4119" s="20" t="s">
        <v>15</v>
      </c>
      <c r="F4119" s="20" t="str">
        <f>INDEX(nrg_cb_e!$A$3:$A$40,MATCH(LEFT(MID('Industriesektor GWh'!$B4119,41,1000),SEARCH(" - ",MID('Industriesektor GWh'!$B4119,41,1000))-1),nrg_cb_e!$C$3:$C$40,0))</f>
        <v>FC_IND_FBT_E</v>
      </c>
      <c r="G4119" s="21">
        <v>1462</v>
      </c>
    </row>
    <row r="4120" spans="1:7" x14ac:dyDescent="0.2">
      <c r="A4120" s="16" t="s">
        <v>54</v>
      </c>
      <c r="B4120" s="17" t="s">
        <v>69</v>
      </c>
      <c r="C4120" s="17" t="s">
        <v>8</v>
      </c>
      <c r="D4120" s="17" t="s">
        <v>10</v>
      </c>
      <c r="E4120" s="17" t="s">
        <v>16</v>
      </c>
      <c r="F4120" s="17" t="str">
        <f>INDEX(nrg_cb_e!$A$3:$A$40,MATCH(LEFT(MID('Industriesektor GWh'!$B4120,41,1000),SEARCH(" - ",MID('Industriesektor GWh'!$B4120,41,1000))-1),nrg_cb_e!$C$3:$C$40,0))</f>
        <v>FC_IND_FBT_E</v>
      </c>
      <c r="G4120" s="18">
        <v>1583</v>
      </c>
    </row>
    <row r="4121" spans="1:7" x14ac:dyDescent="0.2">
      <c r="A4121" s="19" t="s">
        <v>54</v>
      </c>
      <c r="B4121" s="20" t="s">
        <v>69</v>
      </c>
      <c r="C4121" s="20" t="s">
        <v>8</v>
      </c>
      <c r="D4121" s="20" t="s">
        <v>10</v>
      </c>
      <c r="E4121" s="20" t="s">
        <v>17</v>
      </c>
      <c r="F4121" s="20" t="str">
        <f>INDEX(nrg_cb_e!$A$3:$A$40,MATCH(LEFT(MID('Industriesektor GWh'!$B4121,41,1000),SEARCH(" - ",MID('Industriesektor GWh'!$B4121,41,1000))-1),nrg_cb_e!$C$3:$C$40,0))</f>
        <v>FC_IND_FBT_E</v>
      </c>
      <c r="G4121" s="21">
        <v>1468</v>
      </c>
    </row>
    <row r="4122" spans="1:7" x14ac:dyDescent="0.2">
      <c r="A4122" s="16" t="s">
        <v>54</v>
      </c>
      <c r="B4122" s="17" t="s">
        <v>69</v>
      </c>
      <c r="C4122" s="17" t="s">
        <v>8</v>
      </c>
      <c r="D4122" s="17" t="s">
        <v>10</v>
      </c>
      <c r="E4122" s="17" t="s">
        <v>18</v>
      </c>
      <c r="F4122" s="17" t="str">
        <f>INDEX(nrg_cb_e!$A$3:$A$40,MATCH(LEFT(MID('Industriesektor GWh'!$B4122,41,1000),SEARCH(" - ",MID('Industriesektor GWh'!$B4122,41,1000))-1),nrg_cb_e!$C$3:$C$40,0))</f>
        <v>FC_IND_FBT_E</v>
      </c>
      <c r="G4122" s="18">
        <v>1233</v>
      </c>
    </row>
    <row r="4123" spans="1:7" x14ac:dyDescent="0.2">
      <c r="A4123" s="19" t="s">
        <v>54</v>
      </c>
      <c r="B4123" s="20" t="s">
        <v>69</v>
      </c>
      <c r="C4123" s="20" t="s">
        <v>8</v>
      </c>
      <c r="D4123" s="20" t="s">
        <v>10</v>
      </c>
      <c r="E4123" s="20" t="s">
        <v>19</v>
      </c>
      <c r="F4123" s="20" t="str">
        <f>INDEX(nrg_cb_e!$A$3:$A$40,MATCH(LEFT(MID('Industriesektor GWh'!$B4123,41,1000),SEARCH(" - ",MID('Industriesektor GWh'!$B4123,41,1000))-1),nrg_cb_e!$C$3:$C$40,0))</f>
        <v>FC_IND_FBT_E</v>
      </c>
      <c r="G4123" s="21">
        <v>1844</v>
      </c>
    </row>
    <row r="4124" spans="1:7" x14ac:dyDescent="0.2">
      <c r="A4124" s="16" t="s">
        <v>54</v>
      </c>
      <c r="B4124" s="17" t="s">
        <v>69</v>
      </c>
      <c r="C4124" s="17" t="s">
        <v>8</v>
      </c>
      <c r="D4124" s="17" t="s">
        <v>10</v>
      </c>
      <c r="E4124" s="17" t="s">
        <v>20</v>
      </c>
      <c r="F4124" s="17" t="str">
        <f>INDEX(nrg_cb_e!$A$3:$A$40,MATCH(LEFT(MID('Industriesektor GWh'!$B4124,41,1000),SEARCH(" - ",MID('Industriesektor GWh'!$B4124,41,1000))-1),nrg_cb_e!$C$3:$C$40,0))</f>
        <v>FC_IND_FBT_E</v>
      </c>
      <c r="G4124" s="18">
        <v>1646</v>
      </c>
    </row>
    <row r="4125" spans="1:7" x14ac:dyDescent="0.2">
      <c r="A4125" s="19" t="s">
        <v>54</v>
      </c>
      <c r="B4125" s="20" t="s">
        <v>69</v>
      </c>
      <c r="C4125" s="20" t="s">
        <v>8</v>
      </c>
      <c r="D4125" s="20" t="s">
        <v>10</v>
      </c>
      <c r="E4125" s="20" t="s">
        <v>21</v>
      </c>
      <c r="F4125" s="20" t="str">
        <f>INDEX(nrg_cb_e!$A$3:$A$40,MATCH(LEFT(MID('Industriesektor GWh'!$B4125,41,1000),SEARCH(" - ",MID('Industriesektor GWh'!$B4125,41,1000))-1),nrg_cb_e!$C$3:$C$40,0))</f>
        <v>FC_IND_FBT_E</v>
      </c>
      <c r="G4125" s="21">
        <v>1634</v>
      </c>
    </row>
    <row r="4126" spans="1:7" x14ac:dyDescent="0.2">
      <c r="A4126" s="16" t="s">
        <v>54</v>
      </c>
      <c r="B4126" s="17" t="s">
        <v>69</v>
      </c>
      <c r="C4126" s="17" t="s">
        <v>8</v>
      </c>
      <c r="D4126" s="17" t="s">
        <v>10</v>
      </c>
      <c r="E4126" s="17" t="s">
        <v>22</v>
      </c>
      <c r="F4126" s="17" t="str">
        <f>INDEX(nrg_cb_e!$A$3:$A$40,MATCH(LEFT(MID('Industriesektor GWh'!$B4126,41,1000),SEARCH(" - ",MID('Industriesektor GWh'!$B4126,41,1000))-1),nrg_cb_e!$C$3:$C$40,0))</f>
        <v>FC_IND_FBT_E</v>
      </c>
      <c r="G4126" s="18">
        <v>1572</v>
      </c>
    </row>
    <row r="4127" spans="1:7" x14ac:dyDescent="0.2">
      <c r="A4127" s="19" t="s">
        <v>54</v>
      </c>
      <c r="B4127" s="20" t="s">
        <v>69</v>
      </c>
      <c r="C4127" s="20" t="s">
        <v>8</v>
      </c>
      <c r="D4127" s="20" t="s">
        <v>10</v>
      </c>
      <c r="E4127" s="20" t="s">
        <v>23</v>
      </c>
      <c r="F4127" s="20" t="str">
        <f>INDEX(nrg_cb_e!$A$3:$A$40,MATCH(LEFT(MID('Industriesektor GWh'!$B4127,41,1000),SEARCH(" - ",MID('Industriesektor GWh'!$B4127,41,1000))-1),nrg_cb_e!$C$3:$C$40,0))</f>
        <v>FC_IND_FBT_E</v>
      </c>
      <c r="G4127" s="21">
        <v>1666</v>
      </c>
    </row>
    <row r="4128" spans="1:7" x14ac:dyDescent="0.2">
      <c r="A4128" s="16" t="s">
        <v>54</v>
      </c>
      <c r="B4128" s="17" t="s">
        <v>69</v>
      </c>
      <c r="C4128" s="17" t="s">
        <v>8</v>
      </c>
      <c r="D4128" s="17" t="s">
        <v>10</v>
      </c>
      <c r="E4128" s="17" t="s">
        <v>24</v>
      </c>
      <c r="F4128" s="17" t="str">
        <f>INDEX(nrg_cb_e!$A$3:$A$40,MATCH(LEFT(MID('Industriesektor GWh'!$B4128,41,1000),SEARCH(" - ",MID('Industriesektor GWh'!$B4128,41,1000))-1),nrg_cb_e!$C$3:$C$40,0))</f>
        <v>FC_IND_FBT_E</v>
      </c>
      <c r="G4128" s="18">
        <v>1774</v>
      </c>
    </row>
    <row r="4129" spans="1:7" x14ac:dyDescent="0.2">
      <c r="A4129" s="19" t="s">
        <v>54</v>
      </c>
      <c r="B4129" s="20" t="s">
        <v>69</v>
      </c>
      <c r="C4129" s="20" t="s">
        <v>8</v>
      </c>
      <c r="D4129" s="20" t="s">
        <v>10</v>
      </c>
      <c r="E4129" s="20" t="s">
        <v>25</v>
      </c>
      <c r="F4129" s="20" t="str">
        <f>INDEX(nrg_cb_e!$A$3:$A$40,MATCH(LEFT(MID('Industriesektor GWh'!$B4129,41,1000),SEARCH(" - ",MID('Industriesektor GWh'!$B4129,41,1000))-1),nrg_cb_e!$C$3:$C$40,0))</f>
        <v>FC_IND_FBT_E</v>
      </c>
      <c r="G4129" s="21">
        <v>1683</v>
      </c>
    </row>
    <row r="4130" spans="1:7" x14ac:dyDescent="0.2">
      <c r="A4130" s="16" t="s">
        <v>54</v>
      </c>
      <c r="B4130" s="17" t="s">
        <v>69</v>
      </c>
      <c r="C4130" s="17" t="s">
        <v>8</v>
      </c>
      <c r="D4130" s="17" t="s">
        <v>10</v>
      </c>
      <c r="E4130" s="17" t="s">
        <v>26</v>
      </c>
      <c r="F4130" s="17" t="str">
        <f>INDEX(nrg_cb_e!$A$3:$A$40,MATCH(LEFT(MID('Industriesektor GWh'!$B4130,41,1000),SEARCH(" - ",MID('Industriesektor GWh'!$B4130,41,1000))-1),nrg_cb_e!$C$3:$C$40,0))</f>
        <v>FC_IND_FBT_E</v>
      </c>
      <c r="G4130" s="18">
        <v>1705</v>
      </c>
    </row>
    <row r="4131" spans="1:7" x14ac:dyDescent="0.2">
      <c r="A4131" s="19" t="s">
        <v>54</v>
      </c>
      <c r="B4131" s="20" t="s">
        <v>69</v>
      </c>
      <c r="C4131" s="20" t="s">
        <v>8</v>
      </c>
      <c r="D4131" s="20" t="s">
        <v>10</v>
      </c>
      <c r="E4131" s="20" t="s">
        <v>27</v>
      </c>
      <c r="F4131" s="20" t="str">
        <f>INDEX(nrg_cb_e!$A$3:$A$40,MATCH(LEFT(MID('Industriesektor GWh'!$B4131,41,1000),SEARCH(" - ",MID('Industriesektor GWh'!$B4131,41,1000))-1),nrg_cb_e!$C$3:$C$40,0))</f>
        <v>FC_IND_FBT_E</v>
      </c>
      <c r="G4131" s="21">
        <v>1932</v>
      </c>
    </row>
    <row r="4132" spans="1:7" x14ac:dyDescent="0.2">
      <c r="A4132" s="16" t="s">
        <v>54</v>
      </c>
      <c r="B4132" s="17" t="s">
        <v>69</v>
      </c>
      <c r="C4132" s="17" t="s">
        <v>8</v>
      </c>
      <c r="D4132" s="17" t="s">
        <v>10</v>
      </c>
      <c r="E4132" s="17" t="s">
        <v>28</v>
      </c>
      <c r="F4132" s="17" t="str">
        <f>INDEX(nrg_cb_e!$A$3:$A$40,MATCH(LEFT(MID('Industriesektor GWh'!$B4132,41,1000),SEARCH(" - ",MID('Industriesektor GWh'!$B4132,41,1000))-1),nrg_cb_e!$C$3:$C$40,0))</f>
        <v>FC_IND_FBT_E</v>
      </c>
      <c r="G4132" s="18">
        <v>2048</v>
      </c>
    </row>
    <row r="4133" spans="1:7" x14ac:dyDescent="0.2">
      <c r="A4133" s="19" t="s">
        <v>55</v>
      </c>
      <c r="B4133" s="20" t="s">
        <v>69</v>
      </c>
      <c r="C4133" s="20" t="s">
        <v>8</v>
      </c>
      <c r="D4133" s="20" t="s">
        <v>10</v>
      </c>
      <c r="E4133" s="20" t="s">
        <v>12</v>
      </c>
      <c r="F4133" s="20" t="str">
        <f>INDEX(nrg_cb_e!$A$3:$A$40,MATCH(LEFT(MID('Industriesektor GWh'!$B4133,41,1000),SEARCH(" - ",MID('Industriesektor GWh'!$B4133,41,1000))-1),nrg_cb_e!$C$3:$C$40,0))</f>
        <v>FC_IND_FBT_E</v>
      </c>
      <c r="G4133" s="21">
        <v>2683</v>
      </c>
    </row>
    <row r="4134" spans="1:7" x14ac:dyDescent="0.2">
      <c r="A4134" s="16" t="s">
        <v>55</v>
      </c>
      <c r="B4134" s="17" t="s">
        <v>69</v>
      </c>
      <c r="C4134" s="17" t="s">
        <v>8</v>
      </c>
      <c r="D4134" s="17" t="s">
        <v>10</v>
      </c>
      <c r="E4134" s="17" t="s">
        <v>13</v>
      </c>
      <c r="F4134" s="17" t="str">
        <f>INDEX(nrg_cb_e!$A$3:$A$40,MATCH(LEFT(MID('Industriesektor GWh'!$B4134,41,1000),SEARCH(" - ",MID('Industriesektor GWh'!$B4134,41,1000))-1),nrg_cb_e!$C$3:$C$40,0))</f>
        <v>FC_IND_FBT_E</v>
      </c>
      <c r="G4134" s="18">
        <v>2470</v>
      </c>
    </row>
    <row r="4135" spans="1:7" x14ac:dyDescent="0.2">
      <c r="A4135" s="19" t="s">
        <v>55</v>
      </c>
      <c r="B4135" s="20" t="s">
        <v>69</v>
      </c>
      <c r="C4135" s="20" t="s">
        <v>8</v>
      </c>
      <c r="D4135" s="20" t="s">
        <v>10</v>
      </c>
      <c r="E4135" s="20" t="s">
        <v>14</v>
      </c>
      <c r="F4135" s="20" t="str">
        <f>INDEX(nrg_cb_e!$A$3:$A$40,MATCH(LEFT(MID('Industriesektor GWh'!$B4135,41,1000),SEARCH(" - ",MID('Industriesektor GWh'!$B4135,41,1000))-1),nrg_cb_e!$C$3:$C$40,0))</f>
        <v>FC_IND_FBT_E</v>
      </c>
      <c r="G4135" s="21">
        <v>2519</v>
      </c>
    </row>
    <row r="4136" spans="1:7" x14ac:dyDescent="0.2">
      <c r="A4136" s="16" t="s">
        <v>55</v>
      </c>
      <c r="B4136" s="17" t="s">
        <v>69</v>
      </c>
      <c r="C4136" s="17" t="s">
        <v>8</v>
      </c>
      <c r="D4136" s="17" t="s">
        <v>10</v>
      </c>
      <c r="E4136" s="17" t="s">
        <v>15</v>
      </c>
      <c r="F4136" s="17" t="str">
        <f>INDEX(nrg_cb_e!$A$3:$A$40,MATCH(LEFT(MID('Industriesektor GWh'!$B4136,41,1000),SEARCH(" - ",MID('Industriesektor GWh'!$B4136,41,1000))-1),nrg_cb_e!$C$3:$C$40,0))</f>
        <v>FC_IND_FBT_E</v>
      </c>
      <c r="G4136" s="18">
        <v>2433</v>
      </c>
    </row>
    <row r="4137" spans="1:7" x14ac:dyDescent="0.2">
      <c r="A4137" s="19" t="s">
        <v>55</v>
      </c>
      <c r="B4137" s="20" t="s">
        <v>69</v>
      </c>
      <c r="C4137" s="20" t="s">
        <v>8</v>
      </c>
      <c r="D4137" s="20" t="s">
        <v>10</v>
      </c>
      <c r="E4137" s="20" t="s">
        <v>16</v>
      </c>
      <c r="F4137" s="20" t="str">
        <f>INDEX(nrg_cb_e!$A$3:$A$40,MATCH(LEFT(MID('Industriesektor GWh'!$B4137,41,1000),SEARCH(" - ",MID('Industriesektor GWh'!$B4137,41,1000))-1),nrg_cb_e!$C$3:$C$40,0))</f>
        <v>FC_IND_FBT_E</v>
      </c>
      <c r="G4137" s="21">
        <v>2437</v>
      </c>
    </row>
    <row r="4138" spans="1:7" x14ac:dyDescent="0.2">
      <c r="A4138" s="16" t="s">
        <v>55</v>
      </c>
      <c r="B4138" s="17" t="s">
        <v>69</v>
      </c>
      <c r="C4138" s="17" t="s">
        <v>8</v>
      </c>
      <c r="D4138" s="17" t="s">
        <v>10</v>
      </c>
      <c r="E4138" s="17" t="s">
        <v>17</v>
      </c>
      <c r="F4138" s="17" t="str">
        <f>INDEX(nrg_cb_e!$A$3:$A$40,MATCH(LEFT(MID('Industriesektor GWh'!$B4138,41,1000),SEARCH(" - ",MID('Industriesektor GWh'!$B4138,41,1000))-1),nrg_cb_e!$C$3:$C$40,0))</f>
        <v>FC_IND_FBT_E</v>
      </c>
      <c r="G4138" s="18">
        <v>2464</v>
      </c>
    </row>
    <row r="4139" spans="1:7" x14ac:dyDescent="0.2">
      <c r="A4139" s="19" t="s">
        <v>55</v>
      </c>
      <c r="B4139" s="20" t="s">
        <v>69</v>
      </c>
      <c r="C4139" s="20" t="s">
        <v>8</v>
      </c>
      <c r="D4139" s="20" t="s">
        <v>10</v>
      </c>
      <c r="E4139" s="20" t="s">
        <v>18</v>
      </c>
      <c r="F4139" s="20" t="str">
        <f>INDEX(nrg_cb_e!$A$3:$A$40,MATCH(LEFT(MID('Industriesektor GWh'!$B4139,41,1000),SEARCH(" - ",MID('Industriesektor GWh'!$B4139,41,1000))-1),nrg_cb_e!$C$3:$C$40,0))</f>
        <v>FC_IND_FBT_E</v>
      </c>
      <c r="G4139" s="21">
        <v>2495</v>
      </c>
    </row>
    <row r="4140" spans="1:7" x14ac:dyDescent="0.2">
      <c r="A4140" s="16" t="s">
        <v>55</v>
      </c>
      <c r="B4140" s="17" t="s">
        <v>69</v>
      </c>
      <c r="C4140" s="17" t="s">
        <v>8</v>
      </c>
      <c r="D4140" s="17" t="s">
        <v>10</v>
      </c>
      <c r="E4140" s="17" t="s">
        <v>19</v>
      </c>
      <c r="F4140" s="17" t="str">
        <f>INDEX(nrg_cb_e!$A$3:$A$40,MATCH(LEFT(MID('Industriesektor GWh'!$B4140,41,1000),SEARCH(" - ",MID('Industriesektor GWh'!$B4140,41,1000))-1),nrg_cb_e!$C$3:$C$40,0))</f>
        <v>FC_IND_FBT_E</v>
      </c>
      <c r="G4140" s="18">
        <v>2384</v>
      </c>
    </row>
    <row r="4141" spans="1:7" x14ac:dyDescent="0.2">
      <c r="A4141" s="19" t="s">
        <v>55</v>
      </c>
      <c r="B4141" s="20" t="s">
        <v>69</v>
      </c>
      <c r="C4141" s="20" t="s">
        <v>8</v>
      </c>
      <c r="D4141" s="20" t="s">
        <v>10</v>
      </c>
      <c r="E4141" s="20" t="s">
        <v>20</v>
      </c>
      <c r="F4141" s="20" t="str">
        <f>INDEX(nrg_cb_e!$A$3:$A$40,MATCH(LEFT(MID('Industriesektor GWh'!$B4141,41,1000),SEARCH(" - ",MID('Industriesektor GWh'!$B4141,41,1000))-1),nrg_cb_e!$C$3:$C$40,0))</f>
        <v>FC_IND_FBT_E</v>
      </c>
      <c r="G4141" s="21">
        <v>2575</v>
      </c>
    </row>
    <row r="4142" spans="1:7" x14ac:dyDescent="0.2">
      <c r="A4142" s="16" t="s">
        <v>55</v>
      </c>
      <c r="B4142" s="17" t="s">
        <v>69</v>
      </c>
      <c r="C4142" s="17" t="s">
        <v>8</v>
      </c>
      <c r="D4142" s="17" t="s">
        <v>10</v>
      </c>
      <c r="E4142" s="17" t="s">
        <v>21</v>
      </c>
      <c r="F4142" s="17" t="str">
        <f>INDEX(nrg_cb_e!$A$3:$A$40,MATCH(LEFT(MID('Industriesektor GWh'!$B4142,41,1000),SEARCH(" - ",MID('Industriesektor GWh'!$B4142,41,1000))-1),nrg_cb_e!$C$3:$C$40,0))</f>
        <v>FC_IND_FBT_E</v>
      </c>
      <c r="G4142" s="18">
        <v>2495</v>
      </c>
    </row>
    <row r="4143" spans="1:7" x14ac:dyDescent="0.2">
      <c r="A4143" s="19" t="s">
        <v>55</v>
      </c>
      <c r="B4143" s="20" t="s">
        <v>69</v>
      </c>
      <c r="C4143" s="20" t="s">
        <v>8</v>
      </c>
      <c r="D4143" s="20" t="s">
        <v>10</v>
      </c>
      <c r="E4143" s="20" t="s">
        <v>22</v>
      </c>
      <c r="F4143" s="20" t="str">
        <f>INDEX(nrg_cb_e!$A$3:$A$40,MATCH(LEFT(MID('Industriesektor GWh'!$B4143,41,1000),SEARCH(" - ",MID('Industriesektor GWh'!$B4143,41,1000))-1),nrg_cb_e!$C$3:$C$40,0))</f>
        <v>FC_IND_FBT_E</v>
      </c>
      <c r="G4143" s="21">
        <v>2460</v>
      </c>
    </row>
    <row r="4144" spans="1:7" x14ac:dyDescent="0.2">
      <c r="A4144" s="16" t="s">
        <v>55</v>
      </c>
      <c r="B4144" s="17" t="s">
        <v>69</v>
      </c>
      <c r="C4144" s="17" t="s">
        <v>8</v>
      </c>
      <c r="D4144" s="17" t="s">
        <v>10</v>
      </c>
      <c r="E4144" s="17" t="s">
        <v>23</v>
      </c>
      <c r="F4144" s="17" t="str">
        <f>INDEX(nrg_cb_e!$A$3:$A$40,MATCH(LEFT(MID('Industriesektor GWh'!$B4144,41,1000),SEARCH(" - ",MID('Industriesektor GWh'!$B4144,41,1000))-1),nrg_cb_e!$C$3:$C$40,0))</f>
        <v>FC_IND_FBT_E</v>
      </c>
      <c r="G4144" s="18">
        <v>2400</v>
      </c>
    </row>
    <row r="4145" spans="1:7" x14ac:dyDescent="0.2">
      <c r="A4145" s="19" t="s">
        <v>55</v>
      </c>
      <c r="B4145" s="20" t="s">
        <v>69</v>
      </c>
      <c r="C4145" s="20" t="s">
        <v>8</v>
      </c>
      <c r="D4145" s="20" t="s">
        <v>10</v>
      </c>
      <c r="E4145" s="20" t="s">
        <v>24</v>
      </c>
      <c r="F4145" s="20" t="str">
        <f>INDEX(nrg_cb_e!$A$3:$A$40,MATCH(LEFT(MID('Industriesektor GWh'!$B4145,41,1000),SEARCH(" - ",MID('Industriesektor GWh'!$B4145,41,1000))-1),nrg_cb_e!$C$3:$C$40,0))</f>
        <v>FC_IND_FBT_E</v>
      </c>
      <c r="G4145" s="21">
        <v>2452</v>
      </c>
    </row>
    <row r="4146" spans="1:7" x14ac:dyDescent="0.2">
      <c r="A4146" s="16" t="s">
        <v>55</v>
      </c>
      <c r="B4146" s="17" t="s">
        <v>69</v>
      </c>
      <c r="C4146" s="17" t="s">
        <v>8</v>
      </c>
      <c r="D4146" s="17" t="s">
        <v>10</v>
      </c>
      <c r="E4146" s="17" t="s">
        <v>25</v>
      </c>
      <c r="F4146" s="17" t="str">
        <f>INDEX(nrg_cb_e!$A$3:$A$40,MATCH(LEFT(MID('Industriesektor GWh'!$B4146,41,1000),SEARCH(" - ",MID('Industriesektor GWh'!$B4146,41,1000))-1),nrg_cb_e!$C$3:$C$40,0))</f>
        <v>FC_IND_FBT_E</v>
      </c>
      <c r="G4146" s="18">
        <v>2415</v>
      </c>
    </row>
    <row r="4147" spans="1:7" x14ac:dyDescent="0.2">
      <c r="A4147" s="19" t="s">
        <v>55</v>
      </c>
      <c r="B4147" s="20" t="s">
        <v>69</v>
      </c>
      <c r="C4147" s="20" t="s">
        <v>8</v>
      </c>
      <c r="D4147" s="20" t="s">
        <v>10</v>
      </c>
      <c r="E4147" s="20" t="s">
        <v>26</v>
      </c>
      <c r="F4147" s="20" t="str">
        <f>INDEX(nrg_cb_e!$A$3:$A$40,MATCH(LEFT(MID('Industriesektor GWh'!$B4147,41,1000),SEARCH(" - ",MID('Industriesektor GWh'!$B4147,41,1000))-1),nrg_cb_e!$C$3:$C$40,0))</f>
        <v>FC_IND_FBT_E</v>
      </c>
      <c r="G4147" s="21">
        <v>2409</v>
      </c>
    </row>
    <row r="4148" spans="1:7" x14ac:dyDescent="0.2">
      <c r="A4148" s="16" t="s">
        <v>55</v>
      </c>
      <c r="B4148" s="17" t="s">
        <v>69</v>
      </c>
      <c r="C4148" s="17" t="s">
        <v>8</v>
      </c>
      <c r="D4148" s="17" t="s">
        <v>10</v>
      </c>
      <c r="E4148" s="17" t="s">
        <v>27</v>
      </c>
      <c r="F4148" s="17" t="str">
        <f>INDEX(nrg_cb_e!$A$3:$A$40,MATCH(LEFT(MID('Industriesektor GWh'!$B4148,41,1000),SEARCH(" - ",MID('Industriesektor GWh'!$B4148,41,1000))-1),nrg_cb_e!$C$3:$C$40,0))</f>
        <v>FC_IND_FBT_E</v>
      </c>
      <c r="G4148" s="18">
        <v>2397</v>
      </c>
    </row>
    <row r="4149" spans="1:7" x14ac:dyDescent="0.2">
      <c r="A4149" s="19" t="s">
        <v>55</v>
      </c>
      <c r="B4149" s="20" t="s">
        <v>69</v>
      </c>
      <c r="C4149" s="20" t="s">
        <v>8</v>
      </c>
      <c r="D4149" s="20" t="s">
        <v>10</v>
      </c>
      <c r="E4149" s="20" t="s">
        <v>28</v>
      </c>
      <c r="F4149" s="20" t="str">
        <f>INDEX(nrg_cb_e!$A$3:$A$40,MATCH(LEFT(MID('Industriesektor GWh'!$B4149,41,1000),SEARCH(" - ",MID('Industriesektor GWh'!$B4149,41,1000))-1),nrg_cb_e!$C$3:$C$40,0))</f>
        <v>FC_IND_FBT_E</v>
      </c>
      <c r="G4149" s="21">
        <v>2373</v>
      </c>
    </row>
    <row r="4150" spans="1:7" x14ac:dyDescent="0.2">
      <c r="A4150" s="16" t="s">
        <v>56</v>
      </c>
      <c r="B4150" s="17" t="s">
        <v>69</v>
      </c>
      <c r="C4150" s="17" t="s">
        <v>8</v>
      </c>
      <c r="D4150" s="17" t="s">
        <v>10</v>
      </c>
      <c r="E4150" s="17" t="s">
        <v>12</v>
      </c>
      <c r="F4150" s="17" t="str">
        <f>INDEX(nrg_cb_e!$A$3:$A$40,MATCH(LEFT(MID('Industriesektor GWh'!$B4150,41,1000),SEARCH(" - ",MID('Industriesektor GWh'!$B4150,41,1000))-1),nrg_cb_e!$C$3:$C$40,0))</f>
        <v>FC_IND_FBT_E</v>
      </c>
      <c r="G4150" s="18">
        <v>12166</v>
      </c>
    </row>
    <row r="4151" spans="1:7" x14ac:dyDescent="0.2">
      <c r="A4151" s="19" t="s">
        <v>56</v>
      </c>
      <c r="B4151" s="20" t="s">
        <v>69</v>
      </c>
      <c r="C4151" s="20" t="s">
        <v>8</v>
      </c>
      <c r="D4151" s="20" t="s">
        <v>10</v>
      </c>
      <c r="E4151" s="20" t="s">
        <v>13</v>
      </c>
      <c r="F4151" s="20" t="str">
        <f>INDEX(nrg_cb_e!$A$3:$A$40,MATCH(LEFT(MID('Industriesektor GWh'!$B4151,41,1000),SEARCH(" - ",MID('Industriesektor GWh'!$B4151,41,1000))-1),nrg_cb_e!$C$3:$C$40,0))</f>
        <v>FC_IND_FBT_E</v>
      </c>
      <c r="G4151" s="21">
        <v>11449</v>
      </c>
    </row>
    <row r="4152" spans="1:7" x14ac:dyDescent="0.2">
      <c r="A4152" s="16" t="s">
        <v>56</v>
      </c>
      <c r="B4152" s="17" t="s">
        <v>69</v>
      </c>
      <c r="C4152" s="17" t="s">
        <v>8</v>
      </c>
      <c r="D4152" s="17" t="s">
        <v>10</v>
      </c>
      <c r="E4152" s="17" t="s">
        <v>14</v>
      </c>
      <c r="F4152" s="17" t="str">
        <f>INDEX(nrg_cb_e!$A$3:$A$40,MATCH(LEFT(MID('Industriesektor GWh'!$B4152,41,1000),SEARCH(" - ",MID('Industriesektor GWh'!$B4152,41,1000))-1),nrg_cb_e!$C$3:$C$40,0))</f>
        <v>FC_IND_FBT_E</v>
      </c>
      <c r="G4152" s="18">
        <v>12048</v>
      </c>
    </row>
    <row r="4153" spans="1:7" x14ac:dyDescent="0.2">
      <c r="A4153" s="19" t="s">
        <v>56</v>
      </c>
      <c r="B4153" s="20" t="s">
        <v>69</v>
      </c>
      <c r="C4153" s="20" t="s">
        <v>8</v>
      </c>
      <c r="D4153" s="20" t="s">
        <v>10</v>
      </c>
      <c r="E4153" s="20" t="s">
        <v>15</v>
      </c>
      <c r="F4153" s="20" t="str">
        <f>INDEX(nrg_cb_e!$A$3:$A$40,MATCH(LEFT(MID('Industriesektor GWh'!$B4153,41,1000),SEARCH(" - ",MID('Industriesektor GWh'!$B4153,41,1000))-1),nrg_cb_e!$C$3:$C$40,0))</f>
        <v>FC_IND_FBT_E</v>
      </c>
      <c r="G4153" s="21">
        <v>12273</v>
      </c>
    </row>
    <row r="4154" spans="1:7" x14ac:dyDescent="0.2">
      <c r="A4154" s="16" t="s">
        <v>56</v>
      </c>
      <c r="B4154" s="17" t="s">
        <v>69</v>
      </c>
      <c r="C4154" s="17" t="s">
        <v>8</v>
      </c>
      <c r="D4154" s="17" t="s">
        <v>10</v>
      </c>
      <c r="E4154" s="17" t="s">
        <v>16</v>
      </c>
      <c r="F4154" s="17" t="str">
        <f>INDEX(nrg_cb_e!$A$3:$A$40,MATCH(LEFT(MID('Industriesektor GWh'!$B4154,41,1000),SEARCH(" - ",MID('Industriesektor GWh'!$B4154,41,1000))-1),nrg_cb_e!$C$3:$C$40,0))</f>
        <v>FC_IND_FBT_E</v>
      </c>
      <c r="G4154" s="18">
        <v>12117</v>
      </c>
    </row>
    <row r="4155" spans="1:7" x14ac:dyDescent="0.2">
      <c r="A4155" s="19" t="s">
        <v>56</v>
      </c>
      <c r="B4155" s="20" t="s">
        <v>69</v>
      </c>
      <c r="C4155" s="20" t="s">
        <v>8</v>
      </c>
      <c r="D4155" s="20" t="s">
        <v>10</v>
      </c>
      <c r="E4155" s="20" t="s">
        <v>17</v>
      </c>
      <c r="F4155" s="20" t="str">
        <f>INDEX(nrg_cb_e!$A$3:$A$40,MATCH(LEFT(MID('Industriesektor GWh'!$B4155,41,1000),SEARCH(" - ",MID('Industriesektor GWh'!$B4155,41,1000))-1),nrg_cb_e!$C$3:$C$40,0))</f>
        <v>FC_IND_FBT_E</v>
      </c>
      <c r="G4155" s="21">
        <v>12082</v>
      </c>
    </row>
    <row r="4156" spans="1:7" x14ac:dyDescent="0.2">
      <c r="A4156" s="16" t="s">
        <v>56</v>
      </c>
      <c r="B4156" s="17" t="s">
        <v>69</v>
      </c>
      <c r="C4156" s="17" t="s">
        <v>8</v>
      </c>
      <c r="D4156" s="17" t="s">
        <v>10</v>
      </c>
      <c r="E4156" s="17" t="s">
        <v>18</v>
      </c>
      <c r="F4156" s="17" t="str">
        <f>INDEX(nrg_cb_e!$A$3:$A$40,MATCH(LEFT(MID('Industriesektor GWh'!$B4156,41,1000),SEARCH(" - ",MID('Industriesektor GWh'!$B4156,41,1000))-1),nrg_cb_e!$C$3:$C$40,0))</f>
        <v>FC_IND_FBT_E</v>
      </c>
      <c r="G4156" s="18">
        <v>12257</v>
      </c>
    </row>
    <row r="4157" spans="1:7" x14ac:dyDescent="0.2">
      <c r="A4157" s="19" t="s">
        <v>56</v>
      </c>
      <c r="B4157" s="20" t="s">
        <v>69</v>
      </c>
      <c r="C4157" s="20" t="s">
        <v>8</v>
      </c>
      <c r="D4157" s="20" t="s">
        <v>10</v>
      </c>
      <c r="E4157" s="20" t="s">
        <v>19</v>
      </c>
      <c r="F4157" s="20" t="str">
        <f>INDEX(nrg_cb_e!$A$3:$A$40,MATCH(LEFT(MID('Industriesektor GWh'!$B4157,41,1000),SEARCH(" - ",MID('Industriesektor GWh'!$B4157,41,1000))-1),nrg_cb_e!$C$3:$C$40,0))</f>
        <v>FC_IND_FBT_E</v>
      </c>
      <c r="G4157" s="21">
        <v>10741</v>
      </c>
    </row>
    <row r="4158" spans="1:7" x14ac:dyDescent="0.2">
      <c r="A4158" s="16" t="s">
        <v>56</v>
      </c>
      <c r="B4158" s="17" t="s">
        <v>69</v>
      </c>
      <c r="C4158" s="17" t="s">
        <v>8</v>
      </c>
      <c r="D4158" s="17" t="s">
        <v>10</v>
      </c>
      <c r="E4158" s="17" t="s">
        <v>20</v>
      </c>
      <c r="F4158" s="17" t="str">
        <f>INDEX(nrg_cb_e!$A$3:$A$40,MATCH(LEFT(MID('Industriesektor GWh'!$B4158,41,1000),SEARCH(" - ",MID('Industriesektor GWh'!$B4158,41,1000))-1),nrg_cb_e!$C$3:$C$40,0))</f>
        <v>FC_IND_FBT_E</v>
      </c>
      <c r="G4158" s="18">
        <v>11520</v>
      </c>
    </row>
    <row r="4159" spans="1:7" x14ac:dyDescent="0.2">
      <c r="A4159" s="19" t="s">
        <v>56</v>
      </c>
      <c r="B4159" s="20" t="s">
        <v>69</v>
      </c>
      <c r="C4159" s="20" t="s">
        <v>8</v>
      </c>
      <c r="D4159" s="20" t="s">
        <v>10</v>
      </c>
      <c r="E4159" s="20" t="s">
        <v>21</v>
      </c>
      <c r="F4159" s="20" t="str">
        <f>INDEX(nrg_cb_e!$A$3:$A$40,MATCH(LEFT(MID('Industriesektor GWh'!$B4159,41,1000),SEARCH(" - ",MID('Industriesektor GWh'!$B4159,41,1000))-1),nrg_cb_e!$C$3:$C$40,0))</f>
        <v>FC_IND_FBT_E</v>
      </c>
      <c r="G4159" s="21">
        <v>11322</v>
      </c>
    </row>
    <row r="4160" spans="1:7" x14ac:dyDescent="0.2">
      <c r="A4160" s="16" t="s">
        <v>56</v>
      </c>
      <c r="B4160" s="17" t="s">
        <v>69</v>
      </c>
      <c r="C4160" s="17" t="s">
        <v>8</v>
      </c>
      <c r="D4160" s="17" t="s">
        <v>10</v>
      </c>
      <c r="E4160" s="17" t="s">
        <v>22</v>
      </c>
      <c r="F4160" s="17" t="str">
        <f>INDEX(nrg_cb_e!$A$3:$A$40,MATCH(LEFT(MID('Industriesektor GWh'!$B4160,41,1000),SEARCH(" - ",MID('Industriesektor GWh'!$B4160,41,1000))-1),nrg_cb_e!$C$3:$C$40,0))</f>
        <v>FC_IND_FBT_E</v>
      </c>
      <c r="G4160" s="18">
        <v>11137</v>
      </c>
    </row>
    <row r="4161" spans="1:7" x14ac:dyDescent="0.2">
      <c r="A4161" s="19" t="s">
        <v>56</v>
      </c>
      <c r="B4161" s="20" t="s">
        <v>69</v>
      </c>
      <c r="C4161" s="20" t="s">
        <v>8</v>
      </c>
      <c r="D4161" s="20" t="s">
        <v>10</v>
      </c>
      <c r="E4161" s="20" t="s">
        <v>23</v>
      </c>
      <c r="F4161" s="20" t="str">
        <f>INDEX(nrg_cb_e!$A$3:$A$40,MATCH(LEFT(MID('Industriesektor GWh'!$B4161,41,1000),SEARCH(" - ",MID('Industriesektor GWh'!$B4161,41,1000))-1),nrg_cb_e!$C$3:$C$40,0))</f>
        <v>FC_IND_FBT_E</v>
      </c>
      <c r="G4161" s="21">
        <v>11083</v>
      </c>
    </row>
    <row r="4162" spans="1:7" x14ac:dyDescent="0.2">
      <c r="A4162" s="16" t="s">
        <v>56</v>
      </c>
      <c r="B4162" s="17" t="s">
        <v>69</v>
      </c>
      <c r="C4162" s="17" t="s">
        <v>8</v>
      </c>
      <c r="D4162" s="17" t="s">
        <v>10</v>
      </c>
      <c r="E4162" s="17" t="s">
        <v>24</v>
      </c>
      <c r="F4162" s="17" t="str">
        <f>INDEX(nrg_cb_e!$A$3:$A$40,MATCH(LEFT(MID('Industriesektor GWh'!$B4162,41,1000),SEARCH(" - ",MID('Industriesektor GWh'!$B4162,41,1000))-1),nrg_cb_e!$C$3:$C$40,0))</f>
        <v>FC_IND_FBT_E</v>
      </c>
      <c r="G4162" s="18">
        <v>10644</v>
      </c>
    </row>
    <row r="4163" spans="1:7" x14ac:dyDescent="0.2">
      <c r="A4163" s="19" t="s">
        <v>56</v>
      </c>
      <c r="B4163" s="20" t="s">
        <v>69</v>
      </c>
      <c r="C4163" s="20" t="s">
        <v>8</v>
      </c>
      <c r="D4163" s="20" t="s">
        <v>10</v>
      </c>
      <c r="E4163" s="20" t="s">
        <v>25</v>
      </c>
      <c r="F4163" s="20" t="str">
        <f>INDEX(nrg_cb_e!$A$3:$A$40,MATCH(LEFT(MID('Industriesektor GWh'!$B4163,41,1000),SEARCH(" - ",MID('Industriesektor GWh'!$B4163,41,1000))-1),nrg_cb_e!$C$3:$C$40,0))</f>
        <v>FC_IND_FBT_E</v>
      </c>
      <c r="G4163" s="21">
        <v>10778.108</v>
      </c>
    </row>
    <row r="4164" spans="1:7" x14ac:dyDescent="0.2">
      <c r="A4164" s="16" t="s">
        <v>56</v>
      </c>
      <c r="B4164" s="17" t="s">
        <v>69</v>
      </c>
      <c r="C4164" s="17" t="s">
        <v>8</v>
      </c>
      <c r="D4164" s="17" t="s">
        <v>10</v>
      </c>
      <c r="E4164" s="17" t="s">
        <v>26</v>
      </c>
      <c r="F4164" s="17" t="str">
        <f>INDEX(nrg_cb_e!$A$3:$A$40,MATCH(LEFT(MID('Industriesektor GWh'!$B4164,41,1000),SEARCH(" - ",MID('Industriesektor GWh'!$B4164,41,1000))-1),nrg_cb_e!$C$3:$C$40,0))</f>
        <v>FC_IND_FBT_E</v>
      </c>
      <c r="G4164" s="18">
        <v>10959.531000000001</v>
      </c>
    </row>
    <row r="4165" spans="1:7" x14ac:dyDescent="0.2">
      <c r="A4165" s="19" t="s">
        <v>56</v>
      </c>
      <c r="B4165" s="20" t="s">
        <v>69</v>
      </c>
      <c r="C4165" s="20" t="s">
        <v>8</v>
      </c>
      <c r="D4165" s="20" t="s">
        <v>10</v>
      </c>
      <c r="E4165" s="20" t="s">
        <v>27</v>
      </c>
      <c r="F4165" s="20" t="str">
        <f>INDEX(nrg_cb_e!$A$3:$A$40,MATCH(LEFT(MID('Industriesektor GWh'!$B4165,41,1000),SEARCH(" - ",MID('Industriesektor GWh'!$B4165,41,1000))-1),nrg_cb_e!$C$3:$C$40,0))</f>
        <v>FC_IND_FBT_E</v>
      </c>
      <c r="G4165" s="21">
        <v>11056.885</v>
      </c>
    </row>
    <row r="4166" spans="1:7" x14ac:dyDescent="0.2">
      <c r="A4166" s="16" t="s">
        <v>56</v>
      </c>
      <c r="B4166" s="17" t="s">
        <v>69</v>
      </c>
      <c r="C4166" s="17" t="s">
        <v>8</v>
      </c>
      <c r="D4166" s="17" t="s">
        <v>10</v>
      </c>
      <c r="E4166" s="17" t="s">
        <v>28</v>
      </c>
      <c r="F4166" s="17" t="str">
        <f>INDEX(nrg_cb_e!$A$3:$A$40,MATCH(LEFT(MID('Industriesektor GWh'!$B4166,41,1000),SEARCH(" - ",MID('Industriesektor GWh'!$B4166,41,1000))-1),nrg_cb_e!$C$3:$C$40,0))</f>
        <v>FC_IND_FBT_E</v>
      </c>
      <c r="G4166" s="18">
        <v>11818.438</v>
      </c>
    </row>
    <row r="4167" spans="1:7" x14ac:dyDescent="0.2">
      <c r="A4167" s="19" t="s">
        <v>57</v>
      </c>
      <c r="B4167" s="20" t="s">
        <v>69</v>
      </c>
      <c r="C4167" s="20" t="s">
        <v>8</v>
      </c>
      <c r="D4167" s="20" t="s">
        <v>10</v>
      </c>
      <c r="E4167" s="20" t="s">
        <v>12</v>
      </c>
      <c r="F4167" s="20" t="str">
        <f>INDEX(nrg_cb_e!$A$3:$A$40,MATCH(LEFT(MID('Industriesektor GWh'!$B4167,41,1000),SEARCH(" - ",MID('Industriesektor GWh'!$B4167,41,1000))-1),nrg_cb_e!$C$3:$C$40,0))</f>
        <v>FC_IND_FBT_E</v>
      </c>
      <c r="G4167" s="21">
        <v>428</v>
      </c>
    </row>
    <row r="4168" spans="1:7" x14ac:dyDescent="0.2">
      <c r="A4168" s="16" t="s">
        <v>57</v>
      </c>
      <c r="B4168" s="17" t="s">
        <v>69</v>
      </c>
      <c r="C4168" s="17" t="s">
        <v>8</v>
      </c>
      <c r="D4168" s="17" t="s">
        <v>10</v>
      </c>
      <c r="E4168" s="17" t="s">
        <v>13</v>
      </c>
      <c r="F4168" s="17" t="str">
        <f>INDEX(nrg_cb_e!$A$3:$A$40,MATCH(LEFT(MID('Industriesektor GWh'!$B4168,41,1000),SEARCH(" - ",MID('Industriesektor GWh'!$B4168,41,1000))-1),nrg_cb_e!$C$3:$C$40,0))</f>
        <v>FC_IND_FBT_E</v>
      </c>
      <c r="G4168" s="18">
        <v>478</v>
      </c>
    </row>
    <row r="4169" spans="1:7" x14ac:dyDescent="0.2">
      <c r="A4169" s="19" t="s">
        <v>57</v>
      </c>
      <c r="B4169" s="20" t="s">
        <v>69</v>
      </c>
      <c r="C4169" s="20" t="s">
        <v>8</v>
      </c>
      <c r="D4169" s="20" t="s">
        <v>10</v>
      </c>
      <c r="E4169" s="20" t="s">
        <v>14</v>
      </c>
      <c r="F4169" s="20" t="str">
        <f>INDEX(nrg_cb_e!$A$3:$A$40,MATCH(LEFT(MID('Industriesektor GWh'!$B4169,41,1000),SEARCH(" - ",MID('Industriesektor GWh'!$B4169,41,1000))-1),nrg_cb_e!$C$3:$C$40,0))</f>
        <v>FC_IND_FBT_E</v>
      </c>
      <c r="G4169" s="21">
        <v>466</v>
      </c>
    </row>
    <row r="4170" spans="1:7" x14ac:dyDescent="0.2">
      <c r="A4170" s="16" t="s">
        <v>57</v>
      </c>
      <c r="B4170" s="17" t="s">
        <v>69</v>
      </c>
      <c r="C4170" s="17" t="s">
        <v>8</v>
      </c>
      <c r="D4170" s="17" t="s">
        <v>10</v>
      </c>
      <c r="E4170" s="17" t="s">
        <v>15</v>
      </c>
      <c r="F4170" s="17" t="str">
        <f>INDEX(nrg_cb_e!$A$3:$A$40,MATCH(LEFT(MID('Industriesektor GWh'!$B4170,41,1000),SEARCH(" - ",MID('Industriesektor GWh'!$B4170,41,1000))-1),nrg_cb_e!$C$3:$C$40,0))</f>
        <v>FC_IND_FBT_E</v>
      </c>
      <c r="G4170" s="18">
        <v>442</v>
      </c>
    </row>
    <row r="4171" spans="1:7" x14ac:dyDescent="0.2">
      <c r="A4171" s="19" t="s">
        <v>57</v>
      </c>
      <c r="B4171" s="20" t="s">
        <v>69</v>
      </c>
      <c r="C4171" s="20" t="s">
        <v>8</v>
      </c>
      <c r="D4171" s="20" t="s">
        <v>10</v>
      </c>
      <c r="E4171" s="20" t="s">
        <v>16</v>
      </c>
      <c r="F4171" s="20" t="str">
        <f>INDEX(nrg_cb_e!$A$3:$A$40,MATCH(LEFT(MID('Industriesektor GWh'!$B4171,41,1000),SEARCH(" - ",MID('Industriesektor GWh'!$B4171,41,1000))-1),nrg_cb_e!$C$3:$C$40,0))</f>
        <v>FC_IND_FBT_E</v>
      </c>
      <c r="G4171" s="21">
        <v>433</v>
      </c>
    </row>
    <row r="4172" spans="1:7" x14ac:dyDescent="0.2">
      <c r="A4172" s="16" t="s">
        <v>57</v>
      </c>
      <c r="B4172" s="17" t="s">
        <v>69</v>
      </c>
      <c r="C4172" s="17" t="s">
        <v>8</v>
      </c>
      <c r="D4172" s="17" t="s">
        <v>10</v>
      </c>
      <c r="E4172" s="17" t="s">
        <v>17</v>
      </c>
      <c r="F4172" s="17" t="str">
        <f>INDEX(nrg_cb_e!$A$3:$A$40,MATCH(LEFT(MID('Industriesektor GWh'!$B4172,41,1000),SEARCH(" - ",MID('Industriesektor GWh'!$B4172,41,1000))-1),nrg_cb_e!$C$3:$C$40,0))</f>
        <v>FC_IND_FBT_E</v>
      </c>
      <c r="G4172" s="18">
        <v>393</v>
      </c>
    </row>
    <row r="4173" spans="1:7" x14ac:dyDescent="0.2">
      <c r="A4173" s="19" t="s">
        <v>57</v>
      </c>
      <c r="B4173" s="20" t="s">
        <v>69</v>
      </c>
      <c r="C4173" s="20" t="s">
        <v>8</v>
      </c>
      <c r="D4173" s="20" t="s">
        <v>10</v>
      </c>
      <c r="E4173" s="20" t="s">
        <v>18</v>
      </c>
      <c r="F4173" s="20" t="str">
        <f>INDEX(nrg_cb_e!$A$3:$A$40,MATCH(LEFT(MID('Industriesektor GWh'!$B4173,41,1000),SEARCH(" - ",MID('Industriesektor GWh'!$B4173,41,1000))-1),nrg_cb_e!$C$3:$C$40,0))</f>
        <v>FC_IND_FBT_E</v>
      </c>
      <c r="G4173" s="21">
        <v>405</v>
      </c>
    </row>
    <row r="4174" spans="1:7" x14ac:dyDescent="0.2">
      <c r="A4174" s="16" t="s">
        <v>57</v>
      </c>
      <c r="B4174" s="17" t="s">
        <v>69</v>
      </c>
      <c r="C4174" s="17" t="s">
        <v>8</v>
      </c>
      <c r="D4174" s="17" t="s">
        <v>10</v>
      </c>
      <c r="E4174" s="17" t="s">
        <v>19</v>
      </c>
      <c r="F4174" s="17" t="str">
        <f>INDEX(nrg_cb_e!$A$3:$A$40,MATCH(LEFT(MID('Industriesektor GWh'!$B4174,41,1000),SEARCH(" - ",MID('Industriesektor GWh'!$B4174,41,1000))-1),nrg_cb_e!$C$3:$C$40,0))</f>
        <v>FC_IND_FBT_E</v>
      </c>
      <c r="G4174" s="18">
        <v>410</v>
      </c>
    </row>
    <row r="4175" spans="1:7" x14ac:dyDescent="0.2">
      <c r="A4175" s="19" t="s">
        <v>57</v>
      </c>
      <c r="B4175" s="20" t="s">
        <v>69</v>
      </c>
      <c r="C4175" s="20" t="s">
        <v>8</v>
      </c>
      <c r="D4175" s="20" t="s">
        <v>10</v>
      </c>
      <c r="E4175" s="20" t="s">
        <v>20</v>
      </c>
      <c r="F4175" s="20" t="str">
        <f>INDEX(nrg_cb_e!$A$3:$A$40,MATCH(LEFT(MID('Industriesektor GWh'!$B4175,41,1000),SEARCH(" - ",MID('Industriesektor GWh'!$B4175,41,1000))-1),nrg_cb_e!$C$3:$C$40,0))</f>
        <v>FC_IND_FBT_E</v>
      </c>
      <c r="G4175" s="21">
        <v>408</v>
      </c>
    </row>
    <row r="4176" spans="1:7" x14ac:dyDescent="0.2">
      <c r="A4176" s="16" t="s">
        <v>57</v>
      </c>
      <c r="B4176" s="17" t="s">
        <v>69</v>
      </c>
      <c r="C4176" s="17" t="s">
        <v>8</v>
      </c>
      <c r="D4176" s="17" t="s">
        <v>10</v>
      </c>
      <c r="E4176" s="17" t="s">
        <v>21</v>
      </c>
      <c r="F4176" s="17" t="str">
        <f>INDEX(nrg_cb_e!$A$3:$A$40,MATCH(LEFT(MID('Industriesektor GWh'!$B4176,41,1000),SEARCH(" - ",MID('Industriesektor GWh'!$B4176,41,1000))-1),nrg_cb_e!$C$3:$C$40,0))</f>
        <v>FC_IND_FBT_E</v>
      </c>
      <c r="G4176" s="18">
        <v>433</v>
      </c>
    </row>
    <row r="4177" spans="1:7" x14ac:dyDescent="0.2">
      <c r="A4177" s="19" t="s">
        <v>57</v>
      </c>
      <c r="B4177" s="20" t="s">
        <v>69</v>
      </c>
      <c r="C4177" s="20" t="s">
        <v>8</v>
      </c>
      <c r="D4177" s="20" t="s">
        <v>10</v>
      </c>
      <c r="E4177" s="20" t="s">
        <v>22</v>
      </c>
      <c r="F4177" s="20" t="str">
        <f>INDEX(nrg_cb_e!$A$3:$A$40,MATCH(LEFT(MID('Industriesektor GWh'!$B4177,41,1000),SEARCH(" - ",MID('Industriesektor GWh'!$B4177,41,1000))-1),nrg_cb_e!$C$3:$C$40,0))</f>
        <v>FC_IND_FBT_E</v>
      </c>
      <c r="G4177" s="21">
        <v>499</v>
      </c>
    </row>
    <row r="4178" spans="1:7" x14ac:dyDescent="0.2">
      <c r="A4178" s="16" t="s">
        <v>57</v>
      </c>
      <c r="B4178" s="17" t="s">
        <v>69</v>
      </c>
      <c r="C4178" s="17" t="s">
        <v>8</v>
      </c>
      <c r="D4178" s="17" t="s">
        <v>10</v>
      </c>
      <c r="E4178" s="17" t="s">
        <v>23</v>
      </c>
      <c r="F4178" s="17" t="str">
        <f>INDEX(nrg_cb_e!$A$3:$A$40,MATCH(LEFT(MID('Industriesektor GWh'!$B4178,41,1000),SEARCH(" - ",MID('Industriesektor GWh'!$B4178,41,1000))-1),nrg_cb_e!$C$3:$C$40,0))</f>
        <v>FC_IND_FBT_E</v>
      </c>
      <c r="G4178" s="18">
        <v>532</v>
      </c>
    </row>
    <row r="4179" spans="1:7" x14ac:dyDescent="0.2">
      <c r="A4179" s="19" t="s">
        <v>57</v>
      </c>
      <c r="B4179" s="20" t="s">
        <v>69</v>
      </c>
      <c r="C4179" s="20" t="s">
        <v>8</v>
      </c>
      <c r="D4179" s="20" t="s">
        <v>10</v>
      </c>
      <c r="E4179" s="20" t="s">
        <v>24</v>
      </c>
      <c r="F4179" s="20" t="str">
        <f>INDEX(nrg_cb_e!$A$3:$A$40,MATCH(LEFT(MID('Industriesektor GWh'!$B4179,41,1000),SEARCH(" - ",MID('Industriesektor GWh'!$B4179,41,1000))-1),nrg_cb_e!$C$3:$C$40,0))</f>
        <v>FC_IND_FBT_E</v>
      </c>
      <c r="G4179" s="21">
        <v>520</v>
      </c>
    </row>
    <row r="4180" spans="1:7" x14ac:dyDescent="0.2">
      <c r="A4180" s="16" t="s">
        <v>57</v>
      </c>
      <c r="B4180" s="17" t="s">
        <v>69</v>
      </c>
      <c r="C4180" s="17" t="s">
        <v>8</v>
      </c>
      <c r="D4180" s="17" t="s">
        <v>10</v>
      </c>
      <c r="E4180" s="17" t="s">
        <v>25</v>
      </c>
      <c r="F4180" s="17" t="str">
        <f>INDEX(nrg_cb_e!$A$3:$A$40,MATCH(LEFT(MID('Industriesektor GWh'!$B4180,41,1000),SEARCH(" - ",MID('Industriesektor GWh'!$B4180,41,1000))-1),nrg_cb_e!$C$3:$C$40,0))</f>
        <v>FC_IND_FBT_E</v>
      </c>
      <c r="G4180" s="18">
        <v>622</v>
      </c>
    </row>
    <row r="4181" spans="1:7" x14ac:dyDescent="0.2">
      <c r="A4181" s="19" t="s">
        <v>57</v>
      </c>
      <c r="B4181" s="20" t="s">
        <v>69</v>
      </c>
      <c r="C4181" s="20" t="s">
        <v>8</v>
      </c>
      <c r="D4181" s="20" t="s">
        <v>10</v>
      </c>
      <c r="E4181" s="20" t="s">
        <v>26</v>
      </c>
      <c r="F4181" s="20" t="str">
        <f>INDEX(nrg_cb_e!$A$3:$A$40,MATCH(LEFT(MID('Industriesektor GWh'!$B4181,41,1000),SEARCH(" - ",MID('Industriesektor GWh'!$B4181,41,1000))-1),nrg_cb_e!$C$3:$C$40,0))</f>
        <v>FC_IND_FBT_E</v>
      </c>
      <c r="G4181" s="21">
        <v>493</v>
      </c>
    </row>
    <row r="4182" spans="1:7" x14ac:dyDescent="0.2">
      <c r="A4182" s="16" t="s">
        <v>57</v>
      </c>
      <c r="B4182" s="17" t="s">
        <v>69</v>
      </c>
      <c r="C4182" s="17" t="s">
        <v>8</v>
      </c>
      <c r="D4182" s="17" t="s">
        <v>10</v>
      </c>
      <c r="E4182" s="17" t="s">
        <v>27</v>
      </c>
      <c r="F4182" s="17" t="str">
        <f>INDEX(nrg_cb_e!$A$3:$A$40,MATCH(LEFT(MID('Industriesektor GWh'!$B4182,41,1000),SEARCH(" - ",MID('Industriesektor GWh'!$B4182,41,1000))-1),nrg_cb_e!$C$3:$C$40,0))</f>
        <v>FC_IND_FBT_E</v>
      </c>
      <c r="G4182" s="18">
        <v>574.86599999999999</v>
      </c>
    </row>
    <row r="4183" spans="1:7" x14ac:dyDescent="0.2">
      <c r="A4183" s="19" t="s">
        <v>57</v>
      </c>
      <c r="B4183" s="20" t="s">
        <v>69</v>
      </c>
      <c r="C4183" s="20" t="s">
        <v>8</v>
      </c>
      <c r="D4183" s="20" t="s">
        <v>10</v>
      </c>
      <c r="E4183" s="20" t="s">
        <v>28</v>
      </c>
      <c r="F4183" s="20" t="str">
        <f>INDEX(nrg_cb_e!$A$3:$A$40,MATCH(LEFT(MID('Industriesektor GWh'!$B4183,41,1000),SEARCH(" - ",MID('Industriesektor GWh'!$B4183,41,1000))-1),nrg_cb_e!$C$3:$C$40,0))</f>
        <v>FC_IND_FBT_E</v>
      </c>
      <c r="G4183" s="21">
        <v>625.37199999999996</v>
      </c>
    </row>
    <row r="4184" spans="1:7" x14ac:dyDescent="0.2">
      <c r="A4184" s="16" t="s">
        <v>58</v>
      </c>
      <c r="B4184" s="17" t="s">
        <v>69</v>
      </c>
      <c r="C4184" s="17" t="s">
        <v>8</v>
      </c>
      <c r="D4184" s="17" t="s">
        <v>10</v>
      </c>
      <c r="E4184" s="17" t="s">
        <v>12</v>
      </c>
      <c r="F4184" s="17" t="str">
        <f>INDEX(nrg_cb_e!$A$3:$A$40,MATCH(LEFT(MID('Industriesektor GWh'!$B4184,41,1000),SEARCH(" - ",MID('Industriesektor GWh'!$B4184,41,1000))-1),nrg_cb_e!$C$3:$C$40,0))</f>
        <v>FC_IND_FBT_E</v>
      </c>
      <c r="G4184" s="18">
        <v>2920</v>
      </c>
    </row>
    <row r="4185" spans="1:7" x14ac:dyDescent="0.2">
      <c r="A4185" s="19" t="s">
        <v>58</v>
      </c>
      <c r="B4185" s="20" t="s">
        <v>69</v>
      </c>
      <c r="C4185" s="20" t="s">
        <v>8</v>
      </c>
      <c r="D4185" s="20" t="s">
        <v>10</v>
      </c>
      <c r="E4185" s="20" t="s">
        <v>13</v>
      </c>
      <c r="F4185" s="20" t="str">
        <f>INDEX(nrg_cb_e!$A$3:$A$40,MATCH(LEFT(MID('Industriesektor GWh'!$B4185,41,1000),SEARCH(" - ",MID('Industriesektor GWh'!$B4185,41,1000))-1),nrg_cb_e!$C$3:$C$40,0))</f>
        <v>FC_IND_FBT_E</v>
      </c>
      <c r="G4185" s="21">
        <v>2743</v>
      </c>
    </row>
    <row r="4186" spans="1:7" x14ac:dyDescent="0.2">
      <c r="A4186" s="16" t="s">
        <v>58</v>
      </c>
      <c r="B4186" s="17" t="s">
        <v>69</v>
      </c>
      <c r="C4186" s="17" t="s">
        <v>8</v>
      </c>
      <c r="D4186" s="17" t="s">
        <v>10</v>
      </c>
      <c r="E4186" s="17" t="s">
        <v>14</v>
      </c>
      <c r="F4186" s="17" t="str">
        <f>INDEX(nrg_cb_e!$A$3:$A$40,MATCH(LEFT(MID('Industriesektor GWh'!$B4186,41,1000),SEARCH(" - ",MID('Industriesektor GWh'!$B4186,41,1000))-1),nrg_cb_e!$C$3:$C$40,0))</f>
        <v>FC_IND_FBT_E</v>
      </c>
      <c r="G4186" s="18">
        <v>2956</v>
      </c>
    </row>
    <row r="4187" spans="1:7" x14ac:dyDescent="0.2">
      <c r="A4187" s="19" t="s">
        <v>58</v>
      </c>
      <c r="B4187" s="20" t="s">
        <v>69</v>
      </c>
      <c r="C4187" s="20" t="s">
        <v>8</v>
      </c>
      <c r="D4187" s="20" t="s">
        <v>10</v>
      </c>
      <c r="E4187" s="20" t="s">
        <v>15</v>
      </c>
      <c r="F4187" s="20" t="str">
        <f>INDEX(nrg_cb_e!$A$3:$A$40,MATCH(LEFT(MID('Industriesektor GWh'!$B4187,41,1000),SEARCH(" - ",MID('Industriesektor GWh'!$B4187,41,1000))-1),nrg_cb_e!$C$3:$C$40,0))</f>
        <v>FC_IND_FBT_E</v>
      </c>
      <c r="G4187" s="21">
        <v>2811</v>
      </c>
    </row>
    <row r="4188" spans="1:7" x14ac:dyDescent="0.2">
      <c r="A4188" s="16" t="s">
        <v>58</v>
      </c>
      <c r="B4188" s="17" t="s">
        <v>69</v>
      </c>
      <c r="C4188" s="17" t="s">
        <v>8</v>
      </c>
      <c r="D4188" s="17" t="s">
        <v>10</v>
      </c>
      <c r="E4188" s="17" t="s">
        <v>16</v>
      </c>
      <c r="F4188" s="17" t="str">
        <f>INDEX(nrg_cb_e!$A$3:$A$40,MATCH(LEFT(MID('Industriesektor GWh'!$B4188,41,1000),SEARCH(" - ",MID('Industriesektor GWh'!$B4188,41,1000))-1),nrg_cb_e!$C$3:$C$40,0))</f>
        <v>FC_IND_FBT_E</v>
      </c>
      <c r="G4188" s="18">
        <v>2811</v>
      </c>
    </row>
    <row r="4189" spans="1:7" x14ac:dyDescent="0.2">
      <c r="A4189" s="19" t="s">
        <v>58</v>
      </c>
      <c r="B4189" s="20" t="s">
        <v>69</v>
      </c>
      <c r="C4189" s="20" t="s">
        <v>8</v>
      </c>
      <c r="D4189" s="20" t="s">
        <v>10</v>
      </c>
      <c r="E4189" s="20" t="s">
        <v>17</v>
      </c>
      <c r="F4189" s="20" t="str">
        <f>INDEX(nrg_cb_e!$A$3:$A$40,MATCH(LEFT(MID('Industriesektor GWh'!$B4189,41,1000),SEARCH(" - ",MID('Industriesektor GWh'!$B4189,41,1000))-1),nrg_cb_e!$C$3:$C$40,0))</f>
        <v>FC_IND_FBT_E</v>
      </c>
      <c r="G4189" s="21">
        <v>2800</v>
      </c>
    </row>
    <row r="4190" spans="1:7" x14ac:dyDescent="0.2">
      <c r="A4190" s="16" t="s">
        <v>58</v>
      </c>
      <c r="B4190" s="17" t="s">
        <v>69</v>
      </c>
      <c r="C4190" s="17" t="s">
        <v>8</v>
      </c>
      <c r="D4190" s="17" t="s">
        <v>10</v>
      </c>
      <c r="E4190" s="17" t="s">
        <v>18</v>
      </c>
      <c r="F4190" s="17" t="str">
        <f>INDEX(nrg_cb_e!$A$3:$A$40,MATCH(LEFT(MID('Industriesektor GWh'!$B4190,41,1000),SEARCH(" - ",MID('Industriesektor GWh'!$B4190,41,1000))-1),nrg_cb_e!$C$3:$C$40,0))</f>
        <v>FC_IND_FBT_E</v>
      </c>
      <c r="G4190" s="18">
        <v>2886</v>
      </c>
    </row>
    <row r="4191" spans="1:7" x14ac:dyDescent="0.2">
      <c r="A4191" s="19" t="s">
        <v>58</v>
      </c>
      <c r="B4191" s="20" t="s">
        <v>69</v>
      </c>
      <c r="C4191" s="20" t="s">
        <v>8</v>
      </c>
      <c r="D4191" s="20" t="s">
        <v>10</v>
      </c>
      <c r="E4191" s="20" t="s">
        <v>19</v>
      </c>
      <c r="F4191" s="20" t="str">
        <f>INDEX(nrg_cb_e!$A$3:$A$40,MATCH(LEFT(MID('Industriesektor GWh'!$B4191,41,1000),SEARCH(" - ",MID('Industriesektor GWh'!$B4191,41,1000))-1),nrg_cb_e!$C$3:$C$40,0))</f>
        <v>FC_IND_FBT_E</v>
      </c>
      <c r="G4191" s="21">
        <v>2503</v>
      </c>
    </row>
    <row r="4192" spans="1:7" x14ac:dyDescent="0.2">
      <c r="A4192" s="16" t="s">
        <v>58</v>
      </c>
      <c r="B4192" s="17" t="s">
        <v>69</v>
      </c>
      <c r="C4192" s="17" t="s">
        <v>8</v>
      </c>
      <c r="D4192" s="17" t="s">
        <v>10</v>
      </c>
      <c r="E4192" s="17" t="s">
        <v>20</v>
      </c>
      <c r="F4192" s="17" t="str">
        <f>INDEX(nrg_cb_e!$A$3:$A$40,MATCH(LEFT(MID('Industriesektor GWh'!$B4192,41,1000),SEARCH(" - ",MID('Industriesektor GWh'!$B4192,41,1000))-1),nrg_cb_e!$C$3:$C$40,0))</f>
        <v>FC_IND_FBT_E</v>
      </c>
      <c r="G4192" s="18">
        <v>2716</v>
      </c>
    </row>
    <row r="4193" spans="1:7" x14ac:dyDescent="0.2">
      <c r="A4193" s="19" t="s">
        <v>58</v>
      </c>
      <c r="B4193" s="20" t="s">
        <v>69</v>
      </c>
      <c r="C4193" s="20" t="s">
        <v>8</v>
      </c>
      <c r="D4193" s="20" t="s">
        <v>10</v>
      </c>
      <c r="E4193" s="20" t="s">
        <v>21</v>
      </c>
      <c r="F4193" s="20" t="str">
        <f>INDEX(nrg_cb_e!$A$3:$A$40,MATCH(LEFT(MID('Industriesektor GWh'!$B4193,41,1000),SEARCH(" - ",MID('Industriesektor GWh'!$B4193,41,1000))-1),nrg_cb_e!$C$3:$C$40,0))</f>
        <v>FC_IND_FBT_E</v>
      </c>
      <c r="G4193" s="21">
        <v>2638</v>
      </c>
    </row>
    <row r="4194" spans="1:7" x14ac:dyDescent="0.2">
      <c r="A4194" s="16" t="s">
        <v>58</v>
      </c>
      <c r="B4194" s="17" t="s">
        <v>69</v>
      </c>
      <c r="C4194" s="17" t="s">
        <v>8</v>
      </c>
      <c r="D4194" s="17" t="s">
        <v>10</v>
      </c>
      <c r="E4194" s="17" t="s">
        <v>22</v>
      </c>
      <c r="F4194" s="17" t="str">
        <f>INDEX(nrg_cb_e!$A$3:$A$40,MATCH(LEFT(MID('Industriesektor GWh'!$B4194,41,1000),SEARCH(" - ",MID('Industriesektor GWh'!$B4194,41,1000))-1),nrg_cb_e!$C$3:$C$40,0))</f>
        <v>FC_IND_FBT_E</v>
      </c>
      <c r="G4194" s="18">
        <v>2518</v>
      </c>
    </row>
    <row r="4195" spans="1:7" x14ac:dyDescent="0.2">
      <c r="A4195" s="19" t="s">
        <v>58</v>
      </c>
      <c r="B4195" s="20" t="s">
        <v>69</v>
      </c>
      <c r="C4195" s="20" t="s">
        <v>8</v>
      </c>
      <c r="D4195" s="20" t="s">
        <v>10</v>
      </c>
      <c r="E4195" s="20" t="s">
        <v>23</v>
      </c>
      <c r="F4195" s="20" t="str">
        <f>INDEX(nrg_cb_e!$A$3:$A$40,MATCH(LEFT(MID('Industriesektor GWh'!$B4195,41,1000),SEARCH(" - ",MID('Industriesektor GWh'!$B4195,41,1000))-1),nrg_cb_e!$C$3:$C$40,0))</f>
        <v>FC_IND_FBT_E</v>
      </c>
      <c r="G4195" s="21">
        <v>2596</v>
      </c>
    </row>
    <row r="4196" spans="1:7" x14ac:dyDescent="0.2">
      <c r="A4196" s="16" t="s">
        <v>58</v>
      </c>
      <c r="B4196" s="17" t="s">
        <v>69</v>
      </c>
      <c r="C4196" s="17" t="s">
        <v>8</v>
      </c>
      <c r="D4196" s="17" t="s">
        <v>10</v>
      </c>
      <c r="E4196" s="17" t="s">
        <v>24</v>
      </c>
      <c r="F4196" s="17" t="str">
        <f>INDEX(nrg_cb_e!$A$3:$A$40,MATCH(LEFT(MID('Industriesektor GWh'!$B4196,41,1000),SEARCH(" - ",MID('Industriesektor GWh'!$B4196,41,1000))-1),nrg_cb_e!$C$3:$C$40,0))</f>
        <v>FC_IND_FBT_E</v>
      </c>
      <c r="G4196" s="18">
        <v>2645</v>
      </c>
    </row>
    <row r="4197" spans="1:7" x14ac:dyDescent="0.2">
      <c r="A4197" s="19" t="s">
        <v>58</v>
      </c>
      <c r="B4197" s="20" t="s">
        <v>69</v>
      </c>
      <c r="C4197" s="20" t="s">
        <v>8</v>
      </c>
      <c r="D4197" s="20" t="s">
        <v>10</v>
      </c>
      <c r="E4197" s="20" t="s">
        <v>25</v>
      </c>
      <c r="F4197" s="20" t="str">
        <f>INDEX(nrg_cb_e!$A$3:$A$40,MATCH(LEFT(MID('Industriesektor GWh'!$B4197,41,1000),SEARCH(" - ",MID('Industriesektor GWh'!$B4197,41,1000))-1),nrg_cb_e!$C$3:$C$40,0))</f>
        <v>FC_IND_FBT_E</v>
      </c>
      <c r="G4197" s="21">
        <v>2696</v>
      </c>
    </row>
    <row r="4198" spans="1:7" x14ac:dyDescent="0.2">
      <c r="A4198" s="16" t="s">
        <v>58</v>
      </c>
      <c r="B4198" s="17" t="s">
        <v>69</v>
      </c>
      <c r="C4198" s="17" t="s">
        <v>8</v>
      </c>
      <c r="D4198" s="17" t="s">
        <v>10</v>
      </c>
      <c r="E4198" s="17" t="s">
        <v>26</v>
      </c>
      <c r="F4198" s="17" t="str">
        <f>INDEX(nrg_cb_e!$A$3:$A$40,MATCH(LEFT(MID('Industriesektor GWh'!$B4198,41,1000),SEARCH(" - ",MID('Industriesektor GWh'!$B4198,41,1000))-1),nrg_cb_e!$C$3:$C$40,0))</f>
        <v>FC_IND_FBT_E</v>
      </c>
      <c r="G4198" s="18">
        <v>2895</v>
      </c>
    </row>
    <row r="4199" spans="1:7" x14ac:dyDescent="0.2">
      <c r="A4199" s="19" t="s">
        <v>58</v>
      </c>
      <c r="B4199" s="20" t="s">
        <v>69</v>
      </c>
      <c r="C4199" s="20" t="s">
        <v>8</v>
      </c>
      <c r="D4199" s="20" t="s">
        <v>10</v>
      </c>
      <c r="E4199" s="20" t="s">
        <v>27</v>
      </c>
      <c r="F4199" s="20" t="str">
        <f>INDEX(nrg_cb_e!$A$3:$A$40,MATCH(LEFT(MID('Industriesektor GWh'!$B4199,41,1000),SEARCH(" - ",MID('Industriesektor GWh'!$B4199,41,1000))-1),nrg_cb_e!$C$3:$C$40,0))</f>
        <v>FC_IND_FBT_E</v>
      </c>
      <c r="G4199" s="21">
        <v>2965</v>
      </c>
    </row>
    <row r="4200" spans="1:7" x14ac:dyDescent="0.2">
      <c r="A4200" s="16" t="s">
        <v>58</v>
      </c>
      <c r="B4200" s="17" t="s">
        <v>69</v>
      </c>
      <c r="C4200" s="17" t="s">
        <v>8</v>
      </c>
      <c r="D4200" s="17" t="s">
        <v>10</v>
      </c>
      <c r="E4200" s="17" t="s">
        <v>28</v>
      </c>
      <c r="F4200" s="17" t="str">
        <f>INDEX(nrg_cb_e!$A$3:$A$40,MATCH(LEFT(MID('Industriesektor GWh'!$B4200,41,1000),SEARCH(" - ",MID('Industriesektor GWh'!$B4200,41,1000))-1),nrg_cb_e!$C$3:$C$40,0))</f>
        <v>FC_IND_FBT_E</v>
      </c>
      <c r="G4200" s="18">
        <v>2985.0650000000001</v>
      </c>
    </row>
    <row r="4201" spans="1:7" x14ac:dyDescent="0.2">
      <c r="A4201" s="19" t="s">
        <v>59</v>
      </c>
      <c r="B4201" s="20" t="s">
        <v>69</v>
      </c>
      <c r="C4201" s="20" t="s">
        <v>8</v>
      </c>
      <c r="D4201" s="20" t="s">
        <v>10</v>
      </c>
      <c r="E4201" s="20" t="s">
        <v>12</v>
      </c>
      <c r="F4201" s="20" t="str">
        <f>INDEX(nrg_cb_e!$A$3:$A$40,MATCH(LEFT(MID('Industriesektor GWh'!$B4201,41,1000),SEARCH(" - ",MID('Industriesektor GWh'!$B4201,41,1000))-1),nrg_cb_e!$C$3:$C$40,0))</f>
        <v>FC_IND_FBT_E</v>
      </c>
      <c r="G4201" s="21">
        <v>0</v>
      </c>
    </row>
    <row r="4202" spans="1:7" x14ac:dyDescent="0.2">
      <c r="A4202" s="16" t="s">
        <v>59</v>
      </c>
      <c r="B4202" s="17" t="s">
        <v>69</v>
      </c>
      <c r="C4202" s="17" t="s">
        <v>8</v>
      </c>
      <c r="D4202" s="17" t="s">
        <v>10</v>
      </c>
      <c r="E4202" s="17" t="s">
        <v>13</v>
      </c>
      <c r="F4202" s="17" t="str">
        <f>INDEX(nrg_cb_e!$A$3:$A$40,MATCH(LEFT(MID('Industriesektor GWh'!$B4202,41,1000),SEARCH(" - ",MID('Industriesektor GWh'!$B4202,41,1000))-1),nrg_cb_e!$C$3:$C$40,0))</f>
        <v>FC_IND_FBT_E</v>
      </c>
      <c r="G4202" s="18">
        <v>0</v>
      </c>
    </row>
    <row r="4203" spans="1:7" x14ac:dyDescent="0.2">
      <c r="A4203" s="19" t="s">
        <v>59</v>
      </c>
      <c r="B4203" s="20" t="s">
        <v>69</v>
      </c>
      <c r="C4203" s="20" t="s">
        <v>8</v>
      </c>
      <c r="D4203" s="20" t="s">
        <v>10</v>
      </c>
      <c r="E4203" s="20" t="s">
        <v>14</v>
      </c>
      <c r="F4203" s="20" t="str">
        <f>INDEX(nrg_cb_e!$A$3:$A$40,MATCH(LEFT(MID('Industriesektor GWh'!$B4203,41,1000),SEARCH(" - ",MID('Industriesektor GWh'!$B4203,41,1000))-1),nrg_cb_e!$C$3:$C$40,0))</f>
        <v>FC_IND_FBT_E</v>
      </c>
      <c r="G4203" s="21">
        <v>835</v>
      </c>
    </row>
    <row r="4204" spans="1:7" x14ac:dyDescent="0.2">
      <c r="A4204" s="16" t="s">
        <v>59</v>
      </c>
      <c r="B4204" s="17" t="s">
        <v>69</v>
      </c>
      <c r="C4204" s="17" t="s">
        <v>8</v>
      </c>
      <c r="D4204" s="17" t="s">
        <v>10</v>
      </c>
      <c r="E4204" s="17" t="s">
        <v>15</v>
      </c>
      <c r="F4204" s="17" t="str">
        <f>INDEX(nrg_cb_e!$A$3:$A$40,MATCH(LEFT(MID('Industriesektor GWh'!$B4204,41,1000),SEARCH(" - ",MID('Industriesektor GWh'!$B4204,41,1000))-1),nrg_cb_e!$C$3:$C$40,0))</f>
        <v>FC_IND_FBT_E</v>
      </c>
      <c r="G4204" s="18">
        <v>872</v>
      </c>
    </row>
    <row r="4205" spans="1:7" x14ac:dyDescent="0.2">
      <c r="A4205" s="19" t="s">
        <v>59</v>
      </c>
      <c r="B4205" s="20" t="s">
        <v>69</v>
      </c>
      <c r="C4205" s="20" t="s">
        <v>8</v>
      </c>
      <c r="D4205" s="20" t="s">
        <v>10</v>
      </c>
      <c r="E4205" s="20" t="s">
        <v>16</v>
      </c>
      <c r="F4205" s="20" t="str">
        <f>INDEX(nrg_cb_e!$A$3:$A$40,MATCH(LEFT(MID('Industriesektor GWh'!$B4205,41,1000),SEARCH(" - ",MID('Industriesektor GWh'!$B4205,41,1000))-1),nrg_cb_e!$C$3:$C$40,0))</f>
        <v>FC_IND_FBT_E</v>
      </c>
      <c r="G4205" s="21">
        <v>1074</v>
      </c>
    </row>
    <row r="4206" spans="1:7" x14ac:dyDescent="0.2">
      <c r="A4206" s="16" t="s">
        <v>59</v>
      </c>
      <c r="B4206" s="17" t="s">
        <v>69</v>
      </c>
      <c r="C4206" s="17" t="s">
        <v>8</v>
      </c>
      <c r="D4206" s="17" t="s">
        <v>10</v>
      </c>
      <c r="E4206" s="17" t="s">
        <v>17</v>
      </c>
      <c r="F4206" s="17" t="str">
        <f>INDEX(nrg_cb_e!$A$3:$A$40,MATCH(LEFT(MID('Industriesektor GWh'!$B4206,41,1000),SEARCH(" - ",MID('Industriesektor GWh'!$B4206,41,1000))-1),nrg_cb_e!$C$3:$C$40,0))</f>
        <v>FC_IND_FBT_E</v>
      </c>
      <c r="G4206" s="18">
        <v>1274</v>
      </c>
    </row>
    <row r="4207" spans="1:7" x14ac:dyDescent="0.2">
      <c r="A4207" s="19" t="s">
        <v>59</v>
      </c>
      <c r="B4207" s="20" t="s">
        <v>69</v>
      </c>
      <c r="C4207" s="20" t="s">
        <v>8</v>
      </c>
      <c r="D4207" s="20" t="s">
        <v>10</v>
      </c>
      <c r="E4207" s="20" t="s">
        <v>18</v>
      </c>
      <c r="F4207" s="20" t="str">
        <f>INDEX(nrg_cb_e!$A$3:$A$40,MATCH(LEFT(MID('Industriesektor GWh'!$B4207,41,1000),SEARCH(" - ",MID('Industriesektor GWh'!$B4207,41,1000))-1),nrg_cb_e!$C$3:$C$40,0))</f>
        <v>FC_IND_FBT_E</v>
      </c>
      <c r="G4207" s="21">
        <v>1039</v>
      </c>
    </row>
    <row r="4208" spans="1:7" x14ac:dyDescent="0.2">
      <c r="A4208" s="16" t="s">
        <v>59</v>
      </c>
      <c r="B4208" s="17" t="s">
        <v>69</v>
      </c>
      <c r="C4208" s="17" t="s">
        <v>8</v>
      </c>
      <c r="D4208" s="17" t="s">
        <v>10</v>
      </c>
      <c r="E4208" s="17" t="s">
        <v>19</v>
      </c>
      <c r="F4208" s="17" t="str">
        <f>INDEX(nrg_cb_e!$A$3:$A$40,MATCH(LEFT(MID('Industriesektor GWh'!$B4208,41,1000),SEARCH(" - ",MID('Industriesektor GWh'!$B4208,41,1000))-1),nrg_cb_e!$C$3:$C$40,0))</f>
        <v>FC_IND_FBT_E</v>
      </c>
      <c r="G4208" s="18">
        <v>845</v>
      </c>
    </row>
    <row r="4209" spans="1:7" x14ac:dyDescent="0.2">
      <c r="A4209" s="19" t="s">
        <v>59</v>
      </c>
      <c r="B4209" s="20" t="s">
        <v>69</v>
      </c>
      <c r="C4209" s="20" t="s">
        <v>8</v>
      </c>
      <c r="D4209" s="20" t="s">
        <v>10</v>
      </c>
      <c r="E4209" s="20" t="s">
        <v>20</v>
      </c>
      <c r="F4209" s="20" t="str">
        <f>INDEX(nrg_cb_e!$A$3:$A$40,MATCH(LEFT(MID('Industriesektor GWh'!$B4209,41,1000),SEARCH(" - ",MID('Industriesektor GWh'!$B4209,41,1000))-1),nrg_cb_e!$C$3:$C$40,0))</f>
        <v>FC_IND_FBT_E</v>
      </c>
      <c r="G4209" s="21">
        <v>1099</v>
      </c>
    </row>
    <row r="4210" spans="1:7" x14ac:dyDescent="0.2">
      <c r="A4210" s="16" t="s">
        <v>59</v>
      </c>
      <c r="B4210" s="17" t="s">
        <v>69</v>
      </c>
      <c r="C4210" s="17" t="s">
        <v>8</v>
      </c>
      <c r="D4210" s="17" t="s">
        <v>10</v>
      </c>
      <c r="E4210" s="17" t="s">
        <v>21</v>
      </c>
      <c r="F4210" s="17" t="str">
        <f>INDEX(nrg_cb_e!$A$3:$A$40,MATCH(LEFT(MID('Industriesektor GWh'!$B4210,41,1000),SEARCH(" - ",MID('Industriesektor GWh'!$B4210,41,1000))-1),nrg_cb_e!$C$3:$C$40,0))</f>
        <v>FC_IND_FBT_E</v>
      </c>
      <c r="G4210" s="18">
        <v>1199</v>
      </c>
    </row>
    <row r="4211" spans="1:7" x14ac:dyDescent="0.2">
      <c r="A4211" s="19" t="s">
        <v>59</v>
      </c>
      <c r="B4211" s="20" t="s">
        <v>69</v>
      </c>
      <c r="C4211" s="20" t="s">
        <v>8</v>
      </c>
      <c r="D4211" s="20" t="s">
        <v>10</v>
      </c>
      <c r="E4211" s="20" t="s">
        <v>22</v>
      </c>
      <c r="F4211" s="20" t="str">
        <f>INDEX(nrg_cb_e!$A$3:$A$40,MATCH(LEFT(MID('Industriesektor GWh'!$B4211,41,1000),SEARCH(" - ",MID('Industriesektor GWh'!$B4211,41,1000))-1),nrg_cb_e!$C$3:$C$40,0))</f>
        <v>FC_IND_FBT_E</v>
      </c>
      <c r="G4211" s="21">
        <v>1303</v>
      </c>
    </row>
    <row r="4212" spans="1:7" x14ac:dyDescent="0.2">
      <c r="A4212" s="16" t="s">
        <v>59</v>
      </c>
      <c r="B4212" s="17" t="s">
        <v>69</v>
      </c>
      <c r="C4212" s="17" t="s">
        <v>8</v>
      </c>
      <c r="D4212" s="17" t="s">
        <v>10</v>
      </c>
      <c r="E4212" s="17" t="s">
        <v>23</v>
      </c>
      <c r="F4212" s="17" t="str">
        <f>INDEX(nrg_cb_e!$A$3:$A$40,MATCH(LEFT(MID('Industriesektor GWh'!$B4212,41,1000),SEARCH(" - ",MID('Industriesektor GWh'!$B4212,41,1000))-1),nrg_cb_e!$C$3:$C$40,0))</f>
        <v>FC_IND_FBT_E</v>
      </c>
      <c r="G4212" s="18">
        <v>1461</v>
      </c>
    </row>
    <row r="4213" spans="1:7" x14ac:dyDescent="0.2">
      <c r="A4213" s="19" t="s">
        <v>59</v>
      </c>
      <c r="B4213" s="20" t="s">
        <v>69</v>
      </c>
      <c r="C4213" s="20" t="s">
        <v>8</v>
      </c>
      <c r="D4213" s="20" t="s">
        <v>10</v>
      </c>
      <c r="E4213" s="20" t="s">
        <v>24</v>
      </c>
      <c r="F4213" s="20" t="str">
        <f>INDEX(nrg_cb_e!$A$3:$A$40,MATCH(LEFT(MID('Industriesektor GWh'!$B4213,41,1000),SEARCH(" - ",MID('Industriesektor GWh'!$B4213,41,1000))-1),nrg_cb_e!$C$3:$C$40,0))</f>
        <v>FC_IND_FBT_E</v>
      </c>
      <c r="G4213" s="21">
        <v>1431</v>
      </c>
    </row>
    <row r="4214" spans="1:7" x14ac:dyDescent="0.2">
      <c r="A4214" s="16" t="s">
        <v>59</v>
      </c>
      <c r="B4214" s="17" t="s">
        <v>69</v>
      </c>
      <c r="C4214" s="17" t="s">
        <v>8</v>
      </c>
      <c r="D4214" s="17" t="s">
        <v>10</v>
      </c>
      <c r="E4214" s="17" t="s">
        <v>25</v>
      </c>
      <c r="F4214" s="17" t="str">
        <f>INDEX(nrg_cb_e!$A$3:$A$40,MATCH(LEFT(MID('Industriesektor GWh'!$B4214,41,1000),SEARCH(" - ",MID('Industriesektor GWh'!$B4214,41,1000))-1),nrg_cb_e!$C$3:$C$40,0))</f>
        <v>FC_IND_FBT_E</v>
      </c>
      <c r="G4214" s="18">
        <v>1522</v>
      </c>
    </row>
    <row r="4215" spans="1:7" x14ac:dyDescent="0.2">
      <c r="A4215" s="19" t="s">
        <v>59</v>
      </c>
      <c r="B4215" s="20" t="s">
        <v>69</v>
      </c>
      <c r="C4215" s="20" t="s">
        <v>8</v>
      </c>
      <c r="D4215" s="20" t="s">
        <v>10</v>
      </c>
      <c r="E4215" s="20" t="s">
        <v>26</v>
      </c>
      <c r="F4215" s="20" t="str">
        <f>INDEX(nrg_cb_e!$A$3:$A$40,MATCH(LEFT(MID('Industriesektor GWh'!$B4215,41,1000),SEARCH(" - ",MID('Industriesektor GWh'!$B4215,41,1000))-1),nrg_cb_e!$C$3:$C$40,0))</f>
        <v>FC_IND_FBT_E</v>
      </c>
      <c r="G4215" s="21">
        <v>1548</v>
      </c>
    </row>
    <row r="4216" spans="1:7" x14ac:dyDescent="0.2">
      <c r="A4216" s="16" t="s">
        <v>59</v>
      </c>
      <c r="B4216" s="17" t="s">
        <v>69</v>
      </c>
      <c r="C4216" s="17" t="s">
        <v>8</v>
      </c>
      <c r="D4216" s="17" t="s">
        <v>10</v>
      </c>
      <c r="E4216" s="17" t="s">
        <v>27</v>
      </c>
      <c r="F4216" s="17" t="str">
        <f>INDEX(nrg_cb_e!$A$3:$A$40,MATCH(LEFT(MID('Industriesektor GWh'!$B4216,41,1000),SEARCH(" - ",MID('Industriesektor GWh'!$B4216,41,1000))-1),nrg_cb_e!$C$3:$C$40,0))</f>
        <v>FC_IND_FBT_E</v>
      </c>
      <c r="G4216" s="18">
        <v>1625.327</v>
      </c>
    </row>
    <row r="4217" spans="1:7" x14ac:dyDescent="0.2">
      <c r="A4217" s="19" t="s">
        <v>59</v>
      </c>
      <c r="B4217" s="20" t="s">
        <v>69</v>
      </c>
      <c r="C4217" s="20" t="s">
        <v>8</v>
      </c>
      <c r="D4217" s="20" t="s">
        <v>10</v>
      </c>
      <c r="E4217" s="20" t="s">
        <v>28</v>
      </c>
      <c r="F4217" s="20" t="str">
        <f>INDEX(nrg_cb_e!$A$3:$A$40,MATCH(LEFT(MID('Industriesektor GWh'!$B4217,41,1000),SEARCH(" - ",MID('Industriesektor GWh'!$B4217,41,1000))-1),nrg_cb_e!$C$3:$C$40,0))</f>
        <v>FC_IND_FBT_E</v>
      </c>
      <c r="G4217" s="21">
        <v>1596.953</v>
      </c>
    </row>
    <row r="4218" spans="1:7" x14ac:dyDescent="0.2">
      <c r="A4218" s="16" t="s">
        <v>29</v>
      </c>
      <c r="B4218" s="17" t="s">
        <v>74</v>
      </c>
      <c r="C4218" s="17" t="s">
        <v>8</v>
      </c>
      <c r="D4218" s="17" t="s">
        <v>10</v>
      </c>
      <c r="E4218" s="17" t="s">
        <v>12</v>
      </c>
      <c r="F4218" s="17" t="str">
        <f>INDEX(nrg_cb_e!$A$3:$A$40,MATCH(LEFT(MID('Industriesektor GWh'!$B4218,41,1000),SEARCH(" - ",MID('Industriesektor GWh'!$B4218,41,1000))-1),nrg_cb_e!$C$3:$C$40,0))</f>
        <v>NRG_NSP_E</v>
      </c>
      <c r="G4218" s="18">
        <v>1842</v>
      </c>
    </row>
    <row r="4219" spans="1:7" x14ac:dyDescent="0.2">
      <c r="A4219" s="19" t="s">
        <v>29</v>
      </c>
      <c r="B4219" s="20" t="s">
        <v>74</v>
      </c>
      <c r="C4219" s="20" t="s">
        <v>8</v>
      </c>
      <c r="D4219" s="20" t="s">
        <v>10</v>
      </c>
      <c r="E4219" s="20" t="s">
        <v>13</v>
      </c>
      <c r="F4219" s="20" t="str">
        <f>INDEX(nrg_cb_e!$A$3:$A$40,MATCH(LEFT(MID('Industriesektor GWh'!$B4219,41,1000),SEARCH(" - ",MID('Industriesektor GWh'!$B4219,41,1000))-1),nrg_cb_e!$C$3:$C$40,0))</f>
        <v>NRG_NSP_E</v>
      </c>
      <c r="G4219" s="21">
        <v>1933</v>
      </c>
    </row>
    <row r="4220" spans="1:7" x14ac:dyDescent="0.2">
      <c r="A4220" s="16" t="s">
        <v>29</v>
      </c>
      <c r="B4220" s="17" t="s">
        <v>74</v>
      </c>
      <c r="C4220" s="17" t="s">
        <v>8</v>
      </c>
      <c r="D4220" s="17" t="s">
        <v>10</v>
      </c>
      <c r="E4220" s="17" t="s">
        <v>14</v>
      </c>
      <c r="F4220" s="17" t="str">
        <f>INDEX(nrg_cb_e!$A$3:$A$40,MATCH(LEFT(MID('Industriesektor GWh'!$B4220,41,1000),SEARCH(" - ",MID('Industriesektor GWh'!$B4220,41,1000))-1),nrg_cb_e!$C$3:$C$40,0))</f>
        <v>NRG_NSP_E</v>
      </c>
      <c r="G4220" s="18">
        <v>1807</v>
      </c>
    </row>
    <row r="4221" spans="1:7" x14ac:dyDescent="0.2">
      <c r="A4221" s="19" t="s">
        <v>29</v>
      </c>
      <c r="B4221" s="20" t="s">
        <v>74</v>
      </c>
      <c r="C4221" s="20" t="s">
        <v>8</v>
      </c>
      <c r="D4221" s="20" t="s">
        <v>10</v>
      </c>
      <c r="E4221" s="20" t="s">
        <v>15</v>
      </c>
      <c r="F4221" s="20" t="str">
        <f>INDEX(nrg_cb_e!$A$3:$A$40,MATCH(LEFT(MID('Industriesektor GWh'!$B4221,41,1000),SEARCH(" - ",MID('Industriesektor GWh'!$B4221,41,1000))-1),nrg_cb_e!$C$3:$C$40,0))</f>
        <v>NRG_NSP_E</v>
      </c>
      <c r="G4221" s="21">
        <v>1801</v>
      </c>
    </row>
    <row r="4222" spans="1:7" x14ac:dyDescent="0.2">
      <c r="A4222" s="16" t="s">
        <v>29</v>
      </c>
      <c r="B4222" s="17" t="s">
        <v>74</v>
      </c>
      <c r="C4222" s="17" t="s">
        <v>8</v>
      </c>
      <c r="D4222" s="17" t="s">
        <v>10</v>
      </c>
      <c r="E4222" s="17" t="s">
        <v>16</v>
      </c>
      <c r="F4222" s="17" t="str">
        <f>INDEX(nrg_cb_e!$A$3:$A$40,MATCH(LEFT(MID('Industriesektor GWh'!$B4222,41,1000),SEARCH(" - ",MID('Industriesektor GWh'!$B4222,41,1000))-1),nrg_cb_e!$C$3:$C$40,0))</f>
        <v>NRG_NSP_E</v>
      </c>
      <c r="G4222" s="18">
        <v>1543</v>
      </c>
    </row>
    <row r="4223" spans="1:7" x14ac:dyDescent="0.2">
      <c r="A4223" s="19" t="s">
        <v>29</v>
      </c>
      <c r="B4223" s="20" t="s">
        <v>74</v>
      </c>
      <c r="C4223" s="20" t="s">
        <v>8</v>
      </c>
      <c r="D4223" s="20" t="s">
        <v>10</v>
      </c>
      <c r="E4223" s="20" t="s">
        <v>17</v>
      </c>
      <c r="F4223" s="20" t="str">
        <f>INDEX(nrg_cb_e!$A$3:$A$40,MATCH(LEFT(MID('Industriesektor GWh'!$B4223,41,1000),SEARCH(" - ",MID('Industriesektor GWh'!$B4223,41,1000))-1),nrg_cb_e!$C$3:$C$40,0))</f>
        <v>NRG_NSP_E</v>
      </c>
      <c r="G4223" s="21">
        <v>288</v>
      </c>
    </row>
    <row r="4224" spans="1:7" x14ac:dyDescent="0.2">
      <c r="A4224" s="16" t="s">
        <v>29</v>
      </c>
      <c r="B4224" s="17" t="s">
        <v>74</v>
      </c>
      <c r="C4224" s="17" t="s">
        <v>8</v>
      </c>
      <c r="D4224" s="17" t="s">
        <v>10</v>
      </c>
      <c r="E4224" s="17" t="s">
        <v>18</v>
      </c>
      <c r="F4224" s="17" t="str">
        <f>INDEX(nrg_cb_e!$A$3:$A$40,MATCH(LEFT(MID('Industriesektor GWh'!$B4224,41,1000),SEARCH(" - ",MID('Industriesektor GWh'!$B4224,41,1000))-1),nrg_cb_e!$C$3:$C$40,0))</f>
        <v>NRG_NSP_E</v>
      </c>
      <c r="G4224" s="18">
        <v>843</v>
      </c>
    </row>
    <row r="4225" spans="1:7" x14ac:dyDescent="0.2">
      <c r="A4225" s="19" t="s">
        <v>29</v>
      </c>
      <c r="B4225" s="20" t="s">
        <v>74</v>
      </c>
      <c r="C4225" s="20" t="s">
        <v>8</v>
      </c>
      <c r="D4225" s="20" t="s">
        <v>10</v>
      </c>
      <c r="E4225" s="20" t="s">
        <v>19</v>
      </c>
      <c r="F4225" s="20" t="str">
        <f>INDEX(nrg_cb_e!$A$3:$A$40,MATCH(LEFT(MID('Industriesektor GWh'!$B4225,41,1000),SEARCH(" - ",MID('Industriesektor GWh'!$B4225,41,1000))-1),nrg_cb_e!$C$3:$C$40,0))</f>
        <v>NRG_NSP_E</v>
      </c>
      <c r="G4225" s="21">
        <v>1766</v>
      </c>
    </row>
    <row r="4226" spans="1:7" x14ac:dyDescent="0.2">
      <c r="A4226" s="16" t="s">
        <v>29</v>
      </c>
      <c r="B4226" s="17" t="s">
        <v>74</v>
      </c>
      <c r="C4226" s="17" t="s">
        <v>8</v>
      </c>
      <c r="D4226" s="17" t="s">
        <v>10</v>
      </c>
      <c r="E4226" s="17" t="s">
        <v>20</v>
      </c>
      <c r="F4226" s="17" t="str">
        <f>INDEX(nrg_cb_e!$A$3:$A$40,MATCH(LEFT(MID('Industriesektor GWh'!$B4226,41,1000),SEARCH(" - ",MID('Industriesektor GWh'!$B4226,41,1000))-1),nrg_cb_e!$C$3:$C$40,0))</f>
        <v>NRG_NSP_E</v>
      </c>
      <c r="G4226" s="18">
        <v>1026</v>
      </c>
    </row>
    <row r="4227" spans="1:7" x14ac:dyDescent="0.2">
      <c r="A4227" s="19" t="s">
        <v>29</v>
      </c>
      <c r="B4227" s="20" t="s">
        <v>74</v>
      </c>
      <c r="C4227" s="20" t="s">
        <v>8</v>
      </c>
      <c r="D4227" s="20" t="s">
        <v>10</v>
      </c>
      <c r="E4227" s="20" t="s">
        <v>21</v>
      </c>
      <c r="F4227" s="20" t="str">
        <f>INDEX(nrg_cb_e!$A$3:$A$40,MATCH(LEFT(MID('Industriesektor GWh'!$B4227,41,1000),SEARCH(" - ",MID('Industriesektor GWh'!$B4227,41,1000))-1),nrg_cb_e!$C$3:$C$40,0))</f>
        <v>NRG_NSP_E</v>
      </c>
      <c r="G4227" s="21">
        <v>1709</v>
      </c>
    </row>
    <row r="4228" spans="1:7" x14ac:dyDescent="0.2">
      <c r="A4228" s="16" t="s">
        <v>29</v>
      </c>
      <c r="B4228" s="17" t="s">
        <v>74</v>
      </c>
      <c r="C4228" s="17" t="s">
        <v>8</v>
      </c>
      <c r="D4228" s="17" t="s">
        <v>10</v>
      </c>
      <c r="E4228" s="17" t="s">
        <v>22</v>
      </c>
      <c r="F4228" s="17" t="str">
        <f>INDEX(nrg_cb_e!$A$3:$A$40,MATCH(LEFT(MID('Industriesektor GWh'!$B4228,41,1000),SEARCH(" - ",MID('Industriesektor GWh'!$B4228,41,1000))-1),nrg_cb_e!$C$3:$C$40,0))</f>
        <v>NRG_NSP_E</v>
      </c>
      <c r="G4228" s="18">
        <v>1581</v>
      </c>
    </row>
    <row r="4229" spans="1:7" x14ac:dyDescent="0.2">
      <c r="A4229" s="19" t="s">
        <v>29</v>
      </c>
      <c r="B4229" s="20" t="s">
        <v>74</v>
      </c>
      <c r="C4229" s="20" t="s">
        <v>8</v>
      </c>
      <c r="D4229" s="20" t="s">
        <v>10</v>
      </c>
      <c r="E4229" s="20" t="s">
        <v>23</v>
      </c>
      <c r="F4229" s="20" t="str">
        <f>INDEX(nrg_cb_e!$A$3:$A$40,MATCH(LEFT(MID('Industriesektor GWh'!$B4229,41,1000),SEARCH(" - ",MID('Industriesektor GWh'!$B4229,41,1000))-1),nrg_cb_e!$C$3:$C$40,0))</f>
        <v>NRG_NSP_E</v>
      </c>
      <c r="G4229" s="21">
        <v>2059</v>
      </c>
    </row>
    <row r="4230" spans="1:7" x14ac:dyDescent="0.2">
      <c r="A4230" s="16" t="s">
        <v>29</v>
      </c>
      <c r="B4230" s="17" t="s">
        <v>74</v>
      </c>
      <c r="C4230" s="17" t="s">
        <v>8</v>
      </c>
      <c r="D4230" s="17" t="s">
        <v>10</v>
      </c>
      <c r="E4230" s="17" t="s">
        <v>24</v>
      </c>
      <c r="F4230" s="17" t="str">
        <f>INDEX(nrg_cb_e!$A$3:$A$40,MATCH(LEFT(MID('Industriesektor GWh'!$B4230,41,1000),SEARCH(" - ",MID('Industriesektor GWh'!$B4230,41,1000))-1),nrg_cb_e!$C$3:$C$40,0))</f>
        <v>NRG_NSP_E</v>
      </c>
      <c r="G4230" s="18">
        <v>2026.3</v>
      </c>
    </row>
    <row r="4231" spans="1:7" x14ac:dyDescent="0.2">
      <c r="A4231" s="19" t="s">
        <v>29</v>
      </c>
      <c r="B4231" s="20" t="s">
        <v>74</v>
      </c>
      <c r="C4231" s="20" t="s">
        <v>8</v>
      </c>
      <c r="D4231" s="20" t="s">
        <v>10</v>
      </c>
      <c r="E4231" s="20" t="s">
        <v>25</v>
      </c>
      <c r="F4231" s="20" t="str">
        <f>INDEX(nrg_cb_e!$A$3:$A$40,MATCH(LEFT(MID('Industriesektor GWh'!$B4231,41,1000),SEARCH(" - ",MID('Industriesektor GWh'!$B4231,41,1000))-1),nrg_cb_e!$C$3:$C$40,0))</f>
        <v>NRG_NSP_E</v>
      </c>
      <c r="G4231" s="21">
        <v>2093.1</v>
      </c>
    </row>
    <row r="4232" spans="1:7" x14ac:dyDescent="0.2">
      <c r="A4232" s="16" t="s">
        <v>29</v>
      </c>
      <c r="B4232" s="17" t="s">
        <v>74</v>
      </c>
      <c r="C4232" s="17" t="s">
        <v>8</v>
      </c>
      <c r="D4232" s="17" t="s">
        <v>10</v>
      </c>
      <c r="E4232" s="17" t="s">
        <v>26</v>
      </c>
      <c r="F4232" s="17" t="str">
        <f>INDEX(nrg_cb_e!$A$3:$A$40,MATCH(LEFT(MID('Industriesektor GWh'!$B4232,41,1000),SEARCH(" - ",MID('Industriesektor GWh'!$B4232,41,1000))-1),nrg_cb_e!$C$3:$C$40,0))</f>
        <v>NRG_NSP_E</v>
      </c>
      <c r="G4232" s="18">
        <v>2109.6999999999998</v>
      </c>
    </row>
    <row r="4233" spans="1:7" x14ac:dyDescent="0.2">
      <c r="A4233" s="19" t="s">
        <v>29</v>
      </c>
      <c r="B4233" s="20" t="s">
        <v>74</v>
      </c>
      <c r="C4233" s="20" t="s">
        <v>8</v>
      </c>
      <c r="D4233" s="20" t="s">
        <v>10</v>
      </c>
      <c r="E4233" s="20" t="s">
        <v>27</v>
      </c>
      <c r="F4233" s="20" t="str">
        <f>INDEX(nrg_cb_e!$A$3:$A$40,MATCH(LEFT(MID('Industriesektor GWh'!$B4233,41,1000),SEARCH(" - ",MID('Industriesektor GWh'!$B4233,41,1000))-1),nrg_cb_e!$C$3:$C$40,0))</f>
        <v>NRG_NSP_E</v>
      </c>
      <c r="G4233" s="21">
        <v>1760.7</v>
      </c>
    </row>
    <row r="4234" spans="1:7" x14ac:dyDescent="0.2">
      <c r="A4234" s="16" t="s">
        <v>29</v>
      </c>
      <c r="B4234" s="17" t="s">
        <v>74</v>
      </c>
      <c r="C4234" s="17" t="s">
        <v>8</v>
      </c>
      <c r="D4234" s="17" t="s">
        <v>10</v>
      </c>
      <c r="E4234" s="17" t="s">
        <v>28</v>
      </c>
      <c r="F4234" s="17" t="str">
        <f>INDEX(nrg_cb_e!$A$3:$A$40,MATCH(LEFT(MID('Industriesektor GWh'!$B4234,41,1000),SEARCH(" - ",MID('Industriesektor GWh'!$B4234,41,1000))-1),nrg_cb_e!$C$3:$C$40,0))</f>
        <v>NRG_NSP_E</v>
      </c>
      <c r="G4234" s="18">
        <v>1866.9</v>
      </c>
    </row>
    <row r="4235" spans="1:7" x14ac:dyDescent="0.2">
      <c r="A4235" s="19" t="s">
        <v>30</v>
      </c>
      <c r="B4235" s="20" t="s">
        <v>74</v>
      </c>
      <c r="C4235" s="20" t="s">
        <v>8</v>
      </c>
      <c r="D4235" s="20" t="s">
        <v>10</v>
      </c>
      <c r="E4235" s="20" t="s">
        <v>12</v>
      </c>
      <c r="F4235" s="20" t="str">
        <f>INDEX(nrg_cb_e!$A$3:$A$40,MATCH(LEFT(MID('Industriesektor GWh'!$B4235,41,1000),SEARCH(" - ",MID('Industriesektor GWh'!$B4235,41,1000))-1),nrg_cb_e!$C$3:$C$40,0))</f>
        <v>NRG_NSP_E</v>
      </c>
      <c r="G4235" s="21">
        <v>240</v>
      </c>
    </row>
    <row r="4236" spans="1:7" x14ac:dyDescent="0.2">
      <c r="A4236" s="16" t="s">
        <v>30</v>
      </c>
      <c r="B4236" s="17" t="s">
        <v>74</v>
      </c>
      <c r="C4236" s="17" t="s">
        <v>8</v>
      </c>
      <c r="D4236" s="17" t="s">
        <v>10</v>
      </c>
      <c r="E4236" s="17" t="s">
        <v>13</v>
      </c>
      <c r="F4236" s="17" t="str">
        <f>INDEX(nrg_cb_e!$A$3:$A$40,MATCH(LEFT(MID('Industriesektor GWh'!$B4236,41,1000),SEARCH(" - ",MID('Industriesektor GWh'!$B4236,41,1000))-1),nrg_cb_e!$C$3:$C$40,0))</f>
        <v>NRG_NSP_E</v>
      </c>
      <c r="G4236" s="18">
        <v>359</v>
      </c>
    </row>
    <row r="4237" spans="1:7" x14ac:dyDescent="0.2">
      <c r="A4237" s="19" t="s">
        <v>30</v>
      </c>
      <c r="B4237" s="20" t="s">
        <v>74</v>
      </c>
      <c r="C4237" s="20" t="s">
        <v>8</v>
      </c>
      <c r="D4237" s="20" t="s">
        <v>10</v>
      </c>
      <c r="E4237" s="20" t="s">
        <v>14</v>
      </c>
      <c r="F4237" s="20" t="str">
        <f>INDEX(nrg_cb_e!$A$3:$A$40,MATCH(LEFT(MID('Industriesektor GWh'!$B4237,41,1000),SEARCH(" - ",MID('Industriesektor GWh'!$B4237,41,1000))-1),nrg_cb_e!$C$3:$C$40,0))</f>
        <v>NRG_NSP_E</v>
      </c>
      <c r="G4237" s="21">
        <v>412</v>
      </c>
    </row>
    <row r="4238" spans="1:7" x14ac:dyDescent="0.2">
      <c r="A4238" s="16" t="s">
        <v>30</v>
      </c>
      <c r="B4238" s="17" t="s">
        <v>74</v>
      </c>
      <c r="C4238" s="17" t="s">
        <v>8</v>
      </c>
      <c r="D4238" s="17" t="s">
        <v>10</v>
      </c>
      <c r="E4238" s="17" t="s">
        <v>15</v>
      </c>
      <c r="F4238" s="17" t="str">
        <f>INDEX(nrg_cb_e!$A$3:$A$40,MATCH(LEFT(MID('Industriesektor GWh'!$B4238,41,1000),SEARCH(" - ",MID('Industriesektor GWh'!$B4238,41,1000))-1),nrg_cb_e!$C$3:$C$40,0))</f>
        <v>NRG_NSP_E</v>
      </c>
      <c r="G4238" s="18">
        <v>406</v>
      </c>
    </row>
    <row r="4239" spans="1:7" x14ac:dyDescent="0.2">
      <c r="A4239" s="19" t="s">
        <v>30</v>
      </c>
      <c r="B4239" s="20" t="s">
        <v>74</v>
      </c>
      <c r="C4239" s="20" t="s">
        <v>8</v>
      </c>
      <c r="D4239" s="20" t="s">
        <v>10</v>
      </c>
      <c r="E4239" s="20" t="s">
        <v>16</v>
      </c>
      <c r="F4239" s="20" t="str">
        <f>INDEX(nrg_cb_e!$A$3:$A$40,MATCH(LEFT(MID('Industriesektor GWh'!$B4239,41,1000),SEARCH(" - ",MID('Industriesektor GWh'!$B4239,41,1000))-1),nrg_cb_e!$C$3:$C$40,0))</f>
        <v>NRG_NSP_E</v>
      </c>
      <c r="G4239" s="21">
        <v>417</v>
      </c>
    </row>
    <row r="4240" spans="1:7" x14ac:dyDescent="0.2">
      <c r="A4240" s="16" t="s">
        <v>30</v>
      </c>
      <c r="B4240" s="17" t="s">
        <v>74</v>
      </c>
      <c r="C4240" s="17" t="s">
        <v>8</v>
      </c>
      <c r="D4240" s="17" t="s">
        <v>10</v>
      </c>
      <c r="E4240" s="17" t="s">
        <v>17</v>
      </c>
      <c r="F4240" s="17" t="str">
        <f>INDEX(nrg_cb_e!$A$3:$A$40,MATCH(LEFT(MID('Industriesektor GWh'!$B4240,41,1000),SEARCH(" - ",MID('Industriesektor GWh'!$B4240,41,1000))-1),nrg_cb_e!$C$3:$C$40,0))</f>
        <v>NRG_NSP_E</v>
      </c>
      <c r="G4240" s="18">
        <v>423</v>
      </c>
    </row>
    <row r="4241" spans="1:7" x14ac:dyDescent="0.2">
      <c r="A4241" s="19" t="s">
        <v>30</v>
      </c>
      <c r="B4241" s="20" t="s">
        <v>74</v>
      </c>
      <c r="C4241" s="20" t="s">
        <v>8</v>
      </c>
      <c r="D4241" s="20" t="s">
        <v>10</v>
      </c>
      <c r="E4241" s="20" t="s">
        <v>18</v>
      </c>
      <c r="F4241" s="20" t="str">
        <f>INDEX(nrg_cb_e!$A$3:$A$40,MATCH(LEFT(MID('Industriesektor GWh'!$B4241,41,1000),SEARCH(" - ",MID('Industriesektor GWh'!$B4241,41,1000))-1),nrg_cb_e!$C$3:$C$40,0))</f>
        <v>NRG_NSP_E</v>
      </c>
      <c r="G4241" s="21">
        <v>524</v>
      </c>
    </row>
    <row r="4242" spans="1:7" x14ac:dyDescent="0.2">
      <c r="A4242" s="16" t="s">
        <v>30</v>
      </c>
      <c r="B4242" s="17" t="s">
        <v>74</v>
      </c>
      <c r="C4242" s="17" t="s">
        <v>8</v>
      </c>
      <c r="D4242" s="17" t="s">
        <v>10</v>
      </c>
      <c r="E4242" s="17" t="s">
        <v>19</v>
      </c>
      <c r="F4242" s="17" t="str">
        <f>INDEX(nrg_cb_e!$A$3:$A$40,MATCH(LEFT(MID('Industriesektor GWh'!$B4242,41,1000),SEARCH(" - ",MID('Industriesektor GWh'!$B4242,41,1000))-1),nrg_cb_e!$C$3:$C$40,0))</f>
        <v>NRG_NSP_E</v>
      </c>
      <c r="G4242" s="18">
        <v>431</v>
      </c>
    </row>
    <row r="4243" spans="1:7" x14ac:dyDescent="0.2">
      <c r="A4243" s="19" t="s">
        <v>30</v>
      </c>
      <c r="B4243" s="20" t="s">
        <v>74</v>
      </c>
      <c r="C4243" s="20" t="s">
        <v>8</v>
      </c>
      <c r="D4243" s="20" t="s">
        <v>10</v>
      </c>
      <c r="E4243" s="20" t="s">
        <v>20</v>
      </c>
      <c r="F4243" s="20" t="str">
        <f>INDEX(nrg_cb_e!$A$3:$A$40,MATCH(LEFT(MID('Industriesektor GWh'!$B4243,41,1000),SEARCH(" - ",MID('Industriesektor GWh'!$B4243,41,1000))-1),nrg_cb_e!$C$3:$C$40,0))</f>
        <v>NRG_NSP_E</v>
      </c>
      <c r="G4243" s="21">
        <v>409</v>
      </c>
    </row>
    <row r="4244" spans="1:7" x14ac:dyDescent="0.2">
      <c r="A4244" s="16" t="s">
        <v>30</v>
      </c>
      <c r="B4244" s="17" t="s">
        <v>74</v>
      </c>
      <c r="C4244" s="17" t="s">
        <v>8</v>
      </c>
      <c r="D4244" s="17" t="s">
        <v>10</v>
      </c>
      <c r="E4244" s="17" t="s">
        <v>21</v>
      </c>
      <c r="F4244" s="17" t="str">
        <f>INDEX(nrg_cb_e!$A$3:$A$40,MATCH(LEFT(MID('Industriesektor GWh'!$B4244,41,1000),SEARCH(" - ",MID('Industriesektor GWh'!$B4244,41,1000))-1),nrg_cb_e!$C$3:$C$40,0))</f>
        <v>NRG_NSP_E</v>
      </c>
      <c r="G4244" s="18">
        <v>477</v>
      </c>
    </row>
    <row r="4245" spans="1:7" x14ac:dyDescent="0.2">
      <c r="A4245" s="19" t="s">
        <v>30</v>
      </c>
      <c r="B4245" s="20" t="s">
        <v>74</v>
      </c>
      <c r="C4245" s="20" t="s">
        <v>8</v>
      </c>
      <c r="D4245" s="20" t="s">
        <v>10</v>
      </c>
      <c r="E4245" s="20" t="s">
        <v>22</v>
      </c>
      <c r="F4245" s="20" t="str">
        <f>INDEX(nrg_cb_e!$A$3:$A$40,MATCH(LEFT(MID('Industriesektor GWh'!$B4245,41,1000),SEARCH(" - ",MID('Industriesektor GWh'!$B4245,41,1000))-1),nrg_cb_e!$C$3:$C$40,0))</f>
        <v>NRG_NSP_E</v>
      </c>
      <c r="G4245" s="21">
        <v>523</v>
      </c>
    </row>
    <row r="4246" spans="1:7" x14ac:dyDescent="0.2">
      <c r="A4246" s="16" t="s">
        <v>30</v>
      </c>
      <c r="B4246" s="17" t="s">
        <v>74</v>
      </c>
      <c r="C4246" s="17" t="s">
        <v>8</v>
      </c>
      <c r="D4246" s="17" t="s">
        <v>10</v>
      </c>
      <c r="E4246" s="17" t="s">
        <v>23</v>
      </c>
      <c r="F4246" s="17" t="str">
        <f>INDEX(nrg_cb_e!$A$3:$A$40,MATCH(LEFT(MID('Industriesektor GWh'!$B4246,41,1000),SEARCH(" - ",MID('Industriesektor GWh'!$B4246,41,1000))-1),nrg_cb_e!$C$3:$C$40,0))</f>
        <v>NRG_NSP_E</v>
      </c>
      <c r="G4246" s="18">
        <v>512</v>
      </c>
    </row>
    <row r="4247" spans="1:7" x14ac:dyDescent="0.2">
      <c r="A4247" s="19" t="s">
        <v>30</v>
      </c>
      <c r="B4247" s="20" t="s">
        <v>74</v>
      </c>
      <c r="C4247" s="20" t="s">
        <v>8</v>
      </c>
      <c r="D4247" s="20" t="s">
        <v>10</v>
      </c>
      <c r="E4247" s="20" t="s">
        <v>24</v>
      </c>
      <c r="F4247" s="20" t="str">
        <f>INDEX(nrg_cb_e!$A$3:$A$40,MATCH(LEFT(MID('Industriesektor GWh'!$B4247,41,1000),SEARCH(" - ",MID('Industriesektor GWh'!$B4247,41,1000))-1),nrg_cb_e!$C$3:$C$40,0))</f>
        <v>NRG_NSP_E</v>
      </c>
      <c r="G4247" s="21">
        <v>555</v>
      </c>
    </row>
    <row r="4248" spans="1:7" x14ac:dyDescent="0.2">
      <c r="A4248" s="16" t="s">
        <v>30</v>
      </c>
      <c r="B4248" s="17" t="s">
        <v>74</v>
      </c>
      <c r="C4248" s="17" t="s">
        <v>8</v>
      </c>
      <c r="D4248" s="17" t="s">
        <v>10</v>
      </c>
      <c r="E4248" s="17" t="s">
        <v>25</v>
      </c>
      <c r="F4248" s="17" t="str">
        <f>INDEX(nrg_cb_e!$A$3:$A$40,MATCH(LEFT(MID('Industriesektor GWh'!$B4248,41,1000),SEARCH(" - ",MID('Industriesektor GWh'!$B4248,41,1000))-1),nrg_cb_e!$C$3:$C$40,0))</f>
        <v>NRG_NSP_E</v>
      </c>
      <c r="G4248" s="18">
        <v>595</v>
      </c>
    </row>
    <row r="4249" spans="1:7" x14ac:dyDescent="0.2">
      <c r="A4249" s="19" t="s">
        <v>30</v>
      </c>
      <c r="B4249" s="20" t="s">
        <v>74</v>
      </c>
      <c r="C4249" s="20" t="s">
        <v>8</v>
      </c>
      <c r="D4249" s="20" t="s">
        <v>10</v>
      </c>
      <c r="E4249" s="20" t="s">
        <v>26</v>
      </c>
      <c r="F4249" s="20" t="str">
        <f>INDEX(nrg_cb_e!$A$3:$A$40,MATCH(LEFT(MID('Industriesektor GWh'!$B4249,41,1000),SEARCH(" - ",MID('Industriesektor GWh'!$B4249,41,1000))-1),nrg_cb_e!$C$3:$C$40,0))</f>
        <v>NRG_NSP_E</v>
      </c>
      <c r="G4249" s="21">
        <v>609</v>
      </c>
    </row>
    <row r="4250" spans="1:7" x14ac:dyDescent="0.2">
      <c r="A4250" s="16" t="s">
        <v>30</v>
      </c>
      <c r="B4250" s="17" t="s">
        <v>74</v>
      </c>
      <c r="C4250" s="17" t="s">
        <v>8</v>
      </c>
      <c r="D4250" s="17" t="s">
        <v>10</v>
      </c>
      <c r="E4250" s="17" t="s">
        <v>27</v>
      </c>
      <c r="F4250" s="17" t="str">
        <f>INDEX(nrg_cb_e!$A$3:$A$40,MATCH(LEFT(MID('Industriesektor GWh'!$B4250,41,1000),SEARCH(" - ",MID('Industriesektor GWh'!$B4250,41,1000))-1),nrg_cb_e!$C$3:$C$40,0))</f>
        <v>NRG_NSP_E</v>
      </c>
      <c r="G4250" s="18">
        <v>686.31299999999999</v>
      </c>
    </row>
    <row r="4251" spans="1:7" x14ac:dyDescent="0.2">
      <c r="A4251" s="19" t="s">
        <v>30</v>
      </c>
      <c r="B4251" s="20" t="s">
        <v>74</v>
      </c>
      <c r="C4251" s="20" t="s">
        <v>8</v>
      </c>
      <c r="D4251" s="20" t="s">
        <v>10</v>
      </c>
      <c r="E4251" s="20" t="s">
        <v>28</v>
      </c>
      <c r="F4251" s="20" t="str">
        <f>INDEX(nrg_cb_e!$A$3:$A$40,MATCH(LEFT(MID('Industriesektor GWh'!$B4251,41,1000),SEARCH(" - ",MID('Industriesektor GWh'!$B4251,41,1000))-1),nrg_cb_e!$C$3:$C$40,0))</f>
        <v>NRG_NSP_E</v>
      </c>
      <c r="G4251" s="21">
        <v>715.28200000000004</v>
      </c>
    </row>
    <row r="4252" spans="1:7" x14ac:dyDescent="0.2">
      <c r="A4252" s="16" t="s">
        <v>31</v>
      </c>
      <c r="B4252" s="17" t="s">
        <v>74</v>
      </c>
      <c r="C4252" s="17" t="s">
        <v>8</v>
      </c>
      <c r="D4252" s="17" t="s">
        <v>10</v>
      </c>
      <c r="E4252" s="17" t="s">
        <v>12</v>
      </c>
      <c r="F4252" s="17" t="str">
        <f>INDEX(nrg_cb_e!$A$3:$A$40,MATCH(LEFT(MID('Industriesektor GWh'!$B4252,41,1000),SEARCH(" - ",MID('Industriesektor GWh'!$B4252,41,1000))-1),nrg_cb_e!$C$3:$C$40,0))</f>
        <v>NRG_NSP_E</v>
      </c>
      <c r="G4252" s="18">
        <v>1944</v>
      </c>
    </row>
    <row r="4253" spans="1:7" x14ac:dyDescent="0.2">
      <c r="A4253" s="19" t="s">
        <v>31</v>
      </c>
      <c r="B4253" s="20" t="s">
        <v>74</v>
      </c>
      <c r="C4253" s="20" t="s">
        <v>8</v>
      </c>
      <c r="D4253" s="20" t="s">
        <v>10</v>
      </c>
      <c r="E4253" s="20" t="s">
        <v>13</v>
      </c>
      <c r="F4253" s="20" t="str">
        <f>INDEX(nrg_cb_e!$A$3:$A$40,MATCH(LEFT(MID('Industriesektor GWh'!$B4253,41,1000),SEARCH(" - ",MID('Industriesektor GWh'!$B4253,41,1000))-1),nrg_cb_e!$C$3:$C$40,0))</f>
        <v>NRG_NSP_E</v>
      </c>
      <c r="G4253" s="21">
        <v>2014</v>
      </c>
    </row>
    <row r="4254" spans="1:7" x14ac:dyDescent="0.2">
      <c r="A4254" s="16" t="s">
        <v>31</v>
      </c>
      <c r="B4254" s="17" t="s">
        <v>74</v>
      </c>
      <c r="C4254" s="17" t="s">
        <v>8</v>
      </c>
      <c r="D4254" s="17" t="s">
        <v>10</v>
      </c>
      <c r="E4254" s="17" t="s">
        <v>14</v>
      </c>
      <c r="F4254" s="17" t="str">
        <f>INDEX(nrg_cb_e!$A$3:$A$40,MATCH(LEFT(MID('Industriesektor GWh'!$B4254,41,1000),SEARCH(" - ",MID('Industriesektor GWh'!$B4254,41,1000))-1),nrg_cb_e!$C$3:$C$40,0))</f>
        <v>NRG_NSP_E</v>
      </c>
      <c r="G4254" s="18">
        <v>2079</v>
      </c>
    </row>
    <row r="4255" spans="1:7" x14ac:dyDescent="0.2">
      <c r="A4255" s="19" t="s">
        <v>31</v>
      </c>
      <c r="B4255" s="20" t="s">
        <v>74</v>
      </c>
      <c r="C4255" s="20" t="s">
        <v>8</v>
      </c>
      <c r="D4255" s="20" t="s">
        <v>10</v>
      </c>
      <c r="E4255" s="20" t="s">
        <v>15</v>
      </c>
      <c r="F4255" s="20" t="str">
        <f>INDEX(nrg_cb_e!$A$3:$A$40,MATCH(LEFT(MID('Industriesektor GWh'!$B4255,41,1000),SEARCH(" - ",MID('Industriesektor GWh'!$B4255,41,1000))-1),nrg_cb_e!$C$3:$C$40,0))</f>
        <v>NRG_NSP_E</v>
      </c>
      <c r="G4255" s="21">
        <v>2206</v>
      </c>
    </row>
    <row r="4256" spans="1:7" x14ac:dyDescent="0.2">
      <c r="A4256" s="16" t="s">
        <v>31</v>
      </c>
      <c r="B4256" s="17" t="s">
        <v>74</v>
      </c>
      <c r="C4256" s="17" t="s">
        <v>8</v>
      </c>
      <c r="D4256" s="17" t="s">
        <v>10</v>
      </c>
      <c r="E4256" s="17" t="s">
        <v>16</v>
      </c>
      <c r="F4256" s="17" t="str">
        <f>INDEX(nrg_cb_e!$A$3:$A$40,MATCH(LEFT(MID('Industriesektor GWh'!$B4256,41,1000),SEARCH(" - ",MID('Industriesektor GWh'!$B4256,41,1000))-1),nrg_cb_e!$C$3:$C$40,0))</f>
        <v>NRG_NSP_E</v>
      </c>
      <c r="G4256" s="18">
        <v>2453</v>
      </c>
    </row>
    <row r="4257" spans="1:7" x14ac:dyDescent="0.2">
      <c r="A4257" s="19" t="s">
        <v>31</v>
      </c>
      <c r="B4257" s="20" t="s">
        <v>74</v>
      </c>
      <c r="C4257" s="20" t="s">
        <v>8</v>
      </c>
      <c r="D4257" s="20" t="s">
        <v>10</v>
      </c>
      <c r="E4257" s="20" t="s">
        <v>17</v>
      </c>
      <c r="F4257" s="20" t="str">
        <f>INDEX(nrg_cb_e!$A$3:$A$40,MATCH(LEFT(MID('Industriesektor GWh'!$B4257,41,1000),SEARCH(" - ",MID('Industriesektor GWh'!$B4257,41,1000))-1),nrg_cb_e!$C$3:$C$40,0))</f>
        <v>NRG_NSP_E</v>
      </c>
      <c r="G4257" s="21">
        <v>2658</v>
      </c>
    </row>
    <row r="4258" spans="1:7" x14ac:dyDescent="0.2">
      <c r="A4258" s="16" t="s">
        <v>31</v>
      </c>
      <c r="B4258" s="17" t="s">
        <v>74</v>
      </c>
      <c r="C4258" s="17" t="s">
        <v>8</v>
      </c>
      <c r="D4258" s="17" t="s">
        <v>10</v>
      </c>
      <c r="E4258" s="17" t="s">
        <v>18</v>
      </c>
      <c r="F4258" s="17" t="str">
        <f>INDEX(nrg_cb_e!$A$3:$A$40,MATCH(LEFT(MID('Industriesektor GWh'!$B4258,41,1000),SEARCH(" - ",MID('Industriesektor GWh'!$B4258,41,1000))-1),nrg_cb_e!$C$3:$C$40,0))</f>
        <v>NRG_NSP_E</v>
      </c>
      <c r="G4258" s="18">
        <v>2467</v>
      </c>
    </row>
    <row r="4259" spans="1:7" x14ac:dyDescent="0.2">
      <c r="A4259" s="19" t="s">
        <v>31</v>
      </c>
      <c r="B4259" s="20" t="s">
        <v>74</v>
      </c>
      <c r="C4259" s="20" t="s">
        <v>8</v>
      </c>
      <c r="D4259" s="20" t="s">
        <v>10</v>
      </c>
      <c r="E4259" s="20" t="s">
        <v>19</v>
      </c>
      <c r="F4259" s="20" t="str">
        <f>INDEX(nrg_cb_e!$A$3:$A$40,MATCH(LEFT(MID('Industriesektor GWh'!$B4259,41,1000),SEARCH(" - ",MID('Industriesektor GWh'!$B4259,41,1000))-1),nrg_cb_e!$C$3:$C$40,0))</f>
        <v>NRG_NSP_E</v>
      </c>
      <c r="G4259" s="21">
        <v>2432</v>
      </c>
    </row>
    <row r="4260" spans="1:7" x14ac:dyDescent="0.2">
      <c r="A4260" s="16" t="s">
        <v>31</v>
      </c>
      <c r="B4260" s="17" t="s">
        <v>74</v>
      </c>
      <c r="C4260" s="17" t="s">
        <v>8</v>
      </c>
      <c r="D4260" s="17" t="s">
        <v>10</v>
      </c>
      <c r="E4260" s="17" t="s">
        <v>20</v>
      </c>
      <c r="F4260" s="17" t="str">
        <f>INDEX(nrg_cb_e!$A$3:$A$40,MATCH(LEFT(MID('Industriesektor GWh'!$B4260,41,1000),SEARCH(" - ",MID('Industriesektor GWh'!$B4260,41,1000))-1),nrg_cb_e!$C$3:$C$40,0))</f>
        <v>NRG_NSP_E</v>
      </c>
      <c r="G4260" s="18">
        <v>1918</v>
      </c>
    </row>
    <row r="4261" spans="1:7" x14ac:dyDescent="0.2">
      <c r="A4261" s="19" t="s">
        <v>31</v>
      </c>
      <c r="B4261" s="20" t="s">
        <v>74</v>
      </c>
      <c r="C4261" s="20" t="s">
        <v>8</v>
      </c>
      <c r="D4261" s="20" t="s">
        <v>10</v>
      </c>
      <c r="E4261" s="20" t="s">
        <v>21</v>
      </c>
      <c r="F4261" s="20" t="str">
        <f>INDEX(nrg_cb_e!$A$3:$A$40,MATCH(LEFT(MID('Industriesektor GWh'!$B4261,41,1000),SEARCH(" - ",MID('Industriesektor GWh'!$B4261,41,1000))-1),nrg_cb_e!$C$3:$C$40,0))</f>
        <v>NRG_NSP_E</v>
      </c>
      <c r="G4261" s="21">
        <v>1911</v>
      </c>
    </row>
    <row r="4262" spans="1:7" x14ac:dyDescent="0.2">
      <c r="A4262" s="16" t="s">
        <v>31</v>
      </c>
      <c r="B4262" s="17" t="s">
        <v>74</v>
      </c>
      <c r="C4262" s="17" t="s">
        <v>8</v>
      </c>
      <c r="D4262" s="17" t="s">
        <v>10</v>
      </c>
      <c r="E4262" s="17" t="s">
        <v>22</v>
      </c>
      <c r="F4262" s="17" t="str">
        <f>INDEX(nrg_cb_e!$A$3:$A$40,MATCH(LEFT(MID('Industriesektor GWh'!$B4262,41,1000),SEARCH(" - ",MID('Industriesektor GWh'!$B4262,41,1000))-1),nrg_cb_e!$C$3:$C$40,0))</f>
        <v>NRG_NSP_E</v>
      </c>
      <c r="G4262" s="18">
        <v>1998</v>
      </c>
    </row>
    <row r="4263" spans="1:7" x14ac:dyDescent="0.2">
      <c r="A4263" s="19" t="s">
        <v>31</v>
      </c>
      <c r="B4263" s="20" t="s">
        <v>74</v>
      </c>
      <c r="C4263" s="20" t="s">
        <v>8</v>
      </c>
      <c r="D4263" s="20" t="s">
        <v>10</v>
      </c>
      <c r="E4263" s="20" t="s">
        <v>23</v>
      </c>
      <c r="F4263" s="20" t="str">
        <f>INDEX(nrg_cb_e!$A$3:$A$40,MATCH(LEFT(MID('Industriesektor GWh'!$B4263,41,1000),SEARCH(" - ",MID('Industriesektor GWh'!$B4263,41,1000))-1),nrg_cb_e!$C$3:$C$40,0))</f>
        <v>NRG_NSP_E</v>
      </c>
      <c r="G4263" s="21">
        <v>1918</v>
      </c>
    </row>
    <row r="4264" spans="1:7" x14ac:dyDescent="0.2">
      <c r="A4264" s="16" t="s">
        <v>31</v>
      </c>
      <c r="B4264" s="17" t="s">
        <v>74</v>
      </c>
      <c r="C4264" s="17" t="s">
        <v>8</v>
      </c>
      <c r="D4264" s="17" t="s">
        <v>10</v>
      </c>
      <c r="E4264" s="17" t="s">
        <v>24</v>
      </c>
      <c r="F4264" s="17" t="str">
        <f>INDEX(nrg_cb_e!$A$3:$A$40,MATCH(LEFT(MID('Industriesektor GWh'!$B4264,41,1000),SEARCH(" - ",MID('Industriesektor GWh'!$B4264,41,1000))-1),nrg_cb_e!$C$3:$C$40,0))</f>
        <v>NRG_NSP_E</v>
      </c>
      <c r="G4264" s="18">
        <v>1972</v>
      </c>
    </row>
    <row r="4265" spans="1:7" x14ac:dyDescent="0.2">
      <c r="A4265" s="19" t="s">
        <v>31</v>
      </c>
      <c r="B4265" s="20" t="s">
        <v>74</v>
      </c>
      <c r="C4265" s="20" t="s">
        <v>8</v>
      </c>
      <c r="D4265" s="20" t="s">
        <v>10</v>
      </c>
      <c r="E4265" s="20" t="s">
        <v>25</v>
      </c>
      <c r="F4265" s="20" t="str">
        <f>INDEX(nrg_cb_e!$A$3:$A$40,MATCH(LEFT(MID('Industriesektor GWh'!$B4265,41,1000),SEARCH(" - ",MID('Industriesektor GWh'!$B4265,41,1000))-1),nrg_cb_e!$C$3:$C$40,0))</f>
        <v>NRG_NSP_E</v>
      </c>
      <c r="G4265" s="21">
        <v>2031</v>
      </c>
    </row>
    <row r="4266" spans="1:7" x14ac:dyDescent="0.2">
      <c r="A4266" s="16" t="s">
        <v>31</v>
      </c>
      <c r="B4266" s="17" t="s">
        <v>74</v>
      </c>
      <c r="C4266" s="17" t="s">
        <v>8</v>
      </c>
      <c r="D4266" s="17" t="s">
        <v>10</v>
      </c>
      <c r="E4266" s="17" t="s">
        <v>26</v>
      </c>
      <c r="F4266" s="17" t="str">
        <f>INDEX(nrg_cb_e!$A$3:$A$40,MATCH(LEFT(MID('Industriesektor GWh'!$B4266,41,1000),SEARCH(" - ",MID('Industriesektor GWh'!$B4266,41,1000))-1),nrg_cb_e!$C$3:$C$40,0))</f>
        <v>NRG_NSP_E</v>
      </c>
      <c r="G4266" s="18">
        <v>2217</v>
      </c>
    </row>
    <row r="4267" spans="1:7" x14ac:dyDescent="0.2">
      <c r="A4267" s="19" t="s">
        <v>31</v>
      </c>
      <c r="B4267" s="20" t="s">
        <v>74</v>
      </c>
      <c r="C4267" s="20" t="s">
        <v>8</v>
      </c>
      <c r="D4267" s="20" t="s">
        <v>10</v>
      </c>
      <c r="E4267" s="20" t="s">
        <v>27</v>
      </c>
      <c r="F4267" s="20" t="str">
        <f>INDEX(nrg_cb_e!$A$3:$A$40,MATCH(LEFT(MID('Industriesektor GWh'!$B4267,41,1000),SEARCH(" - ",MID('Industriesektor GWh'!$B4267,41,1000))-1),nrg_cb_e!$C$3:$C$40,0))</f>
        <v>NRG_NSP_E</v>
      </c>
      <c r="G4267" s="21">
        <v>2297.6320000000001</v>
      </c>
    </row>
    <row r="4268" spans="1:7" x14ac:dyDescent="0.2">
      <c r="A4268" s="16" t="s">
        <v>31</v>
      </c>
      <c r="B4268" s="17" t="s">
        <v>74</v>
      </c>
      <c r="C4268" s="17" t="s">
        <v>8</v>
      </c>
      <c r="D4268" s="17" t="s">
        <v>10</v>
      </c>
      <c r="E4268" s="17" t="s">
        <v>28</v>
      </c>
      <c r="F4268" s="17" t="str">
        <f>INDEX(nrg_cb_e!$A$3:$A$40,MATCH(LEFT(MID('Industriesektor GWh'!$B4268,41,1000),SEARCH(" - ",MID('Industriesektor GWh'!$B4268,41,1000))-1),nrg_cb_e!$C$3:$C$40,0))</f>
        <v>NRG_NSP_E</v>
      </c>
      <c r="G4268" s="18">
        <v>2371.5520000000001</v>
      </c>
    </row>
    <row r="4269" spans="1:7" x14ac:dyDescent="0.2">
      <c r="A4269" s="19" t="s">
        <v>32</v>
      </c>
      <c r="B4269" s="20" t="s">
        <v>74</v>
      </c>
      <c r="C4269" s="20" t="s">
        <v>8</v>
      </c>
      <c r="D4269" s="20" t="s">
        <v>10</v>
      </c>
      <c r="E4269" s="20" t="s">
        <v>12</v>
      </c>
      <c r="F4269" s="20" t="str">
        <f>INDEX(nrg_cb_e!$A$3:$A$40,MATCH(LEFT(MID('Industriesektor GWh'!$B4269,41,1000),SEARCH(" - ",MID('Industriesektor GWh'!$B4269,41,1000))-1),nrg_cb_e!$C$3:$C$40,0))</f>
        <v>NRG_NSP_E</v>
      </c>
      <c r="G4269" s="21">
        <v>1225</v>
      </c>
    </row>
    <row r="4270" spans="1:7" x14ac:dyDescent="0.2">
      <c r="A4270" s="16" t="s">
        <v>32</v>
      </c>
      <c r="B4270" s="17" t="s">
        <v>74</v>
      </c>
      <c r="C4270" s="17" t="s">
        <v>8</v>
      </c>
      <c r="D4270" s="17" t="s">
        <v>10</v>
      </c>
      <c r="E4270" s="17" t="s">
        <v>13</v>
      </c>
      <c r="F4270" s="17" t="str">
        <f>INDEX(nrg_cb_e!$A$3:$A$40,MATCH(LEFT(MID('Industriesektor GWh'!$B4270,41,1000),SEARCH(" - ",MID('Industriesektor GWh'!$B4270,41,1000))-1),nrg_cb_e!$C$3:$C$40,0))</f>
        <v>NRG_NSP_E</v>
      </c>
      <c r="G4270" s="18">
        <v>1339</v>
      </c>
    </row>
    <row r="4271" spans="1:7" x14ac:dyDescent="0.2">
      <c r="A4271" s="19" t="s">
        <v>32</v>
      </c>
      <c r="B4271" s="20" t="s">
        <v>74</v>
      </c>
      <c r="C4271" s="20" t="s">
        <v>8</v>
      </c>
      <c r="D4271" s="20" t="s">
        <v>10</v>
      </c>
      <c r="E4271" s="20" t="s">
        <v>14</v>
      </c>
      <c r="F4271" s="20" t="str">
        <f>INDEX(nrg_cb_e!$A$3:$A$40,MATCH(LEFT(MID('Industriesektor GWh'!$B4271,41,1000),SEARCH(" - ",MID('Industriesektor GWh'!$B4271,41,1000))-1),nrg_cb_e!$C$3:$C$40,0))</f>
        <v>NRG_NSP_E</v>
      </c>
      <c r="G4271" s="21">
        <v>1392</v>
      </c>
    </row>
    <row r="4272" spans="1:7" x14ac:dyDescent="0.2">
      <c r="A4272" s="16" t="s">
        <v>32</v>
      </c>
      <c r="B4272" s="17" t="s">
        <v>74</v>
      </c>
      <c r="C4272" s="17" t="s">
        <v>8</v>
      </c>
      <c r="D4272" s="17" t="s">
        <v>10</v>
      </c>
      <c r="E4272" s="17" t="s">
        <v>15</v>
      </c>
      <c r="F4272" s="17" t="str">
        <f>INDEX(nrg_cb_e!$A$3:$A$40,MATCH(LEFT(MID('Industriesektor GWh'!$B4272,41,1000),SEARCH(" - ",MID('Industriesektor GWh'!$B4272,41,1000))-1),nrg_cb_e!$C$3:$C$40,0))</f>
        <v>NRG_NSP_E</v>
      </c>
      <c r="G4272" s="18">
        <v>1431</v>
      </c>
    </row>
    <row r="4273" spans="1:7" x14ac:dyDescent="0.2">
      <c r="A4273" s="19" t="s">
        <v>32</v>
      </c>
      <c r="B4273" s="20" t="s">
        <v>74</v>
      </c>
      <c r="C4273" s="20" t="s">
        <v>8</v>
      </c>
      <c r="D4273" s="20" t="s">
        <v>10</v>
      </c>
      <c r="E4273" s="20" t="s">
        <v>16</v>
      </c>
      <c r="F4273" s="20" t="str">
        <f>INDEX(nrg_cb_e!$A$3:$A$40,MATCH(LEFT(MID('Industriesektor GWh'!$B4273,41,1000),SEARCH(" - ",MID('Industriesektor GWh'!$B4273,41,1000))-1),nrg_cb_e!$C$3:$C$40,0))</f>
        <v>NRG_NSP_E</v>
      </c>
      <c r="G4273" s="21">
        <v>1353</v>
      </c>
    </row>
    <row r="4274" spans="1:7" x14ac:dyDescent="0.2">
      <c r="A4274" s="16" t="s">
        <v>32</v>
      </c>
      <c r="B4274" s="17" t="s">
        <v>74</v>
      </c>
      <c r="C4274" s="17" t="s">
        <v>8</v>
      </c>
      <c r="D4274" s="17" t="s">
        <v>10</v>
      </c>
      <c r="E4274" s="17" t="s">
        <v>17</v>
      </c>
      <c r="F4274" s="17" t="str">
        <f>INDEX(nrg_cb_e!$A$3:$A$40,MATCH(LEFT(MID('Industriesektor GWh'!$B4274,41,1000),SEARCH(" - ",MID('Industriesektor GWh'!$B4274,41,1000))-1),nrg_cb_e!$C$3:$C$40,0))</f>
        <v>NRG_NSP_E</v>
      </c>
      <c r="G4274" s="18">
        <v>1216</v>
      </c>
    </row>
    <row r="4275" spans="1:7" x14ac:dyDescent="0.2">
      <c r="A4275" s="19" t="s">
        <v>32</v>
      </c>
      <c r="B4275" s="20" t="s">
        <v>74</v>
      </c>
      <c r="C4275" s="20" t="s">
        <v>8</v>
      </c>
      <c r="D4275" s="20" t="s">
        <v>10</v>
      </c>
      <c r="E4275" s="20" t="s">
        <v>18</v>
      </c>
      <c r="F4275" s="20" t="str">
        <f>INDEX(nrg_cb_e!$A$3:$A$40,MATCH(LEFT(MID('Industriesektor GWh'!$B4275,41,1000),SEARCH(" - ",MID('Industriesektor GWh'!$B4275,41,1000))-1),nrg_cb_e!$C$3:$C$40,0))</f>
        <v>NRG_NSP_E</v>
      </c>
      <c r="G4275" s="21">
        <v>1111</v>
      </c>
    </row>
    <row r="4276" spans="1:7" x14ac:dyDescent="0.2">
      <c r="A4276" s="16" t="s">
        <v>32</v>
      </c>
      <c r="B4276" s="17" t="s">
        <v>74</v>
      </c>
      <c r="C4276" s="17" t="s">
        <v>8</v>
      </c>
      <c r="D4276" s="17" t="s">
        <v>10</v>
      </c>
      <c r="E4276" s="17" t="s">
        <v>19</v>
      </c>
      <c r="F4276" s="17" t="str">
        <f>INDEX(nrg_cb_e!$A$3:$A$40,MATCH(LEFT(MID('Industriesektor GWh'!$B4276,41,1000),SEARCH(" - ",MID('Industriesektor GWh'!$B4276,41,1000))-1),nrg_cb_e!$C$3:$C$40,0))</f>
        <v>NRG_NSP_E</v>
      </c>
      <c r="G4276" s="18">
        <v>939</v>
      </c>
    </row>
    <row r="4277" spans="1:7" x14ac:dyDescent="0.2">
      <c r="A4277" s="19" t="s">
        <v>32</v>
      </c>
      <c r="B4277" s="20" t="s">
        <v>74</v>
      </c>
      <c r="C4277" s="20" t="s">
        <v>8</v>
      </c>
      <c r="D4277" s="20" t="s">
        <v>10</v>
      </c>
      <c r="E4277" s="20" t="s">
        <v>20</v>
      </c>
      <c r="F4277" s="20" t="str">
        <f>INDEX(nrg_cb_e!$A$3:$A$40,MATCH(LEFT(MID('Industriesektor GWh'!$B4277,41,1000),SEARCH(" - ",MID('Industriesektor GWh'!$B4277,41,1000))-1),nrg_cb_e!$C$3:$C$40,0))</f>
        <v>NRG_NSP_E</v>
      </c>
      <c r="G4277" s="21">
        <v>956</v>
      </c>
    </row>
    <row r="4278" spans="1:7" x14ac:dyDescent="0.2">
      <c r="A4278" s="16" t="s">
        <v>32</v>
      </c>
      <c r="B4278" s="17" t="s">
        <v>74</v>
      </c>
      <c r="C4278" s="17" t="s">
        <v>8</v>
      </c>
      <c r="D4278" s="17" t="s">
        <v>10</v>
      </c>
      <c r="E4278" s="17" t="s">
        <v>21</v>
      </c>
      <c r="F4278" s="17" t="str">
        <f>INDEX(nrg_cb_e!$A$3:$A$40,MATCH(LEFT(MID('Industriesektor GWh'!$B4278,41,1000),SEARCH(" - ",MID('Industriesektor GWh'!$B4278,41,1000))-1),nrg_cb_e!$C$3:$C$40,0))</f>
        <v>NRG_NSP_E</v>
      </c>
      <c r="G4278" s="18">
        <v>946</v>
      </c>
    </row>
    <row r="4279" spans="1:7" x14ac:dyDescent="0.2">
      <c r="A4279" s="19" t="s">
        <v>32</v>
      </c>
      <c r="B4279" s="20" t="s">
        <v>74</v>
      </c>
      <c r="C4279" s="20" t="s">
        <v>8</v>
      </c>
      <c r="D4279" s="20" t="s">
        <v>10</v>
      </c>
      <c r="E4279" s="20" t="s">
        <v>22</v>
      </c>
      <c r="F4279" s="20" t="str">
        <f>INDEX(nrg_cb_e!$A$3:$A$40,MATCH(LEFT(MID('Industriesektor GWh'!$B4279,41,1000),SEARCH(" - ",MID('Industriesektor GWh'!$B4279,41,1000))-1),nrg_cb_e!$C$3:$C$40,0))</f>
        <v>NRG_NSP_E</v>
      </c>
      <c r="G4279" s="21">
        <v>853</v>
      </c>
    </row>
    <row r="4280" spans="1:7" x14ac:dyDescent="0.2">
      <c r="A4280" s="16" t="s">
        <v>32</v>
      </c>
      <c r="B4280" s="17" t="s">
        <v>74</v>
      </c>
      <c r="C4280" s="17" t="s">
        <v>8</v>
      </c>
      <c r="D4280" s="17" t="s">
        <v>10</v>
      </c>
      <c r="E4280" s="17" t="s">
        <v>23</v>
      </c>
      <c r="F4280" s="17" t="str">
        <f>INDEX(nrg_cb_e!$A$3:$A$40,MATCH(LEFT(MID('Industriesektor GWh'!$B4280,41,1000),SEARCH(" - ",MID('Industriesektor GWh'!$B4280,41,1000))-1),nrg_cb_e!$C$3:$C$40,0))</f>
        <v>NRG_NSP_E</v>
      </c>
      <c r="G4280" s="18">
        <v>835</v>
      </c>
    </row>
    <row r="4281" spans="1:7" x14ac:dyDescent="0.2">
      <c r="A4281" s="19" t="s">
        <v>32</v>
      </c>
      <c r="B4281" s="20" t="s">
        <v>74</v>
      </c>
      <c r="C4281" s="20" t="s">
        <v>8</v>
      </c>
      <c r="D4281" s="20" t="s">
        <v>10</v>
      </c>
      <c r="E4281" s="20" t="s">
        <v>24</v>
      </c>
      <c r="F4281" s="20" t="str">
        <f>INDEX(nrg_cb_e!$A$3:$A$40,MATCH(LEFT(MID('Industriesektor GWh'!$B4281,41,1000),SEARCH(" - ",MID('Industriesektor GWh'!$B4281,41,1000))-1),nrg_cb_e!$C$3:$C$40,0))</f>
        <v>NRG_NSP_E</v>
      </c>
      <c r="G4281" s="21">
        <v>810</v>
      </c>
    </row>
    <row r="4282" spans="1:7" x14ac:dyDescent="0.2">
      <c r="A4282" s="16" t="s">
        <v>32</v>
      </c>
      <c r="B4282" s="17" t="s">
        <v>74</v>
      </c>
      <c r="C4282" s="17" t="s">
        <v>8</v>
      </c>
      <c r="D4282" s="17" t="s">
        <v>10</v>
      </c>
      <c r="E4282" s="17" t="s">
        <v>25</v>
      </c>
      <c r="F4282" s="17" t="str">
        <f>INDEX(nrg_cb_e!$A$3:$A$40,MATCH(LEFT(MID('Industriesektor GWh'!$B4282,41,1000),SEARCH(" - ",MID('Industriesektor GWh'!$B4282,41,1000))-1),nrg_cb_e!$C$3:$C$40,0))</f>
        <v>NRG_NSP_E</v>
      </c>
      <c r="G4282" s="18">
        <v>835.81299999999999</v>
      </c>
    </row>
    <row r="4283" spans="1:7" x14ac:dyDescent="0.2">
      <c r="A4283" s="19" t="s">
        <v>32</v>
      </c>
      <c r="B4283" s="20" t="s">
        <v>74</v>
      </c>
      <c r="C4283" s="20" t="s">
        <v>8</v>
      </c>
      <c r="D4283" s="20" t="s">
        <v>10</v>
      </c>
      <c r="E4283" s="20" t="s">
        <v>26</v>
      </c>
      <c r="F4283" s="20" t="str">
        <f>INDEX(nrg_cb_e!$A$3:$A$40,MATCH(LEFT(MID('Industriesektor GWh'!$B4283,41,1000),SEARCH(" - ",MID('Industriesektor GWh'!$B4283,41,1000))-1),nrg_cb_e!$C$3:$C$40,0))</f>
        <v>NRG_NSP_E</v>
      </c>
      <c r="G4283" s="21">
        <v>825.5</v>
      </c>
    </row>
    <row r="4284" spans="1:7" x14ac:dyDescent="0.2">
      <c r="A4284" s="16" t="s">
        <v>32</v>
      </c>
      <c r="B4284" s="17" t="s">
        <v>74</v>
      </c>
      <c r="C4284" s="17" t="s">
        <v>8</v>
      </c>
      <c r="D4284" s="17" t="s">
        <v>10</v>
      </c>
      <c r="E4284" s="17" t="s">
        <v>27</v>
      </c>
      <c r="F4284" s="17" t="str">
        <f>INDEX(nrg_cb_e!$A$3:$A$40,MATCH(LEFT(MID('Industriesektor GWh'!$B4284,41,1000),SEARCH(" - ",MID('Industriesektor GWh'!$B4284,41,1000))-1),nrg_cb_e!$C$3:$C$40,0))</f>
        <v>NRG_NSP_E</v>
      </c>
      <c r="G4284" s="18">
        <v>838.16499999999996</v>
      </c>
    </row>
    <row r="4285" spans="1:7" x14ac:dyDescent="0.2">
      <c r="A4285" s="19" t="s">
        <v>32</v>
      </c>
      <c r="B4285" s="20" t="s">
        <v>74</v>
      </c>
      <c r="C4285" s="20" t="s">
        <v>8</v>
      </c>
      <c r="D4285" s="20" t="s">
        <v>10</v>
      </c>
      <c r="E4285" s="20" t="s">
        <v>28</v>
      </c>
      <c r="F4285" s="20" t="str">
        <f>INDEX(nrg_cb_e!$A$3:$A$40,MATCH(LEFT(MID('Industriesektor GWh'!$B4285,41,1000),SEARCH(" - ",MID('Industriesektor GWh'!$B4285,41,1000))-1),nrg_cb_e!$C$3:$C$40,0))</f>
        <v>NRG_NSP_E</v>
      </c>
      <c r="G4285" s="21">
        <v>837.351</v>
      </c>
    </row>
    <row r="4286" spans="1:7" x14ac:dyDescent="0.2">
      <c r="A4286" s="16" t="s">
        <v>33</v>
      </c>
      <c r="B4286" s="17" t="s">
        <v>74</v>
      </c>
      <c r="C4286" s="17" t="s">
        <v>8</v>
      </c>
      <c r="D4286" s="17" t="s">
        <v>10</v>
      </c>
      <c r="E4286" s="17" t="s">
        <v>12</v>
      </c>
      <c r="F4286" s="17" t="str">
        <f>INDEX(nrg_cb_e!$A$3:$A$40,MATCH(LEFT(MID('Industriesektor GWh'!$B4286,41,1000),SEARCH(" - ",MID('Industriesektor GWh'!$B4286,41,1000))-1),nrg_cb_e!$C$3:$C$40,0))</f>
        <v>NRG_NSP_E</v>
      </c>
      <c r="G4286" s="18">
        <v>32199</v>
      </c>
    </row>
    <row r="4287" spans="1:7" x14ac:dyDescent="0.2">
      <c r="A4287" s="19" t="s">
        <v>33</v>
      </c>
      <c r="B4287" s="20" t="s">
        <v>74</v>
      </c>
      <c r="C4287" s="20" t="s">
        <v>8</v>
      </c>
      <c r="D4287" s="20" t="s">
        <v>10</v>
      </c>
      <c r="E4287" s="20" t="s">
        <v>13</v>
      </c>
      <c r="F4287" s="20" t="str">
        <f>INDEX(nrg_cb_e!$A$3:$A$40,MATCH(LEFT(MID('Industriesektor GWh'!$B4287,41,1000),SEARCH(" - ",MID('Industriesektor GWh'!$B4287,41,1000))-1),nrg_cb_e!$C$3:$C$40,0))</f>
        <v>NRG_NSP_E</v>
      </c>
      <c r="G4287" s="21">
        <v>21730</v>
      </c>
    </row>
    <row r="4288" spans="1:7" x14ac:dyDescent="0.2">
      <c r="A4288" s="16" t="s">
        <v>33</v>
      </c>
      <c r="B4288" s="17" t="s">
        <v>74</v>
      </c>
      <c r="C4288" s="17" t="s">
        <v>8</v>
      </c>
      <c r="D4288" s="17" t="s">
        <v>10</v>
      </c>
      <c r="E4288" s="17" t="s">
        <v>14</v>
      </c>
      <c r="F4288" s="17" t="str">
        <f>INDEX(nrg_cb_e!$A$3:$A$40,MATCH(LEFT(MID('Industriesektor GWh'!$B4288,41,1000),SEARCH(" - ",MID('Industriesektor GWh'!$B4288,41,1000))-1),nrg_cb_e!$C$3:$C$40,0))</f>
        <v>NRG_NSP_E</v>
      </c>
      <c r="G4288" s="18">
        <v>23036</v>
      </c>
    </row>
    <row r="4289" spans="1:7" x14ac:dyDescent="0.2">
      <c r="A4289" s="19" t="s">
        <v>33</v>
      </c>
      <c r="B4289" s="20" t="s">
        <v>74</v>
      </c>
      <c r="C4289" s="20" t="s">
        <v>8</v>
      </c>
      <c r="D4289" s="20" t="s">
        <v>10</v>
      </c>
      <c r="E4289" s="20" t="s">
        <v>15</v>
      </c>
      <c r="F4289" s="20" t="str">
        <f>INDEX(nrg_cb_e!$A$3:$A$40,MATCH(LEFT(MID('Industriesektor GWh'!$B4289,41,1000),SEARCH(" - ",MID('Industriesektor GWh'!$B4289,41,1000))-1),nrg_cb_e!$C$3:$C$40,0))</f>
        <v>NRG_NSP_E</v>
      </c>
      <c r="G4289" s="21">
        <v>22295</v>
      </c>
    </row>
    <row r="4290" spans="1:7" x14ac:dyDescent="0.2">
      <c r="A4290" s="16" t="s">
        <v>33</v>
      </c>
      <c r="B4290" s="17" t="s">
        <v>74</v>
      </c>
      <c r="C4290" s="17" t="s">
        <v>8</v>
      </c>
      <c r="D4290" s="17" t="s">
        <v>10</v>
      </c>
      <c r="E4290" s="17" t="s">
        <v>16</v>
      </c>
      <c r="F4290" s="17" t="str">
        <f>INDEX(nrg_cb_e!$A$3:$A$40,MATCH(LEFT(MID('Industriesektor GWh'!$B4290,41,1000),SEARCH(" - ",MID('Industriesektor GWh'!$B4290,41,1000))-1),nrg_cb_e!$C$3:$C$40,0))</f>
        <v>NRG_NSP_E</v>
      </c>
      <c r="G4290" s="18">
        <v>23985</v>
      </c>
    </row>
    <row r="4291" spans="1:7" x14ac:dyDescent="0.2">
      <c r="A4291" s="19" t="s">
        <v>33</v>
      </c>
      <c r="B4291" s="20" t="s">
        <v>74</v>
      </c>
      <c r="C4291" s="20" t="s">
        <v>8</v>
      </c>
      <c r="D4291" s="20" t="s">
        <v>10</v>
      </c>
      <c r="E4291" s="20" t="s">
        <v>17</v>
      </c>
      <c r="F4291" s="20" t="str">
        <f>INDEX(nrg_cb_e!$A$3:$A$40,MATCH(LEFT(MID('Industriesektor GWh'!$B4291,41,1000),SEARCH(" - ",MID('Industriesektor GWh'!$B4291,41,1000))-1),nrg_cb_e!$C$3:$C$40,0))</f>
        <v>NRG_NSP_E</v>
      </c>
      <c r="G4291" s="21">
        <v>26827</v>
      </c>
    </row>
    <row r="4292" spans="1:7" x14ac:dyDescent="0.2">
      <c r="A4292" s="16" t="s">
        <v>33</v>
      </c>
      <c r="B4292" s="17" t="s">
        <v>74</v>
      </c>
      <c r="C4292" s="17" t="s">
        <v>8</v>
      </c>
      <c r="D4292" s="17" t="s">
        <v>10</v>
      </c>
      <c r="E4292" s="17" t="s">
        <v>18</v>
      </c>
      <c r="F4292" s="17" t="str">
        <f>INDEX(nrg_cb_e!$A$3:$A$40,MATCH(LEFT(MID('Industriesektor GWh'!$B4292,41,1000),SEARCH(" - ",MID('Industriesektor GWh'!$B4292,41,1000))-1),nrg_cb_e!$C$3:$C$40,0))</f>
        <v>NRG_NSP_E</v>
      </c>
      <c r="G4292" s="18">
        <v>17750</v>
      </c>
    </row>
    <row r="4293" spans="1:7" x14ac:dyDescent="0.2">
      <c r="A4293" s="19" t="s">
        <v>33</v>
      </c>
      <c r="B4293" s="20" t="s">
        <v>74</v>
      </c>
      <c r="C4293" s="20" t="s">
        <v>8</v>
      </c>
      <c r="D4293" s="20" t="s">
        <v>10</v>
      </c>
      <c r="E4293" s="20" t="s">
        <v>19</v>
      </c>
      <c r="F4293" s="20" t="str">
        <f>INDEX(nrg_cb_e!$A$3:$A$40,MATCH(LEFT(MID('Industriesektor GWh'!$B4293,41,1000),SEARCH(" - ",MID('Industriesektor GWh'!$B4293,41,1000))-1),nrg_cb_e!$C$3:$C$40,0))</f>
        <v>NRG_NSP_E</v>
      </c>
      <c r="G4293" s="21">
        <v>16315</v>
      </c>
    </row>
    <row r="4294" spans="1:7" x14ac:dyDescent="0.2">
      <c r="A4294" s="16" t="s">
        <v>33</v>
      </c>
      <c r="B4294" s="17" t="s">
        <v>74</v>
      </c>
      <c r="C4294" s="17" t="s">
        <v>8</v>
      </c>
      <c r="D4294" s="17" t="s">
        <v>10</v>
      </c>
      <c r="E4294" s="17" t="s">
        <v>20</v>
      </c>
      <c r="F4294" s="17" t="str">
        <f>INDEX(nrg_cb_e!$A$3:$A$40,MATCH(LEFT(MID('Industriesektor GWh'!$B4294,41,1000),SEARCH(" - ",MID('Industriesektor GWh'!$B4294,41,1000))-1),nrg_cb_e!$C$3:$C$40,0))</f>
        <v>NRG_NSP_E</v>
      </c>
      <c r="G4294" s="18">
        <v>17501</v>
      </c>
    </row>
    <row r="4295" spans="1:7" x14ac:dyDescent="0.2">
      <c r="A4295" s="19" t="s">
        <v>33</v>
      </c>
      <c r="B4295" s="20" t="s">
        <v>74</v>
      </c>
      <c r="C4295" s="20" t="s">
        <v>8</v>
      </c>
      <c r="D4295" s="20" t="s">
        <v>10</v>
      </c>
      <c r="E4295" s="20" t="s">
        <v>21</v>
      </c>
      <c r="F4295" s="20" t="str">
        <f>INDEX(nrg_cb_e!$A$3:$A$40,MATCH(LEFT(MID('Industriesektor GWh'!$B4295,41,1000),SEARCH(" - ",MID('Industriesektor GWh'!$B4295,41,1000))-1),nrg_cb_e!$C$3:$C$40,0))</f>
        <v>NRG_NSP_E</v>
      </c>
      <c r="G4295" s="21">
        <v>17719</v>
      </c>
    </row>
    <row r="4296" spans="1:7" x14ac:dyDescent="0.2">
      <c r="A4296" s="16" t="s">
        <v>33</v>
      </c>
      <c r="B4296" s="17" t="s">
        <v>74</v>
      </c>
      <c r="C4296" s="17" t="s">
        <v>8</v>
      </c>
      <c r="D4296" s="17" t="s">
        <v>10</v>
      </c>
      <c r="E4296" s="17" t="s">
        <v>22</v>
      </c>
      <c r="F4296" s="17" t="str">
        <f>INDEX(nrg_cb_e!$A$3:$A$40,MATCH(LEFT(MID('Industriesektor GWh'!$B4296,41,1000),SEARCH(" - ",MID('Industriesektor GWh'!$B4296,41,1000))-1),nrg_cb_e!$C$3:$C$40,0))</f>
        <v>NRG_NSP_E</v>
      </c>
      <c r="G4296" s="18">
        <v>17578</v>
      </c>
    </row>
    <row r="4297" spans="1:7" x14ac:dyDescent="0.2">
      <c r="A4297" s="19" t="s">
        <v>33</v>
      </c>
      <c r="B4297" s="20" t="s">
        <v>74</v>
      </c>
      <c r="C4297" s="20" t="s">
        <v>8</v>
      </c>
      <c r="D4297" s="20" t="s">
        <v>10</v>
      </c>
      <c r="E4297" s="20" t="s">
        <v>23</v>
      </c>
      <c r="F4297" s="20" t="str">
        <f>INDEX(nrg_cb_e!$A$3:$A$40,MATCH(LEFT(MID('Industriesektor GWh'!$B4297,41,1000),SEARCH(" - ",MID('Industriesektor GWh'!$B4297,41,1000))-1),nrg_cb_e!$C$3:$C$40,0))</f>
        <v>NRG_NSP_E</v>
      </c>
      <c r="G4297" s="21">
        <v>17313</v>
      </c>
    </row>
    <row r="4298" spans="1:7" x14ac:dyDescent="0.2">
      <c r="A4298" s="16" t="s">
        <v>33</v>
      </c>
      <c r="B4298" s="17" t="s">
        <v>74</v>
      </c>
      <c r="C4298" s="17" t="s">
        <v>8</v>
      </c>
      <c r="D4298" s="17" t="s">
        <v>10</v>
      </c>
      <c r="E4298" s="17" t="s">
        <v>24</v>
      </c>
      <c r="F4298" s="17" t="str">
        <f>INDEX(nrg_cb_e!$A$3:$A$40,MATCH(LEFT(MID('Industriesektor GWh'!$B4298,41,1000),SEARCH(" - ",MID('Industriesektor GWh'!$B4298,41,1000))-1),nrg_cb_e!$C$3:$C$40,0))</f>
        <v>NRG_NSP_E</v>
      </c>
      <c r="G4298" s="18">
        <v>17342</v>
      </c>
    </row>
    <row r="4299" spans="1:7" x14ac:dyDescent="0.2">
      <c r="A4299" s="19" t="s">
        <v>33</v>
      </c>
      <c r="B4299" s="20" t="s">
        <v>74</v>
      </c>
      <c r="C4299" s="20" t="s">
        <v>8</v>
      </c>
      <c r="D4299" s="20" t="s">
        <v>10</v>
      </c>
      <c r="E4299" s="20" t="s">
        <v>25</v>
      </c>
      <c r="F4299" s="20" t="str">
        <f>INDEX(nrg_cb_e!$A$3:$A$40,MATCH(LEFT(MID('Industriesektor GWh'!$B4299,41,1000),SEARCH(" - ",MID('Industriesektor GWh'!$B4299,41,1000))-1),nrg_cb_e!$C$3:$C$40,0))</f>
        <v>NRG_NSP_E</v>
      </c>
      <c r="G4299" s="21">
        <v>17241</v>
      </c>
    </row>
    <row r="4300" spans="1:7" x14ac:dyDescent="0.2">
      <c r="A4300" s="16" t="s">
        <v>33</v>
      </c>
      <c r="B4300" s="17" t="s">
        <v>74</v>
      </c>
      <c r="C4300" s="17" t="s">
        <v>8</v>
      </c>
      <c r="D4300" s="17" t="s">
        <v>10</v>
      </c>
      <c r="E4300" s="17" t="s">
        <v>26</v>
      </c>
      <c r="F4300" s="17" t="str">
        <f>INDEX(nrg_cb_e!$A$3:$A$40,MATCH(LEFT(MID('Industriesektor GWh'!$B4300,41,1000),SEARCH(" - ",MID('Industriesektor GWh'!$B4300,41,1000))-1),nrg_cb_e!$C$3:$C$40,0))</f>
        <v>NRG_NSP_E</v>
      </c>
      <c r="G4300" s="18">
        <v>17624</v>
      </c>
    </row>
    <row r="4301" spans="1:7" x14ac:dyDescent="0.2">
      <c r="A4301" s="19" t="s">
        <v>33</v>
      </c>
      <c r="B4301" s="20" t="s">
        <v>74</v>
      </c>
      <c r="C4301" s="20" t="s">
        <v>8</v>
      </c>
      <c r="D4301" s="20" t="s">
        <v>10</v>
      </c>
      <c r="E4301" s="20" t="s">
        <v>27</v>
      </c>
      <c r="F4301" s="20" t="str">
        <f>INDEX(nrg_cb_e!$A$3:$A$40,MATCH(LEFT(MID('Industriesektor GWh'!$B4301,41,1000),SEARCH(" - ",MID('Industriesektor GWh'!$B4301,41,1000))-1),nrg_cb_e!$C$3:$C$40,0))</f>
        <v>NRG_NSP_E</v>
      </c>
      <c r="G4301" s="21">
        <v>17653</v>
      </c>
    </row>
    <row r="4302" spans="1:7" x14ac:dyDescent="0.2">
      <c r="A4302" s="16" t="s">
        <v>33</v>
      </c>
      <c r="B4302" s="17" t="s">
        <v>74</v>
      </c>
      <c r="C4302" s="17" t="s">
        <v>8</v>
      </c>
      <c r="D4302" s="17" t="s">
        <v>10</v>
      </c>
      <c r="E4302" s="17" t="s">
        <v>28</v>
      </c>
      <c r="F4302" s="17" t="str">
        <f>INDEX(nrg_cb_e!$A$3:$A$40,MATCH(LEFT(MID('Industriesektor GWh'!$B4302,41,1000),SEARCH(" - ",MID('Industriesektor GWh'!$B4302,41,1000))-1),nrg_cb_e!$C$3:$C$40,0))</f>
        <v>NRG_NSP_E</v>
      </c>
      <c r="G4302" s="18">
        <v>17515</v>
      </c>
    </row>
    <row r="4303" spans="1:7" x14ac:dyDescent="0.2">
      <c r="A4303" s="19" t="s">
        <v>34</v>
      </c>
      <c r="B4303" s="20" t="s">
        <v>74</v>
      </c>
      <c r="C4303" s="20" t="s">
        <v>8</v>
      </c>
      <c r="D4303" s="20" t="s">
        <v>10</v>
      </c>
      <c r="E4303" s="20" t="s">
        <v>12</v>
      </c>
      <c r="F4303" s="20" t="str">
        <f>INDEX(nrg_cb_e!$A$3:$A$40,MATCH(LEFT(MID('Industriesektor GWh'!$B4303,41,1000),SEARCH(" - ",MID('Industriesektor GWh'!$B4303,41,1000))-1),nrg_cb_e!$C$3:$C$40,0))</f>
        <v>NRG_NSP_E</v>
      </c>
      <c r="G4303" s="21">
        <v>214</v>
      </c>
    </row>
    <row r="4304" spans="1:7" x14ac:dyDescent="0.2">
      <c r="A4304" s="16" t="s">
        <v>34</v>
      </c>
      <c r="B4304" s="17" t="s">
        <v>74</v>
      </c>
      <c r="C4304" s="17" t="s">
        <v>8</v>
      </c>
      <c r="D4304" s="17" t="s">
        <v>10</v>
      </c>
      <c r="E4304" s="17" t="s">
        <v>13</v>
      </c>
      <c r="F4304" s="17" t="str">
        <f>INDEX(nrg_cb_e!$A$3:$A$40,MATCH(LEFT(MID('Industriesektor GWh'!$B4304,41,1000),SEARCH(" - ",MID('Industriesektor GWh'!$B4304,41,1000))-1),nrg_cb_e!$C$3:$C$40,0))</f>
        <v>NRG_NSP_E</v>
      </c>
      <c r="G4304" s="18">
        <v>215</v>
      </c>
    </row>
    <row r="4305" spans="1:7" x14ac:dyDescent="0.2">
      <c r="A4305" s="19" t="s">
        <v>34</v>
      </c>
      <c r="B4305" s="20" t="s">
        <v>74</v>
      </c>
      <c r="C4305" s="20" t="s">
        <v>8</v>
      </c>
      <c r="D4305" s="20" t="s">
        <v>10</v>
      </c>
      <c r="E4305" s="20" t="s">
        <v>14</v>
      </c>
      <c r="F4305" s="20" t="str">
        <f>INDEX(nrg_cb_e!$A$3:$A$40,MATCH(LEFT(MID('Industriesektor GWh'!$B4305,41,1000),SEARCH(" - ",MID('Industriesektor GWh'!$B4305,41,1000))-1),nrg_cb_e!$C$3:$C$40,0))</f>
        <v>NRG_NSP_E</v>
      </c>
      <c r="G4305" s="21">
        <v>210</v>
      </c>
    </row>
    <row r="4306" spans="1:7" x14ac:dyDescent="0.2">
      <c r="A4306" s="16" t="s">
        <v>34</v>
      </c>
      <c r="B4306" s="17" t="s">
        <v>74</v>
      </c>
      <c r="C4306" s="17" t="s">
        <v>8</v>
      </c>
      <c r="D4306" s="17" t="s">
        <v>10</v>
      </c>
      <c r="E4306" s="17" t="s">
        <v>15</v>
      </c>
      <c r="F4306" s="17" t="str">
        <f>INDEX(nrg_cb_e!$A$3:$A$40,MATCH(LEFT(MID('Industriesektor GWh'!$B4306,41,1000),SEARCH(" - ",MID('Industriesektor GWh'!$B4306,41,1000))-1),nrg_cb_e!$C$3:$C$40,0))</f>
        <v>NRG_NSP_E</v>
      </c>
      <c r="G4306" s="18">
        <v>224</v>
      </c>
    </row>
    <row r="4307" spans="1:7" x14ac:dyDescent="0.2">
      <c r="A4307" s="19" t="s">
        <v>34</v>
      </c>
      <c r="B4307" s="20" t="s">
        <v>74</v>
      </c>
      <c r="C4307" s="20" t="s">
        <v>8</v>
      </c>
      <c r="D4307" s="20" t="s">
        <v>10</v>
      </c>
      <c r="E4307" s="20" t="s">
        <v>16</v>
      </c>
      <c r="F4307" s="20" t="str">
        <f>INDEX(nrg_cb_e!$A$3:$A$40,MATCH(LEFT(MID('Industriesektor GWh'!$B4307,41,1000),SEARCH(" - ",MID('Industriesektor GWh'!$B4307,41,1000))-1),nrg_cb_e!$C$3:$C$40,0))</f>
        <v>NRG_NSP_E</v>
      </c>
      <c r="G4307" s="21">
        <v>229</v>
      </c>
    </row>
    <row r="4308" spans="1:7" x14ac:dyDescent="0.2">
      <c r="A4308" s="16" t="s">
        <v>34</v>
      </c>
      <c r="B4308" s="17" t="s">
        <v>74</v>
      </c>
      <c r="C4308" s="17" t="s">
        <v>8</v>
      </c>
      <c r="D4308" s="17" t="s">
        <v>10</v>
      </c>
      <c r="E4308" s="17" t="s">
        <v>17</v>
      </c>
      <c r="F4308" s="17" t="str">
        <f>INDEX(nrg_cb_e!$A$3:$A$40,MATCH(LEFT(MID('Industriesektor GWh'!$B4308,41,1000),SEARCH(" - ",MID('Industriesektor GWh'!$B4308,41,1000))-1),nrg_cb_e!$C$3:$C$40,0))</f>
        <v>NRG_NSP_E</v>
      </c>
      <c r="G4308" s="18">
        <v>240</v>
      </c>
    </row>
    <row r="4309" spans="1:7" x14ac:dyDescent="0.2">
      <c r="A4309" s="19" t="s">
        <v>34</v>
      </c>
      <c r="B4309" s="20" t="s">
        <v>74</v>
      </c>
      <c r="C4309" s="20" t="s">
        <v>8</v>
      </c>
      <c r="D4309" s="20" t="s">
        <v>10</v>
      </c>
      <c r="E4309" s="20" t="s">
        <v>18</v>
      </c>
      <c r="F4309" s="20" t="str">
        <f>INDEX(nrg_cb_e!$A$3:$A$40,MATCH(LEFT(MID('Industriesektor GWh'!$B4309,41,1000),SEARCH(" - ",MID('Industriesektor GWh'!$B4309,41,1000))-1),nrg_cb_e!$C$3:$C$40,0))</f>
        <v>NRG_NSP_E</v>
      </c>
      <c r="G4309" s="21">
        <v>246</v>
      </c>
    </row>
    <row r="4310" spans="1:7" x14ac:dyDescent="0.2">
      <c r="A4310" s="16" t="s">
        <v>34</v>
      </c>
      <c r="B4310" s="17" t="s">
        <v>74</v>
      </c>
      <c r="C4310" s="17" t="s">
        <v>8</v>
      </c>
      <c r="D4310" s="17" t="s">
        <v>10</v>
      </c>
      <c r="E4310" s="17" t="s">
        <v>19</v>
      </c>
      <c r="F4310" s="17" t="str">
        <f>INDEX(nrg_cb_e!$A$3:$A$40,MATCH(LEFT(MID('Industriesektor GWh'!$B4310,41,1000),SEARCH(" - ",MID('Industriesektor GWh'!$B4310,41,1000))-1),nrg_cb_e!$C$3:$C$40,0))</f>
        <v>NRG_NSP_E</v>
      </c>
      <c r="G4310" s="18">
        <v>167</v>
      </c>
    </row>
    <row r="4311" spans="1:7" x14ac:dyDescent="0.2">
      <c r="A4311" s="19" t="s">
        <v>34</v>
      </c>
      <c r="B4311" s="20" t="s">
        <v>74</v>
      </c>
      <c r="C4311" s="20" t="s">
        <v>8</v>
      </c>
      <c r="D4311" s="20" t="s">
        <v>10</v>
      </c>
      <c r="E4311" s="20" t="s">
        <v>20</v>
      </c>
      <c r="F4311" s="20" t="str">
        <f>INDEX(nrg_cb_e!$A$3:$A$40,MATCH(LEFT(MID('Industriesektor GWh'!$B4311,41,1000),SEARCH(" - ",MID('Industriesektor GWh'!$B4311,41,1000))-1),nrg_cb_e!$C$3:$C$40,0))</f>
        <v>NRG_NSP_E</v>
      </c>
      <c r="G4311" s="21">
        <v>179</v>
      </c>
    </row>
    <row r="4312" spans="1:7" x14ac:dyDescent="0.2">
      <c r="A4312" s="16" t="s">
        <v>34</v>
      </c>
      <c r="B4312" s="17" t="s">
        <v>74</v>
      </c>
      <c r="C4312" s="17" t="s">
        <v>8</v>
      </c>
      <c r="D4312" s="17" t="s">
        <v>10</v>
      </c>
      <c r="E4312" s="17" t="s">
        <v>21</v>
      </c>
      <c r="F4312" s="17" t="str">
        <f>INDEX(nrg_cb_e!$A$3:$A$40,MATCH(LEFT(MID('Industriesektor GWh'!$B4312,41,1000),SEARCH(" - ",MID('Industriesektor GWh'!$B4312,41,1000))-1),nrg_cb_e!$C$3:$C$40,0))</f>
        <v>NRG_NSP_E</v>
      </c>
      <c r="G4312" s="18">
        <v>195</v>
      </c>
    </row>
    <row r="4313" spans="1:7" x14ac:dyDescent="0.2">
      <c r="A4313" s="19" t="s">
        <v>34</v>
      </c>
      <c r="B4313" s="20" t="s">
        <v>74</v>
      </c>
      <c r="C4313" s="20" t="s">
        <v>8</v>
      </c>
      <c r="D4313" s="20" t="s">
        <v>10</v>
      </c>
      <c r="E4313" s="20" t="s">
        <v>22</v>
      </c>
      <c r="F4313" s="20" t="str">
        <f>INDEX(nrg_cb_e!$A$3:$A$40,MATCH(LEFT(MID('Industriesektor GWh'!$B4313,41,1000),SEARCH(" - ",MID('Industriesektor GWh'!$B4313,41,1000))-1),nrg_cb_e!$C$3:$C$40,0))</f>
        <v>NRG_NSP_E</v>
      </c>
      <c r="G4313" s="21">
        <v>209</v>
      </c>
    </row>
    <row r="4314" spans="1:7" x14ac:dyDescent="0.2">
      <c r="A4314" s="16" t="s">
        <v>34</v>
      </c>
      <c r="B4314" s="17" t="s">
        <v>74</v>
      </c>
      <c r="C4314" s="17" t="s">
        <v>8</v>
      </c>
      <c r="D4314" s="17" t="s">
        <v>10</v>
      </c>
      <c r="E4314" s="17" t="s">
        <v>23</v>
      </c>
      <c r="F4314" s="17" t="str">
        <f>INDEX(nrg_cb_e!$A$3:$A$40,MATCH(LEFT(MID('Industriesektor GWh'!$B4314,41,1000),SEARCH(" - ",MID('Industriesektor GWh'!$B4314,41,1000))-1),nrg_cb_e!$C$3:$C$40,0))</f>
        <v>NRG_NSP_E</v>
      </c>
      <c r="G4314" s="18">
        <v>177</v>
      </c>
    </row>
    <row r="4315" spans="1:7" x14ac:dyDescent="0.2">
      <c r="A4315" s="19" t="s">
        <v>34</v>
      </c>
      <c r="B4315" s="20" t="s">
        <v>74</v>
      </c>
      <c r="C4315" s="20" t="s">
        <v>8</v>
      </c>
      <c r="D4315" s="20" t="s">
        <v>10</v>
      </c>
      <c r="E4315" s="20" t="s">
        <v>24</v>
      </c>
      <c r="F4315" s="20" t="str">
        <f>INDEX(nrg_cb_e!$A$3:$A$40,MATCH(LEFT(MID('Industriesektor GWh'!$B4315,41,1000),SEARCH(" - ",MID('Industriesektor GWh'!$B4315,41,1000))-1),nrg_cb_e!$C$3:$C$40,0))</f>
        <v>NRG_NSP_E</v>
      </c>
      <c r="G4315" s="21">
        <v>181</v>
      </c>
    </row>
    <row r="4316" spans="1:7" x14ac:dyDescent="0.2">
      <c r="A4316" s="16" t="s">
        <v>34</v>
      </c>
      <c r="B4316" s="17" t="s">
        <v>74</v>
      </c>
      <c r="C4316" s="17" t="s">
        <v>8</v>
      </c>
      <c r="D4316" s="17" t="s">
        <v>10</v>
      </c>
      <c r="E4316" s="17" t="s">
        <v>25</v>
      </c>
      <c r="F4316" s="17" t="str">
        <f>INDEX(nrg_cb_e!$A$3:$A$40,MATCH(LEFT(MID('Industriesektor GWh'!$B4316,41,1000),SEARCH(" - ",MID('Industriesektor GWh'!$B4316,41,1000))-1),nrg_cb_e!$C$3:$C$40,0))</f>
        <v>NRG_NSP_E</v>
      </c>
      <c r="G4316" s="18">
        <v>185</v>
      </c>
    </row>
    <row r="4317" spans="1:7" x14ac:dyDescent="0.2">
      <c r="A4317" s="19" t="s">
        <v>34</v>
      </c>
      <c r="B4317" s="20" t="s">
        <v>74</v>
      </c>
      <c r="C4317" s="20" t="s">
        <v>8</v>
      </c>
      <c r="D4317" s="20" t="s">
        <v>10</v>
      </c>
      <c r="E4317" s="20" t="s">
        <v>26</v>
      </c>
      <c r="F4317" s="20" t="str">
        <f>INDEX(nrg_cb_e!$A$3:$A$40,MATCH(LEFT(MID('Industriesektor GWh'!$B4317,41,1000),SEARCH(" - ",MID('Industriesektor GWh'!$B4317,41,1000))-1),nrg_cb_e!$C$3:$C$40,0))</f>
        <v>NRG_NSP_E</v>
      </c>
      <c r="G4317" s="21">
        <v>200</v>
      </c>
    </row>
    <row r="4318" spans="1:7" x14ac:dyDescent="0.2">
      <c r="A4318" s="16" t="s">
        <v>34</v>
      </c>
      <c r="B4318" s="17" t="s">
        <v>74</v>
      </c>
      <c r="C4318" s="17" t="s">
        <v>8</v>
      </c>
      <c r="D4318" s="17" t="s">
        <v>10</v>
      </c>
      <c r="E4318" s="17" t="s">
        <v>27</v>
      </c>
      <c r="F4318" s="17" t="str">
        <f>INDEX(nrg_cb_e!$A$3:$A$40,MATCH(LEFT(MID('Industriesektor GWh'!$B4318,41,1000),SEARCH(" - ",MID('Industriesektor GWh'!$B4318,41,1000))-1),nrg_cb_e!$C$3:$C$40,0))</f>
        <v>NRG_NSP_E</v>
      </c>
      <c r="G4318" s="18">
        <v>192</v>
      </c>
    </row>
    <row r="4319" spans="1:7" x14ac:dyDescent="0.2">
      <c r="A4319" s="19" t="s">
        <v>34</v>
      </c>
      <c r="B4319" s="20" t="s">
        <v>74</v>
      </c>
      <c r="C4319" s="20" t="s">
        <v>8</v>
      </c>
      <c r="D4319" s="20" t="s">
        <v>10</v>
      </c>
      <c r="E4319" s="20" t="s">
        <v>28</v>
      </c>
      <c r="F4319" s="20" t="str">
        <f>INDEX(nrg_cb_e!$A$3:$A$40,MATCH(LEFT(MID('Industriesektor GWh'!$B4319,41,1000),SEARCH(" - ",MID('Industriesektor GWh'!$B4319,41,1000))-1),nrg_cb_e!$C$3:$C$40,0))</f>
        <v>NRG_NSP_E</v>
      </c>
      <c r="G4319" s="21">
        <v>179</v>
      </c>
    </row>
    <row r="4320" spans="1:7" x14ac:dyDescent="0.2">
      <c r="A4320" s="16" t="s">
        <v>35</v>
      </c>
      <c r="B4320" s="17" t="s">
        <v>74</v>
      </c>
      <c r="C4320" s="17" t="s">
        <v>8</v>
      </c>
      <c r="D4320" s="17" t="s">
        <v>10</v>
      </c>
      <c r="E4320" s="17" t="s">
        <v>12</v>
      </c>
      <c r="F4320" s="17" t="str">
        <f>INDEX(nrg_cb_e!$A$3:$A$40,MATCH(LEFT(MID('Industriesektor GWh'!$B4320,41,1000),SEARCH(" - ",MID('Industriesektor GWh'!$B4320,41,1000))-1),nrg_cb_e!$C$3:$C$40,0))</f>
        <v>NRG_NSP_E</v>
      </c>
      <c r="G4320" s="18">
        <v>540.62900000000002</v>
      </c>
    </row>
    <row r="4321" spans="1:7" x14ac:dyDescent="0.2">
      <c r="A4321" s="19" t="s">
        <v>35</v>
      </c>
      <c r="B4321" s="20" t="s">
        <v>74</v>
      </c>
      <c r="C4321" s="20" t="s">
        <v>8</v>
      </c>
      <c r="D4321" s="20" t="s">
        <v>10</v>
      </c>
      <c r="E4321" s="20" t="s">
        <v>13</v>
      </c>
      <c r="F4321" s="20" t="str">
        <f>INDEX(nrg_cb_e!$A$3:$A$40,MATCH(LEFT(MID('Industriesektor GWh'!$B4321,41,1000),SEARCH(" - ",MID('Industriesektor GWh'!$B4321,41,1000))-1),nrg_cb_e!$C$3:$C$40,0))</f>
        <v>NRG_NSP_E</v>
      </c>
      <c r="G4321" s="21">
        <v>508.61700000000002</v>
      </c>
    </row>
    <row r="4322" spans="1:7" x14ac:dyDescent="0.2">
      <c r="A4322" s="16" t="s">
        <v>35</v>
      </c>
      <c r="B4322" s="17" t="s">
        <v>74</v>
      </c>
      <c r="C4322" s="17" t="s">
        <v>8</v>
      </c>
      <c r="D4322" s="17" t="s">
        <v>10</v>
      </c>
      <c r="E4322" s="17" t="s">
        <v>14</v>
      </c>
      <c r="F4322" s="17" t="str">
        <f>INDEX(nrg_cb_e!$A$3:$A$40,MATCH(LEFT(MID('Industriesektor GWh'!$B4322,41,1000),SEARCH(" - ",MID('Industriesektor GWh'!$B4322,41,1000))-1),nrg_cb_e!$C$3:$C$40,0))</f>
        <v>NRG_NSP_E</v>
      </c>
      <c r="G4322" s="18">
        <v>477.43700000000001</v>
      </c>
    </row>
    <row r="4323" spans="1:7" x14ac:dyDescent="0.2">
      <c r="A4323" s="19" t="s">
        <v>35</v>
      </c>
      <c r="B4323" s="20" t="s">
        <v>74</v>
      </c>
      <c r="C4323" s="20" t="s">
        <v>8</v>
      </c>
      <c r="D4323" s="20" t="s">
        <v>10</v>
      </c>
      <c r="E4323" s="20" t="s">
        <v>15</v>
      </c>
      <c r="F4323" s="20" t="str">
        <f>INDEX(nrg_cb_e!$A$3:$A$40,MATCH(LEFT(MID('Industriesektor GWh'!$B4323,41,1000),SEARCH(" - ",MID('Industriesektor GWh'!$B4323,41,1000))-1),nrg_cb_e!$C$3:$C$40,0))</f>
        <v>NRG_NSP_E</v>
      </c>
      <c r="G4323" s="21">
        <v>540.43799999999999</v>
      </c>
    </row>
    <row r="4324" spans="1:7" x14ac:dyDescent="0.2">
      <c r="A4324" s="16" t="s">
        <v>35</v>
      </c>
      <c r="B4324" s="17" t="s">
        <v>74</v>
      </c>
      <c r="C4324" s="17" t="s">
        <v>8</v>
      </c>
      <c r="D4324" s="17" t="s">
        <v>10</v>
      </c>
      <c r="E4324" s="17" t="s">
        <v>16</v>
      </c>
      <c r="F4324" s="17" t="str">
        <f>INDEX(nrg_cb_e!$A$3:$A$40,MATCH(LEFT(MID('Industriesektor GWh'!$B4324,41,1000),SEARCH(" - ",MID('Industriesektor GWh'!$B4324,41,1000))-1),nrg_cb_e!$C$3:$C$40,0))</f>
        <v>NRG_NSP_E</v>
      </c>
      <c r="G4324" s="18">
        <v>740.81799999999998</v>
      </c>
    </row>
    <row r="4325" spans="1:7" x14ac:dyDescent="0.2">
      <c r="A4325" s="19" t="s">
        <v>35</v>
      </c>
      <c r="B4325" s="20" t="s">
        <v>74</v>
      </c>
      <c r="C4325" s="20" t="s">
        <v>8</v>
      </c>
      <c r="D4325" s="20" t="s">
        <v>10</v>
      </c>
      <c r="E4325" s="20" t="s">
        <v>17</v>
      </c>
      <c r="F4325" s="20" t="str">
        <f>INDEX(nrg_cb_e!$A$3:$A$40,MATCH(LEFT(MID('Industriesektor GWh'!$B4325,41,1000),SEARCH(" - ",MID('Industriesektor GWh'!$B4325,41,1000))-1),nrg_cb_e!$C$3:$C$40,0))</f>
        <v>NRG_NSP_E</v>
      </c>
      <c r="G4325" s="21">
        <v>1004.086</v>
      </c>
    </row>
    <row r="4326" spans="1:7" x14ac:dyDescent="0.2">
      <c r="A4326" s="16" t="s">
        <v>35</v>
      </c>
      <c r="B4326" s="17" t="s">
        <v>74</v>
      </c>
      <c r="C4326" s="17" t="s">
        <v>8</v>
      </c>
      <c r="D4326" s="17" t="s">
        <v>10</v>
      </c>
      <c r="E4326" s="17" t="s">
        <v>18</v>
      </c>
      <c r="F4326" s="17" t="str">
        <f>INDEX(nrg_cb_e!$A$3:$A$40,MATCH(LEFT(MID('Industriesektor GWh'!$B4326,41,1000),SEARCH(" - ",MID('Industriesektor GWh'!$B4326,41,1000))-1),nrg_cb_e!$C$3:$C$40,0))</f>
        <v>NRG_NSP_E</v>
      </c>
      <c r="G4326" s="18">
        <v>999.26700000000005</v>
      </c>
    </row>
    <row r="4327" spans="1:7" x14ac:dyDescent="0.2">
      <c r="A4327" s="19" t="s">
        <v>35</v>
      </c>
      <c r="B4327" s="20" t="s">
        <v>74</v>
      </c>
      <c r="C4327" s="20" t="s">
        <v>8</v>
      </c>
      <c r="D4327" s="20" t="s">
        <v>10</v>
      </c>
      <c r="E4327" s="20" t="s">
        <v>19</v>
      </c>
      <c r="F4327" s="20" t="str">
        <f>INDEX(nrg_cb_e!$A$3:$A$40,MATCH(LEFT(MID('Industriesektor GWh'!$B4327,41,1000),SEARCH(" - ",MID('Industriesektor GWh'!$B4327,41,1000))-1),nrg_cb_e!$C$3:$C$40,0))</f>
        <v>NRG_NSP_E</v>
      </c>
      <c r="G4327" s="21">
        <v>1099.94</v>
      </c>
    </row>
    <row r="4328" spans="1:7" x14ac:dyDescent="0.2">
      <c r="A4328" s="16" t="s">
        <v>35</v>
      </c>
      <c r="B4328" s="17" t="s">
        <v>74</v>
      </c>
      <c r="C4328" s="17" t="s">
        <v>8</v>
      </c>
      <c r="D4328" s="17" t="s">
        <v>10</v>
      </c>
      <c r="E4328" s="17" t="s">
        <v>20</v>
      </c>
      <c r="F4328" s="17" t="str">
        <f>INDEX(nrg_cb_e!$A$3:$A$40,MATCH(LEFT(MID('Industriesektor GWh'!$B4328,41,1000),SEARCH(" - ",MID('Industriesektor GWh'!$B4328,41,1000))-1),nrg_cb_e!$C$3:$C$40,0))</f>
        <v>NRG_NSP_E</v>
      </c>
      <c r="G4328" s="18">
        <v>1210.509</v>
      </c>
    </row>
    <row r="4329" spans="1:7" x14ac:dyDescent="0.2">
      <c r="A4329" s="19" t="s">
        <v>35</v>
      </c>
      <c r="B4329" s="20" t="s">
        <v>74</v>
      </c>
      <c r="C4329" s="20" t="s">
        <v>8</v>
      </c>
      <c r="D4329" s="20" t="s">
        <v>10</v>
      </c>
      <c r="E4329" s="20" t="s">
        <v>21</v>
      </c>
      <c r="F4329" s="20" t="str">
        <f>INDEX(nrg_cb_e!$A$3:$A$40,MATCH(LEFT(MID('Industriesektor GWh'!$B4329,41,1000),SEARCH(" - ",MID('Industriesektor GWh'!$B4329,41,1000))-1),nrg_cb_e!$C$3:$C$40,0))</f>
        <v>NRG_NSP_E</v>
      </c>
      <c r="G4329" s="21">
        <v>1266.953</v>
      </c>
    </row>
    <row r="4330" spans="1:7" x14ac:dyDescent="0.2">
      <c r="A4330" s="16" t="s">
        <v>35</v>
      </c>
      <c r="B4330" s="17" t="s">
        <v>74</v>
      </c>
      <c r="C4330" s="17" t="s">
        <v>8</v>
      </c>
      <c r="D4330" s="17" t="s">
        <v>10</v>
      </c>
      <c r="E4330" s="17" t="s">
        <v>22</v>
      </c>
      <c r="F4330" s="17" t="str">
        <f>INDEX(nrg_cb_e!$A$3:$A$40,MATCH(LEFT(MID('Industriesektor GWh'!$B4330,41,1000),SEARCH(" - ",MID('Industriesektor GWh'!$B4330,41,1000))-1),nrg_cb_e!$C$3:$C$40,0))</f>
        <v>NRG_NSP_E</v>
      </c>
      <c r="G4330" s="18">
        <v>1216.6690000000001</v>
      </c>
    </row>
    <row r="4331" spans="1:7" x14ac:dyDescent="0.2">
      <c r="A4331" s="19" t="s">
        <v>35</v>
      </c>
      <c r="B4331" s="20" t="s">
        <v>74</v>
      </c>
      <c r="C4331" s="20" t="s">
        <v>8</v>
      </c>
      <c r="D4331" s="20" t="s">
        <v>10</v>
      </c>
      <c r="E4331" s="20" t="s">
        <v>23</v>
      </c>
      <c r="F4331" s="20" t="str">
        <f>INDEX(nrg_cb_e!$A$3:$A$40,MATCH(LEFT(MID('Industriesektor GWh'!$B4331,41,1000),SEARCH(" - ",MID('Industriesektor GWh'!$B4331,41,1000))-1),nrg_cb_e!$C$3:$C$40,0))</f>
        <v>NRG_NSP_E</v>
      </c>
      <c r="G4331" s="21">
        <v>1236.6690000000001</v>
      </c>
    </row>
    <row r="4332" spans="1:7" x14ac:dyDescent="0.2">
      <c r="A4332" s="16" t="s">
        <v>35</v>
      </c>
      <c r="B4332" s="17" t="s">
        <v>74</v>
      </c>
      <c r="C4332" s="17" t="s">
        <v>8</v>
      </c>
      <c r="D4332" s="17" t="s">
        <v>10</v>
      </c>
      <c r="E4332" s="17" t="s">
        <v>24</v>
      </c>
      <c r="F4332" s="17" t="str">
        <f>INDEX(nrg_cb_e!$A$3:$A$40,MATCH(LEFT(MID('Industriesektor GWh'!$B4332,41,1000),SEARCH(" - ",MID('Industriesektor GWh'!$B4332,41,1000))-1),nrg_cb_e!$C$3:$C$40,0))</f>
        <v>NRG_NSP_E</v>
      </c>
      <c r="G4332" s="18">
        <v>1252.31</v>
      </c>
    </row>
    <row r="4333" spans="1:7" x14ac:dyDescent="0.2">
      <c r="A4333" s="19" t="s">
        <v>35</v>
      </c>
      <c r="B4333" s="20" t="s">
        <v>74</v>
      </c>
      <c r="C4333" s="20" t="s">
        <v>8</v>
      </c>
      <c r="D4333" s="20" t="s">
        <v>10</v>
      </c>
      <c r="E4333" s="20" t="s">
        <v>25</v>
      </c>
      <c r="F4333" s="20" t="str">
        <f>INDEX(nrg_cb_e!$A$3:$A$40,MATCH(LEFT(MID('Industriesektor GWh'!$B4333,41,1000),SEARCH(" - ",MID('Industriesektor GWh'!$B4333,41,1000))-1),nrg_cb_e!$C$3:$C$40,0))</f>
        <v>NRG_NSP_E</v>
      </c>
      <c r="G4333" s="21">
        <v>1315.184</v>
      </c>
    </row>
    <row r="4334" spans="1:7" x14ac:dyDescent="0.2">
      <c r="A4334" s="16" t="s">
        <v>35</v>
      </c>
      <c r="B4334" s="17" t="s">
        <v>74</v>
      </c>
      <c r="C4334" s="17" t="s">
        <v>8</v>
      </c>
      <c r="D4334" s="17" t="s">
        <v>10</v>
      </c>
      <c r="E4334" s="17" t="s">
        <v>26</v>
      </c>
      <c r="F4334" s="17" t="str">
        <f>INDEX(nrg_cb_e!$A$3:$A$40,MATCH(LEFT(MID('Industriesektor GWh'!$B4334,41,1000),SEARCH(" - ",MID('Industriesektor GWh'!$B4334,41,1000))-1),nrg_cb_e!$C$3:$C$40,0))</f>
        <v>NRG_NSP_E</v>
      </c>
      <c r="G4334" s="18">
        <v>1360.357</v>
      </c>
    </row>
    <row r="4335" spans="1:7" x14ac:dyDescent="0.2">
      <c r="A4335" s="19" t="s">
        <v>35</v>
      </c>
      <c r="B4335" s="20" t="s">
        <v>74</v>
      </c>
      <c r="C4335" s="20" t="s">
        <v>8</v>
      </c>
      <c r="D4335" s="20" t="s">
        <v>10</v>
      </c>
      <c r="E4335" s="20" t="s">
        <v>27</v>
      </c>
      <c r="F4335" s="20" t="str">
        <f>INDEX(nrg_cb_e!$A$3:$A$40,MATCH(LEFT(MID('Industriesektor GWh'!$B4335,41,1000),SEARCH(" - ",MID('Industriesektor GWh'!$B4335,41,1000))-1),nrg_cb_e!$C$3:$C$40,0))</f>
        <v>NRG_NSP_E</v>
      </c>
      <c r="G4335" s="21">
        <v>1376.3</v>
      </c>
    </row>
    <row r="4336" spans="1:7" x14ac:dyDescent="0.2">
      <c r="A4336" s="16" t="s">
        <v>35</v>
      </c>
      <c r="B4336" s="17" t="s">
        <v>74</v>
      </c>
      <c r="C4336" s="17" t="s">
        <v>8</v>
      </c>
      <c r="D4336" s="17" t="s">
        <v>10</v>
      </c>
      <c r="E4336" s="17" t="s">
        <v>28</v>
      </c>
      <c r="F4336" s="17" t="str">
        <f>INDEX(nrg_cb_e!$A$3:$A$40,MATCH(LEFT(MID('Industriesektor GWh'!$B4336,41,1000),SEARCH(" - ",MID('Industriesektor GWh'!$B4336,41,1000))-1),nrg_cb_e!$C$3:$C$40,0))</f>
        <v>NRG_NSP_E</v>
      </c>
      <c r="G4336" s="18">
        <v>1469.383</v>
      </c>
    </row>
    <row r="4337" spans="1:7" x14ac:dyDescent="0.2">
      <c r="A4337" s="19" t="s">
        <v>36</v>
      </c>
      <c r="B4337" s="20" t="s">
        <v>74</v>
      </c>
      <c r="C4337" s="20" t="s">
        <v>8</v>
      </c>
      <c r="D4337" s="20" t="s">
        <v>10</v>
      </c>
      <c r="E4337" s="20" t="s">
        <v>12</v>
      </c>
      <c r="F4337" s="20" t="str">
        <f>INDEX(nrg_cb_e!$A$3:$A$40,MATCH(LEFT(MID('Industriesektor GWh'!$B4337,41,1000),SEARCH(" - ",MID('Industriesektor GWh'!$B4337,41,1000))-1),nrg_cb_e!$C$3:$C$40,0))</f>
        <v>NRG_NSP_E</v>
      </c>
      <c r="G4337" s="21">
        <v>1527</v>
      </c>
    </row>
    <row r="4338" spans="1:7" x14ac:dyDescent="0.2">
      <c r="A4338" s="16" t="s">
        <v>36</v>
      </c>
      <c r="B4338" s="17" t="s">
        <v>74</v>
      </c>
      <c r="C4338" s="17" t="s">
        <v>8</v>
      </c>
      <c r="D4338" s="17" t="s">
        <v>10</v>
      </c>
      <c r="E4338" s="17" t="s">
        <v>13</v>
      </c>
      <c r="F4338" s="17" t="str">
        <f>INDEX(nrg_cb_e!$A$3:$A$40,MATCH(LEFT(MID('Industriesektor GWh'!$B4338,41,1000),SEARCH(" - ",MID('Industriesektor GWh'!$B4338,41,1000))-1),nrg_cb_e!$C$3:$C$40,0))</f>
        <v>NRG_NSP_E</v>
      </c>
      <c r="G4338" s="18">
        <v>1269</v>
      </c>
    </row>
    <row r="4339" spans="1:7" x14ac:dyDescent="0.2">
      <c r="A4339" s="19" t="s">
        <v>36</v>
      </c>
      <c r="B4339" s="20" t="s">
        <v>74</v>
      </c>
      <c r="C4339" s="20" t="s">
        <v>8</v>
      </c>
      <c r="D4339" s="20" t="s">
        <v>10</v>
      </c>
      <c r="E4339" s="20" t="s">
        <v>14</v>
      </c>
      <c r="F4339" s="20" t="str">
        <f>INDEX(nrg_cb_e!$A$3:$A$40,MATCH(LEFT(MID('Industriesektor GWh'!$B4339,41,1000),SEARCH(" - ",MID('Industriesektor GWh'!$B4339,41,1000))-1),nrg_cb_e!$C$3:$C$40,0))</f>
        <v>NRG_NSP_E</v>
      </c>
      <c r="G4339" s="21">
        <v>767</v>
      </c>
    </row>
    <row r="4340" spans="1:7" x14ac:dyDescent="0.2">
      <c r="A4340" s="16" t="s">
        <v>36</v>
      </c>
      <c r="B4340" s="17" t="s">
        <v>74</v>
      </c>
      <c r="C4340" s="17" t="s">
        <v>8</v>
      </c>
      <c r="D4340" s="17" t="s">
        <v>10</v>
      </c>
      <c r="E4340" s="17" t="s">
        <v>15</v>
      </c>
      <c r="F4340" s="17" t="str">
        <f>INDEX(nrg_cb_e!$A$3:$A$40,MATCH(LEFT(MID('Industriesektor GWh'!$B4340,41,1000),SEARCH(" - ",MID('Industriesektor GWh'!$B4340,41,1000))-1),nrg_cb_e!$C$3:$C$40,0))</f>
        <v>NRG_NSP_E</v>
      </c>
      <c r="G4340" s="18">
        <v>766</v>
      </c>
    </row>
    <row r="4341" spans="1:7" x14ac:dyDescent="0.2">
      <c r="A4341" s="19" t="s">
        <v>36</v>
      </c>
      <c r="B4341" s="20" t="s">
        <v>74</v>
      </c>
      <c r="C4341" s="20" t="s">
        <v>8</v>
      </c>
      <c r="D4341" s="20" t="s">
        <v>10</v>
      </c>
      <c r="E4341" s="20" t="s">
        <v>16</v>
      </c>
      <c r="F4341" s="20" t="str">
        <f>INDEX(nrg_cb_e!$A$3:$A$40,MATCH(LEFT(MID('Industriesektor GWh'!$B4341,41,1000),SEARCH(" - ",MID('Industriesektor GWh'!$B4341,41,1000))-1),nrg_cb_e!$C$3:$C$40,0))</f>
        <v>NRG_NSP_E</v>
      </c>
      <c r="G4341" s="21">
        <v>818</v>
      </c>
    </row>
    <row r="4342" spans="1:7" x14ac:dyDescent="0.2">
      <c r="A4342" s="16" t="s">
        <v>36</v>
      </c>
      <c r="B4342" s="17" t="s">
        <v>74</v>
      </c>
      <c r="C4342" s="17" t="s">
        <v>8</v>
      </c>
      <c r="D4342" s="17" t="s">
        <v>10</v>
      </c>
      <c r="E4342" s="17" t="s">
        <v>17</v>
      </c>
      <c r="F4342" s="17" t="str">
        <f>INDEX(nrg_cb_e!$A$3:$A$40,MATCH(LEFT(MID('Industriesektor GWh'!$B4342,41,1000),SEARCH(" - ",MID('Industriesektor GWh'!$B4342,41,1000))-1),nrg_cb_e!$C$3:$C$40,0))</f>
        <v>NRG_NSP_E</v>
      </c>
      <c r="G4342" s="18">
        <v>914</v>
      </c>
    </row>
    <row r="4343" spans="1:7" x14ac:dyDescent="0.2">
      <c r="A4343" s="19" t="s">
        <v>36</v>
      </c>
      <c r="B4343" s="20" t="s">
        <v>74</v>
      </c>
      <c r="C4343" s="20" t="s">
        <v>8</v>
      </c>
      <c r="D4343" s="20" t="s">
        <v>10</v>
      </c>
      <c r="E4343" s="20" t="s">
        <v>18</v>
      </c>
      <c r="F4343" s="20" t="str">
        <f>INDEX(nrg_cb_e!$A$3:$A$40,MATCH(LEFT(MID('Industriesektor GWh'!$B4343,41,1000),SEARCH(" - ",MID('Industriesektor GWh'!$B4343,41,1000))-1),nrg_cb_e!$C$3:$C$40,0))</f>
        <v>NRG_NSP_E</v>
      </c>
      <c r="G4343" s="21">
        <v>1669</v>
      </c>
    </row>
    <row r="4344" spans="1:7" x14ac:dyDescent="0.2">
      <c r="A4344" s="16" t="s">
        <v>36</v>
      </c>
      <c r="B4344" s="17" t="s">
        <v>74</v>
      </c>
      <c r="C4344" s="17" t="s">
        <v>8</v>
      </c>
      <c r="D4344" s="17" t="s">
        <v>10</v>
      </c>
      <c r="E4344" s="17" t="s">
        <v>19</v>
      </c>
      <c r="F4344" s="17" t="str">
        <f>INDEX(nrg_cb_e!$A$3:$A$40,MATCH(LEFT(MID('Industriesektor GWh'!$B4344,41,1000),SEARCH(" - ",MID('Industriesektor GWh'!$B4344,41,1000))-1),nrg_cb_e!$C$3:$C$40,0))</f>
        <v>NRG_NSP_E</v>
      </c>
      <c r="G4344" s="18">
        <v>2003</v>
      </c>
    </row>
    <row r="4345" spans="1:7" x14ac:dyDescent="0.2">
      <c r="A4345" s="19" t="s">
        <v>36</v>
      </c>
      <c r="B4345" s="20" t="s">
        <v>74</v>
      </c>
      <c r="C4345" s="20" t="s">
        <v>8</v>
      </c>
      <c r="D4345" s="20" t="s">
        <v>10</v>
      </c>
      <c r="E4345" s="20" t="s">
        <v>20</v>
      </c>
      <c r="F4345" s="20" t="str">
        <f>INDEX(nrg_cb_e!$A$3:$A$40,MATCH(LEFT(MID('Industriesektor GWh'!$B4345,41,1000),SEARCH(" - ",MID('Industriesektor GWh'!$B4345,41,1000))-1),nrg_cb_e!$C$3:$C$40,0))</f>
        <v>NRG_NSP_E</v>
      </c>
      <c r="G4345" s="21">
        <v>1191</v>
      </c>
    </row>
    <row r="4346" spans="1:7" x14ac:dyDescent="0.2">
      <c r="A4346" s="16" t="s">
        <v>36</v>
      </c>
      <c r="B4346" s="17" t="s">
        <v>74</v>
      </c>
      <c r="C4346" s="17" t="s">
        <v>8</v>
      </c>
      <c r="D4346" s="17" t="s">
        <v>10</v>
      </c>
      <c r="E4346" s="17" t="s">
        <v>21</v>
      </c>
      <c r="F4346" s="17" t="str">
        <f>INDEX(nrg_cb_e!$A$3:$A$40,MATCH(LEFT(MID('Industriesektor GWh'!$B4346,41,1000),SEARCH(" - ",MID('Industriesektor GWh'!$B4346,41,1000))-1),nrg_cb_e!$C$3:$C$40,0))</f>
        <v>NRG_NSP_E</v>
      </c>
      <c r="G4346" s="18">
        <v>2669</v>
      </c>
    </row>
    <row r="4347" spans="1:7" x14ac:dyDescent="0.2">
      <c r="A4347" s="19" t="s">
        <v>36</v>
      </c>
      <c r="B4347" s="20" t="s">
        <v>74</v>
      </c>
      <c r="C4347" s="20" t="s">
        <v>8</v>
      </c>
      <c r="D4347" s="20" t="s">
        <v>10</v>
      </c>
      <c r="E4347" s="20" t="s">
        <v>22</v>
      </c>
      <c r="F4347" s="20" t="str">
        <f>INDEX(nrg_cb_e!$A$3:$A$40,MATCH(LEFT(MID('Industriesektor GWh'!$B4347,41,1000),SEARCH(" - ",MID('Industriesektor GWh'!$B4347,41,1000))-1),nrg_cb_e!$C$3:$C$40,0))</f>
        <v>NRG_NSP_E</v>
      </c>
      <c r="G4347" s="21">
        <v>799</v>
      </c>
    </row>
    <row r="4348" spans="1:7" x14ac:dyDescent="0.2">
      <c r="A4348" s="16" t="s">
        <v>36</v>
      </c>
      <c r="B4348" s="17" t="s">
        <v>74</v>
      </c>
      <c r="C4348" s="17" t="s">
        <v>8</v>
      </c>
      <c r="D4348" s="17" t="s">
        <v>10</v>
      </c>
      <c r="E4348" s="17" t="s">
        <v>23</v>
      </c>
      <c r="F4348" s="17" t="str">
        <f>INDEX(nrg_cb_e!$A$3:$A$40,MATCH(LEFT(MID('Industriesektor GWh'!$B4348,41,1000),SEARCH(" - ",MID('Industriesektor GWh'!$B4348,41,1000))-1),nrg_cb_e!$C$3:$C$40,0))</f>
        <v>NRG_NSP_E</v>
      </c>
      <c r="G4348" s="18">
        <v>768</v>
      </c>
    </row>
    <row r="4349" spans="1:7" x14ac:dyDescent="0.2">
      <c r="A4349" s="19" t="s">
        <v>36</v>
      </c>
      <c r="B4349" s="20" t="s">
        <v>74</v>
      </c>
      <c r="C4349" s="20" t="s">
        <v>8</v>
      </c>
      <c r="D4349" s="20" t="s">
        <v>10</v>
      </c>
      <c r="E4349" s="20" t="s">
        <v>24</v>
      </c>
      <c r="F4349" s="20" t="str">
        <f>INDEX(nrg_cb_e!$A$3:$A$40,MATCH(LEFT(MID('Industriesektor GWh'!$B4349,41,1000),SEARCH(" - ",MID('Industriesektor GWh'!$B4349,41,1000))-1),nrg_cb_e!$C$3:$C$40,0))</f>
        <v>NRG_NSP_E</v>
      </c>
      <c r="G4349" s="21">
        <v>2230</v>
      </c>
    </row>
    <row r="4350" spans="1:7" x14ac:dyDescent="0.2">
      <c r="A4350" s="16" t="s">
        <v>36</v>
      </c>
      <c r="B4350" s="17" t="s">
        <v>74</v>
      </c>
      <c r="C4350" s="17" t="s">
        <v>8</v>
      </c>
      <c r="D4350" s="17" t="s">
        <v>10</v>
      </c>
      <c r="E4350" s="17" t="s">
        <v>25</v>
      </c>
      <c r="F4350" s="17" t="str">
        <f>INDEX(nrg_cb_e!$A$3:$A$40,MATCH(LEFT(MID('Industriesektor GWh'!$B4350,41,1000),SEARCH(" - ",MID('Industriesektor GWh'!$B4350,41,1000))-1),nrg_cb_e!$C$3:$C$40,0))</f>
        <v>NRG_NSP_E</v>
      </c>
      <c r="G4350" s="18">
        <v>2567</v>
      </c>
    </row>
    <row r="4351" spans="1:7" x14ac:dyDescent="0.2">
      <c r="A4351" s="19" t="s">
        <v>36</v>
      </c>
      <c r="B4351" s="20" t="s">
        <v>74</v>
      </c>
      <c r="C4351" s="20" t="s">
        <v>8</v>
      </c>
      <c r="D4351" s="20" t="s">
        <v>10</v>
      </c>
      <c r="E4351" s="20" t="s">
        <v>26</v>
      </c>
      <c r="F4351" s="20" t="str">
        <f>INDEX(nrg_cb_e!$A$3:$A$40,MATCH(LEFT(MID('Industriesektor GWh'!$B4351,41,1000),SEARCH(" - ",MID('Industriesektor GWh'!$B4351,41,1000))-1),nrg_cb_e!$C$3:$C$40,0))</f>
        <v>NRG_NSP_E</v>
      </c>
      <c r="G4351" s="21">
        <v>2780</v>
      </c>
    </row>
    <row r="4352" spans="1:7" x14ac:dyDescent="0.2">
      <c r="A4352" s="16" t="s">
        <v>36</v>
      </c>
      <c r="B4352" s="17" t="s">
        <v>74</v>
      </c>
      <c r="C4352" s="17" t="s">
        <v>8</v>
      </c>
      <c r="D4352" s="17" t="s">
        <v>10</v>
      </c>
      <c r="E4352" s="17" t="s">
        <v>27</v>
      </c>
      <c r="F4352" s="17" t="str">
        <f>INDEX(nrg_cb_e!$A$3:$A$40,MATCH(LEFT(MID('Industriesektor GWh'!$B4352,41,1000),SEARCH(" - ",MID('Industriesektor GWh'!$B4352,41,1000))-1),nrg_cb_e!$C$3:$C$40,0))</f>
        <v>NRG_NSP_E</v>
      </c>
      <c r="G4352" s="18">
        <v>2448.87</v>
      </c>
    </row>
    <row r="4353" spans="1:7" x14ac:dyDescent="0.2">
      <c r="A4353" s="19" t="s">
        <v>36</v>
      </c>
      <c r="B4353" s="20" t="s">
        <v>74</v>
      </c>
      <c r="C4353" s="20" t="s">
        <v>8</v>
      </c>
      <c r="D4353" s="20" t="s">
        <v>10</v>
      </c>
      <c r="E4353" s="20" t="s">
        <v>28</v>
      </c>
      <c r="F4353" s="20" t="str">
        <f>INDEX(nrg_cb_e!$A$3:$A$40,MATCH(LEFT(MID('Industriesektor GWh'!$B4353,41,1000),SEARCH(" - ",MID('Industriesektor GWh'!$B4353,41,1000))-1),nrg_cb_e!$C$3:$C$40,0))</f>
        <v>NRG_NSP_E</v>
      </c>
      <c r="G4353" s="21">
        <v>218.85</v>
      </c>
    </row>
    <row r="4354" spans="1:7" x14ac:dyDescent="0.2">
      <c r="A4354" s="16" t="s">
        <v>37</v>
      </c>
      <c r="B4354" s="17" t="s">
        <v>74</v>
      </c>
      <c r="C4354" s="17" t="s">
        <v>8</v>
      </c>
      <c r="D4354" s="17" t="s">
        <v>10</v>
      </c>
      <c r="E4354" s="17" t="s">
        <v>12</v>
      </c>
      <c r="F4354" s="17" t="str">
        <f>INDEX(nrg_cb_e!$A$3:$A$40,MATCH(LEFT(MID('Industriesektor GWh'!$B4354,41,1000),SEARCH(" - ",MID('Industriesektor GWh'!$B4354,41,1000))-1),nrg_cb_e!$C$3:$C$40,0))</f>
        <v>NRG_NSP_E</v>
      </c>
      <c r="G4354" s="18">
        <v>5202</v>
      </c>
    </row>
    <row r="4355" spans="1:7" x14ac:dyDescent="0.2">
      <c r="A4355" s="19" t="s">
        <v>37</v>
      </c>
      <c r="B4355" s="20" t="s">
        <v>74</v>
      </c>
      <c r="C4355" s="20" t="s">
        <v>8</v>
      </c>
      <c r="D4355" s="20" t="s">
        <v>10</v>
      </c>
      <c r="E4355" s="20" t="s">
        <v>13</v>
      </c>
      <c r="F4355" s="20" t="str">
        <f>INDEX(nrg_cb_e!$A$3:$A$40,MATCH(LEFT(MID('Industriesektor GWh'!$B4355,41,1000),SEARCH(" - ",MID('Industriesektor GWh'!$B4355,41,1000))-1),nrg_cb_e!$C$3:$C$40,0))</f>
        <v>NRG_NSP_E</v>
      </c>
      <c r="G4355" s="21">
        <v>4591</v>
      </c>
    </row>
    <row r="4356" spans="1:7" x14ac:dyDescent="0.2">
      <c r="A4356" s="16" t="s">
        <v>37</v>
      </c>
      <c r="B4356" s="17" t="s">
        <v>74</v>
      </c>
      <c r="C4356" s="17" t="s">
        <v>8</v>
      </c>
      <c r="D4356" s="17" t="s">
        <v>10</v>
      </c>
      <c r="E4356" s="17" t="s">
        <v>14</v>
      </c>
      <c r="F4356" s="17" t="str">
        <f>INDEX(nrg_cb_e!$A$3:$A$40,MATCH(LEFT(MID('Industriesektor GWh'!$B4356,41,1000),SEARCH(" - ",MID('Industriesektor GWh'!$B4356,41,1000))-1),nrg_cb_e!$C$3:$C$40,0))</f>
        <v>NRG_NSP_E</v>
      </c>
      <c r="G4356" s="18">
        <v>6999</v>
      </c>
    </row>
    <row r="4357" spans="1:7" x14ac:dyDescent="0.2">
      <c r="A4357" s="19" t="s">
        <v>37</v>
      </c>
      <c r="B4357" s="20" t="s">
        <v>74</v>
      </c>
      <c r="C4357" s="20" t="s">
        <v>8</v>
      </c>
      <c r="D4357" s="20" t="s">
        <v>10</v>
      </c>
      <c r="E4357" s="20" t="s">
        <v>15</v>
      </c>
      <c r="F4357" s="20" t="str">
        <f>INDEX(nrg_cb_e!$A$3:$A$40,MATCH(LEFT(MID('Industriesektor GWh'!$B4357,41,1000),SEARCH(" - ",MID('Industriesektor GWh'!$B4357,41,1000))-1),nrg_cb_e!$C$3:$C$40,0))</f>
        <v>NRG_NSP_E</v>
      </c>
      <c r="G4357" s="21">
        <v>7506</v>
      </c>
    </row>
    <row r="4358" spans="1:7" x14ac:dyDescent="0.2">
      <c r="A4358" s="16" t="s">
        <v>37</v>
      </c>
      <c r="B4358" s="17" t="s">
        <v>74</v>
      </c>
      <c r="C4358" s="17" t="s">
        <v>8</v>
      </c>
      <c r="D4358" s="17" t="s">
        <v>10</v>
      </c>
      <c r="E4358" s="17" t="s">
        <v>16</v>
      </c>
      <c r="F4358" s="17" t="str">
        <f>INDEX(nrg_cb_e!$A$3:$A$40,MATCH(LEFT(MID('Industriesektor GWh'!$B4358,41,1000),SEARCH(" - ",MID('Industriesektor GWh'!$B4358,41,1000))-1),nrg_cb_e!$C$3:$C$40,0))</f>
        <v>NRG_NSP_E</v>
      </c>
      <c r="G4358" s="18">
        <v>6388</v>
      </c>
    </row>
    <row r="4359" spans="1:7" x14ac:dyDescent="0.2">
      <c r="A4359" s="19" t="s">
        <v>37</v>
      </c>
      <c r="B4359" s="20" t="s">
        <v>74</v>
      </c>
      <c r="C4359" s="20" t="s">
        <v>8</v>
      </c>
      <c r="D4359" s="20" t="s">
        <v>10</v>
      </c>
      <c r="E4359" s="20" t="s">
        <v>17</v>
      </c>
      <c r="F4359" s="20" t="str">
        <f>INDEX(nrg_cb_e!$A$3:$A$40,MATCH(LEFT(MID('Industriesektor GWh'!$B4359,41,1000),SEARCH(" - ",MID('Industriesektor GWh'!$B4359,41,1000))-1),nrg_cb_e!$C$3:$C$40,0))</f>
        <v>NRG_NSP_E</v>
      </c>
      <c r="G4359" s="21">
        <v>7499</v>
      </c>
    </row>
    <row r="4360" spans="1:7" x14ac:dyDescent="0.2">
      <c r="A4360" s="16" t="s">
        <v>37</v>
      </c>
      <c r="B4360" s="17" t="s">
        <v>74</v>
      </c>
      <c r="C4360" s="17" t="s">
        <v>8</v>
      </c>
      <c r="D4360" s="17" t="s">
        <v>10</v>
      </c>
      <c r="E4360" s="17" t="s">
        <v>18</v>
      </c>
      <c r="F4360" s="17" t="str">
        <f>INDEX(nrg_cb_e!$A$3:$A$40,MATCH(LEFT(MID('Industriesektor GWh'!$B4360,41,1000),SEARCH(" - ",MID('Industriesektor GWh'!$B4360,41,1000))-1),nrg_cb_e!$C$3:$C$40,0))</f>
        <v>NRG_NSP_E</v>
      </c>
      <c r="G4360" s="18">
        <v>8044</v>
      </c>
    </row>
    <row r="4361" spans="1:7" x14ac:dyDescent="0.2">
      <c r="A4361" s="19" t="s">
        <v>37</v>
      </c>
      <c r="B4361" s="20" t="s">
        <v>74</v>
      </c>
      <c r="C4361" s="20" t="s">
        <v>8</v>
      </c>
      <c r="D4361" s="20" t="s">
        <v>10</v>
      </c>
      <c r="E4361" s="20" t="s">
        <v>19</v>
      </c>
      <c r="F4361" s="20" t="str">
        <f>INDEX(nrg_cb_e!$A$3:$A$40,MATCH(LEFT(MID('Industriesektor GWh'!$B4361,41,1000),SEARCH(" - ",MID('Industriesektor GWh'!$B4361,41,1000))-1),nrg_cb_e!$C$3:$C$40,0))</f>
        <v>NRG_NSP_E</v>
      </c>
      <c r="G4361" s="21">
        <v>5715</v>
      </c>
    </row>
    <row r="4362" spans="1:7" x14ac:dyDescent="0.2">
      <c r="A4362" s="16" t="s">
        <v>37</v>
      </c>
      <c r="B4362" s="17" t="s">
        <v>74</v>
      </c>
      <c r="C4362" s="17" t="s">
        <v>8</v>
      </c>
      <c r="D4362" s="17" t="s">
        <v>10</v>
      </c>
      <c r="E4362" s="17" t="s">
        <v>20</v>
      </c>
      <c r="F4362" s="17" t="str">
        <f>INDEX(nrg_cb_e!$A$3:$A$40,MATCH(LEFT(MID('Industriesektor GWh'!$B4362,41,1000),SEARCH(" - ",MID('Industriesektor GWh'!$B4362,41,1000))-1),nrg_cb_e!$C$3:$C$40,0))</f>
        <v>NRG_NSP_E</v>
      </c>
      <c r="G4362" s="18">
        <v>5521</v>
      </c>
    </row>
    <row r="4363" spans="1:7" x14ac:dyDescent="0.2">
      <c r="A4363" s="19" t="s">
        <v>37</v>
      </c>
      <c r="B4363" s="20" t="s">
        <v>74</v>
      </c>
      <c r="C4363" s="20" t="s">
        <v>8</v>
      </c>
      <c r="D4363" s="20" t="s">
        <v>10</v>
      </c>
      <c r="E4363" s="20" t="s">
        <v>21</v>
      </c>
      <c r="F4363" s="20" t="str">
        <f>INDEX(nrg_cb_e!$A$3:$A$40,MATCH(LEFT(MID('Industriesektor GWh'!$B4363,41,1000),SEARCH(" - ",MID('Industriesektor GWh'!$B4363,41,1000))-1),nrg_cb_e!$C$3:$C$40,0))</f>
        <v>NRG_NSP_E</v>
      </c>
      <c r="G4363" s="21">
        <v>5592</v>
      </c>
    </row>
    <row r="4364" spans="1:7" x14ac:dyDescent="0.2">
      <c r="A4364" s="16" t="s">
        <v>37</v>
      </c>
      <c r="B4364" s="17" t="s">
        <v>74</v>
      </c>
      <c r="C4364" s="17" t="s">
        <v>8</v>
      </c>
      <c r="D4364" s="17" t="s">
        <v>10</v>
      </c>
      <c r="E4364" s="17" t="s">
        <v>22</v>
      </c>
      <c r="F4364" s="17" t="str">
        <f>INDEX(nrg_cb_e!$A$3:$A$40,MATCH(LEFT(MID('Industriesektor GWh'!$B4364,41,1000),SEARCH(" - ",MID('Industriesektor GWh'!$B4364,41,1000))-1),nrg_cb_e!$C$3:$C$40,0))</f>
        <v>NRG_NSP_E</v>
      </c>
      <c r="G4364" s="18">
        <v>5517</v>
      </c>
    </row>
    <row r="4365" spans="1:7" x14ac:dyDescent="0.2">
      <c r="A4365" s="19" t="s">
        <v>37</v>
      </c>
      <c r="B4365" s="20" t="s">
        <v>74</v>
      </c>
      <c r="C4365" s="20" t="s">
        <v>8</v>
      </c>
      <c r="D4365" s="20" t="s">
        <v>10</v>
      </c>
      <c r="E4365" s="20" t="s">
        <v>23</v>
      </c>
      <c r="F4365" s="20" t="str">
        <f>INDEX(nrg_cb_e!$A$3:$A$40,MATCH(LEFT(MID('Industriesektor GWh'!$B4365,41,1000),SEARCH(" - ",MID('Industriesektor GWh'!$B4365,41,1000))-1),nrg_cb_e!$C$3:$C$40,0))</f>
        <v>NRG_NSP_E</v>
      </c>
      <c r="G4365" s="21">
        <v>4212</v>
      </c>
    </row>
    <row r="4366" spans="1:7" x14ac:dyDescent="0.2">
      <c r="A4366" s="16" t="s">
        <v>37</v>
      </c>
      <c r="B4366" s="17" t="s">
        <v>74</v>
      </c>
      <c r="C4366" s="17" t="s">
        <v>8</v>
      </c>
      <c r="D4366" s="17" t="s">
        <v>10</v>
      </c>
      <c r="E4366" s="17" t="s">
        <v>24</v>
      </c>
      <c r="F4366" s="17" t="str">
        <f>INDEX(nrg_cb_e!$A$3:$A$40,MATCH(LEFT(MID('Industriesektor GWh'!$B4366,41,1000),SEARCH(" - ",MID('Industriesektor GWh'!$B4366,41,1000))-1),nrg_cb_e!$C$3:$C$40,0))</f>
        <v>NRG_NSP_E</v>
      </c>
      <c r="G4366" s="18">
        <v>3562</v>
      </c>
    </row>
    <row r="4367" spans="1:7" x14ac:dyDescent="0.2">
      <c r="A4367" s="19" t="s">
        <v>37</v>
      </c>
      <c r="B4367" s="20" t="s">
        <v>74</v>
      </c>
      <c r="C4367" s="20" t="s">
        <v>8</v>
      </c>
      <c r="D4367" s="20" t="s">
        <v>10</v>
      </c>
      <c r="E4367" s="20" t="s">
        <v>25</v>
      </c>
      <c r="F4367" s="20" t="str">
        <f>INDEX(nrg_cb_e!$A$3:$A$40,MATCH(LEFT(MID('Industriesektor GWh'!$B4367,41,1000),SEARCH(" - ",MID('Industriesektor GWh'!$B4367,41,1000))-1),nrg_cb_e!$C$3:$C$40,0))</f>
        <v>NRG_NSP_E</v>
      </c>
      <c r="G4367" s="21">
        <v>6807</v>
      </c>
    </row>
    <row r="4368" spans="1:7" x14ac:dyDescent="0.2">
      <c r="A4368" s="16" t="s">
        <v>37</v>
      </c>
      <c r="B4368" s="17" t="s">
        <v>74</v>
      </c>
      <c r="C4368" s="17" t="s">
        <v>8</v>
      </c>
      <c r="D4368" s="17" t="s">
        <v>10</v>
      </c>
      <c r="E4368" s="17" t="s">
        <v>26</v>
      </c>
      <c r="F4368" s="17" t="str">
        <f>INDEX(nrg_cb_e!$A$3:$A$40,MATCH(LEFT(MID('Industriesektor GWh'!$B4368,41,1000),SEARCH(" - ",MID('Industriesektor GWh'!$B4368,41,1000))-1),nrg_cb_e!$C$3:$C$40,0))</f>
        <v>NRG_NSP_E</v>
      </c>
      <c r="G4368" s="18">
        <v>6788</v>
      </c>
    </row>
    <row r="4369" spans="1:7" x14ac:dyDescent="0.2">
      <c r="A4369" s="19" t="s">
        <v>37</v>
      </c>
      <c r="B4369" s="20" t="s">
        <v>74</v>
      </c>
      <c r="C4369" s="20" t="s">
        <v>8</v>
      </c>
      <c r="D4369" s="20" t="s">
        <v>10</v>
      </c>
      <c r="E4369" s="20" t="s">
        <v>27</v>
      </c>
      <c r="F4369" s="20" t="str">
        <f>INDEX(nrg_cb_e!$A$3:$A$40,MATCH(LEFT(MID('Industriesektor GWh'!$B4369,41,1000),SEARCH(" - ",MID('Industriesektor GWh'!$B4369,41,1000))-1),nrg_cb_e!$C$3:$C$40,0))</f>
        <v>NRG_NSP_E</v>
      </c>
      <c r="G4369" s="21">
        <v>7026</v>
      </c>
    </row>
    <row r="4370" spans="1:7" x14ac:dyDescent="0.2">
      <c r="A4370" s="16" t="s">
        <v>37</v>
      </c>
      <c r="B4370" s="17" t="s">
        <v>74</v>
      </c>
      <c r="C4370" s="17" t="s">
        <v>8</v>
      </c>
      <c r="D4370" s="17" t="s">
        <v>10</v>
      </c>
      <c r="E4370" s="17" t="s">
        <v>28</v>
      </c>
      <c r="F4370" s="17" t="str">
        <f>INDEX(nrg_cb_e!$A$3:$A$40,MATCH(LEFT(MID('Industriesektor GWh'!$B4370,41,1000),SEARCH(" - ",MID('Industriesektor GWh'!$B4370,41,1000))-1),nrg_cb_e!$C$3:$C$40,0))</f>
        <v>NRG_NSP_E</v>
      </c>
      <c r="G4370" s="18">
        <v>6179</v>
      </c>
    </row>
    <row r="4371" spans="1:7" x14ac:dyDescent="0.2">
      <c r="A4371" s="19" t="s">
        <v>38</v>
      </c>
      <c r="B4371" s="20" t="s">
        <v>74</v>
      </c>
      <c r="C4371" s="20" t="s">
        <v>8</v>
      </c>
      <c r="D4371" s="20" t="s">
        <v>10</v>
      </c>
      <c r="E4371" s="20" t="s">
        <v>12</v>
      </c>
      <c r="F4371" s="20" t="str">
        <f>INDEX(nrg_cb_e!$A$3:$A$40,MATCH(LEFT(MID('Industriesektor GWh'!$B4371,41,1000),SEARCH(" - ",MID('Industriesektor GWh'!$B4371,41,1000))-1),nrg_cb_e!$C$3:$C$40,0))</f>
        <v>NRG_NSP_E</v>
      </c>
      <c r="G4371" s="21">
        <v>9748</v>
      </c>
    </row>
    <row r="4372" spans="1:7" x14ac:dyDescent="0.2">
      <c r="A4372" s="16" t="s">
        <v>38</v>
      </c>
      <c r="B4372" s="17" t="s">
        <v>74</v>
      </c>
      <c r="C4372" s="17" t="s">
        <v>8</v>
      </c>
      <c r="D4372" s="17" t="s">
        <v>10</v>
      </c>
      <c r="E4372" s="17" t="s">
        <v>13</v>
      </c>
      <c r="F4372" s="17" t="str">
        <f>INDEX(nrg_cb_e!$A$3:$A$40,MATCH(LEFT(MID('Industriesektor GWh'!$B4372,41,1000),SEARCH(" - ",MID('Industriesektor GWh'!$B4372,41,1000))-1),nrg_cb_e!$C$3:$C$40,0))</f>
        <v>NRG_NSP_E</v>
      </c>
      <c r="G4372" s="18">
        <v>12714</v>
      </c>
    </row>
    <row r="4373" spans="1:7" x14ac:dyDescent="0.2">
      <c r="A4373" s="19" t="s">
        <v>38</v>
      </c>
      <c r="B4373" s="20" t="s">
        <v>74</v>
      </c>
      <c r="C4373" s="20" t="s">
        <v>8</v>
      </c>
      <c r="D4373" s="20" t="s">
        <v>10</v>
      </c>
      <c r="E4373" s="20" t="s">
        <v>14</v>
      </c>
      <c r="F4373" s="20" t="str">
        <f>INDEX(nrg_cb_e!$A$3:$A$40,MATCH(LEFT(MID('Industriesektor GWh'!$B4373,41,1000),SEARCH(" - ",MID('Industriesektor GWh'!$B4373,41,1000))-1),nrg_cb_e!$C$3:$C$40,0))</f>
        <v>NRG_NSP_E</v>
      </c>
      <c r="G4373" s="21">
        <v>13683</v>
      </c>
    </row>
    <row r="4374" spans="1:7" x14ac:dyDescent="0.2">
      <c r="A4374" s="16" t="s">
        <v>38</v>
      </c>
      <c r="B4374" s="17" t="s">
        <v>74</v>
      </c>
      <c r="C4374" s="17" t="s">
        <v>8</v>
      </c>
      <c r="D4374" s="17" t="s">
        <v>10</v>
      </c>
      <c r="E4374" s="17" t="s">
        <v>15</v>
      </c>
      <c r="F4374" s="17" t="str">
        <f>INDEX(nrg_cb_e!$A$3:$A$40,MATCH(LEFT(MID('Industriesektor GWh'!$B4374,41,1000),SEARCH(" - ",MID('Industriesektor GWh'!$B4374,41,1000))-1),nrg_cb_e!$C$3:$C$40,0))</f>
        <v>NRG_NSP_E</v>
      </c>
      <c r="G4374" s="18">
        <v>18689</v>
      </c>
    </row>
    <row r="4375" spans="1:7" x14ac:dyDescent="0.2">
      <c r="A4375" s="19" t="s">
        <v>38</v>
      </c>
      <c r="B4375" s="20" t="s">
        <v>74</v>
      </c>
      <c r="C4375" s="20" t="s">
        <v>8</v>
      </c>
      <c r="D4375" s="20" t="s">
        <v>10</v>
      </c>
      <c r="E4375" s="20" t="s">
        <v>16</v>
      </c>
      <c r="F4375" s="20" t="str">
        <f>INDEX(nrg_cb_e!$A$3:$A$40,MATCH(LEFT(MID('Industriesektor GWh'!$B4375,41,1000),SEARCH(" - ",MID('Industriesektor GWh'!$B4375,41,1000))-1),nrg_cb_e!$C$3:$C$40,0))</f>
        <v>NRG_NSP_E</v>
      </c>
      <c r="G4375" s="21">
        <v>12163</v>
      </c>
    </row>
    <row r="4376" spans="1:7" x14ac:dyDescent="0.2">
      <c r="A4376" s="16" t="s">
        <v>38</v>
      </c>
      <c r="B4376" s="17" t="s">
        <v>74</v>
      </c>
      <c r="C4376" s="17" t="s">
        <v>8</v>
      </c>
      <c r="D4376" s="17" t="s">
        <v>10</v>
      </c>
      <c r="E4376" s="17" t="s">
        <v>17</v>
      </c>
      <c r="F4376" s="17" t="str">
        <f>INDEX(nrg_cb_e!$A$3:$A$40,MATCH(LEFT(MID('Industriesektor GWh'!$B4376,41,1000),SEARCH(" - ",MID('Industriesektor GWh'!$B4376,41,1000))-1),nrg_cb_e!$C$3:$C$40,0))</f>
        <v>NRG_NSP_E</v>
      </c>
      <c r="G4376" s="18">
        <v>10942</v>
      </c>
    </row>
    <row r="4377" spans="1:7" x14ac:dyDescent="0.2">
      <c r="A4377" s="19" t="s">
        <v>38</v>
      </c>
      <c r="B4377" s="20" t="s">
        <v>74</v>
      </c>
      <c r="C4377" s="20" t="s">
        <v>8</v>
      </c>
      <c r="D4377" s="20" t="s">
        <v>10</v>
      </c>
      <c r="E4377" s="20" t="s">
        <v>18</v>
      </c>
      <c r="F4377" s="20" t="str">
        <f>INDEX(nrg_cb_e!$A$3:$A$40,MATCH(LEFT(MID('Industriesektor GWh'!$B4377,41,1000),SEARCH(" - ",MID('Industriesektor GWh'!$B4377,41,1000))-1),nrg_cb_e!$C$3:$C$40,0))</f>
        <v>NRG_NSP_E</v>
      </c>
      <c r="G4377" s="21">
        <v>3471</v>
      </c>
    </row>
    <row r="4378" spans="1:7" x14ac:dyDescent="0.2">
      <c r="A4378" s="16" t="s">
        <v>38</v>
      </c>
      <c r="B4378" s="17" t="s">
        <v>74</v>
      </c>
      <c r="C4378" s="17" t="s">
        <v>8</v>
      </c>
      <c r="D4378" s="17" t="s">
        <v>10</v>
      </c>
      <c r="E4378" s="17" t="s">
        <v>19</v>
      </c>
      <c r="F4378" s="17" t="str">
        <f>INDEX(nrg_cb_e!$A$3:$A$40,MATCH(LEFT(MID('Industriesektor GWh'!$B4378,41,1000),SEARCH(" - ",MID('Industriesektor GWh'!$B4378,41,1000))-1),nrg_cb_e!$C$3:$C$40,0))</f>
        <v>NRG_NSP_E</v>
      </c>
      <c r="G4378" s="18">
        <v>3116</v>
      </c>
    </row>
    <row r="4379" spans="1:7" x14ac:dyDescent="0.2">
      <c r="A4379" s="19" t="s">
        <v>38</v>
      </c>
      <c r="B4379" s="20" t="s">
        <v>74</v>
      </c>
      <c r="C4379" s="20" t="s">
        <v>8</v>
      </c>
      <c r="D4379" s="20" t="s">
        <v>10</v>
      </c>
      <c r="E4379" s="20" t="s">
        <v>20</v>
      </c>
      <c r="F4379" s="20" t="str">
        <f>INDEX(nrg_cb_e!$A$3:$A$40,MATCH(LEFT(MID('Industriesektor GWh'!$B4379,41,1000),SEARCH(" - ",MID('Industriesektor GWh'!$B4379,41,1000))-1),nrg_cb_e!$C$3:$C$40,0))</f>
        <v>NRG_NSP_E</v>
      </c>
      <c r="G4379" s="21">
        <v>3393</v>
      </c>
    </row>
    <row r="4380" spans="1:7" x14ac:dyDescent="0.2">
      <c r="A4380" s="16" t="s">
        <v>38</v>
      </c>
      <c r="B4380" s="17" t="s">
        <v>74</v>
      </c>
      <c r="C4380" s="17" t="s">
        <v>8</v>
      </c>
      <c r="D4380" s="17" t="s">
        <v>10</v>
      </c>
      <c r="E4380" s="17" t="s">
        <v>21</v>
      </c>
      <c r="F4380" s="17" t="str">
        <f>INDEX(nrg_cb_e!$A$3:$A$40,MATCH(LEFT(MID('Industriesektor GWh'!$B4380,41,1000),SEARCH(" - ",MID('Industriesektor GWh'!$B4380,41,1000))-1),nrg_cb_e!$C$3:$C$40,0))</f>
        <v>NRG_NSP_E</v>
      </c>
      <c r="G4380" s="18">
        <v>11279.714</v>
      </c>
    </row>
    <row r="4381" spans="1:7" x14ac:dyDescent="0.2">
      <c r="A4381" s="19" t="s">
        <v>38</v>
      </c>
      <c r="B4381" s="20" t="s">
        <v>74</v>
      </c>
      <c r="C4381" s="20" t="s">
        <v>8</v>
      </c>
      <c r="D4381" s="20" t="s">
        <v>10</v>
      </c>
      <c r="E4381" s="20" t="s">
        <v>22</v>
      </c>
      <c r="F4381" s="20" t="str">
        <f>INDEX(nrg_cb_e!$A$3:$A$40,MATCH(LEFT(MID('Industriesektor GWh'!$B4381,41,1000),SEARCH(" - ",MID('Industriesektor GWh'!$B4381,41,1000))-1),nrg_cb_e!$C$3:$C$40,0))</f>
        <v>NRG_NSP_E</v>
      </c>
      <c r="G4381" s="21">
        <v>12373.695</v>
      </c>
    </row>
    <row r="4382" spans="1:7" x14ac:dyDescent="0.2">
      <c r="A4382" s="16" t="s">
        <v>38</v>
      </c>
      <c r="B4382" s="17" t="s">
        <v>74</v>
      </c>
      <c r="C4382" s="17" t="s">
        <v>8</v>
      </c>
      <c r="D4382" s="17" t="s">
        <v>10</v>
      </c>
      <c r="E4382" s="17" t="s">
        <v>23</v>
      </c>
      <c r="F4382" s="17" t="str">
        <f>INDEX(nrg_cb_e!$A$3:$A$40,MATCH(LEFT(MID('Industriesektor GWh'!$B4382,41,1000),SEARCH(" - ",MID('Industriesektor GWh'!$B4382,41,1000))-1),nrg_cb_e!$C$3:$C$40,0))</f>
        <v>NRG_NSP_E</v>
      </c>
      <c r="G4382" s="18">
        <v>12330.442999999999</v>
      </c>
    </row>
    <row r="4383" spans="1:7" x14ac:dyDescent="0.2">
      <c r="A4383" s="19" t="s">
        <v>38</v>
      </c>
      <c r="B4383" s="20" t="s">
        <v>74</v>
      </c>
      <c r="C4383" s="20" t="s">
        <v>8</v>
      </c>
      <c r="D4383" s="20" t="s">
        <v>10</v>
      </c>
      <c r="E4383" s="20" t="s">
        <v>24</v>
      </c>
      <c r="F4383" s="20" t="str">
        <f>INDEX(nrg_cb_e!$A$3:$A$40,MATCH(LEFT(MID('Industriesektor GWh'!$B4383,41,1000),SEARCH(" - ",MID('Industriesektor GWh'!$B4383,41,1000))-1),nrg_cb_e!$C$3:$C$40,0))</f>
        <v>NRG_NSP_E</v>
      </c>
      <c r="G4383" s="21">
        <v>11707.764999999999</v>
      </c>
    </row>
    <row r="4384" spans="1:7" x14ac:dyDescent="0.2">
      <c r="A4384" s="16" t="s">
        <v>38</v>
      </c>
      <c r="B4384" s="17" t="s">
        <v>74</v>
      </c>
      <c r="C4384" s="17" t="s">
        <v>8</v>
      </c>
      <c r="D4384" s="17" t="s">
        <v>10</v>
      </c>
      <c r="E4384" s="17" t="s">
        <v>25</v>
      </c>
      <c r="F4384" s="17" t="str">
        <f>INDEX(nrg_cb_e!$A$3:$A$40,MATCH(LEFT(MID('Industriesektor GWh'!$B4384,41,1000),SEARCH(" - ",MID('Industriesektor GWh'!$B4384,41,1000))-1),nrg_cb_e!$C$3:$C$40,0))</f>
        <v>NRG_NSP_E</v>
      </c>
      <c r="G4384" s="18">
        <v>11893.432000000001</v>
      </c>
    </row>
    <row r="4385" spans="1:7" x14ac:dyDescent="0.2">
      <c r="A4385" s="19" t="s">
        <v>38</v>
      </c>
      <c r="B4385" s="20" t="s">
        <v>74</v>
      </c>
      <c r="C4385" s="20" t="s">
        <v>8</v>
      </c>
      <c r="D4385" s="20" t="s">
        <v>10</v>
      </c>
      <c r="E4385" s="20" t="s">
        <v>26</v>
      </c>
      <c r="F4385" s="20" t="str">
        <f>INDEX(nrg_cb_e!$A$3:$A$40,MATCH(LEFT(MID('Industriesektor GWh'!$B4385,41,1000),SEARCH(" - ",MID('Industriesektor GWh'!$B4385,41,1000))-1),nrg_cb_e!$C$3:$C$40,0))</f>
        <v>NRG_NSP_E</v>
      </c>
      <c r="G4385" s="21">
        <v>12265.981</v>
      </c>
    </row>
    <row r="4386" spans="1:7" x14ac:dyDescent="0.2">
      <c r="A4386" s="16" t="s">
        <v>38</v>
      </c>
      <c r="B4386" s="17" t="s">
        <v>74</v>
      </c>
      <c r="C4386" s="17" t="s">
        <v>8</v>
      </c>
      <c r="D4386" s="17" t="s">
        <v>10</v>
      </c>
      <c r="E4386" s="17" t="s">
        <v>27</v>
      </c>
      <c r="F4386" s="17" t="str">
        <f>INDEX(nrg_cb_e!$A$3:$A$40,MATCH(LEFT(MID('Industriesektor GWh'!$B4386,41,1000),SEARCH(" - ",MID('Industriesektor GWh'!$B4386,41,1000))-1),nrg_cb_e!$C$3:$C$40,0))</f>
        <v>NRG_NSP_E</v>
      </c>
      <c r="G4386" s="18">
        <v>12275.835999999999</v>
      </c>
    </row>
    <row r="4387" spans="1:7" x14ac:dyDescent="0.2">
      <c r="A4387" s="19" t="s">
        <v>38</v>
      </c>
      <c r="B4387" s="20" t="s">
        <v>74</v>
      </c>
      <c r="C4387" s="20" t="s">
        <v>8</v>
      </c>
      <c r="D4387" s="20" t="s">
        <v>10</v>
      </c>
      <c r="E4387" s="20" t="s">
        <v>28</v>
      </c>
      <c r="F4387" s="20" t="str">
        <f>INDEX(nrg_cb_e!$A$3:$A$40,MATCH(LEFT(MID('Industriesektor GWh'!$B4387,41,1000),SEARCH(" - ",MID('Industriesektor GWh'!$B4387,41,1000))-1),nrg_cb_e!$C$3:$C$40,0))</f>
        <v>NRG_NSP_E</v>
      </c>
      <c r="G4387" s="21">
        <v>11760.182000000001</v>
      </c>
    </row>
    <row r="4388" spans="1:7" x14ac:dyDescent="0.2">
      <c r="A4388" s="16" t="s">
        <v>39</v>
      </c>
      <c r="B4388" s="17" t="s">
        <v>74</v>
      </c>
      <c r="C4388" s="17" t="s">
        <v>8</v>
      </c>
      <c r="D4388" s="17" t="s">
        <v>10</v>
      </c>
      <c r="E4388" s="17" t="s">
        <v>12</v>
      </c>
      <c r="F4388" s="17" t="str">
        <f>INDEX(nrg_cb_e!$A$3:$A$40,MATCH(LEFT(MID('Industriesektor GWh'!$B4388,41,1000),SEARCH(" - ",MID('Industriesektor GWh'!$B4388,41,1000))-1),nrg_cb_e!$C$3:$C$40,0))</f>
        <v>NRG_NSP_E</v>
      </c>
      <c r="G4388" s="18">
        <v>127</v>
      </c>
    </row>
    <row r="4389" spans="1:7" x14ac:dyDescent="0.2">
      <c r="A4389" s="19" t="s">
        <v>39</v>
      </c>
      <c r="B4389" s="20" t="s">
        <v>74</v>
      </c>
      <c r="C4389" s="20" t="s">
        <v>8</v>
      </c>
      <c r="D4389" s="20" t="s">
        <v>10</v>
      </c>
      <c r="E4389" s="20" t="s">
        <v>13</v>
      </c>
      <c r="F4389" s="20" t="str">
        <f>INDEX(nrg_cb_e!$A$3:$A$40,MATCH(LEFT(MID('Industriesektor GWh'!$B4389,41,1000),SEARCH(" - ",MID('Industriesektor GWh'!$B4389,41,1000))-1),nrg_cb_e!$C$3:$C$40,0))</f>
        <v>NRG_NSP_E</v>
      </c>
      <c r="G4389" s="21">
        <v>142</v>
      </c>
    </row>
    <row r="4390" spans="1:7" x14ac:dyDescent="0.2">
      <c r="A4390" s="16" t="s">
        <v>39</v>
      </c>
      <c r="B4390" s="17" t="s">
        <v>74</v>
      </c>
      <c r="C4390" s="17" t="s">
        <v>8</v>
      </c>
      <c r="D4390" s="17" t="s">
        <v>10</v>
      </c>
      <c r="E4390" s="17" t="s">
        <v>14</v>
      </c>
      <c r="F4390" s="17" t="str">
        <f>INDEX(nrg_cb_e!$A$3:$A$40,MATCH(LEFT(MID('Industriesektor GWh'!$B4390,41,1000),SEARCH(" - ",MID('Industriesektor GWh'!$B4390,41,1000))-1),nrg_cb_e!$C$3:$C$40,0))</f>
        <v>NRG_NSP_E</v>
      </c>
      <c r="G4390" s="18">
        <v>162</v>
      </c>
    </row>
    <row r="4391" spans="1:7" x14ac:dyDescent="0.2">
      <c r="A4391" s="19" t="s">
        <v>39</v>
      </c>
      <c r="B4391" s="20" t="s">
        <v>74</v>
      </c>
      <c r="C4391" s="20" t="s">
        <v>8</v>
      </c>
      <c r="D4391" s="20" t="s">
        <v>10</v>
      </c>
      <c r="E4391" s="20" t="s">
        <v>15</v>
      </c>
      <c r="F4391" s="20" t="str">
        <f>INDEX(nrg_cb_e!$A$3:$A$40,MATCH(LEFT(MID('Industriesektor GWh'!$B4391,41,1000),SEARCH(" - ",MID('Industriesektor GWh'!$B4391,41,1000))-1),nrg_cb_e!$C$3:$C$40,0))</f>
        <v>NRG_NSP_E</v>
      </c>
      <c r="G4391" s="21">
        <v>181</v>
      </c>
    </row>
    <row r="4392" spans="1:7" x14ac:dyDescent="0.2">
      <c r="A4392" s="16" t="s">
        <v>39</v>
      </c>
      <c r="B4392" s="17" t="s">
        <v>74</v>
      </c>
      <c r="C4392" s="17" t="s">
        <v>8</v>
      </c>
      <c r="D4392" s="17" t="s">
        <v>10</v>
      </c>
      <c r="E4392" s="17" t="s">
        <v>16</v>
      </c>
      <c r="F4392" s="17" t="str">
        <f>INDEX(nrg_cb_e!$A$3:$A$40,MATCH(LEFT(MID('Industriesektor GWh'!$B4392,41,1000),SEARCH(" - ",MID('Industriesektor GWh'!$B4392,41,1000))-1),nrg_cb_e!$C$3:$C$40,0))</f>
        <v>NRG_NSP_E</v>
      </c>
      <c r="G4392" s="18">
        <v>211</v>
      </c>
    </row>
    <row r="4393" spans="1:7" x14ac:dyDescent="0.2">
      <c r="A4393" s="19" t="s">
        <v>39</v>
      </c>
      <c r="B4393" s="20" t="s">
        <v>74</v>
      </c>
      <c r="C4393" s="20" t="s">
        <v>8</v>
      </c>
      <c r="D4393" s="20" t="s">
        <v>10</v>
      </c>
      <c r="E4393" s="20" t="s">
        <v>17</v>
      </c>
      <c r="F4393" s="20" t="str">
        <f>INDEX(nrg_cb_e!$A$3:$A$40,MATCH(LEFT(MID('Industriesektor GWh'!$B4393,41,1000),SEARCH(" - ",MID('Industriesektor GWh'!$B4393,41,1000))-1),nrg_cb_e!$C$3:$C$40,0))</f>
        <v>NRG_NSP_E</v>
      </c>
      <c r="G4393" s="21">
        <v>248</v>
      </c>
    </row>
    <row r="4394" spans="1:7" x14ac:dyDescent="0.2">
      <c r="A4394" s="16" t="s">
        <v>39</v>
      </c>
      <c r="B4394" s="17" t="s">
        <v>74</v>
      </c>
      <c r="C4394" s="17" t="s">
        <v>8</v>
      </c>
      <c r="D4394" s="17" t="s">
        <v>10</v>
      </c>
      <c r="E4394" s="17" t="s">
        <v>18</v>
      </c>
      <c r="F4394" s="17" t="str">
        <f>INDEX(nrg_cb_e!$A$3:$A$40,MATCH(LEFT(MID('Industriesektor GWh'!$B4394,41,1000),SEARCH(" - ",MID('Industriesektor GWh'!$B4394,41,1000))-1),nrg_cb_e!$C$3:$C$40,0))</f>
        <v>NRG_NSP_E</v>
      </c>
      <c r="G4394" s="18">
        <v>246</v>
      </c>
    </row>
    <row r="4395" spans="1:7" x14ac:dyDescent="0.2">
      <c r="A4395" s="19" t="s">
        <v>39</v>
      </c>
      <c r="B4395" s="20" t="s">
        <v>74</v>
      </c>
      <c r="C4395" s="20" t="s">
        <v>8</v>
      </c>
      <c r="D4395" s="20" t="s">
        <v>10</v>
      </c>
      <c r="E4395" s="20" t="s">
        <v>19</v>
      </c>
      <c r="F4395" s="20" t="str">
        <f>INDEX(nrg_cb_e!$A$3:$A$40,MATCH(LEFT(MID('Industriesektor GWh'!$B4395,41,1000),SEARCH(" - ",MID('Industriesektor GWh'!$B4395,41,1000))-1),nrg_cb_e!$C$3:$C$40,0))</f>
        <v>NRG_NSP_E</v>
      </c>
      <c r="G4395" s="21">
        <v>236</v>
      </c>
    </row>
    <row r="4396" spans="1:7" x14ac:dyDescent="0.2">
      <c r="A4396" s="16" t="s">
        <v>39</v>
      </c>
      <c r="B4396" s="17" t="s">
        <v>74</v>
      </c>
      <c r="C4396" s="17" t="s">
        <v>8</v>
      </c>
      <c r="D4396" s="17" t="s">
        <v>10</v>
      </c>
      <c r="E4396" s="17" t="s">
        <v>20</v>
      </c>
      <c r="F4396" s="17" t="str">
        <f>INDEX(nrg_cb_e!$A$3:$A$40,MATCH(LEFT(MID('Industriesektor GWh'!$B4396,41,1000),SEARCH(" - ",MID('Industriesektor GWh'!$B4396,41,1000))-1),nrg_cb_e!$C$3:$C$40,0))</f>
        <v>NRG_NSP_E</v>
      </c>
      <c r="G4396" s="18">
        <v>224</v>
      </c>
    </row>
    <row r="4397" spans="1:7" x14ac:dyDescent="0.2">
      <c r="A4397" s="19" t="s">
        <v>39</v>
      </c>
      <c r="B4397" s="20" t="s">
        <v>74</v>
      </c>
      <c r="C4397" s="20" t="s">
        <v>8</v>
      </c>
      <c r="D4397" s="20" t="s">
        <v>10</v>
      </c>
      <c r="E4397" s="20" t="s">
        <v>21</v>
      </c>
      <c r="F4397" s="20" t="str">
        <f>INDEX(nrg_cb_e!$A$3:$A$40,MATCH(LEFT(MID('Industriesektor GWh'!$B4397,41,1000),SEARCH(" - ",MID('Industriesektor GWh'!$B4397,41,1000))-1),nrg_cb_e!$C$3:$C$40,0))</f>
        <v>NRG_NSP_E</v>
      </c>
      <c r="G4397" s="21">
        <v>215</v>
      </c>
    </row>
    <row r="4398" spans="1:7" x14ac:dyDescent="0.2">
      <c r="A4398" s="16" t="s">
        <v>39</v>
      </c>
      <c r="B4398" s="17" t="s">
        <v>74</v>
      </c>
      <c r="C4398" s="17" t="s">
        <v>8</v>
      </c>
      <c r="D4398" s="17" t="s">
        <v>10</v>
      </c>
      <c r="E4398" s="17" t="s">
        <v>22</v>
      </c>
      <c r="F4398" s="17" t="str">
        <f>INDEX(nrg_cb_e!$A$3:$A$40,MATCH(LEFT(MID('Industriesektor GWh'!$B4398,41,1000),SEARCH(" - ",MID('Industriesektor GWh'!$B4398,41,1000))-1),nrg_cb_e!$C$3:$C$40,0))</f>
        <v>NRG_NSP_E</v>
      </c>
      <c r="G4398" s="18">
        <v>233</v>
      </c>
    </row>
    <row r="4399" spans="1:7" x14ac:dyDescent="0.2">
      <c r="A4399" s="19" t="s">
        <v>39</v>
      </c>
      <c r="B4399" s="20" t="s">
        <v>74</v>
      </c>
      <c r="C4399" s="20" t="s">
        <v>8</v>
      </c>
      <c r="D4399" s="20" t="s">
        <v>10</v>
      </c>
      <c r="E4399" s="20" t="s">
        <v>23</v>
      </c>
      <c r="F4399" s="20" t="str">
        <f>INDEX(nrg_cb_e!$A$3:$A$40,MATCH(LEFT(MID('Industriesektor GWh'!$B4399,41,1000),SEARCH(" - ",MID('Industriesektor GWh'!$B4399,41,1000))-1),nrg_cb_e!$C$3:$C$40,0))</f>
        <v>NRG_NSP_E</v>
      </c>
      <c r="G4399" s="21">
        <v>244</v>
      </c>
    </row>
    <row r="4400" spans="1:7" x14ac:dyDescent="0.2">
      <c r="A4400" s="16" t="s">
        <v>39</v>
      </c>
      <c r="B4400" s="17" t="s">
        <v>74</v>
      </c>
      <c r="C4400" s="17" t="s">
        <v>8</v>
      </c>
      <c r="D4400" s="17" t="s">
        <v>10</v>
      </c>
      <c r="E4400" s="17" t="s">
        <v>24</v>
      </c>
      <c r="F4400" s="17" t="str">
        <f>INDEX(nrg_cb_e!$A$3:$A$40,MATCH(LEFT(MID('Industriesektor GWh'!$B4400,41,1000),SEARCH(" - ",MID('Industriesektor GWh'!$B4400,41,1000))-1),nrg_cb_e!$C$3:$C$40,0))</f>
        <v>NRG_NSP_E</v>
      </c>
      <c r="G4400" s="18">
        <v>268</v>
      </c>
    </row>
    <row r="4401" spans="1:7" x14ac:dyDescent="0.2">
      <c r="A4401" s="19" t="s">
        <v>39</v>
      </c>
      <c r="B4401" s="20" t="s">
        <v>74</v>
      </c>
      <c r="C4401" s="20" t="s">
        <v>8</v>
      </c>
      <c r="D4401" s="20" t="s">
        <v>10</v>
      </c>
      <c r="E4401" s="20" t="s">
        <v>25</v>
      </c>
      <c r="F4401" s="20" t="str">
        <f>INDEX(nrg_cb_e!$A$3:$A$40,MATCH(LEFT(MID('Industriesektor GWh'!$B4401,41,1000),SEARCH(" - ",MID('Industriesektor GWh'!$B4401,41,1000))-1),nrg_cb_e!$C$3:$C$40,0))</f>
        <v>NRG_NSP_E</v>
      </c>
      <c r="G4401" s="21">
        <v>289</v>
      </c>
    </row>
    <row r="4402" spans="1:7" x14ac:dyDescent="0.2">
      <c r="A4402" s="16" t="s">
        <v>39</v>
      </c>
      <c r="B4402" s="17" t="s">
        <v>74</v>
      </c>
      <c r="C4402" s="17" t="s">
        <v>8</v>
      </c>
      <c r="D4402" s="17" t="s">
        <v>10</v>
      </c>
      <c r="E4402" s="17" t="s">
        <v>26</v>
      </c>
      <c r="F4402" s="17" t="str">
        <f>INDEX(nrg_cb_e!$A$3:$A$40,MATCH(LEFT(MID('Industriesektor GWh'!$B4402,41,1000),SEARCH(" - ",MID('Industriesektor GWh'!$B4402,41,1000))-1),nrg_cb_e!$C$3:$C$40,0))</f>
        <v>NRG_NSP_E</v>
      </c>
      <c r="G4402" s="18">
        <v>330</v>
      </c>
    </row>
    <row r="4403" spans="1:7" x14ac:dyDescent="0.2">
      <c r="A4403" s="19" t="s">
        <v>39</v>
      </c>
      <c r="B4403" s="20" t="s">
        <v>74</v>
      </c>
      <c r="C4403" s="20" t="s">
        <v>8</v>
      </c>
      <c r="D4403" s="20" t="s">
        <v>10</v>
      </c>
      <c r="E4403" s="20" t="s">
        <v>27</v>
      </c>
      <c r="F4403" s="20" t="str">
        <f>INDEX(nrg_cb_e!$A$3:$A$40,MATCH(LEFT(MID('Industriesektor GWh'!$B4403,41,1000),SEARCH(" - ",MID('Industriesektor GWh'!$B4403,41,1000))-1),nrg_cb_e!$C$3:$C$40,0))</f>
        <v>NRG_NSP_E</v>
      </c>
      <c r="G4403" s="21">
        <v>334.9</v>
      </c>
    </row>
    <row r="4404" spans="1:7" x14ac:dyDescent="0.2">
      <c r="A4404" s="16" t="s">
        <v>39</v>
      </c>
      <c r="B4404" s="17" t="s">
        <v>74</v>
      </c>
      <c r="C4404" s="17" t="s">
        <v>8</v>
      </c>
      <c r="D4404" s="17" t="s">
        <v>10</v>
      </c>
      <c r="E4404" s="17" t="s">
        <v>28</v>
      </c>
      <c r="F4404" s="17" t="str">
        <f>INDEX(nrg_cb_e!$A$3:$A$40,MATCH(LEFT(MID('Industriesektor GWh'!$B4404,41,1000),SEARCH(" - ",MID('Industriesektor GWh'!$B4404,41,1000))-1),nrg_cb_e!$C$3:$C$40,0))</f>
        <v>NRG_NSP_E</v>
      </c>
      <c r="G4404" s="18">
        <v>338.4</v>
      </c>
    </row>
    <row r="4405" spans="1:7" x14ac:dyDescent="0.2">
      <c r="A4405" s="19" t="s">
        <v>40</v>
      </c>
      <c r="B4405" s="20" t="s">
        <v>74</v>
      </c>
      <c r="C4405" s="20" t="s">
        <v>8</v>
      </c>
      <c r="D4405" s="20" t="s">
        <v>10</v>
      </c>
      <c r="E4405" s="20" t="s">
        <v>12</v>
      </c>
      <c r="F4405" s="20" t="str">
        <f>INDEX(nrg_cb_e!$A$3:$A$40,MATCH(LEFT(MID('Industriesektor GWh'!$B4405,41,1000),SEARCH(" - ",MID('Industriesektor GWh'!$B4405,41,1000))-1),nrg_cb_e!$C$3:$C$40,0))</f>
        <v>NRG_NSP_E</v>
      </c>
      <c r="G4405" s="21">
        <v>16390</v>
      </c>
    </row>
    <row r="4406" spans="1:7" x14ac:dyDescent="0.2">
      <c r="A4406" s="16" t="s">
        <v>40</v>
      </c>
      <c r="B4406" s="17" t="s">
        <v>74</v>
      </c>
      <c r="C4406" s="17" t="s">
        <v>8</v>
      </c>
      <c r="D4406" s="17" t="s">
        <v>10</v>
      </c>
      <c r="E4406" s="17" t="s">
        <v>13</v>
      </c>
      <c r="F4406" s="17" t="str">
        <f>INDEX(nrg_cb_e!$A$3:$A$40,MATCH(LEFT(MID('Industriesektor GWh'!$B4406,41,1000),SEARCH(" - ",MID('Industriesektor GWh'!$B4406,41,1000))-1),nrg_cb_e!$C$3:$C$40,0))</f>
        <v>NRG_NSP_E</v>
      </c>
      <c r="G4406" s="18">
        <v>16950</v>
      </c>
    </row>
    <row r="4407" spans="1:7" x14ac:dyDescent="0.2">
      <c r="A4407" s="19" t="s">
        <v>40</v>
      </c>
      <c r="B4407" s="20" t="s">
        <v>74</v>
      </c>
      <c r="C4407" s="20" t="s">
        <v>8</v>
      </c>
      <c r="D4407" s="20" t="s">
        <v>10</v>
      </c>
      <c r="E4407" s="20" t="s">
        <v>14</v>
      </c>
      <c r="F4407" s="20" t="str">
        <f>INDEX(nrg_cb_e!$A$3:$A$40,MATCH(LEFT(MID('Industriesektor GWh'!$B4407,41,1000),SEARCH(" - ",MID('Industriesektor GWh'!$B4407,41,1000))-1),nrg_cb_e!$C$3:$C$40,0))</f>
        <v>NRG_NSP_E</v>
      </c>
      <c r="G4407" s="21">
        <v>16965</v>
      </c>
    </row>
    <row r="4408" spans="1:7" x14ac:dyDescent="0.2">
      <c r="A4408" s="16" t="s">
        <v>40</v>
      </c>
      <c r="B4408" s="17" t="s">
        <v>74</v>
      </c>
      <c r="C4408" s="17" t="s">
        <v>8</v>
      </c>
      <c r="D4408" s="17" t="s">
        <v>10</v>
      </c>
      <c r="E4408" s="17" t="s">
        <v>15</v>
      </c>
      <c r="F4408" s="17" t="str">
        <f>INDEX(nrg_cb_e!$A$3:$A$40,MATCH(LEFT(MID('Industriesektor GWh'!$B4408,41,1000),SEARCH(" - ",MID('Industriesektor GWh'!$B4408,41,1000))-1),nrg_cb_e!$C$3:$C$40,0))</f>
        <v>NRG_NSP_E</v>
      </c>
      <c r="G4408" s="18">
        <v>17045</v>
      </c>
    </row>
    <row r="4409" spans="1:7" x14ac:dyDescent="0.2">
      <c r="A4409" s="19" t="s">
        <v>40</v>
      </c>
      <c r="B4409" s="20" t="s">
        <v>74</v>
      </c>
      <c r="C4409" s="20" t="s">
        <v>8</v>
      </c>
      <c r="D4409" s="20" t="s">
        <v>10</v>
      </c>
      <c r="E4409" s="20" t="s">
        <v>16</v>
      </c>
      <c r="F4409" s="20" t="str">
        <f>INDEX(nrg_cb_e!$A$3:$A$40,MATCH(LEFT(MID('Industriesektor GWh'!$B4409,41,1000),SEARCH(" - ",MID('Industriesektor GWh'!$B4409,41,1000))-1),nrg_cb_e!$C$3:$C$40,0))</f>
        <v>NRG_NSP_E</v>
      </c>
      <c r="G4409" s="21">
        <v>17648</v>
      </c>
    </row>
    <row r="4410" spans="1:7" x14ac:dyDescent="0.2">
      <c r="A4410" s="16" t="s">
        <v>40</v>
      </c>
      <c r="B4410" s="17" t="s">
        <v>74</v>
      </c>
      <c r="C4410" s="17" t="s">
        <v>8</v>
      </c>
      <c r="D4410" s="17" t="s">
        <v>10</v>
      </c>
      <c r="E4410" s="17" t="s">
        <v>17</v>
      </c>
      <c r="F4410" s="17" t="str">
        <f>INDEX(nrg_cb_e!$A$3:$A$40,MATCH(LEFT(MID('Industriesektor GWh'!$B4410,41,1000),SEARCH(" - ",MID('Industriesektor GWh'!$B4410,41,1000))-1),nrg_cb_e!$C$3:$C$40,0))</f>
        <v>NRG_NSP_E</v>
      </c>
      <c r="G4410" s="18">
        <v>18446</v>
      </c>
    </row>
    <row r="4411" spans="1:7" x14ac:dyDescent="0.2">
      <c r="A4411" s="19" t="s">
        <v>40</v>
      </c>
      <c r="B4411" s="20" t="s">
        <v>74</v>
      </c>
      <c r="C4411" s="20" t="s">
        <v>8</v>
      </c>
      <c r="D4411" s="20" t="s">
        <v>10</v>
      </c>
      <c r="E4411" s="20" t="s">
        <v>18</v>
      </c>
      <c r="F4411" s="20" t="str">
        <f>INDEX(nrg_cb_e!$A$3:$A$40,MATCH(LEFT(MID('Industriesektor GWh'!$B4411,41,1000),SEARCH(" - ",MID('Industriesektor GWh'!$B4411,41,1000))-1),nrg_cb_e!$C$3:$C$40,0))</f>
        <v>NRG_NSP_E</v>
      </c>
      <c r="G4411" s="21">
        <v>17627</v>
      </c>
    </row>
    <row r="4412" spans="1:7" x14ac:dyDescent="0.2">
      <c r="A4412" s="16" t="s">
        <v>40</v>
      </c>
      <c r="B4412" s="17" t="s">
        <v>74</v>
      </c>
      <c r="C4412" s="17" t="s">
        <v>8</v>
      </c>
      <c r="D4412" s="17" t="s">
        <v>10</v>
      </c>
      <c r="E4412" s="17" t="s">
        <v>19</v>
      </c>
      <c r="F4412" s="17" t="str">
        <f>INDEX(nrg_cb_e!$A$3:$A$40,MATCH(LEFT(MID('Industriesektor GWh'!$B4412,41,1000),SEARCH(" - ",MID('Industriesektor GWh'!$B4412,41,1000))-1),nrg_cb_e!$C$3:$C$40,0))</f>
        <v>NRG_NSP_E</v>
      </c>
      <c r="G4412" s="18">
        <v>16084</v>
      </c>
    </row>
    <row r="4413" spans="1:7" x14ac:dyDescent="0.2">
      <c r="A4413" s="19" t="s">
        <v>40</v>
      </c>
      <c r="B4413" s="20" t="s">
        <v>74</v>
      </c>
      <c r="C4413" s="20" t="s">
        <v>8</v>
      </c>
      <c r="D4413" s="20" t="s">
        <v>10</v>
      </c>
      <c r="E4413" s="20" t="s">
        <v>20</v>
      </c>
      <c r="F4413" s="20" t="str">
        <f>INDEX(nrg_cb_e!$A$3:$A$40,MATCH(LEFT(MID('Industriesektor GWh'!$B4413,41,1000),SEARCH(" - ",MID('Industriesektor GWh'!$B4413,41,1000))-1),nrg_cb_e!$C$3:$C$40,0))</f>
        <v>NRG_NSP_E</v>
      </c>
      <c r="G4413" s="21">
        <v>16658</v>
      </c>
    </row>
    <row r="4414" spans="1:7" x14ac:dyDescent="0.2">
      <c r="A4414" s="16" t="s">
        <v>40</v>
      </c>
      <c r="B4414" s="17" t="s">
        <v>74</v>
      </c>
      <c r="C4414" s="17" t="s">
        <v>8</v>
      </c>
      <c r="D4414" s="17" t="s">
        <v>10</v>
      </c>
      <c r="E4414" s="17" t="s">
        <v>21</v>
      </c>
      <c r="F4414" s="17" t="str">
        <f>INDEX(nrg_cb_e!$A$3:$A$40,MATCH(LEFT(MID('Industriesektor GWh'!$B4414,41,1000),SEARCH(" - ",MID('Industriesektor GWh'!$B4414,41,1000))-1),nrg_cb_e!$C$3:$C$40,0))</f>
        <v>NRG_NSP_E</v>
      </c>
      <c r="G4414" s="18">
        <v>16628</v>
      </c>
    </row>
    <row r="4415" spans="1:7" x14ac:dyDescent="0.2">
      <c r="A4415" s="19" t="s">
        <v>40</v>
      </c>
      <c r="B4415" s="20" t="s">
        <v>74</v>
      </c>
      <c r="C4415" s="20" t="s">
        <v>8</v>
      </c>
      <c r="D4415" s="20" t="s">
        <v>10</v>
      </c>
      <c r="E4415" s="20" t="s">
        <v>22</v>
      </c>
      <c r="F4415" s="20" t="str">
        <f>INDEX(nrg_cb_e!$A$3:$A$40,MATCH(LEFT(MID('Industriesektor GWh'!$B4415,41,1000),SEARCH(" - ",MID('Industriesektor GWh'!$B4415,41,1000))-1),nrg_cb_e!$C$3:$C$40,0))</f>
        <v>NRG_NSP_E</v>
      </c>
      <c r="G4415" s="21">
        <v>16245</v>
      </c>
    </row>
    <row r="4416" spans="1:7" x14ac:dyDescent="0.2">
      <c r="A4416" s="16" t="s">
        <v>40</v>
      </c>
      <c r="B4416" s="17" t="s">
        <v>74</v>
      </c>
      <c r="C4416" s="17" t="s">
        <v>8</v>
      </c>
      <c r="D4416" s="17" t="s">
        <v>10</v>
      </c>
      <c r="E4416" s="17" t="s">
        <v>23</v>
      </c>
      <c r="F4416" s="17" t="str">
        <f>INDEX(nrg_cb_e!$A$3:$A$40,MATCH(LEFT(MID('Industriesektor GWh'!$B4416,41,1000),SEARCH(" - ",MID('Industriesektor GWh'!$B4416,41,1000))-1),nrg_cb_e!$C$3:$C$40,0))</f>
        <v>NRG_NSP_E</v>
      </c>
      <c r="G4416" s="18">
        <v>15523</v>
      </c>
    </row>
    <row r="4417" spans="1:7" x14ac:dyDescent="0.2">
      <c r="A4417" s="19" t="s">
        <v>40</v>
      </c>
      <c r="B4417" s="20" t="s">
        <v>74</v>
      </c>
      <c r="C4417" s="20" t="s">
        <v>8</v>
      </c>
      <c r="D4417" s="20" t="s">
        <v>10</v>
      </c>
      <c r="E4417" s="20" t="s">
        <v>24</v>
      </c>
      <c r="F4417" s="20" t="str">
        <f>INDEX(nrg_cb_e!$A$3:$A$40,MATCH(LEFT(MID('Industriesektor GWh'!$B4417,41,1000),SEARCH(" - ",MID('Industriesektor GWh'!$B4417,41,1000))-1),nrg_cb_e!$C$3:$C$40,0))</f>
        <v>NRG_NSP_E</v>
      </c>
      <c r="G4417" s="21">
        <v>15123</v>
      </c>
    </row>
    <row r="4418" spans="1:7" x14ac:dyDescent="0.2">
      <c r="A4418" s="16" t="s">
        <v>40</v>
      </c>
      <c r="B4418" s="17" t="s">
        <v>74</v>
      </c>
      <c r="C4418" s="17" t="s">
        <v>8</v>
      </c>
      <c r="D4418" s="17" t="s">
        <v>10</v>
      </c>
      <c r="E4418" s="17" t="s">
        <v>25</v>
      </c>
      <c r="F4418" s="17" t="str">
        <f>INDEX(nrg_cb_e!$A$3:$A$40,MATCH(LEFT(MID('Industriesektor GWh'!$B4418,41,1000),SEARCH(" - ",MID('Industriesektor GWh'!$B4418,41,1000))-1),nrg_cb_e!$C$3:$C$40,0))</f>
        <v>NRG_NSP_E</v>
      </c>
      <c r="G4418" s="18">
        <v>15225</v>
      </c>
    </row>
    <row r="4419" spans="1:7" x14ac:dyDescent="0.2">
      <c r="A4419" s="19" t="s">
        <v>40</v>
      </c>
      <c r="B4419" s="20" t="s">
        <v>74</v>
      </c>
      <c r="C4419" s="20" t="s">
        <v>8</v>
      </c>
      <c r="D4419" s="20" t="s">
        <v>10</v>
      </c>
      <c r="E4419" s="20" t="s">
        <v>26</v>
      </c>
      <c r="F4419" s="20" t="str">
        <f>INDEX(nrg_cb_e!$A$3:$A$40,MATCH(LEFT(MID('Industriesektor GWh'!$B4419,41,1000),SEARCH(" - ",MID('Industriesektor GWh'!$B4419,41,1000))-1),nrg_cb_e!$C$3:$C$40,0))</f>
        <v>NRG_NSP_E</v>
      </c>
      <c r="G4419" s="21">
        <v>15146</v>
      </c>
    </row>
    <row r="4420" spans="1:7" x14ac:dyDescent="0.2">
      <c r="A4420" s="16" t="s">
        <v>40</v>
      </c>
      <c r="B4420" s="17" t="s">
        <v>74</v>
      </c>
      <c r="C4420" s="17" t="s">
        <v>8</v>
      </c>
      <c r="D4420" s="17" t="s">
        <v>10</v>
      </c>
      <c r="E4420" s="17" t="s">
        <v>27</v>
      </c>
      <c r="F4420" s="17" t="str">
        <f>INDEX(nrg_cb_e!$A$3:$A$40,MATCH(LEFT(MID('Industriesektor GWh'!$B4420,41,1000),SEARCH(" - ",MID('Industriesektor GWh'!$B4420,41,1000))-1),nrg_cb_e!$C$3:$C$40,0))</f>
        <v>NRG_NSP_E</v>
      </c>
      <c r="G4420" s="18">
        <v>15509.521000000001</v>
      </c>
    </row>
    <row r="4421" spans="1:7" x14ac:dyDescent="0.2">
      <c r="A4421" s="19" t="s">
        <v>40</v>
      </c>
      <c r="B4421" s="20" t="s">
        <v>74</v>
      </c>
      <c r="C4421" s="20" t="s">
        <v>8</v>
      </c>
      <c r="D4421" s="20" t="s">
        <v>10</v>
      </c>
      <c r="E4421" s="20" t="s">
        <v>28</v>
      </c>
      <c r="F4421" s="20" t="str">
        <f>INDEX(nrg_cb_e!$A$3:$A$40,MATCH(LEFT(MID('Industriesektor GWh'!$B4421,41,1000),SEARCH(" - ",MID('Industriesektor GWh'!$B4421,41,1000))-1),nrg_cb_e!$C$3:$C$40,0))</f>
        <v>NRG_NSP_E</v>
      </c>
      <c r="G4421" s="21">
        <v>15383.273999999999</v>
      </c>
    </row>
    <row r="4422" spans="1:7" x14ac:dyDescent="0.2">
      <c r="A4422" s="16" t="s">
        <v>41</v>
      </c>
      <c r="B4422" s="17" t="s">
        <v>74</v>
      </c>
      <c r="C4422" s="17" t="s">
        <v>8</v>
      </c>
      <c r="D4422" s="17" t="s">
        <v>10</v>
      </c>
      <c r="E4422" s="17" t="s">
        <v>12</v>
      </c>
      <c r="F4422" s="17" t="str">
        <f>INDEX(nrg_cb_e!$A$3:$A$40,MATCH(LEFT(MID('Industriesektor GWh'!$B4422,41,1000),SEARCH(" - ",MID('Industriesektor GWh'!$B4422,41,1000))-1),nrg_cb_e!$C$3:$C$40,0))</f>
        <v>NRG_NSP_E</v>
      </c>
      <c r="G4422" s="18">
        <v>45</v>
      </c>
    </row>
    <row r="4423" spans="1:7" x14ac:dyDescent="0.2">
      <c r="A4423" s="19" t="s">
        <v>41</v>
      </c>
      <c r="B4423" s="20" t="s">
        <v>74</v>
      </c>
      <c r="C4423" s="20" t="s">
        <v>8</v>
      </c>
      <c r="D4423" s="20" t="s">
        <v>10</v>
      </c>
      <c r="E4423" s="20" t="s">
        <v>13</v>
      </c>
      <c r="F4423" s="20" t="str">
        <f>INDEX(nrg_cb_e!$A$3:$A$40,MATCH(LEFT(MID('Industriesektor GWh'!$B4423,41,1000),SEARCH(" - ",MID('Industriesektor GWh'!$B4423,41,1000))-1),nrg_cb_e!$C$3:$C$40,0))</f>
        <v>NRG_NSP_E</v>
      </c>
      <c r="G4423" s="21">
        <v>47</v>
      </c>
    </row>
    <row r="4424" spans="1:7" x14ac:dyDescent="0.2">
      <c r="A4424" s="16" t="s">
        <v>41</v>
      </c>
      <c r="B4424" s="17" t="s">
        <v>74</v>
      </c>
      <c r="C4424" s="17" t="s">
        <v>8</v>
      </c>
      <c r="D4424" s="17" t="s">
        <v>10</v>
      </c>
      <c r="E4424" s="17" t="s">
        <v>14</v>
      </c>
      <c r="F4424" s="17" t="str">
        <f>INDEX(nrg_cb_e!$A$3:$A$40,MATCH(LEFT(MID('Industriesektor GWh'!$B4424,41,1000),SEARCH(" - ",MID('Industriesektor GWh'!$B4424,41,1000))-1),nrg_cb_e!$C$3:$C$40,0))</f>
        <v>NRG_NSP_E</v>
      </c>
      <c r="G4424" s="18">
        <v>46</v>
      </c>
    </row>
    <row r="4425" spans="1:7" x14ac:dyDescent="0.2">
      <c r="A4425" s="19" t="s">
        <v>41</v>
      </c>
      <c r="B4425" s="20" t="s">
        <v>74</v>
      </c>
      <c r="C4425" s="20" t="s">
        <v>8</v>
      </c>
      <c r="D4425" s="20" t="s">
        <v>10</v>
      </c>
      <c r="E4425" s="20" t="s">
        <v>15</v>
      </c>
      <c r="F4425" s="20" t="str">
        <f>INDEX(nrg_cb_e!$A$3:$A$40,MATCH(LEFT(MID('Industriesektor GWh'!$B4425,41,1000),SEARCH(" - ",MID('Industriesektor GWh'!$B4425,41,1000))-1),nrg_cb_e!$C$3:$C$40,0))</f>
        <v>NRG_NSP_E</v>
      </c>
      <c r="G4425" s="21">
        <v>45</v>
      </c>
    </row>
    <row r="4426" spans="1:7" x14ac:dyDescent="0.2">
      <c r="A4426" s="16" t="s">
        <v>41</v>
      </c>
      <c r="B4426" s="17" t="s">
        <v>74</v>
      </c>
      <c r="C4426" s="17" t="s">
        <v>8</v>
      </c>
      <c r="D4426" s="17" t="s">
        <v>10</v>
      </c>
      <c r="E4426" s="17" t="s">
        <v>16</v>
      </c>
      <c r="F4426" s="17" t="str">
        <f>INDEX(nrg_cb_e!$A$3:$A$40,MATCH(LEFT(MID('Industriesektor GWh'!$B4426,41,1000),SEARCH(" - ",MID('Industriesektor GWh'!$B4426,41,1000))-1),nrg_cb_e!$C$3:$C$40,0))</f>
        <v>NRG_NSP_E</v>
      </c>
      <c r="G4426" s="18">
        <v>47</v>
      </c>
    </row>
    <row r="4427" spans="1:7" x14ac:dyDescent="0.2">
      <c r="A4427" s="19" t="s">
        <v>41</v>
      </c>
      <c r="B4427" s="20" t="s">
        <v>74</v>
      </c>
      <c r="C4427" s="20" t="s">
        <v>8</v>
      </c>
      <c r="D4427" s="20" t="s">
        <v>10</v>
      </c>
      <c r="E4427" s="20" t="s">
        <v>17</v>
      </c>
      <c r="F4427" s="20" t="str">
        <f>INDEX(nrg_cb_e!$A$3:$A$40,MATCH(LEFT(MID('Industriesektor GWh'!$B4427,41,1000),SEARCH(" - ",MID('Industriesektor GWh'!$B4427,41,1000))-1),nrg_cb_e!$C$3:$C$40,0))</f>
        <v>NRG_NSP_E</v>
      </c>
      <c r="G4427" s="21">
        <v>48</v>
      </c>
    </row>
    <row r="4428" spans="1:7" x14ac:dyDescent="0.2">
      <c r="A4428" s="16" t="s">
        <v>41</v>
      </c>
      <c r="B4428" s="17" t="s">
        <v>74</v>
      </c>
      <c r="C4428" s="17" t="s">
        <v>8</v>
      </c>
      <c r="D4428" s="17" t="s">
        <v>10</v>
      </c>
      <c r="E4428" s="17" t="s">
        <v>18</v>
      </c>
      <c r="F4428" s="17" t="str">
        <f>INDEX(nrg_cb_e!$A$3:$A$40,MATCH(LEFT(MID('Industriesektor GWh'!$B4428,41,1000),SEARCH(" - ",MID('Industriesektor GWh'!$B4428,41,1000))-1),nrg_cb_e!$C$3:$C$40,0))</f>
        <v>NRG_NSP_E</v>
      </c>
      <c r="G4428" s="18">
        <v>53</v>
      </c>
    </row>
    <row r="4429" spans="1:7" x14ac:dyDescent="0.2">
      <c r="A4429" s="19" t="s">
        <v>41</v>
      </c>
      <c r="B4429" s="20" t="s">
        <v>74</v>
      </c>
      <c r="C4429" s="20" t="s">
        <v>8</v>
      </c>
      <c r="D4429" s="20" t="s">
        <v>10</v>
      </c>
      <c r="E4429" s="20" t="s">
        <v>19</v>
      </c>
      <c r="F4429" s="20" t="str">
        <f>INDEX(nrg_cb_e!$A$3:$A$40,MATCH(LEFT(MID('Industriesektor GWh'!$B4429,41,1000),SEARCH(" - ",MID('Industriesektor GWh'!$B4429,41,1000))-1),nrg_cb_e!$C$3:$C$40,0))</f>
        <v>NRG_NSP_E</v>
      </c>
      <c r="G4429" s="21">
        <v>52</v>
      </c>
    </row>
    <row r="4430" spans="1:7" x14ac:dyDescent="0.2">
      <c r="A4430" s="16" t="s">
        <v>41</v>
      </c>
      <c r="B4430" s="17" t="s">
        <v>74</v>
      </c>
      <c r="C4430" s="17" t="s">
        <v>8</v>
      </c>
      <c r="D4430" s="17" t="s">
        <v>10</v>
      </c>
      <c r="E4430" s="17" t="s">
        <v>20</v>
      </c>
      <c r="F4430" s="17" t="str">
        <f>INDEX(nrg_cb_e!$A$3:$A$40,MATCH(LEFT(MID('Industriesektor GWh'!$B4430,41,1000),SEARCH(" - ",MID('Industriesektor GWh'!$B4430,41,1000))-1),nrg_cb_e!$C$3:$C$40,0))</f>
        <v>NRG_NSP_E</v>
      </c>
      <c r="G4430" s="18">
        <v>52</v>
      </c>
    </row>
    <row r="4431" spans="1:7" x14ac:dyDescent="0.2">
      <c r="A4431" s="19" t="s">
        <v>41</v>
      </c>
      <c r="B4431" s="20" t="s">
        <v>74</v>
      </c>
      <c r="C4431" s="20" t="s">
        <v>8</v>
      </c>
      <c r="D4431" s="20" t="s">
        <v>10</v>
      </c>
      <c r="E4431" s="20" t="s">
        <v>21</v>
      </c>
      <c r="F4431" s="20" t="str">
        <f>INDEX(nrg_cb_e!$A$3:$A$40,MATCH(LEFT(MID('Industriesektor GWh'!$B4431,41,1000),SEARCH(" - ",MID('Industriesektor GWh'!$B4431,41,1000))-1),nrg_cb_e!$C$3:$C$40,0))</f>
        <v>NRG_NSP_E</v>
      </c>
      <c r="G4431" s="21">
        <v>45</v>
      </c>
    </row>
    <row r="4432" spans="1:7" x14ac:dyDescent="0.2">
      <c r="A4432" s="16" t="s">
        <v>41</v>
      </c>
      <c r="B4432" s="17" t="s">
        <v>74</v>
      </c>
      <c r="C4432" s="17" t="s">
        <v>8</v>
      </c>
      <c r="D4432" s="17" t="s">
        <v>10</v>
      </c>
      <c r="E4432" s="17" t="s">
        <v>22</v>
      </c>
      <c r="F4432" s="17" t="str">
        <f>INDEX(nrg_cb_e!$A$3:$A$40,MATCH(LEFT(MID('Industriesektor GWh'!$B4432,41,1000),SEARCH(" - ",MID('Industriesektor GWh'!$B4432,41,1000))-1),nrg_cb_e!$C$3:$C$40,0))</f>
        <v>NRG_NSP_E</v>
      </c>
      <c r="G4432" s="18">
        <v>36</v>
      </c>
    </row>
    <row r="4433" spans="1:7" x14ac:dyDescent="0.2">
      <c r="A4433" s="19" t="s">
        <v>41</v>
      </c>
      <c r="B4433" s="20" t="s">
        <v>74</v>
      </c>
      <c r="C4433" s="20" t="s">
        <v>8</v>
      </c>
      <c r="D4433" s="20" t="s">
        <v>10</v>
      </c>
      <c r="E4433" s="20" t="s">
        <v>23</v>
      </c>
      <c r="F4433" s="20" t="str">
        <f>INDEX(nrg_cb_e!$A$3:$A$40,MATCH(LEFT(MID('Industriesektor GWh'!$B4433,41,1000),SEARCH(" - ",MID('Industriesektor GWh'!$B4433,41,1000))-1),nrg_cb_e!$C$3:$C$40,0))</f>
        <v>NRG_NSP_E</v>
      </c>
      <c r="G4433" s="21">
        <v>32</v>
      </c>
    </row>
    <row r="4434" spans="1:7" x14ac:dyDescent="0.2">
      <c r="A4434" s="16" t="s">
        <v>41</v>
      </c>
      <c r="B4434" s="17" t="s">
        <v>74</v>
      </c>
      <c r="C4434" s="17" t="s">
        <v>8</v>
      </c>
      <c r="D4434" s="17" t="s">
        <v>10</v>
      </c>
      <c r="E4434" s="17" t="s">
        <v>24</v>
      </c>
      <c r="F4434" s="17" t="str">
        <f>INDEX(nrg_cb_e!$A$3:$A$40,MATCH(LEFT(MID('Industriesektor GWh'!$B4434,41,1000),SEARCH(" - ",MID('Industriesektor GWh'!$B4434,41,1000))-1),nrg_cb_e!$C$3:$C$40,0))</f>
        <v>NRG_NSP_E</v>
      </c>
      <c r="G4434" s="18">
        <v>33</v>
      </c>
    </row>
    <row r="4435" spans="1:7" x14ac:dyDescent="0.2">
      <c r="A4435" s="19" t="s">
        <v>41</v>
      </c>
      <c r="B4435" s="20" t="s">
        <v>74</v>
      </c>
      <c r="C4435" s="20" t="s">
        <v>8</v>
      </c>
      <c r="D4435" s="20" t="s">
        <v>10</v>
      </c>
      <c r="E4435" s="20" t="s">
        <v>25</v>
      </c>
      <c r="F4435" s="20" t="str">
        <f>INDEX(nrg_cb_e!$A$3:$A$40,MATCH(LEFT(MID('Industriesektor GWh'!$B4435,41,1000),SEARCH(" - ",MID('Industriesektor GWh'!$B4435,41,1000))-1),nrg_cb_e!$C$3:$C$40,0))</f>
        <v>NRG_NSP_E</v>
      </c>
      <c r="G4435" s="21">
        <v>33</v>
      </c>
    </row>
    <row r="4436" spans="1:7" x14ac:dyDescent="0.2">
      <c r="A4436" s="16" t="s">
        <v>41</v>
      </c>
      <c r="B4436" s="17" t="s">
        <v>74</v>
      </c>
      <c r="C4436" s="17" t="s">
        <v>8</v>
      </c>
      <c r="D4436" s="17" t="s">
        <v>10</v>
      </c>
      <c r="E4436" s="17" t="s">
        <v>26</v>
      </c>
      <c r="F4436" s="17" t="str">
        <f>INDEX(nrg_cb_e!$A$3:$A$40,MATCH(LEFT(MID('Industriesektor GWh'!$B4436,41,1000),SEARCH(" - ",MID('Industriesektor GWh'!$B4436,41,1000))-1),nrg_cb_e!$C$3:$C$40,0))</f>
        <v>NRG_NSP_E</v>
      </c>
      <c r="G4436" s="18">
        <v>35</v>
      </c>
    </row>
    <row r="4437" spans="1:7" x14ac:dyDescent="0.2">
      <c r="A4437" s="19" t="s">
        <v>41</v>
      </c>
      <c r="B4437" s="20" t="s">
        <v>74</v>
      </c>
      <c r="C4437" s="20" t="s">
        <v>8</v>
      </c>
      <c r="D4437" s="20" t="s">
        <v>10</v>
      </c>
      <c r="E4437" s="20" t="s">
        <v>27</v>
      </c>
      <c r="F4437" s="20" t="str">
        <f>INDEX(nrg_cb_e!$A$3:$A$40,MATCH(LEFT(MID('Industriesektor GWh'!$B4437,41,1000),SEARCH(" - ",MID('Industriesektor GWh'!$B4437,41,1000))-1),nrg_cb_e!$C$3:$C$40,0))</f>
        <v>NRG_NSP_E</v>
      </c>
      <c r="G4437" s="21">
        <v>37.417999999999999</v>
      </c>
    </row>
    <row r="4438" spans="1:7" x14ac:dyDescent="0.2">
      <c r="A4438" s="16" t="s">
        <v>41</v>
      </c>
      <c r="B4438" s="17" t="s">
        <v>74</v>
      </c>
      <c r="C4438" s="17" t="s">
        <v>8</v>
      </c>
      <c r="D4438" s="17" t="s">
        <v>10</v>
      </c>
      <c r="E4438" s="17" t="s">
        <v>28</v>
      </c>
      <c r="F4438" s="17" t="str">
        <f>INDEX(nrg_cb_e!$A$3:$A$40,MATCH(LEFT(MID('Industriesektor GWh'!$B4438,41,1000),SEARCH(" - ",MID('Industriesektor GWh'!$B4438,41,1000))-1),nrg_cb_e!$C$3:$C$40,0))</f>
        <v>NRG_NSP_E</v>
      </c>
      <c r="G4438" s="18">
        <v>39.155999999999999</v>
      </c>
    </row>
    <row r="4439" spans="1:7" x14ac:dyDescent="0.2">
      <c r="A4439" s="19" t="s">
        <v>42</v>
      </c>
      <c r="B4439" s="20" t="s">
        <v>74</v>
      </c>
      <c r="C4439" s="20" t="s">
        <v>8</v>
      </c>
      <c r="D4439" s="20" t="s">
        <v>10</v>
      </c>
      <c r="E4439" s="20" t="s">
        <v>12</v>
      </c>
      <c r="F4439" s="20" t="str">
        <f>INDEX(nrg_cb_e!$A$3:$A$40,MATCH(LEFT(MID('Industriesektor GWh'!$B4439,41,1000),SEARCH(" - ",MID('Industriesektor GWh'!$B4439,41,1000))-1),nrg_cb_e!$C$3:$C$40,0))</f>
        <v>NRG_NSP_E</v>
      </c>
      <c r="G4439" s="21">
        <v>91</v>
      </c>
    </row>
    <row r="4440" spans="1:7" x14ac:dyDescent="0.2">
      <c r="A4440" s="16" t="s">
        <v>42</v>
      </c>
      <c r="B4440" s="17" t="s">
        <v>74</v>
      </c>
      <c r="C4440" s="17" t="s">
        <v>8</v>
      </c>
      <c r="D4440" s="17" t="s">
        <v>10</v>
      </c>
      <c r="E4440" s="17" t="s">
        <v>13</v>
      </c>
      <c r="F4440" s="17" t="str">
        <f>INDEX(nrg_cb_e!$A$3:$A$40,MATCH(LEFT(MID('Industriesektor GWh'!$B4440,41,1000),SEARCH(" - ",MID('Industriesektor GWh'!$B4440,41,1000))-1),nrg_cb_e!$C$3:$C$40,0))</f>
        <v>NRG_NSP_E</v>
      </c>
      <c r="G4440" s="18">
        <v>103</v>
      </c>
    </row>
    <row r="4441" spans="1:7" x14ac:dyDescent="0.2">
      <c r="A4441" s="19" t="s">
        <v>42</v>
      </c>
      <c r="B4441" s="20" t="s">
        <v>74</v>
      </c>
      <c r="C4441" s="20" t="s">
        <v>8</v>
      </c>
      <c r="D4441" s="20" t="s">
        <v>10</v>
      </c>
      <c r="E4441" s="20" t="s">
        <v>14</v>
      </c>
      <c r="F4441" s="20" t="str">
        <f>INDEX(nrg_cb_e!$A$3:$A$40,MATCH(LEFT(MID('Industriesektor GWh'!$B4441,41,1000),SEARCH(" - ",MID('Industriesektor GWh'!$B4441,41,1000))-1),nrg_cb_e!$C$3:$C$40,0))</f>
        <v>NRG_NSP_E</v>
      </c>
      <c r="G4441" s="21">
        <v>110</v>
      </c>
    </row>
    <row r="4442" spans="1:7" x14ac:dyDescent="0.2">
      <c r="A4442" s="16" t="s">
        <v>42</v>
      </c>
      <c r="B4442" s="17" t="s">
        <v>74</v>
      </c>
      <c r="C4442" s="17" t="s">
        <v>8</v>
      </c>
      <c r="D4442" s="17" t="s">
        <v>10</v>
      </c>
      <c r="E4442" s="17" t="s">
        <v>15</v>
      </c>
      <c r="F4442" s="17" t="str">
        <f>INDEX(nrg_cb_e!$A$3:$A$40,MATCH(LEFT(MID('Industriesektor GWh'!$B4442,41,1000),SEARCH(" - ",MID('Industriesektor GWh'!$B4442,41,1000))-1),nrg_cb_e!$C$3:$C$40,0))</f>
        <v>NRG_NSP_E</v>
      </c>
      <c r="G4442" s="18">
        <v>114</v>
      </c>
    </row>
    <row r="4443" spans="1:7" x14ac:dyDescent="0.2">
      <c r="A4443" s="19" t="s">
        <v>42</v>
      </c>
      <c r="B4443" s="20" t="s">
        <v>74</v>
      </c>
      <c r="C4443" s="20" t="s">
        <v>8</v>
      </c>
      <c r="D4443" s="20" t="s">
        <v>10</v>
      </c>
      <c r="E4443" s="20" t="s">
        <v>16</v>
      </c>
      <c r="F4443" s="20" t="str">
        <f>INDEX(nrg_cb_e!$A$3:$A$40,MATCH(LEFT(MID('Industriesektor GWh'!$B4443,41,1000),SEARCH(" - ",MID('Industriesektor GWh'!$B4443,41,1000))-1),nrg_cb_e!$C$3:$C$40,0))</f>
        <v>NRG_NSP_E</v>
      </c>
      <c r="G4443" s="21">
        <v>125</v>
      </c>
    </row>
    <row r="4444" spans="1:7" x14ac:dyDescent="0.2">
      <c r="A4444" s="16" t="s">
        <v>42</v>
      </c>
      <c r="B4444" s="17" t="s">
        <v>74</v>
      </c>
      <c r="C4444" s="17" t="s">
        <v>8</v>
      </c>
      <c r="D4444" s="17" t="s">
        <v>10</v>
      </c>
      <c r="E4444" s="17" t="s">
        <v>17</v>
      </c>
      <c r="F4444" s="17" t="str">
        <f>INDEX(nrg_cb_e!$A$3:$A$40,MATCH(LEFT(MID('Industriesektor GWh'!$B4444,41,1000),SEARCH(" - ",MID('Industriesektor GWh'!$B4444,41,1000))-1),nrg_cb_e!$C$3:$C$40,0))</f>
        <v>NRG_NSP_E</v>
      </c>
      <c r="G4444" s="18">
        <v>138</v>
      </c>
    </row>
    <row r="4445" spans="1:7" x14ac:dyDescent="0.2">
      <c r="A4445" s="19" t="s">
        <v>42</v>
      </c>
      <c r="B4445" s="20" t="s">
        <v>74</v>
      </c>
      <c r="C4445" s="20" t="s">
        <v>8</v>
      </c>
      <c r="D4445" s="20" t="s">
        <v>10</v>
      </c>
      <c r="E4445" s="20" t="s">
        <v>18</v>
      </c>
      <c r="F4445" s="20" t="str">
        <f>INDEX(nrg_cb_e!$A$3:$A$40,MATCH(LEFT(MID('Industriesektor GWh'!$B4445,41,1000),SEARCH(" - ",MID('Industriesektor GWh'!$B4445,41,1000))-1),nrg_cb_e!$C$3:$C$40,0))</f>
        <v>NRG_NSP_E</v>
      </c>
      <c r="G4445" s="21">
        <v>70</v>
      </c>
    </row>
    <row r="4446" spans="1:7" x14ac:dyDescent="0.2">
      <c r="A4446" s="16" t="s">
        <v>42</v>
      </c>
      <c r="B4446" s="17" t="s">
        <v>74</v>
      </c>
      <c r="C4446" s="17" t="s">
        <v>8</v>
      </c>
      <c r="D4446" s="17" t="s">
        <v>10</v>
      </c>
      <c r="E4446" s="17" t="s">
        <v>19</v>
      </c>
      <c r="F4446" s="17" t="str">
        <f>INDEX(nrg_cb_e!$A$3:$A$40,MATCH(LEFT(MID('Industriesektor GWh'!$B4446,41,1000),SEARCH(" - ",MID('Industriesektor GWh'!$B4446,41,1000))-1),nrg_cb_e!$C$3:$C$40,0))</f>
        <v>NRG_NSP_E</v>
      </c>
      <c r="G4446" s="18">
        <v>48</v>
      </c>
    </row>
    <row r="4447" spans="1:7" x14ac:dyDescent="0.2">
      <c r="A4447" s="19" t="s">
        <v>42</v>
      </c>
      <c r="B4447" s="20" t="s">
        <v>74</v>
      </c>
      <c r="C4447" s="20" t="s">
        <v>8</v>
      </c>
      <c r="D4447" s="20" t="s">
        <v>10</v>
      </c>
      <c r="E4447" s="20" t="s">
        <v>20</v>
      </c>
      <c r="F4447" s="20" t="str">
        <f>INDEX(nrg_cb_e!$A$3:$A$40,MATCH(LEFT(MID('Industriesektor GWh'!$B4447,41,1000),SEARCH(" - ",MID('Industriesektor GWh'!$B4447,41,1000))-1),nrg_cb_e!$C$3:$C$40,0))</f>
        <v>NRG_NSP_E</v>
      </c>
      <c r="G4447" s="21">
        <v>64</v>
      </c>
    </row>
    <row r="4448" spans="1:7" x14ac:dyDescent="0.2">
      <c r="A4448" s="16" t="s">
        <v>42</v>
      </c>
      <c r="B4448" s="17" t="s">
        <v>74</v>
      </c>
      <c r="C4448" s="17" t="s">
        <v>8</v>
      </c>
      <c r="D4448" s="17" t="s">
        <v>10</v>
      </c>
      <c r="E4448" s="17" t="s">
        <v>21</v>
      </c>
      <c r="F4448" s="17" t="str">
        <f>INDEX(nrg_cb_e!$A$3:$A$40,MATCH(LEFT(MID('Industriesektor GWh'!$B4448,41,1000),SEARCH(" - ",MID('Industriesektor GWh'!$B4448,41,1000))-1),nrg_cb_e!$C$3:$C$40,0))</f>
        <v>NRG_NSP_E</v>
      </c>
      <c r="G4448" s="18">
        <v>60</v>
      </c>
    </row>
    <row r="4449" spans="1:7" x14ac:dyDescent="0.2">
      <c r="A4449" s="19" t="s">
        <v>42</v>
      </c>
      <c r="B4449" s="20" t="s">
        <v>74</v>
      </c>
      <c r="C4449" s="20" t="s">
        <v>8</v>
      </c>
      <c r="D4449" s="20" t="s">
        <v>10</v>
      </c>
      <c r="E4449" s="20" t="s">
        <v>22</v>
      </c>
      <c r="F4449" s="20" t="str">
        <f>INDEX(nrg_cb_e!$A$3:$A$40,MATCH(LEFT(MID('Industriesektor GWh'!$B4449,41,1000),SEARCH(" - ",MID('Industriesektor GWh'!$B4449,41,1000))-1),nrg_cb_e!$C$3:$C$40,0))</f>
        <v>NRG_NSP_E</v>
      </c>
      <c r="G4449" s="21">
        <v>60</v>
      </c>
    </row>
    <row r="4450" spans="1:7" x14ac:dyDescent="0.2">
      <c r="A4450" s="16" t="s">
        <v>42</v>
      </c>
      <c r="B4450" s="17" t="s">
        <v>74</v>
      </c>
      <c r="C4450" s="17" t="s">
        <v>8</v>
      </c>
      <c r="D4450" s="17" t="s">
        <v>10</v>
      </c>
      <c r="E4450" s="17" t="s">
        <v>23</v>
      </c>
      <c r="F4450" s="17" t="str">
        <f>INDEX(nrg_cb_e!$A$3:$A$40,MATCH(LEFT(MID('Industriesektor GWh'!$B4450,41,1000),SEARCH(" - ",MID('Industriesektor GWh'!$B4450,41,1000))-1),nrg_cb_e!$C$3:$C$40,0))</f>
        <v>NRG_NSP_E</v>
      </c>
      <c r="G4450" s="18">
        <v>63</v>
      </c>
    </row>
    <row r="4451" spans="1:7" x14ac:dyDescent="0.2">
      <c r="A4451" s="19" t="s">
        <v>42</v>
      </c>
      <c r="B4451" s="20" t="s">
        <v>74</v>
      </c>
      <c r="C4451" s="20" t="s">
        <v>8</v>
      </c>
      <c r="D4451" s="20" t="s">
        <v>10</v>
      </c>
      <c r="E4451" s="20" t="s">
        <v>24</v>
      </c>
      <c r="F4451" s="20" t="str">
        <f>INDEX(nrg_cb_e!$A$3:$A$40,MATCH(LEFT(MID('Industriesektor GWh'!$B4451,41,1000),SEARCH(" - ",MID('Industriesektor GWh'!$B4451,41,1000))-1),nrg_cb_e!$C$3:$C$40,0))</f>
        <v>NRG_NSP_E</v>
      </c>
      <c r="G4451" s="21">
        <v>66</v>
      </c>
    </row>
    <row r="4452" spans="1:7" x14ac:dyDescent="0.2">
      <c r="A4452" s="16" t="s">
        <v>42</v>
      </c>
      <c r="B4452" s="17" t="s">
        <v>74</v>
      </c>
      <c r="C4452" s="17" t="s">
        <v>8</v>
      </c>
      <c r="D4452" s="17" t="s">
        <v>10</v>
      </c>
      <c r="E4452" s="17" t="s">
        <v>25</v>
      </c>
      <c r="F4452" s="17" t="str">
        <f>INDEX(nrg_cb_e!$A$3:$A$40,MATCH(LEFT(MID('Industriesektor GWh'!$B4452,41,1000),SEARCH(" - ",MID('Industriesektor GWh'!$B4452,41,1000))-1),nrg_cb_e!$C$3:$C$40,0))</f>
        <v>NRG_NSP_E</v>
      </c>
      <c r="G4452" s="18">
        <v>68</v>
      </c>
    </row>
    <row r="4453" spans="1:7" x14ac:dyDescent="0.2">
      <c r="A4453" s="19" t="s">
        <v>42</v>
      </c>
      <c r="B4453" s="20" t="s">
        <v>74</v>
      </c>
      <c r="C4453" s="20" t="s">
        <v>8</v>
      </c>
      <c r="D4453" s="20" t="s">
        <v>10</v>
      </c>
      <c r="E4453" s="20" t="s">
        <v>26</v>
      </c>
      <c r="F4453" s="20" t="str">
        <f>INDEX(nrg_cb_e!$A$3:$A$40,MATCH(LEFT(MID('Industriesektor GWh'!$B4453,41,1000),SEARCH(" - ",MID('Industriesektor GWh'!$B4453,41,1000))-1),nrg_cb_e!$C$3:$C$40,0))</f>
        <v>NRG_NSP_E</v>
      </c>
      <c r="G4453" s="21">
        <v>75</v>
      </c>
    </row>
    <row r="4454" spans="1:7" x14ac:dyDescent="0.2">
      <c r="A4454" s="16" t="s">
        <v>42</v>
      </c>
      <c r="B4454" s="17" t="s">
        <v>74</v>
      </c>
      <c r="C4454" s="17" t="s">
        <v>8</v>
      </c>
      <c r="D4454" s="17" t="s">
        <v>10</v>
      </c>
      <c r="E4454" s="17" t="s">
        <v>27</v>
      </c>
      <c r="F4454" s="17" t="str">
        <f>INDEX(nrg_cb_e!$A$3:$A$40,MATCH(LEFT(MID('Industriesektor GWh'!$B4454,41,1000),SEARCH(" - ",MID('Industriesektor GWh'!$B4454,41,1000))-1),nrg_cb_e!$C$3:$C$40,0))</f>
        <v>NRG_NSP_E</v>
      </c>
      <c r="G4454" s="18">
        <v>78.194000000000003</v>
      </c>
    </row>
    <row r="4455" spans="1:7" x14ac:dyDescent="0.2">
      <c r="A4455" s="19" t="s">
        <v>42</v>
      </c>
      <c r="B4455" s="20" t="s">
        <v>74</v>
      </c>
      <c r="C4455" s="20" t="s">
        <v>8</v>
      </c>
      <c r="D4455" s="20" t="s">
        <v>10</v>
      </c>
      <c r="E4455" s="20" t="s">
        <v>28</v>
      </c>
      <c r="F4455" s="20" t="str">
        <f>INDEX(nrg_cb_e!$A$3:$A$40,MATCH(LEFT(MID('Industriesektor GWh'!$B4455,41,1000),SEARCH(" - ",MID('Industriesektor GWh'!$B4455,41,1000))-1),nrg_cb_e!$C$3:$C$40,0))</f>
        <v>NRG_NSP_E</v>
      </c>
      <c r="G4455" s="21">
        <v>90.111000000000004</v>
      </c>
    </row>
    <row r="4456" spans="1:7" x14ac:dyDescent="0.2">
      <c r="A4456" s="16" t="s">
        <v>43</v>
      </c>
      <c r="B4456" s="17" t="s">
        <v>74</v>
      </c>
      <c r="C4456" s="17" t="s">
        <v>8</v>
      </c>
      <c r="D4456" s="17" t="s">
        <v>10</v>
      </c>
      <c r="E4456" s="17" t="s">
        <v>12</v>
      </c>
      <c r="F4456" s="17" t="str">
        <f>INDEX(nrg_cb_e!$A$3:$A$40,MATCH(LEFT(MID('Industriesektor GWh'!$B4456,41,1000),SEARCH(" - ",MID('Industriesektor GWh'!$B4456,41,1000))-1),nrg_cb_e!$C$3:$C$40,0))</f>
        <v>NRG_NSP_E</v>
      </c>
      <c r="G4456" s="18">
        <v>172</v>
      </c>
    </row>
    <row r="4457" spans="1:7" x14ac:dyDescent="0.2">
      <c r="A4457" s="19" t="s">
        <v>43</v>
      </c>
      <c r="B4457" s="20" t="s">
        <v>74</v>
      </c>
      <c r="C4457" s="20" t="s">
        <v>8</v>
      </c>
      <c r="D4457" s="20" t="s">
        <v>10</v>
      </c>
      <c r="E4457" s="20" t="s">
        <v>13</v>
      </c>
      <c r="F4457" s="20" t="str">
        <f>INDEX(nrg_cb_e!$A$3:$A$40,MATCH(LEFT(MID('Industriesektor GWh'!$B4457,41,1000),SEARCH(" - ",MID('Industriesektor GWh'!$B4457,41,1000))-1),nrg_cb_e!$C$3:$C$40,0))</f>
        <v>NRG_NSP_E</v>
      </c>
      <c r="G4457" s="21">
        <v>206</v>
      </c>
    </row>
    <row r="4458" spans="1:7" x14ac:dyDescent="0.2">
      <c r="A4458" s="16" t="s">
        <v>43</v>
      </c>
      <c r="B4458" s="17" t="s">
        <v>74</v>
      </c>
      <c r="C4458" s="17" t="s">
        <v>8</v>
      </c>
      <c r="D4458" s="17" t="s">
        <v>10</v>
      </c>
      <c r="E4458" s="17" t="s">
        <v>14</v>
      </c>
      <c r="F4458" s="17" t="str">
        <f>INDEX(nrg_cb_e!$A$3:$A$40,MATCH(LEFT(MID('Industriesektor GWh'!$B4458,41,1000),SEARCH(" - ",MID('Industriesektor GWh'!$B4458,41,1000))-1),nrg_cb_e!$C$3:$C$40,0))</f>
        <v>NRG_NSP_E</v>
      </c>
      <c r="G4458" s="18">
        <v>285</v>
      </c>
    </row>
    <row r="4459" spans="1:7" x14ac:dyDescent="0.2">
      <c r="A4459" s="19" t="s">
        <v>43</v>
      </c>
      <c r="B4459" s="20" t="s">
        <v>74</v>
      </c>
      <c r="C4459" s="20" t="s">
        <v>8</v>
      </c>
      <c r="D4459" s="20" t="s">
        <v>10</v>
      </c>
      <c r="E4459" s="20" t="s">
        <v>15</v>
      </c>
      <c r="F4459" s="20" t="str">
        <f>INDEX(nrg_cb_e!$A$3:$A$40,MATCH(LEFT(MID('Industriesektor GWh'!$B4459,41,1000),SEARCH(" - ",MID('Industriesektor GWh'!$B4459,41,1000))-1),nrg_cb_e!$C$3:$C$40,0))</f>
        <v>NRG_NSP_E</v>
      </c>
      <c r="G4459" s="21">
        <v>317</v>
      </c>
    </row>
    <row r="4460" spans="1:7" x14ac:dyDescent="0.2">
      <c r="A4460" s="16" t="s">
        <v>43</v>
      </c>
      <c r="B4460" s="17" t="s">
        <v>74</v>
      </c>
      <c r="C4460" s="17" t="s">
        <v>8</v>
      </c>
      <c r="D4460" s="17" t="s">
        <v>10</v>
      </c>
      <c r="E4460" s="17" t="s">
        <v>16</v>
      </c>
      <c r="F4460" s="17" t="str">
        <f>INDEX(nrg_cb_e!$A$3:$A$40,MATCH(LEFT(MID('Industriesektor GWh'!$B4460,41,1000),SEARCH(" - ",MID('Industriesektor GWh'!$B4460,41,1000))-1),nrg_cb_e!$C$3:$C$40,0))</f>
        <v>NRG_NSP_E</v>
      </c>
      <c r="G4460" s="18">
        <v>347</v>
      </c>
    </row>
    <row r="4461" spans="1:7" x14ac:dyDescent="0.2">
      <c r="A4461" s="19" t="s">
        <v>43</v>
      </c>
      <c r="B4461" s="20" t="s">
        <v>74</v>
      </c>
      <c r="C4461" s="20" t="s">
        <v>8</v>
      </c>
      <c r="D4461" s="20" t="s">
        <v>10</v>
      </c>
      <c r="E4461" s="20" t="s">
        <v>17</v>
      </c>
      <c r="F4461" s="20" t="str">
        <f>INDEX(nrg_cb_e!$A$3:$A$40,MATCH(LEFT(MID('Industriesektor GWh'!$B4461,41,1000),SEARCH(" - ",MID('Industriesektor GWh'!$B4461,41,1000))-1),nrg_cb_e!$C$3:$C$40,0))</f>
        <v>NRG_NSP_E</v>
      </c>
      <c r="G4461" s="21">
        <v>366</v>
      </c>
    </row>
    <row r="4462" spans="1:7" x14ac:dyDescent="0.2">
      <c r="A4462" s="16" t="s">
        <v>43</v>
      </c>
      <c r="B4462" s="17" t="s">
        <v>74</v>
      </c>
      <c r="C4462" s="17" t="s">
        <v>8</v>
      </c>
      <c r="D4462" s="17" t="s">
        <v>10</v>
      </c>
      <c r="E4462" s="17" t="s">
        <v>18</v>
      </c>
      <c r="F4462" s="17" t="str">
        <f>INDEX(nrg_cb_e!$A$3:$A$40,MATCH(LEFT(MID('Industriesektor GWh'!$B4462,41,1000),SEARCH(" - ",MID('Industriesektor GWh'!$B4462,41,1000))-1),nrg_cb_e!$C$3:$C$40,0))</f>
        <v>NRG_NSP_E</v>
      </c>
      <c r="G4462" s="18">
        <v>358</v>
      </c>
    </row>
    <row r="4463" spans="1:7" x14ac:dyDescent="0.2">
      <c r="A4463" s="19" t="s">
        <v>43</v>
      </c>
      <c r="B4463" s="20" t="s">
        <v>74</v>
      </c>
      <c r="C4463" s="20" t="s">
        <v>8</v>
      </c>
      <c r="D4463" s="20" t="s">
        <v>10</v>
      </c>
      <c r="E4463" s="20" t="s">
        <v>19</v>
      </c>
      <c r="F4463" s="20" t="str">
        <f>INDEX(nrg_cb_e!$A$3:$A$40,MATCH(LEFT(MID('Industriesektor GWh'!$B4463,41,1000),SEARCH(" - ",MID('Industriesektor GWh'!$B4463,41,1000))-1),nrg_cb_e!$C$3:$C$40,0))</f>
        <v>NRG_NSP_E</v>
      </c>
      <c r="G4463" s="21">
        <v>291</v>
      </c>
    </row>
    <row r="4464" spans="1:7" x14ac:dyDescent="0.2">
      <c r="A4464" s="16" t="s">
        <v>43</v>
      </c>
      <c r="B4464" s="17" t="s">
        <v>74</v>
      </c>
      <c r="C4464" s="17" t="s">
        <v>8</v>
      </c>
      <c r="D4464" s="17" t="s">
        <v>10</v>
      </c>
      <c r="E4464" s="17" t="s">
        <v>20</v>
      </c>
      <c r="F4464" s="17" t="str">
        <f>INDEX(nrg_cb_e!$A$3:$A$40,MATCH(LEFT(MID('Industriesektor GWh'!$B4464,41,1000),SEARCH(" - ",MID('Industriesektor GWh'!$B4464,41,1000))-1),nrg_cb_e!$C$3:$C$40,0))</f>
        <v>NRG_NSP_E</v>
      </c>
      <c r="G4464" s="18">
        <v>309</v>
      </c>
    </row>
    <row r="4465" spans="1:7" x14ac:dyDescent="0.2">
      <c r="A4465" s="19" t="s">
        <v>43</v>
      </c>
      <c r="B4465" s="20" t="s">
        <v>74</v>
      </c>
      <c r="C4465" s="20" t="s">
        <v>8</v>
      </c>
      <c r="D4465" s="20" t="s">
        <v>10</v>
      </c>
      <c r="E4465" s="20" t="s">
        <v>21</v>
      </c>
      <c r="F4465" s="20" t="str">
        <f>INDEX(nrg_cb_e!$A$3:$A$40,MATCH(LEFT(MID('Industriesektor GWh'!$B4465,41,1000),SEARCH(" - ",MID('Industriesektor GWh'!$B4465,41,1000))-1),nrg_cb_e!$C$3:$C$40,0))</f>
        <v>NRG_NSP_E</v>
      </c>
      <c r="G4465" s="21">
        <v>363</v>
      </c>
    </row>
    <row r="4466" spans="1:7" x14ac:dyDescent="0.2">
      <c r="A4466" s="16" t="s">
        <v>43</v>
      </c>
      <c r="B4466" s="17" t="s">
        <v>74</v>
      </c>
      <c r="C4466" s="17" t="s">
        <v>8</v>
      </c>
      <c r="D4466" s="17" t="s">
        <v>10</v>
      </c>
      <c r="E4466" s="17" t="s">
        <v>22</v>
      </c>
      <c r="F4466" s="17" t="str">
        <f>INDEX(nrg_cb_e!$A$3:$A$40,MATCH(LEFT(MID('Industriesektor GWh'!$B4466,41,1000),SEARCH(" - ",MID('Industriesektor GWh'!$B4466,41,1000))-1),nrg_cb_e!$C$3:$C$40,0))</f>
        <v>NRG_NSP_E</v>
      </c>
      <c r="G4466" s="18">
        <v>397</v>
      </c>
    </row>
    <row r="4467" spans="1:7" x14ac:dyDescent="0.2">
      <c r="A4467" s="19" t="s">
        <v>43</v>
      </c>
      <c r="B4467" s="20" t="s">
        <v>74</v>
      </c>
      <c r="C4467" s="20" t="s">
        <v>8</v>
      </c>
      <c r="D4467" s="20" t="s">
        <v>10</v>
      </c>
      <c r="E4467" s="20" t="s">
        <v>23</v>
      </c>
      <c r="F4467" s="20" t="str">
        <f>INDEX(nrg_cb_e!$A$3:$A$40,MATCH(LEFT(MID('Industriesektor GWh'!$B4467,41,1000),SEARCH(" - ",MID('Industriesektor GWh'!$B4467,41,1000))-1),nrg_cb_e!$C$3:$C$40,0))</f>
        <v>NRG_NSP_E</v>
      </c>
      <c r="G4467" s="21">
        <v>448</v>
      </c>
    </row>
    <row r="4468" spans="1:7" x14ac:dyDescent="0.2">
      <c r="A4468" s="16" t="s">
        <v>43</v>
      </c>
      <c r="B4468" s="17" t="s">
        <v>74</v>
      </c>
      <c r="C4468" s="17" t="s">
        <v>8</v>
      </c>
      <c r="D4468" s="17" t="s">
        <v>10</v>
      </c>
      <c r="E4468" s="17" t="s">
        <v>24</v>
      </c>
      <c r="F4468" s="17" t="str">
        <f>INDEX(nrg_cb_e!$A$3:$A$40,MATCH(LEFT(MID('Industriesektor GWh'!$B4468,41,1000),SEARCH(" - ",MID('Industriesektor GWh'!$B4468,41,1000))-1),nrg_cb_e!$C$3:$C$40,0))</f>
        <v>NRG_NSP_E</v>
      </c>
      <c r="G4468" s="18">
        <v>490</v>
      </c>
    </row>
    <row r="4469" spans="1:7" x14ac:dyDescent="0.2">
      <c r="A4469" s="19" t="s">
        <v>43</v>
      </c>
      <c r="B4469" s="20" t="s">
        <v>74</v>
      </c>
      <c r="C4469" s="20" t="s">
        <v>8</v>
      </c>
      <c r="D4469" s="20" t="s">
        <v>10</v>
      </c>
      <c r="E4469" s="20" t="s">
        <v>25</v>
      </c>
      <c r="F4469" s="20" t="str">
        <f>INDEX(nrg_cb_e!$A$3:$A$40,MATCH(LEFT(MID('Industriesektor GWh'!$B4469,41,1000),SEARCH(" - ",MID('Industriesektor GWh'!$B4469,41,1000))-1),nrg_cb_e!$C$3:$C$40,0))</f>
        <v>NRG_NSP_E</v>
      </c>
      <c r="G4469" s="21">
        <v>606</v>
      </c>
    </row>
    <row r="4470" spans="1:7" x14ac:dyDescent="0.2">
      <c r="A4470" s="16" t="s">
        <v>43</v>
      </c>
      <c r="B4470" s="17" t="s">
        <v>74</v>
      </c>
      <c r="C4470" s="17" t="s">
        <v>8</v>
      </c>
      <c r="D4470" s="17" t="s">
        <v>10</v>
      </c>
      <c r="E4470" s="17" t="s">
        <v>26</v>
      </c>
      <c r="F4470" s="17" t="str">
        <f>INDEX(nrg_cb_e!$A$3:$A$40,MATCH(LEFT(MID('Industriesektor GWh'!$B4470,41,1000),SEARCH(" - ",MID('Industriesektor GWh'!$B4470,41,1000))-1),nrg_cb_e!$C$3:$C$40,0))</f>
        <v>NRG_NSP_E</v>
      </c>
      <c r="G4470" s="18">
        <v>594</v>
      </c>
    </row>
    <row r="4471" spans="1:7" x14ac:dyDescent="0.2">
      <c r="A4471" s="19" t="s">
        <v>43</v>
      </c>
      <c r="B4471" s="20" t="s">
        <v>74</v>
      </c>
      <c r="C4471" s="20" t="s">
        <v>8</v>
      </c>
      <c r="D4471" s="20" t="s">
        <v>10</v>
      </c>
      <c r="E4471" s="20" t="s">
        <v>27</v>
      </c>
      <c r="F4471" s="20" t="str">
        <f>INDEX(nrg_cb_e!$A$3:$A$40,MATCH(LEFT(MID('Industriesektor GWh'!$B4471,41,1000),SEARCH(" - ",MID('Industriesektor GWh'!$B4471,41,1000))-1),nrg_cb_e!$C$3:$C$40,0))</f>
        <v>NRG_NSP_E</v>
      </c>
      <c r="G4471" s="21">
        <v>598.1</v>
      </c>
    </row>
    <row r="4472" spans="1:7" x14ac:dyDescent="0.2">
      <c r="A4472" s="16" t="s">
        <v>43</v>
      </c>
      <c r="B4472" s="17" t="s">
        <v>74</v>
      </c>
      <c r="C4472" s="17" t="s">
        <v>8</v>
      </c>
      <c r="D4472" s="17" t="s">
        <v>10</v>
      </c>
      <c r="E4472" s="17" t="s">
        <v>28</v>
      </c>
      <c r="F4472" s="17" t="str">
        <f>INDEX(nrg_cb_e!$A$3:$A$40,MATCH(LEFT(MID('Industriesektor GWh'!$B4472,41,1000),SEARCH(" - ",MID('Industriesektor GWh'!$B4472,41,1000))-1),nrg_cb_e!$C$3:$C$40,0))</f>
        <v>NRG_NSP_E</v>
      </c>
      <c r="G4472" s="18">
        <v>686.8</v>
      </c>
    </row>
    <row r="4473" spans="1:7" x14ac:dyDescent="0.2">
      <c r="A4473" s="19" t="s">
        <v>44</v>
      </c>
      <c r="B4473" s="20" t="s">
        <v>74</v>
      </c>
      <c r="C4473" s="20" t="s">
        <v>8</v>
      </c>
      <c r="D4473" s="20" t="s">
        <v>10</v>
      </c>
      <c r="E4473" s="20" t="s">
        <v>12</v>
      </c>
      <c r="F4473" s="20" t="str">
        <f>INDEX(nrg_cb_e!$A$3:$A$40,MATCH(LEFT(MID('Industriesektor GWh'!$B4473,41,1000),SEARCH(" - ",MID('Industriesektor GWh'!$B4473,41,1000))-1),nrg_cb_e!$C$3:$C$40,0))</f>
        <v>NRG_NSP_E</v>
      </c>
      <c r="G4473" s="21">
        <v>51.607999999999997</v>
      </c>
    </row>
    <row r="4474" spans="1:7" x14ac:dyDescent="0.2">
      <c r="A4474" s="16" t="s">
        <v>44</v>
      </c>
      <c r="B4474" s="17" t="s">
        <v>74</v>
      </c>
      <c r="C4474" s="17" t="s">
        <v>8</v>
      </c>
      <c r="D4474" s="17" t="s">
        <v>10</v>
      </c>
      <c r="E4474" s="17" t="s">
        <v>13</v>
      </c>
      <c r="F4474" s="17" t="str">
        <f>INDEX(nrg_cb_e!$A$3:$A$40,MATCH(LEFT(MID('Industriesektor GWh'!$B4474,41,1000),SEARCH(" - ",MID('Industriesektor GWh'!$B4474,41,1000))-1),nrg_cb_e!$C$3:$C$40,0))</f>
        <v>NRG_NSP_E</v>
      </c>
      <c r="G4474" s="18">
        <v>88.611000000000004</v>
      </c>
    </row>
    <row r="4475" spans="1:7" x14ac:dyDescent="0.2">
      <c r="A4475" s="19" t="s">
        <v>44</v>
      </c>
      <c r="B4475" s="20" t="s">
        <v>74</v>
      </c>
      <c r="C4475" s="20" t="s">
        <v>8</v>
      </c>
      <c r="D4475" s="20" t="s">
        <v>10</v>
      </c>
      <c r="E4475" s="20" t="s">
        <v>14</v>
      </c>
      <c r="F4475" s="20" t="str">
        <f>INDEX(nrg_cb_e!$A$3:$A$40,MATCH(LEFT(MID('Industriesektor GWh'!$B4475,41,1000),SEARCH(" - ",MID('Industriesektor GWh'!$B4475,41,1000))-1),nrg_cb_e!$C$3:$C$40,0))</f>
        <v>NRG_NSP_E</v>
      </c>
      <c r="G4475" s="21">
        <v>76.450999999999993</v>
      </c>
    </row>
    <row r="4476" spans="1:7" x14ac:dyDescent="0.2">
      <c r="A4476" s="16" t="s">
        <v>44</v>
      </c>
      <c r="B4476" s="17" t="s">
        <v>74</v>
      </c>
      <c r="C4476" s="17" t="s">
        <v>8</v>
      </c>
      <c r="D4476" s="17" t="s">
        <v>10</v>
      </c>
      <c r="E4476" s="17" t="s">
        <v>15</v>
      </c>
      <c r="F4476" s="17" t="str">
        <f>INDEX(nrg_cb_e!$A$3:$A$40,MATCH(LEFT(MID('Industriesektor GWh'!$B4476,41,1000),SEARCH(" - ",MID('Industriesektor GWh'!$B4476,41,1000))-1),nrg_cb_e!$C$3:$C$40,0))</f>
        <v>NRG_NSP_E</v>
      </c>
      <c r="G4476" s="18">
        <v>77.16</v>
      </c>
    </row>
    <row r="4477" spans="1:7" x14ac:dyDescent="0.2">
      <c r="A4477" s="19" t="s">
        <v>44</v>
      </c>
      <c r="B4477" s="20" t="s">
        <v>74</v>
      </c>
      <c r="C4477" s="20" t="s">
        <v>8</v>
      </c>
      <c r="D4477" s="20" t="s">
        <v>10</v>
      </c>
      <c r="E4477" s="20" t="s">
        <v>16</v>
      </c>
      <c r="F4477" s="20" t="str">
        <f>INDEX(nrg_cb_e!$A$3:$A$40,MATCH(LEFT(MID('Industriesektor GWh'!$B4477,41,1000),SEARCH(" - ",MID('Industriesektor GWh'!$B4477,41,1000))-1),nrg_cb_e!$C$3:$C$40,0))</f>
        <v>NRG_NSP_E</v>
      </c>
      <c r="G4477" s="21">
        <v>70.364999999999995</v>
      </c>
    </row>
    <row r="4478" spans="1:7" x14ac:dyDescent="0.2">
      <c r="A4478" s="16" t="s">
        <v>44</v>
      </c>
      <c r="B4478" s="17" t="s">
        <v>74</v>
      </c>
      <c r="C4478" s="17" t="s">
        <v>8</v>
      </c>
      <c r="D4478" s="17" t="s">
        <v>10</v>
      </c>
      <c r="E4478" s="17" t="s">
        <v>17</v>
      </c>
      <c r="F4478" s="17" t="str">
        <f>INDEX(nrg_cb_e!$A$3:$A$40,MATCH(LEFT(MID('Industriesektor GWh'!$B4478,41,1000),SEARCH(" - ",MID('Industriesektor GWh'!$B4478,41,1000))-1),nrg_cb_e!$C$3:$C$40,0))</f>
        <v>NRG_NSP_E</v>
      </c>
      <c r="G4478" s="18">
        <v>78.629000000000005</v>
      </c>
    </row>
    <row r="4479" spans="1:7" x14ac:dyDescent="0.2">
      <c r="A4479" s="19" t="s">
        <v>44</v>
      </c>
      <c r="B4479" s="20" t="s">
        <v>74</v>
      </c>
      <c r="C4479" s="20" t="s">
        <v>8</v>
      </c>
      <c r="D4479" s="20" t="s">
        <v>10</v>
      </c>
      <c r="E4479" s="20" t="s">
        <v>18</v>
      </c>
      <c r="F4479" s="20" t="str">
        <f>INDEX(nrg_cb_e!$A$3:$A$40,MATCH(LEFT(MID('Industriesektor GWh'!$B4479,41,1000),SEARCH(" - ",MID('Industriesektor GWh'!$B4479,41,1000))-1),nrg_cb_e!$C$3:$C$40,0))</f>
        <v>NRG_NSP_E</v>
      </c>
      <c r="G4479" s="21">
        <v>95.603999999999999</v>
      </c>
    </row>
    <row r="4480" spans="1:7" x14ac:dyDescent="0.2">
      <c r="A4480" s="16" t="s">
        <v>44</v>
      </c>
      <c r="B4480" s="17" t="s">
        <v>74</v>
      </c>
      <c r="C4480" s="17" t="s">
        <v>8</v>
      </c>
      <c r="D4480" s="17" t="s">
        <v>10</v>
      </c>
      <c r="E4480" s="17" t="s">
        <v>19</v>
      </c>
      <c r="F4480" s="17" t="str">
        <f>INDEX(nrg_cb_e!$A$3:$A$40,MATCH(LEFT(MID('Industriesektor GWh'!$B4480,41,1000),SEARCH(" - ",MID('Industriesektor GWh'!$B4480,41,1000))-1),nrg_cb_e!$C$3:$C$40,0))</f>
        <v>NRG_NSP_E</v>
      </c>
      <c r="G4480" s="18">
        <v>94.713999999999999</v>
      </c>
    </row>
    <row r="4481" spans="1:7" x14ac:dyDescent="0.2">
      <c r="A4481" s="19" t="s">
        <v>44</v>
      </c>
      <c r="B4481" s="20" t="s">
        <v>74</v>
      </c>
      <c r="C4481" s="20" t="s">
        <v>8</v>
      </c>
      <c r="D4481" s="20" t="s">
        <v>10</v>
      </c>
      <c r="E4481" s="20" t="s">
        <v>20</v>
      </c>
      <c r="F4481" s="20" t="str">
        <f>INDEX(nrg_cb_e!$A$3:$A$40,MATCH(LEFT(MID('Industriesektor GWh'!$B4481,41,1000),SEARCH(" - ",MID('Industriesektor GWh'!$B4481,41,1000))-1),nrg_cb_e!$C$3:$C$40,0))</f>
        <v>NRG_NSP_E</v>
      </c>
      <c r="G4481" s="21">
        <v>115.428</v>
      </c>
    </row>
    <row r="4482" spans="1:7" x14ac:dyDescent="0.2">
      <c r="A4482" s="16" t="s">
        <v>44</v>
      </c>
      <c r="B4482" s="17" t="s">
        <v>74</v>
      </c>
      <c r="C4482" s="17" t="s">
        <v>8</v>
      </c>
      <c r="D4482" s="17" t="s">
        <v>10</v>
      </c>
      <c r="E4482" s="17" t="s">
        <v>21</v>
      </c>
      <c r="F4482" s="17" t="str">
        <f>INDEX(nrg_cb_e!$A$3:$A$40,MATCH(LEFT(MID('Industriesektor GWh'!$B4482,41,1000),SEARCH(" - ",MID('Industriesektor GWh'!$B4482,41,1000))-1),nrg_cb_e!$C$3:$C$40,0))</f>
        <v>NRG_NSP_E</v>
      </c>
      <c r="G4482" s="18">
        <v>265.17200000000003</v>
      </c>
    </row>
    <row r="4483" spans="1:7" x14ac:dyDescent="0.2">
      <c r="A4483" s="19" t="s">
        <v>44</v>
      </c>
      <c r="B4483" s="20" t="s">
        <v>74</v>
      </c>
      <c r="C4483" s="20" t="s">
        <v>8</v>
      </c>
      <c r="D4483" s="20" t="s">
        <v>10</v>
      </c>
      <c r="E4483" s="20" t="s">
        <v>22</v>
      </c>
      <c r="F4483" s="20" t="str">
        <f>INDEX(nrg_cb_e!$A$3:$A$40,MATCH(LEFT(MID('Industriesektor GWh'!$B4483,41,1000),SEARCH(" - ",MID('Industriesektor GWh'!$B4483,41,1000))-1),nrg_cb_e!$C$3:$C$40,0))</f>
        <v>NRG_NSP_E</v>
      </c>
      <c r="G4483" s="21">
        <v>264.64999999999998</v>
      </c>
    </row>
    <row r="4484" spans="1:7" x14ac:dyDescent="0.2">
      <c r="A4484" s="16" t="s">
        <v>44</v>
      </c>
      <c r="B4484" s="17" t="s">
        <v>74</v>
      </c>
      <c r="C4484" s="17" t="s">
        <v>8</v>
      </c>
      <c r="D4484" s="17" t="s">
        <v>10</v>
      </c>
      <c r="E4484" s="17" t="s">
        <v>23</v>
      </c>
      <c r="F4484" s="17" t="str">
        <f>INDEX(nrg_cb_e!$A$3:$A$40,MATCH(LEFT(MID('Industriesektor GWh'!$B4484,41,1000),SEARCH(" - ",MID('Industriesektor GWh'!$B4484,41,1000))-1),nrg_cb_e!$C$3:$C$40,0))</f>
        <v>NRG_NSP_E</v>
      </c>
      <c r="G4484" s="18">
        <v>288.55500000000001</v>
      </c>
    </row>
    <row r="4485" spans="1:7" x14ac:dyDescent="0.2">
      <c r="A4485" s="19" t="s">
        <v>44</v>
      </c>
      <c r="B4485" s="20" t="s">
        <v>74</v>
      </c>
      <c r="C4485" s="20" t="s">
        <v>8</v>
      </c>
      <c r="D4485" s="20" t="s">
        <v>10</v>
      </c>
      <c r="E4485" s="20" t="s">
        <v>24</v>
      </c>
      <c r="F4485" s="20" t="str">
        <f>INDEX(nrg_cb_e!$A$3:$A$40,MATCH(LEFT(MID('Industriesektor GWh'!$B4485,41,1000),SEARCH(" - ",MID('Industriesektor GWh'!$B4485,41,1000))-1),nrg_cb_e!$C$3:$C$40,0))</f>
        <v>NRG_NSP_E</v>
      </c>
      <c r="G4485" s="21">
        <v>316.98599999999999</v>
      </c>
    </row>
    <row r="4486" spans="1:7" x14ac:dyDescent="0.2">
      <c r="A4486" s="16" t="s">
        <v>44</v>
      </c>
      <c r="B4486" s="17" t="s">
        <v>74</v>
      </c>
      <c r="C4486" s="17" t="s">
        <v>8</v>
      </c>
      <c r="D4486" s="17" t="s">
        <v>10</v>
      </c>
      <c r="E4486" s="17" t="s">
        <v>25</v>
      </c>
      <c r="F4486" s="17" t="str">
        <f>INDEX(nrg_cb_e!$A$3:$A$40,MATCH(LEFT(MID('Industriesektor GWh'!$B4486,41,1000),SEARCH(" - ",MID('Industriesektor GWh'!$B4486,41,1000))-1),nrg_cb_e!$C$3:$C$40,0))</f>
        <v>NRG_NSP_E</v>
      </c>
      <c r="G4486" s="18">
        <v>341.92200000000003</v>
      </c>
    </row>
    <row r="4487" spans="1:7" x14ac:dyDescent="0.2">
      <c r="A4487" s="19" t="s">
        <v>44</v>
      </c>
      <c r="B4487" s="20" t="s">
        <v>74</v>
      </c>
      <c r="C4487" s="20" t="s">
        <v>8</v>
      </c>
      <c r="D4487" s="20" t="s">
        <v>10</v>
      </c>
      <c r="E4487" s="20" t="s">
        <v>26</v>
      </c>
      <c r="F4487" s="20" t="str">
        <f>INDEX(nrg_cb_e!$A$3:$A$40,MATCH(LEFT(MID('Industriesektor GWh'!$B4487,41,1000),SEARCH(" - ",MID('Industriesektor GWh'!$B4487,41,1000))-1),nrg_cb_e!$C$3:$C$40,0))</f>
        <v>NRG_NSP_E</v>
      </c>
      <c r="G4487" s="21">
        <v>366.10300000000001</v>
      </c>
    </row>
    <row r="4488" spans="1:7" x14ac:dyDescent="0.2">
      <c r="A4488" s="16" t="s">
        <v>44</v>
      </c>
      <c r="B4488" s="17" t="s">
        <v>74</v>
      </c>
      <c r="C4488" s="17" t="s">
        <v>8</v>
      </c>
      <c r="D4488" s="17" t="s">
        <v>10</v>
      </c>
      <c r="E4488" s="17" t="s">
        <v>27</v>
      </c>
      <c r="F4488" s="17" t="str">
        <f>INDEX(nrg_cb_e!$A$3:$A$40,MATCH(LEFT(MID('Industriesektor GWh'!$B4488,41,1000),SEARCH(" - ",MID('Industriesektor GWh'!$B4488,41,1000))-1),nrg_cb_e!$C$3:$C$40,0))</f>
        <v>NRG_NSP_E</v>
      </c>
      <c r="G4488" s="18">
        <v>291.98899999999998</v>
      </c>
    </row>
    <row r="4489" spans="1:7" x14ac:dyDescent="0.2">
      <c r="A4489" s="19" t="s">
        <v>44</v>
      </c>
      <c r="B4489" s="20" t="s">
        <v>74</v>
      </c>
      <c r="C4489" s="20" t="s">
        <v>8</v>
      </c>
      <c r="D4489" s="20" t="s">
        <v>10</v>
      </c>
      <c r="E4489" s="20" t="s">
        <v>28</v>
      </c>
      <c r="F4489" s="20" t="str">
        <f>INDEX(nrg_cb_e!$A$3:$A$40,MATCH(LEFT(MID('Industriesektor GWh'!$B4489,41,1000),SEARCH(" - ",MID('Industriesektor GWh'!$B4489,41,1000))-1),nrg_cb_e!$C$3:$C$40,0))</f>
        <v>NRG_NSP_E</v>
      </c>
      <c r="G4489" s="21">
        <v>277.48500000000001</v>
      </c>
    </row>
    <row r="4490" spans="1:7" x14ac:dyDescent="0.2">
      <c r="A4490" s="16" t="s">
        <v>45</v>
      </c>
      <c r="B4490" s="17" t="s">
        <v>74</v>
      </c>
      <c r="C4490" s="17" t="s">
        <v>8</v>
      </c>
      <c r="D4490" s="17" t="s">
        <v>10</v>
      </c>
      <c r="E4490" s="17" t="s">
        <v>12</v>
      </c>
      <c r="F4490" s="17" t="str">
        <f>INDEX(nrg_cb_e!$A$3:$A$40,MATCH(LEFT(MID('Industriesektor GWh'!$B4490,41,1000),SEARCH(" - ",MID('Industriesektor GWh'!$B4490,41,1000))-1),nrg_cb_e!$C$3:$C$40,0))</f>
        <v>NRG_NSP_E</v>
      </c>
      <c r="G4490" s="18">
        <v>690</v>
      </c>
    </row>
    <row r="4491" spans="1:7" x14ac:dyDescent="0.2">
      <c r="A4491" s="19" t="s">
        <v>45</v>
      </c>
      <c r="B4491" s="20" t="s">
        <v>74</v>
      </c>
      <c r="C4491" s="20" t="s">
        <v>8</v>
      </c>
      <c r="D4491" s="20" t="s">
        <v>10</v>
      </c>
      <c r="E4491" s="20" t="s">
        <v>13</v>
      </c>
      <c r="F4491" s="20" t="str">
        <f>INDEX(nrg_cb_e!$A$3:$A$40,MATCH(LEFT(MID('Industriesektor GWh'!$B4491,41,1000),SEARCH(" - ",MID('Industriesektor GWh'!$B4491,41,1000))-1),nrg_cb_e!$C$3:$C$40,0))</f>
        <v>NRG_NSP_E</v>
      </c>
      <c r="G4491" s="21">
        <v>737</v>
      </c>
    </row>
    <row r="4492" spans="1:7" x14ac:dyDescent="0.2">
      <c r="A4492" s="16" t="s">
        <v>45</v>
      </c>
      <c r="B4492" s="17" t="s">
        <v>74</v>
      </c>
      <c r="C4492" s="17" t="s">
        <v>8</v>
      </c>
      <c r="D4492" s="17" t="s">
        <v>10</v>
      </c>
      <c r="E4492" s="17" t="s">
        <v>14</v>
      </c>
      <c r="F4492" s="17" t="str">
        <f>INDEX(nrg_cb_e!$A$3:$A$40,MATCH(LEFT(MID('Industriesektor GWh'!$B4492,41,1000),SEARCH(" - ",MID('Industriesektor GWh'!$B4492,41,1000))-1),nrg_cb_e!$C$3:$C$40,0))</f>
        <v>NRG_NSP_E</v>
      </c>
      <c r="G4492" s="18">
        <v>648</v>
      </c>
    </row>
    <row r="4493" spans="1:7" x14ac:dyDescent="0.2">
      <c r="A4493" s="19" t="s">
        <v>45</v>
      </c>
      <c r="B4493" s="20" t="s">
        <v>74</v>
      </c>
      <c r="C4493" s="20" t="s">
        <v>8</v>
      </c>
      <c r="D4493" s="20" t="s">
        <v>10</v>
      </c>
      <c r="E4493" s="20" t="s">
        <v>15</v>
      </c>
      <c r="F4493" s="20" t="str">
        <f>INDEX(nrg_cb_e!$A$3:$A$40,MATCH(LEFT(MID('Industriesektor GWh'!$B4493,41,1000),SEARCH(" - ",MID('Industriesektor GWh'!$B4493,41,1000))-1),nrg_cb_e!$C$3:$C$40,0))</f>
        <v>NRG_NSP_E</v>
      </c>
      <c r="G4493" s="21">
        <v>261</v>
      </c>
    </row>
    <row r="4494" spans="1:7" x14ac:dyDescent="0.2">
      <c r="A4494" s="16" t="s">
        <v>45</v>
      </c>
      <c r="B4494" s="17" t="s">
        <v>74</v>
      </c>
      <c r="C4494" s="17" t="s">
        <v>8</v>
      </c>
      <c r="D4494" s="17" t="s">
        <v>10</v>
      </c>
      <c r="E4494" s="17" t="s">
        <v>16</v>
      </c>
      <c r="F4494" s="17" t="str">
        <f>INDEX(nrg_cb_e!$A$3:$A$40,MATCH(LEFT(MID('Industriesektor GWh'!$B4494,41,1000),SEARCH(" - ",MID('Industriesektor GWh'!$B4494,41,1000))-1),nrg_cb_e!$C$3:$C$40,0))</f>
        <v>NRG_NSP_E</v>
      </c>
      <c r="G4494" s="18">
        <v>395</v>
      </c>
    </row>
    <row r="4495" spans="1:7" x14ac:dyDescent="0.2">
      <c r="A4495" s="19" t="s">
        <v>45</v>
      </c>
      <c r="B4495" s="20" t="s">
        <v>74</v>
      </c>
      <c r="C4495" s="20" t="s">
        <v>8</v>
      </c>
      <c r="D4495" s="20" t="s">
        <v>10</v>
      </c>
      <c r="E4495" s="20" t="s">
        <v>17</v>
      </c>
      <c r="F4495" s="20" t="str">
        <f>INDEX(nrg_cb_e!$A$3:$A$40,MATCH(LEFT(MID('Industriesektor GWh'!$B4495,41,1000),SEARCH(" - ",MID('Industriesektor GWh'!$B4495,41,1000))-1),nrg_cb_e!$C$3:$C$40,0))</f>
        <v>NRG_NSP_E</v>
      </c>
      <c r="G4495" s="21">
        <v>395</v>
      </c>
    </row>
    <row r="4496" spans="1:7" x14ac:dyDescent="0.2">
      <c r="A4496" s="16" t="s">
        <v>45</v>
      </c>
      <c r="B4496" s="17" t="s">
        <v>74</v>
      </c>
      <c r="C4496" s="17" t="s">
        <v>8</v>
      </c>
      <c r="D4496" s="17" t="s">
        <v>10</v>
      </c>
      <c r="E4496" s="17" t="s">
        <v>18</v>
      </c>
      <c r="F4496" s="17" t="str">
        <f>INDEX(nrg_cb_e!$A$3:$A$40,MATCH(LEFT(MID('Industriesektor GWh'!$B4496,41,1000),SEARCH(" - ",MID('Industriesektor GWh'!$B4496,41,1000))-1),nrg_cb_e!$C$3:$C$40,0))</f>
        <v>NRG_NSP_E</v>
      </c>
      <c r="G4496" s="18">
        <v>450</v>
      </c>
    </row>
    <row r="4497" spans="1:7" x14ac:dyDescent="0.2">
      <c r="A4497" s="19" t="s">
        <v>45</v>
      </c>
      <c r="B4497" s="20" t="s">
        <v>74</v>
      </c>
      <c r="C4497" s="20" t="s">
        <v>8</v>
      </c>
      <c r="D4497" s="20" t="s">
        <v>10</v>
      </c>
      <c r="E4497" s="20" t="s">
        <v>19</v>
      </c>
      <c r="F4497" s="20" t="str">
        <f>INDEX(nrg_cb_e!$A$3:$A$40,MATCH(LEFT(MID('Industriesektor GWh'!$B4497,41,1000),SEARCH(" - ",MID('Industriesektor GWh'!$B4497,41,1000))-1),nrg_cb_e!$C$3:$C$40,0))</f>
        <v>NRG_NSP_E</v>
      </c>
      <c r="G4497" s="21">
        <v>638</v>
      </c>
    </row>
    <row r="4498" spans="1:7" x14ac:dyDescent="0.2">
      <c r="A4498" s="16" t="s">
        <v>45</v>
      </c>
      <c r="B4498" s="17" t="s">
        <v>74</v>
      </c>
      <c r="C4498" s="17" t="s">
        <v>8</v>
      </c>
      <c r="D4498" s="17" t="s">
        <v>10</v>
      </c>
      <c r="E4498" s="17" t="s">
        <v>20</v>
      </c>
      <c r="F4498" s="17" t="str">
        <f>INDEX(nrg_cb_e!$A$3:$A$40,MATCH(LEFT(MID('Industriesektor GWh'!$B4498,41,1000),SEARCH(" - ",MID('Industriesektor GWh'!$B4498,41,1000))-1),nrg_cb_e!$C$3:$C$40,0))</f>
        <v>NRG_NSP_E</v>
      </c>
      <c r="G4498" s="18">
        <v>741</v>
      </c>
    </row>
    <row r="4499" spans="1:7" x14ac:dyDescent="0.2">
      <c r="A4499" s="19" t="s">
        <v>45</v>
      </c>
      <c r="B4499" s="20" t="s">
        <v>74</v>
      </c>
      <c r="C4499" s="20" t="s">
        <v>8</v>
      </c>
      <c r="D4499" s="20" t="s">
        <v>10</v>
      </c>
      <c r="E4499" s="20" t="s">
        <v>21</v>
      </c>
      <c r="F4499" s="20" t="str">
        <f>INDEX(nrg_cb_e!$A$3:$A$40,MATCH(LEFT(MID('Industriesektor GWh'!$B4499,41,1000),SEARCH(" - ",MID('Industriesektor GWh'!$B4499,41,1000))-1),nrg_cb_e!$C$3:$C$40,0))</f>
        <v>NRG_NSP_E</v>
      </c>
      <c r="G4499" s="21">
        <v>748</v>
      </c>
    </row>
    <row r="4500" spans="1:7" x14ac:dyDescent="0.2">
      <c r="A4500" s="16" t="s">
        <v>45</v>
      </c>
      <c r="B4500" s="17" t="s">
        <v>74</v>
      </c>
      <c r="C4500" s="17" t="s">
        <v>8</v>
      </c>
      <c r="D4500" s="17" t="s">
        <v>10</v>
      </c>
      <c r="E4500" s="17" t="s">
        <v>22</v>
      </c>
      <c r="F4500" s="17" t="str">
        <f>INDEX(nrg_cb_e!$A$3:$A$40,MATCH(LEFT(MID('Industriesektor GWh'!$B4500,41,1000),SEARCH(" - ",MID('Industriesektor GWh'!$B4500,41,1000))-1),nrg_cb_e!$C$3:$C$40,0))</f>
        <v>NRG_NSP_E</v>
      </c>
      <c r="G4500" s="18">
        <v>1670</v>
      </c>
    </row>
    <row r="4501" spans="1:7" x14ac:dyDescent="0.2">
      <c r="A4501" s="19" t="s">
        <v>45</v>
      </c>
      <c r="B4501" s="20" t="s">
        <v>74</v>
      </c>
      <c r="C4501" s="20" t="s">
        <v>8</v>
      </c>
      <c r="D4501" s="20" t="s">
        <v>10</v>
      </c>
      <c r="E4501" s="20" t="s">
        <v>23</v>
      </c>
      <c r="F4501" s="20" t="str">
        <f>INDEX(nrg_cb_e!$A$3:$A$40,MATCH(LEFT(MID('Industriesektor GWh'!$B4501,41,1000),SEARCH(" - ",MID('Industriesektor GWh'!$B4501,41,1000))-1),nrg_cb_e!$C$3:$C$40,0))</f>
        <v>NRG_NSP_E</v>
      </c>
      <c r="G4501" s="21">
        <v>1757</v>
      </c>
    </row>
    <row r="4502" spans="1:7" x14ac:dyDescent="0.2">
      <c r="A4502" s="16" t="s">
        <v>45</v>
      </c>
      <c r="B4502" s="17" t="s">
        <v>74</v>
      </c>
      <c r="C4502" s="17" t="s">
        <v>8</v>
      </c>
      <c r="D4502" s="17" t="s">
        <v>10</v>
      </c>
      <c r="E4502" s="17" t="s">
        <v>24</v>
      </c>
      <c r="F4502" s="17" t="str">
        <f>INDEX(nrg_cb_e!$A$3:$A$40,MATCH(LEFT(MID('Industriesektor GWh'!$B4502,41,1000),SEARCH(" - ",MID('Industriesektor GWh'!$B4502,41,1000))-1),nrg_cb_e!$C$3:$C$40,0))</f>
        <v>NRG_NSP_E</v>
      </c>
      <c r="G4502" s="18">
        <v>1707</v>
      </c>
    </row>
    <row r="4503" spans="1:7" x14ac:dyDescent="0.2">
      <c r="A4503" s="19" t="s">
        <v>45</v>
      </c>
      <c r="B4503" s="20" t="s">
        <v>74</v>
      </c>
      <c r="C4503" s="20" t="s">
        <v>8</v>
      </c>
      <c r="D4503" s="20" t="s">
        <v>10</v>
      </c>
      <c r="E4503" s="20" t="s">
        <v>25</v>
      </c>
      <c r="F4503" s="20" t="str">
        <f>INDEX(nrg_cb_e!$A$3:$A$40,MATCH(LEFT(MID('Industriesektor GWh'!$B4503,41,1000),SEARCH(" - ",MID('Industriesektor GWh'!$B4503,41,1000))-1),nrg_cb_e!$C$3:$C$40,0))</f>
        <v>NRG_NSP_E</v>
      </c>
      <c r="G4503" s="21">
        <v>1820</v>
      </c>
    </row>
    <row r="4504" spans="1:7" x14ac:dyDescent="0.2">
      <c r="A4504" s="16" t="s">
        <v>45</v>
      </c>
      <c r="B4504" s="17" t="s">
        <v>74</v>
      </c>
      <c r="C4504" s="17" t="s">
        <v>8</v>
      </c>
      <c r="D4504" s="17" t="s">
        <v>10</v>
      </c>
      <c r="E4504" s="17" t="s">
        <v>26</v>
      </c>
      <c r="F4504" s="17" t="str">
        <f>INDEX(nrg_cb_e!$A$3:$A$40,MATCH(LEFT(MID('Industriesektor GWh'!$B4504,41,1000),SEARCH(" - ",MID('Industriesektor GWh'!$B4504,41,1000))-1),nrg_cb_e!$C$3:$C$40,0))</f>
        <v>NRG_NSP_E</v>
      </c>
      <c r="G4504" s="18">
        <v>1884</v>
      </c>
    </row>
    <row r="4505" spans="1:7" x14ac:dyDescent="0.2">
      <c r="A4505" s="19" t="s">
        <v>45</v>
      </c>
      <c r="B4505" s="20" t="s">
        <v>74</v>
      </c>
      <c r="C4505" s="20" t="s">
        <v>8</v>
      </c>
      <c r="D4505" s="20" t="s">
        <v>10</v>
      </c>
      <c r="E4505" s="20" t="s">
        <v>27</v>
      </c>
      <c r="F4505" s="20" t="str">
        <f>INDEX(nrg_cb_e!$A$3:$A$40,MATCH(LEFT(MID('Industriesektor GWh'!$B4505,41,1000),SEARCH(" - ",MID('Industriesektor GWh'!$B4505,41,1000))-1),nrg_cb_e!$C$3:$C$40,0))</f>
        <v>NRG_NSP_E</v>
      </c>
      <c r="G4505" s="21">
        <v>2036</v>
      </c>
    </row>
    <row r="4506" spans="1:7" x14ac:dyDescent="0.2">
      <c r="A4506" s="16" t="s">
        <v>45</v>
      </c>
      <c r="B4506" s="17" t="s">
        <v>74</v>
      </c>
      <c r="C4506" s="17" t="s">
        <v>8</v>
      </c>
      <c r="D4506" s="17" t="s">
        <v>10</v>
      </c>
      <c r="E4506" s="17" t="s">
        <v>28</v>
      </c>
      <c r="F4506" s="17" t="str">
        <f>INDEX(nrg_cb_e!$A$3:$A$40,MATCH(LEFT(MID('Industriesektor GWh'!$B4506,41,1000),SEARCH(" - ",MID('Industriesektor GWh'!$B4506,41,1000))-1),nrg_cb_e!$C$3:$C$40,0))</f>
        <v>NRG_NSP_E</v>
      </c>
      <c r="G4506" s="18">
        <v>2122</v>
      </c>
    </row>
    <row r="4507" spans="1:7" x14ac:dyDescent="0.2">
      <c r="A4507" s="19" t="s">
        <v>46</v>
      </c>
      <c r="B4507" s="20" t="s">
        <v>74</v>
      </c>
      <c r="C4507" s="20" t="s">
        <v>8</v>
      </c>
      <c r="D4507" s="20" t="s">
        <v>10</v>
      </c>
      <c r="E4507" s="20" t="s">
        <v>12</v>
      </c>
      <c r="F4507" s="20" t="str">
        <f>INDEX(nrg_cb_e!$A$3:$A$40,MATCH(LEFT(MID('Industriesektor GWh'!$B4507,41,1000),SEARCH(" - ",MID('Industriesektor GWh'!$B4507,41,1000))-1),nrg_cb_e!$C$3:$C$40,0))</f>
        <v>NRG_NSP_E</v>
      </c>
      <c r="G4507" s="21">
        <v>510</v>
      </c>
    </row>
    <row r="4508" spans="1:7" x14ac:dyDescent="0.2">
      <c r="A4508" s="16" t="s">
        <v>46</v>
      </c>
      <c r="B4508" s="17" t="s">
        <v>74</v>
      </c>
      <c r="C4508" s="17" t="s">
        <v>8</v>
      </c>
      <c r="D4508" s="17" t="s">
        <v>10</v>
      </c>
      <c r="E4508" s="17" t="s">
        <v>13</v>
      </c>
      <c r="F4508" s="17" t="str">
        <f>INDEX(nrg_cb_e!$A$3:$A$40,MATCH(LEFT(MID('Industriesektor GWh'!$B4508,41,1000),SEARCH(" - ",MID('Industriesektor GWh'!$B4508,41,1000))-1),nrg_cb_e!$C$3:$C$40,0))</f>
        <v>NRG_NSP_E</v>
      </c>
      <c r="G4508" s="18">
        <v>556</v>
      </c>
    </row>
    <row r="4509" spans="1:7" x14ac:dyDescent="0.2">
      <c r="A4509" s="19" t="s">
        <v>46</v>
      </c>
      <c r="B4509" s="20" t="s">
        <v>74</v>
      </c>
      <c r="C4509" s="20" t="s">
        <v>8</v>
      </c>
      <c r="D4509" s="20" t="s">
        <v>10</v>
      </c>
      <c r="E4509" s="20" t="s">
        <v>14</v>
      </c>
      <c r="F4509" s="20" t="str">
        <f>INDEX(nrg_cb_e!$A$3:$A$40,MATCH(LEFT(MID('Industriesektor GWh'!$B4509,41,1000),SEARCH(" - ",MID('Industriesektor GWh'!$B4509,41,1000))-1),nrg_cb_e!$C$3:$C$40,0))</f>
        <v>NRG_NSP_E</v>
      </c>
      <c r="G4509" s="21">
        <v>551</v>
      </c>
    </row>
    <row r="4510" spans="1:7" x14ac:dyDescent="0.2">
      <c r="A4510" s="16" t="s">
        <v>46</v>
      </c>
      <c r="B4510" s="17" t="s">
        <v>74</v>
      </c>
      <c r="C4510" s="17" t="s">
        <v>8</v>
      </c>
      <c r="D4510" s="17" t="s">
        <v>10</v>
      </c>
      <c r="E4510" s="17" t="s">
        <v>15</v>
      </c>
      <c r="F4510" s="17" t="str">
        <f>INDEX(nrg_cb_e!$A$3:$A$40,MATCH(LEFT(MID('Industriesektor GWh'!$B4510,41,1000),SEARCH(" - ",MID('Industriesektor GWh'!$B4510,41,1000))-1),nrg_cb_e!$C$3:$C$40,0))</f>
        <v>NRG_NSP_E</v>
      </c>
      <c r="G4510" s="18">
        <v>483</v>
      </c>
    </row>
    <row r="4511" spans="1:7" x14ac:dyDescent="0.2">
      <c r="A4511" s="19" t="s">
        <v>46</v>
      </c>
      <c r="B4511" s="20" t="s">
        <v>74</v>
      </c>
      <c r="C4511" s="20" t="s">
        <v>8</v>
      </c>
      <c r="D4511" s="20" t="s">
        <v>10</v>
      </c>
      <c r="E4511" s="20" t="s">
        <v>16</v>
      </c>
      <c r="F4511" s="20" t="str">
        <f>INDEX(nrg_cb_e!$A$3:$A$40,MATCH(LEFT(MID('Industriesektor GWh'!$B4511,41,1000),SEARCH(" - ",MID('Industriesektor GWh'!$B4511,41,1000))-1),nrg_cb_e!$C$3:$C$40,0))</f>
        <v>NRG_NSP_E</v>
      </c>
      <c r="G4511" s="21">
        <v>530</v>
      </c>
    </row>
    <row r="4512" spans="1:7" x14ac:dyDescent="0.2">
      <c r="A4512" s="16" t="s">
        <v>46</v>
      </c>
      <c r="B4512" s="17" t="s">
        <v>74</v>
      </c>
      <c r="C4512" s="17" t="s">
        <v>8</v>
      </c>
      <c r="D4512" s="17" t="s">
        <v>10</v>
      </c>
      <c r="E4512" s="17" t="s">
        <v>17</v>
      </c>
      <c r="F4512" s="17" t="str">
        <f>INDEX(nrg_cb_e!$A$3:$A$40,MATCH(LEFT(MID('Industriesektor GWh'!$B4512,41,1000),SEARCH(" - ",MID('Industriesektor GWh'!$B4512,41,1000))-1),nrg_cb_e!$C$3:$C$40,0))</f>
        <v>NRG_NSP_E</v>
      </c>
      <c r="G4512" s="18">
        <v>530</v>
      </c>
    </row>
    <row r="4513" spans="1:7" x14ac:dyDescent="0.2">
      <c r="A4513" s="19" t="s">
        <v>46</v>
      </c>
      <c r="B4513" s="20" t="s">
        <v>74</v>
      </c>
      <c r="C4513" s="20" t="s">
        <v>8</v>
      </c>
      <c r="D4513" s="20" t="s">
        <v>10</v>
      </c>
      <c r="E4513" s="20" t="s">
        <v>18</v>
      </c>
      <c r="F4513" s="20" t="str">
        <f>INDEX(nrg_cb_e!$A$3:$A$40,MATCH(LEFT(MID('Industriesektor GWh'!$B4513,41,1000),SEARCH(" - ",MID('Industriesektor GWh'!$B4513,41,1000))-1),nrg_cb_e!$C$3:$C$40,0))</f>
        <v>NRG_NSP_E</v>
      </c>
      <c r="G4513" s="21">
        <v>558</v>
      </c>
    </row>
    <row r="4514" spans="1:7" x14ac:dyDescent="0.2">
      <c r="A4514" s="16" t="s">
        <v>46</v>
      </c>
      <c r="B4514" s="17" t="s">
        <v>74</v>
      </c>
      <c r="C4514" s="17" t="s">
        <v>8</v>
      </c>
      <c r="D4514" s="17" t="s">
        <v>10</v>
      </c>
      <c r="E4514" s="17" t="s">
        <v>19</v>
      </c>
      <c r="F4514" s="17" t="str">
        <f>INDEX(nrg_cb_e!$A$3:$A$40,MATCH(LEFT(MID('Industriesektor GWh'!$B4514,41,1000),SEARCH(" - ",MID('Industriesektor GWh'!$B4514,41,1000))-1),nrg_cb_e!$C$3:$C$40,0))</f>
        <v>NRG_NSP_E</v>
      </c>
      <c r="G4514" s="18">
        <v>509</v>
      </c>
    </row>
    <row r="4515" spans="1:7" x14ac:dyDescent="0.2">
      <c r="A4515" s="19" t="s">
        <v>46</v>
      </c>
      <c r="B4515" s="20" t="s">
        <v>74</v>
      </c>
      <c r="C4515" s="20" t="s">
        <v>8</v>
      </c>
      <c r="D4515" s="20" t="s">
        <v>10</v>
      </c>
      <c r="E4515" s="20" t="s">
        <v>20</v>
      </c>
      <c r="F4515" s="20" t="str">
        <f>INDEX(nrg_cb_e!$A$3:$A$40,MATCH(LEFT(MID('Industriesektor GWh'!$B4515,41,1000),SEARCH(" - ",MID('Industriesektor GWh'!$B4515,41,1000))-1),nrg_cb_e!$C$3:$C$40,0))</f>
        <v>NRG_NSP_E</v>
      </c>
      <c r="G4515" s="21">
        <v>85</v>
      </c>
    </row>
    <row r="4516" spans="1:7" x14ac:dyDescent="0.2">
      <c r="A4516" s="16" t="s">
        <v>46</v>
      </c>
      <c r="B4516" s="17" t="s">
        <v>74</v>
      </c>
      <c r="C4516" s="17" t="s">
        <v>8</v>
      </c>
      <c r="D4516" s="17" t="s">
        <v>10</v>
      </c>
      <c r="E4516" s="17" t="s">
        <v>21</v>
      </c>
      <c r="F4516" s="17" t="str">
        <f>INDEX(nrg_cb_e!$A$3:$A$40,MATCH(LEFT(MID('Industriesektor GWh'!$B4516,41,1000),SEARCH(" - ",MID('Industriesektor GWh'!$B4516,41,1000))-1),nrg_cb_e!$C$3:$C$40,0))</f>
        <v>NRG_NSP_E</v>
      </c>
      <c r="G4516" s="18">
        <v>89</v>
      </c>
    </row>
    <row r="4517" spans="1:7" x14ac:dyDescent="0.2">
      <c r="A4517" s="19" t="s">
        <v>46</v>
      </c>
      <c r="B4517" s="20" t="s">
        <v>74</v>
      </c>
      <c r="C4517" s="20" t="s">
        <v>8</v>
      </c>
      <c r="D4517" s="20" t="s">
        <v>10</v>
      </c>
      <c r="E4517" s="20" t="s">
        <v>22</v>
      </c>
      <c r="F4517" s="20" t="str">
        <f>INDEX(nrg_cb_e!$A$3:$A$40,MATCH(LEFT(MID('Industriesektor GWh'!$B4517,41,1000),SEARCH(" - ",MID('Industriesektor GWh'!$B4517,41,1000))-1),nrg_cb_e!$C$3:$C$40,0))</f>
        <v>NRG_NSP_E</v>
      </c>
      <c r="G4517" s="21">
        <v>87</v>
      </c>
    </row>
    <row r="4518" spans="1:7" x14ac:dyDescent="0.2">
      <c r="A4518" s="16" t="s">
        <v>46</v>
      </c>
      <c r="B4518" s="17" t="s">
        <v>74</v>
      </c>
      <c r="C4518" s="17" t="s">
        <v>8</v>
      </c>
      <c r="D4518" s="17" t="s">
        <v>10</v>
      </c>
      <c r="E4518" s="17" t="s">
        <v>23</v>
      </c>
      <c r="F4518" s="17" t="str">
        <f>INDEX(nrg_cb_e!$A$3:$A$40,MATCH(LEFT(MID('Industriesektor GWh'!$B4518,41,1000),SEARCH(" - ",MID('Industriesektor GWh'!$B4518,41,1000))-1),nrg_cb_e!$C$3:$C$40,0))</f>
        <v>NRG_NSP_E</v>
      </c>
      <c r="G4518" s="18">
        <v>87</v>
      </c>
    </row>
    <row r="4519" spans="1:7" x14ac:dyDescent="0.2">
      <c r="A4519" s="19" t="s">
        <v>46</v>
      </c>
      <c r="B4519" s="20" t="s">
        <v>74</v>
      </c>
      <c r="C4519" s="20" t="s">
        <v>8</v>
      </c>
      <c r="D4519" s="20" t="s">
        <v>10</v>
      </c>
      <c r="E4519" s="20" t="s">
        <v>24</v>
      </c>
      <c r="F4519" s="20" t="str">
        <f>INDEX(nrg_cb_e!$A$3:$A$40,MATCH(LEFT(MID('Industriesektor GWh'!$B4519,41,1000),SEARCH(" - ",MID('Industriesektor GWh'!$B4519,41,1000))-1),nrg_cb_e!$C$3:$C$40,0))</f>
        <v>NRG_NSP_E</v>
      </c>
      <c r="G4519" s="21">
        <v>81</v>
      </c>
    </row>
    <row r="4520" spans="1:7" x14ac:dyDescent="0.2">
      <c r="A4520" s="16" t="s">
        <v>46</v>
      </c>
      <c r="B4520" s="17" t="s">
        <v>74</v>
      </c>
      <c r="C4520" s="17" t="s">
        <v>8</v>
      </c>
      <c r="D4520" s="17" t="s">
        <v>10</v>
      </c>
      <c r="E4520" s="17" t="s">
        <v>25</v>
      </c>
      <c r="F4520" s="17" t="str">
        <f>INDEX(nrg_cb_e!$A$3:$A$40,MATCH(LEFT(MID('Industriesektor GWh'!$B4520,41,1000),SEARCH(" - ",MID('Industriesektor GWh'!$B4520,41,1000))-1),nrg_cb_e!$C$3:$C$40,0))</f>
        <v>NRG_NSP_E</v>
      </c>
      <c r="G4520" s="18">
        <v>83</v>
      </c>
    </row>
    <row r="4521" spans="1:7" x14ac:dyDescent="0.2">
      <c r="A4521" s="19" t="s">
        <v>46</v>
      </c>
      <c r="B4521" s="20" t="s">
        <v>74</v>
      </c>
      <c r="C4521" s="20" t="s">
        <v>8</v>
      </c>
      <c r="D4521" s="20" t="s">
        <v>10</v>
      </c>
      <c r="E4521" s="20" t="s">
        <v>26</v>
      </c>
      <c r="F4521" s="20" t="str">
        <f>INDEX(nrg_cb_e!$A$3:$A$40,MATCH(LEFT(MID('Industriesektor GWh'!$B4521,41,1000),SEARCH(" - ",MID('Industriesektor GWh'!$B4521,41,1000))-1),nrg_cb_e!$C$3:$C$40,0))</f>
        <v>NRG_NSP_E</v>
      </c>
      <c r="G4521" s="21">
        <v>93</v>
      </c>
    </row>
    <row r="4522" spans="1:7" x14ac:dyDescent="0.2">
      <c r="A4522" s="16" t="s">
        <v>46</v>
      </c>
      <c r="B4522" s="17" t="s">
        <v>74</v>
      </c>
      <c r="C4522" s="17" t="s">
        <v>8</v>
      </c>
      <c r="D4522" s="17" t="s">
        <v>10</v>
      </c>
      <c r="E4522" s="17" t="s">
        <v>27</v>
      </c>
      <c r="F4522" s="17" t="str">
        <f>INDEX(nrg_cb_e!$A$3:$A$40,MATCH(LEFT(MID('Industriesektor GWh'!$B4522,41,1000),SEARCH(" - ",MID('Industriesektor GWh'!$B4522,41,1000))-1),nrg_cb_e!$C$3:$C$40,0))</f>
        <v>NRG_NSP_E</v>
      </c>
      <c r="G4522" s="18">
        <v>109.84</v>
      </c>
    </row>
    <row r="4523" spans="1:7" x14ac:dyDescent="0.2">
      <c r="A4523" s="19" t="s">
        <v>46</v>
      </c>
      <c r="B4523" s="20" t="s">
        <v>74</v>
      </c>
      <c r="C4523" s="20" t="s">
        <v>8</v>
      </c>
      <c r="D4523" s="20" t="s">
        <v>10</v>
      </c>
      <c r="E4523" s="20" t="s">
        <v>28</v>
      </c>
      <c r="F4523" s="20" t="str">
        <f>INDEX(nrg_cb_e!$A$3:$A$40,MATCH(LEFT(MID('Industriesektor GWh'!$B4523,41,1000),SEARCH(" - ",MID('Industriesektor GWh'!$B4523,41,1000))-1),nrg_cb_e!$C$3:$C$40,0))</f>
        <v>NRG_NSP_E</v>
      </c>
      <c r="G4523" s="21">
        <v>123.111</v>
      </c>
    </row>
    <row r="4524" spans="1:7" x14ac:dyDescent="0.2">
      <c r="A4524" s="16" t="s">
        <v>47</v>
      </c>
      <c r="B4524" s="17" t="s">
        <v>74</v>
      </c>
      <c r="C4524" s="17" t="s">
        <v>8</v>
      </c>
      <c r="D4524" s="17" t="s">
        <v>10</v>
      </c>
      <c r="E4524" s="17" t="s">
        <v>12</v>
      </c>
      <c r="F4524" s="17" t="str">
        <f>INDEX(nrg_cb_e!$A$3:$A$40,MATCH(LEFT(MID('Industriesektor GWh'!$B4524,41,1000),SEARCH(" - ",MID('Industriesektor GWh'!$B4524,41,1000))-1),nrg_cb_e!$C$3:$C$40,0))</f>
        <v>NRG_NSP_E</v>
      </c>
      <c r="G4524" s="18">
        <v>2355</v>
      </c>
    </row>
    <row r="4525" spans="1:7" x14ac:dyDescent="0.2">
      <c r="A4525" s="19" t="s">
        <v>47</v>
      </c>
      <c r="B4525" s="20" t="s">
        <v>74</v>
      </c>
      <c r="C4525" s="20" t="s">
        <v>8</v>
      </c>
      <c r="D4525" s="20" t="s">
        <v>10</v>
      </c>
      <c r="E4525" s="20" t="s">
        <v>13</v>
      </c>
      <c r="F4525" s="20" t="str">
        <f>INDEX(nrg_cb_e!$A$3:$A$40,MATCH(LEFT(MID('Industriesektor GWh'!$B4525,41,1000),SEARCH(" - ",MID('Industriesektor GWh'!$B4525,41,1000))-1),nrg_cb_e!$C$3:$C$40,0))</f>
        <v>NRG_NSP_E</v>
      </c>
      <c r="G4525" s="21">
        <v>2169</v>
      </c>
    </row>
    <row r="4526" spans="1:7" x14ac:dyDescent="0.2">
      <c r="A4526" s="16" t="s">
        <v>47</v>
      </c>
      <c r="B4526" s="17" t="s">
        <v>74</v>
      </c>
      <c r="C4526" s="17" t="s">
        <v>8</v>
      </c>
      <c r="D4526" s="17" t="s">
        <v>10</v>
      </c>
      <c r="E4526" s="17" t="s">
        <v>14</v>
      </c>
      <c r="F4526" s="17" t="str">
        <f>INDEX(nrg_cb_e!$A$3:$A$40,MATCH(LEFT(MID('Industriesektor GWh'!$B4526,41,1000),SEARCH(" - ",MID('Industriesektor GWh'!$B4526,41,1000))-1),nrg_cb_e!$C$3:$C$40,0))</f>
        <v>NRG_NSP_E</v>
      </c>
      <c r="G4526" s="18">
        <v>2311</v>
      </c>
    </row>
    <row r="4527" spans="1:7" x14ac:dyDescent="0.2">
      <c r="A4527" s="19" t="s">
        <v>47</v>
      </c>
      <c r="B4527" s="20" t="s">
        <v>74</v>
      </c>
      <c r="C4527" s="20" t="s">
        <v>8</v>
      </c>
      <c r="D4527" s="20" t="s">
        <v>10</v>
      </c>
      <c r="E4527" s="20" t="s">
        <v>15</v>
      </c>
      <c r="F4527" s="20" t="str">
        <f>INDEX(nrg_cb_e!$A$3:$A$40,MATCH(LEFT(MID('Industriesektor GWh'!$B4527,41,1000),SEARCH(" - ",MID('Industriesektor GWh'!$B4527,41,1000))-1),nrg_cb_e!$C$3:$C$40,0))</f>
        <v>NRG_NSP_E</v>
      </c>
      <c r="G4527" s="21">
        <v>2273</v>
      </c>
    </row>
    <row r="4528" spans="1:7" x14ac:dyDescent="0.2">
      <c r="A4528" s="16" t="s">
        <v>47</v>
      </c>
      <c r="B4528" s="17" t="s">
        <v>74</v>
      </c>
      <c r="C4528" s="17" t="s">
        <v>8</v>
      </c>
      <c r="D4528" s="17" t="s">
        <v>10</v>
      </c>
      <c r="E4528" s="17" t="s">
        <v>16</v>
      </c>
      <c r="F4528" s="17" t="str">
        <f>INDEX(nrg_cb_e!$A$3:$A$40,MATCH(LEFT(MID('Industriesektor GWh'!$B4528,41,1000),SEARCH(" - ",MID('Industriesektor GWh'!$B4528,41,1000))-1),nrg_cb_e!$C$3:$C$40,0))</f>
        <v>NRG_NSP_E</v>
      </c>
      <c r="G4528" s="18">
        <v>2289</v>
      </c>
    </row>
    <row r="4529" spans="1:7" x14ac:dyDescent="0.2">
      <c r="A4529" s="19" t="s">
        <v>47</v>
      </c>
      <c r="B4529" s="20" t="s">
        <v>74</v>
      </c>
      <c r="C4529" s="20" t="s">
        <v>8</v>
      </c>
      <c r="D4529" s="20" t="s">
        <v>10</v>
      </c>
      <c r="E4529" s="20" t="s">
        <v>17</v>
      </c>
      <c r="F4529" s="20" t="str">
        <f>INDEX(nrg_cb_e!$A$3:$A$40,MATCH(LEFT(MID('Industriesektor GWh'!$B4529,41,1000),SEARCH(" - ",MID('Industriesektor GWh'!$B4529,41,1000))-1),nrg_cb_e!$C$3:$C$40,0))</f>
        <v>NRG_NSP_E</v>
      </c>
      <c r="G4529" s="21">
        <v>2165</v>
      </c>
    </row>
    <row r="4530" spans="1:7" x14ac:dyDescent="0.2">
      <c r="A4530" s="16" t="s">
        <v>47</v>
      </c>
      <c r="B4530" s="17" t="s">
        <v>74</v>
      </c>
      <c r="C4530" s="17" t="s">
        <v>8</v>
      </c>
      <c r="D4530" s="17" t="s">
        <v>10</v>
      </c>
      <c r="E4530" s="17" t="s">
        <v>18</v>
      </c>
      <c r="F4530" s="17" t="str">
        <f>INDEX(nrg_cb_e!$A$3:$A$40,MATCH(LEFT(MID('Industriesektor GWh'!$B4530,41,1000),SEARCH(" - ",MID('Industriesektor GWh'!$B4530,41,1000))-1),nrg_cb_e!$C$3:$C$40,0))</f>
        <v>NRG_NSP_E</v>
      </c>
      <c r="G4530" s="18">
        <v>2164</v>
      </c>
    </row>
    <row r="4531" spans="1:7" x14ac:dyDescent="0.2">
      <c r="A4531" s="19" t="s">
        <v>47</v>
      </c>
      <c r="B4531" s="20" t="s">
        <v>74</v>
      </c>
      <c r="C4531" s="20" t="s">
        <v>8</v>
      </c>
      <c r="D4531" s="20" t="s">
        <v>10</v>
      </c>
      <c r="E4531" s="20" t="s">
        <v>19</v>
      </c>
      <c r="F4531" s="20" t="str">
        <f>INDEX(nrg_cb_e!$A$3:$A$40,MATCH(LEFT(MID('Industriesektor GWh'!$B4531,41,1000),SEARCH(" - ",MID('Industriesektor GWh'!$B4531,41,1000))-1),nrg_cb_e!$C$3:$C$40,0))</f>
        <v>NRG_NSP_E</v>
      </c>
      <c r="G4531" s="21">
        <v>1819</v>
      </c>
    </row>
    <row r="4532" spans="1:7" x14ac:dyDescent="0.2">
      <c r="A4532" s="16" t="s">
        <v>47</v>
      </c>
      <c r="B4532" s="17" t="s">
        <v>74</v>
      </c>
      <c r="C4532" s="17" t="s">
        <v>8</v>
      </c>
      <c r="D4532" s="17" t="s">
        <v>10</v>
      </c>
      <c r="E4532" s="17" t="s">
        <v>20</v>
      </c>
      <c r="F4532" s="17" t="str">
        <f>INDEX(nrg_cb_e!$A$3:$A$40,MATCH(LEFT(MID('Industriesektor GWh'!$B4532,41,1000),SEARCH(" - ",MID('Industriesektor GWh'!$B4532,41,1000))-1),nrg_cb_e!$C$3:$C$40,0))</f>
        <v>NRG_NSP_E</v>
      </c>
      <c r="G4532" s="18">
        <v>1864</v>
      </c>
    </row>
    <row r="4533" spans="1:7" x14ac:dyDescent="0.2">
      <c r="A4533" s="19" t="s">
        <v>47</v>
      </c>
      <c r="B4533" s="20" t="s">
        <v>74</v>
      </c>
      <c r="C4533" s="20" t="s">
        <v>8</v>
      </c>
      <c r="D4533" s="20" t="s">
        <v>10</v>
      </c>
      <c r="E4533" s="20" t="s">
        <v>21</v>
      </c>
      <c r="F4533" s="20" t="str">
        <f>INDEX(nrg_cb_e!$A$3:$A$40,MATCH(LEFT(MID('Industriesektor GWh'!$B4533,41,1000),SEARCH(" - ",MID('Industriesektor GWh'!$B4533,41,1000))-1),nrg_cb_e!$C$3:$C$40,0))</f>
        <v>NRG_NSP_E</v>
      </c>
      <c r="G4533" s="21">
        <v>1919</v>
      </c>
    </row>
    <row r="4534" spans="1:7" x14ac:dyDescent="0.2">
      <c r="A4534" s="16" t="s">
        <v>47</v>
      </c>
      <c r="B4534" s="17" t="s">
        <v>74</v>
      </c>
      <c r="C4534" s="17" t="s">
        <v>8</v>
      </c>
      <c r="D4534" s="17" t="s">
        <v>10</v>
      </c>
      <c r="E4534" s="17" t="s">
        <v>22</v>
      </c>
      <c r="F4534" s="17" t="str">
        <f>INDEX(nrg_cb_e!$A$3:$A$40,MATCH(LEFT(MID('Industriesektor GWh'!$B4534,41,1000),SEARCH(" - ",MID('Industriesektor GWh'!$B4534,41,1000))-1),nrg_cb_e!$C$3:$C$40,0))</f>
        <v>NRG_NSP_E</v>
      </c>
      <c r="G4534" s="18">
        <v>1974.413</v>
      </c>
    </row>
    <row r="4535" spans="1:7" x14ac:dyDescent="0.2">
      <c r="A4535" s="19" t="s">
        <v>47</v>
      </c>
      <c r="B4535" s="20" t="s">
        <v>74</v>
      </c>
      <c r="C4535" s="20" t="s">
        <v>8</v>
      </c>
      <c r="D4535" s="20" t="s">
        <v>10</v>
      </c>
      <c r="E4535" s="20" t="s">
        <v>23</v>
      </c>
      <c r="F4535" s="20" t="str">
        <f>INDEX(nrg_cb_e!$A$3:$A$40,MATCH(LEFT(MID('Industriesektor GWh'!$B4535,41,1000),SEARCH(" - ",MID('Industriesektor GWh'!$B4535,41,1000))-1),nrg_cb_e!$C$3:$C$40,0))</f>
        <v>NRG_NSP_E</v>
      </c>
      <c r="G4535" s="21">
        <v>1930.528</v>
      </c>
    </row>
    <row r="4536" spans="1:7" x14ac:dyDescent="0.2">
      <c r="A4536" s="16" t="s">
        <v>47</v>
      </c>
      <c r="B4536" s="17" t="s">
        <v>74</v>
      </c>
      <c r="C4536" s="17" t="s">
        <v>8</v>
      </c>
      <c r="D4536" s="17" t="s">
        <v>10</v>
      </c>
      <c r="E4536" s="17" t="s">
        <v>24</v>
      </c>
      <c r="F4536" s="17" t="str">
        <f>INDEX(nrg_cb_e!$A$3:$A$40,MATCH(LEFT(MID('Industriesektor GWh'!$B4536,41,1000),SEARCH(" - ",MID('Industriesektor GWh'!$B4536,41,1000))-1),nrg_cb_e!$C$3:$C$40,0))</f>
        <v>NRG_NSP_E</v>
      </c>
      <c r="G4536" s="18">
        <v>1937.712</v>
      </c>
    </row>
    <row r="4537" spans="1:7" x14ac:dyDescent="0.2">
      <c r="A4537" s="19" t="s">
        <v>47</v>
      </c>
      <c r="B4537" s="20" t="s">
        <v>74</v>
      </c>
      <c r="C4537" s="20" t="s">
        <v>8</v>
      </c>
      <c r="D4537" s="20" t="s">
        <v>10</v>
      </c>
      <c r="E4537" s="20" t="s">
        <v>25</v>
      </c>
      <c r="F4537" s="20" t="str">
        <f>INDEX(nrg_cb_e!$A$3:$A$40,MATCH(LEFT(MID('Industriesektor GWh'!$B4537,41,1000),SEARCH(" - ",MID('Industriesektor GWh'!$B4537,41,1000))-1),nrg_cb_e!$C$3:$C$40,0))</f>
        <v>NRG_NSP_E</v>
      </c>
      <c r="G4537" s="21">
        <v>2162.6759999999999</v>
      </c>
    </row>
    <row r="4538" spans="1:7" x14ac:dyDescent="0.2">
      <c r="A4538" s="16" t="s">
        <v>47</v>
      </c>
      <c r="B4538" s="17" t="s">
        <v>74</v>
      </c>
      <c r="C4538" s="17" t="s">
        <v>8</v>
      </c>
      <c r="D4538" s="17" t="s">
        <v>10</v>
      </c>
      <c r="E4538" s="17" t="s">
        <v>26</v>
      </c>
      <c r="F4538" s="17" t="str">
        <f>INDEX(nrg_cb_e!$A$3:$A$40,MATCH(LEFT(MID('Industriesektor GWh'!$B4538,41,1000),SEARCH(" - ",MID('Industriesektor GWh'!$B4538,41,1000))-1),nrg_cb_e!$C$3:$C$40,0))</f>
        <v>NRG_NSP_E</v>
      </c>
      <c r="G4538" s="18">
        <v>2203.0369999999998</v>
      </c>
    </row>
    <row r="4539" spans="1:7" x14ac:dyDescent="0.2">
      <c r="A4539" s="19" t="s">
        <v>47</v>
      </c>
      <c r="B4539" s="20" t="s">
        <v>74</v>
      </c>
      <c r="C4539" s="20" t="s">
        <v>8</v>
      </c>
      <c r="D4539" s="20" t="s">
        <v>10</v>
      </c>
      <c r="E4539" s="20" t="s">
        <v>27</v>
      </c>
      <c r="F4539" s="20" t="str">
        <f>INDEX(nrg_cb_e!$A$3:$A$40,MATCH(LEFT(MID('Industriesektor GWh'!$B4539,41,1000),SEARCH(" - ",MID('Industriesektor GWh'!$B4539,41,1000))-1),nrg_cb_e!$C$3:$C$40,0))</f>
        <v>NRG_NSP_E</v>
      </c>
      <c r="G4539" s="21">
        <v>1978.91</v>
      </c>
    </row>
    <row r="4540" spans="1:7" x14ac:dyDescent="0.2">
      <c r="A4540" s="16" t="s">
        <v>47</v>
      </c>
      <c r="B4540" s="17" t="s">
        <v>74</v>
      </c>
      <c r="C4540" s="17" t="s">
        <v>8</v>
      </c>
      <c r="D4540" s="17" t="s">
        <v>10</v>
      </c>
      <c r="E4540" s="17" t="s">
        <v>28</v>
      </c>
      <c r="F4540" s="17" t="str">
        <f>INDEX(nrg_cb_e!$A$3:$A$40,MATCH(LEFT(MID('Industriesektor GWh'!$B4540,41,1000),SEARCH(" - ",MID('Industriesektor GWh'!$B4540,41,1000))-1),nrg_cb_e!$C$3:$C$40,0))</f>
        <v>NRG_NSP_E</v>
      </c>
      <c r="G4540" s="18">
        <v>2236.4789999999998</v>
      </c>
    </row>
    <row r="4541" spans="1:7" x14ac:dyDescent="0.2">
      <c r="A4541" s="19" t="s">
        <v>48</v>
      </c>
      <c r="B4541" s="20" t="s">
        <v>74</v>
      </c>
      <c r="C4541" s="20" t="s">
        <v>8</v>
      </c>
      <c r="D4541" s="20" t="s">
        <v>10</v>
      </c>
      <c r="E4541" s="20" t="s">
        <v>12</v>
      </c>
      <c r="F4541" s="20" t="str">
        <f>INDEX(nrg_cb_e!$A$3:$A$40,MATCH(LEFT(MID('Industriesektor GWh'!$B4541,41,1000),SEARCH(" - ",MID('Industriesektor GWh'!$B4541,41,1000))-1),nrg_cb_e!$C$3:$C$40,0))</f>
        <v>NRG_NSP_E</v>
      </c>
      <c r="G4541" s="21">
        <v>1140</v>
      </c>
    </row>
    <row r="4542" spans="1:7" x14ac:dyDescent="0.2">
      <c r="A4542" s="16" t="s">
        <v>48</v>
      </c>
      <c r="B4542" s="17" t="s">
        <v>74</v>
      </c>
      <c r="C4542" s="17" t="s">
        <v>8</v>
      </c>
      <c r="D4542" s="17" t="s">
        <v>10</v>
      </c>
      <c r="E4542" s="17" t="s">
        <v>13</v>
      </c>
      <c r="F4542" s="17" t="str">
        <f>INDEX(nrg_cb_e!$A$3:$A$40,MATCH(LEFT(MID('Industriesektor GWh'!$B4542,41,1000),SEARCH(" - ",MID('Industriesektor GWh'!$B4542,41,1000))-1),nrg_cb_e!$C$3:$C$40,0))</f>
        <v>NRG_NSP_E</v>
      </c>
      <c r="G4542" s="18">
        <v>1424</v>
      </c>
    </row>
    <row r="4543" spans="1:7" x14ac:dyDescent="0.2">
      <c r="A4543" s="19" t="s">
        <v>48</v>
      </c>
      <c r="B4543" s="20" t="s">
        <v>74</v>
      </c>
      <c r="C4543" s="20" t="s">
        <v>8</v>
      </c>
      <c r="D4543" s="20" t="s">
        <v>10</v>
      </c>
      <c r="E4543" s="20" t="s">
        <v>14</v>
      </c>
      <c r="F4543" s="20" t="str">
        <f>INDEX(nrg_cb_e!$A$3:$A$40,MATCH(LEFT(MID('Industriesektor GWh'!$B4543,41,1000),SEARCH(" - ",MID('Industriesektor GWh'!$B4543,41,1000))-1),nrg_cb_e!$C$3:$C$40,0))</f>
        <v>NRG_NSP_E</v>
      </c>
      <c r="G4543" s="21">
        <v>1713</v>
      </c>
    </row>
    <row r="4544" spans="1:7" x14ac:dyDescent="0.2">
      <c r="A4544" s="16" t="s">
        <v>48</v>
      </c>
      <c r="B4544" s="17" t="s">
        <v>74</v>
      </c>
      <c r="C4544" s="17" t="s">
        <v>8</v>
      </c>
      <c r="D4544" s="17" t="s">
        <v>10</v>
      </c>
      <c r="E4544" s="17" t="s">
        <v>15</v>
      </c>
      <c r="F4544" s="17" t="str">
        <f>INDEX(nrg_cb_e!$A$3:$A$40,MATCH(LEFT(MID('Industriesektor GWh'!$B4544,41,1000),SEARCH(" - ",MID('Industriesektor GWh'!$B4544,41,1000))-1),nrg_cb_e!$C$3:$C$40,0))</f>
        <v>NRG_NSP_E</v>
      </c>
      <c r="G4544" s="18">
        <v>1637.835</v>
      </c>
    </row>
    <row r="4545" spans="1:7" x14ac:dyDescent="0.2">
      <c r="A4545" s="19" t="s">
        <v>48</v>
      </c>
      <c r="B4545" s="20" t="s">
        <v>74</v>
      </c>
      <c r="C4545" s="20" t="s">
        <v>8</v>
      </c>
      <c r="D4545" s="20" t="s">
        <v>10</v>
      </c>
      <c r="E4545" s="20" t="s">
        <v>16</v>
      </c>
      <c r="F4545" s="20" t="str">
        <f>INDEX(nrg_cb_e!$A$3:$A$40,MATCH(LEFT(MID('Industriesektor GWh'!$B4545,41,1000),SEARCH(" - ",MID('Industriesektor GWh'!$B4545,41,1000))-1),nrg_cb_e!$C$3:$C$40,0))</f>
        <v>NRG_NSP_E</v>
      </c>
      <c r="G4545" s="21">
        <v>1677.0640000000001</v>
      </c>
    </row>
    <row r="4546" spans="1:7" x14ac:dyDescent="0.2">
      <c r="A4546" s="16" t="s">
        <v>48</v>
      </c>
      <c r="B4546" s="17" t="s">
        <v>74</v>
      </c>
      <c r="C4546" s="17" t="s">
        <v>8</v>
      </c>
      <c r="D4546" s="17" t="s">
        <v>10</v>
      </c>
      <c r="E4546" s="17" t="s">
        <v>17</v>
      </c>
      <c r="F4546" s="17" t="str">
        <f>INDEX(nrg_cb_e!$A$3:$A$40,MATCH(LEFT(MID('Industriesektor GWh'!$B4546,41,1000),SEARCH(" - ",MID('Industriesektor GWh'!$B4546,41,1000))-1),nrg_cb_e!$C$3:$C$40,0))</f>
        <v>NRG_NSP_E</v>
      </c>
      <c r="G4546" s="18">
        <v>1772.54</v>
      </c>
    </row>
    <row r="4547" spans="1:7" x14ac:dyDescent="0.2">
      <c r="A4547" s="19" t="s">
        <v>48</v>
      </c>
      <c r="B4547" s="20" t="s">
        <v>74</v>
      </c>
      <c r="C4547" s="20" t="s">
        <v>8</v>
      </c>
      <c r="D4547" s="20" t="s">
        <v>10</v>
      </c>
      <c r="E4547" s="20" t="s">
        <v>18</v>
      </c>
      <c r="F4547" s="20" t="str">
        <f>INDEX(nrg_cb_e!$A$3:$A$40,MATCH(LEFT(MID('Industriesektor GWh'!$B4547,41,1000),SEARCH(" - ",MID('Industriesektor GWh'!$B4547,41,1000))-1),nrg_cb_e!$C$3:$C$40,0))</f>
        <v>NRG_NSP_E</v>
      </c>
      <c r="G4547" s="21">
        <v>1672.6759999999999</v>
      </c>
    </row>
    <row r="4548" spans="1:7" x14ac:dyDescent="0.2">
      <c r="A4548" s="16" t="s">
        <v>48</v>
      </c>
      <c r="B4548" s="17" t="s">
        <v>74</v>
      </c>
      <c r="C4548" s="17" t="s">
        <v>8</v>
      </c>
      <c r="D4548" s="17" t="s">
        <v>10</v>
      </c>
      <c r="E4548" s="17" t="s">
        <v>19</v>
      </c>
      <c r="F4548" s="17" t="str">
        <f>INDEX(nrg_cb_e!$A$3:$A$40,MATCH(LEFT(MID('Industriesektor GWh'!$B4548,41,1000),SEARCH(" - ",MID('Industriesektor GWh'!$B4548,41,1000))-1),nrg_cb_e!$C$3:$C$40,0))</f>
        <v>NRG_NSP_E</v>
      </c>
      <c r="G4548" s="18">
        <v>1543.934</v>
      </c>
    </row>
    <row r="4549" spans="1:7" x14ac:dyDescent="0.2">
      <c r="A4549" s="19" t="s">
        <v>48</v>
      </c>
      <c r="B4549" s="20" t="s">
        <v>74</v>
      </c>
      <c r="C4549" s="20" t="s">
        <v>8</v>
      </c>
      <c r="D4549" s="20" t="s">
        <v>10</v>
      </c>
      <c r="E4549" s="20" t="s">
        <v>20</v>
      </c>
      <c r="F4549" s="20" t="str">
        <f>INDEX(nrg_cb_e!$A$3:$A$40,MATCH(LEFT(MID('Industriesektor GWh'!$B4549,41,1000),SEARCH(" - ",MID('Industriesektor GWh'!$B4549,41,1000))-1),nrg_cb_e!$C$3:$C$40,0))</f>
        <v>NRG_NSP_E</v>
      </c>
      <c r="G4549" s="21">
        <v>1629.7639999999999</v>
      </c>
    </row>
    <row r="4550" spans="1:7" x14ac:dyDescent="0.2">
      <c r="A4550" s="16" t="s">
        <v>48</v>
      </c>
      <c r="B4550" s="17" t="s">
        <v>74</v>
      </c>
      <c r="C4550" s="17" t="s">
        <v>8</v>
      </c>
      <c r="D4550" s="17" t="s">
        <v>10</v>
      </c>
      <c r="E4550" s="17" t="s">
        <v>21</v>
      </c>
      <c r="F4550" s="17" t="str">
        <f>INDEX(nrg_cb_e!$A$3:$A$40,MATCH(LEFT(MID('Industriesektor GWh'!$B4550,41,1000),SEARCH(" - ",MID('Industriesektor GWh'!$B4550,41,1000))-1),nrg_cb_e!$C$3:$C$40,0))</f>
        <v>NRG_NSP_E</v>
      </c>
      <c r="G4550" s="18">
        <v>1691.5409999999999</v>
      </c>
    </row>
    <row r="4551" spans="1:7" x14ac:dyDescent="0.2">
      <c r="A4551" s="19" t="s">
        <v>48</v>
      </c>
      <c r="B4551" s="20" t="s">
        <v>74</v>
      </c>
      <c r="C4551" s="20" t="s">
        <v>8</v>
      </c>
      <c r="D4551" s="20" t="s">
        <v>10</v>
      </c>
      <c r="E4551" s="20" t="s">
        <v>22</v>
      </c>
      <c r="F4551" s="20" t="str">
        <f>INDEX(nrg_cb_e!$A$3:$A$40,MATCH(LEFT(MID('Industriesektor GWh'!$B4551,41,1000),SEARCH(" - ",MID('Industriesektor GWh'!$B4551,41,1000))-1),nrg_cb_e!$C$3:$C$40,0))</f>
        <v>NRG_NSP_E</v>
      </c>
      <c r="G4551" s="21">
        <v>1667.7349999999999</v>
      </c>
    </row>
    <row r="4552" spans="1:7" x14ac:dyDescent="0.2">
      <c r="A4552" s="16" t="s">
        <v>48</v>
      </c>
      <c r="B4552" s="17" t="s">
        <v>74</v>
      </c>
      <c r="C4552" s="17" t="s">
        <v>8</v>
      </c>
      <c r="D4552" s="17" t="s">
        <v>10</v>
      </c>
      <c r="E4552" s="17" t="s">
        <v>23</v>
      </c>
      <c r="F4552" s="17" t="str">
        <f>INDEX(nrg_cb_e!$A$3:$A$40,MATCH(LEFT(MID('Industriesektor GWh'!$B4552,41,1000),SEARCH(" - ",MID('Industriesektor GWh'!$B4552,41,1000))-1),nrg_cb_e!$C$3:$C$40,0))</f>
        <v>NRG_NSP_E</v>
      </c>
      <c r="G4552" s="18">
        <v>1262.443</v>
      </c>
    </row>
    <row r="4553" spans="1:7" x14ac:dyDescent="0.2">
      <c r="A4553" s="19" t="s">
        <v>48</v>
      </c>
      <c r="B4553" s="20" t="s">
        <v>74</v>
      </c>
      <c r="C4553" s="20" t="s">
        <v>8</v>
      </c>
      <c r="D4553" s="20" t="s">
        <v>10</v>
      </c>
      <c r="E4553" s="20" t="s">
        <v>24</v>
      </c>
      <c r="F4553" s="20" t="str">
        <f>INDEX(nrg_cb_e!$A$3:$A$40,MATCH(LEFT(MID('Industriesektor GWh'!$B4553,41,1000),SEARCH(" - ",MID('Industriesektor GWh'!$B4553,41,1000))-1),nrg_cb_e!$C$3:$C$40,0))</f>
        <v>NRG_NSP_E</v>
      </c>
      <c r="G4553" s="21">
        <v>1183.6780000000001</v>
      </c>
    </row>
    <row r="4554" spans="1:7" x14ac:dyDescent="0.2">
      <c r="A4554" s="16" t="s">
        <v>48</v>
      </c>
      <c r="B4554" s="17" t="s">
        <v>74</v>
      </c>
      <c r="C4554" s="17" t="s">
        <v>8</v>
      </c>
      <c r="D4554" s="17" t="s">
        <v>10</v>
      </c>
      <c r="E4554" s="17" t="s">
        <v>25</v>
      </c>
      <c r="F4554" s="17" t="str">
        <f>INDEX(nrg_cb_e!$A$3:$A$40,MATCH(LEFT(MID('Industriesektor GWh'!$B4554,41,1000),SEARCH(" - ",MID('Industriesektor GWh'!$B4554,41,1000))-1),nrg_cb_e!$C$3:$C$40,0))</f>
        <v>NRG_NSP_E</v>
      </c>
      <c r="G4554" s="18">
        <v>1265.9000000000001</v>
      </c>
    </row>
    <row r="4555" spans="1:7" x14ac:dyDescent="0.2">
      <c r="A4555" s="19" t="s">
        <v>48</v>
      </c>
      <c r="B4555" s="20" t="s">
        <v>74</v>
      </c>
      <c r="C4555" s="20" t="s">
        <v>8</v>
      </c>
      <c r="D4555" s="20" t="s">
        <v>10</v>
      </c>
      <c r="E4555" s="20" t="s">
        <v>26</v>
      </c>
      <c r="F4555" s="20" t="str">
        <f>INDEX(nrg_cb_e!$A$3:$A$40,MATCH(LEFT(MID('Industriesektor GWh'!$B4555,41,1000),SEARCH(" - ",MID('Industriesektor GWh'!$B4555,41,1000))-1),nrg_cb_e!$C$3:$C$40,0))</f>
        <v>NRG_NSP_E</v>
      </c>
      <c r="G4555" s="21">
        <v>1290.8789999999999</v>
      </c>
    </row>
    <row r="4556" spans="1:7" x14ac:dyDescent="0.2">
      <c r="A4556" s="16" t="s">
        <v>48</v>
      </c>
      <c r="B4556" s="17" t="s">
        <v>74</v>
      </c>
      <c r="C4556" s="17" t="s">
        <v>8</v>
      </c>
      <c r="D4556" s="17" t="s">
        <v>10</v>
      </c>
      <c r="E4556" s="17" t="s">
        <v>27</v>
      </c>
      <c r="F4556" s="17" t="str">
        <f>INDEX(nrg_cb_e!$A$3:$A$40,MATCH(LEFT(MID('Industriesektor GWh'!$B4556,41,1000),SEARCH(" - ",MID('Industriesektor GWh'!$B4556,41,1000))-1),nrg_cb_e!$C$3:$C$40,0))</f>
        <v>NRG_NSP_E</v>
      </c>
      <c r="G4556" s="18">
        <v>1314.5160000000001</v>
      </c>
    </row>
    <row r="4557" spans="1:7" x14ac:dyDescent="0.2">
      <c r="A4557" s="19" t="s">
        <v>48</v>
      </c>
      <c r="B4557" s="20" t="s">
        <v>74</v>
      </c>
      <c r="C4557" s="20" t="s">
        <v>8</v>
      </c>
      <c r="D4557" s="20" t="s">
        <v>10</v>
      </c>
      <c r="E4557" s="20" t="s">
        <v>28</v>
      </c>
      <c r="F4557" s="20" t="str">
        <f>INDEX(nrg_cb_e!$A$3:$A$40,MATCH(LEFT(MID('Industriesektor GWh'!$B4557,41,1000),SEARCH(" - ",MID('Industriesektor GWh'!$B4557,41,1000))-1),nrg_cb_e!$C$3:$C$40,0))</f>
        <v>NRG_NSP_E</v>
      </c>
      <c r="G4557" s="21">
        <v>1372.5029999999999</v>
      </c>
    </row>
    <row r="4558" spans="1:7" x14ac:dyDescent="0.2">
      <c r="A4558" s="16" t="s">
        <v>49</v>
      </c>
      <c r="B4558" s="17" t="s">
        <v>74</v>
      </c>
      <c r="C4558" s="17" t="s">
        <v>8</v>
      </c>
      <c r="D4558" s="17" t="s">
        <v>10</v>
      </c>
      <c r="E4558" s="17" t="s">
        <v>12</v>
      </c>
      <c r="F4558" s="17" t="str">
        <f>INDEX(nrg_cb_e!$A$3:$A$40,MATCH(LEFT(MID('Industriesektor GWh'!$B4558,41,1000),SEARCH(" - ",MID('Industriesektor GWh'!$B4558,41,1000))-1),nrg_cb_e!$C$3:$C$40,0))</f>
        <v>NRG_NSP_E</v>
      </c>
      <c r="G4558" s="18">
        <v>2003</v>
      </c>
    </row>
    <row r="4559" spans="1:7" x14ac:dyDescent="0.2">
      <c r="A4559" s="19" t="s">
        <v>49</v>
      </c>
      <c r="B4559" s="20" t="s">
        <v>74</v>
      </c>
      <c r="C4559" s="20" t="s">
        <v>8</v>
      </c>
      <c r="D4559" s="20" t="s">
        <v>10</v>
      </c>
      <c r="E4559" s="20" t="s">
        <v>13</v>
      </c>
      <c r="F4559" s="20" t="str">
        <f>INDEX(nrg_cb_e!$A$3:$A$40,MATCH(LEFT(MID('Industriesektor GWh'!$B4559,41,1000),SEARCH(" - ",MID('Industriesektor GWh'!$B4559,41,1000))-1),nrg_cb_e!$C$3:$C$40,0))</f>
        <v>NRG_NSP_E</v>
      </c>
      <c r="G4559" s="21">
        <v>2278</v>
      </c>
    </row>
    <row r="4560" spans="1:7" x14ac:dyDescent="0.2">
      <c r="A4560" s="16" t="s">
        <v>49</v>
      </c>
      <c r="B4560" s="17" t="s">
        <v>74</v>
      </c>
      <c r="C4560" s="17" t="s">
        <v>8</v>
      </c>
      <c r="D4560" s="17" t="s">
        <v>10</v>
      </c>
      <c r="E4560" s="17" t="s">
        <v>14</v>
      </c>
      <c r="F4560" s="17" t="str">
        <f>INDEX(nrg_cb_e!$A$3:$A$40,MATCH(LEFT(MID('Industriesektor GWh'!$B4560,41,1000),SEARCH(" - ",MID('Industriesektor GWh'!$B4560,41,1000))-1),nrg_cb_e!$C$3:$C$40,0))</f>
        <v>NRG_NSP_E</v>
      </c>
      <c r="G4560" s="18">
        <v>2519</v>
      </c>
    </row>
    <row r="4561" spans="1:7" x14ac:dyDescent="0.2">
      <c r="A4561" s="19" t="s">
        <v>49</v>
      </c>
      <c r="B4561" s="20" t="s">
        <v>74</v>
      </c>
      <c r="C4561" s="20" t="s">
        <v>8</v>
      </c>
      <c r="D4561" s="20" t="s">
        <v>10</v>
      </c>
      <c r="E4561" s="20" t="s">
        <v>15</v>
      </c>
      <c r="F4561" s="20" t="str">
        <f>INDEX(nrg_cb_e!$A$3:$A$40,MATCH(LEFT(MID('Industriesektor GWh'!$B4561,41,1000),SEARCH(" - ",MID('Industriesektor GWh'!$B4561,41,1000))-1),nrg_cb_e!$C$3:$C$40,0))</f>
        <v>NRG_NSP_E</v>
      </c>
      <c r="G4561" s="21">
        <v>2640</v>
      </c>
    </row>
    <row r="4562" spans="1:7" x14ac:dyDescent="0.2">
      <c r="A4562" s="16" t="s">
        <v>49</v>
      </c>
      <c r="B4562" s="17" t="s">
        <v>74</v>
      </c>
      <c r="C4562" s="17" t="s">
        <v>8</v>
      </c>
      <c r="D4562" s="17" t="s">
        <v>10</v>
      </c>
      <c r="E4562" s="17" t="s">
        <v>16</v>
      </c>
      <c r="F4562" s="17" t="str">
        <f>INDEX(nrg_cb_e!$A$3:$A$40,MATCH(LEFT(MID('Industriesektor GWh'!$B4562,41,1000),SEARCH(" - ",MID('Industriesektor GWh'!$B4562,41,1000))-1),nrg_cb_e!$C$3:$C$40,0))</f>
        <v>NRG_NSP_E</v>
      </c>
      <c r="G4562" s="18">
        <v>2702</v>
      </c>
    </row>
    <row r="4563" spans="1:7" x14ac:dyDescent="0.2">
      <c r="A4563" s="19" t="s">
        <v>49</v>
      </c>
      <c r="B4563" s="20" t="s">
        <v>74</v>
      </c>
      <c r="C4563" s="20" t="s">
        <v>8</v>
      </c>
      <c r="D4563" s="20" t="s">
        <v>10</v>
      </c>
      <c r="E4563" s="20" t="s">
        <v>17</v>
      </c>
      <c r="F4563" s="20" t="str">
        <f>INDEX(nrg_cb_e!$A$3:$A$40,MATCH(LEFT(MID('Industriesektor GWh'!$B4563,41,1000),SEARCH(" - ",MID('Industriesektor GWh'!$B4563,41,1000))-1),nrg_cb_e!$C$3:$C$40,0))</f>
        <v>NRG_NSP_E</v>
      </c>
      <c r="G4563" s="21">
        <v>2850</v>
      </c>
    </row>
    <row r="4564" spans="1:7" x14ac:dyDescent="0.2">
      <c r="A4564" s="16" t="s">
        <v>49</v>
      </c>
      <c r="B4564" s="17" t="s">
        <v>74</v>
      </c>
      <c r="C4564" s="17" t="s">
        <v>8</v>
      </c>
      <c r="D4564" s="17" t="s">
        <v>10</v>
      </c>
      <c r="E4564" s="17" t="s">
        <v>18</v>
      </c>
      <c r="F4564" s="17" t="str">
        <f>INDEX(nrg_cb_e!$A$3:$A$40,MATCH(LEFT(MID('Industriesektor GWh'!$B4564,41,1000),SEARCH(" - ",MID('Industriesektor GWh'!$B4564,41,1000))-1),nrg_cb_e!$C$3:$C$40,0))</f>
        <v>NRG_NSP_E</v>
      </c>
      <c r="G4564" s="18">
        <v>2800</v>
      </c>
    </row>
    <row r="4565" spans="1:7" x14ac:dyDescent="0.2">
      <c r="A4565" s="19" t="s">
        <v>49</v>
      </c>
      <c r="B4565" s="20" t="s">
        <v>74</v>
      </c>
      <c r="C4565" s="20" t="s">
        <v>8</v>
      </c>
      <c r="D4565" s="20" t="s">
        <v>10</v>
      </c>
      <c r="E4565" s="20" t="s">
        <v>19</v>
      </c>
      <c r="F4565" s="20" t="str">
        <f>INDEX(nrg_cb_e!$A$3:$A$40,MATCH(LEFT(MID('Industriesektor GWh'!$B4565,41,1000),SEARCH(" - ",MID('Industriesektor GWh'!$B4565,41,1000))-1),nrg_cb_e!$C$3:$C$40,0))</f>
        <v>NRG_NSP_E</v>
      </c>
      <c r="G4565" s="21">
        <v>2481</v>
      </c>
    </row>
    <row r="4566" spans="1:7" x14ac:dyDescent="0.2">
      <c r="A4566" s="16" t="s">
        <v>49</v>
      </c>
      <c r="B4566" s="17" t="s">
        <v>74</v>
      </c>
      <c r="C4566" s="17" t="s">
        <v>8</v>
      </c>
      <c r="D4566" s="17" t="s">
        <v>10</v>
      </c>
      <c r="E4566" s="17" t="s">
        <v>20</v>
      </c>
      <c r="F4566" s="17" t="str">
        <f>INDEX(nrg_cb_e!$A$3:$A$40,MATCH(LEFT(MID('Industriesektor GWh'!$B4566,41,1000),SEARCH(" - ",MID('Industriesektor GWh'!$B4566,41,1000))-1),nrg_cb_e!$C$3:$C$40,0))</f>
        <v>NRG_NSP_E</v>
      </c>
      <c r="G4566" s="18">
        <v>2811</v>
      </c>
    </row>
    <row r="4567" spans="1:7" x14ac:dyDescent="0.2">
      <c r="A4567" s="19" t="s">
        <v>49</v>
      </c>
      <c r="B4567" s="20" t="s">
        <v>74</v>
      </c>
      <c r="C4567" s="20" t="s">
        <v>8</v>
      </c>
      <c r="D4567" s="20" t="s">
        <v>10</v>
      </c>
      <c r="E4567" s="20" t="s">
        <v>21</v>
      </c>
      <c r="F4567" s="20" t="str">
        <f>INDEX(nrg_cb_e!$A$3:$A$40,MATCH(LEFT(MID('Industriesektor GWh'!$B4567,41,1000),SEARCH(" - ",MID('Industriesektor GWh'!$B4567,41,1000))-1),nrg_cb_e!$C$3:$C$40,0))</f>
        <v>NRG_NSP_E</v>
      </c>
      <c r="G4567" s="21">
        <v>3325</v>
      </c>
    </row>
    <row r="4568" spans="1:7" x14ac:dyDescent="0.2">
      <c r="A4568" s="16" t="s">
        <v>49</v>
      </c>
      <c r="B4568" s="17" t="s">
        <v>74</v>
      </c>
      <c r="C4568" s="17" t="s">
        <v>8</v>
      </c>
      <c r="D4568" s="17" t="s">
        <v>10</v>
      </c>
      <c r="E4568" s="17" t="s">
        <v>22</v>
      </c>
      <c r="F4568" s="17" t="str">
        <f>INDEX(nrg_cb_e!$A$3:$A$40,MATCH(LEFT(MID('Industriesektor GWh'!$B4568,41,1000),SEARCH(" - ",MID('Industriesektor GWh'!$B4568,41,1000))-1),nrg_cb_e!$C$3:$C$40,0))</f>
        <v>NRG_NSP_E</v>
      </c>
      <c r="G4568" s="18">
        <v>3231</v>
      </c>
    </row>
    <row r="4569" spans="1:7" x14ac:dyDescent="0.2">
      <c r="A4569" s="19" t="s">
        <v>49</v>
      </c>
      <c r="B4569" s="20" t="s">
        <v>74</v>
      </c>
      <c r="C4569" s="20" t="s">
        <v>8</v>
      </c>
      <c r="D4569" s="20" t="s">
        <v>10</v>
      </c>
      <c r="E4569" s="20" t="s">
        <v>23</v>
      </c>
      <c r="F4569" s="20" t="str">
        <f>INDEX(nrg_cb_e!$A$3:$A$40,MATCH(LEFT(MID('Industriesektor GWh'!$B4569,41,1000),SEARCH(" - ",MID('Industriesektor GWh'!$B4569,41,1000))-1),nrg_cb_e!$C$3:$C$40,0))</f>
        <v>NRG_NSP_E</v>
      </c>
      <c r="G4569" s="21">
        <v>4073</v>
      </c>
    </row>
    <row r="4570" spans="1:7" x14ac:dyDescent="0.2">
      <c r="A4570" s="16" t="s">
        <v>49</v>
      </c>
      <c r="B4570" s="17" t="s">
        <v>74</v>
      </c>
      <c r="C4570" s="17" t="s">
        <v>8</v>
      </c>
      <c r="D4570" s="17" t="s">
        <v>10</v>
      </c>
      <c r="E4570" s="17" t="s">
        <v>24</v>
      </c>
      <c r="F4570" s="17" t="str">
        <f>INDEX(nrg_cb_e!$A$3:$A$40,MATCH(LEFT(MID('Industriesektor GWh'!$B4570,41,1000),SEARCH(" - ",MID('Industriesektor GWh'!$B4570,41,1000))-1),nrg_cb_e!$C$3:$C$40,0))</f>
        <v>NRG_NSP_E</v>
      </c>
      <c r="G4570" s="18">
        <v>4260</v>
      </c>
    </row>
    <row r="4571" spans="1:7" x14ac:dyDescent="0.2">
      <c r="A4571" s="19" t="s">
        <v>49</v>
      </c>
      <c r="B4571" s="20" t="s">
        <v>74</v>
      </c>
      <c r="C4571" s="20" t="s">
        <v>8</v>
      </c>
      <c r="D4571" s="20" t="s">
        <v>10</v>
      </c>
      <c r="E4571" s="20" t="s">
        <v>25</v>
      </c>
      <c r="F4571" s="20" t="str">
        <f>INDEX(nrg_cb_e!$A$3:$A$40,MATCH(LEFT(MID('Industriesektor GWh'!$B4571,41,1000),SEARCH(" - ",MID('Industriesektor GWh'!$B4571,41,1000))-1),nrg_cb_e!$C$3:$C$40,0))</f>
        <v>NRG_NSP_E</v>
      </c>
      <c r="G4571" s="21">
        <v>4397</v>
      </c>
    </row>
    <row r="4572" spans="1:7" x14ac:dyDescent="0.2">
      <c r="A4572" s="16" t="s">
        <v>49</v>
      </c>
      <c r="B4572" s="17" t="s">
        <v>74</v>
      </c>
      <c r="C4572" s="17" t="s">
        <v>8</v>
      </c>
      <c r="D4572" s="17" t="s">
        <v>10</v>
      </c>
      <c r="E4572" s="17" t="s">
        <v>26</v>
      </c>
      <c r="F4572" s="17" t="str">
        <f>INDEX(nrg_cb_e!$A$3:$A$40,MATCH(LEFT(MID('Industriesektor GWh'!$B4572,41,1000),SEARCH(" - ",MID('Industriesektor GWh'!$B4572,41,1000))-1),nrg_cb_e!$C$3:$C$40,0))</f>
        <v>NRG_NSP_E</v>
      </c>
      <c r="G4572" s="18">
        <v>4779</v>
      </c>
    </row>
    <row r="4573" spans="1:7" x14ac:dyDescent="0.2">
      <c r="A4573" s="19" t="s">
        <v>49</v>
      </c>
      <c r="B4573" s="20" t="s">
        <v>74</v>
      </c>
      <c r="C4573" s="20" t="s">
        <v>8</v>
      </c>
      <c r="D4573" s="20" t="s">
        <v>10</v>
      </c>
      <c r="E4573" s="20" t="s">
        <v>27</v>
      </c>
      <c r="F4573" s="20" t="str">
        <f>INDEX(nrg_cb_e!$A$3:$A$40,MATCH(LEFT(MID('Industriesektor GWh'!$B4573,41,1000),SEARCH(" - ",MID('Industriesektor GWh'!$B4573,41,1000))-1),nrg_cb_e!$C$3:$C$40,0))</f>
        <v>NRG_NSP_E</v>
      </c>
      <c r="G4573" s="21">
        <v>5348.7479999999996</v>
      </c>
    </row>
    <row r="4574" spans="1:7" x14ac:dyDescent="0.2">
      <c r="A4574" s="16" t="s">
        <v>49</v>
      </c>
      <c r="B4574" s="17" t="s">
        <v>74</v>
      </c>
      <c r="C4574" s="17" t="s">
        <v>8</v>
      </c>
      <c r="D4574" s="17" t="s">
        <v>10</v>
      </c>
      <c r="E4574" s="17" t="s">
        <v>28</v>
      </c>
      <c r="F4574" s="17" t="str">
        <f>INDEX(nrg_cb_e!$A$3:$A$40,MATCH(LEFT(MID('Industriesektor GWh'!$B4574,41,1000),SEARCH(" - ",MID('Industriesektor GWh'!$B4574,41,1000))-1),nrg_cb_e!$C$3:$C$40,0))</f>
        <v>NRG_NSP_E</v>
      </c>
      <c r="G4574" s="18">
        <v>5301.0079999999998</v>
      </c>
    </row>
    <row r="4575" spans="1:7" x14ac:dyDescent="0.2">
      <c r="A4575" s="19" t="s">
        <v>50</v>
      </c>
      <c r="B4575" s="20" t="s">
        <v>74</v>
      </c>
      <c r="C4575" s="20" t="s">
        <v>8</v>
      </c>
      <c r="D4575" s="20" t="s">
        <v>10</v>
      </c>
      <c r="E4575" s="20" t="s">
        <v>12</v>
      </c>
      <c r="F4575" s="20" t="str">
        <f>INDEX(nrg_cb_e!$A$3:$A$40,MATCH(LEFT(MID('Industriesektor GWh'!$B4575,41,1000),SEARCH(" - ",MID('Industriesektor GWh'!$B4575,41,1000))-1),nrg_cb_e!$C$3:$C$40,0))</f>
        <v>NRG_NSP_E</v>
      </c>
      <c r="G4575" s="21">
        <v>1274</v>
      </c>
    </row>
    <row r="4576" spans="1:7" x14ac:dyDescent="0.2">
      <c r="A4576" s="16" t="s">
        <v>50</v>
      </c>
      <c r="B4576" s="17" t="s">
        <v>74</v>
      </c>
      <c r="C4576" s="17" t="s">
        <v>8</v>
      </c>
      <c r="D4576" s="17" t="s">
        <v>10</v>
      </c>
      <c r="E4576" s="17" t="s">
        <v>13</v>
      </c>
      <c r="F4576" s="17" t="str">
        <f>INDEX(nrg_cb_e!$A$3:$A$40,MATCH(LEFT(MID('Industriesektor GWh'!$B4576,41,1000),SEARCH(" - ",MID('Industriesektor GWh'!$B4576,41,1000))-1),nrg_cb_e!$C$3:$C$40,0))</f>
        <v>NRG_NSP_E</v>
      </c>
      <c r="G4576" s="18">
        <v>1526</v>
      </c>
    </row>
    <row r="4577" spans="1:7" x14ac:dyDescent="0.2">
      <c r="A4577" s="19" t="s">
        <v>50</v>
      </c>
      <c r="B4577" s="20" t="s">
        <v>74</v>
      </c>
      <c r="C4577" s="20" t="s">
        <v>8</v>
      </c>
      <c r="D4577" s="20" t="s">
        <v>10</v>
      </c>
      <c r="E4577" s="20" t="s">
        <v>14</v>
      </c>
      <c r="F4577" s="20" t="str">
        <f>INDEX(nrg_cb_e!$A$3:$A$40,MATCH(LEFT(MID('Industriesektor GWh'!$B4577,41,1000),SEARCH(" - ",MID('Industriesektor GWh'!$B4577,41,1000))-1),nrg_cb_e!$C$3:$C$40,0))</f>
        <v>NRG_NSP_E</v>
      </c>
      <c r="G4577" s="21">
        <v>1517</v>
      </c>
    </row>
    <row r="4578" spans="1:7" x14ac:dyDescent="0.2">
      <c r="A4578" s="16" t="s">
        <v>50</v>
      </c>
      <c r="B4578" s="17" t="s">
        <v>74</v>
      </c>
      <c r="C4578" s="17" t="s">
        <v>8</v>
      </c>
      <c r="D4578" s="17" t="s">
        <v>10</v>
      </c>
      <c r="E4578" s="17" t="s">
        <v>15</v>
      </c>
      <c r="F4578" s="17" t="str">
        <f>INDEX(nrg_cb_e!$A$3:$A$40,MATCH(LEFT(MID('Industriesektor GWh'!$B4578,41,1000),SEARCH(" - ",MID('Industriesektor GWh'!$B4578,41,1000))-1),nrg_cb_e!$C$3:$C$40,0))</f>
        <v>NRG_NSP_E</v>
      </c>
      <c r="G4578" s="18">
        <v>1395</v>
      </c>
    </row>
    <row r="4579" spans="1:7" x14ac:dyDescent="0.2">
      <c r="A4579" s="19" t="s">
        <v>50</v>
      </c>
      <c r="B4579" s="20" t="s">
        <v>74</v>
      </c>
      <c r="C4579" s="20" t="s">
        <v>8</v>
      </c>
      <c r="D4579" s="20" t="s">
        <v>10</v>
      </c>
      <c r="E4579" s="20" t="s">
        <v>16</v>
      </c>
      <c r="F4579" s="20" t="str">
        <f>INDEX(nrg_cb_e!$A$3:$A$40,MATCH(LEFT(MID('Industriesektor GWh'!$B4579,41,1000),SEARCH(" - ",MID('Industriesektor GWh'!$B4579,41,1000))-1),nrg_cb_e!$C$3:$C$40,0))</f>
        <v>NRG_NSP_E</v>
      </c>
      <c r="G4579" s="21">
        <v>1448</v>
      </c>
    </row>
    <row r="4580" spans="1:7" x14ac:dyDescent="0.2">
      <c r="A4580" s="16" t="s">
        <v>50</v>
      </c>
      <c r="B4580" s="17" t="s">
        <v>74</v>
      </c>
      <c r="C4580" s="17" t="s">
        <v>8</v>
      </c>
      <c r="D4580" s="17" t="s">
        <v>10</v>
      </c>
      <c r="E4580" s="17" t="s">
        <v>17</v>
      </c>
      <c r="F4580" s="17" t="str">
        <f>INDEX(nrg_cb_e!$A$3:$A$40,MATCH(LEFT(MID('Industriesektor GWh'!$B4580,41,1000),SEARCH(" - ",MID('Industriesektor GWh'!$B4580,41,1000))-1),nrg_cb_e!$C$3:$C$40,0))</f>
        <v>NRG_NSP_E</v>
      </c>
      <c r="G4580" s="18">
        <v>1375</v>
      </c>
    </row>
    <row r="4581" spans="1:7" x14ac:dyDescent="0.2">
      <c r="A4581" s="19" t="s">
        <v>50</v>
      </c>
      <c r="B4581" s="20" t="s">
        <v>74</v>
      </c>
      <c r="C4581" s="20" t="s">
        <v>8</v>
      </c>
      <c r="D4581" s="20" t="s">
        <v>10</v>
      </c>
      <c r="E4581" s="20" t="s">
        <v>18</v>
      </c>
      <c r="F4581" s="20" t="str">
        <f>INDEX(nrg_cb_e!$A$3:$A$40,MATCH(LEFT(MID('Industriesektor GWh'!$B4581,41,1000),SEARCH(" - ",MID('Industriesektor GWh'!$B4581,41,1000))-1),nrg_cb_e!$C$3:$C$40,0))</f>
        <v>NRG_NSP_E</v>
      </c>
      <c r="G4581" s="21">
        <v>1545</v>
      </c>
    </row>
    <row r="4582" spans="1:7" x14ac:dyDescent="0.2">
      <c r="A4582" s="16" t="s">
        <v>50</v>
      </c>
      <c r="B4582" s="17" t="s">
        <v>74</v>
      </c>
      <c r="C4582" s="17" t="s">
        <v>8</v>
      </c>
      <c r="D4582" s="17" t="s">
        <v>10</v>
      </c>
      <c r="E4582" s="17" t="s">
        <v>19</v>
      </c>
      <c r="F4582" s="17" t="str">
        <f>INDEX(nrg_cb_e!$A$3:$A$40,MATCH(LEFT(MID('Industriesektor GWh'!$B4582,41,1000),SEARCH(" - ",MID('Industriesektor GWh'!$B4582,41,1000))-1),nrg_cb_e!$C$3:$C$40,0))</f>
        <v>NRG_NSP_E</v>
      </c>
      <c r="G4582" s="18">
        <v>1492</v>
      </c>
    </row>
    <row r="4583" spans="1:7" x14ac:dyDescent="0.2">
      <c r="A4583" s="19" t="s">
        <v>50</v>
      </c>
      <c r="B4583" s="20" t="s">
        <v>74</v>
      </c>
      <c r="C4583" s="20" t="s">
        <v>8</v>
      </c>
      <c r="D4583" s="20" t="s">
        <v>10</v>
      </c>
      <c r="E4583" s="20" t="s">
        <v>20</v>
      </c>
      <c r="F4583" s="20" t="str">
        <f>INDEX(nrg_cb_e!$A$3:$A$40,MATCH(LEFT(MID('Industriesektor GWh'!$B4583,41,1000),SEARCH(" - ",MID('Industriesektor GWh'!$B4583,41,1000))-1),nrg_cb_e!$C$3:$C$40,0))</f>
        <v>NRG_NSP_E</v>
      </c>
      <c r="G4583" s="21">
        <v>1590</v>
      </c>
    </row>
    <row r="4584" spans="1:7" x14ac:dyDescent="0.2">
      <c r="A4584" s="16" t="s">
        <v>50</v>
      </c>
      <c r="B4584" s="17" t="s">
        <v>74</v>
      </c>
      <c r="C4584" s="17" t="s">
        <v>8</v>
      </c>
      <c r="D4584" s="17" t="s">
        <v>10</v>
      </c>
      <c r="E4584" s="17" t="s">
        <v>21</v>
      </c>
      <c r="F4584" s="17" t="str">
        <f>INDEX(nrg_cb_e!$A$3:$A$40,MATCH(LEFT(MID('Industriesektor GWh'!$B4584,41,1000),SEARCH(" - ",MID('Industriesektor GWh'!$B4584,41,1000))-1),nrg_cb_e!$C$3:$C$40,0))</f>
        <v>NRG_NSP_E</v>
      </c>
      <c r="G4584" s="18">
        <v>1528</v>
      </c>
    </row>
    <row r="4585" spans="1:7" x14ac:dyDescent="0.2">
      <c r="A4585" s="19" t="s">
        <v>50</v>
      </c>
      <c r="B4585" s="20" t="s">
        <v>74</v>
      </c>
      <c r="C4585" s="20" t="s">
        <v>8</v>
      </c>
      <c r="D4585" s="20" t="s">
        <v>10</v>
      </c>
      <c r="E4585" s="20" t="s">
        <v>22</v>
      </c>
      <c r="F4585" s="20" t="str">
        <f>INDEX(nrg_cb_e!$A$3:$A$40,MATCH(LEFT(MID('Industriesektor GWh'!$B4585,41,1000),SEARCH(" - ",MID('Industriesektor GWh'!$B4585,41,1000))-1),nrg_cb_e!$C$3:$C$40,0))</f>
        <v>NRG_NSP_E</v>
      </c>
      <c r="G4585" s="21">
        <v>1340</v>
      </c>
    </row>
    <row r="4586" spans="1:7" x14ac:dyDescent="0.2">
      <c r="A4586" s="16" t="s">
        <v>50</v>
      </c>
      <c r="B4586" s="17" t="s">
        <v>74</v>
      </c>
      <c r="C4586" s="17" t="s">
        <v>8</v>
      </c>
      <c r="D4586" s="17" t="s">
        <v>10</v>
      </c>
      <c r="E4586" s="17" t="s">
        <v>23</v>
      </c>
      <c r="F4586" s="17" t="str">
        <f>INDEX(nrg_cb_e!$A$3:$A$40,MATCH(LEFT(MID('Industriesektor GWh'!$B4586,41,1000),SEARCH(" - ",MID('Industriesektor GWh'!$B4586,41,1000))-1),nrg_cb_e!$C$3:$C$40,0))</f>
        <v>NRG_NSP_E</v>
      </c>
      <c r="G4586" s="18">
        <v>1271</v>
      </c>
    </row>
    <row r="4587" spans="1:7" x14ac:dyDescent="0.2">
      <c r="A4587" s="19" t="s">
        <v>50</v>
      </c>
      <c r="B4587" s="20" t="s">
        <v>74</v>
      </c>
      <c r="C4587" s="20" t="s">
        <v>8</v>
      </c>
      <c r="D4587" s="20" t="s">
        <v>10</v>
      </c>
      <c r="E4587" s="20" t="s">
        <v>24</v>
      </c>
      <c r="F4587" s="20" t="str">
        <f>INDEX(nrg_cb_e!$A$3:$A$40,MATCH(LEFT(MID('Industriesektor GWh'!$B4587,41,1000),SEARCH(" - ",MID('Industriesektor GWh'!$B4587,41,1000))-1),nrg_cb_e!$C$3:$C$40,0))</f>
        <v>NRG_NSP_E</v>
      </c>
      <c r="G4587" s="21">
        <v>490</v>
      </c>
    </row>
    <row r="4588" spans="1:7" x14ac:dyDescent="0.2">
      <c r="A4588" s="16" t="s">
        <v>50</v>
      </c>
      <c r="B4588" s="17" t="s">
        <v>74</v>
      </c>
      <c r="C4588" s="17" t="s">
        <v>8</v>
      </c>
      <c r="D4588" s="17" t="s">
        <v>10</v>
      </c>
      <c r="E4588" s="17" t="s">
        <v>25</v>
      </c>
      <c r="F4588" s="17" t="str">
        <f>INDEX(nrg_cb_e!$A$3:$A$40,MATCH(LEFT(MID('Industriesektor GWh'!$B4588,41,1000),SEARCH(" - ",MID('Industriesektor GWh'!$B4588,41,1000))-1),nrg_cb_e!$C$3:$C$40,0))</f>
        <v>NRG_NSP_E</v>
      </c>
      <c r="G4588" s="18">
        <v>503</v>
      </c>
    </row>
    <row r="4589" spans="1:7" x14ac:dyDescent="0.2">
      <c r="A4589" s="19" t="s">
        <v>50</v>
      </c>
      <c r="B4589" s="20" t="s">
        <v>74</v>
      </c>
      <c r="C4589" s="20" t="s">
        <v>8</v>
      </c>
      <c r="D4589" s="20" t="s">
        <v>10</v>
      </c>
      <c r="E4589" s="20" t="s">
        <v>26</v>
      </c>
      <c r="F4589" s="20" t="str">
        <f>INDEX(nrg_cb_e!$A$3:$A$40,MATCH(LEFT(MID('Industriesektor GWh'!$B4589,41,1000),SEARCH(" - ",MID('Industriesektor GWh'!$B4589,41,1000))-1),nrg_cb_e!$C$3:$C$40,0))</f>
        <v>NRG_NSP_E</v>
      </c>
      <c r="G4589" s="21">
        <v>507.59300000000002</v>
      </c>
    </row>
    <row r="4590" spans="1:7" x14ac:dyDescent="0.2">
      <c r="A4590" s="16" t="s">
        <v>50</v>
      </c>
      <c r="B4590" s="17" t="s">
        <v>74</v>
      </c>
      <c r="C4590" s="17" t="s">
        <v>8</v>
      </c>
      <c r="D4590" s="17" t="s">
        <v>10</v>
      </c>
      <c r="E4590" s="17" t="s">
        <v>27</v>
      </c>
      <c r="F4590" s="17" t="str">
        <f>INDEX(nrg_cb_e!$A$3:$A$40,MATCH(LEFT(MID('Industriesektor GWh'!$B4590,41,1000),SEARCH(" - ",MID('Industriesektor GWh'!$B4590,41,1000))-1),nrg_cb_e!$C$3:$C$40,0))</f>
        <v>NRG_NSP_E</v>
      </c>
      <c r="G4590" s="18">
        <v>516.82100000000003</v>
      </c>
    </row>
    <row r="4591" spans="1:7" x14ac:dyDescent="0.2">
      <c r="A4591" s="19" t="s">
        <v>50</v>
      </c>
      <c r="B4591" s="20" t="s">
        <v>74</v>
      </c>
      <c r="C4591" s="20" t="s">
        <v>8</v>
      </c>
      <c r="D4591" s="20" t="s">
        <v>10</v>
      </c>
      <c r="E4591" s="20" t="s">
        <v>28</v>
      </c>
      <c r="F4591" s="20" t="str">
        <f>INDEX(nrg_cb_e!$A$3:$A$40,MATCH(LEFT(MID('Industriesektor GWh'!$B4591,41,1000),SEARCH(" - ",MID('Industriesektor GWh'!$B4591,41,1000))-1),nrg_cb_e!$C$3:$C$40,0))</f>
        <v>NRG_NSP_E</v>
      </c>
      <c r="G4591" s="21">
        <v>536.68100000000004</v>
      </c>
    </row>
    <row r="4592" spans="1:7" x14ac:dyDescent="0.2">
      <c r="A4592" s="16" t="s">
        <v>51</v>
      </c>
      <c r="B4592" s="17" t="s">
        <v>74</v>
      </c>
      <c r="C4592" s="17" t="s">
        <v>8</v>
      </c>
      <c r="D4592" s="17" t="s">
        <v>10</v>
      </c>
      <c r="E4592" s="17" t="s">
        <v>12</v>
      </c>
      <c r="F4592" s="17" t="str">
        <f>INDEX(nrg_cb_e!$A$3:$A$40,MATCH(LEFT(MID('Industriesektor GWh'!$B4592,41,1000),SEARCH(" - ",MID('Industriesektor GWh'!$B4592,41,1000))-1),nrg_cb_e!$C$3:$C$40,0))</f>
        <v>NRG_NSP_E</v>
      </c>
      <c r="G4592" s="18">
        <v>1373</v>
      </c>
    </row>
    <row r="4593" spans="1:7" x14ac:dyDescent="0.2">
      <c r="A4593" s="19" t="s">
        <v>51</v>
      </c>
      <c r="B4593" s="20" t="s">
        <v>74</v>
      </c>
      <c r="C4593" s="20" t="s">
        <v>8</v>
      </c>
      <c r="D4593" s="20" t="s">
        <v>10</v>
      </c>
      <c r="E4593" s="20" t="s">
        <v>13</v>
      </c>
      <c r="F4593" s="20" t="str">
        <f>INDEX(nrg_cb_e!$A$3:$A$40,MATCH(LEFT(MID('Industriesektor GWh'!$B4593,41,1000),SEARCH(" - ",MID('Industriesektor GWh'!$B4593,41,1000))-1),nrg_cb_e!$C$3:$C$40,0))</f>
        <v>NRG_NSP_E</v>
      </c>
      <c r="G4593" s="21">
        <v>1236</v>
      </c>
    </row>
    <row r="4594" spans="1:7" x14ac:dyDescent="0.2">
      <c r="A4594" s="16" t="s">
        <v>51</v>
      </c>
      <c r="B4594" s="17" t="s">
        <v>74</v>
      </c>
      <c r="C4594" s="17" t="s">
        <v>8</v>
      </c>
      <c r="D4594" s="17" t="s">
        <v>10</v>
      </c>
      <c r="E4594" s="17" t="s">
        <v>14</v>
      </c>
      <c r="F4594" s="17" t="str">
        <f>INDEX(nrg_cb_e!$A$3:$A$40,MATCH(LEFT(MID('Industriesektor GWh'!$B4594,41,1000),SEARCH(" - ",MID('Industriesektor GWh'!$B4594,41,1000))-1),nrg_cb_e!$C$3:$C$40,0))</f>
        <v>NRG_NSP_E</v>
      </c>
      <c r="G4594" s="18">
        <v>1474</v>
      </c>
    </row>
    <row r="4595" spans="1:7" x14ac:dyDescent="0.2">
      <c r="A4595" s="19" t="s">
        <v>51</v>
      </c>
      <c r="B4595" s="20" t="s">
        <v>74</v>
      </c>
      <c r="C4595" s="20" t="s">
        <v>8</v>
      </c>
      <c r="D4595" s="20" t="s">
        <v>10</v>
      </c>
      <c r="E4595" s="20" t="s">
        <v>15</v>
      </c>
      <c r="F4595" s="20" t="str">
        <f>INDEX(nrg_cb_e!$A$3:$A$40,MATCH(LEFT(MID('Industriesektor GWh'!$B4595,41,1000),SEARCH(" - ",MID('Industriesektor GWh'!$B4595,41,1000))-1),nrg_cb_e!$C$3:$C$40,0))</f>
        <v>NRG_NSP_E</v>
      </c>
      <c r="G4595" s="21">
        <v>1554</v>
      </c>
    </row>
    <row r="4596" spans="1:7" x14ac:dyDescent="0.2">
      <c r="A4596" s="16" t="s">
        <v>51</v>
      </c>
      <c r="B4596" s="17" t="s">
        <v>74</v>
      </c>
      <c r="C4596" s="17" t="s">
        <v>8</v>
      </c>
      <c r="D4596" s="17" t="s">
        <v>10</v>
      </c>
      <c r="E4596" s="17" t="s">
        <v>16</v>
      </c>
      <c r="F4596" s="17" t="str">
        <f>INDEX(nrg_cb_e!$A$3:$A$40,MATCH(LEFT(MID('Industriesektor GWh'!$B4596,41,1000),SEARCH(" - ",MID('Industriesektor GWh'!$B4596,41,1000))-1),nrg_cb_e!$C$3:$C$40,0))</f>
        <v>NRG_NSP_E</v>
      </c>
      <c r="G4596" s="18">
        <v>1008</v>
      </c>
    </row>
    <row r="4597" spans="1:7" x14ac:dyDescent="0.2">
      <c r="A4597" s="19" t="s">
        <v>51</v>
      </c>
      <c r="B4597" s="20" t="s">
        <v>74</v>
      </c>
      <c r="C4597" s="20" t="s">
        <v>8</v>
      </c>
      <c r="D4597" s="20" t="s">
        <v>10</v>
      </c>
      <c r="E4597" s="20" t="s">
        <v>17</v>
      </c>
      <c r="F4597" s="20" t="str">
        <f>INDEX(nrg_cb_e!$A$3:$A$40,MATCH(LEFT(MID('Industriesektor GWh'!$B4597,41,1000),SEARCH(" - ",MID('Industriesektor GWh'!$B4597,41,1000))-1),nrg_cb_e!$C$3:$C$40,0))</f>
        <v>NRG_NSP_E</v>
      </c>
      <c r="G4597" s="21">
        <v>1251</v>
      </c>
    </row>
    <row r="4598" spans="1:7" x14ac:dyDescent="0.2">
      <c r="A4598" s="16" t="s">
        <v>51</v>
      </c>
      <c r="B4598" s="17" t="s">
        <v>74</v>
      </c>
      <c r="C4598" s="17" t="s">
        <v>8</v>
      </c>
      <c r="D4598" s="17" t="s">
        <v>10</v>
      </c>
      <c r="E4598" s="17" t="s">
        <v>18</v>
      </c>
      <c r="F4598" s="17" t="str">
        <f>INDEX(nrg_cb_e!$A$3:$A$40,MATCH(LEFT(MID('Industriesektor GWh'!$B4598,41,1000),SEARCH(" - ",MID('Industriesektor GWh'!$B4598,41,1000))-1),nrg_cb_e!$C$3:$C$40,0))</f>
        <v>NRG_NSP_E</v>
      </c>
      <c r="G4598" s="18">
        <v>1025</v>
      </c>
    </row>
    <row r="4599" spans="1:7" x14ac:dyDescent="0.2">
      <c r="A4599" s="19" t="s">
        <v>51</v>
      </c>
      <c r="B4599" s="20" t="s">
        <v>74</v>
      </c>
      <c r="C4599" s="20" t="s">
        <v>8</v>
      </c>
      <c r="D4599" s="20" t="s">
        <v>10</v>
      </c>
      <c r="E4599" s="20" t="s">
        <v>19</v>
      </c>
      <c r="F4599" s="20" t="str">
        <f>INDEX(nrg_cb_e!$A$3:$A$40,MATCH(LEFT(MID('Industriesektor GWh'!$B4599,41,1000),SEARCH(" - ",MID('Industriesektor GWh'!$B4599,41,1000))-1),nrg_cb_e!$C$3:$C$40,0))</f>
        <v>NRG_NSP_E</v>
      </c>
      <c r="G4599" s="21">
        <v>896</v>
      </c>
    </row>
    <row r="4600" spans="1:7" x14ac:dyDescent="0.2">
      <c r="A4600" s="16" t="s">
        <v>51</v>
      </c>
      <c r="B4600" s="17" t="s">
        <v>74</v>
      </c>
      <c r="C4600" s="17" t="s">
        <v>8</v>
      </c>
      <c r="D4600" s="17" t="s">
        <v>10</v>
      </c>
      <c r="E4600" s="17" t="s">
        <v>20</v>
      </c>
      <c r="F4600" s="17" t="str">
        <f>INDEX(nrg_cb_e!$A$3:$A$40,MATCH(LEFT(MID('Industriesektor GWh'!$B4600,41,1000),SEARCH(" - ",MID('Industriesektor GWh'!$B4600,41,1000))-1),nrg_cb_e!$C$3:$C$40,0))</f>
        <v>NRG_NSP_E</v>
      </c>
      <c r="G4600" s="18">
        <v>962</v>
      </c>
    </row>
    <row r="4601" spans="1:7" x14ac:dyDescent="0.2">
      <c r="A4601" s="19" t="s">
        <v>51</v>
      </c>
      <c r="B4601" s="20" t="s">
        <v>74</v>
      </c>
      <c r="C4601" s="20" t="s">
        <v>8</v>
      </c>
      <c r="D4601" s="20" t="s">
        <v>10</v>
      </c>
      <c r="E4601" s="20" t="s">
        <v>21</v>
      </c>
      <c r="F4601" s="20" t="str">
        <f>INDEX(nrg_cb_e!$A$3:$A$40,MATCH(LEFT(MID('Industriesektor GWh'!$B4601,41,1000),SEARCH(" - ",MID('Industriesektor GWh'!$B4601,41,1000))-1),nrg_cb_e!$C$3:$C$40,0))</f>
        <v>NRG_NSP_E</v>
      </c>
      <c r="G4601" s="21">
        <v>1267</v>
      </c>
    </row>
    <row r="4602" spans="1:7" x14ac:dyDescent="0.2">
      <c r="A4602" s="16" t="s">
        <v>51</v>
      </c>
      <c r="B4602" s="17" t="s">
        <v>74</v>
      </c>
      <c r="C4602" s="17" t="s">
        <v>8</v>
      </c>
      <c r="D4602" s="17" t="s">
        <v>10</v>
      </c>
      <c r="E4602" s="17" t="s">
        <v>22</v>
      </c>
      <c r="F4602" s="17" t="str">
        <f>INDEX(nrg_cb_e!$A$3:$A$40,MATCH(LEFT(MID('Industriesektor GWh'!$B4602,41,1000),SEARCH(" - ",MID('Industriesektor GWh'!$B4602,41,1000))-1),nrg_cb_e!$C$3:$C$40,0))</f>
        <v>NRG_NSP_E</v>
      </c>
      <c r="G4602" s="18">
        <v>979</v>
      </c>
    </row>
    <row r="4603" spans="1:7" x14ac:dyDescent="0.2">
      <c r="A4603" s="19" t="s">
        <v>51</v>
      </c>
      <c r="B4603" s="20" t="s">
        <v>74</v>
      </c>
      <c r="C4603" s="20" t="s">
        <v>8</v>
      </c>
      <c r="D4603" s="20" t="s">
        <v>10</v>
      </c>
      <c r="E4603" s="20" t="s">
        <v>23</v>
      </c>
      <c r="F4603" s="20" t="str">
        <f>INDEX(nrg_cb_e!$A$3:$A$40,MATCH(LEFT(MID('Industriesektor GWh'!$B4603,41,1000),SEARCH(" - ",MID('Industriesektor GWh'!$B4603,41,1000))-1),nrg_cb_e!$C$3:$C$40,0))</f>
        <v>NRG_NSP_E</v>
      </c>
      <c r="G4603" s="21">
        <v>1144</v>
      </c>
    </row>
    <row r="4604" spans="1:7" x14ac:dyDescent="0.2">
      <c r="A4604" s="16" t="s">
        <v>51</v>
      </c>
      <c r="B4604" s="17" t="s">
        <v>74</v>
      </c>
      <c r="C4604" s="17" t="s">
        <v>8</v>
      </c>
      <c r="D4604" s="17" t="s">
        <v>10</v>
      </c>
      <c r="E4604" s="17" t="s">
        <v>24</v>
      </c>
      <c r="F4604" s="17" t="str">
        <f>INDEX(nrg_cb_e!$A$3:$A$40,MATCH(LEFT(MID('Industriesektor GWh'!$B4604,41,1000),SEARCH(" - ",MID('Industriesektor GWh'!$B4604,41,1000))-1),nrg_cb_e!$C$3:$C$40,0))</f>
        <v>NRG_NSP_E</v>
      </c>
      <c r="G4604" s="18">
        <v>1074</v>
      </c>
    </row>
    <row r="4605" spans="1:7" x14ac:dyDescent="0.2">
      <c r="A4605" s="19" t="s">
        <v>51</v>
      </c>
      <c r="B4605" s="20" t="s">
        <v>74</v>
      </c>
      <c r="C4605" s="20" t="s">
        <v>8</v>
      </c>
      <c r="D4605" s="20" t="s">
        <v>10</v>
      </c>
      <c r="E4605" s="20" t="s">
        <v>25</v>
      </c>
      <c r="F4605" s="20" t="str">
        <f>INDEX(nrg_cb_e!$A$3:$A$40,MATCH(LEFT(MID('Industriesektor GWh'!$B4605,41,1000),SEARCH(" - ",MID('Industriesektor GWh'!$B4605,41,1000))-1),nrg_cb_e!$C$3:$C$40,0))</f>
        <v>NRG_NSP_E</v>
      </c>
      <c r="G4605" s="21">
        <v>1080</v>
      </c>
    </row>
    <row r="4606" spans="1:7" x14ac:dyDescent="0.2">
      <c r="A4606" s="16" t="s">
        <v>51</v>
      </c>
      <c r="B4606" s="17" t="s">
        <v>74</v>
      </c>
      <c r="C4606" s="17" t="s">
        <v>8</v>
      </c>
      <c r="D4606" s="17" t="s">
        <v>10</v>
      </c>
      <c r="E4606" s="17" t="s">
        <v>26</v>
      </c>
      <c r="F4606" s="17" t="str">
        <f>INDEX(nrg_cb_e!$A$3:$A$40,MATCH(LEFT(MID('Industriesektor GWh'!$B4606,41,1000),SEARCH(" - ",MID('Industriesektor GWh'!$B4606,41,1000))-1),nrg_cb_e!$C$3:$C$40,0))</f>
        <v>NRG_NSP_E</v>
      </c>
      <c r="G4606" s="18">
        <v>1157</v>
      </c>
    </row>
    <row r="4607" spans="1:7" x14ac:dyDescent="0.2">
      <c r="A4607" s="19" t="s">
        <v>51</v>
      </c>
      <c r="B4607" s="20" t="s">
        <v>74</v>
      </c>
      <c r="C4607" s="20" t="s">
        <v>8</v>
      </c>
      <c r="D4607" s="20" t="s">
        <v>10</v>
      </c>
      <c r="E4607" s="20" t="s">
        <v>27</v>
      </c>
      <c r="F4607" s="20" t="str">
        <f>INDEX(nrg_cb_e!$A$3:$A$40,MATCH(LEFT(MID('Industriesektor GWh'!$B4607,41,1000),SEARCH(" - ",MID('Industriesektor GWh'!$B4607,41,1000))-1),nrg_cb_e!$C$3:$C$40,0))</f>
        <v>NRG_NSP_E</v>
      </c>
      <c r="G4607" s="21">
        <v>1157.864</v>
      </c>
    </row>
    <row r="4608" spans="1:7" x14ac:dyDescent="0.2">
      <c r="A4608" s="16" t="s">
        <v>51</v>
      </c>
      <c r="B4608" s="17" t="s">
        <v>74</v>
      </c>
      <c r="C4608" s="17" t="s">
        <v>8</v>
      </c>
      <c r="D4608" s="17" t="s">
        <v>10</v>
      </c>
      <c r="E4608" s="17" t="s">
        <v>28</v>
      </c>
      <c r="F4608" s="17" t="str">
        <f>INDEX(nrg_cb_e!$A$3:$A$40,MATCH(LEFT(MID('Industriesektor GWh'!$B4608,41,1000),SEARCH(" - ",MID('Industriesektor GWh'!$B4608,41,1000))-1),nrg_cb_e!$C$3:$C$40,0))</f>
        <v>NRG_NSP_E</v>
      </c>
      <c r="G4608" s="18">
        <v>1140.7190000000001</v>
      </c>
    </row>
    <row r="4609" spans="1:7" x14ac:dyDescent="0.2">
      <c r="A4609" s="19" t="s">
        <v>52</v>
      </c>
      <c r="B4609" s="20" t="s">
        <v>74</v>
      </c>
      <c r="C4609" s="20" t="s">
        <v>8</v>
      </c>
      <c r="D4609" s="20" t="s">
        <v>10</v>
      </c>
      <c r="E4609" s="20" t="s">
        <v>12</v>
      </c>
      <c r="F4609" s="20" t="str">
        <f>INDEX(nrg_cb_e!$A$3:$A$40,MATCH(LEFT(MID('Industriesektor GWh'!$B4609,41,1000),SEARCH(" - ",MID('Industriesektor GWh'!$B4609,41,1000))-1),nrg_cb_e!$C$3:$C$40,0))</f>
        <v>NRG_NSP_E</v>
      </c>
      <c r="G4609" s="21">
        <v>336</v>
      </c>
    </row>
    <row r="4610" spans="1:7" x14ac:dyDescent="0.2">
      <c r="A4610" s="16" t="s">
        <v>52</v>
      </c>
      <c r="B4610" s="17" t="s">
        <v>74</v>
      </c>
      <c r="C4610" s="17" t="s">
        <v>8</v>
      </c>
      <c r="D4610" s="17" t="s">
        <v>10</v>
      </c>
      <c r="E4610" s="17" t="s">
        <v>13</v>
      </c>
      <c r="F4610" s="17" t="str">
        <f>INDEX(nrg_cb_e!$A$3:$A$40,MATCH(LEFT(MID('Industriesektor GWh'!$B4610,41,1000),SEARCH(" - ",MID('Industriesektor GWh'!$B4610,41,1000))-1),nrg_cb_e!$C$3:$C$40,0))</f>
        <v>NRG_NSP_E</v>
      </c>
      <c r="G4610" s="18">
        <v>411</v>
      </c>
    </row>
    <row r="4611" spans="1:7" x14ac:dyDescent="0.2">
      <c r="A4611" s="19" t="s">
        <v>52</v>
      </c>
      <c r="B4611" s="20" t="s">
        <v>74</v>
      </c>
      <c r="C4611" s="20" t="s">
        <v>8</v>
      </c>
      <c r="D4611" s="20" t="s">
        <v>10</v>
      </c>
      <c r="E4611" s="20" t="s">
        <v>14</v>
      </c>
      <c r="F4611" s="20" t="str">
        <f>INDEX(nrg_cb_e!$A$3:$A$40,MATCH(LEFT(MID('Industriesektor GWh'!$B4611,41,1000),SEARCH(" - ",MID('Industriesektor GWh'!$B4611,41,1000))-1),nrg_cb_e!$C$3:$C$40,0))</f>
        <v>NRG_NSP_E</v>
      </c>
      <c r="G4611" s="21">
        <v>429</v>
      </c>
    </row>
    <row r="4612" spans="1:7" x14ac:dyDescent="0.2">
      <c r="A4612" s="16" t="s">
        <v>52</v>
      </c>
      <c r="B4612" s="17" t="s">
        <v>74</v>
      </c>
      <c r="C4612" s="17" t="s">
        <v>8</v>
      </c>
      <c r="D4612" s="17" t="s">
        <v>10</v>
      </c>
      <c r="E4612" s="17" t="s">
        <v>15</v>
      </c>
      <c r="F4612" s="17" t="str">
        <f>INDEX(nrg_cb_e!$A$3:$A$40,MATCH(LEFT(MID('Industriesektor GWh'!$B4612,41,1000),SEARCH(" - ",MID('Industriesektor GWh'!$B4612,41,1000))-1),nrg_cb_e!$C$3:$C$40,0))</f>
        <v>NRG_NSP_E</v>
      </c>
      <c r="G4612" s="18">
        <v>457</v>
      </c>
    </row>
    <row r="4613" spans="1:7" x14ac:dyDescent="0.2">
      <c r="A4613" s="19" t="s">
        <v>52</v>
      </c>
      <c r="B4613" s="20" t="s">
        <v>74</v>
      </c>
      <c r="C4613" s="20" t="s">
        <v>8</v>
      </c>
      <c r="D4613" s="20" t="s">
        <v>10</v>
      </c>
      <c r="E4613" s="20" t="s">
        <v>16</v>
      </c>
      <c r="F4613" s="20" t="str">
        <f>INDEX(nrg_cb_e!$A$3:$A$40,MATCH(LEFT(MID('Industriesektor GWh'!$B4613,41,1000),SEARCH(" - ",MID('Industriesektor GWh'!$B4613,41,1000))-1),nrg_cb_e!$C$3:$C$40,0))</f>
        <v>NRG_NSP_E</v>
      </c>
      <c r="G4613" s="21">
        <v>548</v>
      </c>
    </row>
    <row r="4614" spans="1:7" x14ac:dyDescent="0.2">
      <c r="A4614" s="16" t="s">
        <v>52</v>
      </c>
      <c r="B4614" s="17" t="s">
        <v>74</v>
      </c>
      <c r="C4614" s="17" t="s">
        <v>8</v>
      </c>
      <c r="D4614" s="17" t="s">
        <v>10</v>
      </c>
      <c r="E4614" s="17" t="s">
        <v>17</v>
      </c>
      <c r="F4614" s="17" t="str">
        <f>INDEX(nrg_cb_e!$A$3:$A$40,MATCH(LEFT(MID('Industriesektor GWh'!$B4614,41,1000),SEARCH(" - ",MID('Industriesektor GWh'!$B4614,41,1000))-1),nrg_cb_e!$C$3:$C$40,0))</f>
        <v>NRG_NSP_E</v>
      </c>
      <c r="G4614" s="18">
        <v>533</v>
      </c>
    </row>
    <row r="4615" spans="1:7" x14ac:dyDescent="0.2">
      <c r="A4615" s="19" t="s">
        <v>52</v>
      </c>
      <c r="B4615" s="20" t="s">
        <v>74</v>
      </c>
      <c r="C4615" s="20" t="s">
        <v>8</v>
      </c>
      <c r="D4615" s="20" t="s">
        <v>10</v>
      </c>
      <c r="E4615" s="20" t="s">
        <v>18</v>
      </c>
      <c r="F4615" s="20" t="str">
        <f>INDEX(nrg_cb_e!$A$3:$A$40,MATCH(LEFT(MID('Industriesektor GWh'!$B4615,41,1000),SEARCH(" - ",MID('Industriesektor GWh'!$B4615,41,1000))-1),nrg_cb_e!$C$3:$C$40,0))</f>
        <v>NRG_NSP_E</v>
      </c>
      <c r="G4615" s="21">
        <v>455</v>
      </c>
    </row>
    <row r="4616" spans="1:7" x14ac:dyDescent="0.2">
      <c r="A4616" s="16" t="s">
        <v>52</v>
      </c>
      <c r="B4616" s="17" t="s">
        <v>74</v>
      </c>
      <c r="C4616" s="17" t="s">
        <v>8</v>
      </c>
      <c r="D4616" s="17" t="s">
        <v>10</v>
      </c>
      <c r="E4616" s="17" t="s">
        <v>19</v>
      </c>
      <c r="F4616" s="17" t="str">
        <f>INDEX(nrg_cb_e!$A$3:$A$40,MATCH(LEFT(MID('Industriesektor GWh'!$B4616,41,1000),SEARCH(" - ",MID('Industriesektor GWh'!$B4616,41,1000))-1),nrg_cb_e!$C$3:$C$40,0))</f>
        <v>NRG_NSP_E</v>
      </c>
      <c r="G4616" s="18">
        <v>400</v>
      </c>
    </row>
    <row r="4617" spans="1:7" x14ac:dyDescent="0.2">
      <c r="A4617" s="19" t="s">
        <v>52</v>
      </c>
      <c r="B4617" s="20" t="s">
        <v>74</v>
      </c>
      <c r="C4617" s="20" t="s">
        <v>8</v>
      </c>
      <c r="D4617" s="20" t="s">
        <v>10</v>
      </c>
      <c r="E4617" s="20" t="s">
        <v>20</v>
      </c>
      <c r="F4617" s="20" t="str">
        <f>INDEX(nrg_cb_e!$A$3:$A$40,MATCH(LEFT(MID('Industriesektor GWh'!$B4617,41,1000),SEARCH(" - ",MID('Industriesektor GWh'!$B4617,41,1000))-1),nrg_cb_e!$C$3:$C$40,0))</f>
        <v>NRG_NSP_E</v>
      </c>
      <c r="G4617" s="21">
        <v>433</v>
      </c>
    </row>
    <row r="4618" spans="1:7" x14ac:dyDescent="0.2">
      <c r="A4618" s="16" t="s">
        <v>52</v>
      </c>
      <c r="B4618" s="17" t="s">
        <v>74</v>
      </c>
      <c r="C4618" s="17" t="s">
        <v>8</v>
      </c>
      <c r="D4618" s="17" t="s">
        <v>10</v>
      </c>
      <c r="E4618" s="17" t="s">
        <v>21</v>
      </c>
      <c r="F4618" s="17" t="str">
        <f>INDEX(nrg_cb_e!$A$3:$A$40,MATCH(LEFT(MID('Industriesektor GWh'!$B4618,41,1000),SEARCH(" - ",MID('Industriesektor GWh'!$B4618,41,1000))-1),nrg_cb_e!$C$3:$C$40,0))</f>
        <v>NRG_NSP_E</v>
      </c>
      <c r="G4618" s="18">
        <v>417</v>
      </c>
    </row>
    <row r="4619" spans="1:7" x14ac:dyDescent="0.2">
      <c r="A4619" s="19" t="s">
        <v>52</v>
      </c>
      <c r="B4619" s="20" t="s">
        <v>74</v>
      </c>
      <c r="C4619" s="20" t="s">
        <v>8</v>
      </c>
      <c r="D4619" s="20" t="s">
        <v>10</v>
      </c>
      <c r="E4619" s="20" t="s">
        <v>22</v>
      </c>
      <c r="F4619" s="20" t="str">
        <f>INDEX(nrg_cb_e!$A$3:$A$40,MATCH(LEFT(MID('Industriesektor GWh'!$B4619,41,1000),SEARCH(" - ",MID('Industriesektor GWh'!$B4619,41,1000))-1),nrg_cb_e!$C$3:$C$40,0))</f>
        <v>NRG_NSP_E</v>
      </c>
      <c r="G4619" s="21">
        <v>392</v>
      </c>
    </row>
    <row r="4620" spans="1:7" x14ac:dyDescent="0.2">
      <c r="A4620" s="16" t="s">
        <v>52</v>
      </c>
      <c r="B4620" s="17" t="s">
        <v>74</v>
      </c>
      <c r="C4620" s="17" t="s">
        <v>8</v>
      </c>
      <c r="D4620" s="17" t="s">
        <v>10</v>
      </c>
      <c r="E4620" s="17" t="s">
        <v>23</v>
      </c>
      <c r="F4620" s="17" t="str">
        <f>INDEX(nrg_cb_e!$A$3:$A$40,MATCH(LEFT(MID('Industriesektor GWh'!$B4620,41,1000),SEARCH(" - ",MID('Industriesektor GWh'!$B4620,41,1000))-1),nrg_cb_e!$C$3:$C$40,0))</f>
        <v>NRG_NSP_E</v>
      </c>
      <c r="G4620" s="18">
        <v>408</v>
      </c>
    </row>
    <row r="4621" spans="1:7" x14ac:dyDescent="0.2">
      <c r="A4621" s="19" t="s">
        <v>52</v>
      </c>
      <c r="B4621" s="20" t="s">
        <v>74</v>
      </c>
      <c r="C4621" s="20" t="s">
        <v>8</v>
      </c>
      <c r="D4621" s="20" t="s">
        <v>10</v>
      </c>
      <c r="E4621" s="20" t="s">
        <v>24</v>
      </c>
      <c r="F4621" s="20" t="str">
        <f>INDEX(nrg_cb_e!$A$3:$A$40,MATCH(LEFT(MID('Industriesektor GWh'!$B4621,41,1000),SEARCH(" - ",MID('Industriesektor GWh'!$B4621,41,1000))-1),nrg_cb_e!$C$3:$C$40,0))</f>
        <v>NRG_NSP_E</v>
      </c>
      <c r="G4621" s="21">
        <v>422</v>
      </c>
    </row>
    <row r="4622" spans="1:7" x14ac:dyDescent="0.2">
      <c r="A4622" s="16" t="s">
        <v>52</v>
      </c>
      <c r="B4622" s="17" t="s">
        <v>74</v>
      </c>
      <c r="C4622" s="17" t="s">
        <v>8</v>
      </c>
      <c r="D4622" s="17" t="s">
        <v>10</v>
      </c>
      <c r="E4622" s="17" t="s">
        <v>25</v>
      </c>
      <c r="F4622" s="17" t="str">
        <f>INDEX(nrg_cb_e!$A$3:$A$40,MATCH(LEFT(MID('Industriesektor GWh'!$B4622,41,1000),SEARCH(" - ",MID('Industriesektor GWh'!$B4622,41,1000))-1),nrg_cb_e!$C$3:$C$40,0))</f>
        <v>NRG_NSP_E</v>
      </c>
      <c r="G4622" s="18">
        <v>428</v>
      </c>
    </row>
    <row r="4623" spans="1:7" x14ac:dyDescent="0.2">
      <c r="A4623" s="19" t="s">
        <v>52</v>
      </c>
      <c r="B4623" s="20" t="s">
        <v>74</v>
      </c>
      <c r="C4623" s="20" t="s">
        <v>8</v>
      </c>
      <c r="D4623" s="20" t="s">
        <v>10</v>
      </c>
      <c r="E4623" s="20" t="s">
        <v>26</v>
      </c>
      <c r="F4623" s="20" t="str">
        <f>INDEX(nrg_cb_e!$A$3:$A$40,MATCH(LEFT(MID('Industriesektor GWh'!$B4623,41,1000),SEARCH(" - ",MID('Industriesektor GWh'!$B4623,41,1000))-1),nrg_cb_e!$C$3:$C$40,0))</f>
        <v>NRG_NSP_E</v>
      </c>
      <c r="G4623" s="21">
        <v>465</v>
      </c>
    </row>
    <row r="4624" spans="1:7" x14ac:dyDescent="0.2">
      <c r="A4624" s="16" t="s">
        <v>52</v>
      </c>
      <c r="B4624" s="17" t="s">
        <v>74</v>
      </c>
      <c r="C4624" s="17" t="s">
        <v>8</v>
      </c>
      <c r="D4624" s="17" t="s">
        <v>10</v>
      </c>
      <c r="E4624" s="17" t="s">
        <v>27</v>
      </c>
      <c r="F4624" s="17" t="str">
        <f>INDEX(nrg_cb_e!$A$3:$A$40,MATCH(LEFT(MID('Industriesektor GWh'!$B4624,41,1000),SEARCH(" - ",MID('Industriesektor GWh'!$B4624,41,1000))-1),nrg_cb_e!$C$3:$C$40,0))</f>
        <v>NRG_NSP_E</v>
      </c>
      <c r="G4624" s="18">
        <v>494.25</v>
      </c>
    </row>
    <row r="4625" spans="1:7" x14ac:dyDescent="0.2">
      <c r="A4625" s="19" t="s">
        <v>52</v>
      </c>
      <c r="B4625" s="20" t="s">
        <v>74</v>
      </c>
      <c r="C4625" s="20" t="s">
        <v>8</v>
      </c>
      <c r="D4625" s="20" t="s">
        <v>10</v>
      </c>
      <c r="E4625" s="20" t="s">
        <v>28</v>
      </c>
      <c r="F4625" s="20" t="str">
        <f>INDEX(nrg_cb_e!$A$3:$A$40,MATCH(LEFT(MID('Industriesektor GWh'!$B4625,41,1000),SEARCH(" - ",MID('Industriesektor GWh'!$B4625,41,1000))-1),nrg_cb_e!$C$3:$C$40,0))</f>
        <v>NRG_NSP_E</v>
      </c>
      <c r="G4625" s="21">
        <v>537.428</v>
      </c>
    </row>
    <row r="4626" spans="1:7" x14ac:dyDescent="0.2">
      <c r="A4626" s="16" t="s">
        <v>53</v>
      </c>
      <c r="B4626" s="17" t="s">
        <v>74</v>
      </c>
      <c r="C4626" s="17" t="s">
        <v>8</v>
      </c>
      <c r="D4626" s="17" t="s">
        <v>10</v>
      </c>
      <c r="E4626" s="17" t="s">
        <v>12</v>
      </c>
      <c r="F4626" s="17" t="str">
        <f>INDEX(nrg_cb_e!$A$3:$A$40,MATCH(LEFT(MID('Industriesektor GWh'!$B4626,41,1000),SEARCH(" - ",MID('Industriesektor GWh'!$B4626,41,1000))-1),nrg_cb_e!$C$3:$C$40,0))</f>
        <v>NRG_NSP_E</v>
      </c>
      <c r="G4626" s="18">
        <v>384</v>
      </c>
    </row>
    <row r="4627" spans="1:7" x14ac:dyDescent="0.2">
      <c r="A4627" s="19" t="s">
        <v>53</v>
      </c>
      <c r="B4627" s="20" t="s">
        <v>74</v>
      </c>
      <c r="C4627" s="20" t="s">
        <v>8</v>
      </c>
      <c r="D4627" s="20" t="s">
        <v>10</v>
      </c>
      <c r="E4627" s="20" t="s">
        <v>13</v>
      </c>
      <c r="F4627" s="20" t="str">
        <f>INDEX(nrg_cb_e!$A$3:$A$40,MATCH(LEFT(MID('Industriesektor GWh'!$B4627,41,1000),SEARCH(" - ",MID('Industriesektor GWh'!$B4627,41,1000))-1),nrg_cb_e!$C$3:$C$40,0))</f>
        <v>NRG_NSP_E</v>
      </c>
      <c r="G4627" s="21">
        <v>468</v>
      </c>
    </row>
    <row r="4628" spans="1:7" x14ac:dyDescent="0.2">
      <c r="A4628" s="16" t="s">
        <v>53</v>
      </c>
      <c r="B4628" s="17" t="s">
        <v>74</v>
      </c>
      <c r="C4628" s="17" t="s">
        <v>8</v>
      </c>
      <c r="D4628" s="17" t="s">
        <v>10</v>
      </c>
      <c r="E4628" s="17" t="s">
        <v>14</v>
      </c>
      <c r="F4628" s="17" t="str">
        <f>INDEX(nrg_cb_e!$A$3:$A$40,MATCH(LEFT(MID('Industriesektor GWh'!$B4628,41,1000),SEARCH(" - ",MID('Industriesektor GWh'!$B4628,41,1000))-1),nrg_cb_e!$C$3:$C$40,0))</f>
        <v>NRG_NSP_E</v>
      </c>
      <c r="G4628" s="18">
        <v>480</v>
      </c>
    </row>
    <row r="4629" spans="1:7" x14ac:dyDescent="0.2">
      <c r="A4629" s="19" t="s">
        <v>53</v>
      </c>
      <c r="B4629" s="20" t="s">
        <v>74</v>
      </c>
      <c r="C4629" s="20" t="s">
        <v>8</v>
      </c>
      <c r="D4629" s="20" t="s">
        <v>10</v>
      </c>
      <c r="E4629" s="20" t="s">
        <v>15</v>
      </c>
      <c r="F4629" s="20" t="str">
        <f>INDEX(nrg_cb_e!$A$3:$A$40,MATCH(LEFT(MID('Industriesektor GWh'!$B4629,41,1000),SEARCH(" - ",MID('Industriesektor GWh'!$B4629,41,1000))-1),nrg_cb_e!$C$3:$C$40,0))</f>
        <v>NRG_NSP_E</v>
      </c>
      <c r="G4629" s="21">
        <v>728</v>
      </c>
    </row>
    <row r="4630" spans="1:7" x14ac:dyDescent="0.2">
      <c r="A4630" s="16" t="s">
        <v>53</v>
      </c>
      <c r="B4630" s="17" t="s">
        <v>74</v>
      </c>
      <c r="C4630" s="17" t="s">
        <v>8</v>
      </c>
      <c r="D4630" s="17" t="s">
        <v>10</v>
      </c>
      <c r="E4630" s="17" t="s">
        <v>16</v>
      </c>
      <c r="F4630" s="17" t="str">
        <f>INDEX(nrg_cb_e!$A$3:$A$40,MATCH(LEFT(MID('Industriesektor GWh'!$B4630,41,1000),SEARCH(" - ",MID('Industriesektor GWh'!$B4630,41,1000))-1),nrg_cb_e!$C$3:$C$40,0))</f>
        <v>NRG_NSP_E</v>
      </c>
      <c r="G4630" s="18">
        <v>556</v>
      </c>
    </row>
    <row r="4631" spans="1:7" x14ac:dyDescent="0.2">
      <c r="A4631" s="19" t="s">
        <v>53</v>
      </c>
      <c r="B4631" s="20" t="s">
        <v>74</v>
      </c>
      <c r="C4631" s="20" t="s">
        <v>8</v>
      </c>
      <c r="D4631" s="20" t="s">
        <v>10</v>
      </c>
      <c r="E4631" s="20" t="s">
        <v>17</v>
      </c>
      <c r="F4631" s="20" t="str">
        <f>INDEX(nrg_cb_e!$A$3:$A$40,MATCH(LEFT(MID('Industriesektor GWh'!$B4631,41,1000),SEARCH(" - ",MID('Industriesektor GWh'!$B4631,41,1000))-1),nrg_cb_e!$C$3:$C$40,0))</f>
        <v>NRG_NSP_E</v>
      </c>
      <c r="G4631" s="21">
        <v>580</v>
      </c>
    </row>
    <row r="4632" spans="1:7" x14ac:dyDescent="0.2">
      <c r="A4632" s="16" t="s">
        <v>53</v>
      </c>
      <c r="B4632" s="17" t="s">
        <v>74</v>
      </c>
      <c r="C4632" s="17" t="s">
        <v>8</v>
      </c>
      <c r="D4632" s="17" t="s">
        <v>10</v>
      </c>
      <c r="E4632" s="17" t="s">
        <v>18</v>
      </c>
      <c r="F4632" s="17" t="str">
        <f>INDEX(nrg_cb_e!$A$3:$A$40,MATCH(LEFT(MID('Industriesektor GWh'!$B4632,41,1000),SEARCH(" - ",MID('Industriesektor GWh'!$B4632,41,1000))-1),nrg_cb_e!$C$3:$C$40,0))</f>
        <v>NRG_NSP_E</v>
      </c>
      <c r="G4632" s="18">
        <v>720</v>
      </c>
    </row>
    <row r="4633" spans="1:7" x14ac:dyDescent="0.2">
      <c r="A4633" s="19" t="s">
        <v>53</v>
      </c>
      <c r="B4633" s="20" t="s">
        <v>74</v>
      </c>
      <c r="C4633" s="20" t="s">
        <v>8</v>
      </c>
      <c r="D4633" s="20" t="s">
        <v>10</v>
      </c>
      <c r="E4633" s="20" t="s">
        <v>19</v>
      </c>
      <c r="F4633" s="20" t="str">
        <f>INDEX(nrg_cb_e!$A$3:$A$40,MATCH(LEFT(MID('Industriesektor GWh'!$B4633,41,1000),SEARCH(" - ",MID('Industriesektor GWh'!$B4633,41,1000))-1),nrg_cb_e!$C$3:$C$40,0))</f>
        <v>NRG_NSP_E</v>
      </c>
      <c r="G4633" s="21">
        <v>690</v>
      </c>
    </row>
    <row r="4634" spans="1:7" x14ac:dyDescent="0.2">
      <c r="A4634" s="16" t="s">
        <v>53</v>
      </c>
      <c r="B4634" s="17" t="s">
        <v>74</v>
      </c>
      <c r="C4634" s="17" t="s">
        <v>8</v>
      </c>
      <c r="D4634" s="17" t="s">
        <v>10</v>
      </c>
      <c r="E4634" s="17" t="s">
        <v>20</v>
      </c>
      <c r="F4634" s="17" t="str">
        <f>INDEX(nrg_cb_e!$A$3:$A$40,MATCH(LEFT(MID('Industriesektor GWh'!$B4634,41,1000),SEARCH(" - ",MID('Industriesektor GWh'!$B4634,41,1000))-1),nrg_cb_e!$C$3:$C$40,0))</f>
        <v>NRG_NSP_E</v>
      </c>
      <c r="G4634" s="18">
        <v>778</v>
      </c>
    </row>
    <row r="4635" spans="1:7" x14ac:dyDescent="0.2">
      <c r="A4635" s="19" t="s">
        <v>53</v>
      </c>
      <c r="B4635" s="20" t="s">
        <v>74</v>
      </c>
      <c r="C4635" s="20" t="s">
        <v>8</v>
      </c>
      <c r="D4635" s="20" t="s">
        <v>10</v>
      </c>
      <c r="E4635" s="20" t="s">
        <v>21</v>
      </c>
      <c r="F4635" s="20" t="str">
        <f>INDEX(nrg_cb_e!$A$3:$A$40,MATCH(LEFT(MID('Industriesektor GWh'!$B4635,41,1000),SEARCH(" - ",MID('Industriesektor GWh'!$B4635,41,1000))-1),nrg_cb_e!$C$3:$C$40,0))</f>
        <v>NRG_NSP_E</v>
      </c>
      <c r="G4635" s="21">
        <v>777</v>
      </c>
    </row>
    <row r="4636" spans="1:7" x14ac:dyDescent="0.2">
      <c r="A4636" s="16" t="s">
        <v>53</v>
      </c>
      <c r="B4636" s="17" t="s">
        <v>74</v>
      </c>
      <c r="C4636" s="17" t="s">
        <v>8</v>
      </c>
      <c r="D4636" s="17" t="s">
        <v>10</v>
      </c>
      <c r="E4636" s="17" t="s">
        <v>22</v>
      </c>
      <c r="F4636" s="17" t="str">
        <f>INDEX(nrg_cb_e!$A$3:$A$40,MATCH(LEFT(MID('Industriesektor GWh'!$B4636,41,1000),SEARCH(" - ",MID('Industriesektor GWh'!$B4636,41,1000))-1),nrg_cb_e!$C$3:$C$40,0))</f>
        <v>NRG_NSP_E</v>
      </c>
      <c r="G4636" s="18">
        <v>808</v>
      </c>
    </row>
    <row r="4637" spans="1:7" x14ac:dyDescent="0.2">
      <c r="A4637" s="19" t="s">
        <v>53</v>
      </c>
      <c r="B4637" s="20" t="s">
        <v>74</v>
      </c>
      <c r="C4637" s="20" t="s">
        <v>8</v>
      </c>
      <c r="D4637" s="20" t="s">
        <v>10</v>
      </c>
      <c r="E4637" s="20" t="s">
        <v>23</v>
      </c>
      <c r="F4637" s="20" t="str">
        <f>INDEX(nrg_cb_e!$A$3:$A$40,MATCH(LEFT(MID('Industriesektor GWh'!$B4637,41,1000),SEARCH(" - ",MID('Industriesektor GWh'!$B4637,41,1000))-1),nrg_cb_e!$C$3:$C$40,0))</f>
        <v>NRG_NSP_E</v>
      </c>
      <c r="G4637" s="21">
        <v>686</v>
      </c>
    </row>
    <row r="4638" spans="1:7" x14ac:dyDescent="0.2">
      <c r="A4638" s="16" t="s">
        <v>53</v>
      </c>
      <c r="B4638" s="17" t="s">
        <v>74</v>
      </c>
      <c r="C4638" s="17" t="s">
        <v>8</v>
      </c>
      <c r="D4638" s="17" t="s">
        <v>10</v>
      </c>
      <c r="E4638" s="17" t="s">
        <v>24</v>
      </c>
      <c r="F4638" s="17" t="str">
        <f>INDEX(nrg_cb_e!$A$3:$A$40,MATCH(LEFT(MID('Industriesektor GWh'!$B4638,41,1000),SEARCH(" - ",MID('Industriesektor GWh'!$B4638,41,1000))-1),nrg_cb_e!$C$3:$C$40,0))</f>
        <v>NRG_NSP_E</v>
      </c>
      <c r="G4638" s="18">
        <v>898</v>
      </c>
    </row>
    <row r="4639" spans="1:7" x14ac:dyDescent="0.2">
      <c r="A4639" s="19" t="s">
        <v>53</v>
      </c>
      <c r="B4639" s="20" t="s">
        <v>74</v>
      </c>
      <c r="C4639" s="20" t="s">
        <v>8</v>
      </c>
      <c r="D4639" s="20" t="s">
        <v>10</v>
      </c>
      <c r="E4639" s="20" t="s">
        <v>25</v>
      </c>
      <c r="F4639" s="20" t="str">
        <f>INDEX(nrg_cb_e!$A$3:$A$40,MATCH(LEFT(MID('Industriesektor GWh'!$B4639,41,1000),SEARCH(" - ",MID('Industriesektor GWh'!$B4639,41,1000))-1),nrg_cb_e!$C$3:$C$40,0))</f>
        <v>NRG_NSP_E</v>
      </c>
      <c r="G4639" s="21">
        <v>900</v>
      </c>
    </row>
    <row r="4640" spans="1:7" x14ac:dyDescent="0.2">
      <c r="A4640" s="16" t="s">
        <v>53</v>
      </c>
      <c r="B4640" s="17" t="s">
        <v>74</v>
      </c>
      <c r="C4640" s="17" t="s">
        <v>8</v>
      </c>
      <c r="D4640" s="17" t="s">
        <v>10</v>
      </c>
      <c r="E4640" s="17" t="s">
        <v>26</v>
      </c>
      <c r="F4640" s="17" t="str">
        <f>INDEX(nrg_cb_e!$A$3:$A$40,MATCH(LEFT(MID('Industriesektor GWh'!$B4640,41,1000),SEARCH(" - ",MID('Industriesektor GWh'!$B4640,41,1000))-1),nrg_cb_e!$C$3:$C$40,0))</f>
        <v>NRG_NSP_E</v>
      </c>
      <c r="G4640" s="18">
        <v>982</v>
      </c>
    </row>
    <row r="4641" spans="1:7" x14ac:dyDescent="0.2">
      <c r="A4641" s="19" t="s">
        <v>53</v>
      </c>
      <c r="B4641" s="20" t="s">
        <v>74</v>
      </c>
      <c r="C4641" s="20" t="s">
        <v>8</v>
      </c>
      <c r="D4641" s="20" t="s">
        <v>10</v>
      </c>
      <c r="E4641" s="20" t="s">
        <v>27</v>
      </c>
      <c r="F4641" s="20" t="str">
        <f>INDEX(nrg_cb_e!$A$3:$A$40,MATCH(LEFT(MID('Industriesektor GWh'!$B4641,41,1000),SEARCH(" - ",MID('Industriesektor GWh'!$B4641,41,1000))-1),nrg_cb_e!$C$3:$C$40,0))</f>
        <v>NRG_NSP_E</v>
      </c>
      <c r="G4641" s="21">
        <v>1044</v>
      </c>
    </row>
    <row r="4642" spans="1:7" x14ac:dyDescent="0.2">
      <c r="A4642" s="16" t="s">
        <v>53</v>
      </c>
      <c r="B4642" s="17" t="s">
        <v>74</v>
      </c>
      <c r="C4642" s="17" t="s">
        <v>8</v>
      </c>
      <c r="D4642" s="17" t="s">
        <v>10</v>
      </c>
      <c r="E4642" s="17" t="s">
        <v>28</v>
      </c>
      <c r="F4642" s="17" t="str">
        <f>INDEX(nrg_cb_e!$A$3:$A$40,MATCH(LEFT(MID('Industriesektor GWh'!$B4642,41,1000),SEARCH(" - ",MID('Industriesektor GWh'!$B4642,41,1000))-1),nrg_cb_e!$C$3:$C$40,0))</f>
        <v>NRG_NSP_E</v>
      </c>
      <c r="G4642" s="18">
        <v>1033</v>
      </c>
    </row>
    <row r="4643" spans="1:7" x14ac:dyDescent="0.2">
      <c r="A4643" s="19" t="s">
        <v>54</v>
      </c>
      <c r="B4643" s="20" t="s">
        <v>74</v>
      </c>
      <c r="C4643" s="20" t="s">
        <v>8</v>
      </c>
      <c r="D4643" s="20" t="s">
        <v>10</v>
      </c>
      <c r="E4643" s="20" t="s">
        <v>12</v>
      </c>
      <c r="F4643" s="20" t="str">
        <f>INDEX(nrg_cb_e!$A$3:$A$40,MATCH(LEFT(MID('Industriesektor GWh'!$B4643,41,1000),SEARCH(" - ",MID('Industriesektor GWh'!$B4643,41,1000))-1),nrg_cb_e!$C$3:$C$40,0))</f>
        <v>NRG_NSP_E</v>
      </c>
      <c r="G4643" s="21">
        <v>1893</v>
      </c>
    </row>
    <row r="4644" spans="1:7" x14ac:dyDescent="0.2">
      <c r="A4644" s="16" t="s">
        <v>54</v>
      </c>
      <c r="B4644" s="17" t="s">
        <v>74</v>
      </c>
      <c r="C4644" s="17" t="s">
        <v>8</v>
      </c>
      <c r="D4644" s="17" t="s">
        <v>10</v>
      </c>
      <c r="E4644" s="17" t="s">
        <v>13</v>
      </c>
      <c r="F4644" s="17" t="str">
        <f>INDEX(nrg_cb_e!$A$3:$A$40,MATCH(LEFT(MID('Industriesektor GWh'!$B4644,41,1000),SEARCH(" - ",MID('Industriesektor GWh'!$B4644,41,1000))-1),nrg_cb_e!$C$3:$C$40,0))</f>
        <v>NRG_NSP_E</v>
      </c>
      <c r="G4644" s="18">
        <v>1796</v>
      </c>
    </row>
    <row r="4645" spans="1:7" x14ac:dyDescent="0.2">
      <c r="A4645" s="19" t="s">
        <v>54</v>
      </c>
      <c r="B4645" s="20" t="s">
        <v>74</v>
      </c>
      <c r="C4645" s="20" t="s">
        <v>8</v>
      </c>
      <c r="D4645" s="20" t="s">
        <v>10</v>
      </c>
      <c r="E4645" s="20" t="s">
        <v>14</v>
      </c>
      <c r="F4645" s="20" t="str">
        <f>INDEX(nrg_cb_e!$A$3:$A$40,MATCH(LEFT(MID('Industriesektor GWh'!$B4645,41,1000),SEARCH(" - ",MID('Industriesektor GWh'!$B4645,41,1000))-1),nrg_cb_e!$C$3:$C$40,0))</f>
        <v>NRG_NSP_E</v>
      </c>
      <c r="G4645" s="21">
        <v>1907</v>
      </c>
    </row>
    <row r="4646" spans="1:7" x14ac:dyDescent="0.2">
      <c r="A4646" s="16" t="s">
        <v>54</v>
      </c>
      <c r="B4646" s="17" t="s">
        <v>74</v>
      </c>
      <c r="C4646" s="17" t="s">
        <v>8</v>
      </c>
      <c r="D4646" s="17" t="s">
        <v>10</v>
      </c>
      <c r="E4646" s="17" t="s">
        <v>15</v>
      </c>
      <c r="F4646" s="17" t="str">
        <f>INDEX(nrg_cb_e!$A$3:$A$40,MATCH(LEFT(MID('Industriesektor GWh'!$B4646,41,1000),SEARCH(" - ",MID('Industriesektor GWh'!$B4646,41,1000))-1),nrg_cb_e!$C$3:$C$40,0))</f>
        <v>NRG_NSP_E</v>
      </c>
      <c r="G4646" s="18">
        <v>1912</v>
      </c>
    </row>
    <row r="4647" spans="1:7" x14ac:dyDescent="0.2">
      <c r="A4647" s="19" t="s">
        <v>54</v>
      </c>
      <c r="B4647" s="20" t="s">
        <v>74</v>
      </c>
      <c r="C4647" s="20" t="s">
        <v>8</v>
      </c>
      <c r="D4647" s="20" t="s">
        <v>10</v>
      </c>
      <c r="E4647" s="20" t="s">
        <v>16</v>
      </c>
      <c r="F4647" s="20" t="str">
        <f>INDEX(nrg_cb_e!$A$3:$A$40,MATCH(LEFT(MID('Industriesektor GWh'!$B4647,41,1000),SEARCH(" - ",MID('Industriesektor GWh'!$B4647,41,1000))-1),nrg_cb_e!$C$3:$C$40,0))</f>
        <v>NRG_NSP_E</v>
      </c>
      <c r="G4647" s="21">
        <v>1900</v>
      </c>
    </row>
    <row r="4648" spans="1:7" x14ac:dyDescent="0.2">
      <c r="A4648" s="16" t="s">
        <v>54</v>
      </c>
      <c r="B4648" s="17" t="s">
        <v>74</v>
      </c>
      <c r="C4648" s="17" t="s">
        <v>8</v>
      </c>
      <c r="D4648" s="17" t="s">
        <v>10</v>
      </c>
      <c r="E4648" s="17" t="s">
        <v>17</v>
      </c>
      <c r="F4648" s="17" t="str">
        <f>INDEX(nrg_cb_e!$A$3:$A$40,MATCH(LEFT(MID('Industriesektor GWh'!$B4648,41,1000),SEARCH(" - ",MID('Industriesektor GWh'!$B4648,41,1000))-1),nrg_cb_e!$C$3:$C$40,0))</f>
        <v>NRG_NSP_E</v>
      </c>
      <c r="G4648" s="18">
        <v>1460</v>
      </c>
    </row>
    <row r="4649" spans="1:7" x14ac:dyDescent="0.2">
      <c r="A4649" s="19" t="s">
        <v>54</v>
      </c>
      <c r="B4649" s="20" t="s">
        <v>74</v>
      </c>
      <c r="C4649" s="20" t="s">
        <v>8</v>
      </c>
      <c r="D4649" s="20" t="s">
        <v>10</v>
      </c>
      <c r="E4649" s="20" t="s">
        <v>18</v>
      </c>
      <c r="F4649" s="20" t="str">
        <f>INDEX(nrg_cb_e!$A$3:$A$40,MATCH(LEFT(MID('Industriesektor GWh'!$B4649,41,1000),SEARCH(" - ",MID('Industriesektor GWh'!$B4649,41,1000))-1),nrg_cb_e!$C$3:$C$40,0))</f>
        <v>NRG_NSP_E</v>
      </c>
      <c r="G4649" s="21">
        <v>1706</v>
      </c>
    </row>
    <row r="4650" spans="1:7" x14ac:dyDescent="0.2">
      <c r="A4650" s="16" t="s">
        <v>54</v>
      </c>
      <c r="B4650" s="17" t="s">
        <v>74</v>
      </c>
      <c r="C4650" s="17" t="s">
        <v>8</v>
      </c>
      <c r="D4650" s="17" t="s">
        <v>10</v>
      </c>
      <c r="E4650" s="17" t="s">
        <v>19</v>
      </c>
      <c r="F4650" s="17" t="str">
        <f>INDEX(nrg_cb_e!$A$3:$A$40,MATCH(LEFT(MID('Industriesektor GWh'!$B4650,41,1000),SEARCH(" - ",MID('Industriesektor GWh'!$B4650,41,1000))-1),nrg_cb_e!$C$3:$C$40,0))</f>
        <v>NRG_NSP_E</v>
      </c>
      <c r="G4650" s="18">
        <v>491</v>
      </c>
    </row>
    <row r="4651" spans="1:7" x14ac:dyDescent="0.2">
      <c r="A4651" s="19" t="s">
        <v>54</v>
      </c>
      <c r="B4651" s="20" t="s">
        <v>74</v>
      </c>
      <c r="C4651" s="20" t="s">
        <v>8</v>
      </c>
      <c r="D4651" s="20" t="s">
        <v>10</v>
      </c>
      <c r="E4651" s="20" t="s">
        <v>20</v>
      </c>
      <c r="F4651" s="20" t="str">
        <f>INDEX(nrg_cb_e!$A$3:$A$40,MATCH(LEFT(MID('Industriesektor GWh'!$B4651,41,1000),SEARCH(" - ",MID('Industriesektor GWh'!$B4651,41,1000))-1),nrg_cb_e!$C$3:$C$40,0))</f>
        <v>NRG_NSP_E</v>
      </c>
      <c r="G4651" s="21">
        <v>1550</v>
      </c>
    </row>
    <row r="4652" spans="1:7" x14ac:dyDescent="0.2">
      <c r="A4652" s="16" t="s">
        <v>54</v>
      </c>
      <c r="B4652" s="17" t="s">
        <v>74</v>
      </c>
      <c r="C4652" s="17" t="s">
        <v>8</v>
      </c>
      <c r="D4652" s="17" t="s">
        <v>10</v>
      </c>
      <c r="E4652" s="17" t="s">
        <v>21</v>
      </c>
      <c r="F4652" s="17" t="str">
        <f>INDEX(nrg_cb_e!$A$3:$A$40,MATCH(LEFT(MID('Industriesektor GWh'!$B4652,41,1000),SEARCH(" - ",MID('Industriesektor GWh'!$B4652,41,1000))-1),nrg_cb_e!$C$3:$C$40,0))</f>
        <v>NRG_NSP_E</v>
      </c>
      <c r="G4652" s="18">
        <v>629</v>
      </c>
    </row>
    <row r="4653" spans="1:7" x14ac:dyDescent="0.2">
      <c r="A4653" s="19" t="s">
        <v>54</v>
      </c>
      <c r="B4653" s="20" t="s">
        <v>74</v>
      </c>
      <c r="C4653" s="20" t="s">
        <v>8</v>
      </c>
      <c r="D4653" s="20" t="s">
        <v>10</v>
      </c>
      <c r="E4653" s="20" t="s">
        <v>22</v>
      </c>
      <c r="F4653" s="20" t="str">
        <f>INDEX(nrg_cb_e!$A$3:$A$40,MATCH(LEFT(MID('Industriesektor GWh'!$B4653,41,1000),SEARCH(" - ",MID('Industriesektor GWh'!$B4653,41,1000))-1),nrg_cb_e!$C$3:$C$40,0))</f>
        <v>NRG_NSP_E</v>
      </c>
      <c r="G4653" s="21">
        <v>963</v>
      </c>
    </row>
    <row r="4654" spans="1:7" x14ac:dyDescent="0.2">
      <c r="A4654" s="16" t="s">
        <v>54</v>
      </c>
      <c r="B4654" s="17" t="s">
        <v>74</v>
      </c>
      <c r="C4654" s="17" t="s">
        <v>8</v>
      </c>
      <c r="D4654" s="17" t="s">
        <v>10</v>
      </c>
      <c r="E4654" s="17" t="s">
        <v>23</v>
      </c>
      <c r="F4654" s="17" t="str">
        <f>INDEX(nrg_cb_e!$A$3:$A$40,MATCH(LEFT(MID('Industriesektor GWh'!$B4654,41,1000),SEARCH(" - ",MID('Industriesektor GWh'!$B4654,41,1000))-1),nrg_cb_e!$C$3:$C$40,0))</f>
        <v>NRG_NSP_E</v>
      </c>
      <c r="G4654" s="18">
        <v>761</v>
      </c>
    </row>
    <row r="4655" spans="1:7" x14ac:dyDescent="0.2">
      <c r="A4655" s="19" t="s">
        <v>54</v>
      </c>
      <c r="B4655" s="20" t="s">
        <v>74</v>
      </c>
      <c r="C4655" s="20" t="s">
        <v>8</v>
      </c>
      <c r="D4655" s="20" t="s">
        <v>10</v>
      </c>
      <c r="E4655" s="20" t="s">
        <v>24</v>
      </c>
      <c r="F4655" s="20" t="str">
        <f>INDEX(nrg_cb_e!$A$3:$A$40,MATCH(LEFT(MID('Industriesektor GWh'!$B4655,41,1000),SEARCH(" - ",MID('Industriesektor GWh'!$B4655,41,1000))-1),nrg_cb_e!$C$3:$C$40,0))</f>
        <v>NRG_NSP_E</v>
      </c>
      <c r="G4655" s="21">
        <v>767</v>
      </c>
    </row>
    <row r="4656" spans="1:7" x14ac:dyDescent="0.2">
      <c r="A4656" s="16" t="s">
        <v>54</v>
      </c>
      <c r="B4656" s="17" t="s">
        <v>74</v>
      </c>
      <c r="C4656" s="17" t="s">
        <v>8</v>
      </c>
      <c r="D4656" s="17" t="s">
        <v>10</v>
      </c>
      <c r="E4656" s="17" t="s">
        <v>25</v>
      </c>
      <c r="F4656" s="17" t="str">
        <f>INDEX(nrg_cb_e!$A$3:$A$40,MATCH(LEFT(MID('Industriesektor GWh'!$B4656,41,1000),SEARCH(" - ",MID('Industriesektor GWh'!$B4656,41,1000))-1),nrg_cb_e!$C$3:$C$40,0))</f>
        <v>NRG_NSP_E</v>
      </c>
      <c r="G4656" s="18">
        <v>749</v>
      </c>
    </row>
    <row r="4657" spans="1:7" x14ac:dyDescent="0.2">
      <c r="A4657" s="19" t="s">
        <v>54</v>
      </c>
      <c r="B4657" s="20" t="s">
        <v>74</v>
      </c>
      <c r="C4657" s="20" t="s">
        <v>8</v>
      </c>
      <c r="D4657" s="20" t="s">
        <v>10</v>
      </c>
      <c r="E4657" s="20" t="s">
        <v>26</v>
      </c>
      <c r="F4657" s="20" t="str">
        <f>INDEX(nrg_cb_e!$A$3:$A$40,MATCH(LEFT(MID('Industriesektor GWh'!$B4657,41,1000),SEARCH(" - ",MID('Industriesektor GWh'!$B4657,41,1000))-1),nrg_cb_e!$C$3:$C$40,0))</f>
        <v>NRG_NSP_E</v>
      </c>
      <c r="G4657" s="21">
        <v>780</v>
      </c>
    </row>
    <row r="4658" spans="1:7" x14ac:dyDescent="0.2">
      <c r="A4658" s="16" t="s">
        <v>54</v>
      </c>
      <c r="B4658" s="17" t="s">
        <v>74</v>
      </c>
      <c r="C4658" s="17" t="s">
        <v>8</v>
      </c>
      <c r="D4658" s="17" t="s">
        <v>10</v>
      </c>
      <c r="E4658" s="17" t="s">
        <v>27</v>
      </c>
      <c r="F4658" s="17" t="str">
        <f>INDEX(nrg_cb_e!$A$3:$A$40,MATCH(LEFT(MID('Industriesektor GWh'!$B4658,41,1000),SEARCH(" - ",MID('Industriesektor GWh'!$B4658,41,1000))-1),nrg_cb_e!$C$3:$C$40,0))</f>
        <v>NRG_NSP_E</v>
      </c>
      <c r="G4658" s="18">
        <v>1001</v>
      </c>
    </row>
    <row r="4659" spans="1:7" x14ac:dyDescent="0.2">
      <c r="A4659" s="19" t="s">
        <v>54</v>
      </c>
      <c r="B4659" s="20" t="s">
        <v>74</v>
      </c>
      <c r="C4659" s="20" t="s">
        <v>8</v>
      </c>
      <c r="D4659" s="20" t="s">
        <v>10</v>
      </c>
      <c r="E4659" s="20" t="s">
        <v>28</v>
      </c>
      <c r="F4659" s="20" t="str">
        <f>INDEX(nrg_cb_e!$A$3:$A$40,MATCH(LEFT(MID('Industriesektor GWh'!$B4659,41,1000),SEARCH(" - ",MID('Industriesektor GWh'!$B4659,41,1000))-1),nrg_cb_e!$C$3:$C$40,0))</f>
        <v>NRG_NSP_E</v>
      </c>
      <c r="G4659" s="21">
        <v>951</v>
      </c>
    </row>
    <row r="4660" spans="1:7" x14ac:dyDescent="0.2">
      <c r="A4660" s="16" t="s">
        <v>55</v>
      </c>
      <c r="B4660" s="17" t="s">
        <v>74</v>
      </c>
      <c r="C4660" s="17" t="s">
        <v>8</v>
      </c>
      <c r="D4660" s="17" t="s">
        <v>10</v>
      </c>
      <c r="E4660" s="17" t="s">
        <v>12</v>
      </c>
      <c r="F4660" s="17" t="str">
        <f>INDEX(nrg_cb_e!$A$3:$A$40,MATCH(LEFT(MID('Industriesektor GWh'!$B4660,41,1000),SEARCH(" - ",MID('Industriesektor GWh'!$B4660,41,1000))-1),nrg_cb_e!$C$3:$C$40,0))</f>
        <v>NRG_NSP_E</v>
      </c>
      <c r="G4660" s="18">
        <v>6786</v>
      </c>
    </row>
    <row r="4661" spans="1:7" x14ac:dyDescent="0.2">
      <c r="A4661" s="19" t="s">
        <v>55</v>
      </c>
      <c r="B4661" s="20" t="s">
        <v>74</v>
      </c>
      <c r="C4661" s="20" t="s">
        <v>8</v>
      </c>
      <c r="D4661" s="20" t="s">
        <v>10</v>
      </c>
      <c r="E4661" s="20" t="s">
        <v>13</v>
      </c>
      <c r="F4661" s="20" t="str">
        <f>INDEX(nrg_cb_e!$A$3:$A$40,MATCH(LEFT(MID('Industriesektor GWh'!$B4661,41,1000),SEARCH(" - ",MID('Industriesektor GWh'!$B4661,41,1000))-1),nrg_cb_e!$C$3:$C$40,0))</f>
        <v>NRG_NSP_E</v>
      </c>
      <c r="G4661" s="21">
        <v>5328</v>
      </c>
    </row>
    <row r="4662" spans="1:7" x14ac:dyDescent="0.2">
      <c r="A4662" s="16" t="s">
        <v>55</v>
      </c>
      <c r="B4662" s="17" t="s">
        <v>74</v>
      </c>
      <c r="C4662" s="17" t="s">
        <v>8</v>
      </c>
      <c r="D4662" s="17" t="s">
        <v>10</v>
      </c>
      <c r="E4662" s="17" t="s">
        <v>14</v>
      </c>
      <c r="F4662" s="17" t="str">
        <f>INDEX(nrg_cb_e!$A$3:$A$40,MATCH(LEFT(MID('Industriesektor GWh'!$B4662,41,1000),SEARCH(" - ",MID('Industriesektor GWh'!$B4662,41,1000))-1),nrg_cb_e!$C$3:$C$40,0))</f>
        <v>NRG_NSP_E</v>
      </c>
      <c r="G4662" s="18">
        <v>5399</v>
      </c>
    </row>
    <row r="4663" spans="1:7" x14ac:dyDescent="0.2">
      <c r="A4663" s="19" t="s">
        <v>55</v>
      </c>
      <c r="B4663" s="20" t="s">
        <v>74</v>
      </c>
      <c r="C4663" s="20" t="s">
        <v>8</v>
      </c>
      <c r="D4663" s="20" t="s">
        <v>10</v>
      </c>
      <c r="E4663" s="20" t="s">
        <v>15</v>
      </c>
      <c r="F4663" s="20" t="str">
        <f>INDEX(nrg_cb_e!$A$3:$A$40,MATCH(LEFT(MID('Industriesektor GWh'!$B4663,41,1000),SEARCH(" - ",MID('Industriesektor GWh'!$B4663,41,1000))-1),nrg_cb_e!$C$3:$C$40,0))</f>
        <v>NRG_NSP_E</v>
      </c>
      <c r="G4663" s="21">
        <v>5587</v>
      </c>
    </row>
    <row r="4664" spans="1:7" x14ac:dyDescent="0.2">
      <c r="A4664" s="16" t="s">
        <v>55</v>
      </c>
      <c r="B4664" s="17" t="s">
        <v>74</v>
      </c>
      <c r="C4664" s="17" t="s">
        <v>8</v>
      </c>
      <c r="D4664" s="17" t="s">
        <v>10</v>
      </c>
      <c r="E4664" s="17" t="s">
        <v>16</v>
      </c>
      <c r="F4664" s="17" t="str">
        <f>INDEX(nrg_cb_e!$A$3:$A$40,MATCH(LEFT(MID('Industriesektor GWh'!$B4664,41,1000),SEARCH(" - ",MID('Industriesektor GWh'!$B4664,41,1000))-1),nrg_cb_e!$C$3:$C$40,0))</f>
        <v>NRG_NSP_E</v>
      </c>
      <c r="G4664" s="18">
        <v>4639</v>
      </c>
    </row>
    <row r="4665" spans="1:7" x14ac:dyDescent="0.2">
      <c r="A4665" s="19" t="s">
        <v>55</v>
      </c>
      <c r="B4665" s="20" t="s">
        <v>74</v>
      </c>
      <c r="C4665" s="20" t="s">
        <v>8</v>
      </c>
      <c r="D4665" s="20" t="s">
        <v>10</v>
      </c>
      <c r="E4665" s="20" t="s">
        <v>17</v>
      </c>
      <c r="F4665" s="20" t="str">
        <f>INDEX(nrg_cb_e!$A$3:$A$40,MATCH(LEFT(MID('Industriesektor GWh'!$B4665,41,1000),SEARCH(" - ",MID('Industriesektor GWh'!$B4665,41,1000))-1),nrg_cb_e!$C$3:$C$40,0))</f>
        <v>NRG_NSP_E</v>
      </c>
      <c r="G4665" s="21">
        <v>4847</v>
      </c>
    </row>
    <row r="4666" spans="1:7" x14ac:dyDescent="0.2">
      <c r="A4666" s="16" t="s">
        <v>55</v>
      </c>
      <c r="B4666" s="17" t="s">
        <v>74</v>
      </c>
      <c r="C4666" s="17" t="s">
        <v>8</v>
      </c>
      <c r="D4666" s="17" t="s">
        <v>10</v>
      </c>
      <c r="E4666" s="17" t="s">
        <v>18</v>
      </c>
      <c r="F4666" s="17" t="str">
        <f>INDEX(nrg_cb_e!$A$3:$A$40,MATCH(LEFT(MID('Industriesektor GWh'!$B4666,41,1000),SEARCH(" - ",MID('Industriesektor GWh'!$B4666,41,1000))-1),nrg_cb_e!$C$3:$C$40,0))</f>
        <v>NRG_NSP_E</v>
      </c>
      <c r="G4666" s="18">
        <v>5256</v>
      </c>
    </row>
    <row r="4667" spans="1:7" x14ac:dyDescent="0.2">
      <c r="A4667" s="19" t="s">
        <v>55</v>
      </c>
      <c r="B4667" s="20" t="s">
        <v>74</v>
      </c>
      <c r="C4667" s="20" t="s">
        <v>8</v>
      </c>
      <c r="D4667" s="20" t="s">
        <v>10</v>
      </c>
      <c r="E4667" s="20" t="s">
        <v>19</v>
      </c>
      <c r="F4667" s="20" t="str">
        <f>INDEX(nrg_cb_e!$A$3:$A$40,MATCH(LEFT(MID('Industriesektor GWh'!$B4667,41,1000),SEARCH(" - ",MID('Industriesektor GWh'!$B4667,41,1000))-1),nrg_cb_e!$C$3:$C$40,0))</f>
        <v>NRG_NSP_E</v>
      </c>
      <c r="G4667" s="21">
        <v>5837</v>
      </c>
    </row>
    <row r="4668" spans="1:7" x14ac:dyDescent="0.2">
      <c r="A4668" s="16" t="s">
        <v>55</v>
      </c>
      <c r="B4668" s="17" t="s">
        <v>74</v>
      </c>
      <c r="C4668" s="17" t="s">
        <v>8</v>
      </c>
      <c r="D4668" s="17" t="s">
        <v>10</v>
      </c>
      <c r="E4668" s="17" t="s">
        <v>20</v>
      </c>
      <c r="F4668" s="17" t="str">
        <f>INDEX(nrg_cb_e!$A$3:$A$40,MATCH(LEFT(MID('Industriesektor GWh'!$B4668,41,1000),SEARCH(" - ",MID('Industriesektor GWh'!$B4668,41,1000))-1),nrg_cb_e!$C$3:$C$40,0))</f>
        <v>NRG_NSP_E</v>
      </c>
      <c r="G4668" s="18">
        <v>3302</v>
      </c>
    </row>
    <row r="4669" spans="1:7" x14ac:dyDescent="0.2">
      <c r="A4669" s="19" t="s">
        <v>55</v>
      </c>
      <c r="B4669" s="20" t="s">
        <v>74</v>
      </c>
      <c r="C4669" s="20" t="s">
        <v>8</v>
      </c>
      <c r="D4669" s="20" t="s">
        <v>10</v>
      </c>
      <c r="E4669" s="20" t="s">
        <v>21</v>
      </c>
      <c r="F4669" s="20" t="str">
        <f>INDEX(nrg_cb_e!$A$3:$A$40,MATCH(LEFT(MID('Industriesektor GWh'!$B4669,41,1000),SEARCH(" - ",MID('Industriesektor GWh'!$B4669,41,1000))-1),nrg_cb_e!$C$3:$C$40,0))</f>
        <v>NRG_NSP_E</v>
      </c>
      <c r="G4669" s="21">
        <v>2464</v>
      </c>
    </row>
    <row r="4670" spans="1:7" x14ac:dyDescent="0.2">
      <c r="A4670" s="16" t="s">
        <v>55</v>
      </c>
      <c r="B4670" s="17" t="s">
        <v>74</v>
      </c>
      <c r="C4670" s="17" t="s">
        <v>8</v>
      </c>
      <c r="D4670" s="17" t="s">
        <v>10</v>
      </c>
      <c r="E4670" s="17" t="s">
        <v>22</v>
      </c>
      <c r="F4670" s="17" t="str">
        <f>INDEX(nrg_cb_e!$A$3:$A$40,MATCH(LEFT(MID('Industriesektor GWh'!$B4670,41,1000),SEARCH(" - ",MID('Industriesektor GWh'!$B4670,41,1000))-1),nrg_cb_e!$C$3:$C$40,0))</f>
        <v>NRG_NSP_E</v>
      </c>
      <c r="G4670" s="18">
        <v>3296</v>
      </c>
    </row>
    <row r="4671" spans="1:7" x14ac:dyDescent="0.2">
      <c r="A4671" s="19" t="s">
        <v>55</v>
      </c>
      <c r="B4671" s="20" t="s">
        <v>74</v>
      </c>
      <c r="C4671" s="20" t="s">
        <v>8</v>
      </c>
      <c r="D4671" s="20" t="s">
        <v>10</v>
      </c>
      <c r="E4671" s="20" t="s">
        <v>23</v>
      </c>
      <c r="F4671" s="20" t="str">
        <f>INDEX(nrg_cb_e!$A$3:$A$40,MATCH(LEFT(MID('Industriesektor GWh'!$B4671,41,1000),SEARCH(" - ",MID('Industriesektor GWh'!$B4671,41,1000))-1),nrg_cb_e!$C$3:$C$40,0))</f>
        <v>NRG_NSP_E</v>
      </c>
      <c r="G4671" s="21">
        <v>2617</v>
      </c>
    </row>
    <row r="4672" spans="1:7" x14ac:dyDescent="0.2">
      <c r="A4672" s="16" t="s">
        <v>55</v>
      </c>
      <c r="B4672" s="17" t="s">
        <v>74</v>
      </c>
      <c r="C4672" s="17" t="s">
        <v>8</v>
      </c>
      <c r="D4672" s="17" t="s">
        <v>10</v>
      </c>
      <c r="E4672" s="17" t="s">
        <v>24</v>
      </c>
      <c r="F4672" s="17" t="str">
        <f>INDEX(nrg_cb_e!$A$3:$A$40,MATCH(LEFT(MID('Industriesektor GWh'!$B4672,41,1000),SEARCH(" - ",MID('Industriesektor GWh'!$B4672,41,1000))-1),nrg_cb_e!$C$3:$C$40,0))</f>
        <v>NRG_NSP_E</v>
      </c>
      <c r="G4672" s="18">
        <v>26842</v>
      </c>
    </row>
    <row r="4673" spans="1:7" x14ac:dyDescent="0.2">
      <c r="A4673" s="19" t="s">
        <v>55</v>
      </c>
      <c r="B4673" s="20" t="s">
        <v>74</v>
      </c>
      <c r="C4673" s="20" t="s">
        <v>8</v>
      </c>
      <c r="D4673" s="20" t="s">
        <v>10</v>
      </c>
      <c r="E4673" s="20" t="s">
        <v>25</v>
      </c>
      <c r="F4673" s="20" t="str">
        <f>INDEX(nrg_cb_e!$A$3:$A$40,MATCH(LEFT(MID('Industriesektor GWh'!$B4673,41,1000),SEARCH(" - ",MID('Industriesektor GWh'!$B4673,41,1000))-1),nrg_cb_e!$C$3:$C$40,0))</f>
        <v>NRG_NSP_E</v>
      </c>
      <c r="G4673" s="21">
        <v>2624</v>
      </c>
    </row>
    <row r="4674" spans="1:7" x14ac:dyDescent="0.2">
      <c r="A4674" s="16" t="s">
        <v>55</v>
      </c>
      <c r="B4674" s="17" t="s">
        <v>74</v>
      </c>
      <c r="C4674" s="17" t="s">
        <v>8</v>
      </c>
      <c r="D4674" s="17" t="s">
        <v>10</v>
      </c>
      <c r="E4674" s="17" t="s">
        <v>26</v>
      </c>
      <c r="F4674" s="17" t="str">
        <f>INDEX(nrg_cb_e!$A$3:$A$40,MATCH(LEFT(MID('Industriesektor GWh'!$B4674,41,1000),SEARCH(" - ",MID('Industriesektor GWh'!$B4674,41,1000))-1),nrg_cb_e!$C$3:$C$40,0))</f>
        <v>NRG_NSP_E</v>
      </c>
      <c r="G4674" s="18">
        <v>2587</v>
      </c>
    </row>
    <row r="4675" spans="1:7" x14ac:dyDescent="0.2">
      <c r="A4675" s="19" t="s">
        <v>55</v>
      </c>
      <c r="B4675" s="20" t="s">
        <v>74</v>
      </c>
      <c r="C4675" s="20" t="s">
        <v>8</v>
      </c>
      <c r="D4675" s="20" t="s">
        <v>10</v>
      </c>
      <c r="E4675" s="20" t="s">
        <v>27</v>
      </c>
      <c r="F4675" s="20" t="str">
        <f>INDEX(nrg_cb_e!$A$3:$A$40,MATCH(LEFT(MID('Industriesektor GWh'!$B4675,41,1000),SEARCH(" - ",MID('Industriesektor GWh'!$B4675,41,1000))-1),nrg_cb_e!$C$3:$C$40,0))</f>
        <v>NRG_NSP_E</v>
      </c>
      <c r="G4675" s="21">
        <v>2584</v>
      </c>
    </row>
    <row r="4676" spans="1:7" x14ac:dyDescent="0.2">
      <c r="A4676" s="16" t="s">
        <v>55</v>
      </c>
      <c r="B4676" s="17" t="s">
        <v>74</v>
      </c>
      <c r="C4676" s="17" t="s">
        <v>8</v>
      </c>
      <c r="D4676" s="17" t="s">
        <v>10</v>
      </c>
      <c r="E4676" s="17" t="s">
        <v>28</v>
      </c>
      <c r="F4676" s="17" t="str">
        <f>INDEX(nrg_cb_e!$A$3:$A$40,MATCH(LEFT(MID('Industriesektor GWh'!$B4676,41,1000),SEARCH(" - ",MID('Industriesektor GWh'!$B4676,41,1000))-1),nrg_cb_e!$C$3:$C$40,0))</f>
        <v>NRG_NSP_E</v>
      </c>
      <c r="G4676" s="18">
        <v>2678</v>
      </c>
    </row>
    <row r="4677" spans="1:7" x14ac:dyDescent="0.2">
      <c r="A4677" s="19" t="s">
        <v>56</v>
      </c>
      <c r="B4677" s="20" t="s">
        <v>74</v>
      </c>
      <c r="C4677" s="20" t="s">
        <v>8</v>
      </c>
      <c r="D4677" s="20" t="s">
        <v>10</v>
      </c>
      <c r="E4677" s="20" t="s">
        <v>12</v>
      </c>
      <c r="F4677" s="20" t="str">
        <f>INDEX(nrg_cb_e!$A$3:$A$40,MATCH(LEFT(MID('Industriesektor GWh'!$B4677,41,1000),SEARCH(" - ",MID('Industriesektor GWh'!$B4677,41,1000))-1),nrg_cb_e!$C$3:$C$40,0))</f>
        <v>NRG_NSP_E</v>
      </c>
      <c r="G4677" s="21">
        <v>21599</v>
      </c>
    </row>
    <row r="4678" spans="1:7" x14ac:dyDescent="0.2">
      <c r="A4678" s="16" t="s">
        <v>56</v>
      </c>
      <c r="B4678" s="17" t="s">
        <v>74</v>
      </c>
      <c r="C4678" s="17" t="s">
        <v>8</v>
      </c>
      <c r="D4678" s="17" t="s">
        <v>10</v>
      </c>
      <c r="E4678" s="17" t="s">
        <v>13</v>
      </c>
      <c r="F4678" s="17" t="str">
        <f>INDEX(nrg_cb_e!$A$3:$A$40,MATCH(LEFT(MID('Industriesektor GWh'!$B4678,41,1000),SEARCH(" - ",MID('Industriesektor GWh'!$B4678,41,1000))-1),nrg_cb_e!$C$3:$C$40,0))</f>
        <v>NRG_NSP_E</v>
      </c>
      <c r="G4678" s="18">
        <v>20186</v>
      </c>
    </row>
    <row r="4679" spans="1:7" x14ac:dyDescent="0.2">
      <c r="A4679" s="19" t="s">
        <v>56</v>
      </c>
      <c r="B4679" s="20" t="s">
        <v>74</v>
      </c>
      <c r="C4679" s="20" t="s">
        <v>8</v>
      </c>
      <c r="D4679" s="20" t="s">
        <v>10</v>
      </c>
      <c r="E4679" s="20" t="s">
        <v>14</v>
      </c>
      <c r="F4679" s="20" t="str">
        <f>INDEX(nrg_cb_e!$A$3:$A$40,MATCH(LEFT(MID('Industriesektor GWh'!$B4679,41,1000),SEARCH(" - ",MID('Industriesektor GWh'!$B4679,41,1000))-1),nrg_cb_e!$C$3:$C$40,0))</f>
        <v>NRG_NSP_E</v>
      </c>
      <c r="G4679" s="21">
        <v>20166</v>
      </c>
    </row>
    <row r="4680" spans="1:7" x14ac:dyDescent="0.2">
      <c r="A4680" s="16" t="s">
        <v>56</v>
      </c>
      <c r="B4680" s="17" t="s">
        <v>74</v>
      </c>
      <c r="C4680" s="17" t="s">
        <v>8</v>
      </c>
      <c r="D4680" s="17" t="s">
        <v>10</v>
      </c>
      <c r="E4680" s="17" t="s">
        <v>15</v>
      </c>
      <c r="F4680" s="17" t="str">
        <f>INDEX(nrg_cb_e!$A$3:$A$40,MATCH(LEFT(MID('Industriesektor GWh'!$B4680,41,1000),SEARCH(" - ",MID('Industriesektor GWh'!$B4680,41,1000))-1),nrg_cb_e!$C$3:$C$40,0))</f>
        <v>NRG_NSP_E</v>
      </c>
      <c r="G4680" s="18">
        <v>21495</v>
      </c>
    </row>
    <row r="4681" spans="1:7" x14ac:dyDescent="0.2">
      <c r="A4681" s="19" t="s">
        <v>56</v>
      </c>
      <c r="B4681" s="20" t="s">
        <v>74</v>
      </c>
      <c r="C4681" s="20" t="s">
        <v>8</v>
      </c>
      <c r="D4681" s="20" t="s">
        <v>10</v>
      </c>
      <c r="E4681" s="20" t="s">
        <v>16</v>
      </c>
      <c r="F4681" s="20" t="str">
        <f>INDEX(nrg_cb_e!$A$3:$A$40,MATCH(LEFT(MID('Industriesektor GWh'!$B4681,41,1000),SEARCH(" - ",MID('Industriesektor GWh'!$B4681,41,1000))-1),nrg_cb_e!$C$3:$C$40,0))</f>
        <v>NRG_NSP_E</v>
      </c>
      <c r="G4681" s="21">
        <v>21449</v>
      </c>
    </row>
    <row r="4682" spans="1:7" x14ac:dyDescent="0.2">
      <c r="A4682" s="16" t="s">
        <v>56</v>
      </c>
      <c r="B4682" s="17" t="s">
        <v>74</v>
      </c>
      <c r="C4682" s="17" t="s">
        <v>8</v>
      </c>
      <c r="D4682" s="17" t="s">
        <v>10</v>
      </c>
      <c r="E4682" s="17" t="s">
        <v>17</v>
      </c>
      <c r="F4682" s="17" t="str">
        <f>INDEX(nrg_cb_e!$A$3:$A$40,MATCH(LEFT(MID('Industriesektor GWh'!$B4682,41,1000),SEARCH(" - ",MID('Industriesektor GWh'!$B4682,41,1000))-1),nrg_cb_e!$C$3:$C$40,0))</f>
        <v>NRG_NSP_E</v>
      </c>
      <c r="G4682" s="18">
        <v>21028</v>
      </c>
    </row>
    <row r="4683" spans="1:7" x14ac:dyDescent="0.2">
      <c r="A4683" s="19" t="s">
        <v>56</v>
      </c>
      <c r="B4683" s="20" t="s">
        <v>74</v>
      </c>
      <c r="C4683" s="20" t="s">
        <v>8</v>
      </c>
      <c r="D4683" s="20" t="s">
        <v>10</v>
      </c>
      <c r="E4683" s="20" t="s">
        <v>18</v>
      </c>
      <c r="F4683" s="20" t="str">
        <f>INDEX(nrg_cb_e!$A$3:$A$40,MATCH(LEFT(MID('Industriesektor GWh'!$B4683,41,1000),SEARCH(" - ",MID('Industriesektor GWh'!$B4683,41,1000))-1),nrg_cb_e!$C$3:$C$40,0))</f>
        <v>NRG_NSP_E</v>
      </c>
      <c r="G4683" s="21">
        <v>21729</v>
      </c>
    </row>
    <row r="4684" spans="1:7" x14ac:dyDescent="0.2">
      <c r="A4684" s="16" t="s">
        <v>56</v>
      </c>
      <c r="B4684" s="17" t="s">
        <v>74</v>
      </c>
      <c r="C4684" s="17" t="s">
        <v>8</v>
      </c>
      <c r="D4684" s="17" t="s">
        <v>10</v>
      </c>
      <c r="E4684" s="17" t="s">
        <v>19</v>
      </c>
      <c r="F4684" s="17" t="str">
        <f>INDEX(nrg_cb_e!$A$3:$A$40,MATCH(LEFT(MID('Industriesektor GWh'!$B4684,41,1000),SEARCH(" - ",MID('Industriesektor GWh'!$B4684,41,1000))-1),nrg_cb_e!$C$3:$C$40,0))</f>
        <v>NRG_NSP_E</v>
      </c>
      <c r="G4684" s="18">
        <v>19771</v>
      </c>
    </row>
    <row r="4685" spans="1:7" x14ac:dyDescent="0.2">
      <c r="A4685" s="19" t="s">
        <v>56</v>
      </c>
      <c r="B4685" s="20" t="s">
        <v>74</v>
      </c>
      <c r="C4685" s="20" t="s">
        <v>8</v>
      </c>
      <c r="D4685" s="20" t="s">
        <v>10</v>
      </c>
      <c r="E4685" s="20" t="s">
        <v>20</v>
      </c>
      <c r="F4685" s="20" t="str">
        <f>INDEX(nrg_cb_e!$A$3:$A$40,MATCH(LEFT(MID('Industriesektor GWh'!$B4685,41,1000),SEARCH(" - ",MID('Industriesektor GWh'!$B4685,41,1000))-1),nrg_cb_e!$C$3:$C$40,0))</f>
        <v>NRG_NSP_E</v>
      </c>
      <c r="G4685" s="21">
        <v>20959</v>
      </c>
    </row>
    <row r="4686" spans="1:7" x14ac:dyDescent="0.2">
      <c r="A4686" s="16" t="s">
        <v>56</v>
      </c>
      <c r="B4686" s="17" t="s">
        <v>74</v>
      </c>
      <c r="C4686" s="17" t="s">
        <v>8</v>
      </c>
      <c r="D4686" s="17" t="s">
        <v>10</v>
      </c>
      <c r="E4686" s="17" t="s">
        <v>21</v>
      </c>
      <c r="F4686" s="17" t="str">
        <f>INDEX(nrg_cb_e!$A$3:$A$40,MATCH(LEFT(MID('Industriesektor GWh'!$B4686,41,1000),SEARCH(" - ",MID('Industriesektor GWh'!$B4686,41,1000))-1),nrg_cb_e!$C$3:$C$40,0))</f>
        <v>NRG_NSP_E</v>
      </c>
      <c r="G4686" s="18">
        <v>20784</v>
      </c>
    </row>
    <row r="4687" spans="1:7" x14ac:dyDescent="0.2">
      <c r="A4687" s="19" t="s">
        <v>56</v>
      </c>
      <c r="B4687" s="20" t="s">
        <v>74</v>
      </c>
      <c r="C4687" s="20" t="s">
        <v>8</v>
      </c>
      <c r="D4687" s="20" t="s">
        <v>10</v>
      </c>
      <c r="E4687" s="20" t="s">
        <v>22</v>
      </c>
      <c r="F4687" s="20" t="str">
        <f>INDEX(nrg_cb_e!$A$3:$A$40,MATCH(LEFT(MID('Industriesektor GWh'!$B4687,41,1000),SEARCH(" - ",MID('Industriesektor GWh'!$B4687,41,1000))-1),nrg_cb_e!$C$3:$C$40,0))</f>
        <v>NRG_NSP_E</v>
      </c>
      <c r="G4687" s="21">
        <v>20327</v>
      </c>
    </row>
    <row r="4688" spans="1:7" x14ac:dyDescent="0.2">
      <c r="A4688" s="16" t="s">
        <v>56</v>
      </c>
      <c r="B4688" s="17" t="s">
        <v>74</v>
      </c>
      <c r="C4688" s="17" t="s">
        <v>8</v>
      </c>
      <c r="D4688" s="17" t="s">
        <v>10</v>
      </c>
      <c r="E4688" s="17" t="s">
        <v>23</v>
      </c>
      <c r="F4688" s="17" t="str">
        <f>INDEX(nrg_cb_e!$A$3:$A$40,MATCH(LEFT(MID('Industriesektor GWh'!$B4688,41,1000),SEARCH(" - ",MID('Industriesektor GWh'!$B4688,41,1000))-1),nrg_cb_e!$C$3:$C$40,0))</f>
        <v>NRG_NSP_E</v>
      </c>
      <c r="G4688" s="18">
        <v>20366</v>
      </c>
    </row>
    <row r="4689" spans="1:7" x14ac:dyDescent="0.2">
      <c r="A4689" s="19" t="s">
        <v>56</v>
      </c>
      <c r="B4689" s="20" t="s">
        <v>74</v>
      </c>
      <c r="C4689" s="20" t="s">
        <v>8</v>
      </c>
      <c r="D4689" s="20" t="s">
        <v>10</v>
      </c>
      <c r="E4689" s="20" t="s">
        <v>24</v>
      </c>
      <c r="F4689" s="20" t="str">
        <f>INDEX(nrg_cb_e!$A$3:$A$40,MATCH(LEFT(MID('Industriesektor GWh'!$B4689,41,1000),SEARCH(" - ",MID('Industriesektor GWh'!$B4689,41,1000))-1),nrg_cb_e!$C$3:$C$40,0))</f>
        <v>NRG_NSP_E</v>
      </c>
      <c r="G4689" s="21">
        <v>19559</v>
      </c>
    </row>
    <row r="4690" spans="1:7" x14ac:dyDescent="0.2">
      <c r="A4690" s="16" t="s">
        <v>56</v>
      </c>
      <c r="B4690" s="17" t="s">
        <v>74</v>
      </c>
      <c r="C4690" s="17" t="s">
        <v>8</v>
      </c>
      <c r="D4690" s="17" t="s">
        <v>10</v>
      </c>
      <c r="E4690" s="17" t="s">
        <v>25</v>
      </c>
      <c r="F4690" s="17" t="str">
        <f>INDEX(nrg_cb_e!$A$3:$A$40,MATCH(LEFT(MID('Industriesektor GWh'!$B4690,41,1000),SEARCH(" - ",MID('Industriesektor GWh'!$B4690,41,1000))-1),nrg_cb_e!$C$3:$C$40,0))</f>
        <v>NRG_NSP_E</v>
      </c>
      <c r="G4690" s="18">
        <v>20571.917000000001</v>
      </c>
    </row>
    <row r="4691" spans="1:7" x14ac:dyDescent="0.2">
      <c r="A4691" s="19" t="s">
        <v>56</v>
      </c>
      <c r="B4691" s="20" t="s">
        <v>74</v>
      </c>
      <c r="C4691" s="20" t="s">
        <v>8</v>
      </c>
      <c r="D4691" s="20" t="s">
        <v>10</v>
      </c>
      <c r="E4691" s="20" t="s">
        <v>26</v>
      </c>
      <c r="F4691" s="20" t="str">
        <f>INDEX(nrg_cb_e!$A$3:$A$40,MATCH(LEFT(MID('Industriesektor GWh'!$B4691,41,1000),SEARCH(" - ",MID('Industriesektor GWh'!$B4691,41,1000))-1),nrg_cb_e!$C$3:$C$40,0))</f>
        <v>NRG_NSP_E</v>
      </c>
      <c r="G4691" s="21">
        <v>22009.074000000001</v>
      </c>
    </row>
    <row r="4692" spans="1:7" x14ac:dyDescent="0.2">
      <c r="A4692" s="16" t="s">
        <v>56</v>
      </c>
      <c r="B4692" s="17" t="s">
        <v>74</v>
      </c>
      <c r="C4692" s="17" t="s">
        <v>8</v>
      </c>
      <c r="D4692" s="17" t="s">
        <v>10</v>
      </c>
      <c r="E4692" s="17" t="s">
        <v>27</v>
      </c>
      <c r="F4692" s="17" t="str">
        <f>INDEX(nrg_cb_e!$A$3:$A$40,MATCH(LEFT(MID('Industriesektor GWh'!$B4692,41,1000),SEARCH(" - ",MID('Industriesektor GWh'!$B4692,41,1000))-1),nrg_cb_e!$C$3:$C$40,0))</f>
        <v>NRG_NSP_E</v>
      </c>
      <c r="G4692" s="18">
        <v>20893.605</v>
      </c>
    </row>
    <row r="4693" spans="1:7" x14ac:dyDescent="0.2">
      <c r="A4693" s="19" t="s">
        <v>56</v>
      </c>
      <c r="B4693" s="20" t="s">
        <v>74</v>
      </c>
      <c r="C4693" s="20" t="s">
        <v>8</v>
      </c>
      <c r="D4693" s="20" t="s">
        <v>10</v>
      </c>
      <c r="E4693" s="20" t="s">
        <v>28</v>
      </c>
      <c r="F4693" s="20" t="str">
        <f>INDEX(nrg_cb_e!$A$3:$A$40,MATCH(LEFT(MID('Industriesektor GWh'!$B4693,41,1000),SEARCH(" - ",MID('Industriesektor GWh'!$B4693,41,1000))-1),nrg_cb_e!$C$3:$C$40,0))</f>
        <v>NRG_NSP_E</v>
      </c>
      <c r="G4693" s="21">
        <v>21107.757000000001</v>
      </c>
    </row>
    <row r="4694" spans="1:7" x14ac:dyDescent="0.2">
      <c r="A4694" s="16" t="s">
        <v>57</v>
      </c>
      <c r="B4694" s="17" t="s">
        <v>74</v>
      </c>
      <c r="C4694" s="17" t="s">
        <v>8</v>
      </c>
      <c r="D4694" s="17" t="s">
        <v>10</v>
      </c>
      <c r="E4694" s="17" t="s">
        <v>12</v>
      </c>
      <c r="F4694" s="17" t="str">
        <f>INDEX(nrg_cb_e!$A$3:$A$40,MATCH(LEFT(MID('Industriesektor GWh'!$B4694,41,1000),SEARCH(" - ",MID('Industriesektor GWh'!$B4694,41,1000))-1),nrg_cb_e!$C$3:$C$40,0))</f>
        <v>NRG_NSP_E</v>
      </c>
      <c r="G4694" s="18">
        <v>24</v>
      </c>
    </row>
    <row r="4695" spans="1:7" x14ac:dyDescent="0.2">
      <c r="A4695" s="19" t="s">
        <v>57</v>
      </c>
      <c r="B4695" s="20" t="s">
        <v>74</v>
      </c>
      <c r="C4695" s="20" t="s">
        <v>8</v>
      </c>
      <c r="D4695" s="20" t="s">
        <v>10</v>
      </c>
      <c r="E4695" s="20" t="s">
        <v>13</v>
      </c>
      <c r="F4695" s="20" t="str">
        <f>INDEX(nrg_cb_e!$A$3:$A$40,MATCH(LEFT(MID('Industriesektor GWh'!$B4695,41,1000),SEARCH(" - ",MID('Industriesektor GWh'!$B4695,41,1000))-1),nrg_cb_e!$C$3:$C$40,0))</f>
        <v>NRG_NSP_E</v>
      </c>
      <c r="G4695" s="21">
        <v>24</v>
      </c>
    </row>
    <row r="4696" spans="1:7" x14ac:dyDescent="0.2">
      <c r="A4696" s="16" t="s">
        <v>57</v>
      </c>
      <c r="B4696" s="17" t="s">
        <v>74</v>
      </c>
      <c r="C4696" s="17" t="s">
        <v>8</v>
      </c>
      <c r="D4696" s="17" t="s">
        <v>10</v>
      </c>
      <c r="E4696" s="17" t="s">
        <v>14</v>
      </c>
      <c r="F4696" s="17" t="str">
        <f>INDEX(nrg_cb_e!$A$3:$A$40,MATCH(LEFT(MID('Industriesektor GWh'!$B4696,41,1000),SEARCH(" - ",MID('Industriesektor GWh'!$B4696,41,1000))-1),nrg_cb_e!$C$3:$C$40,0))</f>
        <v>NRG_NSP_E</v>
      </c>
      <c r="G4696" s="18">
        <v>25</v>
      </c>
    </row>
    <row r="4697" spans="1:7" x14ac:dyDescent="0.2">
      <c r="A4697" s="19" t="s">
        <v>57</v>
      </c>
      <c r="B4697" s="20" t="s">
        <v>74</v>
      </c>
      <c r="C4697" s="20" t="s">
        <v>8</v>
      </c>
      <c r="D4697" s="20" t="s">
        <v>10</v>
      </c>
      <c r="E4697" s="20" t="s">
        <v>15</v>
      </c>
      <c r="F4697" s="20" t="str">
        <f>INDEX(nrg_cb_e!$A$3:$A$40,MATCH(LEFT(MID('Industriesektor GWh'!$B4697,41,1000),SEARCH(" - ",MID('Industriesektor GWh'!$B4697,41,1000))-1),nrg_cb_e!$C$3:$C$40,0))</f>
        <v>NRG_NSP_E</v>
      </c>
      <c r="G4697" s="21">
        <v>26</v>
      </c>
    </row>
    <row r="4698" spans="1:7" x14ac:dyDescent="0.2">
      <c r="A4698" s="16" t="s">
        <v>57</v>
      </c>
      <c r="B4698" s="17" t="s">
        <v>74</v>
      </c>
      <c r="C4698" s="17" t="s">
        <v>8</v>
      </c>
      <c r="D4698" s="17" t="s">
        <v>10</v>
      </c>
      <c r="E4698" s="17" t="s">
        <v>16</v>
      </c>
      <c r="F4698" s="17" t="str">
        <f>INDEX(nrg_cb_e!$A$3:$A$40,MATCH(LEFT(MID('Industriesektor GWh'!$B4698,41,1000),SEARCH(" - ",MID('Industriesektor GWh'!$B4698,41,1000))-1),nrg_cb_e!$C$3:$C$40,0))</f>
        <v>NRG_NSP_E</v>
      </c>
      <c r="G4698" s="18">
        <v>25</v>
      </c>
    </row>
    <row r="4699" spans="1:7" x14ac:dyDescent="0.2">
      <c r="A4699" s="19" t="s">
        <v>57</v>
      </c>
      <c r="B4699" s="20" t="s">
        <v>74</v>
      </c>
      <c r="C4699" s="20" t="s">
        <v>8</v>
      </c>
      <c r="D4699" s="20" t="s">
        <v>10</v>
      </c>
      <c r="E4699" s="20" t="s">
        <v>17</v>
      </c>
      <c r="F4699" s="20" t="str">
        <f>INDEX(nrg_cb_e!$A$3:$A$40,MATCH(LEFT(MID('Industriesektor GWh'!$B4699,41,1000),SEARCH(" - ",MID('Industriesektor GWh'!$B4699,41,1000))-1),nrg_cb_e!$C$3:$C$40,0))</f>
        <v>NRG_NSP_E</v>
      </c>
      <c r="G4699" s="21">
        <v>15</v>
      </c>
    </row>
    <row r="4700" spans="1:7" x14ac:dyDescent="0.2">
      <c r="A4700" s="16" t="s">
        <v>57</v>
      </c>
      <c r="B4700" s="17" t="s">
        <v>74</v>
      </c>
      <c r="C4700" s="17" t="s">
        <v>8</v>
      </c>
      <c r="D4700" s="17" t="s">
        <v>10</v>
      </c>
      <c r="E4700" s="17" t="s">
        <v>18</v>
      </c>
      <c r="F4700" s="17" t="str">
        <f>INDEX(nrg_cb_e!$A$3:$A$40,MATCH(LEFT(MID('Industriesektor GWh'!$B4700,41,1000),SEARCH(" - ",MID('Industriesektor GWh'!$B4700,41,1000))-1),nrg_cb_e!$C$3:$C$40,0))</f>
        <v>NRG_NSP_E</v>
      </c>
      <c r="G4700" s="18">
        <v>13</v>
      </c>
    </row>
    <row r="4701" spans="1:7" x14ac:dyDescent="0.2">
      <c r="A4701" s="19" t="s">
        <v>57</v>
      </c>
      <c r="B4701" s="20" t="s">
        <v>74</v>
      </c>
      <c r="C4701" s="20" t="s">
        <v>8</v>
      </c>
      <c r="D4701" s="20" t="s">
        <v>10</v>
      </c>
      <c r="E4701" s="20" t="s">
        <v>19</v>
      </c>
      <c r="F4701" s="20" t="str">
        <f>INDEX(nrg_cb_e!$A$3:$A$40,MATCH(LEFT(MID('Industriesektor GWh'!$B4701,41,1000),SEARCH(" - ",MID('Industriesektor GWh'!$B4701,41,1000))-1),nrg_cb_e!$C$3:$C$40,0))</f>
        <v>NRG_NSP_E</v>
      </c>
      <c r="G4701" s="21">
        <v>13</v>
      </c>
    </row>
    <row r="4702" spans="1:7" x14ac:dyDescent="0.2">
      <c r="A4702" s="16" t="s">
        <v>57</v>
      </c>
      <c r="B4702" s="17" t="s">
        <v>74</v>
      </c>
      <c r="C4702" s="17" t="s">
        <v>8</v>
      </c>
      <c r="D4702" s="17" t="s">
        <v>10</v>
      </c>
      <c r="E4702" s="17" t="s">
        <v>20</v>
      </c>
      <c r="F4702" s="17" t="str">
        <f>INDEX(nrg_cb_e!$A$3:$A$40,MATCH(LEFT(MID('Industriesektor GWh'!$B4702,41,1000),SEARCH(" - ",MID('Industriesektor GWh'!$B4702,41,1000))-1),nrg_cb_e!$C$3:$C$40,0))</f>
        <v>NRG_NSP_E</v>
      </c>
      <c r="G4702" s="18">
        <v>12</v>
      </c>
    </row>
    <row r="4703" spans="1:7" x14ac:dyDescent="0.2">
      <c r="A4703" s="19" t="s">
        <v>57</v>
      </c>
      <c r="B4703" s="20" t="s">
        <v>74</v>
      </c>
      <c r="C4703" s="20" t="s">
        <v>8</v>
      </c>
      <c r="D4703" s="20" t="s">
        <v>10</v>
      </c>
      <c r="E4703" s="20" t="s">
        <v>21</v>
      </c>
      <c r="F4703" s="20" t="str">
        <f>INDEX(nrg_cb_e!$A$3:$A$40,MATCH(LEFT(MID('Industriesektor GWh'!$B4703,41,1000),SEARCH(" - ",MID('Industriesektor GWh'!$B4703,41,1000))-1),nrg_cb_e!$C$3:$C$40,0))</f>
        <v>NRG_NSP_E</v>
      </c>
      <c r="G4703" s="21">
        <v>11</v>
      </c>
    </row>
    <row r="4704" spans="1:7" x14ac:dyDescent="0.2">
      <c r="A4704" s="16" t="s">
        <v>57</v>
      </c>
      <c r="B4704" s="17" t="s">
        <v>74</v>
      </c>
      <c r="C4704" s="17" t="s">
        <v>8</v>
      </c>
      <c r="D4704" s="17" t="s">
        <v>10</v>
      </c>
      <c r="E4704" s="17" t="s">
        <v>22</v>
      </c>
      <c r="F4704" s="17" t="str">
        <f>INDEX(nrg_cb_e!$A$3:$A$40,MATCH(LEFT(MID('Industriesektor GWh'!$B4704,41,1000),SEARCH(" - ",MID('Industriesektor GWh'!$B4704,41,1000))-1),nrg_cb_e!$C$3:$C$40,0))</f>
        <v>NRG_NSP_E</v>
      </c>
      <c r="G4704" s="18">
        <v>10</v>
      </c>
    </row>
    <row r="4705" spans="1:7" x14ac:dyDescent="0.2">
      <c r="A4705" s="19" t="s">
        <v>57</v>
      </c>
      <c r="B4705" s="20" t="s">
        <v>74</v>
      </c>
      <c r="C4705" s="20" t="s">
        <v>8</v>
      </c>
      <c r="D4705" s="20" t="s">
        <v>10</v>
      </c>
      <c r="E4705" s="20" t="s">
        <v>23</v>
      </c>
      <c r="F4705" s="20" t="str">
        <f>INDEX(nrg_cb_e!$A$3:$A$40,MATCH(LEFT(MID('Industriesektor GWh'!$B4705,41,1000),SEARCH(" - ",MID('Industriesektor GWh'!$B4705,41,1000))-1),nrg_cb_e!$C$3:$C$40,0))</f>
        <v>NRG_NSP_E</v>
      </c>
      <c r="G4705" s="21">
        <v>31</v>
      </c>
    </row>
    <row r="4706" spans="1:7" x14ac:dyDescent="0.2">
      <c r="A4706" s="16" t="s">
        <v>57</v>
      </c>
      <c r="B4706" s="17" t="s">
        <v>74</v>
      </c>
      <c r="C4706" s="17" t="s">
        <v>8</v>
      </c>
      <c r="D4706" s="17" t="s">
        <v>10</v>
      </c>
      <c r="E4706" s="17" t="s">
        <v>24</v>
      </c>
      <c r="F4706" s="17" t="str">
        <f>INDEX(nrg_cb_e!$A$3:$A$40,MATCH(LEFT(MID('Industriesektor GWh'!$B4706,41,1000),SEARCH(" - ",MID('Industriesektor GWh'!$B4706,41,1000))-1),nrg_cb_e!$C$3:$C$40,0))</f>
        <v>NRG_NSP_E</v>
      </c>
      <c r="G4706" s="18">
        <v>43</v>
      </c>
    </row>
    <row r="4707" spans="1:7" x14ac:dyDescent="0.2">
      <c r="A4707" s="19" t="s">
        <v>57</v>
      </c>
      <c r="B4707" s="20" t="s">
        <v>74</v>
      </c>
      <c r="C4707" s="20" t="s">
        <v>8</v>
      </c>
      <c r="D4707" s="20" t="s">
        <v>10</v>
      </c>
      <c r="E4707" s="20" t="s">
        <v>25</v>
      </c>
      <c r="F4707" s="20" t="str">
        <f>INDEX(nrg_cb_e!$A$3:$A$40,MATCH(LEFT(MID('Industriesektor GWh'!$B4707,41,1000),SEARCH(" - ",MID('Industriesektor GWh'!$B4707,41,1000))-1),nrg_cb_e!$C$3:$C$40,0))</f>
        <v>NRG_NSP_E</v>
      </c>
      <c r="G4707" s="21">
        <v>16</v>
      </c>
    </row>
    <row r="4708" spans="1:7" x14ac:dyDescent="0.2">
      <c r="A4708" s="16" t="s">
        <v>57</v>
      </c>
      <c r="B4708" s="17" t="s">
        <v>74</v>
      </c>
      <c r="C4708" s="17" t="s">
        <v>8</v>
      </c>
      <c r="D4708" s="17" t="s">
        <v>10</v>
      </c>
      <c r="E4708" s="17" t="s">
        <v>26</v>
      </c>
      <c r="F4708" s="17" t="str">
        <f>INDEX(nrg_cb_e!$A$3:$A$40,MATCH(LEFT(MID('Industriesektor GWh'!$B4708,41,1000),SEARCH(" - ",MID('Industriesektor GWh'!$B4708,41,1000))-1),nrg_cb_e!$C$3:$C$40,0))</f>
        <v>NRG_NSP_E</v>
      </c>
      <c r="G4708" s="18">
        <v>18</v>
      </c>
    </row>
    <row r="4709" spans="1:7" x14ac:dyDescent="0.2">
      <c r="A4709" s="19" t="s">
        <v>57</v>
      </c>
      <c r="B4709" s="20" t="s">
        <v>74</v>
      </c>
      <c r="C4709" s="20" t="s">
        <v>8</v>
      </c>
      <c r="D4709" s="20" t="s">
        <v>10</v>
      </c>
      <c r="E4709" s="20" t="s">
        <v>27</v>
      </c>
      <c r="F4709" s="20" t="str">
        <f>INDEX(nrg_cb_e!$A$3:$A$40,MATCH(LEFT(MID('Industriesektor GWh'!$B4709,41,1000),SEARCH(" - ",MID('Industriesektor GWh'!$B4709,41,1000))-1),nrg_cb_e!$C$3:$C$40,0))</f>
        <v>NRG_NSP_E</v>
      </c>
      <c r="G4709" s="21">
        <v>23.573</v>
      </c>
    </row>
    <row r="4710" spans="1:7" x14ac:dyDescent="0.2">
      <c r="A4710" s="16" t="s">
        <v>57</v>
      </c>
      <c r="B4710" s="17" t="s">
        <v>74</v>
      </c>
      <c r="C4710" s="17" t="s">
        <v>8</v>
      </c>
      <c r="D4710" s="17" t="s">
        <v>10</v>
      </c>
      <c r="E4710" s="17" t="s">
        <v>28</v>
      </c>
      <c r="F4710" s="17" t="str">
        <f>INDEX(nrg_cb_e!$A$3:$A$40,MATCH(LEFT(MID('Industriesektor GWh'!$B4710,41,1000),SEARCH(" - ",MID('Industriesektor GWh'!$B4710,41,1000))-1),nrg_cb_e!$C$3:$C$40,0))</f>
        <v>NRG_NSP_E</v>
      </c>
      <c r="G4710" s="18">
        <v>12.161</v>
      </c>
    </row>
    <row r="4711" spans="1:7" x14ac:dyDescent="0.2">
      <c r="A4711" s="19" t="s">
        <v>58</v>
      </c>
      <c r="B4711" s="20" t="s">
        <v>74</v>
      </c>
      <c r="C4711" s="20" t="s">
        <v>8</v>
      </c>
      <c r="D4711" s="20" t="s">
        <v>10</v>
      </c>
      <c r="E4711" s="20" t="s">
        <v>12</v>
      </c>
      <c r="F4711" s="20" t="str">
        <f>INDEX(nrg_cb_e!$A$3:$A$40,MATCH(LEFT(MID('Industriesektor GWh'!$B4711,41,1000),SEARCH(" - ",MID('Industriesektor GWh'!$B4711,41,1000))-1),nrg_cb_e!$C$3:$C$40,0))</f>
        <v>NRG_NSP_E</v>
      </c>
      <c r="G4711" s="21">
        <v>499</v>
      </c>
    </row>
    <row r="4712" spans="1:7" x14ac:dyDescent="0.2">
      <c r="A4712" s="16" t="s">
        <v>58</v>
      </c>
      <c r="B4712" s="17" t="s">
        <v>74</v>
      </c>
      <c r="C4712" s="17" t="s">
        <v>8</v>
      </c>
      <c r="D4712" s="17" t="s">
        <v>10</v>
      </c>
      <c r="E4712" s="17" t="s">
        <v>13</v>
      </c>
      <c r="F4712" s="17" t="str">
        <f>INDEX(nrg_cb_e!$A$3:$A$40,MATCH(LEFT(MID('Industriesektor GWh'!$B4712,41,1000),SEARCH(" - ",MID('Industriesektor GWh'!$B4712,41,1000))-1),nrg_cb_e!$C$3:$C$40,0))</f>
        <v>NRG_NSP_E</v>
      </c>
      <c r="G4712" s="18">
        <v>484</v>
      </c>
    </row>
    <row r="4713" spans="1:7" x14ac:dyDescent="0.2">
      <c r="A4713" s="19" t="s">
        <v>58</v>
      </c>
      <c r="B4713" s="20" t="s">
        <v>74</v>
      </c>
      <c r="C4713" s="20" t="s">
        <v>8</v>
      </c>
      <c r="D4713" s="20" t="s">
        <v>10</v>
      </c>
      <c r="E4713" s="20" t="s">
        <v>14</v>
      </c>
      <c r="F4713" s="20" t="str">
        <f>INDEX(nrg_cb_e!$A$3:$A$40,MATCH(LEFT(MID('Industriesektor GWh'!$B4713,41,1000),SEARCH(" - ",MID('Industriesektor GWh'!$B4713,41,1000))-1),nrg_cb_e!$C$3:$C$40,0))</f>
        <v>NRG_NSP_E</v>
      </c>
      <c r="G4713" s="21">
        <v>494</v>
      </c>
    </row>
    <row r="4714" spans="1:7" x14ac:dyDescent="0.2">
      <c r="A4714" s="16" t="s">
        <v>58</v>
      </c>
      <c r="B4714" s="17" t="s">
        <v>74</v>
      </c>
      <c r="C4714" s="17" t="s">
        <v>8</v>
      </c>
      <c r="D4714" s="17" t="s">
        <v>10</v>
      </c>
      <c r="E4714" s="17" t="s">
        <v>15</v>
      </c>
      <c r="F4714" s="17" t="str">
        <f>INDEX(nrg_cb_e!$A$3:$A$40,MATCH(LEFT(MID('Industriesektor GWh'!$B4714,41,1000),SEARCH(" - ",MID('Industriesektor GWh'!$B4714,41,1000))-1),nrg_cb_e!$C$3:$C$40,0))</f>
        <v>NRG_NSP_E</v>
      </c>
      <c r="G4714" s="18">
        <v>558</v>
      </c>
    </row>
    <row r="4715" spans="1:7" x14ac:dyDescent="0.2">
      <c r="A4715" s="19" t="s">
        <v>58</v>
      </c>
      <c r="B4715" s="20" t="s">
        <v>74</v>
      </c>
      <c r="C4715" s="20" t="s">
        <v>8</v>
      </c>
      <c r="D4715" s="20" t="s">
        <v>10</v>
      </c>
      <c r="E4715" s="20" t="s">
        <v>16</v>
      </c>
      <c r="F4715" s="20" t="str">
        <f>INDEX(nrg_cb_e!$A$3:$A$40,MATCH(LEFT(MID('Industriesektor GWh'!$B4715,41,1000),SEARCH(" - ",MID('Industriesektor GWh'!$B4715,41,1000))-1),nrg_cb_e!$C$3:$C$40,0))</f>
        <v>NRG_NSP_E</v>
      </c>
      <c r="G4715" s="21">
        <v>536</v>
      </c>
    </row>
    <row r="4716" spans="1:7" x14ac:dyDescent="0.2">
      <c r="A4716" s="16" t="s">
        <v>58</v>
      </c>
      <c r="B4716" s="17" t="s">
        <v>74</v>
      </c>
      <c r="C4716" s="17" t="s">
        <v>8</v>
      </c>
      <c r="D4716" s="17" t="s">
        <v>10</v>
      </c>
      <c r="E4716" s="17" t="s">
        <v>17</v>
      </c>
      <c r="F4716" s="17" t="str">
        <f>INDEX(nrg_cb_e!$A$3:$A$40,MATCH(LEFT(MID('Industriesektor GWh'!$B4716,41,1000),SEARCH(" - ",MID('Industriesektor GWh'!$B4716,41,1000))-1),nrg_cb_e!$C$3:$C$40,0))</f>
        <v>NRG_NSP_E</v>
      </c>
      <c r="G4716" s="18">
        <v>635</v>
      </c>
    </row>
    <row r="4717" spans="1:7" x14ac:dyDescent="0.2">
      <c r="A4717" s="19" t="s">
        <v>58</v>
      </c>
      <c r="B4717" s="20" t="s">
        <v>74</v>
      </c>
      <c r="C4717" s="20" t="s">
        <v>8</v>
      </c>
      <c r="D4717" s="20" t="s">
        <v>10</v>
      </c>
      <c r="E4717" s="20" t="s">
        <v>18</v>
      </c>
      <c r="F4717" s="20" t="str">
        <f>INDEX(nrg_cb_e!$A$3:$A$40,MATCH(LEFT(MID('Industriesektor GWh'!$B4717,41,1000),SEARCH(" - ",MID('Industriesektor GWh'!$B4717,41,1000))-1),nrg_cb_e!$C$3:$C$40,0))</f>
        <v>NRG_NSP_E</v>
      </c>
      <c r="G4717" s="21">
        <v>635</v>
      </c>
    </row>
    <row r="4718" spans="1:7" x14ac:dyDescent="0.2">
      <c r="A4718" s="16" t="s">
        <v>58</v>
      </c>
      <c r="B4718" s="17" t="s">
        <v>74</v>
      </c>
      <c r="C4718" s="17" t="s">
        <v>8</v>
      </c>
      <c r="D4718" s="17" t="s">
        <v>10</v>
      </c>
      <c r="E4718" s="17" t="s">
        <v>19</v>
      </c>
      <c r="F4718" s="17" t="str">
        <f>INDEX(nrg_cb_e!$A$3:$A$40,MATCH(LEFT(MID('Industriesektor GWh'!$B4718,41,1000),SEARCH(" - ",MID('Industriesektor GWh'!$B4718,41,1000))-1),nrg_cb_e!$C$3:$C$40,0))</f>
        <v>NRG_NSP_E</v>
      </c>
      <c r="G4718" s="18">
        <v>410</v>
      </c>
    </row>
    <row r="4719" spans="1:7" x14ac:dyDescent="0.2">
      <c r="A4719" s="19" t="s">
        <v>58</v>
      </c>
      <c r="B4719" s="20" t="s">
        <v>74</v>
      </c>
      <c r="C4719" s="20" t="s">
        <v>8</v>
      </c>
      <c r="D4719" s="20" t="s">
        <v>10</v>
      </c>
      <c r="E4719" s="20" t="s">
        <v>20</v>
      </c>
      <c r="F4719" s="20" t="str">
        <f>INDEX(nrg_cb_e!$A$3:$A$40,MATCH(LEFT(MID('Industriesektor GWh'!$B4719,41,1000),SEARCH(" - ",MID('Industriesektor GWh'!$B4719,41,1000))-1),nrg_cb_e!$C$3:$C$40,0))</f>
        <v>NRG_NSP_E</v>
      </c>
      <c r="G4719" s="21">
        <v>497</v>
      </c>
    </row>
    <row r="4720" spans="1:7" x14ac:dyDescent="0.2">
      <c r="A4720" s="16" t="s">
        <v>58</v>
      </c>
      <c r="B4720" s="17" t="s">
        <v>74</v>
      </c>
      <c r="C4720" s="17" t="s">
        <v>8</v>
      </c>
      <c r="D4720" s="17" t="s">
        <v>10</v>
      </c>
      <c r="E4720" s="17" t="s">
        <v>21</v>
      </c>
      <c r="F4720" s="17" t="str">
        <f>INDEX(nrg_cb_e!$A$3:$A$40,MATCH(LEFT(MID('Industriesektor GWh'!$B4720,41,1000),SEARCH(" - ",MID('Industriesektor GWh'!$B4720,41,1000))-1),nrg_cb_e!$C$3:$C$40,0))</f>
        <v>NRG_NSP_E</v>
      </c>
      <c r="G4720" s="18">
        <v>451</v>
      </c>
    </row>
    <row r="4721" spans="1:7" x14ac:dyDescent="0.2">
      <c r="A4721" s="19" t="s">
        <v>58</v>
      </c>
      <c r="B4721" s="20" t="s">
        <v>74</v>
      </c>
      <c r="C4721" s="20" t="s">
        <v>8</v>
      </c>
      <c r="D4721" s="20" t="s">
        <v>10</v>
      </c>
      <c r="E4721" s="20" t="s">
        <v>22</v>
      </c>
      <c r="F4721" s="20" t="str">
        <f>INDEX(nrg_cb_e!$A$3:$A$40,MATCH(LEFT(MID('Industriesektor GWh'!$B4721,41,1000),SEARCH(" - ",MID('Industriesektor GWh'!$B4721,41,1000))-1),nrg_cb_e!$C$3:$C$40,0))</f>
        <v>NRG_NSP_E</v>
      </c>
      <c r="G4721" s="21">
        <v>486</v>
      </c>
    </row>
    <row r="4722" spans="1:7" x14ac:dyDescent="0.2">
      <c r="A4722" s="16" t="s">
        <v>58</v>
      </c>
      <c r="B4722" s="17" t="s">
        <v>74</v>
      </c>
      <c r="C4722" s="17" t="s">
        <v>8</v>
      </c>
      <c r="D4722" s="17" t="s">
        <v>10</v>
      </c>
      <c r="E4722" s="17" t="s">
        <v>23</v>
      </c>
      <c r="F4722" s="17" t="str">
        <f>INDEX(nrg_cb_e!$A$3:$A$40,MATCH(LEFT(MID('Industriesektor GWh'!$B4722,41,1000),SEARCH(" - ",MID('Industriesektor GWh'!$B4722,41,1000))-1),nrg_cb_e!$C$3:$C$40,0))</f>
        <v>NRG_NSP_E</v>
      </c>
      <c r="G4722" s="18">
        <v>468</v>
      </c>
    </row>
    <row r="4723" spans="1:7" x14ac:dyDescent="0.2">
      <c r="A4723" s="19" t="s">
        <v>58</v>
      </c>
      <c r="B4723" s="20" t="s">
        <v>74</v>
      </c>
      <c r="C4723" s="20" t="s">
        <v>8</v>
      </c>
      <c r="D4723" s="20" t="s">
        <v>10</v>
      </c>
      <c r="E4723" s="20" t="s">
        <v>24</v>
      </c>
      <c r="F4723" s="20" t="str">
        <f>INDEX(nrg_cb_e!$A$3:$A$40,MATCH(LEFT(MID('Industriesektor GWh'!$B4723,41,1000),SEARCH(" - ",MID('Industriesektor GWh'!$B4723,41,1000))-1),nrg_cb_e!$C$3:$C$40,0))</f>
        <v>NRG_NSP_E</v>
      </c>
      <c r="G4723" s="21">
        <v>394</v>
      </c>
    </row>
    <row r="4724" spans="1:7" x14ac:dyDescent="0.2">
      <c r="A4724" s="16" t="s">
        <v>58</v>
      </c>
      <c r="B4724" s="17" t="s">
        <v>74</v>
      </c>
      <c r="C4724" s="17" t="s">
        <v>8</v>
      </c>
      <c r="D4724" s="17" t="s">
        <v>10</v>
      </c>
      <c r="E4724" s="17" t="s">
        <v>25</v>
      </c>
      <c r="F4724" s="17" t="str">
        <f>INDEX(nrg_cb_e!$A$3:$A$40,MATCH(LEFT(MID('Industriesektor GWh'!$B4724,41,1000),SEARCH(" - ",MID('Industriesektor GWh'!$B4724,41,1000))-1),nrg_cb_e!$C$3:$C$40,0))</f>
        <v>NRG_NSP_E</v>
      </c>
      <c r="G4724" s="18">
        <v>408</v>
      </c>
    </row>
    <row r="4725" spans="1:7" x14ac:dyDescent="0.2">
      <c r="A4725" s="19" t="s">
        <v>58</v>
      </c>
      <c r="B4725" s="20" t="s">
        <v>74</v>
      </c>
      <c r="C4725" s="20" t="s">
        <v>8</v>
      </c>
      <c r="D4725" s="20" t="s">
        <v>10</v>
      </c>
      <c r="E4725" s="20" t="s">
        <v>26</v>
      </c>
      <c r="F4725" s="20" t="str">
        <f>INDEX(nrg_cb_e!$A$3:$A$40,MATCH(LEFT(MID('Industriesektor GWh'!$B4725,41,1000),SEARCH(" - ",MID('Industriesektor GWh'!$B4725,41,1000))-1),nrg_cb_e!$C$3:$C$40,0))</f>
        <v>NRG_NSP_E</v>
      </c>
      <c r="G4725" s="21">
        <v>396</v>
      </c>
    </row>
    <row r="4726" spans="1:7" x14ac:dyDescent="0.2">
      <c r="A4726" s="16" t="s">
        <v>58</v>
      </c>
      <c r="B4726" s="17" t="s">
        <v>74</v>
      </c>
      <c r="C4726" s="17" t="s">
        <v>8</v>
      </c>
      <c r="D4726" s="17" t="s">
        <v>10</v>
      </c>
      <c r="E4726" s="17" t="s">
        <v>27</v>
      </c>
      <c r="F4726" s="17" t="str">
        <f>INDEX(nrg_cb_e!$A$3:$A$40,MATCH(LEFT(MID('Industriesektor GWh'!$B4726,41,1000),SEARCH(" - ",MID('Industriesektor GWh'!$B4726,41,1000))-1),nrg_cb_e!$C$3:$C$40,0))</f>
        <v>NRG_NSP_E</v>
      </c>
      <c r="G4726" s="18">
        <v>432</v>
      </c>
    </row>
    <row r="4727" spans="1:7" x14ac:dyDescent="0.2">
      <c r="A4727" s="19" t="s">
        <v>58</v>
      </c>
      <c r="B4727" s="20" t="s">
        <v>74</v>
      </c>
      <c r="C4727" s="20" t="s">
        <v>8</v>
      </c>
      <c r="D4727" s="20" t="s">
        <v>10</v>
      </c>
      <c r="E4727" s="20" t="s">
        <v>28</v>
      </c>
      <c r="F4727" s="20" t="str">
        <f>INDEX(nrg_cb_e!$A$3:$A$40,MATCH(LEFT(MID('Industriesektor GWh'!$B4727,41,1000),SEARCH(" - ",MID('Industriesektor GWh'!$B4727,41,1000))-1),nrg_cb_e!$C$3:$C$40,0))</f>
        <v>NRG_NSP_E</v>
      </c>
      <c r="G4727" s="21">
        <v>492.14100000000002</v>
      </c>
    </row>
    <row r="4728" spans="1:7" x14ac:dyDescent="0.2">
      <c r="A4728" s="16" t="s">
        <v>59</v>
      </c>
      <c r="B4728" s="17" t="s">
        <v>74</v>
      </c>
      <c r="C4728" s="17" t="s">
        <v>8</v>
      </c>
      <c r="D4728" s="17" t="s">
        <v>10</v>
      </c>
      <c r="E4728" s="17" t="s">
        <v>12</v>
      </c>
      <c r="F4728" s="17" t="str">
        <f>INDEX(nrg_cb_e!$A$3:$A$40,MATCH(LEFT(MID('Industriesektor GWh'!$B4728,41,1000),SEARCH(" - ",MID('Industriesektor GWh'!$B4728,41,1000))-1),nrg_cb_e!$C$3:$C$40,0))</f>
        <v>NRG_NSP_E</v>
      </c>
      <c r="G4728" s="18">
        <v>6299</v>
      </c>
    </row>
    <row r="4729" spans="1:7" x14ac:dyDescent="0.2">
      <c r="A4729" s="19" t="s">
        <v>59</v>
      </c>
      <c r="B4729" s="20" t="s">
        <v>74</v>
      </c>
      <c r="C4729" s="20" t="s">
        <v>8</v>
      </c>
      <c r="D4729" s="20" t="s">
        <v>10</v>
      </c>
      <c r="E4729" s="20" t="s">
        <v>13</v>
      </c>
      <c r="F4729" s="20" t="str">
        <f>INDEX(nrg_cb_e!$A$3:$A$40,MATCH(LEFT(MID('Industriesektor GWh'!$B4729,41,1000),SEARCH(" - ",MID('Industriesektor GWh'!$B4729,41,1000))-1),nrg_cb_e!$C$3:$C$40,0))</f>
        <v>NRG_NSP_E</v>
      </c>
      <c r="G4729" s="21">
        <v>5887</v>
      </c>
    </row>
    <row r="4730" spans="1:7" x14ac:dyDescent="0.2">
      <c r="A4730" s="16" t="s">
        <v>59</v>
      </c>
      <c r="B4730" s="17" t="s">
        <v>74</v>
      </c>
      <c r="C4730" s="17" t="s">
        <v>8</v>
      </c>
      <c r="D4730" s="17" t="s">
        <v>10</v>
      </c>
      <c r="E4730" s="17" t="s">
        <v>14</v>
      </c>
      <c r="F4730" s="17" t="str">
        <f>INDEX(nrg_cb_e!$A$3:$A$40,MATCH(LEFT(MID('Industriesektor GWh'!$B4730,41,1000),SEARCH(" - ",MID('Industriesektor GWh'!$B4730,41,1000))-1),nrg_cb_e!$C$3:$C$40,0))</f>
        <v>NRG_NSP_E</v>
      </c>
      <c r="G4730" s="18">
        <v>369</v>
      </c>
    </row>
    <row r="4731" spans="1:7" x14ac:dyDescent="0.2">
      <c r="A4731" s="19" t="s">
        <v>59</v>
      </c>
      <c r="B4731" s="20" t="s">
        <v>74</v>
      </c>
      <c r="C4731" s="20" t="s">
        <v>8</v>
      </c>
      <c r="D4731" s="20" t="s">
        <v>10</v>
      </c>
      <c r="E4731" s="20" t="s">
        <v>15</v>
      </c>
      <c r="F4731" s="20" t="str">
        <f>INDEX(nrg_cb_e!$A$3:$A$40,MATCH(LEFT(MID('Industriesektor GWh'!$B4731,41,1000),SEARCH(" - ",MID('Industriesektor GWh'!$B4731,41,1000))-1),nrg_cb_e!$C$3:$C$40,0))</f>
        <v>NRG_NSP_E</v>
      </c>
      <c r="G4731" s="21">
        <v>356</v>
      </c>
    </row>
    <row r="4732" spans="1:7" x14ac:dyDescent="0.2">
      <c r="A4732" s="16" t="s">
        <v>59</v>
      </c>
      <c r="B4732" s="17" t="s">
        <v>74</v>
      </c>
      <c r="C4732" s="17" t="s">
        <v>8</v>
      </c>
      <c r="D4732" s="17" t="s">
        <v>10</v>
      </c>
      <c r="E4732" s="17" t="s">
        <v>16</v>
      </c>
      <c r="F4732" s="17" t="str">
        <f>INDEX(nrg_cb_e!$A$3:$A$40,MATCH(LEFT(MID('Industriesektor GWh'!$B4732,41,1000),SEARCH(" - ",MID('Industriesektor GWh'!$B4732,41,1000))-1),nrg_cb_e!$C$3:$C$40,0))</f>
        <v>NRG_NSP_E</v>
      </c>
      <c r="G4732" s="18">
        <v>379</v>
      </c>
    </row>
    <row r="4733" spans="1:7" x14ac:dyDescent="0.2">
      <c r="A4733" s="19" t="s">
        <v>59</v>
      </c>
      <c r="B4733" s="20" t="s">
        <v>74</v>
      </c>
      <c r="C4733" s="20" t="s">
        <v>8</v>
      </c>
      <c r="D4733" s="20" t="s">
        <v>10</v>
      </c>
      <c r="E4733" s="20" t="s">
        <v>17</v>
      </c>
      <c r="F4733" s="20" t="str">
        <f>INDEX(nrg_cb_e!$A$3:$A$40,MATCH(LEFT(MID('Industriesektor GWh'!$B4733,41,1000),SEARCH(" - ",MID('Industriesektor GWh'!$B4733,41,1000))-1),nrg_cb_e!$C$3:$C$40,0))</f>
        <v>NRG_NSP_E</v>
      </c>
      <c r="G4733" s="21">
        <v>346</v>
      </c>
    </row>
    <row r="4734" spans="1:7" x14ac:dyDescent="0.2">
      <c r="A4734" s="16" t="s">
        <v>59</v>
      </c>
      <c r="B4734" s="17" t="s">
        <v>74</v>
      </c>
      <c r="C4734" s="17" t="s">
        <v>8</v>
      </c>
      <c r="D4734" s="17" t="s">
        <v>10</v>
      </c>
      <c r="E4734" s="17" t="s">
        <v>18</v>
      </c>
      <c r="F4734" s="17" t="str">
        <f>INDEX(nrg_cb_e!$A$3:$A$40,MATCH(LEFT(MID('Industriesektor GWh'!$B4734,41,1000),SEARCH(" - ",MID('Industriesektor GWh'!$B4734,41,1000))-1),nrg_cb_e!$C$3:$C$40,0))</f>
        <v>NRG_NSP_E</v>
      </c>
      <c r="G4734" s="18">
        <v>398</v>
      </c>
    </row>
    <row r="4735" spans="1:7" x14ac:dyDescent="0.2">
      <c r="A4735" s="19" t="s">
        <v>59</v>
      </c>
      <c r="B4735" s="20" t="s">
        <v>74</v>
      </c>
      <c r="C4735" s="20" t="s">
        <v>8</v>
      </c>
      <c r="D4735" s="20" t="s">
        <v>10</v>
      </c>
      <c r="E4735" s="20" t="s">
        <v>19</v>
      </c>
      <c r="F4735" s="20" t="str">
        <f>INDEX(nrg_cb_e!$A$3:$A$40,MATCH(LEFT(MID('Industriesektor GWh'!$B4735,41,1000),SEARCH(" - ",MID('Industriesektor GWh'!$B4735,41,1000))-1),nrg_cb_e!$C$3:$C$40,0))</f>
        <v>NRG_NSP_E</v>
      </c>
      <c r="G4735" s="21">
        <v>262</v>
      </c>
    </row>
    <row r="4736" spans="1:7" x14ac:dyDescent="0.2">
      <c r="A4736" s="16" t="s">
        <v>59</v>
      </c>
      <c r="B4736" s="17" t="s">
        <v>74</v>
      </c>
      <c r="C4736" s="17" t="s">
        <v>8</v>
      </c>
      <c r="D4736" s="17" t="s">
        <v>10</v>
      </c>
      <c r="E4736" s="17" t="s">
        <v>20</v>
      </c>
      <c r="F4736" s="17" t="str">
        <f>INDEX(nrg_cb_e!$A$3:$A$40,MATCH(LEFT(MID('Industriesektor GWh'!$B4736,41,1000),SEARCH(" - ",MID('Industriesektor GWh'!$B4736,41,1000))-1),nrg_cb_e!$C$3:$C$40,0))</f>
        <v>NRG_NSP_E</v>
      </c>
      <c r="G4736" s="18">
        <v>1963</v>
      </c>
    </row>
    <row r="4737" spans="1:7" x14ac:dyDescent="0.2">
      <c r="A4737" s="19" t="s">
        <v>59</v>
      </c>
      <c r="B4737" s="20" t="s">
        <v>74</v>
      </c>
      <c r="C4737" s="20" t="s">
        <v>8</v>
      </c>
      <c r="D4737" s="20" t="s">
        <v>10</v>
      </c>
      <c r="E4737" s="20" t="s">
        <v>21</v>
      </c>
      <c r="F4737" s="20" t="str">
        <f>INDEX(nrg_cb_e!$A$3:$A$40,MATCH(LEFT(MID('Industriesektor GWh'!$B4737,41,1000),SEARCH(" - ",MID('Industriesektor GWh'!$B4737,41,1000))-1),nrg_cb_e!$C$3:$C$40,0))</f>
        <v>NRG_NSP_E</v>
      </c>
      <c r="G4737" s="21">
        <v>373</v>
      </c>
    </row>
    <row r="4738" spans="1:7" x14ac:dyDescent="0.2">
      <c r="A4738" s="16" t="s">
        <v>59</v>
      </c>
      <c r="B4738" s="17" t="s">
        <v>74</v>
      </c>
      <c r="C4738" s="17" t="s">
        <v>8</v>
      </c>
      <c r="D4738" s="17" t="s">
        <v>10</v>
      </c>
      <c r="E4738" s="17" t="s">
        <v>22</v>
      </c>
      <c r="F4738" s="17" t="str">
        <f>INDEX(nrg_cb_e!$A$3:$A$40,MATCH(LEFT(MID('Industriesektor GWh'!$B4738,41,1000),SEARCH(" - ",MID('Industriesektor GWh'!$B4738,41,1000))-1),nrg_cb_e!$C$3:$C$40,0))</f>
        <v>NRG_NSP_E</v>
      </c>
      <c r="G4738" s="18">
        <v>415</v>
      </c>
    </row>
    <row r="4739" spans="1:7" x14ac:dyDescent="0.2">
      <c r="A4739" s="19" t="s">
        <v>59</v>
      </c>
      <c r="B4739" s="20" t="s">
        <v>74</v>
      </c>
      <c r="C4739" s="20" t="s">
        <v>8</v>
      </c>
      <c r="D4739" s="20" t="s">
        <v>10</v>
      </c>
      <c r="E4739" s="20" t="s">
        <v>23</v>
      </c>
      <c r="F4739" s="20" t="str">
        <f>INDEX(nrg_cb_e!$A$3:$A$40,MATCH(LEFT(MID('Industriesektor GWh'!$B4739,41,1000),SEARCH(" - ",MID('Industriesektor GWh'!$B4739,41,1000))-1),nrg_cb_e!$C$3:$C$40,0))</f>
        <v>NRG_NSP_E</v>
      </c>
      <c r="G4739" s="21">
        <v>464</v>
      </c>
    </row>
    <row r="4740" spans="1:7" x14ac:dyDescent="0.2">
      <c r="A4740" s="16" t="s">
        <v>59</v>
      </c>
      <c r="B4740" s="17" t="s">
        <v>74</v>
      </c>
      <c r="C4740" s="17" t="s">
        <v>8</v>
      </c>
      <c r="D4740" s="17" t="s">
        <v>10</v>
      </c>
      <c r="E4740" s="17" t="s">
        <v>24</v>
      </c>
      <c r="F4740" s="17" t="str">
        <f>INDEX(nrg_cb_e!$A$3:$A$40,MATCH(LEFT(MID('Industriesektor GWh'!$B4740,41,1000),SEARCH(" - ",MID('Industriesektor GWh'!$B4740,41,1000))-1),nrg_cb_e!$C$3:$C$40,0))</f>
        <v>NRG_NSP_E</v>
      </c>
      <c r="G4740" s="18">
        <v>437</v>
      </c>
    </row>
    <row r="4741" spans="1:7" x14ac:dyDescent="0.2">
      <c r="A4741" s="19" t="s">
        <v>59</v>
      </c>
      <c r="B4741" s="20" t="s">
        <v>74</v>
      </c>
      <c r="C4741" s="20" t="s">
        <v>8</v>
      </c>
      <c r="D4741" s="20" t="s">
        <v>10</v>
      </c>
      <c r="E4741" s="20" t="s">
        <v>25</v>
      </c>
      <c r="F4741" s="20" t="str">
        <f>INDEX(nrg_cb_e!$A$3:$A$40,MATCH(LEFT(MID('Industriesektor GWh'!$B4741,41,1000),SEARCH(" - ",MID('Industriesektor GWh'!$B4741,41,1000))-1),nrg_cb_e!$C$3:$C$40,0))</f>
        <v>NRG_NSP_E</v>
      </c>
      <c r="G4741" s="21">
        <v>521</v>
      </c>
    </row>
    <row r="4742" spans="1:7" x14ac:dyDescent="0.2">
      <c r="A4742" s="16" t="s">
        <v>59</v>
      </c>
      <c r="B4742" s="17" t="s">
        <v>74</v>
      </c>
      <c r="C4742" s="17" t="s">
        <v>8</v>
      </c>
      <c r="D4742" s="17" t="s">
        <v>10</v>
      </c>
      <c r="E4742" s="17" t="s">
        <v>26</v>
      </c>
      <c r="F4742" s="17" t="str">
        <f>INDEX(nrg_cb_e!$A$3:$A$40,MATCH(LEFT(MID('Industriesektor GWh'!$B4742,41,1000),SEARCH(" - ",MID('Industriesektor GWh'!$B4742,41,1000))-1),nrg_cb_e!$C$3:$C$40,0))</f>
        <v>NRG_NSP_E</v>
      </c>
      <c r="G4742" s="18">
        <v>647</v>
      </c>
    </row>
    <row r="4743" spans="1:7" x14ac:dyDescent="0.2">
      <c r="A4743" s="19" t="s">
        <v>59</v>
      </c>
      <c r="B4743" s="20" t="s">
        <v>74</v>
      </c>
      <c r="C4743" s="20" t="s">
        <v>8</v>
      </c>
      <c r="D4743" s="20" t="s">
        <v>10</v>
      </c>
      <c r="E4743" s="20" t="s">
        <v>27</v>
      </c>
      <c r="F4743" s="20" t="str">
        <f>INDEX(nrg_cb_e!$A$3:$A$40,MATCH(LEFT(MID('Industriesektor GWh'!$B4743,41,1000),SEARCH(" - ",MID('Industriesektor GWh'!$B4743,41,1000))-1),nrg_cb_e!$C$3:$C$40,0))</f>
        <v>NRG_NSP_E</v>
      </c>
      <c r="G4743" s="21">
        <v>678.83199999999999</v>
      </c>
    </row>
    <row r="4744" spans="1:7" x14ac:dyDescent="0.2">
      <c r="A4744" s="16" t="s">
        <v>59</v>
      </c>
      <c r="B4744" s="17" t="s">
        <v>74</v>
      </c>
      <c r="C4744" s="17" t="s">
        <v>8</v>
      </c>
      <c r="D4744" s="17" t="s">
        <v>10</v>
      </c>
      <c r="E4744" s="17" t="s">
        <v>28</v>
      </c>
      <c r="F4744" s="17" t="str">
        <f>INDEX(nrg_cb_e!$A$3:$A$40,MATCH(LEFT(MID('Industriesektor GWh'!$B4744,41,1000),SEARCH(" - ",MID('Industriesektor GWh'!$B4744,41,1000))-1),nrg_cb_e!$C$3:$C$40,0))</f>
        <v>NRG_NSP_E</v>
      </c>
      <c r="G4744" s="18">
        <v>789.24099999999999</v>
      </c>
    </row>
    <row r="4745" spans="1:7" x14ac:dyDescent="0.2">
      <c r="A4745" s="19" t="s">
        <v>29</v>
      </c>
      <c r="B4745" s="20" t="s">
        <v>64</v>
      </c>
      <c r="C4745" s="20" t="s">
        <v>8</v>
      </c>
      <c r="D4745" s="20" t="s">
        <v>10</v>
      </c>
      <c r="E4745" s="20" t="s">
        <v>12</v>
      </c>
      <c r="F4745" s="20" t="str">
        <f>INDEX(nrg_cb_e!$A$3:$A$40,MATCH(LEFT(MID('Industriesektor GWh'!$B4745,41,1000),SEARCH(" - ",MID('Industriesektor GWh'!$B4745,41,1000))-1),nrg_cb_e!$C$3:$C$40,0))</f>
        <v>FC_IND_NFM_E</v>
      </c>
      <c r="G4745" s="21">
        <v>1997</v>
      </c>
    </row>
    <row r="4746" spans="1:7" x14ac:dyDescent="0.2">
      <c r="A4746" s="16" t="s">
        <v>29</v>
      </c>
      <c r="B4746" s="17" t="s">
        <v>64</v>
      </c>
      <c r="C4746" s="17" t="s">
        <v>8</v>
      </c>
      <c r="D4746" s="17" t="s">
        <v>10</v>
      </c>
      <c r="E4746" s="17" t="s">
        <v>13</v>
      </c>
      <c r="F4746" s="17" t="str">
        <f>INDEX(nrg_cb_e!$A$3:$A$40,MATCH(LEFT(MID('Industriesektor GWh'!$B4746,41,1000),SEARCH(" - ",MID('Industriesektor GWh'!$B4746,41,1000))-1),nrg_cb_e!$C$3:$C$40,0))</f>
        <v>FC_IND_NFM_E</v>
      </c>
      <c r="G4746" s="18">
        <v>2083</v>
      </c>
    </row>
    <row r="4747" spans="1:7" x14ac:dyDescent="0.2">
      <c r="A4747" s="19" t="s">
        <v>29</v>
      </c>
      <c r="B4747" s="20" t="s">
        <v>64</v>
      </c>
      <c r="C4747" s="20" t="s">
        <v>8</v>
      </c>
      <c r="D4747" s="20" t="s">
        <v>10</v>
      </c>
      <c r="E4747" s="20" t="s">
        <v>14</v>
      </c>
      <c r="F4747" s="20" t="str">
        <f>INDEX(nrg_cb_e!$A$3:$A$40,MATCH(LEFT(MID('Industriesektor GWh'!$B4747,41,1000),SEARCH(" - ",MID('Industriesektor GWh'!$B4747,41,1000))-1),nrg_cb_e!$C$3:$C$40,0))</f>
        <v>FC_IND_NFM_E</v>
      </c>
      <c r="G4747" s="21">
        <v>2123</v>
      </c>
    </row>
    <row r="4748" spans="1:7" x14ac:dyDescent="0.2">
      <c r="A4748" s="16" t="s">
        <v>29</v>
      </c>
      <c r="B4748" s="17" t="s">
        <v>64</v>
      </c>
      <c r="C4748" s="17" t="s">
        <v>8</v>
      </c>
      <c r="D4748" s="17" t="s">
        <v>10</v>
      </c>
      <c r="E4748" s="17" t="s">
        <v>15</v>
      </c>
      <c r="F4748" s="17" t="str">
        <f>INDEX(nrg_cb_e!$A$3:$A$40,MATCH(LEFT(MID('Industriesektor GWh'!$B4748,41,1000),SEARCH(" - ",MID('Industriesektor GWh'!$B4748,41,1000))-1),nrg_cb_e!$C$3:$C$40,0))</f>
        <v>FC_IND_NFM_E</v>
      </c>
      <c r="G4748" s="18">
        <v>1729</v>
      </c>
    </row>
    <row r="4749" spans="1:7" x14ac:dyDescent="0.2">
      <c r="A4749" s="19" t="s">
        <v>29</v>
      </c>
      <c r="B4749" s="20" t="s">
        <v>64</v>
      </c>
      <c r="C4749" s="20" t="s">
        <v>8</v>
      </c>
      <c r="D4749" s="20" t="s">
        <v>10</v>
      </c>
      <c r="E4749" s="20" t="s">
        <v>16</v>
      </c>
      <c r="F4749" s="20" t="str">
        <f>INDEX(nrg_cb_e!$A$3:$A$40,MATCH(LEFT(MID('Industriesektor GWh'!$B4749,41,1000),SEARCH(" - ",MID('Industriesektor GWh'!$B4749,41,1000))-1),nrg_cb_e!$C$3:$C$40,0))</f>
        <v>FC_IND_NFM_E</v>
      </c>
      <c r="G4749" s="21">
        <v>2468</v>
      </c>
    </row>
    <row r="4750" spans="1:7" x14ac:dyDescent="0.2">
      <c r="A4750" s="16" t="s">
        <v>29</v>
      </c>
      <c r="B4750" s="17" t="s">
        <v>64</v>
      </c>
      <c r="C4750" s="17" t="s">
        <v>8</v>
      </c>
      <c r="D4750" s="17" t="s">
        <v>10</v>
      </c>
      <c r="E4750" s="17" t="s">
        <v>17</v>
      </c>
      <c r="F4750" s="17" t="str">
        <f>INDEX(nrg_cb_e!$A$3:$A$40,MATCH(LEFT(MID('Industriesektor GWh'!$B4750,41,1000),SEARCH(" - ",MID('Industriesektor GWh'!$B4750,41,1000))-1),nrg_cb_e!$C$3:$C$40,0))</f>
        <v>FC_IND_NFM_E</v>
      </c>
      <c r="G4750" s="18">
        <v>2298</v>
      </c>
    </row>
    <row r="4751" spans="1:7" x14ac:dyDescent="0.2">
      <c r="A4751" s="19" t="s">
        <v>29</v>
      </c>
      <c r="B4751" s="20" t="s">
        <v>64</v>
      </c>
      <c r="C4751" s="20" t="s">
        <v>8</v>
      </c>
      <c r="D4751" s="20" t="s">
        <v>10</v>
      </c>
      <c r="E4751" s="20" t="s">
        <v>18</v>
      </c>
      <c r="F4751" s="20" t="str">
        <f>INDEX(nrg_cb_e!$A$3:$A$40,MATCH(LEFT(MID('Industriesektor GWh'!$B4751,41,1000),SEARCH(" - ",MID('Industriesektor GWh'!$B4751,41,1000))-1),nrg_cb_e!$C$3:$C$40,0))</f>
        <v>FC_IND_NFM_E</v>
      </c>
      <c r="G4751" s="21">
        <v>2207</v>
      </c>
    </row>
    <row r="4752" spans="1:7" x14ac:dyDescent="0.2">
      <c r="A4752" s="16" t="s">
        <v>29</v>
      </c>
      <c r="B4752" s="17" t="s">
        <v>64</v>
      </c>
      <c r="C4752" s="17" t="s">
        <v>8</v>
      </c>
      <c r="D4752" s="17" t="s">
        <v>10</v>
      </c>
      <c r="E4752" s="17" t="s">
        <v>19</v>
      </c>
      <c r="F4752" s="17" t="str">
        <f>INDEX(nrg_cb_e!$A$3:$A$40,MATCH(LEFT(MID('Industriesektor GWh'!$B4752,41,1000),SEARCH(" - ",MID('Industriesektor GWh'!$B4752,41,1000))-1),nrg_cb_e!$C$3:$C$40,0))</f>
        <v>FC_IND_NFM_E</v>
      </c>
      <c r="G4752" s="18">
        <v>1328</v>
      </c>
    </row>
    <row r="4753" spans="1:7" x14ac:dyDescent="0.2">
      <c r="A4753" s="19" t="s">
        <v>29</v>
      </c>
      <c r="B4753" s="20" t="s">
        <v>64</v>
      </c>
      <c r="C4753" s="20" t="s">
        <v>8</v>
      </c>
      <c r="D4753" s="20" t="s">
        <v>10</v>
      </c>
      <c r="E4753" s="20" t="s">
        <v>20</v>
      </c>
      <c r="F4753" s="20" t="str">
        <f>INDEX(nrg_cb_e!$A$3:$A$40,MATCH(LEFT(MID('Industriesektor GWh'!$B4753,41,1000),SEARCH(" - ",MID('Industriesektor GWh'!$B4753,41,1000))-1),nrg_cb_e!$C$3:$C$40,0))</f>
        <v>FC_IND_NFM_E</v>
      </c>
      <c r="G4753" s="21">
        <v>1775</v>
      </c>
    </row>
    <row r="4754" spans="1:7" x14ac:dyDescent="0.2">
      <c r="A4754" s="16" t="s">
        <v>29</v>
      </c>
      <c r="B4754" s="17" t="s">
        <v>64</v>
      </c>
      <c r="C4754" s="17" t="s">
        <v>8</v>
      </c>
      <c r="D4754" s="17" t="s">
        <v>10</v>
      </c>
      <c r="E4754" s="17" t="s">
        <v>21</v>
      </c>
      <c r="F4754" s="17" t="str">
        <f>INDEX(nrg_cb_e!$A$3:$A$40,MATCH(LEFT(MID('Industriesektor GWh'!$B4754,41,1000),SEARCH(" - ",MID('Industriesektor GWh'!$B4754,41,1000))-1),nrg_cb_e!$C$3:$C$40,0))</f>
        <v>FC_IND_NFM_E</v>
      </c>
      <c r="G4754" s="18">
        <v>1859</v>
      </c>
    </row>
    <row r="4755" spans="1:7" x14ac:dyDescent="0.2">
      <c r="A4755" s="19" t="s">
        <v>29</v>
      </c>
      <c r="B4755" s="20" t="s">
        <v>64</v>
      </c>
      <c r="C4755" s="20" t="s">
        <v>8</v>
      </c>
      <c r="D4755" s="20" t="s">
        <v>10</v>
      </c>
      <c r="E4755" s="20" t="s">
        <v>22</v>
      </c>
      <c r="F4755" s="20" t="str">
        <f>INDEX(nrg_cb_e!$A$3:$A$40,MATCH(LEFT(MID('Industriesektor GWh'!$B4755,41,1000),SEARCH(" - ",MID('Industriesektor GWh'!$B4755,41,1000))-1),nrg_cb_e!$C$3:$C$40,0))</f>
        <v>FC_IND_NFM_E</v>
      </c>
      <c r="G4755" s="21">
        <v>1911</v>
      </c>
    </row>
    <row r="4756" spans="1:7" x14ac:dyDescent="0.2">
      <c r="A4756" s="16" t="s">
        <v>29</v>
      </c>
      <c r="B4756" s="17" t="s">
        <v>64</v>
      </c>
      <c r="C4756" s="17" t="s">
        <v>8</v>
      </c>
      <c r="D4756" s="17" t="s">
        <v>10</v>
      </c>
      <c r="E4756" s="17" t="s">
        <v>23</v>
      </c>
      <c r="F4756" s="17" t="str">
        <f>INDEX(nrg_cb_e!$A$3:$A$40,MATCH(LEFT(MID('Industriesektor GWh'!$B4756,41,1000),SEARCH(" - ",MID('Industriesektor GWh'!$B4756,41,1000))-1),nrg_cb_e!$C$3:$C$40,0))</f>
        <v>FC_IND_NFM_E</v>
      </c>
      <c r="G4756" s="18">
        <v>1882</v>
      </c>
    </row>
    <row r="4757" spans="1:7" x14ac:dyDescent="0.2">
      <c r="A4757" s="19" t="s">
        <v>29</v>
      </c>
      <c r="B4757" s="20" t="s">
        <v>64</v>
      </c>
      <c r="C4757" s="20" t="s">
        <v>8</v>
      </c>
      <c r="D4757" s="20" t="s">
        <v>10</v>
      </c>
      <c r="E4757" s="20" t="s">
        <v>24</v>
      </c>
      <c r="F4757" s="20" t="str">
        <f>INDEX(nrg_cb_e!$A$3:$A$40,MATCH(LEFT(MID('Industriesektor GWh'!$B4757,41,1000),SEARCH(" - ",MID('Industriesektor GWh'!$B4757,41,1000))-1),nrg_cb_e!$C$3:$C$40,0))</f>
        <v>FC_IND_NFM_E</v>
      </c>
      <c r="G4757" s="21">
        <v>1936.6</v>
      </c>
    </row>
    <row r="4758" spans="1:7" x14ac:dyDescent="0.2">
      <c r="A4758" s="16" t="s">
        <v>29</v>
      </c>
      <c r="B4758" s="17" t="s">
        <v>64</v>
      </c>
      <c r="C4758" s="17" t="s">
        <v>8</v>
      </c>
      <c r="D4758" s="17" t="s">
        <v>10</v>
      </c>
      <c r="E4758" s="17" t="s">
        <v>25</v>
      </c>
      <c r="F4758" s="17" t="str">
        <f>INDEX(nrg_cb_e!$A$3:$A$40,MATCH(LEFT(MID('Industriesektor GWh'!$B4758,41,1000),SEARCH(" - ",MID('Industriesektor GWh'!$B4758,41,1000))-1),nrg_cb_e!$C$3:$C$40,0))</f>
        <v>FC_IND_NFM_E</v>
      </c>
      <c r="G4758" s="18">
        <v>1922.2</v>
      </c>
    </row>
    <row r="4759" spans="1:7" x14ac:dyDescent="0.2">
      <c r="A4759" s="19" t="s">
        <v>29</v>
      </c>
      <c r="B4759" s="20" t="s">
        <v>64</v>
      </c>
      <c r="C4759" s="20" t="s">
        <v>8</v>
      </c>
      <c r="D4759" s="20" t="s">
        <v>10</v>
      </c>
      <c r="E4759" s="20" t="s">
        <v>26</v>
      </c>
      <c r="F4759" s="20" t="str">
        <f>INDEX(nrg_cb_e!$A$3:$A$40,MATCH(LEFT(MID('Industriesektor GWh'!$B4759,41,1000),SEARCH(" - ",MID('Industriesektor GWh'!$B4759,41,1000))-1),nrg_cb_e!$C$3:$C$40,0))</f>
        <v>FC_IND_NFM_E</v>
      </c>
      <c r="G4759" s="21">
        <v>1862</v>
      </c>
    </row>
    <row r="4760" spans="1:7" x14ac:dyDescent="0.2">
      <c r="A4760" s="16" t="s">
        <v>29</v>
      </c>
      <c r="B4760" s="17" t="s">
        <v>64</v>
      </c>
      <c r="C4760" s="17" t="s">
        <v>8</v>
      </c>
      <c r="D4760" s="17" t="s">
        <v>10</v>
      </c>
      <c r="E4760" s="17" t="s">
        <v>27</v>
      </c>
      <c r="F4760" s="17" t="str">
        <f>INDEX(nrg_cb_e!$A$3:$A$40,MATCH(LEFT(MID('Industriesektor GWh'!$B4760,41,1000),SEARCH(" - ",MID('Industriesektor GWh'!$B4760,41,1000))-1),nrg_cb_e!$C$3:$C$40,0))</f>
        <v>FC_IND_NFM_E</v>
      </c>
      <c r="G4760" s="18">
        <v>1994</v>
      </c>
    </row>
    <row r="4761" spans="1:7" x14ac:dyDescent="0.2">
      <c r="A4761" s="19" t="s">
        <v>29</v>
      </c>
      <c r="B4761" s="20" t="s">
        <v>64</v>
      </c>
      <c r="C4761" s="20" t="s">
        <v>8</v>
      </c>
      <c r="D4761" s="20" t="s">
        <v>10</v>
      </c>
      <c r="E4761" s="20" t="s">
        <v>28</v>
      </c>
      <c r="F4761" s="20" t="str">
        <f>INDEX(nrg_cb_e!$A$3:$A$40,MATCH(LEFT(MID('Industriesektor GWh'!$B4761,41,1000),SEARCH(" - ",MID('Industriesektor GWh'!$B4761,41,1000))-1),nrg_cb_e!$C$3:$C$40,0))</f>
        <v>FC_IND_NFM_E</v>
      </c>
      <c r="G4761" s="21">
        <v>2121</v>
      </c>
    </row>
    <row r="4762" spans="1:7" x14ac:dyDescent="0.2">
      <c r="A4762" s="16" t="s">
        <v>30</v>
      </c>
      <c r="B4762" s="17" t="s">
        <v>64</v>
      </c>
      <c r="C4762" s="17" t="s">
        <v>8</v>
      </c>
      <c r="D4762" s="17" t="s">
        <v>10</v>
      </c>
      <c r="E4762" s="17" t="s">
        <v>12</v>
      </c>
      <c r="F4762" s="17" t="str">
        <f>INDEX(nrg_cb_e!$A$3:$A$40,MATCH(LEFT(MID('Industriesektor GWh'!$B4762,41,1000),SEARCH(" - ",MID('Industriesektor GWh'!$B4762,41,1000))-1),nrg_cb_e!$C$3:$C$40,0))</f>
        <v>FC_IND_NFM_E</v>
      </c>
      <c r="G4762" s="18">
        <v>608</v>
      </c>
    </row>
    <row r="4763" spans="1:7" x14ac:dyDescent="0.2">
      <c r="A4763" s="19" t="s">
        <v>30</v>
      </c>
      <c r="B4763" s="20" t="s">
        <v>64</v>
      </c>
      <c r="C4763" s="20" t="s">
        <v>8</v>
      </c>
      <c r="D4763" s="20" t="s">
        <v>10</v>
      </c>
      <c r="E4763" s="20" t="s">
        <v>13</v>
      </c>
      <c r="F4763" s="20" t="str">
        <f>INDEX(nrg_cb_e!$A$3:$A$40,MATCH(LEFT(MID('Industriesektor GWh'!$B4763,41,1000),SEARCH(" - ",MID('Industriesektor GWh'!$B4763,41,1000))-1),nrg_cb_e!$C$3:$C$40,0))</f>
        <v>FC_IND_NFM_E</v>
      </c>
      <c r="G4763" s="21">
        <v>753</v>
      </c>
    </row>
    <row r="4764" spans="1:7" x14ac:dyDescent="0.2">
      <c r="A4764" s="16" t="s">
        <v>30</v>
      </c>
      <c r="B4764" s="17" t="s">
        <v>64</v>
      </c>
      <c r="C4764" s="17" t="s">
        <v>8</v>
      </c>
      <c r="D4764" s="17" t="s">
        <v>10</v>
      </c>
      <c r="E4764" s="17" t="s">
        <v>14</v>
      </c>
      <c r="F4764" s="17" t="str">
        <f>INDEX(nrg_cb_e!$A$3:$A$40,MATCH(LEFT(MID('Industriesektor GWh'!$B4764,41,1000),SEARCH(" - ",MID('Industriesektor GWh'!$B4764,41,1000))-1),nrg_cb_e!$C$3:$C$40,0))</f>
        <v>FC_IND_NFM_E</v>
      </c>
      <c r="G4764" s="18">
        <v>820</v>
      </c>
    </row>
    <row r="4765" spans="1:7" x14ac:dyDescent="0.2">
      <c r="A4765" s="19" t="s">
        <v>30</v>
      </c>
      <c r="B4765" s="20" t="s">
        <v>64</v>
      </c>
      <c r="C4765" s="20" t="s">
        <v>8</v>
      </c>
      <c r="D4765" s="20" t="s">
        <v>10</v>
      </c>
      <c r="E4765" s="20" t="s">
        <v>15</v>
      </c>
      <c r="F4765" s="20" t="str">
        <f>INDEX(nrg_cb_e!$A$3:$A$40,MATCH(LEFT(MID('Industriesektor GWh'!$B4765,41,1000),SEARCH(" - ",MID('Industriesektor GWh'!$B4765,41,1000))-1),nrg_cb_e!$C$3:$C$40,0))</f>
        <v>FC_IND_NFM_E</v>
      </c>
      <c r="G4765" s="21">
        <v>816</v>
      </c>
    </row>
    <row r="4766" spans="1:7" x14ac:dyDescent="0.2">
      <c r="A4766" s="16" t="s">
        <v>30</v>
      </c>
      <c r="B4766" s="17" t="s">
        <v>64</v>
      </c>
      <c r="C4766" s="17" t="s">
        <v>8</v>
      </c>
      <c r="D4766" s="17" t="s">
        <v>10</v>
      </c>
      <c r="E4766" s="17" t="s">
        <v>16</v>
      </c>
      <c r="F4766" s="17" t="str">
        <f>INDEX(nrg_cb_e!$A$3:$A$40,MATCH(LEFT(MID('Industriesektor GWh'!$B4766,41,1000),SEARCH(" - ",MID('Industriesektor GWh'!$B4766,41,1000))-1),nrg_cb_e!$C$3:$C$40,0))</f>
        <v>FC_IND_NFM_E</v>
      </c>
      <c r="G4766" s="18">
        <v>833</v>
      </c>
    </row>
    <row r="4767" spans="1:7" x14ac:dyDescent="0.2">
      <c r="A4767" s="19" t="s">
        <v>30</v>
      </c>
      <c r="B4767" s="20" t="s">
        <v>64</v>
      </c>
      <c r="C4767" s="20" t="s">
        <v>8</v>
      </c>
      <c r="D4767" s="20" t="s">
        <v>10</v>
      </c>
      <c r="E4767" s="20" t="s">
        <v>17</v>
      </c>
      <c r="F4767" s="20" t="str">
        <f>INDEX(nrg_cb_e!$A$3:$A$40,MATCH(LEFT(MID('Industriesektor GWh'!$B4767,41,1000),SEARCH(" - ",MID('Industriesektor GWh'!$B4767,41,1000))-1),nrg_cb_e!$C$3:$C$40,0))</f>
        <v>FC_IND_NFM_E</v>
      </c>
      <c r="G4767" s="21">
        <v>849</v>
      </c>
    </row>
    <row r="4768" spans="1:7" x14ac:dyDescent="0.2">
      <c r="A4768" s="16" t="s">
        <v>30</v>
      </c>
      <c r="B4768" s="17" t="s">
        <v>64</v>
      </c>
      <c r="C4768" s="17" t="s">
        <v>8</v>
      </c>
      <c r="D4768" s="17" t="s">
        <v>10</v>
      </c>
      <c r="E4768" s="17" t="s">
        <v>18</v>
      </c>
      <c r="F4768" s="17" t="str">
        <f>INDEX(nrg_cb_e!$A$3:$A$40,MATCH(LEFT(MID('Industriesektor GWh'!$B4768,41,1000),SEARCH(" - ",MID('Industriesektor GWh'!$B4768,41,1000))-1),nrg_cb_e!$C$3:$C$40,0))</f>
        <v>FC_IND_NFM_E</v>
      </c>
      <c r="G4768" s="18">
        <v>929</v>
      </c>
    </row>
    <row r="4769" spans="1:7" x14ac:dyDescent="0.2">
      <c r="A4769" s="19" t="s">
        <v>30</v>
      </c>
      <c r="B4769" s="20" t="s">
        <v>64</v>
      </c>
      <c r="C4769" s="20" t="s">
        <v>8</v>
      </c>
      <c r="D4769" s="20" t="s">
        <v>10</v>
      </c>
      <c r="E4769" s="20" t="s">
        <v>19</v>
      </c>
      <c r="F4769" s="20" t="str">
        <f>INDEX(nrg_cb_e!$A$3:$A$40,MATCH(LEFT(MID('Industriesektor GWh'!$B4769,41,1000),SEARCH(" - ",MID('Industriesektor GWh'!$B4769,41,1000))-1),nrg_cb_e!$C$3:$C$40,0))</f>
        <v>FC_IND_NFM_E</v>
      </c>
      <c r="G4769" s="21">
        <v>880</v>
      </c>
    </row>
    <row r="4770" spans="1:7" x14ac:dyDescent="0.2">
      <c r="A4770" s="16" t="s">
        <v>30</v>
      </c>
      <c r="B4770" s="17" t="s">
        <v>64</v>
      </c>
      <c r="C4770" s="17" t="s">
        <v>8</v>
      </c>
      <c r="D4770" s="17" t="s">
        <v>10</v>
      </c>
      <c r="E4770" s="17" t="s">
        <v>20</v>
      </c>
      <c r="F4770" s="17" t="str">
        <f>INDEX(nrg_cb_e!$A$3:$A$40,MATCH(LEFT(MID('Industriesektor GWh'!$B4770,41,1000),SEARCH(" - ",MID('Industriesektor GWh'!$B4770,41,1000))-1),nrg_cb_e!$C$3:$C$40,0))</f>
        <v>FC_IND_NFM_E</v>
      </c>
      <c r="G4770" s="18">
        <v>917</v>
      </c>
    </row>
    <row r="4771" spans="1:7" x14ac:dyDescent="0.2">
      <c r="A4771" s="19" t="s">
        <v>30</v>
      </c>
      <c r="B4771" s="20" t="s">
        <v>64</v>
      </c>
      <c r="C4771" s="20" t="s">
        <v>8</v>
      </c>
      <c r="D4771" s="20" t="s">
        <v>10</v>
      </c>
      <c r="E4771" s="20" t="s">
        <v>21</v>
      </c>
      <c r="F4771" s="20" t="str">
        <f>INDEX(nrg_cb_e!$A$3:$A$40,MATCH(LEFT(MID('Industriesektor GWh'!$B4771,41,1000),SEARCH(" - ",MID('Industriesektor GWh'!$B4771,41,1000))-1),nrg_cb_e!$C$3:$C$40,0))</f>
        <v>FC_IND_NFM_E</v>
      </c>
      <c r="G4771" s="21">
        <v>952</v>
      </c>
    </row>
    <row r="4772" spans="1:7" x14ac:dyDescent="0.2">
      <c r="A4772" s="16" t="s">
        <v>30</v>
      </c>
      <c r="B4772" s="17" t="s">
        <v>64</v>
      </c>
      <c r="C4772" s="17" t="s">
        <v>8</v>
      </c>
      <c r="D4772" s="17" t="s">
        <v>10</v>
      </c>
      <c r="E4772" s="17" t="s">
        <v>22</v>
      </c>
      <c r="F4772" s="17" t="str">
        <f>INDEX(nrg_cb_e!$A$3:$A$40,MATCH(LEFT(MID('Industriesektor GWh'!$B4772,41,1000),SEARCH(" - ",MID('Industriesektor GWh'!$B4772,41,1000))-1),nrg_cb_e!$C$3:$C$40,0))</f>
        <v>FC_IND_NFM_E</v>
      </c>
      <c r="G4772" s="18">
        <v>862</v>
      </c>
    </row>
    <row r="4773" spans="1:7" x14ac:dyDescent="0.2">
      <c r="A4773" s="19" t="s">
        <v>30</v>
      </c>
      <c r="B4773" s="20" t="s">
        <v>64</v>
      </c>
      <c r="C4773" s="20" t="s">
        <v>8</v>
      </c>
      <c r="D4773" s="20" t="s">
        <v>10</v>
      </c>
      <c r="E4773" s="20" t="s">
        <v>23</v>
      </c>
      <c r="F4773" s="20" t="str">
        <f>INDEX(nrg_cb_e!$A$3:$A$40,MATCH(LEFT(MID('Industriesektor GWh'!$B4773,41,1000),SEARCH(" - ",MID('Industriesektor GWh'!$B4773,41,1000))-1),nrg_cb_e!$C$3:$C$40,0))</f>
        <v>FC_IND_NFM_E</v>
      </c>
      <c r="G4773" s="21">
        <v>1003</v>
      </c>
    </row>
    <row r="4774" spans="1:7" x14ac:dyDescent="0.2">
      <c r="A4774" s="16" t="s">
        <v>30</v>
      </c>
      <c r="B4774" s="17" t="s">
        <v>64</v>
      </c>
      <c r="C4774" s="17" t="s">
        <v>8</v>
      </c>
      <c r="D4774" s="17" t="s">
        <v>10</v>
      </c>
      <c r="E4774" s="17" t="s">
        <v>24</v>
      </c>
      <c r="F4774" s="17" t="str">
        <f>INDEX(nrg_cb_e!$A$3:$A$40,MATCH(LEFT(MID('Industriesektor GWh'!$B4774,41,1000),SEARCH(" - ",MID('Industriesektor GWh'!$B4774,41,1000))-1),nrg_cb_e!$C$3:$C$40,0))</f>
        <v>FC_IND_NFM_E</v>
      </c>
      <c r="G4774" s="18">
        <v>1004</v>
      </c>
    </row>
    <row r="4775" spans="1:7" x14ac:dyDescent="0.2">
      <c r="A4775" s="19" t="s">
        <v>30</v>
      </c>
      <c r="B4775" s="20" t="s">
        <v>64</v>
      </c>
      <c r="C4775" s="20" t="s">
        <v>8</v>
      </c>
      <c r="D4775" s="20" t="s">
        <v>10</v>
      </c>
      <c r="E4775" s="20" t="s">
        <v>25</v>
      </c>
      <c r="F4775" s="20" t="str">
        <f>INDEX(nrg_cb_e!$A$3:$A$40,MATCH(LEFT(MID('Industriesektor GWh'!$B4775,41,1000),SEARCH(" - ",MID('Industriesektor GWh'!$B4775,41,1000))-1),nrg_cb_e!$C$3:$C$40,0))</f>
        <v>FC_IND_NFM_E</v>
      </c>
      <c r="G4775" s="21">
        <v>863</v>
      </c>
    </row>
    <row r="4776" spans="1:7" x14ac:dyDescent="0.2">
      <c r="A4776" s="16" t="s">
        <v>30</v>
      </c>
      <c r="B4776" s="17" t="s">
        <v>64</v>
      </c>
      <c r="C4776" s="17" t="s">
        <v>8</v>
      </c>
      <c r="D4776" s="17" t="s">
        <v>10</v>
      </c>
      <c r="E4776" s="17" t="s">
        <v>26</v>
      </c>
      <c r="F4776" s="17" t="str">
        <f>INDEX(nrg_cb_e!$A$3:$A$40,MATCH(LEFT(MID('Industriesektor GWh'!$B4776,41,1000),SEARCH(" - ",MID('Industriesektor GWh'!$B4776,41,1000))-1),nrg_cb_e!$C$3:$C$40,0))</f>
        <v>FC_IND_NFM_E</v>
      </c>
      <c r="G4776" s="18">
        <v>770</v>
      </c>
    </row>
    <row r="4777" spans="1:7" x14ac:dyDescent="0.2">
      <c r="A4777" s="19" t="s">
        <v>30</v>
      </c>
      <c r="B4777" s="20" t="s">
        <v>64</v>
      </c>
      <c r="C4777" s="20" t="s">
        <v>8</v>
      </c>
      <c r="D4777" s="20" t="s">
        <v>10</v>
      </c>
      <c r="E4777" s="20" t="s">
        <v>27</v>
      </c>
      <c r="F4777" s="20" t="str">
        <f>INDEX(nrg_cb_e!$A$3:$A$40,MATCH(LEFT(MID('Industriesektor GWh'!$B4777,41,1000),SEARCH(" - ",MID('Industriesektor GWh'!$B4777,41,1000))-1),nrg_cb_e!$C$3:$C$40,0))</f>
        <v>FC_IND_NFM_E</v>
      </c>
      <c r="G4777" s="21">
        <v>1049.3510000000001</v>
      </c>
    </row>
    <row r="4778" spans="1:7" x14ac:dyDescent="0.2">
      <c r="A4778" s="16" t="s">
        <v>30</v>
      </c>
      <c r="B4778" s="17" t="s">
        <v>64</v>
      </c>
      <c r="C4778" s="17" t="s">
        <v>8</v>
      </c>
      <c r="D4778" s="17" t="s">
        <v>10</v>
      </c>
      <c r="E4778" s="17" t="s">
        <v>28</v>
      </c>
      <c r="F4778" s="17" t="str">
        <f>INDEX(nrg_cb_e!$A$3:$A$40,MATCH(LEFT(MID('Industriesektor GWh'!$B4778,41,1000),SEARCH(" - ",MID('Industriesektor GWh'!$B4778,41,1000))-1),nrg_cb_e!$C$3:$C$40,0))</f>
        <v>FC_IND_NFM_E</v>
      </c>
      <c r="G4778" s="18">
        <v>1081.7370000000001</v>
      </c>
    </row>
    <row r="4779" spans="1:7" x14ac:dyDescent="0.2">
      <c r="A4779" s="19" t="s">
        <v>31</v>
      </c>
      <c r="B4779" s="20" t="s">
        <v>64</v>
      </c>
      <c r="C4779" s="20" t="s">
        <v>8</v>
      </c>
      <c r="D4779" s="20" t="s">
        <v>10</v>
      </c>
      <c r="E4779" s="20" t="s">
        <v>12</v>
      </c>
      <c r="F4779" s="20" t="str">
        <f>INDEX(nrg_cb_e!$A$3:$A$40,MATCH(LEFT(MID('Industriesektor GWh'!$B4779,41,1000),SEARCH(" - ",MID('Industriesektor GWh'!$B4779,41,1000))-1),nrg_cb_e!$C$3:$C$40,0))</f>
        <v>FC_IND_NFM_E</v>
      </c>
      <c r="G4779" s="21">
        <v>104</v>
      </c>
    </row>
    <row r="4780" spans="1:7" x14ac:dyDescent="0.2">
      <c r="A4780" s="16" t="s">
        <v>31</v>
      </c>
      <c r="B4780" s="17" t="s">
        <v>64</v>
      </c>
      <c r="C4780" s="17" t="s">
        <v>8</v>
      </c>
      <c r="D4780" s="17" t="s">
        <v>10</v>
      </c>
      <c r="E4780" s="17" t="s">
        <v>13</v>
      </c>
      <c r="F4780" s="17" t="str">
        <f>INDEX(nrg_cb_e!$A$3:$A$40,MATCH(LEFT(MID('Industriesektor GWh'!$B4780,41,1000),SEARCH(" - ",MID('Industriesektor GWh'!$B4780,41,1000))-1),nrg_cb_e!$C$3:$C$40,0))</f>
        <v>FC_IND_NFM_E</v>
      </c>
      <c r="G4780" s="18">
        <v>280</v>
      </c>
    </row>
    <row r="4781" spans="1:7" x14ac:dyDescent="0.2">
      <c r="A4781" s="19" t="s">
        <v>31</v>
      </c>
      <c r="B4781" s="20" t="s">
        <v>64</v>
      </c>
      <c r="C4781" s="20" t="s">
        <v>8</v>
      </c>
      <c r="D4781" s="20" t="s">
        <v>10</v>
      </c>
      <c r="E4781" s="20" t="s">
        <v>14</v>
      </c>
      <c r="F4781" s="20" t="str">
        <f>INDEX(nrg_cb_e!$A$3:$A$40,MATCH(LEFT(MID('Industriesektor GWh'!$B4781,41,1000),SEARCH(" - ",MID('Industriesektor GWh'!$B4781,41,1000))-1),nrg_cb_e!$C$3:$C$40,0))</f>
        <v>FC_IND_NFM_E</v>
      </c>
      <c r="G4781" s="21">
        <v>291</v>
      </c>
    </row>
    <row r="4782" spans="1:7" x14ac:dyDescent="0.2">
      <c r="A4782" s="16" t="s">
        <v>31</v>
      </c>
      <c r="B4782" s="17" t="s">
        <v>64</v>
      </c>
      <c r="C4782" s="17" t="s">
        <v>8</v>
      </c>
      <c r="D4782" s="17" t="s">
        <v>10</v>
      </c>
      <c r="E4782" s="17" t="s">
        <v>15</v>
      </c>
      <c r="F4782" s="17" t="str">
        <f>INDEX(nrg_cb_e!$A$3:$A$40,MATCH(LEFT(MID('Industriesektor GWh'!$B4782,41,1000),SEARCH(" - ",MID('Industriesektor GWh'!$B4782,41,1000))-1),nrg_cb_e!$C$3:$C$40,0))</f>
        <v>FC_IND_NFM_E</v>
      </c>
      <c r="G4782" s="18">
        <v>329</v>
      </c>
    </row>
    <row r="4783" spans="1:7" x14ac:dyDescent="0.2">
      <c r="A4783" s="19" t="s">
        <v>31</v>
      </c>
      <c r="B4783" s="20" t="s">
        <v>64</v>
      </c>
      <c r="C4783" s="20" t="s">
        <v>8</v>
      </c>
      <c r="D4783" s="20" t="s">
        <v>10</v>
      </c>
      <c r="E4783" s="20" t="s">
        <v>16</v>
      </c>
      <c r="F4783" s="20" t="str">
        <f>INDEX(nrg_cb_e!$A$3:$A$40,MATCH(LEFT(MID('Industriesektor GWh'!$B4783,41,1000),SEARCH(" - ",MID('Industriesektor GWh'!$B4783,41,1000))-1),nrg_cb_e!$C$3:$C$40,0))</f>
        <v>FC_IND_NFM_E</v>
      </c>
      <c r="G4783" s="21">
        <v>336</v>
      </c>
    </row>
    <row r="4784" spans="1:7" x14ac:dyDescent="0.2">
      <c r="A4784" s="16" t="s">
        <v>31</v>
      </c>
      <c r="B4784" s="17" t="s">
        <v>64</v>
      </c>
      <c r="C4784" s="17" t="s">
        <v>8</v>
      </c>
      <c r="D4784" s="17" t="s">
        <v>10</v>
      </c>
      <c r="E4784" s="17" t="s">
        <v>17</v>
      </c>
      <c r="F4784" s="17" t="str">
        <f>INDEX(nrg_cb_e!$A$3:$A$40,MATCH(LEFT(MID('Industriesektor GWh'!$B4784,41,1000),SEARCH(" - ",MID('Industriesektor GWh'!$B4784,41,1000))-1),nrg_cb_e!$C$3:$C$40,0))</f>
        <v>FC_IND_NFM_E</v>
      </c>
      <c r="G4784" s="18">
        <v>306</v>
      </c>
    </row>
    <row r="4785" spans="1:7" x14ac:dyDescent="0.2">
      <c r="A4785" s="19" t="s">
        <v>31</v>
      </c>
      <c r="B4785" s="20" t="s">
        <v>64</v>
      </c>
      <c r="C4785" s="20" t="s">
        <v>8</v>
      </c>
      <c r="D4785" s="20" t="s">
        <v>10</v>
      </c>
      <c r="E4785" s="20" t="s">
        <v>18</v>
      </c>
      <c r="F4785" s="20" t="str">
        <f>INDEX(nrg_cb_e!$A$3:$A$40,MATCH(LEFT(MID('Industriesektor GWh'!$B4785,41,1000),SEARCH(" - ",MID('Industriesektor GWh'!$B4785,41,1000))-1),nrg_cb_e!$C$3:$C$40,0))</f>
        <v>FC_IND_NFM_E</v>
      </c>
      <c r="G4785" s="21">
        <v>309</v>
      </c>
    </row>
    <row r="4786" spans="1:7" x14ac:dyDescent="0.2">
      <c r="A4786" s="16" t="s">
        <v>31</v>
      </c>
      <c r="B4786" s="17" t="s">
        <v>64</v>
      </c>
      <c r="C4786" s="17" t="s">
        <v>8</v>
      </c>
      <c r="D4786" s="17" t="s">
        <v>10</v>
      </c>
      <c r="E4786" s="17" t="s">
        <v>19</v>
      </c>
      <c r="F4786" s="17" t="str">
        <f>INDEX(nrg_cb_e!$A$3:$A$40,MATCH(LEFT(MID('Industriesektor GWh'!$B4786,41,1000),SEARCH(" - ",MID('Industriesektor GWh'!$B4786,41,1000))-1),nrg_cb_e!$C$3:$C$40,0))</f>
        <v>FC_IND_NFM_E</v>
      </c>
      <c r="G4786" s="18">
        <v>262</v>
      </c>
    </row>
    <row r="4787" spans="1:7" x14ac:dyDescent="0.2">
      <c r="A4787" s="19" t="s">
        <v>31</v>
      </c>
      <c r="B4787" s="20" t="s">
        <v>64</v>
      </c>
      <c r="C4787" s="20" t="s">
        <v>8</v>
      </c>
      <c r="D4787" s="20" t="s">
        <v>10</v>
      </c>
      <c r="E4787" s="20" t="s">
        <v>20</v>
      </c>
      <c r="F4787" s="20" t="str">
        <f>INDEX(nrg_cb_e!$A$3:$A$40,MATCH(LEFT(MID('Industriesektor GWh'!$B4787,41,1000),SEARCH(" - ",MID('Industriesektor GWh'!$B4787,41,1000))-1),nrg_cb_e!$C$3:$C$40,0))</f>
        <v>FC_IND_NFM_E</v>
      </c>
      <c r="G4787" s="21">
        <v>215</v>
      </c>
    </row>
    <row r="4788" spans="1:7" x14ac:dyDescent="0.2">
      <c r="A4788" s="16" t="s">
        <v>31</v>
      </c>
      <c r="B4788" s="17" t="s">
        <v>64</v>
      </c>
      <c r="C4788" s="17" t="s">
        <v>8</v>
      </c>
      <c r="D4788" s="17" t="s">
        <v>10</v>
      </c>
      <c r="E4788" s="17" t="s">
        <v>21</v>
      </c>
      <c r="F4788" s="17" t="str">
        <f>INDEX(nrg_cb_e!$A$3:$A$40,MATCH(LEFT(MID('Industriesektor GWh'!$B4788,41,1000),SEARCH(" - ",MID('Industriesektor GWh'!$B4788,41,1000))-1),nrg_cb_e!$C$3:$C$40,0))</f>
        <v>FC_IND_NFM_E</v>
      </c>
      <c r="G4788" s="18">
        <v>262</v>
      </c>
    </row>
    <row r="4789" spans="1:7" x14ac:dyDescent="0.2">
      <c r="A4789" s="19" t="s">
        <v>31</v>
      </c>
      <c r="B4789" s="20" t="s">
        <v>64</v>
      </c>
      <c r="C4789" s="20" t="s">
        <v>8</v>
      </c>
      <c r="D4789" s="20" t="s">
        <v>10</v>
      </c>
      <c r="E4789" s="20" t="s">
        <v>22</v>
      </c>
      <c r="F4789" s="20" t="str">
        <f>INDEX(nrg_cb_e!$A$3:$A$40,MATCH(LEFT(MID('Industriesektor GWh'!$B4789,41,1000),SEARCH(" - ",MID('Industriesektor GWh'!$B4789,41,1000))-1),nrg_cb_e!$C$3:$C$40,0))</f>
        <v>FC_IND_NFM_E</v>
      </c>
      <c r="G4789" s="21">
        <v>354</v>
      </c>
    </row>
    <row r="4790" spans="1:7" x14ac:dyDescent="0.2">
      <c r="A4790" s="16" t="s">
        <v>31</v>
      </c>
      <c r="B4790" s="17" t="s">
        <v>64</v>
      </c>
      <c r="C4790" s="17" t="s">
        <v>8</v>
      </c>
      <c r="D4790" s="17" t="s">
        <v>10</v>
      </c>
      <c r="E4790" s="17" t="s">
        <v>23</v>
      </c>
      <c r="F4790" s="17" t="str">
        <f>INDEX(nrg_cb_e!$A$3:$A$40,MATCH(LEFT(MID('Industriesektor GWh'!$B4790,41,1000),SEARCH(" - ",MID('Industriesektor GWh'!$B4790,41,1000))-1),nrg_cb_e!$C$3:$C$40,0))</f>
        <v>FC_IND_NFM_E</v>
      </c>
      <c r="G4790" s="18">
        <v>349</v>
      </c>
    </row>
    <row r="4791" spans="1:7" x14ac:dyDescent="0.2">
      <c r="A4791" s="19" t="s">
        <v>31</v>
      </c>
      <c r="B4791" s="20" t="s">
        <v>64</v>
      </c>
      <c r="C4791" s="20" t="s">
        <v>8</v>
      </c>
      <c r="D4791" s="20" t="s">
        <v>10</v>
      </c>
      <c r="E4791" s="20" t="s">
        <v>24</v>
      </c>
      <c r="F4791" s="20" t="str">
        <f>INDEX(nrg_cb_e!$A$3:$A$40,MATCH(LEFT(MID('Industriesektor GWh'!$B4791,41,1000),SEARCH(" - ",MID('Industriesektor GWh'!$B4791,41,1000))-1),nrg_cb_e!$C$3:$C$40,0))</f>
        <v>FC_IND_NFM_E</v>
      </c>
      <c r="G4791" s="21">
        <v>366</v>
      </c>
    </row>
    <row r="4792" spans="1:7" x14ac:dyDescent="0.2">
      <c r="A4792" s="16" t="s">
        <v>31</v>
      </c>
      <c r="B4792" s="17" t="s">
        <v>64</v>
      </c>
      <c r="C4792" s="17" t="s">
        <v>8</v>
      </c>
      <c r="D4792" s="17" t="s">
        <v>10</v>
      </c>
      <c r="E4792" s="17" t="s">
        <v>25</v>
      </c>
      <c r="F4792" s="17" t="str">
        <f>INDEX(nrg_cb_e!$A$3:$A$40,MATCH(LEFT(MID('Industriesektor GWh'!$B4792,41,1000),SEARCH(" - ",MID('Industriesektor GWh'!$B4792,41,1000))-1),nrg_cb_e!$C$3:$C$40,0))</f>
        <v>FC_IND_NFM_E</v>
      </c>
      <c r="G4792" s="18">
        <v>365</v>
      </c>
    </row>
    <row r="4793" spans="1:7" x14ac:dyDescent="0.2">
      <c r="A4793" s="19" t="s">
        <v>31</v>
      </c>
      <c r="B4793" s="20" t="s">
        <v>64</v>
      </c>
      <c r="C4793" s="20" t="s">
        <v>8</v>
      </c>
      <c r="D4793" s="20" t="s">
        <v>10</v>
      </c>
      <c r="E4793" s="20" t="s">
        <v>26</v>
      </c>
      <c r="F4793" s="20" t="str">
        <f>INDEX(nrg_cb_e!$A$3:$A$40,MATCH(LEFT(MID('Industriesektor GWh'!$B4793,41,1000),SEARCH(" - ",MID('Industriesektor GWh'!$B4793,41,1000))-1),nrg_cb_e!$C$3:$C$40,0))</f>
        <v>FC_IND_NFM_E</v>
      </c>
      <c r="G4793" s="21">
        <v>405</v>
      </c>
    </row>
    <row r="4794" spans="1:7" x14ac:dyDescent="0.2">
      <c r="A4794" s="16" t="s">
        <v>31</v>
      </c>
      <c r="B4794" s="17" t="s">
        <v>64</v>
      </c>
      <c r="C4794" s="17" t="s">
        <v>8</v>
      </c>
      <c r="D4794" s="17" t="s">
        <v>10</v>
      </c>
      <c r="E4794" s="17" t="s">
        <v>27</v>
      </c>
      <c r="F4794" s="17" t="str">
        <f>INDEX(nrg_cb_e!$A$3:$A$40,MATCH(LEFT(MID('Industriesektor GWh'!$B4794,41,1000),SEARCH(" - ",MID('Industriesektor GWh'!$B4794,41,1000))-1),nrg_cb_e!$C$3:$C$40,0))</f>
        <v>FC_IND_NFM_E</v>
      </c>
      <c r="G4794" s="18">
        <v>411.31299999999999</v>
      </c>
    </row>
    <row r="4795" spans="1:7" x14ac:dyDescent="0.2">
      <c r="A4795" s="19" t="s">
        <v>31</v>
      </c>
      <c r="B4795" s="20" t="s">
        <v>64</v>
      </c>
      <c r="C4795" s="20" t="s">
        <v>8</v>
      </c>
      <c r="D4795" s="20" t="s">
        <v>10</v>
      </c>
      <c r="E4795" s="20" t="s">
        <v>28</v>
      </c>
      <c r="F4795" s="20" t="str">
        <f>INDEX(nrg_cb_e!$A$3:$A$40,MATCH(LEFT(MID('Industriesektor GWh'!$B4795,41,1000),SEARCH(" - ",MID('Industriesektor GWh'!$B4795,41,1000))-1),nrg_cb_e!$C$3:$C$40,0))</f>
        <v>FC_IND_NFM_E</v>
      </c>
      <c r="G4795" s="21">
        <v>413.57</v>
      </c>
    </row>
    <row r="4796" spans="1:7" x14ac:dyDescent="0.2">
      <c r="A4796" s="16" t="s">
        <v>32</v>
      </c>
      <c r="B4796" s="17" t="s">
        <v>64</v>
      </c>
      <c r="C4796" s="17" t="s">
        <v>8</v>
      </c>
      <c r="D4796" s="17" t="s">
        <v>10</v>
      </c>
      <c r="E4796" s="17" t="s">
        <v>12</v>
      </c>
      <c r="F4796" s="17" t="str">
        <f>INDEX(nrg_cb_e!$A$3:$A$40,MATCH(LEFT(MID('Industriesektor GWh'!$B4796,41,1000),SEARCH(" - ",MID('Industriesektor GWh'!$B4796,41,1000))-1),nrg_cb_e!$C$3:$C$40,0))</f>
        <v>FC_IND_NFM_E</v>
      </c>
      <c r="G4796" s="18">
        <v>0</v>
      </c>
    </row>
    <row r="4797" spans="1:7" x14ac:dyDescent="0.2">
      <c r="A4797" s="19" t="s">
        <v>32</v>
      </c>
      <c r="B4797" s="20" t="s">
        <v>64</v>
      </c>
      <c r="C4797" s="20" t="s">
        <v>8</v>
      </c>
      <c r="D4797" s="20" t="s">
        <v>10</v>
      </c>
      <c r="E4797" s="20" t="s">
        <v>13</v>
      </c>
      <c r="F4797" s="20" t="str">
        <f>INDEX(nrg_cb_e!$A$3:$A$40,MATCH(LEFT(MID('Industriesektor GWh'!$B4797,41,1000),SEARCH(" - ",MID('Industriesektor GWh'!$B4797,41,1000))-1),nrg_cb_e!$C$3:$C$40,0))</f>
        <v>FC_IND_NFM_E</v>
      </c>
      <c r="G4797" s="21">
        <v>0</v>
      </c>
    </row>
    <row r="4798" spans="1:7" x14ac:dyDescent="0.2">
      <c r="A4798" s="16" t="s">
        <v>32</v>
      </c>
      <c r="B4798" s="17" t="s">
        <v>64</v>
      </c>
      <c r="C4798" s="17" t="s">
        <v>8</v>
      </c>
      <c r="D4798" s="17" t="s">
        <v>10</v>
      </c>
      <c r="E4798" s="17" t="s">
        <v>14</v>
      </c>
      <c r="F4798" s="17" t="str">
        <f>INDEX(nrg_cb_e!$A$3:$A$40,MATCH(LEFT(MID('Industriesektor GWh'!$B4798,41,1000),SEARCH(" - ",MID('Industriesektor GWh'!$B4798,41,1000))-1),nrg_cb_e!$C$3:$C$40,0))</f>
        <v>FC_IND_NFM_E</v>
      </c>
      <c r="G4798" s="18">
        <v>0</v>
      </c>
    </row>
    <row r="4799" spans="1:7" x14ac:dyDescent="0.2">
      <c r="A4799" s="19" t="s">
        <v>32</v>
      </c>
      <c r="B4799" s="20" t="s">
        <v>64</v>
      </c>
      <c r="C4799" s="20" t="s">
        <v>8</v>
      </c>
      <c r="D4799" s="20" t="s">
        <v>10</v>
      </c>
      <c r="E4799" s="20" t="s">
        <v>15</v>
      </c>
      <c r="F4799" s="20" t="str">
        <f>INDEX(nrg_cb_e!$A$3:$A$40,MATCH(LEFT(MID('Industriesektor GWh'!$B4799,41,1000),SEARCH(" - ",MID('Industriesektor GWh'!$B4799,41,1000))-1),nrg_cb_e!$C$3:$C$40,0))</f>
        <v>FC_IND_NFM_E</v>
      </c>
      <c r="G4799" s="21">
        <v>0</v>
      </c>
    </row>
    <row r="4800" spans="1:7" x14ac:dyDescent="0.2">
      <c r="A4800" s="16" t="s">
        <v>32</v>
      </c>
      <c r="B4800" s="17" t="s">
        <v>64</v>
      </c>
      <c r="C4800" s="17" t="s">
        <v>8</v>
      </c>
      <c r="D4800" s="17" t="s">
        <v>10</v>
      </c>
      <c r="E4800" s="17" t="s">
        <v>16</v>
      </c>
      <c r="F4800" s="17" t="str">
        <f>INDEX(nrg_cb_e!$A$3:$A$40,MATCH(LEFT(MID('Industriesektor GWh'!$B4800,41,1000),SEARCH(" - ",MID('Industriesektor GWh'!$B4800,41,1000))-1),nrg_cb_e!$C$3:$C$40,0))</f>
        <v>FC_IND_NFM_E</v>
      </c>
      <c r="G4800" s="18">
        <v>0</v>
      </c>
    </row>
    <row r="4801" spans="1:7" x14ac:dyDescent="0.2">
      <c r="A4801" s="19" t="s">
        <v>32</v>
      </c>
      <c r="B4801" s="20" t="s">
        <v>64</v>
      </c>
      <c r="C4801" s="20" t="s">
        <v>8</v>
      </c>
      <c r="D4801" s="20" t="s">
        <v>10</v>
      </c>
      <c r="E4801" s="20" t="s">
        <v>17</v>
      </c>
      <c r="F4801" s="20" t="str">
        <f>INDEX(nrg_cb_e!$A$3:$A$40,MATCH(LEFT(MID('Industriesektor GWh'!$B4801,41,1000),SEARCH(" - ",MID('Industriesektor GWh'!$B4801,41,1000))-1),nrg_cb_e!$C$3:$C$40,0))</f>
        <v>FC_IND_NFM_E</v>
      </c>
      <c r="G4801" s="21">
        <v>0</v>
      </c>
    </row>
    <row r="4802" spans="1:7" x14ac:dyDescent="0.2">
      <c r="A4802" s="16" t="s">
        <v>32</v>
      </c>
      <c r="B4802" s="17" t="s">
        <v>64</v>
      </c>
      <c r="C4802" s="17" t="s">
        <v>8</v>
      </c>
      <c r="D4802" s="17" t="s">
        <v>10</v>
      </c>
      <c r="E4802" s="17" t="s">
        <v>18</v>
      </c>
      <c r="F4802" s="17" t="str">
        <f>INDEX(nrg_cb_e!$A$3:$A$40,MATCH(LEFT(MID('Industriesektor GWh'!$B4802,41,1000),SEARCH(" - ",MID('Industriesektor GWh'!$B4802,41,1000))-1),nrg_cb_e!$C$3:$C$40,0))</f>
        <v>FC_IND_NFM_E</v>
      </c>
      <c r="G4802" s="18">
        <v>0</v>
      </c>
    </row>
    <row r="4803" spans="1:7" x14ac:dyDescent="0.2">
      <c r="A4803" s="19" t="s">
        <v>32</v>
      </c>
      <c r="B4803" s="20" t="s">
        <v>64</v>
      </c>
      <c r="C4803" s="20" t="s">
        <v>8</v>
      </c>
      <c r="D4803" s="20" t="s">
        <v>10</v>
      </c>
      <c r="E4803" s="20" t="s">
        <v>19</v>
      </c>
      <c r="F4803" s="20" t="str">
        <f>INDEX(nrg_cb_e!$A$3:$A$40,MATCH(LEFT(MID('Industriesektor GWh'!$B4803,41,1000),SEARCH(" - ",MID('Industriesektor GWh'!$B4803,41,1000))-1),nrg_cb_e!$C$3:$C$40,0))</f>
        <v>FC_IND_NFM_E</v>
      </c>
      <c r="G4803" s="21">
        <v>0</v>
      </c>
    </row>
    <row r="4804" spans="1:7" x14ac:dyDescent="0.2">
      <c r="A4804" s="16" t="s">
        <v>32</v>
      </c>
      <c r="B4804" s="17" t="s">
        <v>64</v>
      </c>
      <c r="C4804" s="17" t="s">
        <v>8</v>
      </c>
      <c r="D4804" s="17" t="s">
        <v>10</v>
      </c>
      <c r="E4804" s="17" t="s">
        <v>20</v>
      </c>
      <c r="F4804" s="17" t="str">
        <f>INDEX(nrg_cb_e!$A$3:$A$40,MATCH(LEFT(MID('Industriesektor GWh'!$B4804,41,1000),SEARCH(" - ",MID('Industriesektor GWh'!$B4804,41,1000))-1),nrg_cb_e!$C$3:$C$40,0))</f>
        <v>FC_IND_NFM_E</v>
      </c>
      <c r="G4804" s="18">
        <v>0</v>
      </c>
    </row>
    <row r="4805" spans="1:7" x14ac:dyDescent="0.2">
      <c r="A4805" s="19" t="s">
        <v>32</v>
      </c>
      <c r="B4805" s="20" t="s">
        <v>64</v>
      </c>
      <c r="C4805" s="20" t="s">
        <v>8</v>
      </c>
      <c r="D4805" s="20" t="s">
        <v>10</v>
      </c>
      <c r="E4805" s="20" t="s">
        <v>21</v>
      </c>
      <c r="F4805" s="20" t="str">
        <f>INDEX(nrg_cb_e!$A$3:$A$40,MATCH(LEFT(MID('Industriesektor GWh'!$B4805,41,1000),SEARCH(" - ",MID('Industriesektor GWh'!$B4805,41,1000))-1),nrg_cb_e!$C$3:$C$40,0))</f>
        <v>FC_IND_NFM_E</v>
      </c>
      <c r="G4805" s="21">
        <v>0</v>
      </c>
    </row>
    <row r="4806" spans="1:7" x14ac:dyDescent="0.2">
      <c r="A4806" s="16" t="s">
        <v>32</v>
      </c>
      <c r="B4806" s="17" t="s">
        <v>64</v>
      </c>
      <c r="C4806" s="17" t="s">
        <v>8</v>
      </c>
      <c r="D4806" s="17" t="s">
        <v>10</v>
      </c>
      <c r="E4806" s="17" t="s">
        <v>22</v>
      </c>
      <c r="F4806" s="17" t="str">
        <f>INDEX(nrg_cb_e!$A$3:$A$40,MATCH(LEFT(MID('Industriesektor GWh'!$B4806,41,1000),SEARCH(" - ",MID('Industriesektor GWh'!$B4806,41,1000))-1),nrg_cb_e!$C$3:$C$40,0))</f>
        <v>FC_IND_NFM_E</v>
      </c>
      <c r="G4806" s="18">
        <v>0</v>
      </c>
    </row>
    <row r="4807" spans="1:7" x14ac:dyDescent="0.2">
      <c r="A4807" s="19" t="s">
        <v>32</v>
      </c>
      <c r="B4807" s="20" t="s">
        <v>64</v>
      </c>
      <c r="C4807" s="20" t="s">
        <v>8</v>
      </c>
      <c r="D4807" s="20" t="s">
        <v>10</v>
      </c>
      <c r="E4807" s="20" t="s">
        <v>23</v>
      </c>
      <c r="F4807" s="20" t="str">
        <f>INDEX(nrg_cb_e!$A$3:$A$40,MATCH(LEFT(MID('Industriesektor GWh'!$B4807,41,1000),SEARCH(" - ",MID('Industriesektor GWh'!$B4807,41,1000))-1),nrg_cb_e!$C$3:$C$40,0))</f>
        <v>FC_IND_NFM_E</v>
      </c>
      <c r="G4807" s="21">
        <v>0</v>
      </c>
    </row>
    <row r="4808" spans="1:7" x14ac:dyDescent="0.2">
      <c r="A4808" s="16" t="s">
        <v>32</v>
      </c>
      <c r="B4808" s="17" t="s">
        <v>64</v>
      </c>
      <c r="C4808" s="17" t="s">
        <v>8</v>
      </c>
      <c r="D4808" s="17" t="s">
        <v>10</v>
      </c>
      <c r="E4808" s="17" t="s">
        <v>24</v>
      </c>
      <c r="F4808" s="17" t="str">
        <f>INDEX(nrg_cb_e!$A$3:$A$40,MATCH(LEFT(MID('Industriesektor GWh'!$B4808,41,1000),SEARCH(" - ",MID('Industriesektor GWh'!$B4808,41,1000))-1),nrg_cb_e!$C$3:$C$40,0))</f>
        <v>FC_IND_NFM_E</v>
      </c>
      <c r="G4808" s="18">
        <v>0</v>
      </c>
    </row>
    <row r="4809" spans="1:7" x14ac:dyDescent="0.2">
      <c r="A4809" s="19" t="s">
        <v>32</v>
      </c>
      <c r="B4809" s="20" t="s">
        <v>64</v>
      </c>
      <c r="C4809" s="20" t="s">
        <v>8</v>
      </c>
      <c r="D4809" s="20" t="s">
        <v>10</v>
      </c>
      <c r="E4809" s="20" t="s">
        <v>25</v>
      </c>
      <c r="F4809" s="20" t="str">
        <f>INDEX(nrg_cb_e!$A$3:$A$40,MATCH(LEFT(MID('Industriesektor GWh'!$B4809,41,1000),SEARCH(" - ",MID('Industriesektor GWh'!$B4809,41,1000))-1),nrg_cb_e!$C$3:$C$40,0))</f>
        <v>FC_IND_NFM_E</v>
      </c>
      <c r="G4809" s="21">
        <v>0</v>
      </c>
    </row>
    <row r="4810" spans="1:7" x14ac:dyDescent="0.2">
      <c r="A4810" s="16" t="s">
        <v>32</v>
      </c>
      <c r="B4810" s="17" t="s">
        <v>64</v>
      </c>
      <c r="C4810" s="17" t="s">
        <v>8</v>
      </c>
      <c r="D4810" s="17" t="s">
        <v>10</v>
      </c>
      <c r="E4810" s="17" t="s">
        <v>26</v>
      </c>
      <c r="F4810" s="17" t="str">
        <f>INDEX(nrg_cb_e!$A$3:$A$40,MATCH(LEFT(MID('Industriesektor GWh'!$B4810,41,1000),SEARCH(" - ",MID('Industriesektor GWh'!$B4810,41,1000))-1),nrg_cb_e!$C$3:$C$40,0))</f>
        <v>FC_IND_NFM_E</v>
      </c>
      <c r="G4810" s="18">
        <v>0</v>
      </c>
    </row>
    <row r="4811" spans="1:7" x14ac:dyDescent="0.2">
      <c r="A4811" s="19" t="s">
        <v>32</v>
      </c>
      <c r="B4811" s="20" t="s">
        <v>64</v>
      </c>
      <c r="C4811" s="20" t="s">
        <v>8</v>
      </c>
      <c r="D4811" s="20" t="s">
        <v>10</v>
      </c>
      <c r="E4811" s="20" t="s">
        <v>27</v>
      </c>
      <c r="F4811" s="20" t="str">
        <f>INDEX(nrg_cb_e!$A$3:$A$40,MATCH(LEFT(MID('Industriesektor GWh'!$B4811,41,1000),SEARCH(" - ",MID('Industriesektor GWh'!$B4811,41,1000))-1),nrg_cb_e!$C$3:$C$40,0))</f>
        <v>FC_IND_NFM_E</v>
      </c>
      <c r="G4811" s="21">
        <v>0</v>
      </c>
    </row>
    <row r="4812" spans="1:7" x14ac:dyDescent="0.2">
      <c r="A4812" s="16" t="s">
        <v>32</v>
      </c>
      <c r="B4812" s="17" t="s">
        <v>64</v>
      </c>
      <c r="C4812" s="17" t="s">
        <v>8</v>
      </c>
      <c r="D4812" s="17" t="s">
        <v>10</v>
      </c>
      <c r="E4812" s="17" t="s">
        <v>28</v>
      </c>
      <c r="F4812" s="17" t="str">
        <f>INDEX(nrg_cb_e!$A$3:$A$40,MATCH(LEFT(MID('Industriesektor GWh'!$B4812,41,1000),SEARCH(" - ",MID('Industriesektor GWh'!$B4812,41,1000))-1),nrg_cb_e!$C$3:$C$40,0))</f>
        <v>FC_IND_NFM_E</v>
      </c>
      <c r="G4812" s="18">
        <v>0</v>
      </c>
    </row>
    <row r="4813" spans="1:7" x14ac:dyDescent="0.2">
      <c r="A4813" s="19" t="s">
        <v>33</v>
      </c>
      <c r="B4813" s="20" t="s">
        <v>64</v>
      </c>
      <c r="C4813" s="20" t="s">
        <v>8</v>
      </c>
      <c r="D4813" s="20" t="s">
        <v>10</v>
      </c>
      <c r="E4813" s="20" t="s">
        <v>12</v>
      </c>
      <c r="F4813" s="20" t="str">
        <f>INDEX(nrg_cb_e!$A$3:$A$40,MATCH(LEFT(MID('Industriesektor GWh'!$B4813,41,1000),SEARCH(" - ",MID('Industriesektor GWh'!$B4813,41,1000))-1),nrg_cb_e!$C$3:$C$40,0))</f>
        <v>FC_IND_NFM_E</v>
      </c>
      <c r="G4813" s="21">
        <v>18827</v>
      </c>
    </row>
    <row r="4814" spans="1:7" x14ac:dyDescent="0.2">
      <c r="A4814" s="16" t="s">
        <v>33</v>
      </c>
      <c r="B4814" s="17" t="s">
        <v>64</v>
      </c>
      <c r="C4814" s="17" t="s">
        <v>8</v>
      </c>
      <c r="D4814" s="17" t="s">
        <v>10</v>
      </c>
      <c r="E4814" s="17" t="s">
        <v>13</v>
      </c>
      <c r="F4814" s="17" t="str">
        <f>INDEX(nrg_cb_e!$A$3:$A$40,MATCH(LEFT(MID('Industriesektor GWh'!$B4814,41,1000),SEARCH(" - ",MID('Industriesektor GWh'!$B4814,41,1000))-1),nrg_cb_e!$C$3:$C$40,0))</f>
        <v>FC_IND_NFM_E</v>
      </c>
      <c r="G4814" s="18">
        <v>17795</v>
      </c>
    </row>
    <row r="4815" spans="1:7" x14ac:dyDescent="0.2">
      <c r="A4815" s="19" t="s">
        <v>33</v>
      </c>
      <c r="B4815" s="20" t="s">
        <v>64</v>
      </c>
      <c r="C4815" s="20" t="s">
        <v>8</v>
      </c>
      <c r="D4815" s="20" t="s">
        <v>10</v>
      </c>
      <c r="E4815" s="20" t="s">
        <v>14</v>
      </c>
      <c r="F4815" s="20" t="str">
        <f>INDEX(nrg_cb_e!$A$3:$A$40,MATCH(LEFT(MID('Industriesektor GWh'!$B4815,41,1000),SEARCH(" - ",MID('Industriesektor GWh'!$B4815,41,1000))-1),nrg_cb_e!$C$3:$C$40,0))</f>
        <v>FC_IND_NFM_E</v>
      </c>
      <c r="G4815" s="21">
        <v>18163</v>
      </c>
    </row>
    <row r="4816" spans="1:7" x14ac:dyDescent="0.2">
      <c r="A4816" s="16" t="s">
        <v>33</v>
      </c>
      <c r="B4816" s="17" t="s">
        <v>64</v>
      </c>
      <c r="C4816" s="17" t="s">
        <v>8</v>
      </c>
      <c r="D4816" s="17" t="s">
        <v>10</v>
      </c>
      <c r="E4816" s="17" t="s">
        <v>15</v>
      </c>
      <c r="F4816" s="17" t="str">
        <f>INDEX(nrg_cb_e!$A$3:$A$40,MATCH(LEFT(MID('Industriesektor GWh'!$B4816,41,1000),SEARCH(" - ",MID('Industriesektor GWh'!$B4816,41,1000))-1),nrg_cb_e!$C$3:$C$40,0))</f>
        <v>FC_IND_NFM_E</v>
      </c>
      <c r="G4816" s="18">
        <v>17897</v>
      </c>
    </row>
    <row r="4817" spans="1:7" x14ac:dyDescent="0.2">
      <c r="A4817" s="19" t="s">
        <v>33</v>
      </c>
      <c r="B4817" s="20" t="s">
        <v>64</v>
      </c>
      <c r="C4817" s="20" t="s">
        <v>8</v>
      </c>
      <c r="D4817" s="20" t="s">
        <v>10</v>
      </c>
      <c r="E4817" s="20" t="s">
        <v>16</v>
      </c>
      <c r="F4817" s="20" t="str">
        <f>INDEX(nrg_cb_e!$A$3:$A$40,MATCH(LEFT(MID('Industriesektor GWh'!$B4817,41,1000),SEARCH(" - ",MID('Industriesektor GWh'!$B4817,41,1000))-1),nrg_cb_e!$C$3:$C$40,0))</f>
        <v>FC_IND_NFM_E</v>
      </c>
      <c r="G4817" s="21">
        <v>15920</v>
      </c>
    </row>
    <row r="4818" spans="1:7" x14ac:dyDescent="0.2">
      <c r="A4818" s="16" t="s">
        <v>33</v>
      </c>
      <c r="B4818" s="17" t="s">
        <v>64</v>
      </c>
      <c r="C4818" s="17" t="s">
        <v>8</v>
      </c>
      <c r="D4818" s="17" t="s">
        <v>10</v>
      </c>
      <c r="E4818" s="17" t="s">
        <v>17</v>
      </c>
      <c r="F4818" s="17" t="str">
        <f>INDEX(nrg_cb_e!$A$3:$A$40,MATCH(LEFT(MID('Industriesektor GWh'!$B4818,41,1000),SEARCH(" - ",MID('Industriesektor GWh'!$B4818,41,1000))-1),nrg_cb_e!$C$3:$C$40,0))</f>
        <v>FC_IND_NFM_E</v>
      </c>
      <c r="G4818" s="18">
        <v>16563</v>
      </c>
    </row>
    <row r="4819" spans="1:7" x14ac:dyDescent="0.2">
      <c r="A4819" s="19" t="s">
        <v>33</v>
      </c>
      <c r="B4819" s="20" t="s">
        <v>64</v>
      </c>
      <c r="C4819" s="20" t="s">
        <v>8</v>
      </c>
      <c r="D4819" s="20" t="s">
        <v>10</v>
      </c>
      <c r="E4819" s="20" t="s">
        <v>18</v>
      </c>
      <c r="F4819" s="20" t="str">
        <f>INDEX(nrg_cb_e!$A$3:$A$40,MATCH(LEFT(MID('Industriesektor GWh'!$B4819,41,1000),SEARCH(" - ",MID('Industriesektor GWh'!$B4819,41,1000))-1),nrg_cb_e!$C$3:$C$40,0))</f>
        <v>FC_IND_NFM_E</v>
      </c>
      <c r="G4819" s="21">
        <v>17299</v>
      </c>
    </row>
    <row r="4820" spans="1:7" x14ac:dyDescent="0.2">
      <c r="A4820" s="16" t="s">
        <v>33</v>
      </c>
      <c r="B4820" s="17" t="s">
        <v>64</v>
      </c>
      <c r="C4820" s="17" t="s">
        <v>8</v>
      </c>
      <c r="D4820" s="17" t="s">
        <v>10</v>
      </c>
      <c r="E4820" s="17" t="s">
        <v>19</v>
      </c>
      <c r="F4820" s="17" t="str">
        <f>INDEX(nrg_cb_e!$A$3:$A$40,MATCH(LEFT(MID('Industriesektor GWh'!$B4820,41,1000),SEARCH(" - ",MID('Industriesektor GWh'!$B4820,41,1000))-1),nrg_cb_e!$C$3:$C$40,0))</f>
        <v>FC_IND_NFM_E</v>
      </c>
      <c r="G4820" s="18">
        <v>11080</v>
      </c>
    </row>
    <row r="4821" spans="1:7" x14ac:dyDescent="0.2">
      <c r="A4821" s="19" t="s">
        <v>33</v>
      </c>
      <c r="B4821" s="20" t="s">
        <v>64</v>
      </c>
      <c r="C4821" s="20" t="s">
        <v>8</v>
      </c>
      <c r="D4821" s="20" t="s">
        <v>10</v>
      </c>
      <c r="E4821" s="20" t="s">
        <v>20</v>
      </c>
      <c r="F4821" s="20" t="str">
        <f>INDEX(nrg_cb_e!$A$3:$A$40,MATCH(LEFT(MID('Industriesektor GWh'!$B4821,41,1000),SEARCH(" - ",MID('Industriesektor GWh'!$B4821,41,1000))-1),nrg_cb_e!$C$3:$C$40,0))</f>
        <v>FC_IND_NFM_E</v>
      </c>
      <c r="G4821" s="21">
        <v>13645</v>
      </c>
    </row>
    <row r="4822" spans="1:7" x14ac:dyDescent="0.2">
      <c r="A4822" s="16" t="s">
        <v>33</v>
      </c>
      <c r="B4822" s="17" t="s">
        <v>64</v>
      </c>
      <c r="C4822" s="17" t="s">
        <v>8</v>
      </c>
      <c r="D4822" s="17" t="s">
        <v>10</v>
      </c>
      <c r="E4822" s="17" t="s">
        <v>21</v>
      </c>
      <c r="F4822" s="17" t="str">
        <f>INDEX(nrg_cb_e!$A$3:$A$40,MATCH(LEFT(MID('Industriesektor GWh'!$B4822,41,1000),SEARCH(" - ",MID('Industriesektor GWh'!$B4822,41,1000))-1),nrg_cb_e!$C$3:$C$40,0))</f>
        <v>FC_IND_NFM_E</v>
      </c>
      <c r="G4822" s="18">
        <v>13255</v>
      </c>
    </row>
    <row r="4823" spans="1:7" x14ac:dyDescent="0.2">
      <c r="A4823" s="19" t="s">
        <v>33</v>
      </c>
      <c r="B4823" s="20" t="s">
        <v>64</v>
      </c>
      <c r="C4823" s="20" t="s">
        <v>8</v>
      </c>
      <c r="D4823" s="20" t="s">
        <v>10</v>
      </c>
      <c r="E4823" s="20" t="s">
        <v>22</v>
      </c>
      <c r="F4823" s="20" t="str">
        <f>INDEX(nrg_cb_e!$A$3:$A$40,MATCH(LEFT(MID('Industriesektor GWh'!$B4823,41,1000),SEARCH(" - ",MID('Industriesektor GWh'!$B4823,41,1000))-1),nrg_cb_e!$C$3:$C$40,0))</f>
        <v>FC_IND_NFM_E</v>
      </c>
      <c r="G4823" s="21">
        <v>12745</v>
      </c>
    </row>
    <row r="4824" spans="1:7" x14ac:dyDescent="0.2">
      <c r="A4824" s="16" t="s">
        <v>33</v>
      </c>
      <c r="B4824" s="17" t="s">
        <v>64</v>
      </c>
      <c r="C4824" s="17" t="s">
        <v>8</v>
      </c>
      <c r="D4824" s="17" t="s">
        <v>10</v>
      </c>
      <c r="E4824" s="17" t="s">
        <v>23</v>
      </c>
      <c r="F4824" s="17" t="str">
        <f>INDEX(nrg_cb_e!$A$3:$A$40,MATCH(LEFT(MID('Industriesektor GWh'!$B4824,41,1000),SEARCH(" - ",MID('Industriesektor GWh'!$B4824,41,1000))-1),nrg_cb_e!$C$3:$C$40,0))</f>
        <v>FC_IND_NFM_E</v>
      </c>
      <c r="G4824" s="18">
        <v>12864</v>
      </c>
    </row>
    <row r="4825" spans="1:7" x14ac:dyDescent="0.2">
      <c r="A4825" s="19" t="s">
        <v>33</v>
      </c>
      <c r="B4825" s="20" t="s">
        <v>64</v>
      </c>
      <c r="C4825" s="20" t="s">
        <v>8</v>
      </c>
      <c r="D4825" s="20" t="s">
        <v>10</v>
      </c>
      <c r="E4825" s="20" t="s">
        <v>24</v>
      </c>
      <c r="F4825" s="20" t="str">
        <f>INDEX(nrg_cb_e!$A$3:$A$40,MATCH(LEFT(MID('Industriesektor GWh'!$B4825,41,1000),SEARCH(" - ",MID('Industriesektor GWh'!$B4825,41,1000))-1),nrg_cb_e!$C$3:$C$40,0))</f>
        <v>FC_IND_NFM_E</v>
      </c>
      <c r="G4825" s="21">
        <v>13418</v>
      </c>
    </row>
    <row r="4826" spans="1:7" x14ac:dyDescent="0.2">
      <c r="A4826" s="16" t="s">
        <v>33</v>
      </c>
      <c r="B4826" s="17" t="s">
        <v>64</v>
      </c>
      <c r="C4826" s="17" t="s">
        <v>8</v>
      </c>
      <c r="D4826" s="17" t="s">
        <v>10</v>
      </c>
      <c r="E4826" s="17" t="s">
        <v>25</v>
      </c>
      <c r="F4826" s="17" t="str">
        <f>INDEX(nrg_cb_e!$A$3:$A$40,MATCH(LEFT(MID('Industriesektor GWh'!$B4826,41,1000),SEARCH(" - ",MID('Industriesektor GWh'!$B4826,41,1000))-1),nrg_cb_e!$C$3:$C$40,0))</f>
        <v>FC_IND_NFM_E</v>
      </c>
      <c r="G4826" s="18">
        <v>15871</v>
      </c>
    </row>
    <row r="4827" spans="1:7" x14ac:dyDescent="0.2">
      <c r="A4827" s="19" t="s">
        <v>33</v>
      </c>
      <c r="B4827" s="20" t="s">
        <v>64</v>
      </c>
      <c r="C4827" s="20" t="s">
        <v>8</v>
      </c>
      <c r="D4827" s="20" t="s">
        <v>10</v>
      </c>
      <c r="E4827" s="20" t="s">
        <v>26</v>
      </c>
      <c r="F4827" s="20" t="str">
        <f>INDEX(nrg_cb_e!$A$3:$A$40,MATCH(LEFT(MID('Industriesektor GWh'!$B4827,41,1000),SEARCH(" - ",MID('Industriesektor GWh'!$B4827,41,1000))-1),nrg_cb_e!$C$3:$C$40,0))</f>
        <v>FC_IND_NFM_E</v>
      </c>
      <c r="G4827" s="21">
        <v>15979</v>
      </c>
    </row>
    <row r="4828" spans="1:7" x14ac:dyDescent="0.2">
      <c r="A4828" s="16" t="s">
        <v>33</v>
      </c>
      <c r="B4828" s="17" t="s">
        <v>64</v>
      </c>
      <c r="C4828" s="17" t="s">
        <v>8</v>
      </c>
      <c r="D4828" s="17" t="s">
        <v>10</v>
      </c>
      <c r="E4828" s="17" t="s">
        <v>27</v>
      </c>
      <c r="F4828" s="17" t="str">
        <f>INDEX(nrg_cb_e!$A$3:$A$40,MATCH(LEFT(MID('Industriesektor GWh'!$B4828,41,1000),SEARCH(" - ",MID('Industriesektor GWh'!$B4828,41,1000))-1),nrg_cb_e!$C$3:$C$40,0))</f>
        <v>FC_IND_NFM_E</v>
      </c>
      <c r="G4828" s="18">
        <v>16276</v>
      </c>
    </row>
    <row r="4829" spans="1:7" x14ac:dyDescent="0.2">
      <c r="A4829" s="19" t="s">
        <v>33</v>
      </c>
      <c r="B4829" s="20" t="s">
        <v>64</v>
      </c>
      <c r="C4829" s="20" t="s">
        <v>8</v>
      </c>
      <c r="D4829" s="20" t="s">
        <v>10</v>
      </c>
      <c r="E4829" s="20" t="s">
        <v>28</v>
      </c>
      <c r="F4829" s="20" t="str">
        <f>INDEX(nrg_cb_e!$A$3:$A$40,MATCH(LEFT(MID('Industriesektor GWh'!$B4829,41,1000),SEARCH(" - ",MID('Industriesektor GWh'!$B4829,41,1000))-1),nrg_cb_e!$C$3:$C$40,0))</f>
        <v>FC_IND_NFM_E</v>
      </c>
      <c r="G4829" s="21">
        <v>15785</v>
      </c>
    </row>
    <row r="4830" spans="1:7" x14ac:dyDescent="0.2">
      <c r="A4830" s="16" t="s">
        <v>34</v>
      </c>
      <c r="B4830" s="17" t="s">
        <v>64</v>
      </c>
      <c r="C4830" s="17" t="s">
        <v>8</v>
      </c>
      <c r="D4830" s="17" t="s">
        <v>10</v>
      </c>
      <c r="E4830" s="17" t="s">
        <v>12</v>
      </c>
      <c r="F4830" s="17" t="str">
        <f>INDEX(nrg_cb_e!$A$3:$A$40,MATCH(LEFT(MID('Industriesektor GWh'!$B4830,41,1000),SEARCH(" - ",MID('Industriesektor GWh'!$B4830,41,1000))-1),nrg_cb_e!$C$3:$C$40,0))</f>
        <v>FC_IND_NFM_E</v>
      </c>
      <c r="G4830" s="18">
        <v>3</v>
      </c>
    </row>
    <row r="4831" spans="1:7" x14ac:dyDescent="0.2">
      <c r="A4831" s="19" t="s">
        <v>34</v>
      </c>
      <c r="B4831" s="20" t="s">
        <v>64</v>
      </c>
      <c r="C4831" s="20" t="s">
        <v>8</v>
      </c>
      <c r="D4831" s="20" t="s">
        <v>10</v>
      </c>
      <c r="E4831" s="20" t="s">
        <v>13</v>
      </c>
      <c r="F4831" s="20" t="str">
        <f>INDEX(nrg_cb_e!$A$3:$A$40,MATCH(LEFT(MID('Industriesektor GWh'!$B4831,41,1000),SEARCH(" - ",MID('Industriesektor GWh'!$B4831,41,1000))-1),nrg_cb_e!$C$3:$C$40,0))</f>
        <v>FC_IND_NFM_E</v>
      </c>
      <c r="G4831" s="21">
        <v>4</v>
      </c>
    </row>
    <row r="4832" spans="1:7" x14ac:dyDescent="0.2">
      <c r="A4832" s="16" t="s">
        <v>34</v>
      </c>
      <c r="B4832" s="17" t="s">
        <v>64</v>
      </c>
      <c r="C4832" s="17" t="s">
        <v>8</v>
      </c>
      <c r="D4832" s="17" t="s">
        <v>10</v>
      </c>
      <c r="E4832" s="17" t="s">
        <v>14</v>
      </c>
      <c r="F4832" s="17" t="str">
        <f>INDEX(nrg_cb_e!$A$3:$A$40,MATCH(LEFT(MID('Industriesektor GWh'!$B4832,41,1000),SEARCH(" - ",MID('Industriesektor GWh'!$B4832,41,1000))-1),nrg_cb_e!$C$3:$C$40,0))</f>
        <v>FC_IND_NFM_E</v>
      </c>
      <c r="G4832" s="18">
        <v>3</v>
      </c>
    </row>
    <row r="4833" spans="1:7" x14ac:dyDescent="0.2">
      <c r="A4833" s="19" t="s">
        <v>34</v>
      </c>
      <c r="B4833" s="20" t="s">
        <v>64</v>
      </c>
      <c r="C4833" s="20" t="s">
        <v>8</v>
      </c>
      <c r="D4833" s="20" t="s">
        <v>10</v>
      </c>
      <c r="E4833" s="20" t="s">
        <v>15</v>
      </c>
      <c r="F4833" s="20" t="str">
        <f>INDEX(nrg_cb_e!$A$3:$A$40,MATCH(LEFT(MID('Industriesektor GWh'!$B4833,41,1000),SEARCH(" - ",MID('Industriesektor GWh'!$B4833,41,1000))-1),nrg_cb_e!$C$3:$C$40,0))</f>
        <v>FC_IND_NFM_E</v>
      </c>
      <c r="G4833" s="21">
        <v>7</v>
      </c>
    </row>
    <row r="4834" spans="1:7" x14ac:dyDescent="0.2">
      <c r="A4834" s="16" t="s">
        <v>34</v>
      </c>
      <c r="B4834" s="17" t="s">
        <v>64</v>
      </c>
      <c r="C4834" s="17" t="s">
        <v>8</v>
      </c>
      <c r="D4834" s="17" t="s">
        <v>10</v>
      </c>
      <c r="E4834" s="17" t="s">
        <v>16</v>
      </c>
      <c r="F4834" s="17" t="str">
        <f>INDEX(nrg_cb_e!$A$3:$A$40,MATCH(LEFT(MID('Industriesektor GWh'!$B4834,41,1000),SEARCH(" - ",MID('Industriesektor GWh'!$B4834,41,1000))-1),nrg_cb_e!$C$3:$C$40,0))</f>
        <v>FC_IND_NFM_E</v>
      </c>
      <c r="G4834" s="18">
        <v>7</v>
      </c>
    </row>
    <row r="4835" spans="1:7" x14ac:dyDescent="0.2">
      <c r="A4835" s="19" t="s">
        <v>34</v>
      </c>
      <c r="B4835" s="20" t="s">
        <v>64</v>
      </c>
      <c r="C4835" s="20" t="s">
        <v>8</v>
      </c>
      <c r="D4835" s="20" t="s">
        <v>10</v>
      </c>
      <c r="E4835" s="20" t="s">
        <v>17</v>
      </c>
      <c r="F4835" s="20" t="str">
        <f>INDEX(nrg_cb_e!$A$3:$A$40,MATCH(LEFT(MID('Industriesektor GWh'!$B4835,41,1000),SEARCH(" - ",MID('Industriesektor GWh'!$B4835,41,1000))-1),nrg_cb_e!$C$3:$C$40,0))</f>
        <v>FC_IND_NFM_E</v>
      </c>
      <c r="G4835" s="21">
        <v>9</v>
      </c>
    </row>
    <row r="4836" spans="1:7" x14ac:dyDescent="0.2">
      <c r="A4836" s="16" t="s">
        <v>34</v>
      </c>
      <c r="B4836" s="17" t="s">
        <v>64</v>
      </c>
      <c r="C4836" s="17" t="s">
        <v>8</v>
      </c>
      <c r="D4836" s="17" t="s">
        <v>10</v>
      </c>
      <c r="E4836" s="17" t="s">
        <v>18</v>
      </c>
      <c r="F4836" s="17" t="str">
        <f>INDEX(nrg_cb_e!$A$3:$A$40,MATCH(LEFT(MID('Industriesektor GWh'!$B4836,41,1000),SEARCH(" - ",MID('Industriesektor GWh'!$B4836,41,1000))-1),nrg_cb_e!$C$3:$C$40,0))</f>
        <v>FC_IND_NFM_E</v>
      </c>
      <c r="G4836" s="18">
        <v>9</v>
      </c>
    </row>
    <row r="4837" spans="1:7" x14ac:dyDescent="0.2">
      <c r="A4837" s="19" t="s">
        <v>34</v>
      </c>
      <c r="B4837" s="20" t="s">
        <v>64</v>
      </c>
      <c r="C4837" s="20" t="s">
        <v>8</v>
      </c>
      <c r="D4837" s="20" t="s">
        <v>10</v>
      </c>
      <c r="E4837" s="20" t="s">
        <v>19</v>
      </c>
      <c r="F4837" s="20" t="str">
        <f>INDEX(nrg_cb_e!$A$3:$A$40,MATCH(LEFT(MID('Industriesektor GWh'!$B4837,41,1000),SEARCH(" - ",MID('Industriesektor GWh'!$B4837,41,1000))-1),nrg_cb_e!$C$3:$C$40,0))</f>
        <v>FC_IND_NFM_E</v>
      </c>
      <c r="G4837" s="21">
        <v>6</v>
      </c>
    </row>
    <row r="4838" spans="1:7" x14ac:dyDescent="0.2">
      <c r="A4838" s="16" t="s">
        <v>34</v>
      </c>
      <c r="B4838" s="17" t="s">
        <v>64</v>
      </c>
      <c r="C4838" s="17" t="s">
        <v>8</v>
      </c>
      <c r="D4838" s="17" t="s">
        <v>10</v>
      </c>
      <c r="E4838" s="17" t="s">
        <v>20</v>
      </c>
      <c r="F4838" s="17" t="str">
        <f>INDEX(nrg_cb_e!$A$3:$A$40,MATCH(LEFT(MID('Industriesektor GWh'!$B4838,41,1000),SEARCH(" - ",MID('Industriesektor GWh'!$B4838,41,1000))-1),nrg_cb_e!$C$3:$C$40,0))</f>
        <v>FC_IND_NFM_E</v>
      </c>
      <c r="G4838" s="18">
        <v>10</v>
      </c>
    </row>
    <row r="4839" spans="1:7" x14ac:dyDescent="0.2">
      <c r="A4839" s="19" t="s">
        <v>34</v>
      </c>
      <c r="B4839" s="20" t="s">
        <v>64</v>
      </c>
      <c r="C4839" s="20" t="s">
        <v>8</v>
      </c>
      <c r="D4839" s="20" t="s">
        <v>10</v>
      </c>
      <c r="E4839" s="20" t="s">
        <v>21</v>
      </c>
      <c r="F4839" s="20" t="str">
        <f>INDEX(nrg_cb_e!$A$3:$A$40,MATCH(LEFT(MID('Industriesektor GWh'!$B4839,41,1000),SEARCH(" - ",MID('Industriesektor GWh'!$B4839,41,1000))-1),nrg_cb_e!$C$3:$C$40,0))</f>
        <v>FC_IND_NFM_E</v>
      </c>
      <c r="G4839" s="21">
        <v>7</v>
      </c>
    </row>
    <row r="4840" spans="1:7" x14ac:dyDescent="0.2">
      <c r="A4840" s="16" t="s">
        <v>34</v>
      </c>
      <c r="B4840" s="17" t="s">
        <v>64</v>
      </c>
      <c r="C4840" s="17" t="s">
        <v>8</v>
      </c>
      <c r="D4840" s="17" t="s">
        <v>10</v>
      </c>
      <c r="E4840" s="17" t="s">
        <v>22</v>
      </c>
      <c r="F4840" s="17" t="str">
        <f>INDEX(nrg_cb_e!$A$3:$A$40,MATCH(LEFT(MID('Industriesektor GWh'!$B4840,41,1000),SEARCH(" - ",MID('Industriesektor GWh'!$B4840,41,1000))-1),nrg_cb_e!$C$3:$C$40,0))</f>
        <v>FC_IND_NFM_E</v>
      </c>
      <c r="G4840" s="18">
        <v>9</v>
      </c>
    </row>
    <row r="4841" spans="1:7" x14ac:dyDescent="0.2">
      <c r="A4841" s="19" t="s">
        <v>34</v>
      </c>
      <c r="B4841" s="20" t="s">
        <v>64</v>
      </c>
      <c r="C4841" s="20" t="s">
        <v>8</v>
      </c>
      <c r="D4841" s="20" t="s">
        <v>10</v>
      </c>
      <c r="E4841" s="20" t="s">
        <v>23</v>
      </c>
      <c r="F4841" s="20" t="str">
        <f>INDEX(nrg_cb_e!$A$3:$A$40,MATCH(LEFT(MID('Industriesektor GWh'!$B4841,41,1000),SEARCH(" - ",MID('Industriesektor GWh'!$B4841,41,1000))-1),nrg_cb_e!$C$3:$C$40,0))</f>
        <v>FC_IND_NFM_E</v>
      </c>
      <c r="G4841" s="21">
        <v>5</v>
      </c>
    </row>
    <row r="4842" spans="1:7" x14ac:dyDescent="0.2">
      <c r="A4842" s="16" t="s">
        <v>34</v>
      </c>
      <c r="B4842" s="17" t="s">
        <v>64</v>
      </c>
      <c r="C4842" s="17" t="s">
        <v>8</v>
      </c>
      <c r="D4842" s="17" t="s">
        <v>10</v>
      </c>
      <c r="E4842" s="17" t="s">
        <v>24</v>
      </c>
      <c r="F4842" s="17" t="str">
        <f>INDEX(nrg_cb_e!$A$3:$A$40,MATCH(LEFT(MID('Industriesektor GWh'!$B4842,41,1000),SEARCH(" - ",MID('Industriesektor GWh'!$B4842,41,1000))-1),nrg_cb_e!$C$3:$C$40,0))</f>
        <v>FC_IND_NFM_E</v>
      </c>
      <c r="G4842" s="18">
        <v>5</v>
      </c>
    </row>
    <row r="4843" spans="1:7" x14ac:dyDescent="0.2">
      <c r="A4843" s="19" t="s">
        <v>34</v>
      </c>
      <c r="B4843" s="20" t="s">
        <v>64</v>
      </c>
      <c r="C4843" s="20" t="s">
        <v>8</v>
      </c>
      <c r="D4843" s="20" t="s">
        <v>10</v>
      </c>
      <c r="E4843" s="20" t="s">
        <v>25</v>
      </c>
      <c r="F4843" s="20" t="str">
        <f>INDEX(nrg_cb_e!$A$3:$A$40,MATCH(LEFT(MID('Industriesektor GWh'!$B4843,41,1000),SEARCH(" - ",MID('Industriesektor GWh'!$B4843,41,1000))-1),nrg_cb_e!$C$3:$C$40,0))</f>
        <v>FC_IND_NFM_E</v>
      </c>
      <c r="G4843" s="21">
        <v>4</v>
      </c>
    </row>
    <row r="4844" spans="1:7" x14ac:dyDescent="0.2">
      <c r="A4844" s="16" t="s">
        <v>34</v>
      </c>
      <c r="B4844" s="17" t="s">
        <v>64</v>
      </c>
      <c r="C4844" s="17" t="s">
        <v>8</v>
      </c>
      <c r="D4844" s="17" t="s">
        <v>10</v>
      </c>
      <c r="E4844" s="17" t="s">
        <v>26</v>
      </c>
      <c r="F4844" s="17" t="str">
        <f>INDEX(nrg_cb_e!$A$3:$A$40,MATCH(LEFT(MID('Industriesektor GWh'!$B4844,41,1000),SEARCH(" - ",MID('Industriesektor GWh'!$B4844,41,1000))-1),nrg_cb_e!$C$3:$C$40,0))</f>
        <v>FC_IND_NFM_E</v>
      </c>
      <c r="G4844" s="18">
        <v>5</v>
      </c>
    </row>
    <row r="4845" spans="1:7" x14ac:dyDescent="0.2">
      <c r="A4845" s="19" t="s">
        <v>34</v>
      </c>
      <c r="B4845" s="20" t="s">
        <v>64</v>
      </c>
      <c r="C4845" s="20" t="s">
        <v>8</v>
      </c>
      <c r="D4845" s="20" t="s">
        <v>10</v>
      </c>
      <c r="E4845" s="20" t="s">
        <v>27</v>
      </c>
      <c r="F4845" s="20" t="str">
        <f>INDEX(nrg_cb_e!$A$3:$A$40,MATCH(LEFT(MID('Industriesektor GWh'!$B4845,41,1000),SEARCH(" - ",MID('Industriesektor GWh'!$B4845,41,1000))-1),nrg_cb_e!$C$3:$C$40,0))</f>
        <v>FC_IND_NFM_E</v>
      </c>
      <c r="G4845" s="21">
        <v>0</v>
      </c>
    </row>
    <row r="4846" spans="1:7" x14ac:dyDescent="0.2">
      <c r="A4846" s="16" t="s">
        <v>34</v>
      </c>
      <c r="B4846" s="17" t="s">
        <v>64</v>
      </c>
      <c r="C4846" s="17" t="s">
        <v>8</v>
      </c>
      <c r="D4846" s="17" t="s">
        <v>10</v>
      </c>
      <c r="E4846" s="17" t="s">
        <v>28</v>
      </c>
      <c r="F4846" s="17" t="str">
        <f>INDEX(nrg_cb_e!$A$3:$A$40,MATCH(LEFT(MID('Industriesektor GWh'!$B4846,41,1000),SEARCH(" - ",MID('Industriesektor GWh'!$B4846,41,1000))-1),nrg_cb_e!$C$3:$C$40,0))</f>
        <v>FC_IND_NFM_E</v>
      </c>
      <c r="G4846" s="18">
        <v>3</v>
      </c>
    </row>
    <row r="4847" spans="1:7" x14ac:dyDescent="0.2">
      <c r="A4847" s="19" t="s">
        <v>35</v>
      </c>
      <c r="B4847" s="20" t="s">
        <v>64</v>
      </c>
      <c r="C4847" s="20" t="s">
        <v>8</v>
      </c>
      <c r="D4847" s="20" t="s">
        <v>10</v>
      </c>
      <c r="E4847" s="20" t="s">
        <v>12</v>
      </c>
      <c r="F4847" s="20" t="str">
        <f>INDEX(nrg_cb_e!$A$3:$A$40,MATCH(LEFT(MID('Industriesektor GWh'!$B4847,41,1000),SEARCH(" - ",MID('Industriesektor GWh'!$B4847,41,1000))-1),nrg_cb_e!$C$3:$C$40,0))</f>
        <v>FC_IND_NFM_E</v>
      </c>
      <c r="G4847" s="21">
        <v>459.13</v>
      </c>
    </row>
    <row r="4848" spans="1:7" x14ac:dyDescent="0.2">
      <c r="A4848" s="16" t="s">
        <v>35</v>
      </c>
      <c r="B4848" s="17" t="s">
        <v>64</v>
      </c>
      <c r="C4848" s="17" t="s">
        <v>8</v>
      </c>
      <c r="D4848" s="17" t="s">
        <v>10</v>
      </c>
      <c r="E4848" s="17" t="s">
        <v>13</v>
      </c>
      <c r="F4848" s="17" t="str">
        <f>INDEX(nrg_cb_e!$A$3:$A$40,MATCH(LEFT(MID('Industriesektor GWh'!$B4848,41,1000),SEARCH(" - ",MID('Industriesektor GWh'!$B4848,41,1000))-1),nrg_cb_e!$C$3:$C$40,0))</f>
        <v>FC_IND_NFM_E</v>
      </c>
      <c r="G4848" s="18">
        <v>427.51400000000001</v>
      </c>
    </row>
    <row r="4849" spans="1:7" x14ac:dyDescent="0.2">
      <c r="A4849" s="19" t="s">
        <v>35</v>
      </c>
      <c r="B4849" s="20" t="s">
        <v>64</v>
      </c>
      <c r="C4849" s="20" t="s">
        <v>8</v>
      </c>
      <c r="D4849" s="20" t="s">
        <v>10</v>
      </c>
      <c r="E4849" s="20" t="s">
        <v>14</v>
      </c>
      <c r="F4849" s="20" t="str">
        <f>INDEX(nrg_cb_e!$A$3:$A$40,MATCH(LEFT(MID('Industriesektor GWh'!$B4849,41,1000),SEARCH(" - ",MID('Industriesektor GWh'!$B4849,41,1000))-1),nrg_cb_e!$C$3:$C$40,0))</f>
        <v>FC_IND_NFM_E</v>
      </c>
      <c r="G4849" s="21">
        <v>404.596</v>
      </c>
    </row>
    <row r="4850" spans="1:7" x14ac:dyDescent="0.2">
      <c r="A4850" s="16" t="s">
        <v>35</v>
      </c>
      <c r="B4850" s="17" t="s">
        <v>64</v>
      </c>
      <c r="C4850" s="17" t="s">
        <v>8</v>
      </c>
      <c r="D4850" s="17" t="s">
        <v>10</v>
      </c>
      <c r="E4850" s="17" t="s">
        <v>15</v>
      </c>
      <c r="F4850" s="17" t="str">
        <f>INDEX(nrg_cb_e!$A$3:$A$40,MATCH(LEFT(MID('Industriesektor GWh'!$B4850,41,1000),SEARCH(" - ",MID('Industriesektor GWh'!$B4850,41,1000))-1),nrg_cb_e!$C$3:$C$40,0))</f>
        <v>FC_IND_NFM_E</v>
      </c>
      <c r="G4850" s="18">
        <v>450.904</v>
      </c>
    </row>
    <row r="4851" spans="1:7" x14ac:dyDescent="0.2">
      <c r="A4851" s="19" t="s">
        <v>35</v>
      </c>
      <c r="B4851" s="20" t="s">
        <v>64</v>
      </c>
      <c r="C4851" s="20" t="s">
        <v>8</v>
      </c>
      <c r="D4851" s="20" t="s">
        <v>10</v>
      </c>
      <c r="E4851" s="20" t="s">
        <v>16</v>
      </c>
      <c r="F4851" s="20" t="str">
        <f>INDEX(nrg_cb_e!$A$3:$A$40,MATCH(LEFT(MID('Industriesektor GWh'!$B4851,41,1000),SEARCH(" - ",MID('Industriesektor GWh'!$B4851,41,1000))-1),nrg_cb_e!$C$3:$C$40,0))</f>
        <v>FC_IND_NFM_E</v>
      </c>
      <c r="G4851" s="21">
        <v>568.25400000000002</v>
      </c>
    </row>
    <row r="4852" spans="1:7" x14ac:dyDescent="0.2">
      <c r="A4852" s="16" t="s">
        <v>35</v>
      </c>
      <c r="B4852" s="17" t="s">
        <v>64</v>
      </c>
      <c r="C4852" s="17" t="s">
        <v>8</v>
      </c>
      <c r="D4852" s="17" t="s">
        <v>10</v>
      </c>
      <c r="E4852" s="17" t="s">
        <v>17</v>
      </c>
      <c r="F4852" s="17" t="str">
        <f>INDEX(nrg_cb_e!$A$3:$A$40,MATCH(LEFT(MID('Industriesektor GWh'!$B4852,41,1000),SEARCH(" - ",MID('Industriesektor GWh'!$B4852,41,1000))-1),nrg_cb_e!$C$3:$C$40,0))</f>
        <v>FC_IND_NFM_E</v>
      </c>
      <c r="G4852" s="18">
        <v>582.78700000000003</v>
      </c>
    </row>
    <row r="4853" spans="1:7" x14ac:dyDescent="0.2">
      <c r="A4853" s="19" t="s">
        <v>35</v>
      </c>
      <c r="B4853" s="20" t="s">
        <v>64</v>
      </c>
      <c r="C4853" s="20" t="s">
        <v>8</v>
      </c>
      <c r="D4853" s="20" t="s">
        <v>10</v>
      </c>
      <c r="E4853" s="20" t="s">
        <v>18</v>
      </c>
      <c r="F4853" s="20" t="str">
        <f>INDEX(nrg_cb_e!$A$3:$A$40,MATCH(LEFT(MID('Industriesektor GWh'!$B4853,41,1000),SEARCH(" - ",MID('Industriesektor GWh'!$B4853,41,1000))-1),nrg_cb_e!$C$3:$C$40,0))</f>
        <v>FC_IND_NFM_E</v>
      </c>
      <c r="G4853" s="21">
        <v>584.05200000000002</v>
      </c>
    </row>
    <row r="4854" spans="1:7" x14ac:dyDescent="0.2">
      <c r="A4854" s="16" t="s">
        <v>35</v>
      </c>
      <c r="B4854" s="17" t="s">
        <v>64</v>
      </c>
      <c r="C4854" s="17" t="s">
        <v>8</v>
      </c>
      <c r="D4854" s="17" t="s">
        <v>10</v>
      </c>
      <c r="E4854" s="17" t="s">
        <v>19</v>
      </c>
      <c r="F4854" s="17" t="str">
        <f>INDEX(nrg_cb_e!$A$3:$A$40,MATCH(LEFT(MID('Industriesektor GWh'!$B4854,41,1000),SEARCH(" - ",MID('Industriesektor GWh'!$B4854,41,1000))-1),nrg_cb_e!$C$3:$C$40,0))</f>
        <v>FC_IND_NFM_E</v>
      </c>
      <c r="G4854" s="18">
        <v>510.471</v>
      </c>
    </row>
    <row r="4855" spans="1:7" x14ac:dyDescent="0.2">
      <c r="A4855" s="19" t="s">
        <v>35</v>
      </c>
      <c r="B4855" s="20" t="s">
        <v>64</v>
      </c>
      <c r="C4855" s="20" t="s">
        <v>8</v>
      </c>
      <c r="D4855" s="20" t="s">
        <v>10</v>
      </c>
      <c r="E4855" s="20" t="s">
        <v>20</v>
      </c>
      <c r="F4855" s="20" t="str">
        <f>INDEX(nrg_cb_e!$A$3:$A$40,MATCH(LEFT(MID('Industriesektor GWh'!$B4855,41,1000),SEARCH(" - ",MID('Industriesektor GWh'!$B4855,41,1000))-1),nrg_cb_e!$C$3:$C$40,0))</f>
        <v>FC_IND_NFM_E</v>
      </c>
      <c r="G4855" s="21">
        <v>729.15099999999995</v>
      </c>
    </row>
    <row r="4856" spans="1:7" x14ac:dyDescent="0.2">
      <c r="A4856" s="16" t="s">
        <v>35</v>
      </c>
      <c r="B4856" s="17" t="s">
        <v>64</v>
      </c>
      <c r="C4856" s="17" t="s">
        <v>8</v>
      </c>
      <c r="D4856" s="17" t="s">
        <v>10</v>
      </c>
      <c r="E4856" s="17" t="s">
        <v>21</v>
      </c>
      <c r="F4856" s="17" t="str">
        <f>INDEX(nrg_cb_e!$A$3:$A$40,MATCH(LEFT(MID('Industriesektor GWh'!$B4856,41,1000),SEARCH(" - ",MID('Industriesektor GWh'!$B4856,41,1000))-1),nrg_cb_e!$C$3:$C$40,0))</f>
        <v>FC_IND_NFM_E</v>
      </c>
      <c r="G4856" s="18">
        <v>740.82899999999995</v>
      </c>
    </row>
    <row r="4857" spans="1:7" x14ac:dyDescent="0.2">
      <c r="A4857" s="19" t="s">
        <v>35</v>
      </c>
      <c r="B4857" s="20" t="s">
        <v>64</v>
      </c>
      <c r="C4857" s="20" t="s">
        <v>8</v>
      </c>
      <c r="D4857" s="20" t="s">
        <v>10</v>
      </c>
      <c r="E4857" s="20" t="s">
        <v>22</v>
      </c>
      <c r="F4857" s="20" t="str">
        <f>INDEX(nrg_cb_e!$A$3:$A$40,MATCH(LEFT(MID('Industriesektor GWh'!$B4857,41,1000),SEARCH(" - ",MID('Industriesektor GWh'!$B4857,41,1000))-1),nrg_cb_e!$C$3:$C$40,0))</f>
        <v>FC_IND_NFM_E</v>
      </c>
      <c r="G4857" s="21">
        <v>744.22400000000005</v>
      </c>
    </row>
    <row r="4858" spans="1:7" x14ac:dyDescent="0.2">
      <c r="A4858" s="16" t="s">
        <v>35</v>
      </c>
      <c r="B4858" s="17" t="s">
        <v>64</v>
      </c>
      <c r="C4858" s="17" t="s">
        <v>8</v>
      </c>
      <c r="D4858" s="17" t="s">
        <v>10</v>
      </c>
      <c r="E4858" s="17" t="s">
        <v>23</v>
      </c>
      <c r="F4858" s="17" t="str">
        <f>INDEX(nrg_cb_e!$A$3:$A$40,MATCH(LEFT(MID('Industriesektor GWh'!$B4858,41,1000),SEARCH(" - ",MID('Industriesektor GWh'!$B4858,41,1000))-1),nrg_cb_e!$C$3:$C$40,0))</f>
        <v>FC_IND_NFM_E</v>
      </c>
      <c r="G4858" s="18">
        <v>741.20600000000002</v>
      </c>
    </row>
    <row r="4859" spans="1:7" x14ac:dyDescent="0.2">
      <c r="A4859" s="19" t="s">
        <v>35</v>
      </c>
      <c r="B4859" s="20" t="s">
        <v>64</v>
      </c>
      <c r="C4859" s="20" t="s">
        <v>8</v>
      </c>
      <c r="D4859" s="20" t="s">
        <v>10</v>
      </c>
      <c r="E4859" s="20" t="s">
        <v>24</v>
      </c>
      <c r="F4859" s="20" t="str">
        <f>INDEX(nrg_cb_e!$A$3:$A$40,MATCH(LEFT(MID('Industriesektor GWh'!$B4859,41,1000),SEARCH(" - ",MID('Industriesektor GWh'!$B4859,41,1000))-1),nrg_cb_e!$C$3:$C$40,0))</f>
        <v>FC_IND_NFM_E</v>
      </c>
      <c r="G4859" s="21">
        <v>747.03300000000002</v>
      </c>
    </row>
    <row r="4860" spans="1:7" x14ac:dyDescent="0.2">
      <c r="A4860" s="16" t="s">
        <v>35</v>
      </c>
      <c r="B4860" s="17" t="s">
        <v>64</v>
      </c>
      <c r="C4860" s="17" t="s">
        <v>8</v>
      </c>
      <c r="D4860" s="17" t="s">
        <v>10</v>
      </c>
      <c r="E4860" s="17" t="s">
        <v>25</v>
      </c>
      <c r="F4860" s="17" t="str">
        <f>INDEX(nrg_cb_e!$A$3:$A$40,MATCH(LEFT(MID('Industriesektor GWh'!$B4860,41,1000),SEARCH(" - ",MID('Industriesektor GWh'!$B4860,41,1000))-1),nrg_cb_e!$C$3:$C$40,0))</f>
        <v>FC_IND_NFM_E</v>
      </c>
      <c r="G4860" s="18">
        <v>784.66600000000005</v>
      </c>
    </row>
    <row r="4861" spans="1:7" x14ac:dyDescent="0.2">
      <c r="A4861" s="19" t="s">
        <v>35</v>
      </c>
      <c r="B4861" s="20" t="s">
        <v>64</v>
      </c>
      <c r="C4861" s="20" t="s">
        <v>8</v>
      </c>
      <c r="D4861" s="20" t="s">
        <v>10</v>
      </c>
      <c r="E4861" s="20" t="s">
        <v>26</v>
      </c>
      <c r="F4861" s="20" t="str">
        <f>INDEX(nrg_cb_e!$A$3:$A$40,MATCH(LEFT(MID('Industriesektor GWh'!$B4861,41,1000),SEARCH(" - ",MID('Industriesektor GWh'!$B4861,41,1000))-1),nrg_cb_e!$C$3:$C$40,0))</f>
        <v>FC_IND_NFM_E</v>
      </c>
      <c r="G4861" s="21">
        <v>789.38499999999999</v>
      </c>
    </row>
    <row r="4862" spans="1:7" x14ac:dyDescent="0.2">
      <c r="A4862" s="16" t="s">
        <v>35</v>
      </c>
      <c r="B4862" s="17" t="s">
        <v>64</v>
      </c>
      <c r="C4862" s="17" t="s">
        <v>8</v>
      </c>
      <c r="D4862" s="17" t="s">
        <v>10</v>
      </c>
      <c r="E4862" s="17" t="s">
        <v>27</v>
      </c>
      <c r="F4862" s="17" t="str">
        <f>INDEX(nrg_cb_e!$A$3:$A$40,MATCH(LEFT(MID('Industriesektor GWh'!$B4862,41,1000),SEARCH(" - ",MID('Industriesektor GWh'!$B4862,41,1000))-1),nrg_cb_e!$C$3:$C$40,0))</f>
        <v>FC_IND_NFM_E</v>
      </c>
      <c r="G4862" s="18">
        <v>796.12400000000002</v>
      </c>
    </row>
    <row r="4863" spans="1:7" x14ac:dyDescent="0.2">
      <c r="A4863" s="19" t="s">
        <v>35</v>
      </c>
      <c r="B4863" s="20" t="s">
        <v>64</v>
      </c>
      <c r="C4863" s="20" t="s">
        <v>8</v>
      </c>
      <c r="D4863" s="20" t="s">
        <v>10</v>
      </c>
      <c r="E4863" s="20" t="s">
        <v>28</v>
      </c>
      <c r="F4863" s="20" t="str">
        <f>INDEX(nrg_cb_e!$A$3:$A$40,MATCH(LEFT(MID('Industriesektor GWh'!$B4863,41,1000),SEARCH(" - ",MID('Industriesektor GWh'!$B4863,41,1000))-1),nrg_cb_e!$C$3:$C$40,0))</f>
        <v>FC_IND_NFM_E</v>
      </c>
      <c r="G4863" s="21">
        <v>823.72900000000004</v>
      </c>
    </row>
    <row r="4864" spans="1:7" x14ac:dyDescent="0.2">
      <c r="A4864" s="16" t="s">
        <v>36</v>
      </c>
      <c r="B4864" s="17" t="s">
        <v>64</v>
      </c>
      <c r="C4864" s="17" t="s">
        <v>8</v>
      </c>
      <c r="D4864" s="17" t="s">
        <v>10</v>
      </c>
      <c r="E4864" s="17" t="s">
        <v>12</v>
      </c>
      <c r="F4864" s="17" t="str">
        <f>INDEX(nrg_cb_e!$A$3:$A$40,MATCH(LEFT(MID('Industriesektor GWh'!$B4864,41,1000),SEARCH(" - ",MID('Industriesektor GWh'!$B4864,41,1000))-1),nrg_cb_e!$C$3:$C$40,0))</f>
        <v>FC_IND_NFM_E</v>
      </c>
      <c r="G4864" s="18">
        <v>3929</v>
      </c>
    </row>
    <row r="4865" spans="1:7" x14ac:dyDescent="0.2">
      <c r="A4865" s="19" t="s">
        <v>36</v>
      </c>
      <c r="B4865" s="20" t="s">
        <v>64</v>
      </c>
      <c r="C4865" s="20" t="s">
        <v>8</v>
      </c>
      <c r="D4865" s="20" t="s">
        <v>10</v>
      </c>
      <c r="E4865" s="20" t="s">
        <v>13</v>
      </c>
      <c r="F4865" s="20" t="str">
        <f>INDEX(nrg_cb_e!$A$3:$A$40,MATCH(LEFT(MID('Industriesektor GWh'!$B4865,41,1000),SEARCH(" - ",MID('Industriesektor GWh'!$B4865,41,1000))-1),nrg_cb_e!$C$3:$C$40,0))</f>
        <v>FC_IND_NFM_E</v>
      </c>
      <c r="G4865" s="21">
        <v>3752</v>
      </c>
    </row>
    <row r="4866" spans="1:7" x14ac:dyDescent="0.2">
      <c r="A4866" s="16" t="s">
        <v>36</v>
      </c>
      <c r="B4866" s="17" t="s">
        <v>64</v>
      </c>
      <c r="C4866" s="17" t="s">
        <v>8</v>
      </c>
      <c r="D4866" s="17" t="s">
        <v>10</v>
      </c>
      <c r="E4866" s="17" t="s">
        <v>14</v>
      </c>
      <c r="F4866" s="17" t="str">
        <f>INDEX(nrg_cb_e!$A$3:$A$40,MATCH(LEFT(MID('Industriesektor GWh'!$B4866,41,1000),SEARCH(" - ",MID('Industriesektor GWh'!$B4866,41,1000))-1),nrg_cb_e!$C$3:$C$40,0))</f>
        <v>FC_IND_NFM_E</v>
      </c>
      <c r="G4866" s="18">
        <v>4237</v>
      </c>
    </row>
    <row r="4867" spans="1:7" x14ac:dyDescent="0.2">
      <c r="A4867" s="19" t="s">
        <v>36</v>
      </c>
      <c r="B4867" s="20" t="s">
        <v>64</v>
      </c>
      <c r="C4867" s="20" t="s">
        <v>8</v>
      </c>
      <c r="D4867" s="20" t="s">
        <v>10</v>
      </c>
      <c r="E4867" s="20" t="s">
        <v>15</v>
      </c>
      <c r="F4867" s="20" t="str">
        <f>INDEX(nrg_cb_e!$A$3:$A$40,MATCH(LEFT(MID('Industriesektor GWh'!$B4867,41,1000),SEARCH(" - ",MID('Industriesektor GWh'!$B4867,41,1000))-1),nrg_cb_e!$C$3:$C$40,0))</f>
        <v>FC_IND_NFM_E</v>
      </c>
      <c r="G4867" s="21">
        <v>4615</v>
      </c>
    </row>
    <row r="4868" spans="1:7" x14ac:dyDescent="0.2">
      <c r="A4868" s="16" t="s">
        <v>36</v>
      </c>
      <c r="B4868" s="17" t="s">
        <v>64</v>
      </c>
      <c r="C4868" s="17" t="s">
        <v>8</v>
      </c>
      <c r="D4868" s="17" t="s">
        <v>10</v>
      </c>
      <c r="E4868" s="17" t="s">
        <v>16</v>
      </c>
      <c r="F4868" s="17" t="str">
        <f>INDEX(nrg_cb_e!$A$3:$A$40,MATCH(LEFT(MID('Industriesektor GWh'!$B4868,41,1000),SEARCH(" - ",MID('Industriesektor GWh'!$B4868,41,1000))-1),nrg_cb_e!$C$3:$C$40,0))</f>
        <v>FC_IND_NFM_E</v>
      </c>
      <c r="G4868" s="18">
        <v>4111</v>
      </c>
    </row>
    <row r="4869" spans="1:7" x14ac:dyDescent="0.2">
      <c r="A4869" s="19" t="s">
        <v>36</v>
      </c>
      <c r="B4869" s="20" t="s">
        <v>64</v>
      </c>
      <c r="C4869" s="20" t="s">
        <v>8</v>
      </c>
      <c r="D4869" s="20" t="s">
        <v>10</v>
      </c>
      <c r="E4869" s="20" t="s">
        <v>17</v>
      </c>
      <c r="F4869" s="20" t="str">
        <f>INDEX(nrg_cb_e!$A$3:$A$40,MATCH(LEFT(MID('Industriesektor GWh'!$B4869,41,1000),SEARCH(" - ",MID('Industriesektor GWh'!$B4869,41,1000))-1),nrg_cb_e!$C$3:$C$40,0))</f>
        <v>FC_IND_NFM_E</v>
      </c>
      <c r="G4869" s="21">
        <v>4594</v>
      </c>
    </row>
    <row r="4870" spans="1:7" x14ac:dyDescent="0.2">
      <c r="A4870" s="16" t="s">
        <v>36</v>
      </c>
      <c r="B4870" s="17" t="s">
        <v>64</v>
      </c>
      <c r="C4870" s="17" t="s">
        <v>8</v>
      </c>
      <c r="D4870" s="17" t="s">
        <v>10</v>
      </c>
      <c r="E4870" s="17" t="s">
        <v>18</v>
      </c>
      <c r="F4870" s="17" t="str">
        <f>INDEX(nrg_cb_e!$A$3:$A$40,MATCH(LEFT(MID('Industriesektor GWh'!$B4870,41,1000),SEARCH(" - ",MID('Industriesektor GWh'!$B4870,41,1000))-1),nrg_cb_e!$C$3:$C$40,0))</f>
        <v>FC_IND_NFM_E</v>
      </c>
      <c r="G4870" s="18">
        <v>3956</v>
      </c>
    </row>
    <row r="4871" spans="1:7" x14ac:dyDescent="0.2">
      <c r="A4871" s="19" t="s">
        <v>36</v>
      </c>
      <c r="B4871" s="20" t="s">
        <v>64</v>
      </c>
      <c r="C4871" s="20" t="s">
        <v>8</v>
      </c>
      <c r="D4871" s="20" t="s">
        <v>10</v>
      </c>
      <c r="E4871" s="20" t="s">
        <v>19</v>
      </c>
      <c r="F4871" s="20" t="str">
        <f>INDEX(nrg_cb_e!$A$3:$A$40,MATCH(LEFT(MID('Industriesektor GWh'!$B4871,41,1000),SEARCH(" - ",MID('Industriesektor GWh'!$B4871,41,1000))-1),nrg_cb_e!$C$3:$C$40,0))</f>
        <v>FC_IND_NFM_E</v>
      </c>
      <c r="G4871" s="21">
        <v>4051</v>
      </c>
    </row>
    <row r="4872" spans="1:7" x14ac:dyDescent="0.2">
      <c r="A4872" s="16" t="s">
        <v>36</v>
      </c>
      <c r="B4872" s="17" t="s">
        <v>64</v>
      </c>
      <c r="C4872" s="17" t="s">
        <v>8</v>
      </c>
      <c r="D4872" s="17" t="s">
        <v>10</v>
      </c>
      <c r="E4872" s="17" t="s">
        <v>20</v>
      </c>
      <c r="F4872" s="17" t="str">
        <f>INDEX(nrg_cb_e!$A$3:$A$40,MATCH(LEFT(MID('Industriesektor GWh'!$B4872,41,1000),SEARCH(" - ",MID('Industriesektor GWh'!$B4872,41,1000))-1),nrg_cb_e!$C$3:$C$40,0))</f>
        <v>FC_IND_NFM_E</v>
      </c>
      <c r="G4872" s="18">
        <v>5396</v>
      </c>
    </row>
    <row r="4873" spans="1:7" x14ac:dyDescent="0.2">
      <c r="A4873" s="19" t="s">
        <v>36</v>
      </c>
      <c r="B4873" s="20" t="s">
        <v>64</v>
      </c>
      <c r="C4873" s="20" t="s">
        <v>8</v>
      </c>
      <c r="D4873" s="20" t="s">
        <v>10</v>
      </c>
      <c r="E4873" s="20" t="s">
        <v>21</v>
      </c>
      <c r="F4873" s="20" t="str">
        <f>INDEX(nrg_cb_e!$A$3:$A$40,MATCH(LEFT(MID('Industriesektor GWh'!$B4873,41,1000),SEARCH(" - ",MID('Industriesektor GWh'!$B4873,41,1000))-1),nrg_cb_e!$C$3:$C$40,0))</f>
        <v>FC_IND_NFM_E</v>
      </c>
      <c r="G4873" s="21">
        <v>4262</v>
      </c>
    </row>
    <row r="4874" spans="1:7" x14ac:dyDescent="0.2">
      <c r="A4874" s="16" t="s">
        <v>36</v>
      </c>
      <c r="B4874" s="17" t="s">
        <v>64</v>
      </c>
      <c r="C4874" s="17" t="s">
        <v>8</v>
      </c>
      <c r="D4874" s="17" t="s">
        <v>10</v>
      </c>
      <c r="E4874" s="17" t="s">
        <v>22</v>
      </c>
      <c r="F4874" s="17" t="str">
        <f>INDEX(nrg_cb_e!$A$3:$A$40,MATCH(LEFT(MID('Industriesektor GWh'!$B4874,41,1000),SEARCH(" - ",MID('Industriesektor GWh'!$B4874,41,1000))-1),nrg_cb_e!$C$3:$C$40,0))</f>
        <v>FC_IND_NFM_E</v>
      </c>
      <c r="G4874" s="18">
        <v>4644</v>
      </c>
    </row>
    <row r="4875" spans="1:7" x14ac:dyDescent="0.2">
      <c r="A4875" s="19" t="s">
        <v>36</v>
      </c>
      <c r="B4875" s="20" t="s">
        <v>64</v>
      </c>
      <c r="C4875" s="20" t="s">
        <v>8</v>
      </c>
      <c r="D4875" s="20" t="s">
        <v>10</v>
      </c>
      <c r="E4875" s="20" t="s">
        <v>23</v>
      </c>
      <c r="F4875" s="20" t="str">
        <f>INDEX(nrg_cb_e!$A$3:$A$40,MATCH(LEFT(MID('Industriesektor GWh'!$B4875,41,1000),SEARCH(" - ",MID('Industriesektor GWh'!$B4875,41,1000))-1),nrg_cb_e!$C$3:$C$40,0))</f>
        <v>FC_IND_NFM_E</v>
      </c>
      <c r="G4875" s="21">
        <v>4710</v>
      </c>
    </row>
    <row r="4876" spans="1:7" x14ac:dyDescent="0.2">
      <c r="A4876" s="16" t="s">
        <v>36</v>
      </c>
      <c r="B4876" s="17" t="s">
        <v>64</v>
      </c>
      <c r="C4876" s="17" t="s">
        <v>8</v>
      </c>
      <c r="D4876" s="17" t="s">
        <v>10</v>
      </c>
      <c r="E4876" s="17" t="s">
        <v>24</v>
      </c>
      <c r="F4876" s="17" t="str">
        <f>INDEX(nrg_cb_e!$A$3:$A$40,MATCH(LEFT(MID('Industriesektor GWh'!$B4876,41,1000),SEARCH(" - ",MID('Industriesektor GWh'!$B4876,41,1000))-1),nrg_cb_e!$C$3:$C$40,0))</f>
        <v>FC_IND_NFM_E</v>
      </c>
      <c r="G4876" s="18">
        <v>4710</v>
      </c>
    </row>
    <row r="4877" spans="1:7" x14ac:dyDescent="0.2">
      <c r="A4877" s="19" t="s">
        <v>36</v>
      </c>
      <c r="B4877" s="20" t="s">
        <v>64</v>
      </c>
      <c r="C4877" s="20" t="s">
        <v>8</v>
      </c>
      <c r="D4877" s="20" t="s">
        <v>10</v>
      </c>
      <c r="E4877" s="20" t="s">
        <v>25</v>
      </c>
      <c r="F4877" s="20" t="str">
        <f>INDEX(nrg_cb_e!$A$3:$A$40,MATCH(LEFT(MID('Industriesektor GWh'!$B4877,41,1000),SEARCH(" - ",MID('Industriesektor GWh'!$B4877,41,1000))-1),nrg_cb_e!$C$3:$C$40,0))</f>
        <v>FC_IND_NFM_E</v>
      </c>
      <c r="G4877" s="21">
        <v>4770</v>
      </c>
    </row>
    <row r="4878" spans="1:7" x14ac:dyDescent="0.2">
      <c r="A4878" s="16" t="s">
        <v>36</v>
      </c>
      <c r="B4878" s="17" t="s">
        <v>64</v>
      </c>
      <c r="C4878" s="17" t="s">
        <v>8</v>
      </c>
      <c r="D4878" s="17" t="s">
        <v>10</v>
      </c>
      <c r="E4878" s="17" t="s">
        <v>26</v>
      </c>
      <c r="F4878" s="17" t="str">
        <f>INDEX(nrg_cb_e!$A$3:$A$40,MATCH(LEFT(MID('Industriesektor GWh'!$B4878,41,1000),SEARCH(" - ",MID('Industriesektor GWh'!$B4878,41,1000))-1),nrg_cb_e!$C$3:$C$40,0))</f>
        <v>FC_IND_NFM_E</v>
      </c>
      <c r="G4878" s="18">
        <v>4366</v>
      </c>
    </row>
    <row r="4879" spans="1:7" x14ac:dyDescent="0.2">
      <c r="A4879" s="19" t="s">
        <v>36</v>
      </c>
      <c r="B4879" s="20" t="s">
        <v>64</v>
      </c>
      <c r="C4879" s="20" t="s">
        <v>8</v>
      </c>
      <c r="D4879" s="20" t="s">
        <v>10</v>
      </c>
      <c r="E4879" s="20" t="s">
        <v>27</v>
      </c>
      <c r="F4879" s="20" t="str">
        <f>INDEX(nrg_cb_e!$A$3:$A$40,MATCH(LEFT(MID('Industriesektor GWh'!$B4879,41,1000),SEARCH(" - ",MID('Industriesektor GWh'!$B4879,41,1000))-1),nrg_cb_e!$C$3:$C$40,0))</f>
        <v>FC_IND_NFM_E</v>
      </c>
      <c r="G4879" s="21">
        <v>4570.5370000000003</v>
      </c>
    </row>
    <row r="4880" spans="1:7" x14ac:dyDescent="0.2">
      <c r="A4880" s="16" t="s">
        <v>36</v>
      </c>
      <c r="B4880" s="17" t="s">
        <v>64</v>
      </c>
      <c r="C4880" s="17" t="s">
        <v>8</v>
      </c>
      <c r="D4880" s="17" t="s">
        <v>10</v>
      </c>
      <c r="E4880" s="17" t="s">
        <v>28</v>
      </c>
      <c r="F4880" s="17" t="str">
        <f>INDEX(nrg_cb_e!$A$3:$A$40,MATCH(LEFT(MID('Industriesektor GWh'!$B4880,41,1000),SEARCH(" - ",MID('Industriesektor GWh'!$B4880,41,1000))-1),nrg_cb_e!$C$3:$C$40,0))</f>
        <v>FC_IND_NFM_E</v>
      </c>
      <c r="G4880" s="18">
        <v>4867.25</v>
      </c>
    </row>
    <row r="4881" spans="1:7" x14ac:dyDescent="0.2">
      <c r="A4881" s="19" t="s">
        <v>37</v>
      </c>
      <c r="B4881" s="20" t="s">
        <v>64</v>
      </c>
      <c r="C4881" s="20" t="s">
        <v>8</v>
      </c>
      <c r="D4881" s="20" t="s">
        <v>10</v>
      </c>
      <c r="E4881" s="20" t="s">
        <v>12</v>
      </c>
      <c r="F4881" s="20" t="str">
        <f>INDEX(nrg_cb_e!$A$3:$A$40,MATCH(LEFT(MID('Industriesektor GWh'!$B4881,41,1000),SEARCH(" - ",MID('Industriesektor GWh'!$B4881,41,1000))-1),nrg_cb_e!$C$3:$C$40,0))</f>
        <v>FC_IND_NFM_E</v>
      </c>
      <c r="G4881" s="21">
        <v>10484</v>
      </c>
    </row>
    <row r="4882" spans="1:7" x14ac:dyDescent="0.2">
      <c r="A4882" s="16" t="s">
        <v>37</v>
      </c>
      <c r="B4882" s="17" t="s">
        <v>64</v>
      </c>
      <c r="C4882" s="17" t="s">
        <v>8</v>
      </c>
      <c r="D4882" s="17" t="s">
        <v>10</v>
      </c>
      <c r="E4882" s="17" t="s">
        <v>13</v>
      </c>
      <c r="F4882" s="17" t="str">
        <f>INDEX(nrg_cb_e!$A$3:$A$40,MATCH(LEFT(MID('Industriesektor GWh'!$B4882,41,1000),SEARCH(" - ",MID('Industriesektor GWh'!$B4882,41,1000))-1),nrg_cb_e!$C$3:$C$40,0))</f>
        <v>FC_IND_NFM_E</v>
      </c>
      <c r="G4882" s="18">
        <v>10884</v>
      </c>
    </row>
    <row r="4883" spans="1:7" x14ac:dyDescent="0.2">
      <c r="A4883" s="19" t="s">
        <v>37</v>
      </c>
      <c r="B4883" s="20" t="s">
        <v>64</v>
      </c>
      <c r="C4883" s="20" t="s">
        <v>8</v>
      </c>
      <c r="D4883" s="20" t="s">
        <v>10</v>
      </c>
      <c r="E4883" s="20" t="s">
        <v>14</v>
      </c>
      <c r="F4883" s="20" t="str">
        <f>INDEX(nrg_cb_e!$A$3:$A$40,MATCH(LEFT(MID('Industriesektor GWh'!$B4883,41,1000),SEARCH(" - ",MID('Industriesektor GWh'!$B4883,41,1000))-1),nrg_cb_e!$C$3:$C$40,0))</f>
        <v>FC_IND_NFM_E</v>
      </c>
      <c r="G4883" s="21">
        <v>11572</v>
      </c>
    </row>
    <row r="4884" spans="1:7" x14ac:dyDescent="0.2">
      <c r="A4884" s="16" t="s">
        <v>37</v>
      </c>
      <c r="B4884" s="17" t="s">
        <v>64</v>
      </c>
      <c r="C4884" s="17" t="s">
        <v>8</v>
      </c>
      <c r="D4884" s="17" t="s">
        <v>10</v>
      </c>
      <c r="E4884" s="17" t="s">
        <v>15</v>
      </c>
      <c r="F4884" s="17" t="str">
        <f>INDEX(nrg_cb_e!$A$3:$A$40,MATCH(LEFT(MID('Industriesektor GWh'!$B4884,41,1000),SEARCH(" - ",MID('Industriesektor GWh'!$B4884,41,1000))-1),nrg_cb_e!$C$3:$C$40,0))</f>
        <v>FC_IND_NFM_E</v>
      </c>
      <c r="G4884" s="18">
        <v>10271</v>
      </c>
    </row>
    <row r="4885" spans="1:7" x14ac:dyDescent="0.2">
      <c r="A4885" s="19" t="s">
        <v>37</v>
      </c>
      <c r="B4885" s="20" t="s">
        <v>64</v>
      </c>
      <c r="C4885" s="20" t="s">
        <v>8</v>
      </c>
      <c r="D4885" s="20" t="s">
        <v>10</v>
      </c>
      <c r="E4885" s="20" t="s">
        <v>16</v>
      </c>
      <c r="F4885" s="20" t="str">
        <f>INDEX(nrg_cb_e!$A$3:$A$40,MATCH(LEFT(MID('Industriesektor GWh'!$B4885,41,1000),SEARCH(" - ",MID('Industriesektor GWh'!$B4885,41,1000))-1),nrg_cb_e!$C$3:$C$40,0))</f>
        <v>FC_IND_NFM_E</v>
      </c>
      <c r="G4885" s="21">
        <v>10112</v>
      </c>
    </row>
    <row r="4886" spans="1:7" x14ac:dyDescent="0.2">
      <c r="A4886" s="16" t="s">
        <v>37</v>
      </c>
      <c r="B4886" s="17" t="s">
        <v>64</v>
      </c>
      <c r="C4886" s="17" t="s">
        <v>8</v>
      </c>
      <c r="D4886" s="17" t="s">
        <v>10</v>
      </c>
      <c r="E4886" s="17" t="s">
        <v>17</v>
      </c>
      <c r="F4886" s="17" t="str">
        <f>INDEX(nrg_cb_e!$A$3:$A$40,MATCH(LEFT(MID('Industriesektor GWh'!$B4886,41,1000),SEARCH(" - ",MID('Industriesektor GWh'!$B4886,41,1000))-1),nrg_cb_e!$C$3:$C$40,0))</f>
        <v>FC_IND_NFM_E</v>
      </c>
      <c r="G4886" s="18">
        <v>10744</v>
      </c>
    </row>
    <row r="4887" spans="1:7" x14ac:dyDescent="0.2">
      <c r="A4887" s="19" t="s">
        <v>37</v>
      </c>
      <c r="B4887" s="20" t="s">
        <v>64</v>
      </c>
      <c r="C4887" s="20" t="s">
        <v>8</v>
      </c>
      <c r="D4887" s="20" t="s">
        <v>10</v>
      </c>
      <c r="E4887" s="20" t="s">
        <v>18</v>
      </c>
      <c r="F4887" s="20" t="str">
        <f>INDEX(nrg_cb_e!$A$3:$A$40,MATCH(LEFT(MID('Industriesektor GWh'!$B4887,41,1000),SEARCH(" - ",MID('Industriesektor GWh'!$B4887,41,1000))-1),nrg_cb_e!$C$3:$C$40,0))</f>
        <v>FC_IND_NFM_E</v>
      </c>
      <c r="G4887" s="21">
        <v>10071</v>
      </c>
    </row>
    <row r="4888" spans="1:7" x14ac:dyDescent="0.2">
      <c r="A4888" s="16" t="s">
        <v>37</v>
      </c>
      <c r="B4888" s="17" t="s">
        <v>64</v>
      </c>
      <c r="C4888" s="17" t="s">
        <v>8</v>
      </c>
      <c r="D4888" s="17" t="s">
        <v>10</v>
      </c>
      <c r="E4888" s="17" t="s">
        <v>19</v>
      </c>
      <c r="F4888" s="17" t="str">
        <f>INDEX(nrg_cb_e!$A$3:$A$40,MATCH(LEFT(MID('Industriesektor GWh'!$B4888,41,1000),SEARCH(" - ",MID('Industriesektor GWh'!$B4888,41,1000))-1),nrg_cb_e!$C$3:$C$40,0))</f>
        <v>FC_IND_NFM_E</v>
      </c>
      <c r="G4888" s="18">
        <v>9512</v>
      </c>
    </row>
    <row r="4889" spans="1:7" x14ac:dyDescent="0.2">
      <c r="A4889" s="19" t="s">
        <v>37</v>
      </c>
      <c r="B4889" s="20" t="s">
        <v>64</v>
      </c>
      <c r="C4889" s="20" t="s">
        <v>8</v>
      </c>
      <c r="D4889" s="20" t="s">
        <v>10</v>
      </c>
      <c r="E4889" s="20" t="s">
        <v>20</v>
      </c>
      <c r="F4889" s="20" t="str">
        <f>INDEX(nrg_cb_e!$A$3:$A$40,MATCH(LEFT(MID('Industriesektor GWh'!$B4889,41,1000),SEARCH(" - ",MID('Industriesektor GWh'!$B4889,41,1000))-1),nrg_cb_e!$C$3:$C$40,0))</f>
        <v>FC_IND_NFM_E</v>
      </c>
      <c r="G4889" s="21">
        <v>8651</v>
      </c>
    </row>
    <row r="4890" spans="1:7" x14ac:dyDescent="0.2">
      <c r="A4890" s="16" t="s">
        <v>37</v>
      </c>
      <c r="B4890" s="17" t="s">
        <v>64</v>
      </c>
      <c r="C4890" s="17" t="s">
        <v>8</v>
      </c>
      <c r="D4890" s="17" t="s">
        <v>10</v>
      </c>
      <c r="E4890" s="17" t="s">
        <v>21</v>
      </c>
      <c r="F4890" s="17" t="str">
        <f>INDEX(nrg_cb_e!$A$3:$A$40,MATCH(LEFT(MID('Industriesektor GWh'!$B4890,41,1000),SEARCH(" - ",MID('Industriesektor GWh'!$B4890,41,1000))-1),nrg_cb_e!$C$3:$C$40,0))</f>
        <v>FC_IND_NFM_E</v>
      </c>
      <c r="G4890" s="18">
        <v>10728</v>
      </c>
    </row>
    <row r="4891" spans="1:7" x14ac:dyDescent="0.2">
      <c r="A4891" s="19" t="s">
        <v>37</v>
      </c>
      <c r="B4891" s="20" t="s">
        <v>64</v>
      </c>
      <c r="C4891" s="20" t="s">
        <v>8</v>
      </c>
      <c r="D4891" s="20" t="s">
        <v>10</v>
      </c>
      <c r="E4891" s="20" t="s">
        <v>22</v>
      </c>
      <c r="F4891" s="20" t="str">
        <f>INDEX(nrg_cb_e!$A$3:$A$40,MATCH(LEFT(MID('Industriesektor GWh'!$B4891,41,1000),SEARCH(" - ",MID('Industriesektor GWh'!$B4891,41,1000))-1),nrg_cb_e!$C$3:$C$40,0))</f>
        <v>FC_IND_NFM_E</v>
      </c>
      <c r="G4891" s="21">
        <v>10584</v>
      </c>
    </row>
    <row r="4892" spans="1:7" x14ac:dyDescent="0.2">
      <c r="A4892" s="16" t="s">
        <v>37</v>
      </c>
      <c r="B4892" s="17" t="s">
        <v>64</v>
      </c>
      <c r="C4892" s="17" t="s">
        <v>8</v>
      </c>
      <c r="D4892" s="17" t="s">
        <v>10</v>
      </c>
      <c r="E4892" s="17" t="s">
        <v>23</v>
      </c>
      <c r="F4892" s="17" t="str">
        <f>INDEX(nrg_cb_e!$A$3:$A$40,MATCH(LEFT(MID('Industriesektor GWh'!$B4892,41,1000),SEARCH(" - ",MID('Industriesektor GWh'!$B4892,41,1000))-1),nrg_cb_e!$C$3:$C$40,0))</f>
        <v>FC_IND_NFM_E</v>
      </c>
      <c r="G4892" s="18">
        <v>9012</v>
      </c>
    </row>
    <row r="4893" spans="1:7" x14ac:dyDescent="0.2">
      <c r="A4893" s="19" t="s">
        <v>37</v>
      </c>
      <c r="B4893" s="20" t="s">
        <v>64</v>
      </c>
      <c r="C4893" s="20" t="s">
        <v>8</v>
      </c>
      <c r="D4893" s="20" t="s">
        <v>10</v>
      </c>
      <c r="E4893" s="20" t="s">
        <v>24</v>
      </c>
      <c r="F4893" s="20" t="str">
        <f>INDEX(nrg_cb_e!$A$3:$A$40,MATCH(LEFT(MID('Industriesektor GWh'!$B4893,41,1000),SEARCH(" - ",MID('Industriesektor GWh'!$B4893,41,1000))-1),nrg_cb_e!$C$3:$C$40,0))</f>
        <v>FC_IND_NFM_E</v>
      </c>
      <c r="G4893" s="21">
        <v>9362</v>
      </c>
    </row>
    <row r="4894" spans="1:7" x14ac:dyDescent="0.2">
      <c r="A4894" s="16" t="s">
        <v>37</v>
      </c>
      <c r="B4894" s="17" t="s">
        <v>64</v>
      </c>
      <c r="C4894" s="17" t="s">
        <v>8</v>
      </c>
      <c r="D4894" s="17" t="s">
        <v>10</v>
      </c>
      <c r="E4894" s="17" t="s">
        <v>25</v>
      </c>
      <c r="F4894" s="17" t="str">
        <f>INDEX(nrg_cb_e!$A$3:$A$40,MATCH(LEFT(MID('Industriesektor GWh'!$B4894,41,1000),SEARCH(" - ",MID('Industriesektor GWh'!$B4894,41,1000))-1),nrg_cb_e!$C$3:$C$40,0))</f>
        <v>FC_IND_NFM_E</v>
      </c>
      <c r="G4894" s="18">
        <v>9544</v>
      </c>
    </row>
    <row r="4895" spans="1:7" x14ac:dyDescent="0.2">
      <c r="A4895" s="19" t="s">
        <v>37</v>
      </c>
      <c r="B4895" s="20" t="s">
        <v>64</v>
      </c>
      <c r="C4895" s="20" t="s">
        <v>8</v>
      </c>
      <c r="D4895" s="20" t="s">
        <v>10</v>
      </c>
      <c r="E4895" s="20" t="s">
        <v>26</v>
      </c>
      <c r="F4895" s="20" t="str">
        <f>INDEX(nrg_cb_e!$A$3:$A$40,MATCH(LEFT(MID('Industriesektor GWh'!$B4895,41,1000),SEARCH(" - ",MID('Industriesektor GWh'!$B4895,41,1000))-1),nrg_cb_e!$C$3:$C$40,0))</f>
        <v>FC_IND_NFM_E</v>
      </c>
      <c r="G4895" s="21">
        <v>9333</v>
      </c>
    </row>
    <row r="4896" spans="1:7" x14ac:dyDescent="0.2">
      <c r="A4896" s="16" t="s">
        <v>37</v>
      </c>
      <c r="B4896" s="17" t="s">
        <v>64</v>
      </c>
      <c r="C4896" s="17" t="s">
        <v>8</v>
      </c>
      <c r="D4896" s="17" t="s">
        <v>10</v>
      </c>
      <c r="E4896" s="17" t="s">
        <v>27</v>
      </c>
      <c r="F4896" s="17" t="str">
        <f>INDEX(nrg_cb_e!$A$3:$A$40,MATCH(LEFT(MID('Industriesektor GWh'!$B4896,41,1000),SEARCH(" - ",MID('Industriesektor GWh'!$B4896,41,1000))-1),nrg_cb_e!$C$3:$C$40,0))</f>
        <v>FC_IND_NFM_E</v>
      </c>
      <c r="G4896" s="18">
        <v>10070</v>
      </c>
    </row>
    <row r="4897" spans="1:7" x14ac:dyDescent="0.2">
      <c r="A4897" s="19" t="s">
        <v>37</v>
      </c>
      <c r="B4897" s="20" t="s">
        <v>64</v>
      </c>
      <c r="C4897" s="20" t="s">
        <v>8</v>
      </c>
      <c r="D4897" s="20" t="s">
        <v>10</v>
      </c>
      <c r="E4897" s="20" t="s">
        <v>28</v>
      </c>
      <c r="F4897" s="20" t="str">
        <f>INDEX(nrg_cb_e!$A$3:$A$40,MATCH(LEFT(MID('Industriesektor GWh'!$B4897,41,1000),SEARCH(" - ",MID('Industriesektor GWh'!$B4897,41,1000))-1),nrg_cb_e!$C$3:$C$40,0))</f>
        <v>FC_IND_NFM_E</v>
      </c>
      <c r="G4897" s="21">
        <v>9137</v>
      </c>
    </row>
    <row r="4898" spans="1:7" x14ac:dyDescent="0.2">
      <c r="A4898" s="16" t="s">
        <v>38</v>
      </c>
      <c r="B4898" s="17" t="s">
        <v>64</v>
      </c>
      <c r="C4898" s="17" t="s">
        <v>8</v>
      </c>
      <c r="D4898" s="17" t="s">
        <v>10</v>
      </c>
      <c r="E4898" s="17" t="s">
        <v>12</v>
      </c>
      <c r="F4898" s="17" t="str">
        <f>INDEX(nrg_cb_e!$A$3:$A$40,MATCH(LEFT(MID('Industriesektor GWh'!$B4898,41,1000),SEARCH(" - ",MID('Industriesektor GWh'!$B4898,41,1000))-1),nrg_cb_e!$C$3:$C$40,0))</f>
        <v>FC_IND_NFM_E</v>
      </c>
      <c r="G4898" s="18">
        <v>10211</v>
      </c>
    </row>
    <row r="4899" spans="1:7" x14ac:dyDescent="0.2">
      <c r="A4899" s="19" t="s">
        <v>38</v>
      </c>
      <c r="B4899" s="20" t="s">
        <v>64</v>
      </c>
      <c r="C4899" s="20" t="s">
        <v>8</v>
      </c>
      <c r="D4899" s="20" t="s">
        <v>10</v>
      </c>
      <c r="E4899" s="20" t="s">
        <v>13</v>
      </c>
      <c r="F4899" s="20" t="str">
        <f>INDEX(nrg_cb_e!$A$3:$A$40,MATCH(LEFT(MID('Industriesektor GWh'!$B4899,41,1000),SEARCH(" - ",MID('Industriesektor GWh'!$B4899,41,1000))-1),nrg_cb_e!$C$3:$C$40,0))</f>
        <v>FC_IND_NFM_E</v>
      </c>
      <c r="G4899" s="21">
        <v>9919</v>
      </c>
    </row>
    <row r="4900" spans="1:7" x14ac:dyDescent="0.2">
      <c r="A4900" s="16" t="s">
        <v>38</v>
      </c>
      <c r="B4900" s="17" t="s">
        <v>64</v>
      </c>
      <c r="C4900" s="17" t="s">
        <v>8</v>
      </c>
      <c r="D4900" s="17" t="s">
        <v>10</v>
      </c>
      <c r="E4900" s="17" t="s">
        <v>14</v>
      </c>
      <c r="F4900" s="17" t="str">
        <f>INDEX(nrg_cb_e!$A$3:$A$40,MATCH(LEFT(MID('Industriesektor GWh'!$B4900,41,1000),SEARCH(" - ",MID('Industriesektor GWh'!$B4900,41,1000))-1),nrg_cb_e!$C$3:$C$40,0))</f>
        <v>FC_IND_NFM_E</v>
      </c>
      <c r="G4900" s="18">
        <v>10197</v>
      </c>
    </row>
    <row r="4901" spans="1:7" x14ac:dyDescent="0.2">
      <c r="A4901" s="19" t="s">
        <v>38</v>
      </c>
      <c r="B4901" s="20" t="s">
        <v>64</v>
      </c>
      <c r="C4901" s="20" t="s">
        <v>8</v>
      </c>
      <c r="D4901" s="20" t="s">
        <v>10</v>
      </c>
      <c r="E4901" s="20" t="s">
        <v>15</v>
      </c>
      <c r="F4901" s="20" t="str">
        <f>INDEX(nrg_cb_e!$A$3:$A$40,MATCH(LEFT(MID('Industriesektor GWh'!$B4901,41,1000),SEARCH(" - ",MID('Industriesektor GWh'!$B4901,41,1000))-1),nrg_cb_e!$C$3:$C$40,0))</f>
        <v>FC_IND_NFM_E</v>
      </c>
      <c r="G4901" s="21">
        <v>9833</v>
      </c>
    </row>
    <row r="4902" spans="1:7" x14ac:dyDescent="0.2">
      <c r="A4902" s="16" t="s">
        <v>38</v>
      </c>
      <c r="B4902" s="17" t="s">
        <v>64</v>
      </c>
      <c r="C4902" s="17" t="s">
        <v>8</v>
      </c>
      <c r="D4902" s="17" t="s">
        <v>10</v>
      </c>
      <c r="E4902" s="17" t="s">
        <v>16</v>
      </c>
      <c r="F4902" s="17" t="str">
        <f>INDEX(nrg_cb_e!$A$3:$A$40,MATCH(LEFT(MID('Industriesektor GWh'!$B4902,41,1000),SEARCH(" - ",MID('Industriesektor GWh'!$B4902,41,1000))-1),nrg_cb_e!$C$3:$C$40,0))</f>
        <v>FC_IND_NFM_E</v>
      </c>
      <c r="G4902" s="18">
        <v>9548</v>
      </c>
    </row>
    <row r="4903" spans="1:7" x14ac:dyDescent="0.2">
      <c r="A4903" s="19" t="s">
        <v>38</v>
      </c>
      <c r="B4903" s="20" t="s">
        <v>64</v>
      </c>
      <c r="C4903" s="20" t="s">
        <v>8</v>
      </c>
      <c r="D4903" s="20" t="s">
        <v>10</v>
      </c>
      <c r="E4903" s="20" t="s">
        <v>17</v>
      </c>
      <c r="F4903" s="20" t="str">
        <f>INDEX(nrg_cb_e!$A$3:$A$40,MATCH(LEFT(MID('Industriesektor GWh'!$B4903,41,1000),SEARCH(" - ",MID('Industriesektor GWh'!$B4903,41,1000))-1),nrg_cb_e!$C$3:$C$40,0))</f>
        <v>FC_IND_NFM_E</v>
      </c>
      <c r="G4903" s="21">
        <v>9287</v>
      </c>
    </row>
    <row r="4904" spans="1:7" x14ac:dyDescent="0.2">
      <c r="A4904" s="16" t="s">
        <v>38</v>
      </c>
      <c r="B4904" s="17" t="s">
        <v>64</v>
      </c>
      <c r="C4904" s="17" t="s">
        <v>8</v>
      </c>
      <c r="D4904" s="17" t="s">
        <v>10</v>
      </c>
      <c r="E4904" s="17" t="s">
        <v>18</v>
      </c>
      <c r="F4904" s="17" t="str">
        <f>INDEX(nrg_cb_e!$A$3:$A$40,MATCH(LEFT(MID('Industriesektor GWh'!$B4904,41,1000),SEARCH(" - ",MID('Industriesektor GWh'!$B4904,41,1000))-1),nrg_cb_e!$C$3:$C$40,0))</f>
        <v>FC_IND_NFM_E</v>
      </c>
      <c r="G4904" s="18">
        <v>7902</v>
      </c>
    </row>
    <row r="4905" spans="1:7" x14ac:dyDescent="0.2">
      <c r="A4905" s="19" t="s">
        <v>38</v>
      </c>
      <c r="B4905" s="20" t="s">
        <v>64</v>
      </c>
      <c r="C4905" s="20" t="s">
        <v>8</v>
      </c>
      <c r="D4905" s="20" t="s">
        <v>10</v>
      </c>
      <c r="E4905" s="20" t="s">
        <v>19</v>
      </c>
      <c r="F4905" s="20" t="str">
        <f>INDEX(nrg_cb_e!$A$3:$A$40,MATCH(LEFT(MID('Industriesektor GWh'!$B4905,41,1000),SEARCH(" - ",MID('Industriesektor GWh'!$B4905,41,1000))-1),nrg_cb_e!$C$3:$C$40,0))</f>
        <v>FC_IND_NFM_E</v>
      </c>
      <c r="G4905" s="21">
        <v>7152</v>
      </c>
    </row>
    <row r="4906" spans="1:7" x14ac:dyDescent="0.2">
      <c r="A4906" s="16" t="s">
        <v>38</v>
      </c>
      <c r="B4906" s="17" t="s">
        <v>64</v>
      </c>
      <c r="C4906" s="17" t="s">
        <v>8</v>
      </c>
      <c r="D4906" s="17" t="s">
        <v>10</v>
      </c>
      <c r="E4906" s="17" t="s">
        <v>20</v>
      </c>
      <c r="F4906" s="17" t="str">
        <f>INDEX(nrg_cb_e!$A$3:$A$40,MATCH(LEFT(MID('Industriesektor GWh'!$B4906,41,1000),SEARCH(" - ",MID('Industriesektor GWh'!$B4906,41,1000))-1),nrg_cb_e!$C$3:$C$40,0))</f>
        <v>FC_IND_NFM_E</v>
      </c>
      <c r="G4906" s="18">
        <v>7468</v>
      </c>
    </row>
    <row r="4907" spans="1:7" x14ac:dyDescent="0.2">
      <c r="A4907" s="19" t="s">
        <v>38</v>
      </c>
      <c r="B4907" s="20" t="s">
        <v>64</v>
      </c>
      <c r="C4907" s="20" t="s">
        <v>8</v>
      </c>
      <c r="D4907" s="20" t="s">
        <v>10</v>
      </c>
      <c r="E4907" s="20" t="s">
        <v>21</v>
      </c>
      <c r="F4907" s="20" t="str">
        <f>INDEX(nrg_cb_e!$A$3:$A$40,MATCH(LEFT(MID('Industriesektor GWh'!$B4907,41,1000),SEARCH(" - ",MID('Industriesektor GWh'!$B4907,41,1000))-1),nrg_cb_e!$C$3:$C$40,0))</f>
        <v>FC_IND_NFM_E</v>
      </c>
      <c r="G4907" s="21">
        <v>8126.527</v>
      </c>
    </row>
    <row r="4908" spans="1:7" x14ac:dyDescent="0.2">
      <c r="A4908" s="16" t="s">
        <v>38</v>
      </c>
      <c r="B4908" s="17" t="s">
        <v>64</v>
      </c>
      <c r="C4908" s="17" t="s">
        <v>8</v>
      </c>
      <c r="D4908" s="17" t="s">
        <v>10</v>
      </c>
      <c r="E4908" s="17" t="s">
        <v>22</v>
      </c>
      <c r="F4908" s="17" t="str">
        <f>INDEX(nrg_cb_e!$A$3:$A$40,MATCH(LEFT(MID('Industriesektor GWh'!$B4908,41,1000),SEARCH(" - ",MID('Industriesektor GWh'!$B4908,41,1000))-1),nrg_cb_e!$C$3:$C$40,0))</f>
        <v>FC_IND_NFM_E</v>
      </c>
      <c r="G4908" s="18">
        <v>7963.1180000000004</v>
      </c>
    </row>
    <row r="4909" spans="1:7" x14ac:dyDescent="0.2">
      <c r="A4909" s="19" t="s">
        <v>38</v>
      </c>
      <c r="B4909" s="20" t="s">
        <v>64</v>
      </c>
      <c r="C4909" s="20" t="s">
        <v>8</v>
      </c>
      <c r="D4909" s="20" t="s">
        <v>10</v>
      </c>
      <c r="E4909" s="20" t="s">
        <v>23</v>
      </c>
      <c r="F4909" s="20" t="str">
        <f>INDEX(nrg_cb_e!$A$3:$A$40,MATCH(LEFT(MID('Industriesektor GWh'!$B4909,41,1000),SEARCH(" - ",MID('Industriesektor GWh'!$B4909,41,1000))-1),nrg_cb_e!$C$3:$C$40,0))</f>
        <v>FC_IND_NFM_E</v>
      </c>
      <c r="G4909" s="21">
        <v>7848.4709999999995</v>
      </c>
    </row>
    <row r="4910" spans="1:7" x14ac:dyDescent="0.2">
      <c r="A4910" s="16" t="s">
        <v>38</v>
      </c>
      <c r="B4910" s="17" t="s">
        <v>64</v>
      </c>
      <c r="C4910" s="17" t="s">
        <v>8</v>
      </c>
      <c r="D4910" s="17" t="s">
        <v>10</v>
      </c>
      <c r="E4910" s="17" t="s">
        <v>24</v>
      </c>
      <c r="F4910" s="17" t="str">
        <f>INDEX(nrg_cb_e!$A$3:$A$40,MATCH(LEFT(MID('Industriesektor GWh'!$B4910,41,1000),SEARCH(" - ",MID('Industriesektor GWh'!$B4910,41,1000))-1),nrg_cb_e!$C$3:$C$40,0))</f>
        <v>FC_IND_NFM_E</v>
      </c>
      <c r="G4910" s="18">
        <v>8287.5779999999995</v>
      </c>
    </row>
    <row r="4911" spans="1:7" x14ac:dyDescent="0.2">
      <c r="A4911" s="19" t="s">
        <v>38</v>
      </c>
      <c r="B4911" s="20" t="s">
        <v>64</v>
      </c>
      <c r="C4911" s="20" t="s">
        <v>8</v>
      </c>
      <c r="D4911" s="20" t="s">
        <v>10</v>
      </c>
      <c r="E4911" s="20" t="s">
        <v>25</v>
      </c>
      <c r="F4911" s="20" t="str">
        <f>INDEX(nrg_cb_e!$A$3:$A$40,MATCH(LEFT(MID('Industriesektor GWh'!$B4911,41,1000),SEARCH(" - ",MID('Industriesektor GWh'!$B4911,41,1000))-1),nrg_cb_e!$C$3:$C$40,0))</f>
        <v>FC_IND_NFM_E</v>
      </c>
      <c r="G4911" s="21">
        <v>8734.6119999999992</v>
      </c>
    </row>
    <row r="4912" spans="1:7" x14ac:dyDescent="0.2">
      <c r="A4912" s="16" t="s">
        <v>38</v>
      </c>
      <c r="B4912" s="17" t="s">
        <v>64</v>
      </c>
      <c r="C4912" s="17" t="s">
        <v>8</v>
      </c>
      <c r="D4912" s="17" t="s">
        <v>10</v>
      </c>
      <c r="E4912" s="17" t="s">
        <v>26</v>
      </c>
      <c r="F4912" s="17" t="str">
        <f>INDEX(nrg_cb_e!$A$3:$A$40,MATCH(LEFT(MID('Industriesektor GWh'!$B4912,41,1000),SEARCH(" - ",MID('Industriesektor GWh'!$B4912,41,1000))-1),nrg_cb_e!$C$3:$C$40,0))</f>
        <v>FC_IND_NFM_E</v>
      </c>
      <c r="G4912" s="18">
        <v>8838.5040000000008</v>
      </c>
    </row>
    <row r="4913" spans="1:7" x14ac:dyDescent="0.2">
      <c r="A4913" s="19" t="s">
        <v>38</v>
      </c>
      <c r="B4913" s="20" t="s">
        <v>64</v>
      </c>
      <c r="C4913" s="20" t="s">
        <v>8</v>
      </c>
      <c r="D4913" s="20" t="s">
        <v>10</v>
      </c>
      <c r="E4913" s="20" t="s">
        <v>27</v>
      </c>
      <c r="F4913" s="20" t="str">
        <f>INDEX(nrg_cb_e!$A$3:$A$40,MATCH(LEFT(MID('Industriesektor GWh'!$B4913,41,1000),SEARCH(" - ",MID('Industriesektor GWh'!$B4913,41,1000))-1),nrg_cb_e!$C$3:$C$40,0))</f>
        <v>FC_IND_NFM_E</v>
      </c>
      <c r="G4913" s="21">
        <v>8933.1149999999998</v>
      </c>
    </row>
    <row r="4914" spans="1:7" x14ac:dyDescent="0.2">
      <c r="A4914" s="16" t="s">
        <v>38</v>
      </c>
      <c r="B4914" s="17" t="s">
        <v>64</v>
      </c>
      <c r="C4914" s="17" t="s">
        <v>8</v>
      </c>
      <c r="D4914" s="17" t="s">
        <v>10</v>
      </c>
      <c r="E4914" s="17" t="s">
        <v>28</v>
      </c>
      <c r="F4914" s="17" t="str">
        <f>INDEX(nrg_cb_e!$A$3:$A$40,MATCH(LEFT(MID('Industriesektor GWh'!$B4914,41,1000),SEARCH(" - ",MID('Industriesektor GWh'!$B4914,41,1000))-1),nrg_cb_e!$C$3:$C$40,0))</f>
        <v>FC_IND_NFM_E</v>
      </c>
      <c r="G4914" s="18">
        <v>8235.6280000000006</v>
      </c>
    </row>
    <row r="4915" spans="1:7" x14ac:dyDescent="0.2">
      <c r="A4915" s="19" t="s">
        <v>39</v>
      </c>
      <c r="B4915" s="20" t="s">
        <v>64</v>
      </c>
      <c r="C4915" s="20" t="s">
        <v>8</v>
      </c>
      <c r="D4915" s="20" t="s">
        <v>10</v>
      </c>
      <c r="E4915" s="20" t="s">
        <v>12</v>
      </c>
      <c r="F4915" s="20" t="str">
        <f>INDEX(nrg_cb_e!$A$3:$A$40,MATCH(LEFT(MID('Industriesektor GWh'!$B4915,41,1000),SEARCH(" - ",MID('Industriesektor GWh'!$B4915,41,1000))-1),nrg_cb_e!$C$3:$C$40,0))</f>
        <v>FC_IND_NFM_E</v>
      </c>
      <c r="G4915" s="21">
        <v>92</v>
      </c>
    </row>
    <row r="4916" spans="1:7" x14ac:dyDescent="0.2">
      <c r="A4916" s="16" t="s">
        <v>39</v>
      </c>
      <c r="B4916" s="17" t="s">
        <v>64</v>
      </c>
      <c r="C4916" s="17" t="s">
        <v>8</v>
      </c>
      <c r="D4916" s="17" t="s">
        <v>10</v>
      </c>
      <c r="E4916" s="17" t="s">
        <v>13</v>
      </c>
      <c r="F4916" s="17" t="str">
        <f>INDEX(nrg_cb_e!$A$3:$A$40,MATCH(LEFT(MID('Industriesektor GWh'!$B4916,41,1000),SEARCH(" - ",MID('Industriesektor GWh'!$B4916,41,1000))-1),nrg_cb_e!$C$3:$C$40,0))</f>
        <v>FC_IND_NFM_E</v>
      </c>
      <c r="G4916" s="18">
        <v>80</v>
      </c>
    </row>
    <row r="4917" spans="1:7" x14ac:dyDescent="0.2">
      <c r="A4917" s="19" t="s">
        <v>39</v>
      </c>
      <c r="B4917" s="20" t="s">
        <v>64</v>
      </c>
      <c r="C4917" s="20" t="s">
        <v>8</v>
      </c>
      <c r="D4917" s="20" t="s">
        <v>10</v>
      </c>
      <c r="E4917" s="20" t="s">
        <v>14</v>
      </c>
      <c r="F4917" s="20" t="str">
        <f>INDEX(nrg_cb_e!$A$3:$A$40,MATCH(LEFT(MID('Industriesektor GWh'!$B4917,41,1000),SEARCH(" - ",MID('Industriesektor GWh'!$B4917,41,1000))-1),nrg_cb_e!$C$3:$C$40,0))</f>
        <v>FC_IND_NFM_E</v>
      </c>
      <c r="G4917" s="21">
        <v>80</v>
      </c>
    </row>
    <row r="4918" spans="1:7" x14ac:dyDescent="0.2">
      <c r="A4918" s="16" t="s">
        <v>39</v>
      </c>
      <c r="B4918" s="17" t="s">
        <v>64</v>
      </c>
      <c r="C4918" s="17" t="s">
        <v>8</v>
      </c>
      <c r="D4918" s="17" t="s">
        <v>10</v>
      </c>
      <c r="E4918" s="17" t="s">
        <v>15</v>
      </c>
      <c r="F4918" s="17" t="str">
        <f>INDEX(nrg_cb_e!$A$3:$A$40,MATCH(LEFT(MID('Industriesektor GWh'!$B4918,41,1000),SEARCH(" - ",MID('Industriesektor GWh'!$B4918,41,1000))-1),nrg_cb_e!$C$3:$C$40,0))</f>
        <v>FC_IND_NFM_E</v>
      </c>
      <c r="G4918" s="18">
        <v>93</v>
      </c>
    </row>
    <row r="4919" spans="1:7" x14ac:dyDescent="0.2">
      <c r="A4919" s="19" t="s">
        <v>39</v>
      </c>
      <c r="B4919" s="20" t="s">
        <v>64</v>
      </c>
      <c r="C4919" s="20" t="s">
        <v>8</v>
      </c>
      <c r="D4919" s="20" t="s">
        <v>10</v>
      </c>
      <c r="E4919" s="20" t="s">
        <v>16</v>
      </c>
      <c r="F4919" s="20" t="str">
        <f>INDEX(nrg_cb_e!$A$3:$A$40,MATCH(LEFT(MID('Industriesektor GWh'!$B4919,41,1000),SEARCH(" - ",MID('Industriesektor GWh'!$B4919,41,1000))-1),nrg_cb_e!$C$3:$C$40,0))</f>
        <v>FC_IND_NFM_E</v>
      </c>
      <c r="G4919" s="21">
        <v>91</v>
      </c>
    </row>
    <row r="4920" spans="1:7" x14ac:dyDescent="0.2">
      <c r="A4920" s="16" t="s">
        <v>39</v>
      </c>
      <c r="B4920" s="17" t="s">
        <v>64</v>
      </c>
      <c r="C4920" s="17" t="s">
        <v>8</v>
      </c>
      <c r="D4920" s="17" t="s">
        <v>10</v>
      </c>
      <c r="E4920" s="17" t="s">
        <v>17</v>
      </c>
      <c r="F4920" s="17" t="str">
        <f>INDEX(nrg_cb_e!$A$3:$A$40,MATCH(LEFT(MID('Industriesektor GWh'!$B4920,41,1000),SEARCH(" - ",MID('Industriesektor GWh'!$B4920,41,1000))-1),nrg_cb_e!$C$3:$C$40,0))</f>
        <v>FC_IND_NFM_E</v>
      </c>
      <c r="G4920" s="18">
        <v>96</v>
      </c>
    </row>
    <row r="4921" spans="1:7" x14ac:dyDescent="0.2">
      <c r="A4921" s="19" t="s">
        <v>39</v>
      </c>
      <c r="B4921" s="20" t="s">
        <v>64</v>
      </c>
      <c r="C4921" s="20" t="s">
        <v>8</v>
      </c>
      <c r="D4921" s="20" t="s">
        <v>10</v>
      </c>
      <c r="E4921" s="20" t="s">
        <v>18</v>
      </c>
      <c r="F4921" s="20" t="str">
        <f>INDEX(nrg_cb_e!$A$3:$A$40,MATCH(LEFT(MID('Industriesektor GWh'!$B4921,41,1000),SEARCH(" - ",MID('Industriesektor GWh'!$B4921,41,1000))-1),nrg_cb_e!$C$3:$C$40,0))</f>
        <v>FC_IND_NFM_E</v>
      </c>
      <c r="G4921" s="21">
        <v>78</v>
      </c>
    </row>
    <row r="4922" spans="1:7" x14ac:dyDescent="0.2">
      <c r="A4922" s="16" t="s">
        <v>39</v>
      </c>
      <c r="B4922" s="17" t="s">
        <v>64</v>
      </c>
      <c r="C4922" s="17" t="s">
        <v>8</v>
      </c>
      <c r="D4922" s="17" t="s">
        <v>10</v>
      </c>
      <c r="E4922" s="17" t="s">
        <v>19</v>
      </c>
      <c r="F4922" s="17" t="str">
        <f>INDEX(nrg_cb_e!$A$3:$A$40,MATCH(LEFT(MID('Industriesektor GWh'!$B4922,41,1000),SEARCH(" - ",MID('Industriesektor GWh'!$B4922,41,1000))-1),nrg_cb_e!$C$3:$C$40,0))</f>
        <v>FC_IND_NFM_E</v>
      </c>
      <c r="G4922" s="18">
        <v>77</v>
      </c>
    </row>
    <row r="4923" spans="1:7" x14ac:dyDescent="0.2">
      <c r="A4923" s="19" t="s">
        <v>39</v>
      </c>
      <c r="B4923" s="20" t="s">
        <v>64</v>
      </c>
      <c r="C4923" s="20" t="s">
        <v>8</v>
      </c>
      <c r="D4923" s="20" t="s">
        <v>10</v>
      </c>
      <c r="E4923" s="20" t="s">
        <v>20</v>
      </c>
      <c r="F4923" s="20" t="str">
        <f>INDEX(nrg_cb_e!$A$3:$A$40,MATCH(LEFT(MID('Industriesektor GWh'!$B4923,41,1000),SEARCH(" - ",MID('Industriesektor GWh'!$B4923,41,1000))-1),nrg_cb_e!$C$3:$C$40,0))</f>
        <v>FC_IND_NFM_E</v>
      </c>
      <c r="G4923" s="21">
        <v>71</v>
      </c>
    </row>
    <row r="4924" spans="1:7" x14ac:dyDescent="0.2">
      <c r="A4924" s="16" t="s">
        <v>39</v>
      </c>
      <c r="B4924" s="17" t="s">
        <v>64</v>
      </c>
      <c r="C4924" s="17" t="s">
        <v>8</v>
      </c>
      <c r="D4924" s="17" t="s">
        <v>10</v>
      </c>
      <c r="E4924" s="17" t="s">
        <v>21</v>
      </c>
      <c r="F4924" s="17" t="str">
        <f>INDEX(nrg_cb_e!$A$3:$A$40,MATCH(LEFT(MID('Industriesektor GWh'!$B4924,41,1000),SEARCH(" - ",MID('Industriesektor GWh'!$B4924,41,1000))-1),nrg_cb_e!$C$3:$C$40,0))</f>
        <v>FC_IND_NFM_E</v>
      </c>
      <c r="G4924" s="18">
        <v>82</v>
      </c>
    </row>
    <row r="4925" spans="1:7" x14ac:dyDescent="0.2">
      <c r="A4925" s="19" t="s">
        <v>39</v>
      </c>
      <c r="B4925" s="20" t="s">
        <v>64</v>
      </c>
      <c r="C4925" s="20" t="s">
        <v>8</v>
      </c>
      <c r="D4925" s="20" t="s">
        <v>10</v>
      </c>
      <c r="E4925" s="20" t="s">
        <v>22</v>
      </c>
      <c r="F4925" s="20" t="str">
        <f>INDEX(nrg_cb_e!$A$3:$A$40,MATCH(LEFT(MID('Industriesektor GWh'!$B4925,41,1000),SEARCH(" - ",MID('Industriesektor GWh'!$B4925,41,1000))-1),nrg_cb_e!$C$3:$C$40,0))</f>
        <v>FC_IND_NFM_E</v>
      </c>
      <c r="G4925" s="21">
        <v>86</v>
      </c>
    </row>
    <row r="4926" spans="1:7" x14ac:dyDescent="0.2">
      <c r="A4926" s="16" t="s">
        <v>39</v>
      </c>
      <c r="B4926" s="17" t="s">
        <v>64</v>
      </c>
      <c r="C4926" s="17" t="s">
        <v>8</v>
      </c>
      <c r="D4926" s="17" t="s">
        <v>10</v>
      </c>
      <c r="E4926" s="17" t="s">
        <v>23</v>
      </c>
      <c r="F4926" s="17" t="str">
        <f>INDEX(nrg_cb_e!$A$3:$A$40,MATCH(LEFT(MID('Industriesektor GWh'!$B4926,41,1000),SEARCH(" - ",MID('Industriesektor GWh'!$B4926,41,1000))-1),nrg_cb_e!$C$3:$C$40,0))</f>
        <v>FC_IND_NFM_E</v>
      </c>
      <c r="G4926" s="18">
        <v>86</v>
      </c>
    </row>
    <row r="4927" spans="1:7" x14ac:dyDescent="0.2">
      <c r="A4927" s="19" t="s">
        <v>39</v>
      </c>
      <c r="B4927" s="20" t="s">
        <v>64</v>
      </c>
      <c r="C4927" s="20" t="s">
        <v>8</v>
      </c>
      <c r="D4927" s="20" t="s">
        <v>10</v>
      </c>
      <c r="E4927" s="20" t="s">
        <v>24</v>
      </c>
      <c r="F4927" s="20" t="str">
        <f>INDEX(nrg_cb_e!$A$3:$A$40,MATCH(LEFT(MID('Industriesektor GWh'!$B4927,41,1000),SEARCH(" - ",MID('Industriesektor GWh'!$B4927,41,1000))-1),nrg_cb_e!$C$3:$C$40,0))</f>
        <v>FC_IND_NFM_E</v>
      </c>
      <c r="G4927" s="21">
        <v>79</v>
      </c>
    </row>
    <row r="4928" spans="1:7" x14ac:dyDescent="0.2">
      <c r="A4928" s="16" t="s">
        <v>39</v>
      </c>
      <c r="B4928" s="17" t="s">
        <v>64</v>
      </c>
      <c r="C4928" s="17" t="s">
        <v>8</v>
      </c>
      <c r="D4928" s="17" t="s">
        <v>10</v>
      </c>
      <c r="E4928" s="17" t="s">
        <v>25</v>
      </c>
      <c r="F4928" s="17" t="str">
        <f>INDEX(nrg_cb_e!$A$3:$A$40,MATCH(LEFT(MID('Industriesektor GWh'!$B4928,41,1000),SEARCH(" - ",MID('Industriesektor GWh'!$B4928,41,1000))-1),nrg_cb_e!$C$3:$C$40,0))</f>
        <v>FC_IND_NFM_E</v>
      </c>
      <c r="G4928" s="18">
        <v>36</v>
      </c>
    </row>
    <row r="4929" spans="1:7" x14ac:dyDescent="0.2">
      <c r="A4929" s="19" t="s">
        <v>39</v>
      </c>
      <c r="B4929" s="20" t="s">
        <v>64</v>
      </c>
      <c r="C4929" s="20" t="s">
        <v>8</v>
      </c>
      <c r="D4929" s="20" t="s">
        <v>10</v>
      </c>
      <c r="E4929" s="20" t="s">
        <v>26</v>
      </c>
      <c r="F4929" s="20" t="str">
        <f>INDEX(nrg_cb_e!$A$3:$A$40,MATCH(LEFT(MID('Industriesektor GWh'!$B4929,41,1000),SEARCH(" - ",MID('Industriesektor GWh'!$B4929,41,1000))-1),nrg_cb_e!$C$3:$C$40,0))</f>
        <v>FC_IND_NFM_E</v>
      </c>
      <c r="G4929" s="21">
        <v>32</v>
      </c>
    </row>
    <row r="4930" spans="1:7" x14ac:dyDescent="0.2">
      <c r="A4930" s="16" t="s">
        <v>39</v>
      </c>
      <c r="B4930" s="17" t="s">
        <v>64</v>
      </c>
      <c r="C4930" s="17" t="s">
        <v>8</v>
      </c>
      <c r="D4930" s="17" t="s">
        <v>10</v>
      </c>
      <c r="E4930" s="17" t="s">
        <v>27</v>
      </c>
      <c r="F4930" s="17" t="str">
        <f>INDEX(nrg_cb_e!$A$3:$A$40,MATCH(LEFT(MID('Industriesektor GWh'!$B4930,41,1000),SEARCH(" - ",MID('Industriesektor GWh'!$B4930,41,1000))-1),nrg_cb_e!$C$3:$C$40,0))</f>
        <v>FC_IND_NFM_E</v>
      </c>
      <c r="G4930" s="18">
        <v>86.2</v>
      </c>
    </row>
    <row r="4931" spans="1:7" x14ac:dyDescent="0.2">
      <c r="A4931" s="19" t="s">
        <v>39</v>
      </c>
      <c r="B4931" s="20" t="s">
        <v>64</v>
      </c>
      <c r="C4931" s="20" t="s">
        <v>8</v>
      </c>
      <c r="D4931" s="20" t="s">
        <v>10</v>
      </c>
      <c r="E4931" s="20" t="s">
        <v>28</v>
      </c>
      <c r="F4931" s="20" t="str">
        <f>INDEX(nrg_cb_e!$A$3:$A$40,MATCH(LEFT(MID('Industriesektor GWh'!$B4931,41,1000),SEARCH(" - ",MID('Industriesektor GWh'!$B4931,41,1000))-1),nrg_cb_e!$C$3:$C$40,0))</f>
        <v>FC_IND_NFM_E</v>
      </c>
      <c r="G4931" s="21">
        <v>98.7</v>
      </c>
    </row>
    <row r="4932" spans="1:7" x14ac:dyDescent="0.2">
      <c r="A4932" s="16" t="s">
        <v>40</v>
      </c>
      <c r="B4932" s="17" t="s">
        <v>64</v>
      </c>
      <c r="C4932" s="17" t="s">
        <v>8</v>
      </c>
      <c r="D4932" s="17" t="s">
        <v>10</v>
      </c>
      <c r="E4932" s="17" t="s">
        <v>12</v>
      </c>
      <c r="F4932" s="17" t="str">
        <f>INDEX(nrg_cb_e!$A$3:$A$40,MATCH(LEFT(MID('Industriesektor GWh'!$B4932,41,1000),SEARCH(" - ",MID('Industriesektor GWh'!$B4932,41,1000))-1),nrg_cb_e!$C$3:$C$40,0))</f>
        <v>FC_IND_NFM_E</v>
      </c>
      <c r="G4932" s="18">
        <v>5619</v>
      </c>
    </row>
    <row r="4933" spans="1:7" x14ac:dyDescent="0.2">
      <c r="A4933" s="19" t="s">
        <v>40</v>
      </c>
      <c r="B4933" s="20" t="s">
        <v>64</v>
      </c>
      <c r="C4933" s="20" t="s">
        <v>8</v>
      </c>
      <c r="D4933" s="20" t="s">
        <v>10</v>
      </c>
      <c r="E4933" s="20" t="s">
        <v>13</v>
      </c>
      <c r="F4933" s="20" t="str">
        <f>INDEX(nrg_cb_e!$A$3:$A$40,MATCH(LEFT(MID('Industriesektor GWh'!$B4933,41,1000),SEARCH(" - ",MID('Industriesektor GWh'!$B4933,41,1000))-1),nrg_cb_e!$C$3:$C$40,0))</f>
        <v>FC_IND_NFM_E</v>
      </c>
      <c r="G4933" s="21">
        <v>5464</v>
      </c>
    </row>
    <row r="4934" spans="1:7" x14ac:dyDescent="0.2">
      <c r="A4934" s="16" t="s">
        <v>40</v>
      </c>
      <c r="B4934" s="17" t="s">
        <v>64</v>
      </c>
      <c r="C4934" s="17" t="s">
        <v>8</v>
      </c>
      <c r="D4934" s="17" t="s">
        <v>10</v>
      </c>
      <c r="E4934" s="17" t="s">
        <v>14</v>
      </c>
      <c r="F4934" s="17" t="str">
        <f>INDEX(nrg_cb_e!$A$3:$A$40,MATCH(LEFT(MID('Industriesektor GWh'!$B4934,41,1000),SEARCH(" - ",MID('Industriesektor GWh'!$B4934,41,1000))-1),nrg_cb_e!$C$3:$C$40,0))</f>
        <v>FC_IND_NFM_E</v>
      </c>
      <c r="G4934" s="18">
        <v>5538</v>
      </c>
    </row>
    <row r="4935" spans="1:7" x14ac:dyDescent="0.2">
      <c r="A4935" s="19" t="s">
        <v>40</v>
      </c>
      <c r="B4935" s="20" t="s">
        <v>64</v>
      </c>
      <c r="C4935" s="20" t="s">
        <v>8</v>
      </c>
      <c r="D4935" s="20" t="s">
        <v>10</v>
      </c>
      <c r="E4935" s="20" t="s">
        <v>15</v>
      </c>
      <c r="F4935" s="20" t="str">
        <f>INDEX(nrg_cb_e!$A$3:$A$40,MATCH(LEFT(MID('Industriesektor GWh'!$B4935,41,1000),SEARCH(" - ",MID('Industriesektor GWh'!$B4935,41,1000))-1),nrg_cb_e!$C$3:$C$40,0))</f>
        <v>FC_IND_NFM_E</v>
      </c>
      <c r="G4935" s="21">
        <v>5635</v>
      </c>
    </row>
    <row r="4936" spans="1:7" x14ac:dyDescent="0.2">
      <c r="A4936" s="16" t="s">
        <v>40</v>
      </c>
      <c r="B4936" s="17" t="s">
        <v>64</v>
      </c>
      <c r="C4936" s="17" t="s">
        <v>8</v>
      </c>
      <c r="D4936" s="17" t="s">
        <v>10</v>
      </c>
      <c r="E4936" s="17" t="s">
        <v>16</v>
      </c>
      <c r="F4936" s="17" t="str">
        <f>INDEX(nrg_cb_e!$A$3:$A$40,MATCH(LEFT(MID('Industriesektor GWh'!$B4936,41,1000),SEARCH(" - ",MID('Industriesektor GWh'!$B4936,41,1000))-1),nrg_cb_e!$C$3:$C$40,0))</f>
        <v>FC_IND_NFM_E</v>
      </c>
      <c r="G4936" s="18">
        <v>5753</v>
      </c>
    </row>
    <row r="4937" spans="1:7" x14ac:dyDescent="0.2">
      <c r="A4937" s="19" t="s">
        <v>40</v>
      </c>
      <c r="B4937" s="20" t="s">
        <v>64</v>
      </c>
      <c r="C4937" s="20" t="s">
        <v>8</v>
      </c>
      <c r="D4937" s="20" t="s">
        <v>10</v>
      </c>
      <c r="E4937" s="20" t="s">
        <v>17</v>
      </c>
      <c r="F4937" s="20" t="str">
        <f>INDEX(nrg_cb_e!$A$3:$A$40,MATCH(LEFT(MID('Industriesektor GWh'!$B4937,41,1000),SEARCH(" - ",MID('Industriesektor GWh'!$B4937,41,1000))-1),nrg_cb_e!$C$3:$C$40,0))</f>
        <v>FC_IND_NFM_E</v>
      </c>
      <c r="G4937" s="21">
        <v>5553</v>
      </c>
    </row>
    <row r="4938" spans="1:7" x14ac:dyDescent="0.2">
      <c r="A4938" s="16" t="s">
        <v>40</v>
      </c>
      <c r="B4938" s="17" t="s">
        <v>64</v>
      </c>
      <c r="C4938" s="17" t="s">
        <v>8</v>
      </c>
      <c r="D4938" s="17" t="s">
        <v>10</v>
      </c>
      <c r="E4938" s="17" t="s">
        <v>18</v>
      </c>
      <c r="F4938" s="17" t="str">
        <f>INDEX(nrg_cb_e!$A$3:$A$40,MATCH(LEFT(MID('Industriesektor GWh'!$B4938,41,1000),SEARCH(" - ",MID('Industriesektor GWh'!$B4938,41,1000))-1),nrg_cb_e!$C$3:$C$40,0))</f>
        <v>FC_IND_NFM_E</v>
      </c>
      <c r="G4938" s="18">
        <v>5598</v>
      </c>
    </row>
    <row r="4939" spans="1:7" x14ac:dyDescent="0.2">
      <c r="A4939" s="19" t="s">
        <v>40</v>
      </c>
      <c r="B4939" s="20" t="s">
        <v>64</v>
      </c>
      <c r="C4939" s="20" t="s">
        <v>8</v>
      </c>
      <c r="D4939" s="20" t="s">
        <v>10</v>
      </c>
      <c r="E4939" s="20" t="s">
        <v>19</v>
      </c>
      <c r="F4939" s="20" t="str">
        <f>INDEX(nrg_cb_e!$A$3:$A$40,MATCH(LEFT(MID('Industriesektor GWh'!$B4939,41,1000),SEARCH(" - ",MID('Industriesektor GWh'!$B4939,41,1000))-1),nrg_cb_e!$C$3:$C$40,0))</f>
        <v>FC_IND_NFM_E</v>
      </c>
      <c r="G4939" s="21">
        <v>5092</v>
      </c>
    </row>
    <row r="4940" spans="1:7" x14ac:dyDescent="0.2">
      <c r="A4940" s="16" t="s">
        <v>40</v>
      </c>
      <c r="B4940" s="17" t="s">
        <v>64</v>
      </c>
      <c r="C4940" s="17" t="s">
        <v>8</v>
      </c>
      <c r="D4940" s="17" t="s">
        <v>10</v>
      </c>
      <c r="E4940" s="17" t="s">
        <v>20</v>
      </c>
      <c r="F4940" s="17" t="str">
        <f>INDEX(nrg_cb_e!$A$3:$A$40,MATCH(LEFT(MID('Industriesektor GWh'!$B4940,41,1000),SEARCH(" - ",MID('Industriesektor GWh'!$B4940,41,1000))-1),nrg_cb_e!$C$3:$C$40,0))</f>
        <v>FC_IND_NFM_E</v>
      </c>
      <c r="G4940" s="18">
        <v>4573</v>
      </c>
    </row>
    <row r="4941" spans="1:7" x14ac:dyDescent="0.2">
      <c r="A4941" s="19" t="s">
        <v>40</v>
      </c>
      <c r="B4941" s="20" t="s">
        <v>64</v>
      </c>
      <c r="C4941" s="20" t="s">
        <v>8</v>
      </c>
      <c r="D4941" s="20" t="s">
        <v>10</v>
      </c>
      <c r="E4941" s="20" t="s">
        <v>21</v>
      </c>
      <c r="F4941" s="20" t="str">
        <f>INDEX(nrg_cb_e!$A$3:$A$40,MATCH(LEFT(MID('Industriesektor GWh'!$B4941,41,1000),SEARCH(" - ",MID('Industriesektor GWh'!$B4941,41,1000))-1),nrg_cb_e!$C$3:$C$40,0))</f>
        <v>FC_IND_NFM_E</v>
      </c>
      <c r="G4941" s="21">
        <v>4628</v>
      </c>
    </row>
    <row r="4942" spans="1:7" x14ac:dyDescent="0.2">
      <c r="A4942" s="16" t="s">
        <v>40</v>
      </c>
      <c r="B4942" s="17" t="s">
        <v>64</v>
      </c>
      <c r="C4942" s="17" t="s">
        <v>8</v>
      </c>
      <c r="D4942" s="17" t="s">
        <v>10</v>
      </c>
      <c r="E4942" s="17" t="s">
        <v>22</v>
      </c>
      <c r="F4942" s="17" t="str">
        <f>INDEX(nrg_cb_e!$A$3:$A$40,MATCH(LEFT(MID('Industriesektor GWh'!$B4942,41,1000),SEARCH(" - ",MID('Industriesektor GWh'!$B4942,41,1000))-1),nrg_cb_e!$C$3:$C$40,0))</f>
        <v>FC_IND_NFM_E</v>
      </c>
      <c r="G4942" s="18">
        <v>3825</v>
      </c>
    </row>
    <row r="4943" spans="1:7" x14ac:dyDescent="0.2">
      <c r="A4943" s="19" t="s">
        <v>40</v>
      </c>
      <c r="B4943" s="20" t="s">
        <v>64</v>
      </c>
      <c r="C4943" s="20" t="s">
        <v>8</v>
      </c>
      <c r="D4943" s="20" t="s">
        <v>10</v>
      </c>
      <c r="E4943" s="20" t="s">
        <v>23</v>
      </c>
      <c r="F4943" s="20" t="str">
        <f>INDEX(nrg_cb_e!$A$3:$A$40,MATCH(LEFT(MID('Industriesektor GWh'!$B4943,41,1000),SEARCH(" - ",MID('Industriesektor GWh'!$B4943,41,1000))-1),nrg_cb_e!$C$3:$C$40,0))</f>
        <v>FC_IND_NFM_E</v>
      </c>
      <c r="G4943" s="21">
        <v>2416</v>
      </c>
    </row>
    <row r="4944" spans="1:7" x14ac:dyDescent="0.2">
      <c r="A4944" s="16" t="s">
        <v>40</v>
      </c>
      <c r="B4944" s="17" t="s">
        <v>64</v>
      </c>
      <c r="C4944" s="17" t="s">
        <v>8</v>
      </c>
      <c r="D4944" s="17" t="s">
        <v>10</v>
      </c>
      <c r="E4944" s="17" t="s">
        <v>24</v>
      </c>
      <c r="F4944" s="17" t="str">
        <f>INDEX(nrg_cb_e!$A$3:$A$40,MATCH(LEFT(MID('Industriesektor GWh'!$B4944,41,1000),SEARCH(" - ",MID('Industriesektor GWh'!$B4944,41,1000))-1),nrg_cb_e!$C$3:$C$40,0))</f>
        <v>FC_IND_NFM_E</v>
      </c>
      <c r="G4944" s="18">
        <v>2522</v>
      </c>
    </row>
    <row r="4945" spans="1:7" x14ac:dyDescent="0.2">
      <c r="A4945" s="19" t="s">
        <v>40</v>
      </c>
      <c r="B4945" s="20" t="s">
        <v>64</v>
      </c>
      <c r="C4945" s="20" t="s">
        <v>8</v>
      </c>
      <c r="D4945" s="20" t="s">
        <v>10</v>
      </c>
      <c r="E4945" s="20" t="s">
        <v>25</v>
      </c>
      <c r="F4945" s="20" t="str">
        <f>INDEX(nrg_cb_e!$A$3:$A$40,MATCH(LEFT(MID('Industriesektor GWh'!$B4945,41,1000),SEARCH(" - ",MID('Industriesektor GWh'!$B4945,41,1000))-1),nrg_cb_e!$C$3:$C$40,0))</f>
        <v>FC_IND_NFM_E</v>
      </c>
      <c r="G4945" s="21">
        <v>2483</v>
      </c>
    </row>
    <row r="4946" spans="1:7" x14ac:dyDescent="0.2">
      <c r="A4946" s="16" t="s">
        <v>40</v>
      </c>
      <c r="B4946" s="17" t="s">
        <v>64</v>
      </c>
      <c r="C4946" s="17" t="s">
        <v>8</v>
      </c>
      <c r="D4946" s="17" t="s">
        <v>10</v>
      </c>
      <c r="E4946" s="17" t="s">
        <v>26</v>
      </c>
      <c r="F4946" s="17" t="str">
        <f>INDEX(nrg_cb_e!$A$3:$A$40,MATCH(LEFT(MID('Industriesektor GWh'!$B4946,41,1000),SEARCH(" - ",MID('Industriesektor GWh'!$B4946,41,1000))-1),nrg_cb_e!$C$3:$C$40,0))</f>
        <v>FC_IND_NFM_E</v>
      </c>
      <c r="G4946" s="18">
        <v>2477</v>
      </c>
    </row>
    <row r="4947" spans="1:7" x14ac:dyDescent="0.2">
      <c r="A4947" s="19" t="s">
        <v>40</v>
      </c>
      <c r="B4947" s="20" t="s">
        <v>64</v>
      </c>
      <c r="C4947" s="20" t="s">
        <v>8</v>
      </c>
      <c r="D4947" s="20" t="s">
        <v>10</v>
      </c>
      <c r="E4947" s="20" t="s">
        <v>27</v>
      </c>
      <c r="F4947" s="20" t="str">
        <f>INDEX(nrg_cb_e!$A$3:$A$40,MATCH(LEFT(MID('Industriesektor GWh'!$B4947,41,1000),SEARCH(" - ",MID('Industriesektor GWh'!$B4947,41,1000))-1),nrg_cb_e!$C$3:$C$40,0))</f>
        <v>FC_IND_NFM_E</v>
      </c>
      <c r="G4947" s="21">
        <v>2556.2249999999999</v>
      </c>
    </row>
    <row r="4948" spans="1:7" x14ac:dyDescent="0.2">
      <c r="A4948" s="16" t="s">
        <v>40</v>
      </c>
      <c r="B4948" s="17" t="s">
        <v>64</v>
      </c>
      <c r="C4948" s="17" t="s">
        <v>8</v>
      </c>
      <c r="D4948" s="17" t="s">
        <v>10</v>
      </c>
      <c r="E4948" s="17" t="s">
        <v>28</v>
      </c>
      <c r="F4948" s="17" t="str">
        <f>INDEX(nrg_cb_e!$A$3:$A$40,MATCH(LEFT(MID('Industriesektor GWh'!$B4948,41,1000),SEARCH(" - ",MID('Industriesektor GWh'!$B4948,41,1000))-1),nrg_cb_e!$C$3:$C$40,0))</f>
        <v>FC_IND_NFM_E</v>
      </c>
      <c r="G4948" s="18">
        <v>2528.1849999999999</v>
      </c>
    </row>
    <row r="4949" spans="1:7" x14ac:dyDescent="0.2">
      <c r="A4949" s="19" t="s">
        <v>41</v>
      </c>
      <c r="B4949" s="20" t="s">
        <v>64</v>
      </c>
      <c r="C4949" s="20" t="s">
        <v>8</v>
      </c>
      <c r="D4949" s="20" t="s">
        <v>10</v>
      </c>
      <c r="E4949" s="20" t="s">
        <v>12</v>
      </c>
      <c r="F4949" s="20" t="str">
        <f>INDEX(nrg_cb_e!$A$3:$A$40,MATCH(LEFT(MID('Industriesektor GWh'!$B4949,41,1000),SEARCH(" - ",MID('Industriesektor GWh'!$B4949,41,1000))-1),nrg_cb_e!$C$3:$C$40,0))</f>
        <v>FC_IND_NFM_E</v>
      </c>
      <c r="G4949" s="21">
        <v>0</v>
      </c>
    </row>
    <row r="4950" spans="1:7" x14ac:dyDescent="0.2">
      <c r="A4950" s="16" t="s">
        <v>41</v>
      </c>
      <c r="B4950" s="17" t="s">
        <v>64</v>
      </c>
      <c r="C4950" s="17" t="s">
        <v>8</v>
      </c>
      <c r="D4950" s="17" t="s">
        <v>10</v>
      </c>
      <c r="E4950" s="17" t="s">
        <v>13</v>
      </c>
      <c r="F4950" s="17" t="str">
        <f>INDEX(nrg_cb_e!$A$3:$A$40,MATCH(LEFT(MID('Industriesektor GWh'!$B4950,41,1000),SEARCH(" - ",MID('Industriesektor GWh'!$B4950,41,1000))-1),nrg_cb_e!$C$3:$C$40,0))</f>
        <v>FC_IND_NFM_E</v>
      </c>
      <c r="G4950" s="18">
        <v>0</v>
      </c>
    </row>
    <row r="4951" spans="1:7" x14ac:dyDescent="0.2">
      <c r="A4951" s="19" t="s">
        <v>41</v>
      </c>
      <c r="B4951" s="20" t="s">
        <v>64</v>
      </c>
      <c r="C4951" s="20" t="s">
        <v>8</v>
      </c>
      <c r="D4951" s="20" t="s">
        <v>10</v>
      </c>
      <c r="E4951" s="20" t="s">
        <v>14</v>
      </c>
      <c r="F4951" s="20" t="str">
        <f>INDEX(nrg_cb_e!$A$3:$A$40,MATCH(LEFT(MID('Industriesektor GWh'!$B4951,41,1000),SEARCH(" - ",MID('Industriesektor GWh'!$B4951,41,1000))-1),nrg_cb_e!$C$3:$C$40,0))</f>
        <v>FC_IND_NFM_E</v>
      </c>
      <c r="G4951" s="21">
        <v>0</v>
      </c>
    </row>
    <row r="4952" spans="1:7" x14ac:dyDescent="0.2">
      <c r="A4952" s="16" t="s">
        <v>41</v>
      </c>
      <c r="B4952" s="17" t="s">
        <v>64</v>
      </c>
      <c r="C4952" s="17" t="s">
        <v>8</v>
      </c>
      <c r="D4952" s="17" t="s">
        <v>10</v>
      </c>
      <c r="E4952" s="17" t="s">
        <v>15</v>
      </c>
      <c r="F4952" s="17" t="str">
        <f>INDEX(nrg_cb_e!$A$3:$A$40,MATCH(LEFT(MID('Industriesektor GWh'!$B4952,41,1000),SEARCH(" - ",MID('Industriesektor GWh'!$B4952,41,1000))-1),nrg_cb_e!$C$3:$C$40,0))</f>
        <v>FC_IND_NFM_E</v>
      </c>
      <c r="G4952" s="18">
        <v>0</v>
      </c>
    </row>
    <row r="4953" spans="1:7" x14ac:dyDescent="0.2">
      <c r="A4953" s="19" t="s">
        <v>41</v>
      </c>
      <c r="B4953" s="20" t="s">
        <v>64</v>
      </c>
      <c r="C4953" s="20" t="s">
        <v>8</v>
      </c>
      <c r="D4953" s="20" t="s">
        <v>10</v>
      </c>
      <c r="E4953" s="20" t="s">
        <v>16</v>
      </c>
      <c r="F4953" s="20" t="str">
        <f>INDEX(nrg_cb_e!$A$3:$A$40,MATCH(LEFT(MID('Industriesektor GWh'!$B4953,41,1000),SEARCH(" - ",MID('Industriesektor GWh'!$B4953,41,1000))-1),nrg_cb_e!$C$3:$C$40,0))</f>
        <v>FC_IND_NFM_E</v>
      </c>
      <c r="G4953" s="21">
        <v>0</v>
      </c>
    </row>
    <row r="4954" spans="1:7" x14ac:dyDescent="0.2">
      <c r="A4954" s="16" t="s">
        <v>41</v>
      </c>
      <c r="B4954" s="17" t="s">
        <v>64</v>
      </c>
      <c r="C4954" s="17" t="s">
        <v>8</v>
      </c>
      <c r="D4954" s="17" t="s">
        <v>10</v>
      </c>
      <c r="E4954" s="17" t="s">
        <v>17</v>
      </c>
      <c r="F4954" s="17" t="str">
        <f>INDEX(nrg_cb_e!$A$3:$A$40,MATCH(LEFT(MID('Industriesektor GWh'!$B4954,41,1000),SEARCH(" - ",MID('Industriesektor GWh'!$B4954,41,1000))-1),nrg_cb_e!$C$3:$C$40,0))</f>
        <v>FC_IND_NFM_E</v>
      </c>
      <c r="G4954" s="18">
        <v>0</v>
      </c>
    </row>
    <row r="4955" spans="1:7" x14ac:dyDescent="0.2">
      <c r="A4955" s="19" t="s">
        <v>41</v>
      </c>
      <c r="B4955" s="20" t="s">
        <v>64</v>
      </c>
      <c r="C4955" s="20" t="s">
        <v>8</v>
      </c>
      <c r="D4955" s="20" t="s">
        <v>10</v>
      </c>
      <c r="E4955" s="20" t="s">
        <v>18</v>
      </c>
      <c r="F4955" s="20" t="str">
        <f>INDEX(nrg_cb_e!$A$3:$A$40,MATCH(LEFT(MID('Industriesektor GWh'!$B4955,41,1000),SEARCH(" - ",MID('Industriesektor GWh'!$B4955,41,1000))-1),nrg_cb_e!$C$3:$C$40,0))</f>
        <v>FC_IND_NFM_E</v>
      </c>
      <c r="G4955" s="21">
        <v>0</v>
      </c>
    </row>
    <row r="4956" spans="1:7" x14ac:dyDescent="0.2">
      <c r="A4956" s="16" t="s">
        <v>41</v>
      </c>
      <c r="B4956" s="17" t="s">
        <v>64</v>
      </c>
      <c r="C4956" s="17" t="s">
        <v>8</v>
      </c>
      <c r="D4956" s="17" t="s">
        <v>10</v>
      </c>
      <c r="E4956" s="17" t="s">
        <v>19</v>
      </c>
      <c r="F4956" s="17" t="str">
        <f>INDEX(nrg_cb_e!$A$3:$A$40,MATCH(LEFT(MID('Industriesektor GWh'!$B4956,41,1000),SEARCH(" - ",MID('Industriesektor GWh'!$B4956,41,1000))-1),nrg_cb_e!$C$3:$C$40,0))</f>
        <v>FC_IND_NFM_E</v>
      </c>
      <c r="G4956" s="18">
        <v>0</v>
      </c>
    </row>
    <row r="4957" spans="1:7" x14ac:dyDescent="0.2">
      <c r="A4957" s="19" t="s">
        <v>41</v>
      </c>
      <c r="B4957" s="20" t="s">
        <v>64</v>
      </c>
      <c r="C4957" s="20" t="s">
        <v>8</v>
      </c>
      <c r="D4957" s="20" t="s">
        <v>10</v>
      </c>
      <c r="E4957" s="20" t="s">
        <v>20</v>
      </c>
      <c r="F4957" s="20" t="str">
        <f>INDEX(nrg_cb_e!$A$3:$A$40,MATCH(LEFT(MID('Industriesektor GWh'!$B4957,41,1000),SEARCH(" - ",MID('Industriesektor GWh'!$B4957,41,1000))-1),nrg_cb_e!$C$3:$C$40,0))</f>
        <v>FC_IND_NFM_E</v>
      </c>
      <c r="G4957" s="21">
        <v>0</v>
      </c>
    </row>
    <row r="4958" spans="1:7" x14ac:dyDescent="0.2">
      <c r="A4958" s="16" t="s">
        <v>41</v>
      </c>
      <c r="B4958" s="17" t="s">
        <v>64</v>
      </c>
      <c r="C4958" s="17" t="s">
        <v>8</v>
      </c>
      <c r="D4958" s="17" t="s">
        <v>10</v>
      </c>
      <c r="E4958" s="17" t="s">
        <v>21</v>
      </c>
      <c r="F4958" s="17" t="str">
        <f>INDEX(nrg_cb_e!$A$3:$A$40,MATCH(LEFT(MID('Industriesektor GWh'!$B4958,41,1000),SEARCH(" - ",MID('Industriesektor GWh'!$B4958,41,1000))-1),nrg_cb_e!$C$3:$C$40,0))</f>
        <v>FC_IND_NFM_E</v>
      </c>
      <c r="G4958" s="18">
        <v>0</v>
      </c>
    </row>
    <row r="4959" spans="1:7" x14ac:dyDescent="0.2">
      <c r="A4959" s="19" t="s">
        <v>41</v>
      </c>
      <c r="B4959" s="20" t="s">
        <v>64</v>
      </c>
      <c r="C4959" s="20" t="s">
        <v>8</v>
      </c>
      <c r="D4959" s="20" t="s">
        <v>10</v>
      </c>
      <c r="E4959" s="20" t="s">
        <v>22</v>
      </c>
      <c r="F4959" s="20" t="str">
        <f>INDEX(nrg_cb_e!$A$3:$A$40,MATCH(LEFT(MID('Industriesektor GWh'!$B4959,41,1000),SEARCH(" - ",MID('Industriesektor GWh'!$B4959,41,1000))-1),nrg_cb_e!$C$3:$C$40,0))</f>
        <v>FC_IND_NFM_E</v>
      </c>
      <c r="G4959" s="21">
        <v>0</v>
      </c>
    </row>
    <row r="4960" spans="1:7" x14ac:dyDescent="0.2">
      <c r="A4960" s="16" t="s">
        <v>41</v>
      </c>
      <c r="B4960" s="17" t="s">
        <v>64</v>
      </c>
      <c r="C4960" s="17" t="s">
        <v>8</v>
      </c>
      <c r="D4960" s="17" t="s">
        <v>10</v>
      </c>
      <c r="E4960" s="17" t="s">
        <v>23</v>
      </c>
      <c r="F4960" s="17" t="str">
        <f>INDEX(nrg_cb_e!$A$3:$A$40,MATCH(LEFT(MID('Industriesektor GWh'!$B4960,41,1000),SEARCH(" - ",MID('Industriesektor GWh'!$B4960,41,1000))-1),nrg_cb_e!$C$3:$C$40,0))</f>
        <v>FC_IND_NFM_E</v>
      </c>
      <c r="G4960" s="18">
        <v>0</v>
      </c>
    </row>
    <row r="4961" spans="1:7" x14ac:dyDescent="0.2">
      <c r="A4961" s="19" t="s">
        <v>41</v>
      </c>
      <c r="B4961" s="20" t="s">
        <v>64</v>
      </c>
      <c r="C4961" s="20" t="s">
        <v>8</v>
      </c>
      <c r="D4961" s="20" t="s">
        <v>10</v>
      </c>
      <c r="E4961" s="20" t="s">
        <v>24</v>
      </c>
      <c r="F4961" s="20" t="str">
        <f>INDEX(nrg_cb_e!$A$3:$A$40,MATCH(LEFT(MID('Industriesektor GWh'!$B4961,41,1000),SEARCH(" - ",MID('Industriesektor GWh'!$B4961,41,1000))-1),nrg_cb_e!$C$3:$C$40,0))</f>
        <v>FC_IND_NFM_E</v>
      </c>
      <c r="G4961" s="21">
        <v>0</v>
      </c>
    </row>
    <row r="4962" spans="1:7" x14ac:dyDescent="0.2">
      <c r="A4962" s="16" t="s">
        <v>41</v>
      </c>
      <c r="B4962" s="17" t="s">
        <v>64</v>
      </c>
      <c r="C4962" s="17" t="s">
        <v>8</v>
      </c>
      <c r="D4962" s="17" t="s">
        <v>10</v>
      </c>
      <c r="E4962" s="17" t="s">
        <v>25</v>
      </c>
      <c r="F4962" s="17" t="str">
        <f>INDEX(nrg_cb_e!$A$3:$A$40,MATCH(LEFT(MID('Industriesektor GWh'!$B4962,41,1000),SEARCH(" - ",MID('Industriesektor GWh'!$B4962,41,1000))-1),nrg_cb_e!$C$3:$C$40,0))</f>
        <v>FC_IND_NFM_E</v>
      </c>
      <c r="G4962" s="18">
        <v>0</v>
      </c>
    </row>
    <row r="4963" spans="1:7" x14ac:dyDescent="0.2">
      <c r="A4963" s="19" t="s">
        <v>41</v>
      </c>
      <c r="B4963" s="20" t="s">
        <v>64</v>
      </c>
      <c r="C4963" s="20" t="s">
        <v>8</v>
      </c>
      <c r="D4963" s="20" t="s">
        <v>10</v>
      </c>
      <c r="E4963" s="20" t="s">
        <v>26</v>
      </c>
      <c r="F4963" s="20" t="str">
        <f>INDEX(nrg_cb_e!$A$3:$A$40,MATCH(LEFT(MID('Industriesektor GWh'!$B4963,41,1000),SEARCH(" - ",MID('Industriesektor GWh'!$B4963,41,1000))-1),nrg_cb_e!$C$3:$C$40,0))</f>
        <v>FC_IND_NFM_E</v>
      </c>
      <c r="G4963" s="21">
        <v>0</v>
      </c>
    </row>
    <row r="4964" spans="1:7" x14ac:dyDescent="0.2">
      <c r="A4964" s="16" t="s">
        <v>41</v>
      </c>
      <c r="B4964" s="17" t="s">
        <v>64</v>
      </c>
      <c r="C4964" s="17" t="s">
        <v>8</v>
      </c>
      <c r="D4964" s="17" t="s">
        <v>10</v>
      </c>
      <c r="E4964" s="17" t="s">
        <v>27</v>
      </c>
      <c r="F4964" s="17" t="str">
        <f>INDEX(nrg_cb_e!$A$3:$A$40,MATCH(LEFT(MID('Industriesektor GWh'!$B4964,41,1000),SEARCH(" - ",MID('Industriesektor GWh'!$B4964,41,1000))-1),nrg_cb_e!$C$3:$C$40,0))</f>
        <v>FC_IND_NFM_E</v>
      </c>
      <c r="G4964" s="18">
        <v>0</v>
      </c>
    </row>
    <row r="4965" spans="1:7" x14ac:dyDescent="0.2">
      <c r="A4965" s="19" t="s">
        <v>41</v>
      </c>
      <c r="B4965" s="20" t="s">
        <v>64</v>
      </c>
      <c r="C4965" s="20" t="s">
        <v>8</v>
      </c>
      <c r="D4965" s="20" t="s">
        <v>10</v>
      </c>
      <c r="E4965" s="20" t="s">
        <v>28</v>
      </c>
      <c r="F4965" s="20" t="str">
        <f>INDEX(nrg_cb_e!$A$3:$A$40,MATCH(LEFT(MID('Industriesektor GWh'!$B4965,41,1000),SEARCH(" - ",MID('Industriesektor GWh'!$B4965,41,1000))-1),nrg_cb_e!$C$3:$C$40,0))</f>
        <v>FC_IND_NFM_E</v>
      </c>
      <c r="G4965" s="21">
        <v>0</v>
      </c>
    </row>
    <row r="4966" spans="1:7" x14ac:dyDescent="0.2">
      <c r="A4966" s="16" t="s">
        <v>42</v>
      </c>
      <c r="B4966" s="17" t="s">
        <v>64</v>
      </c>
      <c r="C4966" s="17" t="s">
        <v>8</v>
      </c>
      <c r="D4966" s="17" t="s">
        <v>10</v>
      </c>
      <c r="E4966" s="17" t="s">
        <v>12</v>
      </c>
      <c r="F4966" s="17" t="str">
        <f>INDEX(nrg_cb_e!$A$3:$A$40,MATCH(LEFT(MID('Industriesektor GWh'!$B4966,41,1000),SEARCH(" - ",MID('Industriesektor GWh'!$B4966,41,1000))-1),nrg_cb_e!$C$3:$C$40,0))</f>
        <v>FC_IND_NFM_E</v>
      </c>
      <c r="G4966" s="18">
        <v>3</v>
      </c>
    </row>
    <row r="4967" spans="1:7" x14ac:dyDescent="0.2">
      <c r="A4967" s="19" t="s">
        <v>42</v>
      </c>
      <c r="B4967" s="20" t="s">
        <v>64</v>
      </c>
      <c r="C4967" s="20" t="s">
        <v>8</v>
      </c>
      <c r="D4967" s="20" t="s">
        <v>10</v>
      </c>
      <c r="E4967" s="20" t="s">
        <v>13</v>
      </c>
      <c r="F4967" s="20" t="str">
        <f>INDEX(nrg_cb_e!$A$3:$A$40,MATCH(LEFT(MID('Industriesektor GWh'!$B4967,41,1000),SEARCH(" - ",MID('Industriesektor GWh'!$B4967,41,1000))-1),nrg_cb_e!$C$3:$C$40,0))</f>
        <v>FC_IND_NFM_E</v>
      </c>
      <c r="G4967" s="21">
        <v>3</v>
      </c>
    </row>
    <row r="4968" spans="1:7" x14ac:dyDescent="0.2">
      <c r="A4968" s="16" t="s">
        <v>42</v>
      </c>
      <c r="B4968" s="17" t="s">
        <v>64</v>
      </c>
      <c r="C4968" s="17" t="s">
        <v>8</v>
      </c>
      <c r="D4968" s="17" t="s">
        <v>10</v>
      </c>
      <c r="E4968" s="17" t="s">
        <v>14</v>
      </c>
      <c r="F4968" s="17" t="str">
        <f>INDEX(nrg_cb_e!$A$3:$A$40,MATCH(LEFT(MID('Industriesektor GWh'!$B4968,41,1000),SEARCH(" - ",MID('Industriesektor GWh'!$B4968,41,1000))-1),nrg_cb_e!$C$3:$C$40,0))</f>
        <v>FC_IND_NFM_E</v>
      </c>
      <c r="G4968" s="18">
        <v>3</v>
      </c>
    </row>
    <row r="4969" spans="1:7" x14ac:dyDescent="0.2">
      <c r="A4969" s="19" t="s">
        <v>42</v>
      </c>
      <c r="B4969" s="20" t="s">
        <v>64</v>
      </c>
      <c r="C4969" s="20" t="s">
        <v>8</v>
      </c>
      <c r="D4969" s="20" t="s">
        <v>10</v>
      </c>
      <c r="E4969" s="20" t="s">
        <v>15</v>
      </c>
      <c r="F4969" s="20" t="str">
        <f>INDEX(nrg_cb_e!$A$3:$A$40,MATCH(LEFT(MID('Industriesektor GWh'!$B4969,41,1000),SEARCH(" - ",MID('Industriesektor GWh'!$B4969,41,1000))-1),nrg_cb_e!$C$3:$C$40,0))</f>
        <v>FC_IND_NFM_E</v>
      </c>
      <c r="G4969" s="21">
        <v>3</v>
      </c>
    </row>
    <row r="4970" spans="1:7" x14ac:dyDescent="0.2">
      <c r="A4970" s="16" t="s">
        <v>42</v>
      </c>
      <c r="B4970" s="17" t="s">
        <v>64</v>
      </c>
      <c r="C4970" s="17" t="s">
        <v>8</v>
      </c>
      <c r="D4970" s="17" t="s">
        <v>10</v>
      </c>
      <c r="E4970" s="17" t="s">
        <v>16</v>
      </c>
      <c r="F4970" s="17" t="str">
        <f>INDEX(nrg_cb_e!$A$3:$A$40,MATCH(LEFT(MID('Industriesektor GWh'!$B4970,41,1000),SEARCH(" - ",MID('Industriesektor GWh'!$B4970,41,1000))-1),nrg_cb_e!$C$3:$C$40,0))</f>
        <v>FC_IND_NFM_E</v>
      </c>
      <c r="G4970" s="18">
        <v>2</v>
      </c>
    </row>
    <row r="4971" spans="1:7" x14ac:dyDescent="0.2">
      <c r="A4971" s="19" t="s">
        <v>42</v>
      </c>
      <c r="B4971" s="20" t="s">
        <v>64</v>
      </c>
      <c r="C4971" s="20" t="s">
        <v>8</v>
      </c>
      <c r="D4971" s="20" t="s">
        <v>10</v>
      </c>
      <c r="E4971" s="20" t="s">
        <v>17</v>
      </c>
      <c r="F4971" s="20" t="str">
        <f>INDEX(nrg_cb_e!$A$3:$A$40,MATCH(LEFT(MID('Industriesektor GWh'!$B4971,41,1000),SEARCH(" - ",MID('Industriesektor GWh'!$B4971,41,1000))-1),nrg_cb_e!$C$3:$C$40,0))</f>
        <v>FC_IND_NFM_E</v>
      </c>
      <c r="G4971" s="21">
        <v>2</v>
      </c>
    </row>
    <row r="4972" spans="1:7" x14ac:dyDescent="0.2">
      <c r="A4972" s="16" t="s">
        <v>42</v>
      </c>
      <c r="B4972" s="17" t="s">
        <v>64</v>
      </c>
      <c r="C4972" s="17" t="s">
        <v>8</v>
      </c>
      <c r="D4972" s="17" t="s">
        <v>10</v>
      </c>
      <c r="E4972" s="17" t="s">
        <v>18</v>
      </c>
      <c r="F4972" s="17" t="str">
        <f>INDEX(nrg_cb_e!$A$3:$A$40,MATCH(LEFT(MID('Industriesektor GWh'!$B4972,41,1000),SEARCH(" - ",MID('Industriesektor GWh'!$B4972,41,1000))-1),nrg_cb_e!$C$3:$C$40,0))</f>
        <v>FC_IND_NFM_E</v>
      </c>
      <c r="G4972" s="18">
        <v>1</v>
      </c>
    </row>
    <row r="4973" spans="1:7" x14ac:dyDescent="0.2">
      <c r="A4973" s="19" t="s">
        <v>42</v>
      </c>
      <c r="B4973" s="20" t="s">
        <v>64</v>
      </c>
      <c r="C4973" s="20" t="s">
        <v>8</v>
      </c>
      <c r="D4973" s="20" t="s">
        <v>10</v>
      </c>
      <c r="E4973" s="20" t="s">
        <v>19</v>
      </c>
      <c r="F4973" s="20" t="str">
        <f>INDEX(nrg_cb_e!$A$3:$A$40,MATCH(LEFT(MID('Industriesektor GWh'!$B4973,41,1000),SEARCH(" - ",MID('Industriesektor GWh'!$B4973,41,1000))-1),nrg_cb_e!$C$3:$C$40,0))</f>
        <v>FC_IND_NFM_E</v>
      </c>
      <c r="G4973" s="21">
        <v>1</v>
      </c>
    </row>
    <row r="4974" spans="1:7" x14ac:dyDescent="0.2">
      <c r="A4974" s="16" t="s">
        <v>42</v>
      </c>
      <c r="B4974" s="17" t="s">
        <v>64</v>
      </c>
      <c r="C4974" s="17" t="s">
        <v>8</v>
      </c>
      <c r="D4974" s="17" t="s">
        <v>10</v>
      </c>
      <c r="E4974" s="17" t="s">
        <v>20</v>
      </c>
      <c r="F4974" s="17" t="str">
        <f>INDEX(nrg_cb_e!$A$3:$A$40,MATCH(LEFT(MID('Industriesektor GWh'!$B4974,41,1000),SEARCH(" - ",MID('Industriesektor GWh'!$B4974,41,1000))-1),nrg_cb_e!$C$3:$C$40,0))</f>
        <v>FC_IND_NFM_E</v>
      </c>
      <c r="G4974" s="18">
        <v>1</v>
      </c>
    </row>
    <row r="4975" spans="1:7" x14ac:dyDescent="0.2">
      <c r="A4975" s="19" t="s">
        <v>42</v>
      </c>
      <c r="B4975" s="20" t="s">
        <v>64</v>
      </c>
      <c r="C4975" s="20" t="s">
        <v>8</v>
      </c>
      <c r="D4975" s="20" t="s">
        <v>10</v>
      </c>
      <c r="E4975" s="20" t="s">
        <v>21</v>
      </c>
      <c r="F4975" s="20" t="str">
        <f>INDEX(nrg_cb_e!$A$3:$A$40,MATCH(LEFT(MID('Industriesektor GWh'!$B4975,41,1000),SEARCH(" - ",MID('Industriesektor GWh'!$B4975,41,1000))-1),nrg_cb_e!$C$3:$C$40,0))</f>
        <v>FC_IND_NFM_E</v>
      </c>
      <c r="G4975" s="21">
        <v>2</v>
      </c>
    </row>
    <row r="4976" spans="1:7" x14ac:dyDescent="0.2">
      <c r="A4976" s="16" t="s">
        <v>42</v>
      </c>
      <c r="B4976" s="17" t="s">
        <v>64</v>
      </c>
      <c r="C4976" s="17" t="s">
        <v>8</v>
      </c>
      <c r="D4976" s="17" t="s">
        <v>10</v>
      </c>
      <c r="E4976" s="17" t="s">
        <v>22</v>
      </c>
      <c r="F4976" s="17" t="str">
        <f>INDEX(nrg_cb_e!$A$3:$A$40,MATCH(LEFT(MID('Industriesektor GWh'!$B4976,41,1000),SEARCH(" - ",MID('Industriesektor GWh'!$B4976,41,1000))-1),nrg_cb_e!$C$3:$C$40,0))</f>
        <v>FC_IND_NFM_E</v>
      </c>
      <c r="G4976" s="18">
        <v>2</v>
      </c>
    </row>
    <row r="4977" spans="1:7" x14ac:dyDescent="0.2">
      <c r="A4977" s="19" t="s">
        <v>42</v>
      </c>
      <c r="B4977" s="20" t="s">
        <v>64</v>
      </c>
      <c r="C4977" s="20" t="s">
        <v>8</v>
      </c>
      <c r="D4977" s="20" t="s">
        <v>10</v>
      </c>
      <c r="E4977" s="20" t="s">
        <v>23</v>
      </c>
      <c r="F4977" s="20" t="str">
        <f>INDEX(nrg_cb_e!$A$3:$A$40,MATCH(LEFT(MID('Industriesektor GWh'!$B4977,41,1000),SEARCH(" - ",MID('Industriesektor GWh'!$B4977,41,1000))-1),nrg_cb_e!$C$3:$C$40,0))</f>
        <v>FC_IND_NFM_E</v>
      </c>
      <c r="G4977" s="21">
        <v>1</v>
      </c>
    </row>
    <row r="4978" spans="1:7" x14ac:dyDescent="0.2">
      <c r="A4978" s="16" t="s">
        <v>42</v>
      </c>
      <c r="B4978" s="17" t="s">
        <v>64</v>
      </c>
      <c r="C4978" s="17" t="s">
        <v>8</v>
      </c>
      <c r="D4978" s="17" t="s">
        <v>10</v>
      </c>
      <c r="E4978" s="17" t="s">
        <v>24</v>
      </c>
      <c r="F4978" s="17" t="str">
        <f>INDEX(nrg_cb_e!$A$3:$A$40,MATCH(LEFT(MID('Industriesektor GWh'!$B4978,41,1000),SEARCH(" - ",MID('Industriesektor GWh'!$B4978,41,1000))-1),nrg_cb_e!$C$3:$C$40,0))</f>
        <v>FC_IND_NFM_E</v>
      </c>
      <c r="G4978" s="18">
        <v>1</v>
      </c>
    </row>
    <row r="4979" spans="1:7" x14ac:dyDescent="0.2">
      <c r="A4979" s="19" t="s">
        <v>42</v>
      </c>
      <c r="B4979" s="20" t="s">
        <v>64</v>
      </c>
      <c r="C4979" s="20" t="s">
        <v>8</v>
      </c>
      <c r="D4979" s="20" t="s">
        <v>10</v>
      </c>
      <c r="E4979" s="20" t="s">
        <v>25</v>
      </c>
      <c r="F4979" s="20" t="str">
        <f>INDEX(nrg_cb_e!$A$3:$A$40,MATCH(LEFT(MID('Industriesektor GWh'!$B4979,41,1000),SEARCH(" - ",MID('Industriesektor GWh'!$B4979,41,1000))-1),nrg_cb_e!$C$3:$C$40,0))</f>
        <v>FC_IND_NFM_E</v>
      </c>
      <c r="G4979" s="21">
        <v>0</v>
      </c>
    </row>
    <row r="4980" spans="1:7" x14ac:dyDescent="0.2">
      <c r="A4980" s="16" t="s">
        <v>42</v>
      </c>
      <c r="B4980" s="17" t="s">
        <v>64</v>
      </c>
      <c r="C4980" s="17" t="s">
        <v>8</v>
      </c>
      <c r="D4980" s="17" t="s">
        <v>10</v>
      </c>
      <c r="E4980" s="17" t="s">
        <v>26</v>
      </c>
      <c r="F4980" s="17" t="str">
        <f>INDEX(nrg_cb_e!$A$3:$A$40,MATCH(LEFT(MID('Industriesektor GWh'!$B4980,41,1000),SEARCH(" - ",MID('Industriesektor GWh'!$B4980,41,1000))-1),nrg_cb_e!$C$3:$C$40,0))</f>
        <v>FC_IND_NFM_E</v>
      </c>
      <c r="G4980" s="18">
        <v>0</v>
      </c>
    </row>
    <row r="4981" spans="1:7" x14ac:dyDescent="0.2">
      <c r="A4981" s="19" t="s">
        <v>42</v>
      </c>
      <c r="B4981" s="20" t="s">
        <v>64</v>
      </c>
      <c r="C4981" s="20" t="s">
        <v>8</v>
      </c>
      <c r="D4981" s="20" t="s">
        <v>10</v>
      </c>
      <c r="E4981" s="20" t="s">
        <v>27</v>
      </c>
      <c r="F4981" s="20" t="str">
        <f>INDEX(nrg_cb_e!$A$3:$A$40,MATCH(LEFT(MID('Industriesektor GWh'!$B4981,41,1000),SEARCH(" - ",MID('Industriesektor GWh'!$B4981,41,1000))-1),nrg_cb_e!$C$3:$C$40,0))</f>
        <v>FC_IND_NFM_E</v>
      </c>
      <c r="G4981" s="21">
        <v>4.867</v>
      </c>
    </row>
    <row r="4982" spans="1:7" x14ac:dyDescent="0.2">
      <c r="A4982" s="16" t="s">
        <v>42</v>
      </c>
      <c r="B4982" s="17" t="s">
        <v>64</v>
      </c>
      <c r="C4982" s="17" t="s">
        <v>8</v>
      </c>
      <c r="D4982" s="17" t="s">
        <v>10</v>
      </c>
      <c r="E4982" s="17" t="s">
        <v>28</v>
      </c>
      <c r="F4982" s="17" t="str">
        <f>INDEX(nrg_cb_e!$A$3:$A$40,MATCH(LEFT(MID('Industriesektor GWh'!$B4982,41,1000),SEARCH(" - ",MID('Industriesektor GWh'!$B4982,41,1000))-1),nrg_cb_e!$C$3:$C$40,0))</f>
        <v>FC_IND_NFM_E</v>
      </c>
      <c r="G4982" s="18">
        <v>5.0039999999999996</v>
      </c>
    </row>
    <row r="4983" spans="1:7" x14ac:dyDescent="0.2">
      <c r="A4983" s="19" t="s">
        <v>43</v>
      </c>
      <c r="B4983" s="20" t="s">
        <v>64</v>
      </c>
      <c r="C4983" s="20" t="s">
        <v>8</v>
      </c>
      <c r="D4983" s="20" t="s">
        <v>10</v>
      </c>
      <c r="E4983" s="20" t="s">
        <v>12</v>
      </c>
      <c r="F4983" s="20" t="str">
        <f>INDEX(nrg_cb_e!$A$3:$A$40,MATCH(LEFT(MID('Industriesektor GWh'!$B4983,41,1000),SEARCH(" - ",MID('Industriesektor GWh'!$B4983,41,1000))-1),nrg_cb_e!$C$3:$C$40,0))</f>
        <v>FC_IND_NFM_E</v>
      </c>
      <c r="G4983" s="21">
        <v>0</v>
      </c>
    </row>
    <row r="4984" spans="1:7" x14ac:dyDescent="0.2">
      <c r="A4984" s="16" t="s">
        <v>43</v>
      </c>
      <c r="B4984" s="17" t="s">
        <v>64</v>
      </c>
      <c r="C4984" s="17" t="s">
        <v>8</v>
      </c>
      <c r="D4984" s="17" t="s">
        <v>10</v>
      </c>
      <c r="E4984" s="17" t="s">
        <v>13</v>
      </c>
      <c r="F4984" s="17" t="str">
        <f>INDEX(nrg_cb_e!$A$3:$A$40,MATCH(LEFT(MID('Industriesektor GWh'!$B4984,41,1000),SEARCH(" - ",MID('Industriesektor GWh'!$B4984,41,1000))-1),nrg_cb_e!$C$3:$C$40,0))</f>
        <v>FC_IND_NFM_E</v>
      </c>
      <c r="G4984" s="18">
        <v>0</v>
      </c>
    </row>
    <row r="4985" spans="1:7" x14ac:dyDescent="0.2">
      <c r="A4985" s="19" t="s">
        <v>43</v>
      </c>
      <c r="B4985" s="20" t="s">
        <v>64</v>
      </c>
      <c r="C4985" s="20" t="s">
        <v>8</v>
      </c>
      <c r="D4985" s="20" t="s">
        <v>10</v>
      </c>
      <c r="E4985" s="20" t="s">
        <v>14</v>
      </c>
      <c r="F4985" s="20" t="str">
        <f>INDEX(nrg_cb_e!$A$3:$A$40,MATCH(LEFT(MID('Industriesektor GWh'!$B4985,41,1000),SEARCH(" - ",MID('Industriesektor GWh'!$B4985,41,1000))-1),nrg_cb_e!$C$3:$C$40,0))</f>
        <v>FC_IND_NFM_E</v>
      </c>
      <c r="G4985" s="21">
        <v>0</v>
      </c>
    </row>
    <row r="4986" spans="1:7" x14ac:dyDescent="0.2">
      <c r="A4986" s="16" t="s">
        <v>43</v>
      </c>
      <c r="B4986" s="17" t="s">
        <v>64</v>
      </c>
      <c r="C4986" s="17" t="s">
        <v>8</v>
      </c>
      <c r="D4986" s="17" t="s">
        <v>10</v>
      </c>
      <c r="E4986" s="17" t="s">
        <v>15</v>
      </c>
      <c r="F4986" s="17" t="str">
        <f>INDEX(nrg_cb_e!$A$3:$A$40,MATCH(LEFT(MID('Industriesektor GWh'!$B4986,41,1000),SEARCH(" - ",MID('Industriesektor GWh'!$B4986,41,1000))-1),nrg_cb_e!$C$3:$C$40,0))</f>
        <v>FC_IND_NFM_E</v>
      </c>
      <c r="G4986" s="18">
        <v>0</v>
      </c>
    </row>
    <row r="4987" spans="1:7" x14ac:dyDescent="0.2">
      <c r="A4987" s="19" t="s">
        <v>43</v>
      </c>
      <c r="B4987" s="20" t="s">
        <v>64</v>
      </c>
      <c r="C4987" s="20" t="s">
        <v>8</v>
      </c>
      <c r="D4987" s="20" t="s">
        <v>10</v>
      </c>
      <c r="E4987" s="20" t="s">
        <v>16</v>
      </c>
      <c r="F4987" s="20" t="str">
        <f>INDEX(nrg_cb_e!$A$3:$A$40,MATCH(LEFT(MID('Industriesektor GWh'!$B4987,41,1000),SEARCH(" - ",MID('Industriesektor GWh'!$B4987,41,1000))-1),nrg_cb_e!$C$3:$C$40,0))</f>
        <v>FC_IND_NFM_E</v>
      </c>
      <c r="G4987" s="21">
        <v>0</v>
      </c>
    </row>
    <row r="4988" spans="1:7" x14ac:dyDescent="0.2">
      <c r="A4988" s="16" t="s">
        <v>43</v>
      </c>
      <c r="B4988" s="17" t="s">
        <v>64</v>
      </c>
      <c r="C4988" s="17" t="s">
        <v>8</v>
      </c>
      <c r="D4988" s="17" t="s">
        <v>10</v>
      </c>
      <c r="E4988" s="17" t="s">
        <v>17</v>
      </c>
      <c r="F4988" s="17" t="str">
        <f>INDEX(nrg_cb_e!$A$3:$A$40,MATCH(LEFT(MID('Industriesektor GWh'!$B4988,41,1000),SEARCH(" - ",MID('Industriesektor GWh'!$B4988,41,1000))-1),nrg_cb_e!$C$3:$C$40,0))</f>
        <v>FC_IND_NFM_E</v>
      </c>
      <c r="G4988" s="18">
        <v>0</v>
      </c>
    </row>
    <row r="4989" spans="1:7" x14ac:dyDescent="0.2">
      <c r="A4989" s="19" t="s">
        <v>43</v>
      </c>
      <c r="B4989" s="20" t="s">
        <v>64</v>
      </c>
      <c r="C4989" s="20" t="s">
        <v>8</v>
      </c>
      <c r="D4989" s="20" t="s">
        <v>10</v>
      </c>
      <c r="E4989" s="20" t="s">
        <v>18</v>
      </c>
      <c r="F4989" s="20" t="str">
        <f>INDEX(nrg_cb_e!$A$3:$A$40,MATCH(LEFT(MID('Industriesektor GWh'!$B4989,41,1000),SEARCH(" - ",MID('Industriesektor GWh'!$B4989,41,1000))-1),nrg_cb_e!$C$3:$C$40,0))</f>
        <v>FC_IND_NFM_E</v>
      </c>
      <c r="G4989" s="21">
        <v>0</v>
      </c>
    </row>
    <row r="4990" spans="1:7" x14ac:dyDescent="0.2">
      <c r="A4990" s="16" t="s">
        <v>43</v>
      </c>
      <c r="B4990" s="17" t="s">
        <v>64</v>
      </c>
      <c r="C4990" s="17" t="s">
        <v>8</v>
      </c>
      <c r="D4990" s="17" t="s">
        <v>10</v>
      </c>
      <c r="E4990" s="17" t="s">
        <v>19</v>
      </c>
      <c r="F4990" s="17" t="str">
        <f>INDEX(nrg_cb_e!$A$3:$A$40,MATCH(LEFT(MID('Industriesektor GWh'!$B4990,41,1000),SEARCH(" - ",MID('Industriesektor GWh'!$B4990,41,1000))-1),nrg_cb_e!$C$3:$C$40,0))</f>
        <v>FC_IND_NFM_E</v>
      </c>
      <c r="G4990" s="18">
        <v>0</v>
      </c>
    </row>
    <row r="4991" spans="1:7" x14ac:dyDescent="0.2">
      <c r="A4991" s="19" t="s">
        <v>43</v>
      </c>
      <c r="B4991" s="20" t="s">
        <v>64</v>
      </c>
      <c r="C4991" s="20" t="s">
        <v>8</v>
      </c>
      <c r="D4991" s="20" t="s">
        <v>10</v>
      </c>
      <c r="E4991" s="20" t="s">
        <v>20</v>
      </c>
      <c r="F4991" s="20" t="str">
        <f>INDEX(nrg_cb_e!$A$3:$A$40,MATCH(LEFT(MID('Industriesektor GWh'!$B4991,41,1000),SEARCH(" - ",MID('Industriesektor GWh'!$B4991,41,1000))-1),nrg_cb_e!$C$3:$C$40,0))</f>
        <v>FC_IND_NFM_E</v>
      </c>
      <c r="G4991" s="21">
        <v>0</v>
      </c>
    </row>
    <row r="4992" spans="1:7" x14ac:dyDescent="0.2">
      <c r="A4992" s="16" t="s">
        <v>43</v>
      </c>
      <c r="B4992" s="17" t="s">
        <v>64</v>
      </c>
      <c r="C4992" s="17" t="s">
        <v>8</v>
      </c>
      <c r="D4992" s="17" t="s">
        <v>10</v>
      </c>
      <c r="E4992" s="17" t="s">
        <v>21</v>
      </c>
      <c r="F4992" s="17" t="str">
        <f>INDEX(nrg_cb_e!$A$3:$A$40,MATCH(LEFT(MID('Industriesektor GWh'!$B4992,41,1000),SEARCH(" - ",MID('Industriesektor GWh'!$B4992,41,1000))-1),nrg_cb_e!$C$3:$C$40,0))</f>
        <v>FC_IND_NFM_E</v>
      </c>
      <c r="G4992" s="18">
        <v>0</v>
      </c>
    </row>
    <row r="4993" spans="1:7" x14ac:dyDescent="0.2">
      <c r="A4993" s="19" t="s">
        <v>43</v>
      </c>
      <c r="B4993" s="20" t="s">
        <v>64</v>
      </c>
      <c r="C4993" s="20" t="s">
        <v>8</v>
      </c>
      <c r="D4993" s="20" t="s">
        <v>10</v>
      </c>
      <c r="E4993" s="20" t="s">
        <v>22</v>
      </c>
      <c r="F4993" s="20" t="str">
        <f>INDEX(nrg_cb_e!$A$3:$A$40,MATCH(LEFT(MID('Industriesektor GWh'!$B4993,41,1000),SEARCH(" - ",MID('Industriesektor GWh'!$B4993,41,1000))-1),nrg_cb_e!$C$3:$C$40,0))</f>
        <v>FC_IND_NFM_E</v>
      </c>
      <c r="G4993" s="21">
        <v>0</v>
      </c>
    </row>
    <row r="4994" spans="1:7" x14ac:dyDescent="0.2">
      <c r="A4994" s="16" t="s">
        <v>43</v>
      </c>
      <c r="B4994" s="17" t="s">
        <v>64</v>
      </c>
      <c r="C4994" s="17" t="s">
        <v>8</v>
      </c>
      <c r="D4994" s="17" t="s">
        <v>10</v>
      </c>
      <c r="E4994" s="17" t="s">
        <v>23</v>
      </c>
      <c r="F4994" s="17" t="str">
        <f>INDEX(nrg_cb_e!$A$3:$A$40,MATCH(LEFT(MID('Industriesektor GWh'!$B4994,41,1000),SEARCH(" - ",MID('Industriesektor GWh'!$B4994,41,1000))-1),nrg_cb_e!$C$3:$C$40,0))</f>
        <v>FC_IND_NFM_E</v>
      </c>
      <c r="G4994" s="18">
        <v>0</v>
      </c>
    </row>
    <row r="4995" spans="1:7" x14ac:dyDescent="0.2">
      <c r="A4995" s="19" t="s">
        <v>43</v>
      </c>
      <c r="B4995" s="20" t="s">
        <v>64</v>
      </c>
      <c r="C4995" s="20" t="s">
        <v>8</v>
      </c>
      <c r="D4995" s="20" t="s">
        <v>10</v>
      </c>
      <c r="E4995" s="20" t="s">
        <v>24</v>
      </c>
      <c r="F4995" s="20" t="str">
        <f>INDEX(nrg_cb_e!$A$3:$A$40,MATCH(LEFT(MID('Industriesektor GWh'!$B4995,41,1000),SEARCH(" - ",MID('Industriesektor GWh'!$B4995,41,1000))-1),nrg_cb_e!$C$3:$C$40,0))</f>
        <v>FC_IND_NFM_E</v>
      </c>
      <c r="G4995" s="21">
        <v>0</v>
      </c>
    </row>
    <row r="4996" spans="1:7" x14ac:dyDescent="0.2">
      <c r="A4996" s="16" t="s">
        <v>43</v>
      </c>
      <c r="B4996" s="17" t="s">
        <v>64</v>
      </c>
      <c r="C4996" s="17" t="s">
        <v>8</v>
      </c>
      <c r="D4996" s="17" t="s">
        <v>10</v>
      </c>
      <c r="E4996" s="17" t="s">
        <v>25</v>
      </c>
      <c r="F4996" s="17" t="str">
        <f>INDEX(nrg_cb_e!$A$3:$A$40,MATCH(LEFT(MID('Industriesektor GWh'!$B4996,41,1000),SEARCH(" - ",MID('Industriesektor GWh'!$B4996,41,1000))-1),nrg_cb_e!$C$3:$C$40,0))</f>
        <v>FC_IND_NFM_E</v>
      </c>
      <c r="G4996" s="18">
        <v>0</v>
      </c>
    </row>
    <row r="4997" spans="1:7" x14ac:dyDescent="0.2">
      <c r="A4997" s="19" t="s">
        <v>43</v>
      </c>
      <c r="B4997" s="20" t="s">
        <v>64</v>
      </c>
      <c r="C4997" s="20" t="s">
        <v>8</v>
      </c>
      <c r="D4997" s="20" t="s">
        <v>10</v>
      </c>
      <c r="E4997" s="20" t="s">
        <v>26</v>
      </c>
      <c r="F4997" s="20" t="str">
        <f>INDEX(nrg_cb_e!$A$3:$A$40,MATCH(LEFT(MID('Industriesektor GWh'!$B4997,41,1000),SEARCH(" - ",MID('Industriesektor GWh'!$B4997,41,1000))-1),nrg_cb_e!$C$3:$C$40,0))</f>
        <v>FC_IND_NFM_E</v>
      </c>
      <c r="G4997" s="21">
        <v>0</v>
      </c>
    </row>
    <row r="4998" spans="1:7" x14ac:dyDescent="0.2">
      <c r="A4998" s="16" t="s">
        <v>43</v>
      </c>
      <c r="B4998" s="17" t="s">
        <v>64</v>
      </c>
      <c r="C4998" s="17" t="s">
        <v>8</v>
      </c>
      <c r="D4998" s="17" t="s">
        <v>10</v>
      </c>
      <c r="E4998" s="17" t="s">
        <v>27</v>
      </c>
      <c r="F4998" s="17" t="str">
        <f>INDEX(nrg_cb_e!$A$3:$A$40,MATCH(LEFT(MID('Industriesektor GWh'!$B4998,41,1000),SEARCH(" - ",MID('Industriesektor GWh'!$B4998,41,1000))-1),nrg_cb_e!$C$3:$C$40,0))</f>
        <v>FC_IND_NFM_E</v>
      </c>
      <c r="G4998" s="18">
        <v>0</v>
      </c>
    </row>
    <row r="4999" spans="1:7" x14ac:dyDescent="0.2">
      <c r="A4999" s="19" t="s">
        <v>43</v>
      </c>
      <c r="B4999" s="20" t="s">
        <v>64</v>
      </c>
      <c r="C4999" s="20" t="s">
        <v>8</v>
      </c>
      <c r="D4999" s="20" t="s">
        <v>10</v>
      </c>
      <c r="E4999" s="20" t="s">
        <v>28</v>
      </c>
      <c r="F4999" s="20" t="str">
        <f>INDEX(nrg_cb_e!$A$3:$A$40,MATCH(LEFT(MID('Industriesektor GWh'!$B4999,41,1000),SEARCH(" - ",MID('Industriesektor GWh'!$B4999,41,1000))-1),nrg_cb_e!$C$3:$C$40,0))</f>
        <v>FC_IND_NFM_E</v>
      </c>
      <c r="G4999" s="21">
        <v>0</v>
      </c>
    </row>
    <row r="5000" spans="1:7" x14ac:dyDescent="0.2">
      <c r="A5000" s="16" t="s">
        <v>44</v>
      </c>
      <c r="B5000" s="17" t="s">
        <v>64</v>
      </c>
      <c r="C5000" s="17" t="s">
        <v>8</v>
      </c>
      <c r="D5000" s="17" t="s">
        <v>10</v>
      </c>
      <c r="E5000" s="17" t="s">
        <v>12</v>
      </c>
      <c r="F5000" s="17" t="str">
        <f>INDEX(nrg_cb_e!$A$3:$A$40,MATCH(LEFT(MID('Industriesektor GWh'!$B5000,41,1000),SEARCH(" - ",MID('Industriesektor GWh'!$B5000,41,1000))-1),nrg_cb_e!$C$3:$C$40,0))</f>
        <v>FC_IND_NFM_E</v>
      </c>
      <c r="G5000" s="18">
        <v>0</v>
      </c>
    </row>
    <row r="5001" spans="1:7" x14ac:dyDescent="0.2">
      <c r="A5001" s="19" t="s">
        <v>44</v>
      </c>
      <c r="B5001" s="20" t="s">
        <v>64</v>
      </c>
      <c r="C5001" s="20" t="s">
        <v>8</v>
      </c>
      <c r="D5001" s="20" t="s">
        <v>10</v>
      </c>
      <c r="E5001" s="20" t="s">
        <v>13</v>
      </c>
      <c r="F5001" s="20" t="str">
        <f>INDEX(nrg_cb_e!$A$3:$A$40,MATCH(LEFT(MID('Industriesektor GWh'!$B5001,41,1000),SEARCH(" - ",MID('Industriesektor GWh'!$B5001,41,1000))-1),nrg_cb_e!$C$3:$C$40,0))</f>
        <v>FC_IND_NFM_E</v>
      </c>
      <c r="G5001" s="21">
        <v>0</v>
      </c>
    </row>
    <row r="5002" spans="1:7" x14ac:dyDescent="0.2">
      <c r="A5002" s="16" t="s">
        <v>44</v>
      </c>
      <c r="B5002" s="17" t="s">
        <v>64</v>
      </c>
      <c r="C5002" s="17" t="s">
        <v>8</v>
      </c>
      <c r="D5002" s="17" t="s">
        <v>10</v>
      </c>
      <c r="E5002" s="17" t="s">
        <v>14</v>
      </c>
      <c r="F5002" s="17" t="str">
        <f>INDEX(nrg_cb_e!$A$3:$A$40,MATCH(LEFT(MID('Industriesektor GWh'!$B5002,41,1000),SEARCH(" - ",MID('Industriesektor GWh'!$B5002,41,1000))-1),nrg_cb_e!$C$3:$C$40,0))</f>
        <v>FC_IND_NFM_E</v>
      </c>
      <c r="G5002" s="18">
        <v>0</v>
      </c>
    </row>
    <row r="5003" spans="1:7" x14ac:dyDescent="0.2">
      <c r="A5003" s="19" t="s">
        <v>44</v>
      </c>
      <c r="B5003" s="20" t="s">
        <v>64</v>
      </c>
      <c r="C5003" s="20" t="s">
        <v>8</v>
      </c>
      <c r="D5003" s="20" t="s">
        <v>10</v>
      </c>
      <c r="E5003" s="20" t="s">
        <v>15</v>
      </c>
      <c r="F5003" s="20" t="str">
        <f>INDEX(nrg_cb_e!$A$3:$A$40,MATCH(LEFT(MID('Industriesektor GWh'!$B5003,41,1000),SEARCH(" - ",MID('Industriesektor GWh'!$B5003,41,1000))-1),nrg_cb_e!$C$3:$C$40,0))</f>
        <v>FC_IND_NFM_E</v>
      </c>
      <c r="G5003" s="21">
        <v>0</v>
      </c>
    </row>
    <row r="5004" spans="1:7" x14ac:dyDescent="0.2">
      <c r="A5004" s="16" t="s">
        <v>44</v>
      </c>
      <c r="B5004" s="17" t="s">
        <v>64</v>
      </c>
      <c r="C5004" s="17" t="s">
        <v>8</v>
      </c>
      <c r="D5004" s="17" t="s">
        <v>10</v>
      </c>
      <c r="E5004" s="17" t="s">
        <v>16</v>
      </c>
      <c r="F5004" s="17" t="str">
        <f>INDEX(nrg_cb_e!$A$3:$A$40,MATCH(LEFT(MID('Industriesektor GWh'!$B5004,41,1000),SEARCH(" - ",MID('Industriesektor GWh'!$B5004,41,1000))-1),nrg_cb_e!$C$3:$C$40,0))</f>
        <v>FC_IND_NFM_E</v>
      </c>
      <c r="G5004" s="18">
        <v>0</v>
      </c>
    </row>
    <row r="5005" spans="1:7" x14ac:dyDescent="0.2">
      <c r="A5005" s="19" t="s">
        <v>44</v>
      </c>
      <c r="B5005" s="20" t="s">
        <v>64</v>
      </c>
      <c r="C5005" s="20" t="s">
        <v>8</v>
      </c>
      <c r="D5005" s="20" t="s">
        <v>10</v>
      </c>
      <c r="E5005" s="20" t="s">
        <v>17</v>
      </c>
      <c r="F5005" s="20" t="str">
        <f>INDEX(nrg_cb_e!$A$3:$A$40,MATCH(LEFT(MID('Industriesektor GWh'!$B5005,41,1000),SEARCH(" - ",MID('Industriesektor GWh'!$B5005,41,1000))-1),nrg_cb_e!$C$3:$C$40,0))</f>
        <v>FC_IND_NFM_E</v>
      </c>
      <c r="G5005" s="21">
        <v>0</v>
      </c>
    </row>
    <row r="5006" spans="1:7" x14ac:dyDescent="0.2">
      <c r="A5006" s="16" t="s">
        <v>44</v>
      </c>
      <c r="B5006" s="17" t="s">
        <v>64</v>
      </c>
      <c r="C5006" s="17" t="s">
        <v>8</v>
      </c>
      <c r="D5006" s="17" t="s">
        <v>10</v>
      </c>
      <c r="E5006" s="17" t="s">
        <v>18</v>
      </c>
      <c r="F5006" s="17" t="str">
        <f>INDEX(nrg_cb_e!$A$3:$A$40,MATCH(LEFT(MID('Industriesektor GWh'!$B5006,41,1000),SEARCH(" - ",MID('Industriesektor GWh'!$B5006,41,1000))-1),nrg_cb_e!$C$3:$C$40,0))</f>
        <v>FC_IND_NFM_E</v>
      </c>
      <c r="G5006" s="18">
        <v>0</v>
      </c>
    </row>
    <row r="5007" spans="1:7" x14ac:dyDescent="0.2">
      <c r="A5007" s="19" t="s">
        <v>44</v>
      </c>
      <c r="B5007" s="20" t="s">
        <v>64</v>
      </c>
      <c r="C5007" s="20" t="s">
        <v>8</v>
      </c>
      <c r="D5007" s="20" t="s">
        <v>10</v>
      </c>
      <c r="E5007" s="20" t="s">
        <v>19</v>
      </c>
      <c r="F5007" s="20" t="str">
        <f>INDEX(nrg_cb_e!$A$3:$A$40,MATCH(LEFT(MID('Industriesektor GWh'!$B5007,41,1000),SEARCH(" - ",MID('Industriesektor GWh'!$B5007,41,1000))-1),nrg_cb_e!$C$3:$C$40,0))</f>
        <v>FC_IND_NFM_E</v>
      </c>
      <c r="G5007" s="21">
        <v>0</v>
      </c>
    </row>
    <row r="5008" spans="1:7" x14ac:dyDescent="0.2">
      <c r="A5008" s="16" t="s">
        <v>44</v>
      </c>
      <c r="B5008" s="17" t="s">
        <v>64</v>
      </c>
      <c r="C5008" s="17" t="s">
        <v>8</v>
      </c>
      <c r="D5008" s="17" t="s">
        <v>10</v>
      </c>
      <c r="E5008" s="17" t="s">
        <v>20</v>
      </c>
      <c r="F5008" s="17" t="str">
        <f>INDEX(nrg_cb_e!$A$3:$A$40,MATCH(LEFT(MID('Industriesektor GWh'!$B5008,41,1000),SEARCH(" - ",MID('Industriesektor GWh'!$B5008,41,1000))-1),nrg_cb_e!$C$3:$C$40,0))</f>
        <v>FC_IND_NFM_E</v>
      </c>
      <c r="G5008" s="18">
        <v>0</v>
      </c>
    </row>
    <row r="5009" spans="1:7" x14ac:dyDescent="0.2">
      <c r="A5009" s="19" t="s">
        <v>44</v>
      </c>
      <c r="B5009" s="20" t="s">
        <v>64</v>
      </c>
      <c r="C5009" s="20" t="s">
        <v>8</v>
      </c>
      <c r="D5009" s="20" t="s">
        <v>10</v>
      </c>
      <c r="E5009" s="20" t="s">
        <v>21</v>
      </c>
      <c r="F5009" s="20" t="str">
        <f>INDEX(nrg_cb_e!$A$3:$A$40,MATCH(LEFT(MID('Industriesektor GWh'!$B5009,41,1000),SEARCH(" - ",MID('Industriesektor GWh'!$B5009,41,1000))-1),nrg_cb_e!$C$3:$C$40,0))</f>
        <v>FC_IND_NFM_E</v>
      </c>
      <c r="G5009" s="21">
        <v>0</v>
      </c>
    </row>
    <row r="5010" spans="1:7" x14ac:dyDescent="0.2">
      <c r="A5010" s="16" t="s">
        <v>44</v>
      </c>
      <c r="B5010" s="17" t="s">
        <v>64</v>
      </c>
      <c r="C5010" s="17" t="s">
        <v>8</v>
      </c>
      <c r="D5010" s="17" t="s">
        <v>10</v>
      </c>
      <c r="E5010" s="17" t="s">
        <v>22</v>
      </c>
      <c r="F5010" s="17" t="str">
        <f>INDEX(nrg_cb_e!$A$3:$A$40,MATCH(LEFT(MID('Industriesektor GWh'!$B5010,41,1000),SEARCH(" - ",MID('Industriesektor GWh'!$B5010,41,1000))-1),nrg_cb_e!$C$3:$C$40,0))</f>
        <v>FC_IND_NFM_E</v>
      </c>
      <c r="G5010" s="18">
        <v>0</v>
      </c>
    </row>
    <row r="5011" spans="1:7" x14ac:dyDescent="0.2">
      <c r="A5011" s="19" t="s">
        <v>44</v>
      </c>
      <c r="B5011" s="20" t="s">
        <v>64</v>
      </c>
      <c r="C5011" s="20" t="s">
        <v>8</v>
      </c>
      <c r="D5011" s="20" t="s">
        <v>10</v>
      </c>
      <c r="E5011" s="20" t="s">
        <v>23</v>
      </c>
      <c r="F5011" s="20" t="str">
        <f>INDEX(nrg_cb_e!$A$3:$A$40,MATCH(LEFT(MID('Industriesektor GWh'!$B5011,41,1000),SEARCH(" - ",MID('Industriesektor GWh'!$B5011,41,1000))-1),nrg_cb_e!$C$3:$C$40,0))</f>
        <v>FC_IND_NFM_E</v>
      </c>
      <c r="G5011" s="21">
        <v>0</v>
      </c>
    </row>
    <row r="5012" spans="1:7" x14ac:dyDescent="0.2">
      <c r="A5012" s="16" t="s">
        <v>44</v>
      </c>
      <c r="B5012" s="17" t="s">
        <v>64</v>
      </c>
      <c r="C5012" s="17" t="s">
        <v>8</v>
      </c>
      <c r="D5012" s="17" t="s">
        <v>10</v>
      </c>
      <c r="E5012" s="17" t="s">
        <v>24</v>
      </c>
      <c r="F5012" s="17" t="str">
        <f>INDEX(nrg_cb_e!$A$3:$A$40,MATCH(LEFT(MID('Industriesektor GWh'!$B5012,41,1000),SEARCH(" - ",MID('Industriesektor GWh'!$B5012,41,1000))-1),nrg_cb_e!$C$3:$C$40,0))</f>
        <v>FC_IND_NFM_E</v>
      </c>
      <c r="G5012" s="18">
        <v>0</v>
      </c>
    </row>
    <row r="5013" spans="1:7" x14ac:dyDescent="0.2">
      <c r="A5013" s="19" t="s">
        <v>44</v>
      </c>
      <c r="B5013" s="20" t="s">
        <v>64</v>
      </c>
      <c r="C5013" s="20" t="s">
        <v>8</v>
      </c>
      <c r="D5013" s="20" t="s">
        <v>10</v>
      </c>
      <c r="E5013" s="20" t="s">
        <v>25</v>
      </c>
      <c r="F5013" s="20" t="str">
        <f>INDEX(nrg_cb_e!$A$3:$A$40,MATCH(LEFT(MID('Industriesektor GWh'!$B5013,41,1000),SEARCH(" - ",MID('Industriesektor GWh'!$B5013,41,1000))-1),nrg_cb_e!$C$3:$C$40,0))</f>
        <v>FC_IND_NFM_E</v>
      </c>
      <c r="G5013" s="21">
        <v>0</v>
      </c>
    </row>
    <row r="5014" spans="1:7" x14ac:dyDescent="0.2">
      <c r="A5014" s="16" t="s">
        <v>44</v>
      </c>
      <c r="B5014" s="17" t="s">
        <v>64</v>
      </c>
      <c r="C5014" s="17" t="s">
        <v>8</v>
      </c>
      <c r="D5014" s="17" t="s">
        <v>10</v>
      </c>
      <c r="E5014" s="17" t="s">
        <v>26</v>
      </c>
      <c r="F5014" s="17" t="str">
        <f>INDEX(nrg_cb_e!$A$3:$A$40,MATCH(LEFT(MID('Industriesektor GWh'!$B5014,41,1000),SEARCH(" - ",MID('Industriesektor GWh'!$B5014,41,1000))-1),nrg_cb_e!$C$3:$C$40,0))</f>
        <v>FC_IND_NFM_E</v>
      </c>
      <c r="G5014" s="18">
        <v>0</v>
      </c>
    </row>
    <row r="5015" spans="1:7" x14ac:dyDescent="0.2">
      <c r="A5015" s="19" t="s">
        <v>44</v>
      </c>
      <c r="B5015" s="20" t="s">
        <v>64</v>
      </c>
      <c r="C5015" s="20" t="s">
        <v>8</v>
      </c>
      <c r="D5015" s="20" t="s">
        <v>10</v>
      </c>
      <c r="E5015" s="20" t="s">
        <v>27</v>
      </c>
      <c r="F5015" s="20" t="str">
        <f>INDEX(nrg_cb_e!$A$3:$A$40,MATCH(LEFT(MID('Industriesektor GWh'!$B5015,41,1000),SEARCH(" - ",MID('Industriesektor GWh'!$B5015,41,1000))-1),nrg_cb_e!$C$3:$C$40,0))</f>
        <v>FC_IND_NFM_E</v>
      </c>
      <c r="G5015" s="21">
        <v>0</v>
      </c>
    </row>
    <row r="5016" spans="1:7" x14ac:dyDescent="0.2">
      <c r="A5016" s="16" t="s">
        <v>44</v>
      </c>
      <c r="B5016" s="17" t="s">
        <v>64</v>
      </c>
      <c r="C5016" s="17" t="s">
        <v>8</v>
      </c>
      <c r="D5016" s="17" t="s">
        <v>10</v>
      </c>
      <c r="E5016" s="17" t="s">
        <v>28</v>
      </c>
      <c r="F5016" s="17" t="str">
        <f>INDEX(nrg_cb_e!$A$3:$A$40,MATCH(LEFT(MID('Industriesektor GWh'!$B5016,41,1000),SEARCH(" - ",MID('Industriesektor GWh'!$B5016,41,1000))-1),nrg_cb_e!$C$3:$C$40,0))</f>
        <v>FC_IND_NFM_E</v>
      </c>
      <c r="G5016" s="18">
        <v>0</v>
      </c>
    </row>
    <row r="5017" spans="1:7" x14ac:dyDescent="0.2">
      <c r="A5017" s="19" t="s">
        <v>45</v>
      </c>
      <c r="B5017" s="20" t="s">
        <v>64</v>
      </c>
      <c r="C5017" s="20" t="s">
        <v>8</v>
      </c>
      <c r="D5017" s="20" t="s">
        <v>10</v>
      </c>
      <c r="E5017" s="20" t="s">
        <v>12</v>
      </c>
      <c r="F5017" s="20" t="str">
        <f>INDEX(nrg_cb_e!$A$3:$A$40,MATCH(LEFT(MID('Industriesektor GWh'!$B5017,41,1000),SEARCH(" - ",MID('Industriesektor GWh'!$B5017,41,1000))-1),nrg_cb_e!$C$3:$C$40,0))</f>
        <v>FC_IND_NFM_E</v>
      </c>
      <c r="G5017" s="21">
        <v>1085</v>
      </c>
    </row>
    <row r="5018" spans="1:7" x14ac:dyDescent="0.2">
      <c r="A5018" s="16" t="s">
        <v>45</v>
      </c>
      <c r="B5018" s="17" t="s">
        <v>64</v>
      </c>
      <c r="C5018" s="17" t="s">
        <v>8</v>
      </c>
      <c r="D5018" s="17" t="s">
        <v>10</v>
      </c>
      <c r="E5018" s="17" t="s">
        <v>13</v>
      </c>
      <c r="F5018" s="17" t="str">
        <f>INDEX(nrg_cb_e!$A$3:$A$40,MATCH(LEFT(MID('Industriesektor GWh'!$B5018,41,1000),SEARCH(" - ",MID('Industriesektor GWh'!$B5018,41,1000))-1),nrg_cb_e!$C$3:$C$40,0))</f>
        <v>FC_IND_NFM_E</v>
      </c>
      <c r="G5018" s="18">
        <v>1053</v>
      </c>
    </row>
    <row r="5019" spans="1:7" x14ac:dyDescent="0.2">
      <c r="A5019" s="19" t="s">
        <v>45</v>
      </c>
      <c r="B5019" s="20" t="s">
        <v>64</v>
      </c>
      <c r="C5019" s="20" t="s">
        <v>8</v>
      </c>
      <c r="D5019" s="20" t="s">
        <v>10</v>
      </c>
      <c r="E5019" s="20" t="s">
        <v>14</v>
      </c>
      <c r="F5019" s="20" t="str">
        <f>INDEX(nrg_cb_e!$A$3:$A$40,MATCH(LEFT(MID('Industriesektor GWh'!$B5019,41,1000),SEARCH(" - ",MID('Industriesektor GWh'!$B5019,41,1000))-1),nrg_cb_e!$C$3:$C$40,0))</f>
        <v>FC_IND_NFM_E</v>
      </c>
      <c r="G5019" s="21">
        <v>1058</v>
      </c>
    </row>
    <row r="5020" spans="1:7" x14ac:dyDescent="0.2">
      <c r="A5020" s="16" t="s">
        <v>45</v>
      </c>
      <c r="B5020" s="17" t="s">
        <v>64</v>
      </c>
      <c r="C5020" s="17" t="s">
        <v>8</v>
      </c>
      <c r="D5020" s="17" t="s">
        <v>10</v>
      </c>
      <c r="E5020" s="17" t="s">
        <v>15</v>
      </c>
      <c r="F5020" s="17" t="str">
        <f>INDEX(nrg_cb_e!$A$3:$A$40,MATCH(LEFT(MID('Industriesektor GWh'!$B5020,41,1000),SEARCH(" - ",MID('Industriesektor GWh'!$B5020,41,1000))-1),nrg_cb_e!$C$3:$C$40,0))</f>
        <v>FC_IND_NFM_E</v>
      </c>
      <c r="G5020" s="18">
        <v>906</v>
      </c>
    </row>
    <row r="5021" spans="1:7" x14ac:dyDescent="0.2">
      <c r="A5021" s="19" t="s">
        <v>45</v>
      </c>
      <c r="B5021" s="20" t="s">
        <v>64</v>
      </c>
      <c r="C5021" s="20" t="s">
        <v>8</v>
      </c>
      <c r="D5021" s="20" t="s">
        <v>10</v>
      </c>
      <c r="E5021" s="20" t="s">
        <v>16</v>
      </c>
      <c r="F5021" s="20" t="str">
        <f>INDEX(nrg_cb_e!$A$3:$A$40,MATCH(LEFT(MID('Industriesektor GWh'!$B5021,41,1000),SEARCH(" - ",MID('Industriesektor GWh'!$B5021,41,1000))-1),nrg_cb_e!$C$3:$C$40,0))</f>
        <v>FC_IND_NFM_E</v>
      </c>
      <c r="G5021" s="21">
        <v>508</v>
      </c>
    </row>
    <row r="5022" spans="1:7" x14ac:dyDescent="0.2">
      <c r="A5022" s="16" t="s">
        <v>45</v>
      </c>
      <c r="B5022" s="17" t="s">
        <v>64</v>
      </c>
      <c r="C5022" s="17" t="s">
        <v>8</v>
      </c>
      <c r="D5022" s="17" t="s">
        <v>10</v>
      </c>
      <c r="E5022" s="17" t="s">
        <v>17</v>
      </c>
      <c r="F5022" s="17" t="str">
        <f>INDEX(nrg_cb_e!$A$3:$A$40,MATCH(LEFT(MID('Industriesektor GWh'!$B5022,41,1000),SEARCH(" - ",MID('Industriesektor GWh'!$B5022,41,1000))-1),nrg_cb_e!$C$3:$C$40,0))</f>
        <v>FC_IND_NFM_E</v>
      </c>
      <c r="G5022" s="18">
        <v>470</v>
      </c>
    </row>
    <row r="5023" spans="1:7" x14ac:dyDescent="0.2">
      <c r="A5023" s="19" t="s">
        <v>45</v>
      </c>
      <c r="B5023" s="20" t="s">
        <v>64</v>
      </c>
      <c r="C5023" s="20" t="s">
        <v>8</v>
      </c>
      <c r="D5023" s="20" t="s">
        <v>10</v>
      </c>
      <c r="E5023" s="20" t="s">
        <v>18</v>
      </c>
      <c r="F5023" s="20" t="str">
        <f>INDEX(nrg_cb_e!$A$3:$A$40,MATCH(LEFT(MID('Industriesektor GWh'!$B5023,41,1000),SEARCH(" - ",MID('Industriesektor GWh'!$B5023,41,1000))-1),nrg_cb_e!$C$3:$C$40,0))</f>
        <v>FC_IND_NFM_E</v>
      </c>
      <c r="G5023" s="21">
        <v>466</v>
      </c>
    </row>
    <row r="5024" spans="1:7" x14ac:dyDescent="0.2">
      <c r="A5024" s="16" t="s">
        <v>45</v>
      </c>
      <c r="B5024" s="17" t="s">
        <v>64</v>
      </c>
      <c r="C5024" s="17" t="s">
        <v>8</v>
      </c>
      <c r="D5024" s="17" t="s">
        <v>10</v>
      </c>
      <c r="E5024" s="17" t="s">
        <v>19</v>
      </c>
      <c r="F5024" s="17" t="str">
        <f>INDEX(nrg_cb_e!$A$3:$A$40,MATCH(LEFT(MID('Industriesektor GWh'!$B5024,41,1000),SEARCH(" - ",MID('Industriesektor GWh'!$B5024,41,1000))-1),nrg_cb_e!$C$3:$C$40,0))</f>
        <v>FC_IND_NFM_E</v>
      </c>
      <c r="G5024" s="18">
        <v>362</v>
      </c>
    </row>
    <row r="5025" spans="1:7" x14ac:dyDescent="0.2">
      <c r="A5025" s="19" t="s">
        <v>45</v>
      </c>
      <c r="B5025" s="20" t="s">
        <v>64</v>
      </c>
      <c r="C5025" s="20" t="s">
        <v>8</v>
      </c>
      <c r="D5025" s="20" t="s">
        <v>10</v>
      </c>
      <c r="E5025" s="20" t="s">
        <v>20</v>
      </c>
      <c r="F5025" s="20" t="str">
        <f>INDEX(nrg_cb_e!$A$3:$A$40,MATCH(LEFT(MID('Industriesektor GWh'!$B5025,41,1000),SEARCH(" - ",MID('Industriesektor GWh'!$B5025,41,1000))-1),nrg_cb_e!$C$3:$C$40,0))</f>
        <v>FC_IND_NFM_E</v>
      </c>
      <c r="G5025" s="21">
        <v>431</v>
      </c>
    </row>
    <row r="5026" spans="1:7" x14ac:dyDescent="0.2">
      <c r="A5026" s="16" t="s">
        <v>45</v>
      </c>
      <c r="B5026" s="17" t="s">
        <v>64</v>
      </c>
      <c r="C5026" s="17" t="s">
        <v>8</v>
      </c>
      <c r="D5026" s="17" t="s">
        <v>10</v>
      </c>
      <c r="E5026" s="17" t="s">
        <v>21</v>
      </c>
      <c r="F5026" s="17" t="str">
        <f>INDEX(nrg_cb_e!$A$3:$A$40,MATCH(LEFT(MID('Industriesektor GWh'!$B5026,41,1000),SEARCH(" - ",MID('Industriesektor GWh'!$B5026,41,1000))-1),nrg_cb_e!$C$3:$C$40,0))</f>
        <v>FC_IND_NFM_E</v>
      </c>
      <c r="G5026" s="18">
        <v>435</v>
      </c>
    </row>
    <row r="5027" spans="1:7" x14ac:dyDescent="0.2">
      <c r="A5027" s="19" t="s">
        <v>45</v>
      </c>
      <c r="B5027" s="20" t="s">
        <v>64</v>
      </c>
      <c r="C5027" s="20" t="s">
        <v>8</v>
      </c>
      <c r="D5027" s="20" t="s">
        <v>10</v>
      </c>
      <c r="E5027" s="20" t="s">
        <v>22</v>
      </c>
      <c r="F5027" s="20" t="str">
        <f>INDEX(nrg_cb_e!$A$3:$A$40,MATCH(LEFT(MID('Industriesektor GWh'!$B5027,41,1000),SEARCH(" - ",MID('Industriesektor GWh'!$B5027,41,1000))-1),nrg_cb_e!$C$3:$C$40,0))</f>
        <v>FC_IND_NFM_E</v>
      </c>
      <c r="G5027" s="21">
        <v>506</v>
      </c>
    </row>
    <row r="5028" spans="1:7" x14ac:dyDescent="0.2">
      <c r="A5028" s="16" t="s">
        <v>45</v>
      </c>
      <c r="B5028" s="17" t="s">
        <v>64</v>
      </c>
      <c r="C5028" s="17" t="s">
        <v>8</v>
      </c>
      <c r="D5028" s="17" t="s">
        <v>10</v>
      </c>
      <c r="E5028" s="17" t="s">
        <v>23</v>
      </c>
      <c r="F5028" s="17" t="str">
        <f>INDEX(nrg_cb_e!$A$3:$A$40,MATCH(LEFT(MID('Industriesektor GWh'!$B5028,41,1000),SEARCH(" - ",MID('Industriesektor GWh'!$B5028,41,1000))-1),nrg_cb_e!$C$3:$C$40,0))</f>
        <v>FC_IND_NFM_E</v>
      </c>
      <c r="G5028" s="18">
        <v>470</v>
      </c>
    </row>
    <row r="5029" spans="1:7" x14ac:dyDescent="0.2">
      <c r="A5029" s="19" t="s">
        <v>45</v>
      </c>
      <c r="B5029" s="20" t="s">
        <v>64</v>
      </c>
      <c r="C5029" s="20" t="s">
        <v>8</v>
      </c>
      <c r="D5029" s="20" t="s">
        <v>10</v>
      </c>
      <c r="E5029" s="20" t="s">
        <v>24</v>
      </c>
      <c r="F5029" s="20" t="str">
        <f>INDEX(nrg_cb_e!$A$3:$A$40,MATCH(LEFT(MID('Industriesektor GWh'!$B5029,41,1000),SEARCH(" - ",MID('Industriesektor GWh'!$B5029,41,1000))-1),nrg_cb_e!$C$3:$C$40,0))</f>
        <v>FC_IND_NFM_E</v>
      </c>
      <c r="G5029" s="21">
        <v>389</v>
      </c>
    </row>
    <row r="5030" spans="1:7" x14ac:dyDescent="0.2">
      <c r="A5030" s="16" t="s">
        <v>45</v>
      </c>
      <c r="B5030" s="17" t="s">
        <v>64</v>
      </c>
      <c r="C5030" s="17" t="s">
        <v>8</v>
      </c>
      <c r="D5030" s="17" t="s">
        <v>10</v>
      </c>
      <c r="E5030" s="17" t="s">
        <v>25</v>
      </c>
      <c r="F5030" s="17" t="str">
        <f>INDEX(nrg_cb_e!$A$3:$A$40,MATCH(LEFT(MID('Industriesektor GWh'!$B5030,41,1000),SEARCH(" - ",MID('Industriesektor GWh'!$B5030,41,1000))-1),nrg_cb_e!$C$3:$C$40,0))</f>
        <v>FC_IND_NFM_E</v>
      </c>
      <c r="G5030" s="18">
        <v>385</v>
      </c>
    </row>
    <row r="5031" spans="1:7" x14ac:dyDescent="0.2">
      <c r="A5031" s="19" t="s">
        <v>45</v>
      </c>
      <c r="B5031" s="20" t="s">
        <v>64</v>
      </c>
      <c r="C5031" s="20" t="s">
        <v>8</v>
      </c>
      <c r="D5031" s="20" t="s">
        <v>10</v>
      </c>
      <c r="E5031" s="20" t="s">
        <v>26</v>
      </c>
      <c r="F5031" s="20" t="str">
        <f>INDEX(nrg_cb_e!$A$3:$A$40,MATCH(LEFT(MID('Industriesektor GWh'!$B5031,41,1000),SEARCH(" - ",MID('Industriesektor GWh'!$B5031,41,1000))-1),nrg_cb_e!$C$3:$C$40,0))</f>
        <v>FC_IND_NFM_E</v>
      </c>
      <c r="G5031" s="21">
        <v>401</v>
      </c>
    </row>
    <row r="5032" spans="1:7" x14ac:dyDescent="0.2">
      <c r="A5032" s="16" t="s">
        <v>45</v>
      </c>
      <c r="B5032" s="17" t="s">
        <v>64</v>
      </c>
      <c r="C5032" s="17" t="s">
        <v>8</v>
      </c>
      <c r="D5032" s="17" t="s">
        <v>10</v>
      </c>
      <c r="E5032" s="17" t="s">
        <v>27</v>
      </c>
      <c r="F5032" s="17" t="str">
        <f>INDEX(nrg_cb_e!$A$3:$A$40,MATCH(LEFT(MID('Industriesektor GWh'!$B5032,41,1000),SEARCH(" - ",MID('Industriesektor GWh'!$B5032,41,1000))-1),nrg_cb_e!$C$3:$C$40,0))</f>
        <v>FC_IND_NFM_E</v>
      </c>
      <c r="G5032" s="18">
        <v>429</v>
      </c>
    </row>
    <row r="5033" spans="1:7" x14ac:dyDescent="0.2">
      <c r="A5033" s="19" t="s">
        <v>45</v>
      </c>
      <c r="B5033" s="20" t="s">
        <v>64</v>
      </c>
      <c r="C5033" s="20" t="s">
        <v>8</v>
      </c>
      <c r="D5033" s="20" t="s">
        <v>10</v>
      </c>
      <c r="E5033" s="20" t="s">
        <v>28</v>
      </c>
      <c r="F5033" s="20" t="str">
        <f>INDEX(nrg_cb_e!$A$3:$A$40,MATCH(LEFT(MID('Industriesektor GWh'!$B5033,41,1000),SEARCH(" - ",MID('Industriesektor GWh'!$B5033,41,1000))-1),nrg_cb_e!$C$3:$C$40,0))</f>
        <v>FC_IND_NFM_E</v>
      </c>
      <c r="G5033" s="21">
        <v>438</v>
      </c>
    </row>
    <row r="5034" spans="1:7" x14ac:dyDescent="0.2">
      <c r="A5034" s="16" t="s">
        <v>46</v>
      </c>
      <c r="B5034" s="17" t="s">
        <v>64</v>
      </c>
      <c r="C5034" s="17" t="s">
        <v>8</v>
      </c>
      <c r="D5034" s="17" t="s">
        <v>10</v>
      </c>
      <c r="E5034" s="17" t="s">
        <v>12</v>
      </c>
      <c r="F5034" s="17" t="str">
        <f>INDEX(nrg_cb_e!$A$3:$A$40,MATCH(LEFT(MID('Industriesektor GWh'!$B5034,41,1000),SEARCH(" - ",MID('Industriesektor GWh'!$B5034,41,1000))-1),nrg_cb_e!$C$3:$C$40,0))</f>
        <v>FC_IND_NFM_E</v>
      </c>
      <c r="G5034" s="18">
        <v>0</v>
      </c>
    </row>
    <row r="5035" spans="1:7" x14ac:dyDescent="0.2">
      <c r="A5035" s="19" t="s">
        <v>46</v>
      </c>
      <c r="B5035" s="20" t="s">
        <v>64</v>
      </c>
      <c r="C5035" s="20" t="s">
        <v>8</v>
      </c>
      <c r="D5035" s="20" t="s">
        <v>10</v>
      </c>
      <c r="E5035" s="20" t="s">
        <v>13</v>
      </c>
      <c r="F5035" s="20" t="str">
        <f>INDEX(nrg_cb_e!$A$3:$A$40,MATCH(LEFT(MID('Industriesektor GWh'!$B5035,41,1000),SEARCH(" - ",MID('Industriesektor GWh'!$B5035,41,1000))-1),nrg_cb_e!$C$3:$C$40,0))</f>
        <v>FC_IND_NFM_E</v>
      </c>
      <c r="G5035" s="21">
        <v>0</v>
      </c>
    </row>
    <row r="5036" spans="1:7" x14ac:dyDescent="0.2">
      <c r="A5036" s="16" t="s">
        <v>46</v>
      </c>
      <c r="B5036" s="17" t="s">
        <v>64</v>
      </c>
      <c r="C5036" s="17" t="s">
        <v>8</v>
      </c>
      <c r="D5036" s="17" t="s">
        <v>10</v>
      </c>
      <c r="E5036" s="17" t="s">
        <v>14</v>
      </c>
      <c r="F5036" s="17" t="str">
        <f>INDEX(nrg_cb_e!$A$3:$A$40,MATCH(LEFT(MID('Industriesektor GWh'!$B5036,41,1000),SEARCH(" - ",MID('Industriesektor GWh'!$B5036,41,1000))-1),nrg_cb_e!$C$3:$C$40,0))</f>
        <v>FC_IND_NFM_E</v>
      </c>
      <c r="G5036" s="18">
        <v>0</v>
      </c>
    </row>
    <row r="5037" spans="1:7" x14ac:dyDescent="0.2">
      <c r="A5037" s="19" t="s">
        <v>46</v>
      </c>
      <c r="B5037" s="20" t="s">
        <v>64</v>
      </c>
      <c r="C5037" s="20" t="s">
        <v>8</v>
      </c>
      <c r="D5037" s="20" t="s">
        <v>10</v>
      </c>
      <c r="E5037" s="20" t="s">
        <v>15</v>
      </c>
      <c r="F5037" s="20" t="str">
        <f>INDEX(nrg_cb_e!$A$3:$A$40,MATCH(LEFT(MID('Industriesektor GWh'!$B5037,41,1000),SEARCH(" - ",MID('Industriesektor GWh'!$B5037,41,1000))-1),nrg_cb_e!$C$3:$C$40,0))</f>
        <v>FC_IND_NFM_E</v>
      </c>
      <c r="G5037" s="21">
        <v>0</v>
      </c>
    </row>
    <row r="5038" spans="1:7" x14ac:dyDescent="0.2">
      <c r="A5038" s="16" t="s">
        <v>46</v>
      </c>
      <c r="B5038" s="17" t="s">
        <v>64</v>
      </c>
      <c r="C5038" s="17" t="s">
        <v>8</v>
      </c>
      <c r="D5038" s="17" t="s">
        <v>10</v>
      </c>
      <c r="E5038" s="17" t="s">
        <v>16</v>
      </c>
      <c r="F5038" s="17" t="str">
        <f>INDEX(nrg_cb_e!$A$3:$A$40,MATCH(LEFT(MID('Industriesektor GWh'!$B5038,41,1000),SEARCH(" - ",MID('Industriesektor GWh'!$B5038,41,1000))-1),nrg_cb_e!$C$3:$C$40,0))</f>
        <v>FC_IND_NFM_E</v>
      </c>
      <c r="G5038" s="18">
        <v>0</v>
      </c>
    </row>
    <row r="5039" spans="1:7" x14ac:dyDescent="0.2">
      <c r="A5039" s="19" t="s">
        <v>46</v>
      </c>
      <c r="B5039" s="20" t="s">
        <v>64</v>
      </c>
      <c r="C5039" s="20" t="s">
        <v>8</v>
      </c>
      <c r="D5039" s="20" t="s">
        <v>10</v>
      </c>
      <c r="E5039" s="20" t="s">
        <v>17</v>
      </c>
      <c r="F5039" s="20" t="str">
        <f>INDEX(nrg_cb_e!$A$3:$A$40,MATCH(LEFT(MID('Industriesektor GWh'!$B5039,41,1000),SEARCH(" - ",MID('Industriesektor GWh'!$B5039,41,1000))-1),nrg_cb_e!$C$3:$C$40,0))</f>
        <v>FC_IND_NFM_E</v>
      </c>
      <c r="G5039" s="21">
        <v>0</v>
      </c>
    </row>
    <row r="5040" spans="1:7" x14ac:dyDescent="0.2">
      <c r="A5040" s="16" t="s">
        <v>46</v>
      </c>
      <c r="B5040" s="17" t="s">
        <v>64</v>
      </c>
      <c r="C5040" s="17" t="s">
        <v>8</v>
      </c>
      <c r="D5040" s="17" t="s">
        <v>10</v>
      </c>
      <c r="E5040" s="17" t="s">
        <v>18</v>
      </c>
      <c r="F5040" s="17" t="str">
        <f>INDEX(nrg_cb_e!$A$3:$A$40,MATCH(LEFT(MID('Industriesektor GWh'!$B5040,41,1000),SEARCH(" - ",MID('Industriesektor GWh'!$B5040,41,1000))-1),nrg_cb_e!$C$3:$C$40,0))</f>
        <v>FC_IND_NFM_E</v>
      </c>
      <c r="G5040" s="18">
        <v>0</v>
      </c>
    </row>
    <row r="5041" spans="1:7" x14ac:dyDescent="0.2">
      <c r="A5041" s="19" t="s">
        <v>46</v>
      </c>
      <c r="B5041" s="20" t="s">
        <v>64</v>
      </c>
      <c r="C5041" s="20" t="s">
        <v>8</v>
      </c>
      <c r="D5041" s="20" t="s">
        <v>10</v>
      </c>
      <c r="E5041" s="20" t="s">
        <v>19</v>
      </c>
      <c r="F5041" s="20" t="str">
        <f>INDEX(nrg_cb_e!$A$3:$A$40,MATCH(LEFT(MID('Industriesektor GWh'!$B5041,41,1000),SEARCH(" - ",MID('Industriesektor GWh'!$B5041,41,1000))-1),nrg_cb_e!$C$3:$C$40,0))</f>
        <v>FC_IND_NFM_E</v>
      </c>
      <c r="G5041" s="21">
        <v>0</v>
      </c>
    </row>
    <row r="5042" spans="1:7" x14ac:dyDescent="0.2">
      <c r="A5042" s="16" t="s">
        <v>46</v>
      </c>
      <c r="B5042" s="17" t="s">
        <v>64</v>
      </c>
      <c r="C5042" s="17" t="s">
        <v>8</v>
      </c>
      <c r="D5042" s="17" t="s">
        <v>10</v>
      </c>
      <c r="E5042" s="17" t="s">
        <v>20</v>
      </c>
      <c r="F5042" s="17" t="str">
        <f>INDEX(nrg_cb_e!$A$3:$A$40,MATCH(LEFT(MID('Industriesektor GWh'!$B5042,41,1000),SEARCH(" - ",MID('Industriesektor GWh'!$B5042,41,1000))-1),nrg_cb_e!$C$3:$C$40,0))</f>
        <v>FC_IND_NFM_E</v>
      </c>
      <c r="G5042" s="18">
        <v>0</v>
      </c>
    </row>
    <row r="5043" spans="1:7" x14ac:dyDescent="0.2">
      <c r="A5043" s="19" t="s">
        <v>46</v>
      </c>
      <c r="B5043" s="20" t="s">
        <v>64</v>
      </c>
      <c r="C5043" s="20" t="s">
        <v>8</v>
      </c>
      <c r="D5043" s="20" t="s">
        <v>10</v>
      </c>
      <c r="E5043" s="20" t="s">
        <v>21</v>
      </c>
      <c r="F5043" s="20" t="str">
        <f>INDEX(nrg_cb_e!$A$3:$A$40,MATCH(LEFT(MID('Industriesektor GWh'!$B5043,41,1000),SEARCH(" - ",MID('Industriesektor GWh'!$B5043,41,1000))-1),nrg_cb_e!$C$3:$C$40,0))</f>
        <v>FC_IND_NFM_E</v>
      </c>
      <c r="G5043" s="21">
        <v>0</v>
      </c>
    </row>
    <row r="5044" spans="1:7" x14ac:dyDescent="0.2">
      <c r="A5044" s="16" t="s">
        <v>46</v>
      </c>
      <c r="B5044" s="17" t="s">
        <v>64</v>
      </c>
      <c r="C5044" s="17" t="s">
        <v>8</v>
      </c>
      <c r="D5044" s="17" t="s">
        <v>10</v>
      </c>
      <c r="E5044" s="17" t="s">
        <v>22</v>
      </c>
      <c r="F5044" s="17" t="str">
        <f>INDEX(nrg_cb_e!$A$3:$A$40,MATCH(LEFT(MID('Industriesektor GWh'!$B5044,41,1000),SEARCH(" - ",MID('Industriesektor GWh'!$B5044,41,1000))-1),nrg_cb_e!$C$3:$C$40,0))</f>
        <v>FC_IND_NFM_E</v>
      </c>
      <c r="G5044" s="18">
        <v>0</v>
      </c>
    </row>
    <row r="5045" spans="1:7" x14ac:dyDescent="0.2">
      <c r="A5045" s="19" t="s">
        <v>46</v>
      </c>
      <c r="B5045" s="20" t="s">
        <v>64</v>
      </c>
      <c r="C5045" s="20" t="s">
        <v>8</v>
      </c>
      <c r="D5045" s="20" t="s">
        <v>10</v>
      </c>
      <c r="E5045" s="20" t="s">
        <v>23</v>
      </c>
      <c r="F5045" s="20" t="str">
        <f>INDEX(nrg_cb_e!$A$3:$A$40,MATCH(LEFT(MID('Industriesektor GWh'!$B5045,41,1000),SEARCH(" - ",MID('Industriesektor GWh'!$B5045,41,1000))-1),nrg_cb_e!$C$3:$C$40,0))</f>
        <v>FC_IND_NFM_E</v>
      </c>
      <c r="G5045" s="21">
        <v>0</v>
      </c>
    </row>
    <row r="5046" spans="1:7" x14ac:dyDescent="0.2">
      <c r="A5046" s="16" t="s">
        <v>46</v>
      </c>
      <c r="B5046" s="17" t="s">
        <v>64</v>
      </c>
      <c r="C5046" s="17" t="s">
        <v>8</v>
      </c>
      <c r="D5046" s="17" t="s">
        <v>10</v>
      </c>
      <c r="E5046" s="17" t="s">
        <v>24</v>
      </c>
      <c r="F5046" s="17" t="str">
        <f>INDEX(nrg_cb_e!$A$3:$A$40,MATCH(LEFT(MID('Industriesektor GWh'!$B5046,41,1000),SEARCH(" - ",MID('Industriesektor GWh'!$B5046,41,1000))-1),nrg_cb_e!$C$3:$C$40,0))</f>
        <v>FC_IND_NFM_E</v>
      </c>
      <c r="G5046" s="18">
        <v>0</v>
      </c>
    </row>
    <row r="5047" spans="1:7" x14ac:dyDescent="0.2">
      <c r="A5047" s="19" t="s">
        <v>46</v>
      </c>
      <c r="B5047" s="20" t="s">
        <v>64</v>
      </c>
      <c r="C5047" s="20" t="s">
        <v>8</v>
      </c>
      <c r="D5047" s="20" t="s">
        <v>10</v>
      </c>
      <c r="E5047" s="20" t="s">
        <v>25</v>
      </c>
      <c r="F5047" s="20" t="str">
        <f>INDEX(nrg_cb_e!$A$3:$A$40,MATCH(LEFT(MID('Industriesektor GWh'!$B5047,41,1000),SEARCH(" - ",MID('Industriesektor GWh'!$B5047,41,1000))-1),nrg_cb_e!$C$3:$C$40,0))</f>
        <v>FC_IND_NFM_E</v>
      </c>
      <c r="G5047" s="21">
        <v>0</v>
      </c>
    </row>
    <row r="5048" spans="1:7" x14ac:dyDescent="0.2">
      <c r="A5048" s="16" t="s">
        <v>46</v>
      </c>
      <c r="B5048" s="17" t="s">
        <v>64</v>
      </c>
      <c r="C5048" s="17" t="s">
        <v>8</v>
      </c>
      <c r="D5048" s="17" t="s">
        <v>10</v>
      </c>
      <c r="E5048" s="17" t="s">
        <v>26</v>
      </c>
      <c r="F5048" s="17" t="str">
        <f>INDEX(nrg_cb_e!$A$3:$A$40,MATCH(LEFT(MID('Industriesektor GWh'!$B5048,41,1000),SEARCH(" - ",MID('Industriesektor GWh'!$B5048,41,1000))-1),nrg_cb_e!$C$3:$C$40,0))</f>
        <v>FC_IND_NFM_E</v>
      </c>
      <c r="G5048" s="18">
        <v>0</v>
      </c>
    </row>
    <row r="5049" spans="1:7" x14ac:dyDescent="0.2">
      <c r="A5049" s="19" t="s">
        <v>46</v>
      </c>
      <c r="B5049" s="20" t="s">
        <v>64</v>
      </c>
      <c r="C5049" s="20" t="s">
        <v>8</v>
      </c>
      <c r="D5049" s="20" t="s">
        <v>10</v>
      </c>
      <c r="E5049" s="20" t="s">
        <v>27</v>
      </c>
      <c r="F5049" s="20" t="str">
        <f>INDEX(nrg_cb_e!$A$3:$A$40,MATCH(LEFT(MID('Industriesektor GWh'!$B5049,41,1000),SEARCH(" - ",MID('Industriesektor GWh'!$B5049,41,1000))-1),nrg_cb_e!$C$3:$C$40,0))</f>
        <v>FC_IND_NFM_E</v>
      </c>
      <c r="G5049" s="21">
        <v>0</v>
      </c>
    </row>
    <row r="5050" spans="1:7" x14ac:dyDescent="0.2">
      <c r="A5050" s="16" t="s">
        <v>46</v>
      </c>
      <c r="B5050" s="17" t="s">
        <v>64</v>
      </c>
      <c r="C5050" s="17" t="s">
        <v>8</v>
      </c>
      <c r="D5050" s="17" t="s">
        <v>10</v>
      </c>
      <c r="E5050" s="17" t="s">
        <v>28</v>
      </c>
      <c r="F5050" s="17" t="str">
        <f>INDEX(nrg_cb_e!$A$3:$A$40,MATCH(LEFT(MID('Industriesektor GWh'!$B5050,41,1000),SEARCH(" - ",MID('Industriesektor GWh'!$B5050,41,1000))-1),nrg_cb_e!$C$3:$C$40,0))</f>
        <v>FC_IND_NFM_E</v>
      </c>
      <c r="G5050" s="18">
        <v>0</v>
      </c>
    </row>
    <row r="5051" spans="1:7" x14ac:dyDescent="0.2">
      <c r="A5051" s="19" t="s">
        <v>47</v>
      </c>
      <c r="B5051" s="20" t="s">
        <v>64</v>
      </c>
      <c r="C5051" s="20" t="s">
        <v>8</v>
      </c>
      <c r="D5051" s="20" t="s">
        <v>10</v>
      </c>
      <c r="E5051" s="20" t="s">
        <v>12</v>
      </c>
      <c r="F5051" s="20" t="str">
        <f>INDEX(nrg_cb_e!$A$3:$A$40,MATCH(LEFT(MID('Industriesektor GWh'!$B5051,41,1000),SEARCH(" - ",MID('Industriesektor GWh'!$B5051,41,1000))-1),nrg_cb_e!$C$3:$C$40,0))</f>
        <v>FC_IND_NFM_E</v>
      </c>
      <c r="G5051" s="21">
        <v>5747</v>
      </c>
    </row>
    <row r="5052" spans="1:7" x14ac:dyDescent="0.2">
      <c r="A5052" s="16" t="s">
        <v>47</v>
      </c>
      <c r="B5052" s="17" t="s">
        <v>64</v>
      </c>
      <c r="C5052" s="17" t="s">
        <v>8</v>
      </c>
      <c r="D5052" s="17" t="s">
        <v>10</v>
      </c>
      <c r="E5052" s="17" t="s">
        <v>13</v>
      </c>
      <c r="F5052" s="17" t="str">
        <f>INDEX(nrg_cb_e!$A$3:$A$40,MATCH(LEFT(MID('Industriesektor GWh'!$B5052,41,1000),SEARCH(" - ",MID('Industriesektor GWh'!$B5052,41,1000))-1),nrg_cb_e!$C$3:$C$40,0))</f>
        <v>FC_IND_NFM_E</v>
      </c>
      <c r="G5052" s="18">
        <v>5828</v>
      </c>
    </row>
    <row r="5053" spans="1:7" x14ac:dyDescent="0.2">
      <c r="A5053" s="19" t="s">
        <v>47</v>
      </c>
      <c r="B5053" s="20" t="s">
        <v>64</v>
      </c>
      <c r="C5053" s="20" t="s">
        <v>8</v>
      </c>
      <c r="D5053" s="20" t="s">
        <v>10</v>
      </c>
      <c r="E5053" s="20" t="s">
        <v>14</v>
      </c>
      <c r="F5053" s="20" t="str">
        <f>INDEX(nrg_cb_e!$A$3:$A$40,MATCH(LEFT(MID('Industriesektor GWh'!$B5053,41,1000),SEARCH(" - ",MID('Industriesektor GWh'!$B5053,41,1000))-1),nrg_cb_e!$C$3:$C$40,0))</f>
        <v>FC_IND_NFM_E</v>
      </c>
      <c r="G5053" s="21">
        <v>6328</v>
      </c>
    </row>
    <row r="5054" spans="1:7" x14ac:dyDescent="0.2">
      <c r="A5054" s="16" t="s">
        <v>47</v>
      </c>
      <c r="B5054" s="17" t="s">
        <v>64</v>
      </c>
      <c r="C5054" s="17" t="s">
        <v>8</v>
      </c>
      <c r="D5054" s="17" t="s">
        <v>10</v>
      </c>
      <c r="E5054" s="17" t="s">
        <v>15</v>
      </c>
      <c r="F5054" s="17" t="str">
        <f>INDEX(nrg_cb_e!$A$3:$A$40,MATCH(LEFT(MID('Industriesektor GWh'!$B5054,41,1000),SEARCH(" - ",MID('Industriesektor GWh'!$B5054,41,1000))-1),nrg_cb_e!$C$3:$C$40,0))</f>
        <v>FC_IND_NFM_E</v>
      </c>
      <c r="G5054" s="18">
        <v>6332</v>
      </c>
    </row>
    <row r="5055" spans="1:7" x14ac:dyDescent="0.2">
      <c r="A5055" s="19" t="s">
        <v>47</v>
      </c>
      <c r="B5055" s="20" t="s">
        <v>64</v>
      </c>
      <c r="C5055" s="20" t="s">
        <v>8</v>
      </c>
      <c r="D5055" s="20" t="s">
        <v>10</v>
      </c>
      <c r="E5055" s="20" t="s">
        <v>16</v>
      </c>
      <c r="F5055" s="20" t="str">
        <f>INDEX(nrg_cb_e!$A$3:$A$40,MATCH(LEFT(MID('Industriesektor GWh'!$B5055,41,1000),SEARCH(" - ",MID('Industriesektor GWh'!$B5055,41,1000))-1),nrg_cb_e!$C$3:$C$40,0))</f>
        <v>FC_IND_NFM_E</v>
      </c>
      <c r="G5055" s="21">
        <v>5722</v>
      </c>
    </row>
    <row r="5056" spans="1:7" x14ac:dyDescent="0.2">
      <c r="A5056" s="16" t="s">
        <v>47</v>
      </c>
      <c r="B5056" s="17" t="s">
        <v>64</v>
      </c>
      <c r="C5056" s="17" t="s">
        <v>8</v>
      </c>
      <c r="D5056" s="17" t="s">
        <v>10</v>
      </c>
      <c r="E5056" s="17" t="s">
        <v>17</v>
      </c>
      <c r="F5056" s="17" t="str">
        <f>INDEX(nrg_cb_e!$A$3:$A$40,MATCH(LEFT(MID('Industriesektor GWh'!$B5056,41,1000),SEARCH(" - ",MID('Industriesektor GWh'!$B5056,41,1000))-1),nrg_cb_e!$C$3:$C$40,0))</f>
        <v>FC_IND_NFM_E</v>
      </c>
      <c r="G5056" s="18">
        <v>6005</v>
      </c>
    </row>
    <row r="5057" spans="1:7" x14ac:dyDescent="0.2">
      <c r="A5057" s="19" t="s">
        <v>47</v>
      </c>
      <c r="B5057" s="20" t="s">
        <v>64</v>
      </c>
      <c r="C5057" s="20" t="s">
        <v>8</v>
      </c>
      <c r="D5057" s="20" t="s">
        <v>10</v>
      </c>
      <c r="E5057" s="20" t="s">
        <v>18</v>
      </c>
      <c r="F5057" s="20" t="str">
        <f>INDEX(nrg_cb_e!$A$3:$A$40,MATCH(LEFT(MID('Industriesektor GWh'!$B5057,41,1000),SEARCH(" - ",MID('Industriesektor GWh'!$B5057,41,1000))-1),nrg_cb_e!$C$3:$C$40,0))</f>
        <v>FC_IND_NFM_E</v>
      </c>
      <c r="G5057" s="21">
        <v>6390</v>
      </c>
    </row>
    <row r="5058" spans="1:7" x14ac:dyDescent="0.2">
      <c r="A5058" s="16" t="s">
        <v>47</v>
      </c>
      <c r="B5058" s="17" t="s">
        <v>64</v>
      </c>
      <c r="C5058" s="17" t="s">
        <v>8</v>
      </c>
      <c r="D5058" s="17" t="s">
        <v>10</v>
      </c>
      <c r="E5058" s="17" t="s">
        <v>19</v>
      </c>
      <c r="F5058" s="17" t="str">
        <f>INDEX(nrg_cb_e!$A$3:$A$40,MATCH(LEFT(MID('Industriesektor GWh'!$B5058,41,1000),SEARCH(" - ",MID('Industriesektor GWh'!$B5058,41,1000))-1),nrg_cb_e!$C$3:$C$40,0))</f>
        <v>FC_IND_NFM_E</v>
      </c>
      <c r="G5058" s="18">
        <v>3838</v>
      </c>
    </row>
    <row r="5059" spans="1:7" x14ac:dyDescent="0.2">
      <c r="A5059" s="19" t="s">
        <v>47</v>
      </c>
      <c r="B5059" s="20" t="s">
        <v>64</v>
      </c>
      <c r="C5059" s="20" t="s">
        <v>8</v>
      </c>
      <c r="D5059" s="20" t="s">
        <v>10</v>
      </c>
      <c r="E5059" s="20" t="s">
        <v>20</v>
      </c>
      <c r="F5059" s="20" t="str">
        <f>INDEX(nrg_cb_e!$A$3:$A$40,MATCH(LEFT(MID('Industriesektor GWh'!$B5059,41,1000),SEARCH(" - ",MID('Industriesektor GWh'!$B5059,41,1000))-1),nrg_cb_e!$C$3:$C$40,0))</f>
        <v>FC_IND_NFM_E</v>
      </c>
      <c r="G5059" s="21">
        <v>4777</v>
      </c>
    </row>
    <row r="5060" spans="1:7" x14ac:dyDescent="0.2">
      <c r="A5060" s="16" t="s">
        <v>47</v>
      </c>
      <c r="B5060" s="17" t="s">
        <v>64</v>
      </c>
      <c r="C5060" s="17" t="s">
        <v>8</v>
      </c>
      <c r="D5060" s="17" t="s">
        <v>10</v>
      </c>
      <c r="E5060" s="17" t="s">
        <v>21</v>
      </c>
      <c r="F5060" s="17" t="str">
        <f>INDEX(nrg_cb_e!$A$3:$A$40,MATCH(LEFT(MID('Industriesektor GWh'!$B5060,41,1000),SEARCH(" - ",MID('Industriesektor GWh'!$B5060,41,1000))-1),nrg_cb_e!$C$3:$C$40,0))</f>
        <v>FC_IND_NFM_E</v>
      </c>
      <c r="G5060" s="18">
        <v>6114</v>
      </c>
    </row>
    <row r="5061" spans="1:7" x14ac:dyDescent="0.2">
      <c r="A5061" s="19" t="s">
        <v>47</v>
      </c>
      <c r="B5061" s="20" t="s">
        <v>64</v>
      </c>
      <c r="C5061" s="20" t="s">
        <v>8</v>
      </c>
      <c r="D5061" s="20" t="s">
        <v>10</v>
      </c>
      <c r="E5061" s="20" t="s">
        <v>22</v>
      </c>
      <c r="F5061" s="20" t="str">
        <f>INDEX(nrg_cb_e!$A$3:$A$40,MATCH(LEFT(MID('Industriesektor GWh'!$B5061,41,1000),SEARCH(" - ",MID('Industriesektor GWh'!$B5061,41,1000))-1),nrg_cb_e!$C$3:$C$40,0))</f>
        <v>FC_IND_NFM_E</v>
      </c>
      <c r="G5061" s="21">
        <v>2774</v>
      </c>
    </row>
    <row r="5062" spans="1:7" x14ac:dyDescent="0.2">
      <c r="A5062" s="16" t="s">
        <v>47</v>
      </c>
      <c r="B5062" s="17" t="s">
        <v>64</v>
      </c>
      <c r="C5062" s="17" t="s">
        <v>8</v>
      </c>
      <c r="D5062" s="17" t="s">
        <v>10</v>
      </c>
      <c r="E5062" s="17" t="s">
        <v>23</v>
      </c>
      <c r="F5062" s="17" t="str">
        <f>INDEX(nrg_cb_e!$A$3:$A$40,MATCH(LEFT(MID('Industriesektor GWh'!$B5062,41,1000),SEARCH(" - ",MID('Industriesektor GWh'!$B5062,41,1000))-1),nrg_cb_e!$C$3:$C$40,0))</f>
        <v>FC_IND_NFM_E</v>
      </c>
      <c r="G5062" s="18">
        <v>2838</v>
      </c>
    </row>
    <row r="5063" spans="1:7" x14ac:dyDescent="0.2">
      <c r="A5063" s="19" t="s">
        <v>47</v>
      </c>
      <c r="B5063" s="20" t="s">
        <v>64</v>
      </c>
      <c r="C5063" s="20" t="s">
        <v>8</v>
      </c>
      <c r="D5063" s="20" t="s">
        <v>10</v>
      </c>
      <c r="E5063" s="20" t="s">
        <v>24</v>
      </c>
      <c r="F5063" s="20" t="str">
        <f>INDEX(nrg_cb_e!$A$3:$A$40,MATCH(LEFT(MID('Industriesektor GWh'!$B5063,41,1000),SEARCH(" - ",MID('Industriesektor GWh'!$B5063,41,1000))-1),nrg_cb_e!$C$3:$C$40,0))</f>
        <v>FC_IND_NFM_E</v>
      </c>
      <c r="G5063" s="21">
        <v>1630</v>
      </c>
    </row>
    <row r="5064" spans="1:7" x14ac:dyDescent="0.2">
      <c r="A5064" s="16" t="s">
        <v>47</v>
      </c>
      <c r="B5064" s="17" t="s">
        <v>64</v>
      </c>
      <c r="C5064" s="17" t="s">
        <v>8</v>
      </c>
      <c r="D5064" s="17" t="s">
        <v>10</v>
      </c>
      <c r="E5064" s="17" t="s">
        <v>25</v>
      </c>
      <c r="F5064" s="17" t="str">
        <f>INDEX(nrg_cb_e!$A$3:$A$40,MATCH(LEFT(MID('Industriesektor GWh'!$B5064,41,1000),SEARCH(" - ",MID('Industriesektor GWh'!$B5064,41,1000))-1),nrg_cb_e!$C$3:$C$40,0))</f>
        <v>FC_IND_NFM_E</v>
      </c>
      <c r="G5064" s="18">
        <v>2037.0830000000001</v>
      </c>
    </row>
    <row r="5065" spans="1:7" x14ac:dyDescent="0.2">
      <c r="A5065" s="19" t="s">
        <v>47</v>
      </c>
      <c r="B5065" s="20" t="s">
        <v>64</v>
      </c>
      <c r="C5065" s="20" t="s">
        <v>8</v>
      </c>
      <c r="D5065" s="20" t="s">
        <v>10</v>
      </c>
      <c r="E5065" s="20" t="s">
        <v>26</v>
      </c>
      <c r="F5065" s="20" t="str">
        <f>INDEX(nrg_cb_e!$A$3:$A$40,MATCH(LEFT(MID('Industriesektor GWh'!$B5065,41,1000),SEARCH(" - ",MID('Industriesektor GWh'!$B5065,41,1000))-1),nrg_cb_e!$C$3:$C$40,0))</f>
        <v>FC_IND_NFM_E</v>
      </c>
      <c r="G5065" s="21">
        <v>2222.39</v>
      </c>
    </row>
    <row r="5066" spans="1:7" x14ac:dyDescent="0.2">
      <c r="A5066" s="16" t="s">
        <v>47</v>
      </c>
      <c r="B5066" s="17" t="s">
        <v>64</v>
      </c>
      <c r="C5066" s="17" t="s">
        <v>8</v>
      </c>
      <c r="D5066" s="17" t="s">
        <v>10</v>
      </c>
      <c r="E5066" s="17" t="s">
        <v>27</v>
      </c>
      <c r="F5066" s="17" t="str">
        <f>INDEX(nrg_cb_e!$A$3:$A$40,MATCH(LEFT(MID('Industriesektor GWh'!$B5066,41,1000),SEARCH(" - ",MID('Industriesektor GWh'!$B5066,41,1000))-1),nrg_cb_e!$C$3:$C$40,0))</f>
        <v>FC_IND_NFM_E</v>
      </c>
      <c r="G5066" s="18">
        <v>1994.8209999999999</v>
      </c>
    </row>
    <row r="5067" spans="1:7" x14ac:dyDescent="0.2">
      <c r="A5067" s="19" t="s">
        <v>47</v>
      </c>
      <c r="B5067" s="20" t="s">
        <v>64</v>
      </c>
      <c r="C5067" s="20" t="s">
        <v>8</v>
      </c>
      <c r="D5067" s="20" t="s">
        <v>10</v>
      </c>
      <c r="E5067" s="20" t="s">
        <v>28</v>
      </c>
      <c r="F5067" s="20" t="str">
        <f>INDEX(nrg_cb_e!$A$3:$A$40,MATCH(LEFT(MID('Industriesektor GWh'!$B5067,41,1000),SEARCH(" - ",MID('Industriesektor GWh'!$B5067,41,1000))-1),nrg_cb_e!$C$3:$C$40,0))</f>
        <v>FC_IND_NFM_E</v>
      </c>
      <c r="G5067" s="21">
        <v>2237.9940000000001</v>
      </c>
    </row>
    <row r="5068" spans="1:7" x14ac:dyDescent="0.2">
      <c r="A5068" s="16" t="s">
        <v>48</v>
      </c>
      <c r="B5068" s="17" t="s">
        <v>64</v>
      </c>
      <c r="C5068" s="17" t="s">
        <v>8</v>
      </c>
      <c r="D5068" s="17" t="s">
        <v>10</v>
      </c>
      <c r="E5068" s="17" t="s">
        <v>12</v>
      </c>
      <c r="F5068" s="17" t="str">
        <f>INDEX(nrg_cb_e!$A$3:$A$40,MATCH(LEFT(MID('Industriesektor GWh'!$B5068,41,1000),SEARCH(" - ",MID('Industriesektor GWh'!$B5068,41,1000))-1),nrg_cb_e!$C$3:$C$40,0))</f>
        <v>FC_IND_NFM_E</v>
      </c>
      <c r="G5068" s="18">
        <v>662</v>
      </c>
    </row>
    <row r="5069" spans="1:7" x14ac:dyDescent="0.2">
      <c r="A5069" s="19" t="s">
        <v>48</v>
      </c>
      <c r="B5069" s="20" t="s">
        <v>64</v>
      </c>
      <c r="C5069" s="20" t="s">
        <v>8</v>
      </c>
      <c r="D5069" s="20" t="s">
        <v>10</v>
      </c>
      <c r="E5069" s="20" t="s">
        <v>13</v>
      </c>
      <c r="F5069" s="20" t="str">
        <f>INDEX(nrg_cb_e!$A$3:$A$40,MATCH(LEFT(MID('Industriesektor GWh'!$B5069,41,1000),SEARCH(" - ",MID('Industriesektor GWh'!$B5069,41,1000))-1),nrg_cb_e!$C$3:$C$40,0))</f>
        <v>FC_IND_NFM_E</v>
      </c>
      <c r="G5069" s="21">
        <v>704</v>
      </c>
    </row>
    <row r="5070" spans="1:7" x14ac:dyDescent="0.2">
      <c r="A5070" s="16" t="s">
        <v>48</v>
      </c>
      <c r="B5070" s="17" t="s">
        <v>64</v>
      </c>
      <c r="C5070" s="17" t="s">
        <v>8</v>
      </c>
      <c r="D5070" s="17" t="s">
        <v>10</v>
      </c>
      <c r="E5070" s="17" t="s">
        <v>14</v>
      </c>
      <c r="F5070" s="17" t="str">
        <f>INDEX(nrg_cb_e!$A$3:$A$40,MATCH(LEFT(MID('Industriesektor GWh'!$B5070,41,1000),SEARCH(" - ",MID('Industriesektor GWh'!$B5070,41,1000))-1),nrg_cb_e!$C$3:$C$40,0))</f>
        <v>FC_IND_NFM_E</v>
      </c>
      <c r="G5070" s="18">
        <v>776</v>
      </c>
    </row>
    <row r="5071" spans="1:7" x14ac:dyDescent="0.2">
      <c r="A5071" s="19" t="s">
        <v>48</v>
      </c>
      <c r="B5071" s="20" t="s">
        <v>64</v>
      </c>
      <c r="C5071" s="20" t="s">
        <v>8</v>
      </c>
      <c r="D5071" s="20" t="s">
        <v>10</v>
      </c>
      <c r="E5071" s="20" t="s">
        <v>15</v>
      </c>
      <c r="F5071" s="20" t="str">
        <f>INDEX(nrg_cb_e!$A$3:$A$40,MATCH(LEFT(MID('Industriesektor GWh'!$B5071,41,1000),SEARCH(" - ",MID('Industriesektor GWh'!$B5071,41,1000))-1),nrg_cb_e!$C$3:$C$40,0))</f>
        <v>FC_IND_NFM_E</v>
      </c>
      <c r="G5071" s="21">
        <v>798.08500000000004</v>
      </c>
    </row>
    <row r="5072" spans="1:7" x14ac:dyDescent="0.2">
      <c r="A5072" s="16" t="s">
        <v>48</v>
      </c>
      <c r="B5072" s="17" t="s">
        <v>64</v>
      </c>
      <c r="C5072" s="17" t="s">
        <v>8</v>
      </c>
      <c r="D5072" s="17" t="s">
        <v>10</v>
      </c>
      <c r="E5072" s="17" t="s">
        <v>16</v>
      </c>
      <c r="F5072" s="17" t="str">
        <f>INDEX(nrg_cb_e!$A$3:$A$40,MATCH(LEFT(MID('Industriesektor GWh'!$B5072,41,1000),SEARCH(" - ",MID('Industriesektor GWh'!$B5072,41,1000))-1),nrg_cb_e!$C$3:$C$40,0))</f>
        <v>FC_IND_NFM_E</v>
      </c>
      <c r="G5072" s="18">
        <v>829.12199999999996</v>
      </c>
    </row>
    <row r="5073" spans="1:7" x14ac:dyDescent="0.2">
      <c r="A5073" s="19" t="s">
        <v>48</v>
      </c>
      <c r="B5073" s="20" t="s">
        <v>64</v>
      </c>
      <c r="C5073" s="20" t="s">
        <v>8</v>
      </c>
      <c r="D5073" s="20" t="s">
        <v>10</v>
      </c>
      <c r="E5073" s="20" t="s">
        <v>17</v>
      </c>
      <c r="F5073" s="20" t="str">
        <f>INDEX(nrg_cb_e!$A$3:$A$40,MATCH(LEFT(MID('Industriesektor GWh'!$B5073,41,1000),SEARCH(" - ",MID('Industriesektor GWh'!$B5073,41,1000))-1),nrg_cb_e!$C$3:$C$40,0))</f>
        <v>FC_IND_NFM_E</v>
      </c>
      <c r="G5073" s="21">
        <v>882.66300000000001</v>
      </c>
    </row>
    <row r="5074" spans="1:7" x14ac:dyDescent="0.2">
      <c r="A5074" s="16" t="s">
        <v>48</v>
      </c>
      <c r="B5074" s="17" t="s">
        <v>64</v>
      </c>
      <c r="C5074" s="17" t="s">
        <v>8</v>
      </c>
      <c r="D5074" s="17" t="s">
        <v>10</v>
      </c>
      <c r="E5074" s="17" t="s">
        <v>18</v>
      </c>
      <c r="F5074" s="17" t="str">
        <f>INDEX(nrg_cb_e!$A$3:$A$40,MATCH(LEFT(MID('Industriesektor GWh'!$B5074,41,1000),SEARCH(" - ",MID('Industriesektor GWh'!$B5074,41,1000))-1),nrg_cb_e!$C$3:$C$40,0))</f>
        <v>FC_IND_NFM_E</v>
      </c>
      <c r="G5074" s="18">
        <v>860.91899999999998</v>
      </c>
    </row>
    <row r="5075" spans="1:7" x14ac:dyDescent="0.2">
      <c r="A5075" s="19" t="s">
        <v>48</v>
      </c>
      <c r="B5075" s="20" t="s">
        <v>64</v>
      </c>
      <c r="C5075" s="20" t="s">
        <v>8</v>
      </c>
      <c r="D5075" s="20" t="s">
        <v>10</v>
      </c>
      <c r="E5075" s="20" t="s">
        <v>19</v>
      </c>
      <c r="F5075" s="20" t="str">
        <f>INDEX(nrg_cb_e!$A$3:$A$40,MATCH(LEFT(MID('Industriesektor GWh'!$B5075,41,1000),SEARCH(" - ",MID('Industriesektor GWh'!$B5075,41,1000))-1),nrg_cb_e!$C$3:$C$40,0))</f>
        <v>FC_IND_NFM_E</v>
      </c>
      <c r="G5075" s="21">
        <v>782.13900000000001</v>
      </c>
    </row>
    <row r="5076" spans="1:7" x14ac:dyDescent="0.2">
      <c r="A5076" s="16" t="s">
        <v>48</v>
      </c>
      <c r="B5076" s="17" t="s">
        <v>64</v>
      </c>
      <c r="C5076" s="17" t="s">
        <v>8</v>
      </c>
      <c r="D5076" s="17" t="s">
        <v>10</v>
      </c>
      <c r="E5076" s="17" t="s">
        <v>20</v>
      </c>
      <c r="F5076" s="17" t="str">
        <f>INDEX(nrg_cb_e!$A$3:$A$40,MATCH(LEFT(MID('Industriesektor GWh'!$B5076,41,1000),SEARCH(" - ",MID('Industriesektor GWh'!$B5076,41,1000))-1),nrg_cb_e!$C$3:$C$40,0))</f>
        <v>FC_IND_NFM_E</v>
      </c>
      <c r="G5076" s="18">
        <v>852.12300000000005</v>
      </c>
    </row>
    <row r="5077" spans="1:7" x14ac:dyDescent="0.2">
      <c r="A5077" s="19" t="s">
        <v>48</v>
      </c>
      <c r="B5077" s="20" t="s">
        <v>64</v>
      </c>
      <c r="C5077" s="20" t="s">
        <v>8</v>
      </c>
      <c r="D5077" s="20" t="s">
        <v>10</v>
      </c>
      <c r="E5077" s="20" t="s">
        <v>21</v>
      </c>
      <c r="F5077" s="20" t="str">
        <f>INDEX(nrg_cb_e!$A$3:$A$40,MATCH(LEFT(MID('Industriesektor GWh'!$B5077,41,1000),SEARCH(" - ",MID('Industriesektor GWh'!$B5077,41,1000))-1),nrg_cb_e!$C$3:$C$40,0))</f>
        <v>FC_IND_NFM_E</v>
      </c>
      <c r="G5077" s="21">
        <v>966.35599999999999</v>
      </c>
    </row>
    <row r="5078" spans="1:7" x14ac:dyDescent="0.2">
      <c r="A5078" s="16" t="s">
        <v>48</v>
      </c>
      <c r="B5078" s="17" t="s">
        <v>64</v>
      </c>
      <c r="C5078" s="17" t="s">
        <v>8</v>
      </c>
      <c r="D5078" s="17" t="s">
        <v>10</v>
      </c>
      <c r="E5078" s="17" t="s">
        <v>22</v>
      </c>
      <c r="F5078" s="17" t="str">
        <f>INDEX(nrg_cb_e!$A$3:$A$40,MATCH(LEFT(MID('Industriesektor GWh'!$B5078,41,1000),SEARCH(" - ",MID('Industriesektor GWh'!$B5078,41,1000))-1),nrg_cb_e!$C$3:$C$40,0))</f>
        <v>FC_IND_NFM_E</v>
      </c>
      <c r="G5078" s="18">
        <v>986.80399999999997</v>
      </c>
    </row>
    <row r="5079" spans="1:7" x14ac:dyDescent="0.2">
      <c r="A5079" s="19" t="s">
        <v>48</v>
      </c>
      <c r="B5079" s="20" t="s">
        <v>64</v>
      </c>
      <c r="C5079" s="20" t="s">
        <v>8</v>
      </c>
      <c r="D5079" s="20" t="s">
        <v>10</v>
      </c>
      <c r="E5079" s="20" t="s">
        <v>23</v>
      </c>
      <c r="F5079" s="20" t="str">
        <f>INDEX(nrg_cb_e!$A$3:$A$40,MATCH(LEFT(MID('Industriesektor GWh'!$B5079,41,1000),SEARCH(" - ",MID('Industriesektor GWh'!$B5079,41,1000))-1),nrg_cb_e!$C$3:$C$40,0))</f>
        <v>FC_IND_NFM_E</v>
      </c>
      <c r="G5079" s="21">
        <v>952.995</v>
      </c>
    </row>
    <row r="5080" spans="1:7" x14ac:dyDescent="0.2">
      <c r="A5080" s="16" t="s">
        <v>48</v>
      </c>
      <c r="B5080" s="17" t="s">
        <v>64</v>
      </c>
      <c r="C5080" s="17" t="s">
        <v>8</v>
      </c>
      <c r="D5080" s="17" t="s">
        <v>10</v>
      </c>
      <c r="E5080" s="17" t="s">
        <v>24</v>
      </c>
      <c r="F5080" s="17" t="str">
        <f>INDEX(nrg_cb_e!$A$3:$A$40,MATCH(LEFT(MID('Industriesektor GWh'!$B5080,41,1000),SEARCH(" - ",MID('Industriesektor GWh'!$B5080,41,1000))-1),nrg_cb_e!$C$3:$C$40,0))</f>
        <v>FC_IND_NFM_E</v>
      </c>
      <c r="G5080" s="18">
        <v>992.66</v>
      </c>
    </row>
    <row r="5081" spans="1:7" x14ac:dyDescent="0.2">
      <c r="A5081" s="19" t="s">
        <v>48</v>
      </c>
      <c r="B5081" s="20" t="s">
        <v>64</v>
      </c>
      <c r="C5081" s="20" t="s">
        <v>8</v>
      </c>
      <c r="D5081" s="20" t="s">
        <v>10</v>
      </c>
      <c r="E5081" s="20" t="s">
        <v>25</v>
      </c>
      <c r="F5081" s="20" t="str">
        <f>INDEX(nrg_cb_e!$A$3:$A$40,MATCH(LEFT(MID('Industriesektor GWh'!$B5081,41,1000),SEARCH(" - ",MID('Industriesektor GWh'!$B5081,41,1000))-1),nrg_cb_e!$C$3:$C$40,0))</f>
        <v>FC_IND_NFM_E</v>
      </c>
      <c r="G5081" s="21">
        <v>962.60500000000002</v>
      </c>
    </row>
    <row r="5082" spans="1:7" x14ac:dyDescent="0.2">
      <c r="A5082" s="16" t="s">
        <v>48</v>
      </c>
      <c r="B5082" s="17" t="s">
        <v>64</v>
      </c>
      <c r="C5082" s="17" t="s">
        <v>8</v>
      </c>
      <c r="D5082" s="17" t="s">
        <v>10</v>
      </c>
      <c r="E5082" s="17" t="s">
        <v>26</v>
      </c>
      <c r="F5082" s="17" t="str">
        <f>INDEX(nrg_cb_e!$A$3:$A$40,MATCH(LEFT(MID('Industriesektor GWh'!$B5082,41,1000),SEARCH(" - ",MID('Industriesektor GWh'!$B5082,41,1000))-1),nrg_cb_e!$C$3:$C$40,0))</f>
        <v>FC_IND_NFM_E</v>
      </c>
      <c r="G5082" s="18">
        <v>1034.4570000000001</v>
      </c>
    </row>
    <row r="5083" spans="1:7" x14ac:dyDescent="0.2">
      <c r="A5083" s="19" t="s">
        <v>48</v>
      </c>
      <c r="B5083" s="20" t="s">
        <v>64</v>
      </c>
      <c r="C5083" s="20" t="s">
        <v>8</v>
      </c>
      <c r="D5083" s="20" t="s">
        <v>10</v>
      </c>
      <c r="E5083" s="20" t="s">
        <v>27</v>
      </c>
      <c r="F5083" s="20" t="str">
        <f>INDEX(nrg_cb_e!$A$3:$A$40,MATCH(LEFT(MID('Industriesektor GWh'!$B5083,41,1000),SEARCH(" - ",MID('Industriesektor GWh'!$B5083,41,1000))-1),nrg_cb_e!$C$3:$C$40,0))</f>
        <v>FC_IND_NFM_E</v>
      </c>
      <c r="G5083" s="21">
        <v>1045.556</v>
      </c>
    </row>
    <row r="5084" spans="1:7" x14ac:dyDescent="0.2">
      <c r="A5084" s="16" t="s">
        <v>48</v>
      </c>
      <c r="B5084" s="17" t="s">
        <v>64</v>
      </c>
      <c r="C5084" s="17" t="s">
        <v>8</v>
      </c>
      <c r="D5084" s="17" t="s">
        <v>10</v>
      </c>
      <c r="E5084" s="17" t="s">
        <v>28</v>
      </c>
      <c r="F5084" s="17" t="str">
        <f>INDEX(nrg_cb_e!$A$3:$A$40,MATCH(LEFT(MID('Industriesektor GWh'!$B5084,41,1000),SEARCH(" - ",MID('Industriesektor GWh'!$B5084,41,1000))-1),nrg_cb_e!$C$3:$C$40,0))</f>
        <v>FC_IND_NFM_E</v>
      </c>
      <c r="G5084" s="18">
        <v>1060.201</v>
      </c>
    </row>
    <row r="5085" spans="1:7" x14ac:dyDescent="0.2">
      <c r="A5085" s="19" t="s">
        <v>49</v>
      </c>
      <c r="B5085" s="20" t="s">
        <v>64</v>
      </c>
      <c r="C5085" s="20" t="s">
        <v>8</v>
      </c>
      <c r="D5085" s="20" t="s">
        <v>10</v>
      </c>
      <c r="E5085" s="20" t="s">
        <v>12</v>
      </c>
      <c r="F5085" s="20" t="str">
        <f>INDEX(nrg_cb_e!$A$3:$A$40,MATCH(LEFT(MID('Industriesektor GWh'!$B5085,41,1000),SEARCH(" - ",MID('Industriesektor GWh'!$B5085,41,1000))-1),nrg_cb_e!$C$3:$C$40,0))</f>
        <v>FC_IND_NFM_E</v>
      </c>
      <c r="G5085" s="21">
        <v>3523</v>
      </c>
    </row>
    <row r="5086" spans="1:7" x14ac:dyDescent="0.2">
      <c r="A5086" s="16" t="s">
        <v>49</v>
      </c>
      <c r="B5086" s="17" t="s">
        <v>64</v>
      </c>
      <c r="C5086" s="17" t="s">
        <v>8</v>
      </c>
      <c r="D5086" s="17" t="s">
        <v>10</v>
      </c>
      <c r="E5086" s="17" t="s">
        <v>13</v>
      </c>
      <c r="F5086" s="17" t="str">
        <f>INDEX(nrg_cb_e!$A$3:$A$40,MATCH(LEFT(MID('Industriesektor GWh'!$B5086,41,1000),SEARCH(" - ",MID('Industriesektor GWh'!$B5086,41,1000))-1),nrg_cb_e!$C$3:$C$40,0))</f>
        <v>FC_IND_NFM_E</v>
      </c>
      <c r="G5086" s="18">
        <v>3511</v>
      </c>
    </row>
    <row r="5087" spans="1:7" x14ac:dyDescent="0.2">
      <c r="A5087" s="19" t="s">
        <v>49</v>
      </c>
      <c r="B5087" s="20" t="s">
        <v>64</v>
      </c>
      <c r="C5087" s="20" t="s">
        <v>8</v>
      </c>
      <c r="D5087" s="20" t="s">
        <v>10</v>
      </c>
      <c r="E5087" s="20" t="s">
        <v>14</v>
      </c>
      <c r="F5087" s="20" t="str">
        <f>INDEX(nrg_cb_e!$A$3:$A$40,MATCH(LEFT(MID('Industriesektor GWh'!$B5087,41,1000),SEARCH(" - ",MID('Industriesektor GWh'!$B5087,41,1000))-1),nrg_cb_e!$C$3:$C$40,0))</f>
        <v>FC_IND_NFM_E</v>
      </c>
      <c r="G5087" s="21">
        <v>3559</v>
      </c>
    </row>
    <row r="5088" spans="1:7" x14ac:dyDescent="0.2">
      <c r="A5088" s="16" t="s">
        <v>49</v>
      </c>
      <c r="B5088" s="17" t="s">
        <v>64</v>
      </c>
      <c r="C5088" s="17" t="s">
        <v>8</v>
      </c>
      <c r="D5088" s="17" t="s">
        <v>10</v>
      </c>
      <c r="E5088" s="17" t="s">
        <v>15</v>
      </c>
      <c r="F5088" s="17" t="str">
        <f>INDEX(nrg_cb_e!$A$3:$A$40,MATCH(LEFT(MID('Industriesektor GWh'!$B5088,41,1000),SEARCH(" - ",MID('Industriesektor GWh'!$B5088,41,1000))-1),nrg_cb_e!$C$3:$C$40,0))</f>
        <v>FC_IND_NFM_E</v>
      </c>
      <c r="G5088" s="18">
        <v>3483</v>
      </c>
    </row>
    <row r="5089" spans="1:7" x14ac:dyDescent="0.2">
      <c r="A5089" s="19" t="s">
        <v>49</v>
      </c>
      <c r="B5089" s="20" t="s">
        <v>64</v>
      </c>
      <c r="C5089" s="20" t="s">
        <v>8</v>
      </c>
      <c r="D5089" s="20" t="s">
        <v>10</v>
      </c>
      <c r="E5089" s="20" t="s">
        <v>16</v>
      </c>
      <c r="F5089" s="20" t="str">
        <f>INDEX(nrg_cb_e!$A$3:$A$40,MATCH(LEFT(MID('Industriesektor GWh'!$B5089,41,1000),SEARCH(" - ",MID('Industriesektor GWh'!$B5089,41,1000))-1),nrg_cb_e!$C$3:$C$40,0))</f>
        <v>FC_IND_NFM_E</v>
      </c>
      <c r="G5089" s="21">
        <v>3565</v>
      </c>
    </row>
    <row r="5090" spans="1:7" x14ac:dyDescent="0.2">
      <c r="A5090" s="16" t="s">
        <v>49</v>
      </c>
      <c r="B5090" s="17" t="s">
        <v>64</v>
      </c>
      <c r="C5090" s="17" t="s">
        <v>8</v>
      </c>
      <c r="D5090" s="17" t="s">
        <v>10</v>
      </c>
      <c r="E5090" s="17" t="s">
        <v>17</v>
      </c>
      <c r="F5090" s="17" t="str">
        <f>INDEX(nrg_cb_e!$A$3:$A$40,MATCH(LEFT(MID('Industriesektor GWh'!$B5090,41,1000),SEARCH(" - ",MID('Industriesektor GWh'!$B5090,41,1000))-1),nrg_cb_e!$C$3:$C$40,0))</f>
        <v>FC_IND_NFM_E</v>
      </c>
      <c r="G5090" s="18">
        <v>3526</v>
      </c>
    </row>
    <row r="5091" spans="1:7" x14ac:dyDescent="0.2">
      <c r="A5091" s="19" t="s">
        <v>49</v>
      </c>
      <c r="B5091" s="20" t="s">
        <v>64</v>
      </c>
      <c r="C5091" s="20" t="s">
        <v>8</v>
      </c>
      <c r="D5091" s="20" t="s">
        <v>10</v>
      </c>
      <c r="E5091" s="20" t="s">
        <v>18</v>
      </c>
      <c r="F5091" s="20" t="str">
        <f>INDEX(nrg_cb_e!$A$3:$A$40,MATCH(LEFT(MID('Industriesektor GWh'!$B5091,41,1000),SEARCH(" - ",MID('Industriesektor GWh'!$B5091,41,1000))-1),nrg_cb_e!$C$3:$C$40,0))</f>
        <v>FC_IND_NFM_E</v>
      </c>
      <c r="G5091" s="21">
        <v>2962</v>
      </c>
    </row>
    <row r="5092" spans="1:7" x14ac:dyDescent="0.2">
      <c r="A5092" s="16" t="s">
        <v>49</v>
      </c>
      <c r="B5092" s="17" t="s">
        <v>64</v>
      </c>
      <c r="C5092" s="17" t="s">
        <v>8</v>
      </c>
      <c r="D5092" s="17" t="s">
        <v>10</v>
      </c>
      <c r="E5092" s="17" t="s">
        <v>19</v>
      </c>
      <c r="F5092" s="17" t="str">
        <f>INDEX(nrg_cb_e!$A$3:$A$40,MATCH(LEFT(MID('Industriesektor GWh'!$B5092,41,1000),SEARCH(" - ",MID('Industriesektor GWh'!$B5092,41,1000))-1),nrg_cb_e!$C$3:$C$40,0))</f>
        <v>FC_IND_NFM_E</v>
      </c>
      <c r="G5092" s="18">
        <v>2316</v>
      </c>
    </row>
    <row r="5093" spans="1:7" x14ac:dyDescent="0.2">
      <c r="A5093" s="19" t="s">
        <v>49</v>
      </c>
      <c r="B5093" s="20" t="s">
        <v>64</v>
      </c>
      <c r="C5093" s="20" t="s">
        <v>8</v>
      </c>
      <c r="D5093" s="20" t="s">
        <v>10</v>
      </c>
      <c r="E5093" s="20" t="s">
        <v>20</v>
      </c>
      <c r="F5093" s="20" t="str">
        <f>INDEX(nrg_cb_e!$A$3:$A$40,MATCH(LEFT(MID('Industriesektor GWh'!$B5093,41,1000),SEARCH(" - ",MID('Industriesektor GWh'!$B5093,41,1000))-1),nrg_cb_e!$C$3:$C$40,0))</f>
        <v>FC_IND_NFM_E</v>
      </c>
      <c r="G5093" s="21">
        <v>1713</v>
      </c>
    </row>
    <row r="5094" spans="1:7" x14ac:dyDescent="0.2">
      <c r="A5094" s="16" t="s">
        <v>49</v>
      </c>
      <c r="B5094" s="17" t="s">
        <v>64</v>
      </c>
      <c r="C5094" s="17" t="s">
        <v>8</v>
      </c>
      <c r="D5094" s="17" t="s">
        <v>10</v>
      </c>
      <c r="E5094" s="17" t="s">
        <v>21</v>
      </c>
      <c r="F5094" s="17" t="str">
        <f>INDEX(nrg_cb_e!$A$3:$A$40,MATCH(LEFT(MID('Industriesektor GWh'!$B5094,41,1000),SEARCH(" - ",MID('Industriesektor GWh'!$B5094,41,1000))-1),nrg_cb_e!$C$3:$C$40,0))</f>
        <v>FC_IND_NFM_E</v>
      </c>
      <c r="G5094" s="18">
        <v>1944</v>
      </c>
    </row>
    <row r="5095" spans="1:7" x14ac:dyDescent="0.2">
      <c r="A5095" s="19" t="s">
        <v>49</v>
      </c>
      <c r="B5095" s="20" t="s">
        <v>64</v>
      </c>
      <c r="C5095" s="20" t="s">
        <v>8</v>
      </c>
      <c r="D5095" s="20" t="s">
        <v>10</v>
      </c>
      <c r="E5095" s="20" t="s">
        <v>22</v>
      </c>
      <c r="F5095" s="20" t="str">
        <f>INDEX(nrg_cb_e!$A$3:$A$40,MATCH(LEFT(MID('Industriesektor GWh'!$B5095,41,1000),SEARCH(" - ",MID('Industriesektor GWh'!$B5095,41,1000))-1),nrg_cb_e!$C$3:$C$40,0))</f>
        <v>FC_IND_NFM_E</v>
      </c>
      <c r="G5095" s="21">
        <v>1973</v>
      </c>
    </row>
    <row r="5096" spans="1:7" x14ac:dyDescent="0.2">
      <c r="A5096" s="16" t="s">
        <v>49</v>
      </c>
      <c r="B5096" s="17" t="s">
        <v>64</v>
      </c>
      <c r="C5096" s="17" t="s">
        <v>8</v>
      </c>
      <c r="D5096" s="17" t="s">
        <v>10</v>
      </c>
      <c r="E5096" s="17" t="s">
        <v>23</v>
      </c>
      <c r="F5096" s="17" t="str">
        <f>INDEX(nrg_cb_e!$A$3:$A$40,MATCH(LEFT(MID('Industriesektor GWh'!$B5096,41,1000),SEARCH(" - ",MID('Industriesektor GWh'!$B5096,41,1000))-1),nrg_cb_e!$C$3:$C$40,0))</f>
        <v>FC_IND_NFM_E</v>
      </c>
      <c r="G5096" s="18">
        <v>1972</v>
      </c>
    </row>
    <row r="5097" spans="1:7" x14ac:dyDescent="0.2">
      <c r="A5097" s="19" t="s">
        <v>49</v>
      </c>
      <c r="B5097" s="20" t="s">
        <v>64</v>
      </c>
      <c r="C5097" s="20" t="s">
        <v>8</v>
      </c>
      <c r="D5097" s="20" t="s">
        <v>10</v>
      </c>
      <c r="E5097" s="20" t="s">
        <v>24</v>
      </c>
      <c r="F5097" s="20" t="str">
        <f>INDEX(nrg_cb_e!$A$3:$A$40,MATCH(LEFT(MID('Industriesektor GWh'!$B5097,41,1000),SEARCH(" - ",MID('Industriesektor GWh'!$B5097,41,1000))-1),nrg_cb_e!$C$3:$C$40,0))</f>
        <v>FC_IND_NFM_E</v>
      </c>
      <c r="G5097" s="21">
        <v>2088</v>
      </c>
    </row>
    <row r="5098" spans="1:7" x14ac:dyDescent="0.2">
      <c r="A5098" s="16" t="s">
        <v>49</v>
      </c>
      <c r="B5098" s="17" t="s">
        <v>64</v>
      </c>
      <c r="C5098" s="17" t="s">
        <v>8</v>
      </c>
      <c r="D5098" s="17" t="s">
        <v>10</v>
      </c>
      <c r="E5098" s="17" t="s">
        <v>25</v>
      </c>
      <c r="F5098" s="17" t="str">
        <f>INDEX(nrg_cb_e!$A$3:$A$40,MATCH(LEFT(MID('Industriesektor GWh'!$B5098,41,1000),SEARCH(" - ",MID('Industriesektor GWh'!$B5098,41,1000))-1),nrg_cb_e!$C$3:$C$40,0))</f>
        <v>FC_IND_NFM_E</v>
      </c>
      <c r="G5098" s="18">
        <v>2115</v>
      </c>
    </row>
    <row r="5099" spans="1:7" x14ac:dyDescent="0.2">
      <c r="A5099" s="19" t="s">
        <v>49</v>
      </c>
      <c r="B5099" s="20" t="s">
        <v>64</v>
      </c>
      <c r="C5099" s="20" t="s">
        <v>8</v>
      </c>
      <c r="D5099" s="20" t="s">
        <v>10</v>
      </c>
      <c r="E5099" s="20" t="s">
        <v>26</v>
      </c>
      <c r="F5099" s="20" t="str">
        <f>INDEX(nrg_cb_e!$A$3:$A$40,MATCH(LEFT(MID('Industriesektor GWh'!$B5099,41,1000),SEARCH(" - ",MID('Industriesektor GWh'!$B5099,41,1000))-1),nrg_cb_e!$C$3:$C$40,0))</f>
        <v>FC_IND_NFM_E</v>
      </c>
      <c r="G5099" s="21">
        <v>2145</v>
      </c>
    </row>
    <row r="5100" spans="1:7" x14ac:dyDescent="0.2">
      <c r="A5100" s="16" t="s">
        <v>49</v>
      </c>
      <c r="B5100" s="17" t="s">
        <v>64</v>
      </c>
      <c r="C5100" s="17" t="s">
        <v>8</v>
      </c>
      <c r="D5100" s="17" t="s">
        <v>10</v>
      </c>
      <c r="E5100" s="17" t="s">
        <v>27</v>
      </c>
      <c r="F5100" s="17" t="str">
        <f>INDEX(nrg_cb_e!$A$3:$A$40,MATCH(LEFT(MID('Industriesektor GWh'!$B5100,41,1000),SEARCH(" - ",MID('Industriesektor GWh'!$B5100,41,1000))-1),nrg_cb_e!$C$3:$C$40,0))</f>
        <v>FC_IND_NFM_E</v>
      </c>
      <c r="G5100" s="18">
        <v>2339.7489999999998</v>
      </c>
    </row>
    <row r="5101" spans="1:7" x14ac:dyDescent="0.2">
      <c r="A5101" s="19" t="s">
        <v>49</v>
      </c>
      <c r="B5101" s="20" t="s">
        <v>64</v>
      </c>
      <c r="C5101" s="20" t="s">
        <v>8</v>
      </c>
      <c r="D5101" s="20" t="s">
        <v>10</v>
      </c>
      <c r="E5101" s="20" t="s">
        <v>28</v>
      </c>
      <c r="F5101" s="20" t="str">
        <f>INDEX(nrg_cb_e!$A$3:$A$40,MATCH(LEFT(MID('Industriesektor GWh'!$B5101,41,1000),SEARCH(" - ",MID('Industriesektor GWh'!$B5101,41,1000))-1),nrg_cb_e!$C$3:$C$40,0))</f>
        <v>FC_IND_NFM_E</v>
      </c>
      <c r="G5101" s="21">
        <v>2389.3789999999999</v>
      </c>
    </row>
    <row r="5102" spans="1:7" x14ac:dyDescent="0.2">
      <c r="A5102" s="16" t="s">
        <v>50</v>
      </c>
      <c r="B5102" s="17" t="s">
        <v>64</v>
      </c>
      <c r="C5102" s="17" t="s">
        <v>8</v>
      </c>
      <c r="D5102" s="17" t="s">
        <v>10</v>
      </c>
      <c r="E5102" s="17" t="s">
        <v>12</v>
      </c>
      <c r="F5102" s="17" t="str">
        <f>INDEX(nrg_cb_e!$A$3:$A$40,MATCH(LEFT(MID('Industriesektor GWh'!$B5102,41,1000),SEARCH(" - ",MID('Industriesektor GWh'!$B5102,41,1000))-1),nrg_cb_e!$C$3:$C$40,0))</f>
        <v>FC_IND_NFM_E</v>
      </c>
      <c r="G5102" s="18">
        <v>117</v>
      </c>
    </row>
    <row r="5103" spans="1:7" x14ac:dyDescent="0.2">
      <c r="A5103" s="19" t="s">
        <v>50</v>
      </c>
      <c r="B5103" s="20" t="s">
        <v>64</v>
      </c>
      <c r="C5103" s="20" t="s">
        <v>8</v>
      </c>
      <c r="D5103" s="20" t="s">
        <v>10</v>
      </c>
      <c r="E5103" s="20" t="s">
        <v>13</v>
      </c>
      <c r="F5103" s="20" t="str">
        <f>INDEX(nrg_cb_e!$A$3:$A$40,MATCH(LEFT(MID('Industriesektor GWh'!$B5103,41,1000),SEARCH(" - ",MID('Industriesektor GWh'!$B5103,41,1000))-1),nrg_cb_e!$C$3:$C$40,0))</f>
        <v>FC_IND_NFM_E</v>
      </c>
      <c r="G5103" s="21">
        <v>116</v>
      </c>
    </row>
    <row r="5104" spans="1:7" x14ac:dyDescent="0.2">
      <c r="A5104" s="16" t="s">
        <v>50</v>
      </c>
      <c r="B5104" s="17" t="s">
        <v>64</v>
      </c>
      <c r="C5104" s="17" t="s">
        <v>8</v>
      </c>
      <c r="D5104" s="17" t="s">
        <v>10</v>
      </c>
      <c r="E5104" s="17" t="s">
        <v>14</v>
      </c>
      <c r="F5104" s="17" t="str">
        <f>INDEX(nrg_cb_e!$A$3:$A$40,MATCH(LEFT(MID('Industriesektor GWh'!$B5104,41,1000),SEARCH(" - ",MID('Industriesektor GWh'!$B5104,41,1000))-1),nrg_cb_e!$C$3:$C$40,0))</f>
        <v>FC_IND_NFM_E</v>
      </c>
      <c r="G5104" s="18">
        <v>121</v>
      </c>
    </row>
    <row r="5105" spans="1:7" x14ac:dyDescent="0.2">
      <c r="A5105" s="19" t="s">
        <v>50</v>
      </c>
      <c r="B5105" s="20" t="s">
        <v>64</v>
      </c>
      <c r="C5105" s="20" t="s">
        <v>8</v>
      </c>
      <c r="D5105" s="20" t="s">
        <v>10</v>
      </c>
      <c r="E5105" s="20" t="s">
        <v>15</v>
      </c>
      <c r="F5105" s="20" t="str">
        <f>INDEX(nrg_cb_e!$A$3:$A$40,MATCH(LEFT(MID('Industriesektor GWh'!$B5105,41,1000),SEARCH(" - ",MID('Industriesektor GWh'!$B5105,41,1000))-1),nrg_cb_e!$C$3:$C$40,0))</f>
        <v>FC_IND_NFM_E</v>
      </c>
      <c r="G5105" s="21">
        <v>122</v>
      </c>
    </row>
    <row r="5106" spans="1:7" x14ac:dyDescent="0.2">
      <c r="A5106" s="16" t="s">
        <v>50</v>
      </c>
      <c r="B5106" s="17" t="s">
        <v>64</v>
      </c>
      <c r="C5106" s="17" t="s">
        <v>8</v>
      </c>
      <c r="D5106" s="17" t="s">
        <v>10</v>
      </c>
      <c r="E5106" s="17" t="s">
        <v>16</v>
      </c>
      <c r="F5106" s="17" t="str">
        <f>INDEX(nrg_cb_e!$A$3:$A$40,MATCH(LEFT(MID('Industriesektor GWh'!$B5106,41,1000),SEARCH(" - ",MID('Industriesektor GWh'!$B5106,41,1000))-1),nrg_cb_e!$C$3:$C$40,0))</f>
        <v>FC_IND_NFM_E</v>
      </c>
      <c r="G5106" s="18">
        <v>127</v>
      </c>
    </row>
    <row r="5107" spans="1:7" x14ac:dyDescent="0.2">
      <c r="A5107" s="19" t="s">
        <v>50</v>
      </c>
      <c r="B5107" s="20" t="s">
        <v>64</v>
      </c>
      <c r="C5107" s="20" t="s">
        <v>8</v>
      </c>
      <c r="D5107" s="20" t="s">
        <v>10</v>
      </c>
      <c r="E5107" s="20" t="s">
        <v>17</v>
      </c>
      <c r="F5107" s="20" t="str">
        <f>INDEX(nrg_cb_e!$A$3:$A$40,MATCH(LEFT(MID('Industriesektor GWh'!$B5107,41,1000),SEARCH(" - ",MID('Industriesektor GWh'!$B5107,41,1000))-1),nrg_cb_e!$C$3:$C$40,0))</f>
        <v>FC_IND_NFM_E</v>
      </c>
      <c r="G5107" s="21">
        <v>141</v>
      </c>
    </row>
    <row r="5108" spans="1:7" x14ac:dyDescent="0.2">
      <c r="A5108" s="16" t="s">
        <v>50</v>
      </c>
      <c r="B5108" s="17" t="s">
        <v>64</v>
      </c>
      <c r="C5108" s="17" t="s">
        <v>8</v>
      </c>
      <c r="D5108" s="17" t="s">
        <v>10</v>
      </c>
      <c r="E5108" s="17" t="s">
        <v>18</v>
      </c>
      <c r="F5108" s="17" t="str">
        <f>INDEX(nrg_cb_e!$A$3:$A$40,MATCH(LEFT(MID('Industriesektor GWh'!$B5108,41,1000),SEARCH(" - ",MID('Industriesektor GWh'!$B5108,41,1000))-1),nrg_cb_e!$C$3:$C$40,0))</f>
        <v>FC_IND_NFM_E</v>
      </c>
      <c r="G5108" s="18">
        <v>139</v>
      </c>
    </row>
    <row r="5109" spans="1:7" x14ac:dyDescent="0.2">
      <c r="A5109" s="19" t="s">
        <v>50</v>
      </c>
      <c r="B5109" s="20" t="s">
        <v>64</v>
      </c>
      <c r="C5109" s="20" t="s">
        <v>8</v>
      </c>
      <c r="D5109" s="20" t="s">
        <v>10</v>
      </c>
      <c r="E5109" s="20" t="s">
        <v>19</v>
      </c>
      <c r="F5109" s="20" t="str">
        <f>INDEX(nrg_cb_e!$A$3:$A$40,MATCH(LEFT(MID('Industriesektor GWh'!$B5109,41,1000),SEARCH(" - ",MID('Industriesektor GWh'!$B5109,41,1000))-1),nrg_cb_e!$C$3:$C$40,0))</f>
        <v>FC_IND_NFM_E</v>
      </c>
      <c r="G5109" s="21">
        <v>116</v>
      </c>
    </row>
    <row r="5110" spans="1:7" x14ac:dyDescent="0.2">
      <c r="A5110" s="16" t="s">
        <v>50</v>
      </c>
      <c r="B5110" s="17" t="s">
        <v>64</v>
      </c>
      <c r="C5110" s="17" t="s">
        <v>8</v>
      </c>
      <c r="D5110" s="17" t="s">
        <v>10</v>
      </c>
      <c r="E5110" s="17" t="s">
        <v>20</v>
      </c>
      <c r="F5110" s="17" t="str">
        <f>INDEX(nrg_cb_e!$A$3:$A$40,MATCH(LEFT(MID('Industriesektor GWh'!$B5110,41,1000),SEARCH(" - ",MID('Industriesektor GWh'!$B5110,41,1000))-1),nrg_cb_e!$C$3:$C$40,0))</f>
        <v>FC_IND_NFM_E</v>
      </c>
      <c r="G5110" s="18">
        <v>136</v>
      </c>
    </row>
    <row r="5111" spans="1:7" x14ac:dyDescent="0.2">
      <c r="A5111" s="19" t="s">
        <v>50</v>
      </c>
      <c r="B5111" s="20" t="s">
        <v>64</v>
      </c>
      <c r="C5111" s="20" t="s">
        <v>8</v>
      </c>
      <c r="D5111" s="20" t="s">
        <v>10</v>
      </c>
      <c r="E5111" s="20" t="s">
        <v>21</v>
      </c>
      <c r="F5111" s="20" t="str">
        <f>INDEX(nrg_cb_e!$A$3:$A$40,MATCH(LEFT(MID('Industriesektor GWh'!$B5111,41,1000),SEARCH(" - ",MID('Industriesektor GWh'!$B5111,41,1000))-1),nrg_cb_e!$C$3:$C$40,0))</f>
        <v>FC_IND_NFM_E</v>
      </c>
      <c r="G5111" s="21">
        <v>118</v>
      </c>
    </row>
    <row r="5112" spans="1:7" x14ac:dyDescent="0.2">
      <c r="A5112" s="16" t="s">
        <v>50</v>
      </c>
      <c r="B5112" s="17" t="s">
        <v>64</v>
      </c>
      <c r="C5112" s="17" t="s">
        <v>8</v>
      </c>
      <c r="D5112" s="17" t="s">
        <v>10</v>
      </c>
      <c r="E5112" s="17" t="s">
        <v>22</v>
      </c>
      <c r="F5112" s="17" t="str">
        <f>INDEX(nrg_cb_e!$A$3:$A$40,MATCH(LEFT(MID('Industriesektor GWh'!$B5112,41,1000),SEARCH(" - ",MID('Industriesektor GWh'!$B5112,41,1000))-1),nrg_cb_e!$C$3:$C$40,0))</f>
        <v>FC_IND_NFM_E</v>
      </c>
      <c r="G5112" s="18">
        <v>115</v>
      </c>
    </row>
    <row r="5113" spans="1:7" x14ac:dyDescent="0.2">
      <c r="A5113" s="19" t="s">
        <v>50</v>
      </c>
      <c r="B5113" s="20" t="s">
        <v>64</v>
      </c>
      <c r="C5113" s="20" t="s">
        <v>8</v>
      </c>
      <c r="D5113" s="20" t="s">
        <v>10</v>
      </c>
      <c r="E5113" s="20" t="s">
        <v>23</v>
      </c>
      <c r="F5113" s="20" t="str">
        <f>INDEX(nrg_cb_e!$A$3:$A$40,MATCH(LEFT(MID('Industriesektor GWh'!$B5113,41,1000),SEARCH(" - ",MID('Industriesektor GWh'!$B5113,41,1000))-1),nrg_cb_e!$C$3:$C$40,0))</f>
        <v>FC_IND_NFM_E</v>
      </c>
      <c r="G5113" s="21">
        <v>118</v>
      </c>
    </row>
    <row r="5114" spans="1:7" x14ac:dyDescent="0.2">
      <c r="A5114" s="16" t="s">
        <v>50</v>
      </c>
      <c r="B5114" s="17" t="s">
        <v>64</v>
      </c>
      <c r="C5114" s="17" t="s">
        <v>8</v>
      </c>
      <c r="D5114" s="17" t="s">
        <v>10</v>
      </c>
      <c r="E5114" s="17" t="s">
        <v>24</v>
      </c>
      <c r="F5114" s="17" t="str">
        <f>INDEX(nrg_cb_e!$A$3:$A$40,MATCH(LEFT(MID('Industriesektor GWh'!$B5114,41,1000),SEARCH(" - ",MID('Industriesektor GWh'!$B5114,41,1000))-1),nrg_cb_e!$C$3:$C$40,0))</f>
        <v>FC_IND_NFM_E</v>
      </c>
      <c r="G5114" s="18">
        <v>122</v>
      </c>
    </row>
    <row r="5115" spans="1:7" x14ac:dyDescent="0.2">
      <c r="A5115" s="19" t="s">
        <v>50</v>
      </c>
      <c r="B5115" s="20" t="s">
        <v>64</v>
      </c>
      <c r="C5115" s="20" t="s">
        <v>8</v>
      </c>
      <c r="D5115" s="20" t="s">
        <v>10</v>
      </c>
      <c r="E5115" s="20" t="s">
        <v>25</v>
      </c>
      <c r="F5115" s="20" t="str">
        <f>INDEX(nrg_cb_e!$A$3:$A$40,MATCH(LEFT(MID('Industriesektor GWh'!$B5115,41,1000),SEARCH(" - ",MID('Industriesektor GWh'!$B5115,41,1000))-1),nrg_cb_e!$C$3:$C$40,0))</f>
        <v>FC_IND_NFM_E</v>
      </c>
      <c r="G5115" s="21">
        <v>126</v>
      </c>
    </row>
    <row r="5116" spans="1:7" x14ac:dyDescent="0.2">
      <c r="A5116" s="16" t="s">
        <v>50</v>
      </c>
      <c r="B5116" s="17" t="s">
        <v>64</v>
      </c>
      <c r="C5116" s="17" t="s">
        <v>8</v>
      </c>
      <c r="D5116" s="17" t="s">
        <v>10</v>
      </c>
      <c r="E5116" s="17" t="s">
        <v>26</v>
      </c>
      <c r="F5116" s="17" t="str">
        <f>INDEX(nrg_cb_e!$A$3:$A$40,MATCH(LEFT(MID('Industriesektor GWh'!$B5116,41,1000),SEARCH(" - ",MID('Industriesektor GWh'!$B5116,41,1000))-1),nrg_cb_e!$C$3:$C$40,0))</f>
        <v>FC_IND_NFM_E</v>
      </c>
      <c r="G5116" s="18">
        <v>109.595</v>
      </c>
    </row>
    <row r="5117" spans="1:7" x14ac:dyDescent="0.2">
      <c r="A5117" s="19" t="s">
        <v>50</v>
      </c>
      <c r="B5117" s="20" t="s">
        <v>64</v>
      </c>
      <c r="C5117" s="20" t="s">
        <v>8</v>
      </c>
      <c r="D5117" s="20" t="s">
        <v>10</v>
      </c>
      <c r="E5117" s="20" t="s">
        <v>27</v>
      </c>
      <c r="F5117" s="20" t="str">
        <f>INDEX(nrg_cb_e!$A$3:$A$40,MATCH(LEFT(MID('Industriesektor GWh'!$B5117,41,1000),SEARCH(" - ",MID('Industriesektor GWh'!$B5117,41,1000))-1),nrg_cb_e!$C$3:$C$40,0))</f>
        <v>FC_IND_NFM_E</v>
      </c>
      <c r="G5117" s="21">
        <v>114.92400000000001</v>
      </c>
    </row>
    <row r="5118" spans="1:7" x14ac:dyDescent="0.2">
      <c r="A5118" s="16" t="s">
        <v>50</v>
      </c>
      <c r="B5118" s="17" t="s">
        <v>64</v>
      </c>
      <c r="C5118" s="17" t="s">
        <v>8</v>
      </c>
      <c r="D5118" s="17" t="s">
        <v>10</v>
      </c>
      <c r="E5118" s="17" t="s">
        <v>28</v>
      </c>
      <c r="F5118" s="17" t="str">
        <f>INDEX(nrg_cb_e!$A$3:$A$40,MATCH(LEFT(MID('Industriesektor GWh'!$B5118,41,1000),SEARCH(" - ",MID('Industriesektor GWh'!$B5118,41,1000))-1),nrg_cb_e!$C$3:$C$40,0))</f>
        <v>FC_IND_NFM_E</v>
      </c>
      <c r="G5118" s="18">
        <v>111.753</v>
      </c>
    </row>
    <row r="5119" spans="1:7" x14ac:dyDescent="0.2">
      <c r="A5119" s="19" t="s">
        <v>51</v>
      </c>
      <c r="B5119" s="20" t="s">
        <v>64</v>
      </c>
      <c r="C5119" s="20" t="s">
        <v>8</v>
      </c>
      <c r="D5119" s="20" t="s">
        <v>10</v>
      </c>
      <c r="E5119" s="20" t="s">
        <v>12</v>
      </c>
      <c r="F5119" s="20" t="str">
        <f>INDEX(nrg_cb_e!$A$3:$A$40,MATCH(LEFT(MID('Industriesektor GWh'!$B5119,41,1000),SEARCH(" - ",MID('Industriesektor GWh'!$B5119,41,1000))-1),nrg_cb_e!$C$3:$C$40,0))</f>
        <v>FC_IND_NFM_E</v>
      </c>
      <c r="G5119" s="21">
        <v>0</v>
      </c>
    </row>
    <row r="5120" spans="1:7" x14ac:dyDescent="0.2">
      <c r="A5120" s="16" t="s">
        <v>51</v>
      </c>
      <c r="B5120" s="17" t="s">
        <v>64</v>
      </c>
      <c r="C5120" s="17" t="s">
        <v>8</v>
      </c>
      <c r="D5120" s="17" t="s">
        <v>10</v>
      </c>
      <c r="E5120" s="17" t="s">
        <v>13</v>
      </c>
      <c r="F5120" s="17" t="str">
        <f>INDEX(nrg_cb_e!$A$3:$A$40,MATCH(LEFT(MID('Industriesektor GWh'!$B5120,41,1000),SEARCH(" - ",MID('Industriesektor GWh'!$B5120,41,1000))-1),nrg_cb_e!$C$3:$C$40,0))</f>
        <v>FC_IND_NFM_E</v>
      </c>
      <c r="G5120" s="18">
        <v>0</v>
      </c>
    </row>
    <row r="5121" spans="1:7" x14ac:dyDescent="0.2">
      <c r="A5121" s="19" t="s">
        <v>51</v>
      </c>
      <c r="B5121" s="20" t="s">
        <v>64</v>
      </c>
      <c r="C5121" s="20" t="s">
        <v>8</v>
      </c>
      <c r="D5121" s="20" t="s">
        <v>10</v>
      </c>
      <c r="E5121" s="20" t="s">
        <v>14</v>
      </c>
      <c r="F5121" s="20" t="str">
        <f>INDEX(nrg_cb_e!$A$3:$A$40,MATCH(LEFT(MID('Industriesektor GWh'!$B5121,41,1000),SEARCH(" - ",MID('Industriesektor GWh'!$B5121,41,1000))-1),nrg_cb_e!$C$3:$C$40,0))</f>
        <v>FC_IND_NFM_E</v>
      </c>
      <c r="G5121" s="21">
        <v>0</v>
      </c>
    </row>
    <row r="5122" spans="1:7" x14ac:dyDescent="0.2">
      <c r="A5122" s="16" t="s">
        <v>51</v>
      </c>
      <c r="B5122" s="17" t="s">
        <v>64</v>
      </c>
      <c r="C5122" s="17" t="s">
        <v>8</v>
      </c>
      <c r="D5122" s="17" t="s">
        <v>10</v>
      </c>
      <c r="E5122" s="17" t="s">
        <v>15</v>
      </c>
      <c r="F5122" s="17" t="str">
        <f>INDEX(nrg_cb_e!$A$3:$A$40,MATCH(LEFT(MID('Industriesektor GWh'!$B5122,41,1000),SEARCH(" - ",MID('Industriesektor GWh'!$B5122,41,1000))-1),nrg_cb_e!$C$3:$C$40,0))</f>
        <v>FC_IND_NFM_E</v>
      </c>
      <c r="G5122" s="18">
        <v>0</v>
      </c>
    </row>
    <row r="5123" spans="1:7" x14ac:dyDescent="0.2">
      <c r="A5123" s="19" t="s">
        <v>51</v>
      </c>
      <c r="B5123" s="20" t="s">
        <v>64</v>
      </c>
      <c r="C5123" s="20" t="s">
        <v>8</v>
      </c>
      <c r="D5123" s="20" t="s">
        <v>10</v>
      </c>
      <c r="E5123" s="20" t="s">
        <v>16</v>
      </c>
      <c r="F5123" s="20" t="str">
        <f>INDEX(nrg_cb_e!$A$3:$A$40,MATCH(LEFT(MID('Industriesektor GWh'!$B5123,41,1000),SEARCH(" - ",MID('Industriesektor GWh'!$B5123,41,1000))-1),nrg_cb_e!$C$3:$C$40,0))</f>
        <v>FC_IND_NFM_E</v>
      </c>
      <c r="G5123" s="21">
        <v>0</v>
      </c>
    </row>
    <row r="5124" spans="1:7" x14ac:dyDescent="0.2">
      <c r="A5124" s="16" t="s">
        <v>51</v>
      </c>
      <c r="B5124" s="17" t="s">
        <v>64</v>
      </c>
      <c r="C5124" s="17" t="s">
        <v>8</v>
      </c>
      <c r="D5124" s="17" t="s">
        <v>10</v>
      </c>
      <c r="E5124" s="17" t="s">
        <v>17</v>
      </c>
      <c r="F5124" s="17" t="str">
        <f>INDEX(nrg_cb_e!$A$3:$A$40,MATCH(LEFT(MID('Industriesektor GWh'!$B5124,41,1000),SEARCH(" - ",MID('Industriesektor GWh'!$B5124,41,1000))-1),nrg_cb_e!$C$3:$C$40,0))</f>
        <v>FC_IND_NFM_E</v>
      </c>
      <c r="G5124" s="18">
        <v>0</v>
      </c>
    </row>
    <row r="5125" spans="1:7" x14ac:dyDescent="0.2">
      <c r="A5125" s="19" t="s">
        <v>51</v>
      </c>
      <c r="B5125" s="20" t="s">
        <v>64</v>
      </c>
      <c r="C5125" s="20" t="s">
        <v>8</v>
      </c>
      <c r="D5125" s="20" t="s">
        <v>10</v>
      </c>
      <c r="E5125" s="20" t="s">
        <v>18</v>
      </c>
      <c r="F5125" s="20" t="str">
        <f>INDEX(nrg_cb_e!$A$3:$A$40,MATCH(LEFT(MID('Industriesektor GWh'!$B5125,41,1000),SEARCH(" - ",MID('Industriesektor GWh'!$B5125,41,1000))-1),nrg_cb_e!$C$3:$C$40,0))</f>
        <v>FC_IND_NFM_E</v>
      </c>
      <c r="G5125" s="21">
        <v>0</v>
      </c>
    </row>
    <row r="5126" spans="1:7" x14ac:dyDescent="0.2">
      <c r="A5126" s="16" t="s">
        <v>51</v>
      </c>
      <c r="B5126" s="17" t="s">
        <v>64</v>
      </c>
      <c r="C5126" s="17" t="s">
        <v>8</v>
      </c>
      <c r="D5126" s="17" t="s">
        <v>10</v>
      </c>
      <c r="E5126" s="17" t="s">
        <v>19</v>
      </c>
      <c r="F5126" s="17" t="str">
        <f>INDEX(nrg_cb_e!$A$3:$A$40,MATCH(LEFT(MID('Industriesektor GWh'!$B5126,41,1000),SEARCH(" - ",MID('Industriesektor GWh'!$B5126,41,1000))-1),nrg_cb_e!$C$3:$C$40,0))</f>
        <v>FC_IND_NFM_E</v>
      </c>
      <c r="G5126" s="18">
        <v>0</v>
      </c>
    </row>
    <row r="5127" spans="1:7" x14ac:dyDescent="0.2">
      <c r="A5127" s="19" t="s">
        <v>51</v>
      </c>
      <c r="B5127" s="20" t="s">
        <v>64</v>
      </c>
      <c r="C5127" s="20" t="s">
        <v>8</v>
      </c>
      <c r="D5127" s="20" t="s">
        <v>10</v>
      </c>
      <c r="E5127" s="20" t="s">
        <v>20</v>
      </c>
      <c r="F5127" s="20" t="str">
        <f>INDEX(nrg_cb_e!$A$3:$A$40,MATCH(LEFT(MID('Industriesektor GWh'!$B5127,41,1000),SEARCH(" - ",MID('Industriesektor GWh'!$B5127,41,1000))-1),nrg_cb_e!$C$3:$C$40,0))</f>
        <v>FC_IND_NFM_E</v>
      </c>
      <c r="G5127" s="21">
        <v>0</v>
      </c>
    </row>
    <row r="5128" spans="1:7" x14ac:dyDescent="0.2">
      <c r="A5128" s="16" t="s">
        <v>51</v>
      </c>
      <c r="B5128" s="17" t="s">
        <v>64</v>
      </c>
      <c r="C5128" s="17" t="s">
        <v>8</v>
      </c>
      <c r="D5128" s="17" t="s">
        <v>10</v>
      </c>
      <c r="E5128" s="17" t="s">
        <v>21</v>
      </c>
      <c r="F5128" s="17" t="str">
        <f>INDEX(nrg_cb_e!$A$3:$A$40,MATCH(LEFT(MID('Industriesektor GWh'!$B5128,41,1000),SEARCH(" - ",MID('Industriesektor GWh'!$B5128,41,1000))-1),nrg_cb_e!$C$3:$C$40,0))</f>
        <v>FC_IND_NFM_E</v>
      </c>
      <c r="G5128" s="18">
        <v>0</v>
      </c>
    </row>
    <row r="5129" spans="1:7" x14ac:dyDescent="0.2">
      <c r="A5129" s="19" t="s">
        <v>51</v>
      </c>
      <c r="B5129" s="20" t="s">
        <v>64</v>
      </c>
      <c r="C5129" s="20" t="s">
        <v>8</v>
      </c>
      <c r="D5129" s="20" t="s">
        <v>10</v>
      </c>
      <c r="E5129" s="20" t="s">
        <v>22</v>
      </c>
      <c r="F5129" s="20" t="str">
        <f>INDEX(nrg_cb_e!$A$3:$A$40,MATCH(LEFT(MID('Industriesektor GWh'!$B5129,41,1000),SEARCH(" - ",MID('Industriesektor GWh'!$B5129,41,1000))-1),nrg_cb_e!$C$3:$C$40,0))</f>
        <v>FC_IND_NFM_E</v>
      </c>
      <c r="G5129" s="21">
        <v>0</v>
      </c>
    </row>
    <row r="5130" spans="1:7" x14ac:dyDescent="0.2">
      <c r="A5130" s="16" t="s">
        <v>51</v>
      </c>
      <c r="B5130" s="17" t="s">
        <v>64</v>
      </c>
      <c r="C5130" s="17" t="s">
        <v>8</v>
      </c>
      <c r="D5130" s="17" t="s">
        <v>10</v>
      </c>
      <c r="E5130" s="17" t="s">
        <v>23</v>
      </c>
      <c r="F5130" s="17" t="str">
        <f>INDEX(nrg_cb_e!$A$3:$A$40,MATCH(LEFT(MID('Industriesektor GWh'!$B5130,41,1000),SEARCH(" - ",MID('Industriesektor GWh'!$B5130,41,1000))-1),nrg_cb_e!$C$3:$C$40,0))</f>
        <v>FC_IND_NFM_E</v>
      </c>
      <c r="G5130" s="18">
        <v>0</v>
      </c>
    </row>
    <row r="5131" spans="1:7" x14ac:dyDescent="0.2">
      <c r="A5131" s="19" t="s">
        <v>51</v>
      </c>
      <c r="B5131" s="20" t="s">
        <v>64</v>
      </c>
      <c r="C5131" s="20" t="s">
        <v>8</v>
      </c>
      <c r="D5131" s="20" t="s">
        <v>10</v>
      </c>
      <c r="E5131" s="20" t="s">
        <v>24</v>
      </c>
      <c r="F5131" s="20" t="str">
        <f>INDEX(nrg_cb_e!$A$3:$A$40,MATCH(LEFT(MID('Industriesektor GWh'!$B5131,41,1000),SEARCH(" - ",MID('Industriesektor GWh'!$B5131,41,1000))-1),nrg_cb_e!$C$3:$C$40,0))</f>
        <v>FC_IND_NFM_E</v>
      </c>
      <c r="G5131" s="21">
        <v>0</v>
      </c>
    </row>
    <row r="5132" spans="1:7" x14ac:dyDescent="0.2">
      <c r="A5132" s="16" t="s">
        <v>51</v>
      </c>
      <c r="B5132" s="17" t="s">
        <v>64</v>
      </c>
      <c r="C5132" s="17" t="s">
        <v>8</v>
      </c>
      <c r="D5132" s="17" t="s">
        <v>10</v>
      </c>
      <c r="E5132" s="17" t="s">
        <v>25</v>
      </c>
      <c r="F5132" s="17" t="str">
        <f>INDEX(nrg_cb_e!$A$3:$A$40,MATCH(LEFT(MID('Industriesektor GWh'!$B5132,41,1000),SEARCH(" - ",MID('Industriesektor GWh'!$B5132,41,1000))-1),nrg_cb_e!$C$3:$C$40,0))</f>
        <v>FC_IND_NFM_E</v>
      </c>
      <c r="G5132" s="18">
        <v>0</v>
      </c>
    </row>
    <row r="5133" spans="1:7" x14ac:dyDescent="0.2">
      <c r="A5133" s="19" t="s">
        <v>51</v>
      </c>
      <c r="B5133" s="20" t="s">
        <v>64</v>
      </c>
      <c r="C5133" s="20" t="s">
        <v>8</v>
      </c>
      <c r="D5133" s="20" t="s">
        <v>10</v>
      </c>
      <c r="E5133" s="20" t="s">
        <v>26</v>
      </c>
      <c r="F5133" s="20" t="str">
        <f>INDEX(nrg_cb_e!$A$3:$A$40,MATCH(LEFT(MID('Industriesektor GWh'!$B5133,41,1000),SEARCH(" - ",MID('Industriesektor GWh'!$B5133,41,1000))-1),nrg_cb_e!$C$3:$C$40,0))</f>
        <v>FC_IND_NFM_E</v>
      </c>
      <c r="G5133" s="21">
        <v>0</v>
      </c>
    </row>
    <row r="5134" spans="1:7" x14ac:dyDescent="0.2">
      <c r="A5134" s="16" t="s">
        <v>51</v>
      </c>
      <c r="B5134" s="17" t="s">
        <v>64</v>
      </c>
      <c r="C5134" s="17" t="s">
        <v>8</v>
      </c>
      <c r="D5134" s="17" t="s">
        <v>10</v>
      </c>
      <c r="E5134" s="17" t="s">
        <v>27</v>
      </c>
      <c r="F5134" s="17" t="str">
        <f>INDEX(nrg_cb_e!$A$3:$A$40,MATCH(LEFT(MID('Industriesektor GWh'!$B5134,41,1000),SEARCH(" - ",MID('Industriesektor GWh'!$B5134,41,1000))-1),nrg_cb_e!$C$3:$C$40,0))</f>
        <v>FC_IND_NFM_E</v>
      </c>
      <c r="G5134" s="18">
        <v>3358.1179999999999</v>
      </c>
    </row>
    <row r="5135" spans="1:7" x14ac:dyDescent="0.2">
      <c r="A5135" s="19" t="s">
        <v>51</v>
      </c>
      <c r="B5135" s="20" t="s">
        <v>64</v>
      </c>
      <c r="C5135" s="20" t="s">
        <v>8</v>
      </c>
      <c r="D5135" s="20" t="s">
        <v>10</v>
      </c>
      <c r="E5135" s="20" t="s">
        <v>28</v>
      </c>
      <c r="F5135" s="20" t="str">
        <f>INDEX(nrg_cb_e!$A$3:$A$40,MATCH(LEFT(MID('Industriesektor GWh'!$B5135,41,1000),SEARCH(" - ",MID('Industriesektor GWh'!$B5135,41,1000))-1),nrg_cb_e!$C$3:$C$40,0))</f>
        <v>FC_IND_NFM_E</v>
      </c>
      <c r="G5135" s="21">
        <v>3485.1869999999999</v>
      </c>
    </row>
    <row r="5136" spans="1:7" x14ac:dyDescent="0.2">
      <c r="A5136" s="16" t="s">
        <v>52</v>
      </c>
      <c r="B5136" s="17" t="s">
        <v>64</v>
      </c>
      <c r="C5136" s="17" t="s">
        <v>8</v>
      </c>
      <c r="D5136" s="17" t="s">
        <v>10</v>
      </c>
      <c r="E5136" s="17" t="s">
        <v>12</v>
      </c>
      <c r="F5136" s="17" t="str">
        <f>INDEX(nrg_cb_e!$A$3:$A$40,MATCH(LEFT(MID('Industriesektor GWh'!$B5136,41,1000),SEARCH(" - ",MID('Industriesektor GWh'!$B5136,41,1000))-1),nrg_cb_e!$C$3:$C$40,0))</f>
        <v>FC_IND_NFM_E</v>
      </c>
      <c r="G5136" s="18">
        <v>1494</v>
      </c>
    </row>
    <row r="5137" spans="1:7" x14ac:dyDescent="0.2">
      <c r="A5137" s="19" t="s">
        <v>52</v>
      </c>
      <c r="B5137" s="20" t="s">
        <v>64</v>
      </c>
      <c r="C5137" s="20" t="s">
        <v>8</v>
      </c>
      <c r="D5137" s="20" t="s">
        <v>10</v>
      </c>
      <c r="E5137" s="20" t="s">
        <v>13</v>
      </c>
      <c r="F5137" s="20" t="str">
        <f>INDEX(nrg_cb_e!$A$3:$A$40,MATCH(LEFT(MID('Industriesektor GWh'!$B5137,41,1000),SEARCH(" - ",MID('Industriesektor GWh'!$B5137,41,1000))-1),nrg_cb_e!$C$3:$C$40,0))</f>
        <v>FC_IND_NFM_E</v>
      </c>
      <c r="G5137" s="21">
        <v>1757</v>
      </c>
    </row>
    <row r="5138" spans="1:7" x14ac:dyDescent="0.2">
      <c r="A5138" s="16" t="s">
        <v>52</v>
      </c>
      <c r="B5138" s="17" t="s">
        <v>64</v>
      </c>
      <c r="C5138" s="17" t="s">
        <v>8</v>
      </c>
      <c r="D5138" s="17" t="s">
        <v>10</v>
      </c>
      <c r="E5138" s="17" t="s">
        <v>14</v>
      </c>
      <c r="F5138" s="17" t="str">
        <f>INDEX(nrg_cb_e!$A$3:$A$40,MATCH(LEFT(MID('Industriesektor GWh'!$B5138,41,1000),SEARCH(" - ",MID('Industriesektor GWh'!$B5138,41,1000))-1),nrg_cb_e!$C$3:$C$40,0))</f>
        <v>FC_IND_NFM_E</v>
      </c>
      <c r="G5138" s="18">
        <v>1798</v>
      </c>
    </row>
    <row r="5139" spans="1:7" x14ac:dyDescent="0.2">
      <c r="A5139" s="19" t="s">
        <v>52</v>
      </c>
      <c r="B5139" s="20" t="s">
        <v>64</v>
      </c>
      <c r="C5139" s="20" t="s">
        <v>8</v>
      </c>
      <c r="D5139" s="20" t="s">
        <v>10</v>
      </c>
      <c r="E5139" s="20" t="s">
        <v>15</v>
      </c>
      <c r="F5139" s="20" t="str">
        <f>INDEX(nrg_cb_e!$A$3:$A$40,MATCH(LEFT(MID('Industriesektor GWh'!$B5139,41,1000),SEARCH(" - ",MID('Industriesektor GWh'!$B5139,41,1000))-1),nrg_cb_e!$C$3:$C$40,0))</f>
        <v>FC_IND_NFM_E</v>
      </c>
      <c r="G5139" s="21">
        <v>1911</v>
      </c>
    </row>
    <row r="5140" spans="1:7" x14ac:dyDescent="0.2">
      <c r="A5140" s="16" t="s">
        <v>52</v>
      </c>
      <c r="B5140" s="17" t="s">
        <v>64</v>
      </c>
      <c r="C5140" s="17" t="s">
        <v>8</v>
      </c>
      <c r="D5140" s="17" t="s">
        <v>10</v>
      </c>
      <c r="E5140" s="17" t="s">
        <v>16</v>
      </c>
      <c r="F5140" s="17" t="str">
        <f>INDEX(nrg_cb_e!$A$3:$A$40,MATCH(LEFT(MID('Industriesektor GWh'!$B5140,41,1000),SEARCH(" - ",MID('Industriesektor GWh'!$B5140,41,1000))-1),nrg_cb_e!$C$3:$C$40,0))</f>
        <v>FC_IND_NFM_E</v>
      </c>
      <c r="G5140" s="18">
        <v>1838</v>
      </c>
    </row>
    <row r="5141" spans="1:7" x14ac:dyDescent="0.2">
      <c r="A5141" s="19" t="s">
        <v>52</v>
      </c>
      <c r="B5141" s="20" t="s">
        <v>64</v>
      </c>
      <c r="C5141" s="20" t="s">
        <v>8</v>
      </c>
      <c r="D5141" s="20" t="s">
        <v>10</v>
      </c>
      <c r="E5141" s="20" t="s">
        <v>17</v>
      </c>
      <c r="F5141" s="20" t="str">
        <f>INDEX(nrg_cb_e!$A$3:$A$40,MATCH(LEFT(MID('Industriesektor GWh'!$B5141,41,1000),SEARCH(" - ",MID('Industriesektor GWh'!$B5141,41,1000))-1),nrg_cb_e!$C$3:$C$40,0))</f>
        <v>FC_IND_NFM_E</v>
      </c>
      <c r="G5141" s="21">
        <v>1963</v>
      </c>
    </row>
    <row r="5142" spans="1:7" x14ac:dyDescent="0.2">
      <c r="A5142" s="16" t="s">
        <v>52</v>
      </c>
      <c r="B5142" s="17" t="s">
        <v>64</v>
      </c>
      <c r="C5142" s="17" t="s">
        <v>8</v>
      </c>
      <c r="D5142" s="17" t="s">
        <v>10</v>
      </c>
      <c r="E5142" s="17" t="s">
        <v>18</v>
      </c>
      <c r="F5142" s="17" t="str">
        <f>INDEX(nrg_cb_e!$A$3:$A$40,MATCH(LEFT(MID('Industriesektor GWh'!$B5142,41,1000),SEARCH(" - ",MID('Industriesektor GWh'!$B5142,41,1000))-1),nrg_cb_e!$C$3:$C$40,0))</f>
        <v>FC_IND_NFM_E</v>
      </c>
      <c r="G5142" s="18">
        <v>1284</v>
      </c>
    </row>
    <row r="5143" spans="1:7" x14ac:dyDescent="0.2">
      <c r="A5143" s="19" t="s">
        <v>52</v>
      </c>
      <c r="B5143" s="20" t="s">
        <v>64</v>
      </c>
      <c r="C5143" s="20" t="s">
        <v>8</v>
      </c>
      <c r="D5143" s="20" t="s">
        <v>10</v>
      </c>
      <c r="E5143" s="20" t="s">
        <v>19</v>
      </c>
      <c r="F5143" s="20" t="str">
        <f>INDEX(nrg_cb_e!$A$3:$A$40,MATCH(LEFT(MID('Industriesektor GWh'!$B5143,41,1000),SEARCH(" - ",MID('Industriesektor GWh'!$B5143,41,1000))-1),nrg_cb_e!$C$3:$C$40,0))</f>
        <v>FC_IND_NFM_E</v>
      </c>
      <c r="G5143" s="21">
        <v>666</v>
      </c>
    </row>
    <row r="5144" spans="1:7" x14ac:dyDescent="0.2">
      <c r="A5144" s="16" t="s">
        <v>52</v>
      </c>
      <c r="B5144" s="17" t="s">
        <v>64</v>
      </c>
      <c r="C5144" s="17" t="s">
        <v>8</v>
      </c>
      <c r="D5144" s="17" t="s">
        <v>10</v>
      </c>
      <c r="E5144" s="17" t="s">
        <v>20</v>
      </c>
      <c r="F5144" s="17" t="str">
        <f>INDEX(nrg_cb_e!$A$3:$A$40,MATCH(LEFT(MID('Industriesektor GWh'!$B5144,41,1000),SEARCH(" - ",MID('Industriesektor GWh'!$B5144,41,1000))-1),nrg_cb_e!$C$3:$C$40,0))</f>
        <v>FC_IND_NFM_E</v>
      </c>
      <c r="G5144" s="18">
        <v>707</v>
      </c>
    </row>
    <row r="5145" spans="1:7" x14ac:dyDescent="0.2">
      <c r="A5145" s="19" t="s">
        <v>52</v>
      </c>
      <c r="B5145" s="20" t="s">
        <v>64</v>
      </c>
      <c r="C5145" s="20" t="s">
        <v>8</v>
      </c>
      <c r="D5145" s="20" t="s">
        <v>10</v>
      </c>
      <c r="E5145" s="20" t="s">
        <v>21</v>
      </c>
      <c r="F5145" s="20" t="str">
        <f>INDEX(nrg_cb_e!$A$3:$A$40,MATCH(LEFT(MID('Industriesektor GWh'!$B5145,41,1000),SEARCH(" - ",MID('Industriesektor GWh'!$B5145,41,1000))-1),nrg_cb_e!$C$3:$C$40,0))</f>
        <v>FC_IND_NFM_E</v>
      </c>
      <c r="G5145" s="21">
        <v>1201</v>
      </c>
    </row>
    <row r="5146" spans="1:7" x14ac:dyDescent="0.2">
      <c r="A5146" s="16" t="s">
        <v>52</v>
      </c>
      <c r="B5146" s="17" t="s">
        <v>64</v>
      </c>
      <c r="C5146" s="17" t="s">
        <v>8</v>
      </c>
      <c r="D5146" s="17" t="s">
        <v>10</v>
      </c>
      <c r="E5146" s="17" t="s">
        <v>22</v>
      </c>
      <c r="F5146" s="17" t="str">
        <f>INDEX(nrg_cb_e!$A$3:$A$40,MATCH(LEFT(MID('Industriesektor GWh'!$B5146,41,1000),SEARCH(" - ",MID('Industriesektor GWh'!$B5146,41,1000))-1),nrg_cb_e!$C$3:$C$40,0))</f>
        <v>FC_IND_NFM_E</v>
      </c>
      <c r="G5146" s="18">
        <v>1302</v>
      </c>
    </row>
    <row r="5147" spans="1:7" x14ac:dyDescent="0.2">
      <c r="A5147" s="19" t="s">
        <v>52</v>
      </c>
      <c r="B5147" s="20" t="s">
        <v>64</v>
      </c>
      <c r="C5147" s="20" t="s">
        <v>8</v>
      </c>
      <c r="D5147" s="20" t="s">
        <v>10</v>
      </c>
      <c r="E5147" s="20" t="s">
        <v>23</v>
      </c>
      <c r="F5147" s="20" t="str">
        <f>INDEX(nrg_cb_e!$A$3:$A$40,MATCH(LEFT(MID('Industriesektor GWh'!$B5147,41,1000),SEARCH(" - ",MID('Industriesektor GWh'!$B5147,41,1000))-1),nrg_cb_e!$C$3:$C$40,0))</f>
        <v>FC_IND_NFM_E</v>
      </c>
      <c r="G5147" s="21">
        <v>1302</v>
      </c>
    </row>
    <row r="5148" spans="1:7" x14ac:dyDescent="0.2">
      <c r="A5148" s="16" t="s">
        <v>52</v>
      </c>
      <c r="B5148" s="17" t="s">
        <v>64</v>
      </c>
      <c r="C5148" s="17" t="s">
        <v>8</v>
      </c>
      <c r="D5148" s="17" t="s">
        <v>10</v>
      </c>
      <c r="E5148" s="17" t="s">
        <v>24</v>
      </c>
      <c r="F5148" s="17" t="str">
        <f>INDEX(nrg_cb_e!$A$3:$A$40,MATCH(LEFT(MID('Industriesektor GWh'!$B5148,41,1000),SEARCH(" - ",MID('Industriesektor GWh'!$B5148,41,1000))-1),nrg_cb_e!$C$3:$C$40,0))</f>
        <v>FC_IND_NFM_E</v>
      </c>
      <c r="G5148" s="18">
        <v>1312</v>
      </c>
    </row>
    <row r="5149" spans="1:7" x14ac:dyDescent="0.2">
      <c r="A5149" s="19" t="s">
        <v>52</v>
      </c>
      <c r="B5149" s="20" t="s">
        <v>64</v>
      </c>
      <c r="C5149" s="20" t="s">
        <v>8</v>
      </c>
      <c r="D5149" s="20" t="s">
        <v>10</v>
      </c>
      <c r="E5149" s="20" t="s">
        <v>25</v>
      </c>
      <c r="F5149" s="20" t="str">
        <f>INDEX(nrg_cb_e!$A$3:$A$40,MATCH(LEFT(MID('Industriesektor GWh'!$B5149,41,1000),SEARCH(" - ",MID('Industriesektor GWh'!$B5149,41,1000))-1),nrg_cb_e!$C$3:$C$40,0))</f>
        <v>FC_IND_NFM_E</v>
      </c>
      <c r="G5149" s="21">
        <v>1331</v>
      </c>
    </row>
    <row r="5150" spans="1:7" x14ac:dyDescent="0.2">
      <c r="A5150" s="16" t="s">
        <v>52</v>
      </c>
      <c r="B5150" s="17" t="s">
        <v>64</v>
      </c>
      <c r="C5150" s="17" t="s">
        <v>8</v>
      </c>
      <c r="D5150" s="17" t="s">
        <v>10</v>
      </c>
      <c r="E5150" s="17" t="s">
        <v>26</v>
      </c>
      <c r="F5150" s="17" t="str">
        <f>INDEX(nrg_cb_e!$A$3:$A$40,MATCH(LEFT(MID('Industriesektor GWh'!$B5150,41,1000),SEARCH(" - ",MID('Industriesektor GWh'!$B5150,41,1000))-1),nrg_cb_e!$C$3:$C$40,0))</f>
        <v>FC_IND_NFM_E</v>
      </c>
      <c r="G5150" s="18">
        <v>1351</v>
      </c>
    </row>
    <row r="5151" spans="1:7" x14ac:dyDescent="0.2">
      <c r="A5151" s="19" t="s">
        <v>52</v>
      </c>
      <c r="B5151" s="20" t="s">
        <v>64</v>
      </c>
      <c r="C5151" s="20" t="s">
        <v>8</v>
      </c>
      <c r="D5151" s="20" t="s">
        <v>10</v>
      </c>
      <c r="E5151" s="20" t="s">
        <v>27</v>
      </c>
      <c r="F5151" s="20" t="str">
        <f>INDEX(nrg_cb_e!$A$3:$A$40,MATCH(LEFT(MID('Industriesektor GWh'!$B5151,41,1000),SEARCH(" - ",MID('Industriesektor GWh'!$B5151,41,1000))-1),nrg_cb_e!$C$3:$C$40,0))</f>
        <v>FC_IND_NFM_E</v>
      </c>
      <c r="G5151" s="21">
        <v>1351.443</v>
      </c>
    </row>
    <row r="5152" spans="1:7" x14ac:dyDescent="0.2">
      <c r="A5152" s="16" t="s">
        <v>52</v>
      </c>
      <c r="B5152" s="17" t="s">
        <v>64</v>
      </c>
      <c r="C5152" s="17" t="s">
        <v>8</v>
      </c>
      <c r="D5152" s="17" t="s">
        <v>10</v>
      </c>
      <c r="E5152" s="17" t="s">
        <v>28</v>
      </c>
      <c r="F5152" s="17" t="str">
        <f>INDEX(nrg_cb_e!$A$3:$A$40,MATCH(LEFT(MID('Industriesektor GWh'!$B5152,41,1000),SEARCH(" - ",MID('Industriesektor GWh'!$B5152,41,1000))-1),nrg_cb_e!$C$3:$C$40,0))</f>
        <v>FC_IND_NFM_E</v>
      </c>
      <c r="G5152" s="18">
        <v>1324.769</v>
      </c>
    </row>
    <row r="5153" spans="1:7" x14ac:dyDescent="0.2">
      <c r="A5153" s="19" t="s">
        <v>53</v>
      </c>
      <c r="B5153" s="20" t="s">
        <v>64</v>
      </c>
      <c r="C5153" s="20" t="s">
        <v>8</v>
      </c>
      <c r="D5153" s="20" t="s">
        <v>10</v>
      </c>
      <c r="E5153" s="20" t="s">
        <v>12</v>
      </c>
      <c r="F5153" s="20" t="str">
        <f>INDEX(nrg_cb_e!$A$3:$A$40,MATCH(LEFT(MID('Industriesektor GWh'!$B5153,41,1000),SEARCH(" - ",MID('Industriesektor GWh'!$B5153,41,1000))-1),nrg_cb_e!$C$3:$C$40,0))</f>
        <v>FC_IND_NFM_E</v>
      </c>
      <c r="G5153" s="21">
        <v>1683</v>
      </c>
    </row>
    <row r="5154" spans="1:7" x14ac:dyDescent="0.2">
      <c r="A5154" s="16" t="s">
        <v>53</v>
      </c>
      <c r="B5154" s="17" t="s">
        <v>64</v>
      </c>
      <c r="C5154" s="17" t="s">
        <v>8</v>
      </c>
      <c r="D5154" s="17" t="s">
        <v>10</v>
      </c>
      <c r="E5154" s="17" t="s">
        <v>13</v>
      </c>
      <c r="F5154" s="17" t="str">
        <f>INDEX(nrg_cb_e!$A$3:$A$40,MATCH(LEFT(MID('Industriesektor GWh'!$B5154,41,1000),SEARCH(" - ",MID('Industriesektor GWh'!$B5154,41,1000))-1),nrg_cb_e!$C$3:$C$40,0))</f>
        <v>FC_IND_NFM_E</v>
      </c>
      <c r="G5154" s="18">
        <v>2022</v>
      </c>
    </row>
    <row r="5155" spans="1:7" x14ac:dyDescent="0.2">
      <c r="A5155" s="19" t="s">
        <v>53</v>
      </c>
      <c r="B5155" s="20" t="s">
        <v>64</v>
      </c>
      <c r="C5155" s="20" t="s">
        <v>8</v>
      </c>
      <c r="D5155" s="20" t="s">
        <v>10</v>
      </c>
      <c r="E5155" s="20" t="s">
        <v>14</v>
      </c>
      <c r="F5155" s="20" t="str">
        <f>INDEX(nrg_cb_e!$A$3:$A$40,MATCH(LEFT(MID('Industriesektor GWh'!$B5155,41,1000),SEARCH(" - ",MID('Industriesektor GWh'!$B5155,41,1000))-1),nrg_cb_e!$C$3:$C$40,0))</f>
        <v>FC_IND_NFM_E</v>
      </c>
      <c r="G5155" s="21">
        <v>2352</v>
      </c>
    </row>
    <row r="5156" spans="1:7" x14ac:dyDescent="0.2">
      <c r="A5156" s="16" t="s">
        <v>53</v>
      </c>
      <c r="B5156" s="17" t="s">
        <v>64</v>
      </c>
      <c r="C5156" s="17" t="s">
        <v>8</v>
      </c>
      <c r="D5156" s="17" t="s">
        <v>10</v>
      </c>
      <c r="E5156" s="17" t="s">
        <v>15</v>
      </c>
      <c r="F5156" s="17" t="str">
        <f>INDEX(nrg_cb_e!$A$3:$A$40,MATCH(LEFT(MID('Industriesektor GWh'!$B5156,41,1000),SEARCH(" - ",MID('Industriesektor GWh'!$B5156,41,1000))-1),nrg_cb_e!$C$3:$C$40,0))</f>
        <v>FC_IND_NFM_E</v>
      </c>
      <c r="G5156" s="18">
        <v>2376</v>
      </c>
    </row>
    <row r="5157" spans="1:7" x14ac:dyDescent="0.2">
      <c r="A5157" s="19" t="s">
        <v>53</v>
      </c>
      <c r="B5157" s="20" t="s">
        <v>64</v>
      </c>
      <c r="C5157" s="20" t="s">
        <v>8</v>
      </c>
      <c r="D5157" s="20" t="s">
        <v>10</v>
      </c>
      <c r="E5157" s="20" t="s">
        <v>16</v>
      </c>
      <c r="F5157" s="20" t="str">
        <f>INDEX(nrg_cb_e!$A$3:$A$40,MATCH(LEFT(MID('Industriesektor GWh'!$B5157,41,1000),SEARCH(" - ",MID('Industriesektor GWh'!$B5157,41,1000))-1),nrg_cb_e!$C$3:$C$40,0))</f>
        <v>FC_IND_NFM_E</v>
      </c>
      <c r="G5157" s="21">
        <v>2400</v>
      </c>
    </row>
    <row r="5158" spans="1:7" x14ac:dyDescent="0.2">
      <c r="A5158" s="16" t="s">
        <v>53</v>
      </c>
      <c r="B5158" s="17" t="s">
        <v>64</v>
      </c>
      <c r="C5158" s="17" t="s">
        <v>8</v>
      </c>
      <c r="D5158" s="17" t="s">
        <v>10</v>
      </c>
      <c r="E5158" s="17" t="s">
        <v>17</v>
      </c>
      <c r="F5158" s="17" t="str">
        <f>INDEX(nrg_cb_e!$A$3:$A$40,MATCH(LEFT(MID('Industriesektor GWh'!$B5158,41,1000),SEARCH(" - ",MID('Industriesektor GWh'!$B5158,41,1000))-1),nrg_cb_e!$C$3:$C$40,0))</f>
        <v>FC_IND_NFM_E</v>
      </c>
      <c r="G5158" s="18">
        <v>2120</v>
      </c>
    </row>
    <row r="5159" spans="1:7" x14ac:dyDescent="0.2">
      <c r="A5159" s="19" t="s">
        <v>53</v>
      </c>
      <c r="B5159" s="20" t="s">
        <v>64</v>
      </c>
      <c r="C5159" s="20" t="s">
        <v>8</v>
      </c>
      <c r="D5159" s="20" t="s">
        <v>10</v>
      </c>
      <c r="E5159" s="20" t="s">
        <v>18</v>
      </c>
      <c r="F5159" s="20" t="str">
        <f>INDEX(nrg_cb_e!$A$3:$A$40,MATCH(LEFT(MID('Industriesektor GWh'!$B5159,41,1000),SEARCH(" - ",MID('Industriesektor GWh'!$B5159,41,1000))-1),nrg_cb_e!$C$3:$C$40,0))</f>
        <v>FC_IND_NFM_E</v>
      </c>
      <c r="G5159" s="21">
        <v>2502</v>
      </c>
    </row>
    <row r="5160" spans="1:7" x14ac:dyDescent="0.2">
      <c r="A5160" s="16" t="s">
        <v>53</v>
      </c>
      <c r="B5160" s="17" t="s">
        <v>64</v>
      </c>
      <c r="C5160" s="17" t="s">
        <v>8</v>
      </c>
      <c r="D5160" s="17" t="s">
        <v>10</v>
      </c>
      <c r="E5160" s="17" t="s">
        <v>19</v>
      </c>
      <c r="F5160" s="17" t="str">
        <f>INDEX(nrg_cb_e!$A$3:$A$40,MATCH(LEFT(MID('Industriesektor GWh'!$B5160,41,1000),SEARCH(" - ",MID('Industriesektor GWh'!$B5160,41,1000))-1),nrg_cb_e!$C$3:$C$40,0))</f>
        <v>FC_IND_NFM_E</v>
      </c>
      <c r="G5160" s="18">
        <v>2249</v>
      </c>
    </row>
    <row r="5161" spans="1:7" x14ac:dyDescent="0.2">
      <c r="A5161" s="19" t="s">
        <v>53</v>
      </c>
      <c r="B5161" s="20" t="s">
        <v>64</v>
      </c>
      <c r="C5161" s="20" t="s">
        <v>8</v>
      </c>
      <c r="D5161" s="20" t="s">
        <v>10</v>
      </c>
      <c r="E5161" s="20" t="s">
        <v>20</v>
      </c>
      <c r="F5161" s="20" t="str">
        <f>INDEX(nrg_cb_e!$A$3:$A$40,MATCH(LEFT(MID('Industriesektor GWh'!$B5161,41,1000),SEARCH(" - ",MID('Industriesektor GWh'!$B5161,41,1000))-1),nrg_cb_e!$C$3:$C$40,0))</f>
        <v>FC_IND_NFM_E</v>
      </c>
      <c r="G5161" s="21">
        <v>2455</v>
      </c>
    </row>
    <row r="5162" spans="1:7" x14ac:dyDescent="0.2">
      <c r="A5162" s="16" t="s">
        <v>53</v>
      </c>
      <c r="B5162" s="17" t="s">
        <v>64</v>
      </c>
      <c r="C5162" s="17" t="s">
        <v>8</v>
      </c>
      <c r="D5162" s="17" t="s">
        <v>10</v>
      </c>
      <c r="E5162" s="17" t="s">
        <v>21</v>
      </c>
      <c r="F5162" s="17" t="str">
        <f>INDEX(nrg_cb_e!$A$3:$A$40,MATCH(LEFT(MID('Industriesektor GWh'!$B5162,41,1000),SEARCH(" - ",MID('Industriesektor GWh'!$B5162,41,1000))-1),nrg_cb_e!$C$3:$C$40,0))</f>
        <v>FC_IND_NFM_E</v>
      </c>
      <c r="G5162" s="18">
        <v>2454</v>
      </c>
    </row>
    <row r="5163" spans="1:7" x14ac:dyDescent="0.2">
      <c r="A5163" s="19" t="s">
        <v>53</v>
      </c>
      <c r="B5163" s="20" t="s">
        <v>64</v>
      </c>
      <c r="C5163" s="20" t="s">
        <v>8</v>
      </c>
      <c r="D5163" s="20" t="s">
        <v>10</v>
      </c>
      <c r="E5163" s="20" t="s">
        <v>22</v>
      </c>
      <c r="F5163" s="20" t="str">
        <f>INDEX(nrg_cb_e!$A$3:$A$40,MATCH(LEFT(MID('Industriesektor GWh'!$B5163,41,1000),SEARCH(" - ",MID('Industriesektor GWh'!$B5163,41,1000))-1),nrg_cb_e!$C$3:$C$40,0))</f>
        <v>FC_IND_NFM_E</v>
      </c>
      <c r="G5163" s="21">
        <v>2476</v>
      </c>
    </row>
    <row r="5164" spans="1:7" x14ac:dyDescent="0.2">
      <c r="A5164" s="16" t="s">
        <v>53</v>
      </c>
      <c r="B5164" s="17" t="s">
        <v>64</v>
      </c>
      <c r="C5164" s="17" t="s">
        <v>8</v>
      </c>
      <c r="D5164" s="17" t="s">
        <v>10</v>
      </c>
      <c r="E5164" s="17" t="s">
        <v>23</v>
      </c>
      <c r="F5164" s="17" t="str">
        <f>INDEX(nrg_cb_e!$A$3:$A$40,MATCH(LEFT(MID('Industriesektor GWh'!$B5164,41,1000),SEARCH(" - ",MID('Industriesektor GWh'!$B5164,41,1000))-1),nrg_cb_e!$C$3:$C$40,0))</f>
        <v>FC_IND_NFM_E</v>
      </c>
      <c r="G5164" s="18">
        <v>2478</v>
      </c>
    </row>
    <row r="5165" spans="1:7" x14ac:dyDescent="0.2">
      <c r="A5165" s="19" t="s">
        <v>53</v>
      </c>
      <c r="B5165" s="20" t="s">
        <v>64</v>
      </c>
      <c r="C5165" s="20" t="s">
        <v>8</v>
      </c>
      <c r="D5165" s="20" t="s">
        <v>10</v>
      </c>
      <c r="E5165" s="20" t="s">
        <v>24</v>
      </c>
      <c r="F5165" s="20" t="str">
        <f>INDEX(nrg_cb_e!$A$3:$A$40,MATCH(LEFT(MID('Industriesektor GWh'!$B5165,41,1000),SEARCH(" - ",MID('Industriesektor GWh'!$B5165,41,1000))-1),nrg_cb_e!$C$3:$C$40,0))</f>
        <v>FC_IND_NFM_E</v>
      </c>
      <c r="G5165" s="21">
        <v>2523</v>
      </c>
    </row>
    <row r="5166" spans="1:7" x14ac:dyDescent="0.2">
      <c r="A5166" s="16" t="s">
        <v>53</v>
      </c>
      <c r="B5166" s="17" t="s">
        <v>64</v>
      </c>
      <c r="C5166" s="17" t="s">
        <v>8</v>
      </c>
      <c r="D5166" s="17" t="s">
        <v>10</v>
      </c>
      <c r="E5166" s="17" t="s">
        <v>25</v>
      </c>
      <c r="F5166" s="17" t="str">
        <f>INDEX(nrg_cb_e!$A$3:$A$40,MATCH(LEFT(MID('Industriesektor GWh'!$B5166,41,1000),SEARCH(" - ",MID('Industriesektor GWh'!$B5166,41,1000))-1),nrg_cb_e!$C$3:$C$40,0))</f>
        <v>FC_IND_NFM_E</v>
      </c>
      <c r="G5166" s="18">
        <v>2563</v>
      </c>
    </row>
    <row r="5167" spans="1:7" x14ac:dyDescent="0.2">
      <c r="A5167" s="19" t="s">
        <v>53</v>
      </c>
      <c r="B5167" s="20" t="s">
        <v>64</v>
      </c>
      <c r="C5167" s="20" t="s">
        <v>8</v>
      </c>
      <c r="D5167" s="20" t="s">
        <v>10</v>
      </c>
      <c r="E5167" s="20" t="s">
        <v>26</v>
      </c>
      <c r="F5167" s="20" t="str">
        <f>INDEX(nrg_cb_e!$A$3:$A$40,MATCH(LEFT(MID('Industriesektor GWh'!$B5167,41,1000),SEARCH(" - ",MID('Industriesektor GWh'!$B5167,41,1000))-1),nrg_cb_e!$C$3:$C$40,0))</f>
        <v>FC_IND_NFM_E</v>
      </c>
      <c r="G5167" s="21">
        <v>2586</v>
      </c>
    </row>
    <row r="5168" spans="1:7" x14ac:dyDescent="0.2">
      <c r="A5168" s="16" t="s">
        <v>53</v>
      </c>
      <c r="B5168" s="17" t="s">
        <v>64</v>
      </c>
      <c r="C5168" s="17" t="s">
        <v>8</v>
      </c>
      <c r="D5168" s="17" t="s">
        <v>10</v>
      </c>
      <c r="E5168" s="17" t="s">
        <v>27</v>
      </c>
      <c r="F5168" s="17" t="str">
        <f>INDEX(nrg_cb_e!$A$3:$A$40,MATCH(LEFT(MID('Industriesektor GWh'!$B5168,41,1000),SEARCH(" - ",MID('Industriesektor GWh'!$B5168,41,1000))-1),nrg_cb_e!$C$3:$C$40,0))</f>
        <v>FC_IND_NFM_E</v>
      </c>
      <c r="G5168" s="18">
        <v>2615</v>
      </c>
    </row>
    <row r="5169" spans="1:7" x14ac:dyDescent="0.2">
      <c r="A5169" s="19" t="s">
        <v>53</v>
      </c>
      <c r="B5169" s="20" t="s">
        <v>64</v>
      </c>
      <c r="C5169" s="20" t="s">
        <v>8</v>
      </c>
      <c r="D5169" s="20" t="s">
        <v>10</v>
      </c>
      <c r="E5169" s="20" t="s">
        <v>28</v>
      </c>
      <c r="F5169" s="20" t="str">
        <f>INDEX(nrg_cb_e!$A$3:$A$40,MATCH(LEFT(MID('Industriesektor GWh'!$B5169,41,1000),SEARCH(" - ",MID('Industriesektor GWh'!$B5169,41,1000))-1),nrg_cb_e!$C$3:$C$40,0))</f>
        <v>FC_IND_NFM_E</v>
      </c>
      <c r="G5169" s="21">
        <v>2530</v>
      </c>
    </row>
    <row r="5170" spans="1:7" x14ac:dyDescent="0.2">
      <c r="A5170" s="16" t="s">
        <v>54</v>
      </c>
      <c r="B5170" s="17" t="s">
        <v>64</v>
      </c>
      <c r="C5170" s="17" t="s">
        <v>8</v>
      </c>
      <c r="D5170" s="17" t="s">
        <v>10</v>
      </c>
      <c r="E5170" s="17" t="s">
        <v>12</v>
      </c>
      <c r="F5170" s="17" t="str">
        <f>INDEX(nrg_cb_e!$A$3:$A$40,MATCH(LEFT(MID('Industriesektor GWh'!$B5170,41,1000),SEARCH(" - ",MID('Industriesektor GWh'!$B5170,41,1000))-1),nrg_cb_e!$C$3:$C$40,0))</f>
        <v>FC_IND_NFM_E</v>
      </c>
      <c r="G5170" s="18">
        <v>1659</v>
      </c>
    </row>
    <row r="5171" spans="1:7" x14ac:dyDescent="0.2">
      <c r="A5171" s="19" t="s">
        <v>54</v>
      </c>
      <c r="B5171" s="20" t="s">
        <v>64</v>
      </c>
      <c r="C5171" s="20" t="s">
        <v>8</v>
      </c>
      <c r="D5171" s="20" t="s">
        <v>10</v>
      </c>
      <c r="E5171" s="20" t="s">
        <v>13</v>
      </c>
      <c r="F5171" s="20" t="str">
        <f>INDEX(nrg_cb_e!$A$3:$A$40,MATCH(LEFT(MID('Industriesektor GWh'!$B5171,41,1000),SEARCH(" - ",MID('Industriesektor GWh'!$B5171,41,1000))-1),nrg_cb_e!$C$3:$C$40,0))</f>
        <v>FC_IND_NFM_E</v>
      </c>
      <c r="G5171" s="21">
        <v>1888</v>
      </c>
    </row>
    <row r="5172" spans="1:7" x14ac:dyDescent="0.2">
      <c r="A5172" s="16" t="s">
        <v>54</v>
      </c>
      <c r="B5172" s="17" t="s">
        <v>64</v>
      </c>
      <c r="C5172" s="17" t="s">
        <v>8</v>
      </c>
      <c r="D5172" s="17" t="s">
        <v>10</v>
      </c>
      <c r="E5172" s="17" t="s">
        <v>14</v>
      </c>
      <c r="F5172" s="17" t="str">
        <f>INDEX(nrg_cb_e!$A$3:$A$40,MATCH(LEFT(MID('Industriesektor GWh'!$B5172,41,1000),SEARCH(" - ",MID('Industriesektor GWh'!$B5172,41,1000))-1),nrg_cb_e!$C$3:$C$40,0))</f>
        <v>FC_IND_NFM_E</v>
      </c>
      <c r="G5172" s="18">
        <v>2063</v>
      </c>
    </row>
    <row r="5173" spans="1:7" x14ac:dyDescent="0.2">
      <c r="A5173" s="19" t="s">
        <v>54</v>
      </c>
      <c r="B5173" s="20" t="s">
        <v>64</v>
      </c>
      <c r="C5173" s="20" t="s">
        <v>8</v>
      </c>
      <c r="D5173" s="20" t="s">
        <v>10</v>
      </c>
      <c r="E5173" s="20" t="s">
        <v>15</v>
      </c>
      <c r="F5173" s="20" t="str">
        <f>INDEX(nrg_cb_e!$A$3:$A$40,MATCH(LEFT(MID('Industriesektor GWh'!$B5173,41,1000),SEARCH(" - ",MID('Industriesektor GWh'!$B5173,41,1000))-1),nrg_cb_e!$C$3:$C$40,0))</f>
        <v>FC_IND_NFM_E</v>
      </c>
      <c r="G5173" s="21">
        <v>1874</v>
      </c>
    </row>
    <row r="5174" spans="1:7" x14ac:dyDescent="0.2">
      <c r="A5174" s="16" t="s">
        <v>54</v>
      </c>
      <c r="B5174" s="17" t="s">
        <v>64</v>
      </c>
      <c r="C5174" s="17" t="s">
        <v>8</v>
      </c>
      <c r="D5174" s="17" t="s">
        <v>10</v>
      </c>
      <c r="E5174" s="17" t="s">
        <v>16</v>
      </c>
      <c r="F5174" s="17" t="str">
        <f>INDEX(nrg_cb_e!$A$3:$A$40,MATCH(LEFT(MID('Industriesektor GWh'!$B5174,41,1000),SEARCH(" - ",MID('Industriesektor GWh'!$B5174,41,1000))-1),nrg_cb_e!$C$3:$C$40,0))</f>
        <v>FC_IND_NFM_E</v>
      </c>
      <c r="G5174" s="18">
        <v>2004</v>
      </c>
    </row>
    <row r="5175" spans="1:7" x14ac:dyDescent="0.2">
      <c r="A5175" s="19" t="s">
        <v>54</v>
      </c>
      <c r="B5175" s="20" t="s">
        <v>64</v>
      </c>
      <c r="C5175" s="20" t="s">
        <v>8</v>
      </c>
      <c r="D5175" s="20" t="s">
        <v>10</v>
      </c>
      <c r="E5175" s="20" t="s">
        <v>17</v>
      </c>
      <c r="F5175" s="20" t="str">
        <f>INDEX(nrg_cb_e!$A$3:$A$40,MATCH(LEFT(MID('Industriesektor GWh'!$B5175,41,1000),SEARCH(" - ",MID('Industriesektor GWh'!$B5175,41,1000))-1),nrg_cb_e!$C$3:$C$40,0))</f>
        <v>FC_IND_NFM_E</v>
      </c>
      <c r="G5175" s="21">
        <v>2026</v>
      </c>
    </row>
    <row r="5176" spans="1:7" x14ac:dyDescent="0.2">
      <c r="A5176" s="16" t="s">
        <v>54</v>
      </c>
      <c r="B5176" s="17" t="s">
        <v>64</v>
      </c>
      <c r="C5176" s="17" t="s">
        <v>8</v>
      </c>
      <c r="D5176" s="17" t="s">
        <v>10</v>
      </c>
      <c r="E5176" s="17" t="s">
        <v>18</v>
      </c>
      <c r="F5176" s="17" t="str">
        <f>INDEX(nrg_cb_e!$A$3:$A$40,MATCH(LEFT(MID('Industriesektor GWh'!$B5176,41,1000),SEARCH(" - ",MID('Industriesektor GWh'!$B5176,41,1000))-1),nrg_cb_e!$C$3:$C$40,0))</f>
        <v>FC_IND_NFM_E</v>
      </c>
      <c r="G5176" s="18">
        <v>1909</v>
      </c>
    </row>
    <row r="5177" spans="1:7" x14ac:dyDescent="0.2">
      <c r="A5177" s="19" t="s">
        <v>54</v>
      </c>
      <c r="B5177" s="20" t="s">
        <v>64</v>
      </c>
      <c r="C5177" s="20" t="s">
        <v>8</v>
      </c>
      <c r="D5177" s="20" t="s">
        <v>10</v>
      </c>
      <c r="E5177" s="20" t="s">
        <v>19</v>
      </c>
      <c r="F5177" s="20" t="str">
        <f>INDEX(nrg_cb_e!$A$3:$A$40,MATCH(LEFT(MID('Industriesektor GWh'!$B5177,41,1000),SEARCH(" - ",MID('Industriesektor GWh'!$B5177,41,1000))-1),nrg_cb_e!$C$3:$C$40,0))</f>
        <v>FC_IND_NFM_E</v>
      </c>
      <c r="G5177" s="21">
        <v>1667</v>
      </c>
    </row>
    <row r="5178" spans="1:7" x14ac:dyDescent="0.2">
      <c r="A5178" s="16" t="s">
        <v>54</v>
      </c>
      <c r="B5178" s="17" t="s">
        <v>64</v>
      </c>
      <c r="C5178" s="17" t="s">
        <v>8</v>
      </c>
      <c r="D5178" s="17" t="s">
        <v>10</v>
      </c>
      <c r="E5178" s="17" t="s">
        <v>20</v>
      </c>
      <c r="F5178" s="17" t="str">
        <f>INDEX(nrg_cb_e!$A$3:$A$40,MATCH(LEFT(MID('Industriesektor GWh'!$B5178,41,1000),SEARCH(" - ",MID('Industriesektor GWh'!$B5178,41,1000))-1),nrg_cb_e!$C$3:$C$40,0))</f>
        <v>FC_IND_NFM_E</v>
      </c>
      <c r="G5178" s="18">
        <v>1908</v>
      </c>
    </row>
    <row r="5179" spans="1:7" x14ac:dyDescent="0.2">
      <c r="A5179" s="19" t="s">
        <v>54</v>
      </c>
      <c r="B5179" s="20" t="s">
        <v>64</v>
      </c>
      <c r="C5179" s="20" t="s">
        <v>8</v>
      </c>
      <c r="D5179" s="20" t="s">
        <v>10</v>
      </c>
      <c r="E5179" s="20" t="s">
        <v>21</v>
      </c>
      <c r="F5179" s="20" t="str">
        <f>INDEX(nrg_cb_e!$A$3:$A$40,MATCH(LEFT(MID('Industriesektor GWh'!$B5179,41,1000),SEARCH(" - ",MID('Industriesektor GWh'!$B5179,41,1000))-1),nrg_cb_e!$C$3:$C$40,0))</f>
        <v>FC_IND_NFM_E</v>
      </c>
      <c r="G5179" s="21">
        <v>1779</v>
      </c>
    </row>
    <row r="5180" spans="1:7" x14ac:dyDescent="0.2">
      <c r="A5180" s="16" t="s">
        <v>54</v>
      </c>
      <c r="B5180" s="17" t="s">
        <v>64</v>
      </c>
      <c r="C5180" s="17" t="s">
        <v>8</v>
      </c>
      <c r="D5180" s="17" t="s">
        <v>10</v>
      </c>
      <c r="E5180" s="17" t="s">
        <v>22</v>
      </c>
      <c r="F5180" s="17" t="str">
        <f>INDEX(nrg_cb_e!$A$3:$A$40,MATCH(LEFT(MID('Industriesektor GWh'!$B5180,41,1000),SEARCH(" - ",MID('Industriesektor GWh'!$B5180,41,1000))-1),nrg_cb_e!$C$3:$C$40,0))</f>
        <v>FC_IND_NFM_E</v>
      </c>
      <c r="G5180" s="18">
        <v>1856</v>
      </c>
    </row>
    <row r="5181" spans="1:7" x14ac:dyDescent="0.2">
      <c r="A5181" s="19" t="s">
        <v>54</v>
      </c>
      <c r="B5181" s="20" t="s">
        <v>64</v>
      </c>
      <c r="C5181" s="20" t="s">
        <v>8</v>
      </c>
      <c r="D5181" s="20" t="s">
        <v>10</v>
      </c>
      <c r="E5181" s="20" t="s">
        <v>23</v>
      </c>
      <c r="F5181" s="20" t="str">
        <f>INDEX(nrg_cb_e!$A$3:$A$40,MATCH(LEFT(MID('Industriesektor GWh'!$B5181,41,1000),SEARCH(" - ",MID('Industriesektor GWh'!$B5181,41,1000))-1),nrg_cb_e!$C$3:$C$40,0))</f>
        <v>FC_IND_NFM_E</v>
      </c>
      <c r="G5181" s="21">
        <v>1913</v>
      </c>
    </row>
    <row r="5182" spans="1:7" x14ac:dyDescent="0.2">
      <c r="A5182" s="16" t="s">
        <v>54</v>
      </c>
      <c r="B5182" s="17" t="s">
        <v>64</v>
      </c>
      <c r="C5182" s="17" t="s">
        <v>8</v>
      </c>
      <c r="D5182" s="17" t="s">
        <v>10</v>
      </c>
      <c r="E5182" s="17" t="s">
        <v>24</v>
      </c>
      <c r="F5182" s="17" t="str">
        <f>INDEX(nrg_cb_e!$A$3:$A$40,MATCH(LEFT(MID('Industriesektor GWh'!$B5182,41,1000),SEARCH(" - ",MID('Industriesektor GWh'!$B5182,41,1000))-1),nrg_cb_e!$C$3:$C$40,0))</f>
        <v>FC_IND_NFM_E</v>
      </c>
      <c r="G5182" s="18">
        <v>1910</v>
      </c>
    </row>
    <row r="5183" spans="1:7" x14ac:dyDescent="0.2">
      <c r="A5183" s="19" t="s">
        <v>54</v>
      </c>
      <c r="B5183" s="20" t="s">
        <v>64</v>
      </c>
      <c r="C5183" s="20" t="s">
        <v>8</v>
      </c>
      <c r="D5183" s="20" t="s">
        <v>10</v>
      </c>
      <c r="E5183" s="20" t="s">
        <v>25</v>
      </c>
      <c r="F5183" s="20" t="str">
        <f>INDEX(nrg_cb_e!$A$3:$A$40,MATCH(LEFT(MID('Industriesektor GWh'!$B5183,41,1000),SEARCH(" - ",MID('Industriesektor GWh'!$B5183,41,1000))-1),nrg_cb_e!$C$3:$C$40,0))</f>
        <v>FC_IND_NFM_E</v>
      </c>
      <c r="G5183" s="21">
        <v>1851</v>
      </c>
    </row>
    <row r="5184" spans="1:7" x14ac:dyDescent="0.2">
      <c r="A5184" s="16" t="s">
        <v>54</v>
      </c>
      <c r="B5184" s="17" t="s">
        <v>64</v>
      </c>
      <c r="C5184" s="17" t="s">
        <v>8</v>
      </c>
      <c r="D5184" s="17" t="s">
        <v>10</v>
      </c>
      <c r="E5184" s="17" t="s">
        <v>26</v>
      </c>
      <c r="F5184" s="17" t="str">
        <f>INDEX(nrg_cb_e!$A$3:$A$40,MATCH(LEFT(MID('Industriesektor GWh'!$B5184,41,1000),SEARCH(" - ",MID('Industriesektor GWh'!$B5184,41,1000))-1),nrg_cb_e!$C$3:$C$40,0))</f>
        <v>FC_IND_NFM_E</v>
      </c>
      <c r="G5184" s="18">
        <v>1850</v>
      </c>
    </row>
    <row r="5185" spans="1:7" x14ac:dyDescent="0.2">
      <c r="A5185" s="19" t="s">
        <v>54</v>
      </c>
      <c r="B5185" s="20" t="s">
        <v>64</v>
      </c>
      <c r="C5185" s="20" t="s">
        <v>8</v>
      </c>
      <c r="D5185" s="20" t="s">
        <v>10</v>
      </c>
      <c r="E5185" s="20" t="s">
        <v>27</v>
      </c>
      <c r="F5185" s="20" t="str">
        <f>INDEX(nrg_cb_e!$A$3:$A$40,MATCH(LEFT(MID('Industriesektor GWh'!$B5185,41,1000),SEARCH(" - ",MID('Industriesektor GWh'!$B5185,41,1000))-1),nrg_cb_e!$C$3:$C$40,0))</f>
        <v>FC_IND_NFM_E</v>
      </c>
      <c r="G5185" s="21">
        <v>1895</v>
      </c>
    </row>
    <row r="5186" spans="1:7" x14ac:dyDescent="0.2">
      <c r="A5186" s="16" t="s">
        <v>54</v>
      </c>
      <c r="B5186" s="17" t="s">
        <v>64</v>
      </c>
      <c r="C5186" s="17" t="s">
        <v>8</v>
      </c>
      <c r="D5186" s="17" t="s">
        <v>10</v>
      </c>
      <c r="E5186" s="17" t="s">
        <v>28</v>
      </c>
      <c r="F5186" s="17" t="str">
        <f>INDEX(nrg_cb_e!$A$3:$A$40,MATCH(LEFT(MID('Industriesektor GWh'!$B5186,41,1000),SEARCH(" - ",MID('Industriesektor GWh'!$B5186,41,1000))-1),nrg_cb_e!$C$3:$C$40,0))</f>
        <v>FC_IND_NFM_E</v>
      </c>
      <c r="G5186" s="18">
        <v>1933</v>
      </c>
    </row>
    <row r="5187" spans="1:7" x14ac:dyDescent="0.2">
      <c r="A5187" s="19" t="s">
        <v>55</v>
      </c>
      <c r="B5187" s="20" t="s">
        <v>64</v>
      </c>
      <c r="C5187" s="20" t="s">
        <v>8</v>
      </c>
      <c r="D5187" s="20" t="s">
        <v>10</v>
      </c>
      <c r="E5187" s="20" t="s">
        <v>12</v>
      </c>
      <c r="F5187" s="20" t="str">
        <f>INDEX(nrg_cb_e!$A$3:$A$40,MATCH(LEFT(MID('Industriesektor GWh'!$B5187,41,1000),SEARCH(" - ",MID('Industriesektor GWh'!$B5187,41,1000))-1),nrg_cb_e!$C$3:$C$40,0))</f>
        <v>FC_IND_NFM_E</v>
      </c>
      <c r="G5187" s="21">
        <v>2972</v>
      </c>
    </row>
    <row r="5188" spans="1:7" x14ac:dyDescent="0.2">
      <c r="A5188" s="16" t="s">
        <v>55</v>
      </c>
      <c r="B5188" s="17" t="s">
        <v>64</v>
      </c>
      <c r="C5188" s="17" t="s">
        <v>8</v>
      </c>
      <c r="D5188" s="17" t="s">
        <v>10</v>
      </c>
      <c r="E5188" s="17" t="s">
        <v>13</v>
      </c>
      <c r="F5188" s="17" t="str">
        <f>INDEX(nrg_cb_e!$A$3:$A$40,MATCH(LEFT(MID('Industriesektor GWh'!$B5188,41,1000),SEARCH(" - ",MID('Industriesektor GWh'!$B5188,41,1000))-1),nrg_cb_e!$C$3:$C$40,0))</f>
        <v>FC_IND_NFM_E</v>
      </c>
      <c r="G5188" s="18">
        <v>2943</v>
      </c>
    </row>
    <row r="5189" spans="1:7" x14ac:dyDescent="0.2">
      <c r="A5189" s="19" t="s">
        <v>55</v>
      </c>
      <c r="B5189" s="20" t="s">
        <v>64</v>
      </c>
      <c r="C5189" s="20" t="s">
        <v>8</v>
      </c>
      <c r="D5189" s="20" t="s">
        <v>10</v>
      </c>
      <c r="E5189" s="20" t="s">
        <v>14</v>
      </c>
      <c r="F5189" s="20" t="str">
        <f>INDEX(nrg_cb_e!$A$3:$A$40,MATCH(LEFT(MID('Industriesektor GWh'!$B5189,41,1000),SEARCH(" - ",MID('Industriesektor GWh'!$B5189,41,1000))-1),nrg_cb_e!$C$3:$C$40,0))</f>
        <v>FC_IND_NFM_E</v>
      </c>
      <c r="G5189" s="21">
        <v>3002</v>
      </c>
    </row>
    <row r="5190" spans="1:7" x14ac:dyDescent="0.2">
      <c r="A5190" s="16" t="s">
        <v>55</v>
      </c>
      <c r="B5190" s="17" t="s">
        <v>64</v>
      </c>
      <c r="C5190" s="17" t="s">
        <v>8</v>
      </c>
      <c r="D5190" s="17" t="s">
        <v>10</v>
      </c>
      <c r="E5190" s="17" t="s">
        <v>15</v>
      </c>
      <c r="F5190" s="17" t="str">
        <f>INDEX(nrg_cb_e!$A$3:$A$40,MATCH(LEFT(MID('Industriesektor GWh'!$B5190,41,1000),SEARCH(" - ",MID('Industriesektor GWh'!$B5190,41,1000))-1),nrg_cb_e!$C$3:$C$40,0))</f>
        <v>FC_IND_NFM_E</v>
      </c>
      <c r="G5190" s="18">
        <v>3268</v>
      </c>
    </row>
    <row r="5191" spans="1:7" x14ac:dyDescent="0.2">
      <c r="A5191" s="19" t="s">
        <v>55</v>
      </c>
      <c r="B5191" s="20" t="s">
        <v>64</v>
      </c>
      <c r="C5191" s="20" t="s">
        <v>8</v>
      </c>
      <c r="D5191" s="20" t="s">
        <v>10</v>
      </c>
      <c r="E5191" s="20" t="s">
        <v>16</v>
      </c>
      <c r="F5191" s="20" t="str">
        <f>INDEX(nrg_cb_e!$A$3:$A$40,MATCH(LEFT(MID('Industriesektor GWh'!$B5191,41,1000),SEARCH(" - ",MID('Industriesektor GWh'!$B5191,41,1000))-1),nrg_cb_e!$C$3:$C$40,0))</f>
        <v>FC_IND_NFM_E</v>
      </c>
      <c r="G5191" s="21">
        <v>3225</v>
      </c>
    </row>
    <row r="5192" spans="1:7" x14ac:dyDescent="0.2">
      <c r="A5192" s="16" t="s">
        <v>55</v>
      </c>
      <c r="B5192" s="17" t="s">
        <v>64</v>
      </c>
      <c r="C5192" s="17" t="s">
        <v>8</v>
      </c>
      <c r="D5192" s="17" t="s">
        <v>10</v>
      </c>
      <c r="E5192" s="17" t="s">
        <v>17</v>
      </c>
      <c r="F5192" s="17" t="str">
        <f>INDEX(nrg_cb_e!$A$3:$A$40,MATCH(LEFT(MID('Industriesektor GWh'!$B5192,41,1000),SEARCH(" - ",MID('Industriesektor GWh'!$B5192,41,1000))-1),nrg_cb_e!$C$3:$C$40,0))</f>
        <v>FC_IND_NFM_E</v>
      </c>
      <c r="G5192" s="18">
        <v>3275</v>
      </c>
    </row>
    <row r="5193" spans="1:7" x14ac:dyDescent="0.2">
      <c r="A5193" s="19" t="s">
        <v>55</v>
      </c>
      <c r="B5193" s="20" t="s">
        <v>64</v>
      </c>
      <c r="C5193" s="20" t="s">
        <v>8</v>
      </c>
      <c r="D5193" s="20" t="s">
        <v>10</v>
      </c>
      <c r="E5193" s="20" t="s">
        <v>18</v>
      </c>
      <c r="F5193" s="20" t="str">
        <f>INDEX(nrg_cb_e!$A$3:$A$40,MATCH(LEFT(MID('Industriesektor GWh'!$B5193,41,1000),SEARCH(" - ",MID('Industriesektor GWh'!$B5193,41,1000))-1),nrg_cb_e!$C$3:$C$40,0))</f>
        <v>FC_IND_NFM_E</v>
      </c>
      <c r="G5193" s="21">
        <v>3034</v>
      </c>
    </row>
    <row r="5194" spans="1:7" x14ac:dyDescent="0.2">
      <c r="A5194" s="16" t="s">
        <v>55</v>
      </c>
      <c r="B5194" s="17" t="s">
        <v>64</v>
      </c>
      <c r="C5194" s="17" t="s">
        <v>8</v>
      </c>
      <c r="D5194" s="17" t="s">
        <v>10</v>
      </c>
      <c r="E5194" s="17" t="s">
        <v>19</v>
      </c>
      <c r="F5194" s="17" t="str">
        <f>INDEX(nrg_cb_e!$A$3:$A$40,MATCH(LEFT(MID('Industriesektor GWh'!$B5194,41,1000),SEARCH(" - ",MID('Industriesektor GWh'!$B5194,41,1000))-1),nrg_cb_e!$C$3:$C$40,0))</f>
        <v>FC_IND_NFM_E</v>
      </c>
      <c r="G5194" s="18">
        <v>2300</v>
      </c>
    </row>
    <row r="5195" spans="1:7" x14ac:dyDescent="0.2">
      <c r="A5195" s="19" t="s">
        <v>55</v>
      </c>
      <c r="B5195" s="20" t="s">
        <v>64</v>
      </c>
      <c r="C5195" s="20" t="s">
        <v>8</v>
      </c>
      <c r="D5195" s="20" t="s">
        <v>10</v>
      </c>
      <c r="E5195" s="20" t="s">
        <v>20</v>
      </c>
      <c r="F5195" s="20" t="str">
        <f>INDEX(nrg_cb_e!$A$3:$A$40,MATCH(LEFT(MID('Industriesektor GWh'!$B5195,41,1000),SEARCH(" - ",MID('Industriesektor GWh'!$B5195,41,1000))-1),nrg_cb_e!$C$3:$C$40,0))</f>
        <v>FC_IND_NFM_E</v>
      </c>
      <c r="G5195" s="21">
        <v>2395</v>
      </c>
    </row>
    <row r="5196" spans="1:7" x14ac:dyDescent="0.2">
      <c r="A5196" s="16" t="s">
        <v>55</v>
      </c>
      <c r="B5196" s="17" t="s">
        <v>64</v>
      </c>
      <c r="C5196" s="17" t="s">
        <v>8</v>
      </c>
      <c r="D5196" s="17" t="s">
        <v>10</v>
      </c>
      <c r="E5196" s="17" t="s">
        <v>21</v>
      </c>
      <c r="F5196" s="17" t="str">
        <f>INDEX(nrg_cb_e!$A$3:$A$40,MATCH(LEFT(MID('Industriesektor GWh'!$B5196,41,1000),SEARCH(" - ",MID('Industriesektor GWh'!$B5196,41,1000))-1),nrg_cb_e!$C$3:$C$40,0))</f>
        <v>FC_IND_NFM_E</v>
      </c>
      <c r="G5196" s="18">
        <v>3005</v>
      </c>
    </row>
    <row r="5197" spans="1:7" x14ac:dyDescent="0.2">
      <c r="A5197" s="19" t="s">
        <v>55</v>
      </c>
      <c r="B5197" s="20" t="s">
        <v>64</v>
      </c>
      <c r="C5197" s="20" t="s">
        <v>8</v>
      </c>
      <c r="D5197" s="20" t="s">
        <v>10</v>
      </c>
      <c r="E5197" s="20" t="s">
        <v>22</v>
      </c>
      <c r="F5197" s="20" t="str">
        <f>INDEX(nrg_cb_e!$A$3:$A$40,MATCH(LEFT(MID('Industriesektor GWh'!$B5197,41,1000),SEARCH(" - ",MID('Industriesektor GWh'!$B5197,41,1000))-1),nrg_cb_e!$C$3:$C$40,0))</f>
        <v>FC_IND_NFM_E</v>
      </c>
      <c r="G5197" s="21">
        <v>3200</v>
      </c>
    </row>
    <row r="5198" spans="1:7" x14ac:dyDescent="0.2">
      <c r="A5198" s="16" t="s">
        <v>55</v>
      </c>
      <c r="B5198" s="17" t="s">
        <v>64</v>
      </c>
      <c r="C5198" s="17" t="s">
        <v>8</v>
      </c>
      <c r="D5198" s="17" t="s">
        <v>10</v>
      </c>
      <c r="E5198" s="17" t="s">
        <v>23</v>
      </c>
      <c r="F5198" s="17" t="str">
        <f>INDEX(nrg_cb_e!$A$3:$A$40,MATCH(LEFT(MID('Industriesektor GWh'!$B5198,41,1000),SEARCH(" - ",MID('Industriesektor GWh'!$B5198,41,1000))-1),nrg_cb_e!$C$3:$C$40,0))</f>
        <v>FC_IND_NFM_E</v>
      </c>
      <c r="G5198" s="18">
        <v>3106</v>
      </c>
    </row>
    <row r="5199" spans="1:7" x14ac:dyDescent="0.2">
      <c r="A5199" s="19" t="s">
        <v>55</v>
      </c>
      <c r="B5199" s="20" t="s">
        <v>64</v>
      </c>
      <c r="C5199" s="20" t="s">
        <v>8</v>
      </c>
      <c r="D5199" s="20" t="s">
        <v>10</v>
      </c>
      <c r="E5199" s="20" t="s">
        <v>24</v>
      </c>
      <c r="F5199" s="20" t="str">
        <f>INDEX(nrg_cb_e!$A$3:$A$40,MATCH(LEFT(MID('Industriesektor GWh'!$B5199,41,1000),SEARCH(" - ",MID('Industriesektor GWh'!$B5199,41,1000))-1),nrg_cb_e!$C$3:$C$40,0))</f>
        <v>FC_IND_NFM_E</v>
      </c>
      <c r="G5199" s="21">
        <v>2907</v>
      </c>
    </row>
    <row r="5200" spans="1:7" x14ac:dyDescent="0.2">
      <c r="A5200" s="16" t="s">
        <v>55</v>
      </c>
      <c r="B5200" s="17" t="s">
        <v>64</v>
      </c>
      <c r="C5200" s="17" t="s">
        <v>8</v>
      </c>
      <c r="D5200" s="17" t="s">
        <v>10</v>
      </c>
      <c r="E5200" s="17" t="s">
        <v>25</v>
      </c>
      <c r="F5200" s="17" t="str">
        <f>INDEX(nrg_cb_e!$A$3:$A$40,MATCH(LEFT(MID('Industriesektor GWh'!$B5200,41,1000),SEARCH(" - ",MID('Industriesektor GWh'!$B5200,41,1000))-1),nrg_cb_e!$C$3:$C$40,0))</f>
        <v>FC_IND_NFM_E</v>
      </c>
      <c r="G5200" s="18">
        <v>2890</v>
      </c>
    </row>
    <row r="5201" spans="1:7" x14ac:dyDescent="0.2">
      <c r="A5201" s="19" t="s">
        <v>55</v>
      </c>
      <c r="B5201" s="20" t="s">
        <v>64</v>
      </c>
      <c r="C5201" s="20" t="s">
        <v>8</v>
      </c>
      <c r="D5201" s="20" t="s">
        <v>10</v>
      </c>
      <c r="E5201" s="20" t="s">
        <v>26</v>
      </c>
      <c r="F5201" s="20" t="str">
        <f>INDEX(nrg_cb_e!$A$3:$A$40,MATCH(LEFT(MID('Industriesektor GWh'!$B5201,41,1000),SEARCH(" - ",MID('Industriesektor GWh'!$B5201,41,1000))-1),nrg_cb_e!$C$3:$C$40,0))</f>
        <v>FC_IND_NFM_E</v>
      </c>
      <c r="G5201" s="21">
        <v>2935</v>
      </c>
    </row>
    <row r="5202" spans="1:7" x14ac:dyDescent="0.2">
      <c r="A5202" s="16" t="s">
        <v>55</v>
      </c>
      <c r="B5202" s="17" t="s">
        <v>64</v>
      </c>
      <c r="C5202" s="17" t="s">
        <v>8</v>
      </c>
      <c r="D5202" s="17" t="s">
        <v>10</v>
      </c>
      <c r="E5202" s="17" t="s">
        <v>27</v>
      </c>
      <c r="F5202" s="17" t="str">
        <f>INDEX(nrg_cb_e!$A$3:$A$40,MATCH(LEFT(MID('Industriesektor GWh'!$B5202,41,1000),SEARCH(" - ",MID('Industriesektor GWh'!$B5202,41,1000))-1),nrg_cb_e!$C$3:$C$40,0))</f>
        <v>FC_IND_NFM_E</v>
      </c>
      <c r="G5202" s="18">
        <v>2972</v>
      </c>
    </row>
    <row r="5203" spans="1:7" x14ac:dyDescent="0.2">
      <c r="A5203" s="19" t="s">
        <v>55</v>
      </c>
      <c r="B5203" s="20" t="s">
        <v>64</v>
      </c>
      <c r="C5203" s="20" t="s">
        <v>8</v>
      </c>
      <c r="D5203" s="20" t="s">
        <v>10</v>
      </c>
      <c r="E5203" s="20" t="s">
        <v>28</v>
      </c>
      <c r="F5203" s="20" t="str">
        <f>INDEX(nrg_cb_e!$A$3:$A$40,MATCH(LEFT(MID('Industriesektor GWh'!$B5203,41,1000),SEARCH(" - ",MID('Industriesektor GWh'!$B5203,41,1000))-1),nrg_cb_e!$C$3:$C$40,0))</f>
        <v>FC_IND_NFM_E</v>
      </c>
      <c r="G5203" s="21">
        <v>3003</v>
      </c>
    </row>
    <row r="5204" spans="1:7" x14ac:dyDescent="0.2">
      <c r="A5204" s="16" t="s">
        <v>56</v>
      </c>
      <c r="B5204" s="17" t="s">
        <v>64</v>
      </c>
      <c r="C5204" s="17" t="s">
        <v>8</v>
      </c>
      <c r="D5204" s="17" t="s">
        <v>10</v>
      </c>
      <c r="E5204" s="17" t="s">
        <v>12</v>
      </c>
      <c r="F5204" s="17" t="str">
        <f>INDEX(nrg_cb_e!$A$3:$A$40,MATCH(LEFT(MID('Industriesektor GWh'!$B5204,41,1000),SEARCH(" - ",MID('Industriesektor GWh'!$B5204,41,1000))-1),nrg_cb_e!$C$3:$C$40,0))</f>
        <v>FC_IND_NFM_E</v>
      </c>
      <c r="G5204" s="18">
        <v>6365</v>
      </c>
    </row>
    <row r="5205" spans="1:7" x14ac:dyDescent="0.2">
      <c r="A5205" s="19" t="s">
        <v>56</v>
      </c>
      <c r="B5205" s="20" t="s">
        <v>64</v>
      </c>
      <c r="C5205" s="20" t="s">
        <v>8</v>
      </c>
      <c r="D5205" s="20" t="s">
        <v>10</v>
      </c>
      <c r="E5205" s="20" t="s">
        <v>13</v>
      </c>
      <c r="F5205" s="20" t="str">
        <f>INDEX(nrg_cb_e!$A$3:$A$40,MATCH(LEFT(MID('Industriesektor GWh'!$B5205,41,1000),SEARCH(" - ",MID('Industriesektor GWh'!$B5205,41,1000))-1),nrg_cb_e!$C$3:$C$40,0))</f>
        <v>FC_IND_NFM_E</v>
      </c>
      <c r="G5205" s="21">
        <v>7244</v>
      </c>
    </row>
    <row r="5206" spans="1:7" x14ac:dyDescent="0.2">
      <c r="A5206" s="16" t="s">
        <v>56</v>
      </c>
      <c r="B5206" s="17" t="s">
        <v>64</v>
      </c>
      <c r="C5206" s="17" t="s">
        <v>8</v>
      </c>
      <c r="D5206" s="17" t="s">
        <v>10</v>
      </c>
      <c r="E5206" s="17" t="s">
        <v>14</v>
      </c>
      <c r="F5206" s="17" t="str">
        <f>INDEX(nrg_cb_e!$A$3:$A$40,MATCH(LEFT(MID('Industriesektor GWh'!$B5206,41,1000),SEARCH(" - ",MID('Industriesektor GWh'!$B5206,41,1000))-1),nrg_cb_e!$C$3:$C$40,0))</f>
        <v>FC_IND_NFM_E</v>
      </c>
      <c r="G5206" s="18">
        <v>7468</v>
      </c>
    </row>
    <row r="5207" spans="1:7" x14ac:dyDescent="0.2">
      <c r="A5207" s="19" t="s">
        <v>56</v>
      </c>
      <c r="B5207" s="20" t="s">
        <v>64</v>
      </c>
      <c r="C5207" s="20" t="s">
        <v>8</v>
      </c>
      <c r="D5207" s="20" t="s">
        <v>10</v>
      </c>
      <c r="E5207" s="20" t="s">
        <v>15</v>
      </c>
      <c r="F5207" s="20" t="str">
        <f>INDEX(nrg_cb_e!$A$3:$A$40,MATCH(LEFT(MID('Industriesektor GWh'!$B5207,41,1000),SEARCH(" - ",MID('Industriesektor GWh'!$B5207,41,1000))-1),nrg_cb_e!$C$3:$C$40,0))</f>
        <v>FC_IND_NFM_E</v>
      </c>
      <c r="G5207" s="21">
        <v>7693</v>
      </c>
    </row>
    <row r="5208" spans="1:7" x14ac:dyDescent="0.2">
      <c r="A5208" s="16" t="s">
        <v>56</v>
      </c>
      <c r="B5208" s="17" t="s">
        <v>64</v>
      </c>
      <c r="C5208" s="17" t="s">
        <v>8</v>
      </c>
      <c r="D5208" s="17" t="s">
        <v>10</v>
      </c>
      <c r="E5208" s="17" t="s">
        <v>16</v>
      </c>
      <c r="F5208" s="17" t="str">
        <f>INDEX(nrg_cb_e!$A$3:$A$40,MATCH(LEFT(MID('Industriesektor GWh'!$B5208,41,1000),SEARCH(" - ",MID('Industriesektor GWh'!$B5208,41,1000))-1),nrg_cb_e!$C$3:$C$40,0))</f>
        <v>FC_IND_NFM_E</v>
      </c>
      <c r="G5208" s="18">
        <v>7524</v>
      </c>
    </row>
    <row r="5209" spans="1:7" x14ac:dyDescent="0.2">
      <c r="A5209" s="19" t="s">
        <v>56</v>
      </c>
      <c r="B5209" s="20" t="s">
        <v>64</v>
      </c>
      <c r="C5209" s="20" t="s">
        <v>8</v>
      </c>
      <c r="D5209" s="20" t="s">
        <v>10</v>
      </c>
      <c r="E5209" s="20" t="s">
        <v>17</v>
      </c>
      <c r="F5209" s="20" t="str">
        <f>INDEX(nrg_cb_e!$A$3:$A$40,MATCH(LEFT(MID('Industriesektor GWh'!$B5209,41,1000),SEARCH(" - ",MID('Industriesektor GWh'!$B5209,41,1000))-1),nrg_cb_e!$C$3:$C$40,0))</f>
        <v>FC_IND_NFM_E</v>
      </c>
      <c r="G5209" s="21">
        <v>7386</v>
      </c>
    </row>
    <row r="5210" spans="1:7" x14ac:dyDescent="0.2">
      <c r="A5210" s="16" t="s">
        <v>56</v>
      </c>
      <c r="B5210" s="17" t="s">
        <v>64</v>
      </c>
      <c r="C5210" s="17" t="s">
        <v>8</v>
      </c>
      <c r="D5210" s="17" t="s">
        <v>10</v>
      </c>
      <c r="E5210" s="17" t="s">
        <v>18</v>
      </c>
      <c r="F5210" s="17" t="str">
        <f>INDEX(nrg_cb_e!$A$3:$A$40,MATCH(LEFT(MID('Industriesektor GWh'!$B5210,41,1000),SEARCH(" - ",MID('Industriesektor GWh'!$B5210,41,1000))-1),nrg_cb_e!$C$3:$C$40,0))</f>
        <v>FC_IND_NFM_E</v>
      </c>
      <c r="G5210" s="18">
        <v>7391</v>
      </c>
    </row>
    <row r="5211" spans="1:7" x14ac:dyDescent="0.2">
      <c r="A5211" s="19" t="s">
        <v>56</v>
      </c>
      <c r="B5211" s="20" t="s">
        <v>64</v>
      </c>
      <c r="C5211" s="20" t="s">
        <v>8</v>
      </c>
      <c r="D5211" s="20" t="s">
        <v>10</v>
      </c>
      <c r="E5211" s="20" t="s">
        <v>19</v>
      </c>
      <c r="F5211" s="20" t="str">
        <f>INDEX(nrg_cb_e!$A$3:$A$40,MATCH(LEFT(MID('Industriesektor GWh'!$B5211,41,1000),SEARCH(" - ",MID('Industriesektor GWh'!$B5211,41,1000))-1),nrg_cb_e!$C$3:$C$40,0))</f>
        <v>FC_IND_NFM_E</v>
      </c>
      <c r="G5211" s="21">
        <v>6075</v>
      </c>
    </row>
    <row r="5212" spans="1:7" x14ac:dyDescent="0.2">
      <c r="A5212" s="16" t="s">
        <v>56</v>
      </c>
      <c r="B5212" s="17" t="s">
        <v>64</v>
      </c>
      <c r="C5212" s="17" t="s">
        <v>8</v>
      </c>
      <c r="D5212" s="17" t="s">
        <v>10</v>
      </c>
      <c r="E5212" s="17" t="s">
        <v>20</v>
      </c>
      <c r="F5212" s="17" t="str">
        <f>INDEX(nrg_cb_e!$A$3:$A$40,MATCH(LEFT(MID('Industriesektor GWh'!$B5212,41,1000),SEARCH(" - ",MID('Industriesektor GWh'!$B5212,41,1000))-1),nrg_cb_e!$C$3:$C$40,0))</f>
        <v>FC_IND_NFM_E</v>
      </c>
      <c r="G5212" s="18">
        <v>6726</v>
      </c>
    </row>
    <row r="5213" spans="1:7" x14ac:dyDescent="0.2">
      <c r="A5213" s="19" t="s">
        <v>56</v>
      </c>
      <c r="B5213" s="20" t="s">
        <v>64</v>
      </c>
      <c r="C5213" s="20" t="s">
        <v>8</v>
      </c>
      <c r="D5213" s="20" t="s">
        <v>10</v>
      </c>
      <c r="E5213" s="20" t="s">
        <v>21</v>
      </c>
      <c r="F5213" s="20" t="str">
        <f>INDEX(nrg_cb_e!$A$3:$A$40,MATCH(LEFT(MID('Industriesektor GWh'!$B5213,41,1000),SEARCH(" - ",MID('Industriesektor GWh'!$B5213,41,1000))-1),nrg_cb_e!$C$3:$C$40,0))</f>
        <v>FC_IND_NFM_E</v>
      </c>
      <c r="G5213" s="21">
        <v>6971</v>
      </c>
    </row>
    <row r="5214" spans="1:7" x14ac:dyDescent="0.2">
      <c r="A5214" s="16" t="s">
        <v>56</v>
      </c>
      <c r="B5214" s="17" t="s">
        <v>64</v>
      </c>
      <c r="C5214" s="17" t="s">
        <v>8</v>
      </c>
      <c r="D5214" s="17" t="s">
        <v>10</v>
      </c>
      <c r="E5214" s="17" t="s">
        <v>22</v>
      </c>
      <c r="F5214" s="17" t="str">
        <f>INDEX(nrg_cb_e!$A$3:$A$40,MATCH(LEFT(MID('Industriesektor GWh'!$B5214,41,1000),SEARCH(" - ",MID('Industriesektor GWh'!$B5214,41,1000))-1),nrg_cb_e!$C$3:$C$40,0))</f>
        <v>FC_IND_NFM_E</v>
      </c>
      <c r="G5214" s="18">
        <v>5028</v>
      </c>
    </row>
    <row r="5215" spans="1:7" x14ac:dyDescent="0.2">
      <c r="A5215" s="19" t="s">
        <v>56</v>
      </c>
      <c r="B5215" s="20" t="s">
        <v>64</v>
      </c>
      <c r="C5215" s="20" t="s">
        <v>8</v>
      </c>
      <c r="D5215" s="20" t="s">
        <v>10</v>
      </c>
      <c r="E5215" s="20" t="s">
        <v>23</v>
      </c>
      <c r="F5215" s="20" t="str">
        <f>INDEX(nrg_cb_e!$A$3:$A$40,MATCH(LEFT(MID('Industriesektor GWh'!$B5215,41,1000),SEARCH(" - ",MID('Industriesektor GWh'!$B5215,41,1000))-1),nrg_cb_e!$C$3:$C$40,0))</f>
        <v>FC_IND_NFM_E</v>
      </c>
      <c r="G5215" s="21">
        <v>4430</v>
      </c>
    </row>
    <row r="5216" spans="1:7" x14ac:dyDescent="0.2">
      <c r="A5216" s="16" t="s">
        <v>56</v>
      </c>
      <c r="B5216" s="17" t="s">
        <v>64</v>
      </c>
      <c r="C5216" s="17" t="s">
        <v>8</v>
      </c>
      <c r="D5216" s="17" t="s">
        <v>10</v>
      </c>
      <c r="E5216" s="17" t="s">
        <v>24</v>
      </c>
      <c r="F5216" s="17" t="str">
        <f>INDEX(nrg_cb_e!$A$3:$A$40,MATCH(LEFT(MID('Industriesektor GWh'!$B5216,41,1000),SEARCH(" - ",MID('Industriesektor GWh'!$B5216,41,1000))-1),nrg_cb_e!$C$3:$C$40,0))</f>
        <v>FC_IND_NFM_E</v>
      </c>
      <c r="G5216" s="18">
        <v>4475</v>
      </c>
    </row>
    <row r="5217" spans="1:7" x14ac:dyDescent="0.2">
      <c r="A5217" s="19" t="s">
        <v>56</v>
      </c>
      <c r="B5217" s="20" t="s">
        <v>64</v>
      </c>
      <c r="C5217" s="20" t="s">
        <v>8</v>
      </c>
      <c r="D5217" s="20" t="s">
        <v>10</v>
      </c>
      <c r="E5217" s="20" t="s">
        <v>25</v>
      </c>
      <c r="F5217" s="20" t="str">
        <f>INDEX(nrg_cb_e!$A$3:$A$40,MATCH(LEFT(MID('Industriesektor GWh'!$B5217,41,1000),SEARCH(" - ",MID('Industriesektor GWh'!$B5217,41,1000))-1),nrg_cb_e!$C$3:$C$40,0))</f>
        <v>FC_IND_NFM_E</v>
      </c>
      <c r="G5217" s="21">
        <v>4424.2370000000001</v>
      </c>
    </row>
    <row r="5218" spans="1:7" x14ac:dyDescent="0.2">
      <c r="A5218" s="16" t="s">
        <v>56</v>
      </c>
      <c r="B5218" s="17" t="s">
        <v>64</v>
      </c>
      <c r="C5218" s="17" t="s">
        <v>8</v>
      </c>
      <c r="D5218" s="17" t="s">
        <v>10</v>
      </c>
      <c r="E5218" s="17" t="s">
        <v>26</v>
      </c>
      <c r="F5218" s="17" t="str">
        <f>INDEX(nrg_cb_e!$A$3:$A$40,MATCH(LEFT(MID('Industriesektor GWh'!$B5218,41,1000),SEARCH(" - ",MID('Industriesektor GWh'!$B5218,41,1000))-1),nrg_cb_e!$C$3:$C$40,0))</f>
        <v>FC_IND_NFM_E</v>
      </c>
      <c r="G5218" s="18">
        <v>4506.9049999999997</v>
      </c>
    </row>
    <row r="5219" spans="1:7" x14ac:dyDescent="0.2">
      <c r="A5219" s="19" t="s">
        <v>56</v>
      </c>
      <c r="B5219" s="20" t="s">
        <v>64</v>
      </c>
      <c r="C5219" s="20" t="s">
        <v>8</v>
      </c>
      <c r="D5219" s="20" t="s">
        <v>10</v>
      </c>
      <c r="E5219" s="20" t="s">
        <v>27</v>
      </c>
      <c r="F5219" s="20" t="str">
        <f>INDEX(nrg_cb_e!$A$3:$A$40,MATCH(LEFT(MID('Industriesektor GWh'!$B5219,41,1000),SEARCH(" - ",MID('Industriesektor GWh'!$B5219,41,1000))-1),nrg_cb_e!$C$3:$C$40,0))</f>
        <v>FC_IND_NFM_E</v>
      </c>
      <c r="G5219" s="21">
        <v>4305.8860000000004</v>
      </c>
    </row>
    <row r="5220" spans="1:7" x14ac:dyDescent="0.2">
      <c r="A5220" s="16" t="s">
        <v>56</v>
      </c>
      <c r="B5220" s="17" t="s">
        <v>64</v>
      </c>
      <c r="C5220" s="17" t="s">
        <v>8</v>
      </c>
      <c r="D5220" s="17" t="s">
        <v>10</v>
      </c>
      <c r="E5220" s="17" t="s">
        <v>28</v>
      </c>
      <c r="F5220" s="17" t="str">
        <f>INDEX(nrg_cb_e!$A$3:$A$40,MATCH(LEFT(MID('Industriesektor GWh'!$B5220,41,1000),SEARCH(" - ",MID('Industriesektor GWh'!$B5220,41,1000))-1),nrg_cb_e!$C$3:$C$40,0))</f>
        <v>FC_IND_NFM_E</v>
      </c>
      <c r="G5220" s="18">
        <v>4087.9450000000002</v>
      </c>
    </row>
    <row r="5221" spans="1:7" x14ac:dyDescent="0.2">
      <c r="A5221" s="19" t="s">
        <v>57</v>
      </c>
      <c r="B5221" s="20" t="s">
        <v>64</v>
      </c>
      <c r="C5221" s="20" t="s">
        <v>8</v>
      </c>
      <c r="D5221" s="20" t="s">
        <v>10</v>
      </c>
      <c r="E5221" s="20" t="s">
        <v>12</v>
      </c>
      <c r="F5221" s="20" t="str">
        <f>INDEX(nrg_cb_e!$A$3:$A$40,MATCH(LEFT(MID('Industriesektor GWh'!$B5221,41,1000),SEARCH(" - ",MID('Industriesektor GWh'!$B5221,41,1000))-1),nrg_cb_e!$C$3:$C$40,0))</f>
        <v>FC_IND_NFM_E</v>
      </c>
      <c r="G5221" s="21">
        <v>4170</v>
      </c>
    </row>
    <row r="5222" spans="1:7" x14ac:dyDescent="0.2">
      <c r="A5222" s="16" t="s">
        <v>57</v>
      </c>
      <c r="B5222" s="17" t="s">
        <v>64</v>
      </c>
      <c r="C5222" s="17" t="s">
        <v>8</v>
      </c>
      <c r="D5222" s="17" t="s">
        <v>10</v>
      </c>
      <c r="E5222" s="17" t="s">
        <v>13</v>
      </c>
      <c r="F5222" s="17" t="str">
        <f>INDEX(nrg_cb_e!$A$3:$A$40,MATCH(LEFT(MID('Industriesektor GWh'!$B5222,41,1000),SEARCH(" - ",MID('Industriesektor GWh'!$B5222,41,1000))-1),nrg_cb_e!$C$3:$C$40,0))</f>
        <v>FC_IND_NFM_E</v>
      </c>
      <c r="G5222" s="18">
        <v>4180</v>
      </c>
    </row>
    <row r="5223" spans="1:7" x14ac:dyDescent="0.2">
      <c r="A5223" s="19" t="s">
        <v>57</v>
      </c>
      <c r="B5223" s="20" t="s">
        <v>64</v>
      </c>
      <c r="C5223" s="20" t="s">
        <v>8</v>
      </c>
      <c r="D5223" s="20" t="s">
        <v>10</v>
      </c>
      <c r="E5223" s="20" t="s">
        <v>14</v>
      </c>
      <c r="F5223" s="20" t="str">
        <f>INDEX(nrg_cb_e!$A$3:$A$40,MATCH(LEFT(MID('Industriesektor GWh'!$B5223,41,1000),SEARCH(" - ",MID('Industriesektor GWh'!$B5223,41,1000))-1),nrg_cb_e!$C$3:$C$40,0))</f>
        <v>FC_IND_NFM_E</v>
      </c>
      <c r="G5223" s="21">
        <v>4202</v>
      </c>
    </row>
    <row r="5224" spans="1:7" x14ac:dyDescent="0.2">
      <c r="A5224" s="16" t="s">
        <v>57</v>
      </c>
      <c r="B5224" s="17" t="s">
        <v>64</v>
      </c>
      <c r="C5224" s="17" t="s">
        <v>8</v>
      </c>
      <c r="D5224" s="17" t="s">
        <v>10</v>
      </c>
      <c r="E5224" s="17" t="s">
        <v>15</v>
      </c>
      <c r="F5224" s="17" t="str">
        <f>INDEX(nrg_cb_e!$A$3:$A$40,MATCH(LEFT(MID('Industriesektor GWh'!$B5224,41,1000),SEARCH(" - ",MID('Industriesektor GWh'!$B5224,41,1000))-1),nrg_cb_e!$C$3:$C$40,0))</f>
        <v>FC_IND_NFM_E</v>
      </c>
      <c r="G5224" s="18">
        <v>4211</v>
      </c>
    </row>
    <row r="5225" spans="1:7" x14ac:dyDescent="0.2">
      <c r="A5225" s="19" t="s">
        <v>57</v>
      </c>
      <c r="B5225" s="20" t="s">
        <v>64</v>
      </c>
      <c r="C5225" s="20" t="s">
        <v>8</v>
      </c>
      <c r="D5225" s="20" t="s">
        <v>10</v>
      </c>
      <c r="E5225" s="20" t="s">
        <v>16</v>
      </c>
      <c r="F5225" s="20" t="str">
        <f>INDEX(nrg_cb_e!$A$3:$A$40,MATCH(LEFT(MID('Industriesektor GWh'!$B5225,41,1000),SEARCH(" - ",MID('Industriesektor GWh'!$B5225,41,1000))-1),nrg_cb_e!$C$3:$C$40,0))</f>
        <v>FC_IND_NFM_E</v>
      </c>
      <c r="G5225" s="21">
        <v>5287</v>
      </c>
    </row>
    <row r="5226" spans="1:7" x14ac:dyDescent="0.2">
      <c r="A5226" s="16" t="s">
        <v>57</v>
      </c>
      <c r="B5226" s="17" t="s">
        <v>64</v>
      </c>
      <c r="C5226" s="17" t="s">
        <v>8</v>
      </c>
      <c r="D5226" s="17" t="s">
        <v>10</v>
      </c>
      <c r="E5226" s="17" t="s">
        <v>17</v>
      </c>
      <c r="F5226" s="17" t="str">
        <f>INDEX(nrg_cb_e!$A$3:$A$40,MATCH(LEFT(MID('Industriesektor GWh'!$B5226,41,1000),SEARCH(" - ",MID('Industriesektor GWh'!$B5226,41,1000))-1),nrg_cb_e!$C$3:$C$40,0))</f>
        <v>FC_IND_NFM_E</v>
      </c>
      <c r="G5226" s="18">
        <v>7112</v>
      </c>
    </row>
    <row r="5227" spans="1:7" x14ac:dyDescent="0.2">
      <c r="A5227" s="19" t="s">
        <v>57</v>
      </c>
      <c r="B5227" s="20" t="s">
        <v>64</v>
      </c>
      <c r="C5227" s="20" t="s">
        <v>8</v>
      </c>
      <c r="D5227" s="20" t="s">
        <v>10</v>
      </c>
      <c r="E5227" s="20" t="s">
        <v>18</v>
      </c>
      <c r="F5227" s="20" t="str">
        <f>INDEX(nrg_cb_e!$A$3:$A$40,MATCH(LEFT(MID('Industriesektor GWh'!$B5227,41,1000),SEARCH(" - ",MID('Industriesektor GWh'!$B5227,41,1000))-1),nrg_cb_e!$C$3:$C$40,0))</f>
        <v>FC_IND_NFM_E</v>
      </c>
      <c r="G5227" s="21">
        <v>11551</v>
      </c>
    </row>
    <row r="5228" spans="1:7" x14ac:dyDescent="0.2">
      <c r="A5228" s="16" t="s">
        <v>57</v>
      </c>
      <c r="B5228" s="17" t="s">
        <v>64</v>
      </c>
      <c r="C5228" s="17" t="s">
        <v>8</v>
      </c>
      <c r="D5228" s="17" t="s">
        <v>10</v>
      </c>
      <c r="E5228" s="17" t="s">
        <v>19</v>
      </c>
      <c r="F5228" s="17" t="str">
        <f>INDEX(nrg_cb_e!$A$3:$A$40,MATCH(LEFT(MID('Industriesektor GWh'!$B5228,41,1000),SEARCH(" - ",MID('Industriesektor GWh'!$B5228,41,1000))-1),nrg_cb_e!$C$3:$C$40,0))</f>
        <v>FC_IND_NFM_E</v>
      </c>
      <c r="G5228" s="18">
        <v>12031</v>
      </c>
    </row>
    <row r="5229" spans="1:7" x14ac:dyDescent="0.2">
      <c r="A5229" s="19" t="s">
        <v>57</v>
      </c>
      <c r="B5229" s="20" t="s">
        <v>64</v>
      </c>
      <c r="C5229" s="20" t="s">
        <v>8</v>
      </c>
      <c r="D5229" s="20" t="s">
        <v>10</v>
      </c>
      <c r="E5229" s="20" t="s">
        <v>20</v>
      </c>
      <c r="F5229" s="20" t="str">
        <f>INDEX(nrg_cb_e!$A$3:$A$40,MATCH(LEFT(MID('Industriesektor GWh'!$B5229,41,1000),SEARCH(" - ",MID('Industriesektor GWh'!$B5229,41,1000))-1),nrg_cb_e!$C$3:$C$40,0))</f>
        <v>FC_IND_NFM_E</v>
      </c>
      <c r="G5229" s="21">
        <v>12021</v>
      </c>
    </row>
    <row r="5230" spans="1:7" x14ac:dyDescent="0.2">
      <c r="A5230" s="16" t="s">
        <v>57</v>
      </c>
      <c r="B5230" s="17" t="s">
        <v>64</v>
      </c>
      <c r="C5230" s="17" t="s">
        <v>8</v>
      </c>
      <c r="D5230" s="17" t="s">
        <v>10</v>
      </c>
      <c r="E5230" s="17" t="s">
        <v>21</v>
      </c>
      <c r="F5230" s="17" t="str">
        <f>INDEX(nrg_cb_e!$A$3:$A$40,MATCH(LEFT(MID('Industriesektor GWh'!$B5230,41,1000),SEARCH(" - ",MID('Industriesektor GWh'!$B5230,41,1000))-1),nrg_cb_e!$C$3:$C$40,0))</f>
        <v>FC_IND_NFM_E</v>
      </c>
      <c r="G5230" s="18">
        <v>12343</v>
      </c>
    </row>
    <row r="5231" spans="1:7" x14ac:dyDescent="0.2">
      <c r="A5231" s="19" t="s">
        <v>57</v>
      </c>
      <c r="B5231" s="20" t="s">
        <v>64</v>
      </c>
      <c r="C5231" s="20" t="s">
        <v>8</v>
      </c>
      <c r="D5231" s="20" t="s">
        <v>10</v>
      </c>
      <c r="E5231" s="20" t="s">
        <v>22</v>
      </c>
      <c r="F5231" s="20" t="str">
        <f>INDEX(nrg_cb_e!$A$3:$A$40,MATCH(LEFT(MID('Industriesektor GWh'!$B5231,41,1000),SEARCH(" - ",MID('Industriesektor GWh'!$B5231,41,1000))-1),nrg_cb_e!$C$3:$C$40,0))</f>
        <v>FC_IND_NFM_E</v>
      </c>
      <c r="G5231" s="21">
        <v>12508</v>
      </c>
    </row>
    <row r="5232" spans="1:7" x14ac:dyDescent="0.2">
      <c r="A5232" s="16" t="s">
        <v>57</v>
      </c>
      <c r="B5232" s="17" t="s">
        <v>64</v>
      </c>
      <c r="C5232" s="17" t="s">
        <v>8</v>
      </c>
      <c r="D5232" s="17" t="s">
        <v>10</v>
      </c>
      <c r="E5232" s="17" t="s">
        <v>23</v>
      </c>
      <c r="F5232" s="17" t="str">
        <f>INDEX(nrg_cb_e!$A$3:$A$40,MATCH(LEFT(MID('Industriesektor GWh'!$B5232,41,1000),SEARCH(" - ",MID('Industriesektor GWh'!$B5232,41,1000))-1),nrg_cb_e!$C$3:$C$40,0))</f>
        <v>FC_IND_NFM_E</v>
      </c>
      <c r="G5232" s="18">
        <v>12918</v>
      </c>
    </row>
    <row r="5233" spans="1:7" x14ac:dyDescent="0.2">
      <c r="A5233" s="19" t="s">
        <v>57</v>
      </c>
      <c r="B5233" s="20" t="s">
        <v>64</v>
      </c>
      <c r="C5233" s="20" t="s">
        <v>8</v>
      </c>
      <c r="D5233" s="20" t="s">
        <v>10</v>
      </c>
      <c r="E5233" s="20" t="s">
        <v>24</v>
      </c>
      <c r="F5233" s="20" t="str">
        <f>INDEX(nrg_cb_e!$A$3:$A$40,MATCH(LEFT(MID('Industriesektor GWh'!$B5233,41,1000),SEARCH(" - ",MID('Industriesektor GWh'!$B5233,41,1000))-1),nrg_cb_e!$C$3:$C$40,0))</f>
        <v>FC_IND_NFM_E</v>
      </c>
      <c r="G5233" s="21">
        <v>12981</v>
      </c>
    </row>
    <row r="5234" spans="1:7" x14ac:dyDescent="0.2">
      <c r="A5234" s="16" t="s">
        <v>57</v>
      </c>
      <c r="B5234" s="17" t="s">
        <v>64</v>
      </c>
      <c r="C5234" s="17" t="s">
        <v>8</v>
      </c>
      <c r="D5234" s="17" t="s">
        <v>10</v>
      </c>
      <c r="E5234" s="17" t="s">
        <v>25</v>
      </c>
      <c r="F5234" s="17" t="str">
        <f>INDEX(nrg_cb_e!$A$3:$A$40,MATCH(LEFT(MID('Industriesektor GWh'!$B5234,41,1000),SEARCH(" - ",MID('Industriesektor GWh'!$B5234,41,1000))-1),nrg_cb_e!$C$3:$C$40,0))</f>
        <v>FC_IND_NFM_E</v>
      </c>
      <c r="G5234" s="18">
        <v>13263</v>
      </c>
    </row>
    <row r="5235" spans="1:7" x14ac:dyDescent="0.2">
      <c r="A5235" s="19" t="s">
        <v>57</v>
      </c>
      <c r="B5235" s="20" t="s">
        <v>64</v>
      </c>
      <c r="C5235" s="20" t="s">
        <v>8</v>
      </c>
      <c r="D5235" s="20" t="s">
        <v>10</v>
      </c>
      <c r="E5235" s="20" t="s">
        <v>26</v>
      </c>
      <c r="F5235" s="20" t="str">
        <f>INDEX(nrg_cb_e!$A$3:$A$40,MATCH(LEFT(MID('Industriesektor GWh'!$B5235,41,1000),SEARCH(" - ",MID('Industriesektor GWh'!$B5235,41,1000))-1),nrg_cb_e!$C$3:$C$40,0))</f>
        <v>FC_IND_NFM_E</v>
      </c>
      <c r="G5235" s="21">
        <v>13072</v>
      </c>
    </row>
    <row r="5236" spans="1:7" x14ac:dyDescent="0.2">
      <c r="A5236" s="16" t="s">
        <v>57</v>
      </c>
      <c r="B5236" s="17" t="s">
        <v>64</v>
      </c>
      <c r="C5236" s="17" t="s">
        <v>8</v>
      </c>
      <c r="D5236" s="17" t="s">
        <v>10</v>
      </c>
      <c r="E5236" s="17" t="s">
        <v>27</v>
      </c>
      <c r="F5236" s="17" t="str">
        <f>INDEX(nrg_cb_e!$A$3:$A$40,MATCH(LEFT(MID('Industriesektor GWh'!$B5236,41,1000),SEARCH(" - ",MID('Industriesektor GWh'!$B5236,41,1000))-1),nrg_cb_e!$C$3:$C$40,0))</f>
        <v>FC_IND_NFM_E</v>
      </c>
      <c r="G5236" s="18">
        <v>13491.017</v>
      </c>
    </row>
    <row r="5237" spans="1:7" x14ac:dyDescent="0.2">
      <c r="A5237" s="19" t="s">
        <v>57</v>
      </c>
      <c r="B5237" s="20" t="s">
        <v>64</v>
      </c>
      <c r="C5237" s="20" t="s">
        <v>8</v>
      </c>
      <c r="D5237" s="20" t="s">
        <v>10</v>
      </c>
      <c r="E5237" s="20" t="s">
        <v>28</v>
      </c>
      <c r="F5237" s="20" t="str">
        <f>INDEX(nrg_cb_e!$A$3:$A$40,MATCH(LEFT(MID('Industriesektor GWh'!$B5237,41,1000),SEARCH(" - ",MID('Industriesektor GWh'!$B5237,41,1000))-1),nrg_cb_e!$C$3:$C$40,0))</f>
        <v>FC_IND_NFM_E</v>
      </c>
      <c r="G5237" s="21">
        <v>13525.048000000001</v>
      </c>
    </row>
    <row r="5238" spans="1:7" x14ac:dyDescent="0.2">
      <c r="A5238" s="16" t="s">
        <v>58</v>
      </c>
      <c r="B5238" s="17" t="s">
        <v>64</v>
      </c>
      <c r="C5238" s="17" t="s">
        <v>8</v>
      </c>
      <c r="D5238" s="17" t="s">
        <v>10</v>
      </c>
      <c r="E5238" s="17" t="s">
        <v>12</v>
      </c>
      <c r="F5238" s="17" t="str">
        <f>INDEX(nrg_cb_e!$A$3:$A$40,MATCH(LEFT(MID('Industriesektor GWh'!$B5238,41,1000),SEARCH(" - ",MID('Industriesektor GWh'!$B5238,41,1000))-1),nrg_cb_e!$C$3:$C$40,0))</f>
        <v>FC_IND_NFM_E</v>
      </c>
      <c r="G5238" s="18">
        <v>18809</v>
      </c>
    </row>
    <row r="5239" spans="1:7" x14ac:dyDescent="0.2">
      <c r="A5239" s="19" t="s">
        <v>58</v>
      </c>
      <c r="B5239" s="20" t="s">
        <v>64</v>
      </c>
      <c r="C5239" s="20" t="s">
        <v>8</v>
      </c>
      <c r="D5239" s="20" t="s">
        <v>10</v>
      </c>
      <c r="E5239" s="20" t="s">
        <v>13</v>
      </c>
      <c r="F5239" s="20" t="str">
        <f>INDEX(nrg_cb_e!$A$3:$A$40,MATCH(LEFT(MID('Industriesektor GWh'!$B5239,41,1000),SEARCH(" - ",MID('Industriesektor GWh'!$B5239,41,1000))-1),nrg_cb_e!$C$3:$C$40,0))</f>
        <v>FC_IND_NFM_E</v>
      </c>
      <c r="G5239" s="21">
        <v>20599</v>
      </c>
    </row>
    <row r="5240" spans="1:7" x14ac:dyDescent="0.2">
      <c r="A5240" s="16" t="s">
        <v>58</v>
      </c>
      <c r="B5240" s="17" t="s">
        <v>64</v>
      </c>
      <c r="C5240" s="17" t="s">
        <v>8</v>
      </c>
      <c r="D5240" s="17" t="s">
        <v>10</v>
      </c>
      <c r="E5240" s="17" t="s">
        <v>14</v>
      </c>
      <c r="F5240" s="17" t="str">
        <f>INDEX(nrg_cb_e!$A$3:$A$40,MATCH(LEFT(MID('Industriesektor GWh'!$B5240,41,1000),SEARCH(" - ",MID('Industriesektor GWh'!$B5240,41,1000))-1),nrg_cb_e!$C$3:$C$40,0))</f>
        <v>FC_IND_NFM_E</v>
      </c>
      <c r="G5240" s="18">
        <v>22418</v>
      </c>
    </row>
    <row r="5241" spans="1:7" x14ac:dyDescent="0.2">
      <c r="A5241" s="19" t="s">
        <v>58</v>
      </c>
      <c r="B5241" s="20" t="s">
        <v>64</v>
      </c>
      <c r="C5241" s="20" t="s">
        <v>8</v>
      </c>
      <c r="D5241" s="20" t="s">
        <v>10</v>
      </c>
      <c r="E5241" s="20" t="s">
        <v>15</v>
      </c>
      <c r="F5241" s="20" t="str">
        <f>INDEX(nrg_cb_e!$A$3:$A$40,MATCH(LEFT(MID('Industriesektor GWh'!$B5241,41,1000),SEARCH(" - ",MID('Industriesektor GWh'!$B5241,41,1000))-1),nrg_cb_e!$C$3:$C$40,0))</f>
        <v>FC_IND_NFM_E</v>
      </c>
      <c r="G5241" s="21">
        <v>23757</v>
      </c>
    </row>
    <row r="5242" spans="1:7" x14ac:dyDescent="0.2">
      <c r="A5242" s="16" t="s">
        <v>58</v>
      </c>
      <c r="B5242" s="17" t="s">
        <v>64</v>
      </c>
      <c r="C5242" s="17" t="s">
        <v>8</v>
      </c>
      <c r="D5242" s="17" t="s">
        <v>10</v>
      </c>
      <c r="E5242" s="17" t="s">
        <v>16</v>
      </c>
      <c r="F5242" s="17" t="str">
        <f>INDEX(nrg_cb_e!$A$3:$A$40,MATCH(LEFT(MID('Industriesektor GWh'!$B5242,41,1000),SEARCH(" - ",MID('Industriesektor GWh'!$B5242,41,1000))-1),nrg_cb_e!$C$3:$C$40,0))</f>
        <v>FC_IND_NFM_E</v>
      </c>
      <c r="G5242" s="18">
        <v>23590</v>
      </c>
    </row>
    <row r="5243" spans="1:7" x14ac:dyDescent="0.2">
      <c r="A5243" s="19" t="s">
        <v>58</v>
      </c>
      <c r="B5243" s="20" t="s">
        <v>64</v>
      </c>
      <c r="C5243" s="20" t="s">
        <v>8</v>
      </c>
      <c r="D5243" s="20" t="s">
        <v>10</v>
      </c>
      <c r="E5243" s="20" t="s">
        <v>17</v>
      </c>
      <c r="F5243" s="20" t="str">
        <f>INDEX(nrg_cb_e!$A$3:$A$40,MATCH(LEFT(MID('Industriesektor GWh'!$B5243,41,1000),SEARCH(" - ",MID('Industriesektor GWh'!$B5243,41,1000))-1),nrg_cb_e!$C$3:$C$40,0))</f>
        <v>FC_IND_NFM_E</v>
      </c>
      <c r="G5243" s="21">
        <v>22869</v>
      </c>
    </row>
    <row r="5244" spans="1:7" x14ac:dyDescent="0.2">
      <c r="A5244" s="16" t="s">
        <v>58</v>
      </c>
      <c r="B5244" s="17" t="s">
        <v>64</v>
      </c>
      <c r="C5244" s="17" t="s">
        <v>8</v>
      </c>
      <c r="D5244" s="17" t="s">
        <v>10</v>
      </c>
      <c r="E5244" s="17" t="s">
        <v>18</v>
      </c>
      <c r="F5244" s="17" t="str">
        <f>INDEX(nrg_cb_e!$A$3:$A$40,MATCH(LEFT(MID('Industriesektor GWh'!$B5244,41,1000),SEARCH(" - ",MID('Industriesektor GWh'!$B5244,41,1000))-1),nrg_cb_e!$C$3:$C$40,0))</f>
        <v>FC_IND_NFM_E</v>
      </c>
      <c r="G5244" s="18">
        <v>22982</v>
      </c>
    </row>
    <row r="5245" spans="1:7" x14ac:dyDescent="0.2">
      <c r="A5245" s="19" t="s">
        <v>58</v>
      </c>
      <c r="B5245" s="20" t="s">
        <v>64</v>
      </c>
      <c r="C5245" s="20" t="s">
        <v>8</v>
      </c>
      <c r="D5245" s="20" t="s">
        <v>10</v>
      </c>
      <c r="E5245" s="20" t="s">
        <v>19</v>
      </c>
      <c r="F5245" s="20" t="str">
        <f>INDEX(nrg_cb_e!$A$3:$A$40,MATCH(LEFT(MID('Industriesektor GWh'!$B5245,41,1000),SEARCH(" - ",MID('Industriesektor GWh'!$B5245,41,1000))-1),nrg_cb_e!$C$3:$C$40,0))</f>
        <v>FC_IND_NFM_E</v>
      </c>
      <c r="G5245" s="21">
        <v>19115</v>
      </c>
    </row>
    <row r="5246" spans="1:7" x14ac:dyDescent="0.2">
      <c r="A5246" s="16" t="s">
        <v>58</v>
      </c>
      <c r="B5246" s="17" t="s">
        <v>64</v>
      </c>
      <c r="C5246" s="17" t="s">
        <v>8</v>
      </c>
      <c r="D5246" s="17" t="s">
        <v>10</v>
      </c>
      <c r="E5246" s="17" t="s">
        <v>20</v>
      </c>
      <c r="F5246" s="17" t="str">
        <f>INDEX(nrg_cb_e!$A$3:$A$40,MATCH(LEFT(MID('Industriesektor GWh'!$B5246,41,1000),SEARCH(" - ",MID('Industriesektor GWh'!$B5246,41,1000))-1),nrg_cb_e!$C$3:$C$40,0))</f>
        <v>FC_IND_NFM_E</v>
      </c>
      <c r="G5246" s="18">
        <v>18675</v>
      </c>
    </row>
    <row r="5247" spans="1:7" x14ac:dyDescent="0.2">
      <c r="A5247" s="19" t="s">
        <v>58</v>
      </c>
      <c r="B5247" s="20" t="s">
        <v>64</v>
      </c>
      <c r="C5247" s="20" t="s">
        <v>8</v>
      </c>
      <c r="D5247" s="20" t="s">
        <v>10</v>
      </c>
      <c r="E5247" s="20" t="s">
        <v>21</v>
      </c>
      <c r="F5247" s="20" t="str">
        <f>INDEX(nrg_cb_e!$A$3:$A$40,MATCH(LEFT(MID('Industriesektor GWh'!$B5247,41,1000),SEARCH(" - ",MID('Industriesektor GWh'!$B5247,41,1000))-1),nrg_cb_e!$C$3:$C$40,0))</f>
        <v>FC_IND_NFM_E</v>
      </c>
      <c r="G5247" s="21">
        <v>18785</v>
      </c>
    </row>
    <row r="5248" spans="1:7" x14ac:dyDescent="0.2">
      <c r="A5248" s="16" t="s">
        <v>58</v>
      </c>
      <c r="B5248" s="17" t="s">
        <v>64</v>
      </c>
      <c r="C5248" s="17" t="s">
        <v>8</v>
      </c>
      <c r="D5248" s="17" t="s">
        <v>10</v>
      </c>
      <c r="E5248" s="17" t="s">
        <v>22</v>
      </c>
      <c r="F5248" s="17" t="str">
        <f>INDEX(nrg_cb_e!$A$3:$A$40,MATCH(LEFT(MID('Industriesektor GWh'!$B5248,41,1000),SEARCH(" - ",MID('Industriesektor GWh'!$B5248,41,1000))-1),nrg_cb_e!$C$3:$C$40,0))</f>
        <v>FC_IND_NFM_E</v>
      </c>
      <c r="G5248" s="18">
        <v>19029</v>
      </c>
    </row>
    <row r="5249" spans="1:7" x14ac:dyDescent="0.2">
      <c r="A5249" s="19" t="s">
        <v>58</v>
      </c>
      <c r="B5249" s="20" t="s">
        <v>64</v>
      </c>
      <c r="C5249" s="20" t="s">
        <v>8</v>
      </c>
      <c r="D5249" s="20" t="s">
        <v>10</v>
      </c>
      <c r="E5249" s="20" t="s">
        <v>23</v>
      </c>
      <c r="F5249" s="20" t="str">
        <f>INDEX(nrg_cb_e!$A$3:$A$40,MATCH(LEFT(MID('Industriesektor GWh'!$B5249,41,1000),SEARCH(" - ",MID('Industriesektor GWh'!$B5249,41,1000))-1),nrg_cb_e!$C$3:$C$40,0))</f>
        <v>FC_IND_NFM_E</v>
      </c>
      <c r="G5249" s="21">
        <v>19237</v>
      </c>
    </row>
    <row r="5250" spans="1:7" x14ac:dyDescent="0.2">
      <c r="A5250" s="16" t="s">
        <v>58</v>
      </c>
      <c r="B5250" s="17" t="s">
        <v>64</v>
      </c>
      <c r="C5250" s="17" t="s">
        <v>8</v>
      </c>
      <c r="D5250" s="17" t="s">
        <v>10</v>
      </c>
      <c r="E5250" s="17" t="s">
        <v>24</v>
      </c>
      <c r="F5250" s="17" t="str">
        <f>INDEX(nrg_cb_e!$A$3:$A$40,MATCH(LEFT(MID('Industriesektor GWh'!$B5250,41,1000),SEARCH(" - ",MID('Industriesektor GWh'!$B5250,41,1000))-1),nrg_cb_e!$C$3:$C$40,0))</f>
        <v>FC_IND_NFM_E</v>
      </c>
      <c r="G5250" s="18">
        <v>19662</v>
      </c>
    </row>
    <row r="5251" spans="1:7" x14ac:dyDescent="0.2">
      <c r="A5251" s="19" t="s">
        <v>58</v>
      </c>
      <c r="B5251" s="20" t="s">
        <v>64</v>
      </c>
      <c r="C5251" s="20" t="s">
        <v>8</v>
      </c>
      <c r="D5251" s="20" t="s">
        <v>10</v>
      </c>
      <c r="E5251" s="20" t="s">
        <v>25</v>
      </c>
      <c r="F5251" s="20" t="str">
        <f>INDEX(nrg_cb_e!$A$3:$A$40,MATCH(LEFT(MID('Industriesektor GWh'!$B5251,41,1000),SEARCH(" - ",MID('Industriesektor GWh'!$B5251,41,1000))-1),nrg_cb_e!$C$3:$C$40,0))</f>
        <v>FC_IND_NFM_E</v>
      </c>
      <c r="G5251" s="21">
        <v>20386</v>
      </c>
    </row>
    <row r="5252" spans="1:7" x14ac:dyDescent="0.2">
      <c r="A5252" s="16" t="s">
        <v>58</v>
      </c>
      <c r="B5252" s="17" t="s">
        <v>64</v>
      </c>
      <c r="C5252" s="17" t="s">
        <v>8</v>
      </c>
      <c r="D5252" s="17" t="s">
        <v>10</v>
      </c>
      <c r="E5252" s="17" t="s">
        <v>26</v>
      </c>
      <c r="F5252" s="17" t="str">
        <f>INDEX(nrg_cb_e!$A$3:$A$40,MATCH(LEFT(MID('Industriesektor GWh'!$B5252,41,1000),SEARCH(" - ",MID('Industriesektor GWh'!$B5252,41,1000))-1),nrg_cb_e!$C$3:$C$40,0))</f>
        <v>FC_IND_NFM_E</v>
      </c>
      <c r="G5252" s="18">
        <v>20764</v>
      </c>
    </row>
    <row r="5253" spans="1:7" x14ac:dyDescent="0.2">
      <c r="A5253" s="19" t="s">
        <v>58</v>
      </c>
      <c r="B5253" s="20" t="s">
        <v>64</v>
      </c>
      <c r="C5253" s="20" t="s">
        <v>8</v>
      </c>
      <c r="D5253" s="20" t="s">
        <v>10</v>
      </c>
      <c r="E5253" s="20" t="s">
        <v>27</v>
      </c>
      <c r="F5253" s="20" t="str">
        <f>INDEX(nrg_cb_e!$A$3:$A$40,MATCH(LEFT(MID('Industriesektor GWh'!$B5253,41,1000),SEARCH(" - ",MID('Industriesektor GWh'!$B5253,41,1000))-1),nrg_cb_e!$C$3:$C$40,0))</f>
        <v>FC_IND_NFM_E</v>
      </c>
      <c r="G5253" s="21">
        <v>20828</v>
      </c>
    </row>
    <row r="5254" spans="1:7" x14ac:dyDescent="0.2">
      <c r="A5254" s="16" t="s">
        <v>58</v>
      </c>
      <c r="B5254" s="17" t="s">
        <v>64</v>
      </c>
      <c r="C5254" s="17" t="s">
        <v>8</v>
      </c>
      <c r="D5254" s="17" t="s">
        <v>10</v>
      </c>
      <c r="E5254" s="17" t="s">
        <v>28</v>
      </c>
      <c r="F5254" s="17" t="str">
        <f>INDEX(nrg_cb_e!$A$3:$A$40,MATCH(LEFT(MID('Industriesektor GWh'!$B5254,41,1000),SEARCH(" - ",MID('Industriesektor GWh'!$B5254,41,1000))-1),nrg_cb_e!$C$3:$C$40,0))</f>
        <v>FC_IND_NFM_E</v>
      </c>
      <c r="G5254" s="18">
        <v>21651.188999999998</v>
      </c>
    </row>
    <row r="5255" spans="1:7" x14ac:dyDescent="0.2">
      <c r="A5255" s="19" t="s">
        <v>59</v>
      </c>
      <c r="B5255" s="20" t="s">
        <v>64</v>
      </c>
      <c r="C5255" s="20" t="s">
        <v>8</v>
      </c>
      <c r="D5255" s="20" t="s">
        <v>10</v>
      </c>
      <c r="E5255" s="20" t="s">
        <v>12</v>
      </c>
      <c r="F5255" s="20" t="str">
        <f>INDEX(nrg_cb_e!$A$3:$A$40,MATCH(LEFT(MID('Industriesektor GWh'!$B5255,41,1000),SEARCH(" - ",MID('Industriesektor GWh'!$B5255,41,1000))-1),nrg_cb_e!$C$3:$C$40,0))</f>
        <v>FC_IND_NFM_E</v>
      </c>
      <c r="G5255" s="21">
        <v>0</v>
      </c>
    </row>
    <row r="5256" spans="1:7" x14ac:dyDescent="0.2">
      <c r="A5256" s="16" t="s">
        <v>59</v>
      </c>
      <c r="B5256" s="17" t="s">
        <v>64</v>
      </c>
      <c r="C5256" s="17" t="s">
        <v>8</v>
      </c>
      <c r="D5256" s="17" t="s">
        <v>10</v>
      </c>
      <c r="E5256" s="17" t="s">
        <v>13</v>
      </c>
      <c r="F5256" s="17" t="str">
        <f>INDEX(nrg_cb_e!$A$3:$A$40,MATCH(LEFT(MID('Industriesektor GWh'!$B5256,41,1000),SEARCH(" - ",MID('Industriesektor GWh'!$B5256,41,1000))-1),nrg_cb_e!$C$3:$C$40,0))</f>
        <v>FC_IND_NFM_E</v>
      </c>
      <c r="G5256" s="18">
        <v>0</v>
      </c>
    </row>
    <row r="5257" spans="1:7" x14ac:dyDescent="0.2">
      <c r="A5257" s="19" t="s">
        <v>59</v>
      </c>
      <c r="B5257" s="20" t="s">
        <v>64</v>
      </c>
      <c r="C5257" s="20" t="s">
        <v>8</v>
      </c>
      <c r="D5257" s="20" t="s">
        <v>10</v>
      </c>
      <c r="E5257" s="20" t="s">
        <v>14</v>
      </c>
      <c r="F5257" s="20" t="str">
        <f>INDEX(nrg_cb_e!$A$3:$A$40,MATCH(LEFT(MID('Industriesektor GWh'!$B5257,41,1000),SEARCH(" - ",MID('Industriesektor GWh'!$B5257,41,1000))-1),nrg_cb_e!$C$3:$C$40,0))</f>
        <v>FC_IND_NFM_E</v>
      </c>
      <c r="G5257" s="21">
        <v>301</v>
      </c>
    </row>
    <row r="5258" spans="1:7" x14ac:dyDescent="0.2">
      <c r="A5258" s="16" t="s">
        <v>59</v>
      </c>
      <c r="B5258" s="17" t="s">
        <v>64</v>
      </c>
      <c r="C5258" s="17" t="s">
        <v>8</v>
      </c>
      <c r="D5258" s="17" t="s">
        <v>10</v>
      </c>
      <c r="E5258" s="17" t="s">
        <v>15</v>
      </c>
      <c r="F5258" s="17" t="str">
        <f>INDEX(nrg_cb_e!$A$3:$A$40,MATCH(LEFT(MID('Industriesektor GWh'!$B5258,41,1000),SEARCH(" - ",MID('Industriesektor GWh'!$B5258,41,1000))-1),nrg_cb_e!$C$3:$C$40,0))</f>
        <v>FC_IND_NFM_E</v>
      </c>
      <c r="G5258" s="18">
        <v>350</v>
      </c>
    </row>
    <row r="5259" spans="1:7" x14ac:dyDescent="0.2">
      <c r="A5259" s="19" t="s">
        <v>59</v>
      </c>
      <c r="B5259" s="20" t="s">
        <v>64</v>
      </c>
      <c r="C5259" s="20" t="s">
        <v>8</v>
      </c>
      <c r="D5259" s="20" t="s">
        <v>10</v>
      </c>
      <c r="E5259" s="20" t="s">
        <v>16</v>
      </c>
      <c r="F5259" s="20" t="str">
        <f>INDEX(nrg_cb_e!$A$3:$A$40,MATCH(LEFT(MID('Industriesektor GWh'!$B5259,41,1000),SEARCH(" - ",MID('Industriesektor GWh'!$B5259,41,1000))-1),nrg_cb_e!$C$3:$C$40,0))</f>
        <v>FC_IND_NFM_E</v>
      </c>
      <c r="G5259" s="21">
        <v>379</v>
      </c>
    </row>
    <row r="5260" spans="1:7" x14ac:dyDescent="0.2">
      <c r="A5260" s="16" t="s">
        <v>59</v>
      </c>
      <c r="B5260" s="17" t="s">
        <v>64</v>
      </c>
      <c r="C5260" s="17" t="s">
        <v>8</v>
      </c>
      <c r="D5260" s="17" t="s">
        <v>10</v>
      </c>
      <c r="E5260" s="17" t="s">
        <v>17</v>
      </c>
      <c r="F5260" s="17" t="str">
        <f>INDEX(nrg_cb_e!$A$3:$A$40,MATCH(LEFT(MID('Industriesektor GWh'!$B5260,41,1000),SEARCH(" - ",MID('Industriesektor GWh'!$B5260,41,1000))-1),nrg_cb_e!$C$3:$C$40,0))</f>
        <v>FC_IND_NFM_E</v>
      </c>
      <c r="G5260" s="18">
        <v>290</v>
      </c>
    </row>
    <row r="5261" spans="1:7" x14ac:dyDescent="0.2">
      <c r="A5261" s="19" t="s">
        <v>59</v>
      </c>
      <c r="B5261" s="20" t="s">
        <v>64</v>
      </c>
      <c r="C5261" s="20" t="s">
        <v>8</v>
      </c>
      <c r="D5261" s="20" t="s">
        <v>10</v>
      </c>
      <c r="E5261" s="20" t="s">
        <v>18</v>
      </c>
      <c r="F5261" s="20" t="str">
        <f>INDEX(nrg_cb_e!$A$3:$A$40,MATCH(LEFT(MID('Industriesektor GWh'!$B5261,41,1000),SEARCH(" - ",MID('Industriesektor GWh'!$B5261,41,1000))-1),nrg_cb_e!$C$3:$C$40,0))</f>
        <v>FC_IND_NFM_E</v>
      </c>
      <c r="G5261" s="21">
        <v>373</v>
      </c>
    </row>
    <row r="5262" spans="1:7" x14ac:dyDescent="0.2">
      <c r="A5262" s="16" t="s">
        <v>59</v>
      </c>
      <c r="B5262" s="17" t="s">
        <v>64</v>
      </c>
      <c r="C5262" s="17" t="s">
        <v>8</v>
      </c>
      <c r="D5262" s="17" t="s">
        <v>10</v>
      </c>
      <c r="E5262" s="17" t="s">
        <v>19</v>
      </c>
      <c r="F5262" s="17" t="str">
        <f>INDEX(nrg_cb_e!$A$3:$A$40,MATCH(LEFT(MID('Industriesektor GWh'!$B5262,41,1000),SEARCH(" - ",MID('Industriesektor GWh'!$B5262,41,1000))-1),nrg_cb_e!$C$3:$C$40,0))</f>
        <v>FC_IND_NFM_E</v>
      </c>
      <c r="G5262" s="18">
        <v>193</v>
      </c>
    </row>
    <row r="5263" spans="1:7" x14ac:dyDescent="0.2">
      <c r="A5263" s="19" t="s">
        <v>59</v>
      </c>
      <c r="B5263" s="20" t="s">
        <v>64</v>
      </c>
      <c r="C5263" s="20" t="s">
        <v>8</v>
      </c>
      <c r="D5263" s="20" t="s">
        <v>10</v>
      </c>
      <c r="E5263" s="20" t="s">
        <v>20</v>
      </c>
      <c r="F5263" s="20" t="str">
        <f>INDEX(nrg_cb_e!$A$3:$A$40,MATCH(LEFT(MID('Industriesektor GWh'!$B5263,41,1000),SEARCH(" - ",MID('Industriesektor GWh'!$B5263,41,1000))-1),nrg_cb_e!$C$3:$C$40,0))</f>
        <v>FC_IND_NFM_E</v>
      </c>
      <c r="G5263" s="21">
        <v>263</v>
      </c>
    </row>
    <row r="5264" spans="1:7" x14ac:dyDescent="0.2">
      <c r="A5264" s="16" t="s">
        <v>59</v>
      </c>
      <c r="B5264" s="17" t="s">
        <v>64</v>
      </c>
      <c r="C5264" s="17" t="s">
        <v>8</v>
      </c>
      <c r="D5264" s="17" t="s">
        <v>10</v>
      </c>
      <c r="E5264" s="17" t="s">
        <v>21</v>
      </c>
      <c r="F5264" s="17" t="str">
        <f>INDEX(nrg_cb_e!$A$3:$A$40,MATCH(LEFT(MID('Industriesektor GWh'!$B5264,41,1000),SEARCH(" - ",MID('Industriesektor GWh'!$B5264,41,1000))-1),nrg_cb_e!$C$3:$C$40,0))</f>
        <v>FC_IND_NFM_E</v>
      </c>
      <c r="G5264" s="18">
        <v>316</v>
      </c>
    </row>
    <row r="5265" spans="1:7" x14ac:dyDescent="0.2">
      <c r="A5265" s="19" t="s">
        <v>59</v>
      </c>
      <c r="B5265" s="20" t="s">
        <v>64</v>
      </c>
      <c r="C5265" s="20" t="s">
        <v>8</v>
      </c>
      <c r="D5265" s="20" t="s">
        <v>10</v>
      </c>
      <c r="E5265" s="20" t="s">
        <v>22</v>
      </c>
      <c r="F5265" s="20" t="str">
        <f>INDEX(nrg_cb_e!$A$3:$A$40,MATCH(LEFT(MID('Industriesektor GWh'!$B5265,41,1000),SEARCH(" - ",MID('Industriesektor GWh'!$B5265,41,1000))-1),nrg_cb_e!$C$3:$C$40,0))</f>
        <v>FC_IND_NFM_E</v>
      </c>
      <c r="G5265" s="21">
        <v>388</v>
      </c>
    </row>
    <row r="5266" spans="1:7" x14ac:dyDescent="0.2">
      <c r="A5266" s="16" t="s">
        <v>59</v>
      </c>
      <c r="B5266" s="17" t="s">
        <v>64</v>
      </c>
      <c r="C5266" s="17" t="s">
        <v>8</v>
      </c>
      <c r="D5266" s="17" t="s">
        <v>10</v>
      </c>
      <c r="E5266" s="17" t="s">
        <v>23</v>
      </c>
      <c r="F5266" s="17" t="str">
        <f>INDEX(nrg_cb_e!$A$3:$A$40,MATCH(LEFT(MID('Industriesektor GWh'!$B5266,41,1000),SEARCH(" - ",MID('Industriesektor GWh'!$B5266,41,1000))-1),nrg_cb_e!$C$3:$C$40,0))</f>
        <v>FC_IND_NFM_E</v>
      </c>
      <c r="G5266" s="18">
        <v>400</v>
      </c>
    </row>
    <row r="5267" spans="1:7" x14ac:dyDescent="0.2">
      <c r="A5267" s="19" t="s">
        <v>59</v>
      </c>
      <c r="B5267" s="20" t="s">
        <v>64</v>
      </c>
      <c r="C5267" s="20" t="s">
        <v>8</v>
      </c>
      <c r="D5267" s="20" t="s">
        <v>10</v>
      </c>
      <c r="E5267" s="20" t="s">
        <v>24</v>
      </c>
      <c r="F5267" s="20" t="str">
        <f>INDEX(nrg_cb_e!$A$3:$A$40,MATCH(LEFT(MID('Industriesektor GWh'!$B5267,41,1000),SEARCH(" - ",MID('Industriesektor GWh'!$B5267,41,1000))-1),nrg_cb_e!$C$3:$C$40,0))</f>
        <v>FC_IND_NFM_E</v>
      </c>
      <c r="G5267" s="21">
        <v>340</v>
      </c>
    </row>
    <row r="5268" spans="1:7" x14ac:dyDescent="0.2">
      <c r="A5268" s="16" t="s">
        <v>59</v>
      </c>
      <c r="B5268" s="17" t="s">
        <v>64</v>
      </c>
      <c r="C5268" s="17" t="s">
        <v>8</v>
      </c>
      <c r="D5268" s="17" t="s">
        <v>10</v>
      </c>
      <c r="E5268" s="17" t="s">
        <v>25</v>
      </c>
      <c r="F5268" s="17" t="str">
        <f>INDEX(nrg_cb_e!$A$3:$A$40,MATCH(LEFT(MID('Industriesektor GWh'!$B5268,41,1000),SEARCH(" - ",MID('Industriesektor GWh'!$B5268,41,1000))-1),nrg_cb_e!$C$3:$C$40,0))</f>
        <v>FC_IND_NFM_E</v>
      </c>
      <c r="G5268" s="18">
        <v>369</v>
      </c>
    </row>
    <row r="5269" spans="1:7" x14ac:dyDescent="0.2">
      <c r="A5269" s="19" t="s">
        <v>59</v>
      </c>
      <c r="B5269" s="20" t="s">
        <v>64</v>
      </c>
      <c r="C5269" s="20" t="s">
        <v>8</v>
      </c>
      <c r="D5269" s="20" t="s">
        <v>10</v>
      </c>
      <c r="E5269" s="20" t="s">
        <v>26</v>
      </c>
      <c r="F5269" s="20" t="str">
        <f>INDEX(nrg_cb_e!$A$3:$A$40,MATCH(LEFT(MID('Industriesektor GWh'!$B5269,41,1000),SEARCH(" - ",MID('Industriesektor GWh'!$B5269,41,1000))-1),nrg_cb_e!$C$3:$C$40,0))</f>
        <v>FC_IND_NFM_E</v>
      </c>
      <c r="G5269" s="21">
        <v>424</v>
      </c>
    </row>
    <row r="5270" spans="1:7" x14ac:dyDescent="0.2">
      <c r="A5270" s="16" t="s">
        <v>59</v>
      </c>
      <c r="B5270" s="17" t="s">
        <v>64</v>
      </c>
      <c r="C5270" s="17" t="s">
        <v>8</v>
      </c>
      <c r="D5270" s="17" t="s">
        <v>10</v>
      </c>
      <c r="E5270" s="17" t="s">
        <v>27</v>
      </c>
      <c r="F5270" s="17" t="str">
        <f>INDEX(nrg_cb_e!$A$3:$A$40,MATCH(LEFT(MID('Industriesektor GWh'!$B5270,41,1000),SEARCH(" - ",MID('Industriesektor GWh'!$B5270,41,1000))-1),nrg_cb_e!$C$3:$C$40,0))</f>
        <v>FC_IND_NFM_E</v>
      </c>
      <c r="G5270" s="18">
        <v>445.03</v>
      </c>
    </row>
    <row r="5271" spans="1:7" x14ac:dyDescent="0.2">
      <c r="A5271" s="19" t="s">
        <v>59</v>
      </c>
      <c r="B5271" s="20" t="s">
        <v>64</v>
      </c>
      <c r="C5271" s="20" t="s">
        <v>8</v>
      </c>
      <c r="D5271" s="20" t="s">
        <v>10</v>
      </c>
      <c r="E5271" s="20" t="s">
        <v>28</v>
      </c>
      <c r="F5271" s="20" t="str">
        <f>INDEX(nrg_cb_e!$A$3:$A$40,MATCH(LEFT(MID('Industriesektor GWh'!$B5271,41,1000),SEARCH(" - ",MID('Industriesektor GWh'!$B5271,41,1000))-1),nrg_cb_e!$C$3:$C$40,0))</f>
        <v>FC_IND_NFM_E</v>
      </c>
      <c r="G5271" s="21">
        <v>439.96</v>
      </c>
    </row>
    <row r="5272" spans="1:7" x14ac:dyDescent="0.2">
      <c r="A5272" s="16" t="s">
        <v>29</v>
      </c>
      <c r="B5272" s="17" t="s">
        <v>65</v>
      </c>
      <c r="C5272" s="17" t="s">
        <v>8</v>
      </c>
      <c r="D5272" s="17" t="s">
        <v>10</v>
      </c>
      <c r="E5272" s="17" t="s">
        <v>12</v>
      </c>
      <c r="F5272" s="17" t="str">
        <f>INDEX(nrg_cb_e!$A$3:$A$40,MATCH(LEFT(MID('Industriesektor GWh'!$B5272,41,1000),SEARCH(" - ",MID('Industriesektor GWh'!$B5272,41,1000))-1),nrg_cb_e!$C$3:$C$40,0))</f>
        <v>FC_IND_NMM_E</v>
      </c>
      <c r="G5272" s="18">
        <v>2515</v>
      </c>
    </row>
    <row r="5273" spans="1:7" x14ac:dyDescent="0.2">
      <c r="A5273" s="19" t="s">
        <v>29</v>
      </c>
      <c r="B5273" s="20" t="s">
        <v>65</v>
      </c>
      <c r="C5273" s="20" t="s">
        <v>8</v>
      </c>
      <c r="D5273" s="20" t="s">
        <v>10</v>
      </c>
      <c r="E5273" s="20" t="s">
        <v>13</v>
      </c>
      <c r="F5273" s="20" t="str">
        <f>INDEX(nrg_cb_e!$A$3:$A$40,MATCH(LEFT(MID('Industriesektor GWh'!$B5273,41,1000),SEARCH(" - ",MID('Industriesektor GWh'!$B5273,41,1000))-1),nrg_cb_e!$C$3:$C$40,0))</f>
        <v>FC_IND_NMM_E</v>
      </c>
      <c r="G5273" s="21">
        <v>2563</v>
      </c>
    </row>
    <row r="5274" spans="1:7" x14ac:dyDescent="0.2">
      <c r="A5274" s="16" t="s">
        <v>29</v>
      </c>
      <c r="B5274" s="17" t="s">
        <v>65</v>
      </c>
      <c r="C5274" s="17" t="s">
        <v>8</v>
      </c>
      <c r="D5274" s="17" t="s">
        <v>10</v>
      </c>
      <c r="E5274" s="17" t="s">
        <v>14</v>
      </c>
      <c r="F5274" s="17" t="str">
        <f>INDEX(nrg_cb_e!$A$3:$A$40,MATCH(LEFT(MID('Industriesektor GWh'!$B5274,41,1000),SEARCH(" - ",MID('Industriesektor GWh'!$B5274,41,1000))-1),nrg_cb_e!$C$3:$C$40,0))</f>
        <v>FC_IND_NMM_E</v>
      </c>
      <c r="G5274" s="18">
        <v>2613</v>
      </c>
    </row>
    <row r="5275" spans="1:7" x14ac:dyDescent="0.2">
      <c r="A5275" s="19" t="s">
        <v>29</v>
      </c>
      <c r="B5275" s="20" t="s">
        <v>65</v>
      </c>
      <c r="C5275" s="20" t="s">
        <v>8</v>
      </c>
      <c r="D5275" s="20" t="s">
        <v>10</v>
      </c>
      <c r="E5275" s="20" t="s">
        <v>15</v>
      </c>
      <c r="F5275" s="20" t="str">
        <f>INDEX(nrg_cb_e!$A$3:$A$40,MATCH(LEFT(MID('Industriesektor GWh'!$B5275,41,1000),SEARCH(" - ",MID('Industriesektor GWh'!$B5275,41,1000))-1),nrg_cb_e!$C$3:$C$40,0))</f>
        <v>FC_IND_NMM_E</v>
      </c>
      <c r="G5275" s="21">
        <v>2325</v>
      </c>
    </row>
    <row r="5276" spans="1:7" x14ac:dyDescent="0.2">
      <c r="A5276" s="16" t="s">
        <v>29</v>
      </c>
      <c r="B5276" s="17" t="s">
        <v>65</v>
      </c>
      <c r="C5276" s="17" t="s">
        <v>8</v>
      </c>
      <c r="D5276" s="17" t="s">
        <v>10</v>
      </c>
      <c r="E5276" s="17" t="s">
        <v>16</v>
      </c>
      <c r="F5276" s="17" t="str">
        <f>INDEX(nrg_cb_e!$A$3:$A$40,MATCH(LEFT(MID('Industriesektor GWh'!$B5276,41,1000),SEARCH(" - ",MID('Industriesektor GWh'!$B5276,41,1000))-1),nrg_cb_e!$C$3:$C$40,0))</f>
        <v>FC_IND_NMM_E</v>
      </c>
      <c r="G5276" s="18">
        <v>2411</v>
      </c>
    </row>
    <row r="5277" spans="1:7" x14ac:dyDescent="0.2">
      <c r="A5277" s="19" t="s">
        <v>29</v>
      </c>
      <c r="B5277" s="20" t="s">
        <v>65</v>
      </c>
      <c r="C5277" s="20" t="s">
        <v>8</v>
      </c>
      <c r="D5277" s="20" t="s">
        <v>10</v>
      </c>
      <c r="E5277" s="20" t="s">
        <v>17</v>
      </c>
      <c r="F5277" s="20" t="str">
        <f>INDEX(nrg_cb_e!$A$3:$A$40,MATCH(LEFT(MID('Industriesektor GWh'!$B5277,41,1000),SEARCH(" - ",MID('Industriesektor GWh'!$B5277,41,1000))-1),nrg_cb_e!$C$3:$C$40,0))</f>
        <v>FC_IND_NMM_E</v>
      </c>
      <c r="G5277" s="21">
        <v>2370</v>
      </c>
    </row>
    <row r="5278" spans="1:7" x14ac:dyDescent="0.2">
      <c r="A5278" s="16" t="s">
        <v>29</v>
      </c>
      <c r="B5278" s="17" t="s">
        <v>65</v>
      </c>
      <c r="C5278" s="17" t="s">
        <v>8</v>
      </c>
      <c r="D5278" s="17" t="s">
        <v>10</v>
      </c>
      <c r="E5278" s="17" t="s">
        <v>18</v>
      </c>
      <c r="F5278" s="17" t="str">
        <f>INDEX(nrg_cb_e!$A$3:$A$40,MATCH(LEFT(MID('Industriesektor GWh'!$B5278,41,1000),SEARCH(" - ",MID('Industriesektor GWh'!$B5278,41,1000))-1),nrg_cb_e!$C$3:$C$40,0))</f>
        <v>FC_IND_NMM_E</v>
      </c>
      <c r="G5278" s="18">
        <v>2449</v>
      </c>
    </row>
    <row r="5279" spans="1:7" x14ac:dyDescent="0.2">
      <c r="A5279" s="19" t="s">
        <v>29</v>
      </c>
      <c r="B5279" s="20" t="s">
        <v>65</v>
      </c>
      <c r="C5279" s="20" t="s">
        <v>8</v>
      </c>
      <c r="D5279" s="20" t="s">
        <v>10</v>
      </c>
      <c r="E5279" s="20" t="s">
        <v>19</v>
      </c>
      <c r="F5279" s="20" t="str">
        <f>INDEX(nrg_cb_e!$A$3:$A$40,MATCH(LEFT(MID('Industriesektor GWh'!$B5279,41,1000),SEARCH(" - ",MID('Industriesektor GWh'!$B5279,41,1000))-1),nrg_cb_e!$C$3:$C$40,0))</f>
        <v>FC_IND_NMM_E</v>
      </c>
      <c r="G5279" s="21">
        <v>1959</v>
      </c>
    </row>
    <row r="5280" spans="1:7" x14ac:dyDescent="0.2">
      <c r="A5280" s="16" t="s">
        <v>29</v>
      </c>
      <c r="B5280" s="17" t="s">
        <v>65</v>
      </c>
      <c r="C5280" s="17" t="s">
        <v>8</v>
      </c>
      <c r="D5280" s="17" t="s">
        <v>10</v>
      </c>
      <c r="E5280" s="17" t="s">
        <v>20</v>
      </c>
      <c r="F5280" s="17" t="str">
        <f>INDEX(nrg_cb_e!$A$3:$A$40,MATCH(LEFT(MID('Industriesektor GWh'!$B5280,41,1000),SEARCH(" - ",MID('Industriesektor GWh'!$B5280,41,1000))-1),nrg_cb_e!$C$3:$C$40,0))</f>
        <v>FC_IND_NMM_E</v>
      </c>
      <c r="G5280" s="18">
        <v>1059</v>
      </c>
    </row>
    <row r="5281" spans="1:7" x14ac:dyDescent="0.2">
      <c r="A5281" s="19" t="s">
        <v>29</v>
      </c>
      <c r="B5281" s="20" t="s">
        <v>65</v>
      </c>
      <c r="C5281" s="20" t="s">
        <v>8</v>
      </c>
      <c r="D5281" s="20" t="s">
        <v>10</v>
      </c>
      <c r="E5281" s="20" t="s">
        <v>21</v>
      </c>
      <c r="F5281" s="20" t="str">
        <f>INDEX(nrg_cb_e!$A$3:$A$40,MATCH(LEFT(MID('Industriesektor GWh'!$B5281,41,1000),SEARCH(" - ",MID('Industriesektor GWh'!$B5281,41,1000))-1),nrg_cb_e!$C$3:$C$40,0))</f>
        <v>FC_IND_NMM_E</v>
      </c>
      <c r="G5281" s="21">
        <v>2967</v>
      </c>
    </row>
    <row r="5282" spans="1:7" x14ac:dyDescent="0.2">
      <c r="A5282" s="16" t="s">
        <v>29</v>
      </c>
      <c r="B5282" s="17" t="s">
        <v>65</v>
      </c>
      <c r="C5282" s="17" t="s">
        <v>8</v>
      </c>
      <c r="D5282" s="17" t="s">
        <v>10</v>
      </c>
      <c r="E5282" s="17" t="s">
        <v>22</v>
      </c>
      <c r="F5282" s="17" t="str">
        <f>INDEX(nrg_cb_e!$A$3:$A$40,MATCH(LEFT(MID('Industriesektor GWh'!$B5282,41,1000),SEARCH(" - ",MID('Industriesektor GWh'!$B5282,41,1000))-1),nrg_cb_e!$C$3:$C$40,0))</f>
        <v>FC_IND_NMM_E</v>
      </c>
      <c r="G5282" s="18">
        <v>3699</v>
      </c>
    </row>
    <row r="5283" spans="1:7" x14ac:dyDescent="0.2">
      <c r="A5283" s="19" t="s">
        <v>29</v>
      </c>
      <c r="B5283" s="20" t="s">
        <v>65</v>
      </c>
      <c r="C5283" s="20" t="s">
        <v>8</v>
      </c>
      <c r="D5283" s="20" t="s">
        <v>10</v>
      </c>
      <c r="E5283" s="20" t="s">
        <v>23</v>
      </c>
      <c r="F5283" s="20" t="str">
        <f>INDEX(nrg_cb_e!$A$3:$A$40,MATCH(LEFT(MID('Industriesektor GWh'!$B5283,41,1000),SEARCH(" - ",MID('Industriesektor GWh'!$B5283,41,1000))-1),nrg_cb_e!$C$3:$C$40,0))</f>
        <v>FC_IND_NMM_E</v>
      </c>
      <c r="G5283" s="21">
        <v>2829</v>
      </c>
    </row>
    <row r="5284" spans="1:7" x14ac:dyDescent="0.2">
      <c r="A5284" s="16" t="s">
        <v>29</v>
      </c>
      <c r="B5284" s="17" t="s">
        <v>65</v>
      </c>
      <c r="C5284" s="17" t="s">
        <v>8</v>
      </c>
      <c r="D5284" s="17" t="s">
        <v>10</v>
      </c>
      <c r="E5284" s="17" t="s">
        <v>24</v>
      </c>
      <c r="F5284" s="17" t="str">
        <f>INDEX(nrg_cb_e!$A$3:$A$40,MATCH(LEFT(MID('Industriesektor GWh'!$B5284,41,1000),SEARCH(" - ",MID('Industriesektor GWh'!$B5284,41,1000))-1),nrg_cb_e!$C$3:$C$40,0))</f>
        <v>FC_IND_NMM_E</v>
      </c>
      <c r="G5284" s="18">
        <v>2865.4</v>
      </c>
    </row>
    <row r="5285" spans="1:7" x14ac:dyDescent="0.2">
      <c r="A5285" s="19" t="s">
        <v>29</v>
      </c>
      <c r="B5285" s="20" t="s">
        <v>65</v>
      </c>
      <c r="C5285" s="20" t="s">
        <v>8</v>
      </c>
      <c r="D5285" s="20" t="s">
        <v>10</v>
      </c>
      <c r="E5285" s="20" t="s">
        <v>25</v>
      </c>
      <c r="F5285" s="20" t="str">
        <f>INDEX(nrg_cb_e!$A$3:$A$40,MATCH(LEFT(MID('Industriesektor GWh'!$B5285,41,1000),SEARCH(" - ",MID('Industriesektor GWh'!$B5285,41,1000))-1),nrg_cb_e!$C$3:$C$40,0))</f>
        <v>FC_IND_NMM_E</v>
      </c>
      <c r="G5285" s="21">
        <v>2791.9</v>
      </c>
    </row>
    <row r="5286" spans="1:7" x14ac:dyDescent="0.2">
      <c r="A5286" s="16" t="s">
        <v>29</v>
      </c>
      <c r="B5286" s="17" t="s">
        <v>65</v>
      </c>
      <c r="C5286" s="17" t="s">
        <v>8</v>
      </c>
      <c r="D5286" s="17" t="s">
        <v>10</v>
      </c>
      <c r="E5286" s="17" t="s">
        <v>26</v>
      </c>
      <c r="F5286" s="17" t="str">
        <f>INDEX(nrg_cb_e!$A$3:$A$40,MATCH(LEFT(MID('Industriesektor GWh'!$B5286,41,1000),SEARCH(" - ",MID('Industriesektor GWh'!$B5286,41,1000))-1),nrg_cb_e!$C$3:$C$40,0))</f>
        <v>FC_IND_NMM_E</v>
      </c>
      <c r="G5286" s="18">
        <v>2766.8</v>
      </c>
    </row>
    <row r="5287" spans="1:7" x14ac:dyDescent="0.2">
      <c r="A5287" s="19" t="s">
        <v>29</v>
      </c>
      <c r="B5287" s="20" t="s">
        <v>65</v>
      </c>
      <c r="C5287" s="20" t="s">
        <v>8</v>
      </c>
      <c r="D5287" s="20" t="s">
        <v>10</v>
      </c>
      <c r="E5287" s="20" t="s">
        <v>27</v>
      </c>
      <c r="F5287" s="20" t="str">
        <f>INDEX(nrg_cb_e!$A$3:$A$40,MATCH(LEFT(MID('Industriesektor GWh'!$B5287,41,1000),SEARCH(" - ",MID('Industriesektor GWh'!$B5287,41,1000))-1),nrg_cb_e!$C$3:$C$40,0))</f>
        <v>FC_IND_NMM_E</v>
      </c>
      <c r="G5287" s="21">
        <v>2422.1999999999998</v>
      </c>
    </row>
    <row r="5288" spans="1:7" x14ac:dyDescent="0.2">
      <c r="A5288" s="16" t="s">
        <v>29</v>
      </c>
      <c r="B5288" s="17" t="s">
        <v>65</v>
      </c>
      <c r="C5288" s="17" t="s">
        <v>8</v>
      </c>
      <c r="D5288" s="17" t="s">
        <v>10</v>
      </c>
      <c r="E5288" s="17" t="s">
        <v>28</v>
      </c>
      <c r="F5288" s="17" t="str">
        <f>INDEX(nrg_cb_e!$A$3:$A$40,MATCH(LEFT(MID('Industriesektor GWh'!$B5288,41,1000),SEARCH(" - ",MID('Industriesektor GWh'!$B5288,41,1000))-1),nrg_cb_e!$C$3:$C$40,0))</f>
        <v>FC_IND_NMM_E</v>
      </c>
      <c r="G5288" s="18">
        <v>2437.6999999999998</v>
      </c>
    </row>
    <row r="5289" spans="1:7" x14ac:dyDescent="0.2">
      <c r="A5289" s="19" t="s">
        <v>30</v>
      </c>
      <c r="B5289" s="20" t="s">
        <v>65</v>
      </c>
      <c r="C5289" s="20" t="s">
        <v>8</v>
      </c>
      <c r="D5289" s="20" t="s">
        <v>10</v>
      </c>
      <c r="E5289" s="20" t="s">
        <v>12</v>
      </c>
      <c r="F5289" s="20" t="str">
        <f>INDEX(nrg_cb_e!$A$3:$A$40,MATCH(LEFT(MID('Industriesektor GWh'!$B5289,41,1000),SEARCH(" - ",MID('Industriesektor GWh'!$B5289,41,1000))-1),nrg_cb_e!$C$3:$C$40,0))</f>
        <v>FC_IND_NMM_E</v>
      </c>
      <c r="G5289" s="21">
        <v>606</v>
      </c>
    </row>
    <row r="5290" spans="1:7" x14ac:dyDescent="0.2">
      <c r="A5290" s="16" t="s">
        <v>30</v>
      </c>
      <c r="B5290" s="17" t="s">
        <v>65</v>
      </c>
      <c r="C5290" s="17" t="s">
        <v>8</v>
      </c>
      <c r="D5290" s="17" t="s">
        <v>10</v>
      </c>
      <c r="E5290" s="17" t="s">
        <v>13</v>
      </c>
      <c r="F5290" s="17" t="str">
        <f>INDEX(nrg_cb_e!$A$3:$A$40,MATCH(LEFT(MID('Industriesektor GWh'!$B5290,41,1000),SEARCH(" - ",MID('Industriesektor GWh'!$B5290,41,1000))-1),nrg_cb_e!$C$3:$C$40,0))</f>
        <v>FC_IND_NMM_E</v>
      </c>
      <c r="G5290" s="18">
        <v>638</v>
      </c>
    </row>
    <row r="5291" spans="1:7" x14ac:dyDescent="0.2">
      <c r="A5291" s="19" t="s">
        <v>30</v>
      </c>
      <c r="B5291" s="20" t="s">
        <v>65</v>
      </c>
      <c r="C5291" s="20" t="s">
        <v>8</v>
      </c>
      <c r="D5291" s="20" t="s">
        <v>10</v>
      </c>
      <c r="E5291" s="20" t="s">
        <v>14</v>
      </c>
      <c r="F5291" s="20" t="str">
        <f>INDEX(nrg_cb_e!$A$3:$A$40,MATCH(LEFT(MID('Industriesektor GWh'!$B5291,41,1000),SEARCH(" - ",MID('Industriesektor GWh'!$B5291,41,1000))-1),nrg_cb_e!$C$3:$C$40,0))</f>
        <v>FC_IND_NMM_E</v>
      </c>
      <c r="G5291" s="21">
        <v>698</v>
      </c>
    </row>
    <row r="5292" spans="1:7" x14ac:dyDescent="0.2">
      <c r="A5292" s="16" t="s">
        <v>30</v>
      </c>
      <c r="B5292" s="17" t="s">
        <v>65</v>
      </c>
      <c r="C5292" s="17" t="s">
        <v>8</v>
      </c>
      <c r="D5292" s="17" t="s">
        <v>10</v>
      </c>
      <c r="E5292" s="17" t="s">
        <v>15</v>
      </c>
      <c r="F5292" s="17" t="str">
        <f>INDEX(nrg_cb_e!$A$3:$A$40,MATCH(LEFT(MID('Industriesektor GWh'!$B5292,41,1000),SEARCH(" - ",MID('Industriesektor GWh'!$B5292,41,1000))-1),nrg_cb_e!$C$3:$C$40,0))</f>
        <v>FC_IND_NMM_E</v>
      </c>
      <c r="G5292" s="18">
        <v>790</v>
      </c>
    </row>
    <row r="5293" spans="1:7" x14ac:dyDescent="0.2">
      <c r="A5293" s="19" t="s">
        <v>30</v>
      </c>
      <c r="B5293" s="20" t="s">
        <v>65</v>
      </c>
      <c r="C5293" s="20" t="s">
        <v>8</v>
      </c>
      <c r="D5293" s="20" t="s">
        <v>10</v>
      </c>
      <c r="E5293" s="20" t="s">
        <v>16</v>
      </c>
      <c r="F5293" s="20" t="str">
        <f>INDEX(nrg_cb_e!$A$3:$A$40,MATCH(LEFT(MID('Industriesektor GWh'!$B5293,41,1000),SEARCH(" - ",MID('Industriesektor GWh'!$B5293,41,1000))-1),nrg_cb_e!$C$3:$C$40,0))</f>
        <v>FC_IND_NMM_E</v>
      </c>
      <c r="G5293" s="21">
        <v>877</v>
      </c>
    </row>
    <row r="5294" spans="1:7" x14ac:dyDescent="0.2">
      <c r="A5294" s="16" t="s">
        <v>30</v>
      </c>
      <c r="B5294" s="17" t="s">
        <v>65</v>
      </c>
      <c r="C5294" s="17" t="s">
        <v>8</v>
      </c>
      <c r="D5294" s="17" t="s">
        <v>10</v>
      </c>
      <c r="E5294" s="17" t="s">
        <v>17</v>
      </c>
      <c r="F5294" s="17" t="str">
        <f>INDEX(nrg_cb_e!$A$3:$A$40,MATCH(LEFT(MID('Industriesektor GWh'!$B5294,41,1000),SEARCH(" - ",MID('Industriesektor GWh'!$B5294,41,1000))-1),nrg_cb_e!$C$3:$C$40,0))</f>
        <v>FC_IND_NMM_E</v>
      </c>
      <c r="G5294" s="18">
        <v>983</v>
      </c>
    </row>
    <row r="5295" spans="1:7" x14ac:dyDescent="0.2">
      <c r="A5295" s="19" t="s">
        <v>30</v>
      </c>
      <c r="B5295" s="20" t="s">
        <v>65</v>
      </c>
      <c r="C5295" s="20" t="s">
        <v>8</v>
      </c>
      <c r="D5295" s="20" t="s">
        <v>10</v>
      </c>
      <c r="E5295" s="20" t="s">
        <v>18</v>
      </c>
      <c r="F5295" s="20" t="str">
        <f>INDEX(nrg_cb_e!$A$3:$A$40,MATCH(LEFT(MID('Industriesektor GWh'!$B5295,41,1000),SEARCH(" - ",MID('Industriesektor GWh'!$B5295,41,1000))-1),nrg_cb_e!$C$3:$C$40,0))</f>
        <v>FC_IND_NMM_E</v>
      </c>
      <c r="G5295" s="21">
        <v>977</v>
      </c>
    </row>
    <row r="5296" spans="1:7" x14ac:dyDescent="0.2">
      <c r="A5296" s="16" t="s">
        <v>30</v>
      </c>
      <c r="B5296" s="17" t="s">
        <v>65</v>
      </c>
      <c r="C5296" s="17" t="s">
        <v>8</v>
      </c>
      <c r="D5296" s="17" t="s">
        <v>10</v>
      </c>
      <c r="E5296" s="17" t="s">
        <v>19</v>
      </c>
      <c r="F5296" s="17" t="str">
        <f>INDEX(nrg_cb_e!$A$3:$A$40,MATCH(LEFT(MID('Industriesektor GWh'!$B5296,41,1000),SEARCH(" - ",MID('Industriesektor GWh'!$B5296,41,1000))-1),nrg_cb_e!$C$3:$C$40,0))</f>
        <v>FC_IND_NMM_E</v>
      </c>
      <c r="G5296" s="18">
        <v>728</v>
      </c>
    </row>
    <row r="5297" spans="1:7" x14ac:dyDescent="0.2">
      <c r="A5297" s="19" t="s">
        <v>30</v>
      </c>
      <c r="B5297" s="20" t="s">
        <v>65</v>
      </c>
      <c r="C5297" s="20" t="s">
        <v>8</v>
      </c>
      <c r="D5297" s="20" t="s">
        <v>10</v>
      </c>
      <c r="E5297" s="20" t="s">
        <v>20</v>
      </c>
      <c r="F5297" s="20" t="str">
        <f>INDEX(nrg_cb_e!$A$3:$A$40,MATCH(LEFT(MID('Industriesektor GWh'!$B5297,41,1000),SEARCH(" - ",MID('Industriesektor GWh'!$B5297,41,1000))-1),nrg_cb_e!$C$3:$C$40,0))</f>
        <v>FC_IND_NMM_E</v>
      </c>
      <c r="G5297" s="21">
        <v>755</v>
      </c>
    </row>
    <row r="5298" spans="1:7" x14ac:dyDescent="0.2">
      <c r="A5298" s="16" t="s">
        <v>30</v>
      </c>
      <c r="B5298" s="17" t="s">
        <v>65</v>
      </c>
      <c r="C5298" s="17" t="s">
        <v>8</v>
      </c>
      <c r="D5298" s="17" t="s">
        <v>10</v>
      </c>
      <c r="E5298" s="17" t="s">
        <v>21</v>
      </c>
      <c r="F5298" s="17" t="str">
        <f>INDEX(nrg_cb_e!$A$3:$A$40,MATCH(LEFT(MID('Industriesektor GWh'!$B5298,41,1000),SEARCH(" - ",MID('Industriesektor GWh'!$B5298,41,1000))-1),nrg_cb_e!$C$3:$C$40,0))</f>
        <v>FC_IND_NMM_E</v>
      </c>
      <c r="G5298" s="18">
        <v>755</v>
      </c>
    </row>
    <row r="5299" spans="1:7" x14ac:dyDescent="0.2">
      <c r="A5299" s="19" t="s">
        <v>30</v>
      </c>
      <c r="B5299" s="20" t="s">
        <v>65</v>
      </c>
      <c r="C5299" s="20" t="s">
        <v>8</v>
      </c>
      <c r="D5299" s="20" t="s">
        <v>10</v>
      </c>
      <c r="E5299" s="20" t="s">
        <v>22</v>
      </c>
      <c r="F5299" s="20" t="str">
        <f>INDEX(nrg_cb_e!$A$3:$A$40,MATCH(LEFT(MID('Industriesektor GWh'!$B5299,41,1000),SEARCH(" - ",MID('Industriesektor GWh'!$B5299,41,1000))-1),nrg_cb_e!$C$3:$C$40,0))</f>
        <v>FC_IND_NMM_E</v>
      </c>
      <c r="G5299" s="21">
        <v>750</v>
      </c>
    </row>
    <row r="5300" spans="1:7" x14ac:dyDescent="0.2">
      <c r="A5300" s="16" t="s">
        <v>30</v>
      </c>
      <c r="B5300" s="17" t="s">
        <v>65</v>
      </c>
      <c r="C5300" s="17" t="s">
        <v>8</v>
      </c>
      <c r="D5300" s="17" t="s">
        <v>10</v>
      </c>
      <c r="E5300" s="17" t="s">
        <v>23</v>
      </c>
      <c r="F5300" s="17" t="str">
        <f>INDEX(nrg_cb_e!$A$3:$A$40,MATCH(LEFT(MID('Industriesektor GWh'!$B5300,41,1000),SEARCH(" - ",MID('Industriesektor GWh'!$B5300,41,1000))-1),nrg_cb_e!$C$3:$C$40,0))</f>
        <v>FC_IND_NMM_E</v>
      </c>
      <c r="G5300" s="18">
        <v>738</v>
      </c>
    </row>
    <row r="5301" spans="1:7" x14ac:dyDescent="0.2">
      <c r="A5301" s="19" t="s">
        <v>30</v>
      </c>
      <c r="B5301" s="20" t="s">
        <v>65</v>
      </c>
      <c r="C5301" s="20" t="s">
        <v>8</v>
      </c>
      <c r="D5301" s="20" t="s">
        <v>10</v>
      </c>
      <c r="E5301" s="20" t="s">
        <v>24</v>
      </c>
      <c r="F5301" s="20" t="str">
        <f>INDEX(nrg_cb_e!$A$3:$A$40,MATCH(LEFT(MID('Industriesektor GWh'!$B5301,41,1000),SEARCH(" - ",MID('Industriesektor GWh'!$B5301,41,1000))-1),nrg_cb_e!$C$3:$C$40,0))</f>
        <v>FC_IND_NMM_E</v>
      </c>
      <c r="G5301" s="21">
        <v>845</v>
      </c>
    </row>
    <row r="5302" spans="1:7" x14ac:dyDescent="0.2">
      <c r="A5302" s="16" t="s">
        <v>30</v>
      </c>
      <c r="B5302" s="17" t="s">
        <v>65</v>
      </c>
      <c r="C5302" s="17" t="s">
        <v>8</v>
      </c>
      <c r="D5302" s="17" t="s">
        <v>10</v>
      </c>
      <c r="E5302" s="17" t="s">
        <v>25</v>
      </c>
      <c r="F5302" s="17" t="str">
        <f>INDEX(nrg_cb_e!$A$3:$A$40,MATCH(LEFT(MID('Industriesektor GWh'!$B5302,41,1000),SEARCH(" - ",MID('Industriesektor GWh'!$B5302,41,1000))-1),nrg_cb_e!$C$3:$C$40,0))</f>
        <v>FC_IND_NMM_E</v>
      </c>
      <c r="G5302" s="18">
        <v>886</v>
      </c>
    </row>
    <row r="5303" spans="1:7" x14ac:dyDescent="0.2">
      <c r="A5303" s="19" t="s">
        <v>30</v>
      </c>
      <c r="B5303" s="20" t="s">
        <v>65</v>
      </c>
      <c r="C5303" s="20" t="s">
        <v>8</v>
      </c>
      <c r="D5303" s="20" t="s">
        <v>10</v>
      </c>
      <c r="E5303" s="20" t="s">
        <v>26</v>
      </c>
      <c r="F5303" s="20" t="str">
        <f>INDEX(nrg_cb_e!$A$3:$A$40,MATCH(LEFT(MID('Industriesektor GWh'!$B5303,41,1000),SEARCH(" - ",MID('Industriesektor GWh'!$B5303,41,1000))-1),nrg_cb_e!$C$3:$C$40,0))</f>
        <v>FC_IND_NMM_E</v>
      </c>
      <c r="G5303" s="21">
        <v>892</v>
      </c>
    </row>
    <row r="5304" spans="1:7" x14ac:dyDescent="0.2">
      <c r="A5304" s="16" t="s">
        <v>30</v>
      </c>
      <c r="B5304" s="17" t="s">
        <v>65</v>
      </c>
      <c r="C5304" s="17" t="s">
        <v>8</v>
      </c>
      <c r="D5304" s="17" t="s">
        <v>10</v>
      </c>
      <c r="E5304" s="17" t="s">
        <v>27</v>
      </c>
      <c r="F5304" s="17" t="str">
        <f>INDEX(nrg_cb_e!$A$3:$A$40,MATCH(LEFT(MID('Industriesektor GWh'!$B5304,41,1000),SEARCH(" - ",MID('Industriesektor GWh'!$B5304,41,1000))-1),nrg_cb_e!$C$3:$C$40,0))</f>
        <v>FC_IND_NMM_E</v>
      </c>
      <c r="G5304" s="18">
        <v>934.13900000000001</v>
      </c>
    </row>
    <row r="5305" spans="1:7" x14ac:dyDescent="0.2">
      <c r="A5305" s="19" t="s">
        <v>30</v>
      </c>
      <c r="B5305" s="20" t="s">
        <v>65</v>
      </c>
      <c r="C5305" s="20" t="s">
        <v>8</v>
      </c>
      <c r="D5305" s="20" t="s">
        <v>10</v>
      </c>
      <c r="E5305" s="20" t="s">
        <v>28</v>
      </c>
      <c r="F5305" s="20" t="str">
        <f>INDEX(nrg_cb_e!$A$3:$A$40,MATCH(LEFT(MID('Industriesektor GWh'!$B5305,41,1000),SEARCH(" - ",MID('Industriesektor GWh'!$B5305,41,1000))-1),nrg_cb_e!$C$3:$C$40,0))</f>
        <v>FC_IND_NMM_E</v>
      </c>
      <c r="G5305" s="21">
        <v>944.58699999999999</v>
      </c>
    </row>
    <row r="5306" spans="1:7" x14ac:dyDescent="0.2">
      <c r="A5306" s="16" t="s">
        <v>31</v>
      </c>
      <c r="B5306" s="17" t="s">
        <v>65</v>
      </c>
      <c r="C5306" s="17" t="s">
        <v>8</v>
      </c>
      <c r="D5306" s="17" t="s">
        <v>10</v>
      </c>
      <c r="E5306" s="17" t="s">
        <v>12</v>
      </c>
      <c r="F5306" s="17" t="str">
        <f>INDEX(nrg_cb_e!$A$3:$A$40,MATCH(LEFT(MID('Industriesektor GWh'!$B5306,41,1000),SEARCH(" - ",MID('Industriesektor GWh'!$B5306,41,1000))-1),nrg_cb_e!$C$3:$C$40,0))</f>
        <v>FC_IND_NMM_E</v>
      </c>
      <c r="G5306" s="18">
        <v>2162</v>
      </c>
    </row>
    <row r="5307" spans="1:7" x14ac:dyDescent="0.2">
      <c r="A5307" s="19" t="s">
        <v>31</v>
      </c>
      <c r="B5307" s="20" t="s">
        <v>65</v>
      </c>
      <c r="C5307" s="20" t="s">
        <v>8</v>
      </c>
      <c r="D5307" s="20" t="s">
        <v>10</v>
      </c>
      <c r="E5307" s="20" t="s">
        <v>13</v>
      </c>
      <c r="F5307" s="20" t="str">
        <f>INDEX(nrg_cb_e!$A$3:$A$40,MATCH(LEFT(MID('Industriesektor GWh'!$B5307,41,1000),SEARCH(" - ",MID('Industriesektor GWh'!$B5307,41,1000))-1),nrg_cb_e!$C$3:$C$40,0))</f>
        <v>FC_IND_NMM_E</v>
      </c>
      <c r="G5307" s="21">
        <v>2381</v>
      </c>
    </row>
    <row r="5308" spans="1:7" x14ac:dyDescent="0.2">
      <c r="A5308" s="16" t="s">
        <v>31</v>
      </c>
      <c r="B5308" s="17" t="s">
        <v>65</v>
      </c>
      <c r="C5308" s="17" t="s">
        <v>8</v>
      </c>
      <c r="D5308" s="17" t="s">
        <v>10</v>
      </c>
      <c r="E5308" s="17" t="s">
        <v>14</v>
      </c>
      <c r="F5308" s="17" t="str">
        <f>INDEX(nrg_cb_e!$A$3:$A$40,MATCH(LEFT(MID('Industriesektor GWh'!$B5308,41,1000),SEARCH(" - ",MID('Industriesektor GWh'!$B5308,41,1000))-1),nrg_cb_e!$C$3:$C$40,0))</f>
        <v>FC_IND_NMM_E</v>
      </c>
      <c r="G5308" s="18">
        <v>2432</v>
      </c>
    </row>
    <row r="5309" spans="1:7" x14ac:dyDescent="0.2">
      <c r="A5309" s="19" t="s">
        <v>31</v>
      </c>
      <c r="B5309" s="20" t="s">
        <v>65</v>
      </c>
      <c r="C5309" s="20" t="s">
        <v>8</v>
      </c>
      <c r="D5309" s="20" t="s">
        <v>10</v>
      </c>
      <c r="E5309" s="20" t="s">
        <v>15</v>
      </c>
      <c r="F5309" s="20" t="str">
        <f>INDEX(nrg_cb_e!$A$3:$A$40,MATCH(LEFT(MID('Industriesektor GWh'!$B5309,41,1000),SEARCH(" - ",MID('Industriesektor GWh'!$B5309,41,1000))-1),nrg_cb_e!$C$3:$C$40,0))</f>
        <v>FC_IND_NMM_E</v>
      </c>
      <c r="G5309" s="21">
        <v>2537</v>
      </c>
    </row>
    <row r="5310" spans="1:7" x14ac:dyDescent="0.2">
      <c r="A5310" s="16" t="s">
        <v>31</v>
      </c>
      <c r="B5310" s="17" t="s">
        <v>65</v>
      </c>
      <c r="C5310" s="17" t="s">
        <v>8</v>
      </c>
      <c r="D5310" s="17" t="s">
        <v>10</v>
      </c>
      <c r="E5310" s="17" t="s">
        <v>16</v>
      </c>
      <c r="F5310" s="17" t="str">
        <f>INDEX(nrg_cb_e!$A$3:$A$40,MATCH(LEFT(MID('Industriesektor GWh'!$B5310,41,1000),SEARCH(" - ",MID('Industriesektor GWh'!$B5310,41,1000))-1),nrg_cb_e!$C$3:$C$40,0))</f>
        <v>FC_IND_NMM_E</v>
      </c>
      <c r="G5310" s="18">
        <v>2489</v>
      </c>
    </row>
    <row r="5311" spans="1:7" x14ac:dyDescent="0.2">
      <c r="A5311" s="19" t="s">
        <v>31</v>
      </c>
      <c r="B5311" s="20" t="s">
        <v>65</v>
      </c>
      <c r="C5311" s="20" t="s">
        <v>8</v>
      </c>
      <c r="D5311" s="20" t="s">
        <v>10</v>
      </c>
      <c r="E5311" s="20" t="s">
        <v>17</v>
      </c>
      <c r="F5311" s="20" t="str">
        <f>INDEX(nrg_cb_e!$A$3:$A$40,MATCH(LEFT(MID('Industriesektor GWh'!$B5311,41,1000),SEARCH(" - ",MID('Industriesektor GWh'!$B5311,41,1000))-1),nrg_cb_e!$C$3:$C$40,0))</f>
        <v>FC_IND_NMM_E</v>
      </c>
      <c r="G5311" s="21">
        <v>2701</v>
      </c>
    </row>
    <row r="5312" spans="1:7" x14ac:dyDescent="0.2">
      <c r="A5312" s="16" t="s">
        <v>31</v>
      </c>
      <c r="B5312" s="17" t="s">
        <v>65</v>
      </c>
      <c r="C5312" s="17" t="s">
        <v>8</v>
      </c>
      <c r="D5312" s="17" t="s">
        <v>10</v>
      </c>
      <c r="E5312" s="17" t="s">
        <v>18</v>
      </c>
      <c r="F5312" s="17" t="str">
        <f>INDEX(nrg_cb_e!$A$3:$A$40,MATCH(LEFT(MID('Industriesektor GWh'!$B5312,41,1000),SEARCH(" - ",MID('Industriesektor GWh'!$B5312,41,1000))-1),nrg_cb_e!$C$3:$C$40,0))</f>
        <v>FC_IND_NMM_E</v>
      </c>
      <c r="G5312" s="18">
        <v>2655</v>
      </c>
    </row>
    <row r="5313" spans="1:7" x14ac:dyDescent="0.2">
      <c r="A5313" s="19" t="s">
        <v>31</v>
      </c>
      <c r="B5313" s="20" t="s">
        <v>65</v>
      </c>
      <c r="C5313" s="20" t="s">
        <v>8</v>
      </c>
      <c r="D5313" s="20" t="s">
        <v>10</v>
      </c>
      <c r="E5313" s="20" t="s">
        <v>19</v>
      </c>
      <c r="F5313" s="20" t="str">
        <f>INDEX(nrg_cb_e!$A$3:$A$40,MATCH(LEFT(MID('Industriesektor GWh'!$B5313,41,1000),SEARCH(" - ",MID('Industriesektor GWh'!$B5313,41,1000))-1),nrg_cb_e!$C$3:$C$40,0))</f>
        <v>FC_IND_NMM_E</v>
      </c>
      <c r="G5313" s="21">
        <v>1996</v>
      </c>
    </row>
    <row r="5314" spans="1:7" x14ac:dyDescent="0.2">
      <c r="A5314" s="16" t="s">
        <v>31</v>
      </c>
      <c r="B5314" s="17" t="s">
        <v>65</v>
      </c>
      <c r="C5314" s="17" t="s">
        <v>8</v>
      </c>
      <c r="D5314" s="17" t="s">
        <v>10</v>
      </c>
      <c r="E5314" s="17" t="s">
        <v>20</v>
      </c>
      <c r="F5314" s="17" t="str">
        <f>INDEX(nrg_cb_e!$A$3:$A$40,MATCH(LEFT(MID('Industriesektor GWh'!$B5314,41,1000),SEARCH(" - ",MID('Industriesektor GWh'!$B5314,41,1000))-1),nrg_cb_e!$C$3:$C$40,0))</f>
        <v>FC_IND_NMM_E</v>
      </c>
      <c r="G5314" s="18">
        <v>2115</v>
      </c>
    </row>
    <row r="5315" spans="1:7" x14ac:dyDescent="0.2">
      <c r="A5315" s="19" t="s">
        <v>31</v>
      </c>
      <c r="B5315" s="20" t="s">
        <v>65</v>
      </c>
      <c r="C5315" s="20" t="s">
        <v>8</v>
      </c>
      <c r="D5315" s="20" t="s">
        <v>10</v>
      </c>
      <c r="E5315" s="20" t="s">
        <v>21</v>
      </c>
      <c r="F5315" s="20" t="str">
        <f>INDEX(nrg_cb_e!$A$3:$A$40,MATCH(LEFT(MID('Industriesektor GWh'!$B5315,41,1000),SEARCH(" - ",MID('Industriesektor GWh'!$B5315,41,1000))-1),nrg_cb_e!$C$3:$C$40,0))</f>
        <v>FC_IND_NMM_E</v>
      </c>
      <c r="G5315" s="21">
        <v>2234</v>
      </c>
    </row>
    <row r="5316" spans="1:7" x14ac:dyDescent="0.2">
      <c r="A5316" s="16" t="s">
        <v>31</v>
      </c>
      <c r="B5316" s="17" t="s">
        <v>65</v>
      </c>
      <c r="C5316" s="17" t="s">
        <v>8</v>
      </c>
      <c r="D5316" s="17" t="s">
        <v>10</v>
      </c>
      <c r="E5316" s="17" t="s">
        <v>22</v>
      </c>
      <c r="F5316" s="17" t="str">
        <f>INDEX(nrg_cb_e!$A$3:$A$40,MATCH(LEFT(MID('Industriesektor GWh'!$B5316,41,1000),SEARCH(" - ",MID('Industriesektor GWh'!$B5316,41,1000))-1),nrg_cb_e!$C$3:$C$40,0))</f>
        <v>FC_IND_NMM_E</v>
      </c>
      <c r="G5316" s="18">
        <v>2197</v>
      </c>
    </row>
    <row r="5317" spans="1:7" x14ac:dyDescent="0.2">
      <c r="A5317" s="19" t="s">
        <v>31</v>
      </c>
      <c r="B5317" s="20" t="s">
        <v>65</v>
      </c>
      <c r="C5317" s="20" t="s">
        <v>8</v>
      </c>
      <c r="D5317" s="20" t="s">
        <v>10</v>
      </c>
      <c r="E5317" s="20" t="s">
        <v>23</v>
      </c>
      <c r="F5317" s="20" t="str">
        <f>INDEX(nrg_cb_e!$A$3:$A$40,MATCH(LEFT(MID('Industriesektor GWh'!$B5317,41,1000),SEARCH(" - ",MID('Industriesektor GWh'!$B5317,41,1000))-1),nrg_cb_e!$C$3:$C$40,0))</f>
        <v>FC_IND_NMM_E</v>
      </c>
      <c r="G5317" s="21">
        <v>2008</v>
      </c>
    </row>
    <row r="5318" spans="1:7" x14ac:dyDescent="0.2">
      <c r="A5318" s="16" t="s">
        <v>31</v>
      </c>
      <c r="B5318" s="17" t="s">
        <v>65</v>
      </c>
      <c r="C5318" s="17" t="s">
        <v>8</v>
      </c>
      <c r="D5318" s="17" t="s">
        <v>10</v>
      </c>
      <c r="E5318" s="17" t="s">
        <v>24</v>
      </c>
      <c r="F5318" s="17" t="str">
        <f>INDEX(nrg_cb_e!$A$3:$A$40,MATCH(LEFT(MID('Industriesektor GWh'!$B5318,41,1000),SEARCH(" - ",MID('Industriesektor GWh'!$B5318,41,1000))-1),nrg_cb_e!$C$3:$C$40,0))</f>
        <v>FC_IND_NMM_E</v>
      </c>
      <c r="G5318" s="18">
        <v>2188</v>
      </c>
    </row>
    <row r="5319" spans="1:7" x14ac:dyDescent="0.2">
      <c r="A5319" s="19" t="s">
        <v>31</v>
      </c>
      <c r="B5319" s="20" t="s">
        <v>65</v>
      </c>
      <c r="C5319" s="20" t="s">
        <v>8</v>
      </c>
      <c r="D5319" s="20" t="s">
        <v>10</v>
      </c>
      <c r="E5319" s="20" t="s">
        <v>25</v>
      </c>
      <c r="F5319" s="20" t="str">
        <f>INDEX(nrg_cb_e!$A$3:$A$40,MATCH(LEFT(MID('Industriesektor GWh'!$B5319,41,1000),SEARCH(" - ",MID('Industriesektor GWh'!$B5319,41,1000))-1),nrg_cb_e!$C$3:$C$40,0))</f>
        <v>FC_IND_NMM_E</v>
      </c>
      <c r="G5319" s="21">
        <v>2279</v>
      </c>
    </row>
    <row r="5320" spans="1:7" x14ac:dyDescent="0.2">
      <c r="A5320" s="16" t="s">
        <v>31</v>
      </c>
      <c r="B5320" s="17" t="s">
        <v>65</v>
      </c>
      <c r="C5320" s="17" t="s">
        <v>8</v>
      </c>
      <c r="D5320" s="17" t="s">
        <v>10</v>
      </c>
      <c r="E5320" s="17" t="s">
        <v>26</v>
      </c>
      <c r="F5320" s="17" t="str">
        <f>INDEX(nrg_cb_e!$A$3:$A$40,MATCH(LEFT(MID('Industriesektor GWh'!$B5320,41,1000),SEARCH(" - ",MID('Industriesektor GWh'!$B5320,41,1000))-1),nrg_cb_e!$C$3:$C$40,0))</f>
        <v>FC_IND_NMM_E</v>
      </c>
      <c r="G5320" s="18">
        <v>2382</v>
      </c>
    </row>
    <row r="5321" spans="1:7" x14ac:dyDescent="0.2">
      <c r="A5321" s="19" t="s">
        <v>31</v>
      </c>
      <c r="B5321" s="20" t="s">
        <v>65</v>
      </c>
      <c r="C5321" s="20" t="s">
        <v>8</v>
      </c>
      <c r="D5321" s="20" t="s">
        <v>10</v>
      </c>
      <c r="E5321" s="20" t="s">
        <v>27</v>
      </c>
      <c r="F5321" s="20" t="str">
        <f>INDEX(nrg_cb_e!$A$3:$A$40,MATCH(LEFT(MID('Industriesektor GWh'!$B5321,41,1000),SEARCH(" - ",MID('Industriesektor GWh'!$B5321,41,1000))-1),nrg_cb_e!$C$3:$C$40,0))</f>
        <v>FC_IND_NMM_E</v>
      </c>
      <c r="G5321" s="21">
        <v>2431.2089999999998</v>
      </c>
    </row>
    <row r="5322" spans="1:7" x14ac:dyDescent="0.2">
      <c r="A5322" s="16" t="s">
        <v>31</v>
      </c>
      <c r="B5322" s="17" t="s">
        <v>65</v>
      </c>
      <c r="C5322" s="17" t="s">
        <v>8</v>
      </c>
      <c r="D5322" s="17" t="s">
        <v>10</v>
      </c>
      <c r="E5322" s="17" t="s">
        <v>28</v>
      </c>
      <c r="F5322" s="17" t="str">
        <f>INDEX(nrg_cb_e!$A$3:$A$40,MATCH(LEFT(MID('Industriesektor GWh'!$B5322,41,1000),SEARCH(" - ",MID('Industriesektor GWh'!$B5322,41,1000))-1),nrg_cb_e!$C$3:$C$40,0))</f>
        <v>FC_IND_NMM_E</v>
      </c>
      <c r="G5322" s="18">
        <v>2474.0619999999999</v>
      </c>
    </row>
    <row r="5323" spans="1:7" x14ac:dyDescent="0.2">
      <c r="A5323" s="19" t="s">
        <v>32</v>
      </c>
      <c r="B5323" s="20" t="s">
        <v>65</v>
      </c>
      <c r="C5323" s="20" t="s">
        <v>8</v>
      </c>
      <c r="D5323" s="20" t="s">
        <v>10</v>
      </c>
      <c r="E5323" s="20" t="s">
        <v>12</v>
      </c>
      <c r="F5323" s="20" t="str">
        <f>INDEX(nrg_cb_e!$A$3:$A$40,MATCH(LEFT(MID('Industriesektor GWh'!$B5323,41,1000),SEARCH(" - ",MID('Industriesektor GWh'!$B5323,41,1000))-1),nrg_cb_e!$C$3:$C$40,0))</f>
        <v>FC_IND_NMM_E</v>
      </c>
      <c r="G5323" s="21">
        <v>881</v>
      </c>
    </row>
    <row r="5324" spans="1:7" x14ac:dyDescent="0.2">
      <c r="A5324" s="16" t="s">
        <v>32</v>
      </c>
      <c r="B5324" s="17" t="s">
        <v>65</v>
      </c>
      <c r="C5324" s="17" t="s">
        <v>8</v>
      </c>
      <c r="D5324" s="17" t="s">
        <v>10</v>
      </c>
      <c r="E5324" s="17" t="s">
        <v>13</v>
      </c>
      <c r="F5324" s="17" t="str">
        <f>INDEX(nrg_cb_e!$A$3:$A$40,MATCH(LEFT(MID('Industriesektor GWh'!$B5324,41,1000),SEARCH(" - ",MID('Industriesektor GWh'!$B5324,41,1000))-1),nrg_cb_e!$C$3:$C$40,0))</f>
        <v>FC_IND_NMM_E</v>
      </c>
      <c r="G5324" s="18">
        <v>870</v>
      </c>
    </row>
    <row r="5325" spans="1:7" x14ac:dyDescent="0.2">
      <c r="A5325" s="19" t="s">
        <v>32</v>
      </c>
      <c r="B5325" s="20" t="s">
        <v>65</v>
      </c>
      <c r="C5325" s="20" t="s">
        <v>8</v>
      </c>
      <c r="D5325" s="20" t="s">
        <v>10</v>
      </c>
      <c r="E5325" s="20" t="s">
        <v>14</v>
      </c>
      <c r="F5325" s="20" t="str">
        <f>INDEX(nrg_cb_e!$A$3:$A$40,MATCH(LEFT(MID('Industriesektor GWh'!$B5325,41,1000),SEARCH(" - ",MID('Industriesektor GWh'!$B5325,41,1000))-1),nrg_cb_e!$C$3:$C$40,0))</f>
        <v>FC_IND_NMM_E</v>
      </c>
      <c r="G5325" s="21">
        <v>904</v>
      </c>
    </row>
    <row r="5326" spans="1:7" x14ac:dyDescent="0.2">
      <c r="A5326" s="16" t="s">
        <v>32</v>
      </c>
      <c r="B5326" s="17" t="s">
        <v>65</v>
      </c>
      <c r="C5326" s="17" t="s">
        <v>8</v>
      </c>
      <c r="D5326" s="17" t="s">
        <v>10</v>
      </c>
      <c r="E5326" s="17" t="s">
        <v>15</v>
      </c>
      <c r="F5326" s="17" t="str">
        <f>INDEX(nrg_cb_e!$A$3:$A$40,MATCH(LEFT(MID('Industriesektor GWh'!$B5326,41,1000),SEARCH(" - ",MID('Industriesektor GWh'!$B5326,41,1000))-1),nrg_cb_e!$C$3:$C$40,0))</f>
        <v>FC_IND_NMM_E</v>
      </c>
      <c r="G5326" s="18">
        <v>946</v>
      </c>
    </row>
    <row r="5327" spans="1:7" x14ac:dyDescent="0.2">
      <c r="A5327" s="19" t="s">
        <v>32</v>
      </c>
      <c r="B5327" s="20" t="s">
        <v>65</v>
      </c>
      <c r="C5327" s="20" t="s">
        <v>8</v>
      </c>
      <c r="D5327" s="20" t="s">
        <v>10</v>
      </c>
      <c r="E5327" s="20" t="s">
        <v>16</v>
      </c>
      <c r="F5327" s="20" t="str">
        <f>INDEX(nrg_cb_e!$A$3:$A$40,MATCH(LEFT(MID('Industriesektor GWh'!$B5327,41,1000),SEARCH(" - ",MID('Industriesektor GWh'!$B5327,41,1000))-1),nrg_cb_e!$C$3:$C$40,0))</f>
        <v>FC_IND_NMM_E</v>
      </c>
      <c r="G5327" s="21">
        <v>963</v>
      </c>
    </row>
    <row r="5328" spans="1:7" x14ac:dyDescent="0.2">
      <c r="A5328" s="16" t="s">
        <v>32</v>
      </c>
      <c r="B5328" s="17" t="s">
        <v>65</v>
      </c>
      <c r="C5328" s="17" t="s">
        <v>8</v>
      </c>
      <c r="D5328" s="17" t="s">
        <v>10</v>
      </c>
      <c r="E5328" s="17" t="s">
        <v>17</v>
      </c>
      <c r="F5328" s="17" t="str">
        <f>INDEX(nrg_cb_e!$A$3:$A$40,MATCH(LEFT(MID('Industriesektor GWh'!$B5328,41,1000),SEARCH(" - ",MID('Industriesektor GWh'!$B5328,41,1000))-1),nrg_cb_e!$C$3:$C$40,0))</f>
        <v>FC_IND_NMM_E</v>
      </c>
      <c r="G5328" s="18">
        <v>974</v>
      </c>
    </row>
    <row r="5329" spans="1:7" x14ac:dyDescent="0.2">
      <c r="A5329" s="19" t="s">
        <v>32</v>
      </c>
      <c r="B5329" s="20" t="s">
        <v>65</v>
      </c>
      <c r="C5329" s="20" t="s">
        <v>8</v>
      </c>
      <c r="D5329" s="20" t="s">
        <v>10</v>
      </c>
      <c r="E5329" s="20" t="s">
        <v>18</v>
      </c>
      <c r="F5329" s="20" t="str">
        <f>INDEX(nrg_cb_e!$A$3:$A$40,MATCH(LEFT(MID('Industriesektor GWh'!$B5329,41,1000),SEARCH(" - ",MID('Industriesektor GWh'!$B5329,41,1000))-1),nrg_cb_e!$C$3:$C$40,0))</f>
        <v>FC_IND_NMM_E</v>
      </c>
      <c r="G5329" s="21">
        <v>806</v>
      </c>
    </row>
    <row r="5330" spans="1:7" x14ac:dyDescent="0.2">
      <c r="A5330" s="16" t="s">
        <v>32</v>
      </c>
      <c r="B5330" s="17" t="s">
        <v>65</v>
      </c>
      <c r="C5330" s="17" t="s">
        <v>8</v>
      </c>
      <c r="D5330" s="17" t="s">
        <v>10</v>
      </c>
      <c r="E5330" s="17" t="s">
        <v>19</v>
      </c>
      <c r="F5330" s="17" t="str">
        <f>INDEX(nrg_cb_e!$A$3:$A$40,MATCH(LEFT(MID('Industriesektor GWh'!$B5330,41,1000),SEARCH(" - ",MID('Industriesektor GWh'!$B5330,41,1000))-1),nrg_cb_e!$C$3:$C$40,0))</f>
        <v>FC_IND_NMM_E</v>
      </c>
      <c r="G5330" s="18">
        <v>664</v>
      </c>
    </row>
    <row r="5331" spans="1:7" x14ac:dyDescent="0.2">
      <c r="A5331" s="19" t="s">
        <v>32</v>
      </c>
      <c r="B5331" s="20" t="s">
        <v>65</v>
      </c>
      <c r="C5331" s="20" t="s">
        <v>8</v>
      </c>
      <c r="D5331" s="20" t="s">
        <v>10</v>
      </c>
      <c r="E5331" s="20" t="s">
        <v>20</v>
      </c>
      <c r="F5331" s="20" t="str">
        <f>INDEX(nrg_cb_e!$A$3:$A$40,MATCH(LEFT(MID('Industriesektor GWh'!$B5331,41,1000),SEARCH(" - ",MID('Industriesektor GWh'!$B5331,41,1000))-1),nrg_cb_e!$C$3:$C$40,0))</f>
        <v>FC_IND_NMM_E</v>
      </c>
      <c r="G5331" s="21">
        <v>659</v>
      </c>
    </row>
    <row r="5332" spans="1:7" x14ac:dyDescent="0.2">
      <c r="A5332" s="16" t="s">
        <v>32</v>
      </c>
      <c r="B5332" s="17" t="s">
        <v>65</v>
      </c>
      <c r="C5332" s="17" t="s">
        <v>8</v>
      </c>
      <c r="D5332" s="17" t="s">
        <v>10</v>
      </c>
      <c r="E5332" s="17" t="s">
        <v>21</v>
      </c>
      <c r="F5332" s="17" t="str">
        <f>INDEX(nrg_cb_e!$A$3:$A$40,MATCH(LEFT(MID('Industriesektor GWh'!$B5332,41,1000),SEARCH(" - ",MID('Industriesektor GWh'!$B5332,41,1000))-1),nrg_cb_e!$C$3:$C$40,0))</f>
        <v>FC_IND_NMM_E</v>
      </c>
      <c r="G5332" s="18">
        <v>688</v>
      </c>
    </row>
    <row r="5333" spans="1:7" x14ac:dyDescent="0.2">
      <c r="A5333" s="19" t="s">
        <v>32</v>
      </c>
      <c r="B5333" s="20" t="s">
        <v>65</v>
      </c>
      <c r="C5333" s="20" t="s">
        <v>8</v>
      </c>
      <c r="D5333" s="20" t="s">
        <v>10</v>
      </c>
      <c r="E5333" s="20" t="s">
        <v>22</v>
      </c>
      <c r="F5333" s="20" t="str">
        <f>INDEX(nrg_cb_e!$A$3:$A$40,MATCH(LEFT(MID('Industriesektor GWh'!$B5333,41,1000),SEARCH(" - ",MID('Industriesektor GWh'!$B5333,41,1000))-1),nrg_cb_e!$C$3:$C$40,0))</f>
        <v>FC_IND_NMM_E</v>
      </c>
      <c r="G5333" s="21">
        <v>758</v>
      </c>
    </row>
    <row r="5334" spans="1:7" x14ac:dyDescent="0.2">
      <c r="A5334" s="16" t="s">
        <v>32</v>
      </c>
      <c r="B5334" s="17" t="s">
        <v>65</v>
      </c>
      <c r="C5334" s="17" t="s">
        <v>8</v>
      </c>
      <c r="D5334" s="17" t="s">
        <v>10</v>
      </c>
      <c r="E5334" s="17" t="s">
        <v>23</v>
      </c>
      <c r="F5334" s="17" t="str">
        <f>INDEX(nrg_cb_e!$A$3:$A$40,MATCH(LEFT(MID('Industriesektor GWh'!$B5334,41,1000),SEARCH(" - ",MID('Industriesektor GWh'!$B5334,41,1000))-1),nrg_cb_e!$C$3:$C$40,0))</f>
        <v>FC_IND_NMM_E</v>
      </c>
      <c r="G5334" s="18">
        <v>736</v>
      </c>
    </row>
    <row r="5335" spans="1:7" x14ac:dyDescent="0.2">
      <c r="A5335" s="19" t="s">
        <v>32</v>
      </c>
      <c r="B5335" s="20" t="s">
        <v>65</v>
      </c>
      <c r="C5335" s="20" t="s">
        <v>8</v>
      </c>
      <c r="D5335" s="20" t="s">
        <v>10</v>
      </c>
      <c r="E5335" s="20" t="s">
        <v>24</v>
      </c>
      <c r="F5335" s="20" t="str">
        <f>INDEX(nrg_cb_e!$A$3:$A$40,MATCH(LEFT(MID('Industriesektor GWh'!$B5335,41,1000),SEARCH(" - ",MID('Industriesektor GWh'!$B5335,41,1000))-1),nrg_cb_e!$C$3:$C$40,0))</f>
        <v>FC_IND_NMM_E</v>
      </c>
      <c r="G5335" s="21">
        <v>731</v>
      </c>
    </row>
    <row r="5336" spans="1:7" x14ac:dyDescent="0.2">
      <c r="A5336" s="16" t="s">
        <v>32</v>
      </c>
      <c r="B5336" s="17" t="s">
        <v>65</v>
      </c>
      <c r="C5336" s="17" t="s">
        <v>8</v>
      </c>
      <c r="D5336" s="17" t="s">
        <v>10</v>
      </c>
      <c r="E5336" s="17" t="s">
        <v>25</v>
      </c>
      <c r="F5336" s="17" t="str">
        <f>INDEX(nrg_cb_e!$A$3:$A$40,MATCH(LEFT(MID('Industriesektor GWh'!$B5336,41,1000),SEARCH(" - ",MID('Industriesektor GWh'!$B5336,41,1000))-1),nrg_cb_e!$C$3:$C$40,0))</f>
        <v>FC_IND_NMM_E</v>
      </c>
      <c r="G5336" s="18">
        <v>744.21699999999998</v>
      </c>
    </row>
    <row r="5337" spans="1:7" x14ac:dyDescent="0.2">
      <c r="A5337" s="19" t="s">
        <v>32</v>
      </c>
      <c r="B5337" s="20" t="s">
        <v>65</v>
      </c>
      <c r="C5337" s="20" t="s">
        <v>8</v>
      </c>
      <c r="D5337" s="20" t="s">
        <v>10</v>
      </c>
      <c r="E5337" s="20" t="s">
        <v>26</v>
      </c>
      <c r="F5337" s="20" t="str">
        <f>INDEX(nrg_cb_e!$A$3:$A$40,MATCH(LEFT(MID('Industriesektor GWh'!$B5337,41,1000),SEARCH(" - ",MID('Industriesektor GWh'!$B5337,41,1000))-1),nrg_cb_e!$C$3:$C$40,0))</f>
        <v>FC_IND_NMM_E</v>
      </c>
      <c r="G5337" s="21">
        <v>789.24099999999999</v>
      </c>
    </row>
    <row r="5338" spans="1:7" x14ac:dyDescent="0.2">
      <c r="A5338" s="16" t="s">
        <v>32</v>
      </c>
      <c r="B5338" s="17" t="s">
        <v>65</v>
      </c>
      <c r="C5338" s="17" t="s">
        <v>8</v>
      </c>
      <c r="D5338" s="17" t="s">
        <v>10</v>
      </c>
      <c r="E5338" s="17" t="s">
        <v>27</v>
      </c>
      <c r="F5338" s="17" t="str">
        <f>INDEX(nrg_cb_e!$A$3:$A$40,MATCH(LEFT(MID('Industriesektor GWh'!$B5338,41,1000),SEARCH(" - ",MID('Industriesektor GWh'!$B5338,41,1000))-1),nrg_cb_e!$C$3:$C$40,0))</f>
        <v>FC_IND_NMM_E</v>
      </c>
      <c r="G5338" s="18">
        <v>801.35</v>
      </c>
    </row>
    <row r="5339" spans="1:7" x14ac:dyDescent="0.2">
      <c r="A5339" s="19" t="s">
        <v>32</v>
      </c>
      <c r="B5339" s="20" t="s">
        <v>65</v>
      </c>
      <c r="C5339" s="20" t="s">
        <v>8</v>
      </c>
      <c r="D5339" s="20" t="s">
        <v>10</v>
      </c>
      <c r="E5339" s="20" t="s">
        <v>28</v>
      </c>
      <c r="F5339" s="20" t="str">
        <f>INDEX(nrg_cb_e!$A$3:$A$40,MATCH(LEFT(MID('Industriesektor GWh'!$B5339,41,1000),SEARCH(" - ",MID('Industriesektor GWh'!$B5339,41,1000))-1),nrg_cb_e!$C$3:$C$40,0))</f>
        <v>FC_IND_NMM_E</v>
      </c>
      <c r="G5339" s="21">
        <v>800.572</v>
      </c>
    </row>
    <row r="5340" spans="1:7" x14ac:dyDescent="0.2">
      <c r="A5340" s="16" t="s">
        <v>33</v>
      </c>
      <c r="B5340" s="17" t="s">
        <v>65</v>
      </c>
      <c r="C5340" s="17" t="s">
        <v>8</v>
      </c>
      <c r="D5340" s="17" t="s">
        <v>10</v>
      </c>
      <c r="E5340" s="17" t="s">
        <v>12</v>
      </c>
      <c r="F5340" s="17" t="str">
        <f>INDEX(nrg_cb_e!$A$3:$A$40,MATCH(LEFT(MID('Industriesektor GWh'!$B5340,41,1000),SEARCH(" - ",MID('Industriesektor GWh'!$B5340,41,1000))-1),nrg_cb_e!$C$3:$C$40,0))</f>
        <v>FC_IND_NMM_E</v>
      </c>
      <c r="G5340" s="18">
        <v>15087</v>
      </c>
    </row>
    <row r="5341" spans="1:7" x14ac:dyDescent="0.2">
      <c r="A5341" s="19" t="s">
        <v>33</v>
      </c>
      <c r="B5341" s="20" t="s">
        <v>65</v>
      </c>
      <c r="C5341" s="20" t="s">
        <v>8</v>
      </c>
      <c r="D5341" s="20" t="s">
        <v>10</v>
      </c>
      <c r="E5341" s="20" t="s">
        <v>13</v>
      </c>
      <c r="F5341" s="20" t="str">
        <f>INDEX(nrg_cb_e!$A$3:$A$40,MATCH(LEFT(MID('Industriesektor GWh'!$B5341,41,1000),SEARCH(" - ",MID('Industriesektor GWh'!$B5341,41,1000))-1),nrg_cb_e!$C$3:$C$40,0))</f>
        <v>FC_IND_NMM_E</v>
      </c>
      <c r="G5341" s="21">
        <v>12515</v>
      </c>
    </row>
    <row r="5342" spans="1:7" x14ac:dyDescent="0.2">
      <c r="A5342" s="16" t="s">
        <v>33</v>
      </c>
      <c r="B5342" s="17" t="s">
        <v>65</v>
      </c>
      <c r="C5342" s="17" t="s">
        <v>8</v>
      </c>
      <c r="D5342" s="17" t="s">
        <v>10</v>
      </c>
      <c r="E5342" s="17" t="s">
        <v>14</v>
      </c>
      <c r="F5342" s="17" t="str">
        <f>INDEX(nrg_cb_e!$A$3:$A$40,MATCH(LEFT(MID('Industriesektor GWh'!$B5342,41,1000),SEARCH(" - ",MID('Industriesektor GWh'!$B5342,41,1000))-1),nrg_cb_e!$C$3:$C$40,0))</f>
        <v>FC_IND_NMM_E</v>
      </c>
      <c r="G5342" s="18">
        <v>12743</v>
      </c>
    </row>
    <row r="5343" spans="1:7" x14ac:dyDescent="0.2">
      <c r="A5343" s="19" t="s">
        <v>33</v>
      </c>
      <c r="B5343" s="20" t="s">
        <v>65</v>
      </c>
      <c r="C5343" s="20" t="s">
        <v>8</v>
      </c>
      <c r="D5343" s="20" t="s">
        <v>10</v>
      </c>
      <c r="E5343" s="20" t="s">
        <v>15</v>
      </c>
      <c r="F5343" s="20" t="str">
        <f>INDEX(nrg_cb_e!$A$3:$A$40,MATCH(LEFT(MID('Industriesektor GWh'!$B5343,41,1000),SEARCH(" - ",MID('Industriesektor GWh'!$B5343,41,1000))-1),nrg_cb_e!$C$3:$C$40,0))</f>
        <v>FC_IND_NMM_E</v>
      </c>
      <c r="G5343" s="21">
        <v>12459</v>
      </c>
    </row>
    <row r="5344" spans="1:7" x14ac:dyDescent="0.2">
      <c r="A5344" s="16" t="s">
        <v>33</v>
      </c>
      <c r="B5344" s="17" t="s">
        <v>65</v>
      </c>
      <c r="C5344" s="17" t="s">
        <v>8</v>
      </c>
      <c r="D5344" s="17" t="s">
        <v>10</v>
      </c>
      <c r="E5344" s="17" t="s">
        <v>16</v>
      </c>
      <c r="F5344" s="17" t="str">
        <f>INDEX(nrg_cb_e!$A$3:$A$40,MATCH(LEFT(MID('Industriesektor GWh'!$B5344,41,1000),SEARCH(" - ",MID('Industriesektor GWh'!$B5344,41,1000))-1),nrg_cb_e!$C$3:$C$40,0))</f>
        <v>FC_IND_NMM_E</v>
      </c>
      <c r="G5344" s="18">
        <v>12791</v>
      </c>
    </row>
    <row r="5345" spans="1:7" x14ac:dyDescent="0.2">
      <c r="A5345" s="19" t="s">
        <v>33</v>
      </c>
      <c r="B5345" s="20" t="s">
        <v>65</v>
      </c>
      <c r="C5345" s="20" t="s">
        <v>8</v>
      </c>
      <c r="D5345" s="20" t="s">
        <v>10</v>
      </c>
      <c r="E5345" s="20" t="s">
        <v>17</v>
      </c>
      <c r="F5345" s="20" t="str">
        <f>INDEX(nrg_cb_e!$A$3:$A$40,MATCH(LEFT(MID('Industriesektor GWh'!$B5345,41,1000),SEARCH(" - ",MID('Industriesektor GWh'!$B5345,41,1000))-1),nrg_cb_e!$C$3:$C$40,0))</f>
        <v>FC_IND_NMM_E</v>
      </c>
      <c r="G5345" s="21">
        <v>14168</v>
      </c>
    </row>
    <row r="5346" spans="1:7" x14ac:dyDescent="0.2">
      <c r="A5346" s="16" t="s">
        <v>33</v>
      </c>
      <c r="B5346" s="17" t="s">
        <v>65</v>
      </c>
      <c r="C5346" s="17" t="s">
        <v>8</v>
      </c>
      <c r="D5346" s="17" t="s">
        <v>10</v>
      </c>
      <c r="E5346" s="17" t="s">
        <v>18</v>
      </c>
      <c r="F5346" s="17" t="str">
        <f>INDEX(nrg_cb_e!$A$3:$A$40,MATCH(LEFT(MID('Industriesektor GWh'!$B5346,41,1000),SEARCH(" - ",MID('Industriesektor GWh'!$B5346,41,1000))-1),nrg_cb_e!$C$3:$C$40,0))</f>
        <v>FC_IND_NMM_E</v>
      </c>
      <c r="G5346" s="18">
        <v>12803</v>
      </c>
    </row>
    <row r="5347" spans="1:7" x14ac:dyDescent="0.2">
      <c r="A5347" s="19" t="s">
        <v>33</v>
      </c>
      <c r="B5347" s="20" t="s">
        <v>65</v>
      </c>
      <c r="C5347" s="20" t="s">
        <v>8</v>
      </c>
      <c r="D5347" s="20" t="s">
        <v>10</v>
      </c>
      <c r="E5347" s="20" t="s">
        <v>19</v>
      </c>
      <c r="F5347" s="20" t="str">
        <f>INDEX(nrg_cb_e!$A$3:$A$40,MATCH(LEFT(MID('Industriesektor GWh'!$B5347,41,1000),SEARCH(" - ",MID('Industriesektor GWh'!$B5347,41,1000))-1),nrg_cb_e!$C$3:$C$40,0))</f>
        <v>FC_IND_NMM_E</v>
      </c>
      <c r="G5347" s="21">
        <v>11628</v>
      </c>
    </row>
    <row r="5348" spans="1:7" x14ac:dyDescent="0.2">
      <c r="A5348" s="16" t="s">
        <v>33</v>
      </c>
      <c r="B5348" s="17" t="s">
        <v>65</v>
      </c>
      <c r="C5348" s="17" t="s">
        <v>8</v>
      </c>
      <c r="D5348" s="17" t="s">
        <v>10</v>
      </c>
      <c r="E5348" s="17" t="s">
        <v>20</v>
      </c>
      <c r="F5348" s="17" t="str">
        <f>INDEX(nrg_cb_e!$A$3:$A$40,MATCH(LEFT(MID('Industriesektor GWh'!$B5348,41,1000),SEARCH(" - ",MID('Industriesektor GWh'!$B5348,41,1000))-1),nrg_cb_e!$C$3:$C$40,0))</f>
        <v>FC_IND_NMM_E</v>
      </c>
      <c r="G5348" s="18">
        <v>12234</v>
      </c>
    </row>
    <row r="5349" spans="1:7" x14ac:dyDescent="0.2">
      <c r="A5349" s="19" t="s">
        <v>33</v>
      </c>
      <c r="B5349" s="20" t="s">
        <v>65</v>
      </c>
      <c r="C5349" s="20" t="s">
        <v>8</v>
      </c>
      <c r="D5349" s="20" t="s">
        <v>10</v>
      </c>
      <c r="E5349" s="20" t="s">
        <v>21</v>
      </c>
      <c r="F5349" s="20" t="str">
        <f>INDEX(nrg_cb_e!$A$3:$A$40,MATCH(LEFT(MID('Industriesektor GWh'!$B5349,41,1000),SEARCH(" - ",MID('Industriesektor GWh'!$B5349,41,1000))-1),nrg_cb_e!$C$3:$C$40,0))</f>
        <v>FC_IND_NMM_E</v>
      </c>
      <c r="G5349" s="21">
        <v>12918</v>
      </c>
    </row>
    <row r="5350" spans="1:7" x14ac:dyDescent="0.2">
      <c r="A5350" s="16" t="s">
        <v>33</v>
      </c>
      <c r="B5350" s="17" t="s">
        <v>65</v>
      </c>
      <c r="C5350" s="17" t="s">
        <v>8</v>
      </c>
      <c r="D5350" s="17" t="s">
        <v>10</v>
      </c>
      <c r="E5350" s="17" t="s">
        <v>22</v>
      </c>
      <c r="F5350" s="17" t="str">
        <f>INDEX(nrg_cb_e!$A$3:$A$40,MATCH(LEFT(MID('Industriesektor GWh'!$B5350,41,1000),SEARCH(" - ",MID('Industriesektor GWh'!$B5350,41,1000))-1),nrg_cb_e!$C$3:$C$40,0))</f>
        <v>FC_IND_NMM_E</v>
      </c>
      <c r="G5350" s="18">
        <v>12275</v>
      </c>
    </row>
    <row r="5351" spans="1:7" x14ac:dyDescent="0.2">
      <c r="A5351" s="19" t="s">
        <v>33</v>
      </c>
      <c r="B5351" s="20" t="s">
        <v>65</v>
      </c>
      <c r="C5351" s="20" t="s">
        <v>8</v>
      </c>
      <c r="D5351" s="20" t="s">
        <v>10</v>
      </c>
      <c r="E5351" s="20" t="s">
        <v>23</v>
      </c>
      <c r="F5351" s="20" t="str">
        <f>INDEX(nrg_cb_e!$A$3:$A$40,MATCH(LEFT(MID('Industriesektor GWh'!$B5351,41,1000),SEARCH(" - ",MID('Industriesektor GWh'!$B5351,41,1000))-1),nrg_cb_e!$C$3:$C$40,0))</f>
        <v>FC_IND_NMM_E</v>
      </c>
      <c r="G5351" s="21">
        <v>12230</v>
      </c>
    </row>
    <row r="5352" spans="1:7" x14ac:dyDescent="0.2">
      <c r="A5352" s="16" t="s">
        <v>33</v>
      </c>
      <c r="B5352" s="17" t="s">
        <v>65</v>
      </c>
      <c r="C5352" s="17" t="s">
        <v>8</v>
      </c>
      <c r="D5352" s="17" t="s">
        <v>10</v>
      </c>
      <c r="E5352" s="17" t="s">
        <v>24</v>
      </c>
      <c r="F5352" s="17" t="str">
        <f>INDEX(nrg_cb_e!$A$3:$A$40,MATCH(LEFT(MID('Industriesektor GWh'!$B5352,41,1000),SEARCH(" - ",MID('Industriesektor GWh'!$B5352,41,1000))-1),nrg_cb_e!$C$3:$C$40,0))</f>
        <v>FC_IND_NMM_E</v>
      </c>
      <c r="G5352" s="18">
        <v>12120</v>
      </c>
    </row>
    <row r="5353" spans="1:7" x14ac:dyDescent="0.2">
      <c r="A5353" s="19" t="s">
        <v>33</v>
      </c>
      <c r="B5353" s="20" t="s">
        <v>65</v>
      </c>
      <c r="C5353" s="20" t="s">
        <v>8</v>
      </c>
      <c r="D5353" s="20" t="s">
        <v>10</v>
      </c>
      <c r="E5353" s="20" t="s">
        <v>25</v>
      </c>
      <c r="F5353" s="20" t="str">
        <f>INDEX(nrg_cb_e!$A$3:$A$40,MATCH(LEFT(MID('Industriesektor GWh'!$B5353,41,1000),SEARCH(" - ",MID('Industriesektor GWh'!$B5353,41,1000))-1),nrg_cb_e!$C$3:$C$40,0))</f>
        <v>FC_IND_NMM_E</v>
      </c>
      <c r="G5353" s="21">
        <v>12296</v>
      </c>
    </row>
    <row r="5354" spans="1:7" x14ac:dyDescent="0.2">
      <c r="A5354" s="16" t="s">
        <v>33</v>
      </c>
      <c r="B5354" s="17" t="s">
        <v>65</v>
      </c>
      <c r="C5354" s="17" t="s">
        <v>8</v>
      </c>
      <c r="D5354" s="17" t="s">
        <v>10</v>
      </c>
      <c r="E5354" s="17" t="s">
        <v>26</v>
      </c>
      <c r="F5354" s="17" t="str">
        <f>INDEX(nrg_cb_e!$A$3:$A$40,MATCH(LEFT(MID('Industriesektor GWh'!$B5354,41,1000),SEARCH(" - ",MID('Industriesektor GWh'!$B5354,41,1000))-1),nrg_cb_e!$C$3:$C$40,0))</f>
        <v>FC_IND_NMM_E</v>
      </c>
      <c r="G5354" s="18">
        <v>12318</v>
      </c>
    </row>
    <row r="5355" spans="1:7" x14ac:dyDescent="0.2">
      <c r="A5355" s="19" t="s">
        <v>33</v>
      </c>
      <c r="B5355" s="20" t="s">
        <v>65</v>
      </c>
      <c r="C5355" s="20" t="s">
        <v>8</v>
      </c>
      <c r="D5355" s="20" t="s">
        <v>10</v>
      </c>
      <c r="E5355" s="20" t="s">
        <v>27</v>
      </c>
      <c r="F5355" s="20" t="str">
        <f>INDEX(nrg_cb_e!$A$3:$A$40,MATCH(LEFT(MID('Industriesektor GWh'!$B5355,41,1000),SEARCH(" - ",MID('Industriesektor GWh'!$B5355,41,1000))-1),nrg_cb_e!$C$3:$C$40,0))</f>
        <v>FC_IND_NMM_E</v>
      </c>
      <c r="G5355" s="21">
        <v>12751</v>
      </c>
    </row>
    <row r="5356" spans="1:7" x14ac:dyDescent="0.2">
      <c r="A5356" s="16" t="s">
        <v>33</v>
      </c>
      <c r="B5356" s="17" t="s">
        <v>65</v>
      </c>
      <c r="C5356" s="17" t="s">
        <v>8</v>
      </c>
      <c r="D5356" s="17" t="s">
        <v>10</v>
      </c>
      <c r="E5356" s="17" t="s">
        <v>28</v>
      </c>
      <c r="F5356" s="17" t="str">
        <f>INDEX(nrg_cb_e!$A$3:$A$40,MATCH(LEFT(MID('Industriesektor GWh'!$B5356,41,1000),SEARCH(" - ",MID('Industriesektor GWh'!$B5356,41,1000))-1),nrg_cb_e!$C$3:$C$40,0))</f>
        <v>FC_IND_NMM_E</v>
      </c>
      <c r="G5356" s="18">
        <v>12701</v>
      </c>
    </row>
    <row r="5357" spans="1:7" x14ac:dyDescent="0.2">
      <c r="A5357" s="19" t="s">
        <v>34</v>
      </c>
      <c r="B5357" s="20" t="s">
        <v>65</v>
      </c>
      <c r="C5357" s="20" t="s">
        <v>8</v>
      </c>
      <c r="D5357" s="20" t="s">
        <v>10</v>
      </c>
      <c r="E5357" s="20" t="s">
        <v>12</v>
      </c>
      <c r="F5357" s="20" t="str">
        <f>INDEX(nrg_cb_e!$A$3:$A$40,MATCH(LEFT(MID('Industriesektor GWh'!$B5357,41,1000),SEARCH(" - ",MID('Industriesektor GWh'!$B5357,41,1000))-1),nrg_cb_e!$C$3:$C$40,0))</f>
        <v>FC_IND_NMM_E</v>
      </c>
      <c r="G5357" s="21">
        <v>172</v>
      </c>
    </row>
    <row r="5358" spans="1:7" x14ac:dyDescent="0.2">
      <c r="A5358" s="16" t="s">
        <v>34</v>
      </c>
      <c r="B5358" s="17" t="s">
        <v>65</v>
      </c>
      <c r="C5358" s="17" t="s">
        <v>8</v>
      </c>
      <c r="D5358" s="17" t="s">
        <v>10</v>
      </c>
      <c r="E5358" s="17" t="s">
        <v>13</v>
      </c>
      <c r="F5358" s="17" t="str">
        <f>INDEX(nrg_cb_e!$A$3:$A$40,MATCH(LEFT(MID('Industriesektor GWh'!$B5358,41,1000),SEARCH(" - ",MID('Industriesektor GWh'!$B5358,41,1000))-1),nrg_cb_e!$C$3:$C$40,0))</f>
        <v>FC_IND_NMM_E</v>
      </c>
      <c r="G5358" s="18">
        <v>194</v>
      </c>
    </row>
    <row r="5359" spans="1:7" x14ac:dyDescent="0.2">
      <c r="A5359" s="19" t="s">
        <v>34</v>
      </c>
      <c r="B5359" s="20" t="s">
        <v>65</v>
      </c>
      <c r="C5359" s="20" t="s">
        <v>8</v>
      </c>
      <c r="D5359" s="20" t="s">
        <v>10</v>
      </c>
      <c r="E5359" s="20" t="s">
        <v>14</v>
      </c>
      <c r="F5359" s="20" t="str">
        <f>INDEX(nrg_cb_e!$A$3:$A$40,MATCH(LEFT(MID('Industriesektor GWh'!$B5359,41,1000),SEARCH(" - ",MID('Industriesektor GWh'!$B5359,41,1000))-1),nrg_cb_e!$C$3:$C$40,0))</f>
        <v>FC_IND_NMM_E</v>
      </c>
      <c r="G5359" s="21">
        <v>200</v>
      </c>
    </row>
    <row r="5360" spans="1:7" x14ac:dyDescent="0.2">
      <c r="A5360" s="16" t="s">
        <v>34</v>
      </c>
      <c r="B5360" s="17" t="s">
        <v>65</v>
      </c>
      <c r="C5360" s="17" t="s">
        <v>8</v>
      </c>
      <c r="D5360" s="17" t="s">
        <v>10</v>
      </c>
      <c r="E5360" s="17" t="s">
        <v>15</v>
      </c>
      <c r="F5360" s="17" t="str">
        <f>INDEX(nrg_cb_e!$A$3:$A$40,MATCH(LEFT(MID('Industriesektor GWh'!$B5360,41,1000),SEARCH(" - ",MID('Industriesektor GWh'!$B5360,41,1000))-1),nrg_cb_e!$C$3:$C$40,0))</f>
        <v>FC_IND_NMM_E</v>
      </c>
      <c r="G5360" s="18">
        <v>205</v>
      </c>
    </row>
    <row r="5361" spans="1:7" x14ac:dyDescent="0.2">
      <c r="A5361" s="19" t="s">
        <v>34</v>
      </c>
      <c r="B5361" s="20" t="s">
        <v>65</v>
      </c>
      <c r="C5361" s="20" t="s">
        <v>8</v>
      </c>
      <c r="D5361" s="20" t="s">
        <v>10</v>
      </c>
      <c r="E5361" s="20" t="s">
        <v>16</v>
      </c>
      <c r="F5361" s="20" t="str">
        <f>INDEX(nrg_cb_e!$A$3:$A$40,MATCH(LEFT(MID('Industriesektor GWh'!$B5361,41,1000),SEARCH(" - ",MID('Industriesektor GWh'!$B5361,41,1000))-1),nrg_cb_e!$C$3:$C$40,0))</f>
        <v>FC_IND_NMM_E</v>
      </c>
      <c r="G5361" s="21">
        <v>218</v>
      </c>
    </row>
    <row r="5362" spans="1:7" x14ac:dyDescent="0.2">
      <c r="A5362" s="16" t="s">
        <v>34</v>
      </c>
      <c r="B5362" s="17" t="s">
        <v>65</v>
      </c>
      <c r="C5362" s="17" t="s">
        <v>8</v>
      </c>
      <c r="D5362" s="17" t="s">
        <v>10</v>
      </c>
      <c r="E5362" s="17" t="s">
        <v>17</v>
      </c>
      <c r="F5362" s="17" t="str">
        <f>INDEX(nrg_cb_e!$A$3:$A$40,MATCH(LEFT(MID('Industriesektor GWh'!$B5362,41,1000),SEARCH(" - ",MID('Industriesektor GWh'!$B5362,41,1000))-1),nrg_cb_e!$C$3:$C$40,0))</f>
        <v>FC_IND_NMM_E</v>
      </c>
      <c r="G5362" s="18">
        <v>262</v>
      </c>
    </row>
    <row r="5363" spans="1:7" x14ac:dyDescent="0.2">
      <c r="A5363" s="19" t="s">
        <v>34</v>
      </c>
      <c r="B5363" s="20" t="s">
        <v>65</v>
      </c>
      <c r="C5363" s="20" t="s">
        <v>8</v>
      </c>
      <c r="D5363" s="20" t="s">
        <v>10</v>
      </c>
      <c r="E5363" s="20" t="s">
        <v>18</v>
      </c>
      <c r="F5363" s="20" t="str">
        <f>INDEX(nrg_cb_e!$A$3:$A$40,MATCH(LEFT(MID('Industriesektor GWh'!$B5363,41,1000),SEARCH(" - ",MID('Industriesektor GWh'!$B5363,41,1000))-1),nrg_cb_e!$C$3:$C$40,0))</f>
        <v>FC_IND_NMM_E</v>
      </c>
      <c r="G5363" s="21">
        <v>245</v>
      </c>
    </row>
    <row r="5364" spans="1:7" x14ac:dyDescent="0.2">
      <c r="A5364" s="16" t="s">
        <v>34</v>
      </c>
      <c r="B5364" s="17" t="s">
        <v>65</v>
      </c>
      <c r="C5364" s="17" t="s">
        <v>8</v>
      </c>
      <c r="D5364" s="17" t="s">
        <v>10</v>
      </c>
      <c r="E5364" s="17" t="s">
        <v>19</v>
      </c>
      <c r="F5364" s="17" t="str">
        <f>INDEX(nrg_cb_e!$A$3:$A$40,MATCH(LEFT(MID('Industriesektor GWh'!$B5364,41,1000),SEARCH(" - ",MID('Industriesektor GWh'!$B5364,41,1000))-1),nrg_cb_e!$C$3:$C$40,0))</f>
        <v>FC_IND_NMM_E</v>
      </c>
      <c r="G5364" s="18">
        <v>205</v>
      </c>
    </row>
    <row r="5365" spans="1:7" x14ac:dyDescent="0.2">
      <c r="A5365" s="19" t="s">
        <v>34</v>
      </c>
      <c r="B5365" s="20" t="s">
        <v>65</v>
      </c>
      <c r="C5365" s="20" t="s">
        <v>8</v>
      </c>
      <c r="D5365" s="20" t="s">
        <v>10</v>
      </c>
      <c r="E5365" s="20" t="s">
        <v>20</v>
      </c>
      <c r="F5365" s="20" t="str">
        <f>INDEX(nrg_cb_e!$A$3:$A$40,MATCH(LEFT(MID('Industriesektor GWh'!$B5365,41,1000),SEARCH(" - ",MID('Industriesektor GWh'!$B5365,41,1000))-1),nrg_cb_e!$C$3:$C$40,0))</f>
        <v>FC_IND_NMM_E</v>
      </c>
      <c r="G5365" s="21">
        <v>210</v>
      </c>
    </row>
    <row r="5366" spans="1:7" x14ac:dyDescent="0.2">
      <c r="A5366" s="16" t="s">
        <v>34</v>
      </c>
      <c r="B5366" s="17" t="s">
        <v>65</v>
      </c>
      <c r="C5366" s="17" t="s">
        <v>8</v>
      </c>
      <c r="D5366" s="17" t="s">
        <v>10</v>
      </c>
      <c r="E5366" s="17" t="s">
        <v>21</v>
      </c>
      <c r="F5366" s="17" t="str">
        <f>INDEX(nrg_cb_e!$A$3:$A$40,MATCH(LEFT(MID('Industriesektor GWh'!$B5366,41,1000),SEARCH(" - ",MID('Industriesektor GWh'!$B5366,41,1000))-1),nrg_cb_e!$C$3:$C$40,0))</f>
        <v>FC_IND_NMM_E</v>
      </c>
      <c r="G5366" s="18">
        <v>202</v>
      </c>
    </row>
    <row r="5367" spans="1:7" x14ac:dyDescent="0.2">
      <c r="A5367" s="19" t="s">
        <v>34</v>
      </c>
      <c r="B5367" s="20" t="s">
        <v>65</v>
      </c>
      <c r="C5367" s="20" t="s">
        <v>8</v>
      </c>
      <c r="D5367" s="20" t="s">
        <v>10</v>
      </c>
      <c r="E5367" s="20" t="s">
        <v>22</v>
      </c>
      <c r="F5367" s="20" t="str">
        <f>INDEX(nrg_cb_e!$A$3:$A$40,MATCH(LEFT(MID('Industriesektor GWh'!$B5367,41,1000),SEARCH(" - ",MID('Industriesektor GWh'!$B5367,41,1000))-1),nrg_cb_e!$C$3:$C$40,0))</f>
        <v>FC_IND_NMM_E</v>
      </c>
      <c r="G5367" s="21">
        <v>206</v>
      </c>
    </row>
    <row r="5368" spans="1:7" x14ac:dyDescent="0.2">
      <c r="A5368" s="16" t="s">
        <v>34</v>
      </c>
      <c r="B5368" s="17" t="s">
        <v>65</v>
      </c>
      <c r="C5368" s="17" t="s">
        <v>8</v>
      </c>
      <c r="D5368" s="17" t="s">
        <v>10</v>
      </c>
      <c r="E5368" s="17" t="s">
        <v>23</v>
      </c>
      <c r="F5368" s="17" t="str">
        <f>INDEX(nrg_cb_e!$A$3:$A$40,MATCH(LEFT(MID('Industriesektor GWh'!$B5368,41,1000),SEARCH(" - ",MID('Industriesektor GWh'!$B5368,41,1000))-1),nrg_cb_e!$C$3:$C$40,0))</f>
        <v>FC_IND_NMM_E</v>
      </c>
      <c r="G5368" s="18">
        <v>194</v>
      </c>
    </row>
    <row r="5369" spans="1:7" x14ac:dyDescent="0.2">
      <c r="A5369" s="19" t="s">
        <v>34</v>
      </c>
      <c r="B5369" s="20" t="s">
        <v>65</v>
      </c>
      <c r="C5369" s="20" t="s">
        <v>8</v>
      </c>
      <c r="D5369" s="20" t="s">
        <v>10</v>
      </c>
      <c r="E5369" s="20" t="s">
        <v>24</v>
      </c>
      <c r="F5369" s="20" t="str">
        <f>INDEX(nrg_cb_e!$A$3:$A$40,MATCH(LEFT(MID('Industriesektor GWh'!$B5369,41,1000),SEARCH(" - ",MID('Industriesektor GWh'!$B5369,41,1000))-1),nrg_cb_e!$C$3:$C$40,0))</f>
        <v>FC_IND_NMM_E</v>
      </c>
      <c r="G5369" s="21">
        <v>209</v>
      </c>
    </row>
    <row r="5370" spans="1:7" x14ac:dyDescent="0.2">
      <c r="A5370" s="16" t="s">
        <v>34</v>
      </c>
      <c r="B5370" s="17" t="s">
        <v>65</v>
      </c>
      <c r="C5370" s="17" t="s">
        <v>8</v>
      </c>
      <c r="D5370" s="17" t="s">
        <v>10</v>
      </c>
      <c r="E5370" s="17" t="s">
        <v>25</v>
      </c>
      <c r="F5370" s="17" t="str">
        <f>INDEX(nrg_cb_e!$A$3:$A$40,MATCH(LEFT(MID('Industriesektor GWh'!$B5370,41,1000),SEARCH(" - ",MID('Industriesektor GWh'!$B5370,41,1000))-1),nrg_cb_e!$C$3:$C$40,0))</f>
        <v>FC_IND_NMM_E</v>
      </c>
      <c r="G5370" s="18">
        <v>159</v>
      </c>
    </row>
    <row r="5371" spans="1:7" x14ac:dyDescent="0.2">
      <c r="A5371" s="19" t="s">
        <v>34</v>
      </c>
      <c r="B5371" s="20" t="s">
        <v>65</v>
      </c>
      <c r="C5371" s="20" t="s">
        <v>8</v>
      </c>
      <c r="D5371" s="20" t="s">
        <v>10</v>
      </c>
      <c r="E5371" s="20" t="s">
        <v>26</v>
      </c>
      <c r="F5371" s="20" t="str">
        <f>INDEX(nrg_cb_e!$A$3:$A$40,MATCH(LEFT(MID('Industriesektor GWh'!$B5371,41,1000),SEARCH(" - ",MID('Industriesektor GWh'!$B5371,41,1000))-1),nrg_cb_e!$C$3:$C$40,0))</f>
        <v>FC_IND_NMM_E</v>
      </c>
      <c r="G5371" s="21">
        <v>161</v>
      </c>
    </row>
    <row r="5372" spans="1:7" x14ac:dyDescent="0.2">
      <c r="A5372" s="16" t="s">
        <v>34</v>
      </c>
      <c r="B5372" s="17" t="s">
        <v>65</v>
      </c>
      <c r="C5372" s="17" t="s">
        <v>8</v>
      </c>
      <c r="D5372" s="17" t="s">
        <v>10</v>
      </c>
      <c r="E5372" s="17" t="s">
        <v>27</v>
      </c>
      <c r="F5372" s="17" t="str">
        <f>INDEX(nrg_cb_e!$A$3:$A$40,MATCH(LEFT(MID('Industriesektor GWh'!$B5372,41,1000),SEARCH(" - ",MID('Industriesektor GWh'!$B5372,41,1000))-1),nrg_cb_e!$C$3:$C$40,0))</f>
        <v>FC_IND_NMM_E</v>
      </c>
      <c r="G5372" s="18">
        <v>150</v>
      </c>
    </row>
    <row r="5373" spans="1:7" x14ac:dyDescent="0.2">
      <c r="A5373" s="19" t="s">
        <v>34</v>
      </c>
      <c r="B5373" s="20" t="s">
        <v>65</v>
      </c>
      <c r="C5373" s="20" t="s">
        <v>8</v>
      </c>
      <c r="D5373" s="20" t="s">
        <v>10</v>
      </c>
      <c r="E5373" s="20" t="s">
        <v>28</v>
      </c>
      <c r="F5373" s="20" t="str">
        <f>INDEX(nrg_cb_e!$A$3:$A$40,MATCH(LEFT(MID('Industriesektor GWh'!$B5373,41,1000),SEARCH(" - ",MID('Industriesektor GWh'!$B5373,41,1000))-1),nrg_cb_e!$C$3:$C$40,0))</f>
        <v>FC_IND_NMM_E</v>
      </c>
      <c r="G5373" s="21">
        <v>194</v>
      </c>
    </row>
    <row r="5374" spans="1:7" x14ac:dyDescent="0.2">
      <c r="A5374" s="16" t="s">
        <v>35</v>
      </c>
      <c r="B5374" s="17" t="s">
        <v>65</v>
      </c>
      <c r="C5374" s="17" t="s">
        <v>8</v>
      </c>
      <c r="D5374" s="17" t="s">
        <v>10</v>
      </c>
      <c r="E5374" s="17" t="s">
        <v>12</v>
      </c>
      <c r="F5374" s="17" t="str">
        <f>INDEX(nrg_cb_e!$A$3:$A$40,MATCH(LEFT(MID('Industriesektor GWh'!$B5374,41,1000),SEARCH(" - ",MID('Industriesektor GWh'!$B5374,41,1000))-1),nrg_cb_e!$C$3:$C$40,0))</f>
        <v>FC_IND_NMM_E</v>
      </c>
      <c r="G5374" s="18">
        <v>581.62599999999998</v>
      </c>
    </row>
    <row r="5375" spans="1:7" x14ac:dyDescent="0.2">
      <c r="A5375" s="19" t="s">
        <v>35</v>
      </c>
      <c r="B5375" s="20" t="s">
        <v>65</v>
      </c>
      <c r="C5375" s="20" t="s">
        <v>8</v>
      </c>
      <c r="D5375" s="20" t="s">
        <v>10</v>
      </c>
      <c r="E5375" s="20" t="s">
        <v>13</v>
      </c>
      <c r="F5375" s="20" t="str">
        <f>INDEX(nrg_cb_e!$A$3:$A$40,MATCH(LEFT(MID('Industriesektor GWh'!$B5375,41,1000),SEARCH(" - ",MID('Industriesektor GWh'!$B5375,41,1000))-1),nrg_cb_e!$C$3:$C$40,0))</f>
        <v>FC_IND_NMM_E</v>
      </c>
      <c r="G5375" s="21">
        <v>541.57500000000005</v>
      </c>
    </row>
    <row r="5376" spans="1:7" x14ac:dyDescent="0.2">
      <c r="A5376" s="16" t="s">
        <v>35</v>
      </c>
      <c r="B5376" s="17" t="s">
        <v>65</v>
      </c>
      <c r="C5376" s="17" t="s">
        <v>8</v>
      </c>
      <c r="D5376" s="17" t="s">
        <v>10</v>
      </c>
      <c r="E5376" s="17" t="s">
        <v>14</v>
      </c>
      <c r="F5376" s="17" t="str">
        <f>INDEX(nrg_cb_e!$A$3:$A$40,MATCH(LEFT(MID('Industriesektor GWh'!$B5376,41,1000),SEARCH(" - ",MID('Industriesektor GWh'!$B5376,41,1000))-1),nrg_cb_e!$C$3:$C$40,0))</f>
        <v>FC_IND_NMM_E</v>
      </c>
      <c r="G5376" s="18">
        <v>512.54200000000003</v>
      </c>
    </row>
    <row r="5377" spans="1:7" x14ac:dyDescent="0.2">
      <c r="A5377" s="19" t="s">
        <v>35</v>
      </c>
      <c r="B5377" s="20" t="s">
        <v>65</v>
      </c>
      <c r="C5377" s="20" t="s">
        <v>8</v>
      </c>
      <c r="D5377" s="20" t="s">
        <v>10</v>
      </c>
      <c r="E5377" s="20" t="s">
        <v>15</v>
      </c>
      <c r="F5377" s="20" t="str">
        <f>INDEX(nrg_cb_e!$A$3:$A$40,MATCH(LEFT(MID('Industriesektor GWh'!$B5377,41,1000),SEARCH(" - ",MID('Industriesektor GWh'!$B5377,41,1000))-1),nrg_cb_e!$C$3:$C$40,0))</f>
        <v>FC_IND_NMM_E</v>
      </c>
      <c r="G5377" s="21">
        <v>571.20500000000004</v>
      </c>
    </row>
    <row r="5378" spans="1:7" x14ac:dyDescent="0.2">
      <c r="A5378" s="16" t="s">
        <v>35</v>
      </c>
      <c r="B5378" s="17" t="s">
        <v>65</v>
      </c>
      <c r="C5378" s="17" t="s">
        <v>8</v>
      </c>
      <c r="D5378" s="17" t="s">
        <v>10</v>
      </c>
      <c r="E5378" s="17" t="s">
        <v>16</v>
      </c>
      <c r="F5378" s="17" t="str">
        <f>INDEX(nrg_cb_e!$A$3:$A$40,MATCH(LEFT(MID('Industriesektor GWh'!$B5378,41,1000),SEARCH(" - ",MID('Industriesektor GWh'!$B5378,41,1000))-1),nrg_cb_e!$C$3:$C$40,0))</f>
        <v>FC_IND_NMM_E</v>
      </c>
      <c r="G5378" s="18">
        <v>957.37400000000002</v>
      </c>
    </row>
    <row r="5379" spans="1:7" x14ac:dyDescent="0.2">
      <c r="A5379" s="19" t="s">
        <v>35</v>
      </c>
      <c r="B5379" s="20" t="s">
        <v>65</v>
      </c>
      <c r="C5379" s="20" t="s">
        <v>8</v>
      </c>
      <c r="D5379" s="20" t="s">
        <v>10</v>
      </c>
      <c r="E5379" s="20" t="s">
        <v>17</v>
      </c>
      <c r="F5379" s="20" t="str">
        <f>INDEX(nrg_cb_e!$A$3:$A$40,MATCH(LEFT(MID('Industriesektor GWh'!$B5379,41,1000),SEARCH(" - ",MID('Industriesektor GWh'!$B5379,41,1000))-1),nrg_cb_e!$C$3:$C$40,0))</f>
        <v>FC_IND_NMM_E</v>
      </c>
      <c r="G5379" s="21">
        <v>946.42</v>
      </c>
    </row>
    <row r="5380" spans="1:7" x14ac:dyDescent="0.2">
      <c r="A5380" s="16" t="s">
        <v>35</v>
      </c>
      <c r="B5380" s="17" t="s">
        <v>65</v>
      </c>
      <c r="C5380" s="17" t="s">
        <v>8</v>
      </c>
      <c r="D5380" s="17" t="s">
        <v>10</v>
      </c>
      <c r="E5380" s="17" t="s">
        <v>18</v>
      </c>
      <c r="F5380" s="17" t="str">
        <f>INDEX(nrg_cb_e!$A$3:$A$40,MATCH(LEFT(MID('Industriesektor GWh'!$B5380,41,1000),SEARCH(" - ",MID('Industriesektor GWh'!$B5380,41,1000))-1),nrg_cb_e!$C$3:$C$40,0))</f>
        <v>FC_IND_NMM_E</v>
      </c>
      <c r="G5380" s="18">
        <v>818.74400000000003</v>
      </c>
    </row>
    <row r="5381" spans="1:7" x14ac:dyDescent="0.2">
      <c r="A5381" s="19" t="s">
        <v>35</v>
      </c>
      <c r="B5381" s="20" t="s">
        <v>65</v>
      </c>
      <c r="C5381" s="20" t="s">
        <v>8</v>
      </c>
      <c r="D5381" s="20" t="s">
        <v>10</v>
      </c>
      <c r="E5381" s="20" t="s">
        <v>19</v>
      </c>
      <c r="F5381" s="20" t="str">
        <f>INDEX(nrg_cb_e!$A$3:$A$40,MATCH(LEFT(MID('Industriesektor GWh'!$B5381,41,1000),SEARCH(" - ",MID('Industriesektor GWh'!$B5381,41,1000))-1),nrg_cb_e!$C$3:$C$40,0))</f>
        <v>FC_IND_NMM_E</v>
      </c>
      <c r="G5381" s="21">
        <v>895.61400000000003</v>
      </c>
    </row>
    <row r="5382" spans="1:7" x14ac:dyDescent="0.2">
      <c r="A5382" s="16" t="s">
        <v>35</v>
      </c>
      <c r="B5382" s="17" t="s">
        <v>65</v>
      </c>
      <c r="C5382" s="17" t="s">
        <v>8</v>
      </c>
      <c r="D5382" s="17" t="s">
        <v>10</v>
      </c>
      <c r="E5382" s="17" t="s">
        <v>20</v>
      </c>
      <c r="F5382" s="17" t="str">
        <f>INDEX(nrg_cb_e!$A$3:$A$40,MATCH(LEFT(MID('Industriesektor GWh'!$B5382,41,1000),SEARCH(" - ",MID('Industriesektor GWh'!$B5382,41,1000))-1),nrg_cb_e!$C$3:$C$40,0))</f>
        <v>FC_IND_NMM_E</v>
      </c>
      <c r="G5382" s="18">
        <v>578.85199999999998</v>
      </c>
    </row>
    <row r="5383" spans="1:7" x14ac:dyDescent="0.2">
      <c r="A5383" s="19" t="s">
        <v>35</v>
      </c>
      <c r="B5383" s="20" t="s">
        <v>65</v>
      </c>
      <c r="C5383" s="20" t="s">
        <v>8</v>
      </c>
      <c r="D5383" s="20" t="s">
        <v>10</v>
      </c>
      <c r="E5383" s="20" t="s">
        <v>21</v>
      </c>
      <c r="F5383" s="20" t="str">
        <f>INDEX(nrg_cb_e!$A$3:$A$40,MATCH(LEFT(MID('Industriesektor GWh'!$B5383,41,1000),SEARCH(" - ",MID('Industriesektor GWh'!$B5383,41,1000))-1),nrg_cb_e!$C$3:$C$40,0))</f>
        <v>FC_IND_NMM_E</v>
      </c>
      <c r="G5383" s="21">
        <v>604.30799999999999</v>
      </c>
    </row>
    <row r="5384" spans="1:7" x14ac:dyDescent="0.2">
      <c r="A5384" s="16" t="s">
        <v>35</v>
      </c>
      <c r="B5384" s="17" t="s">
        <v>65</v>
      </c>
      <c r="C5384" s="17" t="s">
        <v>8</v>
      </c>
      <c r="D5384" s="17" t="s">
        <v>10</v>
      </c>
      <c r="E5384" s="17" t="s">
        <v>22</v>
      </c>
      <c r="F5384" s="17" t="str">
        <f>INDEX(nrg_cb_e!$A$3:$A$40,MATCH(LEFT(MID('Industriesektor GWh'!$B5384,41,1000),SEARCH(" - ",MID('Industriesektor GWh'!$B5384,41,1000))-1),nrg_cb_e!$C$3:$C$40,0))</f>
        <v>FC_IND_NMM_E</v>
      </c>
      <c r="G5384" s="18">
        <v>581.63</v>
      </c>
    </row>
    <row r="5385" spans="1:7" x14ac:dyDescent="0.2">
      <c r="A5385" s="19" t="s">
        <v>35</v>
      </c>
      <c r="B5385" s="20" t="s">
        <v>65</v>
      </c>
      <c r="C5385" s="20" t="s">
        <v>8</v>
      </c>
      <c r="D5385" s="20" t="s">
        <v>10</v>
      </c>
      <c r="E5385" s="20" t="s">
        <v>23</v>
      </c>
      <c r="F5385" s="20" t="str">
        <f>INDEX(nrg_cb_e!$A$3:$A$40,MATCH(LEFT(MID('Industriesektor GWh'!$B5385,41,1000),SEARCH(" - ",MID('Industriesektor GWh'!$B5385,41,1000))-1),nrg_cb_e!$C$3:$C$40,0))</f>
        <v>FC_IND_NMM_E</v>
      </c>
      <c r="G5385" s="21">
        <v>590.65</v>
      </c>
    </row>
    <row r="5386" spans="1:7" x14ac:dyDescent="0.2">
      <c r="A5386" s="16" t="s">
        <v>35</v>
      </c>
      <c r="B5386" s="17" t="s">
        <v>65</v>
      </c>
      <c r="C5386" s="17" t="s">
        <v>8</v>
      </c>
      <c r="D5386" s="17" t="s">
        <v>10</v>
      </c>
      <c r="E5386" s="17" t="s">
        <v>24</v>
      </c>
      <c r="F5386" s="17" t="str">
        <f>INDEX(nrg_cb_e!$A$3:$A$40,MATCH(LEFT(MID('Industriesektor GWh'!$B5386,41,1000),SEARCH(" - ",MID('Industriesektor GWh'!$B5386,41,1000))-1),nrg_cb_e!$C$3:$C$40,0))</f>
        <v>FC_IND_NMM_E</v>
      </c>
      <c r="G5386" s="18">
        <v>597.70399999999995</v>
      </c>
    </row>
    <row r="5387" spans="1:7" x14ac:dyDescent="0.2">
      <c r="A5387" s="19" t="s">
        <v>35</v>
      </c>
      <c r="B5387" s="20" t="s">
        <v>65</v>
      </c>
      <c r="C5387" s="20" t="s">
        <v>8</v>
      </c>
      <c r="D5387" s="20" t="s">
        <v>10</v>
      </c>
      <c r="E5387" s="20" t="s">
        <v>25</v>
      </c>
      <c r="F5387" s="20" t="str">
        <f>INDEX(nrg_cb_e!$A$3:$A$40,MATCH(LEFT(MID('Industriesektor GWh'!$B5387,41,1000),SEARCH(" - ",MID('Industriesektor GWh'!$B5387,41,1000))-1),nrg_cb_e!$C$3:$C$40,0))</f>
        <v>FC_IND_NMM_E</v>
      </c>
      <c r="G5387" s="21">
        <v>626.05899999999997</v>
      </c>
    </row>
    <row r="5388" spans="1:7" x14ac:dyDescent="0.2">
      <c r="A5388" s="16" t="s">
        <v>35</v>
      </c>
      <c r="B5388" s="17" t="s">
        <v>65</v>
      </c>
      <c r="C5388" s="17" t="s">
        <v>8</v>
      </c>
      <c r="D5388" s="17" t="s">
        <v>10</v>
      </c>
      <c r="E5388" s="17" t="s">
        <v>26</v>
      </c>
      <c r="F5388" s="17" t="str">
        <f>INDEX(nrg_cb_e!$A$3:$A$40,MATCH(LEFT(MID('Industriesektor GWh'!$B5388,41,1000),SEARCH(" - ",MID('Industriesektor GWh'!$B5388,41,1000))-1),nrg_cb_e!$C$3:$C$40,0))</f>
        <v>FC_IND_NMM_E</v>
      </c>
      <c r="G5388" s="18">
        <v>646.43200000000002</v>
      </c>
    </row>
    <row r="5389" spans="1:7" x14ac:dyDescent="0.2">
      <c r="A5389" s="19" t="s">
        <v>35</v>
      </c>
      <c r="B5389" s="20" t="s">
        <v>65</v>
      </c>
      <c r="C5389" s="20" t="s">
        <v>8</v>
      </c>
      <c r="D5389" s="20" t="s">
        <v>10</v>
      </c>
      <c r="E5389" s="20" t="s">
        <v>27</v>
      </c>
      <c r="F5389" s="20" t="str">
        <f>INDEX(nrg_cb_e!$A$3:$A$40,MATCH(LEFT(MID('Industriesektor GWh'!$B5389,41,1000),SEARCH(" - ",MID('Industriesektor GWh'!$B5389,41,1000))-1),nrg_cb_e!$C$3:$C$40,0))</f>
        <v>FC_IND_NMM_E</v>
      </c>
      <c r="G5389" s="21">
        <v>653.62199999999996</v>
      </c>
    </row>
    <row r="5390" spans="1:7" x14ac:dyDescent="0.2">
      <c r="A5390" s="16" t="s">
        <v>35</v>
      </c>
      <c r="B5390" s="17" t="s">
        <v>65</v>
      </c>
      <c r="C5390" s="17" t="s">
        <v>8</v>
      </c>
      <c r="D5390" s="17" t="s">
        <v>10</v>
      </c>
      <c r="E5390" s="17" t="s">
        <v>28</v>
      </c>
      <c r="F5390" s="17" t="str">
        <f>INDEX(nrg_cb_e!$A$3:$A$40,MATCH(LEFT(MID('Industriesektor GWh'!$B5390,41,1000),SEARCH(" - ",MID('Industriesektor GWh'!$B5390,41,1000))-1),nrg_cb_e!$C$3:$C$40,0))</f>
        <v>FC_IND_NMM_E</v>
      </c>
      <c r="G5390" s="18">
        <v>695.60199999999998</v>
      </c>
    </row>
    <row r="5391" spans="1:7" x14ac:dyDescent="0.2">
      <c r="A5391" s="19" t="s">
        <v>36</v>
      </c>
      <c r="B5391" s="20" t="s">
        <v>65</v>
      </c>
      <c r="C5391" s="20" t="s">
        <v>8</v>
      </c>
      <c r="D5391" s="20" t="s">
        <v>10</v>
      </c>
      <c r="E5391" s="20" t="s">
        <v>12</v>
      </c>
      <c r="F5391" s="20" t="str">
        <f>INDEX(nrg_cb_e!$A$3:$A$40,MATCH(LEFT(MID('Industriesektor GWh'!$B5391,41,1000),SEARCH(" - ",MID('Industriesektor GWh'!$B5391,41,1000))-1),nrg_cb_e!$C$3:$C$40,0))</f>
        <v>FC_IND_NMM_E</v>
      </c>
      <c r="G5391" s="21">
        <v>2049</v>
      </c>
    </row>
    <row r="5392" spans="1:7" x14ac:dyDescent="0.2">
      <c r="A5392" s="16" t="s">
        <v>36</v>
      </c>
      <c r="B5392" s="17" t="s">
        <v>65</v>
      </c>
      <c r="C5392" s="17" t="s">
        <v>8</v>
      </c>
      <c r="D5392" s="17" t="s">
        <v>10</v>
      </c>
      <c r="E5392" s="17" t="s">
        <v>13</v>
      </c>
      <c r="F5392" s="17" t="str">
        <f>INDEX(nrg_cb_e!$A$3:$A$40,MATCH(LEFT(MID('Industriesektor GWh'!$B5392,41,1000),SEARCH(" - ",MID('Industriesektor GWh'!$B5392,41,1000))-1),nrg_cb_e!$C$3:$C$40,0))</f>
        <v>FC_IND_NMM_E</v>
      </c>
      <c r="G5392" s="18">
        <v>2072</v>
      </c>
    </row>
    <row r="5393" spans="1:7" x14ac:dyDescent="0.2">
      <c r="A5393" s="19" t="s">
        <v>36</v>
      </c>
      <c r="B5393" s="20" t="s">
        <v>65</v>
      </c>
      <c r="C5393" s="20" t="s">
        <v>8</v>
      </c>
      <c r="D5393" s="20" t="s">
        <v>10</v>
      </c>
      <c r="E5393" s="20" t="s">
        <v>14</v>
      </c>
      <c r="F5393" s="20" t="str">
        <f>INDEX(nrg_cb_e!$A$3:$A$40,MATCH(LEFT(MID('Industriesektor GWh'!$B5393,41,1000),SEARCH(" - ",MID('Industriesektor GWh'!$B5393,41,1000))-1),nrg_cb_e!$C$3:$C$40,0))</f>
        <v>FC_IND_NMM_E</v>
      </c>
      <c r="G5393" s="21">
        <v>2240</v>
      </c>
    </row>
    <row r="5394" spans="1:7" x14ac:dyDescent="0.2">
      <c r="A5394" s="16" t="s">
        <v>36</v>
      </c>
      <c r="B5394" s="17" t="s">
        <v>65</v>
      </c>
      <c r="C5394" s="17" t="s">
        <v>8</v>
      </c>
      <c r="D5394" s="17" t="s">
        <v>10</v>
      </c>
      <c r="E5394" s="17" t="s">
        <v>15</v>
      </c>
      <c r="F5394" s="17" t="str">
        <f>INDEX(nrg_cb_e!$A$3:$A$40,MATCH(LEFT(MID('Industriesektor GWh'!$B5394,41,1000),SEARCH(" - ",MID('Industriesektor GWh'!$B5394,41,1000))-1),nrg_cb_e!$C$3:$C$40,0))</f>
        <v>FC_IND_NMM_E</v>
      </c>
      <c r="G5394" s="18">
        <v>2407</v>
      </c>
    </row>
    <row r="5395" spans="1:7" x14ac:dyDescent="0.2">
      <c r="A5395" s="19" t="s">
        <v>36</v>
      </c>
      <c r="B5395" s="20" t="s">
        <v>65</v>
      </c>
      <c r="C5395" s="20" t="s">
        <v>8</v>
      </c>
      <c r="D5395" s="20" t="s">
        <v>10</v>
      </c>
      <c r="E5395" s="20" t="s">
        <v>16</v>
      </c>
      <c r="F5395" s="20" t="str">
        <f>INDEX(nrg_cb_e!$A$3:$A$40,MATCH(LEFT(MID('Industriesektor GWh'!$B5395,41,1000),SEARCH(" - ",MID('Industriesektor GWh'!$B5395,41,1000))-1),nrg_cb_e!$C$3:$C$40,0))</f>
        <v>FC_IND_NMM_E</v>
      </c>
      <c r="G5395" s="21">
        <v>2311</v>
      </c>
    </row>
    <row r="5396" spans="1:7" x14ac:dyDescent="0.2">
      <c r="A5396" s="16" t="s">
        <v>36</v>
      </c>
      <c r="B5396" s="17" t="s">
        <v>65</v>
      </c>
      <c r="C5396" s="17" t="s">
        <v>8</v>
      </c>
      <c r="D5396" s="17" t="s">
        <v>10</v>
      </c>
      <c r="E5396" s="17" t="s">
        <v>17</v>
      </c>
      <c r="F5396" s="17" t="str">
        <f>INDEX(nrg_cb_e!$A$3:$A$40,MATCH(LEFT(MID('Industriesektor GWh'!$B5396,41,1000),SEARCH(" - ",MID('Industriesektor GWh'!$B5396,41,1000))-1),nrg_cb_e!$C$3:$C$40,0))</f>
        <v>FC_IND_NMM_E</v>
      </c>
      <c r="G5396" s="18">
        <v>2582</v>
      </c>
    </row>
    <row r="5397" spans="1:7" x14ac:dyDescent="0.2">
      <c r="A5397" s="19" t="s">
        <v>36</v>
      </c>
      <c r="B5397" s="20" t="s">
        <v>65</v>
      </c>
      <c r="C5397" s="20" t="s">
        <v>8</v>
      </c>
      <c r="D5397" s="20" t="s">
        <v>10</v>
      </c>
      <c r="E5397" s="20" t="s">
        <v>18</v>
      </c>
      <c r="F5397" s="20" t="str">
        <f>INDEX(nrg_cb_e!$A$3:$A$40,MATCH(LEFT(MID('Industriesektor GWh'!$B5397,41,1000),SEARCH(" - ",MID('Industriesektor GWh'!$B5397,41,1000))-1),nrg_cb_e!$C$3:$C$40,0))</f>
        <v>FC_IND_NMM_E</v>
      </c>
      <c r="G5397" s="21">
        <v>2245</v>
      </c>
    </row>
    <row r="5398" spans="1:7" x14ac:dyDescent="0.2">
      <c r="A5398" s="16" t="s">
        <v>36</v>
      </c>
      <c r="B5398" s="17" t="s">
        <v>65</v>
      </c>
      <c r="C5398" s="17" t="s">
        <v>8</v>
      </c>
      <c r="D5398" s="17" t="s">
        <v>10</v>
      </c>
      <c r="E5398" s="17" t="s">
        <v>19</v>
      </c>
      <c r="F5398" s="17" t="str">
        <f>INDEX(nrg_cb_e!$A$3:$A$40,MATCH(LEFT(MID('Industriesektor GWh'!$B5398,41,1000),SEARCH(" - ",MID('Industriesektor GWh'!$B5398,41,1000))-1),nrg_cb_e!$C$3:$C$40,0))</f>
        <v>FC_IND_NMM_E</v>
      </c>
      <c r="G5398" s="18">
        <v>1784</v>
      </c>
    </row>
    <row r="5399" spans="1:7" x14ac:dyDescent="0.2">
      <c r="A5399" s="19" t="s">
        <v>36</v>
      </c>
      <c r="B5399" s="20" t="s">
        <v>65</v>
      </c>
      <c r="C5399" s="20" t="s">
        <v>8</v>
      </c>
      <c r="D5399" s="20" t="s">
        <v>10</v>
      </c>
      <c r="E5399" s="20" t="s">
        <v>20</v>
      </c>
      <c r="F5399" s="20" t="str">
        <f>INDEX(nrg_cb_e!$A$3:$A$40,MATCH(LEFT(MID('Industriesektor GWh'!$B5399,41,1000),SEARCH(" - ",MID('Industriesektor GWh'!$B5399,41,1000))-1),nrg_cb_e!$C$3:$C$40,0))</f>
        <v>FC_IND_NMM_E</v>
      </c>
      <c r="G5399" s="21">
        <v>1712</v>
      </c>
    </row>
    <row r="5400" spans="1:7" x14ac:dyDescent="0.2">
      <c r="A5400" s="16" t="s">
        <v>36</v>
      </c>
      <c r="B5400" s="17" t="s">
        <v>65</v>
      </c>
      <c r="C5400" s="17" t="s">
        <v>8</v>
      </c>
      <c r="D5400" s="17" t="s">
        <v>10</v>
      </c>
      <c r="E5400" s="17" t="s">
        <v>21</v>
      </c>
      <c r="F5400" s="17" t="str">
        <f>INDEX(nrg_cb_e!$A$3:$A$40,MATCH(LEFT(MID('Industriesektor GWh'!$B5400,41,1000),SEARCH(" - ",MID('Industriesektor GWh'!$B5400,41,1000))-1),nrg_cb_e!$C$3:$C$40,0))</f>
        <v>FC_IND_NMM_E</v>
      </c>
      <c r="G5400" s="18">
        <v>1066</v>
      </c>
    </row>
    <row r="5401" spans="1:7" x14ac:dyDescent="0.2">
      <c r="A5401" s="19" t="s">
        <v>36</v>
      </c>
      <c r="B5401" s="20" t="s">
        <v>65</v>
      </c>
      <c r="C5401" s="20" t="s">
        <v>8</v>
      </c>
      <c r="D5401" s="20" t="s">
        <v>10</v>
      </c>
      <c r="E5401" s="20" t="s">
        <v>22</v>
      </c>
      <c r="F5401" s="20" t="str">
        <f>INDEX(nrg_cb_e!$A$3:$A$40,MATCH(LEFT(MID('Industriesektor GWh'!$B5401,41,1000),SEARCH(" - ",MID('Industriesektor GWh'!$B5401,41,1000))-1),nrg_cb_e!$C$3:$C$40,0))</f>
        <v>FC_IND_NMM_E</v>
      </c>
      <c r="G5401" s="21">
        <v>952</v>
      </c>
    </row>
    <row r="5402" spans="1:7" x14ac:dyDescent="0.2">
      <c r="A5402" s="16" t="s">
        <v>36</v>
      </c>
      <c r="B5402" s="17" t="s">
        <v>65</v>
      </c>
      <c r="C5402" s="17" t="s">
        <v>8</v>
      </c>
      <c r="D5402" s="17" t="s">
        <v>10</v>
      </c>
      <c r="E5402" s="17" t="s">
        <v>23</v>
      </c>
      <c r="F5402" s="17" t="str">
        <f>INDEX(nrg_cb_e!$A$3:$A$40,MATCH(LEFT(MID('Industriesektor GWh'!$B5402,41,1000),SEARCH(" - ",MID('Industriesektor GWh'!$B5402,41,1000))-1),nrg_cb_e!$C$3:$C$40,0))</f>
        <v>FC_IND_NMM_E</v>
      </c>
      <c r="G5402" s="18">
        <v>1091</v>
      </c>
    </row>
    <row r="5403" spans="1:7" x14ac:dyDescent="0.2">
      <c r="A5403" s="19" t="s">
        <v>36</v>
      </c>
      <c r="B5403" s="20" t="s">
        <v>65</v>
      </c>
      <c r="C5403" s="20" t="s">
        <v>8</v>
      </c>
      <c r="D5403" s="20" t="s">
        <v>10</v>
      </c>
      <c r="E5403" s="20" t="s">
        <v>24</v>
      </c>
      <c r="F5403" s="20" t="str">
        <f>INDEX(nrg_cb_e!$A$3:$A$40,MATCH(LEFT(MID('Industriesektor GWh'!$B5403,41,1000),SEARCH(" - ",MID('Industriesektor GWh'!$B5403,41,1000))-1),nrg_cb_e!$C$3:$C$40,0))</f>
        <v>FC_IND_NMM_E</v>
      </c>
      <c r="G5403" s="21">
        <v>1098</v>
      </c>
    </row>
    <row r="5404" spans="1:7" x14ac:dyDescent="0.2">
      <c r="A5404" s="16" t="s">
        <v>36</v>
      </c>
      <c r="B5404" s="17" t="s">
        <v>65</v>
      </c>
      <c r="C5404" s="17" t="s">
        <v>8</v>
      </c>
      <c r="D5404" s="17" t="s">
        <v>10</v>
      </c>
      <c r="E5404" s="17" t="s">
        <v>25</v>
      </c>
      <c r="F5404" s="17" t="str">
        <f>INDEX(nrg_cb_e!$A$3:$A$40,MATCH(LEFT(MID('Industriesektor GWh'!$B5404,41,1000),SEARCH(" - ",MID('Industriesektor GWh'!$B5404,41,1000))-1),nrg_cb_e!$C$3:$C$40,0))</f>
        <v>FC_IND_NMM_E</v>
      </c>
      <c r="G5404" s="18">
        <v>992</v>
      </c>
    </row>
    <row r="5405" spans="1:7" x14ac:dyDescent="0.2">
      <c r="A5405" s="19" t="s">
        <v>36</v>
      </c>
      <c r="B5405" s="20" t="s">
        <v>65</v>
      </c>
      <c r="C5405" s="20" t="s">
        <v>8</v>
      </c>
      <c r="D5405" s="20" t="s">
        <v>10</v>
      </c>
      <c r="E5405" s="20" t="s">
        <v>26</v>
      </c>
      <c r="F5405" s="20" t="str">
        <f>INDEX(nrg_cb_e!$A$3:$A$40,MATCH(LEFT(MID('Industriesektor GWh'!$B5405,41,1000),SEARCH(" - ",MID('Industriesektor GWh'!$B5405,41,1000))-1),nrg_cb_e!$C$3:$C$40,0))</f>
        <v>FC_IND_NMM_E</v>
      </c>
      <c r="G5405" s="21">
        <v>898</v>
      </c>
    </row>
    <row r="5406" spans="1:7" x14ac:dyDescent="0.2">
      <c r="A5406" s="16" t="s">
        <v>36</v>
      </c>
      <c r="B5406" s="17" t="s">
        <v>65</v>
      </c>
      <c r="C5406" s="17" t="s">
        <v>8</v>
      </c>
      <c r="D5406" s="17" t="s">
        <v>10</v>
      </c>
      <c r="E5406" s="17" t="s">
        <v>27</v>
      </c>
      <c r="F5406" s="17" t="str">
        <f>INDEX(nrg_cb_e!$A$3:$A$40,MATCH(LEFT(MID('Industriesektor GWh'!$B5406,41,1000),SEARCH(" - ",MID('Industriesektor GWh'!$B5406,41,1000))-1),nrg_cb_e!$C$3:$C$40,0))</f>
        <v>FC_IND_NMM_E</v>
      </c>
      <c r="G5406" s="18">
        <v>1011.638</v>
      </c>
    </row>
    <row r="5407" spans="1:7" x14ac:dyDescent="0.2">
      <c r="A5407" s="19" t="s">
        <v>36</v>
      </c>
      <c r="B5407" s="20" t="s">
        <v>65</v>
      </c>
      <c r="C5407" s="20" t="s">
        <v>8</v>
      </c>
      <c r="D5407" s="20" t="s">
        <v>10</v>
      </c>
      <c r="E5407" s="20" t="s">
        <v>28</v>
      </c>
      <c r="F5407" s="20" t="str">
        <f>INDEX(nrg_cb_e!$A$3:$A$40,MATCH(LEFT(MID('Industriesektor GWh'!$B5407,41,1000),SEARCH(" - ",MID('Industriesektor GWh'!$B5407,41,1000))-1),nrg_cb_e!$C$3:$C$40,0))</f>
        <v>FC_IND_NMM_E</v>
      </c>
      <c r="G5407" s="21">
        <v>1163.05</v>
      </c>
    </row>
    <row r="5408" spans="1:7" x14ac:dyDescent="0.2">
      <c r="A5408" s="16" t="s">
        <v>37</v>
      </c>
      <c r="B5408" s="17" t="s">
        <v>65</v>
      </c>
      <c r="C5408" s="17" t="s">
        <v>8</v>
      </c>
      <c r="D5408" s="17" t="s">
        <v>10</v>
      </c>
      <c r="E5408" s="17" t="s">
        <v>12</v>
      </c>
      <c r="F5408" s="17" t="str">
        <f>INDEX(nrg_cb_e!$A$3:$A$40,MATCH(LEFT(MID('Industriesektor GWh'!$B5408,41,1000),SEARCH(" - ",MID('Industriesektor GWh'!$B5408,41,1000))-1),nrg_cb_e!$C$3:$C$40,0))</f>
        <v>FC_IND_NMM_E</v>
      </c>
      <c r="G5408" s="18">
        <v>11026</v>
      </c>
    </row>
    <row r="5409" spans="1:7" x14ac:dyDescent="0.2">
      <c r="A5409" s="19" t="s">
        <v>37</v>
      </c>
      <c r="B5409" s="20" t="s">
        <v>65</v>
      </c>
      <c r="C5409" s="20" t="s">
        <v>8</v>
      </c>
      <c r="D5409" s="20" t="s">
        <v>10</v>
      </c>
      <c r="E5409" s="20" t="s">
        <v>13</v>
      </c>
      <c r="F5409" s="20" t="str">
        <f>INDEX(nrg_cb_e!$A$3:$A$40,MATCH(LEFT(MID('Industriesektor GWh'!$B5409,41,1000),SEARCH(" - ",MID('Industriesektor GWh'!$B5409,41,1000))-1),nrg_cb_e!$C$3:$C$40,0))</f>
        <v>FC_IND_NMM_E</v>
      </c>
      <c r="G5409" s="21">
        <v>12059</v>
      </c>
    </row>
    <row r="5410" spans="1:7" x14ac:dyDescent="0.2">
      <c r="A5410" s="16" t="s">
        <v>37</v>
      </c>
      <c r="B5410" s="17" t="s">
        <v>65</v>
      </c>
      <c r="C5410" s="17" t="s">
        <v>8</v>
      </c>
      <c r="D5410" s="17" t="s">
        <v>10</v>
      </c>
      <c r="E5410" s="17" t="s">
        <v>14</v>
      </c>
      <c r="F5410" s="17" t="str">
        <f>INDEX(nrg_cb_e!$A$3:$A$40,MATCH(LEFT(MID('Industriesektor GWh'!$B5410,41,1000),SEARCH(" - ",MID('Industriesektor GWh'!$B5410,41,1000))-1),nrg_cb_e!$C$3:$C$40,0))</f>
        <v>FC_IND_NMM_E</v>
      </c>
      <c r="G5410" s="18">
        <v>12256</v>
      </c>
    </row>
    <row r="5411" spans="1:7" x14ac:dyDescent="0.2">
      <c r="A5411" s="19" t="s">
        <v>37</v>
      </c>
      <c r="B5411" s="20" t="s">
        <v>65</v>
      </c>
      <c r="C5411" s="20" t="s">
        <v>8</v>
      </c>
      <c r="D5411" s="20" t="s">
        <v>10</v>
      </c>
      <c r="E5411" s="20" t="s">
        <v>15</v>
      </c>
      <c r="F5411" s="20" t="str">
        <f>INDEX(nrg_cb_e!$A$3:$A$40,MATCH(LEFT(MID('Industriesektor GWh'!$B5411,41,1000),SEARCH(" - ",MID('Industriesektor GWh'!$B5411,41,1000))-1),nrg_cb_e!$C$3:$C$40,0))</f>
        <v>FC_IND_NMM_E</v>
      </c>
      <c r="G5411" s="21">
        <v>13298</v>
      </c>
    </row>
    <row r="5412" spans="1:7" x14ac:dyDescent="0.2">
      <c r="A5412" s="16" t="s">
        <v>37</v>
      </c>
      <c r="B5412" s="17" t="s">
        <v>65</v>
      </c>
      <c r="C5412" s="17" t="s">
        <v>8</v>
      </c>
      <c r="D5412" s="17" t="s">
        <v>10</v>
      </c>
      <c r="E5412" s="17" t="s">
        <v>16</v>
      </c>
      <c r="F5412" s="17" t="str">
        <f>INDEX(nrg_cb_e!$A$3:$A$40,MATCH(LEFT(MID('Industriesektor GWh'!$B5412,41,1000),SEARCH(" - ",MID('Industriesektor GWh'!$B5412,41,1000))-1),nrg_cb_e!$C$3:$C$40,0))</f>
        <v>FC_IND_NMM_E</v>
      </c>
      <c r="G5412" s="18">
        <v>11602</v>
      </c>
    </row>
    <row r="5413" spans="1:7" x14ac:dyDescent="0.2">
      <c r="A5413" s="19" t="s">
        <v>37</v>
      </c>
      <c r="B5413" s="20" t="s">
        <v>65</v>
      </c>
      <c r="C5413" s="20" t="s">
        <v>8</v>
      </c>
      <c r="D5413" s="20" t="s">
        <v>10</v>
      </c>
      <c r="E5413" s="20" t="s">
        <v>17</v>
      </c>
      <c r="F5413" s="20" t="str">
        <f>INDEX(nrg_cb_e!$A$3:$A$40,MATCH(LEFT(MID('Industriesektor GWh'!$B5413,41,1000),SEARCH(" - ",MID('Industriesektor GWh'!$B5413,41,1000))-1),nrg_cb_e!$C$3:$C$40,0))</f>
        <v>FC_IND_NMM_E</v>
      </c>
      <c r="G5413" s="21">
        <v>12029</v>
      </c>
    </row>
    <row r="5414" spans="1:7" x14ac:dyDescent="0.2">
      <c r="A5414" s="16" t="s">
        <v>37</v>
      </c>
      <c r="B5414" s="17" t="s">
        <v>65</v>
      </c>
      <c r="C5414" s="17" t="s">
        <v>8</v>
      </c>
      <c r="D5414" s="17" t="s">
        <v>10</v>
      </c>
      <c r="E5414" s="17" t="s">
        <v>18</v>
      </c>
      <c r="F5414" s="17" t="str">
        <f>INDEX(nrg_cb_e!$A$3:$A$40,MATCH(LEFT(MID('Industriesektor GWh'!$B5414,41,1000),SEARCH(" - ",MID('Industriesektor GWh'!$B5414,41,1000))-1),nrg_cb_e!$C$3:$C$40,0))</f>
        <v>FC_IND_NMM_E</v>
      </c>
      <c r="G5414" s="18">
        <v>10581</v>
      </c>
    </row>
    <row r="5415" spans="1:7" x14ac:dyDescent="0.2">
      <c r="A5415" s="19" t="s">
        <v>37</v>
      </c>
      <c r="B5415" s="20" t="s">
        <v>65</v>
      </c>
      <c r="C5415" s="20" t="s">
        <v>8</v>
      </c>
      <c r="D5415" s="20" t="s">
        <v>10</v>
      </c>
      <c r="E5415" s="20" t="s">
        <v>19</v>
      </c>
      <c r="F5415" s="20" t="str">
        <f>INDEX(nrg_cb_e!$A$3:$A$40,MATCH(LEFT(MID('Industriesektor GWh'!$B5415,41,1000),SEARCH(" - ",MID('Industriesektor GWh'!$B5415,41,1000))-1),nrg_cb_e!$C$3:$C$40,0))</f>
        <v>FC_IND_NMM_E</v>
      </c>
      <c r="G5415" s="21">
        <v>7836</v>
      </c>
    </row>
    <row r="5416" spans="1:7" x14ac:dyDescent="0.2">
      <c r="A5416" s="16" t="s">
        <v>37</v>
      </c>
      <c r="B5416" s="17" t="s">
        <v>65</v>
      </c>
      <c r="C5416" s="17" t="s">
        <v>8</v>
      </c>
      <c r="D5416" s="17" t="s">
        <v>10</v>
      </c>
      <c r="E5416" s="17" t="s">
        <v>20</v>
      </c>
      <c r="F5416" s="17" t="str">
        <f>INDEX(nrg_cb_e!$A$3:$A$40,MATCH(LEFT(MID('Industriesektor GWh'!$B5416,41,1000),SEARCH(" - ",MID('Industriesektor GWh'!$B5416,41,1000))-1),nrg_cb_e!$C$3:$C$40,0))</f>
        <v>FC_IND_NMM_E</v>
      </c>
      <c r="G5416" s="18">
        <v>7699</v>
      </c>
    </row>
    <row r="5417" spans="1:7" x14ac:dyDescent="0.2">
      <c r="A5417" s="19" t="s">
        <v>37</v>
      </c>
      <c r="B5417" s="20" t="s">
        <v>65</v>
      </c>
      <c r="C5417" s="20" t="s">
        <v>8</v>
      </c>
      <c r="D5417" s="20" t="s">
        <v>10</v>
      </c>
      <c r="E5417" s="20" t="s">
        <v>21</v>
      </c>
      <c r="F5417" s="20" t="str">
        <f>INDEX(nrg_cb_e!$A$3:$A$40,MATCH(LEFT(MID('Industriesektor GWh'!$B5417,41,1000),SEARCH(" - ",MID('Industriesektor GWh'!$B5417,41,1000))-1),nrg_cb_e!$C$3:$C$40,0))</f>
        <v>FC_IND_NMM_E</v>
      </c>
      <c r="G5417" s="21">
        <v>6539</v>
      </c>
    </row>
    <row r="5418" spans="1:7" x14ac:dyDescent="0.2">
      <c r="A5418" s="16" t="s">
        <v>37</v>
      </c>
      <c r="B5418" s="17" t="s">
        <v>65</v>
      </c>
      <c r="C5418" s="17" t="s">
        <v>8</v>
      </c>
      <c r="D5418" s="17" t="s">
        <v>10</v>
      </c>
      <c r="E5418" s="17" t="s">
        <v>22</v>
      </c>
      <c r="F5418" s="17" t="str">
        <f>INDEX(nrg_cb_e!$A$3:$A$40,MATCH(LEFT(MID('Industriesektor GWh'!$B5418,41,1000),SEARCH(" - ",MID('Industriesektor GWh'!$B5418,41,1000))-1),nrg_cb_e!$C$3:$C$40,0))</f>
        <v>FC_IND_NMM_E</v>
      </c>
      <c r="G5418" s="18">
        <v>6451</v>
      </c>
    </row>
    <row r="5419" spans="1:7" x14ac:dyDescent="0.2">
      <c r="A5419" s="19" t="s">
        <v>37</v>
      </c>
      <c r="B5419" s="20" t="s">
        <v>65</v>
      </c>
      <c r="C5419" s="20" t="s">
        <v>8</v>
      </c>
      <c r="D5419" s="20" t="s">
        <v>10</v>
      </c>
      <c r="E5419" s="20" t="s">
        <v>23</v>
      </c>
      <c r="F5419" s="20" t="str">
        <f>INDEX(nrg_cb_e!$A$3:$A$40,MATCH(LEFT(MID('Industriesektor GWh'!$B5419,41,1000),SEARCH(" - ",MID('Industriesektor GWh'!$B5419,41,1000))-1),nrg_cb_e!$C$3:$C$40,0))</f>
        <v>FC_IND_NMM_E</v>
      </c>
      <c r="G5419" s="21">
        <v>5494</v>
      </c>
    </row>
    <row r="5420" spans="1:7" x14ac:dyDescent="0.2">
      <c r="A5420" s="16" t="s">
        <v>37</v>
      </c>
      <c r="B5420" s="17" t="s">
        <v>65</v>
      </c>
      <c r="C5420" s="17" t="s">
        <v>8</v>
      </c>
      <c r="D5420" s="17" t="s">
        <v>10</v>
      </c>
      <c r="E5420" s="17" t="s">
        <v>24</v>
      </c>
      <c r="F5420" s="17" t="str">
        <f>INDEX(nrg_cb_e!$A$3:$A$40,MATCH(LEFT(MID('Industriesektor GWh'!$B5420,41,1000),SEARCH(" - ",MID('Industriesektor GWh'!$B5420,41,1000))-1),nrg_cb_e!$C$3:$C$40,0))</f>
        <v>FC_IND_NMM_E</v>
      </c>
      <c r="G5420" s="18">
        <v>5608</v>
      </c>
    </row>
    <row r="5421" spans="1:7" x14ac:dyDescent="0.2">
      <c r="A5421" s="19" t="s">
        <v>37</v>
      </c>
      <c r="B5421" s="20" t="s">
        <v>65</v>
      </c>
      <c r="C5421" s="20" t="s">
        <v>8</v>
      </c>
      <c r="D5421" s="20" t="s">
        <v>10</v>
      </c>
      <c r="E5421" s="20" t="s">
        <v>25</v>
      </c>
      <c r="F5421" s="20" t="str">
        <f>INDEX(nrg_cb_e!$A$3:$A$40,MATCH(LEFT(MID('Industriesektor GWh'!$B5421,41,1000),SEARCH(" - ",MID('Industriesektor GWh'!$B5421,41,1000))-1),nrg_cb_e!$C$3:$C$40,0))</f>
        <v>FC_IND_NMM_E</v>
      </c>
      <c r="G5421" s="21">
        <v>5893</v>
      </c>
    </row>
    <row r="5422" spans="1:7" x14ac:dyDescent="0.2">
      <c r="A5422" s="16" t="s">
        <v>37</v>
      </c>
      <c r="B5422" s="17" t="s">
        <v>65</v>
      </c>
      <c r="C5422" s="17" t="s">
        <v>8</v>
      </c>
      <c r="D5422" s="17" t="s">
        <v>10</v>
      </c>
      <c r="E5422" s="17" t="s">
        <v>26</v>
      </c>
      <c r="F5422" s="17" t="str">
        <f>INDEX(nrg_cb_e!$A$3:$A$40,MATCH(LEFT(MID('Industriesektor GWh'!$B5422,41,1000),SEARCH(" - ",MID('Industriesektor GWh'!$B5422,41,1000))-1),nrg_cb_e!$C$3:$C$40,0))</f>
        <v>FC_IND_NMM_E</v>
      </c>
      <c r="G5422" s="18">
        <v>5924</v>
      </c>
    </row>
    <row r="5423" spans="1:7" x14ac:dyDescent="0.2">
      <c r="A5423" s="19" t="s">
        <v>37</v>
      </c>
      <c r="B5423" s="20" t="s">
        <v>65</v>
      </c>
      <c r="C5423" s="20" t="s">
        <v>8</v>
      </c>
      <c r="D5423" s="20" t="s">
        <v>10</v>
      </c>
      <c r="E5423" s="20" t="s">
        <v>27</v>
      </c>
      <c r="F5423" s="20" t="str">
        <f>INDEX(nrg_cb_e!$A$3:$A$40,MATCH(LEFT(MID('Industriesektor GWh'!$B5423,41,1000),SEARCH(" - ",MID('Industriesektor GWh'!$B5423,41,1000))-1),nrg_cb_e!$C$3:$C$40,0))</f>
        <v>FC_IND_NMM_E</v>
      </c>
      <c r="G5423" s="21">
        <v>6245</v>
      </c>
    </row>
    <row r="5424" spans="1:7" x14ac:dyDescent="0.2">
      <c r="A5424" s="16" t="s">
        <v>37</v>
      </c>
      <c r="B5424" s="17" t="s">
        <v>65</v>
      </c>
      <c r="C5424" s="17" t="s">
        <v>8</v>
      </c>
      <c r="D5424" s="17" t="s">
        <v>10</v>
      </c>
      <c r="E5424" s="17" t="s">
        <v>28</v>
      </c>
      <c r="F5424" s="17" t="str">
        <f>INDEX(nrg_cb_e!$A$3:$A$40,MATCH(LEFT(MID('Industriesektor GWh'!$B5424,41,1000),SEARCH(" - ",MID('Industriesektor GWh'!$B5424,41,1000))-1),nrg_cb_e!$C$3:$C$40,0))</f>
        <v>FC_IND_NMM_E</v>
      </c>
      <c r="G5424" s="18">
        <v>6290</v>
      </c>
    </row>
    <row r="5425" spans="1:7" x14ac:dyDescent="0.2">
      <c r="A5425" s="19" t="s">
        <v>38</v>
      </c>
      <c r="B5425" s="20" t="s">
        <v>65</v>
      </c>
      <c r="C5425" s="20" t="s">
        <v>8</v>
      </c>
      <c r="D5425" s="20" t="s">
        <v>10</v>
      </c>
      <c r="E5425" s="20" t="s">
        <v>12</v>
      </c>
      <c r="F5425" s="20" t="str">
        <f>INDEX(nrg_cb_e!$A$3:$A$40,MATCH(LEFT(MID('Industriesektor GWh'!$B5425,41,1000),SEARCH(" - ",MID('Industriesektor GWh'!$B5425,41,1000))-1),nrg_cb_e!$C$3:$C$40,0))</f>
        <v>FC_IND_NMM_E</v>
      </c>
      <c r="G5425" s="21">
        <v>8550</v>
      </c>
    </row>
    <row r="5426" spans="1:7" x14ac:dyDescent="0.2">
      <c r="A5426" s="16" t="s">
        <v>38</v>
      </c>
      <c r="B5426" s="17" t="s">
        <v>65</v>
      </c>
      <c r="C5426" s="17" t="s">
        <v>8</v>
      </c>
      <c r="D5426" s="17" t="s">
        <v>10</v>
      </c>
      <c r="E5426" s="17" t="s">
        <v>13</v>
      </c>
      <c r="F5426" s="17" t="str">
        <f>INDEX(nrg_cb_e!$A$3:$A$40,MATCH(LEFT(MID('Industriesektor GWh'!$B5426,41,1000),SEARCH(" - ",MID('Industriesektor GWh'!$B5426,41,1000))-1),nrg_cb_e!$C$3:$C$40,0))</f>
        <v>FC_IND_NMM_E</v>
      </c>
      <c r="G5426" s="18">
        <v>8582</v>
      </c>
    </row>
    <row r="5427" spans="1:7" x14ac:dyDescent="0.2">
      <c r="A5427" s="19" t="s">
        <v>38</v>
      </c>
      <c r="B5427" s="20" t="s">
        <v>65</v>
      </c>
      <c r="C5427" s="20" t="s">
        <v>8</v>
      </c>
      <c r="D5427" s="20" t="s">
        <v>10</v>
      </c>
      <c r="E5427" s="20" t="s">
        <v>14</v>
      </c>
      <c r="F5427" s="20" t="str">
        <f>INDEX(nrg_cb_e!$A$3:$A$40,MATCH(LEFT(MID('Industriesektor GWh'!$B5427,41,1000),SEARCH(" - ",MID('Industriesektor GWh'!$B5427,41,1000))-1),nrg_cb_e!$C$3:$C$40,0))</f>
        <v>FC_IND_NMM_E</v>
      </c>
      <c r="G5427" s="21">
        <v>9013</v>
      </c>
    </row>
    <row r="5428" spans="1:7" x14ac:dyDescent="0.2">
      <c r="A5428" s="16" t="s">
        <v>38</v>
      </c>
      <c r="B5428" s="17" t="s">
        <v>65</v>
      </c>
      <c r="C5428" s="17" t="s">
        <v>8</v>
      </c>
      <c r="D5428" s="17" t="s">
        <v>10</v>
      </c>
      <c r="E5428" s="17" t="s">
        <v>15</v>
      </c>
      <c r="F5428" s="17" t="str">
        <f>INDEX(nrg_cb_e!$A$3:$A$40,MATCH(LEFT(MID('Industriesektor GWh'!$B5428,41,1000),SEARCH(" - ",MID('Industriesektor GWh'!$B5428,41,1000))-1),nrg_cb_e!$C$3:$C$40,0))</f>
        <v>FC_IND_NMM_E</v>
      </c>
      <c r="G5428" s="18">
        <v>8832</v>
      </c>
    </row>
    <row r="5429" spans="1:7" x14ac:dyDescent="0.2">
      <c r="A5429" s="19" t="s">
        <v>38</v>
      </c>
      <c r="B5429" s="20" t="s">
        <v>65</v>
      </c>
      <c r="C5429" s="20" t="s">
        <v>8</v>
      </c>
      <c r="D5429" s="20" t="s">
        <v>10</v>
      </c>
      <c r="E5429" s="20" t="s">
        <v>16</v>
      </c>
      <c r="F5429" s="20" t="str">
        <f>INDEX(nrg_cb_e!$A$3:$A$40,MATCH(LEFT(MID('Industriesektor GWh'!$B5429,41,1000),SEARCH(" - ",MID('Industriesektor GWh'!$B5429,41,1000))-1),nrg_cb_e!$C$3:$C$40,0))</f>
        <v>FC_IND_NMM_E</v>
      </c>
      <c r="G5429" s="21">
        <v>9005</v>
      </c>
    </row>
    <row r="5430" spans="1:7" x14ac:dyDescent="0.2">
      <c r="A5430" s="16" t="s">
        <v>38</v>
      </c>
      <c r="B5430" s="17" t="s">
        <v>65</v>
      </c>
      <c r="C5430" s="17" t="s">
        <v>8</v>
      </c>
      <c r="D5430" s="17" t="s">
        <v>10</v>
      </c>
      <c r="E5430" s="17" t="s">
        <v>17</v>
      </c>
      <c r="F5430" s="17" t="str">
        <f>INDEX(nrg_cb_e!$A$3:$A$40,MATCH(LEFT(MID('Industriesektor GWh'!$B5430,41,1000),SEARCH(" - ",MID('Industriesektor GWh'!$B5430,41,1000))-1),nrg_cb_e!$C$3:$C$40,0))</f>
        <v>FC_IND_NMM_E</v>
      </c>
      <c r="G5430" s="18">
        <v>8918</v>
      </c>
    </row>
    <row r="5431" spans="1:7" x14ac:dyDescent="0.2">
      <c r="A5431" s="19" t="s">
        <v>38</v>
      </c>
      <c r="B5431" s="20" t="s">
        <v>65</v>
      </c>
      <c r="C5431" s="20" t="s">
        <v>8</v>
      </c>
      <c r="D5431" s="20" t="s">
        <v>10</v>
      </c>
      <c r="E5431" s="20" t="s">
        <v>18</v>
      </c>
      <c r="F5431" s="20" t="str">
        <f>INDEX(nrg_cb_e!$A$3:$A$40,MATCH(LEFT(MID('Industriesektor GWh'!$B5431,41,1000),SEARCH(" - ",MID('Industriesektor GWh'!$B5431,41,1000))-1),nrg_cb_e!$C$3:$C$40,0))</f>
        <v>FC_IND_NMM_E</v>
      </c>
      <c r="G5431" s="21">
        <v>10010</v>
      </c>
    </row>
    <row r="5432" spans="1:7" x14ac:dyDescent="0.2">
      <c r="A5432" s="16" t="s">
        <v>38</v>
      </c>
      <c r="B5432" s="17" t="s">
        <v>65</v>
      </c>
      <c r="C5432" s="17" t="s">
        <v>8</v>
      </c>
      <c r="D5432" s="17" t="s">
        <v>10</v>
      </c>
      <c r="E5432" s="17" t="s">
        <v>19</v>
      </c>
      <c r="F5432" s="17" t="str">
        <f>INDEX(nrg_cb_e!$A$3:$A$40,MATCH(LEFT(MID('Industriesektor GWh'!$B5432,41,1000),SEARCH(" - ",MID('Industriesektor GWh'!$B5432,41,1000))-1),nrg_cb_e!$C$3:$C$40,0))</f>
        <v>FC_IND_NMM_E</v>
      </c>
      <c r="G5432" s="18">
        <v>8664</v>
      </c>
    </row>
    <row r="5433" spans="1:7" x14ac:dyDescent="0.2">
      <c r="A5433" s="19" t="s">
        <v>38</v>
      </c>
      <c r="B5433" s="20" t="s">
        <v>65</v>
      </c>
      <c r="C5433" s="20" t="s">
        <v>8</v>
      </c>
      <c r="D5433" s="20" t="s">
        <v>10</v>
      </c>
      <c r="E5433" s="20" t="s">
        <v>20</v>
      </c>
      <c r="F5433" s="20" t="str">
        <f>INDEX(nrg_cb_e!$A$3:$A$40,MATCH(LEFT(MID('Industriesektor GWh'!$B5433,41,1000),SEARCH(" - ",MID('Industriesektor GWh'!$B5433,41,1000))-1),nrg_cb_e!$C$3:$C$40,0))</f>
        <v>FC_IND_NMM_E</v>
      </c>
      <c r="G5433" s="21">
        <v>9174</v>
      </c>
    </row>
    <row r="5434" spans="1:7" x14ac:dyDescent="0.2">
      <c r="A5434" s="16" t="s">
        <v>38</v>
      </c>
      <c r="B5434" s="17" t="s">
        <v>65</v>
      </c>
      <c r="C5434" s="17" t="s">
        <v>8</v>
      </c>
      <c r="D5434" s="17" t="s">
        <v>10</v>
      </c>
      <c r="E5434" s="17" t="s">
        <v>21</v>
      </c>
      <c r="F5434" s="17" t="str">
        <f>INDEX(nrg_cb_e!$A$3:$A$40,MATCH(LEFT(MID('Industriesektor GWh'!$B5434,41,1000),SEARCH(" - ",MID('Industriesektor GWh'!$B5434,41,1000))-1),nrg_cb_e!$C$3:$C$40,0))</f>
        <v>FC_IND_NMM_E</v>
      </c>
      <c r="G5434" s="18">
        <v>8659.8780000000006</v>
      </c>
    </row>
    <row r="5435" spans="1:7" x14ac:dyDescent="0.2">
      <c r="A5435" s="19" t="s">
        <v>38</v>
      </c>
      <c r="B5435" s="20" t="s">
        <v>65</v>
      </c>
      <c r="C5435" s="20" t="s">
        <v>8</v>
      </c>
      <c r="D5435" s="20" t="s">
        <v>10</v>
      </c>
      <c r="E5435" s="20" t="s">
        <v>22</v>
      </c>
      <c r="F5435" s="20" t="str">
        <f>INDEX(nrg_cb_e!$A$3:$A$40,MATCH(LEFT(MID('Industriesektor GWh'!$B5435,41,1000),SEARCH(" - ",MID('Industriesektor GWh'!$B5435,41,1000))-1),nrg_cb_e!$C$3:$C$40,0))</f>
        <v>FC_IND_NMM_E</v>
      </c>
      <c r="G5435" s="21">
        <v>8480.2909999999993</v>
      </c>
    </row>
    <row r="5436" spans="1:7" x14ac:dyDescent="0.2">
      <c r="A5436" s="16" t="s">
        <v>38</v>
      </c>
      <c r="B5436" s="17" t="s">
        <v>65</v>
      </c>
      <c r="C5436" s="17" t="s">
        <v>8</v>
      </c>
      <c r="D5436" s="17" t="s">
        <v>10</v>
      </c>
      <c r="E5436" s="17" t="s">
        <v>23</v>
      </c>
      <c r="F5436" s="17" t="str">
        <f>INDEX(nrg_cb_e!$A$3:$A$40,MATCH(LEFT(MID('Industriesektor GWh'!$B5436,41,1000),SEARCH(" - ",MID('Industriesektor GWh'!$B5436,41,1000))-1),nrg_cb_e!$C$3:$C$40,0))</f>
        <v>FC_IND_NMM_E</v>
      </c>
      <c r="G5436" s="18">
        <v>8341.3619999999992</v>
      </c>
    </row>
    <row r="5437" spans="1:7" x14ac:dyDescent="0.2">
      <c r="A5437" s="19" t="s">
        <v>38</v>
      </c>
      <c r="B5437" s="20" t="s">
        <v>65</v>
      </c>
      <c r="C5437" s="20" t="s">
        <v>8</v>
      </c>
      <c r="D5437" s="20" t="s">
        <v>10</v>
      </c>
      <c r="E5437" s="20" t="s">
        <v>24</v>
      </c>
      <c r="F5437" s="20" t="str">
        <f>INDEX(nrg_cb_e!$A$3:$A$40,MATCH(LEFT(MID('Industriesektor GWh'!$B5437,41,1000),SEARCH(" - ",MID('Industriesektor GWh'!$B5437,41,1000))-1),nrg_cb_e!$C$3:$C$40,0))</f>
        <v>FC_IND_NMM_E</v>
      </c>
      <c r="G5437" s="21">
        <v>8122.6809999999996</v>
      </c>
    </row>
    <row r="5438" spans="1:7" x14ac:dyDescent="0.2">
      <c r="A5438" s="16" t="s">
        <v>38</v>
      </c>
      <c r="B5438" s="17" t="s">
        <v>65</v>
      </c>
      <c r="C5438" s="17" t="s">
        <v>8</v>
      </c>
      <c r="D5438" s="17" t="s">
        <v>10</v>
      </c>
      <c r="E5438" s="17" t="s">
        <v>25</v>
      </c>
      <c r="F5438" s="17" t="str">
        <f>INDEX(nrg_cb_e!$A$3:$A$40,MATCH(LEFT(MID('Industriesektor GWh'!$B5438,41,1000),SEARCH(" - ",MID('Industriesektor GWh'!$B5438,41,1000))-1),nrg_cb_e!$C$3:$C$40,0))</f>
        <v>FC_IND_NMM_E</v>
      </c>
      <c r="G5438" s="18">
        <v>7949.47</v>
      </c>
    </row>
    <row r="5439" spans="1:7" x14ac:dyDescent="0.2">
      <c r="A5439" s="19" t="s">
        <v>38</v>
      </c>
      <c r="B5439" s="20" t="s">
        <v>65</v>
      </c>
      <c r="C5439" s="20" t="s">
        <v>8</v>
      </c>
      <c r="D5439" s="20" t="s">
        <v>10</v>
      </c>
      <c r="E5439" s="20" t="s">
        <v>26</v>
      </c>
      <c r="F5439" s="20" t="str">
        <f>INDEX(nrg_cb_e!$A$3:$A$40,MATCH(LEFT(MID('Industriesektor GWh'!$B5439,41,1000),SEARCH(" - ",MID('Industriesektor GWh'!$B5439,41,1000))-1),nrg_cb_e!$C$3:$C$40,0))</f>
        <v>FC_IND_NMM_E</v>
      </c>
      <c r="G5439" s="21">
        <v>8174.7039999999997</v>
      </c>
    </row>
    <row r="5440" spans="1:7" x14ac:dyDescent="0.2">
      <c r="A5440" s="16" t="s">
        <v>38</v>
      </c>
      <c r="B5440" s="17" t="s">
        <v>65</v>
      </c>
      <c r="C5440" s="17" t="s">
        <v>8</v>
      </c>
      <c r="D5440" s="17" t="s">
        <v>10</v>
      </c>
      <c r="E5440" s="17" t="s">
        <v>27</v>
      </c>
      <c r="F5440" s="17" t="str">
        <f>INDEX(nrg_cb_e!$A$3:$A$40,MATCH(LEFT(MID('Industriesektor GWh'!$B5440,41,1000),SEARCH(" - ",MID('Industriesektor GWh'!$B5440,41,1000))-1),nrg_cb_e!$C$3:$C$40,0))</f>
        <v>FC_IND_NMM_E</v>
      </c>
      <c r="G5440" s="18">
        <v>8228.7049999999999</v>
      </c>
    </row>
    <row r="5441" spans="1:7" x14ac:dyDescent="0.2">
      <c r="A5441" s="19" t="s">
        <v>38</v>
      </c>
      <c r="B5441" s="20" t="s">
        <v>65</v>
      </c>
      <c r="C5441" s="20" t="s">
        <v>8</v>
      </c>
      <c r="D5441" s="20" t="s">
        <v>10</v>
      </c>
      <c r="E5441" s="20" t="s">
        <v>28</v>
      </c>
      <c r="F5441" s="20" t="str">
        <f>INDEX(nrg_cb_e!$A$3:$A$40,MATCH(LEFT(MID('Industriesektor GWh'!$B5441,41,1000),SEARCH(" - ",MID('Industriesektor GWh'!$B5441,41,1000))-1),nrg_cb_e!$C$3:$C$40,0))</f>
        <v>FC_IND_NMM_E</v>
      </c>
      <c r="G5441" s="21">
        <v>8249.7440000000006</v>
      </c>
    </row>
    <row r="5442" spans="1:7" x14ac:dyDescent="0.2">
      <c r="A5442" s="16" t="s">
        <v>39</v>
      </c>
      <c r="B5442" s="17" t="s">
        <v>65</v>
      </c>
      <c r="C5442" s="17" t="s">
        <v>8</v>
      </c>
      <c r="D5442" s="17" t="s">
        <v>10</v>
      </c>
      <c r="E5442" s="17" t="s">
        <v>12</v>
      </c>
      <c r="F5442" s="17" t="str">
        <f>INDEX(nrg_cb_e!$A$3:$A$40,MATCH(LEFT(MID('Industriesektor GWh'!$B5442,41,1000),SEARCH(" - ",MID('Industriesektor GWh'!$B5442,41,1000))-1),nrg_cb_e!$C$3:$C$40,0))</f>
        <v>FC_IND_NMM_E</v>
      </c>
      <c r="G5442" s="18">
        <v>621</v>
      </c>
    </row>
    <row r="5443" spans="1:7" x14ac:dyDescent="0.2">
      <c r="A5443" s="19" t="s">
        <v>39</v>
      </c>
      <c r="B5443" s="20" t="s">
        <v>65</v>
      </c>
      <c r="C5443" s="20" t="s">
        <v>8</v>
      </c>
      <c r="D5443" s="20" t="s">
        <v>10</v>
      </c>
      <c r="E5443" s="20" t="s">
        <v>13</v>
      </c>
      <c r="F5443" s="20" t="str">
        <f>INDEX(nrg_cb_e!$A$3:$A$40,MATCH(LEFT(MID('Industriesektor GWh'!$B5443,41,1000),SEARCH(" - ",MID('Industriesektor GWh'!$B5443,41,1000))-1),nrg_cb_e!$C$3:$C$40,0))</f>
        <v>FC_IND_NMM_E</v>
      </c>
      <c r="G5443" s="21">
        <v>698</v>
      </c>
    </row>
    <row r="5444" spans="1:7" x14ac:dyDescent="0.2">
      <c r="A5444" s="16" t="s">
        <v>39</v>
      </c>
      <c r="B5444" s="17" t="s">
        <v>65</v>
      </c>
      <c r="C5444" s="17" t="s">
        <v>8</v>
      </c>
      <c r="D5444" s="17" t="s">
        <v>10</v>
      </c>
      <c r="E5444" s="17" t="s">
        <v>14</v>
      </c>
      <c r="F5444" s="17" t="str">
        <f>INDEX(nrg_cb_e!$A$3:$A$40,MATCH(LEFT(MID('Industriesektor GWh'!$B5444,41,1000),SEARCH(" - ",MID('Industriesektor GWh'!$B5444,41,1000))-1),nrg_cb_e!$C$3:$C$40,0))</f>
        <v>FC_IND_NMM_E</v>
      </c>
      <c r="G5444" s="18">
        <v>654</v>
      </c>
    </row>
    <row r="5445" spans="1:7" x14ac:dyDescent="0.2">
      <c r="A5445" s="19" t="s">
        <v>39</v>
      </c>
      <c r="B5445" s="20" t="s">
        <v>65</v>
      </c>
      <c r="C5445" s="20" t="s">
        <v>8</v>
      </c>
      <c r="D5445" s="20" t="s">
        <v>10</v>
      </c>
      <c r="E5445" s="20" t="s">
        <v>15</v>
      </c>
      <c r="F5445" s="20" t="str">
        <f>INDEX(nrg_cb_e!$A$3:$A$40,MATCH(LEFT(MID('Industriesektor GWh'!$B5445,41,1000),SEARCH(" - ",MID('Industriesektor GWh'!$B5445,41,1000))-1),nrg_cb_e!$C$3:$C$40,0))</f>
        <v>FC_IND_NMM_E</v>
      </c>
      <c r="G5445" s="21">
        <v>685</v>
      </c>
    </row>
    <row r="5446" spans="1:7" x14ac:dyDescent="0.2">
      <c r="A5446" s="16" t="s">
        <v>39</v>
      </c>
      <c r="B5446" s="17" t="s">
        <v>65</v>
      </c>
      <c r="C5446" s="17" t="s">
        <v>8</v>
      </c>
      <c r="D5446" s="17" t="s">
        <v>10</v>
      </c>
      <c r="E5446" s="17" t="s">
        <v>16</v>
      </c>
      <c r="F5446" s="17" t="str">
        <f>INDEX(nrg_cb_e!$A$3:$A$40,MATCH(LEFT(MID('Industriesektor GWh'!$B5446,41,1000),SEARCH(" - ",MID('Industriesektor GWh'!$B5446,41,1000))-1),nrg_cb_e!$C$3:$C$40,0))</f>
        <v>FC_IND_NMM_E</v>
      </c>
      <c r="G5446" s="18">
        <v>722</v>
      </c>
    </row>
    <row r="5447" spans="1:7" x14ac:dyDescent="0.2">
      <c r="A5447" s="19" t="s">
        <v>39</v>
      </c>
      <c r="B5447" s="20" t="s">
        <v>65</v>
      </c>
      <c r="C5447" s="20" t="s">
        <v>8</v>
      </c>
      <c r="D5447" s="20" t="s">
        <v>10</v>
      </c>
      <c r="E5447" s="20" t="s">
        <v>17</v>
      </c>
      <c r="F5447" s="20" t="str">
        <f>INDEX(nrg_cb_e!$A$3:$A$40,MATCH(LEFT(MID('Industriesektor GWh'!$B5447,41,1000),SEARCH(" - ",MID('Industriesektor GWh'!$B5447,41,1000))-1),nrg_cb_e!$C$3:$C$40,0))</f>
        <v>FC_IND_NMM_E</v>
      </c>
      <c r="G5447" s="21">
        <v>733</v>
      </c>
    </row>
    <row r="5448" spans="1:7" x14ac:dyDescent="0.2">
      <c r="A5448" s="16" t="s">
        <v>39</v>
      </c>
      <c r="B5448" s="17" t="s">
        <v>65</v>
      </c>
      <c r="C5448" s="17" t="s">
        <v>8</v>
      </c>
      <c r="D5448" s="17" t="s">
        <v>10</v>
      </c>
      <c r="E5448" s="17" t="s">
        <v>18</v>
      </c>
      <c r="F5448" s="17" t="str">
        <f>INDEX(nrg_cb_e!$A$3:$A$40,MATCH(LEFT(MID('Industriesektor GWh'!$B5448,41,1000),SEARCH(" - ",MID('Industriesektor GWh'!$B5448,41,1000))-1),nrg_cb_e!$C$3:$C$40,0))</f>
        <v>FC_IND_NMM_E</v>
      </c>
      <c r="G5448" s="18">
        <v>742</v>
      </c>
    </row>
    <row r="5449" spans="1:7" x14ac:dyDescent="0.2">
      <c r="A5449" s="19" t="s">
        <v>39</v>
      </c>
      <c r="B5449" s="20" t="s">
        <v>65</v>
      </c>
      <c r="C5449" s="20" t="s">
        <v>8</v>
      </c>
      <c r="D5449" s="20" t="s">
        <v>10</v>
      </c>
      <c r="E5449" s="20" t="s">
        <v>19</v>
      </c>
      <c r="F5449" s="20" t="str">
        <f>INDEX(nrg_cb_e!$A$3:$A$40,MATCH(LEFT(MID('Industriesektor GWh'!$B5449,41,1000),SEARCH(" - ",MID('Industriesektor GWh'!$B5449,41,1000))-1),nrg_cb_e!$C$3:$C$40,0))</f>
        <v>FC_IND_NMM_E</v>
      </c>
      <c r="G5449" s="21">
        <v>622</v>
      </c>
    </row>
    <row r="5450" spans="1:7" x14ac:dyDescent="0.2">
      <c r="A5450" s="16" t="s">
        <v>39</v>
      </c>
      <c r="B5450" s="17" t="s">
        <v>65</v>
      </c>
      <c r="C5450" s="17" t="s">
        <v>8</v>
      </c>
      <c r="D5450" s="17" t="s">
        <v>10</v>
      </c>
      <c r="E5450" s="17" t="s">
        <v>20</v>
      </c>
      <c r="F5450" s="17" t="str">
        <f>INDEX(nrg_cb_e!$A$3:$A$40,MATCH(LEFT(MID('Industriesektor GWh'!$B5450,41,1000),SEARCH(" - ",MID('Industriesektor GWh'!$B5450,41,1000))-1),nrg_cb_e!$C$3:$C$40,0))</f>
        <v>FC_IND_NMM_E</v>
      </c>
      <c r="G5450" s="18">
        <v>625</v>
      </c>
    </row>
    <row r="5451" spans="1:7" x14ac:dyDescent="0.2">
      <c r="A5451" s="19" t="s">
        <v>39</v>
      </c>
      <c r="B5451" s="20" t="s">
        <v>65</v>
      </c>
      <c r="C5451" s="20" t="s">
        <v>8</v>
      </c>
      <c r="D5451" s="20" t="s">
        <v>10</v>
      </c>
      <c r="E5451" s="20" t="s">
        <v>21</v>
      </c>
      <c r="F5451" s="20" t="str">
        <f>INDEX(nrg_cb_e!$A$3:$A$40,MATCH(LEFT(MID('Industriesektor GWh'!$B5451,41,1000),SEARCH(" - ",MID('Industriesektor GWh'!$B5451,41,1000))-1),nrg_cb_e!$C$3:$C$40,0))</f>
        <v>FC_IND_NMM_E</v>
      </c>
      <c r="G5451" s="21">
        <v>547</v>
      </c>
    </row>
    <row r="5452" spans="1:7" x14ac:dyDescent="0.2">
      <c r="A5452" s="16" t="s">
        <v>39</v>
      </c>
      <c r="B5452" s="17" t="s">
        <v>65</v>
      </c>
      <c r="C5452" s="17" t="s">
        <v>8</v>
      </c>
      <c r="D5452" s="17" t="s">
        <v>10</v>
      </c>
      <c r="E5452" s="17" t="s">
        <v>22</v>
      </c>
      <c r="F5452" s="17" t="str">
        <f>INDEX(nrg_cb_e!$A$3:$A$40,MATCH(LEFT(MID('Industriesektor GWh'!$B5452,41,1000),SEARCH(" - ",MID('Industriesektor GWh'!$B5452,41,1000))-1),nrg_cb_e!$C$3:$C$40,0))</f>
        <v>FC_IND_NMM_E</v>
      </c>
      <c r="G5452" s="18">
        <v>522</v>
      </c>
    </row>
    <row r="5453" spans="1:7" x14ac:dyDescent="0.2">
      <c r="A5453" s="19" t="s">
        <v>39</v>
      </c>
      <c r="B5453" s="20" t="s">
        <v>65</v>
      </c>
      <c r="C5453" s="20" t="s">
        <v>8</v>
      </c>
      <c r="D5453" s="20" t="s">
        <v>10</v>
      </c>
      <c r="E5453" s="20" t="s">
        <v>23</v>
      </c>
      <c r="F5453" s="20" t="str">
        <f>INDEX(nrg_cb_e!$A$3:$A$40,MATCH(LEFT(MID('Industriesektor GWh'!$B5453,41,1000),SEARCH(" - ",MID('Industriesektor GWh'!$B5453,41,1000))-1),nrg_cb_e!$C$3:$C$40,0))</f>
        <v>FC_IND_NMM_E</v>
      </c>
      <c r="G5453" s="21">
        <v>534</v>
      </c>
    </row>
    <row r="5454" spans="1:7" x14ac:dyDescent="0.2">
      <c r="A5454" s="16" t="s">
        <v>39</v>
      </c>
      <c r="B5454" s="17" t="s">
        <v>65</v>
      </c>
      <c r="C5454" s="17" t="s">
        <v>8</v>
      </c>
      <c r="D5454" s="17" t="s">
        <v>10</v>
      </c>
      <c r="E5454" s="17" t="s">
        <v>24</v>
      </c>
      <c r="F5454" s="17" t="str">
        <f>INDEX(nrg_cb_e!$A$3:$A$40,MATCH(LEFT(MID('Industriesektor GWh'!$B5454,41,1000),SEARCH(" - ",MID('Industriesektor GWh'!$B5454,41,1000))-1),nrg_cb_e!$C$3:$C$40,0))</f>
        <v>FC_IND_NMM_E</v>
      </c>
      <c r="G5454" s="18">
        <v>552</v>
      </c>
    </row>
    <row r="5455" spans="1:7" x14ac:dyDescent="0.2">
      <c r="A5455" s="19" t="s">
        <v>39</v>
      </c>
      <c r="B5455" s="20" t="s">
        <v>65</v>
      </c>
      <c r="C5455" s="20" t="s">
        <v>8</v>
      </c>
      <c r="D5455" s="20" t="s">
        <v>10</v>
      </c>
      <c r="E5455" s="20" t="s">
        <v>25</v>
      </c>
      <c r="F5455" s="20" t="str">
        <f>INDEX(nrg_cb_e!$A$3:$A$40,MATCH(LEFT(MID('Industriesektor GWh'!$B5455,41,1000),SEARCH(" - ",MID('Industriesektor GWh'!$B5455,41,1000))-1),nrg_cb_e!$C$3:$C$40,0))</f>
        <v>FC_IND_NMM_E</v>
      </c>
      <c r="G5455" s="21">
        <v>578</v>
      </c>
    </row>
    <row r="5456" spans="1:7" x14ac:dyDescent="0.2">
      <c r="A5456" s="16" t="s">
        <v>39</v>
      </c>
      <c r="B5456" s="17" t="s">
        <v>65</v>
      </c>
      <c r="C5456" s="17" t="s">
        <v>8</v>
      </c>
      <c r="D5456" s="17" t="s">
        <v>10</v>
      </c>
      <c r="E5456" s="17" t="s">
        <v>26</v>
      </c>
      <c r="F5456" s="17" t="str">
        <f>INDEX(nrg_cb_e!$A$3:$A$40,MATCH(LEFT(MID('Industriesektor GWh'!$B5456,41,1000),SEARCH(" - ",MID('Industriesektor GWh'!$B5456,41,1000))-1),nrg_cb_e!$C$3:$C$40,0))</f>
        <v>FC_IND_NMM_E</v>
      </c>
      <c r="G5456" s="18">
        <v>575</v>
      </c>
    </row>
    <row r="5457" spans="1:7" x14ac:dyDescent="0.2">
      <c r="A5457" s="19" t="s">
        <v>39</v>
      </c>
      <c r="B5457" s="20" t="s">
        <v>65</v>
      </c>
      <c r="C5457" s="20" t="s">
        <v>8</v>
      </c>
      <c r="D5457" s="20" t="s">
        <v>10</v>
      </c>
      <c r="E5457" s="20" t="s">
        <v>27</v>
      </c>
      <c r="F5457" s="20" t="str">
        <f>INDEX(nrg_cb_e!$A$3:$A$40,MATCH(LEFT(MID('Industriesektor GWh'!$B5457,41,1000),SEARCH(" - ",MID('Industriesektor GWh'!$B5457,41,1000))-1),nrg_cb_e!$C$3:$C$40,0))</f>
        <v>FC_IND_NMM_E</v>
      </c>
      <c r="G5457" s="21">
        <v>677</v>
      </c>
    </row>
    <row r="5458" spans="1:7" x14ac:dyDescent="0.2">
      <c r="A5458" s="16" t="s">
        <v>39</v>
      </c>
      <c r="B5458" s="17" t="s">
        <v>65</v>
      </c>
      <c r="C5458" s="17" t="s">
        <v>8</v>
      </c>
      <c r="D5458" s="17" t="s">
        <v>10</v>
      </c>
      <c r="E5458" s="17" t="s">
        <v>28</v>
      </c>
      <c r="F5458" s="17" t="str">
        <f>INDEX(nrg_cb_e!$A$3:$A$40,MATCH(LEFT(MID('Industriesektor GWh'!$B5458,41,1000),SEARCH(" - ",MID('Industriesektor GWh'!$B5458,41,1000))-1),nrg_cb_e!$C$3:$C$40,0))</f>
        <v>FC_IND_NMM_E</v>
      </c>
      <c r="G5458" s="18">
        <v>684.2</v>
      </c>
    </row>
    <row r="5459" spans="1:7" x14ac:dyDescent="0.2">
      <c r="A5459" s="19" t="s">
        <v>40</v>
      </c>
      <c r="B5459" s="20" t="s">
        <v>65</v>
      </c>
      <c r="C5459" s="20" t="s">
        <v>8</v>
      </c>
      <c r="D5459" s="20" t="s">
        <v>10</v>
      </c>
      <c r="E5459" s="20" t="s">
        <v>12</v>
      </c>
      <c r="F5459" s="20" t="str">
        <f>INDEX(nrg_cb_e!$A$3:$A$40,MATCH(LEFT(MID('Industriesektor GWh'!$B5459,41,1000),SEARCH(" - ",MID('Industriesektor GWh'!$B5459,41,1000))-1),nrg_cb_e!$C$3:$C$40,0))</f>
        <v>FC_IND_NMM_E</v>
      </c>
      <c r="G5459" s="21">
        <v>14312</v>
      </c>
    </row>
    <row r="5460" spans="1:7" x14ac:dyDescent="0.2">
      <c r="A5460" s="16" t="s">
        <v>40</v>
      </c>
      <c r="B5460" s="17" t="s">
        <v>65</v>
      </c>
      <c r="C5460" s="17" t="s">
        <v>8</v>
      </c>
      <c r="D5460" s="17" t="s">
        <v>10</v>
      </c>
      <c r="E5460" s="17" t="s">
        <v>13</v>
      </c>
      <c r="F5460" s="17" t="str">
        <f>INDEX(nrg_cb_e!$A$3:$A$40,MATCH(LEFT(MID('Industriesektor GWh'!$B5460,41,1000),SEARCH(" - ",MID('Industriesektor GWh'!$B5460,41,1000))-1),nrg_cb_e!$C$3:$C$40,0))</f>
        <v>FC_IND_NMM_E</v>
      </c>
      <c r="G5460" s="18">
        <v>14543</v>
      </c>
    </row>
    <row r="5461" spans="1:7" x14ac:dyDescent="0.2">
      <c r="A5461" s="19" t="s">
        <v>40</v>
      </c>
      <c r="B5461" s="20" t="s">
        <v>65</v>
      </c>
      <c r="C5461" s="20" t="s">
        <v>8</v>
      </c>
      <c r="D5461" s="20" t="s">
        <v>10</v>
      </c>
      <c r="E5461" s="20" t="s">
        <v>14</v>
      </c>
      <c r="F5461" s="20" t="str">
        <f>INDEX(nrg_cb_e!$A$3:$A$40,MATCH(LEFT(MID('Industriesektor GWh'!$B5461,41,1000),SEARCH(" - ",MID('Industriesektor GWh'!$B5461,41,1000))-1),nrg_cb_e!$C$3:$C$40,0))</f>
        <v>FC_IND_NMM_E</v>
      </c>
      <c r="G5461" s="21">
        <v>14606</v>
      </c>
    </row>
    <row r="5462" spans="1:7" x14ac:dyDescent="0.2">
      <c r="A5462" s="16" t="s">
        <v>40</v>
      </c>
      <c r="B5462" s="17" t="s">
        <v>65</v>
      </c>
      <c r="C5462" s="17" t="s">
        <v>8</v>
      </c>
      <c r="D5462" s="17" t="s">
        <v>10</v>
      </c>
      <c r="E5462" s="17" t="s">
        <v>15</v>
      </c>
      <c r="F5462" s="17" t="str">
        <f>INDEX(nrg_cb_e!$A$3:$A$40,MATCH(LEFT(MID('Industriesektor GWh'!$B5462,41,1000),SEARCH(" - ",MID('Industriesektor GWh'!$B5462,41,1000))-1),nrg_cb_e!$C$3:$C$40,0))</f>
        <v>FC_IND_NMM_E</v>
      </c>
      <c r="G5462" s="18">
        <v>14678</v>
      </c>
    </row>
    <row r="5463" spans="1:7" x14ac:dyDescent="0.2">
      <c r="A5463" s="19" t="s">
        <v>40</v>
      </c>
      <c r="B5463" s="20" t="s">
        <v>65</v>
      </c>
      <c r="C5463" s="20" t="s">
        <v>8</v>
      </c>
      <c r="D5463" s="20" t="s">
        <v>10</v>
      </c>
      <c r="E5463" s="20" t="s">
        <v>16</v>
      </c>
      <c r="F5463" s="20" t="str">
        <f>INDEX(nrg_cb_e!$A$3:$A$40,MATCH(LEFT(MID('Industriesektor GWh'!$B5463,41,1000),SEARCH(" - ",MID('Industriesektor GWh'!$B5463,41,1000))-1),nrg_cb_e!$C$3:$C$40,0))</f>
        <v>FC_IND_NMM_E</v>
      </c>
      <c r="G5463" s="21">
        <v>14943</v>
      </c>
    </row>
    <row r="5464" spans="1:7" x14ac:dyDescent="0.2">
      <c r="A5464" s="16" t="s">
        <v>40</v>
      </c>
      <c r="B5464" s="17" t="s">
        <v>65</v>
      </c>
      <c r="C5464" s="17" t="s">
        <v>8</v>
      </c>
      <c r="D5464" s="17" t="s">
        <v>10</v>
      </c>
      <c r="E5464" s="17" t="s">
        <v>17</v>
      </c>
      <c r="F5464" s="17" t="str">
        <f>INDEX(nrg_cb_e!$A$3:$A$40,MATCH(LEFT(MID('Industriesektor GWh'!$B5464,41,1000),SEARCH(" - ",MID('Industriesektor GWh'!$B5464,41,1000))-1),nrg_cb_e!$C$3:$C$40,0))</f>
        <v>FC_IND_NMM_E</v>
      </c>
      <c r="G5464" s="18">
        <v>14790</v>
      </c>
    </row>
    <row r="5465" spans="1:7" x14ac:dyDescent="0.2">
      <c r="A5465" s="19" t="s">
        <v>40</v>
      </c>
      <c r="B5465" s="20" t="s">
        <v>65</v>
      </c>
      <c r="C5465" s="20" t="s">
        <v>8</v>
      </c>
      <c r="D5465" s="20" t="s">
        <v>10</v>
      </c>
      <c r="E5465" s="20" t="s">
        <v>18</v>
      </c>
      <c r="F5465" s="20" t="str">
        <f>INDEX(nrg_cb_e!$A$3:$A$40,MATCH(LEFT(MID('Industriesektor GWh'!$B5465,41,1000),SEARCH(" - ",MID('Industriesektor GWh'!$B5465,41,1000))-1),nrg_cb_e!$C$3:$C$40,0))</f>
        <v>FC_IND_NMM_E</v>
      </c>
      <c r="G5465" s="21">
        <v>13973</v>
      </c>
    </row>
    <row r="5466" spans="1:7" x14ac:dyDescent="0.2">
      <c r="A5466" s="16" t="s">
        <v>40</v>
      </c>
      <c r="B5466" s="17" t="s">
        <v>65</v>
      </c>
      <c r="C5466" s="17" t="s">
        <v>8</v>
      </c>
      <c r="D5466" s="17" t="s">
        <v>10</v>
      </c>
      <c r="E5466" s="17" t="s">
        <v>19</v>
      </c>
      <c r="F5466" s="17" t="str">
        <f>INDEX(nrg_cb_e!$A$3:$A$40,MATCH(LEFT(MID('Industriesektor GWh'!$B5466,41,1000),SEARCH(" - ",MID('Industriesektor GWh'!$B5466,41,1000))-1),nrg_cb_e!$C$3:$C$40,0))</f>
        <v>FC_IND_NMM_E</v>
      </c>
      <c r="G5466" s="18">
        <v>11714</v>
      </c>
    </row>
    <row r="5467" spans="1:7" x14ac:dyDescent="0.2">
      <c r="A5467" s="19" t="s">
        <v>40</v>
      </c>
      <c r="B5467" s="20" t="s">
        <v>65</v>
      </c>
      <c r="C5467" s="20" t="s">
        <v>8</v>
      </c>
      <c r="D5467" s="20" t="s">
        <v>10</v>
      </c>
      <c r="E5467" s="20" t="s">
        <v>20</v>
      </c>
      <c r="F5467" s="20" t="str">
        <f>INDEX(nrg_cb_e!$A$3:$A$40,MATCH(LEFT(MID('Industriesektor GWh'!$B5467,41,1000),SEARCH(" - ",MID('Industriesektor GWh'!$B5467,41,1000))-1),nrg_cb_e!$C$3:$C$40,0))</f>
        <v>FC_IND_NMM_E</v>
      </c>
      <c r="G5467" s="21">
        <v>11870</v>
      </c>
    </row>
    <row r="5468" spans="1:7" x14ac:dyDescent="0.2">
      <c r="A5468" s="16" t="s">
        <v>40</v>
      </c>
      <c r="B5468" s="17" t="s">
        <v>65</v>
      </c>
      <c r="C5468" s="17" t="s">
        <v>8</v>
      </c>
      <c r="D5468" s="17" t="s">
        <v>10</v>
      </c>
      <c r="E5468" s="17" t="s">
        <v>21</v>
      </c>
      <c r="F5468" s="17" t="str">
        <f>INDEX(nrg_cb_e!$A$3:$A$40,MATCH(LEFT(MID('Industriesektor GWh'!$B5468,41,1000),SEARCH(" - ",MID('Industriesektor GWh'!$B5468,41,1000))-1),nrg_cb_e!$C$3:$C$40,0))</f>
        <v>FC_IND_NMM_E</v>
      </c>
      <c r="G5468" s="18">
        <v>11474</v>
      </c>
    </row>
    <row r="5469" spans="1:7" x14ac:dyDescent="0.2">
      <c r="A5469" s="19" t="s">
        <v>40</v>
      </c>
      <c r="B5469" s="20" t="s">
        <v>65</v>
      </c>
      <c r="C5469" s="20" t="s">
        <v>8</v>
      </c>
      <c r="D5469" s="20" t="s">
        <v>10</v>
      </c>
      <c r="E5469" s="20" t="s">
        <v>22</v>
      </c>
      <c r="F5469" s="20" t="str">
        <f>INDEX(nrg_cb_e!$A$3:$A$40,MATCH(LEFT(MID('Industriesektor GWh'!$B5469,41,1000),SEARCH(" - ",MID('Industriesektor GWh'!$B5469,41,1000))-1),nrg_cb_e!$C$3:$C$40,0))</f>
        <v>FC_IND_NMM_E</v>
      </c>
      <c r="G5469" s="21">
        <v>9992</v>
      </c>
    </row>
    <row r="5470" spans="1:7" x14ac:dyDescent="0.2">
      <c r="A5470" s="16" t="s">
        <v>40</v>
      </c>
      <c r="B5470" s="17" t="s">
        <v>65</v>
      </c>
      <c r="C5470" s="17" t="s">
        <v>8</v>
      </c>
      <c r="D5470" s="17" t="s">
        <v>10</v>
      </c>
      <c r="E5470" s="17" t="s">
        <v>23</v>
      </c>
      <c r="F5470" s="17" t="str">
        <f>INDEX(nrg_cb_e!$A$3:$A$40,MATCH(LEFT(MID('Industriesektor GWh'!$B5470,41,1000),SEARCH(" - ",MID('Industriesektor GWh'!$B5470,41,1000))-1),nrg_cb_e!$C$3:$C$40,0))</f>
        <v>FC_IND_NMM_E</v>
      </c>
      <c r="G5470" s="18">
        <v>9461</v>
      </c>
    </row>
    <row r="5471" spans="1:7" x14ac:dyDescent="0.2">
      <c r="A5471" s="19" t="s">
        <v>40</v>
      </c>
      <c r="B5471" s="20" t="s">
        <v>65</v>
      </c>
      <c r="C5471" s="20" t="s">
        <v>8</v>
      </c>
      <c r="D5471" s="20" t="s">
        <v>10</v>
      </c>
      <c r="E5471" s="20" t="s">
        <v>24</v>
      </c>
      <c r="F5471" s="20" t="str">
        <f>INDEX(nrg_cb_e!$A$3:$A$40,MATCH(LEFT(MID('Industriesektor GWh'!$B5471,41,1000),SEARCH(" - ",MID('Industriesektor GWh'!$B5471,41,1000))-1),nrg_cb_e!$C$3:$C$40,0))</f>
        <v>FC_IND_NMM_E</v>
      </c>
      <c r="G5471" s="21">
        <v>9175</v>
      </c>
    </row>
    <row r="5472" spans="1:7" x14ac:dyDescent="0.2">
      <c r="A5472" s="16" t="s">
        <v>40</v>
      </c>
      <c r="B5472" s="17" t="s">
        <v>65</v>
      </c>
      <c r="C5472" s="17" t="s">
        <v>8</v>
      </c>
      <c r="D5472" s="17" t="s">
        <v>10</v>
      </c>
      <c r="E5472" s="17" t="s">
        <v>25</v>
      </c>
      <c r="F5472" s="17" t="str">
        <f>INDEX(nrg_cb_e!$A$3:$A$40,MATCH(LEFT(MID('Industriesektor GWh'!$B5472,41,1000),SEARCH(" - ",MID('Industriesektor GWh'!$B5472,41,1000))-1),nrg_cb_e!$C$3:$C$40,0))</f>
        <v>FC_IND_NMM_E</v>
      </c>
      <c r="G5472" s="18">
        <v>8988</v>
      </c>
    </row>
    <row r="5473" spans="1:7" x14ac:dyDescent="0.2">
      <c r="A5473" s="19" t="s">
        <v>40</v>
      </c>
      <c r="B5473" s="20" t="s">
        <v>65</v>
      </c>
      <c r="C5473" s="20" t="s">
        <v>8</v>
      </c>
      <c r="D5473" s="20" t="s">
        <v>10</v>
      </c>
      <c r="E5473" s="20" t="s">
        <v>26</v>
      </c>
      <c r="F5473" s="20" t="str">
        <f>INDEX(nrg_cb_e!$A$3:$A$40,MATCH(LEFT(MID('Industriesektor GWh'!$B5473,41,1000),SEARCH(" - ",MID('Industriesektor GWh'!$B5473,41,1000))-1),nrg_cb_e!$C$3:$C$40,0))</f>
        <v>FC_IND_NMM_E</v>
      </c>
      <c r="G5473" s="21">
        <v>8826</v>
      </c>
    </row>
    <row r="5474" spans="1:7" x14ac:dyDescent="0.2">
      <c r="A5474" s="16" t="s">
        <v>40</v>
      </c>
      <c r="B5474" s="17" t="s">
        <v>65</v>
      </c>
      <c r="C5474" s="17" t="s">
        <v>8</v>
      </c>
      <c r="D5474" s="17" t="s">
        <v>10</v>
      </c>
      <c r="E5474" s="17" t="s">
        <v>27</v>
      </c>
      <c r="F5474" s="17" t="str">
        <f>INDEX(nrg_cb_e!$A$3:$A$40,MATCH(LEFT(MID('Industriesektor GWh'!$B5474,41,1000),SEARCH(" - ",MID('Industriesektor GWh'!$B5474,41,1000))-1),nrg_cb_e!$C$3:$C$40,0))</f>
        <v>FC_IND_NMM_E</v>
      </c>
      <c r="G5474" s="18">
        <v>8905.1450000000004</v>
      </c>
    </row>
    <row r="5475" spans="1:7" x14ac:dyDescent="0.2">
      <c r="A5475" s="19" t="s">
        <v>40</v>
      </c>
      <c r="B5475" s="20" t="s">
        <v>65</v>
      </c>
      <c r="C5475" s="20" t="s">
        <v>8</v>
      </c>
      <c r="D5475" s="20" t="s">
        <v>10</v>
      </c>
      <c r="E5475" s="20" t="s">
        <v>28</v>
      </c>
      <c r="F5475" s="20" t="str">
        <f>INDEX(nrg_cb_e!$A$3:$A$40,MATCH(LEFT(MID('Industriesektor GWh'!$B5475,41,1000),SEARCH(" - ",MID('Industriesektor GWh'!$B5475,41,1000))-1),nrg_cb_e!$C$3:$C$40,0))</f>
        <v>FC_IND_NMM_E</v>
      </c>
      <c r="G5475" s="21">
        <v>8926.027</v>
      </c>
    </row>
    <row r="5476" spans="1:7" x14ac:dyDescent="0.2">
      <c r="A5476" s="16" t="s">
        <v>41</v>
      </c>
      <c r="B5476" s="17" t="s">
        <v>65</v>
      </c>
      <c r="C5476" s="17" t="s">
        <v>8</v>
      </c>
      <c r="D5476" s="17" t="s">
        <v>10</v>
      </c>
      <c r="E5476" s="17" t="s">
        <v>12</v>
      </c>
      <c r="F5476" s="17" t="str">
        <f>INDEX(nrg_cb_e!$A$3:$A$40,MATCH(LEFT(MID('Industriesektor GWh'!$B5476,41,1000),SEARCH(" - ",MID('Industriesektor GWh'!$B5476,41,1000))-1),nrg_cb_e!$C$3:$C$40,0))</f>
        <v>FC_IND_NMM_E</v>
      </c>
      <c r="G5476" s="18">
        <v>186</v>
      </c>
    </row>
    <row r="5477" spans="1:7" x14ac:dyDescent="0.2">
      <c r="A5477" s="19" t="s">
        <v>41</v>
      </c>
      <c r="B5477" s="20" t="s">
        <v>65</v>
      </c>
      <c r="C5477" s="20" t="s">
        <v>8</v>
      </c>
      <c r="D5477" s="20" t="s">
        <v>10</v>
      </c>
      <c r="E5477" s="20" t="s">
        <v>13</v>
      </c>
      <c r="F5477" s="20" t="str">
        <f>INDEX(nrg_cb_e!$A$3:$A$40,MATCH(LEFT(MID('Industriesektor GWh'!$B5477,41,1000),SEARCH(" - ",MID('Industriesektor GWh'!$B5477,41,1000))-1),nrg_cb_e!$C$3:$C$40,0))</f>
        <v>FC_IND_NMM_E</v>
      </c>
      <c r="G5477" s="21">
        <v>208</v>
      </c>
    </row>
    <row r="5478" spans="1:7" x14ac:dyDescent="0.2">
      <c r="A5478" s="16" t="s">
        <v>41</v>
      </c>
      <c r="B5478" s="17" t="s">
        <v>65</v>
      </c>
      <c r="C5478" s="17" t="s">
        <v>8</v>
      </c>
      <c r="D5478" s="17" t="s">
        <v>10</v>
      </c>
      <c r="E5478" s="17" t="s">
        <v>14</v>
      </c>
      <c r="F5478" s="17" t="str">
        <f>INDEX(nrg_cb_e!$A$3:$A$40,MATCH(LEFT(MID('Industriesektor GWh'!$B5478,41,1000),SEARCH(" - ",MID('Industriesektor GWh'!$B5478,41,1000))-1),nrg_cb_e!$C$3:$C$40,0))</f>
        <v>FC_IND_NMM_E</v>
      </c>
      <c r="G5478" s="18">
        <v>216</v>
      </c>
    </row>
    <row r="5479" spans="1:7" x14ac:dyDescent="0.2">
      <c r="A5479" s="19" t="s">
        <v>41</v>
      </c>
      <c r="B5479" s="20" t="s">
        <v>65</v>
      </c>
      <c r="C5479" s="20" t="s">
        <v>8</v>
      </c>
      <c r="D5479" s="20" t="s">
        <v>10</v>
      </c>
      <c r="E5479" s="20" t="s">
        <v>15</v>
      </c>
      <c r="F5479" s="20" t="str">
        <f>INDEX(nrg_cb_e!$A$3:$A$40,MATCH(LEFT(MID('Industriesektor GWh'!$B5479,41,1000),SEARCH(" - ",MID('Industriesektor GWh'!$B5479,41,1000))-1),nrg_cb_e!$C$3:$C$40,0))</f>
        <v>FC_IND_NMM_E</v>
      </c>
      <c r="G5479" s="21">
        <v>221</v>
      </c>
    </row>
    <row r="5480" spans="1:7" x14ac:dyDescent="0.2">
      <c r="A5480" s="16" t="s">
        <v>41</v>
      </c>
      <c r="B5480" s="17" t="s">
        <v>65</v>
      </c>
      <c r="C5480" s="17" t="s">
        <v>8</v>
      </c>
      <c r="D5480" s="17" t="s">
        <v>10</v>
      </c>
      <c r="E5480" s="17" t="s">
        <v>16</v>
      </c>
      <c r="F5480" s="17" t="str">
        <f>INDEX(nrg_cb_e!$A$3:$A$40,MATCH(LEFT(MID('Industriesektor GWh'!$B5480,41,1000),SEARCH(" - ",MID('Industriesektor GWh'!$B5480,41,1000))-1),nrg_cb_e!$C$3:$C$40,0))</f>
        <v>FC_IND_NMM_E</v>
      </c>
      <c r="G5480" s="18">
        <v>225</v>
      </c>
    </row>
    <row r="5481" spans="1:7" x14ac:dyDescent="0.2">
      <c r="A5481" s="19" t="s">
        <v>41</v>
      </c>
      <c r="B5481" s="20" t="s">
        <v>65</v>
      </c>
      <c r="C5481" s="20" t="s">
        <v>8</v>
      </c>
      <c r="D5481" s="20" t="s">
        <v>10</v>
      </c>
      <c r="E5481" s="20" t="s">
        <v>17</v>
      </c>
      <c r="F5481" s="20" t="str">
        <f>INDEX(nrg_cb_e!$A$3:$A$40,MATCH(LEFT(MID('Industriesektor GWh'!$B5481,41,1000),SEARCH(" - ",MID('Industriesektor GWh'!$B5481,41,1000))-1),nrg_cb_e!$C$3:$C$40,0))</f>
        <v>FC_IND_NMM_E</v>
      </c>
      <c r="G5481" s="21">
        <v>225</v>
      </c>
    </row>
    <row r="5482" spans="1:7" x14ac:dyDescent="0.2">
      <c r="A5482" s="16" t="s">
        <v>41</v>
      </c>
      <c r="B5482" s="17" t="s">
        <v>65</v>
      </c>
      <c r="C5482" s="17" t="s">
        <v>8</v>
      </c>
      <c r="D5482" s="17" t="s">
        <v>10</v>
      </c>
      <c r="E5482" s="17" t="s">
        <v>18</v>
      </c>
      <c r="F5482" s="17" t="str">
        <f>INDEX(nrg_cb_e!$A$3:$A$40,MATCH(LEFT(MID('Industriesektor GWh'!$B5482,41,1000),SEARCH(" - ",MID('Industriesektor GWh'!$B5482,41,1000))-1),nrg_cb_e!$C$3:$C$40,0))</f>
        <v>FC_IND_NMM_E</v>
      </c>
      <c r="G5482" s="18">
        <v>231</v>
      </c>
    </row>
    <row r="5483" spans="1:7" x14ac:dyDescent="0.2">
      <c r="A5483" s="19" t="s">
        <v>41</v>
      </c>
      <c r="B5483" s="20" t="s">
        <v>65</v>
      </c>
      <c r="C5483" s="20" t="s">
        <v>8</v>
      </c>
      <c r="D5483" s="20" t="s">
        <v>10</v>
      </c>
      <c r="E5483" s="20" t="s">
        <v>19</v>
      </c>
      <c r="F5483" s="20" t="str">
        <f>INDEX(nrg_cb_e!$A$3:$A$40,MATCH(LEFT(MID('Industriesektor GWh'!$B5483,41,1000),SEARCH(" - ",MID('Industriesektor GWh'!$B5483,41,1000))-1),nrg_cb_e!$C$3:$C$40,0))</f>
        <v>FC_IND_NMM_E</v>
      </c>
      <c r="G5483" s="21">
        <v>200</v>
      </c>
    </row>
    <row r="5484" spans="1:7" x14ac:dyDescent="0.2">
      <c r="A5484" s="16" t="s">
        <v>41</v>
      </c>
      <c r="B5484" s="17" t="s">
        <v>65</v>
      </c>
      <c r="C5484" s="17" t="s">
        <v>8</v>
      </c>
      <c r="D5484" s="17" t="s">
        <v>10</v>
      </c>
      <c r="E5484" s="17" t="s">
        <v>20</v>
      </c>
      <c r="F5484" s="17" t="str">
        <f>INDEX(nrg_cb_e!$A$3:$A$40,MATCH(LEFT(MID('Industriesektor GWh'!$B5484,41,1000),SEARCH(" - ",MID('Industriesektor GWh'!$B5484,41,1000))-1),nrg_cb_e!$C$3:$C$40,0))</f>
        <v>FC_IND_NMM_E</v>
      </c>
      <c r="G5484" s="18">
        <v>184</v>
      </c>
    </row>
    <row r="5485" spans="1:7" x14ac:dyDescent="0.2">
      <c r="A5485" s="19" t="s">
        <v>41</v>
      </c>
      <c r="B5485" s="20" t="s">
        <v>65</v>
      </c>
      <c r="C5485" s="20" t="s">
        <v>8</v>
      </c>
      <c r="D5485" s="20" t="s">
        <v>10</v>
      </c>
      <c r="E5485" s="20" t="s">
        <v>21</v>
      </c>
      <c r="F5485" s="20" t="str">
        <f>INDEX(nrg_cb_e!$A$3:$A$40,MATCH(LEFT(MID('Industriesektor GWh'!$B5485,41,1000),SEARCH(" - ",MID('Industriesektor GWh'!$B5485,41,1000))-1),nrg_cb_e!$C$3:$C$40,0))</f>
        <v>FC_IND_NMM_E</v>
      </c>
      <c r="G5485" s="21">
        <v>155</v>
      </c>
    </row>
    <row r="5486" spans="1:7" x14ac:dyDescent="0.2">
      <c r="A5486" s="16" t="s">
        <v>41</v>
      </c>
      <c r="B5486" s="17" t="s">
        <v>65</v>
      </c>
      <c r="C5486" s="17" t="s">
        <v>8</v>
      </c>
      <c r="D5486" s="17" t="s">
        <v>10</v>
      </c>
      <c r="E5486" s="17" t="s">
        <v>22</v>
      </c>
      <c r="F5486" s="17" t="str">
        <f>INDEX(nrg_cb_e!$A$3:$A$40,MATCH(LEFT(MID('Industriesektor GWh'!$B5486,41,1000),SEARCH(" - ",MID('Industriesektor GWh'!$B5486,41,1000))-1),nrg_cb_e!$C$3:$C$40,0))</f>
        <v>FC_IND_NMM_E</v>
      </c>
      <c r="G5486" s="18">
        <v>127</v>
      </c>
    </row>
    <row r="5487" spans="1:7" x14ac:dyDescent="0.2">
      <c r="A5487" s="19" t="s">
        <v>41</v>
      </c>
      <c r="B5487" s="20" t="s">
        <v>65</v>
      </c>
      <c r="C5487" s="20" t="s">
        <v>8</v>
      </c>
      <c r="D5487" s="20" t="s">
        <v>10</v>
      </c>
      <c r="E5487" s="20" t="s">
        <v>23</v>
      </c>
      <c r="F5487" s="20" t="str">
        <f>INDEX(nrg_cb_e!$A$3:$A$40,MATCH(LEFT(MID('Industriesektor GWh'!$B5487,41,1000),SEARCH(" - ",MID('Industriesektor GWh'!$B5487,41,1000))-1),nrg_cb_e!$C$3:$C$40,0))</f>
        <v>FC_IND_NMM_E</v>
      </c>
      <c r="G5487" s="21">
        <v>139</v>
      </c>
    </row>
    <row r="5488" spans="1:7" x14ac:dyDescent="0.2">
      <c r="A5488" s="16" t="s">
        <v>41</v>
      </c>
      <c r="B5488" s="17" t="s">
        <v>65</v>
      </c>
      <c r="C5488" s="17" t="s">
        <v>8</v>
      </c>
      <c r="D5488" s="17" t="s">
        <v>10</v>
      </c>
      <c r="E5488" s="17" t="s">
        <v>24</v>
      </c>
      <c r="F5488" s="17" t="str">
        <f>INDEX(nrg_cb_e!$A$3:$A$40,MATCH(LEFT(MID('Industriesektor GWh'!$B5488,41,1000),SEARCH(" - ",MID('Industriesektor GWh'!$B5488,41,1000))-1),nrg_cb_e!$C$3:$C$40,0))</f>
        <v>FC_IND_NMM_E</v>
      </c>
      <c r="G5488" s="18">
        <v>150</v>
      </c>
    </row>
    <row r="5489" spans="1:7" x14ac:dyDescent="0.2">
      <c r="A5489" s="19" t="s">
        <v>41</v>
      </c>
      <c r="B5489" s="20" t="s">
        <v>65</v>
      </c>
      <c r="C5489" s="20" t="s">
        <v>8</v>
      </c>
      <c r="D5489" s="20" t="s">
        <v>10</v>
      </c>
      <c r="E5489" s="20" t="s">
        <v>25</v>
      </c>
      <c r="F5489" s="20" t="str">
        <f>INDEX(nrg_cb_e!$A$3:$A$40,MATCH(LEFT(MID('Industriesektor GWh'!$B5489,41,1000),SEARCH(" - ",MID('Industriesektor GWh'!$B5489,41,1000))-1),nrg_cb_e!$C$3:$C$40,0))</f>
        <v>FC_IND_NMM_E</v>
      </c>
      <c r="G5489" s="21">
        <v>148</v>
      </c>
    </row>
    <row r="5490" spans="1:7" x14ac:dyDescent="0.2">
      <c r="A5490" s="16" t="s">
        <v>41</v>
      </c>
      <c r="B5490" s="17" t="s">
        <v>65</v>
      </c>
      <c r="C5490" s="17" t="s">
        <v>8</v>
      </c>
      <c r="D5490" s="17" t="s">
        <v>10</v>
      </c>
      <c r="E5490" s="17" t="s">
        <v>26</v>
      </c>
      <c r="F5490" s="17" t="str">
        <f>INDEX(nrg_cb_e!$A$3:$A$40,MATCH(LEFT(MID('Industriesektor GWh'!$B5490,41,1000),SEARCH(" - ",MID('Industriesektor GWh'!$B5490,41,1000))-1),nrg_cb_e!$C$3:$C$40,0))</f>
        <v>FC_IND_NMM_E</v>
      </c>
      <c r="G5490" s="18">
        <v>154</v>
      </c>
    </row>
    <row r="5491" spans="1:7" x14ac:dyDescent="0.2">
      <c r="A5491" s="19" t="s">
        <v>41</v>
      </c>
      <c r="B5491" s="20" t="s">
        <v>65</v>
      </c>
      <c r="C5491" s="20" t="s">
        <v>8</v>
      </c>
      <c r="D5491" s="20" t="s">
        <v>10</v>
      </c>
      <c r="E5491" s="20" t="s">
        <v>27</v>
      </c>
      <c r="F5491" s="20" t="str">
        <f>INDEX(nrg_cb_e!$A$3:$A$40,MATCH(LEFT(MID('Industriesektor GWh'!$B5491,41,1000),SEARCH(" - ",MID('Industriesektor GWh'!$B5491,41,1000))-1),nrg_cb_e!$C$3:$C$40,0))</f>
        <v>FC_IND_NMM_E</v>
      </c>
      <c r="G5491" s="21">
        <v>174.78700000000001</v>
      </c>
    </row>
    <row r="5492" spans="1:7" x14ac:dyDescent="0.2">
      <c r="A5492" s="16" t="s">
        <v>41</v>
      </c>
      <c r="B5492" s="17" t="s">
        <v>65</v>
      </c>
      <c r="C5492" s="17" t="s">
        <v>8</v>
      </c>
      <c r="D5492" s="17" t="s">
        <v>10</v>
      </c>
      <c r="E5492" s="17" t="s">
        <v>28</v>
      </c>
      <c r="F5492" s="17" t="str">
        <f>INDEX(nrg_cb_e!$A$3:$A$40,MATCH(LEFT(MID('Industriesektor GWh'!$B5492,41,1000),SEARCH(" - ",MID('Industriesektor GWh'!$B5492,41,1000))-1),nrg_cb_e!$C$3:$C$40,0))</f>
        <v>FC_IND_NMM_E</v>
      </c>
      <c r="G5492" s="18">
        <v>172.285</v>
      </c>
    </row>
    <row r="5493" spans="1:7" x14ac:dyDescent="0.2">
      <c r="A5493" s="19" t="s">
        <v>42</v>
      </c>
      <c r="B5493" s="20" t="s">
        <v>65</v>
      </c>
      <c r="C5493" s="20" t="s">
        <v>8</v>
      </c>
      <c r="D5493" s="20" t="s">
        <v>10</v>
      </c>
      <c r="E5493" s="20" t="s">
        <v>12</v>
      </c>
      <c r="F5493" s="20" t="str">
        <f>INDEX(nrg_cb_e!$A$3:$A$40,MATCH(LEFT(MID('Industriesektor GWh'!$B5493,41,1000),SEARCH(" - ",MID('Industriesektor GWh'!$B5493,41,1000))-1),nrg_cb_e!$C$3:$C$40,0))</f>
        <v>FC_IND_NMM_E</v>
      </c>
      <c r="G5493" s="21">
        <v>100</v>
      </c>
    </row>
    <row r="5494" spans="1:7" x14ac:dyDescent="0.2">
      <c r="A5494" s="16" t="s">
        <v>42</v>
      </c>
      <c r="B5494" s="17" t="s">
        <v>65</v>
      </c>
      <c r="C5494" s="17" t="s">
        <v>8</v>
      </c>
      <c r="D5494" s="17" t="s">
        <v>10</v>
      </c>
      <c r="E5494" s="17" t="s">
        <v>13</v>
      </c>
      <c r="F5494" s="17" t="str">
        <f>INDEX(nrg_cb_e!$A$3:$A$40,MATCH(LEFT(MID('Industriesektor GWh'!$B5494,41,1000),SEARCH(" - ",MID('Industriesektor GWh'!$B5494,41,1000))-1),nrg_cb_e!$C$3:$C$40,0))</f>
        <v>FC_IND_NMM_E</v>
      </c>
      <c r="G5494" s="18">
        <v>105</v>
      </c>
    </row>
    <row r="5495" spans="1:7" x14ac:dyDescent="0.2">
      <c r="A5495" s="19" t="s">
        <v>42</v>
      </c>
      <c r="B5495" s="20" t="s">
        <v>65</v>
      </c>
      <c r="C5495" s="20" t="s">
        <v>8</v>
      </c>
      <c r="D5495" s="20" t="s">
        <v>10</v>
      </c>
      <c r="E5495" s="20" t="s">
        <v>14</v>
      </c>
      <c r="F5495" s="20" t="str">
        <f>INDEX(nrg_cb_e!$A$3:$A$40,MATCH(LEFT(MID('Industriesektor GWh'!$B5495,41,1000),SEARCH(" - ",MID('Industriesektor GWh'!$B5495,41,1000))-1),nrg_cb_e!$C$3:$C$40,0))</f>
        <v>FC_IND_NMM_E</v>
      </c>
      <c r="G5495" s="21">
        <v>105</v>
      </c>
    </row>
    <row r="5496" spans="1:7" x14ac:dyDescent="0.2">
      <c r="A5496" s="16" t="s">
        <v>42</v>
      </c>
      <c r="B5496" s="17" t="s">
        <v>65</v>
      </c>
      <c r="C5496" s="17" t="s">
        <v>8</v>
      </c>
      <c r="D5496" s="17" t="s">
        <v>10</v>
      </c>
      <c r="E5496" s="17" t="s">
        <v>15</v>
      </c>
      <c r="F5496" s="17" t="str">
        <f>INDEX(nrg_cb_e!$A$3:$A$40,MATCH(LEFT(MID('Industriesektor GWh'!$B5496,41,1000),SEARCH(" - ",MID('Industriesektor GWh'!$B5496,41,1000))-1),nrg_cb_e!$C$3:$C$40,0))</f>
        <v>FC_IND_NMM_E</v>
      </c>
      <c r="G5496" s="18">
        <v>164</v>
      </c>
    </row>
    <row r="5497" spans="1:7" x14ac:dyDescent="0.2">
      <c r="A5497" s="19" t="s">
        <v>42</v>
      </c>
      <c r="B5497" s="20" t="s">
        <v>65</v>
      </c>
      <c r="C5497" s="20" t="s">
        <v>8</v>
      </c>
      <c r="D5497" s="20" t="s">
        <v>10</v>
      </c>
      <c r="E5497" s="20" t="s">
        <v>16</v>
      </c>
      <c r="F5497" s="20" t="str">
        <f>INDEX(nrg_cb_e!$A$3:$A$40,MATCH(LEFT(MID('Industriesektor GWh'!$B5497,41,1000),SEARCH(" - ",MID('Industriesektor GWh'!$B5497,41,1000))-1),nrg_cb_e!$C$3:$C$40,0))</f>
        <v>FC_IND_NMM_E</v>
      </c>
      <c r="G5497" s="21">
        <v>155</v>
      </c>
    </row>
    <row r="5498" spans="1:7" x14ac:dyDescent="0.2">
      <c r="A5498" s="16" t="s">
        <v>42</v>
      </c>
      <c r="B5498" s="17" t="s">
        <v>65</v>
      </c>
      <c r="C5498" s="17" t="s">
        <v>8</v>
      </c>
      <c r="D5498" s="17" t="s">
        <v>10</v>
      </c>
      <c r="E5498" s="17" t="s">
        <v>17</v>
      </c>
      <c r="F5498" s="17" t="str">
        <f>INDEX(nrg_cb_e!$A$3:$A$40,MATCH(LEFT(MID('Industriesektor GWh'!$B5498,41,1000),SEARCH(" - ",MID('Industriesektor GWh'!$B5498,41,1000))-1),nrg_cb_e!$C$3:$C$40,0))</f>
        <v>FC_IND_NMM_E</v>
      </c>
      <c r="G5498" s="18">
        <v>184</v>
      </c>
    </row>
    <row r="5499" spans="1:7" x14ac:dyDescent="0.2">
      <c r="A5499" s="19" t="s">
        <v>42</v>
      </c>
      <c r="B5499" s="20" t="s">
        <v>65</v>
      </c>
      <c r="C5499" s="20" t="s">
        <v>8</v>
      </c>
      <c r="D5499" s="20" t="s">
        <v>10</v>
      </c>
      <c r="E5499" s="20" t="s">
        <v>18</v>
      </c>
      <c r="F5499" s="20" t="str">
        <f>INDEX(nrg_cb_e!$A$3:$A$40,MATCH(LEFT(MID('Industriesektor GWh'!$B5499,41,1000),SEARCH(" - ",MID('Industriesektor GWh'!$B5499,41,1000))-1),nrg_cb_e!$C$3:$C$40,0))</f>
        <v>FC_IND_NMM_E</v>
      </c>
      <c r="G5499" s="21">
        <v>192</v>
      </c>
    </row>
    <row r="5500" spans="1:7" x14ac:dyDescent="0.2">
      <c r="A5500" s="16" t="s">
        <v>42</v>
      </c>
      <c r="B5500" s="17" t="s">
        <v>65</v>
      </c>
      <c r="C5500" s="17" t="s">
        <v>8</v>
      </c>
      <c r="D5500" s="17" t="s">
        <v>10</v>
      </c>
      <c r="E5500" s="17" t="s">
        <v>19</v>
      </c>
      <c r="F5500" s="17" t="str">
        <f>INDEX(nrg_cb_e!$A$3:$A$40,MATCH(LEFT(MID('Industriesektor GWh'!$B5500,41,1000),SEARCH(" - ",MID('Industriesektor GWh'!$B5500,41,1000))-1),nrg_cb_e!$C$3:$C$40,0))</f>
        <v>FC_IND_NMM_E</v>
      </c>
      <c r="G5500" s="18">
        <v>176</v>
      </c>
    </row>
    <row r="5501" spans="1:7" x14ac:dyDescent="0.2">
      <c r="A5501" s="19" t="s">
        <v>42</v>
      </c>
      <c r="B5501" s="20" t="s">
        <v>65</v>
      </c>
      <c r="C5501" s="20" t="s">
        <v>8</v>
      </c>
      <c r="D5501" s="20" t="s">
        <v>10</v>
      </c>
      <c r="E5501" s="20" t="s">
        <v>20</v>
      </c>
      <c r="F5501" s="20" t="str">
        <f>INDEX(nrg_cb_e!$A$3:$A$40,MATCH(LEFT(MID('Industriesektor GWh'!$B5501,41,1000),SEARCH(" - ",MID('Industriesektor GWh'!$B5501,41,1000))-1),nrg_cb_e!$C$3:$C$40,0))</f>
        <v>FC_IND_NMM_E</v>
      </c>
      <c r="G5501" s="21">
        <v>222</v>
      </c>
    </row>
    <row r="5502" spans="1:7" x14ac:dyDescent="0.2">
      <c r="A5502" s="16" t="s">
        <v>42</v>
      </c>
      <c r="B5502" s="17" t="s">
        <v>65</v>
      </c>
      <c r="C5502" s="17" t="s">
        <v>8</v>
      </c>
      <c r="D5502" s="17" t="s">
        <v>10</v>
      </c>
      <c r="E5502" s="17" t="s">
        <v>21</v>
      </c>
      <c r="F5502" s="17" t="str">
        <f>INDEX(nrg_cb_e!$A$3:$A$40,MATCH(LEFT(MID('Industriesektor GWh'!$B5502,41,1000),SEARCH(" - ",MID('Industriesektor GWh'!$B5502,41,1000))-1),nrg_cb_e!$C$3:$C$40,0))</f>
        <v>FC_IND_NMM_E</v>
      </c>
      <c r="G5502" s="18">
        <v>239</v>
      </c>
    </row>
    <row r="5503" spans="1:7" x14ac:dyDescent="0.2">
      <c r="A5503" s="19" t="s">
        <v>42</v>
      </c>
      <c r="B5503" s="20" t="s">
        <v>65</v>
      </c>
      <c r="C5503" s="20" t="s">
        <v>8</v>
      </c>
      <c r="D5503" s="20" t="s">
        <v>10</v>
      </c>
      <c r="E5503" s="20" t="s">
        <v>22</v>
      </c>
      <c r="F5503" s="20" t="str">
        <f>INDEX(nrg_cb_e!$A$3:$A$40,MATCH(LEFT(MID('Industriesektor GWh'!$B5503,41,1000),SEARCH(" - ",MID('Industriesektor GWh'!$B5503,41,1000))-1),nrg_cb_e!$C$3:$C$40,0))</f>
        <v>FC_IND_NMM_E</v>
      </c>
      <c r="G5503" s="21">
        <v>244</v>
      </c>
    </row>
    <row r="5504" spans="1:7" x14ac:dyDescent="0.2">
      <c r="A5504" s="16" t="s">
        <v>42</v>
      </c>
      <c r="B5504" s="17" t="s">
        <v>65</v>
      </c>
      <c r="C5504" s="17" t="s">
        <v>8</v>
      </c>
      <c r="D5504" s="17" t="s">
        <v>10</v>
      </c>
      <c r="E5504" s="17" t="s">
        <v>23</v>
      </c>
      <c r="F5504" s="17" t="str">
        <f>INDEX(nrg_cb_e!$A$3:$A$40,MATCH(LEFT(MID('Industriesektor GWh'!$B5504,41,1000),SEARCH(" - ",MID('Industriesektor GWh'!$B5504,41,1000))-1),nrg_cb_e!$C$3:$C$40,0))</f>
        <v>FC_IND_NMM_E</v>
      </c>
      <c r="G5504" s="18">
        <v>256</v>
      </c>
    </row>
    <row r="5505" spans="1:7" x14ac:dyDescent="0.2">
      <c r="A5505" s="19" t="s">
        <v>42</v>
      </c>
      <c r="B5505" s="20" t="s">
        <v>65</v>
      </c>
      <c r="C5505" s="20" t="s">
        <v>8</v>
      </c>
      <c r="D5505" s="20" t="s">
        <v>10</v>
      </c>
      <c r="E5505" s="20" t="s">
        <v>24</v>
      </c>
      <c r="F5505" s="20" t="str">
        <f>INDEX(nrg_cb_e!$A$3:$A$40,MATCH(LEFT(MID('Industriesektor GWh'!$B5505,41,1000),SEARCH(" - ",MID('Industriesektor GWh'!$B5505,41,1000))-1),nrg_cb_e!$C$3:$C$40,0))</f>
        <v>FC_IND_NMM_E</v>
      </c>
      <c r="G5505" s="21">
        <v>266</v>
      </c>
    </row>
    <row r="5506" spans="1:7" x14ac:dyDescent="0.2">
      <c r="A5506" s="16" t="s">
        <v>42</v>
      </c>
      <c r="B5506" s="17" t="s">
        <v>65</v>
      </c>
      <c r="C5506" s="17" t="s">
        <v>8</v>
      </c>
      <c r="D5506" s="17" t="s">
        <v>10</v>
      </c>
      <c r="E5506" s="17" t="s">
        <v>25</v>
      </c>
      <c r="F5506" s="17" t="str">
        <f>INDEX(nrg_cb_e!$A$3:$A$40,MATCH(LEFT(MID('Industriesektor GWh'!$B5506,41,1000),SEARCH(" - ",MID('Industriesektor GWh'!$B5506,41,1000))-1),nrg_cb_e!$C$3:$C$40,0))</f>
        <v>FC_IND_NMM_E</v>
      </c>
      <c r="G5506" s="18">
        <v>239</v>
      </c>
    </row>
    <row r="5507" spans="1:7" x14ac:dyDescent="0.2">
      <c r="A5507" s="19" t="s">
        <v>42</v>
      </c>
      <c r="B5507" s="20" t="s">
        <v>65</v>
      </c>
      <c r="C5507" s="20" t="s">
        <v>8</v>
      </c>
      <c r="D5507" s="20" t="s">
        <v>10</v>
      </c>
      <c r="E5507" s="20" t="s">
        <v>26</v>
      </c>
      <c r="F5507" s="20" t="str">
        <f>INDEX(nrg_cb_e!$A$3:$A$40,MATCH(LEFT(MID('Industriesektor GWh'!$B5507,41,1000),SEARCH(" - ",MID('Industriesektor GWh'!$B5507,41,1000))-1),nrg_cb_e!$C$3:$C$40,0))</f>
        <v>FC_IND_NMM_E</v>
      </c>
      <c r="G5507" s="21">
        <v>225</v>
      </c>
    </row>
    <row r="5508" spans="1:7" x14ac:dyDescent="0.2">
      <c r="A5508" s="16" t="s">
        <v>42</v>
      </c>
      <c r="B5508" s="17" t="s">
        <v>65</v>
      </c>
      <c r="C5508" s="17" t="s">
        <v>8</v>
      </c>
      <c r="D5508" s="17" t="s">
        <v>10</v>
      </c>
      <c r="E5508" s="17" t="s">
        <v>27</v>
      </c>
      <c r="F5508" s="17" t="str">
        <f>INDEX(nrg_cb_e!$A$3:$A$40,MATCH(LEFT(MID('Industriesektor GWh'!$B5508,41,1000),SEARCH(" - ",MID('Industriesektor GWh'!$B5508,41,1000))-1),nrg_cb_e!$C$3:$C$40,0))</f>
        <v>FC_IND_NMM_E</v>
      </c>
      <c r="G5508" s="18">
        <v>261.18400000000003</v>
      </c>
    </row>
    <row r="5509" spans="1:7" x14ac:dyDescent="0.2">
      <c r="A5509" s="19" t="s">
        <v>42</v>
      </c>
      <c r="B5509" s="20" t="s">
        <v>65</v>
      </c>
      <c r="C5509" s="20" t="s">
        <v>8</v>
      </c>
      <c r="D5509" s="20" t="s">
        <v>10</v>
      </c>
      <c r="E5509" s="20" t="s">
        <v>28</v>
      </c>
      <c r="F5509" s="20" t="str">
        <f>INDEX(nrg_cb_e!$A$3:$A$40,MATCH(LEFT(MID('Industriesektor GWh'!$B5509,41,1000),SEARCH(" - ",MID('Industriesektor GWh'!$B5509,41,1000))-1),nrg_cb_e!$C$3:$C$40,0))</f>
        <v>FC_IND_NMM_E</v>
      </c>
      <c r="G5509" s="21">
        <v>281.08600000000001</v>
      </c>
    </row>
    <row r="5510" spans="1:7" x14ac:dyDescent="0.2">
      <c r="A5510" s="16" t="s">
        <v>43</v>
      </c>
      <c r="B5510" s="17" t="s">
        <v>65</v>
      </c>
      <c r="C5510" s="17" t="s">
        <v>8</v>
      </c>
      <c r="D5510" s="17" t="s">
        <v>10</v>
      </c>
      <c r="E5510" s="17" t="s">
        <v>12</v>
      </c>
      <c r="F5510" s="17" t="str">
        <f>INDEX(nrg_cb_e!$A$3:$A$40,MATCH(LEFT(MID('Industriesektor GWh'!$B5510,41,1000),SEARCH(" - ",MID('Industriesektor GWh'!$B5510,41,1000))-1),nrg_cb_e!$C$3:$C$40,0))</f>
        <v>FC_IND_NMM_E</v>
      </c>
      <c r="G5510" s="18">
        <v>232</v>
      </c>
    </row>
    <row r="5511" spans="1:7" x14ac:dyDescent="0.2">
      <c r="A5511" s="19" t="s">
        <v>43</v>
      </c>
      <c r="B5511" s="20" t="s">
        <v>65</v>
      </c>
      <c r="C5511" s="20" t="s">
        <v>8</v>
      </c>
      <c r="D5511" s="20" t="s">
        <v>10</v>
      </c>
      <c r="E5511" s="20" t="s">
        <v>13</v>
      </c>
      <c r="F5511" s="20" t="str">
        <f>INDEX(nrg_cb_e!$A$3:$A$40,MATCH(LEFT(MID('Industriesektor GWh'!$B5511,41,1000),SEARCH(" - ",MID('Industriesektor GWh'!$B5511,41,1000))-1),nrg_cb_e!$C$3:$C$40,0))</f>
        <v>FC_IND_NMM_E</v>
      </c>
      <c r="G5511" s="21">
        <v>236</v>
      </c>
    </row>
    <row r="5512" spans="1:7" x14ac:dyDescent="0.2">
      <c r="A5512" s="16" t="s">
        <v>43</v>
      </c>
      <c r="B5512" s="17" t="s">
        <v>65</v>
      </c>
      <c r="C5512" s="17" t="s">
        <v>8</v>
      </c>
      <c r="D5512" s="17" t="s">
        <v>10</v>
      </c>
      <c r="E5512" s="17" t="s">
        <v>14</v>
      </c>
      <c r="F5512" s="17" t="str">
        <f>INDEX(nrg_cb_e!$A$3:$A$40,MATCH(LEFT(MID('Industriesektor GWh'!$B5512,41,1000),SEARCH(" - ",MID('Industriesektor GWh'!$B5512,41,1000))-1),nrg_cb_e!$C$3:$C$40,0))</f>
        <v>FC_IND_NMM_E</v>
      </c>
      <c r="G5512" s="18">
        <v>211</v>
      </c>
    </row>
    <row r="5513" spans="1:7" x14ac:dyDescent="0.2">
      <c r="A5513" s="19" t="s">
        <v>43</v>
      </c>
      <c r="B5513" s="20" t="s">
        <v>65</v>
      </c>
      <c r="C5513" s="20" t="s">
        <v>8</v>
      </c>
      <c r="D5513" s="20" t="s">
        <v>10</v>
      </c>
      <c r="E5513" s="20" t="s">
        <v>15</v>
      </c>
      <c r="F5513" s="20" t="str">
        <f>INDEX(nrg_cb_e!$A$3:$A$40,MATCH(LEFT(MID('Industriesektor GWh'!$B5513,41,1000),SEARCH(" - ",MID('Industriesektor GWh'!$B5513,41,1000))-1),nrg_cb_e!$C$3:$C$40,0))</f>
        <v>FC_IND_NMM_E</v>
      </c>
      <c r="G5513" s="21">
        <v>230</v>
      </c>
    </row>
    <row r="5514" spans="1:7" x14ac:dyDescent="0.2">
      <c r="A5514" s="16" t="s">
        <v>43</v>
      </c>
      <c r="B5514" s="17" t="s">
        <v>65</v>
      </c>
      <c r="C5514" s="17" t="s">
        <v>8</v>
      </c>
      <c r="D5514" s="17" t="s">
        <v>10</v>
      </c>
      <c r="E5514" s="17" t="s">
        <v>16</v>
      </c>
      <c r="F5514" s="17" t="str">
        <f>INDEX(nrg_cb_e!$A$3:$A$40,MATCH(LEFT(MID('Industriesektor GWh'!$B5514,41,1000),SEARCH(" - ",MID('Industriesektor GWh'!$B5514,41,1000))-1),nrg_cb_e!$C$3:$C$40,0))</f>
        <v>FC_IND_NMM_E</v>
      </c>
      <c r="G5514" s="18">
        <v>272</v>
      </c>
    </row>
    <row r="5515" spans="1:7" x14ac:dyDescent="0.2">
      <c r="A5515" s="19" t="s">
        <v>43</v>
      </c>
      <c r="B5515" s="20" t="s">
        <v>65</v>
      </c>
      <c r="C5515" s="20" t="s">
        <v>8</v>
      </c>
      <c r="D5515" s="20" t="s">
        <v>10</v>
      </c>
      <c r="E5515" s="20" t="s">
        <v>17</v>
      </c>
      <c r="F5515" s="20" t="str">
        <f>INDEX(nrg_cb_e!$A$3:$A$40,MATCH(LEFT(MID('Industriesektor GWh'!$B5515,41,1000),SEARCH(" - ",MID('Industriesektor GWh'!$B5515,41,1000))-1),nrg_cb_e!$C$3:$C$40,0))</f>
        <v>FC_IND_NMM_E</v>
      </c>
      <c r="G5515" s="21">
        <v>275</v>
      </c>
    </row>
    <row r="5516" spans="1:7" x14ac:dyDescent="0.2">
      <c r="A5516" s="16" t="s">
        <v>43</v>
      </c>
      <c r="B5516" s="17" t="s">
        <v>65</v>
      </c>
      <c r="C5516" s="17" t="s">
        <v>8</v>
      </c>
      <c r="D5516" s="17" t="s">
        <v>10</v>
      </c>
      <c r="E5516" s="17" t="s">
        <v>18</v>
      </c>
      <c r="F5516" s="17" t="str">
        <f>INDEX(nrg_cb_e!$A$3:$A$40,MATCH(LEFT(MID('Industriesektor GWh'!$B5516,41,1000),SEARCH(" - ",MID('Industriesektor GWh'!$B5516,41,1000))-1),nrg_cb_e!$C$3:$C$40,0))</f>
        <v>FC_IND_NMM_E</v>
      </c>
      <c r="G5516" s="18">
        <v>251</v>
      </c>
    </row>
    <row r="5517" spans="1:7" x14ac:dyDescent="0.2">
      <c r="A5517" s="19" t="s">
        <v>43</v>
      </c>
      <c r="B5517" s="20" t="s">
        <v>65</v>
      </c>
      <c r="C5517" s="20" t="s">
        <v>8</v>
      </c>
      <c r="D5517" s="20" t="s">
        <v>10</v>
      </c>
      <c r="E5517" s="20" t="s">
        <v>19</v>
      </c>
      <c r="F5517" s="20" t="str">
        <f>INDEX(nrg_cb_e!$A$3:$A$40,MATCH(LEFT(MID('Industriesektor GWh'!$B5517,41,1000),SEARCH(" - ",MID('Industriesektor GWh'!$B5517,41,1000))-1),nrg_cb_e!$C$3:$C$40,0))</f>
        <v>FC_IND_NMM_E</v>
      </c>
      <c r="G5517" s="21">
        <v>159</v>
      </c>
    </row>
    <row r="5518" spans="1:7" x14ac:dyDescent="0.2">
      <c r="A5518" s="16" t="s">
        <v>43</v>
      </c>
      <c r="B5518" s="17" t="s">
        <v>65</v>
      </c>
      <c r="C5518" s="17" t="s">
        <v>8</v>
      </c>
      <c r="D5518" s="17" t="s">
        <v>10</v>
      </c>
      <c r="E5518" s="17" t="s">
        <v>20</v>
      </c>
      <c r="F5518" s="17" t="str">
        <f>INDEX(nrg_cb_e!$A$3:$A$40,MATCH(LEFT(MID('Industriesektor GWh'!$B5518,41,1000),SEARCH(" - ",MID('Industriesektor GWh'!$B5518,41,1000))-1),nrg_cb_e!$C$3:$C$40,0))</f>
        <v>FC_IND_NMM_E</v>
      </c>
      <c r="G5518" s="18">
        <v>185</v>
      </c>
    </row>
    <row r="5519" spans="1:7" x14ac:dyDescent="0.2">
      <c r="A5519" s="19" t="s">
        <v>43</v>
      </c>
      <c r="B5519" s="20" t="s">
        <v>65</v>
      </c>
      <c r="C5519" s="20" t="s">
        <v>8</v>
      </c>
      <c r="D5519" s="20" t="s">
        <v>10</v>
      </c>
      <c r="E5519" s="20" t="s">
        <v>21</v>
      </c>
      <c r="F5519" s="20" t="str">
        <f>INDEX(nrg_cb_e!$A$3:$A$40,MATCH(LEFT(MID('Industriesektor GWh'!$B5519,41,1000),SEARCH(" - ",MID('Industriesektor GWh'!$B5519,41,1000))-1),nrg_cb_e!$C$3:$C$40,0))</f>
        <v>FC_IND_NMM_E</v>
      </c>
      <c r="G5519" s="21">
        <v>200</v>
      </c>
    </row>
    <row r="5520" spans="1:7" x14ac:dyDescent="0.2">
      <c r="A5520" s="16" t="s">
        <v>43</v>
      </c>
      <c r="B5520" s="17" t="s">
        <v>65</v>
      </c>
      <c r="C5520" s="17" t="s">
        <v>8</v>
      </c>
      <c r="D5520" s="17" t="s">
        <v>10</v>
      </c>
      <c r="E5520" s="17" t="s">
        <v>22</v>
      </c>
      <c r="F5520" s="17" t="str">
        <f>INDEX(nrg_cb_e!$A$3:$A$40,MATCH(LEFT(MID('Industriesektor GWh'!$B5520,41,1000),SEARCH(" - ",MID('Industriesektor GWh'!$B5520,41,1000))-1),nrg_cb_e!$C$3:$C$40,0))</f>
        <v>FC_IND_NMM_E</v>
      </c>
      <c r="G5520" s="18">
        <v>222</v>
      </c>
    </row>
    <row r="5521" spans="1:7" x14ac:dyDescent="0.2">
      <c r="A5521" s="19" t="s">
        <v>43</v>
      </c>
      <c r="B5521" s="20" t="s">
        <v>65</v>
      </c>
      <c r="C5521" s="20" t="s">
        <v>8</v>
      </c>
      <c r="D5521" s="20" t="s">
        <v>10</v>
      </c>
      <c r="E5521" s="20" t="s">
        <v>23</v>
      </c>
      <c r="F5521" s="20" t="str">
        <f>INDEX(nrg_cb_e!$A$3:$A$40,MATCH(LEFT(MID('Industriesektor GWh'!$B5521,41,1000),SEARCH(" - ",MID('Industriesektor GWh'!$B5521,41,1000))-1),nrg_cb_e!$C$3:$C$40,0))</f>
        <v>FC_IND_NMM_E</v>
      </c>
      <c r="G5521" s="21">
        <v>248</v>
      </c>
    </row>
    <row r="5522" spans="1:7" x14ac:dyDescent="0.2">
      <c r="A5522" s="16" t="s">
        <v>43</v>
      </c>
      <c r="B5522" s="17" t="s">
        <v>65</v>
      </c>
      <c r="C5522" s="17" t="s">
        <v>8</v>
      </c>
      <c r="D5522" s="17" t="s">
        <v>10</v>
      </c>
      <c r="E5522" s="17" t="s">
        <v>24</v>
      </c>
      <c r="F5522" s="17" t="str">
        <f>INDEX(nrg_cb_e!$A$3:$A$40,MATCH(LEFT(MID('Industriesektor GWh'!$B5522,41,1000),SEARCH(" - ",MID('Industriesektor GWh'!$B5522,41,1000))-1),nrg_cb_e!$C$3:$C$40,0))</f>
        <v>FC_IND_NMM_E</v>
      </c>
      <c r="G5522" s="18">
        <v>258</v>
      </c>
    </row>
    <row r="5523" spans="1:7" x14ac:dyDescent="0.2">
      <c r="A5523" s="19" t="s">
        <v>43</v>
      </c>
      <c r="B5523" s="20" t="s">
        <v>65</v>
      </c>
      <c r="C5523" s="20" t="s">
        <v>8</v>
      </c>
      <c r="D5523" s="20" t="s">
        <v>10</v>
      </c>
      <c r="E5523" s="20" t="s">
        <v>25</v>
      </c>
      <c r="F5523" s="20" t="str">
        <f>INDEX(nrg_cb_e!$A$3:$A$40,MATCH(LEFT(MID('Industriesektor GWh'!$B5523,41,1000),SEARCH(" - ",MID('Industriesektor GWh'!$B5523,41,1000))-1),nrg_cb_e!$C$3:$C$40,0))</f>
        <v>FC_IND_NMM_E</v>
      </c>
      <c r="G5523" s="21">
        <v>243</v>
      </c>
    </row>
    <row r="5524" spans="1:7" x14ac:dyDescent="0.2">
      <c r="A5524" s="16" t="s">
        <v>43</v>
      </c>
      <c r="B5524" s="17" t="s">
        <v>65</v>
      </c>
      <c r="C5524" s="17" t="s">
        <v>8</v>
      </c>
      <c r="D5524" s="17" t="s">
        <v>10</v>
      </c>
      <c r="E5524" s="17" t="s">
        <v>26</v>
      </c>
      <c r="F5524" s="17" t="str">
        <f>INDEX(nrg_cb_e!$A$3:$A$40,MATCH(LEFT(MID('Industriesektor GWh'!$B5524,41,1000),SEARCH(" - ",MID('Industriesektor GWh'!$B5524,41,1000))-1),nrg_cb_e!$C$3:$C$40,0))</f>
        <v>FC_IND_NMM_E</v>
      </c>
      <c r="G5524" s="18">
        <v>252</v>
      </c>
    </row>
    <row r="5525" spans="1:7" x14ac:dyDescent="0.2">
      <c r="A5525" s="19" t="s">
        <v>43</v>
      </c>
      <c r="B5525" s="20" t="s">
        <v>65</v>
      </c>
      <c r="C5525" s="20" t="s">
        <v>8</v>
      </c>
      <c r="D5525" s="20" t="s">
        <v>10</v>
      </c>
      <c r="E5525" s="20" t="s">
        <v>27</v>
      </c>
      <c r="F5525" s="20" t="str">
        <f>INDEX(nrg_cb_e!$A$3:$A$40,MATCH(LEFT(MID('Industriesektor GWh'!$B5525,41,1000),SEARCH(" - ",MID('Industriesektor GWh'!$B5525,41,1000))-1),nrg_cb_e!$C$3:$C$40,0))</f>
        <v>FC_IND_NMM_E</v>
      </c>
      <c r="G5525" s="21">
        <v>244</v>
      </c>
    </row>
    <row r="5526" spans="1:7" x14ac:dyDescent="0.2">
      <c r="A5526" s="16" t="s">
        <v>43</v>
      </c>
      <c r="B5526" s="17" t="s">
        <v>65</v>
      </c>
      <c r="C5526" s="17" t="s">
        <v>8</v>
      </c>
      <c r="D5526" s="17" t="s">
        <v>10</v>
      </c>
      <c r="E5526" s="17" t="s">
        <v>28</v>
      </c>
      <c r="F5526" s="17" t="str">
        <f>INDEX(nrg_cb_e!$A$3:$A$40,MATCH(LEFT(MID('Industriesektor GWh'!$B5526,41,1000),SEARCH(" - ",MID('Industriesektor GWh'!$B5526,41,1000))-1),nrg_cb_e!$C$3:$C$40,0))</f>
        <v>FC_IND_NMM_E</v>
      </c>
      <c r="G5526" s="18">
        <v>283.8</v>
      </c>
    </row>
    <row r="5527" spans="1:7" x14ac:dyDescent="0.2">
      <c r="A5527" s="19" t="s">
        <v>44</v>
      </c>
      <c r="B5527" s="20" t="s">
        <v>65</v>
      </c>
      <c r="C5527" s="20" t="s">
        <v>8</v>
      </c>
      <c r="D5527" s="20" t="s">
        <v>10</v>
      </c>
      <c r="E5527" s="20" t="s">
        <v>12</v>
      </c>
      <c r="F5527" s="20" t="str">
        <f>INDEX(nrg_cb_e!$A$3:$A$40,MATCH(LEFT(MID('Industriesektor GWh'!$B5527,41,1000),SEARCH(" - ",MID('Industriesektor GWh'!$B5527,41,1000))-1),nrg_cb_e!$C$3:$C$40,0))</f>
        <v>FC_IND_NMM_E</v>
      </c>
      <c r="G5527" s="21">
        <v>419.166</v>
      </c>
    </row>
    <row r="5528" spans="1:7" x14ac:dyDescent="0.2">
      <c r="A5528" s="16" t="s">
        <v>44</v>
      </c>
      <c r="B5528" s="17" t="s">
        <v>65</v>
      </c>
      <c r="C5528" s="17" t="s">
        <v>8</v>
      </c>
      <c r="D5528" s="17" t="s">
        <v>10</v>
      </c>
      <c r="E5528" s="17" t="s">
        <v>13</v>
      </c>
      <c r="F5528" s="17" t="str">
        <f>INDEX(nrg_cb_e!$A$3:$A$40,MATCH(LEFT(MID('Industriesektor GWh'!$B5528,41,1000),SEARCH(" - ",MID('Industriesektor GWh'!$B5528,41,1000))-1),nrg_cb_e!$C$3:$C$40,0))</f>
        <v>FC_IND_NMM_E</v>
      </c>
      <c r="G5528" s="18">
        <v>266.93200000000002</v>
      </c>
    </row>
    <row r="5529" spans="1:7" x14ac:dyDescent="0.2">
      <c r="A5529" s="19" t="s">
        <v>44</v>
      </c>
      <c r="B5529" s="20" t="s">
        <v>65</v>
      </c>
      <c r="C5529" s="20" t="s">
        <v>8</v>
      </c>
      <c r="D5529" s="20" t="s">
        <v>10</v>
      </c>
      <c r="E5529" s="20" t="s">
        <v>14</v>
      </c>
      <c r="F5529" s="20" t="str">
        <f>INDEX(nrg_cb_e!$A$3:$A$40,MATCH(LEFT(MID('Industriesektor GWh'!$B5529,41,1000),SEARCH(" - ",MID('Industriesektor GWh'!$B5529,41,1000))-1),nrg_cb_e!$C$3:$C$40,0))</f>
        <v>FC_IND_NMM_E</v>
      </c>
      <c r="G5529" s="21">
        <v>228.208</v>
      </c>
    </row>
    <row r="5530" spans="1:7" x14ac:dyDescent="0.2">
      <c r="A5530" s="16" t="s">
        <v>44</v>
      </c>
      <c r="B5530" s="17" t="s">
        <v>65</v>
      </c>
      <c r="C5530" s="17" t="s">
        <v>8</v>
      </c>
      <c r="D5530" s="17" t="s">
        <v>10</v>
      </c>
      <c r="E5530" s="17" t="s">
        <v>15</v>
      </c>
      <c r="F5530" s="17" t="str">
        <f>INDEX(nrg_cb_e!$A$3:$A$40,MATCH(LEFT(MID('Industriesektor GWh'!$B5530,41,1000),SEARCH(" - ",MID('Industriesektor GWh'!$B5530,41,1000))-1),nrg_cb_e!$C$3:$C$40,0))</f>
        <v>FC_IND_NMM_E</v>
      </c>
      <c r="G5530" s="18">
        <v>205.625</v>
      </c>
    </row>
    <row r="5531" spans="1:7" x14ac:dyDescent="0.2">
      <c r="A5531" s="19" t="s">
        <v>44</v>
      </c>
      <c r="B5531" s="20" t="s">
        <v>65</v>
      </c>
      <c r="C5531" s="20" t="s">
        <v>8</v>
      </c>
      <c r="D5531" s="20" t="s">
        <v>10</v>
      </c>
      <c r="E5531" s="20" t="s">
        <v>16</v>
      </c>
      <c r="F5531" s="20" t="str">
        <f>INDEX(nrg_cb_e!$A$3:$A$40,MATCH(LEFT(MID('Industriesektor GWh'!$B5531,41,1000),SEARCH(" - ",MID('Industriesektor GWh'!$B5531,41,1000))-1),nrg_cb_e!$C$3:$C$40,0))</f>
        <v>FC_IND_NMM_E</v>
      </c>
      <c r="G5531" s="21">
        <v>158.881</v>
      </c>
    </row>
    <row r="5532" spans="1:7" x14ac:dyDescent="0.2">
      <c r="A5532" s="16" t="s">
        <v>44</v>
      </c>
      <c r="B5532" s="17" t="s">
        <v>65</v>
      </c>
      <c r="C5532" s="17" t="s">
        <v>8</v>
      </c>
      <c r="D5532" s="17" t="s">
        <v>10</v>
      </c>
      <c r="E5532" s="17" t="s">
        <v>17</v>
      </c>
      <c r="F5532" s="17" t="str">
        <f>INDEX(nrg_cb_e!$A$3:$A$40,MATCH(LEFT(MID('Industriesektor GWh'!$B5532,41,1000),SEARCH(" - ",MID('Industriesektor GWh'!$B5532,41,1000))-1),nrg_cb_e!$C$3:$C$40,0))</f>
        <v>FC_IND_NMM_E</v>
      </c>
      <c r="G5532" s="18">
        <v>142.63900000000001</v>
      </c>
    </row>
    <row r="5533" spans="1:7" x14ac:dyDescent="0.2">
      <c r="A5533" s="19" t="s">
        <v>44</v>
      </c>
      <c r="B5533" s="20" t="s">
        <v>65</v>
      </c>
      <c r="C5533" s="20" t="s">
        <v>8</v>
      </c>
      <c r="D5533" s="20" t="s">
        <v>10</v>
      </c>
      <c r="E5533" s="20" t="s">
        <v>18</v>
      </c>
      <c r="F5533" s="20" t="str">
        <f>INDEX(nrg_cb_e!$A$3:$A$40,MATCH(LEFT(MID('Industriesektor GWh'!$B5533,41,1000),SEARCH(" - ",MID('Industriesektor GWh'!$B5533,41,1000))-1),nrg_cb_e!$C$3:$C$40,0))</f>
        <v>FC_IND_NMM_E</v>
      </c>
      <c r="G5533" s="21">
        <v>137.30699999999999</v>
      </c>
    </row>
    <row r="5534" spans="1:7" x14ac:dyDescent="0.2">
      <c r="A5534" s="16" t="s">
        <v>44</v>
      </c>
      <c r="B5534" s="17" t="s">
        <v>65</v>
      </c>
      <c r="C5534" s="17" t="s">
        <v>8</v>
      </c>
      <c r="D5534" s="17" t="s">
        <v>10</v>
      </c>
      <c r="E5534" s="17" t="s">
        <v>19</v>
      </c>
      <c r="F5534" s="17" t="str">
        <f>INDEX(nrg_cb_e!$A$3:$A$40,MATCH(LEFT(MID('Industriesektor GWh'!$B5534,41,1000),SEARCH(" - ",MID('Industriesektor GWh'!$B5534,41,1000))-1),nrg_cb_e!$C$3:$C$40,0))</f>
        <v>FC_IND_NMM_E</v>
      </c>
      <c r="G5534" s="18">
        <v>133.059</v>
      </c>
    </row>
    <row r="5535" spans="1:7" x14ac:dyDescent="0.2">
      <c r="A5535" s="19" t="s">
        <v>44</v>
      </c>
      <c r="B5535" s="20" t="s">
        <v>65</v>
      </c>
      <c r="C5535" s="20" t="s">
        <v>8</v>
      </c>
      <c r="D5535" s="20" t="s">
        <v>10</v>
      </c>
      <c r="E5535" s="20" t="s">
        <v>20</v>
      </c>
      <c r="F5535" s="20" t="str">
        <f>INDEX(nrg_cb_e!$A$3:$A$40,MATCH(LEFT(MID('Industriesektor GWh'!$B5535,41,1000),SEARCH(" - ",MID('Industriesektor GWh'!$B5535,41,1000))-1),nrg_cb_e!$C$3:$C$40,0))</f>
        <v>FC_IND_NMM_E</v>
      </c>
      <c r="G5535" s="21">
        <v>125.476</v>
      </c>
    </row>
    <row r="5536" spans="1:7" x14ac:dyDescent="0.2">
      <c r="A5536" s="16" t="s">
        <v>44</v>
      </c>
      <c r="B5536" s="17" t="s">
        <v>65</v>
      </c>
      <c r="C5536" s="17" t="s">
        <v>8</v>
      </c>
      <c r="D5536" s="17" t="s">
        <v>10</v>
      </c>
      <c r="E5536" s="17" t="s">
        <v>21</v>
      </c>
      <c r="F5536" s="17" t="str">
        <f>INDEX(nrg_cb_e!$A$3:$A$40,MATCH(LEFT(MID('Industriesektor GWh'!$B5536,41,1000),SEARCH(" - ",MID('Industriesektor GWh'!$B5536,41,1000))-1),nrg_cb_e!$C$3:$C$40,0))</f>
        <v>FC_IND_NMM_E</v>
      </c>
      <c r="G5536" s="18">
        <v>290.95699999999999</v>
      </c>
    </row>
    <row r="5537" spans="1:7" x14ac:dyDescent="0.2">
      <c r="A5537" s="19" t="s">
        <v>44</v>
      </c>
      <c r="B5537" s="20" t="s">
        <v>65</v>
      </c>
      <c r="C5537" s="20" t="s">
        <v>8</v>
      </c>
      <c r="D5537" s="20" t="s">
        <v>10</v>
      </c>
      <c r="E5537" s="20" t="s">
        <v>22</v>
      </c>
      <c r="F5537" s="20" t="str">
        <f>INDEX(nrg_cb_e!$A$3:$A$40,MATCH(LEFT(MID('Industriesektor GWh'!$B5537,41,1000),SEARCH(" - ",MID('Industriesektor GWh'!$B5537,41,1000))-1),nrg_cb_e!$C$3:$C$40,0))</f>
        <v>FC_IND_NMM_E</v>
      </c>
      <c r="G5537" s="21">
        <v>266.82799999999997</v>
      </c>
    </row>
    <row r="5538" spans="1:7" x14ac:dyDescent="0.2">
      <c r="A5538" s="16" t="s">
        <v>44</v>
      </c>
      <c r="B5538" s="17" t="s">
        <v>65</v>
      </c>
      <c r="C5538" s="17" t="s">
        <v>8</v>
      </c>
      <c r="D5538" s="17" t="s">
        <v>10</v>
      </c>
      <c r="E5538" s="17" t="s">
        <v>23</v>
      </c>
      <c r="F5538" s="17" t="str">
        <f>INDEX(nrg_cb_e!$A$3:$A$40,MATCH(LEFT(MID('Industriesektor GWh'!$B5538,41,1000),SEARCH(" - ",MID('Industriesektor GWh'!$B5538,41,1000))-1),nrg_cb_e!$C$3:$C$40,0))</f>
        <v>FC_IND_NMM_E</v>
      </c>
      <c r="G5538" s="18">
        <v>229.881</v>
      </c>
    </row>
    <row r="5539" spans="1:7" x14ac:dyDescent="0.2">
      <c r="A5539" s="19" t="s">
        <v>44</v>
      </c>
      <c r="B5539" s="20" t="s">
        <v>65</v>
      </c>
      <c r="C5539" s="20" t="s">
        <v>8</v>
      </c>
      <c r="D5539" s="20" t="s">
        <v>10</v>
      </c>
      <c r="E5539" s="20" t="s">
        <v>24</v>
      </c>
      <c r="F5539" s="20" t="str">
        <f>INDEX(nrg_cb_e!$A$3:$A$40,MATCH(LEFT(MID('Industriesektor GWh'!$B5539,41,1000),SEARCH(" - ",MID('Industriesektor GWh'!$B5539,41,1000))-1),nrg_cb_e!$C$3:$C$40,0))</f>
        <v>FC_IND_NMM_E</v>
      </c>
      <c r="G5539" s="21">
        <v>271.48599999999999</v>
      </c>
    </row>
    <row r="5540" spans="1:7" x14ac:dyDescent="0.2">
      <c r="A5540" s="16" t="s">
        <v>44</v>
      </c>
      <c r="B5540" s="17" t="s">
        <v>65</v>
      </c>
      <c r="C5540" s="17" t="s">
        <v>8</v>
      </c>
      <c r="D5540" s="17" t="s">
        <v>10</v>
      </c>
      <c r="E5540" s="17" t="s">
        <v>25</v>
      </c>
      <c r="F5540" s="17" t="str">
        <f>INDEX(nrg_cb_e!$A$3:$A$40,MATCH(LEFT(MID('Industriesektor GWh'!$B5540,41,1000),SEARCH(" - ",MID('Industriesektor GWh'!$B5540,41,1000))-1),nrg_cb_e!$C$3:$C$40,0))</f>
        <v>FC_IND_NMM_E</v>
      </c>
      <c r="G5540" s="18">
        <v>243.94200000000001</v>
      </c>
    </row>
    <row r="5541" spans="1:7" x14ac:dyDescent="0.2">
      <c r="A5541" s="19" t="s">
        <v>44</v>
      </c>
      <c r="B5541" s="20" t="s">
        <v>65</v>
      </c>
      <c r="C5541" s="20" t="s">
        <v>8</v>
      </c>
      <c r="D5541" s="20" t="s">
        <v>10</v>
      </c>
      <c r="E5541" s="20" t="s">
        <v>26</v>
      </c>
      <c r="F5541" s="20" t="str">
        <f>INDEX(nrg_cb_e!$A$3:$A$40,MATCH(LEFT(MID('Industriesektor GWh'!$B5541,41,1000),SEARCH(" - ",MID('Industriesektor GWh'!$B5541,41,1000))-1),nrg_cb_e!$C$3:$C$40,0))</f>
        <v>FC_IND_NMM_E</v>
      </c>
      <c r="G5541" s="21">
        <v>232.875</v>
      </c>
    </row>
    <row r="5542" spans="1:7" x14ac:dyDescent="0.2">
      <c r="A5542" s="16" t="s">
        <v>44</v>
      </c>
      <c r="B5542" s="17" t="s">
        <v>65</v>
      </c>
      <c r="C5542" s="17" t="s">
        <v>8</v>
      </c>
      <c r="D5542" s="17" t="s">
        <v>10</v>
      </c>
      <c r="E5542" s="17" t="s">
        <v>27</v>
      </c>
      <c r="F5542" s="17" t="str">
        <f>INDEX(nrg_cb_e!$A$3:$A$40,MATCH(LEFT(MID('Industriesektor GWh'!$B5542,41,1000),SEARCH(" - ",MID('Industriesektor GWh'!$B5542,41,1000))-1),nrg_cb_e!$C$3:$C$40,0))</f>
        <v>FC_IND_NMM_E</v>
      </c>
      <c r="G5542" s="18">
        <v>210.91800000000001</v>
      </c>
    </row>
    <row r="5543" spans="1:7" x14ac:dyDescent="0.2">
      <c r="A5543" s="19" t="s">
        <v>44</v>
      </c>
      <c r="B5543" s="20" t="s">
        <v>65</v>
      </c>
      <c r="C5543" s="20" t="s">
        <v>8</v>
      </c>
      <c r="D5543" s="20" t="s">
        <v>10</v>
      </c>
      <c r="E5543" s="20" t="s">
        <v>28</v>
      </c>
      <c r="F5543" s="20" t="str">
        <f>INDEX(nrg_cb_e!$A$3:$A$40,MATCH(LEFT(MID('Industriesektor GWh'!$B5543,41,1000),SEARCH(" - ",MID('Industriesektor GWh'!$B5543,41,1000))-1),nrg_cb_e!$C$3:$C$40,0))</f>
        <v>FC_IND_NMM_E</v>
      </c>
      <c r="G5543" s="21">
        <v>224.32900000000001</v>
      </c>
    </row>
    <row r="5544" spans="1:7" x14ac:dyDescent="0.2">
      <c r="A5544" s="16" t="s">
        <v>45</v>
      </c>
      <c r="B5544" s="17" t="s">
        <v>65</v>
      </c>
      <c r="C5544" s="17" t="s">
        <v>8</v>
      </c>
      <c r="D5544" s="17" t="s">
        <v>10</v>
      </c>
      <c r="E5544" s="17" t="s">
        <v>12</v>
      </c>
      <c r="F5544" s="17" t="str">
        <f>INDEX(nrg_cb_e!$A$3:$A$40,MATCH(LEFT(MID('Industriesektor GWh'!$B5544,41,1000),SEARCH(" - ",MID('Industriesektor GWh'!$B5544,41,1000))-1),nrg_cb_e!$C$3:$C$40,0))</f>
        <v>FC_IND_NMM_E</v>
      </c>
      <c r="G5544" s="18">
        <v>977</v>
      </c>
    </row>
    <row r="5545" spans="1:7" x14ac:dyDescent="0.2">
      <c r="A5545" s="19" t="s">
        <v>45</v>
      </c>
      <c r="B5545" s="20" t="s">
        <v>65</v>
      </c>
      <c r="C5545" s="20" t="s">
        <v>8</v>
      </c>
      <c r="D5545" s="20" t="s">
        <v>10</v>
      </c>
      <c r="E5545" s="20" t="s">
        <v>13</v>
      </c>
      <c r="F5545" s="20" t="str">
        <f>INDEX(nrg_cb_e!$A$3:$A$40,MATCH(LEFT(MID('Industriesektor GWh'!$B5545,41,1000),SEARCH(" - ",MID('Industriesektor GWh'!$B5545,41,1000))-1),nrg_cb_e!$C$3:$C$40,0))</f>
        <v>FC_IND_NMM_E</v>
      </c>
      <c r="G5545" s="21">
        <v>966</v>
      </c>
    </row>
    <row r="5546" spans="1:7" x14ac:dyDescent="0.2">
      <c r="A5546" s="16" t="s">
        <v>45</v>
      </c>
      <c r="B5546" s="17" t="s">
        <v>65</v>
      </c>
      <c r="C5546" s="17" t="s">
        <v>8</v>
      </c>
      <c r="D5546" s="17" t="s">
        <v>10</v>
      </c>
      <c r="E5546" s="17" t="s">
        <v>14</v>
      </c>
      <c r="F5546" s="17" t="str">
        <f>INDEX(nrg_cb_e!$A$3:$A$40,MATCH(LEFT(MID('Industriesektor GWh'!$B5546,41,1000),SEARCH(" - ",MID('Industriesektor GWh'!$B5546,41,1000))-1),nrg_cb_e!$C$3:$C$40,0))</f>
        <v>FC_IND_NMM_E</v>
      </c>
      <c r="G5546" s="18">
        <v>971</v>
      </c>
    </row>
    <row r="5547" spans="1:7" x14ac:dyDescent="0.2">
      <c r="A5547" s="19" t="s">
        <v>45</v>
      </c>
      <c r="B5547" s="20" t="s">
        <v>65</v>
      </c>
      <c r="C5547" s="20" t="s">
        <v>8</v>
      </c>
      <c r="D5547" s="20" t="s">
        <v>10</v>
      </c>
      <c r="E5547" s="20" t="s">
        <v>15</v>
      </c>
      <c r="F5547" s="20" t="str">
        <f>INDEX(nrg_cb_e!$A$3:$A$40,MATCH(LEFT(MID('Industriesektor GWh'!$B5547,41,1000),SEARCH(" - ",MID('Industriesektor GWh'!$B5547,41,1000))-1),nrg_cb_e!$C$3:$C$40,0))</f>
        <v>FC_IND_NMM_E</v>
      </c>
      <c r="G5547" s="21">
        <v>913</v>
      </c>
    </row>
    <row r="5548" spans="1:7" x14ac:dyDescent="0.2">
      <c r="A5548" s="16" t="s">
        <v>45</v>
      </c>
      <c r="B5548" s="17" t="s">
        <v>65</v>
      </c>
      <c r="C5548" s="17" t="s">
        <v>8</v>
      </c>
      <c r="D5548" s="17" t="s">
        <v>10</v>
      </c>
      <c r="E5548" s="17" t="s">
        <v>16</v>
      </c>
      <c r="F5548" s="17" t="str">
        <f>INDEX(nrg_cb_e!$A$3:$A$40,MATCH(LEFT(MID('Industriesektor GWh'!$B5548,41,1000),SEARCH(" - ",MID('Industriesektor GWh'!$B5548,41,1000))-1),nrg_cb_e!$C$3:$C$40,0))</f>
        <v>FC_IND_NMM_E</v>
      </c>
      <c r="G5548" s="18">
        <v>938</v>
      </c>
    </row>
    <row r="5549" spans="1:7" x14ac:dyDescent="0.2">
      <c r="A5549" s="19" t="s">
        <v>45</v>
      </c>
      <c r="B5549" s="20" t="s">
        <v>65</v>
      </c>
      <c r="C5549" s="20" t="s">
        <v>8</v>
      </c>
      <c r="D5549" s="20" t="s">
        <v>10</v>
      </c>
      <c r="E5549" s="20" t="s">
        <v>17</v>
      </c>
      <c r="F5549" s="20" t="str">
        <f>INDEX(nrg_cb_e!$A$3:$A$40,MATCH(LEFT(MID('Industriesektor GWh'!$B5549,41,1000),SEARCH(" - ",MID('Industriesektor GWh'!$B5549,41,1000))-1),nrg_cb_e!$C$3:$C$40,0))</f>
        <v>FC_IND_NMM_E</v>
      </c>
      <c r="G5549" s="21">
        <v>937</v>
      </c>
    </row>
    <row r="5550" spans="1:7" x14ac:dyDescent="0.2">
      <c r="A5550" s="16" t="s">
        <v>45</v>
      </c>
      <c r="B5550" s="17" t="s">
        <v>65</v>
      </c>
      <c r="C5550" s="17" t="s">
        <v>8</v>
      </c>
      <c r="D5550" s="17" t="s">
        <v>10</v>
      </c>
      <c r="E5550" s="17" t="s">
        <v>18</v>
      </c>
      <c r="F5550" s="17" t="str">
        <f>INDEX(nrg_cb_e!$A$3:$A$40,MATCH(LEFT(MID('Industriesektor GWh'!$B5550,41,1000),SEARCH(" - ",MID('Industriesektor GWh'!$B5550,41,1000))-1),nrg_cb_e!$C$3:$C$40,0))</f>
        <v>FC_IND_NMM_E</v>
      </c>
      <c r="G5550" s="18">
        <v>1122</v>
      </c>
    </row>
    <row r="5551" spans="1:7" x14ac:dyDescent="0.2">
      <c r="A5551" s="19" t="s">
        <v>45</v>
      </c>
      <c r="B5551" s="20" t="s">
        <v>65</v>
      </c>
      <c r="C5551" s="20" t="s">
        <v>8</v>
      </c>
      <c r="D5551" s="20" t="s">
        <v>10</v>
      </c>
      <c r="E5551" s="20" t="s">
        <v>19</v>
      </c>
      <c r="F5551" s="20" t="str">
        <f>INDEX(nrg_cb_e!$A$3:$A$40,MATCH(LEFT(MID('Industriesektor GWh'!$B5551,41,1000),SEARCH(" - ",MID('Industriesektor GWh'!$B5551,41,1000))-1),nrg_cb_e!$C$3:$C$40,0))</f>
        <v>FC_IND_NMM_E</v>
      </c>
      <c r="G5551" s="21">
        <v>919</v>
      </c>
    </row>
    <row r="5552" spans="1:7" x14ac:dyDescent="0.2">
      <c r="A5552" s="16" t="s">
        <v>45</v>
      </c>
      <c r="B5552" s="17" t="s">
        <v>65</v>
      </c>
      <c r="C5552" s="17" t="s">
        <v>8</v>
      </c>
      <c r="D5552" s="17" t="s">
        <v>10</v>
      </c>
      <c r="E5552" s="17" t="s">
        <v>20</v>
      </c>
      <c r="F5552" s="17" t="str">
        <f>INDEX(nrg_cb_e!$A$3:$A$40,MATCH(LEFT(MID('Industriesektor GWh'!$B5552,41,1000),SEARCH(" - ",MID('Industriesektor GWh'!$B5552,41,1000))-1),nrg_cb_e!$C$3:$C$40,0))</f>
        <v>FC_IND_NMM_E</v>
      </c>
      <c r="G5552" s="18">
        <v>932</v>
      </c>
    </row>
    <row r="5553" spans="1:7" x14ac:dyDescent="0.2">
      <c r="A5553" s="19" t="s">
        <v>45</v>
      </c>
      <c r="B5553" s="20" t="s">
        <v>65</v>
      </c>
      <c r="C5553" s="20" t="s">
        <v>8</v>
      </c>
      <c r="D5553" s="20" t="s">
        <v>10</v>
      </c>
      <c r="E5553" s="20" t="s">
        <v>21</v>
      </c>
      <c r="F5553" s="20" t="str">
        <f>INDEX(nrg_cb_e!$A$3:$A$40,MATCH(LEFT(MID('Industriesektor GWh'!$B5553,41,1000),SEARCH(" - ",MID('Industriesektor GWh'!$B5553,41,1000))-1),nrg_cb_e!$C$3:$C$40,0))</f>
        <v>FC_IND_NMM_E</v>
      </c>
      <c r="G5553" s="21">
        <v>941</v>
      </c>
    </row>
    <row r="5554" spans="1:7" x14ac:dyDescent="0.2">
      <c r="A5554" s="16" t="s">
        <v>45</v>
      </c>
      <c r="B5554" s="17" t="s">
        <v>65</v>
      </c>
      <c r="C5554" s="17" t="s">
        <v>8</v>
      </c>
      <c r="D5554" s="17" t="s">
        <v>10</v>
      </c>
      <c r="E5554" s="17" t="s">
        <v>22</v>
      </c>
      <c r="F5554" s="17" t="str">
        <f>INDEX(nrg_cb_e!$A$3:$A$40,MATCH(LEFT(MID('Industriesektor GWh'!$B5554,41,1000),SEARCH(" - ",MID('Industriesektor GWh'!$B5554,41,1000))-1),nrg_cb_e!$C$3:$C$40,0))</f>
        <v>FC_IND_NMM_E</v>
      </c>
      <c r="G5554" s="18">
        <v>1184</v>
      </c>
    </row>
    <row r="5555" spans="1:7" x14ac:dyDescent="0.2">
      <c r="A5555" s="19" t="s">
        <v>45</v>
      </c>
      <c r="B5555" s="20" t="s">
        <v>65</v>
      </c>
      <c r="C5555" s="20" t="s">
        <v>8</v>
      </c>
      <c r="D5555" s="20" t="s">
        <v>10</v>
      </c>
      <c r="E5555" s="20" t="s">
        <v>23</v>
      </c>
      <c r="F5555" s="20" t="str">
        <f>INDEX(nrg_cb_e!$A$3:$A$40,MATCH(LEFT(MID('Industriesektor GWh'!$B5555,41,1000),SEARCH(" - ",MID('Industriesektor GWh'!$B5555,41,1000))-1),nrg_cb_e!$C$3:$C$40,0))</f>
        <v>FC_IND_NMM_E</v>
      </c>
      <c r="G5555" s="21">
        <v>1043</v>
      </c>
    </row>
    <row r="5556" spans="1:7" x14ac:dyDescent="0.2">
      <c r="A5556" s="16" t="s">
        <v>45</v>
      </c>
      <c r="B5556" s="17" t="s">
        <v>65</v>
      </c>
      <c r="C5556" s="17" t="s">
        <v>8</v>
      </c>
      <c r="D5556" s="17" t="s">
        <v>10</v>
      </c>
      <c r="E5556" s="17" t="s">
        <v>24</v>
      </c>
      <c r="F5556" s="17" t="str">
        <f>INDEX(nrg_cb_e!$A$3:$A$40,MATCH(LEFT(MID('Industriesektor GWh'!$B5556,41,1000),SEARCH(" - ",MID('Industriesektor GWh'!$B5556,41,1000))-1),nrg_cb_e!$C$3:$C$40,0))</f>
        <v>FC_IND_NMM_E</v>
      </c>
      <c r="G5556" s="18">
        <v>1203</v>
      </c>
    </row>
    <row r="5557" spans="1:7" x14ac:dyDescent="0.2">
      <c r="A5557" s="19" t="s">
        <v>45</v>
      </c>
      <c r="B5557" s="20" t="s">
        <v>65</v>
      </c>
      <c r="C5557" s="20" t="s">
        <v>8</v>
      </c>
      <c r="D5557" s="20" t="s">
        <v>10</v>
      </c>
      <c r="E5557" s="20" t="s">
        <v>25</v>
      </c>
      <c r="F5557" s="20" t="str">
        <f>INDEX(nrg_cb_e!$A$3:$A$40,MATCH(LEFT(MID('Industriesektor GWh'!$B5557,41,1000),SEARCH(" - ",MID('Industriesektor GWh'!$B5557,41,1000))-1),nrg_cb_e!$C$3:$C$40,0))</f>
        <v>FC_IND_NMM_E</v>
      </c>
      <c r="G5557" s="21">
        <v>1338</v>
      </c>
    </row>
    <row r="5558" spans="1:7" x14ac:dyDescent="0.2">
      <c r="A5558" s="16" t="s">
        <v>45</v>
      </c>
      <c r="B5558" s="17" t="s">
        <v>65</v>
      </c>
      <c r="C5558" s="17" t="s">
        <v>8</v>
      </c>
      <c r="D5558" s="17" t="s">
        <v>10</v>
      </c>
      <c r="E5558" s="17" t="s">
        <v>26</v>
      </c>
      <c r="F5558" s="17" t="str">
        <f>INDEX(nrg_cb_e!$A$3:$A$40,MATCH(LEFT(MID('Industriesektor GWh'!$B5558,41,1000),SEARCH(" - ",MID('Industriesektor GWh'!$B5558,41,1000))-1),nrg_cb_e!$C$3:$C$40,0))</f>
        <v>FC_IND_NMM_E</v>
      </c>
      <c r="G5558" s="18">
        <v>1449</v>
      </c>
    </row>
    <row r="5559" spans="1:7" x14ac:dyDescent="0.2">
      <c r="A5559" s="19" t="s">
        <v>45</v>
      </c>
      <c r="B5559" s="20" t="s">
        <v>65</v>
      </c>
      <c r="C5559" s="20" t="s">
        <v>8</v>
      </c>
      <c r="D5559" s="20" t="s">
        <v>10</v>
      </c>
      <c r="E5559" s="20" t="s">
        <v>27</v>
      </c>
      <c r="F5559" s="20" t="str">
        <f>INDEX(nrg_cb_e!$A$3:$A$40,MATCH(LEFT(MID('Industriesektor GWh'!$B5559,41,1000),SEARCH(" - ",MID('Industriesektor GWh'!$B5559,41,1000))-1),nrg_cb_e!$C$3:$C$40,0))</f>
        <v>FC_IND_NMM_E</v>
      </c>
      <c r="G5559" s="21">
        <v>1406</v>
      </c>
    </row>
    <row r="5560" spans="1:7" x14ac:dyDescent="0.2">
      <c r="A5560" s="16" t="s">
        <v>45</v>
      </c>
      <c r="B5560" s="17" t="s">
        <v>65</v>
      </c>
      <c r="C5560" s="17" t="s">
        <v>8</v>
      </c>
      <c r="D5560" s="17" t="s">
        <v>10</v>
      </c>
      <c r="E5560" s="17" t="s">
        <v>28</v>
      </c>
      <c r="F5560" s="17" t="str">
        <f>INDEX(nrg_cb_e!$A$3:$A$40,MATCH(LEFT(MID('Industriesektor GWh'!$B5560,41,1000),SEARCH(" - ",MID('Industriesektor GWh'!$B5560,41,1000))-1),nrg_cb_e!$C$3:$C$40,0))</f>
        <v>FC_IND_NMM_E</v>
      </c>
      <c r="G5560" s="18">
        <v>1426</v>
      </c>
    </row>
    <row r="5561" spans="1:7" x14ac:dyDescent="0.2">
      <c r="A5561" s="19" t="s">
        <v>46</v>
      </c>
      <c r="B5561" s="20" t="s">
        <v>65</v>
      </c>
      <c r="C5561" s="20" t="s">
        <v>8</v>
      </c>
      <c r="D5561" s="20" t="s">
        <v>10</v>
      </c>
      <c r="E5561" s="20" t="s">
        <v>12</v>
      </c>
      <c r="F5561" s="20" t="str">
        <f>INDEX(nrg_cb_e!$A$3:$A$40,MATCH(LEFT(MID('Industriesektor GWh'!$B5561,41,1000),SEARCH(" - ",MID('Industriesektor GWh'!$B5561,41,1000))-1),nrg_cb_e!$C$3:$C$40,0))</f>
        <v>FC_IND_NMM_E</v>
      </c>
      <c r="G5561" s="21">
        <v>0</v>
      </c>
    </row>
    <row r="5562" spans="1:7" x14ac:dyDescent="0.2">
      <c r="A5562" s="16" t="s">
        <v>46</v>
      </c>
      <c r="B5562" s="17" t="s">
        <v>65</v>
      </c>
      <c r="C5562" s="17" t="s">
        <v>8</v>
      </c>
      <c r="D5562" s="17" t="s">
        <v>10</v>
      </c>
      <c r="E5562" s="17" t="s">
        <v>13</v>
      </c>
      <c r="F5562" s="17" t="str">
        <f>INDEX(nrg_cb_e!$A$3:$A$40,MATCH(LEFT(MID('Industriesektor GWh'!$B5562,41,1000),SEARCH(" - ",MID('Industriesektor GWh'!$B5562,41,1000))-1),nrg_cb_e!$C$3:$C$40,0))</f>
        <v>FC_IND_NMM_E</v>
      </c>
      <c r="G5562" s="18">
        <v>0</v>
      </c>
    </row>
    <row r="5563" spans="1:7" x14ac:dyDescent="0.2">
      <c r="A5563" s="19" t="s">
        <v>46</v>
      </c>
      <c r="B5563" s="20" t="s">
        <v>65</v>
      </c>
      <c r="C5563" s="20" t="s">
        <v>8</v>
      </c>
      <c r="D5563" s="20" t="s">
        <v>10</v>
      </c>
      <c r="E5563" s="20" t="s">
        <v>14</v>
      </c>
      <c r="F5563" s="20" t="str">
        <f>INDEX(nrg_cb_e!$A$3:$A$40,MATCH(LEFT(MID('Industriesektor GWh'!$B5563,41,1000),SEARCH(" - ",MID('Industriesektor GWh'!$B5563,41,1000))-1),nrg_cb_e!$C$3:$C$40,0))</f>
        <v>FC_IND_NMM_E</v>
      </c>
      <c r="G5563" s="21">
        <v>0</v>
      </c>
    </row>
    <row r="5564" spans="1:7" x14ac:dyDescent="0.2">
      <c r="A5564" s="16" t="s">
        <v>46</v>
      </c>
      <c r="B5564" s="17" t="s">
        <v>65</v>
      </c>
      <c r="C5564" s="17" t="s">
        <v>8</v>
      </c>
      <c r="D5564" s="17" t="s">
        <v>10</v>
      </c>
      <c r="E5564" s="17" t="s">
        <v>15</v>
      </c>
      <c r="F5564" s="17" t="str">
        <f>INDEX(nrg_cb_e!$A$3:$A$40,MATCH(LEFT(MID('Industriesektor GWh'!$B5564,41,1000),SEARCH(" - ",MID('Industriesektor GWh'!$B5564,41,1000))-1),nrg_cb_e!$C$3:$C$40,0))</f>
        <v>FC_IND_NMM_E</v>
      </c>
      <c r="G5564" s="18">
        <v>0</v>
      </c>
    </row>
    <row r="5565" spans="1:7" x14ac:dyDescent="0.2">
      <c r="A5565" s="19" t="s">
        <v>46</v>
      </c>
      <c r="B5565" s="20" t="s">
        <v>65</v>
      </c>
      <c r="C5565" s="20" t="s">
        <v>8</v>
      </c>
      <c r="D5565" s="20" t="s">
        <v>10</v>
      </c>
      <c r="E5565" s="20" t="s">
        <v>16</v>
      </c>
      <c r="F5565" s="20" t="str">
        <f>INDEX(nrg_cb_e!$A$3:$A$40,MATCH(LEFT(MID('Industriesektor GWh'!$B5565,41,1000),SEARCH(" - ",MID('Industriesektor GWh'!$B5565,41,1000))-1),nrg_cb_e!$C$3:$C$40,0))</f>
        <v>FC_IND_NMM_E</v>
      </c>
      <c r="G5565" s="21">
        <v>0</v>
      </c>
    </row>
    <row r="5566" spans="1:7" x14ac:dyDescent="0.2">
      <c r="A5566" s="16" t="s">
        <v>46</v>
      </c>
      <c r="B5566" s="17" t="s">
        <v>65</v>
      </c>
      <c r="C5566" s="17" t="s">
        <v>8</v>
      </c>
      <c r="D5566" s="17" t="s">
        <v>10</v>
      </c>
      <c r="E5566" s="17" t="s">
        <v>17</v>
      </c>
      <c r="F5566" s="17" t="str">
        <f>INDEX(nrg_cb_e!$A$3:$A$40,MATCH(LEFT(MID('Industriesektor GWh'!$B5566,41,1000),SEARCH(" - ",MID('Industriesektor GWh'!$B5566,41,1000))-1),nrg_cb_e!$C$3:$C$40,0))</f>
        <v>FC_IND_NMM_E</v>
      </c>
      <c r="G5566" s="18">
        <v>0</v>
      </c>
    </row>
    <row r="5567" spans="1:7" x14ac:dyDescent="0.2">
      <c r="A5567" s="19" t="s">
        <v>46</v>
      </c>
      <c r="B5567" s="20" t="s">
        <v>65</v>
      </c>
      <c r="C5567" s="20" t="s">
        <v>8</v>
      </c>
      <c r="D5567" s="20" t="s">
        <v>10</v>
      </c>
      <c r="E5567" s="20" t="s">
        <v>18</v>
      </c>
      <c r="F5567" s="20" t="str">
        <f>INDEX(nrg_cb_e!$A$3:$A$40,MATCH(LEFT(MID('Industriesektor GWh'!$B5567,41,1000),SEARCH(" - ",MID('Industriesektor GWh'!$B5567,41,1000))-1),nrg_cb_e!$C$3:$C$40,0))</f>
        <v>FC_IND_NMM_E</v>
      </c>
      <c r="G5567" s="21">
        <v>0</v>
      </c>
    </row>
    <row r="5568" spans="1:7" x14ac:dyDescent="0.2">
      <c r="A5568" s="16" t="s">
        <v>46</v>
      </c>
      <c r="B5568" s="17" t="s">
        <v>65</v>
      </c>
      <c r="C5568" s="17" t="s">
        <v>8</v>
      </c>
      <c r="D5568" s="17" t="s">
        <v>10</v>
      </c>
      <c r="E5568" s="17" t="s">
        <v>19</v>
      </c>
      <c r="F5568" s="17" t="str">
        <f>INDEX(nrg_cb_e!$A$3:$A$40,MATCH(LEFT(MID('Industriesektor GWh'!$B5568,41,1000),SEARCH(" - ",MID('Industriesektor GWh'!$B5568,41,1000))-1),nrg_cb_e!$C$3:$C$40,0))</f>
        <v>FC_IND_NMM_E</v>
      </c>
      <c r="G5568" s="18">
        <v>0</v>
      </c>
    </row>
    <row r="5569" spans="1:7" x14ac:dyDescent="0.2">
      <c r="A5569" s="19" t="s">
        <v>46</v>
      </c>
      <c r="B5569" s="20" t="s">
        <v>65</v>
      </c>
      <c r="C5569" s="20" t="s">
        <v>8</v>
      </c>
      <c r="D5569" s="20" t="s">
        <v>10</v>
      </c>
      <c r="E5569" s="20" t="s">
        <v>20</v>
      </c>
      <c r="F5569" s="20" t="str">
        <f>INDEX(nrg_cb_e!$A$3:$A$40,MATCH(LEFT(MID('Industriesektor GWh'!$B5569,41,1000),SEARCH(" - ",MID('Industriesektor GWh'!$B5569,41,1000))-1),nrg_cb_e!$C$3:$C$40,0))</f>
        <v>FC_IND_NMM_E</v>
      </c>
      <c r="G5569" s="21">
        <v>6</v>
      </c>
    </row>
    <row r="5570" spans="1:7" x14ac:dyDescent="0.2">
      <c r="A5570" s="16" t="s">
        <v>46</v>
      </c>
      <c r="B5570" s="17" t="s">
        <v>65</v>
      </c>
      <c r="C5570" s="17" t="s">
        <v>8</v>
      </c>
      <c r="D5570" s="17" t="s">
        <v>10</v>
      </c>
      <c r="E5570" s="17" t="s">
        <v>21</v>
      </c>
      <c r="F5570" s="17" t="str">
        <f>INDEX(nrg_cb_e!$A$3:$A$40,MATCH(LEFT(MID('Industriesektor GWh'!$B5570,41,1000),SEARCH(" - ",MID('Industriesektor GWh'!$B5570,41,1000))-1),nrg_cb_e!$C$3:$C$40,0))</f>
        <v>FC_IND_NMM_E</v>
      </c>
      <c r="G5570" s="18">
        <v>6</v>
      </c>
    </row>
    <row r="5571" spans="1:7" x14ac:dyDescent="0.2">
      <c r="A5571" s="19" t="s">
        <v>46</v>
      </c>
      <c r="B5571" s="20" t="s">
        <v>65</v>
      </c>
      <c r="C5571" s="20" t="s">
        <v>8</v>
      </c>
      <c r="D5571" s="20" t="s">
        <v>10</v>
      </c>
      <c r="E5571" s="20" t="s">
        <v>22</v>
      </c>
      <c r="F5571" s="20" t="str">
        <f>INDEX(nrg_cb_e!$A$3:$A$40,MATCH(LEFT(MID('Industriesektor GWh'!$B5571,41,1000),SEARCH(" - ",MID('Industriesektor GWh'!$B5571,41,1000))-1),nrg_cb_e!$C$3:$C$40,0))</f>
        <v>FC_IND_NMM_E</v>
      </c>
      <c r="G5571" s="21">
        <v>6</v>
      </c>
    </row>
    <row r="5572" spans="1:7" x14ac:dyDescent="0.2">
      <c r="A5572" s="16" t="s">
        <v>46</v>
      </c>
      <c r="B5572" s="17" t="s">
        <v>65</v>
      </c>
      <c r="C5572" s="17" t="s">
        <v>8</v>
      </c>
      <c r="D5572" s="17" t="s">
        <v>10</v>
      </c>
      <c r="E5572" s="17" t="s">
        <v>23</v>
      </c>
      <c r="F5572" s="17" t="str">
        <f>INDEX(nrg_cb_e!$A$3:$A$40,MATCH(LEFT(MID('Industriesektor GWh'!$B5572,41,1000),SEARCH(" - ",MID('Industriesektor GWh'!$B5572,41,1000))-1),nrg_cb_e!$C$3:$C$40,0))</f>
        <v>FC_IND_NMM_E</v>
      </c>
      <c r="G5572" s="18">
        <v>6</v>
      </c>
    </row>
    <row r="5573" spans="1:7" x14ac:dyDescent="0.2">
      <c r="A5573" s="19" t="s">
        <v>46</v>
      </c>
      <c r="B5573" s="20" t="s">
        <v>65</v>
      </c>
      <c r="C5573" s="20" t="s">
        <v>8</v>
      </c>
      <c r="D5573" s="20" t="s">
        <v>10</v>
      </c>
      <c r="E5573" s="20" t="s">
        <v>24</v>
      </c>
      <c r="F5573" s="20" t="str">
        <f>INDEX(nrg_cb_e!$A$3:$A$40,MATCH(LEFT(MID('Industriesektor GWh'!$B5573,41,1000),SEARCH(" - ",MID('Industriesektor GWh'!$B5573,41,1000))-1),nrg_cb_e!$C$3:$C$40,0))</f>
        <v>FC_IND_NMM_E</v>
      </c>
      <c r="G5573" s="21">
        <v>6</v>
      </c>
    </row>
    <row r="5574" spans="1:7" x14ac:dyDescent="0.2">
      <c r="A5574" s="16" t="s">
        <v>46</v>
      </c>
      <c r="B5574" s="17" t="s">
        <v>65</v>
      </c>
      <c r="C5574" s="17" t="s">
        <v>8</v>
      </c>
      <c r="D5574" s="17" t="s">
        <v>10</v>
      </c>
      <c r="E5574" s="17" t="s">
        <v>25</v>
      </c>
      <c r="F5574" s="17" t="str">
        <f>INDEX(nrg_cb_e!$A$3:$A$40,MATCH(LEFT(MID('Industriesektor GWh'!$B5574,41,1000),SEARCH(" - ",MID('Industriesektor GWh'!$B5574,41,1000))-1),nrg_cb_e!$C$3:$C$40,0))</f>
        <v>FC_IND_NMM_E</v>
      </c>
      <c r="G5574" s="18">
        <v>7</v>
      </c>
    </row>
    <row r="5575" spans="1:7" x14ac:dyDescent="0.2">
      <c r="A5575" s="19" t="s">
        <v>46</v>
      </c>
      <c r="B5575" s="20" t="s">
        <v>65</v>
      </c>
      <c r="C5575" s="20" t="s">
        <v>8</v>
      </c>
      <c r="D5575" s="20" t="s">
        <v>10</v>
      </c>
      <c r="E5575" s="20" t="s">
        <v>26</v>
      </c>
      <c r="F5575" s="20" t="str">
        <f>INDEX(nrg_cb_e!$A$3:$A$40,MATCH(LEFT(MID('Industriesektor GWh'!$B5575,41,1000),SEARCH(" - ",MID('Industriesektor GWh'!$B5575,41,1000))-1),nrg_cb_e!$C$3:$C$40,0))</f>
        <v>FC_IND_NMM_E</v>
      </c>
      <c r="G5575" s="21">
        <v>6</v>
      </c>
    </row>
    <row r="5576" spans="1:7" x14ac:dyDescent="0.2">
      <c r="A5576" s="16" t="s">
        <v>46</v>
      </c>
      <c r="B5576" s="17" t="s">
        <v>65</v>
      </c>
      <c r="C5576" s="17" t="s">
        <v>8</v>
      </c>
      <c r="D5576" s="17" t="s">
        <v>10</v>
      </c>
      <c r="E5576" s="17" t="s">
        <v>27</v>
      </c>
      <c r="F5576" s="17" t="str">
        <f>INDEX(nrg_cb_e!$A$3:$A$40,MATCH(LEFT(MID('Industriesektor GWh'!$B5576,41,1000),SEARCH(" - ",MID('Industriesektor GWh'!$B5576,41,1000))-1),nrg_cb_e!$C$3:$C$40,0))</f>
        <v>FC_IND_NMM_E</v>
      </c>
      <c r="G5576" s="18">
        <v>5.6349999999999998</v>
      </c>
    </row>
    <row r="5577" spans="1:7" x14ac:dyDescent="0.2">
      <c r="A5577" s="19" t="s">
        <v>46</v>
      </c>
      <c r="B5577" s="20" t="s">
        <v>65</v>
      </c>
      <c r="C5577" s="20" t="s">
        <v>8</v>
      </c>
      <c r="D5577" s="20" t="s">
        <v>10</v>
      </c>
      <c r="E5577" s="20" t="s">
        <v>28</v>
      </c>
      <c r="F5577" s="20" t="str">
        <f>INDEX(nrg_cb_e!$A$3:$A$40,MATCH(LEFT(MID('Industriesektor GWh'!$B5577,41,1000),SEARCH(" - ",MID('Industriesektor GWh'!$B5577,41,1000))-1),nrg_cb_e!$C$3:$C$40,0))</f>
        <v>FC_IND_NMM_E</v>
      </c>
      <c r="G5577" s="21">
        <v>5.8259999999999996</v>
      </c>
    </row>
    <row r="5578" spans="1:7" x14ac:dyDescent="0.2">
      <c r="A5578" s="16" t="s">
        <v>47</v>
      </c>
      <c r="B5578" s="17" t="s">
        <v>65</v>
      </c>
      <c r="C5578" s="17" t="s">
        <v>8</v>
      </c>
      <c r="D5578" s="17" t="s">
        <v>10</v>
      </c>
      <c r="E5578" s="17" t="s">
        <v>12</v>
      </c>
      <c r="F5578" s="17" t="str">
        <f>INDEX(nrg_cb_e!$A$3:$A$40,MATCH(LEFT(MID('Industriesektor GWh'!$B5578,41,1000),SEARCH(" - ",MID('Industriesektor GWh'!$B5578,41,1000))-1),nrg_cb_e!$C$3:$C$40,0))</f>
        <v>FC_IND_NMM_E</v>
      </c>
      <c r="G5578" s="18">
        <v>1544</v>
      </c>
    </row>
    <row r="5579" spans="1:7" x14ac:dyDescent="0.2">
      <c r="A5579" s="19" t="s">
        <v>47</v>
      </c>
      <c r="B5579" s="20" t="s">
        <v>65</v>
      </c>
      <c r="C5579" s="20" t="s">
        <v>8</v>
      </c>
      <c r="D5579" s="20" t="s">
        <v>10</v>
      </c>
      <c r="E5579" s="20" t="s">
        <v>13</v>
      </c>
      <c r="F5579" s="20" t="str">
        <f>INDEX(nrg_cb_e!$A$3:$A$40,MATCH(LEFT(MID('Industriesektor GWh'!$B5579,41,1000),SEARCH(" - ",MID('Industriesektor GWh'!$B5579,41,1000))-1),nrg_cb_e!$C$3:$C$40,0))</f>
        <v>FC_IND_NMM_E</v>
      </c>
      <c r="G5579" s="21">
        <v>1475</v>
      </c>
    </row>
    <row r="5580" spans="1:7" x14ac:dyDescent="0.2">
      <c r="A5580" s="16" t="s">
        <v>47</v>
      </c>
      <c r="B5580" s="17" t="s">
        <v>65</v>
      </c>
      <c r="C5580" s="17" t="s">
        <v>8</v>
      </c>
      <c r="D5580" s="17" t="s">
        <v>10</v>
      </c>
      <c r="E5580" s="17" t="s">
        <v>14</v>
      </c>
      <c r="F5580" s="17" t="str">
        <f>INDEX(nrg_cb_e!$A$3:$A$40,MATCH(LEFT(MID('Industriesektor GWh'!$B5580,41,1000),SEARCH(" - ",MID('Industriesektor GWh'!$B5580,41,1000))-1),nrg_cb_e!$C$3:$C$40,0))</f>
        <v>FC_IND_NMM_E</v>
      </c>
      <c r="G5580" s="18">
        <v>1429</v>
      </c>
    </row>
    <row r="5581" spans="1:7" x14ac:dyDescent="0.2">
      <c r="A5581" s="19" t="s">
        <v>47</v>
      </c>
      <c r="B5581" s="20" t="s">
        <v>65</v>
      </c>
      <c r="C5581" s="20" t="s">
        <v>8</v>
      </c>
      <c r="D5581" s="20" t="s">
        <v>10</v>
      </c>
      <c r="E5581" s="20" t="s">
        <v>15</v>
      </c>
      <c r="F5581" s="20" t="str">
        <f>INDEX(nrg_cb_e!$A$3:$A$40,MATCH(LEFT(MID('Industriesektor GWh'!$B5581,41,1000),SEARCH(" - ",MID('Industriesektor GWh'!$B5581,41,1000))-1),nrg_cb_e!$C$3:$C$40,0))</f>
        <v>FC_IND_NMM_E</v>
      </c>
      <c r="G5581" s="21">
        <v>1437</v>
      </c>
    </row>
    <row r="5582" spans="1:7" x14ac:dyDescent="0.2">
      <c r="A5582" s="16" t="s">
        <v>47</v>
      </c>
      <c r="B5582" s="17" t="s">
        <v>65</v>
      </c>
      <c r="C5582" s="17" t="s">
        <v>8</v>
      </c>
      <c r="D5582" s="17" t="s">
        <v>10</v>
      </c>
      <c r="E5582" s="17" t="s">
        <v>16</v>
      </c>
      <c r="F5582" s="17" t="str">
        <f>INDEX(nrg_cb_e!$A$3:$A$40,MATCH(LEFT(MID('Industriesektor GWh'!$B5582,41,1000),SEARCH(" - ",MID('Industriesektor GWh'!$B5582,41,1000))-1),nrg_cb_e!$C$3:$C$40,0))</f>
        <v>FC_IND_NMM_E</v>
      </c>
      <c r="G5582" s="18">
        <v>1446</v>
      </c>
    </row>
    <row r="5583" spans="1:7" x14ac:dyDescent="0.2">
      <c r="A5583" s="19" t="s">
        <v>47</v>
      </c>
      <c r="B5583" s="20" t="s">
        <v>65</v>
      </c>
      <c r="C5583" s="20" t="s">
        <v>8</v>
      </c>
      <c r="D5583" s="20" t="s">
        <v>10</v>
      </c>
      <c r="E5583" s="20" t="s">
        <v>17</v>
      </c>
      <c r="F5583" s="20" t="str">
        <f>INDEX(nrg_cb_e!$A$3:$A$40,MATCH(LEFT(MID('Industriesektor GWh'!$B5583,41,1000),SEARCH(" - ",MID('Industriesektor GWh'!$B5583,41,1000))-1),nrg_cb_e!$C$3:$C$40,0))</f>
        <v>FC_IND_NMM_E</v>
      </c>
      <c r="G5583" s="21">
        <v>1512</v>
      </c>
    </row>
    <row r="5584" spans="1:7" x14ac:dyDescent="0.2">
      <c r="A5584" s="16" t="s">
        <v>47</v>
      </c>
      <c r="B5584" s="17" t="s">
        <v>65</v>
      </c>
      <c r="C5584" s="17" t="s">
        <v>8</v>
      </c>
      <c r="D5584" s="17" t="s">
        <v>10</v>
      </c>
      <c r="E5584" s="17" t="s">
        <v>18</v>
      </c>
      <c r="F5584" s="17" t="str">
        <f>INDEX(nrg_cb_e!$A$3:$A$40,MATCH(LEFT(MID('Industriesektor GWh'!$B5584,41,1000),SEARCH(" - ",MID('Industriesektor GWh'!$B5584,41,1000))-1),nrg_cb_e!$C$3:$C$40,0))</f>
        <v>FC_IND_NMM_E</v>
      </c>
      <c r="G5584" s="18">
        <v>1553</v>
      </c>
    </row>
    <row r="5585" spans="1:7" x14ac:dyDescent="0.2">
      <c r="A5585" s="19" t="s">
        <v>47</v>
      </c>
      <c r="B5585" s="20" t="s">
        <v>65</v>
      </c>
      <c r="C5585" s="20" t="s">
        <v>8</v>
      </c>
      <c r="D5585" s="20" t="s">
        <v>10</v>
      </c>
      <c r="E5585" s="20" t="s">
        <v>19</v>
      </c>
      <c r="F5585" s="20" t="str">
        <f>INDEX(nrg_cb_e!$A$3:$A$40,MATCH(LEFT(MID('Industriesektor GWh'!$B5585,41,1000),SEARCH(" - ",MID('Industriesektor GWh'!$B5585,41,1000))-1),nrg_cb_e!$C$3:$C$40,0))</f>
        <v>FC_IND_NMM_E</v>
      </c>
      <c r="G5585" s="21">
        <v>1454</v>
      </c>
    </row>
    <row r="5586" spans="1:7" x14ac:dyDescent="0.2">
      <c r="A5586" s="16" t="s">
        <v>47</v>
      </c>
      <c r="B5586" s="17" t="s">
        <v>65</v>
      </c>
      <c r="C5586" s="17" t="s">
        <v>8</v>
      </c>
      <c r="D5586" s="17" t="s">
        <v>10</v>
      </c>
      <c r="E5586" s="17" t="s">
        <v>20</v>
      </c>
      <c r="F5586" s="17" t="str">
        <f>INDEX(nrg_cb_e!$A$3:$A$40,MATCH(LEFT(MID('Industriesektor GWh'!$B5586,41,1000),SEARCH(" - ",MID('Industriesektor GWh'!$B5586,41,1000))-1),nrg_cb_e!$C$3:$C$40,0))</f>
        <v>FC_IND_NMM_E</v>
      </c>
      <c r="G5586" s="18">
        <v>1457</v>
      </c>
    </row>
    <row r="5587" spans="1:7" x14ac:dyDescent="0.2">
      <c r="A5587" s="19" t="s">
        <v>47</v>
      </c>
      <c r="B5587" s="20" t="s">
        <v>65</v>
      </c>
      <c r="C5587" s="20" t="s">
        <v>8</v>
      </c>
      <c r="D5587" s="20" t="s">
        <v>10</v>
      </c>
      <c r="E5587" s="20" t="s">
        <v>21</v>
      </c>
      <c r="F5587" s="20" t="str">
        <f>INDEX(nrg_cb_e!$A$3:$A$40,MATCH(LEFT(MID('Industriesektor GWh'!$B5587,41,1000),SEARCH(" - ",MID('Industriesektor GWh'!$B5587,41,1000))-1),nrg_cb_e!$C$3:$C$40,0))</f>
        <v>FC_IND_NMM_E</v>
      </c>
      <c r="G5587" s="21">
        <v>1285</v>
      </c>
    </row>
    <row r="5588" spans="1:7" x14ac:dyDescent="0.2">
      <c r="A5588" s="16" t="s">
        <v>47</v>
      </c>
      <c r="B5588" s="17" t="s">
        <v>65</v>
      </c>
      <c r="C5588" s="17" t="s">
        <v>8</v>
      </c>
      <c r="D5588" s="17" t="s">
        <v>10</v>
      </c>
      <c r="E5588" s="17" t="s">
        <v>22</v>
      </c>
      <c r="F5588" s="17" t="str">
        <f>INDEX(nrg_cb_e!$A$3:$A$40,MATCH(LEFT(MID('Industriesektor GWh'!$B5588,41,1000),SEARCH(" - ",MID('Industriesektor GWh'!$B5588,41,1000))-1),nrg_cb_e!$C$3:$C$40,0))</f>
        <v>FC_IND_NMM_E</v>
      </c>
      <c r="G5588" s="18">
        <v>1228</v>
      </c>
    </row>
    <row r="5589" spans="1:7" x14ac:dyDescent="0.2">
      <c r="A5589" s="19" t="s">
        <v>47</v>
      </c>
      <c r="B5589" s="20" t="s">
        <v>65</v>
      </c>
      <c r="C5589" s="20" t="s">
        <v>8</v>
      </c>
      <c r="D5589" s="20" t="s">
        <v>10</v>
      </c>
      <c r="E5589" s="20" t="s">
        <v>23</v>
      </c>
      <c r="F5589" s="20" t="str">
        <f>INDEX(nrg_cb_e!$A$3:$A$40,MATCH(LEFT(MID('Industriesektor GWh'!$B5589,41,1000),SEARCH(" - ",MID('Industriesektor GWh'!$B5589,41,1000))-1),nrg_cb_e!$C$3:$C$40,0))</f>
        <v>FC_IND_NMM_E</v>
      </c>
      <c r="G5589" s="21">
        <v>1221</v>
      </c>
    </row>
    <row r="5590" spans="1:7" x14ac:dyDescent="0.2">
      <c r="A5590" s="16" t="s">
        <v>47</v>
      </c>
      <c r="B5590" s="17" t="s">
        <v>65</v>
      </c>
      <c r="C5590" s="17" t="s">
        <v>8</v>
      </c>
      <c r="D5590" s="17" t="s">
        <v>10</v>
      </c>
      <c r="E5590" s="17" t="s">
        <v>24</v>
      </c>
      <c r="F5590" s="17" t="str">
        <f>INDEX(nrg_cb_e!$A$3:$A$40,MATCH(LEFT(MID('Industriesektor GWh'!$B5590,41,1000),SEARCH(" - ",MID('Industriesektor GWh'!$B5590,41,1000))-1),nrg_cb_e!$C$3:$C$40,0))</f>
        <v>FC_IND_NMM_E</v>
      </c>
      <c r="G5590" s="18">
        <v>1167</v>
      </c>
    </row>
    <row r="5591" spans="1:7" x14ac:dyDescent="0.2">
      <c r="A5591" s="19" t="s">
        <v>47</v>
      </c>
      <c r="B5591" s="20" t="s">
        <v>65</v>
      </c>
      <c r="C5591" s="20" t="s">
        <v>8</v>
      </c>
      <c r="D5591" s="20" t="s">
        <v>10</v>
      </c>
      <c r="E5591" s="20" t="s">
        <v>25</v>
      </c>
      <c r="F5591" s="20" t="str">
        <f>INDEX(nrg_cb_e!$A$3:$A$40,MATCH(LEFT(MID('Industriesektor GWh'!$B5591,41,1000),SEARCH(" - ",MID('Industriesektor GWh'!$B5591,41,1000))-1),nrg_cb_e!$C$3:$C$40,0))</f>
        <v>FC_IND_NMM_E</v>
      </c>
      <c r="G5591" s="21">
        <v>1176.704</v>
      </c>
    </row>
    <row r="5592" spans="1:7" x14ac:dyDescent="0.2">
      <c r="A5592" s="16" t="s">
        <v>47</v>
      </c>
      <c r="B5592" s="17" t="s">
        <v>65</v>
      </c>
      <c r="C5592" s="17" t="s">
        <v>8</v>
      </c>
      <c r="D5592" s="17" t="s">
        <v>10</v>
      </c>
      <c r="E5592" s="17" t="s">
        <v>26</v>
      </c>
      <c r="F5592" s="17" t="str">
        <f>INDEX(nrg_cb_e!$A$3:$A$40,MATCH(LEFT(MID('Industriesektor GWh'!$B5592,41,1000),SEARCH(" - ",MID('Industriesektor GWh'!$B5592,41,1000))-1),nrg_cb_e!$C$3:$C$40,0))</f>
        <v>FC_IND_NMM_E</v>
      </c>
      <c r="G5592" s="18">
        <v>1292.9290000000001</v>
      </c>
    </row>
    <row r="5593" spans="1:7" x14ac:dyDescent="0.2">
      <c r="A5593" s="19" t="s">
        <v>47</v>
      </c>
      <c r="B5593" s="20" t="s">
        <v>65</v>
      </c>
      <c r="C5593" s="20" t="s">
        <v>8</v>
      </c>
      <c r="D5593" s="20" t="s">
        <v>10</v>
      </c>
      <c r="E5593" s="20" t="s">
        <v>27</v>
      </c>
      <c r="F5593" s="20" t="str">
        <f>INDEX(nrg_cb_e!$A$3:$A$40,MATCH(LEFT(MID('Industriesektor GWh'!$B5593,41,1000),SEARCH(" - ",MID('Industriesektor GWh'!$B5593,41,1000))-1),nrg_cb_e!$C$3:$C$40,0))</f>
        <v>FC_IND_NMM_E</v>
      </c>
      <c r="G5593" s="21">
        <v>1264.2049999999999</v>
      </c>
    </row>
    <row r="5594" spans="1:7" x14ac:dyDescent="0.2">
      <c r="A5594" s="16" t="s">
        <v>47</v>
      </c>
      <c r="B5594" s="17" t="s">
        <v>65</v>
      </c>
      <c r="C5594" s="17" t="s">
        <v>8</v>
      </c>
      <c r="D5594" s="17" t="s">
        <v>10</v>
      </c>
      <c r="E5594" s="17" t="s">
        <v>28</v>
      </c>
      <c r="F5594" s="17" t="str">
        <f>INDEX(nrg_cb_e!$A$3:$A$40,MATCH(LEFT(MID('Industriesektor GWh'!$B5594,41,1000),SEARCH(" - ",MID('Industriesektor GWh'!$B5594,41,1000))-1),nrg_cb_e!$C$3:$C$40,0))</f>
        <v>FC_IND_NMM_E</v>
      </c>
      <c r="G5594" s="18">
        <v>1334.076</v>
      </c>
    </row>
    <row r="5595" spans="1:7" x14ac:dyDescent="0.2">
      <c r="A5595" s="19" t="s">
        <v>48</v>
      </c>
      <c r="B5595" s="20" t="s">
        <v>65</v>
      </c>
      <c r="C5595" s="20" t="s">
        <v>8</v>
      </c>
      <c r="D5595" s="20" t="s">
        <v>10</v>
      </c>
      <c r="E5595" s="20" t="s">
        <v>12</v>
      </c>
      <c r="F5595" s="20" t="str">
        <f>INDEX(nrg_cb_e!$A$3:$A$40,MATCH(LEFT(MID('Industriesektor GWh'!$B5595,41,1000),SEARCH(" - ",MID('Industriesektor GWh'!$B5595,41,1000))-1),nrg_cb_e!$C$3:$C$40,0))</f>
        <v>FC_IND_NMM_E</v>
      </c>
      <c r="G5595" s="21">
        <v>2032</v>
      </c>
    </row>
    <row r="5596" spans="1:7" x14ac:dyDescent="0.2">
      <c r="A5596" s="16" t="s">
        <v>48</v>
      </c>
      <c r="B5596" s="17" t="s">
        <v>65</v>
      </c>
      <c r="C5596" s="17" t="s">
        <v>8</v>
      </c>
      <c r="D5596" s="17" t="s">
        <v>10</v>
      </c>
      <c r="E5596" s="17" t="s">
        <v>13</v>
      </c>
      <c r="F5596" s="17" t="str">
        <f>INDEX(nrg_cb_e!$A$3:$A$40,MATCH(LEFT(MID('Industriesektor GWh'!$B5596,41,1000),SEARCH(" - ",MID('Industriesektor GWh'!$B5596,41,1000))-1),nrg_cb_e!$C$3:$C$40,0))</f>
        <v>FC_IND_NMM_E</v>
      </c>
      <c r="G5596" s="18">
        <v>1963</v>
      </c>
    </row>
    <row r="5597" spans="1:7" x14ac:dyDescent="0.2">
      <c r="A5597" s="19" t="s">
        <v>48</v>
      </c>
      <c r="B5597" s="20" t="s">
        <v>65</v>
      </c>
      <c r="C5597" s="20" t="s">
        <v>8</v>
      </c>
      <c r="D5597" s="20" t="s">
        <v>10</v>
      </c>
      <c r="E5597" s="20" t="s">
        <v>14</v>
      </c>
      <c r="F5597" s="20" t="str">
        <f>INDEX(nrg_cb_e!$A$3:$A$40,MATCH(LEFT(MID('Industriesektor GWh'!$B5597,41,1000),SEARCH(" - ",MID('Industriesektor GWh'!$B5597,41,1000))-1),nrg_cb_e!$C$3:$C$40,0))</f>
        <v>FC_IND_NMM_E</v>
      </c>
      <c r="G5597" s="21">
        <v>1866</v>
      </c>
    </row>
    <row r="5598" spans="1:7" x14ac:dyDescent="0.2">
      <c r="A5598" s="16" t="s">
        <v>48</v>
      </c>
      <c r="B5598" s="17" t="s">
        <v>65</v>
      </c>
      <c r="C5598" s="17" t="s">
        <v>8</v>
      </c>
      <c r="D5598" s="17" t="s">
        <v>10</v>
      </c>
      <c r="E5598" s="17" t="s">
        <v>15</v>
      </c>
      <c r="F5598" s="17" t="str">
        <f>INDEX(nrg_cb_e!$A$3:$A$40,MATCH(LEFT(MID('Industriesektor GWh'!$B5598,41,1000),SEARCH(" - ",MID('Industriesektor GWh'!$B5598,41,1000))-1),nrg_cb_e!$C$3:$C$40,0))</f>
        <v>FC_IND_NMM_E</v>
      </c>
      <c r="G5598" s="18">
        <v>1949.5229999999999</v>
      </c>
    </row>
    <row r="5599" spans="1:7" x14ac:dyDescent="0.2">
      <c r="A5599" s="19" t="s">
        <v>48</v>
      </c>
      <c r="B5599" s="20" t="s">
        <v>65</v>
      </c>
      <c r="C5599" s="20" t="s">
        <v>8</v>
      </c>
      <c r="D5599" s="20" t="s">
        <v>10</v>
      </c>
      <c r="E5599" s="20" t="s">
        <v>16</v>
      </c>
      <c r="F5599" s="20" t="str">
        <f>INDEX(nrg_cb_e!$A$3:$A$40,MATCH(LEFT(MID('Industriesektor GWh'!$B5599,41,1000),SEARCH(" - ",MID('Industriesektor GWh'!$B5599,41,1000))-1),nrg_cb_e!$C$3:$C$40,0))</f>
        <v>FC_IND_NMM_E</v>
      </c>
      <c r="G5599" s="21">
        <v>1978.2149999999999</v>
      </c>
    </row>
    <row r="5600" spans="1:7" x14ac:dyDescent="0.2">
      <c r="A5600" s="16" t="s">
        <v>48</v>
      </c>
      <c r="B5600" s="17" t="s">
        <v>65</v>
      </c>
      <c r="C5600" s="17" t="s">
        <v>8</v>
      </c>
      <c r="D5600" s="17" t="s">
        <v>10</v>
      </c>
      <c r="E5600" s="17" t="s">
        <v>17</v>
      </c>
      <c r="F5600" s="17" t="str">
        <f>INDEX(nrg_cb_e!$A$3:$A$40,MATCH(LEFT(MID('Industriesektor GWh'!$B5600,41,1000),SEARCH(" - ",MID('Industriesektor GWh'!$B5600,41,1000))-1),nrg_cb_e!$C$3:$C$40,0))</f>
        <v>FC_IND_NMM_E</v>
      </c>
      <c r="G5600" s="18">
        <v>2002.26</v>
      </c>
    </row>
    <row r="5601" spans="1:7" x14ac:dyDescent="0.2">
      <c r="A5601" s="19" t="s">
        <v>48</v>
      </c>
      <c r="B5601" s="20" t="s">
        <v>65</v>
      </c>
      <c r="C5601" s="20" t="s">
        <v>8</v>
      </c>
      <c r="D5601" s="20" t="s">
        <v>10</v>
      </c>
      <c r="E5601" s="20" t="s">
        <v>18</v>
      </c>
      <c r="F5601" s="20" t="str">
        <f>INDEX(nrg_cb_e!$A$3:$A$40,MATCH(LEFT(MID('Industriesektor GWh'!$B5601,41,1000),SEARCH(" - ",MID('Industriesektor GWh'!$B5601,41,1000))-1),nrg_cb_e!$C$3:$C$40,0))</f>
        <v>FC_IND_NMM_E</v>
      </c>
      <c r="G5601" s="21">
        <v>2044.877</v>
      </c>
    </row>
    <row r="5602" spans="1:7" x14ac:dyDescent="0.2">
      <c r="A5602" s="16" t="s">
        <v>48</v>
      </c>
      <c r="B5602" s="17" t="s">
        <v>65</v>
      </c>
      <c r="C5602" s="17" t="s">
        <v>8</v>
      </c>
      <c r="D5602" s="17" t="s">
        <v>10</v>
      </c>
      <c r="E5602" s="17" t="s">
        <v>19</v>
      </c>
      <c r="F5602" s="17" t="str">
        <f>INDEX(nrg_cb_e!$A$3:$A$40,MATCH(LEFT(MID('Industriesektor GWh'!$B5602,41,1000),SEARCH(" - ",MID('Industriesektor GWh'!$B5602,41,1000))-1),nrg_cb_e!$C$3:$C$40,0))</f>
        <v>FC_IND_NMM_E</v>
      </c>
      <c r="G5602" s="18">
        <v>1804.913</v>
      </c>
    </row>
    <row r="5603" spans="1:7" x14ac:dyDescent="0.2">
      <c r="A5603" s="19" t="s">
        <v>48</v>
      </c>
      <c r="B5603" s="20" t="s">
        <v>65</v>
      </c>
      <c r="C5603" s="20" t="s">
        <v>8</v>
      </c>
      <c r="D5603" s="20" t="s">
        <v>10</v>
      </c>
      <c r="E5603" s="20" t="s">
        <v>20</v>
      </c>
      <c r="F5603" s="20" t="str">
        <f>INDEX(nrg_cb_e!$A$3:$A$40,MATCH(LEFT(MID('Industriesektor GWh'!$B5603,41,1000),SEARCH(" - ",MID('Industriesektor GWh'!$B5603,41,1000))-1),nrg_cb_e!$C$3:$C$40,0))</f>
        <v>FC_IND_NMM_E</v>
      </c>
      <c r="G5603" s="21">
        <v>1875.663</v>
      </c>
    </row>
    <row r="5604" spans="1:7" x14ac:dyDescent="0.2">
      <c r="A5604" s="16" t="s">
        <v>48</v>
      </c>
      <c r="B5604" s="17" t="s">
        <v>65</v>
      </c>
      <c r="C5604" s="17" t="s">
        <v>8</v>
      </c>
      <c r="D5604" s="17" t="s">
        <v>10</v>
      </c>
      <c r="E5604" s="17" t="s">
        <v>21</v>
      </c>
      <c r="F5604" s="17" t="str">
        <f>INDEX(nrg_cb_e!$A$3:$A$40,MATCH(LEFT(MID('Industriesektor GWh'!$B5604,41,1000),SEARCH(" - ",MID('Industriesektor GWh'!$B5604,41,1000))-1),nrg_cb_e!$C$3:$C$40,0))</f>
        <v>FC_IND_NMM_E</v>
      </c>
      <c r="G5604" s="18">
        <v>1845.99</v>
      </c>
    </row>
    <row r="5605" spans="1:7" x14ac:dyDescent="0.2">
      <c r="A5605" s="19" t="s">
        <v>48</v>
      </c>
      <c r="B5605" s="20" t="s">
        <v>65</v>
      </c>
      <c r="C5605" s="20" t="s">
        <v>8</v>
      </c>
      <c r="D5605" s="20" t="s">
        <v>10</v>
      </c>
      <c r="E5605" s="20" t="s">
        <v>22</v>
      </c>
      <c r="F5605" s="20" t="str">
        <f>INDEX(nrg_cb_e!$A$3:$A$40,MATCH(LEFT(MID('Industriesektor GWh'!$B5605,41,1000),SEARCH(" - ",MID('Industriesektor GWh'!$B5605,41,1000))-1),nrg_cb_e!$C$3:$C$40,0))</f>
        <v>FC_IND_NMM_E</v>
      </c>
      <c r="G5605" s="21">
        <v>1839.5830000000001</v>
      </c>
    </row>
    <row r="5606" spans="1:7" x14ac:dyDescent="0.2">
      <c r="A5606" s="16" t="s">
        <v>48</v>
      </c>
      <c r="B5606" s="17" t="s">
        <v>65</v>
      </c>
      <c r="C5606" s="17" t="s">
        <v>8</v>
      </c>
      <c r="D5606" s="17" t="s">
        <v>10</v>
      </c>
      <c r="E5606" s="17" t="s">
        <v>23</v>
      </c>
      <c r="F5606" s="17" t="str">
        <f>INDEX(nrg_cb_e!$A$3:$A$40,MATCH(LEFT(MID('Industriesektor GWh'!$B5606,41,1000),SEARCH(" - ",MID('Industriesektor GWh'!$B5606,41,1000))-1),nrg_cb_e!$C$3:$C$40,0))</f>
        <v>FC_IND_NMM_E</v>
      </c>
      <c r="G5606" s="18">
        <v>2618.6390000000001</v>
      </c>
    </row>
    <row r="5607" spans="1:7" x14ac:dyDescent="0.2">
      <c r="A5607" s="19" t="s">
        <v>48</v>
      </c>
      <c r="B5607" s="20" t="s">
        <v>65</v>
      </c>
      <c r="C5607" s="20" t="s">
        <v>8</v>
      </c>
      <c r="D5607" s="20" t="s">
        <v>10</v>
      </c>
      <c r="E5607" s="20" t="s">
        <v>24</v>
      </c>
      <c r="F5607" s="20" t="str">
        <f>INDEX(nrg_cb_e!$A$3:$A$40,MATCH(LEFT(MID('Industriesektor GWh'!$B5607,41,1000),SEARCH(" - ",MID('Industriesektor GWh'!$B5607,41,1000))-1),nrg_cb_e!$C$3:$C$40,0))</f>
        <v>FC_IND_NMM_E</v>
      </c>
      <c r="G5607" s="21">
        <v>2418.63</v>
      </c>
    </row>
    <row r="5608" spans="1:7" x14ac:dyDescent="0.2">
      <c r="A5608" s="16" t="s">
        <v>48</v>
      </c>
      <c r="B5608" s="17" t="s">
        <v>65</v>
      </c>
      <c r="C5608" s="17" t="s">
        <v>8</v>
      </c>
      <c r="D5608" s="17" t="s">
        <v>10</v>
      </c>
      <c r="E5608" s="17" t="s">
        <v>25</v>
      </c>
      <c r="F5608" s="17" t="str">
        <f>INDEX(nrg_cb_e!$A$3:$A$40,MATCH(LEFT(MID('Industriesektor GWh'!$B5608,41,1000),SEARCH(" - ",MID('Industriesektor GWh'!$B5608,41,1000))-1),nrg_cb_e!$C$3:$C$40,0))</f>
        <v>FC_IND_NMM_E</v>
      </c>
      <c r="G5608" s="18">
        <v>2491.5300000000002</v>
      </c>
    </row>
    <row r="5609" spans="1:7" x14ac:dyDescent="0.2">
      <c r="A5609" s="19" t="s">
        <v>48</v>
      </c>
      <c r="B5609" s="20" t="s">
        <v>65</v>
      </c>
      <c r="C5609" s="20" t="s">
        <v>8</v>
      </c>
      <c r="D5609" s="20" t="s">
        <v>10</v>
      </c>
      <c r="E5609" s="20" t="s">
        <v>26</v>
      </c>
      <c r="F5609" s="20" t="str">
        <f>INDEX(nrg_cb_e!$A$3:$A$40,MATCH(LEFT(MID('Industriesektor GWh'!$B5609,41,1000),SEARCH(" - ",MID('Industriesektor GWh'!$B5609,41,1000))-1),nrg_cb_e!$C$3:$C$40,0))</f>
        <v>FC_IND_NMM_E</v>
      </c>
      <c r="G5609" s="21">
        <v>2404.7860000000001</v>
      </c>
    </row>
    <row r="5610" spans="1:7" x14ac:dyDescent="0.2">
      <c r="A5610" s="16" t="s">
        <v>48</v>
      </c>
      <c r="B5610" s="17" t="s">
        <v>65</v>
      </c>
      <c r="C5610" s="17" t="s">
        <v>8</v>
      </c>
      <c r="D5610" s="17" t="s">
        <v>10</v>
      </c>
      <c r="E5610" s="17" t="s">
        <v>27</v>
      </c>
      <c r="F5610" s="17" t="str">
        <f>INDEX(nrg_cb_e!$A$3:$A$40,MATCH(LEFT(MID('Industriesektor GWh'!$B5610,41,1000),SEARCH(" - ",MID('Industriesektor GWh'!$B5610,41,1000))-1),nrg_cb_e!$C$3:$C$40,0))</f>
        <v>FC_IND_NMM_E</v>
      </c>
      <c r="G5610" s="18">
        <v>2394.4430000000002</v>
      </c>
    </row>
    <row r="5611" spans="1:7" x14ac:dyDescent="0.2">
      <c r="A5611" s="19" t="s">
        <v>48</v>
      </c>
      <c r="B5611" s="20" t="s">
        <v>65</v>
      </c>
      <c r="C5611" s="20" t="s">
        <v>8</v>
      </c>
      <c r="D5611" s="20" t="s">
        <v>10</v>
      </c>
      <c r="E5611" s="20" t="s">
        <v>28</v>
      </c>
      <c r="F5611" s="20" t="str">
        <f>INDEX(nrg_cb_e!$A$3:$A$40,MATCH(LEFT(MID('Industriesektor GWh'!$B5611,41,1000),SEARCH(" - ",MID('Industriesektor GWh'!$B5611,41,1000))-1),nrg_cb_e!$C$3:$C$40,0))</f>
        <v>FC_IND_NMM_E</v>
      </c>
      <c r="G5611" s="21">
        <v>2453.116</v>
      </c>
    </row>
    <row r="5612" spans="1:7" x14ac:dyDescent="0.2">
      <c r="A5612" s="16" t="s">
        <v>49</v>
      </c>
      <c r="B5612" s="17" t="s">
        <v>65</v>
      </c>
      <c r="C5612" s="17" t="s">
        <v>8</v>
      </c>
      <c r="D5612" s="17" t="s">
        <v>10</v>
      </c>
      <c r="E5612" s="17" t="s">
        <v>12</v>
      </c>
      <c r="F5612" s="17" t="str">
        <f>INDEX(nrg_cb_e!$A$3:$A$40,MATCH(LEFT(MID('Industriesektor GWh'!$B5612,41,1000),SEARCH(" - ",MID('Industriesektor GWh'!$B5612,41,1000))-1),nrg_cb_e!$C$3:$C$40,0))</f>
        <v>FC_IND_NMM_E</v>
      </c>
      <c r="G5612" s="18">
        <v>3047</v>
      </c>
    </row>
    <row r="5613" spans="1:7" x14ac:dyDescent="0.2">
      <c r="A5613" s="19" t="s">
        <v>49</v>
      </c>
      <c r="B5613" s="20" t="s">
        <v>65</v>
      </c>
      <c r="C5613" s="20" t="s">
        <v>8</v>
      </c>
      <c r="D5613" s="20" t="s">
        <v>10</v>
      </c>
      <c r="E5613" s="20" t="s">
        <v>13</v>
      </c>
      <c r="F5613" s="20" t="str">
        <f>INDEX(nrg_cb_e!$A$3:$A$40,MATCH(LEFT(MID('Industriesektor GWh'!$B5613,41,1000),SEARCH(" - ",MID('Industriesektor GWh'!$B5613,41,1000))-1),nrg_cb_e!$C$3:$C$40,0))</f>
        <v>FC_IND_NMM_E</v>
      </c>
      <c r="G5613" s="21">
        <v>3148</v>
      </c>
    </row>
    <row r="5614" spans="1:7" x14ac:dyDescent="0.2">
      <c r="A5614" s="16" t="s">
        <v>49</v>
      </c>
      <c r="B5614" s="17" t="s">
        <v>65</v>
      </c>
      <c r="C5614" s="17" t="s">
        <v>8</v>
      </c>
      <c r="D5614" s="17" t="s">
        <v>10</v>
      </c>
      <c r="E5614" s="17" t="s">
        <v>14</v>
      </c>
      <c r="F5614" s="17" t="str">
        <f>INDEX(nrg_cb_e!$A$3:$A$40,MATCH(LEFT(MID('Industriesektor GWh'!$B5614,41,1000),SEARCH(" - ",MID('Industriesektor GWh'!$B5614,41,1000))-1),nrg_cb_e!$C$3:$C$40,0))</f>
        <v>FC_IND_NMM_E</v>
      </c>
      <c r="G5614" s="18">
        <v>3450</v>
      </c>
    </row>
    <row r="5615" spans="1:7" x14ac:dyDescent="0.2">
      <c r="A5615" s="19" t="s">
        <v>49</v>
      </c>
      <c r="B5615" s="20" t="s">
        <v>65</v>
      </c>
      <c r="C5615" s="20" t="s">
        <v>8</v>
      </c>
      <c r="D5615" s="20" t="s">
        <v>10</v>
      </c>
      <c r="E5615" s="20" t="s">
        <v>15</v>
      </c>
      <c r="F5615" s="20" t="str">
        <f>INDEX(nrg_cb_e!$A$3:$A$40,MATCH(LEFT(MID('Industriesektor GWh'!$B5615,41,1000),SEARCH(" - ",MID('Industriesektor GWh'!$B5615,41,1000))-1),nrg_cb_e!$C$3:$C$40,0))</f>
        <v>FC_IND_NMM_E</v>
      </c>
      <c r="G5615" s="21">
        <v>3480</v>
      </c>
    </row>
    <row r="5616" spans="1:7" x14ac:dyDescent="0.2">
      <c r="A5616" s="16" t="s">
        <v>49</v>
      </c>
      <c r="B5616" s="17" t="s">
        <v>65</v>
      </c>
      <c r="C5616" s="17" t="s">
        <v>8</v>
      </c>
      <c r="D5616" s="17" t="s">
        <v>10</v>
      </c>
      <c r="E5616" s="17" t="s">
        <v>16</v>
      </c>
      <c r="F5616" s="17" t="str">
        <f>INDEX(nrg_cb_e!$A$3:$A$40,MATCH(LEFT(MID('Industriesektor GWh'!$B5616,41,1000),SEARCH(" - ",MID('Industriesektor GWh'!$B5616,41,1000))-1),nrg_cb_e!$C$3:$C$40,0))</f>
        <v>FC_IND_NMM_E</v>
      </c>
      <c r="G5616" s="18">
        <v>3698</v>
      </c>
    </row>
    <row r="5617" spans="1:7" x14ac:dyDescent="0.2">
      <c r="A5617" s="19" t="s">
        <v>49</v>
      </c>
      <c r="B5617" s="20" t="s">
        <v>65</v>
      </c>
      <c r="C5617" s="20" t="s">
        <v>8</v>
      </c>
      <c r="D5617" s="20" t="s">
        <v>10</v>
      </c>
      <c r="E5617" s="20" t="s">
        <v>17</v>
      </c>
      <c r="F5617" s="20" t="str">
        <f>INDEX(nrg_cb_e!$A$3:$A$40,MATCH(LEFT(MID('Industriesektor GWh'!$B5617,41,1000),SEARCH(" - ",MID('Industriesektor GWh'!$B5617,41,1000))-1),nrg_cb_e!$C$3:$C$40,0))</f>
        <v>FC_IND_NMM_E</v>
      </c>
      <c r="G5617" s="21">
        <v>4195</v>
      </c>
    </row>
    <row r="5618" spans="1:7" x14ac:dyDescent="0.2">
      <c r="A5618" s="16" t="s">
        <v>49</v>
      </c>
      <c r="B5618" s="17" t="s">
        <v>65</v>
      </c>
      <c r="C5618" s="17" t="s">
        <v>8</v>
      </c>
      <c r="D5618" s="17" t="s">
        <v>10</v>
      </c>
      <c r="E5618" s="17" t="s">
        <v>18</v>
      </c>
      <c r="F5618" s="17" t="str">
        <f>INDEX(nrg_cb_e!$A$3:$A$40,MATCH(LEFT(MID('Industriesektor GWh'!$B5618,41,1000),SEARCH(" - ",MID('Industriesektor GWh'!$B5618,41,1000))-1),nrg_cb_e!$C$3:$C$40,0))</f>
        <v>FC_IND_NMM_E</v>
      </c>
      <c r="G5618" s="18">
        <v>4087</v>
      </c>
    </row>
    <row r="5619" spans="1:7" x14ac:dyDescent="0.2">
      <c r="A5619" s="19" t="s">
        <v>49</v>
      </c>
      <c r="B5619" s="20" t="s">
        <v>65</v>
      </c>
      <c r="C5619" s="20" t="s">
        <v>8</v>
      </c>
      <c r="D5619" s="20" t="s">
        <v>10</v>
      </c>
      <c r="E5619" s="20" t="s">
        <v>19</v>
      </c>
      <c r="F5619" s="20" t="str">
        <f>INDEX(nrg_cb_e!$A$3:$A$40,MATCH(LEFT(MID('Industriesektor GWh'!$B5619,41,1000),SEARCH(" - ",MID('Industriesektor GWh'!$B5619,41,1000))-1),nrg_cb_e!$C$3:$C$40,0))</f>
        <v>FC_IND_NMM_E</v>
      </c>
      <c r="G5619" s="21">
        <v>4162</v>
      </c>
    </row>
    <row r="5620" spans="1:7" x14ac:dyDescent="0.2">
      <c r="A5620" s="16" t="s">
        <v>49</v>
      </c>
      <c r="B5620" s="17" t="s">
        <v>65</v>
      </c>
      <c r="C5620" s="17" t="s">
        <v>8</v>
      </c>
      <c r="D5620" s="17" t="s">
        <v>10</v>
      </c>
      <c r="E5620" s="17" t="s">
        <v>20</v>
      </c>
      <c r="F5620" s="17" t="str">
        <f>INDEX(nrg_cb_e!$A$3:$A$40,MATCH(LEFT(MID('Industriesektor GWh'!$B5620,41,1000),SEARCH(" - ",MID('Industriesektor GWh'!$B5620,41,1000))-1),nrg_cb_e!$C$3:$C$40,0))</f>
        <v>FC_IND_NMM_E</v>
      </c>
      <c r="G5620" s="18">
        <v>4387</v>
      </c>
    </row>
    <row r="5621" spans="1:7" x14ac:dyDescent="0.2">
      <c r="A5621" s="19" t="s">
        <v>49</v>
      </c>
      <c r="B5621" s="20" t="s">
        <v>65</v>
      </c>
      <c r="C5621" s="20" t="s">
        <v>8</v>
      </c>
      <c r="D5621" s="20" t="s">
        <v>10</v>
      </c>
      <c r="E5621" s="20" t="s">
        <v>21</v>
      </c>
      <c r="F5621" s="20" t="str">
        <f>INDEX(nrg_cb_e!$A$3:$A$40,MATCH(LEFT(MID('Industriesektor GWh'!$B5621,41,1000),SEARCH(" - ",MID('Industriesektor GWh'!$B5621,41,1000))-1),nrg_cb_e!$C$3:$C$40,0))</f>
        <v>FC_IND_NMM_E</v>
      </c>
      <c r="G5621" s="21">
        <v>4844</v>
      </c>
    </row>
    <row r="5622" spans="1:7" x14ac:dyDescent="0.2">
      <c r="A5622" s="16" t="s">
        <v>49</v>
      </c>
      <c r="B5622" s="17" t="s">
        <v>65</v>
      </c>
      <c r="C5622" s="17" t="s">
        <v>8</v>
      </c>
      <c r="D5622" s="17" t="s">
        <v>10</v>
      </c>
      <c r="E5622" s="17" t="s">
        <v>22</v>
      </c>
      <c r="F5622" s="17" t="str">
        <f>INDEX(nrg_cb_e!$A$3:$A$40,MATCH(LEFT(MID('Industriesektor GWh'!$B5622,41,1000),SEARCH(" - ",MID('Industriesektor GWh'!$B5622,41,1000))-1),nrg_cb_e!$C$3:$C$40,0))</f>
        <v>FC_IND_NMM_E</v>
      </c>
      <c r="G5622" s="18">
        <v>4539</v>
      </c>
    </row>
    <row r="5623" spans="1:7" x14ac:dyDescent="0.2">
      <c r="A5623" s="19" t="s">
        <v>49</v>
      </c>
      <c r="B5623" s="20" t="s">
        <v>65</v>
      </c>
      <c r="C5623" s="20" t="s">
        <v>8</v>
      </c>
      <c r="D5623" s="20" t="s">
        <v>10</v>
      </c>
      <c r="E5623" s="20" t="s">
        <v>23</v>
      </c>
      <c r="F5623" s="20" t="str">
        <f>INDEX(nrg_cb_e!$A$3:$A$40,MATCH(LEFT(MID('Industriesektor GWh'!$B5623,41,1000),SEARCH(" - ",MID('Industriesektor GWh'!$B5623,41,1000))-1),nrg_cb_e!$C$3:$C$40,0))</f>
        <v>FC_IND_NMM_E</v>
      </c>
      <c r="G5623" s="21">
        <v>4399</v>
      </c>
    </row>
    <row r="5624" spans="1:7" x14ac:dyDescent="0.2">
      <c r="A5624" s="16" t="s">
        <v>49</v>
      </c>
      <c r="B5624" s="17" t="s">
        <v>65</v>
      </c>
      <c r="C5624" s="17" t="s">
        <v>8</v>
      </c>
      <c r="D5624" s="17" t="s">
        <v>10</v>
      </c>
      <c r="E5624" s="17" t="s">
        <v>24</v>
      </c>
      <c r="F5624" s="17" t="str">
        <f>INDEX(nrg_cb_e!$A$3:$A$40,MATCH(LEFT(MID('Industriesektor GWh'!$B5624,41,1000),SEARCH(" - ",MID('Industriesektor GWh'!$B5624,41,1000))-1),nrg_cb_e!$C$3:$C$40,0))</f>
        <v>FC_IND_NMM_E</v>
      </c>
      <c r="G5624" s="18">
        <v>4509</v>
      </c>
    </row>
    <row r="5625" spans="1:7" x14ac:dyDescent="0.2">
      <c r="A5625" s="19" t="s">
        <v>49</v>
      </c>
      <c r="B5625" s="20" t="s">
        <v>65</v>
      </c>
      <c r="C5625" s="20" t="s">
        <v>8</v>
      </c>
      <c r="D5625" s="20" t="s">
        <v>10</v>
      </c>
      <c r="E5625" s="20" t="s">
        <v>25</v>
      </c>
      <c r="F5625" s="20" t="str">
        <f>INDEX(nrg_cb_e!$A$3:$A$40,MATCH(LEFT(MID('Industriesektor GWh'!$B5625,41,1000),SEARCH(" - ",MID('Industriesektor GWh'!$B5625,41,1000))-1),nrg_cb_e!$C$3:$C$40,0))</f>
        <v>FC_IND_NMM_E</v>
      </c>
      <c r="G5625" s="21">
        <v>4681</v>
      </c>
    </row>
    <row r="5626" spans="1:7" x14ac:dyDescent="0.2">
      <c r="A5626" s="16" t="s">
        <v>49</v>
      </c>
      <c r="B5626" s="17" t="s">
        <v>65</v>
      </c>
      <c r="C5626" s="17" t="s">
        <v>8</v>
      </c>
      <c r="D5626" s="17" t="s">
        <v>10</v>
      </c>
      <c r="E5626" s="17" t="s">
        <v>26</v>
      </c>
      <c r="F5626" s="17" t="str">
        <f>INDEX(nrg_cb_e!$A$3:$A$40,MATCH(LEFT(MID('Industriesektor GWh'!$B5626,41,1000),SEARCH(" - ",MID('Industriesektor GWh'!$B5626,41,1000))-1),nrg_cb_e!$C$3:$C$40,0))</f>
        <v>FC_IND_NMM_E</v>
      </c>
      <c r="G5626" s="18">
        <v>5164</v>
      </c>
    </row>
    <row r="5627" spans="1:7" x14ac:dyDescent="0.2">
      <c r="A5627" s="19" t="s">
        <v>49</v>
      </c>
      <c r="B5627" s="20" t="s">
        <v>65</v>
      </c>
      <c r="C5627" s="20" t="s">
        <v>8</v>
      </c>
      <c r="D5627" s="20" t="s">
        <v>10</v>
      </c>
      <c r="E5627" s="20" t="s">
        <v>27</v>
      </c>
      <c r="F5627" s="20" t="str">
        <f>INDEX(nrg_cb_e!$A$3:$A$40,MATCH(LEFT(MID('Industriesektor GWh'!$B5627,41,1000),SEARCH(" - ",MID('Industriesektor GWh'!$B5627,41,1000))-1),nrg_cb_e!$C$3:$C$40,0))</f>
        <v>FC_IND_NMM_E</v>
      </c>
      <c r="G5627" s="21">
        <v>5483.42</v>
      </c>
    </row>
    <row r="5628" spans="1:7" x14ac:dyDescent="0.2">
      <c r="A5628" s="16" t="s">
        <v>49</v>
      </c>
      <c r="B5628" s="17" t="s">
        <v>65</v>
      </c>
      <c r="C5628" s="17" t="s">
        <v>8</v>
      </c>
      <c r="D5628" s="17" t="s">
        <v>10</v>
      </c>
      <c r="E5628" s="17" t="s">
        <v>28</v>
      </c>
      <c r="F5628" s="17" t="str">
        <f>INDEX(nrg_cb_e!$A$3:$A$40,MATCH(LEFT(MID('Industriesektor GWh'!$B5628,41,1000),SEARCH(" - ",MID('Industriesektor GWh'!$B5628,41,1000))-1),nrg_cb_e!$C$3:$C$40,0))</f>
        <v>FC_IND_NMM_E</v>
      </c>
      <c r="G5628" s="18">
        <v>5699.4769999999999</v>
      </c>
    </row>
    <row r="5629" spans="1:7" x14ac:dyDescent="0.2">
      <c r="A5629" s="19" t="s">
        <v>50</v>
      </c>
      <c r="B5629" s="20" t="s">
        <v>65</v>
      </c>
      <c r="C5629" s="20" t="s">
        <v>8</v>
      </c>
      <c r="D5629" s="20" t="s">
        <v>10</v>
      </c>
      <c r="E5629" s="20" t="s">
        <v>12</v>
      </c>
      <c r="F5629" s="20" t="str">
        <f>INDEX(nrg_cb_e!$A$3:$A$40,MATCH(LEFT(MID('Industriesektor GWh'!$B5629,41,1000),SEARCH(" - ",MID('Industriesektor GWh'!$B5629,41,1000))-1),nrg_cb_e!$C$3:$C$40,0))</f>
        <v>FC_IND_NMM_E</v>
      </c>
      <c r="G5629" s="21">
        <v>2350</v>
      </c>
    </row>
    <row r="5630" spans="1:7" x14ac:dyDescent="0.2">
      <c r="A5630" s="16" t="s">
        <v>50</v>
      </c>
      <c r="B5630" s="17" t="s">
        <v>65</v>
      </c>
      <c r="C5630" s="17" t="s">
        <v>8</v>
      </c>
      <c r="D5630" s="17" t="s">
        <v>10</v>
      </c>
      <c r="E5630" s="17" t="s">
        <v>13</v>
      </c>
      <c r="F5630" s="17" t="str">
        <f>INDEX(nrg_cb_e!$A$3:$A$40,MATCH(LEFT(MID('Industriesektor GWh'!$B5630,41,1000),SEARCH(" - ",MID('Industriesektor GWh'!$B5630,41,1000))-1),nrg_cb_e!$C$3:$C$40,0))</f>
        <v>FC_IND_NMM_E</v>
      </c>
      <c r="G5630" s="18">
        <v>2233</v>
      </c>
    </row>
    <row r="5631" spans="1:7" x14ac:dyDescent="0.2">
      <c r="A5631" s="19" t="s">
        <v>50</v>
      </c>
      <c r="B5631" s="20" t="s">
        <v>65</v>
      </c>
      <c r="C5631" s="20" t="s">
        <v>8</v>
      </c>
      <c r="D5631" s="20" t="s">
        <v>10</v>
      </c>
      <c r="E5631" s="20" t="s">
        <v>14</v>
      </c>
      <c r="F5631" s="20" t="str">
        <f>INDEX(nrg_cb_e!$A$3:$A$40,MATCH(LEFT(MID('Industriesektor GWh'!$B5631,41,1000),SEARCH(" - ",MID('Industriesektor GWh'!$B5631,41,1000))-1),nrg_cb_e!$C$3:$C$40,0))</f>
        <v>FC_IND_NMM_E</v>
      </c>
      <c r="G5631" s="21">
        <v>2336</v>
      </c>
    </row>
    <row r="5632" spans="1:7" x14ac:dyDescent="0.2">
      <c r="A5632" s="16" t="s">
        <v>50</v>
      </c>
      <c r="B5632" s="17" t="s">
        <v>65</v>
      </c>
      <c r="C5632" s="17" t="s">
        <v>8</v>
      </c>
      <c r="D5632" s="17" t="s">
        <v>10</v>
      </c>
      <c r="E5632" s="17" t="s">
        <v>15</v>
      </c>
      <c r="F5632" s="17" t="str">
        <f>INDEX(nrg_cb_e!$A$3:$A$40,MATCH(LEFT(MID('Industriesektor GWh'!$B5632,41,1000),SEARCH(" - ",MID('Industriesektor GWh'!$B5632,41,1000))-1),nrg_cb_e!$C$3:$C$40,0))</f>
        <v>FC_IND_NMM_E</v>
      </c>
      <c r="G5632" s="18">
        <v>2336</v>
      </c>
    </row>
    <row r="5633" spans="1:7" x14ac:dyDescent="0.2">
      <c r="A5633" s="19" t="s">
        <v>50</v>
      </c>
      <c r="B5633" s="20" t="s">
        <v>65</v>
      </c>
      <c r="C5633" s="20" t="s">
        <v>8</v>
      </c>
      <c r="D5633" s="20" t="s">
        <v>10</v>
      </c>
      <c r="E5633" s="20" t="s">
        <v>16</v>
      </c>
      <c r="F5633" s="20" t="str">
        <f>INDEX(nrg_cb_e!$A$3:$A$40,MATCH(LEFT(MID('Industriesektor GWh'!$B5633,41,1000),SEARCH(" - ",MID('Industriesektor GWh'!$B5633,41,1000))-1),nrg_cb_e!$C$3:$C$40,0))</f>
        <v>FC_IND_NMM_E</v>
      </c>
      <c r="G5633" s="21">
        <v>2418</v>
      </c>
    </row>
    <row r="5634" spans="1:7" x14ac:dyDescent="0.2">
      <c r="A5634" s="16" t="s">
        <v>50</v>
      </c>
      <c r="B5634" s="17" t="s">
        <v>65</v>
      </c>
      <c r="C5634" s="17" t="s">
        <v>8</v>
      </c>
      <c r="D5634" s="17" t="s">
        <v>10</v>
      </c>
      <c r="E5634" s="17" t="s">
        <v>17</v>
      </c>
      <c r="F5634" s="17" t="str">
        <f>INDEX(nrg_cb_e!$A$3:$A$40,MATCH(LEFT(MID('Industriesektor GWh'!$B5634,41,1000),SEARCH(" - ",MID('Industriesektor GWh'!$B5634,41,1000))-1),nrg_cb_e!$C$3:$C$40,0))</f>
        <v>FC_IND_NMM_E</v>
      </c>
      <c r="G5634" s="18">
        <v>2578</v>
      </c>
    </row>
    <row r="5635" spans="1:7" x14ac:dyDescent="0.2">
      <c r="A5635" s="19" t="s">
        <v>50</v>
      </c>
      <c r="B5635" s="20" t="s">
        <v>65</v>
      </c>
      <c r="C5635" s="20" t="s">
        <v>8</v>
      </c>
      <c r="D5635" s="20" t="s">
        <v>10</v>
      </c>
      <c r="E5635" s="20" t="s">
        <v>18</v>
      </c>
      <c r="F5635" s="20" t="str">
        <f>INDEX(nrg_cb_e!$A$3:$A$40,MATCH(LEFT(MID('Industriesektor GWh'!$B5635,41,1000),SEARCH(" - ",MID('Industriesektor GWh'!$B5635,41,1000))-1),nrg_cb_e!$C$3:$C$40,0))</f>
        <v>FC_IND_NMM_E</v>
      </c>
      <c r="G5635" s="21">
        <v>2437</v>
      </c>
    </row>
    <row r="5636" spans="1:7" x14ac:dyDescent="0.2">
      <c r="A5636" s="16" t="s">
        <v>50</v>
      </c>
      <c r="B5636" s="17" t="s">
        <v>65</v>
      </c>
      <c r="C5636" s="17" t="s">
        <v>8</v>
      </c>
      <c r="D5636" s="17" t="s">
        <v>10</v>
      </c>
      <c r="E5636" s="17" t="s">
        <v>19</v>
      </c>
      <c r="F5636" s="17" t="str">
        <f>INDEX(nrg_cb_e!$A$3:$A$40,MATCH(LEFT(MID('Industriesektor GWh'!$B5636,41,1000),SEARCH(" - ",MID('Industriesektor GWh'!$B5636,41,1000))-1),nrg_cb_e!$C$3:$C$40,0))</f>
        <v>FC_IND_NMM_E</v>
      </c>
      <c r="G5636" s="18">
        <v>2088</v>
      </c>
    </row>
    <row r="5637" spans="1:7" x14ac:dyDescent="0.2">
      <c r="A5637" s="19" t="s">
        <v>50</v>
      </c>
      <c r="B5637" s="20" t="s">
        <v>65</v>
      </c>
      <c r="C5637" s="20" t="s">
        <v>8</v>
      </c>
      <c r="D5637" s="20" t="s">
        <v>10</v>
      </c>
      <c r="E5637" s="20" t="s">
        <v>20</v>
      </c>
      <c r="F5637" s="20" t="str">
        <f>INDEX(nrg_cb_e!$A$3:$A$40,MATCH(LEFT(MID('Industriesektor GWh'!$B5637,41,1000),SEARCH(" - ",MID('Industriesektor GWh'!$B5637,41,1000))-1),nrg_cb_e!$C$3:$C$40,0))</f>
        <v>FC_IND_NMM_E</v>
      </c>
      <c r="G5637" s="21">
        <v>2194</v>
      </c>
    </row>
    <row r="5638" spans="1:7" x14ac:dyDescent="0.2">
      <c r="A5638" s="16" t="s">
        <v>50</v>
      </c>
      <c r="B5638" s="17" t="s">
        <v>65</v>
      </c>
      <c r="C5638" s="17" t="s">
        <v>8</v>
      </c>
      <c r="D5638" s="17" t="s">
        <v>10</v>
      </c>
      <c r="E5638" s="17" t="s">
        <v>21</v>
      </c>
      <c r="F5638" s="17" t="str">
        <f>INDEX(nrg_cb_e!$A$3:$A$40,MATCH(LEFT(MID('Industriesektor GWh'!$B5638,41,1000),SEARCH(" - ",MID('Industriesektor GWh'!$B5638,41,1000))-1),nrg_cb_e!$C$3:$C$40,0))</f>
        <v>FC_IND_NMM_E</v>
      </c>
      <c r="G5638" s="18">
        <v>1998</v>
      </c>
    </row>
    <row r="5639" spans="1:7" x14ac:dyDescent="0.2">
      <c r="A5639" s="19" t="s">
        <v>50</v>
      </c>
      <c r="B5639" s="20" t="s">
        <v>65</v>
      </c>
      <c r="C5639" s="20" t="s">
        <v>8</v>
      </c>
      <c r="D5639" s="20" t="s">
        <v>10</v>
      </c>
      <c r="E5639" s="20" t="s">
        <v>22</v>
      </c>
      <c r="F5639" s="20" t="str">
        <f>INDEX(nrg_cb_e!$A$3:$A$40,MATCH(LEFT(MID('Industriesektor GWh'!$B5639,41,1000),SEARCH(" - ",MID('Industriesektor GWh'!$B5639,41,1000))-1),nrg_cb_e!$C$3:$C$40,0))</f>
        <v>FC_IND_NMM_E</v>
      </c>
      <c r="G5639" s="21">
        <v>1831</v>
      </c>
    </row>
    <row r="5640" spans="1:7" x14ac:dyDescent="0.2">
      <c r="A5640" s="16" t="s">
        <v>50</v>
      </c>
      <c r="B5640" s="17" t="s">
        <v>65</v>
      </c>
      <c r="C5640" s="17" t="s">
        <v>8</v>
      </c>
      <c r="D5640" s="17" t="s">
        <v>10</v>
      </c>
      <c r="E5640" s="17" t="s">
        <v>23</v>
      </c>
      <c r="F5640" s="17" t="str">
        <f>INDEX(nrg_cb_e!$A$3:$A$40,MATCH(LEFT(MID('Industriesektor GWh'!$B5640,41,1000),SEARCH(" - ",MID('Industriesektor GWh'!$B5640,41,1000))-1),nrg_cb_e!$C$3:$C$40,0))</f>
        <v>FC_IND_NMM_E</v>
      </c>
      <c r="G5640" s="18">
        <v>1801</v>
      </c>
    </row>
    <row r="5641" spans="1:7" x14ac:dyDescent="0.2">
      <c r="A5641" s="19" t="s">
        <v>50</v>
      </c>
      <c r="B5641" s="20" t="s">
        <v>65</v>
      </c>
      <c r="C5641" s="20" t="s">
        <v>8</v>
      </c>
      <c r="D5641" s="20" t="s">
        <v>10</v>
      </c>
      <c r="E5641" s="20" t="s">
        <v>24</v>
      </c>
      <c r="F5641" s="20" t="str">
        <f>INDEX(nrg_cb_e!$A$3:$A$40,MATCH(LEFT(MID('Industriesektor GWh'!$B5641,41,1000),SEARCH(" - ",MID('Industriesektor GWh'!$B5641,41,1000))-1),nrg_cb_e!$C$3:$C$40,0))</f>
        <v>FC_IND_NMM_E</v>
      </c>
      <c r="G5641" s="21">
        <v>1930</v>
      </c>
    </row>
    <row r="5642" spans="1:7" x14ac:dyDescent="0.2">
      <c r="A5642" s="16" t="s">
        <v>50</v>
      </c>
      <c r="B5642" s="17" t="s">
        <v>65</v>
      </c>
      <c r="C5642" s="17" t="s">
        <v>8</v>
      </c>
      <c r="D5642" s="17" t="s">
        <v>10</v>
      </c>
      <c r="E5642" s="17" t="s">
        <v>25</v>
      </c>
      <c r="F5642" s="17" t="str">
        <f>INDEX(nrg_cb_e!$A$3:$A$40,MATCH(LEFT(MID('Industriesektor GWh'!$B5642,41,1000),SEARCH(" - ",MID('Industriesektor GWh'!$B5642,41,1000))-1),nrg_cb_e!$C$3:$C$40,0))</f>
        <v>FC_IND_NMM_E</v>
      </c>
      <c r="G5642" s="18">
        <v>1956</v>
      </c>
    </row>
    <row r="5643" spans="1:7" x14ac:dyDescent="0.2">
      <c r="A5643" s="19" t="s">
        <v>50</v>
      </c>
      <c r="B5643" s="20" t="s">
        <v>65</v>
      </c>
      <c r="C5643" s="20" t="s">
        <v>8</v>
      </c>
      <c r="D5643" s="20" t="s">
        <v>10</v>
      </c>
      <c r="E5643" s="20" t="s">
        <v>26</v>
      </c>
      <c r="F5643" s="20" t="str">
        <f>INDEX(nrg_cb_e!$A$3:$A$40,MATCH(LEFT(MID('Industriesektor GWh'!$B5643,41,1000),SEARCH(" - ",MID('Industriesektor GWh'!$B5643,41,1000))-1),nrg_cb_e!$C$3:$C$40,0))</f>
        <v>FC_IND_NMM_E</v>
      </c>
      <c r="G5643" s="21">
        <v>1820.049</v>
      </c>
    </row>
    <row r="5644" spans="1:7" x14ac:dyDescent="0.2">
      <c r="A5644" s="16" t="s">
        <v>50</v>
      </c>
      <c r="B5644" s="17" t="s">
        <v>65</v>
      </c>
      <c r="C5644" s="17" t="s">
        <v>8</v>
      </c>
      <c r="D5644" s="17" t="s">
        <v>10</v>
      </c>
      <c r="E5644" s="17" t="s">
        <v>27</v>
      </c>
      <c r="F5644" s="17" t="str">
        <f>INDEX(nrg_cb_e!$A$3:$A$40,MATCH(LEFT(MID('Industriesektor GWh'!$B5644,41,1000),SEARCH(" - ",MID('Industriesektor GWh'!$B5644,41,1000))-1),nrg_cb_e!$C$3:$C$40,0))</f>
        <v>FC_IND_NMM_E</v>
      </c>
      <c r="G5644" s="18">
        <v>1919.527</v>
      </c>
    </row>
    <row r="5645" spans="1:7" x14ac:dyDescent="0.2">
      <c r="A5645" s="19" t="s">
        <v>50</v>
      </c>
      <c r="B5645" s="20" t="s">
        <v>65</v>
      </c>
      <c r="C5645" s="20" t="s">
        <v>8</v>
      </c>
      <c r="D5645" s="20" t="s">
        <v>10</v>
      </c>
      <c r="E5645" s="20" t="s">
        <v>28</v>
      </c>
      <c r="F5645" s="20" t="str">
        <f>INDEX(nrg_cb_e!$A$3:$A$40,MATCH(LEFT(MID('Industriesektor GWh'!$B5645,41,1000),SEARCH(" - ",MID('Industriesektor GWh'!$B5645,41,1000))-1),nrg_cb_e!$C$3:$C$40,0))</f>
        <v>FC_IND_NMM_E</v>
      </c>
      <c r="G5645" s="21">
        <v>1930.202</v>
      </c>
    </row>
    <row r="5646" spans="1:7" x14ac:dyDescent="0.2">
      <c r="A5646" s="16" t="s">
        <v>51</v>
      </c>
      <c r="B5646" s="17" t="s">
        <v>65</v>
      </c>
      <c r="C5646" s="17" t="s">
        <v>8</v>
      </c>
      <c r="D5646" s="17" t="s">
        <v>10</v>
      </c>
      <c r="E5646" s="17" t="s">
        <v>12</v>
      </c>
      <c r="F5646" s="17" t="str">
        <f>INDEX(nrg_cb_e!$A$3:$A$40,MATCH(LEFT(MID('Industriesektor GWh'!$B5646,41,1000),SEARCH(" - ",MID('Industriesektor GWh'!$B5646,41,1000))-1),nrg_cb_e!$C$3:$C$40,0))</f>
        <v>FC_IND_NMM_E</v>
      </c>
      <c r="G5646" s="18">
        <v>1715</v>
      </c>
    </row>
    <row r="5647" spans="1:7" x14ac:dyDescent="0.2">
      <c r="A5647" s="19" t="s">
        <v>51</v>
      </c>
      <c r="B5647" s="20" t="s">
        <v>65</v>
      </c>
      <c r="C5647" s="20" t="s">
        <v>8</v>
      </c>
      <c r="D5647" s="20" t="s">
        <v>10</v>
      </c>
      <c r="E5647" s="20" t="s">
        <v>13</v>
      </c>
      <c r="F5647" s="20" t="str">
        <f>INDEX(nrg_cb_e!$A$3:$A$40,MATCH(LEFT(MID('Industriesektor GWh'!$B5647,41,1000),SEARCH(" - ",MID('Industriesektor GWh'!$B5647,41,1000))-1),nrg_cb_e!$C$3:$C$40,0))</f>
        <v>FC_IND_NMM_E</v>
      </c>
      <c r="G5647" s="21">
        <v>1038</v>
      </c>
    </row>
    <row r="5648" spans="1:7" x14ac:dyDescent="0.2">
      <c r="A5648" s="16" t="s">
        <v>51</v>
      </c>
      <c r="B5648" s="17" t="s">
        <v>65</v>
      </c>
      <c r="C5648" s="17" t="s">
        <v>8</v>
      </c>
      <c r="D5648" s="17" t="s">
        <v>10</v>
      </c>
      <c r="E5648" s="17" t="s">
        <v>14</v>
      </c>
      <c r="F5648" s="17" t="str">
        <f>INDEX(nrg_cb_e!$A$3:$A$40,MATCH(LEFT(MID('Industriesektor GWh'!$B5648,41,1000),SEARCH(" - ",MID('Industriesektor GWh'!$B5648,41,1000))-1),nrg_cb_e!$C$3:$C$40,0))</f>
        <v>FC_IND_NMM_E</v>
      </c>
      <c r="G5648" s="18">
        <v>2056</v>
      </c>
    </row>
    <row r="5649" spans="1:7" x14ac:dyDescent="0.2">
      <c r="A5649" s="19" t="s">
        <v>51</v>
      </c>
      <c r="B5649" s="20" t="s">
        <v>65</v>
      </c>
      <c r="C5649" s="20" t="s">
        <v>8</v>
      </c>
      <c r="D5649" s="20" t="s">
        <v>10</v>
      </c>
      <c r="E5649" s="20" t="s">
        <v>15</v>
      </c>
      <c r="F5649" s="20" t="str">
        <f>INDEX(nrg_cb_e!$A$3:$A$40,MATCH(LEFT(MID('Industriesektor GWh'!$B5649,41,1000),SEARCH(" - ",MID('Industriesektor GWh'!$B5649,41,1000))-1),nrg_cb_e!$C$3:$C$40,0))</f>
        <v>FC_IND_NMM_E</v>
      </c>
      <c r="G5649" s="21">
        <v>2088</v>
      </c>
    </row>
    <row r="5650" spans="1:7" x14ac:dyDescent="0.2">
      <c r="A5650" s="16" t="s">
        <v>51</v>
      </c>
      <c r="B5650" s="17" t="s">
        <v>65</v>
      </c>
      <c r="C5650" s="17" t="s">
        <v>8</v>
      </c>
      <c r="D5650" s="17" t="s">
        <v>10</v>
      </c>
      <c r="E5650" s="17" t="s">
        <v>16</v>
      </c>
      <c r="F5650" s="17" t="str">
        <f>INDEX(nrg_cb_e!$A$3:$A$40,MATCH(LEFT(MID('Industriesektor GWh'!$B5650,41,1000),SEARCH(" - ",MID('Industriesektor GWh'!$B5650,41,1000))-1),nrg_cb_e!$C$3:$C$40,0))</f>
        <v>FC_IND_NMM_E</v>
      </c>
      <c r="G5650" s="18">
        <v>3138</v>
      </c>
    </row>
    <row r="5651" spans="1:7" x14ac:dyDescent="0.2">
      <c r="A5651" s="19" t="s">
        <v>51</v>
      </c>
      <c r="B5651" s="20" t="s">
        <v>65</v>
      </c>
      <c r="C5651" s="20" t="s">
        <v>8</v>
      </c>
      <c r="D5651" s="20" t="s">
        <v>10</v>
      </c>
      <c r="E5651" s="20" t="s">
        <v>17</v>
      </c>
      <c r="F5651" s="20" t="str">
        <f>INDEX(nrg_cb_e!$A$3:$A$40,MATCH(LEFT(MID('Industriesektor GWh'!$B5651,41,1000),SEARCH(" - ",MID('Industriesektor GWh'!$B5651,41,1000))-1),nrg_cb_e!$C$3:$C$40,0))</f>
        <v>FC_IND_NMM_E</v>
      </c>
      <c r="G5651" s="21">
        <v>2196</v>
      </c>
    </row>
    <row r="5652" spans="1:7" x14ac:dyDescent="0.2">
      <c r="A5652" s="16" t="s">
        <v>51</v>
      </c>
      <c r="B5652" s="17" t="s">
        <v>65</v>
      </c>
      <c r="C5652" s="17" t="s">
        <v>8</v>
      </c>
      <c r="D5652" s="17" t="s">
        <v>10</v>
      </c>
      <c r="E5652" s="17" t="s">
        <v>18</v>
      </c>
      <c r="F5652" s="17" t="str">
        <f>INDEX(nrg_cb_e!$A$3:$A$40,MATCH(LEFT(MID('Industriesektor GWh'!$B5652,41,1000),SEARCH(" - ",MID('Industriesektor GWh'!$B5652,41,1000))-1),nrg_cb_e!$C$3:$C$40,0))</f>
        <v>FC_IND_NMM_E</v>
      </c>
      <c r="G5652" s="18">
        <v>2092</v>
      </c>
    </row>
    <row r="5653" spans="1:7" x14ac:dyDescent="0.2">
      <c r="A5653" s="19" t="s">
        <v>51</v>
      </c>
      <c r="B5653" s="20" t="s">
        <v>65</v>
      </c>
      <c r="C5653" s="20" t="s">
        <v>8</v>
      </c>
      <c r="D5653" s="20" t="s">
        <v>10</v>
      </c>
      <c r="E5653" s="20" t="s">
        <v>19</v>
      </c>
      <c r="F5653" s="20" t="str">
        <f>INDEX(nrg_cb_e!$A$3:$A$40,MATCH(LEFT(MID('Industriesektor GWh'!$B5653,41,1000),SEARCH(" - ",MID('Industriesektor GWh'!$B5653,41,1000))-1),nrg_cb_e!$C$3:$C$40,0))</f>
        <v>FC_IND_NMM_E</v>
      </c>
      <c r="G5653" s="21">
        <v>1714</v>
      </c>
    </row>
    <row r="5654" spans="1:7" x14ac:dyDescent="0.2">
      <c r="A5654" s="16" t="s">
        <v>51</v>
      </c>
      <c r="B5654" s="17" t="s">
        <v>65</v>
      </c>
      <c r="C5654" s="17" t="s">
        <v>8</v>
      </c>
      <c r="D5654" s="17" t="s">
        <v>10</v>
      </c>
      <c r="E5654" s="17" t="s">
        <v>20</v>
      </c>
      <c r="F5654" s="17" t="str">
        <f>INDEX(nrg_cb_e!$A$3:$A$40,MATCH(LEFT(MID('Industriesektor GWh'!$B5654,41,1000),SEARCH(" - ",MID('Industriesektor GWh'!$B5654,41,1000))-1),nrg_cb_e!$C$3:$C$40,0))</f>
        <v>FC_IND_NMM_E</v>
      </c>
      <c r="G5654" s="18">
        <v>1914</v>
      </c>
    </row>
    <row r="5655" spans="1:7" x14ac:dyDescent="0.2">
      <c r="A5655" s="19" t="s">
        <v>51</v>
      </c>
      <c r="B5655" s="20" t="s">
        <v>65</v>
      </c>
      <c r="C5655" s="20" t="s">
        <v>8</v>
      </c>
      <c r="D5655" s="20" t="s">
        <v>10</v>
      </c>
      <c r="E5655" s="20" t="s">
        <v>21</v>
      </c>
      <c r="F5655" s="20" t="str">
        <f>INDEX(nrg_cb_e!$A$3:$A$40,MATCH(LEFT(MID('Industriesektor GWh'!$B5655,41,1000),SEARCH(" - ",MID('Industriesektor GWh'!$B5655,41,1000))-1),nrg_cb_e!$C$3:$C$40,0))</f>
        <v>FC_IND_NMM_E</v>
      </c>
      <c r="G5655" s="21">
        <v>1924</v>
      </c>
    </row>
    <row r="5656" spans="1:7" x14ac:dyDescent="0.2">
      <c r="A5656" s="16" t="s">
        <v>51</v>
      </c>
      <c r="B5656" s="17" t="s">
        <v>65</v>
      </c>
      <c r="C5656" s="17" t="s">
        <v>8</v>
      </c>
      <c r="D5656" s="17" t="s">
        <v>10</v>
      </c>
      <c r="E5656" s="17" t="s">
        <v>22</v>
      </c>
      <c r="F5656" s="17" t="str">
        <f>INDEX(nrg_cb_e!$A$3:$A$40,MATCH(LEFT(MID('Industriesektor GWh'!$B5656,41,1000),SEARCH(" - ",MID('Industriesektor GWh'!$B5656,41,1000))-1),nrg_cb_e!$C$3:$C$40,0))</f>
        <v>FC_IND_NMM_E</v>
      </c>
      <c r="G5656" s="18">
        <v>1893</v>
      </c>
    </row>
    <row r="5657" spans="1:7" x14ac:dyDescent="0.2">
      <c r="A5657" s="19" t="s">
        <v>51</v>
      </c>
      <c r="B5657" s="20" t="s">
        <v>65</v>
      </c>
      <c r="C5657" s="20" t="s">
        <v>8</v>
      </c>
      <c r="D5657" s="20" t="s">
        <v>10</v>
      </c>
      <c r="E5657" s="20" t="s">
        <v>23</v>
      </c>
      <c r="F5657" s="20" t="str">
        <f>INDEX(nrg_cb_e!$A$3:$A$40,MATCH(LEFT(MID('Industriesektor GWh'!$B5657,41,1000),SEARCH(" - ",MID('Industriesektor GWh'!$B5657,41,1000))-1),nrg_cb_e!$C$3:$C$40,0))</f>
        <v>FC_IND_NMM_E</v>
      </c>
      <c r="G5657" s="21">
        <v>1775</v>
      </c>
    </row>
    <row r="5658" spans="1:7" x14ac:dyDescent="0.2">
      <c r="A5658" s="16" t="s">
        <v>51</v>
      </c>
      <c r="B5658" s="17" t="s">
        <v>65</v>
      </c>
      <c r="C5658" s="17" t="s">
        <v>8</v>
      </c>
      <c r="D5658" s="17" t="s">
        <v>10</v>
      </c>
      <c r="E5658" s="17" t="s">
        <v>24</v>
      </c>
      <c r="F5658" s="17" t="str">
        <f>INDEX(nrg_cb_e!$A$3:$A$40,MATCH(LEFT(MID('Industriesektor GWh'!$B5658,41,1000),SEARCH(" - ",MID('Industriesektor GWh'!$B5658,41,1000))-1),nrg_cb_e!$C$3:$C$40,0))</f>
        <v>FC_IND_NMM_E</v>
      </c>
      <c r="G5658" s="18">
        <v>1903</v>
      </c>
    </row>
    <row r="5659" spans="1:7" x14ac:dyDescent="0.2">
      <c r="A5659" s="19" t="s">
        <v>51</v>
      </c>
      <c r="B5659" s="20" t="s">
        <v>65</v>
      </c>
      <c r="C5659" s="20" t="s">
        <v>8</v>
      </c>
      <c r="D5659" s="20" t="s">
        <v>10</v>
      </c>
      <c r="E5659" s="20" t="s">
        <v>25</v>
      </c>
      <c r="F5659" s="20" t="str">
        <f>INDEX(nrg_cb_e!$A$3:$A$40,MATCH(LEFT(MID('Industriesektor GWh'!$B5659,41,1000),SEARCH(" - ",MID('Industriesektor GWh'!$B5659,41,1000))-1),nrg_cb_e!$C$3:$C$40,0))</f>
        <v>FC_IND_NMM_E</v>
      </c>
      <c r="G5659" s="21">
        <v>2374</v>
      </c>
    </row>
    <row r="5660" spans="1:7" x14ac:dyDescent="0.2">
      <c r="A5660" s="16" t="s">
        <v>51</v>
      </c>
      <c r="B5660" s="17" t="s">
        <v>65</v>
      </c>
      <c r="C5660" s="17" t="s">
        <v>8</v>
      </c>
      <c r="D5660" s="17" t="s">
        <v>10</v>
      </c>
      <c r="E5660" s="17" t="s">
        <v>26</v>
      </c>
      <c r="F5660" s="17" t="str">
        <f>INDEX(nrg_cb_e!$A$3:$A$40,MATCH(LEFT(MID('Industriesektor GWh'!$B5660,41,1000),SEARCH(" - ",MID('Industriesektor GWh'!$B5660,41,1000))-1),nrg_cb_e!$C$3:$C$40,0))</f>
        <v>FC_IND_NMM_E</v>
      </c>
      <c r="G5660" s="18">
        <v>2556</v>
      </c>
    </row>
    <row r="5661" spans="1:7" x14ac:dyDescent="0.2">
      <c r="A5661" s="19" t="s">
        <v>51</v>
      </c>
      <c r="B5661" s="20" t="s">
        <v>65</v>
      </c>
      <c r="C5661" s="20" t="s">
        <v>8</v>
      </c>
      <c r="D5661" s="20" t="s">
        <v>10</v>
      </c>
      <c r="E5661" s="20" t="s">
        <v>27</v>
      </c>
      <c r="F5661" s="20" t="str">
        <f>INDEX(nrg_cb_e!$A$3:$A$40,MATCH(LEFT(MID('Industriesektor GWh'!$B5661,41,1000),SEARCH(" - ",MID('Industriesektor GWh'!$B5661,41,1000))-1),nrg_cb_e!$C$3:$C$40,0))</f>
        <v>FC_IND_NMM_E</v>
      </c>
      <c r="G5661" s="21">
        <v>2646.5450000000001</v>
      </c>
    </row>
    <row r="5662" spans="1:7" x14ac:dyDescent="0.2">
      <c r="A5662" s="16" t="s">
        <v>51</v>
      </c>
      <c r="B5662" s="17" t="s">
        <v>65</v>
      </c>
      <c r="C5662" s="17" t="s">
        <v>8</v>
      </c>
      <c r="D5662" s="17" t="s">
        <v>10</v>
      </c>
      <c r="E5662" s="17" t="s">
        <v>28</v>
      </c>
      <c r="F5662" s="17" t="str">
        <f>INDEX(nrg_cb_e!$A$3:$A$40,MATCH(LEFT(MID('Industriesektor GWh'!$B5662,41,1000),SEARCH(" - ",MID('Industriesektor GWh'!$B5662,41,1000))-1),nrg_cb_e!$C$3:$C$40,0))</f>
        <v>FC_IND_NMM_E</v>
      </c>
      <c r="G5662" s="18">
        <v>2521.5590000000002</v>
      </c>
    </row>
    <row r="5663" spans="1:7" x14ac:dyDescent="0.2">
      <c r="A5663" s="19" t="s">
        <v>52</v>
      </c>
      <c r="B5663" s="20" t="s">
        <v>65</v>
      </c>
      <c r="C5663" s="20" t="s">
        <v>8</v>
      </c>
      <c r="D5663" s="20" t="s">
        <v>10</v>
      </c>
      <c r="E5663" s="20" t="s">
        <v>12</v>
      </c>
      <c r="F5663" s="20" t="str">
        <f>INDEX(nrg_cb_e!$A$3:$A$40,MATCH(LEFT(MID('Industriesektor GWh'!$B5663,41,1000),SEARCH(" - ",MID('Industriesektor GWh'!$B5663,41,1000))-1),nrg_cb_e!$C$3:$C$40,0))</f>
        <v>FC_IND_NMM_E</v>
      </c>
      <c r="G5663" s="21">
        <v>412</v>
      </c>
    </row>
    <row r="5664" spans="1:7" x14ac:dyDescent="0.2">
      <c r="A5664" s="16" t="s">
        <v>52</v>
      </c>
      <c r="B5664" s="17" t="s">
        <v>65</v>
      </c>
      <c r="C5664" s="17" t="s">
        <v>8</v>
      </c>
      <c r="D5664" s="17" t="s">
        <v>10</v>
      </c>
      <c r="E5664" s="17" t="s">
        <v>13</v>
      </c>
      <c r="F5664" s="17" t="str">
        <f>INDEX(nrg_cb_e!$A$3:$A$40,MATCH(LEFT(MID('Industriesektor GWh'!$B5664,41,1000),SEARCH(" - ",MID('Industriesektor GWh'!$B5664,41,1000))-1),nrg_cb_e!$C$3:$C$40,0))</f>
        <v>FC_IND_NMM_E</v>
      </c>
      <c r="G5664" s="18">
        <v>470</v>
      </c>
    </row>
    <row r="5665" spans="1:7" x14ac:dyDescent="0.2">
      <c r="A5665" s="19" t="s">
        <v>52</v>
      </c>
      <c r="B5665" s="20" t="s">
        <v>65</v>
      </c>
      <c r="C5665" s="20" t="s">
        <v>8</v>
      </c>
      <c r="D5665" s="20" t="s">
        <v>10</v>
      </c>
      <c r="E5665" s="20" t="s">
        <v>14</v>
      </c>
      <c r="F5665" s="20" t="str">
        <f>INDEX(nrg_cb_e!$A$3:$A$40,MATCH(LEFT(MID('Industriesektor GWh'!$B5665,41,1000),SEARCH(" - ",MID('Industriesektor GWh'!$B5665,41,1000))-1),nrg_cb_e!$C$3:$C$40,0))</f>
        <v>FC_IND_NMM_E</v>
      </c>
      <c r="G5665" s="21">
        <v>443</v>
      </c>
    </row>
    <row r="5666" spans="1:7" x14ac:dyDescent="0.2">
      <c r="A5666" s="16" t="s">
        <v>52</v>
      </c>
      <c r="B5666" s="17" t="s">
        <v>65</v>
      </c>
      <c r="C5666" s="17" t="s">
        <v>8</v>
      </c>
      <c r="D5666" s="17" t="s">
        <v>10</v>
      </c>
      <c r="E5666" s="17" t="s">
        <v>15</v>
      </c>
      <c r="F5666" s="17" t="str">
        <f>INDEX(nrg_cb_e!$A$3:$A$40,MATCH(LEFT(MID('Industriesektor GWh'!$B5666,41,1000),SEARCH(" - ",MID('Industriesektor GWh'!$B5666,41,1000))-1),nrg_cb_e!$C$3:$C$40,0))</f>
        <v>FC_IND_NMM_E</v>
      </c>
      <c r="G5666" s="18">
        <v>461</v>
      </c>
    </row>
    <row r="5667" spans="1:7" x14ac:dyDescent="0.2">
      <c r="A5667" s="19" t="s">
        <v>52</v>
      </c>
      <c r="B5667" s="20" t="s">
        <v>65</v>
      </c>
      <c r="C5667" s="20" t="s">
        <v>8</v>
      </c>
      <c r="D5667" s="20" t="s">
        <v>10</v>
      </c>
      <c r="E5667" s="20" t="s">
        <v>16</v>
      </c>
      <c r="F5667" s="20" t="str">
        <f>INDEX(nrg_cb_e!$A$3:$A$40,MATCH(LEFT(MID('Industriesektor GWh'!$B5667,41,1000),SEARCH(" - ",MID('Industriesektor GWh'!$B5667,41,1000))-1),nrg_cb_e!$C$3:$C$40,0))</f>
        <v>FC_IND_NMM_E</v>
      </c>
      <c r="G5667" s="21">
        <v>492</v>
      </c>
    </row>
    <row r="5668" spans="1:7" x14ac:dyDescent="0.2">
      <c r="A5668" s="16" t="s">
        <v>52</v>
      </c>
      <c r="B5668" s="17" t="s">
        <v>65</v>
      </c>
      <c r="C5668" s="17" t="s">
        <v>8</v>
      </c>
      <c r="D5668" s="17" t="s">
        <v>10</v>
      </c>
      <c r="E5668" s="17" t="s">
        <v>17</v>
      </c>
      <c r="F5668" s="17" t="str">
        <f>INDEX(nrg_cb_e!$A$3:$A$40,MATCH(LEFT(MID('Industriesektor GWh'!$B5668,41,1000),SEARCH(" - ",MID('Industriesektor GWh'!$B5668,41,1000))-1),nrg_cb_e!$C$3:$C$40,0))</f>
        <v>FC_IND_NMM_E</v>
      </c>
      <c r="G5668" s="18">
        <v>523</v>
      </c>
    </row>
    <row r="5669" spans="1:7" x14ac:dyDescent="0.2">
      <c r="A5669" s="19" t="s">
        <v>52</v>
      </c>
      <c r="B5669" s="20" t="s">
        <v>65</v>
      </c>
      <c r="C5669" s="20" t="s">
        <v>8</v>
      </c>
      <c r="D5669" s="20" t="s">
        <v>10</v>
      </c>
      <c r="E5669" s="20" t="s">
        <v>18</v>
      </c>
      <c r="F5669" s="20" t="str">
        <f>INDEX(nrg_cb_e!$A$3:$A$40,MATCH(LEFT(MID('Industriesektor GWh'!$B5669,41,1000),SEARCH(" - ",MID('Industriesektor GWh'!$B5669,41,1000))-1),nrg_cb_e!$C$3:$C$40,0))</f>
        <v>FC_IND_NMM_E</v>
      </c>
      <c r="G5669" s="21">
        <v>514</v>
      </c>
    </row>
    <row r="5670" spans="1:7" x14ac:dyDescent="0.2">
      <c r="A5670" s="16" t="s">
        <v>52</v>
      </c>
      <c r="B5670" s="17" t="s">
        <v>65</v>
      </c>
      <c r="C5670" s="17" t="s">
        <v>8</v>
      </c>
      <c r="D5670" s="17" t="s">
        <v>10</v>
      </c>
      <c r="E5670" s="17" t="s">
        <v>19</v>
      </c>
      <c r="F5670" s="17" t="str">
        <f>INDEX(nrg_cb_e!$A$3:$A$40,MATCH(LEFT(MID('Industriesektor GWh'!$B5670,41,1000),SEARCH(" - ",MID('Industriesektor GWh'!$B5670,41,1000))-1),nrg_cb_e!$C$3:$C$40,0))</f>
        <v>FC_IND_NMM_E</v>
      </c>
      <c r="G5670" s="18">
        <v>329</v>
      </c>
    </row>
    <row r="5671" spans="1:7" x14ac:dyDescent="0.2">
      <c r="A5671" s="19" t="s">
        <v>52</v>
      </c>
      <c r="B5671" s="20" t="s">
        <v>65</v>
      </c>
      <c r="C5671" s="20" t="s">
        <v>8</v>
      </c>
      <c r="D5671" s="20" t="s">
        <v>10</v>
      </c>
      <c r="E5671" s="20" t="s">
        <v>20</v>
      </c>
      <c r="F5671" s="20" t="str">
        <f>INDEX(nrg_cb_e!$A$3:$A$40,MATCH(LEFT(MID('Industriesektor GWh'!$B5671,41,1000),SEARCH(" - ",MID('Industriesektor GWh'!$B5671,41,1000))-1),nrg_cb_e!$C$3:$C$40,0))</f>
        <v>FC_IND_NMM_E</v>
      </c>
      <c r="G5671" s="21">
        <v>409</v>
      </c>
    </row>
    <row r="5672" spans="1:7" x14ac:dyDescent="0.2">
      <c r="A5672" s="16" t="s">
        <v>52</v>
      </c>
      <c r="B5672" s="17" t="s">
        <v>65</v>
      </c>
      <c r="C5672" s="17" t="s">
        <v>8</v>
      </c>
      <c r="D5672" s="17" t="s">
        <v>10</v>
      </c>
      <c r="E5672" s="17" t="s">
        <v>21</v>
      </c>
      <c r="F5672" s="17" t="str">
        <f>INDEX(nrg_cb_e!$A$3:$A$40,MATCH(LEFT(MID('Industriesektor GWh'!$B5672,41,1000),SEARCH(" - ",MID('Industriesektor GWh'!$B5672,41,1000))-1),nrg_cb_e!$C$3:$C$40,0))</f>
        <v>FC_IND_NMM_E</v>
      </c>
      <c r="G5672" s="18">
        <v>386</v>
      </c>
    </row>
    <row r="5673" spans="1:7" x14ac:dyDescent="0.2">
      <c r="A5673" s="19" t="s">
        <v>52</v>
      </c>
      <c r="B5673" s="20" t="s">
        <v>65</v>
      </c>
      <c r="C5673" s="20" t="s">
        <v>8</v>
      </c>
      <c r="D5673" s="20" t="s">
        <v>10</v>
      </c>
      <c r="E5673" s="20" t="s">
        <v>22</v>
      </c>
      <c r="F5673" s="20" t="str">
        <f>INDEX(nrg_cb_e!$A$3:$A$40,MATCH(LEFT(MID('Industriesektor GWh'!$B5673,41,1000),SEARCH(" - ",MID('Industriesektor GWh'!$B5673,41,1000))-1),nrg_cb_e!$C$3:$C$40,0))</f>
        <v>FC_IND_NMM_E</v>
      </c>
      <c r="G5673" s="21">
        <v>356</v>
      </c>
    </row>
    <row r="5674" spans="1:7" x14ac:dyDescent="0.2">
      <c r="A5674" s="16" t="s">
        <v>52</v>
      </c>
      <c r="B5674" s="17" t="s">
        <v>65</v>
      </c>
      <c r="C5674" s="17" t="s">
        <v>8</v>
      </c>
      <c r="D5674" s="17" t="s">
        <v>10</v>
      </c>
      <c r="E5674" s="17" t="s">
        <v>23</v>
      </c>
      <c r="F5674" s="17" t="str">
        <f>INDEX(nrg_cb_e!$A$3:$A$40,MATCH(LEFT(MID('Industriesektor GWh'!$B5674,41,1000),SEARCH(" - ",MID('Industriesektor GWh'!$B5674,41,1000))-1),nrg_cb_e!$C$3:$C$40,0))</f>
        <v>FC_IND_NMM_E</v>
      </c>
      <c r="G5674" s="18">
        <v>354</v>
      </c>
    </row>
    <row r="5675" spans="1:7" x14ac:dyDescent="0.2">
      <c r="A5675" s="19" t="s">
        <v>52</v>
      </c>
      <c r="B5675" s="20" t="s">
        <v>65</v>
      </c>
      <c r="C5675" s="20" t="s">
        <v>8</v>
      </c>
      <c r="D5675" s="20" t="s">
        <v>10</v>
      </c>
      <c r="E5675" s="20" t="s">
        <v>24</v>
      </c>
      <c r="F5675" s="20" t="str">
        <f>INDEX(nrg_cb_e!$A$3:$A$40,MATCH(LEFT(MID('Industriesektor GWh'!$B5675,41,1000),SEARCH(" - ",MID('Industriesektor GWh'!$B5675,41,1000))-1),nrg_cb_e!$C$3:$C$40,0))</f>
        <v>FC_IND_NMM_E</v>
      </c>
      <c r="G5675" s="21">
        <v>369</v>
      </c>
    </row>
    <row r="5676" spans="1:7" x14ac:dyDescent="0.2">
      <c r="A5676" s="16" t="s">
        <v>52</v>
      </c>
      <c r="B5676" s="17" t="s">
        <v>65</v>
      </c>
      <c r="C5676" s="17" t="s">
        <v>8</v>
      </c>
      <c r="D5676" s="17" t="s">
        <v>10</v>
      </c>
      <c r="E5676" s="17" t="s">
        <v>25</v>
      </c>
      <c r="F5676" s="17" t="str">
        <f>INDEX(nrg_cb_e!$A$3:$A$40,MATCH(LEFT(MID('Industriesektor GWh'!$B5676,41,1000),SEARCH(" - ",MID('Industriesektor GWh'!$B5676,41,1000))-1),nrg_cb_e!$C$3:$C$40,0))</f>
        <v>FC_IND_NMM_E</v>
      </c>
      <c r="G5676" s="18">
        <v>428</v>
      </c>
    </row>
    <row r="5677" spans="1:7" x14ac:dyDescent="0.2">
      <c r="A5677" s="19" t="s">
        <v>52</v>
      </c>
      <c r="B5677" s="20" t="s">
        <v>65</v>
      </c>
      <c r="C5677" s="20" t="s">
        <v>8</v>
      </c>
      <c r="D5677" s="20" t="s">
        <v>10</v>
      </c>
      <c r="E5677" s="20" t="s">
        <v>26</v>
      </c>
      <c r="F5677" s="20" t="str">
        <f>INDEX(nrg_cb_e!$A$3:$A$40,MATCH(LEFT(MID('Industriesektor GWh'!$B5677,41,1000),SEARCH(" - ",MID('Industriesektor GWh'!$B5677,41,1000))-1),nrg_cb_e!$C$3:$C$40,0))</f>
        <v>FC_IND_NMM_E</v>
      </c>
      <c r="G5677" s="21">
        <v>347</v>
      </c>
    </row>
    <row r="5678" spans="1:7" x14ac:dyDescent="0.2">
      <c r="A5678" s="16" t="s">
        <v>52</v>
      </c>
      <c r="B5678" s="17" t="s">
        <v>65</v>
      </c>
      <c r="C5678" s="17" t="s">
        <v>8</v>
      </c>
      <c r="D5678" s="17" t="s">
        <v>10</v>
      </c>
      <c r="E5678" s="17" t="s">
        <v>27</v>
      </c>
      <c r="F5678" s="17" t="str">
        <f>INDEX(nrg_cb_e!$A$3:$A$40,MATCH(LEFT(MID('Industriesektor GWh'!$B5678,41,1000),SEARCH(" - ",MID('Industriesektor GWh'!$B5678,41,1000))-1),nrg_cb_e!$C$3:$C$40,0))</f>
        <v>FC_IND_NMM_E</v>
      </c>
      <c r="G5678" s="18">
        <v>379.48200000000003</v>
      </c>
    </row>
    <row r="5679" spans="1:7" x14ac:dyDescent="0.2">
      <c r="A5679" s="19" t="s">
        <v>52</v>
      </c>
      <c r="B5679" s="20" t="s">
        <v>65</v>
      </c>
      <c r="C5679" s="20" t="s">
        <v>8</v>
      </c>
      <c r="D5679" s="20" t="s">
        <v>10</v>
      </c>
      <c r="E5679" s="20" t="s">
        <v>28</v>
      </c>
      <c r="F5679" s="20" t="str">
        <f>INDEX(nrg_cb_e!$A$3:$A$40,MATCH(LEFT(MID('Industriesektor GWh'!$B5679,41,1000),SEARCH(" - ",MID('Industriesektor GWh'!$B5679,41,1000))-1),nrg_cb_e!$C$3:$C$40,0))</f>
        <v>FC_IND_NMM_E</v>
      </c>
      <c r="G5679" s="21">
        <v>399.46100000000001</v>
      </c>
    </row>
    <row r="5680" spans="1:7" x14ac:dyDescent="0.2">
      <c r="A5680" s="16" t="s">
        <v>53</v>
      </c>
      <c r="B5680" s="17" t="s">
        <v>65</v>
      </c>
      <c r="C5680" s="17" t="s">
        <v>8</v>
      </c>
      <c r="D5680" s="17" t="s">
        <v>10</v>
      </c>
      <c r="E5680" s="17" t="s">
        <v>12</v>
      </c>
      <c r="F5680" s="17" t="str">
        <f>INDEX(nrg_cb_e!$A$3:$A$40,MATCH(LEFT(MID('Industriesektor GWh'!$B5680,41,1000),SEARCH(" - ",MID('Industriesektor GWh'!$B5680,41,1000))-1),nrg_cb_e!$C$3:$C$40,0))</f>
        <v>FC_IND_NMM_E</v>
      </c>
      <c r="G5680" s="18">
        <v>855</v>
      </c>
    </row>
    <row r="5681" spans="1:7" x14ac:dyDescent="0.2">
      <c r="A5681" s="19" t="s">
        <v>53</v>
      </c>
      <c r="B5681" s="20" t="s">
        <v>65</v>
      </c>
      <c r="C5681" s="20" t="s">
        <v>8</v>
      </c>
      <c r="D5681" s="20" t="s">
        <v>10</v>
      </c>
      <c r="E5681" s="20" t="s">
        <v>13</v>
      </c>
      <c r="F5681" s="20" t="str">
        <f>INDEX(nrg_cb_e!$A$3:$A$40,MATCH(LEFT(MID('Industriesektor GWh'!$B5681,41,1000),SEARCH(" - ",MID('Industriesektor GWh'!$B5681,41,1000))-1),nrg_cb_e!$C$3:$C$40,0))</f>
        <v>FC_IND_NMM_E</v>
      </c>
      <c r="G5681" s="21">
        <v>1013</v>
      </c>
    </row>
    <row r="5682" spans="1:7" x14ac:dyDescent="0.2">
      <c r="A5682" s="16" t="s">
        <v>53</v>
      </c>
      <c r="B5682" s="17" t="s">
        <v>65</v>
      </c>
      <c r="C5682" s="17" t="s">
        <v>8</v>
      </c>
      <c r="D5682" s="17" t="s">
        <v>10</v>
      </c>
      <c r="E5682" s="17" t="s">
        <v>14</v>
      </c>
      <c r="F5682" s="17" t="str">
        <f>INDEX(nrg_cb_e!$A$3:$A$40,MATCH(LEFT(MID('Industriesektor GWh'!$B5682,41,1000),SEARCH(" - ",MID('Industriesektor GWh'!$B5682,41,1000))-1),nrg_cb_e!$C$3:$C$40,0))</f>
        <v>FC_IND_NMM_E</v>
      </c>
      <c r="G5682" s="18">
        <v>788</v>
      </c>
    </row>
    <row r="5683" spans="1:7" x14ac:dyDescent="0.2">
      <c r="A5683" s="19" t="s">
        <v>53</v>
      </c>
      <c r="B5683" s="20" t="s">
        <v>65</v>
      </c>
      <c r="C5683" s="20" t="s">
        <v>8</v>
      </c>
      <c r="D5683" s="20" t="s">
        <v>10</v>
      </c>
      <c r="E5683" s="20" t="s">
        <v>15</v>
      </c>
      <c r="F5683" s="20" t="str">
        <f>INDEX(nrg_cb_e!$A$3:$A$40,MATCH(LEFT(MID('Industriesektor GWh'!$B5683,41,1000),SEARCH(" - ",MID('Industriesektor GWh'!$B5683,41,1000))-1),nrg_cb_e!$C$3:$C$40,0))</f>
        <v>FC_IND_NMM_E</v>
      </c>
      <c r="G5683" s="21">
        <v>800</v>
      </c>
    </row>
    <row r="5684" spans="1:7" x14ac:dyDescent="0.2">
      <c r="A5684" s="16" t="s">
        <v>53</v>
      </c>
      <c r="B5684" s="17" t="s">
        <v>65</v>
      </c>
      <c r="C5684" s="17" t="s">
        <v>8</v>
      </c>
      <c r="D5684" s="17" t="s">
        <v>10</v>
      </c>
      <c r="E5684" s="17" t="s">
        <v>16</v>
      </c>
      <c r="F5684" s="17" t="str">
        <f>INDEX(nrg_cb_e!$A$3:$A$40,MATCH(LEFT(MID('Industriesektor GWh'!$B5684,41,1000),SEARCH(" - ",MID('Industriesektor GWh'!$B5684,41,1000))-1),nrg_cb_e!$C$3:$C$40,0))</f>
        <v>FC_IND_NMM_E</v>
      </c>
      <c r="G5684" s="18">
        <v>787</v>
      </c>
    </row>
    <row r="5685" spans="1:7" x14ac:dyDescent="0.2">
      <c r="A5685" s="19" t="s">
        <v>53</v>
      </c>
      <c r="B5685" s="20" t="s">
        <v>65</v>
      </c>
      <c r="C5685" s="20" t="s">
        <v>8</v>
      </c>
      <c r="D5685" s="20" t="s">
        <v>10</v>
      </c>
      <c r="E5685" s="20" t="s">
        <v>17</v>
      </c>
      <c r="F5685" s="20" t="str">
        <f>INDEX(nrg_cb_e!$A$3:$A$40,MATCH(LEFT(MID('Industriesektor GWh'!$B5685,41,1000),SEARCH(" - ",MID('Industriesektor GWh'!$B5685,41,1000))-1),nrg_cb_e!$C$3:$C$40,0))</f>
        <v>FC_IND_NMM_E</v>
      </c>
      <c r="G5685" s="21">
        <v>950</v>
      </c>
    </row>
    <row r="5686" spans="1:7" x14ac:dyDescent="0.2">
      <c r="A5686" s="16" t="s">
        <v>53</v>
      </c>
      <c r="B5686" s="17" t="s">
        <v>65</v>
      </c>
      <c r="C5686" s="17" t="s">
        <v>8</v>
      </c>
      <c r="D5686" s="17" t="s">
        <v>10</v>
      </c>
      <c r="E5686" s="17" t="s">
        <v>18</v>
      </c>
      <c r="F5686" s="17" t="str">
        <f>INDEX(nrg_cb_e!$A$3:$A$40,MATCH(LEFT(MID('Industriesektor GWh'!$B5686,41,1000),SEARCH(" - ",MID('Industriesektor GWh'!$B5686,41,1000))-1),nrg_cb_e!$C$3:$C$40,0))</f>
        <v>FC_IND_NMM_E</v>
      </c>
      <c r="G5686" s="18">
        <v>831</v>
      </c>
    </row>
    <row r="5687" spans="1:7" x14ac:dyDescent="0.2">
      <c r="A5687" s="19" t="s">
        <v>53</v>
      </c>
      <c r="B5687" s="20" t="s">
        <v>65</v>
      </c>
      <c r="C5687" s="20" t="s">
        <v>8</v>
      </c>
      <c r="D5687" s="20" t="s">
        <v>10</v>
      </c>
      <c r="E5687" s="20" t="s">
        <v>19</v>
      </c>
      <c r="F5687" s="20" t="str">
        <f>INDEX(nrg_cb_e!$A$3:$A$40,MATCH(LEFT(MID('Industriesektor GWh'!$B5687,41,1000),SEARCH(" - ",MID('Industriesektor GWh'!$B5687,41,1000))-1),nrg_cb_e!$C$3:$C$40,0))</f>
        <v>FC_IND_NMM_E</v>
      </c>
      <c r="G5687" s="21">
        <v>705</v>
      </c>
    </row>
    <row r="5688" spans="1:7" x14ac:dyDescent="0.2">
      <c r="A5688" s="16" t="s">
        <v>53</v>
      </c>
      <c r="B5688" s="17" t="s">
        <v>65</v>
      </c>
      <c r="C5688" s="17" t="s">
        <v>8</v>
      </c>
      <c r="D5688" s="17" t="s">
        <v>10</v>
      </c>
      <c r="E5688" s="17" t="s">
        <v>20</v>
      </c>
      <c r="F5688" s="17" t="str">
        <f>INDEX(nrg_cb_e!$A$3:$A$40,MATCH(LEFT(MID('Industriesektor GWh'!$B5688,41,1000),SEARCH(" - ",MID('Industriesektor GWh'!$B5688,41,1000))-1),nrg_cb_e!$C$3:$C$40,0))</f>
        <v>FC_IND_NMM_E</v>
      </c>
      <c r="G5688" s="18">
        <v>671</v>
      </c>
    </row>
    <row r="5689" spans="1:7" x14ac:dyDescent="0.2">
      <c r="A5689" s="19" t="s">
        <v>53</v>
      </c>
      <c r="B5689" s="20" t="s">
        <v>65</v>
      </c>
      <c r="C5689" s="20" t="s">
        <v>8</v>
      </c>
      <c r="D5689" s="20" t="s">
        <v>10</v>
      </c>
      <c r="E5689" s="20" t="s">
        <v>21</v>
      </c>
      <c r="F5689" s="20" t="str">
        <f>INDEX(nrg_cb_e!$A$3:$A$40,MATCH(LEFT(MID('Industriesektor GWh'!$B5689,41,1000),SEARCH(" - ",MID('Industriesektor GWh'!$B5689,41,1000))-1),nrg_cb_e!$C$3:$C$40,0))</f>
        <v>FC_IND_NMM_E</v>
      </c>
      <c r="G5689" s="21">
        <v>806</v>
      </c>
    </row>
    <row r="5690" spans="1:7" x14ac:dyDescent="0.2">
      <c r="A5690" s="16" t="s">
        <v>53</v>
      </c>
      <c r="B5690" s="17" t="s">
        <v>65</v>
      </c>
      <c r="C5690" s="17" t="s">
        <v>8</v>
      </c>
      <c r="D5690" s="17" t="s">
        <v>10</v>
      </c>
      <c r="E5690" s="17" t="s">
        <v>22</v>
      </c>
      <c r="F5690" s="17" t="str">
        <f>INDEX(nrg_cb_e!$A$3:$A$40,MATCH(LEFT(MID('Industriesektor GWh'!$B5690,41,1000),SEARCH(" - ",MID('Industriesektor GWh'!$B5690,41,1000))-1),nrg_cb_e!$C$3:$C$40,0))</f>
        <v>FC_IND_NMM_E</v>
      </c>
      <c r="G5690" s="18">
        <v>662</v>
      </c>
    </row>
    <row r="5691" spans="1:7" x14ac:dyDescent="0.2">
      <c r="A5691" s="19" t="s">
        <v>53</v>
      </c>
      <c r="B5691" s="20" t="s">
        <v>65</v>
      </c>
      <c r="C5691" s="20" t="s">
        <v>8</v>
      </c>
      <c r="D5691" s="20" t="s">
        <v>10</v>
      </c>
      <c r="E5691" s="20" t="s">
        <v>23</v>
      </c>
      <c r="F5691" s="20" t="str">
        <f>INDEX(nrg_cb_e!$A$3:$A$40,MATCH(LEFT(MID('Industriesektor GWh'!$B5691,41,1000),SEARCH(" - ",MID('Industriesektor GWh'!$B5691,41,1000))-1),nrg_cb_e!$C$3:$C$40,0))</f>
        <v>FC_IND_NMM_E</v>
      </c>
      <c r="G5691" s="21">
        <v>673</v>
      </c>
    </row>
    <row r="5692" spans="1:7" x14ac:dyDescent="0.2">
      <c r="A5692" s="16" t="s">
        <v>53</v>
      </c>
      <c r="B5692" s="17" t="s">
        <v>65</v>
      </c>
      <c r="C5692" s="17" t="s">
        <v>8</v>
      </c>
      <c r="D5692" s="17" t="s">
        <v>10</v>
      </c>
      <c r="E5692" s="17" t="s">
        <v>24</v>
      </c>
      <c r="F5692" s="17" t="str">
        <f>INDEX(nrg_cb_e!$A$3:$A$40,MATCH(LEFT(MID('Industriesektor GWh'!$B5692,41,1000),SEARCH(" - ",MID('Industriesektor GWh'!$B5692,41,1000))-1),nrg_cb_e!$C$3:$C$40,0))</f>
        <v>FC_IND_NMM_E</v>
      </c>
      <c r="G5692" s="18">
        <v>675</v>
      </c>
    </row>
    <row r="5693" spans="1:7" x14ac:dyDescent="0.2">
      <c r="A5693" s="19" t="s">
        <v>53</v>
      </c>
      <c r="B5693" s="20" t="s">
        <v>65</v>
      </c>
      <c r="C5693" s="20" t="s">
        <v>8</v>
      </c>
      <c r="D5693" s="20" t="s">
        <v>10</v>
      </c>
      <c r="E5693" s="20" t="s">
        <v>25</v>
      </c>
      <c r="F5693" s="20" t="str">
        <f>INDEX(nrg_cb_e!$A$3:$A$40,MATCH(LEFT(MID('Industriesektor GWh'!$B5693,41,1000),SEARCH(" - ",MID('Industriesektor GWh'!$B5693,41,1000))-1),nrg_cb_e!$C$3:$C$40,0))</f>
        <v>FC_IND_NMM_E</v>
      </c>
      <c r="G5693" s="21">
        <v>552</v>
      </c>
    </row>
    <row r="5694" spans="1:7" x14ac:dyDescent="0.2">
      <c r="A5694" s="16" t="s">
        <v>53</v>
      </c>
      <c r="B5694" s="17" t="s">
        <v>65</v>
      </c>
      <c r="C5694" s="17" t="s">
        <v>8</v>
      </c>
      <c r="D5694" s="17" t="s">
        <v>10</v>
      </c>
      <c r="E5694" s="17" t="s">
        <v>26</v>
      </c>
      <c r="F5694" s="17" t="str">
        <f>INDEX(nrg_cb_e!$A$3:$A$40,MATCH(LEFT(MID('Industriesektor GWh'!$B5694,41,1000),SEARCH(" - ",MID('Industriesektor GWh'!$B5694,41,1000))-1),nrg_cb_e!$C$3:$C$40,0))</f>
        <v>FC_IND_NMM_E</v>
      </c>
      <c r="G5694" s="18">
        <v>759</v>
      </c>
    </row>
    <row r="5695" spans="1:7" x14ac:dyDescent="0.2">
      <c r="A5695" s="19" t="s">
        <v>53</v>
      </c>
      <c r="B5695" s="20" t="s">
        <v>65</v>
      </c>
      <c r="C5695" s="20" t="s">
        <v>8</v>
      </c>
      <c r="D5695" s="20" t="s">
        <v>10</v>
      </c>
      <c r="E5695" s="20" t="s">
        <v>27</v>
      </c>
      <c r="F5695" s="20" t="str">
        <f>INDEX(nrg_cb_e!$A$3:$A$40,MATCH(LEFT(MID('Industriesektor GWh'!$B5695,41,1000),SEARCH(" - ",MID('Industriesektor GWh'!$B5695,41,1000))-1),nrg_cb_e!$C$3:$C$40,0))</f>
        <v>FC_IND_NMM_E</v>
      </c>
      <c r="G5695" s="21">
        <v>606</v>
      </c>
    </row>
    <row r="5696" spans="1:7" x14ac:dyDescent="0.2">
      <c r="A5696" s="16" t="s">
        <v>53</v>
      </c>
      <c r="B5696" s="17" t="s">
        <v>65</v>
      </c>
      <c r="C5696" s="17" t="s">
        <v>8</v>
      </c>
      <c r="D5696" s="17" t="s">
        <v>10</v>
      </c>
      <c r="E5696" s="17" t="s">
        <v>28</v>
      </c>
      <c r="F5696" s="17" t="str">
        <f>INDEX(nrg_cb_e!$A$3:$A$40,MATCH(LEFT(MID('Industriesektor GWh'!$B5696,41,1000),SEARCH(" - ",MID('Industriesektor GWh'!$B5696,41,1000))-1),nrg_cb_e!$C$3:$C$40,0))</f>
        <v>FC_IND_NMM_E</v>
      </c>
      <c r="G5696" s="18">
        <v>773</v>
      </c>
    </row>
    <row r="5697" spans="1:7" x14ac:dyDescent="0.2">
      <c r="A5697" s="19" t="s">
        <v>54</v>
      </c>
      <c r="B5697" s="20" t="s">
        <v>65</v>
      </c>
      <c r="C5697" s="20" t="s">
        <v>8</v>
      </c>
      <c r="D5697" s="20" t="s">
        <v>10</v>
      </c>
      <c r="E5697" s="20" t="s">
        <v>12</v>
      </c>
      <c r="F5697" s="20" t="str">
        <f>INDEX(nrg_cb_e!$A$3:$A$40,MATCH(LEFT(MID('Industriesektor GWh'!$B5697,41,1000),SEARCH(" - ",MID('Industriesektor GWh'!$B5697,41,1000))-1),nrg_cb_e!$C$3:$C$40,0))</f>
        <v>FC_IND_NMM_E</v>
      </c>
      <c r="G5697" s="21">
        <v>929</v>
      </c>
    </row>
    <row r="5698" spans="1:7" x14ac:dyDescent="0.2">
      <c r="A5698" s="16" t="s">
        <v>54</v>
      </c>
      <c r="B5698" s="17" t="s">
        <v>65</v>
      </c>
      <c r="C5698" s="17" t="s">
        <v>8</v>
      </c>
      <c r="D5698" s="17" t="s">
        <v>10</v>
      </c>
      <c r="E5698" s="17" t="s">
        <v>13</v>
      </c>
      <c r="F5698" s="17" t="str">
        <f>INDEX(nrg_cb_e!$A$3:$A$40,MATCH(LEFT(MID('Industriesektor GWh'!$B5698,41,1000),SEARCH(" - ",MID('Industriesektor GWh'!$B5698,41,1000))-1),nrg_cb_e!$C$3:$C$40,0))</f>
        <v>FC_IND_NMM_E</v>
      </c>
      <c r="G5698" s="18">
        <v>942</v>
      </c>
    </row>
    <row r="5699" spans="1:7" x14ac:dyDescent="0.2">
      <c r="A5699" s="19" t="s">
        <v>54</v>
      </c>
      <c r="B5699" s="20" t="s">
        <v>65</v>
      </c>
      <c r="C5699" s="20" t="s">
        <v>8</v>
      </c>
      <c r="D5699" s="20" t="s">
        <v>10</v>
      </c>
      <c r="E5699" s="20" t="s">
        <v>14</v>
      </c>
      <c r="F5699" s="20" t="str">
        <f>INDEX(nrg_cb_e!$A$3:$A$40,MATCH(LEFT(MID('Industriesektor GWh'!$B5699,41,1000),SEARCH(" - ",MID('Industriesektor GWh'!$B5699,41,1000))-1),nrg_cb_e!$C$3:$C$40,0))</f>
        <v>FC_IND_NMM_E</v>
      </c>
      <c r="G5699" s="21">
        <v>981</v>
      </c>
    </row>
    <row r="5700" spans="1:7" x14ac:dyDescent="0.2">
      <c r="A5700" s="16" t="s">
        <v>54</v>
      </c>
      <c r="B5700" s="17" t="s">
        <v>65</v>
      </c>
      <c r="C5700" s="17" t="s">
        <v>8</v>
      </c>
      <c r="D5700" s="17" t="s">
        <v>10</v>
      </c>
      <c r="E5700" s="17" t="s">
        <v>15</v>
      </c>
      <c r="F5700" s="17" t="str">
        <f>INDEX(nrg_cb_e!$A$3:$A$40,MATCH(LEFT(MID('Industriesektor GWh'!$B5700,41,1000),SEARCH(" - ",MID('Industriesektor GWh'!$B5700,41,1000))-1),nrg_cb_e!$C$3:$C$40,0))</f>
        <v>FC_IND_NMM_E</v>
      </c>
      <c r="G5700" s="18">
        <v>981</v>
      </c>
    </row>
    <row r="5701" spans="1:7" x14ac:dyDescent="0.2">
      <c r="A5701" s="19" t="s">
        <v>54</v>
      </c>
      <c r="B5701" s="20" t="s">
        <v>65</v>
      </c>
      <c r="C5701" s="20" t="s">
        <v>8</v>
      </c>
      <c r="D5701" s="20" t="s">
        <v>10</v>
      </c>
      <c r="E5701" s="20" t="s">
        <v>16</v>
      </c>
      <c r="F5701" s="20" t="str">
        <f>INDEX(nrg_cb_e!$A$3:$A$40,MATCH(LEFT(MID('Industriesektor GWh'!$B5701,41,1000),SEARCH(" - ",MID('Industriesektor GWh'!$B5701,41,1000))-1),nrg_cb_e!$C$3:$C$40,0))</f>
        <v>FC_IND_NMM_E</v>
      </c>
      <c r="G5701" s="21">
        <v>1043</v>
      </c>
    </row>
    <row r="5702" spans="1:7" x14ac:dyDescent="0.2">
      <c r="A5702" s="16" t="s">
        <v>54</v>
      </c>
      <c r="B5702" s="17" t="s">
        <v>65</v>
      </c>
      <c r="C5702" s="17" t="s">
        <v>8</v>
      </c>
      <c r="D5702" s="17" t="s">
        <v>10</v>
      </c>
      <c r="E5702" s="17" t="s">
        <v>17</v>
      </c>
      <c r="F5702" s="17" t="str">
        <f>INDEX(nrg_cb_e!$A$3:$A$40,MATCH(LEFT(MID('Industriesektor GWh'!$B5702,41,1000),SEARCH(" - ",MID('Industriesektor GWh'!$B5702,41,1000))-1),nrg_cb_e!$C$3:$C$40,0))</f>
        <v>FC_IND_NMM_E</v>
      </c>
      <c r="G5702" s="18">
        <v>1019</v>
      </c>
    </row>
    <row r="5703" spans="1:7" x14ac:dyDescent="0.2">
      <c r="A5703" s="19" t="s">
        <v>54</v>
      </c>
      <c r="B5703" s="20" t="s">
        <v>65</v>
      </c>
      <c r="C5703" s="20" t="s">
        <v>8</v>
      </c>
      <c r="D5703" s="20" t="s">
        <v>10</v>
      </c>
      <c r="E5703" s="20" t="s">
        <v>18</v>
      </c>
      <c r="F5703" s="20" t="str">
        <f>INDEX(nrg_cb_e!$A$3:$A$40,MATCH(LEFT(MID('Industriesektor GWh'!$B5703,41,1000),SEARCH(" - ",MID('Industriesektor GWh'!$B5703,41,1000))-1),nrg_cb_e!$C$3:$C$40,0))</f>
        <v>FC_IND_NMM_E</v>
      </c>
      <c r="G5703" s="21">
        <v>979</v>
      </c>
    </row>
    <row r="5704" spans="1:7" x14ac:dyDescent="0.2">
      <c r="A5704" s="16" t="s">
        <v>54</v>
      </c>
      <c r="B5704" s="17" t="s">
        <v>65</v>
      </c>
      <c r="C5704" s="17" t="s">
        <v>8</v>
      </c>
      <c r="D5704" s="17" t="s">
        <v>10</v>
      </c>
      <c r="E5704" s="17" t="s">
        <v>19</v>
      </c>
      <c r="F5704" s="17" t="str">
        <f>INDEX(nrg_cb_e!$A$3:$A$40,MATCH(LEFT(MID('Industriesektor GWh'!$B5704,41,1000),SEARCH(" - ",MID('Industriesektor GWh'!$B5704,41,1000))-1),nrg_cb_e!$C$3:$C$40,0))</f>
        <v>FC_IND_NMM_E</v>
      </c>
      <c r="G5704" s="18">
        <v>734</v>
      </c>
    </row>
    <row r="5705" spans="1:7" x14ac:dyDescent="0.2">
      <c r="A5705" s="19" t="s">
        <v>54</v>
      </c>
      <c r="B5705" s="20" t="s">
        <v>65</v>
      </c>
      <c r="C5705" s="20" t="s">
        <v>8</v>
      </c>
      <c r="D5705" s="20" t="s">
        <v>10</v>
      </c>
      <c r="E5705" s="20" t="s">
        <v>20</v>
      </c>
      <c r="F5705" s="20" t="str">
        <f>INDEX(nrg_cb_e!$A$3:$A$40,MATCH(LEFT(MID('Industriesektor GWh'!$B5705,41,1000),SEARCH(" - ",MID('Industriesektor GWh'!$B5705,41,1000))-1),nrg_cb_e!$C$3:$C$40,0))</f>
        <v>FC_IND_NMM_E</v>
      </c>
      <c r="G5705" s="21">
        <v>780</v>
      </c>
    </row>
    <row r="5706" spans="1:7" x14ac:dyDescent="0.2">
      <c r="A5706" s="16" t="s">
        <v>54</v>
      </c>
      <c r="B5706" s="17" t="s">
        <v>65</v>
      </c>
      <c r="C5706" s="17" t="s">
        <v>8</v>
      </c>
      <c r="D5706" s="17" t="s">
        <v>10</v>
      </c>
      <c r="E5706" s="17" t="s">
        <v>21</v>
      </c>
      <c r="F5706" s="17" t="str">
        <f>INDEX(nrg_cb_e!$A$3:$A$40,MATCH(LEFT(MID('Industriesektor GWh'!$B5706,41,1000),SEARCH(" - ",MID('Industriesektor GWh'!$B5706,41,1000))-1),nrg_cb_e!$C$3:$C$40,0))</f>
        <v>FC_IND_NMM_E</v>
      </c>
      <c r="G5706" s="18">
        <v>855</v>
      </c>
    </row>
    <row r="5707" spans="1:7" x14ac:dyDescent="0.2">
      <c r="A5707" s="19" t="s">
        <v>54</v>
      </c>
      <c r="B5707" s="20" t="s">
        <v>65</v>
      </c>
      <c r="C5707" s="20" t="s">
        <v>8</v>
      </c>
      <c r="D5707" s="20" t="s">
        <v>10</v>
      </c>
      <c r="E5707" s="20" t="s">
        <v>22</v>
      </c>
      <c r="F5707" s="20" t="str">
        <f>INDEX(nrg_cb_e!$A$3:$A$40,MATCH(LEFT(MID('Industriesektor GWh'!$B5707,41,1000),SEARCH(" - ",MID('Industriesektor GWh'!$B5707,41,1000))-1),nrg_cb_e!$C$3:$C$40,0))</f>
        <v>FC_IND_NMM_E</v>
      </c>
      <c r="G5707" s="21">
        <v>784</v>
      </c>
    </row>
    <row r="5708" spans="1:7" x14ac:dyDescent="0.2">
      <c r="A5708" s="16" t="s">
        <v>54</v>
      </c>
      <c r="B5708" s="17" t="s">
        <v>65</v>
      </c>
      <c r="C5708" s="17" t="s">
        <v>8</v>
      </c>
      <c r="D5708" s="17" t="s">
        <v>10</v>
      </c>
      <c r="E5708" s="17" t="s">
        <v>23</v>
      </c>
      <c r="F5708" s="17" t="str">
        <f>INDEX(nrg_cb_e!$A$3:$A$40,MATCH(LEFT(MID('Industriesektor GWh'!$B5708,41,1000),SEARCH(" - ",MID('Industriesektor GWh'!$B5708,41,1000))-1),nrg_cb_e!$C$3:$C$40,0))</f>
        <v>FC_IND_NMM_E</v>
      </c>
      <c r="G5708" s="18">
        <v>767</v>
      </c>
    </row>
    <row r="5709" spans="1:7" x14ac:dyDescent="0.2">
      <c r="A5709" s="19" t="s">
        <v>54</v>
      </c>
      <c r="B5709" s="20" t="s">
        <v>65</v>
      </c>
      <c r="C5709" s="20" t="s">
        <v>8</v>
      </c>
      <c r="D5709" s="20" t="s">
        <v>10</v>
      </c>
      <c r="E5709" s="20" t="s">
        <v>24</v>
      </c>
      <c r="F5709" s="20" t="str">
        <f>INDEX(nrg_cb_e!$A$3:$A$40,MATCH(LEFT(MID('Industriesektor GWh'!$B5709,41,1000),SEARCH(" - ",MID('Industriesektor GWh'!$B5709,41,1000))-1),nrg_cb_e!$C$3:$C$40,0))</f>
        <v>FC_IND_NMM_E</v>
      </c>
      <c r="G5709" s="21">
        <v>699</v>
      </c>
    </row>
    <row r="5710" spans="1:7" x14ac:dyDescent="0.2">
      <c r="A5710" s="16" t="s">
        <v>54</v>
      </c>
      <c r="B5710" s="17" t="s">
        <v>65</v>
      </c>
      <c r="C5710" s="17" t="s">
        <v>8</v>
      </c>
      <c r="D5710" s="17" t="s">
        <v>10</v>
      </c>
      <c r="E5710" s="17" t="s">
        <v>25</v>
      </c>
      <c r="F5710" s="17" t="str">
        <f>INDEX(nrg_cb_e!$A$3:$A$40,MATCH(LEFT(MID('Industriesektor GWh'!$B5710,41,1000),SEARCH(" - ",MID('Industriesektor GWh'!$B5710,41,1000))-1),nrg_cb_e!$C$3:$C$40,0))</f>
        <v>FC_IND_NMM_E</v>
      </c>
      <c r="G5710" s="18">
        <v>660</v>
      </c>
    </row>
    <row r="5711" spans="1:7" x14ac:dyDescent="0.2">
      <c r="A5711" s="19" t="s">
        <v>54</v>
      </c>
      <c r="B5711" s="20" t="s">
        <v>65</v>
      </c>
      <c r="C5711" s="20" t="s">
        <v>8</v>
      </c>
      <c r="D5711" s="20" t="s">
        <v>10</v>
      </c>
      <c r="E5711" s="20" t="s">
        <v>26</v>
      </c>
      <c r="F5711" s="20" t="str">
        <f>INDEX(nrg_cb_e!$A$3:$A$40,MATCH(LEFT(MID('Industriesektor GWh'!$B5711,41,1000),SEARCH(" - ",MID('Industriesektor GWh'!$B5711,41,1000))-1),nrg_cb_e!$C$3:$C$40,0))</f>
        <v>FC_IND_NMM_E</v>
      </c>
      <c r="G5711" s="21">
        <v>711</v>
      </c>
    </row>
    <row r="5712" spans="1:7" x14ac:dyDescent="0.2">
      <c r="A5712" s="16" t="s">
        <v>54</v>
      </c>
      <c r="B5712" s="17" t="s">
        <v>65</v>
      </c>
      <c r="C5712" s="17" t="s">
        <v>8</v>
      </c>
      <c r="D5712" s="17" t="s">
        <v>10</v>
      </c>
      <c r="E5712" s="17" t="s">
        <v>27</v>
      </c>
      <c r="F5712" s="17" t="str">
        <f>INDEX(nrg_cb_e!$A$3:$A$40,MATCH(LEFT(MID('Industriesektor GWh'!$B5712,41,1000),SEARCH(" - ",MID('Industriesektor GWh'!$B5712,41,1000))-1),nrg_cb_e!$C$3:$C$40,0))</f>
        <v>FC_IND_NMM_E</v>
      </c>
      <c r="G5712" s="18">
        <v>820</v>
      </c>
    </row>
    <row r="5713" spans="1:7" x14ac:dyDescent="0.2">
      <c r="A5713" s="19" t="s">
        <v>54</v>
      </c>
      <c r="B5713" s="20" t="s">
        <v>65</v>
      </c>
      <c r="C5713" s="20" t="s">
        <v>8</v>
      </c>
      <c r="D5713" s="20" t="s">
        <v>10</v>
      </c>
      <c r="E5713" s="20" t="s">
        <v>28</v>
      </c>
      <c r="F5713" s="20" t="str">
        <f>INDEX(nrg_cb_e!$A$3:$A$40,MATCH(LEFT(MID('Industriesektor GWh'!$B5713,41,1000),SEARCH(" - ",MID('Industriesektor GWh'!$B5713,41,1000))-1),nrg_cb_e!$C$3:$C$40,0))</f>
        <v>FC_IND_NMM_E</v>
      </c>
      <c r="G5713" s="21">
        <v>806</v>
      </c>
    </row>
    <row r="5714" spans="1:7" x14ac:dyDescent="0.2">
      <c r="A5714" s="16" t="s">
        <v>55</v>
      </c>
      <c r="B5714" s="17" t="s">
        <v>65</v>
      </c>
      <c r="C5714" s="17" t="s">
        <v>8</v>
      </c>
      <c r="D5714" s="17" t="s">
        <v>10</v>
      </c>
      <c r="E5714" s="17" t="s">
        <v>12</v>
      </c>
      <c r="F5714" s="17" t="str">
        <f>INDEX(nrg_cb_e!$A$3:$A$40,MATCH(LEFT(MID('Industriesektor GWh'!$B5714,41,1000),SEARCH(" - ",MID('Industriesektor GWh'!$B5714,41,1000))-1),nrg_cb_e!$C$3:$C$40,0))</f>
        <v>FC_IND_NMM_E</v>
      </c>
      <c r="G5714" s="18">
        <v>1177</v>
      </c>
    </row>
    <row r="5715" spans="1:7" x14ac:dyDescent="0.2">
      <c r="A5715" s="19" t="s">
        <v>55</v>
      </c>
      <c r="B5715" s="20" t="s">
        <v>65</v>
      </c>
      <c r="C5715" s="20" t="s">
        <v>8</v>
      </c>
      <c r="D5715" s="20" t="s">
        <v>10</v>
      </c>
      <c r="E5715" s="20" t="s">
        <v>13</v>
      </c>
      <c r="F5715" s="20" t="str">
        <f>INDEX(nrg_cb_e!$A$3:$A$40,MATCH(LEFT(MID('Industriesektor GWh'!$B5715,41,1000),SEARCH(" - ",MID('Industriesektor GWh'!$B5715,41,1000))-1),nrg_cb_e!$C$3:$C$40,0))</f>
        <v>FC_IND_NMM_E</v>
      </c>
      <c r="G5715" s="21">
        <v>1133</v>
      </c>
    </row>
    <row r="5716" spans="1:7" x14ac:dyDescent="0.2">
      <c r="A5716" s="16" t="s">
        <v>55</v>
      </c>
      <c r="B5716" s="17" t="s">
        <v>65</v>
      </c>
      <c r="C5716" s="17" t="s">
        <v>8</v>
      </c>
      <c r="D5716" s="17" t="s">
        <v>10</v>
      </c>
      <c r="E5716" s="17" t="s">
        <v>14</v>
      </c>
      <c r="F5716" s="17" t="str">
        <f>INDEX(nrg_cb_e!$A$3:$A$40,MATCH(LEFT(MID('Industriesektor GWh'!$B5716,41,1000),SEARCH(" - ",MID('Industriesektor GWh'!$B5716,41,1000))-1),nrg_cb_e!$C$3:$C$40,0))</f>
        <v>FC_IND_NMM_E</v>
      </c>
      <c r="G5716" s="18">
        <v>1156</v>
      </c>
    </row>
    <row r="5717" spans="1:7" x14ac:dyDescent="0.2">
      <c r="A5717" s="19" t="s">
        <v>55</v>
      </c>
      <c r="B5717" s="20" t="s">
        <v>65</v>
      </c>
      <c r="C5717" s="20" t="s">
        <v>8</v>
      </c>
      <c r="D5717" s="20" t="s">
        <v>10</v>
      </c>
      <c r="E5717" s="20" t="s">
        <v>15</v>
      </c>
      <c r="F5717" s="20" t="str">
        <f>INDEX(nrg_cb_e!$A$3:$A$40,MATCH(LEFT(MID('Industriesektor GWh'!$B5717,41,1000),SEARCH(" - ",MID('Industriesektor GWh'!$B5717,41,1000))-1),nrg_cb_e!$C$3:$C$40,0))</f>
        <v>FC_IND_NMM_E</v>
      </c>
      <c r="G5717" s="21">
        <v>1045</v>
      </c>
    </row>
    <row r="5718" spans="1:7" x14ac:dyDescent="0.2">
      <c r="A5718" s="16" t="s">
        <v>55</v>
      </c>
      <c r="B5718" s="17" t="s">
        <v>65</v>
      </c>
      <c r="C5718" s="17" t="s">
        <v>8</v>
      </c>
      <c r="D5718" s="17" t="s">
        <v>10</v>
      </c>
      <c r="E5718" s="17" t="s">
        <v>16</v>
      </c>
      <c r="F5718" s="17" t="str">
        <f>INDEX(nrg_cb_e!$A$3:$A$40,MATCH(LEFT(MID('Industriesektor GWh'!$B5718,41,1000),SEARCH(" - ",MID('Industriesektor GWh'!$B5718,41,1000))-1),nrg_cb_e!$C$3:$C$40,0))</f>
        <v>FC_IND_NMM_E</v>
      </c>
      <c r="G5718" s="18">
        <v>1052</v>
      </c>
    </row>
    <row r="5719" spans="1:7" x14ac:dyDescent="0.2">
      <c r="A5719" s="19" t="s">
        <v>55</v>
      </c>
      <c r="B5719" s="20" t="s">
        <v>65</v>
      </c>
      <c r="C5719" s="20" t="s">
        <v>8</v>
      </c>
      <c r="D5719" s="20" t="s">
        <v>10</v>
      </c>
      <c r="E5719" s="20" t="s">
        <v>17</v>
      </c>
      <c r="F5719" s="20" t="str">
        <f>INDEX(nrg_cb_e!$A$3:$A$40,MATCH(LEFT(MID('Industriesektor GWh'!$B5719,41,1000),SEARCH(" - ",MID('Industriesektor GWh'!$B5719,41,1000))-1),nrg_cb_e!$C$3:$C$40,0))</f>
        <v>FC_IND_NMM_E</v>
      </c>
      <c r="G5719" s="21">
        <v>1135</v>
      </c>
    </row>
    <row r="5720" spans="1:7" x14ac:dyDescent="0.2">
      <c r="A5720" s="16" t="s">
        <v>55</v>
      </c>
      <c r="B5720" s="17" t="s">
        <v>65</v>
      </c>
      <c r="C5720" s="17" t="s">
        <v>8</v>
      </c>
      <c r="D5720" s="17" t="s">
        <v>10</v>
      </c>
      <c r="E5720" s="17" t="s">
        <v>18</v>
      </c>
      <c r="F5720" s="17" t="str">
        <f>INDEX(nrg_cb_e!$A$3:$A$40,MATCH(LEFT(MID('Industriesektor GWh'!$B5720,41,1000),SEARCH(" - ",MID('Industriesektor GWh'!$B5720,41,1000))-1),nrg_cb_e!$C$3:$C$40,0))</f>
        <v>FC_IND_NMM_E</v>
      </c>
      <c r="G5720" s="18">
        <v>1233</v>
      </c>
    </row>
    <row r="5721" spans="1:7" x14ac:dyDescent="0.2">
      <c r="A5721" s="19" t="s">
        <v>55</v>
      </c>
      <c r="B5721" s="20" t="s">
        <v>65</v>
      </c>
      <c r="C5721" s="20" t="s">
        <v>8</v>
      </c>
      <c r="D5721" s="20" t="s">
        <v>10</v>
      </c>
      <c r="E5721" s="20" t="s">
        <v>19</v>
      </c>
      <c r="F5721" s="20" t="str">
        <f>INDEX(nrg_cb_e!$A$3:$A$40,MATCH(LEFT(MID('Industriesektor GWh'!$B5721,41,1000),SEARCH(" - ",MID('Industriesektor GWh'!$B5721,41,1000))-1),nrg_cb_e!$C$3:$C$40,0))</f>
        <v>FC_IND_NMM_E</v>
      </c>
      <c r="G5721" s="21">
        <v>961</v>
      </c>
    </row>
    <row r="5722" spans="1:7" x14ac:dyDescent="0.2">
      <c r="A5722" s="16" t="s">
        <v>55</v>
      </c>
      <c r="B5722" s="17" t="s">
        <v>65</v>
      </c>
      <c r="C5722" s="17" t="s">
        <v>8</v>
      </c>
      <c r="D5722" s="17" t="s">
        <v>10</v>
      </c>
      <c r="E5722" s="17" t="s">
        <v>20</v>
      </c>
      <c r="F5722" s="17" t="str">
        <f>INDEX(nrg_cb_e!$A$3:$A$40,MATCH(LEFT(MID('Industriesektor GWh'!$B5722,41,1000),SEARCH(" - ",MID('Industriesektor GWh'!$B5722,41,1000))-1),nrg_cb_e!$C$3:$C$40,0))</f>
        <v>FC_IND_NMM_E</v>
      </c>
      <c r="G5722" s="18">
        <v>1049</v>
      </c>
    </row>
    <row r="5723" spans="1:7" x14ac:dyDescent="0.2">
      <c r="A5723" s="19" t="s">
        <v>55</v>
      </c>
      <c r="B5723" s="20" t="s">
        <v>65</v>
      </c>
      <c r="C5723" s="20" t="s">
        <v>8</v>
      </c>
      <c r="D5723" s="20" t="s">
        <v>10</v>
      </c>
      <c r="E5723" s="20" t="s">
        <v>21</v>
      </c>
      <c r="F5723" s="20" t="str">
        <f>INDEX(nrg_cb_e!$A$3:$A$40,MATCH(LEFT(MID('Industriesektor GWh'!$B5723,41,1000),SEARCH(" - ",MID('Industriesektor GWh'!$B5723,41,1000))-1),nrg_cb_e!$C$3:$C$40,0))</f>
        <v>FC_IND_NMM_E</v>
      </c>
      <c r="G5723" s="21">
        <v>1021</v>
      </c>
    </row>
    <row r="5724" spans="1:7" x14ac:dyDescent="0.2">
      <c r="A5724" s="16" t="s">
        <v>55</v>
      </c>
      <c r="B5724" s="17" t="s">
        <v>65</v>
      </c>
      <c r="C5724" s="17" t="s">
        <v>8</v>
      </c>
      <c r="D5724" s="17" t="s">
        <v>10</v>
      </c>
      <c r="E5724" s="17" t="s">
        <v>22</v>
      </c>
      <c r="F5724" s="17" t="str">
        <f>INDEX(nrg_cb_e!$A$3:$A$40,MATCH(LEFT(MID('Industriesektor GWh'!$B5724,41,1000),SEARCH(" - ",MID('Industriesektor GWh'!$B5724,41,1000))-1),nrg_cb_e!$C$3:$C$40,0))</f>
        <v>FC_IND_NMM_E</v>
      </c>
      <c r="G5724" s="18">
        <v>1009</v>
      </c>
    </row>
    <row r="5725" spans="1:7" x14ac:dyDescent="0.2">
      <c r="A5725" s="19" t="s">
        <v>55</v>
      </c>
      <c r="B5725" s="20" t="s">
        <v>65</v>
      </c>
      <c r="C5725" s="20" t="s">
        <v>8</v>
      </c>
      <c r="D5725" s="20" t="s">
        <v>10</v>
      </c>
      <c r="E5725" s="20" t="s">
        <v>23</v>
      </c>
      <c r="F5725" s="20" t="str">
        <f>INDEX(nrg_cb_e!$A$3:$A$40,MATCH(LEFT(MID('Industriesektor GWh'!$B5725,41,1000),SEARCH(" - ",MID('Industriesektor GWh'!$B5725,41,1000))-1),nrg_cb_e!$C$3:$C$40,0))</f>
        <v>FC_IND_NMM_E</v>
      </c>
      <c r="G5725" s="21">
        <v>939</v>
      </c>
    </row>
    <row r="5726" spans="1:7" x14ac:dyDescent="0.2">
      <c r="A5726" s="16" t="s">
        <v>55</v>
      </c>
      <c r="B5726" s="17" t="s">
        <v>65</v>
      </c>
      <c r="C5726" s="17" t="s">
        <v>8</v>
      </c>
      <c r="D5726" s="17" t="s">
        <v>10</v>
      </c>
      <c r="E5726" s="17" t="s">
        <v>24</v>
      </c>
      <c r="F5726" s="17" t="str">
        <f>INDEX(nrg_cb_e!$A$3:$A$40,MATCH(LEFT(MID('Industriesektor GWh'!$B5726,41,1000),SEARCH(" - ",MID('Industriesektor GWh'!$B5726,41,1000))-1),nrg_cb_e!$C$3:$C$40,0))</f>
        <v>FC_IND_NMM_E</v>
      </c>
      <c r="G5726" s="18">
        <v>958</v>
      </c>
    </row>
    <row r="5727" spans="1:7" x14ac:dyDescent="0.2">
      <c r="A5727" s="19" t="s">
        <v>55</v>
      </c>
      <c r="B5727" s="20" t="s">
        <v>65</v>
      </c>
      <c r="C5727" s="20" t="s">
        <v>8</v>
      </c>
      <c r="D5727" s="20" t="s">
        <v>10</v>
      </c>
      <c r="E5727" s="20" t="s">
        <v>25</v>
      </c>
      <c r="F5727" s="20" t="str">
        <f>INDEX(nrg_cb_e!$A$3:$A$40,MATCH(LEFT(MID('Industriesektor GWh'!$B5727,41,1000),SEARCH(" - ",MID('Industriesektor GWh'!$B5727,41,1000))-1),nrg_cb_e!$C$3:$C$40,0))</f>
        <v>FC_IND_NMM_E</v>
      </c>
      <c r="G5727" s="21">
        <v>947</v>
      </c>
    </row>
    <row r="5728" spans="1:7" x14ac:dyDescent="0.2">
      <c r="A5728" s="16" t="s">
        <v>55</v>
      </c>
      <c r="B5728" s="17" t="s">
        <v>65</v>
      </c>
      <c r="C5728" s="17" t="s">
        <v>8</v>
      </c>
      <c r="D5728" s="17" t="s">
        <v>10</v>
      </c>
      <c r="E5728" s="17" t="s">
        <v>26</v>
      </c>
      <c r="F5728" s="17" t="str">
        <f>INDEX(nrg_cb_e!$A$3:$A$40,MATCH(LEFT(MID('Industriesektor GWh'!$B5728,41,1000),SEARCH(" - ",MID('Industriesektor GWh'!$B5728,41,1000))-1),nrg_cb_e!$C$3:$C$40,0))</f>
        <v>FC_IND_NMM_E</v>
      </c>
      <c r="G5728" s="18">
        <v>986</v>
      </c>
    </row>
    <row r="5729" spans="1:7" x14ac:dyDescent="0.2">
      <c r="A5729" s="19" t="s">
        <v>55</v>
      </c>
      <c r="B5729" s="20" t="s">
        <v>65</v>
      </c>
      <c r="C5729" s="20" t="s">
        <v>8</v>
      </c>
      <c r="D5729" s="20" t="s">
        <v>10</v>
      </c>
      <c r="E5729" s="20" t="s">
        <v>27</v>
      </c>
      <c r="F5729" s="20" t="str">
        <f>INDEX(nrg_cb_e!$A$3:$A$40,MATCH(LEFT(MID('Industriesektor GWh'!$B5729,41,1000),SEARCH(" - ",MID('Industriesektor GWh'!$B5729,41,1000))-1),nrg_cb_e!$C$3:$C$40,0))</f>
        <v>FC_IND_NMM_E</v>
      </c>
      <c r="G5729" s="21">
        <v>1031</v>
      </c>
    </row>
    <row r="5730" spans="1:7" x14ac:dyDescent="0.2">
      <c r="A5730" s="16" t="s">
        <v>55</v>
      </c>
      <c r="B5730" s="17" t="s">
        <v>65</v>
      </c>
      <c r="C5730" s="17" t="s">
        <v>8</v>
      </c>
      <c r="D5730" s="17" t="s">
        <v>10</v>
      </c>
      <c r="E5730" s="17" t="s">
        <v>28</v>
      </c>
      <c r="F5730" s="17" t="str">
        <f>INDEX(nrg_cb_e!$A$3:$A$40,MATCH(LEFT(MID('Industriesektor GWh'!$B5730,41,1000),SEARCH(" - ",MID('Industriesektor GWh'!$B5730,41,1000))-1),nrg_cb_e!$C$3:$C$40,0))</f>
        <v>FC_IND_NMM_E</v>
      </c>
      <c r="G5730" s="18">
        <v>1020</v>
      </c>
    </row>
    <row r="5731" spans="1:7" x14ac:dyDescent="0.2">
      <c r="A5731" s="19" t="s">
        <v>56</v>
      </c>
      <c r="B5731" s="20" t="s">
        <v>65</v>
      </c>
      <c r="C5731" s="20" t="s">
        <v>8</v>
      </c>
      <c r="D5731" s="20" t="s">
        <v>10</v>
      </c>
      <c r="E5731" s="20" t="s">
        <v>12</v>
      </c>
      <c r="F5731" s="20" t="str">
        <f>INDEX(nrg_cb_e!$A$3:$A$40,MATCH(LEFT(MID('Industriesektor GWh'!$B5731,41,1000),SEARCH(" - ",MID('Industriesektor GWh'!$B5731,41,1000))-1),nrg_cb_e!$C$3:$C$40,0))</f>
        <v>FC_IND_NMM_E</v>
      </c>
      <c r="G5731" s="21">
        <v>7115</v>
      </c>
    </row>
    <row r="5732" spans="1:7" x14ac:dyDescent="0.2">
      <c r="A5732" s="16" t="s">
        <v>56</v>
      </c>
      <c r="B5732" s="17" t="s">
        <v>65</v>
      </c>
      <c r="C5732" s="17" t="s">
        <v>8</v>
      </c>
      <c r="D5732" s="17" t="s">
        <v>10</v>
      </c>
      <c r="E5732" s="17" t="s">
        <v>13</v>
      </c>
      <c r="F5732" s="17" t="str">
        <f>INDEX(nrg_cb_e!$A$3:$A$40,MATCH(LEFT(MID('Industriesektor GWh'!$B5732,41,1000),SEARCH(" - ",MID('Industriesektor GWh'!$B5732,41,1000))-1),nrg_cb_e!$C$3:$C$40,0))</f>
        <v>FC_IND_NMM_E</v>
      </c>
      <c r="G5732" s="18">
        <v>7451</v>
      </c>
    </row>
    <row r="5733" spans="1:7" x14ac:dyDescent="0.2">
      <c r="A5733" s="19" t="s">
        <v>56</v>
      </c>
      <c r="B5733" s="20" t="s">
        <v>65</v>
      </c>
      <c r="C5733" s="20" t="s">
        <v>8</v>
      </c>
      <c r="D5733" s="20" t="s">
        <v>10</v>
      </c>
      <c r="E5733" s="20" t="s">
        <v>14</v>
      </c>
      <c r="F5733" s="20" t="str">
        <f>INDEX(nrg_cb_e!$A$3:$A$40,MATCH(LEFT(MID('Industriesektor GWh'!$B5733,41,1000),SEARCH(" - ",MID('Industriesektor GWh'!$B5733,41,1000))-1),nrg_cb_e!$C$3:$C$40,0))</f>
        <v>FC_IND_NMM_E</v>
      </c>
      <c r="G5733" s="21">
        <v>7535</v>
      </c>
    </row>
    <row r="5734" spans="1:7" x14ac:dyDescent="0.2">
      <c r="A5734" s="16" t="s">
        <v>56</v>
      </c>
      <c r="B5734" s="17" t="s">
        <v>65</v>
      </c>
      <c r="C5734" s="17" t="s">
        <v>8</v>
      </c>
      <c r="D5734" s="17" t="s">
        <v>10</v>
      </c>
      <c r="E5734" s="17" t="s">
        <v>15</v>
      </c>
      <c r="F5734" s="17" t="str">
        <f>INDEX(nrg_cb_e!$A$3:$A$40,MATCH(LEFT(MID('Industriesektor GWh'!$B5734,41,1000),SEARCH(" - ",MID('Industriesektor GWh'!$B5734,41,1000))-1),nrg_cb_e!$C$3:$C$40,0))</f>
        <v>FC_IND_NMM_E</v>
      </c>
      <c r="G5734" s="18">
        <v>7978</v>
      </c>
    </row>
    <row r="5735" spans="1:7" x14ac:dyDescent="0.2">
      <c r="A5735" s="19" t="s">
        <v>56</v>
      </c>
      <c r="B5735" s="20" t="s">
        <v>65</v>
      </c>
      <c r="C5735" s="20" t="s">
        <v>8</v>
      </c>
      <c r="D5735" s="20" t="s">
        <v>10</v>
      </c>
      <c r="E5735" s="20" t="s">
        <v>16</v>
      </c>
      <c r="F5735" s="20" t="str">
        <f>INDEX(nrg_cb_e!$A$3:$A$40,MATCH(LEFT(MID('Industriesektor GWh'!$B5735,41,1000),SEARCH(" - ",MID('Industriesektor GWh'!$B5735,41,1000))-1),nrg_cb_e!$C$3:$C$40,0))</f>
        <v>FC_IND_NMM_E</v>
      </c>
      <c r="G5735" s="21">
        <v>7869</v>
      </c>
    </row>
    <row r="5736" spans="1:7" x14ac:dyDescent="0.2">
      <c r="A5736" s="16" t="s">
        <v>56</v>
      </c>
      <c r="B5736" s="17" t="s">
        <v>65</v>
      </c>
      <c r="C5736" s="17" t="s">
        <v>8</v>
      </c>
      <c r="D5736" s="17" t="s">
        <v>10</v>
      </c>
      <c r="E5736" s="17" t="s">
        <v>17</v>
      </c>
      <c r="F5736" s="17" t="str">
        <f>INDEX(nrg_cb_e!$A$3:$A$40,MATCH(LEFT(MID('Industriesektor GWh'!$B5736,41,1000),SEARCH(" - ",MID('Industriesektor GWh'!$B5736,41,1000))-1),nrg_cb_e!$C$3:$C$40,0))</f>
        <v>FC_IND_NMM_E</v>
      </c>
      <c r="G5736" s="18">
        <v>7811</v>
      </c>
    </row>
    <row r="5737" spans="1:7" x14ac:dyDescent="0.2">
      <c r="A5737" s="19" t="s">
        <v>56</v>
      </c>
      <c r="B5737" s="20" t="s">
        <v>65</v>
      </c>
      <c r="C5737" s="20" t="s">
        <v>8</v>
      </c>
      <c r="D5737" s="20" t="s">
        <v>10</v>
      </c>
      <c r="E5737" s="20" t="s">
        <v>18</v>
      </c>
      <c r="F5737" s="20" t="str">
        <f>INDEX(nrg_cb_e!$A$3:$A$40,MATCH(LEFT(MID('Industriesektor GWh'!$B5737,41,1000),SEARCH(" - ",MID('Industriesektor GWh'!$B5737,41,1000))-1),nrg_cb_e!$C$3:$C$40,0))</f>
        <v>FC_IND_NMM_E</v>
      </c>
      <c r="G5737" s="21">
        <v>7931</v>
      </c>
    </row>
    <row r="5738" spans="1:7" x14ac:dyDescent="0.2">
      <c r="A5738" s="16" t="s">
        <v>56</v>
      </c>
      <c r="B5738" s="17" t="s">
        <v>65</v>
      </c>
      <c r="C5738" s="17" t="s">
        <v>8</v>
      </c>
      <c r="D5738" s="17" t="s">
        <v>10</v>
      </c>
      <c r="E5738" s="17" t="s">
        <v>19</v>
      </c>
      <c r="F5738" s="17" t="str">
        <f>INDEX(nrg_cb_e!$A$3:$A$40,MATCH(LEFT(MID('Industriesektor GWh'!$B5738,41,1000),SEARCH(" - ",MID('Industriesektor GWh'!$B5738,41,1000))-1),nrg_cb_e!$C$3:$C$40,0))</f>
        <v>FC_IND_NMM_E</v>
      </c>
      <c r="G5738" s="18">
        <v>7010</v>
      </c>
    </row>
    <row r="5739" spans="1:7" x14ac:dyDescent="0.2">
      <c r="A5739" s="19" t="s">
        <v>56</v>
      </c>
      <c r="B5739" s="20" t="s">
        <v>65</v>
      </c>
      <c r="C5739" s="20" t="s">
        <v>8</v>
      </c>
      <c r="D5739" s="20" t="s">
        <v>10</v>
      </c>
      <c r="E5739" s="20" t="s">
        <v>20</v>
      </c>
      <c r="F5739" s="20" t="str">
        <f>INDEX(nrg_cb_e!$A$3:$A$40,MATCH(LEFT(MID('Industriesektor GWh'!$B5739,41,1000),SEARCH(" - ",MID('Industriesektor GWh'!$B5739,41,1000))-1),nrg_cb_e!$C$3:$C$40,0))</f>
        <v>FC_IND_NMM_E</v>
      </c>
      <c r="G5739" s="21">
        <v>7266</v>
      </c>
    </row>
    <row r="5740" spans="1:7" x14ac:dyDescent="0.2">
      <c r="A5740" s="16" t="s">
        <v>56</v>
      </c>
      <c r="B5740" s="17" t="s">
        <v>65</v>
      </c>
      <c r="C5740" s="17" t="s">
        <v>8</v>
      </c>
      <c r="D5740" s="17" t="s">
        <v>10</v>
      </c>
      <c r="E5740" s="17" t="s">
        <v>21</v>
      </c>
      <c r="F5740" s="17" t="str">
        <f>INDEX(nrg_cb_e!$A$3:$A$40,MATCH(LEFT(MID('Industriesektor GWh'!$B5740,41,1000),SEARCH(" - ",MID('Industriesektor GWh'!$B5740,41,1000))-1),nrg_cb_e!$C$3:$C$40,0))</f>
        <v>FC_IND_NMM_E</v>
      </c>
      <c r="G5740" s="18">
        <v>7010</v>
      </c>
    </row>
    <row r="5741" spans="1:7" x14ac:dyDescent="0.2">
      <c r="A5741" s="19" t="s">
        <v>56</v>
      </c>
      <c r="B5741" s="20" t="s">
        <v>65</v>
      </c>
      <c r="C5741" s="20" t="s">
        <v>8</v>
      </c>
      <c r="D5741" s="20" t="s">
        <v>10</v>
      </c>
      <c r="E5741" s="20" t="s">
        <v>22</v>
      </c>
      <c r="F5741" s="20" t="str">
        <f>INDEX(nrg_cb_e!$A$3:$A$40,MATCH(LEFT(MID('Industriesektor GWh'!$B5741,41,1000),SEARCH(" - ",MID('Industriesektor GWh'!$B5741,41,1000))-1),nrg_cb_e!$C$3:$C$40,0))</f>
        <v>FC_IND_NMM_E</v>
      </c>
      <c r="G5741" s="21">
        <v>6747</v>
      </c>
    </row>
    <row r="5742" spans="1:7" x14ac:dyDescent="0.2">
      <c r="A5742" s="16" t="s">
        <v>56</v>
      </c>
      <c r="B5742" s="17" t="s">
        <v>65</v>
      </c>
      <c r="C5742" s="17" t="s">
        <v>8</v>
      </c>
      <c r="D5742" s="17" t="s">
        <v>10</v>
      </c>
      <c r="E5742" s="17" t="s">
        <v>23</v>
      </c>
      <c r="F5742" s="17" t="str">
        <f>INDEX(nrg_cb_e!$A$3:$A$40,MATCH(LEFT(MID('Industriesektor GWh'!$B5742,41,1000),SEARCH(" - ",MID('Industriesektor GWh'!$B5742,41,1000))-1),nrg_cb_e!$C$3:$C$40,0))</f>
        <v>FC_IND_NMM_E</v>
      </c>
      <c r="G5742" s="18">
        <v>6726</v>
      </c>
    </row>
    <row r="5743" spans="1:7" x14ac:dyDescent="0.2">
      <c r="A5743" s="19" t="s">
        <v>56</v>
      </c>
      <c r="B5743" s="20" t="s">
        <v>65</v>
      </c>
      <c r="C5743" s="20" t="s">
        <v>8</v>
      </c>
      <c r="D5743" s="20" t="s">
        <v>10</v>
      </c>
      <c r="E5743" s="20" t="s">
        <v>24</v>
      </c>
      <c r="F5743" s="20" t="str">
        <f>INDEX(nrg_cb_e!$A$3:$A$40,MATCH(LEFT(MID('Industriesektor GWh'!$B5743,41,1000),SEARCH(" - ",MID('Industriesektor GWh'!$B5743,41,1000))-1),nrg_cb_e!$C$3:$C$40,0))</f>
        <v>FC_IND_NMM_E</v>
      </c>
      <c r="G5743" s="21">
        <v>6267</v>
      </c>
    </row>
    <row r="5744" spans="1:7" x14ac:dyDescent="0.2">
      <c r="A5744" s="16" t="s">
        <v>56</v>
      </c>
      <c r="B5744" s="17" t="s">
        <v>65</v>
      </c>
      <c r="C5744" s="17" t="s">
        <v>8</v>
      </c>
      <c r="D5744" s="17" t="s">
        <v>10</v>
      </c>
      <c r="E5744" s="17" t="s">
        <v>25</v>
      </c>
      <c r="F5744" s="17" t="str">
        <f>INDEX(nrg_cb_e!$A$3:$A$40,MATCH(LEFT(MID('Industriesektor GWh'!$B5744,41,1000),SEARCH(" - ",MID('Industriesektor GWh'!$B5744,41,1000))-1),nrg_cb_e!$C$3:$C$40,0))</f>
        <v>FC_IND_NMM_E</v>
      </c>
      <c r="G5744" s="18">
        <v>6101.85</v>
      </c>
    </row>
    <row r="5745" spans="1:7" x14ac:dyDescent="0.2">
      <c r="A5745" s="19" t="s">
        <v>56</v>
      </c>
      <c r="B5745" s="20" t="s">
        <v>65</v>
      </c>
      <c r="C5745" s="20" t="s">
        <v>8</v>
      </c>
      <c r="D5745" s="20" t="s">
        <v>10</v>
      </c>
      <c r="E5745" s="20" t="s">
        <v>26</v>
      </c>
      <c r="F5745" s="20" t="str">
        <f>INDEX(nrg_cb_e!$A$3:$A$40,MATCH(LEFT(MID('Industriesektor GWh'!$B5745,41,1000),SEARCH(" - ",MID('Industriesektor GWh'!$B5745,41,1000))-1),nrg_cb_e!$C$3:$C$40,0))</f>
        <v>FC_IND_NMM_E</v>
      </c>
      <c r="G5745" s="21">
        <v>6239.6059999999998</v>
      </c>
    </row>
    <row r="5746" spans="1:7" x14ac:dyDescent="0.2">
      <c r="A5746" s="16" t="s">
        <v>56</v>
      </c>
      <c r="B5746" s="17" t="s">
        <v>65</v>
      </c>
      <c r="C5746" s="17" t="s">
        <v>8</v>
      </c>
      <c r="D5746" s="17" t="s">
        <v>10</v>
      </c>
      <c r="E5746" s="17" t="s">
        <v>27</v>
      </c>
      <c r="F5746" s="17" t="str">
        <f>INDEX(nrg_cb_e!$A$3:$A$40,MATCH(LEFT(MID('Industriesektor GWh'!$B5746,41,1000),SEARCH(" - ",MID('Industriesektor GWh'!$B5746,41,1000))-1),nrg_cb_e!$C$3:$C$40,0))</f>
        <v>FC_IND_NMM_E</v>
      </c>
      <c r="G5746" s="18">
        <v>6169.9520000000002</v>
      </c>
    </row>
    <row r="5747" spans="1:7" x14ac:dyDescent="0.2">
      <c r="A5747" s="19" t="s">
        <v>56</v>
      </c>
      <c r="B5747" s="20" t="s">
        <v>65</v>
      </c>
      <c r="C5747" s="20" t="s">
        <v>8</v>
      </c>
      <c r="D5747" s="20" t="s">
        <v>10</v>
      </c>
      <c r="E5747" s="20" t="s">
        <v>28</v>
      </c>
      <c r="F5747" s="20" t="str">
        <f>INDEX(nrg_cb_e!$A$3:$A$40,MATCH(LEFT(MID('Industriesektor GWh'!$B5747,41,1000),SEARCH(" - ",MID('Industriesektor GWh'!$B5747,41,1000))-1),nrg_cb_e!$C$3:$C$40,0))</f>
        <v>FC_IND_NMM_E</v>
      </c>
      <c r="G5747" s="21">
        <v>6309.9059999999999</v>
      </c>
    </row>
    <row r="5748" spans="1:7" x14ac:dyDescent="0.2">
      <c r="A5748" s="16" t="s">
        <v>57</v>
      </c>
      <c r="B5748" s="17" t="s">
        <v>65</v>
      </c>
      <c r="C5748" s="17" t="s">
        <v>8</v>
      </c>
      <c r="D5748" s="17" t="s">
        <v>10</v>
      </c>
      <c r="E5748" s="17" t="s">
        <v>12</v>
      </c>
      <c r="F5748" s="17" t="str">
        <f>INDEX(nrg_cb_e!$A$3:$A$40,MATCH(LEFT(MID('Industriesektor GWh'!$B5748,41,1000),SEARCH(" - ",MID('Industriesektor GWh'!$B5748,41,1000))-1),nrg_cb_e!$C$3:$C$40,0))</f>
        <v>FC_IND_NMM_E</v>
      </c>
      <c r="G5748" s="18">
        <v>32</v>
      </c>
    </row>
    <row r="5749" spans="1:7" x14ac:dyDescent="0.2">
      <c r="A5749" s="19" t="s">
        <v>57</v>
      </c>
      <c r="B5749" s="20" t="s">
        <v>65</v>
      </c>
      <c r="C5749" s="20" t="s">
        <v>8</v>
      </c>
      <c r="D5749" s="20" t="s">
        <v>10</v>
      </c>
      <c r="E5749" s="20" t="s">
        <v>13</v>
      </c>
      <c r="F5749" s="20" t="str">
        <f>INDEX(nrg_cb_e!$A$3:$A$40,MATCH(LEFT(MID('Industriesektor GWh'!$B5749,41,1000),SEARCH(" - ",MID('Industriesektor GWh'!$B5749,41,1000))-1),nrg_cb_e!$C$3:$C$40,0))</f>
        <v>FC_IND_NMM_E</v>
      </c>
      <c r="G5749" s="21">
        <v>31</v>
      </c>
    </row>
    <row r="5750" spans="1:7" x14ac:dyDescent="0.2">
      <c r="A5750" s="16" t="s">
        <v>57</v>
      </c>
      <c r="B5750" s="17" t="s">
        <v>65</v>
      </c>
      <c r="C5750" s="17" t="s">
        <v>8</v>
      </c>
      <c r="D5750" s="17" t="s">
        <v>10</v>
      </c>
      <c r="E5750" s="17" t="s">
        <v>14</v>
      </c>
      <c r="F5750" s="17" t="str">
        <f>INDEX(nrg_cb_e!$A$3:$A$40,MATCH(LEFT(MID('Industriesektor GWh'!$B5750,41,1000),SEARCH(" - ",MID('Industriesektor GWh'!$B5750,41,1000))-1),nrg_cb_e!$C$3:$C$40,0))</f>
        <v>FC_IND_NMM_E</v>
      </c>
      <c r="G5750" s="18">
        <v>41</v>
      </c>
    </row>
    <row r="5751" spans="1:7" x14ac:dyDescent="0.2">
      <c r="A5751" s="19" t="s">
        <v>57</v>
      </c>
      <c r="B5751" s="20" t="s">
        <v>65</v>
      </c>
      <c r="C5751" s="20" t="s">
        <v>8</v>
      </c>
      <c r="D5751" s="20" t="s">
        <v>10</v>
      </c>
      <c r="E5751" s="20" t="s">
        <v>15</v>
      </c>
      <c r="F5751" s="20" t="str">
        <f>INDEX(nrg_cb_e!$A$3:$A$40,MATCH(LEFT(MID('Industriesektor GWh'!$B5751,41,1000),SEARCH(" - ",MID('Industriesektor GWh'!$B5751,41,1000))-1),nrg_cb_e!$C$3:$C$40,0))</f>
        <v>FC_IND_NMM_E</v>
      </c>
      <c r="G5751" s="21">
        <v>45</v>
      </c>
    </row>
    <row r="5752" spans="1:7" x14ac:dyDescent="0.2">
      <c r="A5752" s="16" t="s">
        <v>57</v>
      </c>
      <c r="B5752" s="17" t="s">
        <v>65</v>
      </c>
      <c r="C5752" s="17" t="s">
        <v>8</v>
      </c>
      <c r="D5752" s="17" t="s">
        <v>10</v>
      </c>
      <c r="E5752" s="17" t="s">
        <v>16</v>
      </c>
      <c r="F5752" s="17" t="str">
        <f>INDEX(nrg_cb_e!$A$3:$A$40,MATCH(LEFT(MID('Industriesektor GWh'!$B5752,41,1000),SEARCH(" - ",MID('Industriesektor GWh'!$B5752,41,1000))-1),nrg_cb_e!$C$3:$C$40,0))</f>
        <v>FC_IND_NMM_E</v>
      </c>
      <c r="G5752" s="18">
        <v>42</v>
      </c>
    </row>
    <row r="5753" spans="1:7" x14ac:dyDescent="0.2">
      <c r="A5753" s="19" t="s">
        <v>57</v>
      </c>
      <c r="B5753" s="20" t="s">
        <v>65</v>
      </c>
      <c r="C5753" s="20" t="s">
        <v>8</v>
      </c>
      <c r="D5753" s="20" t="s">
        <v>10</v>
      </c>
      <c r="E5753" s="20" t="s">
        <v>17</v>
      </c>
      <c r="F5753" s="20" t="str">
        <f>INDEX(nrg_cb_e!$A$3:$A$40,MATCH(LEFT(MID('Industriesektor GWh'!$B5753,41,1000),SEARCH(" - ",MID('Industriesektor GWh'!$B5753,41,1000))-1),nrg_cb_e!$C$3:$C$40,0))</f>
        <v>FC_IND_NMM_E</v>
      </c>
      <c r="G5753" s="21">
        <v>51</v>
      </c>
    </row>
    <row r="5754" spans="1:7" x14ac:dyDescent="0.2">
      <c r="A5754" s="16" t="s">
        <v>57</v>
      </c>
      <c r="B5754" s="17" t="s">
        <v>65</v>
      </c>
      <c r="C5754" s="17" t="s">
        <v>8</v>
      </c>
      <c r="D5754" s="17" t="s">
        <v>10</v>
      </c>
      <c r="E5754" s="17" t="s">
        <v>18</v>
      </c>
      <c r="F5754" s="17" t="str">
        <f>INDEX(nrg_cb_e!$A$3:$A$40,MATCH(LEFT(MID('Industriesektor GWh'!$B5754,41,1000),SEARCH(" - ",MID('Industriesektor GWh'!$B5754,41,1000))-1),nrg_cb_e!$C$3:$C$40,0))</f>
        <v>FC_IND_NMM_E</v>
      </c>
      <c r="G5754" s="18">
        <v>47</v>
      </c>
    </row>
    <row r="5755" spans="1:7" x14ac:dyDescent="0.2">
      <c r="A5755" s="19" t="s">
        <v>57</v>
      </c>
      <c r="B5755" s="20" t="s">
        <v>65</v>
      </c>
      <c r="C5755" s="20" t="s">
        <v>8</v>
      </c>
      <c r="D5755" s="20" t="s">
        <v>10</v>
      </c>
      <c r="E5755" s="20" t="s">
        <v>19</v>
      </c>
      <c r="F5755" s="20" t="str">
        <f>INDEX(nrg_cb_e!$A$3:$A$40,MATCH(LEFT(MID('Industriesektor GWh'!$B5755,41,1000),SEARCH(" - ",MID('Industriesektor GWh'!$B5755,41,1000))-1),nrg_cb_e!$C$3:$C$40,0))</f>
        <v>FC_IND_NMM_E</v>
      </c>
      <c r="G5755" s="21">
        <v>31</v>
      </c>
    </row>
    <row r="5756" spans="1:7" x14ac:dyDescent="0.2">
      <c r="A5756" s="16" t="s">
        <v>57</v>
      </c>
      <c r="B5756" s="17" t="s">
        <v>65</v>
      </c>
      <c r="C5756" s="17" t="s">
        <v>8</v>
      </c>
      <c r="D5756" s="17" t="s">
        <v>10</v>
      </c>
      <c r="E5756" s="17" t="s">
        <v>20</v>
      </c>
      <c r="F5756" s="17" t="str">
        <f>INDEX(nrg_cb_e!$A$3:$A$40,MATCH(LEFT(MID('Industriesektor GWh'!$B5756,41,1000),SEARCH(" - ",MID('Industriesektor GWh'!$B5756,41,1000))-1),nrg_cb_e!$C$3:$C$40,0))</f>
        <v>FC_IND_NMM_E</v>
      </c>
      <c r="G5756" s="18">
        <v>23</v>
      </c>
    </row>
    <row r="5757" spans="1:7" x14ac:dyDescent="0.2">
      <c r="A5757" s="19" t="s">
        <v>57</v>
      </c>
      <c r="B5757" s="20" t="s">
        <v>65</v>
      </c>
      <c r="C5757" s="20" t="s">
        <v>8</v>
      </c>
      <c r="D5757" s="20" t="s">
        <v>10</v>
      </c>
      <c r="E5757" s="20" t="s">
        <v>21</v>
      </c>
      <c r="F5757" s="20" t="str">
        <f>INDEX(nrg_cb_e!$A$3:$A$40,MATCH(LEFT(MID('Industriesektor GWh'!$B5757,41,1000),SEARCH(" - ",MID('Industriesektor GWh'!$B5757,41,1000))-1),nrg_cb_e!$C$3:$C$40,0))</f>
        <v>FC_IND_NMM_E</v>
      </c>
      <c r="G5757" s="21">
        <v>26</v>
      </c>
    </row>
    <row r="5758" spans="1:7" x14ac:dyDescent="0.2">
      <c r="A5758" s="16" t="s">
        <v>57</v>
      </c>
      <c r="B5758" s="17" t="s">
        <v>65</v>
      </c>
      <c r="C5758" s="17" t="s">
        <v>8</v>
      </c>
      <c r="D5758" s="17" t="s">
        <v>10</v>
      </c>
      <c r="E5758" s="17" t="s">
        <v>22</v>
      </c>
      <c r="F5758" s="17" t="str">
        <f>INDEX(nrg_cb_e!$A$3:$A$40,MATCH(LEFT(MID('Industriesektor GWh'!$B5758,41,1000),SEARCH(" - ",MID('Industriesektor GWh'!$B5758,41,1000))-1),nrg_cb_e!$C$3:$C$40,0))</f>
        <v>FC_IND_NMM_E</v>
      </c>
      <c r="G5758" s="18">
        <v>22</v>
      </c>
    </row>
    <row r="5759" spans="1:7" x14ac:dyDescent="0.2">
      <c r="A5759" s="19" t="s">
        <v>57</v>
      </c>
      <c r="B5759" s="20" t="s">
        <v>65</v>
      </c>
      <c r="C5759" s="20" t="s">
        <v>8</v>
      </c>
      <c r="D5759" s="20" t="s">
        <v>10</v>
      </c>
      <c r="E5759" s="20" t="s">
        <v>23</v>
      </c>
      <c r="F5759" s="20" t="str">
        <f>INDEX(nrg_cb_e!$A$3:$A$40,MATCH(LEFT(MID('Industriesektor GWh'!$B5759,41,1000),SEARCH(" - ",MID('Industriesektor GWh'!$B5759,41,1000))-1),nrg_cb_e!$C$3:$C$40,0))</f>
        <v>FC_IND_NMM_E</v>
      </c>
      <c r="G5759" s="21">
        <v>24</v>
      </c>
    </row>
    <row r="5760" spans="1:7" x14ac:dyDescent="0.2">
      <c r="A5760" s="16" t="s">
        <v>57</v>
      </c>
      <c r="B5760" s="17" t="s">
        <v>65</v>
      </c>
      <c r="C5760" s="17" t="s">
        <v>8</v>
      </c>
      <c r="D5760" s="17" t="s">
        <v>10</v>
      </c>
      <c r="E5760" s="17" t="s">
        <v>24</v>
      </c>
      <c r="F5760" s="17" t="str">
        <f>INDEX(nrg_cb_e!$A$3:$A$40,MATCH(LEFT(MID('Industriesektor GWh'!$B5760,41,1000),SEARCH(" - ",MID('Industriesektor GWh'!$B5760,41,1000))-1),nrg_cb_e!$C$3:$C$40,0))</f>
        <v>FC_IND_NMM_E</v>
      </c>
      <c r="G5760" s="18">
        <v>23</v>
      </c>
    </row>
    <row r="5761" spans="1:7" x14ac:dyDescent="0.2">
      <c r="A5761" s="19" t="s">
        <v>57</v>
      </c>
      <c r="B5761" s="20" t="s">
        <v>65</v>
      </c>
      <c r="C5761" s="20" t="s">
        <v>8</v>
      </c>
      <c r="D5761" s="20" t="s">
        <v>10</v>
      </c>
      <c r="E5761" s="20" t="s">
        <v>25</v>
      </c>
      <c r="F5761" s="20" t="str">
        <f>INDEX(nrg_cb_e!$A$3:$A$40,MATCH(LEFT(MID('Industriesektor GWh'!$B5761,41,1000),SEARCH(" - ",MID('Industriesektor GWh'!$B5761,41,1000))-1),nrg_cb_e!$C$3:$C$40,0))</f>
        <v>FC_IND_NMM_E</v>
      </c>
      <c r="G5761" s="21">
        <v>28</v>
      </c>
    </row>
    <row r="5762" spans="1:7" x14ac:dyDescent="0.2">
      <c r="A5762" s="16" t="s">
        <v>57</v>
      </c>
      <c r="B5762" s="17" t="s">
        <v>65</v>
      </c>
      <c r="C5762" s="17" t="s">
        <v>8</v>
      </c>
      <c r="D5762" s="17" t="s">
        <v>10</v>
      </c>
      <c r="E5762" s="17" t="s">
        <v>26</v>
      </c>
      <c r="F5762" s="17" t="str">
        <f>INDEX(nrg_cb_e!$A$3:$A$40,MATCH(LEFT(MID('Industriesektor GWh'!$B5762,41,1000),SEARCH(" - ",MID('Industriesektor GWh'!$B5762,41,1000))-1),nrg_cb_e!$C$3:$C$40,0))</f>
        <v>FC_IND_NMM_E</v>
      </c>
      <c r="G5762" s="18">
        <v>45</v>
      </c>
    </row>
    <row r="5763" spans="1:7" x14ac:dyDescent="0.2">
      <c r="A5763" s="19" t="s">
        <v>57</v>
      </c>
      <c r="B5763" s="20" t="s">
        <v>65</v>
      </c>
      <c r="C5763" s="20" t="s">
        <v>8</v>
      </c>
      <c r="D5763" s="20" t="s">
        <v>10</v>
      </c>
      <c r="E5763" s="20" t="s">
        <v>27</v>
      </c>
      <c r="F5763" s="20" t="str">
        <f>INDEX(nrg_cb_e!$A$3:$A$40,MATCH(LEFT(MID('Industriesektor GWh'!$B5763,41,1000),SEARCH(" - ",MID('Industriesektor GWh'!$B5763,41,1000))-1),nrg_cb_e!$C$3:$C$40,0))</f>
        <v>FC_IND_NMM_E</v>
      </c>
      <c r="G5763" s="21">
        <v>123.994</v>
      </c>
    </row>
    <row r="5764" spans="1:7" x14ac:dyDescent="0.2">
      <c r="A5764" s="16" t="s">
        <v>57</v>
      </c>
      <c r="B5764" s="17" t="s">
        <v>65</v>
      </c>
      <c r="C5764" s="17" t="s">
        <v>8</v>
      </c>
      <c r="D5764" s="17" t="s">
        <v>10</v>
      </c>
      <c r="E5764" s="17" t="s">
        <v>28</v>
      </c>
      <c r="F5764" s="17" t="str">
        <f>INDEX(nrg_cb_e!$A$3:$A$40,MATCH(LEFT(MID('Industriesektor GWh'!$B5764,41,1000),SEARCH(" - ",MID('Industriesektor GWh'!$B5764,41,1000))-1),nrg_cb_e!$C$3:$C$40,0))</f>
        <v>FC_IND_NMM_E</v>
      </c>
      <c r="G5764" s="18">
        <v>176.78</v>
      </c>
    </row>
    <row r="5765" spans="1:7" x14ac:dyDescent="0.2">
      <c r="A5765" s="19" t="s">
        <v>58</v>
      </c>
      <c r="B5765" s="20" t="s">
        <v>65</v>
      </c>
      <c r="C5765" s="20" t="s">
        <v>8</v>
      </c>
      <c r="D5765" s="20" t="s">
        <v>10</v>
      </c>
      <c r="E5765" s="20" t="s">
        <v>12</v>
      </c>
      <c r="F5765" s="20" t="str">
        <f>INDEX(nrg_cb_e!$A$3:$A$40,MATCH(LEFT(MID('Industriesektor GWh'!$B5765,41,1000),SEARCH(" - ",MID('Industriesektor GWh'!$B5765,41,1000))-1),nrg_cb_e!$C$3:$C$40,0))</f>
        <v>FC_IND_NMM_E</v>
      </c>
      <c r="G5765" s="21">
        <v>843</v>
      </c>
    </row>
    <row r="5766" spans="1:7" x14ac:dyDescent="0.2">
      <c r="A5766" s="16" t="s">
        <v>58</v>
      </c>
      <c r="B5766" s="17" t="s">
        <v>65</v>
      </c>
      <c r="C5766" s="17" t="s">
        <v>8</v>
      </c>
      <c r="D5766" s="17" t="s">
        <v>10</v>
      </c>
      <c r="E5766" s="17" t="s">
        <v>13</v>
      </c>
      <c r="F5766" s="17" t="str">
        <f>INDEX(nrg_cb_e!$A$3:$A$40,MATCH(LEFT(MID('Industriesektor GWh'!$B5766,41,1000),SEARCH(" - ",MID('Industriesektor GWh'!$B5766,41,1000))-1),nrg_cb_e!$C$3:$C$40,0))</f>
        <v>FC_IND_NMM_E</v>
      </c>
      <c r="G5766" s="18">
        <v>834</v>
      </c>
    </row>
    <row r="5767" spans="1:7" x14ac:dyDescent="0.2">
      <c r="A5767" s="19" t="s">
        <v>58</v>
      </c>
      <c r="B5767" s="20" t="s">
        <v>65</v>
      </c>
      <c r="C5767" s="20" t="s">
        <v>8</v>
      </c>
      <c r="D5767" s="20" t="s">
        <v>10</v>
      </c>
      <c r="E5767" s="20" t="s">
        <v>14</v>
      </c>
      <c r="F5767" s="20" t="str">
        <f>INDEX(nrg_cb_e!$A$3:$A$40,MATCH(LEFT(MID('Industriesektor GWh'!$B5767,41,1000),SEARCH(" - ",MID('Industriesektor GWh'!$B5767,41,1000))-1),nrg_cb_e!$C$3:$C$40,0))</f>
        <v>FC_IND_NMM_E</v>
      </c>
      <c r="G5767" s="21">
        <v>853</v>
      </c>
    </row>
    <row r="5768" spans="1:7" x14ac:dyDescent="0.2">
      <c r="A5768" s="16" t="s">
        <v>58</v>
      </c>
      <c r="B5768" s="17" t="s">
        <v>65</v>
      </c>
      <c r="C5768" s="17" t="s">
        <v>8</v>
      </c>
      <c r="D5768" s="17" t="s">
        <v>10</v>
      </c>
      <c r="E5768" s="17" t="s">
        <v>15</v>
      </c>
      <c r="F5768" s="17" t="str">
        <f>INDEX(nrg_cb_e!$A$3:$A$40,MATCH(LEFT(MID('Industriesektor GWh'!$B5768,41,1000),SEARCH(" - ",MID('Industriesektor GWh'!$B5768,41,1000))-1),nrg_cb_e!$C$3:$C$40,0))</f>
        <v>FC_IND_NMM_E</v>
      </c>
      <c r="G5768" s="18">
        <v>886</v>
      </c>
    </row>
    <row r="5769" spans="1:7" x14ac:dyDescent="0.2">
      <c r="A5769" s="19" t="s">
        <v>58</v>
      </c>
      <c r="B5769" s="20" t="s">
        <v>65</v>
      </c>
      <c r="C5769" s="20" t="s">
        <v>8</v>
      </c>
      <c r="D5769" s="20" t="s">
        <v>10</v>
      </c>
      <c r="E5769" s="20" t="s">
        <v>16</v>
      </c>
      <c r="F5769" s="20" t="str">
        <f>INDEX(nrg_cb_e!$A$3:$A$40,MATCH(LEFT(MID('Industriesektor GWh'!$B5769,41,1000),SEARCH(" - ",MID('Industriesektor GWh'!$B5769,41,1000))-1),nrg_cb_e!$C$3:$C$40,0))</f>
        <v>FC_IND_NMM_E</v>
      </c>
      <c r="G5769" s="21">
        <v>928</v>
      </c>
    </row>
    <row r="5770" spans="1:7" x14ac:dyDescent="0.2">
      <c r="A5770" s="16" t="s">
        <v>58</v>
      </c>
      <c r="B5770" s="17" t="s">
        <v>65</v>
      </c>
      <c r="C5770" s="17" t="s">
        <v>8</v>
      </c>
      <c r="D5770" s="17" t="s">
        <v>10</v>
      </c>
      <c r="E5770" s="17" t="s">
        <v>17</v>
      </c>
      <c r="F5770" s="17" t="str">
        <f>INDEX(nrg_cb_e!$A$3:$A$40,MATCH(LEFT(MID('Industriesektor GWh'!$B5770,41,1000),SEARCH(" - ",MID('Industriesektor GWh'!$B5770,41,1000))-1),nrg_cb_e!$C$3:$C$40,0))</f>
        <v>FC_IND_NMM_E</v>
      </c>
      <c r="G5770" s="18">
        <v>936</v>
      </c>
    </row>
    <row r="5771" spans="1:7" x14ac:dyDescent="0.2">
      <c r="A5771" s="19" t="s">
        <v>58</v>
      </c>
      <c r="B5771" s="20" t="s">
        <v>65</v>
      </c>
      <c r="C5771" s="20" t="s">
        <v>8</v>
      </c>
      <c r="D5771" s="20" t="s">
        <v>10</v>
      </c>
      <c r="E5771" s="20" t="s">
        <v>18</v>
      </c>
      <c r="F5771" s="20" t="str">
        <f>INDEX(nrg_cb_e!$A$3:$A$40,MATCH(LEFT(MID('Industriesektor GWh'!$B5771,41,1000),SEARCH(" - ",MID('Industriesektor GWh'!$B5771,41,1000))-1),nrg_cb_e!$C$3:$C$40,0))</f>
        <v>FC_IND_NMM_E</v>
      </c>
      <c r="G5771" s="21">
        <v>980</v>
      </c>
    </row>
    <row r="5772" spans="1:7" x14ac:dyDescent="0.2">
      <c r="A5772" s="16" t="s">
        <v>58</v>
      </c>
      <c r="B5772" s="17" t="s">
        <v>65</v>
      </c>
      <c r="C5772" s="17" t="s">
        <v>8</v>
      </c>
      <c r="D5772" s="17" t="s">
        <v>10</v>
      </c>
      <c r="E5772" s="17" t="s">
        <v>19</v>
      </c>
      <c r="F5772" s="17" t="str">
        <f>INDEX(nrg_cb_e!$A$3:$A$40,MATCH(LEFT(MID('Industriesektor GWh'!$B5772,41,1000),SEARCH(" - ",MID('Industriesektor GWh'!$B5772,41,1000))-1),nrg_cb_e!$C$3:$C$40,0))</f>
        <v>FC_IND_NMM_E</v>
      </c>
      <c r="G5772" s="18">
        <v>736</v>
      </c>
    </row>
    <row r="5773" spans="1:7" x14ac:dyDescent="0.2">
      <c r="A5773" s="19" t="s">
        <v>58</v>
      </c>
      <c r="B5773" s="20" t="s">
        <v>65</v>
      </c>
      <c r="C5773" s="20" t="s">
        <v>8</v>
      </c>
      <c r="D5773" s="20" t="s">
        <v>10</v>
      </c>
      <c r="E5773" s="20" t="s">
        <v>20</v>
      </c>
      <c r="F5773" s="20" t="str">
        <f>INDEX(nrg_cb_e!$A$3:$A$40,MATCH(LEFT(MID('Industriesektor GWh'!$B5773,41,1000),SEARCH(" - ",MID('Industriesektor GWh'!$B5773,41,1000))-1),nrg_cb_e!$C$3:$C$40,0))</f>
        <v>FC_IND_NMM_E</v>
      </c>
      <c r="G5773" s="21">
        <v>857</v>
      </c>
    </row>
    <row r="5774" spans="1:7" x14ac:dyDescent="0.2">
      <c r="A5774" s="16" t="s">
        <v>58</v>
      </c>
      <c r="B5774" s="17" t="s">
        <v>65</v>
      </c>
      <c r="C5774" s="17" t="s">
        <v>8</v>
      </c>
      <c r="D5774" s="17" t="s">
        <v>10</v>
      </c>
      <c r="E5774" s="17" t="s">
        <v>21</v>
      </c>
      <c r="F5774" s="17" t="str">
        <f>INDEX(nrg_cb_e!$A$3:$A$40,MATCH(LEFT(MID('Industriesektor GWh'!$B5774,41,1000),SEARCH(" - ",MID('Industriesektor GWh'!$B5774,41,1000))-1),nrg_cb_e!$C$3:$C$40,0))</f>
        <v>FC_IND_NMM_E</v>
      </c>
      <c r="G5774" s="18">
        <v>871</v>
      </c>
    </row>
    <row r="5775" spans="1:7" x14ac:dyDescent="0.2">
      <c r="A5775" s="19" t="s">
        <v>58</v>
      </c>
      <c r="B5775" s="20" t="s">
        <v>65</v>
      </c>
      <c r="C5775" s="20" t="s">
        <v>8</v>
      </c>
      <c r="D5775" s="20" t="s">
        <v>10</v>
      </c>
      <c r="E5775" s="20" t="s">
        <v>22</v>
      </c>
      <c r="F5775" s="20" t="str">
        <f>INDEX(nrg_cb_e!$A$3:$A$40,MATCH(LEFT(MID('Industriesektor GWh'!$B5775,41,1000),SEARCH(" - ",MID('Industriesektor GWh'!$B5775,41,1000))-1),nrg_cb_e!$C$3:$C$40,0))</f>
        <v>FC_IND_NMM_E</v>
      </c>
      <c r="G5775" s="21">
        <v>836</v>
      </c>
    </row>
    <row r="5776" spans="1:7" x14ac:dyDescent="0.2">
      <c r="A5776" s="16" t="s">
        <v>58</v>
      </c>
      <c r="B5776" s="17" t="s">
        <v>65</v>
      </c>
      <c r="C5776" s="17" t="s">
        <v>8</v>
      </c>
      <c r="D5776" s="17" t="s">
        <v>10</v>
      </c>
      <c r="E5776" s="17" t="s">
        <v>23</v>
      </c>
      <c r="F5776" s="17" t="str">
        <f>INDEX(nrg_cb_e!$A$3:$A$40,MATCH(LEFT(MID('Industriesektor GWh'!$B5776,41,1000),SEARCH(" - ",MID('Industriesektor GWh'!$B5776,41,1000))-1),nrg_cb_e!$C$3:$C$40,0))</f>
        <v>FC_IND_NMM_E</v>
      </c>
      <c r="G5776" s="18">
        <v>892</v>
      </c>
    </row>
    <row r="5777" spans="1:7" x14ac:dyDescent="0.2">
      <c r="A5777" s="19" t="s">
        <v>58</v>
      </c>
      <c r="B5777" s="20" t="s">
        <v>65</v>
      </c>
      <c r="C5777" s="20" t="s">
        <v>8</v>
      </c>
      <c r="D5777" s="20" t="s">
        <v>10</v>
      </c>
      <c r="E5777" s="20" t="s">
        <v>24</v>
      </c>
      <c r="F5777" s="20" t="str">
        <f>INDEX(nrg_cb_e!$A$3:$A$40,MATCH(LEFT(MID('Industriesektor GWh'!$B5777,41,1000),SEARCH(" - ",MID('Industriesektor GWh'!$B5777,41,1000))-1),nrg_cb_e!$C$3:$C$40,0))</f>
        <v>FC_IND_NMM_E</v>
      </c>
      <c r="G5777" s="21">
        <v>913</v>
      </c>
    </row>
    <row r="5778" spans="1:7" x14ac:dyDescent="0.2">
      <c r="A5778" s="16" t="s">
        <v>58</v>
      </c>
      <c r="B5778" s="17" t="s">
        <v>65</v>
      </c>
      <c r="C5778" s="17" t="s">
        <v>8</v>
      </c>
      <c r="D5778" s="17" t="s">
        <v>10</v>
      </c>
      <c r="E5778" s="17" t="s">
        <v>25</v>
      </c>
      <c r="F5778" s="17" t="str">
        <f>INDEX(nrg_cb_e!$A$3:$A$40,MATCH(LEFT(MID('Industriesektor GWh'!$B5778,41,1000),SEARCH(" - ",MID('Industriesektor GWh'!$B5778,41,1000))-1),nrg_cb_e!$C$3:$C$40,0))</f>
        <v>FC_IND_NMM_E</v>
      </c>
      <c r="G5778" s="18">
        <v>944</v>
      </c>
    </row>
    <row r="5779" spans="1:7" x14ac:dyDescent="0.2">
      <c r="A5779" s="19" t="s">
        <v>58</v>
      </c>
      <c r="B5779" s="20" t="s">
        <v>65</v>
      </c>
      <c r="C5779" s="20" t="s">
        <v>8</v>
      </c>
      <c r="D5779" s="20" t="s">
        <v>10</v>
      </c>
      <c r="E5779" s="20" t="s">
        <v>26</v>
      </c>
      <c r="F5779" s="20" t="str">
        <f>INDEX(nrg_cb_e!$A$3:$A$40,MATCH(LEFT(MID('Industriesektor GWh'!$B5779,41,1000),SEARCH(" - ",MID('Industriesektor GWh'!$B5779,41,1000))-1),nrg_cb_e!$C$3:$C$40,0))</f>
        <v>FC_IND_NMM_E</v>
      </c>
      <c r="G5779" s="21">
        <v>868</v>
      </c>
    </row>
    <row r="5780" spans="1:7" x14ac:dyDescent="0.2">
      <c r="A5780" s="16" t="s">
        <v>58</v>
      </c>
      <c r="B5780" s="17" t="s">
        <v>65</v>
      </c>
      <c r="C5780" s="17" t="s">
        <v>8</v>
      </c>
      <c r="D5780" s="17" t="s">
        <v>10</v>
      </c>
      <c r="E5780" s="17" t="s">
        <v>27</v>
      </c>
      <c r="F5780" s="17" t="str">
        <f>INDEX(nrg_cb_e!$A$3:$A$40,MATCH(LEFT(MID('Industriesektor GWh'!$B5780,41,1000),SEARCH(" - ",MID('Industriesektor GWh'!$B5780,41,1000))-1),nrg_cb_e!$C$3:$C$40,0))</f>
        <v>FC_IND_NMM_E</v>
      </c>
      <c r="G5780" s="18">
        <v>938</v>
      </c>
    </row>
    <row r="5781" spans="1:7" x14ac:dyDescent="0.2">
      <c r="A5781" s="19" t="s">
        <v>58</v>
      </c>
      <c r="B5781" s="20" t="s">
        <v>65</v>
      </c>
      <c r="C5781" s="20" t="s">
        <v>8</v>
      </c>
      <c r="D5781" s="20" t="s">
        <v>10</v>
      </c>
      <c r="E5781" s="20" t="s">
        <v>28</v>
      </c>
      <c r="F5781" s="20" t="str">
        <f>INDEX(nrg_cb_e!$A$3:$A$40,MATCH(LEFT(MID('Industriesektor GWh'!$B5781,41,1000),SEARCH(" - ",MID('Industriesektor GWh'!$B5781,41,1000))-1),nrg_cb_e!$C$3:$C$40,0))</f>
        <v>FC_IND_NMM_E</v>
      </c>
      <c r="G5781" s="21">
        <v>981.33100000000002</v>
      </c>
    </row>
    <row r="5782" spans="1:7" x14ac:dyDescent="0.2">
      <c r="A5782" s="16" t="s">
        <v>59</v>
      </c>
      <c r="B5782" s="17" t="s">
        <v>65</v>
      </c>
      <c r="C5782" s="17" t="s">
        <v>8</v>
      </c>
      <c r="D5782" s="17" t="s">
        <v>10</v>
      </c>
      <c r="E5782" s="17" t="s">
        <v>12</v>
      </c>
      <c r="F5782" s="17" t="str">
        <f>INDEX(nrg_cb_e!$A$3:$A$40,MATCH(LEFT(MID('Industriesektor GWh'!$B5782,41,1000),SEARCH(" - ",MID('Industriesektor GWh'!$B5782,41,1000))-1),nrg_cb_e!$C$3:$C$40,0))</f>
        <v>FC_IND_NMM_E</v>
      </c>
      <c r="G5782" s="18">
        <v>0</v>
      </c>
    </row>
    <row r="5783" spans="1:7" x14ac:dyDescent="0.2">
      <c r="A5783" s="19" t="s">
        <v>59</v>
      </c>
      <c r="B5783" s="20" t="s">
        <v>65</v>
      </c>
      <c r="C5783" s="20" t="s">
        <v>8</v>
      </c>
      <c r="D5783" s="20" t="s">
        <v>10</v>
      </c>
      <c r="E5783" s="20" t="s">
        <v>13</v>
      </c>
      <c r="F5783" s="20" t="str">
        <f>INDEX(nrg_cb_e!$A$3:$A$40,MATCH(LEFT(MID('Industriesektor GWh'!$B5783,41,1000),SEARCH(" - ",MID('Industriesektor GWh'!$B5783,41,1000))-1),nrg_cb_e!$C$3:$C$40,0))</f>
        <v>FC_IND_NMM_E</v>
      </c>
      <c r="G5783" s="21">
        <v>0</v>
      </c>
    </row>
    <row r="5784" spans="1:7" x14ac:dyDescent="0.2">
      <c r="A5784" s="16" t="s">
        <v>59</v>
      </c>
      <c r="B5784" s="17" t="s">
        <v>65</v>
      </c>
      <c r="C5784" s="17" t="s">
        <v>8</v>
      </c>
      <c r="D5784" s="17" t="s">
        <v>10</v>
      </c>
      <c r="E5784" s="17" t="s">
        <v>14</v>
      </c>
      <c r="F5784" s="17" t="str">
        <f>INDEX(nrg_cb_e!$A$3:$A$40,MATCH(LEFT(MID('Industriesektor GWh'!$B5784,41,1000),SEARCH(" - ",MID('Industriesektor GWh'!$B5784,41,1000))-1),nrg_cb_e!$C$3:$C$40,0))</f>
        <v>FC_IND_NMM_E</v>
      </c>
      <c r="G5784" s="18">
        <v>684</v>
      </c>
    </row>
    <row r="5785" spans="1:7" x14ac:dyDescent="0.2">
      <c r="A5785" s="19" t="s">
        <v>59</v>
      </c>
      <c r="B5785" s="20" t="s">
        <v>65</v>
      </c>
      <c r="C5785" s="20" t="s">
        <v>8</v>
      </c>
      <c r="D5785" s="20" t="s">
        <v>10</v>
      </c>
      <c r="E5785" s="20" t="s">
        <v>15</v>
      </c>
      <c r="F5785" s="20" t="str">
        <f>INDEX(nrg_cb_e!$A$3:$A$40,MATCH(LEFT(MID('Industriesektor GWh'!$B5785,41,1000),SEARCH(" - ",MID('Industriesektor GWh'!$B5785,41,1000))-1),nrg_cb_e!$C$3:$C$40,0))</f>
        <v>FC_IND_NMM_E</v>
      </c>
      <c r="G5785" s="21">
        <v>670</v>
      </c>
    </row>
    <row r="5786" spans="1:7" x14ac:dyDescent="0.2">
      <c r="A5786" s="16" t="s">
        <v>59</v>
      </c>
      <c r="B5786" s="17" t="s">
        <v>65</v>
      </c>
      <c r="C5786" s="17" t="s">
        <v>8</v>
      </c>
      <c r="D5786" s="17" t="s">
        <v>10</v>
      </c>
      <c r="E5786" s="17" t="s">
        <v>16</v>
      </c>
      <c r="F5786" s="17" t="str">
        <f>INDEX(nrg_cb_e!$A$3:$A$40,MATCH(LEFT(MID('Industriesektor GWh'!$B5786,41,1000),SEARCH(" - ",MID('Industriesektor GWh'!$B5786,41,1000))-1),nrg_cb_e!$C$3:$C$40,0))</f>
        <v>FC_IND_NMM_E</v>
      </c>
      <c r="G5786" s="18">
        <v>664</v>
      </c>
    </row>
    <row r="5787" spans="1:7" x14ac:dyDescent="0.2">
      <c r="A5787" s="19" t="s">
        <v>59</v>
      </c>
      <c r="B5787" s="20" t="s">
        <v>65</v>
      </c>
      <c r="C5787" s="20" t="s">
        <v>8</v>
      </c>
      <c r="D5787" s="20" t="s">
        <v>10</v>
      </c>
      <c r="E5787" s="20" t="s">
        <v>17</v>
      </c>
      <c r="F5787" s="20" t="str">
        <f>INDEX(nrg_cb_e!$A$3:$A$40,MATCH(LEFT(MID('Industriesektor GWh'!$B5787,41,1000),SEARCH(" - ",MID('Industriesektor GWh'!$B5787,41,1000))-1),nrg_cb_e!$C$3:$C$40,0))</f>
        <v>FC_IND_NMM_E</v>
      </c>
      <c r="G5787" s="21">
        <v>939</v>
      </c>
    </row>
    <row r="5788" spans="1:7" x14ac:dyDescent="0.2">
      <c r="A5788" s="16" t="s">
        <v>59</v>
      </c>
      <c r="B5788" s="17" t="s">
        <v>65</v>
      </c>
      <c r="C5788" s="17" t="s">
        <v>8</v>
      </c>
      <c r="D5788" s="17" t="s">
        <v>10</v>
      </c>
      <c r="E5788" s="17" t="s">
        <v>18</v>
      </c>
      <c r="F5788" s="17" t="str">
        <f>INDEX(nrg_cb_e!$A$3:$A$40,MATCH(LEFT(MID('Industriesektor GWh'!$B5788,41,1000),SEARCH(" - ",MID('Industriesektor GWh'!$B5788,41,1000))-1),nrg_cb_e!$C$3:$C$40,0))</f>
        <v>FC_IND_NMM_E</v>
      </c>
      <c r="G5788" s="18">
        <v>428</v>
      </c>
    </row>
    <row r="5789" spans="1:7" x14ac:dyDescent="0.2">
      <c r="A5789" s="19" t="s">
        <v>59</v>
      </c>
      <c r="B5789" s="20" t="s">
        <v>65</v>
      </c>
      <c r="C5789" s="20" t="s">
        <v>8</v>
      </c>
      <c r="D5789" s="20" t="s">
        <v>10</v>
      </c>
      <c r="E5789" s="20" t="s">
        <v>19</v>
      </c>
      <c r="F5789" s="20" t="str">
        <f>INDEX(nrg_cb_e!$A$3:$A$40,MATCH(LEFT(MID('Industriesektor GWh'!$B5789,41,1000),SEARCH(" - ",MID('Industriesektor GWh'!$B5789,41,1000))-1),nrg_cb_e!$C$3:$C$40,0))</f>
        <v>FC_IND_NMM_E</v>
      </c>
      <c r="G5789" s="21">
        <v>351</v>
      </c>
    </row>
    <row r="5790" spans="1:7" x14ac:dyDescent="0.2">
      <c r="A5790" s="16" t="s">
        <v>59</v>
      </c>
      <c r="B5790" s="17" t="s">
        <v>65</v>
      </c>
      <c r="C5790" s="17" t="s">
        <v>8</v>
      </c>
      <c r="D5790" s="17" t="s">
        <v>10</v>
      </c>
      <c r="E5790" s="17" t="s">
        <v>20</v>
      </c>
      <c r="F5790" s="17" t="str">
        <f>INDEX(nrg_cb_e!$A$3:$A$40,MATCH(LEFT(MID('Industriesektor GWh'!$B5790,41,1000),SEARCH(" - ",MID('Industriesektor GWh'!$B5790,41,1000))-1),nrg_cb_e!$C$3:$C$40,0))</f>
        <v>FC_IND_NMM_E</v>
      </c>
      <c r="G5790" s="18">
        <v>550</v>
      </c>
    </row>
    <row r="5791" spans="1:7" x14ac:dyDescent="0.2">
      <c r="A5791" s="19" t="s">
        <v>59</v>
      </c>
      <c r="B5791" s="20" t="s">
        <v>65</v>
      </c>
      <c r="C5791" s="20" t="s">
        <v>8</v>
      </c>
      <c r="D5791" s="20" t="s">
        <v>10</v>
      </c>
      <c r="E5791" s="20" t="s">
        <v>21</v>
      </c>
      <c r="F5791" s="20" t="str">
        <f>INDEX(nrg_cb_e!$A$3:$A$40,MATCH(LEFT(MID('Industriesektor GWh'!$B5791,41,1000),SEARCH(" - ",MID('Industriesektor GWh'!$B5791,41,1000))-1),nrg_cb_e!$C$3:$C$40,0))</f>
        <v>FC_IND_NMM_E</v>
      </c>
      <c r="G5791" s="21">
        <v>569</v>
      </c>
    </row>
    <row r="5792" spans="1:7" x14ac:dyDescent="0.2">
      <c r="A5792" s="16" t="s">
        <v>59</v>
      </c>
      <c r="B5792" s="17" t="s">
        <v>65</v>
      </c>
      <c r="C5792" s="17" t="s">
        <v>8</v>
      </c>
      <c r="D5792" s="17" t="s">
        <v>10</v>
      </c>
      <c r="E5792" s="17" t="s">
        <v>22</v>
      </c>
      <c r="F5792" s="17" t="str">
        <f>INDEX(nrg_cb_e!$A$3:$A$40,MATCH(LEFT(MID('Industriesektor GWh'!$B5792,41,1000),SEARCH(" - ",MID('Industriesektor GWh'!$B5792,41,1000))-1),nrg_cb_e!$C$3:$C$40,0))</f>
        <v>FC_IND_NMM_E</v>
      </c>
      <c r="G5792" s="18">
        <v>567</v>
      </c>
    </row>
    <row r="5793" spans="1:7" x14ac:dyDescent="0.2">
      <c r="A5793" s="19" t="s">
        <v>59</v>
      </c>
      <c r="B5793" s="20" t="s">
        <v>65</v>
      </c>
      <c r="C5793" s="20" t="s">
        <v>8</v>
      </c>
      <c r="D5793" s="20" t="s">
        <v>10</v>
      </c>
      <c r="E5793" s="20" t="s">
        <v>23</v>
      </c>
      <c r="F5793" s="20" t="str">
        <f>INDEX(nrg_cb_e!$A$3:$A$40,MATCH(LEFT(MID('Industriesektor GWh'!$B5793,41,1000),SEARCH(" - ",MID('Industriesektor GWh'!$B5793,41,1000))-1),nrg_cb_e!$C$3:$C$40,0))</f>
        <v>FC_IND_NMM_E</v>
      </c>
      <c r="G5793" s="21">
        <v>700</v>
      </c>
    </row>
    <row r="5794" spans="1:7" x14ac:dyDescent="0.2">
      <c r="A5794" s="16" t="s">
        <v>59</v>
      </c>
      <c r="B5794" s="17" t="s">
        <v>65</v>
      </c>
      <c r="C5794" s="17" t="s">
        <v>8</v>
      </c>
      <c r="D5794" s="17" t="s">
        <v>10</v>
      </c>
      <c r="E5794" s="17" t="s">
        <v>24</v>
      </c>
      <c r="F5794" s="17" t="str">
        <f>INDEX(nrg_cb_e!$A$3:$A$40,MATCH(LEFT(MID('Industriesektor GWh'!$B5794,41,1000),SEARCH(" - ",MID('Industriesektor GWh'!$B5794,41,1000))-1),nrg_cb_e!$C$3:$C$40,0))</f>
        <v>FC_IND_NMM_E</v>
      </c>
      <c r="G5794" s="18">
        <v>576</v>
      </c>
    </row>
    <row r="5795" spans="1:7" x14ac:dyDescent="0.2">
      <c r="A5795" s="19" t="s">
        <v>59</v>
      </c>
      <c r="B5795" s="20" t="s">
        <v>65</v>
      </c>
      <c r="C5795" s="20" t="s">
        <v>8</v>
      </c>
      <c r="D5795" s="20" t="s">
        <v>10</v>
      </c>
      <c r="E5795" s="20" t="s">
        <v>25</v>
      </c>
      <c r="F5795" s="20" t="str">
        <f>INDEX(nrg_cb_e!$A$3:$A$40,MATCH(LEFT(MID('Industriesektor GWh'!$B5795,41,1000),SEARCH(" - ",MID('Industriesektor GWh'!$B5795,41,1000))-1),nrg_cb_e!$C$3:$C$40,0))</f>
        <v>FC_IND_NMM_E</v>
      </c>
      <c r="G5795" s="21">
        <v>654</v>
      </c>
    </row>
    <row r="5796" spans="1:7" x14ac:dyDescent="0.2">
      <c r="A5796" s="16" t="s">
        <v>59</v>
      </c>
      <c r="B5796" s="17" t="s">
        <v>65</v>
      </c>
      <c r="C5796" s="17" t="s">
        <v>8</v>
      </c>
      <c r="D5796" s="17" t="s">
        <v>10</v>
      </c>
      <c r="E5796" s="17" t="s">
        <v>26</v>
      </c>
      <c r="F5796" s="17" t="str">
        <f>INDEX(nrg_cb_e!$A$3:$A$40,MATCH(LEFT(MID('Industriesektor GWh'!$B5796,41,1000),SEARCH(" - ",MID('Industriesektor GWh'!$B5796,41,1000))-1),nrg_cb_e!$C$3:$C$40,0))</f>
        <v>FC_IND_NMM_E</v>
      </c>
      <c r="G5796" s="18">
        <v>717</v>
      </c>
    </row>
    <row r="5797" spans="1:7" x14ac:dyDescent="0.2">
      <c r="A5797" s="19" t="s">
        <v>59</v>
      </c>
      <c r="B5797" s="20" t="s">
        <v>65</v>
      </c>
      <c r="C5797" s="20" t="s">
        <v>8</v>
      </c>
      <c r="D5797" s="20" t="s">
        <v>10</v>
      </c>
      <c r="E5797" s="20" t="s">
        <v>27</v>
      </c>
      <c r="F5797" s="20" t="str">
        <f>INDEX(nrg_cb_e!$A$3:$A$40,MATCH(LEFT(MID('Industriesektor GWh'!$B5797,41,1000),SEARCH(" - ",MID('Industriesektor GWh'!$B5797,41,1000))-1),nrg_cb_e!$C$3:$C$40,0))</f>
        <v>FC_IND_NMM_E</v>
      </c>
      <c r="G5797" s="21">
        <v>752.197</v>
      </c>
    </row>
    <row r="5798" spans="1:7" x14ac:dyDescent="0.2">
      <c r="A5798" s="16" t="s">
        <v>59</v>
      </c>
      <c r="B5798" s="17" t="s">
        <v>65</v>
      </c>
      <c r="C5798" s="17" t="s">
        <v>8</v>
      </c>
      <c r="D5798" s="17" t="s">
        <v>10</v>
      </c>
      <c r="E5798" s="17" t="s">
        <v>28</v>
      </c>
      <c r="F5798" s="17" t="str">
        <f>INDEX(nrg_cb_e!$A$3:$A$40,MATCH(LEFT(MID('Industriesektor GWh'!$B5798,41,1000),SEARCH(" - ",MID('Industriesektor GWh'!$B5798,41,1000))-1),nrg_cb_e!$C$3:$C$40,0))</f>
        <v>FC_IND_NMM_E</v>
      </c>
      <c r="G5798" s="18">
        <v>738.024</v>
      </c>
    </row>
    <row r="5799" spans="1:7" x14ac:dyDescent="0.2">
      <c r="A5799" s="19" t="s">
        <v>29</v>
      </c>
      <c r="B5799" s="20" t="s">
        <v>70</v>
      </c>
      <c r="C5799" s="20" t="s">
        <v>8</v>
      </c>
      <c r="D5799" s="20" t="s">
        <v>10</v>
      </c>
      <c r="E5799" s="20" t="s">
        <v>12</v>
      </c>
      <c r="F5799" s="20" t="str">
        <f>INDEX(nrg_cb_e!$A$3:$A$40,MATCH(LEFT(MID('Industriesektor GWh'!$B5799,41,1000),SEARCH(" - ",MID('Industriesektor GWh'!$B5799,41,1000))-1),nrg_cb_e!$C$3:$C$40,0))</f>
        <v>FC_IND_PPP_E</v>
      </c>
      <c r="G5799" s="21">
        <v>2497</v>
      </c>
    </row>
    <row r="5800" spans="1:7" x14ac:dyDescent="0.2">
      <c r="A5800" s="16" t="s">
        <v>29</v>
      </c>
      <c r="B5800" s="17" t="s">
        <v>70</v>
      </c>
      <c r="C5800" s="17" t="s">
        <v>8</v>
      </c>
      <c r="D5800" s="17" t="s">
        <v>10</v>
      </c>
      <c r="E5800" s="17" t="s">
        <v>13</v>
      </c>
      <c r="F5800" s="17" t="str">
        <f>INDEX(nrg_cb_e!$A$3:$A$40,MATCH(LEFT(MID('Industriesektor GWh'!$B5800,41,1000),SEARCH(" - ",MID('Industriesektor GWh'!$B5800,41,1000))-1),nrg_cb_e!$C$3:$C$40,0))</f>
        <v>FC_IND_PPP_E</v>
      </c>
      <c r="G5800" s="18">
        <v>2563</v>
      </c>
    </row>
    <row r="5801" spans="1:7" x14ac:dyDescent="0.2">
      <c r="A5801" s="19" t="s">
        <v>29</v>
      </c>
      <c r="B5801" s="20" t="s">
        <v>70</v>
      </c>
      <c r="C5801" s="20" t="s">
        <v>8</v>
      </c>
      <c r="D5801" s="20" t="s">
        <v>10</v>
      </c>
      <c r="E5801" s="20" t="s">
        <v>14</v>
      </c>
      <c r="F5801" s="20" t="str">
        <f>INDEX(nrg_cb_e!$A$3:$A$40,MATCH(LEFT(MID('Industriesektor GWh'!$B5801,41,1000),SEARCH(" - ",MID('Industriesektor GWh'!$B5801,41,1000))-1),nrg_cb_e!$C$3:$C$40,0))</f>
        <v>FC_IND_PPP_E</v>
      </c>
      <c r="G5801" s="21">
        <v>2612</v>
      </c>
    </row>
    <row r="5802" spans="1:7" x14ac:dyDescent="0.2">
      <c r="A5802" s="16" t="s">
        <v>29</v>
      </c>
      <c r="B5802" s="17" t="s">
        <v>70</v>
      </c>
      <c r="C5802" s="17" t="s">
        <v>8</v>
      </c>
      <c r="D5802" s="17" t="s">
        <v>10</v>
      </c>
      <c r="E5802" s="17" t="s">
        <v>15</v>
      </c>
      <c r="F5802" s="17" t="str">
        <f>INDEX(nrg_cb_e!$A$3:$A$40,MATCH(LEFT(MID('Industriesektor GWh'!$B5802,41,1000),SEARCH(" - ",MID('Industriesektor GWh'!$B5802,41,1000))-1),nrg_cb_e!$C$3:$C$40,0))</f>
        <v>FC_IND_PPP_E</v>
      </c>
      <c r="G5802" s="18">
        <v>2710</v>
      </c>
    </row>
    <row r="5803" spans="1:7" x14ac:dyDescent="0.2">
      <c r="A5803" s="19" t="s">
        <v>29</v>
      </c>
      <c r="B5803" s="20" t="s">
        <v>70</v>
      </c>
      <c r="C5803" s="20" t="s">
        <v>8</v>
      </c>
      <c r="D5803" s="20" t="s">
        <v>10</v>
      </c>
      <c r="E5803" s="20" t="s">
        <v>16</v>
      </c>
      <c r="F5803" s="20" t="str">
        <f>INDEX(nrg_cb_e!$A$3:$A$40,MATCH(LEFT(MID('Industriesektor GWh'!$B5803,41,1000),SEARCH(" - ",MID('Industriesektor GWh'!$B5803,41,1000))-1),nrg_cb_e!$C$3:$C$40,0))</f>
        <v>FC_IND_PPP_E</v>
      </c>
      <c r="G5803" s="21">
        <v>2739</v>
      </c>
    </row>
    <row r="5804" spans="1:7" x14ac:dyDescent="0.2">
      <c r="A5804" s="16" t="s">
        <v>29</v>
      </c>
      <c r="B5804" s="17" t="s">
        <v>70</v>
      </c>
      <c r="C5804" s="17" t="s">
        <v>8</v>
      </c>
      <c r="D5804" s="17" t="s">
        <v>10</v>
      </c>
      <c r="E5804" s="17" t="s">
        <v>17</v>
      </c>
      <c r="F5804" s="17" t="str">
        <f>INDEX(nrg_cb_e!$A$3:$A$40,MATCH(LEFT(MID('Industriesektor GWh'!$B5804,41,1000),SEARCH(" - ",MID('Industriesektor GWh'!$B5804,41,1000))-1),nrg_cb_e!$C$3:$C$40,0))</f>
        <v>FC_IND_PPP_E</v>
      </c>
      <c r="G5804" s="18">
        <v>2848</v>
      </c>
    </row>
    <row r="5805" spans="1:7" x14ac:dyDescent="0.2">
      <c r="A5805" s="19" t="s">
        <v>29</v>
      </c>
      <c r="B5805" s="20" t="s">
        <v>70</v>
      </c>
      <c r="C5805" s="20" t="s">
        <v>8</v>
      </c>
      <c r="D5805" s="20" t="s">
        <v>10</v>
      </c>
      <c r="E5805" s="20" t="s">
        <v>18</v>
      </c>
      <c r="F5805" s="20" t="str">
        <f>INDEX(nrg_cb_e!$A$3:$A$40,MATCH(LEFT(MID('Industriesektor GWh'!$B5805,41,1000),SEARCH(" - ",MID('Industriesektor GWh'!$B5805,41,1000))-1),nrg_cb_e!$C$3:$C$40,0))</f>
        <v>FC_IND_PPP_E</v>
      </c>
      <c r="G5805" s="21">
        <v>2671</v>
      </c>
    </row>
    <row r="5806" spans="1:7" x14ac:dyDescent="0.2">
      <c r="A5806" s="16" t="s">
        <v>29</v>
      </c>
      <c r="B5806" s="17" t="s">
        <v>70</v>
      </c>
      <c r="C5806" s="17" t="s">
        <v>8</v>
      </c>
      <c r="D5806" s="17" t="s">
        <v>10</v>
      </c>
      <c r="E5806" s="17" t="s">
        <v>19</v>
      </c>
      <c r="F5806" s="17" t="str">
        <f>INDEX(nrg_cb_e!$A$3:$A$40,MATCH(LEFT(MID('Industriesektor GWh'!$B5806,41,1000),SEARCH(" - ",MID('Industriesektor GWh'!$B5806,41,1000))-1),nrg_cb_e!$C$3:$C$40,0))</f>
        <v>FC_IND_PPP_E</v>
      </c>
      <c r="G5806" s="18">
        <v>2382</v>
      </c>
    </row>
    <row r="5807" spans="1:7" x14ac:dyDescent="0.2">
      <c r="A5807" s="19" t="s">
        <v>29</v>
      </c>
      <c r="B5807" s="20" t="s">
        <v>70</v>
      </c>
      <c r="C5807" s="20" t="s">
        <v>8</v>
      </c>
      <c r="D5807" s="20" t="s">
        <v>10</v>
      </c>
      <c r="E5807" s="20" t="s">
        <v>20</v>
      </c>
      <c r="F5807" s="20" t="str">
        <f>INDEX(nrg_cb_e!$A$3:$A$40,MATCH(LEFT(MID('Industriesektor GWh'!$B5807,41,1000),SEARCH(" - ",MID('Industriesektor GWh'!$B5807,41,1000))-1),nrg_cb_e!$C$3:$C$40,0))</f>
        <v>FC_IND_PPP_E</v>
      </c>
      <c r="G5807" s="21">
        <v>2600</v>
      </c>
    </row>
    <row r="5808" spans="1:7" x14ac:dyDescent="0.2">
      <c r="A5808" s="16" t="s">
        <v>29</v>
      </c>
      <c r="B5808" s="17" t="s">
        <v>70</v>
      </c>
      <c r="C5808" s="17" t="s">
        <v>8</v>
      </c>
      <c r="D5808" s="17" t="s">
        <v>10</v>
      </c>
      <c r="E5808" s="17" t="s">
        <v>21</v>
      </c>
      <c r="F5808" s="17" t="str">
        <f>INDEX(nrg_cb_e!$A$3:$A$40,MATCH(LEFT(MID('Industriesektor GWh'!$B5808,41,1000),SEARCH(" - ",MID('Industriesektor GWh'!$B5808,41,1000))-1),nrg_cb_e!$C$3:$C$40,0))</f>
        <v>FC_IND_PPP_E</v>
      </c>
      <c r="G5808" s="18">
        <v>2640</v>
      </c>
    </row>
    <row r="5809" spans="1:7" x14ac:dyDescent="0.2">
      <c r="A5809" s="19" t="s">
        <v>29</v>
      </c>
      <c r="B5809" s="20" t="s">
        <v>70</v>
      </c>
      <c r="C5809" s="20" t="s">
        <v>8</v>
      </c>
      <c r="D5809" s="20" t="s">
        <v>10</v>
      </c>
      <c r="E5809" s="20" t="s">
        <v>22</v>
      </c>
      <c r="F5809" s="20" t="str">
        <f>INDEX(nrg_cb_e!$A$3:$A$40,MATCH(LEFT(MID('Industriesektor GWh'!$B5809,41,1000),SEARCH(" - ",MID('Industriesektor GWh'!$B5809,41,1000))-1),nrg_cb_e!$C$3:$C$40,0))</f>
        <v>FC_IND_PPP_E</v>
      </c>
      <c r="G5809" s="21">
        <v>2918</v>
      </c>
    </row>
    <row r="5810" spans="1:7" x14ac:dyDescent="0.2">
      <c r="A5810" s="16" t="s">
        <v>29</v>
      </c>
      <c r="B5810" s="17" t="s">
        <v>70</v>
      </c>
      <c r="C5810" s="17" t="s">
        <v>8</v>
      </c>
      <c r="D5810" s="17" t="s">
        <v>10</v>
      </c>
      <c r="E5810" s="17" t="s">
        <v>23</v>
      </c>
      <c r="F5810" s="17" t="str">
        <f>INDEX(nrg_cb_e!$A$3:$A$40,MATCH(LEFT(MID('Industriesektor GWh'!$B5810,41,1000),SEARCH(" - ",MID('Industriesektor GWh'!$B5810,41,1000))-1),nrg_cb_e!$C$3:$C$40,0))</f>
        <v>FC_IND_PPP_E</v>
      </c>
      <c r="G5810" s="18">
        <v>2609</v>
      </c>
    </row>
    <row r="5811" spans="1:7" x14ac:dyDescent="0.2">
      <c r="A5811" s="19" t="s">
        <v>29</v>
      </c>
      <c r="B5811" s="20" t="s">
        <v>70</v>
      </c>
      <c r="C5811" s="20" t="s">
        <v>8</v>
      </c>
      <c r="D5811" s="20" t="s">
        <v>10</v>
      </c>
      <c r="E5811" s="20" t="s">
        <v>24</v>
      </c>
      <c r="F5811" s="20" t="str">
        <f>INDEX(nrg_cb_e!$A$3:$A$40,MATCH(LEFT(MID('Industriesektor GWh'!$B5811,41,1000),SEARCH(" - ",MID('Industriesektor GWh'!$B5811,41,1000))-1),nrg_cb_e!$C$3:$C$40,0))</f>
        <v>FC_IND_PPP_E</v>
      </c>
      <c r="G5811" s="21">
        <v>2651.3</v>
      </c>
    </row>
    <row r="5812" spans="1:7" x14ac:dyDescent="0.2">
      <c r="A5812" s="16" t="s">
        <v>29</v>
      </c>
      <c r="B5812" s="17" t="s">
        <v>70</v>
      </c>
      <c r="C5812" s="17" t="s">
        <v>8</v>
      </c>
      <c r="D5812" s="17" t="s">
        <v>10</v>
      </c>
      <c r="E5812" s="17" t="s">
        <v>25</v>
      </c>
      <c r="F5812" s="17" t="str">
        <f>INDEX(nrg_cb_e!$A$3:$A$40,MATCH(LEFT(MID('Industriesektor GWh'!$B5812,41,1000),SEARCH(" - ",MID('Industriesektor GWh'!$B5812,41,1000))-1),nrg_cb_e!$C$3:$C$40,0))</f>
        <v>FC_IND_PPP_E</v>
      </c>
      <c r="G5812" s="18">
        <v>2525.3000000000002</v>
      </c>
    </row>
    <row r="5813" spans="1:7" x14ac:dyDescent="0.2">
      <c r="A5813" s="19" t="s">
        <v>29</v>
      </c>
      <c r="B5813" s="20" t="s">
        <v>70</v>
      </c>
      <c r="C5813" s="20" t="s">
        <v>8</v>
      </c>
      <c r="D5813" s="20" t="s">
        <v>10</v>
      </c>
      <c r="E5813" s="20" t="s">
        <v>26</v>
      </c>
      <c r="F5813" s="20" t="str">
        <f>INDEX(nrg_cb_e!$A$3:$A$40,MATCH(LEFT(MID('Industriesektor GWh'!$B5813,41,1000),SEARCH(" - ",MID('Industriesektor GWh'!$B5813,41,1000))-1),nrg_cb_e!$C$3:$C$40,0))</f>
        <v>FC_IND_PPP_E</v>
      </c>
      <c r="G5813" s="21">
        <v>2571.5</v>
      </c>
    </row>
    <row r="5814" spans="1:7" x14ac:dyDescent="0.2">
      <c r="A5814" s="16" t="s">
        <v>29</v>
      </c>
      <c r="B5814" s="17" t="s">
        <v>70</v>
      </c>
      <c r="C5814" s="17" t="s">
        <v>8</v>
      </c>
      <c r="D5814" s="17" t="s">
        <v>10</v>
      </c>
      <c r="E5814" s="17" t="s">
        <v>27</v>
      </c>
      <c r="F5814" s="17" t="str">
        <f>INDEX(nrg_cb_e!$A$3:$A$40,MATCH(LEFT(MID('Industriesektor GWh'!$B5814,41,1000),SEARCH(" - ",MID('Industriesektor GWh'!$B5814,41,1000))-1),nrg_cb_e!$C$3:$C$40,0))</f>
        <v>FC_IND_PPP_E</v>
      </c>
      <c r="G5814" s="18">
        <v>1867.4</v>
      </c>
    </row>
    <row r="5815" spans="1:7" x14ac:dyDescent="0.2">
      <c r="A5815" s="19" t="s">
        <v>29</v>
      </c>
      <c r="B5815" s="20" t="s">
        <v>70</v>
      </c>
      <c r="C5815" s="20" t="s">
        <v>8</v>
      </c>
      <c r="D5815" s="20" t="s">
        <v>10</v>
      </c>
      <c r="E5815" s="20" t="s">
        <v>28</v>
      </c>
      <c r="F5815" s="20" t="str">
        <f>INDEX(nrg_cb_e!$A$3:$A$40,MATCH(LEFT(MID('Industriesektor GWh'!$B5815,41,1000),SEARCH(" - ",MID('Industriesektor GWh'!$B5815,41,1000))-1),nrg_cb_e!$C$3:$C$40,0))</f>
        <v>FC_IND_PPP_E</v>
      </c>
      <c r="G5815" s="21">
        <v>1870.3</v>
      </c>
    </row>
    <row r="5816" spans="1:7" x14ac:dyDescent="0.2">
      <c r="A5816" s="16" t="s">
        <v>30</v>
      </c>
      <c r="B5816" s="17" t="s">
        <v>70</v>
      </c>
      <c r="C5816" s="17" t="s">
        <v>8</v>
      </c>
      <c r="D5816" s="17" t="s">
        <v>10</v>
      </c>
      <c r="E5816" s="17" t="s">
        <v>12</v>
      </c>
      <c r="F5816" s="17" t="str">
        <f>INDEX(nrg_cb_e!$A$3:$A$40,MATCH(LEFT(MID('Industriesektor GWh'!$B5816,41,1000),SEARCH(" - ",MID('Industriesektor GWh'!$B5816,41,1000))-1),nrg_cb_e!$C$3:$C$40,0))</f>
        <v>FC_IND_PPP_E</v>
      </c>
      <c r="G5816" s="18">
        <v>392</v>
      </c>
    </row>
    <row r="5817" spans="1:7" x14ac:dyDescent="0.2">
      <c r="A5817" s="19" t="s">
        <v>30</v>
      </c>
      <c r="B5817" s="20" t="s">
        <v>70</v>
      </c>
      <c r="C5817" s="20" t="s">
        <v>8</v>
      </c>
      <c r="D5817" s="20" t="s">
        <v>10</v>
      </c>
      <c r="E5817" s="20" t="s">
        <v>13</v>
      </c>
      <c r="F5817" s="20" t="str">
        <f>INDEX(nrg_cb_e!$A$3:$A$40,MATCH(LEFT(MID('Industriesektor GWh'!$B5817,41,1000),SEARCH(" - ",MID('Industriesektor GWh'!$B5817,41,1000))-1),nrg_cb_e!$C$3:$C$40,0))</f>
        <v>FC_IND_PPP_E</v>
      </c>
      <c r="G5817" s="21">
        <v>464</v>
      </c>
    </row>
    <row r="5818" spans="1:7" x14ac:dyDescent="0.2">
      <c r="A5818" s="16" t="s">
        <v>30</v>
      </c>
      <c r="B5818" s="17" t="s">
        <v>70</v>
      </c>
      <c r="C5818" s="17" t="s">
        <v>8</v>
      </c>
      <c r="D5818" s="17" t="s">
        <v>10</v>
      </c>
      <c r="E5818" s="17" t="s">
        <v>14</v>
      </c>
      <c r="F5818" s="17" t="str">
        <f>INDEX(nrg_cb_e!$A$3:$A$40,MATCH(LEFT(MID('Industriesektor GWh'!$B5818,41,1000),SEARCH(" - ",MID('Industriesektor GWh'!$B5818,41,1000))-1),nrg_cb_e!$C$3:$C$40,0))</f>
        <v>FC_IND_PPP_E</v>
      </c>
      <c r="G5818" s="18">
        <v>651</v>
      </c>
    </row>
    <row r="5819" spans="1:7" x14ac:dyDescent="0.2">
      <c r="A5819" s="19" t="s">
        <v>30</v>
      </c>
      <c r="B5819" s="20" t="s">
        <v>70</v>
      </c>
      <c r="C5819" s="20" t="s">
        <v>8</v>
      </c>
      <c r="D5819" s="20" t="s">
        <v>10</v>
      </c>
      <c r="E5819" s="20" t="s">
        <v>15</v>
      </c>
      <c r="F5819" s="20" t="str">
        <f>INDEX(nrg_cb_e!$A$3:$A$40,MATCH(LEFT(MID('Industriesektor GWh'!$B5819,41,1000),SEARCH(" - ",MID('Industriesektor GWh'!$B5819,41,1000))-1),nrg_cb_e!$C$3:$C$40,0))</f>
        <v>FC_IND_PPP_E</v>
      </c>
      <c r="G5819" s="21">
        <v>490</v>
      </c>
    </row>
    <row r="5820" spans="1:7" x14ac:dyDescent="0.2">
      <c r="A5820" s="16" t="s">
        <v>30</v>
      </c>
      <c r="B5820" s="17" t="s">
        <v>70</v>
      </c>
      <c r="C5820" s="17" t="s">
        <v>8</v>
      </c>
      <c r="D5820" s="17" t="s">
        <v>10</v>
      </c>
      <c r="E5820" s="17" t="s">
        <v>16</v>
      </c>
      <c r="F5820" s="17" t="str">
        <f>INDEX(nrg_cb_e!$A$3:$A$40,MATCH(LEFT(MID('Industriesektor GWh'!$B5820,41,1000),SEARCH(" - ",MID('Industriesektor GWh'!$B5820,41,1000))-1),nrg_cb_e!$C$3:$C$40,0))</f>
        <v>FC_IND_PPP_E</v>
      </c>
      <c r="G5820" s="18">
        <v>393</v>
      </c>
    </row>
    <row r="5821" spans="1:7" x14ac:dyDescent="0.2">
      <c r="A5821" s="19" t="s">
        <v>30</v>
      </c>
      <c r="B5821" s="20" t="s">
        <v>70</v>
      </c>
      <c r="C5821" s="20" t="s">
        <v>8</v>
      </c>
      <c r="D5821" s="20" t="s">
        <v>10</v>
      </c>
      <c r="E5821" s="20" t="s">
        <v>17</v>
      </c>
      <c r="F5821" s="20" t="str">
        <f>INDEX(nrg_cb_e!$A$3:$A$40,MATCH(LEFT(MID('Industriesektor GWh'!$B5821,41,1000),SEARCH(" - ",MID('Industriesektor GWh'!$B5821,41,1000))-1),nrg_cb_e!$C$3:$C$40,0))</f>
        <v>FC_IND_PPP_E</v>
      </c>
      <c r="G5821" s="21">
        <v>320</v>
      </c>
    </row>
    <row r="5822" spans="1:7" x14ac:dyDescent="0.2">
      <c r="A5822" s="16" t="s">
        <v>30</v>
      </c>
      <c r="B5822" s="17" t="s">
        <v>70</v>
      </c>
      <c r="C5822" s="17" t="s">
        <v>8</v>
      </c>
      <c r="D5822" s="17" t="s">
        <v>10</v>
      </c>
      <c r="E5822" s="17" t="s">
        <v>18</v>
      </c>
      <c r="F5822" s="17" t="str">
        <f>INDEX(nrg_cb_e!$A$3:$A$40,MATCH(LEFT(MID('Industriesektor GWh'!$B5822,41,1000),SEARCH(" - ",MID('Industriesektor GWh'!$B5822,41,1000))-1),nrg_cb_e!$C$3:$C$40,0))</f>
        <v>FC_IND_PPP_E</v>
      </c>
      <c r="G5822" s="18">
        <v>397</v>
      </c>
    </row>
    <row r="5823" spans="1:7" x14ac:dyDescent="0.2">
      <c r="A5823" s="19" t="s">
        <v>30</v>
      </c>
      <c r="B5823" s="20" t="s">
        <v>70</v>
      </c>
      <c r="C5823" s="20" t="s">
        <v>8</v>
      </c>
      <c r="D5823" s="20" t="s">
        <v>10</v>
      </c>
      <c r="E5823" s="20" t="s">
        <v>19</v>
      </c>
      <c r="F5823" s="20" t="str">
        <f>INDEX(nrg_cb_e!$A$3:$A$40,MATCH(LEFT(MID('Industriesektor GWh'!$B5823,41,1000),SEARCH(" - ",MID('Industriesektor GWh'!$B5823,41,1000))-1),nrg_cb_e!$C$3:$C$40,0))</f>
        <v>FC_IND_PPP_E</v>
      </c>
      <c r="G5823" s="21">
        <v>239</v>
      </c>
    </row>
    <row r="5824" spans="1:7" x14ac:dyDescent="0.2">
      <c r="A5824" s="16" t="s">
        <v>30</v>
      </c>
      <c r="B5824" s="17" t="s">
        <v>70</v>
      </c>
      <c r="C5824" s="17" t="s">
        <v>8</v>
      </c>
      <c r="D5824" s="17" t="s">
        <v>10</v>
      </c>
      <c r="E5824" s="17" t="s">
        <v>20</v>
      </c>
      <c r="F5824" s="17" t="str">
        <f>INDEX(nrg_cb_e!$A$3:$A$40,MATCH(LEFT(MID('Industriesektor GWh'!$B5824,41,1000),SEARCH(" - ",MID('Industriesektor GWh'!$B5824,41,1000))-1),nrg_cb_e!$C$3:$C$40,0))</f>
        <v>FC_IND_PPP_E</v>
      </c>
      <c r="G5824" s="18">
        <v>331</v>
      </c>
    </row>
    <row r="5825" spans="1:7" x14ac:dyDescent="0.2">
      <c r="A5825" s="19" t="s">
        <v>30</v>
      </c>
      <c r="B5825" s="20" t="s">
        <v>70</v>
      </c>
      <c r="C5825" s="20" t="s">
        <v>8</v>
      </c>
      <c r="D5825" s="20" t="s">
        <v>10</v>
      </c>
      <c r="E5825" s="20" t="s">
        <v>21</v>
      </c>
      <c r="F5825" s="20" t="str">
        <f>INDEX(nrg_cb_e!$A$3:$A$40,MATCH(LEFT(MID('Industriesektor GWh'!$B5825,41,1000),SEARCH(" - ",MID('Industriesektor GWh'!$B5825,41,1000))-1),nrg_cb_e!$C$3:$C$40,0))</f>
        <v>FC_IND_PPP_E</v>
      </c>
      <c r="G5825" s="21">
        <v>343</v>
      </c>
    </row>
    <row r="5826" spans="1:7" x14ac:dyDescent="0.2">
      <c r="A5826" s="16" t="s">
        <v>30</v>
      </c>
      <c r="B5826" s="17" t="s">
        <v>70</v>
      </c>
      <c r="C5826" s="17" t="s">
        <v>8</v>
      </c>
      <c r="D5826" s="17" t="s">
        <v>10</v>
      </c>
      <c r="E5826" s="17" t="s">
        <v>22</v>
      </c>
      <c r="F5826" s="17" t="str">
        <f>INDEX(nrg_cb_e!$A$3:$A$40,MATCH(LEFT(MID('Industriesektor GWh'!$B5826,41,1000),SEARCH(" - ",MID('Industriesektor GWh'!$B5826,41,1000))-1),nrg_cb_e!$C$3:$C$40,0))</f>
        <v>FC_IND_PPP_E</v>
      </c>
      <c r="G5826" s="18">
        <v>359</v>
      </c>
    </row>
    <row r="5827" spans="1:7" x14ac:dyDescent="0.2">
      <c r="A5827" s="19" t="s">
        <v>30</v>
      </c>
      <c r="B5827" s="20" t="s">
        <v>70</v>
      </c>
      <c r="C5827" s="20" t="s">
        <v>8</v>
      </c>
      <c r="D5827" s="20" t="s">
        <v>10</v>
      </c>
      <c r="E5827" s="20" t="s">
        <v>23</v>
      </c>
      <c r="F5827" s="20" t="str">
        <f>INDEX(nrg_cb_e!$A$3:$A$40,MATCH(LEFT(MID('Industriesektor GWh'!$B5827,41,1000),SEARCH(" - ",MID('Industriesektor GWh'!$B5827,41,1000))-1),nrg_cb_e!$C$3:$C$40,0))</f>
        <v>FC_IND_PPP_E</v>
      </c>
      <c r="G5827" s="21">
        <v>396</v>
      </c>
    </row>
    <row r="5828" spans="1:7" x14ac:dyDescent="0.2">
      <c r="A5828" s="16" t="s">
        <v>30</v>
      </c>
      <c r="B5828" s="17" t="s">
        <v>70</v>
      </c>
      <c r="C5828" s="17" t="s">
        <v>8</v>
      </c>
      <c r="D5828" s="17" t="s">
        <v>10</v>
      </c>
      <c r="E5828" s="17" t="s">
        <v>24</v>
      </c>
      <c r="F5828" s="17" t="str">
        <f>INDEX(nrg_cb_e!$A$3:$A$40,MATCH(LEFT(MID('Industriesektor GWh'!$B5828,41,1000),SEARCH(" - ",MID('Industriesektor GWh'!$B5828,41,1000))-1),nrg_cb_e!$C$3:$C$40,0))</f>
        <v>FC_IND_PPP_E</v>
      </c>
      <c r="G5828" s="18">
        <v>405</v>
      </c>
    </row>
    <row r="5829" spans="1:7" x14ac:dyDescent="0.2">
      <c r="A5829" s="19" t="s">
        <v>30</v>
      </c>
      <c r="B5829" s="20" t="s">
        <v>70</v>
      </c>
      <c r="C5829" s="20" t="s">
        <v>8</v>
      </c>
      <c r="D5829" s="20" t="s">
        <v>10</v>
      </c>
      <c r="E5829" s="20" t="s">
        <v>25</v>
      </c>
      <c r="F5829" s="20" t="str">
        <f>INDEX(nrg_cb_e!$A$3:$A$40,MATCH(LEFT(MID('Industriesektor GWh'!$B5829,41,1000),SEARCH(" - ",MID('Industriesektor GWh'!$B5829,41,1000))-1),nrg_cb_e!$C$3:$C$40,0))</f>
        <v>FC_IND_PPP_E</v>
      </c>
      <c r="G5829" s="21">
        <v>404</v>
      </c>
    </row>
    <row r="5830" spans="1:7" x14ac:dyDescent="0.2">
      <c r="A5830" s="16" t="s">
        <v>30</v>
      </c>
      <c r="B5830" s="17" t="s">
        <v>70</v>
      </c>
      <c r="C5830" s="17" t="s">
        <v>8</v>
      </c>
      <c r="D5830" s="17" t="s">
        <v>10</v>
      </c>
      <c r="E5830" s="17" t="s">
        <v>26</v>
      </c>
      <c r="F5830" s="17" t="str">
        <f>INDEX(nrg_cb_e!$A$3:$A$40,MATCH(LEFT(MID('Industriesektor GWh'!$B5830,41,1000),SEARCH(" - ",MID('Industriesektor GWh'!$B5830,41,1000))-1),nrg_cb_e!$C$3:$C$40,0))</f>
        <v>FC_IND_PPP_E</v>
      </c>
      <c r="G5830" s="18">
        <v>436</v>
      </c>
    </row>
    <row r="5831" spans="1:7" x14ac:dyDescent="0.2">
      <c r="A5831" s="19" t="s">
        <v>30</v>
      </c>
      <c r="B5831" s="20" t="s">
        <v>70</v>
      </c>
      <c r="C5831" s="20" t="s">
        <v>8</v>
      </c>
      <c r="D5831" s="20" t="s">
        <v>10</v>
      </c>
      <c r="E5831" s="20" t="s">
        <v>27</v>
      </c>
      <c r="F5831" s="20" t="str">
        <f>INDEX(nrg_cb_e!$A$3:$A$40,MATCH(LEFT(MID('Industriesektor GWh'!$B5831,41,1000),SEARCH(" - ",MID('Industriesektor GWh'!$B5831,41,1000))-1),nrg_cb_e!$C$3:$C$40,0))</f>
        <v>FC_IND_PPP_E</v>
      </c>
      <c r="G5831" s="21">
        <v>439.31299999999999</v>
      </c>
    </row>
    <row r="5832" spans="1:7" x14ac:dyDescent="0.2">
      <c r="A5832" s="16" t="s">
        <v>30</v>
      </c>
      <c r="B5832" s="17" t="s">
        <v>70</v>
      </c>
      <c r="C5832" s="17" t="s">
        <v>8</v>
      </c>
      <c r="D5832" s="17" t="s">
        <v>10</v>
      </c>
      <c r="E5832" s="17" t="s">
        <v>28</v>
      </c>
      <c r="F5832" s="17" t="str">
        <f>INDEX(nrg_cb_e!$A$3:$A$40,MATCH(LEFT(MID('Industriesektor GWh'!$B5832,41,1000),SEARCH(" - ",MID('Industriesektor GWh'!$B5832,41,1000))-1),nrg_cb_e!$C$3:$C$40,0))</f>
        <v>FC_IND_PPP_E</v>
      </c>
      <c r="G5832" s="18">
        <v>448.62799999999999</v>
      </c>
    </row>
    <row r="5833" spans="1:7" x14ac:dyDescent="0.2">
      <c r="A5833" s="19" t="s">
        <v>31</v>
      </c>
      <c r="B5833" s="20" t="s">
        <v>70</v>
      </c>
      <c r="C5833" s="20" t="s">
        <v>8</v>
      </c>
      <c r="D5833" s="20" t="s">
        <v>10</v>
      </c>
      <c r="E5833" s="20" t="s">
        <v>12</v>
      </c>
      <c r="F5833" s="20" t="str">
        <f>INDEX(nrg_cb_e!$A$3:$A$40,MATCH(LEFT(MID('Industriesektor GWh'!$B5833,41,1000),SEARCH(" - ",MID('Industriesektor GWh'!$B5833,41,1000))-1),nrg_cb_e!$C$3:$C$40,0))</f>
        <v>FC_IND_PPP_E</v>
      </c>
      <c r="G5833" s="21">
        <v>1877</v>
      </c>
    </row>
    <row r="5834" spans="1:7" x14ac:dyDescent="0.2">
      <c r="A5834" s="16" t="s">
        <v>31</v>
      </c>
      <c r="B5834" s="17" t="s">
        <v>70</v>
      </c>
      <c r="C5834" s="17" t="s">
        <v>8</v>
      </c>
      <c r="D5834" s="17" t="s">
        <v>10</v>
      </c>
      <c r="E5834" s="17" t="s">
        <v>13</v>
      </c>
      <c r="F5834" s="17" t="str">
        <f>INDEX(nrg_cb_e!$A$3:$A$40,MATCH(LEFT(MID('Industriesektor GWh'!$B5834,41,1000),SEARCH(" - ",MID('Industriesektor GWh'!$B5834,41,1000))-1),nrg_cb_e!$C$3:$C$40,0))</f>
        <v>FC_IND_PPP_E</v>
      </c>
      <c r="G5834" s="18">
        <v>1239</v>
      </c>
    </row>
    <row r="5835" spans="1:7" x14ac:dyDescent="0.2">
      <c r="A5835" s="19" t="s">
        <v>31</v>
      </c>
      <c r="B5835" s="20" t="s">
        <v>70</v>
      </c>
      <c r="C5835" s="20" t="s">
        <v>8</v>
      </c>
      <c r="D5835" s="20" t="s">
        <v>10</v>
      </c>
      <c r="E5835" s="20" t="s">
        <v>14</v>
      </c>
      <c r="F5835" s="20" t="str">
        <f>INDEX(nrg_cb_e!$A$3:$A$40,MATCH(LEFT(MID('Industriesektor GWh'!$B5835,41,1000),SEARCH(" - ",MID('Industriesektor GWh'!$B5835,41,1000))-1),nrg_cb_e!$C$3:$C$40,0))</f>
        <v>FC_IND_PPP_E</v>
      </c>
      <c r="G5835" s="21">
        <v>1766</v>
      </c>
    </row>
    <row r="5836" spans="1:7" x14ac:dyDescent="0.2">
      <c r="A5836" s="16" t="s">
        <v>31</v>
      </c>
      <c r="B5836" s="17" t="s">
        <v>70</v>
      </c>
      <c r="C5836" s="17" t="s">
        <v>8</v>
      </c>
      <c r="D5836" s="17" t="s">
        <v>10</v>
      </c>
      <c r="E5836" s="17" t="s">
        <v>15</v>
      </c>
      <c r="F5836" s="17" t="str">
        <f>INDEX(nrg_cb_e!$A$3:$A$40,MATCH(LEFT(MID('Industriesektor GWh'!$B5836,41,1000),SEARCH(" - ",MID('Industriesektor GWh'!$B5836,41,1000))-1),nrg_cb_e!$C$3:$C$40,0))</f>
        <v>FC_IND_PPP_E</v>
      </c>
      <c r="G5836" s="18">
        <v>1888</v>
      </c>
    </row>
    <row r="5837" spans="1:7" x14ac:dyDescent="0.2">
      <c r="A5837" s="19" t="s">
        <v>31</v>
      </c>
      <c r="B5837" s="20" t="s">
        <v>70</v>
      </c>
      <c r="C5837" s="20" t="s">
        <v>8</v>
      </c>
      <c r="D5837" s="20" t="s">
        <v>10</v>
      </c>
      <c r="E5837" s="20" t="s">
        <v>16</v>
      </c>
      <c r="F5837" s="20" t="str">
        <f>INDEX(nrg_cb_e!$A$3:$A$40,MATCH(LEFT(MID('Industriesektor GWh'!$B5837,41,1000),SEARCH(" - ",MID('Industriesektor GWh'!$B5837,41,1000))-1),nrg_cb_e!$C$3:$C$40,0))</f>
        <v>FC_IND_PPP_E</v>
      </c>
      <c r="G5837" s="21">
        <v>1904</v>
      </c>
    </row>
    <row r="5838" spans="1:7" x14ac:dyDescent="0.2">
      <c r="A5838" s="16" t="s">
        <v>31</v>
      </c>
      <c r="B5838" s="17" t="s">
        <v>70</v>
      </c>
      <c r="C5838" s="17" t="s">
        <v>8</v>
      </c>
      <c r="D5838" s="17" t="s">
        <v>10</v>
      </c>
      <c r="E5838" s="17" t="s">
        <v>17</v>
      </c>
      <c r="F5838" s="17" t="str">
        <f>INDEX(nrg_cb_e!$A$3:$A$40,MATCH(LEFT(MID('Industriesektor GWh'!$B5838,41,1000),SEARCH(" - ",MID('Industriesektor GWh'!$B5838,41,1000))-1),nrg_cb_e!$C$3:$C$40,0))</f>
        <v>FC_IND_PPP_E</v>
      </c>
      <c r="G5838" s="18">
        <v>1917</v>
      </c>
    </row>
    <row r="5839" spans="1:7" x14ac:dyDescent="0.2">
      <c r="A5839" s="19" t="s">
        <v>31</v>
      </c>
      <c r="B5839" s="20" t="s">
        <v>70</v>
      </c>
      <c r="C5839" s="20" t="s">
        <v>8</v>
      </c>
      <c r="D5839" s="20" t="s">
        <v>10</v>
      </c>
      <c r="E5839" s="20" t="s">
        <v>18</v>
      </c>
      <c r="F5839" s="20" t="str">
        <f>INDEX(nrg_cb_e!$A$3:$A$40,MATCH(LEFT(MID('Industriesektor GWh'!$B5839,41,1000),SEARCH(" - ",MID('Industriesektor GWh'!$B5839,41,1000))-1),nrg_cb_e!$C$3:$C$40,0))</f>
        <v>FC_IND_PPP_E</v>
      </c>
      <c r="G5839" s="21">
        <v>1826</v>
      </c>
    </row>
    <row r="5840" spans="1:7" x14ac:dyDescent="0.2">
      <c r="A5840" s="16" t="s">
        <v>31</v>
      </c>
      <c r="B5840" s="17" t="s">
        <v>70</v>
      </c>
      <c r="C5840" s="17" t="s">
        <v>8</v>
      </c>
      <c r="D5840" s="17" t="s">
        <v>10</v>
      </c>
      <c r="E5840" s="17" t="s">
        <v>19</v>
      </c>
      <c r="F5840" s="17" t="str">
        <f>INDEX(nrg_cb_e!$A$3:$A$40,MATCH(LEFT(MID('Industriesektor GWh'!$B5840,41,1000),SEARCH(" - ",MID('Industriesektor GWh'!$B5840,41,1000))-1),nrg_cb_e!$C$3:$C$40,0))</f>
        <v>FC_IND_PPP_E</v>
      </c>
      <c r="G5840" s="18">
        <v>1722</v>
      </c>
    </row>
    <row r="5841" spans="1:7" x14ac:dyDescent="0.2">
      <c r="A5841" s="19" t="s">
        <v>31</v>
      </c>
      <c r="B5841" s="20" t="s">
        <v>70</v>
      </c>
      <c r="C5841" s="20" t="s">
        <v>8</v>
      </c>
      <c r="D5841" s="20" t="s">
        <v>10</v>
      </c>
      <c r="E5841" s="20" t="s">
        <v>20</v>
      </c>
      <c r="F5841" s="20" t="str">
        <f>INDEX(nrg_cb_e!$A$3:$A$40,MATCH(LEFT(MID('Industriesektor GWh'!$B5841,41,1000),SEARCH(" - ",MID('Industriesektor GWh'!$B5841,41,1000))-1),nrg_cb_e!$C$3:$C$40,0))</f>
        <v>FC_IND_PPP_E</v>
      </c>
      <c r="G5841" s="21">
        <v>1648</v>
      </c>
    </row>
    <row r="5842" spans="1:7" x14ac:dyDescent="0.2">
      <c r="A5842" s="16" t="s">
        <v>31</v>
      </c>
      <c r="B5842" s="17" t="s">
        <v>70</v>
      </c>
      <c r="C5842" s="17" t="s">
        <v>8</v>
      </c>
      <c r="D5842" s="17" t="s">
        <v>10</v>
      </c>
      <c r="E5842" s="17" t="s">
        <v>21</v>
      </c>
      <c r="F5842" s="17" t="str">
        <f>INDEX(nrg_cb_e!$A$3:$A$40,MATCH(LEFT(MID('Industriesektor GWh'!$B5842,41,1000),SEARCH(" - ",MID('Industriesektor GWh'!$B5842,41,1000))-1),nrg_cb_e!$C$3:$C$40,0))</f>
        <v>FC_IND_PPP_E</v>
      </c>
      <c r="G5842" s="18">
        <v>1607</v>
      </c>
    </row>
    <row r="5843" spans="1:7" x14ac:dyDescent="0.2">
      <c r="A5843" s="19" t="s">
        <v>31</v>
      </c>
      <c r="B5843" s="20" t="s">
        <v>70</v>
      </c>
      <c r="C5843" s="20" t="s">
        <v>8</v>
      </c>
      <c r="D5843" s="20" t="s">
        <v>10</v>
      </c>
      <c r="E5843" s="20" t="s">
        <v>22</v>
      </c>
      <c r="F5843" s="20" t="str">
        <f>INDEX(nrg_cb_e!$A$3:$A$40,MATCH(LEFT(MID('Industriesektor GWh'!$B5843,41,1000),SEARCH(" - ",MID('Industriesektor GWh'!$B5843,41,1000))-1),nrg_cb_e!$C$3:$C$40,0))</f>
        <v>FC_IND_PPP_E</v>
      </c>
      <c r="G5843" s="21">
        <v>1656</v>
      </c>
    </row>
    <row r="5844" spans="1:7" x14ac:dyDescent="0.2">
      <c r="A5844" s="16" t="s">
        <v>31</v>
      </c>
      <c r="B5844" s="17" t="s">
        <v>70</v>
      </c>
      <c r="C5844" s="17" t="s">
        <v>8</v>
      </c>
      <c r="D5844" s="17" t="s">
        <v>10</v>
      </c>
      <c r="E5844" s="17" t="s">
        <v>23</v>
      </c>
      <c r="F5844" s="17" t="str">
        <f>INDEX(nrg_cb_e!$A$3:$A$40,MATCH(LEFT(MID('Industriesektor GWh'!$B5844,41,1000),SEARCH(" - ",MID('Industriesektor GWh'!$B5844,41,1000))-1),nrg_cb_e!$C$3:$C$40,0))</f>
        <v>FC_IND_PPP_E</v>
      </c>
      <c r="G5844" s="18">
        <v>1525</v>
      </c>
    </row>
    <row r="5845" spans="1:7" x14ac:dyDescent="0.2">
      <c r="A5845" s="19" t="s">
        <v>31</v>
      </c>
      <c r="B5845" s="20" t="s">
        <v>70</v>
      </c>
      <c r="C5845" s="20" t="s">
        <v>8</v>
      </c>
      <c r="D5845" s="20" t="s">
        <v>10</v>
      </c>
      <c r="E5845" s="20" t="s">
        <v>24</v>
      </c>
      <c r="F5845" s="20" t="str">
        <f>INDEX(nrg_cb_e!$A$3:$A$40,MATCH(LEFT(MID('Industriesektor GWh'!$B5845,41,1000),SEARCH(" - ",MID('Industriesektor GWh'!$B5845,41,1000))-1),nrg_cb_e!$C$3:$C$40,0))</f>
        <v>FC_IND_PPP_E</v>
      </c>
      <c r="G5845" s="21">
        <v>1713</v>
      </c>
    </row>
    <row r="5846" spans="1:7" x14ac:dyDescent="0.2">
      <c r="A5846" s="16" t="s">
        <v>31</v>
      </c>
      <c r="B5846" s="17" t="s">
        <v>70</v>
      </c>
      <c r="C5846" s="17" t="s">
        <v>8</v>
      </c>
      <c r="D5846" s="17" t="s">
        <v>10</v>
      </c>
      <c r="E5846" s="17" t="s">
        <v>25</v>
      </c>
      <c r="F5846" s="17" t="str">
        <f>INDEX(nrg_cb_e!$A$3:$A$40,MATCH(LEFT(MID('Industriesektor GWh'!$B5846,41,1000),SEARCH(" - ",MID('Industriesektor GWh'!$B5846,41,1000))-1),nrg_cb_e!$C$3:$C$40,0))</f>
        <v>FC_IND_PPP_E</v>
      </c>
      <c r="G5846" s="18">
        <v>1696</v>
      </c>
    </row>
    <row r="5847" spans="1:7" x14ac:dyDescent="0.2">
      <c r="A5847" s="19" t="s">
        <v>31</v>
      </c>
      <c r="B5847" s="20" t="s">
        <v>70</v>
      </c>
      <c r="C5847" s="20" t="s">
        <v>8</v>
      </c>
      <c r="D5847" s="20" t="s">
        <v>10</v>
      </c>
      <c r="E5847" s="20" t="s">
        <v>26</v>
      </c>
      <c r="F5847" s="20" t="str">
        <f>INDEX(nrg_cb_e!$A$3:$A$40,MATCH(LEFT(MID('Industriesektor GWh'!$B5847,41,1000),SEARCH(" - ",MID('Industriesektor GWh'!$B5847,41,1000))-1),nrg_cb_e!$C$3:$C$40,0))</f>
        <v>FC_IND_PPP_E</v>
      </c>
      <c r="G5847" s="21">
        <v>1741</v>
      </c>
    </row>
    <row r="5848" spans="1:7" x14ac:dyDescent="0.2">
      <c r="A5848" s="16" t="s">
        <v>31</v>
      </c>
      <c r="B5848" s="17" t="s">
        <v>70</v>
      </c>
      <c r="C5848" s="17" t="s">
        <v>8</v>
      </c>
      <c r="D5848" s="17" t="s">
        <v>10</v>
      </c>
      <c r="E5848" s="17" t="s">
        <v>27</v>
      </c>
      <c r="F5848" s="17" t="str">
        <f>INDEX(nrg_cb_e!$A$3:$A$40,MATCH(LEFT(MID('Industriesektor GWh'!$B5848,41,1000),SEARCH(" - ",MID('Industriesektor GWh'!$B5848,41,1000))-1),nrg_cb_e!$C$3:$C$40,0))</f>
        <v>FC_IND_PPP_E</v>
      </c>
      <c r="G5848" s="18">
        <v>1805.0820000000001</v>
      </c>
    </row>
    <row r="5849" spans="1:7" x14ac:dyDescent="0.2">
      <c r="A5849" s="19" t="s">
        <v>31</v>
      </c>
      <c r="B5849" s="20" t="s">
        <v>70</v>
      </c>
      <c r="C5849" s="20" t="s">
        <v>8</v>
      </c>
      <c r="D5849" s="20" t="s">
        <v>10</v>
      </c>
      <c r="E5849" s="20" t="s">
        <v>28</v>
      </c>
      <c r="F5849" s="20" t="str">
        <f>INDEX(nrg_cb_e!$A$3:$A$40,MATCH(LEFT(MID('Industriesektor GWh'!$B5849,41,1000),SEARCH(" - ",MID('Industriesektor GWh'!$B5849,41,1000))-1),nrg_cb_e!$C$3:$C$40,0))</f>
        <v>FC_IND_PPP_E</v>
      </c>
      <c r="G5849" s="21">
        <v>1810.1489999999999</v>
      </c>
    </row>
    <row r="5850" spans="1:7" x14ac:dyDescent="0.2">
      <c r="A5850" s="16" t="s">
        <v>32</v>
      </c>
      <c r="B5850" s="17" t="s">
        <v>70</v>
      </c>
      <c r="C5850" s="17" t="s">
        <v>8</v>
      </c>
      <c r="D5850" s="17" t="s">
        <v>10</v>
      </c>
      <c r="E5850" s="17" t="s">
        <v>12</v>
      </c>
      <c r="F5850" s="17" t="str">
        <f>INDEX(nrg_cb_e!$A$3:$A$40,MATCH(LEFT(MID('Industriesektor GWh'!$B5850,41,1000),SEARCH(" - ",MID('Industriesektor GWh'!$B5850,41,1000))-1),nrg_cb_e!$C$3:$C$40,0))</f>
        <v>FC_IND_PPP_E</v>
      </c>
      <c r="G5850" s="18">
        <v>644</v>
      </c>
    </row>
    <row r="5851" spans="1:7" x14ac:dyDescent="0.2">
      <c r="A5851" s="19" t="s">
        <v>32</v>
      </c>
      <c r="B5851" s="20" t="s">
        <v>70</v>
      </c>
      <c r="C5851" s="20" t="s">
        <v>8</v>
      </c>
      <c r="D5851" s="20" t="s">
        <v>10</v>
      </c>
      <c r="E5851" s="20" t="s">
        <v>13</v>
      </c>
      <c r="F5851" s="20" t="str">
        <f>INDEX(nrg_cb_e!$A$3:$A$40,MATCH(LEFT(MID('Industriesektor GWh'!$B5851,41,1000),SEARCH(" - ",MID('Industriesektor GWh'!$B5851,41,1000))-1),nrg_cb_e!$C$3:$C$40,0))</f>
        <v>FC_IND_PPP_E</v>
      </c>
      <c r="G5851" s="21">
        <v>660</v>
      </c>
    </row>
    <row r="5852" spans="1:7" x14ac:dyDescent="0.2">
      <c r="A5852" s="16" t="s">
        <v>32</v>
      </c>
      <c r="B5852" s="17" t="s">
        <v>70</v>
      </c>
      <c r="C5852" s="17" t="s">
        <v>8</v>
      </c>
      <c r="D5852" s="17" t="s">
        <v>10</v>
      </c>
      <c r="E5852" s="17" t="s">
        <v>14</v>
      </c>
      <c r="F5852" s="17" t="str">
        <f>INDEX(nrg_cb_e!$A$3:$A$40,MATCH(LEFT(MID('Industriesektor GWh'!$B5852,41,1000),SEARCH(" - ",MID('Industriesektor GWh'!$B5852,41,1000))-1),nrg_cb_e!$C$3:$C$40,0))</f>
        <v>FC_IND_PPP_E</v>
      </c>
      <c r="G5852" s="18">
        <v>686</v>
      </c>
    </row>
    <row r="5853" spans="1:7" x14ac:dyDescent="0.2">
      <c r="A5853" s="19" t="s">
        <v>32</v>
      </c>
      <c r="B5853" s="20" t="s">
        <v>70</v>
      </c>
      <c r="C5853" s="20" t="s">
        <v>8</v>
      </c>
      <c r="D5853" s="20" t="s">
        <v>10</v>
      </c>
      <c r="E5853" s="20" t="s">
        <v>15</v>
      </c>
      <c r="F5853" s="20" t="str">
        <f>INDEX(nrg_cb_e!$A$3:$A$40,MATCH(LEFT(MID('Industriesektor GWh'!$B5853,41,1000),SEARCH(" - ",MID('Industriesektor GWh'!$B5853,41,1000))-1),nrg_cb_e!$C$3:$C$40,0))</f>
        <v>FC_IND_PPP_E</v>
      </c>
      <c r="G5853" s="21">
        <v>576</v>
      </c>
    </row>
    <row r="5854" spans="1:7" x14ac:dyDescent="0.2">
      <c r="A5854" s="16" t="s">
        <v>32</v>
      </c>
      <c r="B5854" s="17" t="s">
        <v>70</v>
      </c>
      <c r="C5854" s="17" t="s">
        <v>8</v>
      </c>
      <c r="D5854" s="17" t="s">
        <v>10</v>
      </c>
      <c r="E5854" s="17" t="s">
        <v>16</v>
      </c>
      <c r="F5854" s="17" t="str">
        <f>INDEX(nrg_cb_e!$A$3:$A$40,MATCH(LEFT(MID('Industriesektor GWh'!$B5854,41,1000),SEARCH(" - ",MID('Industriesektor GWh'!$B5854,41,1000))-1),nrg_cb_e!$C$3:$C$40,0))</f>
        <v>FC_IND_PPP_E</v>
      </c>
      <c r="G5854" s="18">
        <v>602</v>
      </c>
    </row>
    <row r="5855" spans="1:7" x14ac:dyDescent="0.2">
      <c r="A5855" s="19" t="s">
        <v>32</v>
      </c>
      <c r="B5855" s="20" t="s">
        <v>70</v>
      </c>
      <c r="C5855" s="20" t="s">
        <v>8</v>
      </c>
      <c r="D5855" s="20" t="s">
        <v>10</v>
      </c>
      <c r="E5855" s="20" t="s">
        <v>17</v>
      </c>
      <c r="F5855" s="20" t="str">
        <f>INDEX(nrg_cb_e!$A$3:$A$40,MATCH(LEFT(MID('Industriesektor GWh'!$B5855,41,1000),SEARCH(" - ",MID('Industriesektor GWh'!$B5855,41,1000))-1),nrg_cb_e!$C$3:$C$40,0))</f>
        <v>FC_IND_PPP_E</v>
      </c>
      <c r="G5855" s="21">
        <v>616</v>
      </c>
    </row>
    <row r="5856" spans="1:7" x14ac:dyDescent="0.2">
      <c r="A5856" s="16" t="s">
        <v>32</v>
      </c>
      <c r="B5856" s="17" t="s">
        <v>70</v>
      </c>
      <c r="C5856" s="17" t="s">
        <v>8</v>
      </c>
      <c r="D5856" s="17" t="s">
        <v>10</v>
      </c>
      <c r="E5856" s="17" t="s">
        <v>18</v>
      </c>
      <c r="F5856" s="17" t="str">
        <f>INDEX(nrg_cb_e!$A$3:$A$40,MATCH(LEFT(MID('Industriesektor GWh'!$B5856,41,1000),SEARCH(" - ",MID('Industriesektor GWh'!$B5856,41,1000))-1),nrg_cb_e!$C$3:$C$40,0))</f>
        <v>FC_IND_PPP_E</v>
      </c>
      <c r="G5856" s="18">
        <v>604</v>
      </c>
    </row>
    <row r="5857" spans="1:7" x14ac:dyDescent="0.2">
      <c r="A5857" s="19" t="s">
        <v>32</v>
      </c>
      <c r="B5857" s="20" t="s">
        <v>70</v>
      </c>
      <c r="C5857" s="20" t="s">
        <v>8</v>
      </c>
      <c r="D5857" s="20" t="s">
        <v>10</v>
      </c>
      <c r="E5857" s="20" t="s">
        <v>19</v>
      </c>
      <c r="F5857" s="20" t="str">
        <f>INDEX(nrg_cb_e!$A$3:$A$40,MATCH(LEFT(MID('Industriesektor GWh'!$B5857,41,1000),SEARCH(" - ",MID('Industriesektor GWh'!$B5857,41,1000))-1),nrg_cb_e!$C$3:$C$40,0))</f>
        <v>FC_IND_PPP_E</v>
      </c>
      <c r="G5857" s="21">
        <v>508</v>
      </c>
    </row>
    <row r="5858" spans="1:7" x14ac:dyDescent="0.2">
      <c r="A5858" s="16" t="s">
        <v>32</v>
      </c>
      <c r="B5858" s="17" t="s">
        <v>70</v>
      </c>
      <c r="C5858" s="17" t="s">
        <v>8</v>
      </c>
      <c r="D5858" s="17" t="s">
        <v>10</v>
      </c>
      <c r="E5858" s="17" t="s">
        <v>20</v>
      </c>
      <c r="F5858" s="17" t="str">
        <f>INDEX(nrg_cb_e!$A$3:$A$40,MATCH(LEFT(MID('Industriesektor GWh'!$B5858,41,1000),SEARCH(" - ",MID('Industriesektor GWh'!$B5858,41,1000))-1),nrg_cb_e!$C$3:$C$40,0))</f>
        <v>FC_IND_PPP_E</v>
      </c>
      <c r="G5858" s="18">
        <v>506</v>
      </c>
    </row>
    <row r="5859" spans="1:7" x14ac:dyDescent="0.2">
      <c r="A5859" s="19" t="s">
        <v>32</v>
      </c>
      <c r="B5859" s="20" t="s">
        <v>70</v>
      </c>
      <c r="C5859" s="20" t="s">
        <v>8</v>
      </c>
      <c r="D5859" s="20" t="s">
        <v>10</v>
      </c>
      <c r="E5859" s="20" t="s">
        <v>21</v>
      </c>
      <c r="F5859" s="20" t="str">
        <f>INDEX(nrg_cb_e!$A$3:$A$40,MATCH(LEFT(MID('Industriesektor GWh'!$B5859,41,1000),SEARCH(" - ",MID('Industriesektor GWh'!$B5859,41,1000))-1),nrg_cb_e!$C$3:$C$40,0))</f>
        <v>FC_IND_PPP_E</v>
      </c>
      <c r="G5859" s="21">
        <v>501</v>
      </c>
    </row>
    <row r="5860" spans="1:7" x14ac:dyDescent="0.2">
      <c r="A5860" s="16" t="s">
        <v>32</v>
      </c>
      <c r="B5860" s="17" t="s">
        <v>70</v>
      </c>
      <c r="C5860" s="17" t="s">
        <v>8</v>
      </c>
      <c r="D5860" s="17" t="s">
        <v>10</v>
      </c>
      <c r="E5860" s="17" t="s">
        <v>22</v>
      </c>
      <c r="F5860" s="17" t="str">
        <f>INDEX(nrg_cb_e!$A$3:$A$40,MATCH(LEFT(MID('Industriesektor GWh'!$B5860,41,1000),SEARCH(" - ",MID('Industriesektor GWh'!$B5860,41,1000))-1),nrg_cb_e!$C$3:$C$40,0))</f>
        <v>FC_IND_PPP_E</v>
      </c>
      <c r="G5860" s="18">
        <v>330</v>
      </c>
    </row>
    <row r="5861" spans="1:7" x14ac:dyDescent="0.2">
      <c r="A5861" s="19" t="s">
        <v>32</v>
      </c>
      <c r="B5861" s="20" t="s">
        <v>70</v>
      </c>
      <c r="C5861" s="20" t="s">
        <v>8</v>
      </c>
      <c r="D5861" s="20" t="s">
        <v>10</v>
      </c>
      <c r="E5861" s="20" t="s">
        <v>23</v>
      </c>
      <c r="F5861" s="20" t="str">
        <f>INDEX(nrg_cb_e!$A$3:$A$40,MATCH(LEFT(MID('Industriesektor GWh'!$B5861,41,1000),SEARCH(" - ",MID('Industriesektor GWh'!$B5861,41,1000))-1),nrg_cb_e!$C$3:$C$40,0))</f>
        <v>FC_IND_PPP_E</v>
      </c>
      <c r="G5861" s="21">
        <v>399</v>
      </c>
    </row>
    <row r="5862" spans="1:7" x14ac:dyDescent="0.2">
      <c r="A5862" s="16" t="s">
        <v>32</v>
      </c>
      <c r="B5862" s="17" t="s">
        <v>70</v>
      </c>
      <c r="C5862" s="17" t="s">
        <v>8</v>
      </c>
      <c r="D5862" s="17" t="s">
        <v>10</v>
      </c>
      <c r="E5862" s="17" t="s">
        <v>24</v>
      </c>
      <c r="F5862" s="17" t="str">
        <f>INDEX(nrg_cb_e!$A$3:$A$40,MATCH(LEFT(MID('Industriesektor GWh'!$B5862,41,1000),SEARCH(" - ",MID('Industriesektor GWh'!$B5862,41,1000))-1),nrg_cb_e!$C$3:$C$40,0))</f>
        <v>FC_IND_PPP_E</v>
      </c>
      <c r="G5862" s="18">
        <v>345</v>
      </c>
    </row>
    <row r="5863" spans="1:7" x14ac:dyDescent="0.2">
      <c r="A5863" s="19" t="s">
        <v>32</v>
      </c>
      <c r="B5863" s="20" t="s">
        <v>70</v>
      </c>
      <c r="C5863" s="20" t="s">
        <v>8</v>
      </c>
      <c r="D5863" s="20" t="s">
        <v>10</v>
      </c>
      <c r="E5863" s="20" t="s">
        <v>25</v>
      </c>
      <c r="F5863" s="20" t="str">
        <f>INDEX(nrg_cb_e!$A$3:$A$40,MATCH(LEFT(MID('Industriesektor GWh'!$B5863,41,1000),SEARCH(" - ",MID('Industriesektor GWh'!$B5863,41,1000))-1),nrg_cb_e!$C$3:$C$40,0))</f>
        <v>FC_IND_PPP_E</v>
      </c>
      <c r="G5863" s="21">
        <v>354.99400000000003</v>
      </c>
    </row>
    <row r="5864" spans="1:7" x14ac:dyDescent="0.2">
      <c r="A5864" s="16" t="s">
        <v>32</v>
      </c>
      <c r="B5864" s="17" t="s">
        <v>70</v>
      </c>
      <c r="C5864" s="17" t="s">
        <v>8</v>
      </c>
      <c r="D5864" s="17" t="s">
        <v>10</v>
      </c>
      <c r="E5864" s="17" t="s">
        <v>26</v>
      </c>
      <c r="F5864" s="17" t="str">
        <f>INDEX(nrg_cb_e!$A$3:$A$40,MATCH(LEFT(MID('Industriesektor GWh'!$B5864,41,1000),SEARCH(" - ",MID('Industriesektor GWh'!$B5864,41,1000))-1),nrg_cb_e!$C$3:$C$40,0))</f>
        <v>FC_IND_PPP_E</v>
      </c>
      <c r="G5864" s="18">
        <v>314.24599999999998</v>
      </c>
    </row>
    <row r="5865" spans="1:7" x14ac:dyDescent="0.2">
      <c r="A5865" s="19" t="s">
        <v>32</v>
      </c>
      <c r="B5865" s="20" t="s">
        <v>70</v>
      </c>
      <c r="C5865" s="20" t="s">
        <v>8</v>
      </c>
      <c r="D5865" s="20" t="s">
        <v>10</v>
      </c>
      <c r="E5865" s="20" t="s">
        <v>27</v>
      </c>
      <c r="F5865" s="20" t="str">
        <f>INDEX(nrg_cb_e!$A$3:$A$40,MATCH(LEFT(MID('Industriesektor GWh'!$B5865,41,1000),SEARCH(" - ",MID('Industriesektor GWh'!$B5865,41,1000))-1),nrg_cb_e!$C$3:$C$40,0))</f>
        <v>FC_IND_PPP_E</v>
      </c>
      <c r="G5865" s="21">
        <v>319.06700000000001</v>
      </c>
    </row>
    <row r="5866" spans="1:7" x14ac:dyDescent="0.2">
      <c r="A5866" s="16" t="s">
        <v>32</v>
      </c>
      <c r="B5866" s="17" t="s">
        <v>70</v>
      </c>
      <c r="C5866" s="17" t="s">
        <v>8</v>
      </c>
      <c r="D5866" s="17" t="s">
        <v>10</v>
      </c>
      <c r="E5866" s="17" t="s">
        <v>28</v>
      </c>
      <c r="F5866" s="17" t="str">
        <f>INDEX(nrg_cb_e!$A$3:$A$40,MATCH(LEFT(MID('Industriesektor GWh'!$B5866,41,1000),SEARCH(" - ",MID('Industriesektor GWh'!$B5866,41,1000))-1),nrg_cb_e!$C$3:$C$40,0))</f>
        <v>FC_IND_PPP_E</v>
      </c>
      <c r="G5866" s="18">
        <v>318.75700000000001</v>
      </c>
    </row>
    <row r="5867" spans="1:7" x14ac:dyDescent="0.2">
      <c r="A5867" s="19" t="s">
        <v>33</v>
      </c>
      <c r="B5867" s="20" t="s">
        <v>70</v>
      </c>
      <c r="C5867" s="20" t="s">
        <v>8</v>
      </c>
      <c r="D5867" s="20" t="s">
        <v>10</v>
      </c>
      <c r="E5867" s="20" t="s">
        <v>12</v>
      </c>
      <c r="F5867" s="20" t="str">
        <f>INDEX(nrg_cb_e!$A$3:$A$40,MATCH(LEFT(MID('Industriesektor GWh'!$B5867,41,1000),SEARCH(" - ",MID('Industriesektor GWh'!$B5867,41,1000))-1),nrg_cb_e!$C$3:$C$40,0))</f>
        <v>FC_IND_PPP_E</v>
      </c>
      <c r="G5867" s="21">
        <v>22151</v>
      </c>
    </row>
    <row r="5868" spans="1:7" x14ac:dyDescent="0.2">
      <c r="A5868" s="16" t="s">
        <v>33</v>
      </c>
      <c r="B5868" s="17" t="s">
        <v>70</v>
      </c>
      <c r="C5868" s="17" t="s">
        <v>8</v>
      </c>
      <c r="D5868" s="17" t="s">
        <v>10</v>
      </c>
      <c r="E5868" s="17" t="s">
        <v>13</v>
      </c>
      <c r="F5868" s="17" t="str">
        <f>INDEX(nrg_cb_e!$A$3:$A$40,MATCH(LEFT(MID('Industriesektor GWh'!$B5868,41,1000),SEARCH(" - ",MID('Industriesektor GWh'!$B5868,41,1000))-1),nrg_cb_e!$C$3:$C$40,0))</f>
        <v>FC_IND_PPP_E</v>
      </c>
      <c r="G5868" s="18">
        <v>22113</v>
      </c>
    </row>
    <row r="5869" spans="1:7" x14ac:dyDescent="0.2">
      <c r="A5869" s="19" t="s">
        <v>33</v>
      </c>
      <c r="B5869" s="20" t="s">
        <v>70</v>
      </c>
      <c r="C5869" s="20" t="s">
        <v>8</v>
      </c>
      <c r="D5869" s="20" t="s">
        <v>10</v>
      </c>
      <c r="E5869" s="20" t="s">
        <v>14</v>
      </c>
      <c r="F5869" s="20" t="str">
        <f>INDEX(nrg_cb_e!$A$3:$A$40,MATCH(LEFT(MID('Industriesektor GWh'!$B5869,41,1000),SEARCH(" - ",MID('Industriesektor GWh'!$B5869,41,1000))-1),nrg_cb_e!$C$3:$C$40,0))</f>
        <v>FC_IND_PPP_E</v>
      </c>
      <c r="G5869" s="21">
        <v>25196</v>
      </c>
    </row>
    <row r="5870" spans="1:7" x14ac:dyDescent="0.2">
      <c r="A5870" s="16" t="s">
        <v>33</v>
      </c>
      <c r="B5870" s="17" t="s">
        <v>70</v>
      </c>
      <c r="C5870" s="17" t="s">
        <v>8</v>
      </c>
      <c r="D5870" s="17" t="s">
        <v>10</v>
      </c>
      <c r="E5870" s="17" t="s">
        <v>15</v>
      </c>
      <c r="F5870" s="17" t="str">
        <f>INDEX(nrg_cb_e!$A$3:$A$40,MATCH(LEFT(MID('Industriesektor GWh'!$B5870,41,1000),SEARCH(" - ",MID('Industriesektor GWh'!$B5870,41,1000))-1),nrg_cb_e!$C$3:$C$40,0))</f>
        <v>FC_IND_PPP_E</v>
      </c>
      <c r="G5870" s="18">
        <v>26850</v>
      </c>
    </row>
    <row r="5871" spans="1:7" x14ac:dyDescent="0.2">
      <c r="A5871" s="19" t="s">
        <v>33</v>
      </c>
      <c r="B5871" s="20" t="s">
        <v>70</v>
      </c>
      <c r="C5871" s="20" t="s">
        <v>8</v>
      </c>
      <c r="D5871" s="20" t="s">
        <v>10</v>
      </c>
      <c r="E5871" s="20" t="s">
        <v>16</v>
      </c>
      <c r="F5871" s="20" t="str">
        <f>INDEX(nrg_cb_e!$A$3:$A$40,MATCH(LEFT(MID('Industriesektor GWh'!$B5871,41,1000),SEARCH(" - ",MID('Industriesektor GWh'!$B5871,41,1000))-1),nrg_cb_e!$C$3:$C$40,0))</f>
        <v>FC_IND_PPP_E</v>
      </c>
      <c r="G5871" s="21">
        <v>25473</v>
      </c>
    </row>
    <row r="5872" spans="1:7" x14ac:dyDescent="0.2">
      <c r="A5872" s="16" t="s">
        <v>33</v>
      </c>
      <c r="B5872" s="17" t="s">
        <v>70</v>
      </c>
      <c r="C5872" s="17" t="s">
        <v>8</v>
      </c>
      <c r="D5872" s="17" t="s">
        <v>10</v>
      </c>
      <c r="E5872" s="17" t="s">
        <v>17</v>
      </c>
      <c r="F5872" s="17" t="str">
        <f>INDEX(nrg_cb_e!$A$3:$A$40,MATCH(LEFT(MID('Industriesektor GWh'!$B5872,41,1000),SEARCH(" - ",MID('Industriesektor GWh'!$B5872,41,1000))-1),nrg_cb_e!$C$3:$C$40,0))</f>
        <v>FC_IND_PPP_E</v>
      </c>
      <c r="G5872" s="18">
        <v>26308</v>
      </c>
    </row>
    <row r="5873" spans="1:7" x14ac:dyDescent="0.2">
      <c r="A5873" s="19" t="s">
        <v>33</v>
      </c>
      <c r="B5873" s="20" t="s">
        <v>70</v>
      </c>
      <c r="C5873" s="20" t="s">
        <v>8</v>
      </c>
      <c r="D5873" s="20" t="s">
        <v>10</v>
      </c>
      <c r="E5873" s="20" t="s">
        <v>18</v>
      </c>
      <c r="F5873" s="20" t="str">
        <f>INDEX(nrg_cb_e!$A$3:$A$40,MATCH(LEFT(MID('Industriesektor GWh'!$B5873,41,1000),SEARCH(" - ",MID('Industriesektor GWh'!$B5873,41,1000))-1),nrg_cb_e!$C$3:$C$40,0))</f>
        <v>FC_IND_PPP_E</v>
      </c>
      <c r="G5873" s="21">
        <v>24216</v>
      </c>
    </row>
    <row r="5874" spans="1:7" x14ac:dyDescent="0.2">
      <c r="A5874" s="16" t="s">
        <v>33</v>
      </c>
      <c r="B5874" s="17" t="s">
        <v>70</v>
      </c>
      <c r="C5874" s="17" t="s">
        <v>8</v>
      </c>
      <c r="D5874" s="17" t="s">
        <v>10</v>
      </c>
      <c r="E5874" s="17" t="s">
        <v>19</v>
      </c>
      <c r="F5874" s="17" t="str">
        <f>INDEX(nrg_cb_e!$A$3:$A$40,MATCH(LEFT(MID('Industriesektor GWh'!$B5874,41,1000),SEARCH(" - ",MID('Industriesektor GWh'!$B5874,41,1000))-1),nrg_cb_e!$C$3:$C$40,0))</f>
        <v>FC_IND_PPP_E</v>
      </c>
      <c r="G5874" s="18">
        <v>23956</v>
      </c>
    </row>
    <row r="5875" spans="1:7" x14ac:dyDescent="0.2">
      <c r="A5875" s="19" t="s">
        <v>33</v>
      </c>
      <c r="B5875" s="20" t="s">
        <v>70</v>
      </c>
      <c r="C5875" s="20" t="s">
        <v>8</v>
      </c>
      <c r="D5875" s="20" t="s">
        <v>10</v>
      </c>
      <c r="E5875" s="20" t="s">
        <v>20</v>
      </c>
      <c r="F5875" s="20" t="str">
        <f>INDEX(nrg_cb_e!$A$3:$A$40,MATCH(LEFT(MID('Industriesektor GWh'!$B5875,41,1000),SEARCH(" - ",MID('Industriesektor GWh'!$B5875,41,1000))-1),nrg_cb_e!$C$3:$C$40,0))</f>
        <v>FC_IND_PPP_E</v>
      </c>
      <c r="G5875" s="21">
        <v>24297</v>
      </c>
    </row>
    <row r="5876" spans="1:7" x14ac:dyDescent="0.2">
      <c r="A5876" s="16" t="s">
        <v>33</v>
      </c>
      <c r="B5876" s="17" t="s">
        <v>70</v>
      </c>
      <c r="C5876" s="17" t="s">
        <v>8</v>
      </c>
      <c r="D5876" s="17" t="s">
        <v>10</v>
      </c>
      <c r="E5876" s="17" t="s">
        <v>21</v>
      </c>
      <c r="F5876" s="17" t="str">
        <f>INDEX(nrg_cb_e!$A$3:$A$40,MATCH(LEFT(MID('Industriesektor GWh'!$B5876,41,1000),SEARCH(" - ",MID('Industriesektor GWh'!$B5876,41,1000))-1),nrg_cb_e!$C$3:$C$40,0))</f>
        <v>FC_IND_PPP_E</v>
      </c>
      <c r="G5876" s="18">
        <v>23868</v>
      </c>
    </row>
    <row r="5877" spans="1:7" x14ac:dyDescent="0.2">
      <c r="A5877" s="19" t="s">
        <v>33</v>
      </c>
      <c r="B5877" s="20" t="s">
        <v>70</v>
      </c>
      <c r="C5877" s="20" t="s">
        <v>8</v>
      </c>
      <c r="D5877" s="20" t="s">
        <v>10</v>
      </c>
      <c r="E5877" s="20" t="s">
        <v>22</v>
      </c>
      <c r="F5877" s="20" t="str">
        <f>INDEX(nrg_cb_e!$A$3:$A$40,MATCH(LEFT(MID('Industriesektor GWh'!$B5877,41,1000),SEARCH(" - ",MID('Industriesektor GWh'!$B5877,41,1000))-1),nrg_cb_e!$C$3:$C$40,0))</f>
        <v>FC_IND_PPP_E</v>
      </c>
      <c r="G5877" s="21">
        <v>23730</v>
      </c>
    </row>
    <row r="5878" spans="1:7" x14ac:dyDescent="0.2">
      <c r="A5878" s="16" t="s">
        <v>33</v>
      </c>
      <c r="B5878" s="17" t="s">
        <v>70</v>
      </c>
      <c r="C5878" s="17" t="s">
        <v>8</v>
      </c>
      <c r="D5878" s="17" t="s">
        <v>10</v>
      </c>
      <c r="E5878" s="17" t="s">
        <v>23</v>
      </c>
      <c r="F5878" s="17" t="str">
        <f>INDEX(nrg_cb_e!$A$3:$A$40,MATCH(LEFT(MID('Industriesektor GWh'!$B5878,41,1000),SEARCH(" - ",MID('Industriesektor GWh'!$B5878,41,1000))-1),nrg_cb_e!$C$3:$C$40,0))</f>
        <v>FC_IND_PPP_E</v>
      </c>
      <c r="G5878" s="18">
        <v>22339</v>
      </c>
    </row>
    <row r="5879" spans="1:7" x14ac:dyDescent="0.2">
      <c r="A5879" s="19" t="s">
        <v>33</v>
      </c>
      <c r="B5879" s="20" t="s">
        <v>70</v>
      </c>
      <c r="C5879" s="20" t="s">
        <v>8</v>
      </c>
      <c r="D5879" s="20" t="s">
        <v>10</v>
      </c>
      <c r="E5879" s="20" t="s">
        <v>24</v>
      </c>
      <c r="F5879" s="20" t="str">
        <f>INDEX(nrg_cb_e!$A$3:$A$40,MATCH(LEFT(MID('Industriesektor GWh'!$B5879,41,1000),SEARCH(" - ",MID('Industriesektor GWh'!$B5879,41,1000))-1),nrg_cb_e!$C$3:$C$40,0))</f>
        <v>FC_IND_PPP_E</v>
      </c>
      <c r="G5879" s="21">
        <v>21933</v>
      </c>
    </row>
    <row r="5880" spans="1:7" x14ac:dyDescent="0.2">
      <c r="A5880" s="16" t="s">
        <v>33</v>
      </c>
      <c r="B5880" s="17" t="s">
        <v>70</v>
      </c>
      <c r="C5880" s="17" t="s">
        <v>8</v>
      </c>
      <c r="D5880" s="17" t="s">
        <v>10</v>
      </c>
      <c r="E5880" s="17" t="s">
        <v>25</v>
      </c>
      <c r="F5880" s="17" t="str">
        <f>INDEX(nrg_cb_e!$A$3:$A$40,MATCH(LEFT(MID('Industriesektor GWh'!$B5880,41,1000),SEARCH(" - ",MID('Industriesektor GWh'!$B5880,41,1000))-1),nrg_cb_e!$C$3:$C$40,0))</f>
        <v>FC_IND_PPP_E</v>
      </c>
      <c r="G5880" s="18">
        <v>21323</v>
      </c>
    </row>
    <row r="5881" spans="1:7" x14ac:dyDescent="0.2">
      <c r="A5881" s="19" t="s">
        <v>33</v>
      </c>
      <c r="B5881" s="20" t="s">
        <v>70</v>
      </c>
      <c r="C5881" s="20" t="s">
        <v>8</v>
      </c>
      <c r="D5881" s="20" t="s">
        <v>10</v>
      </c>
      <c r="E5881" s="20" t="s">
        <v>26</v>
      </c>
      <c r="F5881" s="20" t="str">
        <f>INDEX(nrg_cb_e!$A$3:$A$40,MATCH(LEFT(MID('Industriesektor GWh'!$B5881,41,1000),SEARCH(" - ",MID('Industriesektor GWh'!$B5881,41,1000))-1),nrg_cb_e!$C$3:$C$40,0))</f>
        <v>FC_IND_PPP_E</v>
      </c>
      <c r="G5881" s="21">
        <v>21419</v>
      </c>
    </row>
    <row r="5882" spans="1:7" x14ac:dyDescent="0.2">
      <c r="A5882" s="16" t="s">
        <v>33</v>
      </c>
      <c r="B5882" s="17" t="s">
        <v>70</v>
      </c>
      <c r="C5882" s="17" t="s">
        <v>8</v>
      </c>
      <c r="D5882" s="17" t="s">
        <v>10</v>
      </c>
      <c r="E5882" s="17" t="s">
        <v>27</v>
      </c>
      <c r="F5882" s="17" t="str">
        <f>INDEX(nrg_cb_e!$A$3:$A$40,MATCH(LEFT(MID('Industriesektor GWh'!$B5882,41,1000),SEARCH(" - ",MID('Industriesektor GWh'!$B5882,41,1000))-1),nrg_cb_e!$C$3:$C$40,0))</f>
        <v>FC_IND_PPP_E</v>
      </c>
      <c r="G5882" s="18">
        <v>21406</v>
      </c>
    </row>
    <row r="5883" spans="1:7" x14ac:dyDescent="0.2">
      <c r="A5883" s="19" t="s">
        <v>33</v>
      </c>
      <c r="B5883" s="20" t="s">
        <v>70</v>
      </c>
      <c r="C5883" s="20" t="s">
        <v>8</v>
      </c>
      <c r="D5883" s="20" t="s">
        <v>10</v>
      </c>
      <c r="E5883" s="20" t="s">
        <v>28</v>
      </c>
      <c r="F5883" s="20" t="str">
        <f>INDEX(nrg_cb_e!$A$3:$A$40,MATCH(LEFT(MID('Industriesektor GWh'!$B5883,41,1000),SEARCH(" - ",MID('Industriesektor GWh'!$B5883,41,1000))-1),nrg_cb_e!$C$3:$C$40,0))</f>
        <v>FC_IND_PPP_E</v>
      </c>
      <c r="G5883" s="21">
        <v>20856</v>
      </c>
    </row>
    <row r="5884" spans="1:7" x14ac:dyDescent="0.2">
      <c r="A5884" s="16" t="s">
        <v>34</v>
      </c>
      <c r="B5884" s="17" t="s">
        <v>70</v>
      </c>
      <c r="C5884" s="17" t="s">
        <v>8</v>
      </c>
      <c r="D5884" s="17" t="s">
        <v>10</v>
      </c>
      <c r="E5884" s="17" t="s">
        <v>12</v>
      </c>
      <c r="F5884" s="17" t="str">
        <f>INDEX(nrg_cb_e!$A$3:$A$40,MATCH(LEFT(MID('Industriesektor GWh'!$B5884,41,1000),SEARCH(" - ",MID('Industriesektor GWh'!$B5884,41,1000))-1),nrg_cb_e!$C$3:$C$40,0))</f>
        <v>FC_IND_PPP_E</v>
      </c>
      <c r="G5884" s="18">
        <v>130</v>
      </c>
    </row>
    <row r="5885" spans="1:7" x14ac:dyDescent="0.2">
      <c r="A5885" s="19" t="s">
        <v>34</v>
      </c>
      <c r="B5885" s="20" t="s">
        <v>70</v>
      </c>
      <c r="C5885" s="20" t="s">
        <v>8</v>
      </c>
      <c r="D5885" s="20" t="s">
        <v>10</v>
      </c>
      <c r="E5885" s="20" t="s">
        <v>13</v>
      </c>
      <c r="F5885" s="20" t="str">
        <f>INDEX(nrg_cb_e!$A$3:$A$40,MATCH(LEFT(MID('Industriesektor GWh'!$B5885,41,1000),SEARCH(" - ",MID('Industriesektor GWh'!$B5885,41,1000))-1),nrg_cb_e!$C$3:$C$40,0))</f>
        <v>FC_IND_PPP_E</v>
      </c>
      <c r="G5885" s="21">
        <v>127</v>
      </c>
    </row>
    <row r="5886" spans="1:7" x14ac:dyDescent="0.2">
      <c r="A5886" s="16" t="s">
        <v>34</v>
      </c>
      <c r="B5886" s="17" t="s">
        <v>70</v>
      </c>
      <c r="C5886" s="17" t="s">
        <v>8</v>
      </c>
      <c r="D5886" s="17" t="s">
        <v>10</v>
      </c>
      <c r="E5886" s="17" t="s">
        <v>14</v>
      </c>
      <c r="F5886" s="17" t="str">
        <f>INDEX(nrg_cb_e!$A$3:$A$40,MATCH(LEFT(MID('Industriesektor GWh'!$B5886,41,1000),SEARCH(" - ",MID('Industriesektor GWh'!$B5886,41,1000))-1),nrg_cb_e!$C$3:$C$40,0))</f>
        <v>FC_IND_PPP_E</v>
      </c>
      <c r="G5886" s="18">
        <v>136</v>
      </c>
    </row>
    <row r="5887" spans="1:7" x14ac:dyDescent="0.2">
      <c r="A5887" s="19" t="s">
        <v>34</v>
      </c>
      <c r="B5887" s="20" t="s">
        <v>70</v>
      </c>
      <c r="C5887" s="20" t="s">
        <v>8</v>
      </c>
      <c r="D5887" s="20" t="s">
        <v>10</v>
      </c>
      <c r="E5887" s="20" t="s">
        <v>15</v>
      </c>
      <c r="F5887" s="20" t="str">
        <f>INDEX(nrg_cb_e!$A$3:$A$40,MATCH(LEFT(MID('Industriesektor GWh'!$B5887,41,1000),SEARCH(" - ",MID('Industriesektor GWh'!$B5887,41,1000))-1),nrg_cb_e!$C$3:$C$40,0))</f>
        <v>FC_IND_PPP_E</v>
      </c>
      <c r="G5887" s="21">
        <v>140</v>
      </c>
    </row>
    <row r="5888" spans="1:7" x14ac:dyDescent="0.2">
      <c r="A5888" s="16" t="s">
        <v>34</v>
      </c>
      <c r="B5888" s="17" t="s">
        <v>70</v>
      </c>
      <c r="C5888" s="17" t="s">
        <v>8</v>
      </c>
      <c r="D5888" s="17" t="s">
        <v>10</v>
      </c>
      <c r="E5888" s="17" t="s">
        <v>16</v>
      </c>
      <c r="F5888" s="17" t="str">
        <f>INDEX(nrg_cb_e!$A$3:$A$40,MATCH(LEFT(MID('Industriesektor GWh'!$B5888,41,1000),SEARCH(" - ",MID('Industriesektor GWh'!$B5888,41,1000))-1),nrg_cb_e!$C$3:$C$40,0))</f>
        <v>FC_IND_PPP_E</v>
      </c>
      <c r="G5888" s="18">
        <v>267</v>
      </c>
    </row>
    <row r="5889" spans="1:7" x14ac:dyDescent="0.2">
      <c r="A5889" s="19" t="s">
        <v>34</v>
      </c>
      <c r="B5889" s="20" t="s">
        <v>70</v>
      </c>
      <c r="C5889" s="20" t="s">
        <v>8</v>
      </c>
      <c r="D5889" s="20" t="s">
        <v>10</v>
      </c>
      <c r="E5889" s="20" t="s">
        <v>17</v>
      </c>
      <c r="F5889" s="20" t="str">
        <f>INDEX(nrg_cb_e!$A$3:$A$40,MATCH(LEFT(MID('Industriesektor GWh'!$B5889,41,1000),SEARCH(" - ",MID('Industriesektor GWh'!$B5889,41,1000))-1),nrg_cb_e!$C$3:$C$40,0))</f>
        <v>FC_IND_PPP_E</v>
      </c>
      <c r="G5889" s="21">
        <v>345</v>
      </c>
    </row>
    <row r="5890" spans="1:7" x14ac:dyDescent="0.2">
      <c r="A5890" s="16" t="s">
        <v>34</v>
      </c>
      <c r="B5890" s="17" t="s">
        <v>70</v>
      </c>
      <c r="C5890" s="17" t="s">
        <v>8</v>
      </c>
      <c r="D5890" s="17" t="s">
        <v>10</v>
      </c>
      <c r="E5890" s="17" t="s">
        <v>18</v>
      </c>
      <c r="F5890" s="17" t="str">
        <f>INDEX(nrg_cb_e!$A$3:$A$40,MATCH(LEFT(MID('Industriesektor GWh'!$B5890,41,1000),SEARCH(" - ",MID('Industriesektor GWh'!$B5890,41,1000))-1),nrg_cb_e!$C$3:$C$40,0))</f>
        <v>FC_IND_PPP_E</v>
      </c>
      <c r="G5890" s="18">
        <v>335</v>
      </c>
    </row>
    <row r="5891" spans="1:7" x14ac:dyDescent="0.2">
      <c r="A5891" s="19" t="s">
        <v>34</v>
      </c>
      <c r="B5891" s="20" t="s">
        <v>70</v>
      </c>
      <c r="C5891" s="20" t="s">
        <v>8</v>
      </c>
      <c r="D5891" s="20" t="s">
        <v>10</v>
      </c>
      <c r="E5891" s="20" t="s">
        <v>19</v>
      </c>
      <c r="F5891" s="20" t="str">
        <f>INDEX(nrg_cb_e!$A$3:$A$40,MATCH(LEFT(MID('Industriesektor GWh'!$B5891,41,1000),SEARCH(" - ",MID('Industriesektor GWh'!$B5891,41,1000))-1),nrg_cb_e!$C$3:$C$40,0))</f>
        <v>FC_IND_PPP_E</v>
      </c>
      <c r="G5891" s="21">
        <v>275</v>
      </c>
    </row>
    <row r="5892" spans="1:7" x14ac:dyDescent="0.2">
      <c r="A5892" s="16" t="s">
        <v>34</v>
      </c>
      <c r="B5892" s="17" t="s">
        <v>70</v>
      </c>
      <c r="C5892" s="17" t="s">
        <v>8</v>
      </c>
      <c r="D5892" s="17" t="s">
        <v>10</v>
      </c>
      <c r="E5892" s="17" t="s">
        <v>20</v>
      </c>
      <c r="F5892" s="17" t="str">
        <f>INDEX(nrg_cb_e!$A$3:$A$40,MATCH(LEFT(MID('Industriesektor GWh'!$B5892,41,1000),SEARCH(" - ",MID('Industriesektor GWh'!$B5892,41,1000))-1),nrg_cb_e!$C$3:$C$40,0))</f>
        <v>FC_IND_PPP_E</v>
      </c>
      <c r="G5892" s="18">
        <v>351</v>
      </c>
    </row>
    <row r="5893" spans="1:7" x14ac:dyDescent="0.2">
      <c r="A5893" s="19" t="s">
        <v>34</v>
      </c>
      <c r="B5893" s="20" t="s">
        <v>70</v>
      </c>
      <c r="C5893" s="20" t="s">
        <v>8</v>
      </c>
      <c r="D5893" s="20" t="s">
        <v>10</v>
      </c>
      <c r="E5893" s="20" t="s">
        <v>21</v>
      </c>
      <c r="F5893" s="20" t="str">
        <f>INDEX(nrg_cb_e!$A$3:$A$40,MATCH(LEFT(MID('Industriesektor GWh'!$B5893,41,1000),SEARCH(" - ",MID('Industriesektor GWh'!$B5893,41,1000))-1),nrg_cb_e!$C$3:$C$40,0))</f>
        <v>FC_IND_PPP_E</v>
      </c>
      <c r="G5893" s="21">
        <v>337</v>
      </c>
    </row>
    <row r="5894" spans="1:7" x14ac:dyDescent="0.2">
      <c r="A5894" s="16" t="s">
        <v>34</v>
      </c>
      <c r="B5894" s="17" t="s">
        <v>70</v>
      </c>
      <c r="C5894" s="17" t="s">
        <v>8</v>
      </c>
      <c r="D5894" s="17" t="s">
        <v>10</v>
      </c>
      <c r="E5894" s="17" t="s">
        <v>22</v>
      </c>
      <c r="F5894" s="17" t="str">
        <f>INDEX(nrg_cb_e!$A$3:$A$40,MATCH(LEFT(MID('Industriesektor GWh'!$B5894,41,1000),SEARCH(" - ",MID('Industriesektor GWh'!$B5894,41,1000))-1),nrg_cb_e!$C$3:$C$40,0))</f>
        <v>FC_IND_PPP_E</v>
      </c>
      <c r="G5894" s="18">
        <v>364</v>
      </c>
    </row>
    <row r="5895" spans="1:7" x14ac:dyDescent="0.2">
      <c r="A5895" s="19" t="s">
        <v>34</v>
      </c>
      <c r="B5895" s="20" t="s">
        <v>70</v>
      </c>
      <c r="C5895" s="20" t="s">
        <v>8</v>
      </c>
      <c r="D5895" s="20" t="s">
        <v>10</v>
      </c>
      <c r="E5895" s="20" t="s">
        <v>23</v>
      </c>
      <c r="F5895" s="20" t="str">
        <f>INDEX(nrg_cb_e!$A$3:$A$40,MATCH(LEFT(MID('Industriesektor GWh'!$B5895,41,1000),SEARCH(" - ",MID('Industriesektor GWh'!$B5895,41,1000))-1),nrg_cb_e!$C$3:$C$40,0))</f>
        <v>FC_IND_PPP_E</v>
      </c>
      <c r="G5895" s="21">
        <v>355</v>
      </c>
    </row>
    <row r="5896" spans="1:7" x14ac:dyDescent="0.2">
      <c r="A5896" s="16" t="s">
        <v>34</v>
      </c>
      <c r="B5896" s="17" t="s">
        <v>70</v>
      </c>
      <c r="C5896" s="17" t="s">
        <v>8</v>
      </c>
      <c r="D5896" s="17" t="s">
        <v>10</v>
      </c>
      <c r="E5896" s="17" t="s">
        <v>24</v>
      </c>
      <c r="F5896" s="17" t="str">
        <f>INDEX(nrg_cb_e!$A$3:$A$40,MATCH(LEFT(MID('Industriesektor GWh'!$B5896,41,1000),SEARCH(" - ",MID('Industriesektor GWh'!$B5896,41,1000))-1),nrg_cb_e!$C$3:$C$40,0))</f>
        <v>FC_IND_PPP_E</v>
      </c>
      <c r="G5896" s="18">
        <v>367</v>
      </c>
    </row>
    <row r="5897" spans="1:7" x14ac:dyDescent="0.2">
      <c r="A5897" s="19" t="s">
        <v>34</v>
      </c>
      <c r="B5897" s="20" t="s">
        <v>70</v>
      </c>
      <c r="C5897" s="20" t="s">
        <v>8</v>
      </c>
      <c r="D5897" s="20" t="s">
        <v>10</v>
      </c>
      <c r="E5897" s="20" t="s">
        <v>25</v>
      </c>
      <c r="F5897" s="20" t="str">
        <f>INDEX(nrg_cb_e!$A$3:$A$40,MATCH(LEFT(MID('Industriesektor GWh'!$B5897,41,1000),SEARCH(" - ",MID('Industriesektor GWh'!$B5897,41,1000))-1),nrg_cb_e!$C$3:$C$40,0))</f>
        <v>FC_IND_PPP_E</v>
      </c>
      <c r="G5897" s="21">
        <v>369</v>
      </c>
    </row>
    <row r="5898" spans="1:7" x14ac:dyDescent="0.2">
      <c r="A5898" s="16" t="s">
        <v>34</v>
      </c>
      <c r="B5898" s="17" t="s">
        <v>70</v>
      </c>
      <c r="C5898" s="17" t="s">
        <v>8</v>
      </c>
      <c r="D5898" s="17" t="s">
        <v>10</v>
      </c>
      <c r="E5898" s="17" t="s">
        <v>26</v>
      </c>
      <c r="F5898" s="17" t="str">
        <f>INDEX(nrg_cb_e!$A$3:$A$40,MATCH(LEFT(MID('Industriesektor GWh'!$B5898,41,1000),SEARCH(" - ",MID('Industriesektor GWh'!$B5898,41,1000))-1),nrg_cb_e!$C$3:$C$40,0))</f>
        <v>FC_IND_PPP_E</v>
      </c>
      <c r="G5898" s="18">
        <v>403</v>
      </c>
    </row>
    <row r="5899" spans="1:7" x14ac:dyDescent="0.2">
      <c r="A5899" s="19" t="s">
        <v>34</v>
      </c>
      <c r="B5899" s="20" t="s">
        <v>70</v>
      </c>
      <c r="C5899" s="20" t="s">
        <v>8</v>
      </c>
      <c r="D5899" s="20" t="s">
        <v>10</v>
      </c>
      <c r="E5899" s="20" t="s">
        <v>27</v>
      </c>
      <c r="F5899" s="20" t="str">
        <f>INDEX(nrg_cb_e!$A$3:$A$40,MATCH(LEFT(MID('Industriesektor GWh'!$B5899,41,1000),SEARCH(" - ",MID('Industriesektor GWh'!$B5899,41,1000))-1),nrg_cb_e!$C$3:$C$40,0))</f>
        <v>FC_IND_PPP_E</v>
      </c>
      <c r="G5899" s="21">
        <v>491</v>
      </c>
    </row>
    <row r="5900" spans="1:7" x14ac:dyDescent="0.2">
      <c r="A5900" s="16" t="s">
        <v>34</v>
      </c>
      <c r="B5900" s="17" t="s">
        <v>70</v>
      </c>
      <c r="C5900" s="17" t="s">
        <v>8</v>
      </c>
      <c r="D5900" s="17" t="s">
        <v>10</v>
      </c>
      <c r="E5900" s="17" t="s">
        <v>28</v>
      </c>
      <c r="F5900" s="17" t="str">
        <f>INDEX(nrg_cb_e!$A$3:$A$40,MATCH(LEFT(MID('Industriesektor GWh'!$B5900,41,1000),SEARCH(" - ",MID('Industriesektor GWh'!$B5900,41,1000))-1),nrg_cb_e!$C$3:$C$40,0))</f>
        <v>FC_IND_PPP_E</v>
      </c>
      <c r="G5900" s="18">
        <v>482</v>
      </c>
    </row>
    <row r="5901" spans="1:7" x14ac:dyDescent="0.2">
      <c r="A5901" s="19" t="s">
        <v>35</v>
      </c>
      <c r="B5901" s="20" t="s">
        <v>70</v>
      </c>
      <c r="C5901" s="20" t="s">
        <v>8</v>
      </c>
      <c r="D5901" s="20" t="s">
        <v>10</v>
      </c>
      <c r="E5901" s="20" t="s">
        <v>12</v>
      </c>
      <c r="F5901" s="20" t="str">
        <f>INDEX(nrg_cb_e!$A$3:$A$40,MATCH(LEFT(MID('Industriesektor GWh'!$B5901,41,1000),SEARCH(" - ",MID('Industriesektor GWh'!$B5901,41,1000))-1),nrg_cb_e!$C$3:$C$40,0))</f>
        <v>FC_IND_PPP_E</v>
      </c>
      <c r="G5901" s="21">
        <v>321.74900000000002</v>
      </c>
    </row>
    <row r="5902" spans="1:7" x14ac:dyDescent="0.2">
      <c r="A5902" s="16" t="s">
        <v>35</v>
      </c>
      <c r="B5902" s="17" t="s">
        <v>70</v>
      </c>
      <c r="C5902" s="17" t="s">
        <v>8</v>
      </c>
      <c r="D5902" s="17" t="s">
        <v>10</v>
      </c>
      <c r="E5902" s="17" t="s">
        <v>13</v>
      </c>
      <c r="F5902" s="17" t="str">
        <f>INDEX(nrg_cb_e!$A$3:$A$40,MATCH(LEFT(MID('Industriesektor GWh'!$B5902,41,1000),SEARCH(" - ",MID('Industriesektor GWh'!$B5902,41,1000))-1),nrg_cb_e!$C$3:$C$40,0))</f>
        <v>FC_IND_PPP_E</v>
      </c>
      <c r="G5902" s="18">
        <v>299.59399999999999</v>
      </c>
    </row>
    <row r="5903" spans="1:7" x14ac:dyDescent="0.2">
      <c r="A5903" s="19" t="s">
        <v>35</v>
      </c>
      <c r="B5903" s="20" t="s">
        <v>70</v>
      </c>
      <c r="C5903" s="20" t="s">
        <v>8</v>
      </c>
      <c r="D5903" s="20" t="s">
        <v>10</v>
      </c>
      <c r="E5903" s="20" t="s">
        <v>14</v>
      </c>
      <c r="F5903" s="20" t="str">
        <f>INDEX(nrg_cb_e!$A$3:$A$40,MATCH(LEFT(MID('Industriesektor GWh'!$B5903,41,1000),SEARCH(" - ",MID('Industriesektor GWh'!$B5903,41,1000))-1),nrg_cb_e!$C$3:$C$40,0))</f>
        <v>FC_IND_PPP_E</v>
      </c>
      <c r="G5903" s="21">
        <v>283.53300000000002</v>
      </c>
    </row>
    <row r="5904" spans="1:7" x14ac:dyDescent="0.2">
      <c r="A5904" s="16" t="s">
        <v>35</v>
      </c>
      <c r="B5904" s="17" t="s">
        <v>70</v>
      </c>
      <c r="C5904" s="17" t="s">
        <v>8</v>
      </c>
      <c r="D5904" s="17" t="s">
        <v>10</v>
      </c>
      <c r="E5904" s="17" t="s">
        <v>15</v>
      </c>
      <c r="F5904" s="17" t="str">
        <f>INDEX(nrg_cb_e!$A$3:$A$40,MATCH(LEFT(MID('Industriesektor GWh'!$B5904,41,1000),SEARCH(" - ",MID('Industriesektor GWh'!$B5904,41,1000))-1),nrg_cb_e!$C$3:$C$40,0))</f>
        <v>FC_IND_PPP_E</v>
      </c>
      <c r="G5904" s="18">
        <v>315.98500000000001</v>
      </c>
    </row>
    <row r="5905" spans="1:7" x14ac:dyDescent="0.2">
      <c r="A5905" s="19" t="s">
        <v>35</v>
      </c>
      <c r="B5905" s="20" t="s">
        <v>70</v>
      </c>
      <c r="C5905" s="20" t="s">
        <v>8</v>
      </c>
      <c r="D5905" s="20" t="s">
        <v>10</v>
      </c>
      <c r="E5905" s="20" t="s">
        <v>16</v>
      </c>
      <c r="F5905" s="20" t="str">
        <f>INDEX(nrg_cb_e!$A$3:$A$40,MATCH(LEFT(MID('Industriesektor GWh'!$B5905,41,1000),SEARCH(" - ",MID('Industriesektor GWh'!$B5905,41,1000))-1),nrg_cb_e!$C$3:$C$40,0))</f>
        <v>FC_IND_PPP_E</v>
      </c>
      <c r="G5905" s="21">
        <v>287.56900000000002</v>
      </c>
    </row>
    <row r="5906" spans="1:7" x14ac:dyDescent="0.2">
      <c r="A5906" s="16" t="s">
        <v>35</v>
      </c>
      <c r="B5906" s="17" t="s">
        <v>70</v>
      </c>
      <c r="C5906" s="17" t="s">
        <v>8</v>
      </c>
      <c r="D5906" s="17" t="s">
        <v>10</v>
      </c>
      <c r="E5906" s="17" t="s">
        <v>17</v>
      </c>
      <c r="F5906" s="17" t="str">
        <f>INDEX(nrg_cb_e!$A$3:$A$40,MATCH(LEFT(MID('Industriesektor GWh'!$B5906,41,1000),SEARCH(" - ",MID('Industriesektor GWh'!$B5906,41,1000))-1),nrg_cb_e!$C$3:$C$40,0))</f>
        <v>FC_IND_PPP_E</v>
      </c>
      <c r="G5906" s="18">
        <v>190.59800000000001</v>
      </c>
    </row>
    <row r="5907" spans="1:7" x14ac:dyDescent="0.2">
      <c r="A5907" s="19" t="s">
        <v>35</v>
      </c>
      <c r="B5907" s="20" t="s">
        <v>70</v>
      </c>
      <c r="C5907" s="20" t="s">
        <v>8</v>
      </c>
      <c r="D5907" s="20" t="s">
        <v>10</v>
      </c>
      <c r="E5907" s="20" t="s">
        <v>18</v>
      </c>
      <c r="F5907" s="20" t="str">
        <f>INDEX(nrg_cb_e!$A$3:$A$40,MATCH(LEFT(MID('Industriesektor GWh'!$B5907,41,1000),SEARCH(" - ",MID('Industriesektor GWh'!$B5907,41,1000))-1),nrg_cb_e!$C$3:$C$40,0))</f>
        <v>FC_IND_PPP_E</v>
      </c>
      <c r="G5907" s="21">
        <v>175.596</v>
      </c>
    </row>
    <row r="5908" spans="1:7" x14ac:dyDescent="0.2">
      <c r="A5908" s="16" t="s">
        <v>35</v>
      </c>
      <c r="B5908" s="17" t="s">
        <v>70</v>
      </c>
      <c r="C5908" s="17" t="s">
        <v>8</v>
      </c>
      <c r="D5908" s="17" t="s">
        <v>10</v>
      </c>
      <c r="E5908" s="17" t="s">
        <v>19</v>
      </c>
      <c r="F5908" s="17" t="str">
        <f>INDEX(nrg_cb_e!$A$3:$A$40,MATCH(LEFT(MID('Industriesektor GWh'!$B5908,41,1000),SEARCH(" - ",MID('Industriesektor GWh'!$B5908,41,1000))-1),nrg_cb_e!$C$3:$C$40,0))</f>
        <v>FC_IND_PPP_E</v>
      </c>
      <c r="G5908" s="18">
        <v>192.08199999999999</v>
      </c>
    </row>
    <row r="5909" spans="1:7" x14ac:dyDescent="0.2">
      <c r="A5909" s="19" t="s">
        <v>35</v>
      </c>
      <c r="B5909" s="20" t="s">
        <v>70</v>
      </c>
      <c r="C5909" s="20" t="s">
        <v>8</v>
      </c>
      <c r="D5909" s="20" t="s">
        <v>10</v>
      </c>
      <c r="E5909" s="20" t="s">
        <v>20</v>
      </c>
      <c r="F5909" s="20" t="str">
        <f>INDEX(nrg_cb_e!$A$3:$A$40,MATCH(LEFT(MID('Industriesektor GWh'!$B5909,41,1000),SEARCH(" - ",MID('Industriesektor GWh'!$B5909,41,1000))-1),nrg_cb_e!$C$3:$C$40,0))</f>
        <v>FC_IND_PPP_E</v>
      </c>
      <c r="G5909" s="21">
        <v>213.02500000000001</v>
      </c>
    </row>
    <row r="5910" spans="1:7" x14ac:dyDescent="0.2">
      <c r="A5910" s="16" t="s">
        <v>35</v>
      </c>
      <c r="B5910" s="17" t="s">
        <v>70</v>
      </c>
      <c r="C5910" s="17" t="s">
        <v>8</v>
      </c>
      <c r="D5910" s="17" t="s">
        <v>10</v>
      </c>
      <c r="E5910" s="17" t="s">
        <v>21</v>
      </c>
      <c r="F5910" s="17" t="str">
        <f>INDEX(nrg_cb_e!$A$3:$A$40,MATCH(LEFT(MID('Industriesektor GWh'!$B5910,41,1000),SEARCH(" - ",MID('Industriesektor GWh'!$B5910,41,1000))-1),nrg_cb_e!$C$3:$C$40,0))</f>
        <v>FC_IND_PPP_E</v>
      </c>
      <c r="G5910" s="18">
        <v>222.393</v>
      </c>
    </row>
    <row r="5911" spans="1:7" x14ac:dyDescent="0.2">
      <c r="A5911" s="19" t="s">
        <v>35</v>
      </c>
      <c r="B5911" s="20" t="s">
        <v>70</v>
      </c>
      <c r="C5911" s="20" t="s">
        <v>8</v>
      </c>
      <c r="D5911" s="20" t="s">
        <v>10</v>
      </c>
      <c r="E5911" s="20" t="s">
        <v>22</v>
      </c>
      <c r="F5911" s="20" t="str">
        <f>INDEX(nrg_cb_e!$A$3:$A$40,MATCH(LEFT(MID('Industriesektor GWh'!$B5911,41,1000),SEARCH(" - ",MID('Industriesektor GWh'!$B5911,41,1000))-1),nrg_cb_e!$C$3:$C$40,0))</f>
        <v>FC_IND_PPP_E</v>
      </c>
      <c r="G5911" s="21">
        <v>214.047</v>
      </c>
    </row>
    <row r="5912" spans="1:7" x14ac:dyDescent="0.2">
      <c r="A5912" s="16" t="s">
        <v>35</v>
      </c>
      <c r="B5912" s="17" t="s">
        <v>70</v>
      </c>
      <c r="C5912" s="17" t="s">
        <v>8</v>
      </c>
      <c r="D5912" s="17" t="s">
        <v>10</v>
      </c>
      <c r="E5912" s="17" t="s">
        <v>23</v>
      </c>
      <c r="F5912" s="17" t="str">
        <f>INDEX(nrg_cb_e!$A$3:$A$40,MATCH(LEFT(MID('Industriesektor GWh'!$B5912,41,1000),SEARCH(" - ",MID('Industriesektor GWh'!$B5912,41,1000))-1),nrg_cb_e!$C$3:$C$40,0))</f>
        <v>FC_IND_PPP_E</v>
      </c>
      <c r="G5912" s="18">
        <v>217.36600000000001</v>
      </c>
    </row>
    <row r="5913" spans="1:7" x14ac:dyDescent="0.2">
      <c r="A5913" s="19" t="s">
        <v>35</v>
      </c>
      <c r="B5913" s="20" t="s">
        <v>70</v>
      </c>
      <c r="C5913" s="20" t="s">
        <v>8</v>
      </c>
      <c r="D5913" s="20" t="s">
        <v>10</v>
      </c>
      <c r="E5913" s="20" t="s">
        <v>24</v>
      </c>
      <c r="F5913" s="20" t="str">
        <f>INDEX(nrg_cb_e!$A$3:$A$40,MATCH(LEFT(MID('Industriesektor GWh'!$B5913,41,1000),SEARCH(" - ",MID('Industriesektor GWh'!$B5913,41,1000))-1),nrg_cb_e!$C$3:$C$40,0))</f>
        <v>FC_IND_PPP_E</v>
      </c>
      <c r="G5913" s="21">
        <v>219.96199999999999</v>
      </c>
    </row>
    <row r="5914" spans="1:7" x14ac:dyDescent="0.2">
      <c r="A5914" s="16" t="s">
        <v>35</v>
      </c>
      <c r="B5914" s="17" t="s">
        <v>70</v>
      </c>
      <c r="C5914" s="17" t="s">
        <v>8</v>
      </c>
      <c r="D5914" s="17" t="s">
        <v>10</v>
      </c>
      <c r="E5914" s="17" t="s">
        <v>25</v>
      </c>
      <c r="F5914" s="17" t="str">
        <f>INDEX(nrg_cb_e!$A$3:$A$40,MATCH(LEFT(MID('Industriesektor GWh'!$B5914,41,1000),SEARCH(" - ",MID('Industriesektor GWh'!$B5914,41,1000))-1),nrg_cb_e!$C$3:$C$40,0))</f>
        <v>FC_IND_PPP_E</v>
      </c>
      <c r="G5914" s="18">
        <v>230.39699999999999</v>
      </c>
    </row>
    <row r="5915" spans="1:7" x14ac:dyDescent="0.2">
      <c r="A5915" s="19" t="s">
        <v>35</v>
      </c>
      <c r="B5915" s="20" t="s">
        <v>70</v>
      </c>
      <c r="C5915" s="20" t="s">
        <v>8</v>
      </c>
      <c r="D5915" s="20" t="s">
        <v>10</v>
      </c>
      <c r="E5915" s="20" t="s">
        <v>26</v>
      </c>
      <c r="F5915" s="20" t="str">
        <f>INDEX(nrg_cb_e!$A$3:$A$40,MATCH(LEFT(MID('Industriesektor GWh'!$B5915,41,1000),SEARCH(" - ",MID('Industriesektor GWh'!$B5915,41,1000))-1),nrg_cb_e!$C$3:$C$40,0))</f>
        <v>FC_IND_PPP_E</v>
      </c>
      <c r="G5915" s="21">
        <v>237.89500000000001</v>
      </c>
    </row>
    <row r="5916" spans="1:7" x14ac:dyDescent="0.2">
      <c r="A5916" s="16" t="s">
        <v>35</v>
      </c>
      <c r="B5916" s="17" t="s">
        <v>70</v>
      </c>
      <c r="C5916" s="17" t="s">
        <v>8</v>
      </c>
      <c r="D5916" s="17" t="s">
        <v>10</v>
      </c>
      <c r="E5916" s="17" t="s">
        <v>27</v>
      </c>
      <c r="F5916" s="17" t="str">
        <f>INDEX(nrg_cb_e!$A$3:$A$40,MATCH(LEFT(MID('Industriesektor GWh'!$B5916,41,1000),SEARCH(" - ",MID('Industriesektor GWh'!$B5916,41,1000))-1),nrg_cb_e!$C$3:$C$40,0))</f>
        <v>FC_IND_PPP_E</v>
      </c>
      <c r="G5916" s="18">
        <v>240.541</v>
      </c>
    </row>
    <row r="5917" spans="1:7" x14ac:dyDescent="0.2">
      <c r="A5917" s="19" t="s">
        <v>35</v>
      </c>
      <c r="B5917" s="20" t="s">
        <v>70</v>
      </c>
      <c r="C5917" s="20" t="s">
        <v>8</v>
      </c>
      <c r="D5917" s="20" t="s">
        <v>10</v>
      </c>
      <c r="E5917" s="20" t="s">
        <v>28</v>
      </c>
      <c r="F5917" s="20" t="str">
        <f>INDEX(nrg_cb_e!$A$3:$A$40,MATCH(LEFT(MID('Industriesektor GWh'!$B5917,41,1000),SEARCH(" - ",MID('Industriesektor GWh'!$B5917,41,1000))-1),nrg_cb_e!$C$3:$C$40,0))</f>
        <v>FC_IND_PPP_E</v>
      </c>
      <c r="G5917" s="21">
        <v>255.99</v>
      </c>
    </row>
    <row r="5918" spans="1:7" x14ac:dyDescent="0.2">
      <c r="A5918" s="16" t="s">
        <v>36</v>
      </c>
      <c r="B5918" s="17" t="s">
        <v>70</v>
      </c>
      <c r="C5918" s="17" t="s">
        <v>8</v>
      </c>
      <c r="D5918" s="17" t="s">
        <v>10</v>
      </c>
      <c r="E5918" s="17" t="s">
        <v>12</v>
      </c>
      <c r="F5918" s="17" t="str">
        <f>INDEX(nrg_cb_e!$A$3:$A$40,MATCH(LEFT(MID('Industriesektor GWh'!$B5918,41,1000),SEARCH(" - ",MID('Industriesektor GWh'!$B5918,41,1000))-1),nrg_cb_e!$C$3:$C$40,0))</f>
        <v>FC_IND_PPP_E</v>
      </c>
      <c r="G5918" s="18">
        <v>473</v>
      </c>
    </row>
    <row r="5919" spans="1:7" x14ac:dyDescent="0.2">
      <c r="A5919" s="19" t="s">
        <v>36</v>
      </c>
      <c r="B5919" s="20" t="s">
        <v>70</v>
      </c>
      <c r="C5919" s="20" t="s">
        <v>8</v>
      </c>
      <c r="D5919" s="20" t="s">
        <v>10</v>
      </c>
      <c r="E5919" s="20" t="s">
        <v>13</v>
      </c>
      <c r="F5919" s="20" t="str">
        <f>INDEX(nrg_cb_e!$A$3:$A$40,MATCH(LEFT(MID('Industriesektor GWh'!$B5919,41,1000),SEARCH(" - ",MID('Industriesektor GWh'!$B5919,41,1000))-1),nrg_cb_e!$C$3:$C$40,0))</f>
        <v>FC_IND_PPP_E</v>
      </c>
      <c r="G5919" s="21">
        <v>576</v>
      </c>
    </row>
    <row r="5920" spans="1:7" x14ac:dyDescent="0.2">
      <c r="A5920" s="16" t="s">
        <v>36</v>
      </c>
      <c r="B5920" s="17" t="s">
        <v>70</v>
      </c>
      <c r="C5920" s="17" t="s">
        <v>8</v>
      </c>
      <c r="D5920" s="17" t="s">
        <v>10</v>
      </c>
      <c r="E5920" s="17" t="s">
        <v>14</v>
      </c>
      <c r="F5920" s="17" t="str">
        <f>INDEX(nrg_cb_e!$A$3:$A$40,MATCH(LEFT(MID('Industriesektor GWh'!$B5920,41,1000),SEARCH(" - ",MID('Industriesektor GWh'!$B5920,41,1000))-1),nrg_cb_e!$C$3:$C$40,0))</f>
        <v>FC_IND_PPP_E</v>
      </c>
      <c r="G5920" s="18">
        <v>584</v>
      </c>
    </row>
    <row r="5921" spans="1:7" x14ac:dyDescent="0.2">
      <c r="A5921" s="19" t="s">
        <v>36</v>
      </c>
      <c r="B5921" s="20" t="s">
        <v>70</v>
      </c>
      <c r="C5921" s="20" t="s">
        <v>8</v>
      </c>
      <c r="D5921" s="20" t="s">
        <v>10</v>
      </c>
      <c r="E5921" s="20" t="s">
        <v>15</v>
      </c>
      <c r="F5921" s="20" t="str">
        <f>INDEX(nrg_cb_e!$A$3:$A$40,MATCH(LEFT(MID('Industriesektor GWh'!$B5921,41,1000),SEARCH(" - ",MID('Industriesektor GWh'!$B5921,41,1000))-1),nrg_cb_e!$C$3:$C$40,0))</f>
        <v>FC_IND_PPP_E</v>
      </c>
      <c r="G5921" s="21">
        <v>543</v>
      </c>
    </row>
    <row r="5922" spans="1:7" x14ac:dyDescent="0.2">
      <c r="A5922" s="16" t="s">
        <v>36</v>
      </c>
      <c r="B5922" s="17" t="s">
        <v>70</v>
      </c>
      <c r="C5922" s="17" t="s">
        <v>8</v>
      </c>
      <c r="D5922" s="17" t="s">
        <v>10</v>
      </c>
      <c r="E5922" s="17" t="s">
        <v>16</v>
      </c>
      <c r="F5922" s="17" t="str">
        <f>INDEX(nrg_cb_e!$A$3:$A$40,MATCH(LEFT(MID('Industriesektor GWh'!$B5922,41,1000),SEARCH(" - ",MID('Industriesektor GWh'!$B5922,41,1000))-1),nrg_cb_e!$C$3:$C$40,0))</f>
        <v>FC_IND_PPP_E</v>
      </c>
      <c r="G5922" s="18">
        <v>583</v>
      </c>
    </row>
    <row r="5923" spans="1:7" x14ac:dyDescent="0.2">
      <c r="A5923" s="19" t="s">
        <v>36</v>
      </c>
      <c r="B5923" s="20" t="s">
        <v>70</v>
      </c>
      <c r="C5923" s="20" t="s">
        <v>8</v>
      </c>
      <c r="D5923" s="20" t="s">
        <v>10</v>
      </c>
      <c r="E5923" s="20" t="s">
        <v>17</v>
      </c>
      <c r="F5923" s="20" t="str">
        <f>INDEX(nrg_cb_e!$A$3:$A$40,MATCH(LEFT(MID('Industriesektor GWh'!$B5923,41,1000),SEARCH(" - ",MID('Industriesektor GWh'!$B5923,41,1000))-1),nrg_cb_e!$C$3:$C$40,0))</f>
        <v>FC_IND_PPP_E</v>
      </c>
      <c r="G5923" s="21">
        <v>652</v>
      </c>
    </row>
    <row r="5924" spans="1:7" x14ac:dyDescent="0.2">
      <c r="A5924" s="16" t="s">
        <v>36</v>
      </c>
      <c r="B5924" s="17" t="s">
        <v>70</v>
      </c>
      <c r="C5924" s="17" t="s">
        <v>8</v>
      </c>
      <c r="D5924" s="17" t="s">
        <v>10</v>
      </c>
      <c r="E5924" s="17" t="s">
        <v>18</v>
      </c>
      <c r="F5924" s="17" t="str">
        <f>INDEX(nrg_cb_e!$A$3:$A$40,MATCH(LEFT(MID('Industriesektor GWh'!$B5924,41,1000),SEARCH(" - ",MID('Industriesektor GWh'!$B5924,41,1000))-1),nrg_cb_e!$C$3:$C$40,0))</f>
        <v>FC_IND_PPP_E</v>
      </c>
      <c r="G5924" s="18">
        <v>613</v>
      </c>
    </row>
    <row r="5925" spans="1:7" x14ac:dyDescent="0.2">
      <c r="A5925" s="19" t="s">
        <v>36</v>
      </c>
      <c r="B5925" s="20" t="s">
        <v>70</v>
      </c>
      <c r="C5925" s="20" t="s">
        <v>8</v>
      </c>
      <c r="D5925" s="20" t="s">
        <v>10</v>
      </c>
      <c r="E5925" s="20" t="s">
        <v>19</v>
      </c>
      <c r="F5925" s="20" t="str">
        <f>INDEX(nrg_cb_e!$A$3:$A$40,MATCH(LEFT(MID('Industriesektor GWh'!$B5925,41,1000),SEARCH(" - ",MID('Industriesektor GWh'!$B5925,41,1000))-1),nrg_cb_e!$C$3:$C$40,0))</f>
        <v>FC_IND_PPP_E</v>
      </c>
      <c r="G5925" s="21">
        <v>580</v>
      </c>
    </row>
    <row r="5926" spans="1:7" x14ac:dyDescent="0.2">
      <c r="A5926" s="16" t="s">
        <v>36</v>
      </c>
      <c r="B5926" s="17" t="s">
        <v>70</v>
      </c>
      <c r="C5926" s="17" t="s">
        <v>8</v>
      </c>
      <c r="D5926" s="17" t="s">
        <v>10</v>
      </c>
      <c r="E5926" s="17" t="s">
        <v>20</v>
      </c>
      <c r="F5926" s="17" t="str">
        <f>INDEX(nrg_cb_e!$A$3:$A$40,MATCH(LEFT(MID('Industriesektor GWh'!$B5926,41,1000),SEARCH(" - ",MID('Industriesektor GWh'!$B5926,41,1000))-1),nrg_cb_e!$C$3:$C$40,0))</f>
        <v>FC_IND_PPP_E</v>
      </c>
      <c r="G5926" s="18">
        <v>641</v>
      </c>
    </row>
    <row r="5927" spans="1:7" x14ac:dyDescent="0.2">
      <c r="A5927" s="19" t="s">
        <v>36</v>
      </c>
      <c r="B5927" s="20" t="s">
        <v>70</v>
      </c>
      <c r="C5927" s="20" t="s">
        <v>8</v>
      </c>
      <c r="D5927" s="20" t="s">
        <v>10</v>
      </c>
      <c r="E5927" s="20" t="s">
        <v>21</v>
      </c>
      <c r="F5927" s="20" t="str">
        <f>INDEX(nrg_cb_e!$A$3:$A$40,MATCH(LEFT(MID('Industriesektor GWh'!$B5927,41,1000),SEARCH(" - ",MID('Industriesektor GWh'!$B5927,41,1000))-1),nrg_cb_e!$C$3:$C$40,0))</f>
        <v>FC_IND_PPP_E</v>
      </c>
      <c r="G5927" s="21">
        <v>402</v>
      </c>
    </row>
    <row r="5928" spans="1:7" x14ac:dyDescent="0.2">
      <c r="A5928" s="16" t="s">
        <v>36</v>
      </c>
      <c r="B5928" s="17" t="s">
        <v>70</v>
      </c>
      <c r="C5928" s="17" t="s">
        <v>8</v>
      </c>
      <c r="D5928" s="17" t="s">
        <v>10</v>
      </c>
      <c r="E5928" s="17" t="s">
        <v>22</v>
      </c>
      <c r="F5928" s="17" t="str">
        <f>INDEX(nrg_cb_e!$A$3:$A$40,MATCH(LEFT(MID('Industriesektor GWh'!$B5928,41,1000),SEARCH(" - ",MID('Industriesektor GWh'!$B5928,41,1000))-1),nrg_cb_e!$C$3:$C$40,0))</f>
        <v>FC_IND_PPP_E</v>
      </c>
      <c r="G5928" s="18">
        <v>537</v>
      </c>
    </row>
    <row r="5929" spans="1:7" x14ac:dyDescent="0.2">
      <c r="A5929" s="19" t="s">
        <v>36</v>
      </c>
      <c r="B5929" s="20" t="s">
        <v>70</v>
      </c>
      <c r="C5929" s="20" t="s">
        <v>8</v>
      </c>
      <c r="D5929" s="20" t="s">
        <v>10</v>
      </c>
      <c r="E5929" s="20" t="s">
        <v>23</v>
      </c>
      <c r="F5929" s="20" t="str">
        <f>INDEX(nrg_cb_e!$A$3:$A$40,MATCH(LEFT(MID('Industriesektor GWh'!$B5929,41,1000),SEARCH(" - ",MID('Industriesektor GWh'!$B5929,41,1000))-1),nrg_cb_e!$C$3:$C$40,0))</f>
        <v>FC_IND_PPP_E</v>
      </c>
      <c r="G5929" s="21">
        <v>526</v>
      </c>
    </row>
    <row r="5930" spans="1:7" x14ac:dyDescent="0.2">
      <c r="A5930" s="16" t="s">
        <v>36</v>
      </c>
      <c r="B5930" s="17" t="s">
        <v>70</v>
      </c>
      <c r="C5930" s="17" t="s">
        <v>8</v>
      </c>
      <c r="D5930" s="17" t="s">
        <v>10</v>
      </c>
      <c r="E5930" s="17" t="s">
        <v>24</v>
      </c>
      <c r="F5930" s="17" t="str">
        <f>INDEX(nrg_cb_e!$A$3:$A$40,MATCH(LEFT(MID('Industriesektor GWh'!$B5930,41,1000),SEARCH(" - ",MID('Industriesektor GWh'!$B5930,41,1000))-1),nrg_cb_e!$C$3:$C$40,0))</f>
        <v>FC_IND_PPP_E</v>
      </c>
      <c r="G5930" s="18">
        <v>548</v>
      </c>
    </row>
    <row r="5931" spans="1:7" x14ac:dyDescent="0.2">
      <c r="A5931" s="19" t="s">
        <v>36</v>
      </c>
      <c r="B5931" s="20" t="s">
        <v>70</v>
      </c>
      <c r="C5931" s="20" t="s">
        <v>8</v>
      </c>
      <c r="D5931" s="20" t="s">
        <v>10</v>
      </c>
      <c r="E5931" s="20" t="s">
        <v>25</v>
      </c>
      <c r="F5931" s="20" t="str">
        <f>INDEX(nrg_cb_e!$A$3:$A$40,MATCH(LEFT(MID('Industriesektor GWh'!$B5931,41,1000),SEARCH(" - ",MID('Industriesektor GWh'!$B5931,41,1000))-1),nrg_cb_e!$C$3:$C$40,0))</f>
        <v>FC_IND_PPP_E</v>
      </c>
      <c r="G5931" s="21">
        <v>498</v>
      </c>
    </row>
    <row r="5932" spans="1:7" x14ac:dyDescent="0.2">
      <c r="A5932" s="16" t="s">
        <v>36</v>
      </c>
      <c r="B5932" s="17" t="s">
        <v>70</v>
      </c>
      <c r="C5932" s="17" t="s">
        <v>8</v>
      </c>
      <c r="D5932" s="17" t="s">
        <v>10</v>
      </c>
      <c r="E5932" s="17" t="s">
        <v>26</v>
      </c>
      <c r="F5932" s="17" t="str">
        <f>INDEX(nrg_cb_e!$A$3:$A$40,MATCH(LEFT(MID('Industriesektor GWh'!$B5932,41,1000),SEARCH(" - ",MID('Industriesektor GWh'!$B5932,41,1000))-1),nrg_cb_e!$C$3:$C$40,0))</f>
        <v>FC_IND_PPP_E</v>
      </c>
      <c r="G5932" s="18">
        <v>207</v>
      </c>
    </row>
    <row r="5933" spans="1:7" x14ac:dyDescent="0.2">
      <c r="A5933" s="19" t="s">
        <v>36</v>
      </c>
      <c r="B5933" s="20" t="s">
        <v>70</v>
      </c>
      <c r="C5933" s="20" t="s">
        <v>8</v>
      </c>
      <c r="D5933" s="20" t="s">
        <v>10</v>
      </c>
      <c r="E5933" s="20" t="s">
        <v>27</v>
      </c>
      <c r="F5933" s="20" t="str">
        <f>INDEX(nrg_cb_e!$A$3:$A$40,MATCH(LEFT(MID('Industriesektor GWh'!$B5933,41,1000),SEARCH(" - ",MID('Industriesektor GWh'!$B5933,41,1000))-1),nrg_cb_e!$C$3:$C$40,0))</f>
        <v>FC_IND_PPP_E</v>
      </c>
      <c r="G5933" s="21">
        <v>211.578</v>
      </c>
    </row>
    <row r="5934" spans="1:7" x14ac:dyDescent="0.2">
      <c r="A5934" s="16" t="s">
        <v>36</v>
      </c>
      <c r="B5934" s="17" t="s">
        <v>70</v>
      </c>
      <c r="C5934" s="17" t="s">
        <v>8</v>
      </c>
      <c r="D5934" s="17" t="s">
        <v>10</v>
      </c>
      <c r="E5934" s="17" t="s">
        <v>28</v>
      </c>
      <c r="F5934" s="17" t="str">
        <f>INDEX(nrg_cb_e!$A$3:$A$40,MATCH(LEFT(MID('Industriesektor GWh'!$B5934,41,1000),SEARCH(" - ",MID('Industriesektor GWh'!$B5934,41,1000))-1),nrg_cb_e!$C$3:$C$40,0))</f>
        <v>FC_IND_PPP_E</v>
      </c>
      <c r="G5934" s="18">
        <v>203.76</v>
      </c>
    </row>
    <row r="5935" spans="1:7" x14ac:dyDescent="0.2">
      <c r="A5935" s="19" t="s">
        <v>37</v>
      </c>
      <c r="B5935" s="20" t="s">
        <v>70</v>
      </c>
      <c r="C5935" s="20" t="s">
        <v>8</v>
      </c>
      <c r="D5935" s="20" t="s">
        <v>10</v>
      </c>
      <c r="E5935" s="20" t="s">
        <v>12</v>
      </c>
      <c r="F5935" s="20" t="str">
        <f>INDEX(nrg_cb_e!$A$3:$A$40,MATCH(LEFT(MID('Industriesektor GWh'!$B5935,41,1000),SEARCH(" - ",MID('Industriesektor GWh'!$B5935,41,1000))-1),nrg_cb_e!$C$3:$C$40,0))</f>
        <v>FC_IND_PPP_E</v>
      </c>
      <c r="G5935" s="21">
        <v>6898</v>
      </c>
    </row>
    <row r="5936" spans="1:7" x14ac:dyDescent="0.2">
      <c r="A5936" s="16" t="s">
        <v>37</v>
      </c>
      <c r="B5936" s="17" t="s">
        <v>70</v>
      </c>
      <c r="C5936" s="17" t="s">
        <v>8</v>
      </c>
      <c r="D5936" s="17" t="s">
        <v>10</v>
      </c>
      <c r="E5936" s="17" t="s">
        <v>13</v>
      </c>
      <c r="F5936" s="17" t="str">
        <f>INDEX(nrg_cb_e!$A$3:$A$40,MATCH(LEFT(MID('Industriesektor GWh'!$B5936,41,1000),SEARCH(" - ",MID('Industriesektor GWh'!$B5936,41,1000))-1),nrg_cb_e!$C$3:$C$40,0))</f>
        <v>FC_IND_PPP_E</v>
      </c>
      <c r="G5936" s="18">
        <v>7307</v>
      </c>
    </row>
    <row r="5937" spans="1:7" x14ac:dyDescent="0.2">
      <c r="A5937" s="19" t="s">
        <v>37</v>
      </c>
      <c r="B5937" s="20" t="s">
        <v>70</v>
      </c>
      <c r="C5937" s="20" t="s">
        <v>8</v>
      </c>
      <c r="D5937" s="20" t="s">
        <v>10</v>
      </c>
      <c r="E5937" s="20" t="s">
        <v>14</v>
      </c>
      <c r="F5937" s="20" t="str">
        <f>INDEX(nrg_cb_e!$A$3:$A$40,MATCH(LEFT(MID('Industriesektor GWh'!$B5937,41,1000),SEARCH(" - ",MID('Industriesektor GWh'!$B5937,41,1000))-1),nrg_cb_e!$C$3:$C$40,0))</f>
        <v>FC_IND_PPP_E</v>
      </c>
      <c r="G5937" s="21">
        <v>7663</v>
      </c>
    </row>
    <row r="5938" spans="1:7" x14ac:dyDescent="0.2">
      <c r="A5938" s="16" t="s">
        <v>37</v>
      </c>
      <c r="B5938" s="17" t="s">
        <v>70</v>
      </c>
      <c r="C5938" s="17" t="s">
        <v>8</v>
      </c>
      <c r="D5938" s="17" t="s">
        <v>10</v>
      </c>
      <c r="E5938" s="17" t="s">
        <v>15</v>
      </c>
      <c r="F5938" s="17" t="str">
        <f>INDEX(nrg_cb_e!$A$3:$A$40,MATCH(LEFT(MID('Industriesektor GWh'!$B5938,41,1000),SEARCH(" - ",MID('Industriesektor GWh'!$B5938,41,1000))-1),nrg_cb_e!$C$3:$C$40,0))</f>
        <v>FC_IND_PPP_E</v>
      </c>
      <c r="G5938" s="18">
        <v>7873</v>
      </c>
    </row>
    <row r="5939" spans="1:7" x14ac:dyDescent="0.2">
      <c r="A5939" s="19" t="s">
        <v>37</v>
      </c>
      <c r="B5939" s="20" t="s">
        <v>70</v>
      </c>
      <c r="C5939" s="20" t="s">
        <v>8</v>
      </c>
      <c r="D5939" s="20" t="s">
        <v>10</v>
      </c>
      <c r="E5939" s="20" t="s">
        <v>16</v>
      </c>
      <c r="F5939" s="20" t="str">
        <f>INDEX(nrg_cb_e!$A$3:$A$40,MATCH(LEFT(MID('Industriesektor GWh'!$B5939,41,1000),SEARCH(" - ",MID('Industriesektor GWh'!$B5939,41,1000))-1),nrg_cb_e!$C$3:$C$40,0))</f>
        <v>FC_IND_PPP_E</v>
      </c>
      <c r="G5939" s="21">
        <v>7268</v>
      </c>
    </row>
    <row r="5940" spans="1:7" x14ac:dyDescent="0.2">
      <c r="A5940" s="16" t="s">
        <v>37</v>
      </c>
      <c r="B5940" s="17" t="s">
        <v>70</v>
      </c>
      <c r="C5940" s="17" t="s">
        <v>8</v>
      </c>
      <c r="D5940" s="17" t="s">
        <v>10</v>
      </c>
      <c r="E5940" s="17" t="s">
        <v>17</v>
      </c>
      <c r="F5940" s="17" t="str">
        <f>INDEX(nrg_cb_e!$A$3:$A$40,MATCH(LEFT(MID('Industriesektor GWh'!$B5940,41,1000),SEARCH(" - ",MID('Industriesektor GWh'!$B5940,41,1000))-1),nrg_cb_e!$C$3:$C$40,0))</f>
        <v>FC_IND_PPP_E</v>
      </c>
      <c r="G5940" s="18">
        <v>7779</v>
      </c>
    </row>
    <row r="5941" spans="1:7" x14ac:dyDescent="0.2">
      <c r="A5941" s="19" t="s">
        <v>37</v>
      </c>
      <c r="B5941" s="20" t="s">
        <v>70</v>
      </c>
      <c r="C5941" s="20" t="s">
        <v>8</v>
      </c>
      <c r="D5941" s="20" t="s">
        <v>10</v>
      </c>
      <c r="E5941" s="20" t="s">
        <v>18</v>
      </c>
      <c r="F5941" s="20" t="str">
        <f>INDEX(nrg_cb_e!$A$3:$A$40,MATCH(LEFT(MID('Industriesektor GWh'!$B5941,41,1000),SEARCH(" - ",MID('Industriesektor GWh'!$B5941,41,1000))-1),nrg_cb_e!$C$3:$C$40,0))</f>
        <v>FC_IND_PPP_E</v>
      </c>
      <c r="G5941" s="21">
        <v>7649</v>
      </c>
    </row>
    <row r="5942" spans="1:7" x14ac:dyDescent="0.2">
      <c r="A5942" s="16" t="s">
        <v>37</v>
      </c>
      <c r="B5942" s="17" t="s">
        <v>70</v>
      </c>
      <c r="C5942" s="17" t="s">
        <v>8</v>
      </c>
      <c r="D5942" s="17" t="s">
        <v>10</v>
      </c>
      <c r="E5942" s="17" t="s">
        <v>19</v>
      </c>
      <c r="F5942" s="17" t="str">
        <f>INDEX(nrg_cb_e!$A$3:$A$40,MATCH(LEFT(MID('Industriesektor GWh'!$B5942,41,1000),SEARCH(" - ",MID('Industriesektor GWh'!$B5942,41,1000))-1),nrg_cb_e!$C$3:$C$40,0))</f>
        <v>FC_IND_PPP_E</v>
      </c>
      <c r="G5942" s="18">
        <v>6551</v>
      </c>
    </row>
    <row r="5943" spans="1:7" x14ac:dyDescent="0.2">
      <c r="A5943" s="19" t="s">
        <v>37</v>
      </c>
      <c r="B5943" s="20" t="s">
        <v>70</v>
      </c>
      <c r="C5943" s="20" t="s">
        <v>8</v>
      </c>
      <c r="D5943" s="20" t="s">
        <v>10</v>
      </c>
      <c r="E5943" s="20" t="s">
        <v>20</v>
      </c>
      <c r="F5943" s="20" t="str">
        <f>INDEX(nrg_cb_e!$A$3:$A$40,MATCH(LEFT(MID('Industriesektor GWh'!$B5943,41,1000),SEARCH(" - ",MID('Industriesektor GWh'!$B5943,41,1000))-1),nrg_cb_e!$C$3:$C$40,0))</f>
        <v>FC_IND_PPP_E</v>
      </c>
      <c r="G5943" s="21">
        <v>3959</v>
      </c>
    </row>
    <row r="5944" spans="1:7" x14ac:dyDescent="0.2">
      <c r="A5944" s="16" t="s">
        <v>37</v>
      </c>
      <c r="B5944" s="17" t="s">
        <v>70</v>
      </c>
      <c r="C5944" s="17" t="s">
        <v>8</v>
      </c>
      <c r="D5944" s="17" t="s">
        <v>10</v>
      </c>
      <c r="E5944" s="17" t="s">
        <v>21</v>
      </c>
      <c r="F5944" s="17" t="str">
        <f>INDEX(nrg_cb_e!$A$3:$A$40,MATCH(LEFT(MID('Industriesektor GWh'!$B5944,41,1000),SEARCH(" - ",MID('Industriesektor GWh'!$B5944,41,1000))-1),nrg_cb_e!$C$3:$C$40,0))</f>
        <v>FC_IND_PPP_E</v>
      </c>
      <c r="G5944" s="18">
        <v>5250</v>
      </c>
    </row>
    <row r="5945" spans="1:7" x14ac:dyDescent="0.2">
      <c r="A5945" s="19" t="s">
        <v>37</v>
      </c>
      <c r="B5945" s="20" t="s">
        <v>70</v>
      </c>
      <c r="C5945" s="20" t="s">
        <v>8</v>
      </c>
      <c r="D5945" s="20" t="s">
        <v>10</v>
      </c>
      <c r="E5945" s="20" t="s">
        <v>22</v>
      </c>
      <c r="F5945" s="20" t="str">
        <f>INDEX(nrg_cb_e!$A$3:$A$40,MATCH(LEFT(MID('Industriesektor GWh'!$B5945,41,1000),SEARCH(" - ",MID('Industriesektor GWh'!$B5945,41,1000))-1),nrg_cb_e!$C$3:$C$40,0))</f>
        <v>FC_IND_PPP_E</v>
      </c>
      <c r="G5945" s="21">
        <v>5180</v>
      </c>
    </row>
    <row r="5946" spans="1:7" x14ac:dyDescent="0.2">
      <c r="A5946" s="16" t="s">
        <v>37</v>
      </c>
      <c r="B5946" s="17" t="s">
        <v>70</v>
      </c>
      <c r="C5946" s="17" t="s">
        <v>8</v>
      </c>
      <c r="D5946" s="17" t="s">
        <v>10</v>
      </c>
      <c r="E5946" s="17" t="s">
        <v>23</v>
      </c>
      <c r="F5946" s="17" t="str">
        <f>INDEX(nrg_cb_e!$A$3:$A$40,MATCH(LEFT(MID('Industriesektor GWh'!$B5946,41,1000),SEARCH(" - ",MID('Industriesektor GWh'!$B5946,41,1000))-1),nrg_cb_e!$C$3:$C$40,0))</f>
        <v>FC_IND_PPP_E</v>
      </c>
      <c r="G5946" s="18">
        <v>5753</v>
      </c>
    </row>
    <row r="5947" spans="1:7" x14ac:dyDescent="0.2">
      <c r="A5947" s="19" t="s">
        <v>37</v>
      </c>
      <c r="B5947" s="20" t="s">
        <v>70</v>
      </c>
      <c r="C5947" s="20" t="s">
        <v>8</v>
      </c>
      <c r="D5947" s="20" t="s">
        <v>10</v>
      </c>
      <c r="E5947" s="20" t="s">
        <v>24</v>
      </c>
      <c r="F5947" s="20" t="str">
        <f>INDEX(nrg_cb_e!$A$3:$A$40,MATCH(LEFT(MID('Industriesektor GWh'!$B5947,41,1000),SEARCH(" - ",MID('Industriesektor GWh'!$B5947,41,1000))-1),nrg_cb_e!$C$3:$C$40,0))</f>
        <v>FC_IND_PPP_E</v>
      </c>
      <c r="G5947" s="21">
        <v>5821</v>
      </c>
    </row>
    <row r="5948" spans="1:7" x14ac:dyDescent="0.2">
      <c r="A5948" s="16" t="s">
        <v>37</v>
      </c>
      <c r="B5948" s="17" t="s">
        <v>70</v>
      </c>
      <c r="C5948" s="17" t="s">
        <v>8</v>
      </c>
      <c r="D5948" s="17" t="s">
        <v>10</v>
      </c>
      <c r="E5948" s="17" t="s">
        <v>25</v>
      </c>
      <c r="F5948" s="17" t="str">
        <f>INDEX(nrg_cb_e!$A$3:$A$40,MATCH(LEFT(MID('Industriesektor GWh'!$B5948,41,1000),SEARCH(" - ",MID('Industriesektor GWh'!$B5948,41,1000))-1),nrg_cb_e!$C$3:$C$40,0))</f>
        <v>FC_IND_PPP_E</v>
      </c>
      <c r="G5948" s="18">
        <v>5880</v>
      </c>
    </row>
    <row r="5949" spans="1:7" x14ac:dyDescent="0.2">
      <c r="A5949" s="19" t="s">
        <v>37</v>
      </c>
      <c r="B5949" s="20" t="s">
        <v>70</v>
      </c>
      <c r="C5949" s="20" t="s">
        <v>8</v>
      </c>
      <c r="D5949" s="20" t="s">
        <v>10</v>
      </c>
      <c r="E5949" s="20" t="s">
        <v>26</v>
      </c>
      <c r="F5949" s="20" t="str">
        <f>INDEX(nrg_cb_e!$A$3:$A$40,MATCH(LEFT(MID('Industriesektor GWh'!$B5949,41,1000),SEARCH(" - ",MID('Industriesektor GWh'!$B5949,41,1000))-1),nrg_cb_e!$C$3:$C$40,0))</f>
        <v>FC_IND_PPP_E</v>
      </c>
      <c r="G5949" s="21">
        <v>5803</v>
      </c>
    </row>
    <row r="5950" spans="1:7" x14ac:dyDescent="0.2">
      <c r="A5950" s="16" t="s">
        <v>37</v>
      </c>
      <c r="B5950" s="17" t="s">
        <v>70</v>
      </c>
      <c r="C5950" s="17" t="s">
        <v>8</v>
      </c>
      <c r="D5950" s="17" t="s">
        <v>10</v>
      </c>
      <c r="E5950" s="17" t="s">
        <v>27</v>
      </c>
      <c r="F5950" s="17" t="str">
        <f>INDEX(nrg_cb_e!$A$3:$A$40,MATCH(LEFT(MID('Industriesektor GWh'!$B5950,41,1000),SEARCH(" - ",MID('Industriesektor GWh'!$B5950,41,1000))-1),nrg_cb_e!$C$3:$C$40,0))</f>
        <v>FC_IND_PPP_E</v>
      </c>
      <c r="G5950" s="18">
        <v>5976</v>
      </c>
    </row>
    <row r="5951" spans="1:7" x14ac:dyDescent="0.2">
      <c r="A5951" s="19" t="s">
        <v>37</v>
      </c>
      <c r="B5951" s="20" t="s">
        <v>70</v>
      </c>
      <c r="C5951" s="20" t="s">
        <v>8</v>
      </c>
      <c r="D5951" s="20" t="s">
        <v>10</v>
      </c>
      <c r="E5951" s="20" t="s">
        <v>28</v>
      </c>
      <c r="F5951" s="20" t="str">
        <f>INDEX(nrg_cb_e!$A$3:$A$40,MATCH(LEFT(MID('Industriesektor GWh'!$B5951,41,1000),SEARCH(" - ",MID('Industriesektor GWh'!$B5951,41,1000))-1),nrg_cb_e!$C$3:$C$40,0))</f>
        <v>FC_IND_PPP_E</v>
      </c>
      <c r="G5951" s="21">
        <v>5539</v>
      </c>
    </row>
    <row r="5952" spans="1:7" x14ac:dyDescent="0.2">
      <c r="A5952" s="16" t="s">
        <v>38</v>
      </c>
      <c r="B5952" s="17" t="s">
        <v>70</v>
      </c>
      <c r="C5952" s="17" t="s">
        <v>8</v>
      </c>
      <c r="D5952" s="17" t="s">
        <v>10</v>
      </c>
      <c r="E5952" s="17" t="s">
        <v>12</v>
      </c>
      <c r="F5952" s="17" t="str">
        <f>INDEX(nrg_cb_e!$A$3:$A$40,MATCH(LEFT(MID('Industriesektor GWh'!$B5952,41,1000),SEARCH(" - ",MID('Industriesektor GWh'!$B5952,41,1000))-1),nrg_cb_e!$C$3:$C$40,0))</f>
        <v>FC_IND_PPP_E</v>
      </c>
      <c r="G5952" s="18">
        <v>13617</v>
      </c>
    </row>
    <row r="5953" spans="1:7" x14ac:dyDescent="0.2">
      <c r="A5953" s="19" t="s">
        <v>38</v>
      </c>
      <c r="B5953" s="20" t="s">
        <v>70</v>
      </c>
      <c r="C5953" s="20" t="s">
        <v>8</v>
      </c>
      <c r="D5953" s="20" t="s">
        <v>10</v>
      </c>
      <c r="E5953" s="20" t="s">
        <v>13</v>
      </c>
      <c r="F5953" s="20" t="str">
        <f>INDEX(nrg_cb_e!$A$3:$A$40,MATCH(LEFT(MID('Industriesektor GWh'!$B5953,41,1000),SEARCH(" - ",MID('Industriesektor GWh'!$B5953,41,1000))-1),nrg_cb_e!$C$3:$C$40,0))</f>
        <v>FC_IND_PPP_E</v>
      </c>
      <c r="G5953" s="21">
        <v>13288</v>
      </c>
    </row>
    <row r="5954" spans="1:7" x14ac:dyDescent="0.2">
      <c r="A5954" s="16" t="s">
        <v>38</v>
      </c>
      <c r="B5954" s="17" t="s">
        <v>70</v>
      </c>
      <c r="C5954" s="17" t="s">
        <v>8</v>
      </c>
      <c r="D5954" s="17" t="s">
        <v>10</v>
      </c>
      <c r="E5954" s="17" t="s">
        <v>14</v>
      </c>
      <c r="F5954" s="17" t="str">
        <f>INDEX(nrg_cb_e!$A$3:$A$40,MATCH(LEFT(MID('Industriesektor GWh'!$B5954,41,1000),SEARCH(" - ",MID('Industriesektor GWh'!$B5954,41,1000))-1),nrg_cb_e!$C$3:$C$40,0))</f>
        <v>FC_IND_PPP_E</v>
      </c>
      <c r="G5954" s="18">
        <v>13368</v>
      </c>
    </row>
    <row r="5955" spans="1:7" x14ac:dyDescent="0.2">
      <c r="A5955" s="19" t="s">
        <v>38</v>
      </c>
      <c r="B5955" s="20" t="s">
        <v>70</v>
      </c>
      <c r="C5955" s="20" t="s">
        <v>8</v>
      </c>
      <c r="D5955" s="20" t="s">
        <v>10</v>
      </c>
      <c r="E5955" s="20" t="s">
        <v>15</v>
      </c>
      <c r="F5955" s="20" t="str">
        <f>INDEX(nrg_cb_e!$A$3:$A$40,MATCH(LEFT(MID('Industriesektor GWh'!$B5955,41,1000),SEARCH(" - ",MID('Industriesektor GWh'!$B5955,41,1000))-1),nrg_cb_e!$C$3:$C$40,0))</f>
        <v>FC_IND_PPP_E</v>
      </c>
      <c r="G5955" s="21">
        <v>13490</v>
      </c>
    </row>
    <row r="5956" spans="1:7" x14ac:dyDescent="0.2">
      <c r="A5956" s="16" t="s">
        <v>38</v>
      </c>
      <c r="B5956" s="17" t="s">
        <v>70</v>
      </c>
      <c r="C5956" s="17" t="s">
        <v>8</v>
      </c>
      <c r="D5956" s="17" t="s">
        <v>10</v>
      </c>
      <c r="E5956" s="17" t="s">
        <v>16</v>
      </c>
      <c r="F5956" s="17" t="str">
        <f>INDEX(nrg_cb_e!$A$3:$A$40,MATCH(LEFT(MID('Industriesektor GWh'!$B5956,41,1000),SEARCH(" - ",MID('Industriesektor GWh'!$B5956,41,1000))-1),nrg_cb_e!$C$3:$C$40,0))</f>
        <v>FC_IND_PPP_E</v>
      </c>
      <c r="G5956" s="18">
        <v>13076</v>
      </c>
    </row>
    <row r="5957" spans="1:7" x14ac:dyDescent="0.2">
      <c r="A5957" s="19" t="s">
        <v>38</v>
      </c>
      <c r="B5957" s="20" t="s">
        <v>70</v>
      </c>
      <c r="C5957" s="20" t="s">
        <v>8</v>
      </c>
      <c r="D5957" s="20" t="s">
        <v>10</v>
      </c>
      <c r="E5957" s="20" t="s">
        <v>17</v>
      </c>
      <c r="F5957" s="20" t="str">
        <f>INDEX(nrg_cb_e!$A$3:$A$40,MATCH(LEFT(MID('Industriesektor GWh'!$B5957,41,1000),SEARCH(" - ",MID('Industriesektor GWh'!$B5957,41,1000))-1),nrg_cb_e!$C$3:$C$40,0))</f>
        <v>FC_IND_PPP_E</v>
      </c>
      <c r="G5957" s="21">
        <v>12822</v>
      </c>
    </row>
    <row r="5958" spans="1:7" x14ac:dyDescent="0.2">
      <c r="A5958" s="16" t="s">
        <v>38</v>
      </c>
      <c r="B5958" s="17" t="s">
        <v>70</v>
      </c>
      <c r="C5958" s="17" t="s">
        <v>8</v>
      </c>
      <c r="D5958" s="17" t="s">
        <v>10</v>
      </c>
      <c r="E5958" s="17" t="s">
        <v>18</v>
      </c>
      <c r="F5958" s="17" t="str">
        <f>INDEX(nrg_cb_e!$A$3:$A$40,MATCH(LEFT(MID('Industriesektor GWh'!$B5958,41,1000),SEARCH(" - ",MID('Industriesektor GWh'!$B5958,41,1000))-1),nrg_cb_e!$C$3:$C$40,0))</f>
        <v>FC_IND_PPP_E</v>
      </c>
      <c r="G5958" s="18">
        <v>10580</v>
      </c>
    </row>
    <row r="5959" spans="1:7" x14ac:dyDescent="0.2">
      <c r="A5959" s="19" t="s">
        <v>38</v>
      </c>
      <c r="B5959" s="20" t="s">
        <v>70</v>
      </c>
      <c r="C5959" s="20" t="s">
        <v>8</v>
      </c>
      <c r="D5959" s="20" t="s">
        <v>10</v>
      </c>
      <c r="E5959" s="20" t="s">
        <v>19</v>
      </c>
      <c r="F5959" s="20" t="str">
        <f>INDEX(nrg_cb_e!$A$3:$A$40,MATCH(LEFT(MID('Industriesektor GWh'!$B5959,41,1000),SEARCH(" - ",MID('Industriesektor GWh'!$B5959,41,1000))-1),nrg_cb_e!$C$3:$C$40,0))</f>
        <v>FC_IND_PPP_E</v>
      </c>
      <c r="G5959" s="21">
        <v>9053</v>
      </c>
    </row>
    <row r="5960" spans="1:7" x14ac:dyDescent="0.2">
      <c r="A5960" s="16" t="s">
        <v>38</v>
      </c>
      <c r="B5960" s="17" t="s">
        <v>70</v>
      </c>
      <c r="C5960" s="17" t="s">
        <v>8</v>
      </c>
      <c r="D5960" s="17" t="s">
        <v>10</v>
      </c>
      <c r="E5960" s="17" t="s">
        <v>20</v>
      </c>
      <c r="F5960" s="17" t="str">
        <f>INDEX(nrg_cb_e!$A$3:$A$40,MATCH(LEFT(MID('Industriesektor GWh'!$B5960,41,1000),SEARCH(" - ",MID('Industriesektor GWh'!$B5960,41,1000))-1),nrg_cb_e!$C$3:$C$40,0))</f>
        <v>FC_IND_PPP_E</v>
      </c>
      <c r="G5960" s="18">
        <v>9204</v>
      </c>
    </row>
    <row r="5961" spans="1:7" x14ac:dyDescent="0.2">
      <c r="A5961" s="19" t="s">
        <v>38</v>
      </c>
      <c r="B5961" s="20" t="s">
        <v>70</v>
      </c>
      <c r="C5961" s="20" t="s">
        <v>8</v>
      </c>
      <c r="D5961" s="20" t="s">
        <v>10</v>
      </c>
      <c r="E5961" s="20" t="s">
        <v>21</v>
      </c>
      <c r="F5961" s="20" t="str">
        <f>INDEX(nrg_cb_e!$A$3:$A$40,MATCH(LEFT(MID('Industriesektor GWh'!$B5961,41,1000),SEARCH(" - ",MID('Industriesektor GWh'!$B5961,41,1000))-1),nrg_cb_e!$C$3:$C$40,0))</f>
        <v>FC_IND_PPP_E</v>
      </c>
      <c r="G5961" s="21">
        <v>10052.061</v>
      </c>
    </row>
    <row r="5962" spans="1:7" x14ac:dyDescent="0.2">
      <c r="A5962" s="16" t="s">
        <v>38</v>
      </c>
      <c r="B5962" s="17" t="s">
        <v>70</v>
      </c>
      <c r="C5962" s="17" t="s">
        <v>8</v>
      </c>
      <c r="D5962" s="17" t="s">
        <v>10</v>
      </c>
      <c r="E5962" s="17" t="s">
        <v>22</v>
      </c>
      <c r="F5962" s="17" t="str">
        <f>INDEX(nrg_cb_e!$A$3:$A$40,MATCH(LEFT(MID('Industriesektor GWh'!$B5962,41,1000),SEARCH(" - ",MID('Industriesektor GWh'!$B5962,41,1000))-1),nrg_cb_e!$C$3:$C$40,0))</f>
        <v>FC_IND_PPP_E</v>
      </c>
      <c r="G5962" s="18">
        <v>9651.5920000000006</v>
      </c>
    </row>
    <row r="5963" spans="1:7" x14ac:dyDescent="0.2">
      <c r="A5963" s="19" t="s">
        <v>38</v>
      </c>
      <c r="B5963" s="20" t="s">
        <v>70</v>
      </c>
      <c r="C5963" s="20" t="s">
        <v>8</v>
      </c>
      <c r="D5963" s="20" t="s">
        <v>10</v>
      </c>
      <c r="E5963" s="20" t="s">
        <v>23</v>
      </c>
      <c r="F5963" s="20" t="str">
        <f>INDEX(nrg_cb_e!$A$3:$A$40,MATCH(LEFT(MID('Industriesektor GWh'!$B5963,41,1000),SEARCH(" - ",MID('Industriesektor GWh'!$B5963,41,1000))-1),nrg_cb_e!$C$3:$C$40,0))</f>
        <v>FC_IND_PPP_E</v>
      </c>
      <c r="G5963" s="21">
        <v>9049.5550000000003</v>
      </c>
    </row>
    <row r="5964" spans="1:7" x14ac:dyDescent="0.2">
      <c r="A5964" s="16" t="s">
        <v>38</v>
      </c>
      <c r="B5964" s="17" t="s">
        <v>70</v>
      </c>
      <c r="C5964" s="17" t="s">
        <v>8</v>
      </c>
      <c r="D5964" s="17" t="s">
        <v>10</v>
      </c>
      <c r="E5964" s="17" t="s">
        <v>24</v>
      </c>
      <c r="F5964" s="17" t="str">
        <f>INDEX(nrg_cb_e!$A$3:$A$40,MATCH(LEFT(MID('Industriesektor GWh'!$B5964,41,1000),SEARCH(" - ",MID('Industriesektor GWh'!$B5964,41,1000))-1),nrg_cb_e!$C$3:$C$40,0))</f>
        <v>FC_IND_PPP_E</v>
      </c>
      <c r="G5964" s="18">
        <v>8699.9179999999997</v>
      </c>
    </row>
    <row r="5965" spans="1:7" x14ac:dyDescent="0.2">
      <c r="A5965" s="19" t="s">
        <v>38</v>
      </c>
      <c r="B5965" s="20" t="s">
        <v>70</v>
      </c>
      <c r="C5965" s="20" t="s">
        <v>8</v>
      </c>
      <c r="D5965" s="20" t="s">
        <v>10</v>
      </c>
      <c r="E5965" s="20" t="s">
        <v>25</v>
      </c>
      <c r="F5965" s="20" t="str">
        <f>INDEX(nrg_cb_e!$A$3:$A$40,MATCH(LEFT(MID('Industriesektor GWh'!$B5965,41,1000),SEARCH(" - ",MID('Industriesektor GWh'!$B5965,41,1000))-1),nrg_cb_e!$C$3:$C$40,0))</f>
        <v>FC_IND_PPP_E</v>
      </c>
      <c r="G5965" s="21">
        <v>8261.9429999999993</v>
      </c>
    </row>
    <row r="5966" spans="1:7" x14ac:dyDescent="0.2">
      <c r="A5966" s="16" t="s">
        <v>38</v>
      </c>
      <c r="B5966" s="17" t="s">
        <v>70</v>
      </c>
      <c r="C5966" s="17" t="s">
        <v>8</v>
      </c>
      <c r="D5966" s="17" t="s">
        <v>10</v>
      </c>
      <c r="E5966" s="17" t="s">
        <v>26</v>
      </c>
      <c r="F5966" s="17" t="str">
        <f>INDEX(nrg_cb_e!$A$3:$A$40,MATCH(LEFT(MID('Industriesektor GWh'!$B5966,41,1000),SEARCH(" - ",MID('Industriesektor GWh'!$B5966,41,1000))-1),nrg_cb_e!$C$3:$C$40,0))</f>
        <v>FC_IND_PPP_E</v>
      </c>
      <c r="G5966" s="18">
        <v>8218.3580000000002</v>
      </c>
    </row>
    <row r="5967" spans="1:7" x14ac:dyDescent="0.2">
      <c r="A5967" s="19" t="s">
        <v>38</v>
      </c>
      <c r="B5967" s="20" t="s">
        <v>70</v>
      </c>
      <c r="C5967" s="20" t="s">
        <v>8</v>
      </c>
      <c r="D5967" s="20" t="s">
        <v>10</v>
      </c>
      <c r="E5967" s="20" t="s">
        <v>27</v>
      </c>
      <c r="F5967" s="20" t="str">
        <f>INDEX(nrg_cb_e!$A$3:$A$40,MATCH(LEFT(MID('Industriesektor GWh'!$B5967,41,1000),SEARCH(" - ",MID('Industriesektor GWh'!$B5967,41,1000))-1),nrg_cb_e!$C$3:$C$40,0))</f>
        <v>FC_IND_PPP_E</v>
      </c>
      <c r="G5967" s="21">
        <v>7991.0540000000001</v>
      </c>
    </row>
    <row r="5968" spans="1:7" x14ac:dyDescent="0.2">
      <c r="A5968" s="16" t="s">
        <v>38</v>
      </c>
      <c r="B5968" s="17" t="s">
        <v>70</v>
      </c>
      <c r="C5968" s="17" t="s">
        <v>8</v>
      </c>
      <c r="D5968" s="17" t="s">
        <v>10</v>
      </c>
      <c r="E5968" s="17" t="s">
        <v>28</v>
      </c>
      <c r="F5968" s="17" t="str">
        <f>INDEX(nrg_cb_e!$A$3:$A$40,MATCH(LEFT(MID('Industriesektor GWh'!$B5968,41,1000),SEARCH(" - ",MID('Industriesektor GWh'!$B5968,41,1000))-1),nrg_cb_e!$C$3:$C$40,0))</f>
        <v>FC_IND_PPP_E</v>
      </c>
      <c r="G5968" s="18">
        <v>7937.3339999999998</v>
      </c>
    </row>
    <row r="5969" spans="1:7" x14ac:dyDescent="0.2">
      <c r="A5969" s="19" t="s">
        <v>39</v>
      </c>
      <c r="B5969" s="20" t="s">
        <v>70</v>
      </c>
      <c r="C5969" s="20" t="s">
        <v>8</v>
      </c>
      <c r="D5969" s="20" t="s">
        <v>10</v>
      </c>
      <c r="E5969" s="20" t="s">
        <v>12</v>
      </c>
      <c r="F5969" s="20" t="str">
        <f>INDEX(nrg_cb_e!$A$3:$A$40,MATCH(LEFT(MID('Industriesektor GWh'!$B5969,41,1000),SEARCH(" - ",MID('Industriesektor GWh'!$B5969,41,1000))-1),nrg_cb_e!$C$3:$C$40,0))</f>
        <v>FC_IND_PPP_E</v>
      </c>
      <c r="G5969" s="21">
        <v>308</v>
      </c>
    </row>
    <row r="5970" spans="1:7" x14ac:dyDescent="0.2">
      <c r="A5970" s="16" t="s">
        <v>39</v>
      </c>
      <c r="B5970" s="17" t="s">
        <v>70</v>
      </c>
      <c r="C5970" s="17" t="s">
        <v>8</v>
      </c>
      <c r="D5970" s="17" t="s">
        <v>10</v>
      </c>
      <c r="E5970" s="17" t="s">
        <v>13</v>
      </c>
      <c r="F5970" s="17" t="str">
        <f>INDEX(nrg_cb_e!$A$3:$A$40,MATCH(LEFT(MID('Industriesektor GWh'!$B5970,41,1000),SEARCH(" - ",MID('Industriesektor GWh'!$B5970,41,1000))-1),nrg_cb_e!$C$3:$C$40,0))</f>
        <v>FC_IND_PPP_E</v>
      </c>
      <c r="G5970" s="18">
        <v>322</v>
      </c>
    </row>
    <row r="5971" spans="1:7" x14ac:dyDescent="0.2">
      <c r="A5971" s="19" t="s">
        <v>39</v>
      </c>
      <c r="B5971" s="20" t="s">
        <v>70</v>
      </c>
      <c r="C5971" s="20" t="s">
        <v>8</v>
      </c>
      <c r="D5971" s="20" t="s">
        <v>10</v>
      </c>
      <c r="E5971" s="20" t="s">
        <v>14</v>
      </c>
      <c r="F5971" s="20" t="str">
        <f>INDEX(nrg_cb_e!$A$3:$A$40,MATCH(LEFT(MID('Industriesektor GWh'!$B5971,41,1000),SEARCH(" - ",MID('Industriesektor GWh'!$B5971,41,1000))-1),nrg_cb_e!$C$3:$C$40,0))</f>
        <v>FC_IND_PPP_E</v>
      </c>
      <c r="G5971" s="21">
        <v>292</v>
      </c>
    </row>
    <row r="5972" spans="1:7" x14ac:dyDescent="0.2">
      <c r="A5972" s="16" t="s">
        <v>39</v>
      </c>
      <c r="B5972" s="17" t="s">
        <v>70</v>
      </c>
      <c r="C5972" s="17" t="s">
        <v>8</v>
      </c>
      <c r="D5972" s="17" t="s">
        <v>10</v>
      </c>
      <c r="E5972" s="17" t="s">
        <v>15</v>
      </c>
      <c r="F5972" s="17" t="str">
        <f>INDEX(nrg_cb_e!$A$3:$A$40,MATCH(LEFT(MID('Industriesektor GWh'!$B5972,41,1000),SEARCH(" - ",MID('Industriesektor GWh'!$B5972,41,1000))-1),nrg_cb_e!$C$3:$C$40,0))</f>
        <v>FC_IND_PPP_E</v>
      </c>
      <c r="G5972" s="18">
        <v>312</v>
      </c>
    </row>
    <row r="5973" spans="1:7" x14ac:dyDescent="0.2">
      <c r="A5973" s="19" t="s">
        <v>39</v>
      </c>
      <c r="B5973" s="20" t="s">
        <v>70</v>
      </c>
      <c r="C5973" s="20" t="s">
        <v>8</v>
      </c>
      <c r="D5973" s="20" t="s">
        <v>10</v>
      </c>
      <c r="E5973" s="20" t="s">
        <v>16</v>
      </c>
      <c r="F5973" s="20" t="str">
        <f>INDEX(nrg_cb_e!$A$3:$A$40,MATCH(LEFT(MID('Industriesektor GWh'!$B5973,41,1000),SEARCH(" - ",MID('Industriesektor GWh'!$B5973,41,1000))-1),nrg_cb_e!$C$3:$C$40,0))</f>
        <v>FC_IND_PPP_E</v>
      </c>
      <c r="G5973" s="21">
        <v>326</v>
      </c>
    </row>
    <row r="5974" spans="1:7" x14ac:dyDescent="0.2">
      <c r="A5974" s="16" t="s">
        <v>39</v>
      </c>
      <c r="B5974" s="17" t="s">
        <v>70</v>
      </c>
      <c r="C5974" s="17" t="s">
        <v>8</v>
      </c>
      <c r="D5974" s="17" t="s">
        <v>10</v>
      </c>
      <c r="E5974" s="17" t="s">
        <v>17</v>
      </c>
      <c r="F5974" s="17" t="str">
        <f>INDEX(nrg_cb_e!$A$3:$A$40,MATCH(LEFT(MID('Industriesektor GWh'!$B5974,41,1000),SEARCH(" - ",MID('Industriesektor GWh'!$B5974,41,1000))-1),nrg_cb_e!$C$3:$C$40,0))</f>
        <v>FC_IND_PPP_E</v>
      </c>
      <c r="G5974" s="18">
        <v>332</v>
      </c>
    </row>
    <row r="5975" spans="1:7" x14ac:dyDescent="0.2">
      <c r="A5975" s="19" t="s">
        <v>39</v>
      </c>
      <c r="B5975" s="20" t="s">
        <v>70</v>
      </c>
      <c r="C5975" s="20" t="s">
        <v>8</v>
      </c>
      <c r="D5975" s="20" t="s">
        <v>10</v>
      </c>
      <c r="E5975" s="20" t="s">
        <v>18</v>
      </c>
      <c r="F5975" s="20" t="str">
        <f>INDEX(nrg_cb_e!$A$3:$A$40,MATCH(LEFT(MID('Industriesektor GWh'!$B5975,41,1000),SEARCH(" - ",MID('Industriesektor GWh'!$B5975,41,1000))-1),nrg_cb_e!$C$3:$C$40,0))</f>
        <v>FC_IND_PPP_E</v>
      </c>
      <c r="G5975" s="21">
        <v>320</v>
      </c>
    </row>
    <row r="5976" spans="1:7" x14ac:dyDescent="0.2">
      <c r="A5976" s="16" t="s">
        <v>39</v>
      </c>
      <c r="B5976" s="17" t="s">
        <v>70</v>
      </c>
      <c r="C5976" s="17" t="s">
        <v>8</v>
      </c>
      <c r="D5976" s="17" t="s">
        <v>10</v>
      </c>
      <c r="E5976" s="17" t="s">
        <v>19</v>
      </c>
      <c r="F5976" s="17" t="str">
        <f>INDEX(nrg_cb_e!$A$3:$A$40,MATCH(LEFT(MID('Industriesektor GWh'!$B5976,41,1000),SEARCH(" - ",MID('Industriesektor GWh'!$B5976,41,1000))-1),nrg_cb_e!$C$3:$C$40,0))</f>
        <v>FC_IND_PPP_E</v>
      </c>
      <c r="G5976" s="18">
        <v>317</v>
      </c>
    </row>
    <row r="5977" spans="1:7" x14ac:dyDescent="0.2">
      <c r="A5977" s="19" t="s">
        <v>39</v>
      </c>
      <c r="B5977" s="20" t="s">
        <v>70</v>
      </c>
      <c r="C5977" s="20" t="s">
        <v>8</v>
      </c>
      <c r="D5977" s="20" t="s">
        <v>10</v>
      </c>
      <c r="E5977" s="20" t="s">
        <v>20</v>
      </c>
      <c r="F5977" s="20" t="str">
        <f>INDEX(nrg_cb_e!$A$3:$A$40,MATCH(LEFT(MID('Industriesektor GWh'!$B5977,41,1000),SEARCH(" - ",MID('Industriesektor GWh'!$B5977,41,1000))-1),nrg_cb_e!$C$3:$C$40,0))</f>
        <v>FC_IND_PPP_E</v>
      </c>
      <c r="G5977" s="21">
        <v>322</v>
      </c>
    </row>
    <row r="5978" spans="1:7" x14ac:dyDescent="0.2">
      <c r="A5978" s="16" t="s">
        <v>39</v>
      </c>
      <c r="B5978" s="17" t="s">
        <v>70</v>
      </c>
      <c r="C5978" s="17" t="s">
        <v>8</v>
      </c>
      <c r="D5978" s="17" t="s">
        <v>10</v>
      </c>
      <c r="E5978" s="17" t="s">
        <v>21</v>
      </c>
      <c r="F5978" s="17" t="str">
        <f>INDEX(nrg_cb_e!$A$3:$A$40,MATCH(LEFT(MID('Industriesektor GWh'!$B5978,41,1000),SEARCH(" - ",MID('Industriesektor GWh'!$B5978,41,1000))-1),nrg_cb_e!$C$3:$C$40,0))</f>
        <v>FC_IND_PPP_E</v>
      </c>
      <c r="G5978" s="18">
        <v>323</v>
      </c>
    </row>
    <row r="5979" spans="1:7" x14ac:dyDescent="0.2">
      <c r="A5979" s="19" t="s">
        <v>39</v>
      </c>
      <c r="B5979" s="20" t="s">
        <v>70</v>
      </c>
      <c r="C5979" s="20" t="s">
        <v>8</v>
      </c>
      <c r="D5979" s="20" t="s">
        <v>10</v>
      </c>
      <c r="E5979" s="20" t="s">
        <v>22</v>
      </c>
      <c r="F5979" s="20" t="str">
        <f>INDEX(nrg_cb_e!$A$3:$A$40,MATCH(LEFT(MID('Industriesektor GWh'!$B5979,41,1000),SEARCH(" - ",MID('Industriesektor GWh'!$B5979,41,1000))-1),nrg_cb_e!$C$3:$C$40,0))</f>
        <v>FC_IND_PPP_E</v>
      </c>
      <c r="G5979" s="21">
        <v>285</v>
      </c>
    </row>
    <row r="5980" spans="1:7" x14ac:dyDescent="0.2">
      <c r="A5980" s="16" t="s">
        <v>39</v>
      </c>
      <c r="B5980" s="17" t="s">
        <v>70</v>
      </c>
      <c r="C5980" s="17" t="s">
        <v>8</v>
      </c>
      <c r="D5980" s="17" t="s">
        <v>10</v>
      </c>
      <c r="E5980" s="17" t="s">
        <v>23</v>
      </c>
      <c r="F5980" s="17" t="str">
        <f>INDEX(nrg_cb_e!$A$3:$A$40,MATCH(LEFT(MID('Industriesektor GWh'!$B5980,41,1000),SEARCH(" - ",MID('Industriesektor GWh'!$B5980,41,1000))-1),nrg_cb_e!$C$3:$C$40,0))</f>
        <v>FC_IND_PPP_E</v>
      </c>
      <c r="G5980" s="18">
        <v>250</v>
      </c>
    </row>
    <row r="5981" spans="1:7" x14ac:dyDescent="0.2">
      <c r="A5981" s="19" t="s">
        <v>39</v>
      </c>
      <c r="B5981" s="20" t="s">
        <v>70</v>
      </c>
      <c r="C5981" s="20" t="s">
        <v>8</v>
      </c>
      <c r="D5981" s="20" t="s">
        <v>10</v>
      </c>
      <c r="E5981" s="20" t="s">
        <v>24</v>
      </c>
      <c r="F5981" s="20" t="str">
        <f>INDEX(nrg_cb_e!$A$3:$A$40,MATCH(LEFT(MID('Industriesektor GWh'!$B5981,41,1000),SEARCH(" - ",MID('Industriesektor GWh'!$B5981,41,1000))-1),nrg_cb_e!$C$3:$C$40,0))</f>
        <v>FC_IND_PPP_E</v>
      </c>
      <c r="G5981" s="21">
        <v>251</v>
      </c>
    </row>
    <row r="5982" spans="1:7" x14ac:dyDescent="0.2">
      <c r="A5982" s="16" t="s">
        <v>39</v>
      </c>
      <c r="B5982" s="17" t="s">
        <v>70</v>
      </c>
      <c r="C5982" s="17" t="s">
        <v>8</v>
      </c>
      <c r="D5982" s="17" t="s">
        <v>10</v>
      </c>
      <c r="E5982" s="17" t="s">
        <v>25</v>
      </c>
      <c r="F5982" s="17" t="str">
        <f>INDEX(nrg_cb_e!$A$3:$A$40,MATCH(LEFT(MID('Industriesektor GWh'!$B5982,41,1000),SEARCH(" - ",MID('Industriesektor GWh'!$B5982,41,1000))-1),nrg_cb_e!$C$3:$C$40,0))</f>
        <v>FC_IND_PPP_E</v>
      </c>
      <c r="G5982" s="18">
        <v>279</v>
      </c>
    </row>
    <row r="5983" spans="1:7" x14ac:dyDescent="0.2">
      <c r="A5983" s="19" t="s">
        <v>39</v>
      </c>
      <c r="B5983" s="20" t="s">
        <v>70</v>
      </c>
      <c r="C5983" s="20" t="s">
        <v>8</v>
      </c>
      <c r="D5983" s="20" t="s">
        <v>10</v>
      </c>
      <c r="E5983" s="20" t="s">
        <v>26</v>
      </c>
      <c r="F5983" s="20" t="str">
        <f>INDEX(nrg_cb_e!$A$3:$A$40,MATCH(LEFT(MID('Industriesektor GWh'!$B5983,41,1000),SEARCH(" - ",MID('Industriesektor GWh'!$B5983,41,1000))-1),nrg_cb_e!$C$3:$C$40,0))</f>
        <v>FC_IND_PPP_E</v>
      </c>
      <c r="G5983" s="21">
        <v>309</v>
      </c>
    </row>
    <row r="5984" spans="1:7" x14ac:dyDescent="0.2">
      <c r="A5984" s="16" t="s">
        <v>39</v>
      </c>
      <c r="B5984" s="17" t="s">
        <v>70</v>
      </c>
      <c r="C5984" s="17" t="s">
        <v>8</v>
      </c>
      <c r="D5984" s="17" t="s">
        <v>10</v>
      </c>
      <c r="E5984" s="17" t="s">
        <v>27</v>
      </c>
      <c r="F5984" s="17" t="str">
        <f>INDEX(nrg_cb_e!$A$3:$A$40,MATCH(LEFT(MID('Industriesektor GWh'!$B5984,41,1000),SEARCH(" - ",MID('Industriesektor GWh'!$B5984,41,1000))-1),nrg_cb_e!$C$3:$C$40,0))</f>
        <v>FC_IND_PPP_E</v>
      </c>
      <c r="G5984" s="18">
        <v>324.39999999999998</v>
      </c>
    </row>
    <row r="5985" spans="1:7" x14ac:dyDescent="0.2">
      <c r="A5985" s="19" t="s">
        <v>39</v>
      </c>
      <c r="B5985" s="20" t="s">
        <v>70</v>
      </c>
      <c r="C5985" s="20" t="s">
        <v>8</v>
      </c>
      <c r="D5985" s="20" t="s">
        <v>10</v>
      </c>
      <c r="E5985" s="20" t="s">
        <v>28</v>
      </c>
      <c r="F5985" s="20" t="str">
        <f>INDEX(nrg_cb_e!$A$3:$A$40,MATCH(LEFT(MID('Industriesektor GWh'!$B5985,41,1000),SEARCH(" - ",MID('Industriesektor GWh'!$B5985,41,1000))-1),nrg_cb_e!$C$3:$C$40,0))</f>
        <v>FC_IND_PPP_E</v>
      </c>
      <c r="G5985" s="21">
        <v>317.39999999999998</v>
      </c>
    </row>
    <row r="5986" spans="1:7" x14ac:dyDescent="0.2">
      <c r="A5986" s="16" t="s">
        <v>40</v>
      </c>
      <c r="B5986" s="17" t="s">
        <v>70</v>
      </c>
      <c r="C5986" s="17" t="s">
        <v>8</v>
      </c>
      <c r="D5986" s="17" t="s">
        <v>10</v>
      </c>
      <c r="E5986" s="17" t="s">
        <v>12</v>
      </c>
      <c r="F5986" s="17" t="str">
        <f>INDEX(nrg_cb_e!$A$3:$A$40,MATCH(LEFT(MID('Industriesektor GWh'!$B5986,41,1000),SEARCH(" - ",MID('Industriesektor GWh'!$B5986,41,1000))-1),nrg_cb_e!$C$3:$C$40,0))</f>
        <v>FC_IND_PPP_E</v>
      </c>
      <c r="G5986" s="18">
        <v>10480</v>
      </c>
    </row>
    <row r="5987" spans="1:7" x14ac:dyDescent="0.2">
      <c r="A5987" s="19" t="s">
        <v>40</v>
      </c>
      <c r="B5987" s="20" t="s">
        <v>70</v>
      </c>
      <c r="C5987" s="20" t="s">
        <v>8</v>
      </c>
      <c r="D5987" s="20" t="s">
        <v>10</v>
      </c>
      <c r="E5987" s="20" t="s">
        <v>13</v>
      </c>
      <c r="F5987" s="20" t="str">
        <f>INDEX(nrg_cb_e!$A$3:$A$40,MATCH(LEFT(MID('Industriesektor GWh'!$B5987,41,1000),SEARCH(" - ",MID('Industriesektor GWh'!$B5987,41,1000))-1),nrg_cb_e!$C$3:$C$40,0))</f>
        <v>FC_IND_PPP_E</v>
      </c>
      <c r="G5987" s="21">
        <v>10787</v>
      </c>
    </row>
    <row r="5988" spans="1:7" x14ac:dyDescent="0.2">
      <c r="A5988" s="16" t="s">
        <v>40</v>
      </c>
      <c r="B5988" s="17" t="s">
        <v>70</v>
      </c>
      <c r="C5988" s="17" t="s">
        <v>8</v>
      </c>
      <c r="D5988" s="17" t="s">
        <v>10</v>
      </c>
      <c r="E5988" s="17" t="s">
        <v>14</v>
      </c>
      <c r="F5988" s="17" t="str">
        <f>INDEX(nrg_cb_e!$A$3:$A$40,MATCH(LEFT(MID('Industriesektor GWh'!$B5988,41,1000),SEARCH(" - ",MID('Industriesektor GWh'!$B5988,41,1000))-1),nrg_cb_e!$C$3:$C$40,0))</f>
        <v>FC_IND_PPP_E</v>
      </c>
      <c r="G5988" s="18">
        <v>10807</v>
      </c>
    </row>
    <row r="5989" spans="1:7" x14ac:dyDescent="0.2">
      <c r="A5989" s="19" t="s">
        <v>40</v>
      </c>
      <c r="B5989" s="20" t="s">
        <v>70</v>
      </c>
      <c r="C5989" s="20" t="s">
        <v>8</v>
      </c>
      <c r="D5989" s="20" t="s">
        <v>10</v>
      </c>
      <c r="E5989" s="20" t="s">
        <v>15</v>
      </c>
      <c r="F5989" s="20" t="str">
        <f>INDEX(nrg_cb_e!$A$3:$A$40,MATCH(LEFT(MID('Industriesektor GWh'!$B5989,41,1000),SEARCH(" - ",MID('Industriesektor GWh'!$B5989,41,1000))-1),nrg_cb_e!$C$3:$C$40,0))</f>
        <v>FC_IND_PPP_E</v>
      </c>
      <c r="G5989" s="21">
        <v>10939</v>
      </c>
    </row>
    <row r="5990" spans="1:7" x14ac:dyDescent="0.2">
      <c r="A5990" s="16" t="s">
        <v>40</v>
      </c>
      <c r="B5990" s="17" t="s">
        <v>70</v>
      </c>
      <c r="C5990" s="17" t="s">
        <v>8</v>
      </c>
      <c r="D5990" s="17" t="s">
        <v>10</v>
      </c>
      <c r="E5990" s="17" t="s">
        <v>16</v>
      </c>
      <c r="F5990" s="17" t="str">
        <f>INDEX(nrg_cb_e!$A$3:$A$40,MATCH(LEFT(MID('Industriesektor GWh'!$B5990,41,1000),SEARCH(" - ",MID('Industriesektor GWh'!$B5990,41,1000))-1),nrg_cb_e!$C$3:$C$40,0))</f>
        <v>FC_IND_PPP_E</v>
      </c>
      <c r="G5990" s="18">
        <v>10879</v>
      </c>
    </row>
    <row r="5991" spans="1:7" x14ac:dyDescent="0.2">
      <c r="A5991" s="19" t="s">
        <v>40</v>
      </c>
      <c r="B5991" s="20" t="s">
        <v>70</v>
      </c>
      <c r="C5991" s="20" t="s">
        <v>8</v>
      </c>
      <c r="D5991" s="20" t="s">
        <v>10</v>
      </c>
      <c r="E5991" s="20" t="s">
        <v>17</v>
      </c>
      <c r="F5991" s="20" t="str">
        <f>INDEX(nrg_cb_e!$A$3:$A$40,MATCH(LEFT(MID('Industriesektor GWh'!$B5991,41,1000),SEARCH(" - ",MID('Industriesektor GWh'!$B5991,41,1000))-1),nrg_cb_e!$C$3:$C$40,0))</f>
        <v>FC_IND_PPP_E</v>
      </c>
      <c r="G5991" s="21">
        <v>10649</v>
      </c>
    </row>
    <row r="5992" spans="1:7" x14ac:dyDescent="0.2">
      <c r="A5992" s="16" t="s">
        <v>40</v>
      </c>
      <c r="B5992" s="17" t="s">
        <v>70</v>
      </c>
      <c r="C5992" s="17" t="s">
        <v>8</v>
      </c>
      <c r="D5992" s="17" t="s">
        <v>10</v>
      </c>
      <c r="E5992" s="17" t="s">
        <v>18</v>
      </c>
      <c r="F5992" s="17" t="str">
        <f>INDEX(nrg_cb_e!$A$3:$A$40,MATCH(LEFT(MID('Industriesektor GWh'!$B5992,41,1000),SEARCH(" - ",MID('Industriesektor GWh'!$B5992,41,1000))-1),nrg_cb_e!$C$3:$C$40,0))</f>
        <v>FC_IND_PPP_E</v>
      </c>
      <c r="G5992" s="18">
        <v>10279</v>
      </c>
    </row>
    <row r="5993" spans="1:7" x14ac:dyDescent="0.2">
      <c r="A5993" s="19" t="s">
        <v>40</v>
      </c>
      <c r="B5993" s="20" t="s">
        <v>70</v>
      </c>
      <c r="C5993" s="20" t="s">
        <v>8</v>
      </c>
      <c r="D5993" s="20" t="s">
        <v>10</v>
      </c>
      <c r="E5993" s="20" t="s">
        <v>19</v>
      </c>
      <c r="F5993" s="20" t="str">
        <f>INDEX(nrg_cb_e!$A$3:$A$40,MATCH(LEFT(MID('Industriesektor GWh'!$B5993,41,1000),SEARCH(" - ",MID('Industriesektor GWh'!$B5993,41,1000))-1),nrg_cb_e!$C$3:$C$40,0))</f>
        <v>FC_IND_PPP_E</v>
      </c>
      <c r="G5993" s="21">
        <v>9376</v>
      </c>
    </row>
    <row r="5994" spans="1:7" x14ac:dyDescent="0.2">
      <c r="A5994" s="16" t="s">
        <v>40</v>
      </c>
      <c r="B5994" s="17" t="s">
        <v>70</v>
      </c>
      <c r="C5994" s="17" t="s">
        <v>8</v>
      </c>
      <c r="D5994" s="17" t="s">
        <v>10</v>
      </c>
      <c r="E5994" s="17" t="s">
        <v>20</v>
      </c>
      <c r="F5994" s="17" t="str">
        <f>INDEX(nrg_cb_e!$A$3:$A$40,MATCH(LEFT(MID('Industriesektor GWh'!$B5994,41,1000),SEARCH(" - ",MID('Industriesektor GWh'!$B5994,41,1000))-1),nrg_cb_e!$C$3:$C$40,0))</f>
        <v>FC_IND_PPP_E</v>
      </c>
      <c r="G5994" s="18">
        <v>9760</v>
      </c>
    </row>
    <row r="5995" spans="1:7" x14ac:dyDescent="0.2">
      <c r="A5995" s="19" t="s">
        <v>40</v>
      </c>
      <c r="B5995" s="20" t="s">
        <v>70</v>
      </c>
      <c r="C5995" s="20" t="s">
        <v>8</v>
      </c>
      <c r="D5995" s="20" t="s">
        <v>10</v>
      </c>
      <c r="E5995" s="20" t="s">
        <v>21</v>
      </c>
      <c r="F5995" s="20" t="str">
        <f>INDEX(nrg_cb_e!$A$3:$A$40,MATCH(LEFT(MID('Industriesektor GWh'!$B5995,41,1000),SEARCH(" - ",MID('Industriesektor GWh'!$B5995,41,1000))-1),nrg_cb_e!$C$3:$C$40,0))</f>
        <v>FC_IND_PPP_E</v>
      </c>
      <c r="G5995" s="21">
        <v>9597</v>
      </c>
    </row>
    <row r="5996" spans="1:7" x14ac:dyDescent="0.2">
      <c r="A5996" s="16" t="s">
        <v>40</v>
      </c>
      <c r="B5996" s="17" t="s">
        <v>70</v>
      </c>
      <c r="C5996" s="17" t="s">
        <v>8</v>
      </c>
      <c r="D5996" s="17" t="s">
        <v>10</v>
      </c>
      <c r="E5996" s="17" t="s">
        <v>22</v>
      </c>
      <c r="F5996" s="17" t="str">
        <f>INDEX(nrg_cb_e!$A$3:$A$40,MATCH(LEFT(MID('Industriesektor GWh'!$B5996,41,1000),SEARCH(" - ",MID('Industriesektor GWh'!$B5996,41,1000))-1),nrg_cb_e!$C$3:$C$40,0))</f>
        <v>FC_IND_PPP_E</v>
      </c>
      <c r="G5996" s="18">
        <v>9104</v>
      </c>
    </row>
    <row r="5997" spans="1:7" x14ac:dyDescent="0.2">
      <c r="A5997" s="19" t="s">
        <v>40</v>
      </c>
      <c r="B5997" s="20" t="s">
        <v>70</v>
      </c>
      <c r="C5997" s="20" t="s">
        <v>8</v>
      </c>
      <c r="D5997" s="20" t="s">
        <v>10</v>
      </c>
      <c r="E5997" s="20" t="s">
        <v>23</v>
      </c>
      <c r="F5997" s="20" t="str">
        <f>INDEX(nrg_cb_e!$A$3:$A$40,MATCH(LEFT(MID('Industriesektor GWh'!$B5997,41,1000),SEARCH(" - ",MID('Industriesektor GWh'!$B5997,41,1000))-1),nrg_cb_e!$C$3:$C$40,0))</f>
        <v>FC_IND_PPP_E</v>
      </c>
      <c r="G5997" s="21">
        <v>9079</v>
      </c>
    </row>
    <row r="5998" spans="1:7" x14ac:dyDescent="0.2">
      <c r="A5998" s="16" t="s">
        <v>40</v>
      </c>
      <c r="B5998" s="17" t="s">
        <v>70</v>
      </c>
      <c r="C5998" s="17" t="s">
        <v>8</v>
      </c>
      <c r="D5998" s="17" t="s">
        <v>10</v>
      </c>
      <c r="E5998" s="17" t="s">
        <v>24</v>
      </c>
      <c r="F5998" s="17" t="str">
        <f>INDEX(nrg_cb_e!$A$3:$A$40,MATCH(LEFT(MID('Industriesektor GWh'!$B5998,41,1000),SEARCH(" - ",MID('Industriesektor GWh'!$B5998,41,1000))-1),nrg_cb_e!$C$3:$C$40,0))</f>
        <v>FC_IND_PPP_E</v>
      </c>
      <c r="G5998" s="18">
        <v>8672</v>
      </c>
    </row>
    <row r="5999" spans="1:7" x14ac:dyDescent="0.2">
      <c r="A5999" s="19" t="s">
        <v>40</v>
      </c>
      <c r="B5999" s="20" t="s">
        <v>70</v>
      </c>
      <c r="C5999" s="20" t="s">
        <v>8</v>
      </c>
      <c r="D5999" s="20" t="s">
        <v>10</v>
      </c>
      <c r="E5999" s="20" t="s">
        <v>25</v>
      </c>
      <c r="F5999" s="20" t="str">
        <f>INDEX(nrg_cb_e!$A$3:$A$40,MATCH(LEFT(MID('Industriesektor GWh'!$B5999,41,1000),SEARCH(" - ",MID('Industriesektor GWh'!$B5999,41,1000))-1),nrg_cb_e!$C$3:$C$40,0))</f>
        <v>FC_IND_PPP_E</v>
      </c>
      <c r="G5999" s="21">
        <v>8736</v>
      </c>
    </row>
    <row r="6000" spans="1:7" x14ac:dyDescent="0.2">
      <c r="A6000" s="16" t="s">
        <v>40</v>
      </c>
      <c r="B6000" s="17" t="s">
        <v>70</v>
      </c>
      <c r="C6000" s="17" t="s">
        <v>8</v>
      </c>
      <c r="D6000" s="17" t="s">
        <v>10</v>
      </c>
      <c r="E6000" s="17" t="s">
        <v>26</v>
      </c>
      <c r="F6000" s="17" t="str">
        <f>INDEX(nrg_cb_e!$A$3:$A$40,MATCH(LEFT(MID('Industriesektor GWh'!$B6000,41,1000),SEARCH(" - ",MID('Industriesektor GWh'!$B6000,41,1000))-1),nrg_cb_e!$C$3:$C$40,0))</f>
        <v>FC_IND_PPP_E</v>
      </c>
      <c r="G6000" s="18">
        <v>8647</v>
      </c>
    </row>
    <row r="6001" spans="1:7" x14ac:dyDescent="0.2">
      <c r="A6001" s="19" t="s">
        <v>40</v>
      </c>
      <c r="B6001" s="20" t="s">
        <v>70</v>
      </c>
      <c r="C6001" s="20" t="s">
        <v>8</v>
      </c>
      <c r="D6001" s="20" t="s">
        <v>10</v>
      </c>
      <c r="E6001" s="20" t="s">
        <v>27</v>
      </c>
      <c r="F6001" s="20" t="str">
        <f>INDEX(nrg_cb_e!$A$3:$A$40,MATCH(LEFT(MID('Industriesektor GWh'!$B6001,41,1000),SEARCH(" - ",MID('Industriesektor GWh'!$B6001,41,1000))-1),nrg_cb_e!$C$3:$C$40,0))</f>
        <v>FC_IND_PPP_E</v>
      </c>
      <c r="G6001" s="21">
        <v>8603.7549999999992</v>
      </c>
    </row>
    <row r="6002" spans="1:7" x14ac:dyDescent="0.2">
      <c r="A6002" s="16" t="s">
        <v>40</v>
      </c>
      <c r="B6002" s="17" t="s">
        <v>70</v>
      </c>
      <c r="C6002" s="17" t="s">
        <v>8</v>
      </c>
      <c r="D6002" s="17" t="s">
        <v>10</v>
      </c>
      <c r="E6002" s="17" t="s">
        <v>28</v>
      </c>
      <c r="F6002" s="17" t="str">
        <f>INDEX(nrg_cb_e!$A$3:$A$40,MATCH(LEFT(MID('Industriesektor GWh'!$B6002,41,1000),SEARCH(" - ",MID('Industriesektor GWh'!$B6002,41,1000))-1),nrg_cb_e!$C$3:$C$40,0))</f>
        <v>FC_IND_PPP_E</v>
      </c>
      <c r="G6002" s="18">
        <v>8480.6059999999998</v>
      </c>
    </row>
    <row r="6003" spans="1:7" x14ac:dyDescent="0.2">
      <c r="A6003" s="19" t="s">
        <v>41</v>
      </c>
      <c r="B6003" s="20" t="s">
        <v>70</v>
      </c>
      <c r="C6003" s="20" t="s">
        <v>8</v>
      </c>
      <c r="D6003" s="20" t="s">
        <v>10</v>
      </c>
      <c r="E6003" s="20" t="s">
        <v>12</v>
      </c>
      <c r="F6003" s="20" t="str">
        <f>INDEX(nrg_cb_e!$A$3:$A$40,MATCH(LEFT(MID('Industriesektor GWh'!$B6003,41,1000),SEARCH(" - ",MID('Industriesektor GWh'!$B6003,41,1000))-1),nrg_cb_e!$C$3:$C$40,0))</f>
        <v>FC_IND_PPP_E</v>
      </c>
      <c r="G6003" s="21">
        <v>16</v>
      </c>
    </row>
    <row r="6004" spans="1:7" x14ac:dyDescent="0.2">
      <c r="A6004" s="16" t="s">
        <v>41</v>
      </c>
      <c r="B6004" s="17" t="s">
        <v>70</v>
      </c>
      <c r="C6004" s="17" t="s">
        <v>8</v>
      </c>
      <c r="D6004" s="17" t="s">
        <v>10</v>
      </c>
      <c r="E6004" s="17" t="s">
        <v>13</v>
      </c>
      <c r="F6004" s="17" t="str">
        <f>INDEX(nrg_cb_e!$A$3:$A$40,MATCH(LEFT(MID('Industriesektor GWh'!$B6004,41,1000),SEARCH(" - ",MID('Industriesektor GWh'!$B6004,41,1000))-1),nrg_cb_e!$C$3:$C$40,0))</f>
        <v>FC_IND_PPP_E</v>
      </c>
      <c r="G6004" s="18">
        <v>17</v>
      </c>
    </row>
    <row r="6005" spans="1:7" x14ac:dyDescent="0.2">
      <c r="A6005" s="19" t="s">
        <v>41</v>
      </c>
      <c r="B6005" s="20" t="s">
        <v>70</v>
      </c>
      <c r="C6005" s="20" t="s">
        <v>8</v>
      </c>
      <c r="D6005" s="20" t="s">
        <v>10</v>
      </c>
      <c r="E6005" s="20" t="s">
        <v>14</v>
      </c>
      <c r="F6005" s="20" t="str">
        <f>INDEX(nrg_cb_e!$A$3:$A$40,MATCH(LEFT(MID('Industriesektor GWh'!$B6005,41,1000),SEARCH(" - ",MID('Industriesektor GWh'!$B6005,41,1000))-1),nrg_cb_e!$C$3:$C$40,0))</f>
        <v>FC_IND_PPP_E</v>
      </c>
      <c r="G6005" s="21">
        <v>18</v>
      </c>
    </row>
    <row r="6006" spans="1:7" x14ac:dyDescent="0.2">
      <c r="A6006" s="16" t="s">
        <v>41</v>
      </c>
      <c r="B6006" s="17" t="s">
        <v>70</v>
      </c>
      <c r="C6006" s="17" t="s">
        <v>8</v>
      </c>
      <c r="D6006" s="17" t="s">
        <v>10</v>
      </c>
      <c r="E6006" s="17" t="s">
        <v>15</v>
      </c>
      <c r="F6006" s="17" t="str">
        <f>INDEX(nrg_cb_e!$A$3:$A$40,MATCH(LEFT(MID('Industriesektor GWh'!$B6006,41,1000),SEARCH(" - ",MID('Industriesektor GWh'!$B6006,41,1000))-1),nrg_cb_e!$C$3:$C$40,0))</f>
        <v>FC_IND_PPP_E</v>
      </c>
      <c r="G6006" s="18">
        <v>18</v>
      </c>
    </row>
    <row r="6007" spans="1:7" x14ac:dyDescent="0.2">
      <c r="A6007" s="19" t="s">
        <v>41</v>
      </c>
      <c r="B6007" s="20" t="s">
        <v>70</v>
      </c>
      <c r="C6007" s="20" t="s">
        <v>8</v>
      </c>
      <c r="D6007" s="20" t="s">
        <v>10</v>
      </c>
      <c r="E6007" s="20" t="s">
        <v>16</v>
      </c>
      <c r="F6007" s="20" t="str">
        <f>INDEX(nrg_cb_e!$A$3:$A$40,MATCH(LEFT(MID('Industriesektor GWh'!$B6007,41,1000),SEARCH(" - ",MID('Industriesektor GWh'!$B6007,41,1000))-1),nrg_cb_e!$C$3:$C$40,0))</f>
        <v>FC_IND_PPP_E</v>
      </c>
      <c r="G6007" s="21">
        <v>20</v>
      </c>
    </row>
    <row r="6008" spans="1:7" x14ac:dyDescent="0.2">
      <c r="A6008" s="16" t="s">
        <v>41</v>
      </c>
      <c r="B6008" s="17" t="s">
        <v>70</v>
      </c>
      <c r="C6008" s="17" t="s">
        <v>8</v>
      </c>
      <c r="D6008" s="17" t="s">
        <v>10</v>
      </c>
      <c r="E6008" s="17" t="s">
        <v>17</v>
      </c>
      <c r="F6008" s="17" t="str">
        <f>INDEX(nrg_cb_e!$A$3:$A$40,MATCH(LEFT(MID('Industriesektor GWh'!$B6008,41,1000),SEARCH(" - ",MID('Industriesektor GWh'!$B6008,41,1000))-1),nrg_cb_e!$C$3:$C$40,0))</f>
        <v>FC_IND_PPP_E</v>
      </c>
      <c r="G6008" s="18">
        <v>20</v>
      </c>
    </row>
    <row r="6009" spans="1:7" x14ac:dyDescent="0.2">
      <c r="A6009" s="19" t="s">
        <v>41</v>
      </c>
      <c r="B6009" s="20" t="s">
        <v>70</v>
      </c>
      <c r="C6009" s="20" t="s">
        <v>8</v>
      </c>
      <c r="D6009" s="20" t="s">
        <v>10</v>
      </c>
      <c r="E6009" s="20" t="s">
        <v>18</v>
      </c>
      <c r="F6009" s="20" t="str">
        <f>INDEX(nrg_cb_e!$A$3:$A$40,MATCH(LEFT(MID('Industriesektor GWh'!$B6009,41,1000),SEARCH(" - ",MID('Industriesektor GWh'!$B6009,41,1000))-1),nrg_cb_e!$C$3:$C$40,0))</f>
        <v>FC_IND_PPP_E</v>
      </c>
      <c r="G6009" s="21">
        <v>22</v>
      </c>
    </row>
    <row r="6010" spans="1:7" x14ac:dyDescent="0.2">
      <c r="A6010" s="16" t="s">
        <v>41</v>
      </c>
      <c r="B6010" s="17" t="s">
        <v>70</v>
      </c>
      <c r="C6010" s="17" t="s">
        <v>8</v>
      </c>
      <c r="D6010" s="17" t="s">
        <v>10</v>
      </c>
      <c r="E6010" s="17" t="s">
        <v>19</v>
      </c>
      <c r="F6010" s="17" t="str">
        <f>INDEX(nrg_cb_e!$A$3:$A$40,MATCH(LEFT(MID('Industriesektor GWh'!$B6010,41,1000),SEARCH(" - ",MID('Industriesektor GWh'!$B6010,41,1000))-1),nrg_cb_e!$C$3:$C$40,0))</f>
        <v>FC_IND_PPP_E</v>
      </c>
      <c r="G6010" s="18">
        <v>22</v>
      </c>
    </row>
    <row r="6011" spans="1:7" x14ac:dyDescent="0.2">
      <c r="A6011" s="19" t="s">
        <v>41</v>
      </c>
      <c r="B6011" s="20" t="s">
        <v>70</v>
      </c>
      <c r="C6011" s="20" t="s">
        <v>8</v>
      </c>
      <c r="D6011" s="20" t="s">
        <v>10</v>
      </c>
      <c r="E6011" s="20" t="s">
        <v>20</v>
      </c>
      <c r="F6011" s="20" t="str">
        <f>INDEX(nrg_cb_e!$A$3:$A$40,MATCH(LEFT(MID('Industriesektor GWh'!$B6011,41,1000),SEARCH(" - ",MID('Industriesektor GWh'!$B6011,41,1000))-1),nrg_cb_e!$C$3:$C$40,0))</f>
        <v>FC_IND_PPP_E</v>
      </c>
      <c r="G6011" s="21">
        <v>21</v>
      </c>
    </row>
    <row r="6012" spans="1:7" x14ac:dyDescent="0.2">
      <c r="A6012" s="16" t="s">
        <v>41</v>
      </c>
      <c r="B6012" s="17" t="s">
        <v>70</v>
      </c>
      <c r="C6012" s="17" t="s">
        <v>8</v>
      </c>
      <c r="D6012" s="17" t="s">
        <v>10</v>
      </c>
      <c r="E6012" s="17" t="s">
        <v>21</v>
      </c>
      <c r="F6012" s="17" t="str">
        <f>INDEX(nrg_cb_e!$A$3:$A$40,MATCH(LEFT(MID('Industriesektor GWh'!$B6012,41,1000),SEARCH(" - ",MID('Industriesektor GWh'!$B6012,41,1000))-1),nrg_cb_e!$C$3:$C$40,0))</f>
        <v>FC_IND_PPP_E</v>
      </c>
      <c r="G6012" s="18">
        <v>19</v>
      </c>
    </row>
    <row r="6013" spans="1:7" x14ac:dyDescent="0.2">
      <c r="A6013" s="19" t="s">
        <v>41</v>
      </c>
      <c r="B6013" s="20" t="s">
        <v>70</v>
      </c>
      <c r="C6013" s="20" t="s">
        <v>8</v>
      </c>
      <c r="D6013" s="20" t="s">
        <v>10</v>
      </c>
      <c r="E6013" s="20" t="s">
        <v>22</v>
      </c>
      <c r="F6013" s="20" t="str">
        <f>INDEX(nrg_cb_e!$A$3:$A$40,MATCH(LEFT(MID('Industriesektor GWh'!$B6013,41,1000),SEARCH(" - ",MID('Industriesektor GWh'!$B6013,41,1000))-1),nrg_cb_e!$C$3:$C$40,0))</f>
        <v>FC_IND_PPP_E</v>
      </c>
      <c r="G6013" s="21">
        <v>20</v>
      </c>
    </row>
    <row r="6014" spans="1:7" x14ac:dyDescent="0.2">
      <c r="A6014" s="16" t="s">
        <v>41</v>
      </c>
      <c r="B6014" s="17" t="s">
        <v>70</v>
      </c>
      <c r="C6014" s="17" t="s">
        <v>8</v>
      </c>
      <c r="D6014" s="17" t="s">
        <v>10</v>
      </c>
      <c r="E6014" s="17" t="s">
        <v>23</v>
      </c>
      <c r="F6014" s="17" t="str">
        <f>INDEX(nrg_cb_e!$A$3:$A$40,MATCH(LEFT(MID('Industriesektor GWh'!$B6014,41,1000),SEARCH(" - ",MID('Industriesektor GWh'!$B6014,41,1000))-1),nrg_cb_e!$C$3:$C$40,0))</f>
        <v>FC_IND_PPP_E</v>
      </c>
      <c r="G6014" s="18">
        <v>16</v>
      </c>
    </row>
    <row r="6015" spans="1:7" x14ac:dyDescent="0.2">
      <c r="A6015" s="19" t="s">
        <v>41</v>
      </c>
      <c r="B6015" s="20" t="s">
        <v>70</v>
      </c>
      <c r="C6015" s="20" t="s">
        <v>8</v>
      </c>
      <c r="D6015" s="20" t="s">
        <v>10</v>
      </c>
      <c r="E6015" s="20" t="s">
        <v>24</v>
      </c>
      <c r="F6015" s="20" t="str">
        <f>INDEX(nrg_cb_e!$A$3:$A$40,MATCH(LEFT(MID('Industriesektor GWh'!$B6015,41,1000),SEARCH(" - ",MID('Industriesektor GWh'!$B6015,41,1000))-1),nrg_cb_e!$C$3:$C$40,0))</f>
        <v>FC_IND_PPP_E</v>
      </c>
      <c r="G6015" s="21">
        <v>16</v>
      </c>
    </row>
    <row r="6016" spans="1:7" x14ac:dyDescent="0.2">
      <c r="A6016" s="16" t="s">
        <v>41</v>
      </c>
      <c r="B6016" s="17" t="s">
        <v>70</v>
      </c>
      <c r="C6016" s="17" t="s">
        <v>8</v>
      </c>
      <c r="D6016" s="17" t="s">
        <v>10</v>
      </c>
      <c r="E6016" s="17" t="s">
        <v>25</v>
      </c>
      <c r="F6016" s="17" t="str">
        <f>INDEX(nrg_cb_e!$A$3:$A$40,MATCH(LEFT(MID('Industriesektor GWh'!$B6016,41,1000),SEARCH(" - ",MID('Industriesektor GWh'!$B6016,41,1000))-1),nrg_cb_e!$C$3:$C$40,0))</f>
        <v>FC_IND_PPP_E</v>
      </c>
      <c r="G6016" s="18">
        <v>16</v>
      </c>
    </row>
    <row r="6017" spans="1:7" x14ac:dyDescent="0.2">
      <c r="A6017" s="19" t="s">
        <v>41</v>
      </c>
      <c r="B6017" s="20" t="s">
        <v>70</v>
      </c>
      <c r="C6017" s="20" t="s">
        <v>8</v>
      </c>
      <c r="D6017" s="20" t="s">
        <v>10</v>
      </c>
      <c r="E6017" s="20" t="s">
        <v>26</v>
      </c>
      <c r="F6017" s="20" t="str">
        <f>INDEX(nrg_cb_e!$A$3:$A$40,MATCH(LEFT(MID('Industriesektor GWh'!$B6017,41,1000),SEARCH(" - ",MID('Industriesektor GWh'!$B6017,41,1000))-1),nrg_cb_e!$C$3:$C$40,0))</f>
        <v>FC_IND_PPP_E</v>
      </c>
      <c r="G6017" s="21">
        <v>16</v>
      </c>
    </row>
    <row r="6018" spans="1:7" x14ac:dyDescent="0.2">
      <c r="A6018" s="16" t="s">
        <v>41</v>
      </c>
      <c r="B6018" s="17" t="s">
        <v>70</v>
      </c>
      <c r="C6018" s="17" t="s">
        <v>8</v>
      </c>
      <c r="D6018" s="17" t="s">
        <v>10</v>
      </c>
      <c r="E6018" s="17" t="s">
        <v>27</v>
      </c>
      <c r="F6018" s="17" t="str">
        <f>INDEX(nrg_cb_e!$A$3:$A$40,MATCH(LEFT(MID('Industriesektor GWh'!$B6018,41,1000),SEARCH(" - ",MID('Industriesektor GWh'!$B6018,41,1000))-1),nrg_cb_e!$C$3:$C$40,0))</f>
        <v>FC_IND_PPP_E</v>
      </c>
      <c r="G6018" s="18">
        <v>16.318999999999999</v>
      </c>
    </row>
    <row r="6019" spans="1:7" x14ac:dyDescent="0.2">
      <c r="A6019" s="19" t="s">
        <v>41</v>
      </c>
      <c r="B6019" s="20" t="s">
        <v>70</v>
      </c>
      <c r="C6019" s="20" t="s">
        <v>8</v>
      </c>
      <c r="D6019" s="20" t="s">
        <v>10</v>
      </c>
      <c r="E6019" s="20" t="s">
        <v>28</v>
      </c>
      <c r="F6019" s="20" t="str">
        <f>INDEX(nrg_cb_e!$A$3:$A$40,MATCH(LEFT(MID('Industriesektor GWh'!$B6019,41,1000),SEARCH(" - ",MID('Industriesektor GWh'!$B6019,41,1000))-1),nrg_cb_e!$C$3:$C$40,0))</f>
        <v>FC_IND_PPP_E</v>
      </c>
      <c r="G6019" s="21">
        <v>16.065000000000001</v>
      </c>
    </row>
    <row r="6020" spans="1:7" x14ac:dyDescent="0.2">
      <c r="A6020" s="16" t="s">
        <v>42</v>
      </c>
      <c r="B6020" s="17" t="s">
        <v>70</v>
      </c>
      <c r="C6020" s="17" t="s">
        <v>8</v>
      </c>
      <c r="D6020" s="17" t="s">
        <v>10</v>
      </c>
      <c r="E6020" s="17" t="s">
        <v>12</v>
      </c>
      <c r="F6020" s="17" t="str">
        <f>INDEX(nrg_cb_e!$A$3:$A$40,MATCH(LEFT(MID('Industriesektor GWh'!$B6020,41,1000),SEARCH(" - ",MID('Industriesektor GWh'!$B6020,41,1000))-1),nrg_cb_e!$C$3:$C$40,0))</f>
        <v>FC_IND_PPP_E</v>
      </c>
      <c r="G6020" s="18">
        <v>36</v>
      </c>
    </row>
    <row r="6021" spans="1:7" x14ac:dyDescent="0.2">
      <c r="A6021" s="19" t="s">
        <v>42</v>
      </c>
      <c r="B6021" s="20" t="s">
        <v>70</v>
      </c>
      <c r="C6021" s="20" t="s">
        <v>8</v>
      </c>
      <c r="D6021" s="20" t="s">
        <v>10</v>
      </c>
      <c r="E6021" s="20" t="s">
        <v>13</v>
      </c>
      <c r="F6021" s="20" t="str">
        <f>INDEX(nrg_cb_e!$A$3:$A$40,MATCH(LEFT(MID('Industriesektor GWh'!$B6021,41,1000),SEARCH(" - ",MID('Industriesektor GWh'!$B6021,41,1000))-1),nrg_cb_e!$C$3:$C$40,0))</f>
        <v>FC_IND_PPP_E</v>
      </c>
      <c r="G6021" s="21">
        <v>39</v>
      </c>
    </row>
    <row r="6022" spans="1:7" x14ac:dyDescent="0.2">
      <c r="A6022" s="16" t="s">
        <v>42</v>
      </c>
      <c r="B6022" s="17" t="s">
        <v>70</v>
      </c>
      <c r="C6022" s="17" t="s">
        <v>8</v>
      </c>
      <c r="D6022" s="17" t="s">
        <v>10</v>
      </c>
      <c r="E6022" s="17" t="s">
        <v>14</v>
      </c>
      <c r="F6022" s="17" t="str">
        <f>INDEX(nrg_cb_e!$A$3:$A$40,MATCH(LEFT(MID('Industriesektor GWh'!$B6022,41,1000),SEARCH(" - ",MID('Industriesektor GWh'!$B6022,41,1000))-1),nrg_cb_e!$C$3:$C$40,0))</f>
        <v>FC_IND_PPP_E</v>
      </c>
      <c r="G6022" s="18">
        <v>42</v>
      </c>
    </row>
    <row r="6023" spans="1:7" x14ac:dyDescent="0.2">
      <c r="A6023" s="19" t="s">
        <v>42</v>
      </c>
      <c r="B6023" s="20" t="s">
        <v>70</v>
      </c>
      <c r="C6023" s="20" t="s">
        <v>8</v>
      </c>
      <c r="D6023" s="20" t="s">
        <v>10</v>
      </c>
      <c r="E6023" s="20" t="s">
        <v>15</v>
      </c>
      <c r="F6023" s="20" t="str">
        <f>INDEX(nrg_cb_e!$A$3:$A$40,MATCH(LEFT(MID('Industriesektor GWh'!$B6023,41,1000),SEARCH(" - ",MID('Industriesektor GWh'!$B6023,41,1000))-1),nrg_cb_e!$C$3:$C$40,0))</f>
        <v>FC_IND_PPP_E</v>
      </c>
      <c r="G6023" s="21">
        <v>43</v>
      </c>
    </row>
    <row r="6024" spans="1:7" x14ac:dyDescent="0.2">
      <c r="A6024" s="16" t="s">
        <v>42</v>
      </c>
      <c r="B6024" s="17" t="s">
        <v>70</v>
      </c>
      <c r="C6024" s="17" t="s">
        <v>8</v>
      </c>
      <c r="D6024" s="17" t="s">
        <v>10</v>
      </c>
      <c r="E6024" s="17" t="s">
        <v>16</v>
      </c>
      <c r="F6024" s="17" t="str">
        <f>INDEX(nrg_cb_e!$A$3:$A$40,MATCH(LEFT(MID('Industriesektor GWh'!$B6024,41,1000),SEARCH(" - ",MID('Industriesektor GWh'!$B6024,41,1000))-1),nrg_cb_e!$C$3:$C$40,0))</f>
        <v>FC_IND_PPP_E</v>
      </c>
      <c r="G6024" s="18">
        <v>38</v>
      </c>
    </row>
    <row r="6025" spans="1:7" x14ac:dyDescent="0.2">
      <c r="A6025" s="19" t="s">
        <v>42</v>
      </c>
      <c r="B6025" s="20" t="s">
        <v>70</v>
      </c>
      <c r="C6025" s="20" t="s">
        <v>8</v>
      </c>
      <c r="D6025" s="20" t="s">
        <v>10</v>
      </c>
      <c r="E6025" s="20" t="s">
        <v>17</v>
      </c>
      <c r="F6025" s="20" t="str">
        <f>INDEX(nrg_cb_e!$A$3:$A$40,MATCH(LEFT(MID('Industriesektor GWh'!$B6025,41,1000),SEARCH(" - ",MID('Industriesektor GWh'!$B6025,41,1000))-1),nrg_cb_e!$C$3:$C$40,0))</f>
        <v>FC_IND_PPP_E</v>
      </c>
      <c r="G6025" s="21">
        <v>42</v>
      </c>
    </row>
    <row r="6026" spans="1:7" x14ac:dyDescent="0.2">
      <c r="A6026" s="16" t="s">
        <v>42</v>
      </c>
      <c r="B6026" s="17" t="s">
        <v>70</v>
      </c>
      <c r="C6026" s="17" t="s">
        <v>8</v>
      </c>
      <c r="D6026" s="17" t="s">
        <v>10</v>
      </c>
      <c r="E6026" s="17" t="s">
        <v>18</v>
      </c>
      <c r="F6026" s="17" t="str">
        <f>INDEX(nrg_cb_e!$A$3:$A$40,MATCH(LEFT(MID('Industriesektor GWh'!$B6026,41,1000),SEARCH(" - ",MID('Industriesektor GWh'!$B6026,41,1000))-1),nrg_cb_e!$C$3:$C$40,0))</f>
        <v>FC_IND_PPP_E</v>
      </c>
      <c r="G6026" s="18">
        <v>41</v>
      </c>
    </row>
    <row r="6027" spans="1:7" x14ac:dyDescent="0.2">
      <c r="A6027" s="19" t="s">
        <v>42</v>
      </c>
      <c r="B6027" s="20" t="s">
        <v>70</v>
      </c>
      <c r="C6027" s="20" t="s">
        <v>8</v>
      </c>
      <c r="D6027" s="20" t="s">
        <v>10</v>
      </c>
      <c r="E6027" s="20" t="s">
        <v>19</v>
      </c>
      <c r="F6027" s="20" t="str">
        <f>INDEX(nrg_cb_e!$A$3:$A$40,MATCH(LEFT(MID('Industriesektor GWh'!$B6027,41,1000),SEARCH(" - ",MID('Industriesektor GWh'!$B6027,41,1000))-1),nrg_cb_e!$C$3:$C$40,0))</f>
        <v>FC_IND_PPP_E</v>
      </c>
      <c r="G6027" s="21">
        <v>47</v>
      </c>
    </row>
    <row r="6028" spans="1:7" x14ac:dyDescent="0.2">
      <c r="A6028" s="16" t="s">
        <v>42</v>
      </c>
      <c r="B6028" s="17" t="s">
        <v>70</v>
      </c>
      <c r="C6028" s="17" t="s">
        <v>8</v>
      </c>
      <c r="D6028" s="17" t="s">
        <v>10</v>
      </c>
      <c r="E6028" s="17" t="s">
        <v>20</v>
      </c>
      <c r="F6028" s="17" t="str">
        <f>INDEX(nrg_cb_e!$A$3:$A$40,MATCH(LEFT(MID('Industriesektor GWh'!$B6028,41,1000),SEARCH(" - ",MID('Industriesektor GWh'!$B6028,41,1000))-1),nrg_cb_e!$C$3:$C$40,0))</f>
        <v>FC_IND_PPP_E</v>
      </c>
      <c r="G6028" s="18">
        <v>32</v>
      </c>
    </row>
    <row r="6029" spans="1:7" x14ac:dyDescent="0.2">
      <c r="A6029" s="19" t="s">
        <v>42</v>
      </c>
      <c r="B6029" s="20" t="s">
        <v>70</v>
      </c>
      <c r="C6029" s="20" t="s">
        <v>8</v>
      </c>
      <c r="D6029" s="20" t="s">
        <v>10</v>
      </c>
      <c r="E6029" s="20" t="s">
        <v>21</v>
      </c>
      <c r="F6029" s="20" t="str">
        <f>INDEX(nrg_cb_e!$A$3:$A$40,MATCH(LEFT(MID('Industriesektor GWh'!$B6029,41,1000),SEARCH(" - ",MID('Industriesektor GWh'!$B6029,41,1000))-1),nrg_cb_e!$C$3:$C$40,0))</f>
        <v>FC_IND_PPP_E</v>
      </c>
      <c r="G6029" s="21">
        <v>31</v>
      </c>
    </row>
    <row r="6030" spans="1:7" x14ac:dyDescent="0.2">
      <c r="A6030" s="16" t="s">
        <v>42</v>
      </c>
      <c r="B6030" s="17" t="s">
        <v>70</v>
      </c>
      <c r="C6030" s="17" t="s">
        <v>8</v>
      </c>
      <c r="D6030" s="17" t="s">
        <v>10</v>
      </c>
      <c r="E6030" s="17" t="s">
        <v>22</v>
      </c>
      <c r="F6030" s="17" t="str">
        <f>INDEX(nrg_cb_e!$A$3:$A$40,MATCH(LEFT(MID('Industriesektor GWh'!$B6030,41,1000),SEARCH(" - ",MID('Industriesektor GWh'!$B6030,41,1000))-1),nrg_cb_e!$C$3:$C$40,0))</f>
        <v>FC_IND_PPP_E</v>
      </c>
      <c r="G6030" s="18">
        <v>32</v>
      </c>
    </row>
    <row r="6031" spans="1:7" x14ac:dyDescent="0.2">
      <c r="A6031" s="19" t="s">
        <v>42</v>
      </c>
      <c r="B6031" s="20" t="s">
        <v>70</v>
      </c>
      <c r="C6031" s="20" t="s">
        <v>8</v>
      </c>
      <c r="D6031" s="20" t="s">
        <v>10</v>
      </c>
      <c r="E6031" s="20" t="s">
        <v>23</v>
      </c>
      <c r="F6031" s="20" t="str">
        <f>INDEX(nrg_cb_e!$A$3:$A$40,MATCH(LEFT(MID('Industriesektor GWh'!$B6031,41,1000),SEARCH(" - ",MID('Industriesektor GWh'!$B6031,41,1000))-1),nrg_cb_e!$C$3:$C$40,0))</f>
        <v>FC_IND_PPP_E</v>
      </c>
      <c r="G6031" s="21">
        <v>29</v>
      </c>
    </row>
    <row r="6032" spans="1:7" x14ac:dyDescent="0.2">
      <c r="A6032" s="16" t="s">
        <v>42</v>
      </c>
      <c r="B6032" s="17" t="s">
        <v>70</v>
      </c>
      <c r="C6032" s="17" t="s">
        <v>8</v>
      </c>
      <c r="D6032" s="17" t="s">
        <v>10</v>
      </c>
      <c r="E6032" s="17" t="s">
        <v>24</v>
      </c>
      <c r="F6032" s="17" t="str">
        <f>INDEX(nrg_cb_e!$A$3:$A$40,MATCH(LEFT(MID('Industriesektor GWh'!$B6032,41,1000),SEARCH(" - ",MID('Industriesektor GWh'!$B6032,41,1000))-1),nrg_cb_e!$C$3:$C$40,0))</f>
        <v>FC_IND_PPP_E</v>
      </c>
      <c r="G6032" s="18">
        <v>30</v>
      </c>
    </row>
    <row r="6033" spans="1:7" x14ac:dyDescent="0.2">
      <c r="A6033" s="19" t="s">
        <v>42</v>
      </c>
      <c r="B6033" s="20" t="s">
        <v>70</v>
      </c>
      <c r="C6033" s="20" t="s">
        <v>8</v>
      </c>
      <c r="D6033" s="20" t="s">
        <v>10</v>
      </c>
      <c r="E6033" s="20" t="s">
        <v>25</v>
      </c>
      <c r="F6033" s="20" t="str">
        <f>INDEX(nrg_cb_e!$A$3:$A$40,MATCH(LEFT(MID('Industriesektor GWh'!$B6033,41,1000),SEARCH(" - ",MID('Industriesektor GWh'!$B6033,41,1000))-1),nrg_cb_e!$C$3:$C$40,0))</f>
        <v>FC_IND_PPP_E</v>
      </c>
      <c r="G6033" s="21">
        <v>28</v>
      </c>
    </row>
    <row r="6034" spans="1:7" x14ac:dyDescent="0.2">
      <c r="A6034" s="16" t="s">
        <v>42</v>
      </c>
      <c r="B6034" s="17" t="s">
        <v>70</v>
      </c>
      <c r="C6034" s="17" t="s">
        <v>8</v>
      </c>
      <c r="D6034" s="17" t="s">
        <v>10</v>
      </c>
      <c r="E6034" s="17" t="s">
        <v>26</v>
      </c>
      <c r="F6034" s="17" t="str">
        <f>INDEX(nrg_cb_e!$A$3:$A$40,MATCH(LEFT(MID('Industriesektor GWh'!$B6034,41,1000),SEARCH(" - ",MID('Industriesektor GWh'!$B6034,41,1000))-1),nrg_cb_e!$C$3:$C$40,0))</f>
        <v>FC_IND_PPP_E</v>
      </c>
      <c r="G6034" s="18">
        <v>26</v>
      </c>
    </row>
    <row r="6035" spans="1:7" x14ac:dyDescent="0.2">
      <c r="A6035" s="19" t="s">
        <v>42</v>
      </c>
      <c r="B6035" s="20" t="s">
        <v>70</v>
      </c>
      <c r="C6035" s="20" t="s">
        <v>8</v>
      </c>
      <c r="D6035" s="20" t="s">
        <v>10</v>
      </c>
      <c r="E6035" s="20" t="s">
        <v>27</v>
      </c>
      <c r="F6035" s="20" t="str">
        <f>INDEX(nrg_cb_e!$A$3:$A$40,MATCH(LEFT(MID('Industriesektor GWh'!$B6035,41,1000),SEARCH(" - ",MID('Industriesektor GWh'!$B6035,41,1000))-1),nrg_cb_e!$C$3:$C$40,0))</f>
        <v>FC_IND_PPP_E</v>
      </c>
      <c r="G6035" s="21">
        <v>27.765999999999998</v>
      </c>
    </row>
    <row r="6036" spans="1:7" x14ac:dyDescent="0.2">
      <c r="A6036" s="16" t="s">
        <v>42</v>
      </c>
      <c r="B6036" s="17" t="s">
        <v>70</v>
      </c>
      <c r="C6036" s="17" t="s">
        <v>8</v>
      </c>
      <c r="D6036" s="17" t="s">
        <v>10</v>
      </c>
      <c r="E6036" s="17" t="s">
        <v>28</v>
      </c>
      <c r="F6036" s="17" t="str">
        <f>INDEX(nrg_cb_e!$A$3:$A$40,MATCH(LEFT(MID('Industriesektor GWh'!$B6036,41,1000),SEARCH(" - ",MID('Industriesektor GWh'!$B6036,41,1000))-1),nrg_cb_e!$C$3:$C$40,0))</f>
        <v>FC_IND_PPP_E</v>
      </c>
      <c r="G6036" s="18">
        <v>27.85</v>
      </c>
    </row>
    <row r="6037" spans="1:7" x14ac:dyDescent="0.2">
      <c r="A6037" s="19" t="s">
        <v>43</v>
      </c>
      <c r="B6037" s="20" t="s">
        <v>70</v>
      </c>
      <c r="C6037" s="20" t="s">
        <v>8</v>
      </c>
      <c r="D6037" s="20" t="s">
        <v>10</v>
      </c>
      <c r="E6037" s="20" t="s">
        <v>12</v>
      </c>
      <c r="F6037" s="20" t="str">
        <f>INDEX(nrg_cb_e!$A$3:$A$40,MATCH(LEFT(MID('Industriesektor GWh'!$B6037,41,1000),SEARCH(" - ",MID('Industriesektor GWh'!$B6037,41,1000))-1),nrg_cb_e!$C$3:$C$40,0))</f>
        <v>FC_IND_PPP_E</v>
      </c>
      <c r="G6037" s="21">
        <v>99</v>
      </c>
    </row>
    <row r="6038" spans="1:7" x14ac:dyDescent="0.2">
      <c r="A6038" s="16" t="s">
        <v>43</v>
      </c>
      <c r="B6038" s="17" t="s">
        <v>70</v>
      </c>
      <c r="C6038" s="17" t="s">
        <v>8</v>
      </c>
      <c r="D6038" s="17" t="s">
        <v>10</v>
      </c>
      <c r="E6038" s="17" t="s">
        <v>13</v>
      </c>
      <c r="F6038" s="17" t="str">
        <f>INDEX(nrg_cb_e!$A$3:$A$40,MATCH(LEFT(MID('Industriesektor GWh'!$B6038,41,1000),SEARCH(" - ",MID('Industriesektor GWh'!$B6038,41,1000))-1),nrg_cb_e!$C$3:$C$40,0))</f>
        <v>FC_IND_PPP_E</v>
      </c>
      <c r="G6038" s="18">
        <v>86</v>
      </c>
    </row>
    <row r="6039" spans="1:7" x14ac:dyDescent="0.2">
      <c r="A6039" s="19" t="s">
        <v>43</v>
      </c>
      <c r="B6039" s="20" t="s">
        <v>70</v>
      </c>
      <c r="C6039" s="20" t="s">
        <v>8</v>
      </c>
      <c r="D6039" s="20" t="s">
        <v>10</v>
      </c>
      <c r="E6039" s="20" t="s">
        <v>14</v>
      </c>
      <c r="F6039" s="20" t="str">
        <f>INDEX(nrg_cb_e!$A$3:$A$40,MATCH(LEFT(MID('Industriesektor GWh'!$B6039,41,1000),SEARCH(" - ",MID('Industriesektor GWh'!$B6039,41,1000))-1),nrg_cb_e!$C$3:$C$40,0))</f>
        <v>FC_IND_PPP_E</v>
      </c>
      <c r="G6039" s="21">
        <v>86</v>
      </c>
    </row>
    <row r="6040" spans="1:7" x14ac:dyDescent="0.2">
      <c r="A6040" s="16" t="s">
        <v>43</v>
      </c>
      <c r="B6040" s="17" t="s">
        <v>70</v>
      </c>
      <c r="C6040" s="17" t="s">
        <v>8</v>
      </c>
      <c r="D6040" s="17" t="s">
        <v>10</v>
      </c>
      <c r="E6040" s="17" t="s">
        <v>15</v>
      </c>
      <c r="F6040" s="17" t="str">
        <f>INDEX(nrg_cb_e!$A$3:$A$40,MATCH(LEFT(MID('Industriesektor GWh'!$B6040,41,1000),SEARCH(" - ",MID('Industriesektor GWh'!$B6040,41,1000))-1),nrg_cb_e!$C$3:$C$40,0))</f>
        <v>FC_IND_PPP_E</v>
      </c>
      <c r="G6040" s="18">
        <v>91</v>
      </c>
    </row>
    <row r="6041" spans="1:7" x14ac:dyDescent="0.2">
      <c r="A6041" s="19" t="s">
        <v>43</v>
      </c>
      <c r="B6041" s="20" t="s">
        <v>70</v>
      </c>
      <c r="C6041" s="20" t="s">
        <v>8</v>
      </c>
      <c r="D6041" s="20" t="s">
        <v>10</v>
      </c>
      <c r="E6041" s="20" t="s">
        <v>16</v>
      </c>
      <c r="F6041" s="20" t="str">
        <f>INDEX(nrg_cb_e!$A$3:$A$40,MATCH(LEFT(MID('Industriesektor GWh'!$B6041,41,1000),SEARCH(" - ",MID('Industriesektor GWh'!$B6041,41,1000))-1),nrg_cb_e!$C$3:$C$40,0))</f>
        <v>FC_IND_PPP_E</v>
      </c>
      <c r="G6041" s="21">
        <v>97</v>
      </c>
    </row>
    <row r="6042" spans="1:7" x14ac:dyDescent="0.2">
      <c r="A6042" s="16" t="s">
        <v>43</v>
      </c>
      <c r="B6042" s="17" t="s">
        <v>70</v>
      </c>
      <c r="C6042" s="17" t="s">
        <v>8</v>
      </c>
      <c r="D6042" s="17" t="s">
        <v>10</v>
      </c>
      <c r="E6042" s="17" t="s">
        <v>17</v>
      </c>
      <c r="F6042" s="17" t="str">
        <f>INDEX(nrg_cb_e!$A$3:$A$40,MATCH(LEFT(MID('Industriesektor GWh'!$B6042,41,1000),SEARCH(" - ",MID('Industriesektor GWh'!$B6042,41,1000))-1),nrg_cb_e!$C$3:$C$40,0))</f>
        <v>FC_IND_PPP_E</v>
      </c>
      <c r="G6042" s="18">
        <v>107</v>
      </c>
    </row>
    <row r="6043" spans="1:7" x14ac:dyDescent="0.2">
      <c r="A6043" s="19" t="s">
        <v>43</v>
      </c>
      <c r="B6043" s="20" t="s">
        <v>70</v>
      </c>
      <c r="C6043" s="20" t="s">
        <v>8</v>
      </c>
      <c r="D6043" s="20" t="s">
        <v>10</v>
      </c>
      <c r="E6043" s="20" t="s">
        <v>18</v>
      </c>
      <c r="F6043" s="20" t="str">
        <f>INDEX(nrg_cb_e!$A$3:$A$40,MATCH(LEFT(MID('Industriesektor GWh'!$B6043,41,1000),SEARCH(" - ",MID('Industriesektor GWh'!$B6043,41,1000))-1),nrg_cb_e!$C$3:$C$40,0))</f>
        <v>FC_IND_PPP_E</v>
      </c>
      <c r="G6043" s="21">
        <v>99</v>
      </c>
    </row>
    <row r="6044" spans="1:7" x14ac:dyDescent="0.2">
      <c r="A6044" s="16" t="s">
        <v>43</v>
      </c>
      <c r="B6044" s="17" t="s">
        <v>70</v>
      </c>
      <c r="C6044" s="17" t="s">
        <v>8</v>
      </c>
      <c r="D6044" s="17" t="s">
        <v>10</v>
      </c>
      <c r="E6044" s="17" t="s">
        <v>19</v>
      </c>
      <c r="F6044" s="17" t="str">
        <f>INDEX(nrg_cb_e!$A$3:$A$40,MATCH(LEFT(MID('Industriesektor GWh'!$B6044,41,1000),SEARCH(" - ",MID('Industriesektor GWh'!$B6044,41,1000))-1),nrg_cb_e!$C$3:$C$40,0))</f>
        <v>FC_IND_PPP_E</v>
      </c>
      <c r="G6044" s="18">
        <v>110</v>
      </c>
    </row>
    <row r="6045" spans="1:7" x14ac:dyDescent="0.2">
      <c r="A6045" s="19" t="s">
        <v>43</v>
      </c>
      <c r="B6045" s="20" t="s">
        <v>70</v>
      </c>
      <c r="C6045" s="20" t="s">
        <v>8</v>
      </c>
      <c r="D6045" s="20" t="s">
        <v>10</v>
      </c>
      <c r="E6045" s="20" t="s">
        <v>20</v>
      </c>
      <c r="F6045" s="20" t="str">
        <f>INDEX(nrg_cb_e!$A$3:$A$40,MATCH(LEFT(MID('Industriesektor GWh'!$B6045,41,1000),SEARCH(" - ",MID('Industriesektor GWh'!$B6045,41,1000))-1),nrg_cb_e!$C$3:$C$40,0))</f>
        <v>FC_IND_PPP_E</v>
      </c>
      <c r="G6045" s="21">
        <v>237</v>
      </c>
    </row>
    <row r="6046" spans="1:7" x14ac:dyDescent="0.2">
      <c r="A6046" s="16" t="s">
        <v>43</v>
      </c>
      <c r="B6046" s="17" t="s">
        <v>70</v>
      </c>
      <c r="C6046" s="17" t="s">
        <v>8</v>
      </c>
      <c r="D6046" s="17" t="s">
        <v>10</v>
      </c>
      <c r="E6046" s="17" t="s">
        <v>21</v>
      </c>
      <c r="F6046" s="17" t="str">
        <f>INDEX(nrg_cb_e!$A$3:$A$40,MATCH(LEFT(MID('Industriesektor GWh'!$B6046,41,1000),SEARCH(" - ",MID('Industriesektor GWh'!$B6046,41,1000))-1),nrg_cb_e!$C$3:$C$40,0))</f>
        <v>FC_IND_PPP_E</v>
      </c>
      <c r="G6046" s="18">
        <v>161</v>
      </c>
    </row>
    <row r="6047" spans="1:7" x14ac:dyDescent="0.2">
      <c r="A6047" s="19" t="s">
        <v>43</v>
      </c>
      <c r="B6047" s="20" t="s">
        <v>70</v>
      </c>
      <c r="C6047" s="20" t="s">
        <v>8</v>
      </c>
      <c r="D6047" s="20" t="s">
        <v>10</v>
      </c>
      <c r="E6047" s="20" t="s">
        <v>22</v>
      </c>
      <c r="F6047" s="20" t="str">
        <f>INDEX(nrg_cb_e!$A$3:$A$40,MATCH(LEFT(MID('Industriesektor GWh'!$B6047,41,1000),SEARCH(" - ",MID('Industriesektor GWh'!$B6047,41,1000))-1),nrg_cb_e!$C$3:$C$40,0))</f>
        <v>FC_IND_PPP_E</v>
      </c>
      <c r="G6047" s="21">
        <v>127</v>
      </c>
    </row>
    <row r="6048" spans="1:7" x14ac:dyDescent="0.2">
      <c r="A6048" s="16" t="s">
        <v>43</v>
      </c>
      <c r="B6048" s="17" t="s">
        <v>70</v>
      </c>
      <c r="C6048" s="17" t="s">
        <v>8</v>
      </c>
      <c r="D6048" s="17" t="s">
        <v>10</v>
      </c>
      <c r="E6048" s="17" t="s">
        <v>23</v>
      </c>
      <c r="F6048" s="17" t="str">
        <f>INDEX(nrg_cb_e!$A$3:$A$40,MATCH(LEFT(MID('Industriesektor GWh'!$B6048,41,1000),SEARCH(" - ",MID('Industriesektor GWh'!$B6048,41,1000))-1),nrg_cb_e!$C$3:$C$40,0))</f>
        <v>FC_IND_PPP_E</v>
      </c>
      <c r="G6048" s="18">
        <v>150</v>
      </c>
    </row>
    <row r="6049" spans="1:7" x14ac:dyDescent="0.2">
      <c r="A6049" s="19" t="s">
        <v>43</v>
      </c>
      <c r="B6049" s="20" t="s">
        <v>70</v>
      </c>
      <c r="C6049" s="20" t="s">
        <v>8</v>
      </c>
      <c r="D6049" s="20" t="s">
        <v>10</v>
      </c>
      <c r="E6049" s="20" t="s">
        <v>24</v>
      </c>
      <c r="F6049" s="20" t="str">
        <f>INDEX(nrg_cb_e!$A$3:$A$40,MATCH(LEFT(MID('Industriesektor GWh'!$B6049,41,1000),SEARCH(" - ",MID('Industriesektor GWh'!$B6049,41,1000))-1),nrg_cb_e!$C$3:$C$40,0))</f>
        <v>FC_IND_PPP_E</v>
      </c>
      <c r="G6049" s="21">
        <v>156</v>
      </c>
    </row>
    <row r="6050" spans="1:7" x14ac:dyDescent="0.2">
      <c r="A6050" s="16" t="s">
        <v>43</v>
      </c>
      <c r="B6050" s="17" t="s">
        <v>70</v>
      </c>
      <c r="C6050" s="17" t="s">
        <v>8</v>
      </c>
      <c r="D6050" s="17" t="s">
        <v>10</v>
      </c>
      <c r="E6050" s="17" t="s">
        <v>25</v>
      </c>
      <c r="F6050" s="17" t="str">
        <f>INDEX(nrg_cb_e!$A$3:$A$40,MATCH(LEFT(MID('Industriesektor GWh'!$B6050,41,1000),SEARCH(" - ",MID('Industriesektor GWh'!$B6050,41,1000))-1),nrg_cb_e!$C$3:$C$40,0))</f>
        <v>FC_IND_PPP_E</v>
      </c>
      <c r="G6050" s="18">
        <v>162</v>
      </c>
    </row>
    <row r="6051" spans="1:7" x14ac:dyDescent="0.2">
      <c r="A6051" s="19" t="s">
        <v>43</v>
      </c>
      <c r="B6051" s="20" t="s">
        <v>70</v>
      </c>
      <c r="C6051" s="20" t="s">
        <v>8</v>
      </c>
      <c r="D6051" s="20" t="s">
        <v>10</v>
      </c>
      <c r="E6051" s="20" t="s">
        <v>26</v>
      </c>
      <c r="F6051" s="20" t="str">
        <f>INDEX(nrg_cb_e!$A$3:$A$40,MATCH(LEFT(MID('Industriesektor GWh'!$B6051,41,1000),SEARCH(" - ",MID('Industriesektor GWh'!$B6051,41,1000))-1),nrg_cb_e!$C$3:$C$40,0))</f>
        <v>FC_IND_PPP_E</v>
      </c>
      <c r="G6051" s="21">
        <v>157</v>
      </c>
    </row>
    <row r="6052" spans="1:7" x14ac:dyDescent="0.2">
      <c r="A6052" s="16" t="s">
        <v>43</v>
      </c>
      <c r="B6052" s="17" t="s">
        <v>70</v>
      </c>
      <c r="C6052" s="17" t="s">
        <v>8</v>
      </c>
      <c r="D6052" s="17" t="s">
        <v>10</v>
      </c>
      <c r="E6052" s="17" t="s">
        <v>27</v>
      </c>
      <c r="F6052" s="17" t="str">
        <f>INDEX(nrg_cb_e!$A$3:$A$40,MATCH(LEFT(MID('Industriesektor GWh'!$B6052,41,1000),SEARCH(" - ",MID('Industriesektor GWh'!$B6052,41,1000))-1),nrg_cb_e!$C$3:$C$40,0))</f>
        <v>FC_IND_PPP_E</v>
      </c>
      <c r="G6052" s="18">
        <v>191.4</v>
      </c>
    </row>
    <row r="6053" spans="1:7" x14ac:dyDescent="0.2">
      <c r="A6053" s="19" t="s">
        <v>43</v>
      </c>
      <c r="B6053" s="20" t="s">
        <v>70</v>
      </c>
      <c r="C6053" s="20" t="s">
        <v>8</v>
      </c>
      <c r="D6053" s="20" t="s">
        <v>10</v>
      </c>
      <c r="E6053" s="20" t="s">
        <v>28</v>
      </c>
      <c r="F6053" s="20" t="str">
        <f>INDEX(nrg_cb_e!$A$3:$A$40,MATCH(LEFT(MID('Industriesektor GWh'!$B6053,41,1000),SEARCH(" - ",MID('Industriesektor GWh'!$B6053,41,1000))-1),nrg_cb_e!$C$3:$C$40,0))</f>
        <v>FC_IND_PPP_E</v>
      </c>
      <c r="G6053" s="21">
        <v>176.7</v>
      </c>
    </row>
    <row r="6054" spans="1:7" x14ac:dyDescent="0.2">
      <c r="A6054" s="16" t="s">
        <v>44</v>
      </c>
      <c r="B6054" s="17" t="s">
        <v>70</v>
      </c>
      <c r="C6054" s="17" t="s">
        <v>8</v>
      </c>
      <c r="D6054" s="17" t="s">
        <v>10</v>
      </c>
      <c r="E6054" s="17" t="s">
        <v>12</v>
      </c>
      <c r="F6054" s="17" t="str">
        <f>INDEX(nrg_cb_e!$A$3:$A$40,MATCH(LEFT(MID('Industriesektor GWh'!$B6054,41,1000),SEARCH(" - ",MID('Industriesektor GWh'!$B6054,41,1000))-1),nrg_cb_e!$C$3:$C$40,0))</f>
        <v>FC_IND_PPP_E</v>
      </c>
      <c r="G6054" s="18">
        <v>152.089</v>
      </c>
    </row>
    <row r="6055" spans="1:7" x14ac:dyDescent="0.2">
      <c r="A6055" s="19" t="s">
        <v>44</v>
      </c>
      <c r="B6055" s="20" t="s">
        <v>70</v>
      </c>
      <c r="C6055" s="20" t="s">
        <v>8</v>
      </c>
      <c r="D6055" s="20" t="s">
        <v>10</v>
      </c>
      <c r="E6055" s="20" t="s">
        <v>13</v>
      </c>
      <c r="F6055" s="20" t="str">
        <f>INDEX(nrg_cb_e!$A$3:$A$40,MATCH(LEFT(MID('Industriesektor GWh'!$B6055,41,1000),SEARCH(" - ",MID('Industriesektor GWh'!$B6055,41,1000))-1),nrg_cb_e!$C$3:$C$40,0))</f>
        <v>FC_IND_PPP_E</v>
      </c>
      <c r="G6055" s="21">
        <v>178.84299999999999</v>
      </c>
    </row>
    <row r="6056" spans="1:7" x14ac:dyDescent="0.2">
      <c r="A6056" s="16" t="s">
        <v>44</v>
      </c>
      <c r="B6056" s="17" t="s">
        <v>70</v>
      </c>
      <c r="C6056" s="17" t="s">
        <v>8</v>
      </c>
      <c r="D6056" s="17" t="s">
        <v>10</v>
      </c>
      <c r="E6056" s="17" t="s">
        <v>14</v>
      </c>
      <c r="F6056" s="17" t="str">
        <f>INDEX(nrg_cb_e!$A$3:$A$40,MATCH(LEFT(MID('Industriesektor GWh'!$B6056,41,1000),SEARCH(" - ",MID('Industriesektor GWh'!$B6056,41,1000))-1),nrg_cb_e!$C$3:$C$40,0))</f>
        <v>FC_IND_PPP_E</v>
      </c>
      <c r="G6056" s="18">
        <v>156.697</v>
      </c>
    </row>
    <row r="6057" spans="1:7" x14ac:dyDescent="0.2">
      <c r="A6057" s="19" t="s">
        <v>44</v>
      </c>
      <c r="B6057" s="20" t="s">
        <v>70</v>
      </c>
      <c r="C6057" s="20" t="s">
        <v>8</v>
      </c>
      <c r="D6057" s="20" t="s">
        <v>10</v>
      </c>
      <c r="E6057" s="20" t="s">
        <v>15</v>
      </c>
      <c r="F6057" s="20" t="str">
        <f>INDEX(nrg_cb_e!$A$3:$A$40,MATCH(LEFT(MID('Industriesektor GWh'!$B6057,41,1000),SEARCH(" - ",MID('Industriesektor GWh'!$B6057,41,1000))-1),nrg_cb_e!$C$3:$C$40,0))</f>
        <v>FC_IND_PPP_E</v>
      </c>
      <c r="G6057" s="21">
        <v>146.27799999999999</v>
      </c>
    </row>
    <row r="6058" spans="1:7" x14ac:dyDescent="0.2">
      <c r="A6058" s="16" t="s">
        <v>44</v>
      </c>
      <c r="B6058" s="17" t="s">
        <v>70</v>
      </c>
      <c r="C6058" s="17" t="s">
        <v>8</v>
      </c>
      <c r="D6058" s="17" t="s">
        <v>10</v>
      </c>
      <c r="E6058" s="17" t="s">
        <v>16</v>
      </c>
      <c r="F6058" s="17" t="str">
        <f>INDEX(nrg_cb_e!$A$3:$A$40,MATCH(LEFT(MID('Industriesektor GWh'!$B6058,41,1000),SEARCH(" - ",MID('Industriesektor GWh'!$B6058,41,1000))-1),nrg_cb_e!$C$3:$C$40,0))</f>
        <v>FC_IND_PPP_E</v>
      </c>
      <c r="G6058" s="18">
        <v>112.676</v>
      </c>
    </row>
    <row r="6059" spans="1:7" x14ac:dyDescent="0.2">
      <c r="A6059" s="19" t="s">
        <v>44</v>
      </c>
      <c r="B6059" s="20" t="s">
        <v>70</v>
      </c>
      <c r="C6059" s="20" t="s">
        <v>8</v>
      </c>
      <c r="D6059" s="20" t="s">
        <v>10</v>
      </c>
      <c r="E6059" s="20" t="s">
        <v>17</v>
      </c>
      <c r="F6059" s="20" t="str">
        <f>INDEX(nrg_cb_e!$A$3:$A$40,MATCH(LEFT(MID('Industriesektor GWh'!$B6059,41,1000),SEARCH(" - ",MID('Industriesektor GWh'!$B6059,41,1000))-1),nrg_cb_e!$C$3:$C$40,0))</f>
        <v>FC_IND_PPP_E</v>
      </c>
      <c r="G6059" s="21">
        <v>89.885999999999996</v>
      </c>
    </row>
    <row r="6060" spans="1:7" x14ac:dyDescent="0.2">
      <c r="A6060" s="16" t="s">
        <v>44</v>
      </c>
      <c r="B6060" s="17" t="s">
        <v>70</v>
      </c>
      <c r="C6060" s="17" t="s">
        <v>8</v>
      </c>
      <c r="D6060" s="17" t="s">
        <v>10</v>
      </c>
      <c r="E6060" s="17" t="s">
        <v>18</v>
      </c>
      <c r="F6060" s="17" t="str">
        <f>INDEX(nrg_cb_e!$A$3:$A$40,MATCH(LEFT(MID('Industriesektor GWh'!$B6060,41,1000),SEARCH(" - ",MID('Industriesektor GWh'!$B6060,41,1000))-1),nrg_cb_e!$C$3:$C$40,0))</f>
        <v>FC_IND_PPP_E</v>
      </c>
      <c r="G6060" s="18">
        <v>99.787000000000006</v>
      </c>
    </row>
    <row r="6061" spans="1:7" x14ac:dyDescent="0.2">
      <c r="A6061" s="19" t="s">
        <v>44</v>
      </c>
      <c r="B6061" s="20" t="s">
        <v>70</v>
      </c>
      <c r="C6061" s="20" t="s">
        <v>8</v>
      </c>
      <c r="D6061" s="20" t="s">
        <v>10</v>
      </c>
      <c r="E6061" s="20" t="s">
        <v>19</v>
      </c>
      <c r="F6061" s="20" t="str">
        <f>INDEX(nrg_cb_e!$A$3:$A$40,MATCH(LEFT(MID('Industriesektor GWh'!$B6061,41,1000),SEARCH(" - ",MID('Industriesektor GWh'!$B6061,41,1000))-1),nrg_cb_e!$C$3:$C$40,0))</f>
        <v>FC_IND_PPP_E</v>
      </c>
      <c r="G6061" s="21">
        <v>88.548000000000002</v>
      </c>
    </row>
    <row r="6062" spans="1:7" x14ac:dyDescent="0.2">
      <c r="A6062" s="16" t="s">
        <v>44</v>
      </c>
      <c r="B6062" s="17" t="s">
        <v>70</v>
      </c>
      <c r="C6062" s="17" t="s">
        <v>8</v>
      </c>
      <c r="D6062" s="17" t="s">
        <v>10</v>
      </c>
      <c r="E6062" s="17" t="s">
        <v>20</v>
      </c>
      <c r="F6062" s="17" t="str">
        <f>INDEX(nrg_cb_e!$A$3:$A$40,MATCH(LEFT(MID('Industriesektor GWh'!$B6062,41,1000),SEARCH(" - ",MID('Industriesektor GWh'!$B6062,41,1000))-1),nrg_cb_e!$C$3:$C$40,0))</f>
        <v>FC_IND_PPP_E</v>
      </c>
      <c r="G6062" s="18">
        <v>66.941000000000003</v>
      </c>
    </row>
    <row r="6063" spans="1:7" x14ac:dyDescent="0.2">
      <c r="A6063" s="19" t="s">
        <v>44</v>
      </c>
      <c r="B6063" s="20" t="s">
        <v>70</v>
      </c>
      <c r="C6063" s="20" t="s">
        <v>8</v>
      </c>
      <c r="D6063" s="20" t="s">
        <v>10</v>
      </c>
      <c r="E6063" s="20" t="s">
        <v>21</v>
      </c>
      <c r="F6063" s="20" t="str">
        <f>INDEX(nrg_cb_e!$A$3:$A$40,MATCH(LEFT(MID('Industriesektor GWh'!$B6063,41,1000),SEARCH(" - ",MID('Industriesektor GWh'!$B6063,41,1000))-1),nrg_cb_e!$C$3:$C$40,0))</f>
        <v>FC_IND_PPP_E</v>
      </c>
      <c r="G6063" s="21">
        <v>38.35</v>
      </c>
    </row>
    <row r="6064" spans="1:7" x14ac:dyDescent="0.2">
      <c r="A6064" s="16" t="s">
        <v>44</v>
      </c>
      <c r="B6064" s="17" t="s">
        <v>70</v>
      </c>
      <c r="C6064" s="17" t="s">
        <v>8</v>
      </c>
      <c r="D6064" s="17" t="s">
        <v>10</v>
      </c>
      <c r="E6064" s="17" t="s">
        <v>22</v>
      </c>
      <c r="F6064" s="17" t="str">
        <f>INDEX(nrg_cb_e!$A$3:$A$40,MATCH(LEFT(MID('Industriesektor GWh'!$B6064,41,1000),SEARCH(" - ",MID('Industriesektor GWh'!$B6064,41,1000))-1),nrg_cb_e!$C$3:$C$40,0))</f>
        <v>FC_IND_PPP_E</v>
      </c>
      <c r="G6064" s="18">
        <v>39.954999999999998</v>
      </c>
    </row>
    <row r="6065" spans="1:7" x14ac:dyDescent="0.2">
      <c r="A6065" s="19" t="s">
        <v>44</v>
      </c>
      <c r="B6065" s="20" t="s">
        <v>70</v>
      </c>
      <c r="C6065" s="20" t="s">
        <v>8</v>
      </c>
      <c r="D6065" s="20" t="s">
        <v>10</v>
      </c>
      <c r="E6065" s="20" t="s">
        <v>23</v>
      </c>
      <c r="F6065" s="20" t="str">
        <f>INDEX(nrg_cb_e!$A$3:$A$40,MATCH(LEFT(MID('Industriesektor GWh'!$B6065,41,1000),SEARCH(" - ",MID('Industriesektor GWh'!$B6065,41,1000))-1),nrg_cb_e!$C$3:$C$40,0))</f>
        <v>FC_IND_PPP_E</v>
      </c>
      <c r="G6065" s="21">
        <v>37.707000000000001</v>
      </c>
    </row>
    <row r="6066" spans="1:7" x14ac:dyDescent="0.2">
      <c r="A6066" s="16" t="s">
        <v>44</v>
      </c>
      <c r="B6066" s="17" t="s">
        <v>70</v>
      </c>
      <c r="C6066" s="17" t="s">
        <v>8</v>
      </c>
      <c r="D6066" s="17" t="s">
        <v>10</v>
      </c>
      <c r="E6066" s="17" t="s">
        <v>24</v>
      </c>
      <c r="F6066" s="17" t="str">
        <f>INDEX(nrg_cb_e!$A$3:$A$40,MATCH(LEFT(MID('Industriesektor GWh'!$B6066,41,1000),SEARCH(" - ",MID('Industriesektor GWh'!$B6066,41,1000))-1),nrg_cb_e!$C$3:$C$40,0))</f>
        <v>FC_IND_PPP_E</v>
      </c>
      <c r="G6066" s="18">
        <v>38.069000000000003</v>
      </c>
    </row>
    <row r="6067" spans="1:7" x14ac:dyDescent="0.2">
      <c r="A6067" s="19" t="s">
        <v>44</v>
      </c>
      <c r="B6067" s="20" t="s">
        <v>70</v>
      </c>
      <c r="C6067" s="20" t="s">
        <v>8</v>
      </c>
      <c r="D6067" s="20" t="s">
        <v>10</v>
      </c>
      <c r="E6067" s="20" t="s">
        <v>25</v>
      </c>
      <c r="F6067" s="20" t="str">
        <f>INDEX(nrg_cb_e!$A$3:$A$40,MATCH(LEFT(MID('Industriesektor GWh'!$B6067,41,1000),SEARCH(" - ",MID('Industriesektor GWh'!$B6067,41,1000))-1),nrg_cb_e!$C$3:$C$40,0))</f>
        <v>FC_IND_PPP_E</v>
      </c>
      <c r="G6067" s="21">
        <v>39.408000000000001</v>
      </c>
    </row>
    <row r="6068" spans="1:7" x14ac:dyDescent="0.2">
      <c r="A6068" s="16" t="s">
        <v>44</v>
      </c>
      <c r="B6068" s="17" t="s">
        <v>70</v>
      </c>
      <c r="C6068" s="17" t="s">
        <v>8</v>
      </c>
      <c r="D6068" s="17" t="s">
        <v>10</v>
      </c>
      <c r="E6068" s="17" t="s">
        <v>26</v>
      </c>
      <c r="F6068" s="17" t="str">
        <f>INDEX(nrg_cb_e!$A$3:$A$40,MATCH(LEFT(MID('Industriesektor GWh'!$B6068,41,1000),SEARCH(" - ",MID('Industriesektor GWh'!$B6068,41,1000))-1),nrg_cb_e!$C$3:$C$40,0))</f>
        <v>FC_IND_PPP_E</v>
      </c>
      <c r="G6068" s="18">
        <v>39.049999999999997</v>
      </c>
    </row>
    <row r="6069" spans="1:7" x14ac:dyDescent="0.2">
      <c r="A6069" s="19" t="s">
        <v>44</v>
      </c>
      <c r="B6069" s="20" t="s">
        <v>70</v>
      </c>
      <c r="C6069" s="20" t="s">
        <v>8</v>
      </c>
      <c r="D6069" s="20" t="s">
        <v>10</v>
      </c>
      <c r="E6069" s="20" t="s">
        <v>27</v>
      </c>
      <c r="F6069" s="20" t="str">
        <f>INDEX(nrg_cb_e!$A$3:$A$40,MATCH(LEFT(MID('Industriesektor GWh'!$B6069,41,1000),SEARCH(" - ",MID('Industriesektor GWh'!$B6069,41,1000))-1),nrg_cb_e!$C$3:$C$40,0))</f>
        <v>FC_IND_PPP_E</v>
      </c>
      <c r="G6069" s="21">
        <v>35.283000000000001</v>
      </c>
    </row>
    <row r="6070" spans="1:7" x14ac:dyDescent="0.2">
      <c r="A6070" s="16" t="s">
        <v>44</v>
      </c>
      <c r="B6070" s="17" t="s">
        <v>70</v>
      </c>
      <c r="C6070" s="17" t="s">
        <v>8</v>
      </c>
      <c r="D6070" s="17" t="s">
        <v>10</v>
      </c>
      <c r="E6070" s="17" t="s">
        <v>28</v>
      </c>
      <c r="F6070" s="17" t="str">
        <f>INDEX(nrg_cb_e!$A$3:$A$40,MATCH(LEFT(MID('Industriesektor GWh'!$B6070,41,1000),SEARCH(" - ",MID('Industriesektor GWh'!$B6070,41,1000))-1),nrg_cb_e!$C$3:$C$40,0))</f>
        <v>FC_IND_PPP_E</v>
      </c>
      <c r="G6070" s="18">
        <v>37.527000000000001</v>
      </c>
    </row>
    <row r="6071" spans="1:7" x14ac:dyDescent="0.2">
      <c r="A6071" s="19" t="s">
        <v>45</v>
      </c>
      <c r="B6071" s="20" t="s">
        <v>70</v>
      </c>
      <c r="C6071" s="20" t="s">
        <v>8</v>
      </c>
      <c r="D6071" s="20" t="s">
        <v>10</v>
      </c>
      <c r="E6071" s="20" t="s">
        <v>12</v>
      </c>
      <c r="F6071" s="20" t="str">
        <f>INDEX(nrg_cb_e!$A$3:$A$40,MATCH(LEFT(MID('Industriesektor GWh'!$B6071,41,1000),SEARCH(" - ",MID('Industriesektor GWh'!$B6071,41,1000))-1),nrg_cb_e!$C$3:$C$40,0))</f>
        <v>FC_IND_PPP_E</v>
      </c>
      <c r="G6071" s="21">
        <v>451</v>
      </c>
    </row>
    <row r="6072" spans="1:7" x14ac:dyDescent="0.2">
      <c r="A6072" s="16" t="s">
        <v>45</v>
      </c>
      <c r="B6072" s="17" t="s">
        <v>70</v>
      </c>
      <c r="C6072" s="17" t="s">
        <v>8</v>
      </c>
      <c r="D6072" s="17" t="s">
        <v>10</v>
      </c>
      <c r="E6072" s="17" t="s">
        <v>13</v>
      </c>
      <c r="F6072" s="17" t="str">
        <f>INDEX(nrg_cb_e!$A$3:$A$40,MATCH(LEFT(MID('Industriesektor GWh'!$B6072,41,1000),SEARCH(" - ",MID('Industriesektor GWh'!$B6072,41,1000))-1),nrg_cb_e!$C$3:$C$40,0))</f>
        <v>FC_IND_PPP_E</v>
      </c>
      <c r="G6072" s="18">
        <v>490</v>
      </c>
    </row>
    <row r="6073" spans="1:7" x14ac:dyDescent="0.2">
      <c r="A6073" s="19" t="s">
        <v>45</v>
      </c>
      <c r="B6073" s="20" t="s">
        <v>70</v>
      </c>
      <c r="C6073" s="20" t="s">
        <v>8</v>
      </c>
      <c r="D6073" s="20" t="s">
        <v>10</v>
      </c>
      <c r="E6073" s="20" t="s">
        <v>14</v>
      </c>
      <c r="F6073" s="20" t="str">
        <f>INDEX(nrg_cb_e!$A$3:$A$40,MATCH(LEFT(MID('Industriesektor GWh'!$B6073,41,1000),SEARCH(" - ",MID('Industriesektor GWh'!$B6073,41,1000))-1),nrg_cb_e!$C$3:$C$40,0))</f>
        <v>FC_IND_PPP_E</v>
      </c>
      <c r="G6073" s="21">
        <v>511</v>
      </c>
    </row>
    <row r="6074" spans="1:7" x14ac:dyDescent="0.2">
      <c r="A6074" s="16" t="s">
        <v>45</v>
      </c>
      <c r="B6074" s="17" t="s">
        <v>70</v>
      </c>
      <c r="C6074" s="17" t="s">
        <v>8</v>
      </c>
      <c r="D6074" s="17" t="s">
        <v>10</v>
      </c>
      <c r="E6074" s="17" t="s">
        <v>15</v>
      </c>
      <c r="F6074" s="17" t="str">
        <f>INDEX(nrg_cb_e!$A$3:$A$40,MATCH(LEFT(MID('Industriesektor GWh'!$B6074,41,1000),SEARCH(" - ",MID('Industriesektor GWh'!$B6074,41,1000))-1),nrg_cb_e!$C$3:$C$40,0))</f>
        <v>FC_IND_PPP_E</v>
      </c>
      <c r="G6074" s="18">
        <v>579</v>
      </c>
    </row>
    <row r="6075" spans="1:7" x14ac:dyDescent="0.2">
      <c r="A6075" s="19" t="s">
        <v>45</v>
      </c>
      <c r="B6075" s="20" t="s">
        <v>70</v>
      </c>
      <c r="C6075" s="20" t="s">
        <v>8</v>
      </c>
      <c r="D6075" s="20" t="s">
        <v>10</v>
      </c>
      <c r="E6075" s="20" t="s">
        <v>16</v>
      </c>
      <c r="F6075" s="20" t="str">
        <f>INDEX(nrg_cb_e!$A$3:$A$40,MATCH(LEFT(MID('Industriesektor GWh'!$B6075,41,1000),SEARCH(" - ",MID('Industriesektor GWh'!$B6075,41,1000))-1),nrg_cb_e!$C$3:$C$40,0))</f>
        <v>FC_IND_PPP_E</v>
      </c>
      <c r="G6075" s="21">
        <v>560</v>
      </c>
    </row>
    <row r="6076" spans="1:7" x14ac:dyDescent="0.2">
      <c r="A6076" s="16" t="s">
        <v>45</v>
      </c>
      <c r="B6076" s="17" t="s">
        <v>70</v>
      </c>
      <c r="C6076" s="17" t="s">
        <v>8</v>
      </c>
      <c r="D6076" s="17" t="s">
        <v>10</v>
      </c>
      <c r="E6076" s="17" t="s">
        <v>17</v>
      </c>
      <c r="F6076" s="17" t="str">
        <f>INDEX(nrg_cb_e!$A$3:$A$40,MATCH(LEFT(MID('Industriesektor GWh'!$B6076,41,1000),SEARCH(" - ",MID('Industriesektor GWh'!$B6076,41,1000))-1),nrg_cb_e!$C$3:$C$40,0))</f>
        <v>FC_IND_PPP_E</v>
      </c>
      <c r="G6076" s="18">
        <v>485</v>
      </c>
    </row>
    <row r="6077" spans="1:7" x14ac:dyDescent="0.2">
      <c r="A6077" s="19" t="s">
        <v>45</v>
      </c>
      <c r="B6077" s="20" t="s">
        <v>70</v>
      </c>
      <c r="C6077" s="20" t="s">
        <v>8</v>
      </c>
      <c r="D6077" s="20" t="s">
        <v>10</v>
      </c>
      <c r="E6077" s="20" t="s">
        <v>18</v>
      </c>
      <c r="F6077" s="20" t="str">
        <f>INDEX(nrg_cb_e!$A$3:$A$40,MATCH(LEFT(MID('Industriesektor GWh'!$B6077,41,1000),SEARCH(" - ",MID('Industriesektor GWh'!$B6077,41,1000))-1),nrg_cb_e!$C$3:$C$40,0))</f>
        <v>FC_IND_PPP_E</v>
      </c>
      <c r="G6077" s="21">
        <v>453</v>
      </c>
    </row>
    <row r="6078" spans="1:7" x14ac:dyDescent="0.2">
      <c r="A6078" s="16" t="s">
        <v>45</v>
      </c>
      <c r="B6078" s="17" t="s">
        <v>70</v>
      </c>
      <c r="C6078" s="17" t="s">
        <v>8</v>
      </c>
      <c r="D6078" s="17" t="s">
        <v>10</v>
      </c>
      <c r="E6078" s="17" t="s">
        <v>19</v>
      </c>
      <c r="F6078" s="17" t="str">
        <f>INDEX(nrg_cb_e!$A$3:$A$40,MATCH(LEFT(MID('Industriesektor GWh'!$B6078,41,1000),SEARCH(" - ",MID('Industriesektor GWh'!$B6078,41,1000))-1),nrg_cb_e!$C$3:$C$40,0))</f>
        <v>FC_IND_PPP_E</v>
      </c>
      <c r="G6078" s="18">
        <v>398</v>
      </c>
    </row>
    <row r="6079" spans="1:7" x14ac:dyDescent="0.2">
      <c r="A6079" s="19" t="s">
        <v>45</v>
      </c>
      <c r="B6079" s="20" t="s">
        <v>70</v>
      </c>
      <c r="C6079" s="20" t="s">
        <v>8</v>
      </c>
      <c r="D6079" s="20" t="s">
        <v>10</v>
      </c>
      <c r="E6079" s="20" t="s">
        <v>20</v>
      </c>
      <c r="F6079" s="20" t="str">
        <f>INDEX(nrg_cb_e!$A$3:$A$40,MATCH(LEFT(MID('Industriesektor GWh'!$B6079,41,1000),SEARCH(" - ",MID('Industriesektor GWh'!$B6079,41,1000))-1),nrg_cb_e!$C$3:$C$40,0))</f>
        <v>FC_IND_PPP_E</v>
      </c>
      <c r="G6079" s="21">
        <v>560</v>
      </c>
    </row>
    <row r="6080" spans="1:7" x14ac:dyDescent="0.2">
      <c r="A6080" s="16" t="s">
        <v>45</v>
      </c>
      <c r="B6080" s="17" t="s">
        <v>70</v>
      </c>
      <c r="C6080" s="17" t="s">
        <v>8</v>
      </c>
      <c r="D6080" s="17" t="s">
        <v>10</v>
      </c>
      <c r="E6080" s="17" t="s">
        <v>21</v>
      </c>
      <c r="F6080" s="17" t="str">
        <f>INDEX(nrg_cb_e!$A$3:$A$40,MATCH(LEFT(MID('Industriesektor GWh'!$B6080,41,1000),SEARCH(" - ",MID('Industriesektor GWh'!$B6080,41,1000))-1),nrg_cb_e!$C$3:$C$40,0))</f>
        <v>FC_IND_PPP_E</v>
      </c>
      <c r="G6080" s="18">
        <v>565</v>
      </c>
    </row>
    <row r="6081" spans="1:7" x14ac:dyDescent="0.2">
      <c r="A6081" s="19" t="s">
        <v>45</v>
      </c>
      <c r="B6081" s="20" t="s">
        <v>70</v>
      </c>
      <c r="C6081" s="20" t="s">
        <v>8</v>
      </c>
      <c r="D6081" s="20" t="s">
        <v>10</v>
      </c>
      <c r="E6081" s="20" t="s">
        <v>22</v>
      </c>
      <c r="F6081" s="20" t="str">
        <f>INDEX(nrg_cb_e!$A$3:$A$40,MATCH(LEFT(MID('Industriesektor GWh'!$B6081,41,1000),SEARCH(" - ",MID('Industriesektor GWh'!$B6081,41,1000))-1),nrg_cb_e!$C$3:$C$40,0))</f>
        <v>FC_IND_PPP_E</v>
      </c>
      <c r="G6081" s="21">
        <v>773</v>
      </c>
    </row>
    <row r="6082" spans="1:7" x14ac:dyDescent="0.2">
      <c r="A6082" s="16" t="s">
        <v>45</v>
      </c>
      <c r="B6082" s="17" t="s">
        <v>70</v>
      </c>
      <c r="C6082" s="17" t="s">
        <v>8</v>
      </c>
      <c r="D6082" s="17" t="s">
        <v>10</v>
      </c>
      <c r="E6082" s="17" t="s">
        <v>23</v>
      </c>
      <c r="F6082" s="17" t="str">
        <f>INDEX(nrg_cb_e!$A$3:$A$40,MATCH(LEFT(MID('Industriesektor GWh'!$B6082,41,1000),SEARCH(" - ",MID('Industriesektor GWh'!$B6082,41,1000))-1),nrg_cb_e!$C$3:$C$40,0))</f>
        <v>FC_IND_PPP_E</v>
      </c>
      <c r="G6082" s="18">
        <v>789</v>
      </c>
    </row>
    <row r="6083" spans="1:7" x14ac:dyDescent="0.2">
      <c r="A6083" s="19" t="s">
        <v>45</v>
      </c>
      <c r="B6083" s="20" t="s">
        <v>70</v>
      </c>
      <c r="C6083" s="20" t="s">
        <v>8</v>
      </c>
      <c r="D6083" s="20" t="s">
        <v>10</v>
      </c>
      <c r="E6083" s="20" t="s">
        <v>24</v>
      </c>
      <c r="F6083" s="20" t="str">
        <f>INDEX(nrg_cb_e!$A$3:$A$40,MATCH(LEFT(MID('Industriesektor GWh'!$B6083,41,1000),SEARCH(" - ",MID('Industriesektor GWh'!$B6083,41,1000))-1),nrg_cb_e!$C$3:$C$40,0))</f>
        <v>FC_IND_PPP_E</v>
      </c>
      <c r="G6083" s="21">
        <v>798</v>
      </c>
    </row>
    <row r="6084" spans="1:7" x14ac:dyDescent="0.2">
      <c r="A6084" s="16" t="s">
        <v>45</v>
      </c>
      <c r="B6084" s="17" t="s">
        <v>70</v>
      </c>
      <c r="C6084" s="17" t="s">
        <v>8</v>
      </c>
      <c r="D6084" s="17" t="s">
        <v>10</v>
      </c>
      <c r="E6084" s="17" t="s">
        <v>25</v>
      </c>
      <c r="F6084" s="17" t="str">
        <f>INDEX(nrg_cb_e!$A$3:$A$40,MATCH(LEFT(MID('Industriesektor GWh'!$B6084,41,1000),SEARCH(" - ",MID('Industriesektor GWh'!$B6084,41,1000))-1),nrg_cb_e!$C$3:$C$40,0))</f>
        <v>FC_IND_PPP_E</v>
      </c>
      <c r="G6084" s="18">
        <v>829</v>
      </c>
    </row>
    <row r="6085" spans="1:7" x14ac:dyDescent="0.2">
      <c r="A6085" s="19" t="s">
        <v>45</v>
      </c>
      <c r="B6085" s="20" t="s">
        <v>70</v>
      </c>
      <c r="C6085" s="20" t="s">
        <v>8</v>
      </c>
      <c r="D6085" s="20" t="s">
        <v>10</v>
      </c>
      <c r="E6085" s="20" t="s">
        <v>26</v>
      </c>
      <c r="F6085" s="20" t="str">
        <f>INDEX(nrg_cb_e!$A$3:$A$40,MATCH(LEFT(MID('Industriesektor GWh'!$B6085,41,1000),SEARCH(" - ",MID('Industriesektor GWh'!$B6085,41,1000))-1),nrg_cb_e!$C$3:$C$40,0))</f>
        <v>FC_IND_PPP_E</v>
      </c>
      <c r="G6085" s="21">
        <v>843</v>
      </c>
    </row>
    <row r="6086" spans="1:7" x14ac:dyDescent="0.2">
      <c r="A6086" s="16" t="s">
        <v>45</v>
      </c>
      <c r="B6086" s="17" t="s">
        <v>70</v>
      </c>
      <c r="C6086" s="17" t="s">
        <v>8</v>
      </c>
      <c r="D6086" s="17" t="s">
        <v>10</v>
      </c>
      <c r="E6086" s="17" t="s">
        <v>27</v>
      </c>
      <c r="F6086" s="17" t="str">
        <f>INDEX(nrg_cb_e!$A$3:$A$40,MATCH(LEFT(MID('Industriesektor GWh'!$B6086,41,1000),SEARCH(" - ",MID('Industriesektor GWh'!$B6086,41,1000))-1),nrg_cb_e!$C$3:$C$40,0))</f>
        <v>FC_IND_PPP_E</v>
      </c>
      <c r="G6086" s="18">
        <v>886</v>
      </c>
    </row>
    <row r="6087" spans="1:7" x14ac:dyDescent="0.2">
      <c r="A6087" s="19" t="s">
        <v>45</v>
      </c>
      <c r="B6087" s="20" t="s">
        <v>70</v>
      </c>
      <c r="C6087" s="20" t="s">
        <v>8</v>
      </c>
      <c r="D6087" s="20" t="s">
        <v>10</v>
      </c>
      <c r="E6087" s="20" t="s">
        <v>28</v>
      </c>
      <c r="F6087" s="20" t="str">
        <f>INDEX(nrg_cb_e!$A$3:$A$40,MATCH(LEFT(MID('Industriesektor GWh'!$B6087,41,1000),SEARCH(" - ",MID('Industriesektor GWh'!$B6087,41,1000))-1),nrg_cb_e!$C$3:$C$40,0))</f>
        <v>FC_IND_PPP_E</v>
      </c>
      <c r="G6087" s="21">
        <v>888</v>
      </c>
    </row>
    <row r="6088" spans="1:7" x14ac:dyDescent="0.2">
      <c r="A6088" s="16" t="s">
        <v>46</v>
      </c>
      <c r="B6088" s="17" t="s">
        <v>70</v>
      </c>
      <c r="C6088" s="17" t="s">
        <v>8</v>
      </c>
      <c r="D6088" s="17" t="s">
        <v>10</v>
      </c>
      <c r="E6088" s="17" t="s">
        <v>12</v>
      </c>
      <c r="F6088" s="17" t="str">
        <f>INDEX(nrg_cb_e!$A$3:$A$40,MATCH(LEFT(MID('Industriesektor GWh'!$B6088,41,1000),SEARCH(" - ",MID('Industriesektor GWh'!$B6088,41,1000))-1),nrg_cb_e!$C$3:$C$40,0))</f>
        <v>FC_IND_PPP_E</v>
      </c>
      <c r="G6088" s="18">
        <v>0</v>
      </c>
    </row>
    <row r="6089" spans="1:7" x14ac:dyDescent="0.2">
      <c r="A6089" s="19" t="s">
        <v>46</v>
      </c>
      <c r="B6089" s="20" t="s">
        <v>70</v>
      </c>
      <c r="C6089" s="20" t="s">
        <v>8</v>
      </c>
      <c r="D6089" s="20" t="s">
        <v>10</v>
      </c>
      <c r="E6089" s="20" t="s">
        <v>13</v>
      </c>
      <c r="F6089" s="20" t="str">
        <f>INDEX(nrg_cb_e!$A$3:$A$40,MATCH(LEFT(MID('Industriesektor GWh'!$B6089,41,1000),SEARCH(" - ",MID('Industriesektor GWh'!$B6089,41,1000))-1),nrg_cb_e!$C$3:$C$40,0))</f>
        <v>FC_IND_PPP_E</v>
      </c>
      <c r="G6089" s="21">
        <v>0</v>
      </c>
    </row>
    <row r="6090" spans="1:7" x14ac:dyDescent="0.2">
      <c r="A6090" s="16" t="s">
        <v>46</v>
      </c>
      <c r="B6090" s="17" t="s">
        <v>70</v>
      </c>
      <c r="C6090" s="17" t="s">
        <v>8</v>
      </c>
      <c r="D6090" s="17" t="s">
        <v>10</v>
      </c>
      <c r="E6090" s="17" t="s">
        <v>14</v>
      </c>
      <c r="F6090" s="17" t="str">
        <f>INDEX(nrg_cb_e!$A$3:$A$40,MATCH(LEFT(MID('Industriesektor GWh'!$B6090,41,1000),SEARCH(" - ",MID('Industriesektor GWh'!$B6090,41,1000))-1),nrg_cb_e!$C$3:$C$40,0))</f>
        <v>FC_IND_PPP_E</v>
      </c>
      <c r="G6090" s="18">
        <v>0</v>
      </c>
    </row>
    <row r="6091" spans="1:7" x14ac:dyDescent="0.2">
      <c r="A6091" s="19" t="s">
        <v>46</v>
      </c>
      <c r="B6091" s="20" t="s">
        <v>70</v>
      </c>
      <c r="C6091" s="20" t="s">
        <v>8</v>
      </c>
      <c r="D6091" s="20" t="s">
        <v>10</v>
      </c>
      <c r="E6091" s="20" t="s">
        <v>15</v>
      </c>
      <c r="F6091" s="20" t="str">
        <f>INDEX(nrg_cb_e!$A$3:$A$40,MATCH(LEFT(MID('Industriesektor GWh'!$B6091,41,1000),SEARCH(" - ",MID('Industriesektor GWh'!$B6091,41,1000))-1),nrg_cb_e!$C$3:$C$40,0))</f>
        <v>FC_IND_PPP_E</v>
      </c>
      <c r="G6091" s="21">
        <v>0</v>
      </c>
    </row>
    <row r="6092" spans="1:7" x14ac:dyDescent="0.2">
      <c r="A6092" s="16" t="s">
        <v>46</v>
      </c>
      <c r="B6092" s="17" t="s">
        <v>70</v>
      </c>
      <c r="C6092" s="17" t="s">
        <v>8</v>
      </c>
      <c r="D6092" s="17" t="s">
        <v>10</v>
      </c>
      <c r="E6092" s="17" t="s">
        <v>16</v>
      </c>
      <c r="F6092" s="17" t="str">
        <f>INDEX(nrg_cb_e!$A$3:$A$40,MATCH(LEFT(MID('Industriesektor GWh'!$B6092,41,1000),SEARCH(" - ",MID('Industriesektor GWh'!$B6092,41,1000))-1),nrg_cb_e!$C$3:$C$40,0))</f>
        <v>FC_IND_PPP_E</v>
      </c>
      <c r="G6092" s="18">
        <v>0</v>
      </c>
    </row>
    <row r="6093" spans="1:7" x14ac:dyDescent="0.2">
      <c r="A6093" s="19" t="s">
        <v>46</v>
      </c>
      <c r="B6093" s="20" t="s">
        <v>70</v>
      </c>
      <c r="C6093" s="20" t="s">
        <v>8</v>
      </c>
      <c r="D6093" s="20" t="s">
        <v>10</v>
      </c>
      <c r="E6093" s="20" t="s">
        <v>17</v>
      </c>
      <c r="F6093" s="20" t="str">
        <f>INDEX(nrg_cb_e!$A$3:$A$40,MATCH(LEFT(MID('Industriesektor GWh'!$B6093,41,1000),SEARCH(" - ",MID('Industriesektor GWh'!$B6093,41,1000))-1),nrg_cb_e!$C$3:$C$40,0))</f>
        <v>FC_IND_PPP_E</v>
      </c>
      <c r="G6093" s="21">
        <v>0</v>
      </c>
    </row>
    <row r="6094" spans="1:7" x14ac:dyDescent="0.2">
      <c r="A6094" s="16" t="s">
        <v>46</v>
      </c>
      <c r="B6094" s="17" t="s">
        <v>70</v>
      </c>
      <c r="C6094" s="17" t="s">
        <v>8</v>
      </c>
      <c r="D6094" s="17" t="s">
        <v>10</v>
      </c>
      <c r="E6094" s="17" t="s">
        <v>18</v>
      </c>
      <c r="F6094" s="17" t="str">
        <f>INDEX(nrg_cb_e!$A$3:$A$40,MATCH(LEFT(MID('Industriesektor GWh'!$B6094,41,1000),SEARCH(" - ",MID('Industriesektor GWh'!$B6094,41,1000))-1),nrg_cb_e!$C$3:$C$40,0))</f>
        <v>FC_IND_PPP_E</v>
      </c>
      <c r="G6094" s="18">
        <v>0</v>
      </c>
    </row>
    <row r="6095" spans="1:7" x14ac:dyDescent="0.2">
      <c r="A6095" s="19" t="s">
        <v>46</v>
      </c>
      <c r="B6095" s="20" t="s">
        <v>70</v>
      </c>
      <c r="C6095" s="20" t="s">
        <v>8</v>
      </c>
      <c r="D6095" s="20" t="s">
        <v>10</v>
      </c>
      <c r="E6095" s="20" t="s">
        <v>19</v>
      </c>
      <c r="F6095" s="20" t="str">
        <f>INDEX(nrg_cb_e!$A$3:$A$40,MATCH(LEFT(MID('Industriesektor GWh'!$B6095,41,1000),SEARCH(" - ",MID('Industriesektor GWh'!$B6095,41,1000))-1),nrg_cb_e!$C$3:$C$40,0))</f>
        <v>FC_IND_PPP_E</v>
      </c>
      <c r="G6095" s="21">
        <v>0</v>
      </c>
    </row>
    <row r="6096" spans="1:7" x14ac:dyDescent="0.2">
      <c r="A6096" s="16" t="s">
        <v>46</v>
      </c>
      <c r="B6096" s="17" t="s">
        <v>70</v>
      </c>
      <c r="C6096" s="17" t="s">
        <v>8</v>
      </c>
      <c r="D6096" s="17" t="s">
        <v>10</v>
      </c>
      <c r="E6096" s="17" t="s">
        <v>20</v>
      </c>
      <c r="F6096" s="17" t="str">
        <f>INDEX(nrg_cb_e!$A$3:$A$40,MATCH(LEFT(MID('Industriesektor GWh'!$B6096,41,1000),SEARCH(" - ",MID('Industriesektor GWh'!$B6096,41,1000))-1),nrg_cb_e!$C$3:$C$40,0))</f>
        <v>FC_IND_PPP_E</v>
      </c>
      <c r="G6096" s="18">
        <v>20</v>
      </c>
    </row>
    <row r="6097" spans="1:7" x14ac:dyDescent="0.2">
      <c r="A6097" s="19" t="s">
        <v>46</v>
      </c>
      <c r="B6097" s="20" t="s">
        <v>70</v>
      </c>
      <c r="C6097" s="20" t="s">
        <v>8</v>
      </c>
      <c r="D6097" s="20" t="s">
        <v>10</v>
      </c>
      <c r="E6097" s="20" t="s">
        <v>21</v>
      </c>
      <c r="F6097" s="20" t="str">
        <f>INDEX(nrg_cb_e!$A$3:$A$40,MATCH(LEFT(MID('Industriesektor GWh'!$B6097,41,1000),SEARCH(" - ",MID('Industriesektor GWh'!$B6097,41,1000))-1),nrg_cb_e!$C$3:$C$40,0))</f>
        <v>FC_IND_PPP_E</v>
      </c>
      <c r="G6097" s="21">
        <v>22</v>
      </c>
    </row>
    <row r="6098" spans="1:7" x14ac:dyDescent="0.2">
      <c r="A6098" s="16" t="s">
        <v>46</v>
      </c>
      <c r="B6098" s="17" t="s">
        <v>70</v>
      </c>
      <c r="C6098" s="17" t="s">
        <v>8</v>
      </c>
      <c r="D6098" s="17" t="s">
        <v>10</v>
      </c>
      <c r="E6098" s="17" t="s">
        <v>22</v>
      </c>
      <c r="F6098" s="17" t="str">
        <f>INDEX(nrg_cb_e!$A$3:$A$40,MATCH(LEFT(MID('Industriesektor GWh'!$B6098,41,1000),SEARCH(" - ",MID('Industriesektor GWh'!$B6098,41,1000))-1),nrg_cb_e!$C$3:$C$40,0))</f>
        <v>FC_IND_PPP_E</v>
      </c>
      <c r="G6098" s="18">
        <v>22</v>
      </c>
    </row>
    <row r="6099" spans="1:7" x14ac:dyDescent="0.2">
      <c r="A6099" s="19" t="s">
        <v>46</v>
      </c>
      <c r="B6099" s="20" t="s">
        <v>70</v>
      </c>
      <c r="C6099" s="20" t="s">
        <v>8</v>
      </c>
      <c r="D6099" s="20" t="s">
        <v>10</v>
      </c>
      <c r="E6099" s="20" t="s">
        <v>23</v>
      </c>
      <c r="F6099" s="20" t="str">
        <f>INDEX(nrg_cb_e!$A$3:$A$40,MATCH(LEFT(MID('Industriesektor GWh'!$B6099,41,1000),SEARCH(" - ",MID('Industriesektor GWh'!$B6099,41,1000))-1),nrg_cb_e!$C$3:$C$40,0))</f>
        <v>FC_IND_PPP_E</v>
      </c>
      <c r="G6099" s="21">
        <v>22</v>
      </c>
    </row>
    <row r="6100" spans="1:7" x14ac:dyDescent="0.2">
      <c r="A6100" s="16" t="s">
        <v>46</v>
      </c>
      <c r="B6100" s="17" t="s">
        <v>70</v>
      </c>
      <c r="C6100" s="17" t="s">
        <v>8</v>
      </c>
      <c r="D6100" s="17" t="s">
        <v>10</v>
      </c>
      <c r="E6100" s="17" t="s">
        <v>24</v>
      </c>
      <c r="F6100" s="17" t="str">
        <f>INDEX(nrg_cb_e!$A$3:$A$40,MATCH(LEFT(MID('Industriesektor GWh'!$B6100,41,1000),SEARCH(" - ",MID('Industriesektor GWh'!$B6100,41,1000))-1),nrg_cb_e!$C$3:$C$40,0))</f>
        <v>FC_IND_PPP_E</v>
      </c>
      <c r="G6100" s="18">
        <v>23</v>
      </c>
    </row>
    <row r="6101" spans="1:7" x14ac:dyDescent="0.2">
      <c r="A6101" s="19" t="s">
        <v>46</v>
      </c>
      <c r="B6101" s="20" t="s">
        <v>70</v>
      </c>
      <c r="C6101" s="20" t="s">
        <v>8</v>
      </c>
      <c r="D6101" s="20" t="s">
        <v>10</v>
      </c>
      <c r="E6101" s="20" t="s">
        <v>25</v>
      </c>
      <c r="F6101" s="20" t="str">
        <f>INDEX(nrg_cb_e!$A$3:$A$40,MATCH(LEFT(MID('Industriesektor GWh'!$B6101,41,1000),SEARCH(" - ",MID('Industriesektor GWh'!$B6101,41,1000))-1),nrg_cb_e!$C$3:$C$40,0))</f>
        <v>FC_IND_PPP_E</v>
      </c>
      <c r="G6101" s="21">
        <v>23</v>
      </c>
    </row>
    <row r="6102" spans="1:7" x14ac:dyDescent="0.2">
      <c r="A6102" s="16" t="s">
        <v>46</v>
      </c>
      <c r="B6102" s="17" t="s">
        <v>70</v>
      </c>
      <c r="C6102" s="17" t="s">
        <v>8</v>
      </c>
      <c r="D6102" s="17" t="s">
        <v>10</v>
      </c>
      <c r="E6102" s="17" t="s">
        <v>26</v>
      </c>
      <c r="F6102" s="17" t="str">
        <f>INDEX(nrg_cb_e!$A$3:$A$40,MATCH(LEFT(MID('Industriesektor GWh'!$B6102,41,1000),SEARCH(" - ",MID('Industriesektor GWh'!$B6102,41,1000))-1),nrg_cb_e!$C$3:$C$40,0))</f>
        <v>FC_IND_PPP_E</v>
      </c>
      <c r="G6102" s="18">
        <v>24</v>
      </c>
    </row>
    <row r="6103" spans="1:7" x14ac:dyDescent="0.2">
      <c r="A6103" s="19" t="s">
        <v>46</v>
      </c>
      <c r="B6103" s="20" t="s">
        <v>70</v>
      </c>
      <c r="C6103" s="20" t="s">
        <v>8</v>
      </c>
      <c r="D6103" s="20" t="s">
        <v>10</v>
      </c>
      <c r="E6103" s="20" t="s">
        <v>27</v>
      </c>
      <c r="F6103" s="20" t="str">
        <f>INDEX(nrg_cb_e!$A$3:$A$40,MATCH(LEFT(MID('Industriesektor GWh'!$B6103,41,1000),SEARCH(" - ",MID('Industriesektor GWh'!$B6103,41,1000))-1),nrg_cb_e!$C$3:$C$40,0))</f>
        <v>FC_IND_PPP_E</v>
      </c>
      <c r="G6103" s="21">
        <v>25.196999999999999</v>
      </c>
    </row>
    <row r="6104" spans="1:7" x14ac:dyDescent="0.2">
      <c r="A6104" s="16" t="s">
        <v>46</v>
      </c>
      <c r="B6104" s="17" t="s">
        <v>70</v>
      </c>
      <c r="C6104" s="17" t="s">
        <v>8</v>
      </c>
      <c r="D6104" s="17" t="s">
        <v>10</v>
      </c>
      <c r="E6104" s="17" t="s">
        <v>28</v>
      </c>
      <c r="F6104" s="17" t="str">
        <f>INDEX(nrg_cb_e!$A$3:$A$40,MATCH(LEFT(MID('Industriesektor GWh'!$B6104,41,1000),SEARCH(" - ",MID('Industriesektor GWh'!$B6104,41,1000))-1),nrg_cb_e!$C$3:$C$40,0))</f>
        <v>FC_IND_PPP_E</v>
      </c>
      <c r="G6104" s="18">
        <v>26.994</v>
      </c>
    </row>
    <row r="6105" spans="1:7" x14ac:dyDescent="0.2">
      <c r="A6105" s="19" t="s">
        <v>47</v>
      </c>
      <c r="B6105" s="20" t="s">
        <v>70</v>
      </c>
      <c r="C6105" s="20" t="s">
        <v>8</v>
      </c>
      <c r="D6105" s="20" t="s">
        <v>10</v>
      </c>
      <c r="E6105" s="20" t="s">
        <v>12</v>
      </c>
      <c r="F6105" s="20" t="str">
        <f>INDEX(nrg_cb_e!$A$3:$A$40,MATCH(LEFT(MID('Industriesektor GWh'!$B6105,41,1000),SEARCH(" - ",MID('Industriesektor GWh'!$B6105,41,1000))-1),nrg_cb_e!$C$3:$C$40,0))</f>
        <v>FC_IND_PPP_E</v>
      </c>
      <c r="G6105" s="21">
        <v>3804</v>
      </c>
    </row>
    <row r="6106" spans="1:7" x14ac:dyDescent="0.2">
      <c r="A6106" s="16" t="s">
        <v>47</v>
      </c>
      <c r="B6106" s="17" t="s">
        <v>70</v>
      </c>
      <c r="C6106" s="17" t="s">
        <v>8</v>
      </c>
      <c r="D6106" s="17" t="s">
        <v>10</v>
      </c>
      <c r="E6106" s="17" t="s">
        <v>13</v>
      </c>
      <c r="F6106" s="17" t="str">
        <f>INDEX(nrg_cb_e!$A$3:$A$40,MATCH(LEFT(MID('Industriesektor GWh'!$B6106,41,1000),SEARCH(" - ",MID('Industriesektor GWh'!$B6106,41,1000))-1),nrg_cb_e!$C$3:$C$40,0))</f>
        <v>FC_IND_PPP_E</v>
      </c>
      <c r="G6106" s="18">
        <v>3694</v>
      </c>
    </row>
    <row r="6107" spans="1:7" x14ac:dyDescent="0.2">
      <c r="A6107" s="19" t="s">
        <v>47</v>
      </c>
      <c r="B6107" s="20" t="s">
        <v>70</v>
      </c>
      <c r="C6107" s="20" t="s">
        <v>8</v>
      </c>
      <c r="D6107" s="20" t="s">
        <v>10</v>
      </c>
      <c r="E6107" s="20" t="s">
        <v>14</v>
      </c>
      <c r="F6107" s="20" t="str">
        <f>INDEX(nrg_cb_e!$A$3:$A$40,MATCH(LEFT(MID('Industriesektor GWh'!$B6107,41,1000),SEARCH(" - ",MID('Industriesektor GWh'!$B6107,41,1000))-1),nrg_cb_e!$C$3:$C$40,0))</f>
        <v>FC_IND_PPP_E</v>
      </c>
      <c r="G6107" s="21">
        <v>3682</v>
      </c>
    </row>
    <row r="6108" spans="1:7" x14ac:dyDescent="0.2">
      <c r="A6108" s="16" t="s">
        <v>47</v>
      </c>
      <c r="B6108" s="17" t="s">
        <v>70</v>
      </c>
      <c r="C6108" s="17" t="s">
        <v>8</v>
      </c>
      <c r="D6108" s="17" t="s">
        <v>10</v>
      </c>
      <c r="E6108" s="17" t="s">
        <v>15</v>
      </c>
      <c r="F6108" s="17" t="str">
        <f>INDEX(nrg_cb_e!$A$3:$A$40,MATCH(LEFT(MID('Industriesektor GWh'!$B6108,41,1000),SEARCH(" - ",MID('Industriesektor GWh'!$B6108,41,1000))-1),nrg_cb_e!$C$3:$C$40,0))</f>
        <v>FC_IND_PPP_E</v>
      </c>
      <c r="G6108" s="18">
        <v>3630</v>
      </c>
    </row>
    <row r="6109" spans="1:7" x14ac:dyDescent="0.2">
      <c r="A6109" s="19" t="s">
        <v>47</v>
      </c>
      <c r="B6109" s="20" t="s">
        <v>70</v>
      </c>
      <c r="C6109" s="20" t="s">
        <v>8</v>
      </c>
      <c r="D6109" s="20" t="s">
        <v>10</v>
      </c>
      <c r="E6109" s="20" t="s">
        <v>16</v>
      </c>
      <c r="F6109" s="20" t="str">
        <f>INDEX(nrg_cb_e!$A$3:$A$40,MATCH(LEFT(MID('Industriesektor GWh'!$B6109,41,1000),SEARCH(" - ",MID('Industriesektor GWh'!$B6109,41,1000))-1),nrg_cb_e!$C$3:$C$40,0))</f>
        <v>FC_IND_PPP_E</v>
      </c>
      <c r="G6109" s="21">
        <v>3680</v>
      </c>
    </row>
    <row r="6110" spans="1:7" x14ac:dyDescent="0.2">
      <c r="A6110" s="16" t="s">
        <v>47</v>
      </c>
      <c r="B6110" s="17" t="s">
        <v>70</v>
      </c>
      <c r="C6110" s="17" t="s">
        <v>8</v>
      </c>
      <c r="D6110" s="17" t="s">
        <v>10</v>
      </c>
      <c r="E6110" s="17" t="s">
        <v>17</v>
      </c>
      <c r="F6110" s="17" t="str">
        <f>INDEX(nrg_cb_e!$A$3:$A$40,MATCH(LEFT(MID('Industriesektor GWh'!$B6110,41,1000),SEARCH(" - ",MID('Industriesektor GWh'!$B6110,41,1000))-1),nrg_cb_e!$C$3:$C$40,0))</f>
        <v>FC_IND_PPP_E</v>
      </c>
      <c r="G6110" s="18">
        <v>3686</v>
      </c>
    </row>
    <row r="6111" spans="1:7" x14ac:dyDescent="0.2">
      <c r="A6111" s="19" t="s">
        <v>47</v>
      </c>
      <c r="B6111" s="20" t="s">
        <v>70</v>
      </c>
      <c r="C6111" s="20" t="s">
        <v>8</v>
      </c>
      <c r="D6111" s="20" t="s">
        <v>10</v>
      </c>
      <c r="E6111" s="20" t="s">
        <v>18</v>
      </c>
      <c r="F6111" s="20" t="str">
        <f>INDEX(nrg_cb_e!$A$3:$A$40,MATCH(LEFT(MID('Industriesektor GWh'!$B6111,41,1000),SEARCH(" - ",MID('Industriesektor GWh'!$B6111,41,1000))-1),nrg_cb_e!$C$3:$C$40,0))</f>
        <v>FC_IND_PPP_E</v>
      </c>
      <c r="G6111" s="21">
        <v>3623</v>
      </c>
    </row>
    <row r="6112" spans="1:7" x14ac:dyDescent="0.2">
      <c r="A6112" s="16" t="s">
        <v>47</v>
      </c>
      <c r="B6112" s="17" t="s">
        <v>70</v>
      </c>
      <c r="C6112" s="17" t="s">
        <v>8</v>
      </c>
      <c r="D6112" s="17" t="s">
        <v>10</v>
      </c>
      <c r="E6112" s="17" t="s">
        <v>19</v>
      </c>
      <c r="F6112" s="17" t="str">
        <f>INDEX(nrg_cb_e!$A$3:$A$40,MATCH(LEFT(MID('Industriesektor GWh'!$B6112,41,1000),SEARCH(" - ",MID('Industriesektor GWh'!$B6112,41,1000))-1),nrg_cb_e!$C$3:$C$40,0))</f>
        <v>FC_IND_PPP_E</v>
      </c>
      <c r="G6112" s="18">
        <v>2717</v>
      </c>
    </row>
    <row r="6113" spans="1:7" x14ac:dyDescent="0.2">
      <c r="A6113" s="19" t="s">
        <v>47</v>
      </c>
      <c r="B6113" s="20" t="s">
        <v>70</v>
      </c>
      <c r="C6113" s="20" t="s">
        <v>8</v>
      </c>
      <c r="D6113" s="20" t="s">
        <v>10</v>
      </c>
      <c r="E6113" s="20" t="s">
        <v>20</v>
      </c>
      <c r="F6113" s="20" t="str">
        <f>INDEX(nrg_cb_e!$A$3:$A$40,MATCH(LEFT(MID('Industriesektor GWh'!$B6113,41,1000),SEARCH(" - ",MID('Industriesektor GWh'!$B6113,41,1000))-1),nrg_cb_e!$C$3:$C$40,0))</f>
        <v>FC_IND_PPP_E</v>
      </c>
      <c r="G6113" s="21">
        <v>2682</v>
      </c>
    </row>
    <row r="6114" spans="1:7" x14ac:dyDescent="0.2">
      <c r="A6114" s="16" t="s">
        <v>47</v>
      </c>
      <c r="B6114" s="17" t="s">
        <v>70</v>
      </c>
      <c r="C6114" s="17" t="s">
        <v>8</v>
      </c>
      <c r="D6114" s="17" t="s">
        <v>10</v>
      </c>
      <c r="E6114" s="17" t="s">
        <v>21</v>
      </c>
      <c r="F6114" s="17" t="str">
        <f>INDEX(nrg_cb_e!$A$3:$A$40,MATCH(LEFT(MID('Industriesektor GWh'!$B6114,41,1000),SEARCH(" - ",MID('Industriesektor GWh'!$B6114,41,1000))-1),nrg_cb_e!$C$3:$C$40,0))</f>
        <v>FC_IND_PPP_E</v>
      </c>
      <c r="G6114" s="18">
        <v>2499</v>
      </c>
    </row>
    <row r="6115" spans="1:7" x14ac:dyDescent="0.2">
      <c r="A6115" s="19" t="s">
        <v>47</v>
      </c>
      <c r="B6115" s="20" t="s">
        <v>70</v>
      </c>
      <c r="C6115" s="20" t="s">
        <v>8</v>
      </c>
      <c r="D6115" s="20" t="s">
        <v>10</v>
      </c>
      <c r="E6115" s="20" t="s">
        <v>22</v>
      </c>
      <c r="F6115" s="20" t="str">
        <f>INDEX(nrg_cb_e!$A$3:$A$40,MATCH(LEFT(MID('Industriesektor GWh'!$B6115,41,1000),SEARCH(" - ",MID('Industriesektor GWh'!$B6115,41,1000))-1),nrg_cb_e!$C$3:$C$40,0))</f>
        <v>FC_IND_PPP_E</v>
      </c>
      <c r="G6115" s="21">
        <v>2503</v>
      </c>
    </row>
    <row r="6116" spans="1:7" x14ac:dyDescent="0.2">
      <c r="A6116" s="16" t="s">
        <v>47</v>
      </c>
      <c r="B6116" s="17" t="s">
        <v>70</v>
      </c>
      <c r="C6116" s="17" t="s">
        <v>8</v>
      </c>
      <c r="D6116" s="17" t="s">
        <v>10</v>
      </c>
      <c r="E6116" s="17" t="s">
        <v>23</v>
      </c>
      <c r="F6116" s="17" t="str">
        <f>INDEX(nrg_cb_e!$A$3:$A$40,MATCH(LEFT(MID('Industriesektor GWh'!$B6116,41,1000),SEARCH(" - ",MID('Industriesektor GWh'!$B6116,41,1000))-1),nrg_cb_e!$C$3:$C$40,0))</f>
        <v>FC_IND_PPP_E</v>
      </c>
      <c r="G6116" s="18">
        <v>2542</v>
      </c>
    </row>
    <row r="6117" spans="1:7" x14ac:dyDescent="0.2">
      <c r="A6117" s="19" t="s">
        <v>47</v>
      </c>
      <c r="B6117" s="20" t="s">
        <v>70</v>
      </c>
      <c r="C6117" s="20" t="s">
        <v>8</v>
      </c>
      <c r="D6117" s="20" t="s">
        <v>10</v>
      </c>
      <c r="E6117" s="20" t="s">
        <v>24</v>
      </c>
      <c r="F6117" s="20" t="str">
        <f>INDEX(nrg_cb_e!$A$3:$A$40,MATCH(LEFT(MID('Industriesektor GWh'!$B6117,41,1000),SEARCH(" - ",MID('Industriesektor GWh'!$B6117,41,1000))-1),nrg_cb_e!$C$3:$C$40,0))</f>
        <v>FC_IND_PPP_E</v>
      </c>
      <c r="G6117" s="21">
        <v>2303</v>
      </c>
    </row>
    <row r="6118" spans="1:7" x14ac:dyDescent="0.2">
      <c r="A6118" s="16" t="s">
        <v>47</v>
      </c>
      <c r="B6118" s="17" t="s">
        <v>70</v>
      </c>
      <c r="C6118" s="17" t="s">
        <v>8</v>
      </c>
      <c r="D6118" s="17" t="s">
        <v>10</v>
      </c>
      <c r="E6118" s="17" t="s">
        <v>25</v>
      </c>
      <c r="F6118" s="17" t="str">
        <f>INDEX(nrg_cb_e!$A$3:$A$40,MATCH(LEFT(MID('Industriesektor GWh'!$B6118,41,1000),SEARCH(" - ",MID('Industriesektor GWh'!$B6118,41,1000))-1),nrg_cb_e!$C$3:$C$40,0))</f>
        <v>FC_IND_PPP_E</v>
      </c>
      <c r="G6118" s="18">
        <v>2410.8110000000001</v>
      </c>
    </row>
    <row r="6119" spans="1:7" x14ac:dyDescent="0.2">
      <c r="A6119" s="19" t="s">
        <v>47</v>
      </c>
      <c r="B6119" s="20" t="s">
        <v>70</v>
      </c>
      <c r="C6119" s="20" t="s">
        <v>8</v>
      </c>
      <c r="D6119" s="20" t="s">
        <v>10</v>
      </c>
      <c r="E6119" s="20" t="s">
        <v>26</v>
      </c>
      <c r="F6119" s="20" t="str">
        <f>INDEX(nrg_cb_e!$A$3:$A$40,MATCH(LEFT(MID('Industriesektor GWh'!$B6119,41,1000),SEARCH(" - ",MID('Industriesektor GWh'!$B6119,41,1000))-1),nrg_cb_e!$C$3:$C$40,0))</f>
        <v>FC_IND_PPP_E</v>
      </c>
      <c r="G6119" s="21">
        <v>2492.0990000000002</v>
      </c>
    </row>
    <row r="6120" spans="1:7" x14ac:dyDescent="0.2">
      <c r="A6120" s="16" t="s">
        <v>47</v>
      </c>
      <c r="B6120" s="17" t="s">
        <v>70</v>
      </c>
      <c r="C6120" s="17" t="s">
        <v>8</v>
      </c>
      <c r="D6120" s="17" t="s">
        <v>10</v>
      </c>
      <c r="E6120" s="17" t="s">
        <v>27</v>
      </c>
      <c r="F6120" s="17" t="str">
        <f>INDEX(nrg_cb_e!$A$3:$A$40,MATCH(LEFT(MID('Industriesektor GWh'!$B6120,41,1000),SEARCH(" - ",MID('Industriesektor GWh'!$B6120,41,1000))-1),nrg_cb_e!$C$3:$C$40,0))</f>
        <v>FC_IND_PPP_E</v>
      </c>
      <c r="G6120" s="18">
        <v>2493.2280000000001</v>
      </c>
    </row>
    <row r="6121" spans="1:7" x14ac:dyDescent="0.2">
      <c r="A6121" s="19" t="s">
        <v>47</v>
      </c>
      <c r="B6121" s="20" t="s">
        <v>70</v>
      </c>
      <c r="C6121" s="20" t="s">
        <v>8</v>
      </c>
      <c r="D6121" s="20" t="s">
        <v>10</v>
      </c>
      <c r="E6121" s="20" t="s">
        <v>28</v>
      </c>
      <c r="F6121" s="20" t="str">
        <f>INDEX(nrg_cb_e!$A$3:$A$40,MATCH(LEFT(MID('Industriesektor GWh'!$B6121,41,1000),SEARCH(" - ",MID('Industriesektor GWh'!$B6121,41,1000))-1),nrg_cb_e!$C$3:$C$40,0))</f>
        <v>FC_IND_PPP_E</v>
      </c>
      <c r="G6121" s="21">
        <v>2247.1999999999998</v>
      </c>
    </row>
    <row r="6122" spans="1:7" x14ac:dyDescent="0.2">
      <c r="A6122" s="16" t="s">
        <v>48</v>
      </c>
      <c r="B6122" s="17" t="s">
        <v>70</v>
      </c>
      <c r="C6122" s="17" t="s">
        <v>8</v>
      </c>
      <c r="D6122" s="17" t="s">
        <v>10</v>
      </c>
      <c r="E6122" s="17" t="s">
        <v>12</v>
      </c>
      <c r="F6122" s="17" t="str">
        <f>INDEX(nrg_cb_e!$A$3:$A$40,MATCH(LEFT(MID('Industriesektor GWh'!$B6122,41,1000),SEARCH(" - ",MID('Industriesektor GWh'!$B6122,41,1000))-1),nrg_cb_e!$C$3:$C$40,0))</f>
        <v>FC_IND_PPP_E</v>
      </c>
      <c r="G6122" s="18">
        <v>4759</v>
      </c>
    </row>
    <row r="6123" spans="1:7" x14ac:dyDescent="0.2">
      <c r="A6123" s="19" t="s">
        <v>48</v>
      </c>
      <c r="B6123" s="20" t="s">
        <v>70</v>
      </c>
      <c r="C6123" s="20" t="s">
        <v>8</v>
      </c>
      <c r="D6123" s="20" t="s">
        <v>10</v>
      </c>
      <c r="E6123" s="20" t="s">
        <v>13</v>
      </c>
      <c r="F6123" s="20" t="str">
        <f>INDEX(nrg_cb_e!$A$3:$A$40,MATCH(LEFT(MID('Industriesektor GWh'!$B6123,41,1000),SEARCH(" - ",MID('Industriesektor GWh'!$B6123,41,1000))-1),nrg_cb_e!$C$3:$C$40,0))</f>
        <v>FC_IND_PPP_E</v>
      </c>
      <c r="G6123" s="21">
        <v>4547</v>
      </c>
    </row>
    <row r="6124" spans="1:7" x14ac:dyDescent="0.2">
      <c r="A6124" s="16" t="s">
        <v>48</v>
      </c>
      <c r="B6124" s="17" t="s">
        <v>70</v>
      </c>
      <c r="C6124" s="17" t="s">
        <v>8</v>
      </c>
      <c r="D6124" s="17" t="s">
        <v>10</v>
      </c>
      <c r="E6124" s="17" t="s">
        <v>14</v>
      </c>
      <c r="F6124" s="17" t="str">
        <f>INDEX(nrg_cb_e!$A$3:$A$40,MATCH(LEFT(MID('Industriesektor GWh'!$B6124,41,1000),SEARCH(" - ",MID('Industriesektor GWh'!$B6124,41,1000))-1),nrg_cb_e!$C$3:$C$40,0))</f>
        <v>FC_IND_PPP_E</v>
      </c>
      <c r="G6124" s="18">
        <v>4884</v>
      </c>
    </row>
    <row r="6125" spans="1:7" x14ac:dyDescent="0.2">
      <c r="A6125" s="19" t="s">
        <v>48</v>
      </c>
      <c r="B6125" s="20" t="s">
        <v>70</v>
      </c>
      <c r="C6125" s="20" t="s">
        <v>8</v>
      </c>
      <c r="D6125" s="20" t="s">
        <v>10</v>
      </c>
      <c r="E6125" s="20" t="s">
        <v>15</v>
      </c>
      <c r="F6125" s="20" t="str">
        <f>INDEX(nrg_cb_e!$A$3:$A$40,MATCH(LEFT(MID('Industriesektor GWh'!$B6125,41,1000),SEARCH(" - ",MID('Industriesektor GWh'!$B6125,41,1000))-1),nrg_cb_e!$C$3:$C$40,0))</f>
        <v>FC_IND_PPP_E</v>
      </c>
      <c r="G6125" s="21">
        <v>4935.3760000000002</v>
      </c>
    </row>
    <row r="6126" spans="1:7" x14ac:dyDescent="0.2">
      <c r="A6126" s="16" t="s">
        <v>48</v>
      </c>
      <c r="B6126" s="17" t="s">
        <v>70</v>
      </c>
      <c r="C6126" s="17" t="s">
        <v>8</v>
      </c>
      <c r="D6126" s="17" t="s">
        <v>10</v>
      </c>
      <c r="E6126" s="17" t="s">
        <v>16</v>
      </c>
      <c r="F6126" s="17" t="str">
        <f>INDEX(nrg_cb_e!$A$3:$A$40,MATCH(LEFT(MID('Industriesektor GWh'!$B6126,41,1000),SEARCH(" - ",MID('Industriesektor GWh'!$B6126,41,1000))-1),nrg_cb_e!$C$3:$C$40,0))</f>
        <v>FC_IND_PPP_E</v>
      </c>
      <c r="G6126" s="18">
        <v>4944.9560000000001</v>
      </c>
    </row>
    <row r="6127" spans="1:7" x14ac:dyDescent="0.2">
      <c r="A6127" s="19" t="s">
        <v>48</v>
      </c>
      <c r="B6127" s="20" t="s">
        <v>70</v>
      </c>
      <c r="C6127" s="20" t="s">
        <v>8</v>
      </c>
      <c r="D6127" s="20" t="s">
        <v>10</v>
      </c>
      <c r="E6127" s="20" t="s">
        <v>17</v>
      </c>
      <c r="F6127" s="20" t="str">
        <f>INDEX(nrg_cb_e!$A$3:$A$40,MATCH(LEFT(MID('Industriesektor GWh'!$B6127,41,1000),SEARCH(" - ",MID('Industriesektor GWh'!$B6127,41,1000))-1),nrg_cb_e!$C$3:$C$40,0))</f>
        <v>FC_IND_PPP_E</v>
      </c>
      <c r="G6127" s="21">
        <v>5007.0200000000004</v>
      </c>
    </row>
    <row r="6128" spans="1:7" x14ac:dyDescent="0.2">
      <c r="A6128" s="16" t="s">
        <v>48</v>
      </c>
      <c r="B6128" s="17" t="s">
        <v>70</v>
      </c>
      <c r="C6128" s="17" t="s">
        <v>8</v>
      </c>
      <c r="D6128" s="17" t="s">
        <v>10</v>
      </c>
      <c r="E6128" s="17" t="s">
        <v>18</v>
      </c>
      <c r="F6128" s="17" t="str">
        <f>INDEX(nrg_cb_e!$A$3:$A$40,MATCH(LEFT(MID('Industriesektor GWh'!$B6128,41,1000),SEARCH(" - ",MID('Industriesektor GWh'!$B6128,41,1000))-1),nrg_cb_e!$C$3:$C$40,0))</f>
        <v>FC_IND_PPP_E</v>
      </c>
      <c r="G6128" s="18">
        <v>4803.192</v>
      </c>
    </row>
    <row r="6129" spans="1:7" x14ac:dyDescent="0.2">
      <c r="A6129" s="19" t="s">
        <v>48</v>
      </c>
      <c r="B6129" s="20" t="s">
        <v>70</v>
      </c>
      <c r="C6129" s="20" t="s">
        <v>8</v>
      </c>
      <c r="D6129" s="20" t="s">
        <v>10</v>
      </c>
      <c r="E6129" s="20" t="s">
        <v>19</v>
      </c>
      <c r="F6129" s="20" t="str">
        <f>INDEX(nrg_cb_e!$A$3:$A$40,MATCH(LEFT(MID('Industriesektor GWh'!$B6129,41,1000),SEARCH(" - ",MID('Industriesektor GWh'!$B6129,41,1000))-1),nrg_cb_e!$C$3:$C$40,0))</f>
        <v>FC_IND_PPP_E</v>
      </c>
      <c r="G6129" s="21">
        <v>4365.0349999999999</v>
      </c>
    </row>
    <row r="6130" spans="1:7" x14ac:dyDescent="0.2">
      <c r="A6130" s="16" t="s">
        <v>48</v>
      </c>
      <c r="B6130" s="17" t="s">
        <v>70</v>
      </c>
      <c r="C6130" s="17" t="s">
        <v>8</v>
      </c>
      <c r="D6130" s="17" t="s">
        <v>10</v>
      </c>
      <c r="E6130" s="17" t="s">
        <v>20</v>
      </c>
      <c r="F6130" s="17" t="str">
        <f>INDEX(nrg_cb_e!$A$3:$A$40,MATCH(LEFT(MID('Industriesektor GWh'!$B6130,41,1000),SEARCH(" - ",MID('Industriesektor GWh'!$B6130,41,1000))-1),nrg_cb_e!$C$3:$C$40,0))</f>
        <v>FC_IND_PPP_E</v>
      </c>
      <c r="G6130" s="18">
        <v>4709.8509999999997</v>
      </c>
    </row>
    <row r="6131" spans="1:7" x14ac:dyDescent="0.2">
      <c r="A6131" s="19" t="s">
        <v>48</v>
      </c>
      <c r="B6131" s="20" t="s">
        <v>70</v>
      </c>
      <c r="C6131" s="20" t="s">
        <v>8</v>
      </c>
      <c r="D6131" s="20" t="s">
        <v>10</v>
      </c>
      <c r="E6131" s="20" t="s">
        <v>21</v>
      </c>
      <c r="F6131" s="20" t="str">
        <f>INDEX(nrg_cb_e!$A$3:$A$40,MATCH(LEFT(MID('Industriesektor GWh'!$B6131,41,1000),SEARCH(" - ",MID('Industriesektor GWh'!$B6131,41,1000))-1),nrg_cb_e!$C$3:$C$40,0))</f>
        <v>FC_IND_PPP_E</v>
      </c>
      <c r="G6131" s="21">
        <v>4658.2070000000003</v>
      </c>
    </row>
    <row r="6132" spans="1:7" x14ac:dyDescent="0.2">
      <c r="A6132" s="16" t="s">
        <v>48</v>
      </c>
      <c r="B6132" s="17" t="s">
        <v>70</v>
      </c>
      <c r="C6132" s="17" t="s">
        <v>8</v>
      </c>
      <c r="D6132" s="17" t="s">
        <v>10</v>
      </c>
      <c r="E6132" s="17" t="s">
        <v>22</v>
      </c>
      <c r="F6132" s="17" t="str">
        <f>INDEX(nrg_cb_e!$A$3:$A$40,MATCH(LEFT(MID('Industriesektor GWh'!$B6132,41,1000),SEARCH(" - ",MID('Industriesektor GWh'!$B6132,41,1000))-1),nrg_cb_e!$C$3:$C$40,0))</f>
        <v>FC_IND_PPP_E</v>
      </c>
      <c r="G6132" s="18">
        <v>4773.38</v>
      </c>
    </row>
    <row r="6133" spans="1:7" x14ac:dyDescent="0.2">
      <c r="A6133" s="19" t="s">
        <v>48</v>
      </c>
      <c r="B6133" s="20" t="s">
        <v>70</v>
      </c>
      <c r="C6133" s="20" t="s">
        <v>8</v>
      </c>
      <c r="D6133" s="20" t="s">
        <v>10</v>
      </c>
      <c r="E6133" s="20" t="s">
        <v>23</v>
      </c>
      <c r="F6133" s="20" t="str">
        <f>INDEX(nrg_cb_e!$A$3:$A$40,MATCH(LEFT(MID('Industriesektor GWh'!$B6133,41,1000),SEARCH(" - ",MID('Industriesektor GWh'!$B6133,41,1000))-1),nrg_cb_e!$C$3:$C$40,0))</f>
        <v>FC_IND_PPP_E</v>
      </c>
      <c r="G6133" s="21">
        <v>4902.0460000000003</v>
      </c>
    </row>
    <row r="6134" spans="1:7" x14ac:dyDescent="0.2">
      <c r="A6134" s="16" t="s">
        <v>48</v>
      </c>
      <c r="B6134" s="17" t="s">
        <v>70</v>
      </c>
      <c r="C6134" s="17" t="s">
        <v>8</v>
      </c>
      <c r="D6134" s="17" t="s">
        <v>10</v>
      </c>
      <c r="E6134" s="17" t="s">
        <v>24</v>
      </c>
      <c r="F6134" s="17" t="str">
        <f>INDEX(nrg_cb_e!$A$3:$A$40,MATCH(LEFT(MID('Industriesektor GWh'!$B6134,41,1000),SEARCH(" - ",MID('Industriesektor GWh'!$B6134,41,1000))-1),nrg_cb_e!$C$3:$C$40,0))</f>
        <v>FC_IND_PPP_E</v>
      </c>
      <c r="G6134" s="18">
        <v>4786.1229999999996</v>
      </c>
    </row>
    <row r="6135" spans="1:7" x14ac:dyDescent="0.2">
      <c r="A6135" s="19" t="s">
        <v>48</v>
      </c>
      <c r="B6135" s="20" t="s">
        <v>70</v>
      </c>
      <c r="C6135" s="20" t="s">
        <v>8</v>
      </c>
      <c r="D6135" s="20" t="s">
        <v>10</v>
      </c>
      <c r="E6135" s="20" t="s">
        <v>25</v>
      </c>
      <c r="F6135" s="20" t="str">
        <f>INDEX(nrg_cb_e!$A$3:$A$40,MATCH(LEFT(MID('Industriesektor GWh'!$B6135,41,1000),SEARCH(" - ",MID('Industriesektor GWh'!$B6135,41,1000))-1),nrg_cb_e!$C$3:$C$40,0))</f>
        <v>FC_IND_PPP_E</v>
      </c>
      <c r="G6135" s="21">
        <v>4808.9889999999996</v>
      </c>
    </row>
    <row r="6136" spans="1:7" x14ac:dyDescent="0.2">
      <c r="A6136" s="16" t="s">
        <v>48</v>
      </c>
      <c r="B6136" s="17" t="s">
        <v>70</v>
      </c>
      <c r="C6136" s="17" t="s">
        <v>8</v>
      </c>
      <c r="D6136" s="17" t="s">
        <v>10</v>
      </c>
      <c r="E6136" s="17" t="s">
        <v>26</v>
      </c>
      <c r="F6136" s="17" t="str">
        <f>INDEX(nrg_cb_e!$A$3:$A$40,MATCH(LEFT(MID('Industriesektor GWh'!$B6136,41,1000),SEARCH(" - ",MID('Industriesektor GWh'!$B6136,41,1000))-1),nrg_cb_e!$C$3:$C$40,0))</f>
        <v>FC_IND_PPP_E</v>
      </c>
      <c r="G6136" s="18">
        <v>5018.6049999999996</v>
      </c>
    </row>
    <row r="6137" spans="1:7" x14ac:dyDescent="0.2">
      <c r="A6137" s="19" t="s">
        <v>48</v>
      </c>
      <c r="B6137" s="20" t="s">
        <v>70</v>
      </c>
      <c r="C6137" s="20" t="s">
        <v>8</v>
      </c>
      <c r="D6137" s="20" t="s">
        <v>10</v>
      </c>
      <c r="E6137" s="20" t="s">
        <v>27</v>
      </c>
      <c r="F6137" s="20" t="str">
        <f>INDEX(nrg_cb_e!$A$3:$A$40,MATCH(LEFT(MID('Industriesektor GWh'!$B6137,41,1000),SEARCH(" - ",MID('Industriesektor GWh'!$B6137,41,1000))-1),nrg_cb_e!$C$3:$C$40,0))</f>
        <v>FC_IND_PPP_E</v>
      </c>
      <c r="G6137" s="21">
        <v>4760.924</v>
      </c>
    </row>
    <row r="6138" spans="1:7" x14ac:dyDescent="0.2">
      <c r="A6138" s="16" t="s">
        <v>48</v>
      </c>
      <c r="B6138" s="17" t="s">
        <v>70</v>
      </c>
      <c r="C6138" s="17" t="s">
        <v>8</v>
      </c>
      <c r="D6138" s="17" t="s">
        <v>10</v>
      </c>
      <c r="E6138" s="17" t="s">
        <v>28</v>
      </c>
      <c r="F6138" s="17" t="str">
        <f>INDEX(nrg_cb_e!$A$3:$A$40,MATCH(LEFT(MID('Industriesektor GWh'!$B6138,41,1000),SEARCH(" - ",MID('Industriesektor GWh'!$B6138,41,1000))-1),nrg_cb_e!$C$3:$C$40,0))</f>
        <v>FC_IND_PPP_E</v>
      </c>
      <c r="G6138" s="18">
        <v>4827.9859999999999</v>
      </c>
    </row>
    <row r="6139" spans="1:7" x14ac:dyDescent="0.2">
      <c r="A6139" s="19" t="s">
        <v>49</v>
      </c>
      <c r="B6139" s="20" t="s">
        <v>70</v>
      </c>
      <c r="C6139" s="20" t="s">
        <v>8</v>
      </c>
      <c r="D6139" s="20" t="s">
        <v>10</v>
      </c>
      <c r="E6139" s="20" t="s">
        <v>12</v>
      </c>
      <c r="F6139" s="20" t="str">
        <f>INDEX(nrg_cb_e!$A$3:$A$40,MATCH(LEFT(MID('Industriesektor GWh'!$B6139,41,1000),SEARCH(" - ",MID('Industriesektor GWh'!$B6139,41,1000))-1),nrg_cb_e!$C$3:$C$40,0))</f>
        <v>FC_IND_PPP_E</v>
      </c>
      <c r="G6139" s="21">
        <v>2773</v>
      </c>
    </row>
    <row r="6140" spans="1:7" x14ac:dyDescent="0.2">
      <c r="A6140" s="16" t="s">
        <v>49</v>
      </c>
      <c r="B6140" s="17" t="s">
        <v>70</v>
      </c>
      <c r="C6140" s="17" t="s">
        <v>8</v>
      </c>
      <c r="D6140" s="17" t="s">
        <v>10</v>
      </c>
      <c r="E6140" s="17" t="s">
        <v>13</v>
      </c>
      <c r="F6140" s="17" t="str">
        <f>INDEX(nrg_cb_e!$A$3:$A$40,MATCH(LEFT(MID('Industriesektor GWh'!$B6140,41,1000),SEARCH(" - ",MID('Industriesektor GWh'!$B6140,41,1000))-1),nrg_cb_e!$C$3:$C$40,0))</f>
        <v>FC_IND_PPP_E</v>
      </c>
      <c r="G6140" s="18">
        <v>3004</v>
      </c>
    </row>
    <row r="6141" spans="1:7" x14ac:dyDescent="0.2">
      <c r="A6141" s="19" t="s">
        <v>49</v>
      </c>
      <c r="B6141" s="20" t="s">
        <v>70</v>
      </c>
      <c r="C6141" s="20" t="s">
        <v>8</v>
      </c>
      <c r="D6141" s="20" t="s">
        <v>10</v>
      </c>
      <c r="E6141" s="20" t="s">
        <v>14</v>
      </c>
      <c r="F6141" s="20" t="str">
        <f>INDEX(nrg_cb_e!$A$3:$A$40,MATCH(LEFT(MID('Industriesektor GWh'!$B6141,41,1000),SEARCH(" - ",MID('Industriesektor GWh'!$B6141,41,1000))-1),nrg_cb_e!$C$3:$C$40,0))</f>
        <v>FC_IND_PPP_E</v>
      </c>
      <c r="G6141" s="21">
        <v>2950</v>
      </c>
    </row>
    <row r="6142" spans="1:7" x14ac:dyDescent="0.2">
      <c r="A6142" s="16" t="s">
        <v>49</v>
      </c>
      <c r="B6142" s="17" t="s">
        <v>70</v>
      </c>
      <c r="C6142" s="17" t="s">
        <v>8</v>
      </c>
      <c r="D6142" s="17" t="s">
        <v>10</v>
      </c>
      <c r="E6142" s="17" t="s">
        <v>15</v>
      </c>
      <c r="F6142" s="17" t="str">
        <f>INDEX(nrg_cb_e!$A$3:$A$40,MATCH(LEFT(MID('Industriesektor GWh'!$B6142,41,1000),SEARCH(" - ",MID('Industriesektor GWh'!$B6142,41,1000))-1),nrg_cb_e!$C$3:$C$40,0))</f>
        <v>FC_IND_PPP_E</v>
      </c>
      <c r="G6142" s="18">
        <v>3119</v>
      </c>
    </row>
    <row r="6143" spans="1:7" x14ac:dyDescent="0.2">
      <c r="A6143" s="19" t="s">
        <v>49</v>
      </c>
      <c r="B6143" s="20" t="s">
        <v>70</v>
      </c>
      <c r="C6143" s="20" t="s">
        <v>8</v>
      </c>
      <c r="D6143" s="20" t="s">
        <v>10</v>
      </c>
      <c r="E6143" s="20" t="s">
        <v>16</v>
      </c>
      <c r="F6143" s="20" t="str">
        <f>INDEX(nrg_cb_e!$A$3:$A$40,MATCH(LEFT(MID('Industriesektor GWh'!$B6143,41,1000),SEARCH(" - ",MID('Industriesektor GWh'!$B6143,41,1000))-1),nrg_cb_e!$C$3:$C$40,0))</f>
        <v>FC_IND_PPP_E</v>
      </c>
      <c r="G6143" s="21">
        <v>3172</v>
      </c>
    </row>
    <row r="6144" spans="1:7" x14ac:dyDescent="0.2">
      <c r="A6144" s="16" t="s">
        <v>49</v>
      </c>
      <c r="B6144" s="17" t="s">
        <v>70</v>
      </c>
      <c r="C6144" s="17" t="s">
        <v>8</v>
      </c>
      <c r="D6144" s="17" t="s">
        <v>10</v>
      </c>
      <c r="E6144" s="17" t="s">
        <v>17</v>
      </c>
      <c r="F6144" s="17" t="str">
        <f>INDEX(nrg_cb_e!$A$3:$A$40,MATCH(LEFT(MID('Industriesektor GWh'!$B6144,41,1000),SEARCH(" - ",MID('Industriesektor GWh'!$B6144,41,1000))-1),nrg_cb_e!$C$3:$C$40,0))</f>
        <v>FC_IND_PPP_E</v>
      </c>
      <c r="G6144" s="18">
        <v>3271</v>
      </c>
    </row>
    <row r="6145" spans="1:7" x14ac:dyDescent="0.2">
      <c r="A6145" s="19" t="s">
        <v>49</v>
      </c>
      <c r="B6145" s="20" t="s">
        <v>70</v>
      </c>
      <c r="C6145" s="20" t="s">
        <v>8</v>
      </c>
      <c r="D6145" s="20" t="s">
        <v>10</v>
      </c>
      <c r="E6145" s="20" t="s">
        <v>18</v>
      </c>
      <c r="F6145" s="20" t="str">
        <f>INDEX(nrg_cb_e!$A$3:$A$40,MATCH(LEFT(MID('Industriesektor GWh'!$B6145,41,1000),SEARCH(" - ",MID('Industriesektor GWh'!$B6145,41,1000))-1),nrg_cb_e!$C$3:$C$40,0))</f>
        <v>FC_IND_PPP_E</v>
      </c>
      <c r="G6145" s="21">
        <v>3194</v>
      </c>
    </row>
    <row r="6146" spans="1:7" x14ac:dyDescent="0.2">
      <c r="A6146" s="16" t="s">
        <v>49</v>
      </c>
      <c r="B6146" s="17" t="s">
        <v>70</v>
      </c>
      <c r="C6146" s="17" t="s">
        <v>8</v>
      </c>
      <c r="D6146" s="17" t="s">
        <v>10</v>
      </c>
      <c r="E6146" s="17" t="s">
        <v>19</v>
      </c>
      <c r="F6146" s="17" t="str">
        <f>INDEX(nrg_cb_e!$A$3:$A$40,MATCH(LEFT(MID('Industriesektor GWh'!$B6146,41,1000),SEARCH(" - ",MID('Industriesektor GWh'!$B6146,41,1000))-1),nrg_cb_e!$C$3:$C$40,0))</f>
        <v>FC_IND_PPP_E</v>
      </c>
      <c r="G6146" s="18">
        <v>3418</v>
      </c>
    </row>
    <row r="6147" spans="1:7" x14ac:dyDescent="0.2">
      <c r="A6147" s="19" t="s">
        <v>49</v>
      </c>
      <c r="B6147" s="20" t="s">
        <v>70</v>
      </c>
      <c r="C6147" s="20" t="s">
        <v>8</v>
      </c>
      <c r="D6147" s="20" t="s">
        <v>10</v>
      </c>
      <c r="E6147" s="20" t="s">
        <v>20</v>
      </c>
      <c r="F6147" s="20" t="str">
        <f>INDEX(nrg_cb_e!$A$3:$A$40,MATCH(LEFT(MID('Industriesektor GWh'!$B6147,41,1000),SEARCH(" - ",MID('Industriesektor GWh'!$B6147,41,1000))-1),nrg_cb_e!$C$3:$C$40,0))</f>
        <v>FC_IND_PPP_E</v>
      </c>
      <c r="G6147" s="21">
        <v>3668</v>
      </c>
    </row>
    <row r="6148" spans="1:7" x14ac:dyDescent="0.2">
      <c r="A6148" s="16" t="s">
        <v>49</v>
      </c>
      <c r="B6148" s="17" t="s">
        <v>70</v>
      </c>
      <c r="C6148" s="17" t="s">
        <v>8</v>
      </c>
      <c r="D6148" s="17" t="s">
        <v>10</v>
      </c>
      <c r="E6148" s="17" t="s">
        <v>21</v>
      </c>
      <c r="F6148" s="17" t="str">
        <f>INDEX(nrg_cb_e!$A$3:$A$40,MATCH(LEFT(MID('Industriesektor GWh'!$B6148,41,1000),SEARCH(" - ",MID('Industriesektor GWh'!$B6148,41,1000))-1),nrg_cb_e!$C$3:$C$40,0))</f>
        <v>FC_IND_PPP_E</v>
      </c>
      <c r="G6148" s="18">
        <v>3531</v>
      </c>
    </row>
    <row r="6149" spans="1:7" x14ac:dyDescent="0.2">
      <c r="A6149" s="19" t="s">
        <v>49</v>
      </c>
      <c r="B6149" s="20" t="s">
        <v>70</v>
      </c>
      <c r="C6149" s="20" t="s">
        <v>8</v>
      </c>
      <c r="D6149" s="20" t="s">
        <v>10</v>
      </c>
      <c r="E6149" s="20" t="s">
        <v>22</v>
      </c>
      <c r="F6149" s="20" t="str">
        <f>INDEX(nrg_cb_e!$A$3:$A$40,MATCH(LEFT(MID('Industriesektor GWh'!$B6149,41,1000),SEARCH(" - ",MID('Industriesektor GWh'!$B6149,41,1000))-1),nrg_cb_e!$C$3:$C$40,0))</f>
        <v>FC_IND_PPP_E</v>
      </c>
      <c r="G6149" s="21">
        <v>3796</v>
      </c>
    </row>
    <row r="6150" spans="1:7" x14ac:dyDescent="0.2">
      <c r="A6150" s="16" t="s">
        <v>49</v>
      </c>
      <c r="B6150" s="17" t="s">
        <v>70</v>
      </c>
      <c r="C6150" s="17" t="s">
        <v>8</v>
      </c>
      <c r="D6150" s="17" t="s">
        <v>10</v>
      </c>
      <c r="E6150" s="17" t="s">
        <v>23</v>
      </c>
      <c r="F6150" s="17" t="str">
        <f>INDEX(nrg_cb_e!$A$3:$A$40,MATCH(LEFT(MID('Industriesektor GWh'!$B6150,41,1000),SEARCH(" - ",MID('Industriesektor GWh'!$B6150,41,1000))-1),nrg_cb_e!$C$3:$C$40,0))</f>
        <v>FC_IND_PPP_E</v>
      </c>
      <c r="G6150" s="18">
        <v>4288</v>
      </c>
    </row>
    <row r="6151" spans="1:7" x14ac:dyDescent="0.2">
      <c r="A6151" s="19" t="s">
        <v>49</v>
      </c>
      <c r="B6151" s="20" t="s">
        <v>70</v>
      </c>
      <c r="C6151" s="20" t="s">
        <v>8</v>
      </c>
      <c r="D6151" s="20" t="s">
        <v>10</v>
      </c>
      <c r="E6151" s="20" t="s">
        <v>24</v>
      </c>
      <c r="F6151" s="20" t="str">
        <f>INDEX(nrg_cb_e!$A$3:$A$40,MATCH(LEFT(MID('Industriesektor GWh'!$B6151,41,1000),SEARCH(" - ",MID('Industriesektor GWh'!$B6151,41,1000))-1),nrg_cb_e!$C$3:$C$40,0))</f>
        <v>FC_IND_PPP_E</v>
      </c>
      <c r="G6151" s="21">
        <v>4228</v>
      </c>
    </row>
    <row r="6152" spans="1:7" x14ac:dyDescent="0.2">
      <c r="A6152" s="16" t="s">
        <v>49</v>
      </c>
      <c r="B6152" s="17" t="s">
        <v>70</v>
      </c>
      <c r="C6152" s="17" t="s">
        <v>8</v>
      </c>
      <c r="D6152" s="17" t="s">
        <v>10</v>
      </c>
      <c r="E6152" s="17" t="s">
        <v>25</v>
      </c>
      <c r="F6152" s="17" t="str">
        <f>INDEX(nrg_cb_e!$A$3:$A$40,MATCH(LEFT(MID('Industriesektor GWh'!$B6152,41,1000),SEARCH(" - ",MID('Industriesektor GWh'!$B6152,41,1000))-1),nrg_cb_e!$C$3:$C$40,0))</f>
        <v>FC_IND_PPP_E</v>
      </c>
      <c r="G6152" s="18">
        <v>4249</v>
      </c>
    </row>
    <row r="6153" spans="1:7" x14ac:dyDescent="0.2">
      <c r="A6153" s="19" t="s">
        <v>49</v>
      </c>
      <c r="B6153" s="20" t="s">
        <v>70</v>
      </c>
      <c r="C6153" s="20" t="s">
        <v>8</v>
      </c>
      <c r="D6153" s="20" t="s">
        <v>10</v>
      </c>
      <c r="E6153" s="20" t="s">
        <v>26</v>
      </c>
      <c r="F6153" s="20" t="str">
        <f>INDEX(nrg_cb_e!$A$3:$A$40,MATCH(LEFT(MID('Industriesektor GWh'!$B6153,41,1000),SEARCH(" - ",MID('Industriesektor GWh'!$B6153,41,1000))-1),nrg_cb_e!$C$3:$C$40,0))</f>
        <v>FC_IND_PPP_E</v>
      </c>
      <c r="G6153" s="21">
        <v>4266</v>
      </c>
    </row>
    <row r="6154" spans="1:7" x14ac:dyDescent="0.2">
      <c r="A6154" s="16" t="s">
        <v>49</v>
      </c>
      <c r="B6154" s="17" t="s">
        <v>70</v>
      </c>
      <c r="C6154" s="17" t="s">
        <v>8</v>
      </c>
      <c r="D6154" s="17" t="s">
        <v>10</v>
      </c>
      <c r="E6154" s="17" t="s">
        <v>27</v>
      </c>
      <c r="F6154" s="17" t="str">
        <f>INDEX(nrg_cb_e!$A$3:$A$40,MATCH(LEFT(MID('Industriesektor GWh'!$B6154,41,1000),SEARCH(" - ",MID('Industriesektor GWh'!$B6154,41,1000))-1),nrg_cb_e!$C$3:$C$40,0))</f>
        <v>FC_IND_PPP_E</v>
      </c>
      <c r="G6154" s="18">
        <v>4665.4709999999995</v>
      </c>
    </row>
    <row r="6155" spans="1:7" x14ac:dyDescent="0.2">
      <c r="A6155" s="19" t="s">
        <v>49</v>
      </c>
      <c r="B6155" s="20" t="s">
        <v>70</v>
      </c>
      <c r="C6155" s="20" t="s">
        <v>8</v>
      </c>
      <c r="D6155" s="20" t="s">
        <v>10</v>
      </c>
      <c r="E6155" s="20" t="s">
        <v>28</v>
      </c>
      <c r="F6155" s="20" t="str">
        <f>INDEX(nrg_cb_e!$A$3:$A$40,MATCH(LEFT(MID('Industriesektor GWh'!$B6155,41,1000),SEARCH(" - ",MID('Industriesektor GWh'!$B6155,41,1000))-1),nrg_cb_e!$C$3:$C$40,0))</f>
        <v>FC_IND_PPP_E</v>
      </c>
      <c r="G6155" s="21">
        <v>4648.6189999999997</v>
      </c>
    </row>
    <row r="6156" spans="1:7" x14ac:dyDescent="0.2">
      <c r="A6156" s="16" t="s">
        <v>50</v>
      </c>
      <c r="B6156" s="17" t="s">
        <v>70</v>
      </c>
      <c r="C6156" s="17" t="s">
        <v>8</v>
      </c>
      <c r="D6156" s="17" t="s">
        <v>10</v>
      </c>
      <c r="E6156" s="17" t="s">
        <v>12</v>
      </c>
      <c r="F6156" s="17" t="str">
        <f>INDEX(nrg_cb_e!$A$3:$A$40,MATCH(LEFT(MID('Industriesektor GWh'!$B6156,41,1000),SEARCH(" - ",MID('Industriesektor GWh'!$B6156,41,1000))-1),nrg_cb_e!$C$3:$C$40,0))</f>
        <v>FC_IND_PPP_E</v>
      </c>
      <c r="G6156" s="18">
        <v>1995</v>
      </c>
    </row>
    <row r="6157" spans="1:7" x14ac:dyDescent="0.2">
      <c r="A6157" s="19" t="s">
        <v>50</v>
      </c>
      <c r="B6157" s="20" t="s">
        <v>70</v>
      </c>
      <c r="C6157" s="20" t="s">
        <v>8</v>
      </c>
      <c r="D6157" s="20" t="s">
        <v>10</v>
      </c>
      <c r="E6157" s="20" t="s">
        <v>13</v>
      </c>
      <c r="F6157" s="20" t="str">
        <f>INDEX(nrg_cb_e!$A$3:$A$40,MATCH(LEFT(MID('Industriesektor GWh'!$B6157,41,1000),SEARCH(" - ",MID('Industriesektor GWh'!$B6157,41,1000))-1),nrg_cb_e!$C$3:$C$40,0))</f>
        <v>FC_IND_PPP_E</v>
      </c>
      <c r="G6157" s="21">
        <v>2229</v>
      </c>
    </row>
    <row r="6158" spans="1:7" x14ac:dyDescent="0.2">
      <c r="A6158" s="16" t="s">
        <v>50</v>
      </c>
      <c r="B6158" s="17" t="s">
        <v>70</v>
      </c>
      <c r="C6158" s="17" t="s">
        <v>8</v>
      </c>
      <c r="D6158" s="17" t="s">
        <v>10</v>
      </c>
      <c r="E6158" s="17" t="s">
        <v>14</v>
      </c>
      <c r="F6158" s="17" t="str">
        <f>INDEX(nrg_cb_e!$A$3:$A$40,MATCH(LEFT(MID('Industriesektor GWh'!$B6158,41,1000),SEARCH(" - ",MID('Industriesektor GWh'!$B6158,41,1000))-1),nrg_cb_e!$C$3:$C$40,0))</f>
        <v>FC_IND_PPP_E</v>
      </c>
      <c r="G6158" s="18">
        <v>2346</v>
      </c>
    </row>
    <row r="6159" spans="1:7" x14ac:dyDescent="0.2">
      <c r="A6159" s="19" t="s">
        <v>50</v>
      </c>
      <c r="B6159" s="20" t="s">
        <v>70</v>
      </c>
      <c r="C6159" s="20" t="s">
        <v>8</v>
      </c>
      <c r="D6159" s="20" t="s">
        <v>10</v>
      </c>
      <c r="E6159" s="20" t="s">
        <v>15</v>
      </c>
      <c r="F6159" s="20" t="str">
        <f>INDEX(nrg_cb_e!$A$3:$A$40,MATCH(LEFT(MID('Industriesektor GWh'!$B6159,41,1000),SEARCH(" - ",MID('Industriesektor GWh'!$B6159,41,1000))-1),nrg_cb_e!$C$3:$C$40,0))</f>
        <v>FC_IND_PPP_E</v>
      </c>
      <c r="G6159" s="21">
        <v>2470</v>
      </c>
    </row>
    <row r="6160" spans="1:7" x14ac:dyDescent="0.2">
      <c r="A6160" s="16" t="s">
        <v>50</v>
      </c>
      <c r="B6160" s="17" t="s">
        <v>70</v>
      </c>
      <c r="C6160" s="17" t="s">
        <v>8</v>
      </c>
      <c r="D6160" s="17" t="s">
        <v>10</v>
      </c>
      <c r="E6160" s="17" t="s">
        <v>16</v>
      </c>
      <c r="F6160" s="17" t="str">
        <f>INDEX(nrg_cb_e!$A$3:$A$40,MATCH(LEFT(MID('Industriesektor GWh'!$B6160,41,1000),SEARCH(" - ",MID('Industriesektor GWh'!$B6160,41,1000))-1),nrg_cb_e!$C$3:$C$40,0))</f>
        <v>FC_IND_PPP_E</v>
      </c>
      <c r="G6160" s="18">
        <v>2500</v>
      </c>
    </row>
    <row r="6161" spans="1:7" x14ac:dyDescent="0.2">
      <c r="A6161" s="19" t="s">
        <v>50</v>
      </c>
      <c r="B6161" s="20" t="s">
        <v>70</v>
      </c>
      <c r="C6161" s="20" t="s">
        <v>8</v>
      </c>
      <c r="D6161" s="20" t="s">
        <v>10</v>
      </c>
      <c r="E6161" s="20" t="s">
        <v>17</v>
      </c>
      <c r="F6161" s="20" t="str">
        <f>INDEX(nrg_cb_e!$A$3:$A$40,MATCH(LEFT(MID('Industriesektor GWh'!$B6161,41,1000),SEARCH(" - ",MID('Industriesektor GWh'!$B6161,41,1000))-1),nrg_cb_e!$C$3:$C$40,0))</f>
        <v>FC_IND_PPP_E</v>
      </c>
      <c r="G6161" s="21">
        <v>2568</v>
      </c>
    </row>
    <row r="6162" spans="1:7" x14ac:dyDescent="0.2">
      <c r="A6162" s="16" t="s">
        <v>50</v>
      </c>
      <c r="B6162" s="17" t="s">
        <v>70</v>
      </c>
      <c r="C6162" s="17" t="s">
        <v>8</v>
      </c>
      <c r="D6162" s="17" t="s">
        <v>10</v>
      </c>
      <c r="E6162" s="17" t="s">
        <v>18</v>
      </c>
      <c r="F6162" s="17" t="str">
        <f>INDEX(nrg_cb_e!$A$3:$A$40,MATCH(LEFT(MID('Industriesektor GWh'!$B6162,41,1000),SEARCH(" - ",MID('Industriesektor GWh'!$B6162,41,1000))-1),nrg_cb_e!$C$3:$C$40,0))</f>
        <v>FC_IND_PPP_E</v>
      </c>
      <c r="G6162" s="18">
        <v>2583</v>
      </c>
    </row>
    <row r="6163" spans="1:7" x14ac:dyDescent="0.2">
      <c r="A6163" s="19" t="s">
        <v>50</v>
      </c>
      <c r="B6163" s="20" t="s">
        <v>70</v>
      </c>
      <c r="C6163" s="20" t="s">
        <v>8</v>
      </c>
      <c r="D6163" s="20" t="s">
        <v>10</v>
      </c>
      <c r="E6163" s="20" t="s">
        <v>19</v>
      </c>
      <c r="F6163" s="20" t="str">
        <f>INDEX(nrg_cb_e!$A$3:$A$40,MATCH(LEFT(MID('Industriesektor GWh'!$B6163,41,1000),SEARCH(" - ",MID('Industriesektor GWh'!$B6163,41,1000))-1),nrg_cb_e!$C$3:$C$40,0))</f>
        <v>FC_IND_PPP_E</v>
      </c>
      <c r="G6163" s="21">
        <v>2719</v>
      </c>
    </row>
    <row r="6164" spans="1:7" x14ac:dyDescent="0.2">
      <c r="A6164" s="16" t="s">
        <v>50</v>
      </c>
      <c r="B6164" s="17" t="s">
        <v>70</v>
      </c>
      <c r="C6164" s="17" t="s">
        <v>8</v>
      </c>
      <c r="D6164" s="17" t="s">
        <v>10</v>
      </c>
      <c r="E6164" s="17" t="s">
        <v>20</v>
      </c>
      <c r="F6164" s="17" t="str">
        <f>INDEX(nrg_cb_e!$A$3:$A$40,MATCH(LEFT(MID('Industriesektor GWh'!$B6164,41,1000),SEARCH(" - ",MID('Industriesektor GWh'!$B6164,41,1000))-1),nrg_cb_e!$C$3:$C$40,0))</f>
        <v>FC_IND_PPP_E</v>
      </c>
      <c r="G6164" s="18">
        <v>3056</v>
      </c>
    </row>
    <row r="6165" spans="1:7" x14ac:dyDescent="0.2">
      <c r="A6165" s="19" t="s">
        <v>50</v>
      </c>
      <c r="B6165" s="20" t="s">
        <v>70</v>
      </c>
      <c r="C6165" s="20" t="s">
        <v>8</v>
      </c>
      <c r="D6165" s="20" t="s">
        <v>10</v>
      </c>
      <c r="E6165" s="20" t="s">
        <v>21</v>
      </c>
      <c r="F6165" s="20" t="str">
        <f>INDEX(nrg_cb_e!$A$3:$A$40,MATCH(LEFT(MID('Industriesektor GWh'!$B6165,41,1000),SEARCH(" - ",MID('Industriesektor GWh'!$B6165,41,1000))-1),nrg_cb_e!$C$3:$C$40,0))</f>
        <v>FC_IND_PPP_E</v>
      </c>
      <c r="G6165" s="21">
        <v>3075</v>
      </c>
    </row>
    <row r="6166" spans="1:7" x14ac:dyDescent="0.2">
      <c r="A6166" s="16" t="s">
        <v>50</v>
      </c>
      <c r="B6166" s="17" t="s">
        <v>70</v>
      </c>
      <c r="C6166" s="17" t="s">
        <v>8</v>
      </c>
      <c r="D6166" s="17" t="s">
        <v>10</v>
      </c>
      <c r="E6166" s="17" t="s">
        <v>22</v>
      </c>
      <c r="F6166" s="17" t="str">
        <f>INDEX(nrg_cb_e!$A$3:$A$40,MATCH(LEFT(MID('Industriesektor GWh'!$B6166,41,1000),SEARCH(" - ",MID('Industriesektor GWh'!$B6166,41,1000))-1),nrg_cb_e!$C$3:$C$40,0))</f>
        <v>FC_IND_PPP_E</v>
      </c>
      <c r="G6166" s="18">
        <v>2834</v>
      </c>
    </row>
    <row r="6167" spans="1:7" x14ac:dyDescent="0.2">
      <c r="A6167" s="19" t="s">
        <v>50</v>
      </c>
      <c r="B6167" s="20" t="s">
        <v>70</v>
      </c>
      <c r="C6167" s="20" t="s">
        <v>8</v>
      </c>
      <c r="D6167" s="20" t="s">
        <v>10</v>
      </c>
      <c r="E6167" s="20" t="s">
        <v>23</v>
      </c>
      <c r="F6167" s="20" t="str">
        <f>INDEX(nrg_cb_e!$A$3:$A$40,MATCH(LEFT(MID('Industriesektor GWh'!$B6167,41,1000),SEARCH(" - ",MID('Industriesektor GWh'!$B6167,41,1000))-1),nrg_cb_e!$C$3:$C$40,0))</f>
        <v>FC_IND_PPP_E</v>
      </c>
      <c r="G6167" s="21">
        <v>3061</v>
      </c>
    </row>
    <row r="6168" spans="1:7" x14ac:dyDescent="0.2">
      <c r="A6168" s="16" t="s">
        <v>50</v>
      </c>
      <c r="B6168" s="17" t="s">
        <v>70</v>
      </c>
      <c r="C6168" s="17" t="s">
        <v>8</v>
      </c>
      <c r="D6168" s="17" t="s">
        <v>10</v>
      </c>
      <c r="E6168" s="17" t="s">
        <v>24</v>
      </c>
      <c r="F6168" s="17" t="str">
        <f>INDEX(nrg_cb_e!$A$3:$A$40,MATCH(LEFT(MID('Industriesektor GWh'!$B6168,41,1000),SEARCH(" - ",MID('Industriesektor GWh'!$B6168,41,1000))-1),nrg_cb_e!$C$3:$C$40,0))</f>
        <v>FC_IND_PPP_E</v>
      </c>
      <c r="G6168" s="18">
        <v>3053</v>
      </c>
    </row>
    <row r="6169" spans="1:7" x14ac:dyDescent="0.2">
      <c r="A6169" s="19" t="s">
        <v>50</v>
      </c>
      <c r="B6169" s="20" t="s">
        <v>70</v>
      </c>
      <c r="C6169" s="20" t="s">
        <v>8</v>
      </c>
      <c r="D6169" s="20" t="s">
        <v>10</v>
      </c>
      <c r="E6169" s="20" t="s">
        <v>25</v>
      </c>
      <c r="F6169" s="20" t="str">
        <f>INDEX(nrg_cb_e!$A$3:$A$40,MATCH(LEFT(MID('Industriesektor GWh'!$B6169,41,1000),SEARCH(" - ",MID('Industriesektor GWh'!$B6169,41,1000))-1),nrg_cb_e!$C$3:$C$40,0))</f>
        <v>FC_IND_PPP_E</v>
      </c>
      <c r="G6169" s="21">
        <v>3046</v>
      </c>
    </row>
    <row r="6170" spans="1:7" x14ac:dyDescent="0.2">
      <c r="A6170" s="16" t="s">
        <v>50</v>
      </c>
      <c r="B6170" s="17" t="s">
        <v>70</v>
      </c>
      <c r="C6170" s="17" t="s">
        <v>8</v>
      </c>
      <c r="D6170" s="17" t="s">
        <v>10</v>
      </c>
      <c r="E6170" s="17" t="s">
        <v>26</v>
      </c>
      <c r="F6170" s="17" t="str">
        <f>INDEX(nrg_cb_e!$A$3:$A$40,MATCH(LEFT(MID('Industriesektor GWh'!$B6170,41,1000),SEARCH(" - ",MID('Industriesektor GWh'!$B6170,41,1000))-1),nrg_cb_e!$C$3:$C$40,0))</f>
        <v>FC_IND_PPP_E</v>
      </c>
      <c r="G6170" s="18">
        <v>3012.5140000000001</v>
      </c>
    </row>
    <row r="6171" spans="1:7" x14ac:dyDescent="0.2">
      <c r="A6171" s="19" t="s">
        <v>50</v>
      </c>
      <c r="B6171" s="20" t="s">
        <v>70</v>
      </c>
      <c r="C6171" s="20" t="s">
        <v>8</v>
      </c>
      <c r="D6171" s="20" t="s">
        <v>10</v>
      </c>
      <c r="E6171" s="20" t="s">
        <v>27</v>
      </c>
      <c r="F6171" s="20" t="str">
        <f>INDEX(nrg_cb_e!$A$3:$A$40,MATCH(LEFT(MID('Industriesektor GWh'!$B6171,41,1000),SEARCH(" - ",MID('Industriesektor GWh'!$B6171,41,1000))-1),nrg_cb_e!$C$3:$C$40,0))</f>
        <v>FC_IND_PPP_E</v>
      </c>
      <c r="G6171" s="21">
        <v>3092.4259999999999</v>
      </c>
    </row>
    <row r="6172" spans="1:7" x14ac:dyDescent="0.2">
      <c r="A6172" s="16" t="s">
        <v>50</v>
      </c>
      <c r="B6172" s="17" t="s">
        <v>70</v>
      </c>
      <c r="C6172" s="17" t="s">
        <v>8</v>
      </c>
      <c r="D6172" s="17" t="s">
        <v>10</v>
      </c>
      <c r="E6172" s="17" t="s">
        <v>28</v>
      </c>
      <c r="F6172" s="17" t="str">
        <f>INDEX(nrg_cb_e!$A$3:$A$40,MATCH(LEFT(MID('Industriesektor GWh'!$B6172,41,1000),SEARCH(" - ",MID('Industriesektor GWh'!$B6172,41,1000))-1),nrg_cb_e!$C$3:$C$40,0))</f>
        <v>FC_IND_PPP_E</v>
      </c>
      <c r="G6172" s="18">
        <v>3051.6289999999999</v>
      </c>
    </row>
    <row r="6173" spans="1:7" x14ac:dyDescent="0.2">
      <c r="A6173" s="19" t="s">
        <v>51</v>
      </c>
      <c r="B6173" s="20" t="s">
        <v>70</v>
      </c>
      <c r="C6173" s="20" t="s">
        <v>8</v>
      </c>
      <c r="D6173" s="20" t="s">
        <v>10</v>
      </c>
      <c r="E6173" s="20" t="s">
        <v>12</v>
      </c>
      <c r="F6173" s="20" t="str">
        <f>INDEX(nrg_cb_e!$A$3:$A$40,MATCH(LEFT(MID('Industriesektor GWh'!$B6173,41,1000),SEARCH(" - ",MID('Industriesektor GWh'!$B6173,41,1000))-1),nrg_cb_e!$C$3:$C$40,0))</f>
        <v>FC_IND_PPP_E</v>
      </c>
      <c r="G6173" s="21">
        <v>694</v>
      </c>
    </row>
    <row r="6174" spans="1:7" x14ac:dyDescent="0.2">
      <c r="A6174" s="16" t="s">
        <v>51</v>
      </c>
      <c r="B6174" s="17" t="s">
        <v>70</v>
      </c>
      <c r="C6174" s="17" t="s">
        <v>8</v>
      </c>
      <c r="D6174" s="17" t="s">
        <v>10</v>
      </c>
      <c r="E6174" s="17" t="s">
        <v>13</v>
      </c>
      <c r="F6174" s="17" t="str">
        <f>INDEX(nrg_cb_e!$A$3:$A$40,MATCH(LEFT(MID('Industriesektor GWh'!$B6174,41,1000),SEARCH(" - ",MID('Industriesektor GWh'!$B6174,41,1000))-1),nrg_cb_e!$C$3:$C$40,0))</f>
        <v>FC_IND_PPP_E</v>
      </c>
      <c r="G6174" s="18">
        <v>812</v>
      </c>
    </row>
    <row r="6175" spans="1:7" x14ac:dyDescent="0.2">
      <c r="A6175" s="19" t="s">
        <v>51</v>
      </c>
      <c r="B6175" s="20" t="s">
        <v>70</v>
      </c>
      <c r="C6175" s="20" t="s">
        <v>8</v>
      </c>
      <c r="D6175" s="20" t="s">
        <v>10</v>
      </c>
      <c r="E6175" s="20" t="s">
        <v>14</v>
      </c>
      <c r="F6175" s="20" t="str">
        <f>INDEX(nrg_cb_e!$A$3:$A$40,MATCH(LEFT(MID('Industriesektor GWh'!$B6175,41,1000),SEARCH(" - ",MID('Industriesektor GWh'!$B6175,41,1000))-1),nrg_cb_e!$C$3:$C$40,0))</f>
        <v>FC_IND_PPP_E</v>
      </c>
      <c r="G6175" s="21">
        <v>707</v>
      </c>
    </row>
    <row r="6176" spans="1:7" x14ac:dyDescent="0.2">
      <c r="A6176" s="16" t="s">
        <v>51</v>
      </c>
      <c r="B6176" s="17" t="s">
        <v>70</v>
      </c>
      <c r="C6176" s="17" t="s">
        <v>8</v>
      </c>
      <c r="D6176" s="17" t="s">
        <v>10</v>
      </c>
      <c r="E6176" s="17" t="s">
        <v>15</v>
      </c>
      <c r="F6176" s="17" t="str">
        <f>INDEX(nrg_cb_e!$A$3:$A$40,MATCH(LEFT(MID('Industriesektor GWh'!$B6176,41,1000),SEARCH(" - ",MID('Industriesektor GWh'!$B6176,41,1000))-1),nrg_cb_e!$C$3:$C$40,0))</f>
        <v>FC_IND_PPP_E</v>
      </c>
      <c r="G6176" s="18">
        <v>542</v>
      </c>
    </row>
    <row r="6177" spans="1:7" x14ac:dyDescent="0.2">
      <c r="A6177" s="19" t="s">
        <v>51</v>
      </c>
      <c r="B6177" s="20" t="s">
        <v>70</v>
      </c>
      <c r="C6177" s="20" t="s">
        <v>8</v>
      </c>
      <c r="D6177" s="20" t="s">
        <v>10</v>
      </c>
      <c r="E6177" s="20" t="s">
        <v>16</v>
      </c>
      <c r="F6177" s="20" t="str">
        <f>INDEX(nrg_cb_e!$A$3:$A$40,MATCH(LEFT(MID('Industriesektor GWh'!$B6177,41,1000),SEARCH(" - ",MID('Industriesektor GWh'!$B6177,41,1000))-1),nrg_cb_e!$C$3:$C$40,0))</f>
        <v>FC_IND_PPP_E</v>
      </c>
      <c r="G6177" s="21">
        <v>655</v>
      </c>
    </row>
    <row r="6178" spans="1:7" x14ac:dyDescent="0.2">
      <c r="A6178" s="16" t="s">
        <v>51</v>
      </c>
      <c r="B6178" s="17" t="s">
        <v>70</v>
      </c>
      <c r="C6178" s="17" t="s">
        <v>8</v>
      </c>
      <c r="D6178" s="17" t="s">
        <v>10</v>
      </c>
      <c r="E6178" s="17" t="s">
        <v>17</v>
      </c>
      <c r="F6178" s="17" t="str">
        <f>INDEX(nrg_cb_e!$A$3:$A$40,MATCH(LEFT(MID('Industriesektor GWh'!$B6178,41,1000),SEARCH(" - ",MID('Industriesektor GWh'!$B6178,41,1000))-1),nrg_cb_e!$C$3:$C$40,0))</f>
        <v>FC_IND_PPP_E</v>
      </c>
      <c r="G6178" s="18">
        <v>621</v>
      </c>
    </row>
    <row r="6179" spans="1:7" x14ac:dyDescent="0.2">
      <c r="A6179" s="19" t="s">
        <v>51</v>
      </c>
      <c r="B6179" s="20" t="s">
        <v>70</v>
      </c>
      <c r="C6179" s="20" t="s">
        <v>8</v>
      </c>
      <c r="D6179" s="20" t="s">
        <v>10</v>
      </c>
      <c r="E6179" s="20" t="s">
        <v>18</v>
      </c>
      <c r="F6179" s="20" t="str">
        <f>INDEX(nrg_cb_e!$A$3:$A$40,MATCH(LEFT(MID('Industriesektor GWh'!$B6179,41,1000),SEARCH(" - ",MID('Industriesektor GWh'!$B6179,41,1000))-1),nrg_cb_e!$C$3:$C$40,0))</f>
        <v>FC_IND_PPP_E</v>
      </c>
      <c r="G6179" s="21">
        <v>438</v>
      </c>
    </row>
    <row r="6180" spans="1:7" x14ac:dyDescent="0.2">
      <c r="A6180" s="16" t="s">
        <v>51</v>
      </c>
      <c r="B6180" s="17" t="s">
        <v>70</v>
      </c>
      <c r="C6180" s="17" t="s">
        <v>8</v>
      </c>
      <c r="D6180" s="17" t="s">
        <v>10</v>
      </c>
      <c r="E6180" s="17" t="s">
        <v>19</v>
      </c>
      <c r="F6180" s="17" t="str">
        <f>INDEX(nrg_cb_e!$A$3:$A$40,MATCH(LEFT(MID('Industriesektor GWh'!$B6180,41,1000),SEARCH(" - ",MID('Industriesektor GWh'!$B6180,41,1000))-1),nrg_cb_e!$C$3:$C$40,0))</f>
        <v>FC_IND_PPP_E</v>
      </c>
      <c r="G6180" s="18">
        <v>341</v>
      </c>
    </row>
    <row r="6181" spans="1:7" x14ac:dyDescent="0.2">
      <c r="A6181" s="19" t="s">
        <v>51</v>
      </c>
      <c r="B6181" s="20" t="s">
        <v>70</v>
      </c>
      <c r="C6181" s="20" t="s">
        <v>8</v>
      </c>
      <c r="D6181" s="20" t="s">
        <v>10</v>
      </c>
      <c r="E6181" s="20" t="s">
        <v>20</v>
      </c>
      <c r="F6181" s="20" t="str">
        <f>INDEX(nrg_cb_e!$A$3:$A$40,MATCH(LEFT(MID('Industriesektor GWh'!$B6181,41,1000),SEARCH(" - ",MID('Industriesektor GWh'!$B6181,41,1000))-1),nrg_cb_e!$C$3:$C$40,0))</f>
        <v>FC_IND_PPP_E</v>
      </c>
      <c r="G6181" s="21">
        <v>570</v>
      </c>
    </row>
    <row r="6182" spans="1:7" x14ac:dyDescent="0.2">
      <c r="A6182" s="16" t="s">
        <v>51</v>
      </c>
      <c r="B6182" s="17" t="s">
        <v>70</v>
      </c>
      <c r="C6182" s="17" t="s">
        <v>8</v>
      </c>
      <c r="D6182" s="17" t="s">
        <v>10</v>
      </c>
      <c r="E6182" s="17" t="s">
        <v>21</v>
      </c>
      <c r="F6182" s="17" t="str">
        <f>INDEX(nrg_cb_e!$A$3:$A$40,MATCH(LEFT(MID('Industriesektor GWh'!$B6182,41,1000),SEARCH(" - ",MID('Industriesektor GWh'!$B6182,41,1000))-1),nrg_cb_e!$C$3:$C$40,0))</f>
        <v>FC_IND_PPP_E</v>
      </c>
      <c r="G6182" s="18">
        <v>442</v>
      </c>
    </row>
    <row r="6183" spans="1:7" x14ac:dyDescent="0.2">
      <c r="A6183" s="19" t="s">
        <v>51</v>
      </c>
      <c r="B6183" s="20" t="s">
        <v>70</v>
      </c>
      <c r="C6183" s="20" t="s">
        <v>8</v>
      </c>
      <c r="D6183" s="20" t="s">
        <v>10</v>
      </c>
      <c r="E6183" s="20" t="s">
        <v>22</v>
      </c>
      <c r="F6183" s="20" t="str">
        <f>INDEX(nrg_cb_e!$A$3:$A$40,MATCH(LEFT(MID('Industriesektor GWh'!$B6183,41,1000),SEARCH(" - ",MID('Industriesektor GWh'!$B6183,41,1000))-1),nrg_cb_e!$C$3:$C$40,0))</f>
        <v>FC_IND_PPP_E</v>
      </c>
      <c r="G6183" s="21">
        <v>412</v>
      </c>
    </row>
    <row r="6184" spans="1:7" x14ac:dyDescent="0.2">
      <c r="A6184" s="16" t="s">
        <v>51</v>
      </c>
      <c r="B6184" s="17" t="s">
        <v>70</v>
      </c>
      <c r="C6184" s="17" t="s">
        <v>8</v>
      </c>
      <c r="D6184" s="17" t="s">
        <v>10</v>
      </c>
      <c r="E6184" s="17" t="s">
        <v>23</v>
      </c>
      <c r="F6184" s="17" t="str">
        <f>INDEX(nrg_cb_e!$A$3:$A$40,MATCH(LEFT(MID('Industriesektor GWh'!$B6184,41,1000),SEARCH(" - ",MID('Industriesektor GWh'!$B6184,41,1000))-1),nrg_cb_e!$C$3:$C$40,0))</f>
        <v>FC_IND_PPP_E</v>
      </c>
      <c r="G6184" s="18">
        <v>415</v>
      </c>
    </row>
    <row r="6185" spans="1:7" x14ac:dyDescent="0.2">
      <c r="A6185" s="19" t="s">
        <v>51</v>
      </c>
      <c r="B6185" s="20" t="s">
        <v>70</v>
      </c>
      <c r="C6185" s="20" t="s">
        <v>8</v>
      </c>
      <c r="D6185" s="20" t="s">
        <v>10</v>
      </c>
      <c r="E6185" s="20" t="s">
        <v>24</v>
      </c>
      <c r="F6185" s="20" t="str">
        <f>INDEX(nrg_cb_e!$A$3:$A$40,MATCH(LEFT(MID('Industriesektor GWh'!$B6185,41,1000),SEARCH(" - ",MID('Industriesektor GWh'!$B6185,41,1000))-1),nrg_cb_e!$C$3:$C$40,0))</f>
        <v>FC_IND_PPP_E</v>
      </c>
      <c r="G6185" s="21">
        <v>553</v>
      </c>
    </row>
    <row r="6186" spans="1:7" x14ac:dyDescent="0.2">
      <c r="A6186" s="16" t="s">
        <v>51</v>
      </c>
      <c r="B6186" s="17" t="s">
        <v>70</v>
      </c>
      <c r="C6186" s="17" t="s">
        <v>8</v>
      </c>
      <c r="D6186" s="17" t="s">
        <v>10</v>
      </c>
      <c r="E6186" s="17" t="s">
        <v>25</v>
      </c>
      <c r="F6186" s="17" t="str">
        <f>INDEX(nrg_cb_e!$A$3:$A$40,MATCH(LEFT(MID('Industriesektor GWh'!$B6186,41,1000),SEARCH(" - ",MID('Industriesektor GWh'!$B6186,41,1000))-1),nrg_cb_e!$C$3:$C$40,0))</f>
        <v>FC_IND_PPP_E</v>
      </c>
      <c r="G6186" s="18">
        <v>621</v>
      </c>
    </row>
    <row r="6187" spans="1:7" x14ac:dyDescent="0.2">
      <c r="A6187" s="19" t="s">
        <v>51</v>
      </c>
      <c r="B6187" s="20" t="s">
        <v>70</v>
      </c>
      <c r="C6187" s="20" t="s">
        <v>8</v>
      </c>
      <c r="D6187" s="20" t="s">
        <v>10</v>
      </c>
      <c r="E6187" s="20" t="s">
        <v>26</v>
      </c>
      <c r="F6187" s="20" t="str">
        <f>INDEX(nrg_cb_e!$A$3:$A$40,MATCH(LEFT(MID('Industriesektor GWh'!$B6187,41,1000),SEARCH(" - ",MID('Industriesektor GWh'!$B6187,41,1000))-1),nrg_cb_e!$C$3:$C$40,0))</f>
        <v>FC_IND_PPP_E</v>
      </c>
      <c r="G6187" s="21">
        <v>664</v>
      </c>
    </row>
    <row r="6188" spans="1:7" x14ac:dyDescent="0.2">
      <c r="A6188" s="16" t="s">
        <v>51</v>
      </c>
      <c r="B6188" s="17" t="s">
        <v>70</v>
      </c>
      <c r="C6188" s="17" t="s">
        <v>8</v>
      </c>
      <c r="D6188" s="17" t="s">
        <v>10</v>
      </c>
      <c r="E6188" s="17" t="s">
        <v>27</v>
      </c>
      <c r="F6188" s="17" t="str">
        <f>INDEX(nrg_cb_e!$A$3:$A$40,MATCH(LEFT(MID('Industriesektor GWh'!$B6188,41,1000),SEARCH(" - ",MID('Industriesektor GWh'!$B6188,41,1000))-1),nrg_cb_e!$C$3:$C$40,0))</f>
        <v>FC_IND_PPP_E</v>
      </c>
      <c r="G6188" s="18">
        <v>749.02</v>
      </c>
    </row>
    <row r="6189" spans="1:7" x14ac:dyDescent="0.2">
      <c r="A6189" s="19" t="s">
        <v>51</v>
      </c>
      <c r="B6189" s="20" t="s">
        <v>70</v>
      </c>
      <c r="C6189" s="20" t="s">
        <v>8</v>
      </c>
      <c r="D6189" s="20" t="s">
        <v>10</v>
      </c>
      <c r="E6189" s="20" t="s">
        <v>28</v>
      </c>
      <c r="F6189" s="20" t="str">
        <f>INDEX(nrg_cb_e!$A$3:$A$40,MATCH(LEFT(MID('Industriesektor GWh'!$B6189,41,1000),SEARCH(" - ",MID('Industriesektor GWh'!$B6189,41,1000))-1),nrg_cb_e!$C$3:$C$40,0))</f>
        <v>FC_IND_PPP_E</v>
      </c>
      <c r="G6189" s="21">
        <v>759.83399999999995</v>
      </c>
    </row>
    <row r="6190" spans="1:7" x14ac:dyDescent="0.2">
      <c r="A6190" s="16" t="s">
        <v>52</v>
      </c>
      <c r="B6190" s="17" t="s">
        <v>70</v>
      </c>
      <c r="C6190" s="17" t="s">
        <v>8</v>
      </c>
      <c r="D6190" s="17" t="s">
        <v>10</v>
      </c>
      <c r="E6190" s="17" t="s">
        <v>12</v>
      </c>
      <c r="F6190" s="17" t="str">
        <f>INDEX(nrg_cb_e!$A$3:$A$40,MATCH(LEFT(MID('Industriesektor GWh'!$B6190,41,1000),SEARCH(" - ",MID('Industriesektor GWh'!$B6190,41,1000))-1),nrg_cb_e!$C$3:$C$40,0))</f>
        <v>FC_IND_PPP_E</v>
      </c>
      <c r="G6190" s="18">
        <v>669</v>
      </c>
    </row>
    <row r="6191" spans="1:7" x14ac:dyDescent="0.2">
      <c r="A6191" s="19" t="s">
        <v>52</v>
      </c>
      <c r="B6191" s="20" t="s">
        <v>70</v>
      </c>
      <c r="C6191" s="20" t="s">
        <v>8</v>
      </c>
      <c r="D6191" s="20" t="s">
        <v>10</v>
      </c>
      <c r="E6191" s="20" t="s">
        <v>13</v>
      </c>
      <c r="F6191" s="20" t="str">
        <f>INDEX(nrg_cb_e!$A$3:$A$40,MATCH(LEFT(MID('Industriesektor GWh'!$B6191,41,1000),SEARCH(" - ",MID('Industriesektor GWh'!$B6191,41,1000))-1),nrg_cb_e!$C$3:$C$40,0))</f>
        <v>FC_IND_PPP_E</v>
      </c>
      <c r="G6191" s="21">
        <v>684</v>
      </c>
    </row>
    <row r="6192" spans="1:7" x14ac:dyDescent="0.2">
      <c r="A6192" s="16" t="s">
        <v>52</v>
      </c>
      <c r="B6192" s="17" t="s">
        <v>70</v>
      </c>
      <c r="C6192" s="17" t="s">
        <v>8</v>
      </c>
      <c r="D6192" s="17" t="s">
        <v>10</v>
      </c>
      <c r="E6192" s="17" t="s">
        <v>14</v>
      </c>
      <c r="F6192" s="17" t="str">
        <f>INDEX(nrg_cb_e!$A$3:$A$40,MATCH(LEFT(MID('Industriesektor GWh'!$B6192,41,1000),SEARCH(" - ",MID('Industriesektor GWh'!$B6192,41,1000))-1),nrg_cb_e!$C$3:$C$40,0))</f>
        <v>FC_IND_PPP_E</v>
      </c>
      <c r="G6192" s="18">
        <v>734</v>
      </c>
    </row>
    <row r="6193" spans="1:7" x14ac:dyDescent="0.2">
      <c r="A6193" s="19" t="s">
        <v>52</v>
      </c>
      <c r="B6193" s="20" t="s">
        <v>70</v>
      </c>
      <c r="C6193" s="20" t="s">
        <v>8</v>
      </c>
      <c r="D6193" s="20" t="s">
        <v>10</v>
      </c>
      <c r="E6193" s="20" t="s">
        <v>15</v>
      </c>
      <c r="F6193" s="20" t="str">
        <f>INDEX(nrg_cb_e!$A$3:$A$40,MATCH(LEFT(MID('Industriesektor GWh'!$B6193,41,1000),SEARCH(" - ",MID('Industriesektor GWh'!$B6193,41,1000))-1),nrg_cb_e!$C$3:$C$40,0))</f>
        <v>FC_IND_PPP_E</v>
      </c>
      <c r="G6193" s="21">
        <v>753</v>
      </c>
    </row>
    <row r="6194" spans="1:7" x14ac:dyDescent="0.2">
      <c r="A6194" s="16" t="s">
        <v>52</v>
      </c>
      <c r="B6194" s="17" t="s">
        <v>70</v>
      </c>
      <c r="C6194" s="17" t="s">
        <v>8</v>
      </c>
      <c r="D6194" s="17" t="s">
        <v>10</v>
      </c>
      <c r="E6194" s="17" t="s">
        <v>16</v>
      </c>
      <c r="F6194" s="17" t="str">
        <f>INDEX(nrg_cb_e!$A$3:$A$40,MATCH(LEFT(MID('Industriesektor GWh'!$B6194,41,1000),SEARCH(" - ",MID('Industriesektor GWh'!$B6194,41,1000))-1),nrg_cb_e!$C$3:$C$40,0))</f>
        <v>FC_IND_PPP_E</v>
      </c>
      <c r="G6194" s="18">
        <v>744</v>
      </c>
    </row>
    <row r="6195" spans="1:7" x14ac:dyDescent="0.2">
      <c r="A6195" s="19" t="s">
        <v>52</v>
      </c>
      <c r="B6195" s="20" t="s">
        <v>70</v>
      </c>
      <c r="C6195" s="20" t="s">
        <v>8</v>
      </c>
      <c r="D6195" s="20" t="s">
        <v>10</v>
      </c>
      <c r="E6195" s="20" t="s">
        <v>17</v>
      </c>
      <c r="F6195" s="20" t="str">
        <f>INDEX(nrg_cb_e!$A$3:$A$40,MATCH(LEFT(MID('Industriesektor GWh'!$B6195,41,1000),SEARCH(" - ",MID('Industriesektor GWh'!$B6195,41,1000))-1),nrg_cb_e!$C$3:$C$40,0))</f>
        <v>FC_IND_PPP_E</v>
      </c>
      <c r="G6195" s="21">
        <v>729</v>
      </c>
    </row>
    <row r="6196" spans="1:7" x14ac:dyDescent="0.2">
      <c r="A6196" s="16" t="s">
        <v>52</v>
      </c>
      <c r="B6196" s="17" t="s">
        <v>70</v>
      </c>
      <c r="C6196" s="17" t="s">
        <v>8</v>
      </c>
      <c r="D6196" s="17" t="s">
        <v>10</v>
      </c>
      <c r="E6196" s="17" t="s">
        <v>18</v>
      </c>
      <c r="F6196" s="17" t="str">
        <f>INDEX(nrg_cb_e!$A$3:$A$40,MATCH(LEFT(MID('Industriesektor GWh'!$B6196,41,1000),SEARCH(" - ",MID('Industriesektor GWh'!$B6196,41,1000))-1),nrg_cb_e!$C$3:$C$40,0))</f>
        <v>FC_IND_PPP_E</v>
      </c>
      <c r="G6196" s="18">
        <v>669</v>
      </c>
    </row>
    <row r="6197" spans="1:7" x14ac:dyDescent="0.2">
      <c r="A6197" s="19" t="s">
        <v>52</v>
      </c>
      <c r="B6197" s="20" t="s">
        <v>70</v>
      </c>
      <c r="C6197" s="20" t="s">
        <v>8</v>
      </c>
      <c r="D6197" s="20" t="s">
        <v>10</v>
      </c>
      <c r="E6197" s="20" t="s">
        <v>19</v>
      </c>
      <c r="F6197" s="20" t="str">
        <f>INDEX(nrg_cb_e!$A$3:$A$40,MATCH(LEFT(MID('Industriesektor GWh'!$B6197,41,1000),SEARCH(" - ",MID('Industriesektor GWh'!$B6197,41,1000))-1),nrg_cb_e!$C$3:$C$40,0))</f>
        <v>FC_IND_PPP_E</v>
      </c>
      <c r="G6197" s="21">
        <v>654</v>
      </c>
    </row>
    <row r="6198" spans="1:7" x14ac:dyDescent="0.2">
      <c r="A6198" s="16" t="s">
        <v>52</v>
      </c>
      <c r="B6198" s="17" t="s">
        <v>70</v>
      </c>
      <c r="C6198" s="17" t="s">
        <v>8</v>
      </c>
      <c r="D6198" s="17" t="s">
        <v>10</v>
      </c>
      <c r="E6198" s="17" t="s">
        <v>20</v>
      </c>
      <c r="F6198" s="17" t="str">
        <f>INDEX(nrg_cb_e!$A$3:$A$40,MATCH(LEFT(MID('Industriesektor GWh'!$B6198,41,1000),SEARCH(" - ",MID('Industriesektor GWh'!$B6198,41,1000))-1),nrg_cb_e!$C$3:$C$40,0))</f>
        <v>FC_IND_PPP_E</v>
      </c>
      <c r="G6198" s="18">
        <v>647</v>
      </c>
    </row>
    <row r="6199" spans="1:7" x14ac:dyDescent="0.2">
      <c r="A6199" s="19" t="s">
        <v>52</v>
      </c>
      <c r="B6199" s="20" t="s">
        <v>70</v>
      </c>
      <c r="C6199" s="20" t="s">
        <v>8</v>
      </c>
      <c r="D6199" s="20" t="s">
        <v>10</v>
      </c>
      <c r="E6199" s="20" t="s">
        <v>21</v>
      </c>
      <c r="F6199" s="20" t="str">
        <f>INDEX(nrg_cb_e!$A$3:$A$40,MATCH(LEFT(MID('Industriesektor GWh'!$B6199,41,1000),SEARCH(" - ",MID('Industriesektor GWh'!$B6199,41,1000))-1),nrg_cb_e!$C$3:$C$40,0))</f>
        <v>FC_IND_PPP_E</v>
      </c>
      <c r="G6199" s="21">
        <v>634</v>
      </c>
    </row>
    <row r="6200" spans="1:7" x14ac:dyDescent="0.2">
      <c r="A6200" s="16" t="s">
        <v>52</v>
      </c>
      <c r="B6200" s="17" t="s">
        <v>70</v>
      </c>
      <c r="C6200" s="17" t="s">
        <v>8</v>
      </c>
      <c r="D6200" s="17" t="s">
        <v>10</v>
      </c>
      <c r="E6200" s="17" t="s">
        <v>22</v>
      </c>
      <c r="F6200" s="17" t="str">
        <f>INDEX(nrg_cb_e!$A$3:$A$40,MATCH(LEFT(MID('Industriesektor GWh'!$B6200,41,1000),SEARCH(" - ",MID('Industriesektor GWh'!$B6200,41,1000))-1),nrg_cb_e!$C$3:$C$40,0))</f>
        <v>FC_IND_PPP_E</v>
      </c>
      <c r="G6200" s="18">
        <v>643</v>
      </c>
    </row>
    <row r="6201" spans="1:7" x14ac:dyDescent="0.2">
      <c r="A6201" s="19" t="s">
        <v>52</v>
      </c>
      <c r="B6201" s="20" t="s">
        <v>70</v>
      </c>
      <c r="C6201" s="20" t="s">
        <v>8</v>
      </c>
      <c r="D6201" s="20" t="s">
        <v>10</v>
      </c>
      <c r="E6201" s="20" t="s">
        <v>23</v>
      </c>
      <c r="F6201" s="20" t="str">
        <f>INDEX(nrg_cb_e!$A$3:$A$40,MATCH(LEFT(MID('Industriesektor GWh'!$B6201,41,1000),SEARCH(" - ",MID('Industriesektor GWh'!$B6201,41,1000))-1),nrg_cb_e!$C$3:$C$40,0))</f>
        <v>FC_IND_PPP_E</v>
      </c>
      <c r="G6201" s="21">
        <v>624</v>
      </c>
    </row>
    <row r="6202" spans="1:7" x14ac:dyDescent="0.2">
      <c r="A6202" s="16" t="s">
        <v>52</v>
      </c>
      <c r="B6202" s="17" t="s">
        <v>70</v>
      </c>
      <c r="C6202" s="17" t="s">
        <v>8</v>
      </c>
      <c r="D6202" s="17" t="s">
        <v>10</v>
      </c>
      <c r="E6202" s="17" t="s">
        <v>24</v>
      </c>
      <c r="F6202" s="17" t="str">
        <f>INDEX(nrg_cb_e!$A$3:$A$40,MATCH(LEFT(MID('Industriesektor GWh'!$B6202,41,1000),SEARCH(" - ",MID('Industriesektor GWh'!$B6202,41,1000))-1),nrg_cb_e!$C$3:$C$40,0))</f>
        <v>FC_IND_PPP_E</v>
      </c>
      <c r="G6202" s="18">
        <v>677</v>
      </c>
    </row>
    <row r="6203" spans="1:7" x14ac:dyDescent="0.2">
      <c r="A6203" s="19" t="s">
        <v>52</v>
      </c>
      <c r="B6203" s="20" t="s">
        <v>70</v>
      </c>
      <c r="C6203" s="20" t="s">
        <v>8</v>
      </c>
      <c r="D6203" s="20" t="s">
        <v>10</v>
      </c>
      <c r="E6203" s="20" t="s">
        <v>25</v>
      </c>
      <c r="F6203" s="20" t="str">
        <f>INDEX(nrg_cb_e!$A$3:$A$40,MATCH(LEFT(MID('Industriesektor GWh'!$B6203,41,1000),SEARCH(" - ",MID('Industriesektor GWh'!$B6203,41,1000))-1),nrg_cb_e!$C$3:$C$40,0))</f>
        <v>FC_IND_PPP_E</v>
      </c>
      <c r="G6203" s="21">
        <v>688</v>
      </c>
    </row>
    <row r="6204" spans="1:7" x14ac:dyDescent="0.2">
      <c r="A6204" s="16" t="s">
        <v>52</v>
      </c>
      <c r="B6204" s="17" t="s">
        <v>70</v>
      </c>
      <c r="C6204" s="17" t="s">
        <v>8</v>
      </c>
      <c r="D6204" s="17" t="s">
        <v>10</v>
      </c>
      <c r="E6204" s="17" t="s">
        <v>26</v>
      </c>
      <c r="F6204" s="17" t="str">
        <f>INDEX(nrg_cb_e!$A$3:$A$40,MATCH(LEFT(MID('Industriesektor GWh'!$B6204,41,1000),SEARCH(" - ",MID('Industriesektor GWh'!$B6204,41,1000))-1),nrg_cb_e!$C$3:$C$40,0))</f>
        <v>FC_IND_PPP_E</v>
      </c>
      <c r="G6204" s="18">
        <v>682</v>
      </c>
    </row>
    <row r="6205" spans="1:7" x14ac:dyDescent="0.2">
      <c r="A6205" s="19" t="s">
        <v>52</v>
      </c>
      <c r="B6205" s="20" t="s">
        <v>70</v>
      </c>
      <c r="C6205" s="20" t="s">
        <v>8</v>
      </c>
      <c r="D6205" s="20" t="s">
        <v>10</v>
      </c>
      <c r="E6205" s="20" t="s">
        <v>27</v>
      </c>
      <c r="F6205" s="20" t="str">
        <f>INDEX(nrg_cb_e!$A$3:$A$40,MATCH(LEFT(MID('Industriesektor GWh'!$B6205,41,1000),SEARCH(" - ",MID('Industriesektor GWh'!$B6205,41,1000))-1),nrg_cb_e!$C$3:$C$40,0))</f>
        <v>FC_IND_PPP_E</v>
      </c>
      <c r="G6205" s="21">
        <v>699.20699999999999</v>
      </c>
    </row>
    <row r="6206" spans="1:7" x14ac:dyDescent="0.2">
      <c r="A6206" s="16" t="s">
        <v>52</v>
      </c>
      <c r="B6206" s="17" t="s">
        <v>70</v>
      </c>
      <c r="C6206" s="17" t="s">
        <v>8</v>
      </c>
      <c r="D6206" s="17" t="s">
        <v>10</v>
      </c>
      <c r="E6206" s="17" t="s">
        <v>28</v>
      </c>
      <c r="F6206" s="17" t="str">
        <f>INDEX(nrg_cb_e!$A$3:$A$40,MATCH(LEFT(MID('Industriesektor GWh'!$B6206,41,1000),SEARCH(" - ",MID('Industriesektor GWh'!$B6206,41,1000))-1),nrg_cb_e!$C$3:$C$40,0))</f>
        <v>FC_IND_PPP_E</v>
      </c>
      <c r="G6206" s="18">
        <v>742.27300000000002</v>
      </c>
    </row>
    <row r="6207" spans="1:7" x14ac:dyDescent="0.2">
      <c r="A6207" s="19" t="s">
        <v>53</v>
      </c>
      <c r="B6207" s="20" t="s">
        <v>70</v>
      </c>
      <c r="C6207" s="20" t="s">
        <v>8</v>
      </c>
      <c r="D6207" s="20" t="s">
        <v>10</v>
      </c>
      <c r="E6207" s="20" t="s">
        <v>12</v>
      </c>
      <c r="F6207" s="20" t="str">
        <f>INDEX(nrg_cb_e!$A$3:$A$40,MATCH(LEFT(MID('Industriesektor GWh'!$B6207,41,1000),SEARCH(" - ",MID('Industriesektor GWh'!$B6207,41,1000))-1),nrg_cb_e!$C$3:$C$40,0))</f>
        <v>FC_IND_PPP_E</v>
      </c>
      <c r="G6207" s="21">
        <v>801</v>
      </c>
    </row>
    <row r="6208" spans="1:7" x14ac:dyDescent="0.2">
      <c r="A6208" s="16" t="s">
        <v>53</v>
      </c>
      <c r="B6208" s="17" t="s">
        <v>70</v>
      </c>
      <c r="C6208" s="17" t="s">
        <v>8</v>
      </c>
      <c r="D6208" s="17" t="s">
        <v>10</v>
      </c>
      <c r="E6208" s="17" t="s">
        <v>13</v>
      </c>
      <c r="F6208" s="17" t="str">
        <f>INDEX(nrg_cb_e!$A$3:$A$40,MATCH(LEFT(MID('Industriesektor GWh'!$B6208,41,1000),SEARCH(" - ",MID('Industriesektor GWh'!$B6208,41,1000))-1),nrg_cb_e!$C$3:$C$40,0))</f>
        <v>FC_IND_PPP_E</v>
      </c>
      <c r="G6208" s="18">
        <v>911</v>
      </c>
    </row>
    <row r="6209" spans="1:7" x14ac:dyDescent="0.2">
      <c r="A6209" s="19" t="s">
        <v>53</v>
      </c>
      <c r="B6209" s="20" t="s">
        <v>70</v>
      </c>
      <c r="C6209" s="20" t="s">
        <v>8</v>
      </c>
      <c r="D6209" s="20" t="s">
        <v>10</v>
      </c>
      <c r="E6209" s="20" t="s">
        <v>14</v>
      </c>
      <c r="F6209" s="20" t="str">
        <f>INDEX(nrg_cb_e!$A$3:$A$40,MATCH(LEFT(MID('Industriesektor GWh'!$B6209,41,1000),SEARCH(" - ",MID('Industriesektor GWh'!$B6209,41,1000))-1),nrg_cb_e!$C$3:$C$40,0))</f>
        <v>FC_IND_PPP_E</v>
      </c>
      <c r="G6209" s="21">
        <v>1036</v>
      </c>
    </row>
    <row r="6210" spans="1:7" x14ac:dyDescent="0.2">
      <c r="A6210" s="16" t="s">
        <v>53</v>
      </c>
      <c r="B6210" s="17" t="s">
        <v>70</v>
      </c>
      <c r="C6210" s="17" t="s">
        <v>8</v>
      </c>
      <c r="D6210" s="17" t="s">
        <v>10</v>
      </c>
      <c r="E6210" s="17" t="s">
        <v>15</v>
      </c>
      <c r="F6210" s="17" t="str">
        <f>INDEX(nrg_cb_e!$A$3:$A$40,MATCH(LEFT(MID('Industriesektor GWh'!$B6210,41,1000),SEARCH(" - ",MID('Industriesektor GWh'!$B6210,41,1000))-1),nrg_cb_e!$C$3:$C$40,0))</f>
        <v>FC_IND_PPP_E</v>
      </c>
      <c r="G6210" s="18">
        <v>1023</v>
      </c>
    </row>
    <row r="6211" spans="1:7" x14ac:dyDescent="0.2">
      <c r="A6211" s="19" t="s">
        <v>53</v>
      </c>
      <c r="B6211" s="20" t="s">
        <v>70</v>
      </c>
      <c r="C6211" s="20" t="s">
        <v>8</v>
      </c>
      <c r="D6211" s="20" t="s">
        <v>10</v>
      </c>
      <c r="E6211" s="20" t="s">
        <v>16</v>
      </c>
      <c r="F6211" s="20" t="str">
        <f>INDEX(nrg_cb_e!$A$3:$A$40,MATCH(LEFT(MID('Industriesektor GWh'!$B6211,41,1000),SEARCH(" - ",MID('Industriesektor GWh'!$B6211,41,1000))-1),nrg_cb_e!$C$3:$C$40,0))</f>
        <v>FC_IND_PPP_E</v>
      </c>
      <c r="G6211" s="21">
        <v>1260</v>
      </c>
    </row>
    <row r="6212" spans="1:7" x14ac:dyDescent="0.2">
      <c r="A6212" s="16" t="s">
        <v>53</v>
      </c>
      <c r="B6212" s="17" t="s">
        <v>70</v>
      </c>
      <c r="C6212" s="17" t="s">
        <v>8</v>
      </c>
      <c r="D6212" s="17" t="s">
        <v>10</v>
      </c>
      <c r="E6212" s="17" t="s">
        <v>17</v>
      </c>
      <c r="F6212" s="17" t="str">
        <f>INDEX(nrg_cb_e!$A$3:$A$40,MATCH(LEFT(MID('Industriesektor GWh'!$B6212,41,1000),SEARCH(" - ",MID('Industriesektor GWh'!$B6212,41,1000))-1),nrg_cb_e!$C$3:$C$40,0))</f>
        <v>FC_IND_PPP_E</v>
      </c>
      <c r="G6212" s="18">
        <v>1142</v>
      </c>
    </row>
    <row r="6213" spans="1:7" x14ac:dyDescent="0.2">
      <c r="A6213" s="19" t="s">
        <v>53</v>
      </c>
      <c r="B6213" s="20" t="s">
        <v>70</v>
      </c>
      <c r="C6213" s="20" t="s">
        <v>8</v>
      </c>
      <c r="D6213" s="20" t="s">
        <v>10</v>
      </c>
      <c r="E6213" s="20" t="s">
        <v>18</v>
      </c>
      <c r="F6213" s="20" t="str">
        <f>INDEX(nrg_cb_e!$A$3:$A$40,MATCH(LEFT(MID('Industriesektor GWh'!$B6213,41,1000),SEARCH(" - ",MID('Industriesektor GWh'!$B6213,41,1000))-1),nrg_cb_e!$C$3:$C$40,0))</f>
        <v>FC_IND_PPP_E</v>
      </c>
      <c r="G6213" s="21">
        <v>1256</v>
      </c>
    </row>
    <row r="6214" spans="1:7" x14ac:dyDescent="0.2">
      <c r="A6214" s="16" t="s">
        <v>53</v>
      </c>
      <c r="B6214" s="17" t="s">
        <v>70</v>
      </c>
      <c r="C6214" s="17" t="s">
        <v>8</v>
      </c>
      <c r="D6214" s="17" t="s">
        <v>10</v>
      </c>
      <c r="E6214" s="17" t="s">
        <v>19</v>
      </c>
      <c r="F6214" s="17" t="str">
        <f>INDEX(nrg_cb_e!$A$3:$A$40,MATCH(LEFT(MID('Industriesektor GWh'!$B6214,41,1000),SEARCH(" - ",MID('Industriesektor GWh'!$B6214,41,1000))-1),nrg_cb_e!$C$3:$C$40,0))</f>
        <v>FC_IND_PPP_E</v>
      </c>
      <c r="G6214" s="18">
        <v>1189</v>
      </c>
    </row>
    <row r="6215" spans="1:7" x14ac:dyDescent="0.2">
      <c r="A6215" s="19" t="s">
        <v>53</v>
      </c>
      <c r="B6215" s="20" t="s">
        <v>70</v>
      </c>
      <c r="C6215" s="20" t="s">
        <v>8</v>
      </c>
      <c r="D6215" s="20" t="s">
        <v>10</v>
      </c>
      <c r="E6215" s="20" t="s">
        <v>20</v>
      </c>
      <c r="F6215" s="20" t="str">
        <f>INDEX(nrg_cb_e!$A$3:$A$40,MATCH(LEFT(MID('Industriesektor GWh'!$B6215,41,1000),SEARCH(" - ",MID('Industriesektor GWh'!$B6215,41,1000))-1),nrg_cb_e!$C$3:$C$40,0))</f>
        <v>FC_IND_PPP_E</v>
      </c>
      <c r="G6215" s="21">
        <v>1063</v>
      </c>
    </row>
    <row r="6216" spans="1:7" x14ac:dyDescent="0.2">
      <c r="A6216" s="16" t="s">
        <v>53</v>
      </c>
      <c r="B6216" s="17" t="s">
        <v>70</v>
      </c>
      <c r="C6216" s="17" t="s">
        <v>8</v>
      </c>
      <c r="D6216" s="17" t="s">
        <v>10</v>
      </c>
      <c r="E6216" s="17" t="s">
        <v>21</v>
      </c>
      <c r="F6216" s="17" t="str">
        <f>INDEX(nrg_cb_e!$A$3:$A$40,MATCH(LEFT(MID('Industriesektor GWh'!$B6216,41,1000),SEARCH(" - ",MID('Industriesektor GWh'!$B6216,41,1000))-1),nrg_cb_e!$C$3:$C$40,0))</f>
        <v>FC_IND_PPP_E</v>
      </c>
      <c r="G6216" s="18">
        <v>1008</v>
      </c>
    </row>
    <row r="6217" spans="1:7" x14ac:dyDescent="0.2">
      <c r="A6217" s="19" t="s">
        <v>53</v>
      </c>
      <c r="B6217" s="20" t="s">
        <v>70</v>
      </c>
      <c r="C6217" s="20" t="s">
        <v>8</v>
      </c>
      <c r="D6217" s="20" t="s">
        <v>10</v>
      </c>
      <c r="E6217" s="20" t="s">
        <v>22</v>
      </c>
      <c r="F6217" s="20" t="str">
        <f>INDEX(nrg_cb_e!$A$3:$A$40,MATCH(LEFT(MID('Industriesektor GWh'!$B6217,41,1000),SEARCH(" - ",MID('Industriesektor GWh'!$B6217,41,1000))-1),nrg_cb_e!$C$3:$C$40,0))</f>
        <v>FC_IND_PPP_E</v>
      </c>
      <c r="G6217" s="21">
        <v>1001</v>
      </c>
    </row>
    <row r="6218" spans="1:7" x14ac:dyDescent="0.2">
      <c r="A6218" s="16" t="s">
        <v>53</v>
      </c>
      <c r="B6218" s="17" t="s">
        <v>70</v>
      </c>
      <c r="C6218" s="17" t="s">
        <v>8</v>
      </c>
      <c r="D6218" s="17" t="s">
        <v>10</v>
      </c>
      <c r="E6218" s="17" t="s">
        <v>23</v>
      </c>
      <c r="F6218" s="17" t="str">
        <f>INDEX(nrg_cb_e!$A$3:$A$40,MATCH(LEFT(MID('Industriesektor GWh'!$B6218,41,1000),SEARCH(" - ",MID('Industriesektor GWh'!$B6218,41,1000))-1),nrg_cb_e!$C$3:$C$40,0))</f>
        <v>FC_IND_PPP_E</v>
      </c>
      <c r="G6218" s="18">
        <v>1193</v>
      </c>
    </row>
    <row r="6219" spans="1:7" x14ac:dyDescent="0.2">
      <c r="A6219" s="19" t="s">
        <v>53</v>
      </c>
      <c r="B6219" s="20" t="s">
        <v>70</v>
      </c>
      <c r="C6219" s="20" t="s">
        <v>8</v>
      </c>
      <c r="D6219" s="20" t="s">
        <v>10</v>
      </c>
      <c r="E6219" s="20" t="s">
        <v>24</v>
      </c>
      <c r="F6219" s="20" t="str">
        <f>INDEX(nrg_cb_e!$A$3:$A$40,MATCH(LEFT(MID('Industriesektor GWh'!$B6219,41,1000),SEARCH(" - ",MID('Industriesektor GWh'!$B6219,41,1000))-1),nrg_cb_e!$C$3:$C$40,0))</f>
        <v>FC_IND_PPP_E</v>
      </c>
      <c r="G6219" s="21">
        <v>755</v>
      </c>
    </row>
    <row r="6220" spans="1:7" x14ac:dyDescent="0.2">
      <c r="A6220" s="16" t="s">
        <v>53</v>
      </c>
      <c r="B6220" s="17" t="s">
        <v>70</v>
      </c>
      <c r="C6220" s="17" t="s">
        <v>8</v>
      </c>
      <c r="D6220" s="17" t="s">
        <v>10</v>
      </c>
      <c r="E6220" s="17" t="s">
        <v>25</v>
      </c>
      <c r="F6220" s="17" t="str">
        <f>INDEX(nrg_cb_e!$A$3:$A$40,MATCH(LEFT(MID('Industriesektor GWh'!$B6220,41,1000),SEARCH(" - ",MID('Industriesektor GWh'!$B6220,41,1000))-1),nrg_cb_e!$C$3:$C$40,0))</f>
        <v>FC_IND_PPP_E</v>
      </c>
      <c r="G6220" s="18">
        <v>722</v>
      </c>
    </row>
    <row r="6221" spans="1:7" x14ac:dyDescent="0.2">
      <c r="A6221" s="19" t="s">
        <v>53</v>
      </c>
      <c r="B6221" s="20" t="s">
        <v>70</v>
      </c>
      <c r="C6221" s="20" t="s">
        <v>8</v>
      </c>
      <c r="D6221" s="20" t="s">
        <v>10</v>
      </c>
      <c r="E6221" s="20" t="s">
        <v>26</v>
      </c>
      <c r="F6221" s="20" t="str">
        <f>INDEX(nrg_cb_e!$A$3:$A$40,MATCH(LEFT(MID('Industriesektor GWh'!$B6221,41,1000),SEARCH(" - ",MID('Industriesektor GWh'!$B6221,41,1000))-1),nrg_cb_e!$C$3:$C$40,0))</f>
        <v>FC_IND_PPP_E</v>
      </c>
      <c r="G6221" s="21">
        <v>740</v>
      </c>
    </row>
    <row r="6222" spans="1:7" x14ac:dyDescent="0.2">
      <c r="A6222" s="16" t="s">
        <v>53</v>
      </c>
      <c r="B6222" s="17" t="s">
        <v>70</v>
      </c>
      <c r="C6222" s="17" t="s">
        <v>8</v>
      </c>
      <c r="D6222" s="17" t="s">
        <v>10</v>
      </c>
      <c r="E6222" s="17" t="s">
        <v>27</v>
      </c>
      <c r="F6222" s="17" t="str">
        <f>INDEX(nrg_cb_e!$A$3:$A$40,MATCH(LEFT(MID('Industriesektor GWh'!$B6222,41,1000),SEARCH(" - ",MID('Industriesektor GWh'!$B6222,41,1000))-1),nrg_cb_e!$C$3:$C$40,0))</f>
        <v>FC_IND_PPP_E</v>
      </c>
      <c r="G6222" s="18">
        <v>797</v>
      </c>
    </row>
    <row r="6223" spans="1:7" x14ac:dyDescent="0.2">
      <c r="A6223" s="19" t="s">
        <v>53</v>
      </c>
      <c r="B6223" s="20" t="s">
        <v>70</v>
      </c>
      <c r="C6223" s="20" t="s">
        <v>8</v>
      </c>
      <c r="D6223" s="20" t="s">
        <v>10</v>
      </c>
      <c r="E6223" s="20" t="s">
        <v>28</v>
      </c>
      <c r="F6223" s="20" t="str">
        <f>INDEX(nrg_cb_e!$A$3:$A$40,MATCH(LEFT(MID('Industriesektor GWh'!$B6223,41,1000),SEARCH(" - ",MID('Industriesektor GWh'!$B6223,41,1000))-1),nrg_cb_e!$C$3:$C$40,0))</f>
        <v>FC_IND_PPP_E</v>
      </c>
      <c r="G6223" s="21">
        <v>791</v>
      </c>
    </row>
    <row r="6224" spans="1:7" x14ac:dyDescent="0.2">
      <c r="A6224" s="16" t="s">
        <v>54</v>
      </c>
      <c r="B6224" s="17" t="s">
        <v>70</v>
      </c>
      <c r="C6224" s="17" t="s">
        <v>8</v>
      </c>
      <c r="D6224" s="17" t="s">
        <v>10</v>
      </c>
      <c r="E6224" s="17" t="s">
        <v>12</v>
      </c>
      <c r="F6224" s="17" t="str">
        <f>INDEX(nrg_cb_e!$A$3:$A$40,MATCH(LEFT(MID('Industriesektor GWh'!$B6224,41,1000),SEARCH(" - ",MID('Industriesektor GWh'!$B6224,41,1000))-1),nrg_cb_e!$C$3:$C$40,0))</f>
        <v>FC_IND_PPP_E</v>
      </c>
      <c r="G6224" s="18">
        <v>24949</v>
      </c>
    </row>
    <row r="6225" spans="1:7" x14ac:dyDescent="0.2">
      <c r="A6225" s="19" t="s">
        <v>54</v>
      </c>
      <c r="B6225" s="20" t="s">
        <v>70</v>
      </c>
      <c r="C6225" s="20" t="s">
        <v>8</v>
      </c>
      <c r="D6225" s="20" t="s">
        <v>10</v>
      </c>
      <c r="E6225" s="20" t="s">
        <v>13</v>
      </c>
      <c r="F6225" s="20" t="str">
        <f>INDEX(nrg_cb_e!$A$3:$A$40,MATCH(LEFT(MID('Industriesektor GWh'!$B6225,41,1000),SEARCH(" - ",MID('Industriesektor GWh'!$B6225,41,1000))-1),nrg_cb_e!$C$3:$C$40,0))</f>
        <v>FC_IND_PPP_E</v>
      </c>
      <c r="G6225" s="21">
        <v>25118</v>
      </c>
    </row>
    <row r="6226" spans="1:7" x14ac:dyDescent="0.2">
      <c r="A6226" s="16" t="s">
        <v>54</v>
      </c>
      <c r="B6226" s="17" t="s">
        <v>70</v>
      </c>
      <c r="C6226" s="17" t="s">
        <v>8</v>
      </c>
      <c r="D6226" s="17" t="s">
        <v>10</v>
      </c>
      <c r="E6226" s="17" t="s">
        <v>14</v>
      </c>
      <c r="F6226" s="17" t="str">
        <f>INDEX(nrg_cb_e!$A$3:$A$40,MATCH(LEFT(MID('Industriesektor GWh'!$B6226,41,1000),SEARCH(" - ",MID('Industriesektor GWh'!$B6226,41,1000))-1),nrg_cb_e!$C$3:$C$40,0))</f>
        <v>FC_IND_PPP_E</v>
      </c>
      <c r="G6226" s="18">
        <v>26271</v>
      </c>
    </row>
    <row r="6227" spans="1:7" x14ac:dyDescent="0.2">
      <c r="A6227" s="19" t="s">
        <v>54</v>
      </c>
      <c r="B6227" s="20" t="s">
        <v>70</v>
      </c>
      <c r="C6227" s="20" t="s">
        <v>8</v>
      </c>
      <c r="D6227" s="20" t="s">
        <v>10</v>
      </c>
      <c r="E6227" s="20" t="s">
        <v>15</v>
      </c>
      <c r="F6227" s="20" t="str">
        <f>INDEX(nrg_cb_e!$A$3:$A$40,MATCH(LEFT(MID('Industriesektor GWh'!$B6227,41,1000),SEARCH(" - ",MID('Industriesektor GWh'!$B6227,41,1000))-1),nrg_cb_e!$C$3:$C$40,0))</f>
        <v>FC_IND_PPP_E</v>
      </c>
      <c r="G6227" s="21">
        <v>23639</v>
      </c>
    </row>
    <row r="6228" spans="1:7" x14ac:dyDescent="0.2">
      <c r="A6228" s="16" t="s">
        <v>54</v>
      </c>
      <c r="B6228" s="17" t="s">
        <v>70</v>
      </c>
      <c r="C6228" s="17" t="s">
        <v>8</v>
      </c>
      <c r="D6228" s="17" t="s">
        <v>10</v>
      </c>
      <c r="E6228" s="17" t="s">
        <v>16</v>
      </c>
      <c r="F6228" s="17" t="str">
        <f>INDEX(nrg_cb_e!$A$3:$A$40,MATCH(LEFT(MID('Industriesektor GWh'!$B6228,41,1000),SEARCH(" - ",MID('Industriesektor GWh'!$B6228,41,1000))-1),nrg_cb_e!$C$3:$C$40,0))</f>
        <v>FC_IND_PPP_E</v>
      </c>
      <c r="G6228" s="18">
        <v>26811</v>
      </c>
    </row>
    <row r="6229" spans="1:7" x14ac:dyDescent="0.2">
      <c r="A6229" s="19" t="s">
        <v>54</v>
      </c>
      <c r="B6229" s="20" t="s">
        <v>70</v>
      </c>
      <c r="C6229" s="20" t="s">
        <v>8</v>
      </c>
      <c r="D6229" s="20" t="s">
        <v>10</v>
      </c>
      <c r="E6229" s="20" t="s">
        <v>17</v>
      </c>
      <c r="F6229" s="20" t="str">
        <f>INDEX(nrg_cb_e!$A$3:$A$40,MATCH(LEFT(MID('Industriesektor GWh'!$B6229,41,1000),SEARCH(" - ",MID('Industriesektor GWh'!$B6229,41,1000))-1),nrg_cb_e!$C$3:$C$40,0))</f>
        <v>FC_IND_PPP_E</v>
      </c>
      <c r="G6229" s="21">
        <v>26507</v>
      </c>
    </row>
    <row r="6230" spans="1:7" x14ac:dyDescent="0.2">
      <c r="A6230" s="16" t="s">
        <v>54</v>
      </c>
      <c r="B6230" s="17" t="s">
        <v>70</v>
      </c>
      <c r="C6230" s="17" t="s">
        <v>8</v>
      </c>
      <c r="D6230" s="17" t="s">
        <v>10</v>
      </c>
      <c r="E6230" s="17" t="s">
        <v>18</v>
      </c>
      <c r="F6230" s="17" t="str">
        <f>INDEX(nrg_cb_e!$A$3:$A$40,MATCH(LEFT(MID('Industriesektor GWh'!$B6230,41,1000),SEARCH(" - ",MID('Industriesektor GWh'!$B6230,41,1000))-1),nrg_cb_e!$C$3:$C$40,0))</f>
        <v>FC_IND_PPP_E</v>
      </c>
      <c r="G6230" s="18">
        <v>23549</v>
      </c>
    </row>
    <row r="6231" spans="1:7" x14ac:dyDescent="0.2">
      <c r="A6231" s="19" t="s">
        <v>54</v>
      </c>
      <c r="B6231" s="20" t="s">
        <v>70</v>
      </c>
      <c r="C6231" s="20" t="s">
        <v>8</v>
      </c>
      <c r="D6231" s="20" t="s">
        <v>10</v>
      </c>
      <c r="E6231" s="20" t="s">
        <v>19</v>
      </c>
      <c r="F6231" s="20" t="str">
        <f>INDEX(nrg_cb_e!$A$3:$A$40,MATCH(LEFT(MID('Industriesektor GWh'!$B6231,41,1000),SEARCH(" - ",MID('Industriesektor GWh'!$B6231,41,1000))-1),nrg_cb_e!$C$3:$C$40,0))</f>
        <v>FC_IND_PPP_E</v>
      </c>
      <c r="G6231" s="21">
        <v>18969</v>
      </c>
    </row>
    <row r="6232" spans="1:7" x14ac:dyDescent="0.2">
      <c r="A6232" s="16" t="s">
        <v>54</v>
      </c>
      <c r="B6232" s="17" t="s">
        <v>70</v>
      </c>
      <c r="C6232" s="17" t="s">
        <v>8</v>
      </c>
      <c r="D6232" s="17" t="s">
        <v>10</v>
      </c>
      <c r="E6232" s="17" t="s">
        <v>20</v>
      </c>
      <c r="F6232" s="17" t="str">
        <f>INDEX(nrg_cb_e!$A$3:$A$40,MATCH(LEFT(MID('Industriesektor GWh'!$B6232,41,1000),SEARCH(" - ",MID('Industriesektor GWh'!$B6232,41,1000))-1),nrg_cb_e!$C$3:$C$40,0))</f>
        <v>FC_IND_PPP_E</v>
      </c>
      <c r="G6232" s="18">
        <v>20786</v>
      </c>
    </row>
    <row r="6233" spans="1:7" x14ac:dyDescent="0.2">
      <c r="A6233" s="19" t="s">
        <v>54</v>
      </c>
      <c r="B6233" s="20" t="s">
        <v>70</v>
      </c>
      <c r="C6233" s="20" t="s">
        <v>8</v>
      </c>
      <c r="D6233" s="20" t="s">
        <v>10</v>
      </c>
      <c r="E6233" s="20" t="s">
        <v>21</v>
      </c>
      <c r="F6233" s="20" t="str">
        <f>INDEX(nrg_cb_e!$A$3:$A$40,MATCH(LEFT(MID('Industriesektor GWh'!$B6233,41,1000),SEARCH(" - ",MID('Industriesektor GWh'!$B6233,41,1000))-1),nrg_cb_e!$C$3:$C$40,0))</f>
        <v>FC_IND_PPP_E</v>
      </c>
      <c r="G6233" s="21">
        <v>20157</v>
      </c>
    </row>
    <row r="6234" spans="1:7" x14ac:dyDescent="0.2">
      <c r="A6234" s="16" t="s">
        <v>54</v>
      </c>
      <c r="B6234" s="17" t="s">
        <v>70</v>
      </c>
      <c r="C6234" s="17" t="s">
        <v>8</v>
      </c>
      <c r="D6234" s="17" t="s">
        <v>10</v>
      </c>
      <c r="E6234" s="17" t="s">
        <v>22</v>
      </c>
      <c r="F6234" s="17" t="str">
        <f>INDEX(nrg_cb_e!$A$3:$A$40,MATCH(LEFT(MID('Industriesektor GWh'!$B6234,41,1000),SEARCH(" - ",MID('Industriesektor GWh'!$B6234,41,1000))-1),nrg_cb_e!$C$3:$C$40,0))</f>
        <v>FC_IND_PPP_E</v>
      </c>
      <c r="G6234" s="18">
        <v>19172</v>
      </c>
    </row>
    <row r="6235" spans="1:7" x14ac:dyDescent="0.2">
      <c r="A6235" s="19" t="s">
        <v>54</v>
      </c>
      <c r="B6235" s="20" t="s">
        <v>70</v>
      </c>
      <c r="C6235" s="20" t="s">
        <v>8</v>
      </c>
      <c r="D6235" s="20" t="s">
        <v>10</v>
      </c>
      <c r="E6235" s="20" t="s">
        <v>23</v>
      </c>
      <c r="F6235" s="20" t="str">
        <f>INDEX(nrg_cb_e!$A$3:$A$40,MATCH(LEFT(MID('Industriesektor GWh'!$B6235,41,1000),SEARCH(" - ",MID('Industriesektor GWh'!$B6235,41,1000))-1),nrg_cb_e!$C$3:$C$40,0))</f>
        <v>FC_IND_PPP_E</v>
      </c>
      <c r="G6235" s="21">
        <v>19030</v>
      </c>
    </row>
    <row r="6236" spans="1:7" x14ac:dyDescent="0.2">
      <c r="A6236" s="16" t="s">
        <v>54</v>
      </c>
      <c r="B6236" s="17" t="s">
        <v>70</v>
      </c>
      <c r="C6236" s="17" t="s">
        <v>8</v>
      </c>
      <c r="D6236" s="17" t="s">
        <v>10</v>
      </c>
      <c r="E6236" s="17" t="s">
        <v>24</v>
      </c>
      <c r="F6236" s="17" t="str">
        <f>INDEX(nrg_cb_e!$A$3:$A$40,MATCH(LEFT(MID('Industriesektor GWh'!$B6236,41,1000),SEARCH(" - ",MID('Industriesektor GWh'!$B6236,41,1000))-1),nrg_cb_e!$C$3:$C$40,0))</f>
        <v>FC_IND_PPP_E</v>
      </c>
      <c r="G6236" s="18">
        <v>18608</v>
      </c>
    </row>
    <row r="6237" spans="1:7" x14ac:dyDescent="0.2">
      <c r="A6237" s="19" t="s">
        <v>54</v>
      </c>
      <c r="B6237" s="20" t="s">
        <v>70</v>
      </c>
      <c r="C6237" s="20" t="s">
        <v>8</v>
      </c>
      <c r="D6237" s="20" t="s">
        <v>10</v>
      </c>
      <c r="E6237" s="20" t="s">
        <v>25</v>
      </c>
      <c r="F6237" s="20" t="str">
        <f>INDEX(nrg_cb_e!$A$3:$A$40,MATCH(LEFT(MID('Industriesektor GWh'!$B6237,41,1000),SEARCH(" - ",MID('Industriesektor GWh'!$B6237,41,1000))-1),nrg_cb_e!$C$3:$C$40,0))</f>
        <v>FC_IND_PPP_E</v>
      </c>
      <c r="G6237" s="21">
        <v>18258</v>
      </c>
    </row>
    <row r="6238" spans="1:7" x14ac:dyDescent="0.2">
      <c r="A6238" s="16" t="s">
        <v>54</v>
      </c>
      <c r="B6238" s="17" t="s">
        <v>70</v>
      </c>
      <c r="C6238" s="17" t="s">
        <v>8</v>
      </c>
      <c r="D6238" s="17" t="s">
        <v>10</v>
      </c>
      <c r="E6238" s="17" t="s">
        <v>26</v>
      </c>
      <c r="F6238" s="17" t="str">
        <f>INDEX(nrg_cb_e!$A$3:$A$40,MATCH(LEFT(MID('Industriesektor GWh'!$B6238,41,1000),SEARCH(" - ",MID('Industriesektor GWh'!$B6238,41,1000))-1),nrg_cb_e!$C$3:$C$40,0))</f>
        <v>FC_IND_PPP_E</v>
      </c>
      <c r="G6238" s="18">
        <v>17950</v>
      </c>
    </row>
    <row r="6239" spans="1:7" x14ac:dyDescent="0.2">
      <c r="A6239" s="19" t="s">
        <v>54</v>
      </c>
      <c r="B6239" s="20" t="s">
        <v>70</v>
      </c>
      <c r="C6239" s="20" t="s">
        <v>8</v>
      </c>
      <c r="D6239" s="20" t="s">
        <v>10</v>
      </c>
      <c r="E6239" s="20" t="s">
        <v>27</v>
      </c>
      <c r="F6239" s="20" t="str">
        <f>INDEX(nrg_cb_e!$A$3:$A$40,MATCH(LEFT(MID('Industriesektor GWh'!$B6239,41,1000),SEARCH(" - ",MID('Industriesektor GWh'!$B6239,41,1000))-1),nrg_cb_e!$C$3:$C$40,0))</f>
        <v>FC_IND_PPP_E</v>
      </c>
      <c r="G6239" s="21">
        <v>18107</v>
      </c>
    </row>
    <row r="6240" spans="1:7" x14ac:dyDescent="0.2">
      <c r="A6240" s="16" t="s">
        <v>54</v>
      </c>
      <c r="B6240" s="17" t="s">
        <v>70</v>
      </c>
      <c r="C6240" s="17" t="s">
        <v>8</v>
      </c>
      <c r="D6240" s="17" t="s">
        <v>10</v>
      </c>
      <c r="E6240" s="17" t="s">
        <v>28</v>
      </c>
      <c r="F6240" s="17" t="str">
        <f>INDEX(nrg_cb_e!$A$3:$A$40,MATCH(LEFT(MID('Industriesektor GWh'!$B6240,41,1000),SEARCH(" - ",MID('Industriesektor GWh'!$B6240,41,1000))-1),nrg_cb_e!$C$3:$C$40,0))</f>
        <v>FC_IND_PPP_E</v>
      </c>
      <c r="G6240" s="18">
        <v>18285</v>
      </c>
    </row>
    <row r="6241" spans="1:7" x14ac:dyDescent="0.2">
      <c r="A6241" s="19" t="s">
        <v>55</v>
      </c>
      <c r="B6241" s="20" t="s">
        <v>70</v>
      </c>
      <c r="C6241" s="20" t="s">
        <v>8</v>
      </c>
      <c r="D6241" s="20" t="s">
        <v>10</v>
      </c>
      <c r="E6241" s="20" t="s">
        <v>12</v>
      </c>
      <c r="F6241" s="20" t="str">
        <f>INDEX(nrg_cb_e!$A$3:$A$40,MATCH(LEFT(MID('Industriesektor GWh'!$B6241,41,1000),SEARCH(" - ",MID('Industriesektor GWh'!$B6241,41,1000))-1),nrg_cb_e!$C$3:$C$40,0))</f>
        <v>FC_IND_PPP_E</v>
      </c>
      <c r="G6241" s="21">
        <v>22729</v>
      </c>
    </row>
    <row r="6242" spans="1:7" x14ac:dyDescent="0.2">
      <c r="A6242" s="16" t="s">
        <v>55</v>
      </c>
      <c r="B6242" s="17" t="s">
        <v>70</v>
      </c>
      <c r="C6242" s="17" t="s">
        <v>8</v>
      </c>
      <c r="D6242" s="17" t="s">
        <v>10</v>
      </c>
      <c r="E6242" s="17" t="s">
        <v>13</v>
      </c>
      <c r="F6242" s="17" t="str">
        <f>INDEX(nrg_cb_e!$A$3:$A$40,MATCH(LEFT(MID('Industriesektor GWh'!$B6242,41,1000),SEARCH(" - ",MID('Industriesektor GWh'!$B6242,41,1000))-1),nrg_cb_e!$C$3:$C$40,0))</f>
        <v>FC_IND_PPP_E</v>
      </c>
      <c r="G6242" s="18">
        <v>22590</v>
      </c>
    </row>
    <row r="6243" spans="1:7" x14ac:dyDescent="0.2">
      <c r="A6243" s="19" t="s">
        <v>55</v>
      </c>
      <c r="B6243" s="20" t="s">
        <v>70</v>
      </c>
      <c r="C6243" s="20" t="s">
        <v>8</v>
      </c>
      <c r="D6243" s="20" t="s">
        <v>10</v>
      </c>
      <c r="E6243" s="20" t="s">
        <v>14</v>
      </c>
      <c r="F6243" s="20" t="str">
        <f>INDEX(nrg_cb_e!$A$3:$A$40,MATCH(LEFT(MID('Industriesektor GWh'!$B6243,41,1000),SEARCH(" - ",MID('Industriesektor GWh'!$B6243,41,1000))-1),nrg_cb_e!$C$3:$C$40,0))</f>
        <v>FC_IND_PPP_E</v>
      </c>
      <c r="G6243" s="21">
        <v>23042</v>
      </c>
    </row>
    <row r="6244" spans="1:7" x14ac:dyDescent="0.2">
      <c r="A6244" s="16" t="s">
        <v>55</v>
      </c>
      <c r="B6244" s="17" t="s">
        <v>70</v>
      </c>
      <c r="C6244" s="17" t="s">
        <v>8</v>
      </c>
      <c r="D6244" s="17" t="s">
        <v>10</v>
      </c>
      <c r="E6244" s="17" t="s">
        <v>15</v>
      </c>
      <c r="F6244" s="17" t="str">
        <f>INDEX(nrg_cb_e!$A$3:$A$40,MATCH(LEFT(MID('Industriesektor GWh'!$B6244,41,1000),SEARCH(" - ",MID('Industriesektor GWh'!$B6244,41,1000))-1),nrg_cb_e!$C$3:$C$40,0))</f>
        <v>FC_IND_PPP_E</v>
      </c>
      <c r="G6244" s="18">
        <v>23104</v>
      </c>
    </row>
    <row r="6245" spans="1:7" x14ac:dyDescent="0.2">
      <c r="A6245" s="19" t="s">
        <v>55</v>
      </c>
      <c r="B6245" s="20" t="s">
        <v>70</v>
      </c>
      <c r="C6245" s="20" t="s">
        <v>8</v>
      </c>
      <c r="D6245" s="20" t="s">
        <v>10</v>
      </c>
      <c r="E6245" s="20" t="s">
        <v>16</v>
      </c>
      <c r="F6245" s="20" t="str">
        <f>INDEX(nrg_cb_e!$A$3:$A$40,MATCH(LEFT(MID('Industriesektor GWh'!$B6245,41,1000),SEARCH(" - ",MID('Industriesektor GWh'!$B6245,41,1000))-1),nrg_cb_e!$C$3:$C$40,0))</f>
        <v>FC_IND_PPP_E</v>
      </c>
      <c r="G6245" s="21">
        <v>24186</v>
      </c>
    </row>
    <row r="6246" spans="1:7" x14ac:dyDescent="0.2">
      <c r="A6246" s="16" t="s">
        <v>55</v>
      </c>
      <c r="B6246" s="17" t="s">
        <v>70</v>
      </c>
      <c r="C6246" s="17" t="s">
        <v>8</v>
      </c>
      <c r="D6246" s="17" t="s">
        <v>10</v>
      </c>
      <c r="E6246" s="17" t="s">
        <v>17</v>
      </c>
      <c r="F6246" s="17" t="str">
        <f>INDEX(nrg_cb_e!$A$3:$A$40,MATCH(LEFT(MID('Industriesektor GWh'!$B6246,41,1000),SEARCH(" - ",MID('Industriesektor GWh'!$B6246,41,1000))-1),nrg_cb_e!$C$3:$C$40,0))</f>
        <v>FC_IND_PPP_E</v>
      </c>
      <c r="G6246" s="18">
        <v>24766</v>
      </c>
    </row>
    <row r="6247" spans="1:7" x14ac:dyDescent="0.2">
      <c r="A6247" s="19" t="s">
        <v>55</v>
      </c>
      <c r="B6247" s="20" t="s">
        <v>70</v>
      </c>
      <c r="C6247" s="20" t="s">
        <v>8</v>
      </c>
      <c r="D6247" s="20" t="s">
        <v>10</v>
      </c>
      <c r="E6247" s="20" t="s">
        <v>18</v>
      </c>
      <c r="F6247" s="20" t="str">
        <f>INDEX(nrg_cb_e!$A$3:$A$40,MATCH(LEFT(MID('Industriesektor GWh'!$B6247,41,1000),SEARCH(" - ",MID('Industriesektor GWh'!$B6247,41,1000))-1),nrg_cb_e!$C$3:$C$40,0))</f>
        <v>FC_IND_PPP_E</v>
      </c>
      <c r="G6247" s="21">
        <v>24523</v>
      </c>
    </row>
    <row r="6248" spans="1:7" x14ac:dyDescent="0.2">
      <c r="A6248" s="16" t="s">
        <v>55</v>
      </c>
      <c r="B6248" s="17" t="s">
        <v>70</v>
      </c>
      <c r="C6248" s="17" t="s">
        <v>8</v>
      </c>
      <c r="D6248" s="17" t="s">
        <v>10</v>
      </c>
      <c r="E6248" s="17" t="s">
        <v>19</v>
      </c>
      <c r="F6248" s="17" t="str">
        <f>INDEX(nrg_cb_e!$A$3:$A$40,MATCH(LEFT(MID('Industriesektor GWh'!$B6248,41,1000),SEARCH(" - ",MID('Industriesektor GWh'!$B6248,41,1000))-1),nrg_cb_e!$C$3:$C$40,0))</f>
        <v>FC_IND_PPP_E</v>
      </c>
      <c r="G6248" s="18">
        <v>22305</v>
      </c>
    </row>
    <row r="6249" spans="1:7" x14ac:dyDescent="0.2">
      <c r="A6249" s="19" t="s">
        <v>55</v>
      </c>
      <c r="B6249" s="20" t="s">
        <v>70</v>
      </c>
      <c r="C6249" s="20" t="s">
        <v>8</v>
      </c>
      <c r="D6249" s="20" t="s">
        <v>10</v>
      </c>
      <c r="E6249" s="20" t="s">
        <v>20</v>
      </c>
      <c r="F6249" s="20" t="str">
        <f>INDEX(nrg_cb_e!$A$3:$A$40,MATCH(LEFT(MID('Industriesektor GWh'!$B6249,41,1000),SEARCH(" - ",MID('Industriesektor GWh'!$B6249,41,1000))-1),nrg_cb_e!$C$3:$C$40,0))</f>
        <v>FC_IND_PPP_E</v>
      </c>
      <c r="G6249" s="21">
        <v>23021</v>
      </c>
    </row>
    <row r="6250" spans="1:7" x14ac:dyDescent="0.2">
      <c r="A6250" s="16" t="s">
        <v>55</v>
      </c>
      <c r="B6250" s="17" t="s">
        <v>70</v>
      </c>
      <c r="C6250" s="17" t="s">
        <v>8</v>
      </c>
      <c r="D6250" s="17" t="s">
        <v>10</v>
      </c>
      <c r="E6250" s="17" t="s">
        <v>21</v>
      </c>
      <c r="F6250" s="17" t="str">
        <f>INDEX(nrg_cb_e!$A$3:$A$40,MATCH(LEFT(MID('Industriesektor GWh'!$B6250,41,1000),SEARCH(" - ",MID('Industriesektor GWh'!$B6250,41,1000))-1),nrg_cb_e!$C$3:$C$40,0))</f>
        <v>FC_IND_PPP_E</v>
      </c>
      <c r="G6250" s="18">
        <v>22851</v>
      </c>
    </row>
    <row r="6251" spans="1:7" x14ac:dyDescent="0.2">
      <c r="A6251" s="19" t="s">
        <v>55</v>
      </c>
      <c r="B6251" s="20" t="s">
        <v>70</v>
      </c>
      <c r="C6251" s="20" t="s">
        <v>8</v>
      </c>
      <c r="D6251" s="20" t="s">
        <v>10</v>
      </c>
      <c r="E6251" s="20" t="s">
        <v>22</v>
      </c>
      <c r="F6251" s="20" t="str">
        <f>INDEX(nrg_cb_e!$A$3:$A$40,MATCH(LEFT(MID('Industriesektor GWh'!$B6251,41,1000),SEARCH(" - ",MID('Industriesektor GWh'!$B6251,41,1000))-1),nrg_cb_e!$C$3:$C$40,0))</f>
        <v>FC_IND_PPP_E</v>
      </c>
      <c r="G6251" s="21">
        <v>22972</v>
      </c>
    </row>
    <row r="6252" spans="1:7" x14ac:dyDescent="0.2">
      <c r="A6252" s="16" t="s">
        <v>55</v>
      </c>
      <c r="B6252" s="17" t="s">
        <v>70</v>
      </c>
      <c r="C6252" s="17" t="s">
        <v>8</v>
      </c>
      <c r="D6252" s="17" t="s">
        <v>10</v>
      </c>
      <c r="E6252" s="17" t="s">
        <v>23</v>
      </c>
      <c r="F6252" s="17" t="str">
        <f>INDEX(nrg_cb_e!$A$3:$A$40,MATCH(LEFT(MID('Industriesektor GWh'!$B6252,41,1000),SEARCH(" - ",MID('Industriesektor GWh'!$B6252,41,1000))-1),nrg_cb_e!$C$3:$C$40,0))</f>
        <v>FC_IND_PPP_E</v>
      </c>
      <c r="G6252" s="18">
        <v>21656</v>
      </c>
    </row>
    <row r="6253" spans="1:7" x14ac:dyDescent="0.2">
      <c r="A6253" s="19" t="s">
        <v>55</v>
      </c>
      <c r="B6253" s="20" t="s">
        <v>70</v>
      </c>
      <c r="C6253" s="20" t="s">
        <v>8</v>
      </c>
      <c r="D6253" s="20" t="s">
        <v>10</v>
      </c>
      <c r="E6253" s="20" t="s">
        <v>24</v>
      </c>
      <c r="F6253" s="20" t="str">
        <f>INDEX(nrg_cb_e!$A$3:$A$40,MATCH(LEFT(MID('Industriesektor GWh'!$B6253,41,1000),SEARCH(" - ",MID('Industriesektor GWh'!$B6253,41,1000))-1),nrg_cb_e!$C$3:$C$40,0))</f>
        <v>FC_IND_PPP_E</v>
      </c>
      <c r="G6253" s="21">
        <v>0</v>
      </c>
    </row>
    <row r="6254" spans="1:7" x14ac:dyDescent="0.2">
      <c r="A6254" s="16" t="s">
        <v>55</v>
      </c>
      <c r="B6254" s="17" t="s">
        <v>70</v>
      </c>
      <c r="C6254" s="17" t="s">
        <v>8</v>
      </c>
      <c r="D6254" s="17" t="s">
        <v>10</v>
      </c>
      <c r="E6254" s="17" t="s">
        <v>25</v>
      </c>
      <c r="F6254" s="17" t="str">
        <f>INDEX(nrg_cb_e!$A$3:$A$40,MATCH(LEFT(MID('Industriesektor GWh'!$B6254,41,1000),SEARCH(" - ",MID('Industriesektor GWh'!$B6254,41,1000))-1),nrg_cb_e!$C$3:$C$40,0))</f>
        <v>FC_IND_PPP_E</v>
      </c>
      <c r="G6254" s="18">
        <v>20476</v>
      </c>
    </row>
    <row r="6255" spans="1:7" x14ac:dyDescent="0.2">
      <c r="A6255" s="19" t="s">
        <v>55</v>
      </c>
      <c r="B6255" s="20" t="s">
        <v>70</v>
      </c>
      <c r="C6255" s="20" t="s">
        <v>8</v>
      </c>
      <c r="D6255" s="20" t="s">
        <v>10</v>
      </c>
      <c r="E6255" s="20" t="s">
        <v>26</v>
      </c>
      <c r="F6255" s="20" t="str">
        <f>INDEX(nrg_cb_e!$A$3:$A$40,MATCH(LEFT(MID('Industriesektor GWh'!$B6255,41,1000),SEARCH(" - ",MID('Industriesektor GWh'!$B6255,41,1000))-1),nrg_cb_e!$C$3:$C$40,0))</f>
        <v>FC_IND_PPP_E</v>
      </c>
      <c r="G6255" s="21">
        <v>20140</v>
      </c>
    </row>
    <row r="6256" spans="1:7" x14ac:dyDescent="0.2">
      <c r="A6256" s="16" t="s">
        <v>55</v>
      </c>
      <c r="B6256" s="17" t="s">
        <v>70</v>
      </c>
      <c r="C6256" s="17" t="s">
        <v>8</v>
      </c>
      <c r="D6256" s="17" t="s">
        <v>10</v>
      </c>
      <c r="E6256" s="17" t="s">
        <v>27</v>
      </c>
      <c r="F6256" s="17" t="str">
        <f>INDEX(nrg_cb_e!$A$3:$A$40,MATCH(LEFT(MID('Industriesektor GWh'!$B6256,41,1000),SEARCH(" - ",MID('Industriesektor GWh'!$B6256,41,1000))-1),nrg_cb_e!$C$3:$C$40,0))</f>
        <v>FC_IND_PPP_E</v>
      </c>
      <c r="G6256" s="18">
        <v>20272</v>
      </c>
    </row>
    <row r="6257" spans="1:7" x14ac:dyDescent="0.2">
      <c r="A6257" s="19" t="s">
        <v>55</v>
      </c>
      <c r="B6257" s="20" t="s">
        <v>70</v>
      </c>
      <c r="C6257" s="20" t="s">
        <v>8</v>
      </c>
      <c r="D6257" s="20" t="s">
        <v>10</v>
      </c>
      <c r="E6257" s="20" t="s">
        <v>28</v>
      </c>
      <c r="F6257" s="20" t="str">
        <f>INDEX(nrg_cb_e!$A$3:$A$40,MATCH(LEFT(MID('Industriesektor GWh'!$B6257,41,1000),SEARCH(" - ",MID('Industriesektor GWh'!$B6257,41,1000))-1),nrg_cb_e!$C$3:$C$40,0))</f>
        <v>FC_IND_PPP_E</v>
      </c>
      <c r="G6257" s="21">
        <v>20030</v>
      </c>
    </row>
    <row r="6258" spans="1:7" x14ac:dyDescent="0.2">
      <c r="A6258" s="16" t="s">
        <v>56</v>
      </c>
      <c r="B6258" s="17" t="s">
        <v>70</v>
      </c>
      <c r="C6258" s="17" t="s">
        <v>8</v>
      </c>
      <c r="D6258" s="17" t="s">
        <v>10</v>
      </c>
      <c r="E6258" s="17" t="s">
        <v>12</v>
      </c>
      <c r="F6258" s="17" t="str">
        <f>INDEX(nrg_cb_e!$A$3:$A$40,MATCH(LEFT(MID('Industriesektor GWh'!$B6258,41,1000),SEARCH(" - ",MID('Industriesektor GWh'!$B6258,41,1000))-1),nrg_cb_e!$C$3:$C$40,0))</f>
        <v>FC_IND_PPP_E</v>
      </c>
      <c r="G6258" s="18">
        <v>11988</v>
      </c>
    </row>
    <row r="6259" spans="1:7" x14ac:dyDescent="0.2">
      <c r="A6259" s="19" t="s">
        <v>56</v>
      </c>
      <c r="B6259" s="20" t="s">
        <v>70</v>
      </c>
      <c r="C6259" s="20" t="s">
        <v>8</v>
      </c>
      <c r="D6259" s="20" t="s">
        <v>10</v>
      </c>
      <c r="E6259" s="20" t="s">
        <v>13</v>
      </c>
      <c r="F6259" s="20" t="str">
        <f>INDEX(nrg_cb_e!$A$3:$A$40,MATCH(LEFT(MID('Industriesektor GWh'!$B6259,41,1000),SEARCH(" - ",MID('Industriesektor GWh'!$B6259,41,1000))-1),nrg_cb_e!$C$3:$C$40,0))</f>
        <v>FC_IND_PPP_E</v>
      </c>
      <c r="G6259" s="21">
        <v>12550</v>
      </c>
    </row>
    <row r="6260" spans="1:7" x14ac:dyDescent="0.2">
      <c r="A6260" s="16" t="s">
        <v>56</v>
      </c>
      <c r="B6260" s="17" t="s">
        <v>70</v>
      </c>
      <c r="C6260" s="17" t="s">
        <v>8</v>
      </c>
      <c r="D6260" s="17" t="s">
        <v>10</v>
      </c>
      <c r="E6260" s="17" t="s">
        <v>14</v>
      </c>
      <c r="F6260" s="17" t="str">
        <f>INDEX(nrg_cb_e!$A$3:$A$40,MATCH(LEFT(MID('Industriesektor GWh'!$B6260,41,1000),SEARCH(" - ",MID('Industriesektor GWh'!$B6260,41,1000))-1),nrg_cb_e!$C$3:$C$40,0))</f>
        <v>FC_IND_PPP_E</v>
      </c>
      <c r="G6260" s="18">
        <v>13171</v>
      </c>
    </row>
    <row r="6261" spans="1:7" x14ac:dyDescent="0.2">
      <c r="A6261" s="19" t="s">
        <v>56</v>
      </c>
      <c r="B6261" s="20" t="s">
        <v>70</v>
      </c>
      <c r="C6261" s="20" t="s">
        <v>8</v>
      </c>
      <c r="D6261" s="20" t="s">
        <v>10</v>
      </c>
      <c r="E6261" s="20" t="s">
        <v>15</v>
      </c>
      <c r="F6261" s="20" t="str">
        <f>INDEX(nrg_cb_e!$A$3:$A$40,MATCH(LEFT(MID('Industriesektor GWh'!$B6261,41,1000),SEARCH(" - ",MID('Industriesektor GWh'!$B6261,41,1000))-1),nrg_cb_e!$C$3:$C$40,0))</f>
        <v>FC_IND_PPP_E</v>
      </c>
      <c r="G6261" s="21">
        <v>13225</v>
      </c>
    </row>
    <row r="6262" spans="1:7" x14ac:dyDescent="0.2">
      <c r="A6262" s="16" t="s">
        <v>56</v>
      </c>
      <c r="B6262" s="17" t="s">
        <v>70</v>
      </c>
      <c r="C6262" s="17" t="s">
        <v>8</v>
      </c>
      <c r="D6262" s="17" t="s">
        <v>10</v>
      </c>
      <c r="E6262" s="17" t="s">
        <v>16</v>
      </c>
      <c r="F6262" s="17" t="str">
        <f>INDEX(nrg_cb_e!$A$3:$A$40,MATCH(LEFT(MID('Industriesektor GWh'!$B6262,41,1000),SEARCH(" - ",MID('Industriesektor GWh'!$B6262,41,1000))-1),nrg_cb_e!$C$3:$C$40,0))</f>
        <v>FC_IND_PPP_E</v>
      </c>
      <c r="G6262" s="18">
        <v>12906</v>
      </c>
    </row>
    <row r="6263" spans="1:7" x14ac:dyDescent="0.2">
      <c r="A6263" s="19" t="s">
        <v>56</v>
      </c>
      <c r="B6263" s="20" t="s">
        <v>70</v>
      </c>
      <c r="C6263" s="20" t="s">
        <v>8</v>
      </c>
      <c r="D6263" s="20" t="s">
        <v>10</v>
      </c>
      <c r="E6263" s="20" t="s">
        <v>17</v>
      </c>
      <c r="F6263" s="20" t="str">
        <f>INDEX(nrg_cb_e!$A$3:$A$40,MATCH(LEFT(MID('Industriesektor GWh'!$B6263,41,1000),SEARCH(" - ",MID('Industriesektor GWh'!$B6263,41,1000))-1),nrg_cb_e!$C$3:$C$40,0))</f>
        <v>FC_IND_PPP_E</v>
      </c>
      <c r="G6263" s="21">
        <v>12741</v>
      </c>
    </row>
    <row r="6264" spans="1:7" x14ac:dyDescent="0.2">
      <c r="A6264" s="16" t="s">
        <v>56</v>
      </c>
      <c r="B6264" s="17" t="s">
        <v>70</v>
      </c>
      <c r="C6264" s="17" t="s">
        <v>8</v>
      </c>
      <c r="D6264" s="17" t="s">
        <v>10</v>
      </c>
      <c r="E6264" s="17" t="s">
        <v>18</v>
      </c>
      <c r="F6264" s="17" t="str">
        <f>INDEX(nrg_cb_e!$A$3:$A$40,MATCH(LEFT(MID('Industriesektor GWh'!$B6264,41,1000),SEARCH(" - ",MID('Industriesektor GWh'!$B6264,41,1000))-1),nrg_cb_e!$C$3:$C$40,0))</f>
        <v>FC_IND_PPP_E</v>
      </c>
      <c r="G6264" s="18">
        <v>12865</v>
      </c>
    </row>
    <row r="6265" spans="1:7" x14ac:dyDescent="0.2">
      <c r="A6265" s="19" t="s">
        <v>56</v>
      </c>
      <c r="B6265" s="20" t="s">
        <v>70</v>
      </c>
      <c r="C6265" s="20" t="s">
        <v>8</v>
      </c>
      <c r="D6265" s="20" t="s">
        <v>10</v>
      </c>
      <c r="E6265" s="20" t="s">
        <v>19</v>
      </c>
      <c r="F6265" s="20" t="str">
        <f>INDEX(nrg_cb_e!$A$3:$A$40,MATCH(LEFT(MID('Industriesektor GWh'!$B6265,41,1000),SEARCH(" - ",MID('Industriesektor GWh'!$B6265,41,1000))-1),nrg_cb_e!$C$3:$C$40,0))</f>
        <v>FC_IND_PPP_E</v>
      </c>
      <c r="G6265" s="21">
        <v>11069</v>
      </c>
    </row>
    <row r="6266" spans="1:7" x14ac:dyDescent="0.2">
      <c r="A6266" s="16" t="s">
        <v>56</v>
      </c>
      <c r="B6266" s="17" t="s">
        <v>70</v>
      </c>
      <c r="C6266" s="17" t="s">
        <v>8</v>
      </c>
      <c r="D6266" s="17" t="s">
        <v>10</v>
      </c>
      <c r="E6266" s="17" t="s">
        <v>20</v>
      </c>
      <c r="F6266" s="17" t="str">
        <f>INDEX(nrg_cb_e!$A$3:$A$40,MATCH(LEFT(MID('Industriesektor GWh'!$B6266,41,1000),SEARCH(" - ",MID('Industriesektor GWh'!$B6266,41,1000))-1),nrg_cb_e!$C$3:$C$40,0))</f>
        <v>FC_IND_PPP_E</v>
      </c>
      <c r="G6266" s="18">
        <v>10954</v>
      </c>
    </row>
    <row r="6267" spans="1:7" x14ac:dyDescent="0.2">
      <c r="A6267" s="19" t="s">
        <v>56</v>
      </c>
      <c r="B6267" s="20" t="s">
        <v>70</v>
      </c>
      <c r="C6267" s="20" t="s">
        <v>8</v>
      </c>
      <c r="D6267" s="20" t="s">
        <v>10</v>
      </c>
      <c r="E6267" s="20" t="s">
        <v>21</v>
      </c>
      <c r="F6267" s="20" t="str">
        <f>INDEX(nrg_cb_e!$A$3:$A$40,MATCH(LEFT(MID('Industriesektor GWh'!$B6267,41,1000),SEARCH(" - ",MID('Industriesektor GWh'!$B6267,41,1000))-1),nrg_cb_e!$C$3:$C$40,0))</f>
        <v>FC_IND_PPP_E</v>
      </c>
      <c r="G6267" s="21">
        <v>10940</v>
      </c>
    </row>
    <row r="6268" spans="1:7" x14ac:dyDescent="0.2">
      <c r="A6268" s="16" t="s">
        <v>56</v>
      </c>
      <c r="B6268" s="17" t="s">
        <v>70</v>
      </c>
      <c r="C6268" s="17" t="s">
        <v>8</v>
      </c>
      <c r="D6268" s="17" t="s">
        <v>10</v>
      </c>
      <c r="E6268" s="17" t="s">
        <v>22</v>
      </c>
      <c r="F6268" s="17" t="str">
        <f>INDEX(nrg_cb_e!$A$3:$A$40,MATCH(LEFT(MID('Industriesektor GWh'!$B6268,41,1000),SEARCH(" - ",MID('Industriesektor GWh'!$B6268,41,1000))-1),nrg_cb_e!$C$3:$C$40,0))</f>
        <v>FC_IND_PPP_E</v>
      </c>
      <c r="G6268" s="18">
        <v>10866</v>
      </c>
    </row>
    <row r="6269" spans="1:7" x14ac:dyDescent="0.2">
      <c r="A6269" s="19" t="s">
        <v>56</v>
      </c>
      <c r="B6269" s="20" t="s">
        <v>70</v>
      </c>
      <c r="C6269" s="20" t="s">
        <v>8</v>
      </c>
      <c r="D6269" s="20" t="s">
        <v>10</v>
      </c>
      <c r="E6269" s="20" t="s">
        <v>23</v>
      </c>
      <c r="F6269" s="20" t="str">
        <f>INDEX(nrg_cb_e!$A$3:$A$40,MATCH(LEFT(MID('Industriesektor GWh'!$B6269,41,1000),SEARCH(" - ",MID('Industriesektor GWh'!$B6269,41,1000))-1),nrg_cb_e!$C$3:$C$40,0))</f>
        <v>FC_IND_PPP_E</v>
      </c>
      <c r="G6269" s="21">
        <v>10806</v>
      </c>
    </row>
    <row r="6270" spans="1:7" x14ac:dyDescent="0.2">
      <c r="A6270" s="16" t="s">
        <v>56</v>
      </c>
      <c r="B6270" s="17" t="s">
        <v>70</v>
      </c>
      <c r="C6270" s="17" t="s">
        <v>8</v>
      </c>
      <c r="D6270" s="17" t="s">
        <v>10</v>
      </c>
      <c r="E6270" s="17" t="s">
        <v>24</v>
      </c>
      <c r="F6270" s="17" t="str">
        <f>INDEX(nrg_cb_e!$A$3:$A$40,MATCH(LEFT(MID('Industriesektor GWh'!$B6270,41,1000),SEARCH(" - ",MID('Industriesektor GWh'!$B6270,41,1000))-1),nrg_cb_e!$C$3:$C$40,0))</f>
        <v>FC_IND_PPP_E</v>
      </c>
      <c r="G6270" s="18">
        <v>10725</v>
      </c>
    </row>
    <row r="6271" spans="1:7" x14ac:dyDescent="0.2">
      <c r="A6271" s="19" t="s">
        <v>56</v>
      </c>
      <c r="B6271" s="20" t="s">
        <v>70</v>
      </c>
      <c r="C6271" s="20" t="s">
        <v>8</v>
      </c>
      <c r="D6271" s="20" t="s">
        <v>10</v>
      </c>
      <c r="E6271" s="20" t="s">
        <v>25</v>
      </c>
      <c r="F6271" s="20" t="str">
        <f>INDEX(nrg_cb_e!$A$3:$A$40,MATCH(LEFT(MID('Industriesektor GWh'!$B6271,41,1000),SEARCH(" - ",MID('Industriesektor GWh'!$B6271,41,1000))-1),nrg_cb_e!$C$3:$C$40,0))</f>
        <v>FC_IND_PPP_E</v>
      </c>
      <c r="G6271" s="21">
        <v>10602.243</v>
      </c>
    </row>
    <row r="6272" spans="1:7" x14ac:dyDescent="0.2">
      <c r="A6272" s="16" t="s">
        <v>56</v>
      </c>
      <c r="B6272" s="17" t="s">
        <v>70</v>
      </c>
      <c r="C6272" s="17" t="s">
        <v>8</v>
      </c>
      <c r="D6272" s="17" t="s">
        <v>10</v>
      </c>
      <c r="E6272" s="17" t="s">
        <v>26</v>
      </c>
      <c r="F6272" s="17" t="str">
        <f>INDEX(nrg_cb_e!$A$3:$A$40,MATCH(LEFT(MID('Industriesektor GWh'!$B6272,41,1000),SEARCH(" - ",MID('Industriesektor GWh'!$B6272,41,1000))-1),nrg_cb_e!$C$3:$C$40,0))</f>
        <v>FC_IND_PPP_E</v>
      </c>
      <c r="G6272" s="18">
        <v>10563.918</v>
      </c>
    </row>
    <row r="6273" spans="1:7" x14ac:dyDescent="0.2">
      <c r="A6273" s="19" t="s">
        <v>56</v>
      </c>
      <c r="B6273" s="20" t="s">
        <v>70</v>
      </c>
      <c r="C6273" s="20" t="s">
        <v>8</v>
      </c>
      <c r="D6273" s="20" t="s">
        <v>10</v>
      </c>
      <c r="E6273" s="20" t="s">
        <v>27</v>
      </c>
      <c r="F6273" s="20" t="str">
        <f>INDEX(nrg_cb_e!$A$3:$A$40,MATCH(LEFT(MID('Industriesektor GWh'!$B6273,41,1000),SEARCH(" - ",MID('Industriesektor GWh'!$B6273,41,1000))-1),nrg_cb_e!$C$3:$C$40,0))</f>
        <v>FC_IND_PPP_E</v>
      </c>
      <c r="G6273" s="21">
        <v>10597.796</v>
      </c>
    </row>
    <row r="6274" spans="1:7" x14ac:dyDescent="0.2">
      <c r="A6274" s="16" t="s">
        <v>56</v>
      </c>
      <c r="B6274" s="17" t="s">
        <v>70</v>
      </c>
      <c r="C6274" s="17" t="s">
        <v>8</v>
      </c>
      <c r="D6274" s="17" t="s">
        <v>10</v>
      </c>
      <c r="E6274" s="17" t="s">
        <v>28</v>
      </c>
      <c r="F6274" s="17" t="str">
        <f>INDEX(nrg_cb_e!$A$3:$A$40,MATCH(LEFT(MID('Industriesektor GWh'!$B6274,41,1000),SEARCH(" - ",MID('Industriesektor GWh'!$B6274,41,1000))-1),nrg_cb_e!$C$3:$C$40,0))</f>
        <v>FC_IND_PPP_E</v>
      </c>
      <c r="G6274" s="18">
        <v>10382.11</v>
      </c>
    </row>
    <row r="6275" spans="1:7" x14ac:dyDescent="0.2">
      <c r="A6275" s="19" t="s">
        <v>57</v>
      </c>
      <c r="B6275" s="20" t="s">
        <v>70</v>
      </c>
      <c r="C6275" s="20" t="s">
        <v>8</v>
      </c>
      <c r="D6275" s="20" t="s">
        <v>10</v>
      </c>
      <c r="E6275" s="20" t="s">
        <v>12</v>
      </c>
      <c r="F6275" s="20" t="str">
        <f>INDEX(nrg_cb_e!$A$3:$A$40,MATCH(LEFT(MID('Industriesektor GWh'!$B6275,41,1000),SEARCH(" - ",MID('Industriesektor GWh'!$B6275,41,1000))-1),nrg_cb_e!$C$3:$C$40,0))</f>
        <v>FC_IND_PPP_E</v>
      </c>
      <c r="G6275" s="21">
        <v>16</v>
      </c>
    </row>
    <row r="6276" spans="1:7" x14ac:dyDescent="0.2">
      <c r="A6276" s="16" t="s">
        <v>57</v>
      </c>
      <c r="B6276" s="17" t="s">
        <v>70</v>
      </c>
      <c r="C6276" s="17" t="s">
        <v>8</v>
      </c>
      <c r="D6276" s="17" t="s">
        <v>10</v>
      </c>
      <c r="E6276" s="17" t="s">
        <v>13</v>
      </c>
      <c r="F6276" s="17" t="str">
        <f>INDEX(nrg_cb_e!$A$3:$A$40,MATCH(LEFT(MID('Industriesektor GWh'!$B6276,41,1000),SEARCH(" - ",MID('Industriesektor GWh'!$B6276,41,1000))-1),nrg_cb_e!$C$3:$C$40,0))</f>
        <v>FC_IND_PPP_E</v>
      </c>
      <c r="G6276" s="18">
        <v>15</v>
      </c>
    </row>
    <row r="6277" spans="1:7" x14ac:dyDescent="0.2">
      <c r="A6277" s="19" t="s">
        <v>57</v>
      </c>
      <c r="B6277" s="20" t="s">
        <v>70</v>
      </c>
      <c r="C6277" s="20" t="s">
        <v>8</v>
      </c>
      <c r="D6277" s="20" t="s">
        <v>10</v>
      </c>
      <c r="E6277" s="20" t="s">
        <v>14</v>
      </c>
      <c r="F6277" s="20" t="str">
        <f>INDEX(nrg_cb_e!$A$3:$A$40,MATCH(LEFT(MID('Industriesektor GWh'!$B6277,41,1000),SEARCH(" - ",MID('Industriesektor GWh'!$B6277,41,1000))-1),nrg_cb_e!$C$3:$C$40,0))</f>
        <v>FC_IND_PPP_E</v>
      </c>
      <c r="G6277" s="21">
        <v>17</v>
      </c>
    </row>
    <row r="6278" spans="1:7" x14ac:dyDescent="0.2">
      <c r="A6278" s="16" t="s">
        <v>57</v>
      </c>
      <c r="B6278" s="17" t="s">
        <v>70</v>
      </c>
      <c r="C6278" s="17" t="s">
        <v>8</v>
      </c>
      <c r="D6278" s="17" t="s">
        <v>10</v>
      </c>
      <c r="E6278" s="17" t="s">
        <v>15</v>
      </c>
      <c r="F6278" s="17" t="str">
        <f>INDEX(nrg_cb_e!$A$3:$A$40,MATCH(LEFT(MID('Industriesektor GWh'!$B6278,41,1000),SEARCH(" - ",MID('Industriesektor GWh'!$B6278,41,1000))-1),nrg_cb_e!$C$3:$C$40,0))</f>
        <v>FC_IND_PPP_E</v>
      </c>
      <c r="G6278" s="18">
        <v>16</v>
      </c>
    </row>
    <row r="6279" spans="1:7" x14ac:dyDescent="0.2">
      <c r="A6279" s="19" t="s">
        <v>57</v>
      </c>
      <c r="B6279" s="20" t="s">
        <v>70</v>
      </c>
      <c r="C6279" s="20" t="s">
        <v>8</v>
      </c>
      <c r="D6279" s="20" t="s">
        <v>10</v>
      </c>
      <c r="E6279" s="20" t="s">
        <v>16</v>
      </c>
      <c r="F6279" s="20" t="str">
        <f>INDEX(nrg_cb_e!$A$3:$A$40,MATCH(LEFT(MID('Industriesektor GWh'!$B6279,41,1000),SEARCH(" - ",MID('Industriesektor GWh'!$B6279,41,1000))-1),nrg_cb_e!$C$3:$C$40,0))</f>
        <v>FC_IND_PPP_E</v>
      </c>
      <c r="G6279" s="21">
        <v>19</v>
      </c>
    </row>
    <row r="6280" spans="1:7" x14ac:dyDescent="0.2">
      <c r="A6280" s="16" t="s">
        <v>57</v>
      </c>
      <c r="B6280" s="17" t="s">
        <v>70</v>
      </c>
      <c r="C6280" s="17" t="s">
        <v>8</v>
      </c>
      <c r="D6280" s="17" t="s">
        <v>10</v>
      </c>
      <c r="E6280" s="17" t="s">
        <v>17</v>
      </c>
      <c r="F6280" s="17" t="str">
        <f>INDEX(nrg_cb_e!$A$3:$A$40,MATCH(LEFT(MID('Industriesektor GWh'!$B6280,41,1000),SEARCH(" - ",MID('Industriesektor GWh'!$B6280,41,1000))-1),nrg_cb_e!$C$3:$C$40,0))</f>
        <v>FC_IND_PPP_E</v>
      </c>
      <c r="G6280" s="18">
        <v>21</v>
      </c>
    </row>
    <row r="6281" spans="1:7" x14ac:dyDescent="0.2">
      <c r="A6281" s="19" t="s">
        <v>57</v>
      </c>
      <c r="B6281" s="20" t="s">
        <v>70</v>
      </c>
      <c r="C6281" s="20" t="s">
        <v>8</v>
      </c>
      <c r="D6281" s="20" t="s">
        <v>10</v>
      </c>
      <c r="E6281" s="20" t="s">
        <v>18</v>
      </c>
      <c r="F6281" s="20" t="str">
        <f>INDEX(nrg_cb_e!$A$3:$A$40,MATCH(LEFT(MID('Industriesektor GWh'!$B6281,41,1000),SEARCH(" - ",MID('Industriesektor GWh'!$B6281,41,1000))-1),nrg_cb_e!$C$3:$C$40,0))</f>
        <v>FC_IND_PPP_E</v>
      </c>
      <c r="G6281" s="21">
        <v>17</v>
      </c>
    </row>
    <row r="6282" spans="1:7" x14ac:dyDescent="0.2">
      <c r="A6282" s="16" t="s">
        <v>57</v>
      </c>
      <c r="B6282" s="17" t="s">
        <v>70</v>
      </c>
      <c r="C6282" s="17" t="s">
        <v>8</v>
      </c>
      <c r="D6282" s="17" t="s">
        <v>10</v>
      </c>
      <c r="E6282" s="17" t="s">
        <v>19</v>
      </c>
      <c r="F6282" s="17" t="str">
        <f>INDEX(nrg_cb_e!$A$3:$A$40,MATCH(LEFT(MID('Industriesektor GWh'!$B6282,41,1000),SEARCH(" - ",MID('Industriesektor GWh'!$B6282,41,1000))-1),nrg_cb_e!$C$3:$C$40,0))</f>
        <v>FC_IND_PPP_E</v>
      </c>
      <c r="G6282" s="18">
        <v>18</v>
      </c>
    </row>
    <row r="6283" spans="1:7" x14ac:dyDescent="0.2">
      <c r="A6283" s="19" t="s">
        <v>57</v>
      </c>
      <c r="B6283" s="20" t="s">
        <v>70</v>
      </c>
      <c r="C6283" s="20" t="s">
        <v>8</v>
      </c>
      <c r="D6283" s="20" t="s">
        <v>10</v>
      </c>
      <c r="E6283" s="20" t="s">
        <v>20</v>
      </c>
      <c r="F6283" s="20" t="str">
        <f>INDEX(nrg_cb_e!$A$3:$A$40,MATCH(LEFT(MID('Industriesektor GWh'!$B6283,41,1000),SEARCH(" - ",MID('Industriesektor GWh'!$B6283,41,1000))-1),nrg_cb_e!$C$3:$C$40,0))</f>
        <v>FC_IND_PPP_E</v>
      </c>
      <c r="G6283" s="21">
        <v>17</v>
      </c>
    </row>
    <row r="6284" spans="1:7" x14ac:dyDescent="0.2">
      <c r="A6284" s="16" t="s">
        <v>57</v>
      </c>
      <c r="B6284" s="17" t="s">
        <v>70</v>
      </c>
      <c r="C6284" s="17" t="s">
        <v>8</v>
      </c>
      <c r="D6284" s="17" t="s">
        <v>10</v>
      </c>
      <c r="E6284" s="17" t="s">
        <v>21</v>
      </c>
      <c r="F6284" s="17" t="str">
        <f>INDEX(nrg_cb_e!$A$3:$A$40,MATCH(LEFT(MID('Industriesektor GWh'!$B6284,41,1000),SEARCH(" - ",MID('Industriesektor GWh'!$B6284,41,1000))-1),nrg_cb_e!$C$3:$C$40,0))</f>
        <v>FC_IND_PPP_E</v>
      </c>
      <c r="G6284" s="18">
        <v>18</v>
      </c>
    </row>
    <row r="6285" spans="1:7" x14ac:dyDescent="0.2">
      <c r="A6285" s="19" t="s">
        <v>57</v>
      </c>
      <c r="B6285" s="20" t="s">
        <v>70</v>
      </c>
      <c r="C6285" s="20" t="s">
        <v>8</v>
      </c>
      <c r="D6285" s="20" t="s">
        <v>10</v>
      </c>
      <c r="E6285" s="20" t="s">
        <v>22</v>
      </c>
      <c r="F6285" s="20" t="str">
        <f>INDEX(nrg_cb_e!$A$3:$A$40,MATCH(LEFT(MID('Industriesektor GWh'!$B6285,41,1000),SEARCH(" - ",MID('Industriesektor GWh'!$B6285,41,1000))-1),nrg_cb_e!$C$3:$C$40,0))</f>
        <v>FC_IND_PPP_E</v>
      </c>
      <c r="G6285" s="21">
        <v>17</v>
      </c>
    </row>
    <row r="6286" spans="1:7" x14ac:dyDescent="0.2">
      <c r="A6286" s="16" t="s">
        <v>57</v>
      </c>
      <c r="B6286" s="17" t="s">
        <v>70</v>
      </c>
      <c r="C6286" s="17" t="s">
        <v>8</v>
      </c>
      <c r="D6286" s="17" t="s">
        <v>10</v>
      </c>
      <c r="E6286" s="17" t="s">
        <v>23</v>
      </c>
      <c r="F6286" s="17" t="str">
        <f>INDEX(nrg_cb_e!$A$3:$A$40,MATCH(LEFT(MID('Industriesektor GWh'!$B6286,41,1000),SEARCH(" - ",MID('Industriesektor GWh'!$B6286,41,1000))-1),nrg_cb_e!$C$3:$C$40,0))</f>
        <v>FC_IND_PPP_E</v>
      </c>
      <c r="G6286" s="18">
        <v>17</v>
      </c>
    </row>
    <row r="6287" spans="1:7" x14ac:dyDescent="0.2">
      <c r="A6287" s="19" t="s">
        <v>57</v>
      </c>
      <c r="B6287" s="20" t="s">
        <v>70</v>
      </c>
      <c r="C6287" s="20" t="s">
        <v>8</v>
      </c>
      <c r="D6287" s="20" t="s">
        <v>10</v>
      </c>
      <c r="E6287" s="20" t="s">
        <v>24</v>
      </c>
      <c r="F6287" s="20" t="str">
        <f>INDEX(nrg_cb_e!$A$3:$A$40,MATCH(LEFT(MID('Industriesektor GWh'!$B6287,41,1000),SEARCH(" - ",MID('Industriesektor GWh'!$B6287,41,1000))-1),nrg_cb_e!$C$3:$C$40,0))</f>
        <v>FC_IND_PPP_E</v>
      </c>
      <c r="G6287" s="21">
        <v>16</v>
      </c>
    </row>
    <row r="6288" spans="1:7" x14ac:dyDescent="0.2">
      <c r="A6288" s="16" t="s">
        <v>57</v>
      </c>
      <c r="B6288" s="17" t="s">
        <v>70</v>
      </c>
      <c r="C6288" s="17" t="s">
        <v>8</v>
      </c>
      <c r="D6288" s="17" t="s">
        <v>10</v>
      </c>
      <c r="E6288" s="17" t="s">
        <v>25</v>
      </c>
      <c r="F6288" s="17" t="str">
        <f>INDEX(nrg_cb_e!$A$3:$A$40,MATCH(LEFT(MID('Industriesektor GWh'!$B6288,41,1000),SEARCH(" - ",MID('Industriesektor GWh'!$B6288,41,1000))-1),nrg_cb_e!$C$3:$C$40,0))</f>
        <v>FC_IND_PPP_E</v>
      </c>
      <c r="G6288" s="18">
        <v>16</v>
      </c>
    </row>
    <row r="6289" spans="1:7" x14ac:dyDescent="0.2">
      <c r="A6289" s="19" t="s">
        <v>57</v>
      </c>
      <c r="B6289" s="20" t="s">
        <v>70</v>
      </c>
      <c r="C6289" s="20" t="s">
        <v>8</v>
      </c>
      <c r="D6289" s="20" t="s">
        <v>10</v>
      </c>
      <c r="E6289" s="20" t="s">
        <v>26</v>
      </c>
      <c r="F6289" s="20" t="str">
        <f>INDEX(nrg_cb_e!$A$3:$A$40,MATCH(LEFT(MID('Industriesektor GWh'!$B6289,41,1000),SEARCH(" - ",MID('Industriesektor GWh'!$B6289,41,1000))-1),nrg_cb_e!$C$3:$C$40,0))</f>
        <v>FC_IND_PPP_E</v>
      </c>
      <c r="G6289" s="21">
        <v>16</v>
      </c>
    </row>
    <row r="6290" spans="1:7" x14ac:dyDescent="0.2">
      <c r="A6290" s="16" t="s">
        <v>57</v>
      </c>
      <c r="B6290" s="17" t="s">
        <v>70</v>
      </c>
      <c r="C6290" s="17" t="s">
        <v>8</v>
      </c>
      <c r="D6290" s="17" t="s">
        <v>10</v>
      </c>
      <c r="E6290" s="17" t="s">
        <v>27</v>
      </c>
      <c r="F6290" s="17" t="str">
        <f>INDEX(nrg_cb_e!$A$3:$A$40,MATCH(LEFT(MID('Industriesektor GWh'!$B6290,41,1000),SEARCH(" - ",MID('Industriesektor GWh'!$B6290,41,1000))-1),nrg_cb_e!$C$3:$C$40,0))</f>
        <v>FC_IND_PPP_E</v>
      </c>
      <c r="G6290" s="18">
        <v>15.29</v>
      </c>
    </row>
    <row r="6291" spans="1:7" x14ac:dyDescent="0.2">
      <c r="A6291" s="19" t="s">
        <v>57</v>
      </c>
      <c r="B6291" s="20" t="s">
        <v>70</v>
      </c>
      <c r="C6291" s="20" t="s">
        <v>8</v>
      </c>
      <c r="D6291" s="20" t="s">
        <v>10</v>
      </c>
      <c r="E6291" s="20" t="s">
        <v>28</v>
      </c>
      <c r="F6291" s="20" t="str">
        <f>INDEX(nrg_cb_e!$A$3:$A$40,MATCH(LEFT(MID('Industriesektor GWh'!$B6291,41,1000),SEARCH(" - ",MID('Industriesektor GWh'!$B6291,41,1000))-1),nrg_cb_e!$C$3:$C$40,0))</f>
        <v>FC_IND_PPP_E</v>
      </c>
      <c r="G6291" s="21">
        <v>11.227</v>
      </c>
    </row>
    <row r="6292" spans="1:7" x14ac:dyDescent="0.2">
      <c r="A6292" s="16" t="s">
        <v>58</v>
      </c>
      <c r="B6292" s="17" t="s">
        <v>70</v>
      </c>
      <c r="C6292" s="17" t="s">
        <v>8</v>
      </c>
      <c r="D6292" s="17" t="s">
        <v>10</v>
      </c>
      <c r="E6292" s="17" t="s">
        <v>12</v>
      </c>
      <c r="F6292" s="17" t="str">
        <f>INDEX(nrg_cb_e!$A$3:$A$40,MATCH(LEFT(MID('Industriesektor GWh'!$B6292,41,1000),SEARCH(" - ",MID('Industriesektor GWh'!$B6292,41,1000))-1),nrg_cb_e!$C$3:$C$40,0))</f>
        <v>FC_IND_PPP_E</v>
      </c>
      <c r="G6292" s="18">
        <v>6788</v>
      </c>
    </row>
    <row r="6293" spans="1:7" x14ac:dyDescent="0.2">
      <c r="A6293" s="19" t="s">
        <v>58</v>
      </c>
      <c r="B6293" s="20" t="s">
        <v>70</v>
      </c>
      <c r="C6293" s="20" t="s">
        <v>8</v>
      </c>
      <c r="D6293" s="20" t="s">
        <v>10</v>
      </c>
      <c r="E6293" s="20" t="s">
        <v>13</v>
      </c>
      <c r="F6293" s="20" t="str">
        <f>INDEX(nrg_cb_e!$A$3:$A$40,MATCH(LEFT(MID('Industriesektor GWh'!$B6293,41,1000),SEARCH(" - ",MID('Industriesektor GWh'!$B6293,41,1000))-1),nrg_cb_e!$C$3:$C$40,0))</f>
        <v>FC_IND_PPP_E</v>
      </c>
      <c r="G6293" s="21">
        <v>6436</v>
      </c>
    </row>
    <row r="6294" spans="1:7" x14ac:dyDescent="0.2">
      <c r="A6294" s="16" t="s">
        <v>58</v>
      </c>
      <c r="B6294" s="17" t="s">
        <v>70</v>
      </c>
      <c r="C6294" s="17" t="s">
        <v>8</v>
      </c>
      <c r="D6294" s="17" t="s">
        <v>10</v>
      </c>
      <c r="E6294" s="17" t="s">
        <v>14</v>
      </c>
      <c r="F6294" s="17" t="str">
        <f>INDEX(nrg_cb_e!$A$3:$A$40,MATCH(LEFT(MID('Industriesektor GWh'!$B6294,41,1000),SEARCH(" - ",MID('Industriesektor GWh'!$B6294,41,1000))-1),nrg_cb_e!$C$3:$C$40,0))</f>
        <v>FC_IND_PPP_E</v>
      </c>
      <c r="G6294" s="18">
        <v>6714</v>
      </c>
    </row>
    <row r="6295" spans="1:7" x14ac:dyDescent="0.2">
      <c r="A6295" s="19" t="s">
        <v>58</v>
      </c>
      <c r="B6295" s="20" t="s">
        <v>70</v>
      </c>
      <c r="C6295" s="20" t="s">
        <v>8</v>
      </c>
      <c r="D6295" s="20" t="s">
        <v>10</v>
      </c>
      <c r="E6295" s="20" t="s">
        <v>15</v>
      </c>
      <c r="F6295" s="20" t="str">
        <f>INDEX(nrg_cb_e!$A$3:$A$40,MATCH(LEFT(MID('Industriesektor GWh'!$B6295,41,1000),SEARCH(" - ",MID('Industriesektor GWh'!$B6295,41,1000))-1),nrg_cb_e!$C$3:$C$40,0))</f>
        <v>FC_IND_PPP_E</v>
      </c>
      <c r="G6295" s="21">
        <v>6752</v>
      </c>
    </row>
    <row r="6296" spans="1:7" x14ac:dyDescent="0.2">
      <c r="A6296" s="16" t="s">
        <v>58</v>
      </c>
      <c r="B6296" s="17" t="s">
        <v>70</v>
      </c>
      <c r="C6296" s="17" t="s">
        <v>8</v>
      </c>
      <c r="D6296" s="17" t="s">
        <v>10</v>
      </c>
      <c r="E6296" s="17" t="s">
        <v>16</v>
      </c>
      <c r="F6296" s="17" t="str">
        <f>INDEX(nrg_cb_e!$A$3:$A$40,MATCH(LEFT(MID('Industriesektor GWh'!$B6296,41,1000),SEARCH(" - ",MID('Industriesektor GWh'!$B6296,41,1000))-1),nrg_cb_e!$C$3:$C$40,0))</f>
        <v>FC_IND_PPP_E</v>
      </c>
      <c r="G6296" s="18">
        <v>6157</v>
      </c>
    </row>
    <row r="6297" spans="1:7" x14ac:dyDescent="0.2">
      <c r="A6297" s="19" t="s">
        <v>58</v>
      </c>
      <c r="B6297" s="20" t="s">
        <v>70</v>
      </c>
      <c r="C6297" s="20" t="s">
        <v>8</v>
      </c>
      <c r="D6297" s="20" t="s">
        <v>10</v>
      </c>
      <c r="E6297" s="20" t="s">
        <v>17</v>
      </c>
      <c r="F6297" s="20" t="str">
        <f>INDEX(nrg_cb_e!$A$3:$A$40,MATCH(LEFT(MID('Industriesektor GWh'!$B6297,41,1000),SEARCH(" - ",MID('Industriesektor GWh'!$B6297,41,1000))-1),nrg_cb_e!$C$3:$C$40,0))</f>
        <v>FC_IND_PPP_E</v>
      </c>
      <c r="G6297" s="21">
        <v>6057</v>
      </c>
    </row>
    <row r="6298" spans="1:7" x14ac:dyDescent="0.2">
      <c r="A6298" s="16" t="s">
        <v>58</v>
      </c>
      <c r="B6298" s="17" t="s">
        <v>70</v>
      </c>
      <c r="C6298" s="17" t="s">
        <v>8</v>
      </c>
      <c r="D6298" s="17" t="s">
        <v>10</v>
      </c>
      <c r="E6298" s="17" t="s">
        <v>18</v>
      </c>
      <c r="F6298" s="17" t="str">
        <f>INDEX(nrg_cb_e!$A$3:$A$40,MATCH(LEFT(MID('Industriesektor GWh'!$B6298,41,1000),SEARCH(" - ",MID('Industriesektor GWh'!$B6298,41,1000))-1),nrg_cb_e!$C$3:$C$40,0))</f>
        <v>FC_IND_PPP_E</v>
      </c>
      <c r="G6298" s="18">
        <v>5694</v>
      </c>
    </row>
    <row r="6299" spans="1:7" x14ac:dyDescent="0.2">
      <c r="A6299" s="19" t="s">
        <v>58</v>
      </c>
      <c r="B6299" s="20" t="s">
        <v>70</v>
      </c>
      <c r="C6299" s="20" t="s">
        <v>8</v>
      </c>
      <c r="D6299" s="20" t="s">
        <v>10</v>
      </c>
      <c r="E6299" s="20" t="s">
        <v>19</v>
      </c>
      <c r="F6299" s="20" t="str">
        <f>INDEX(nrg_cb_e!$A$3:$A$40,MATCH(LEFT(MID('Industriesektor GWh'!$B6299,41,1000),SEARCH(" - ",MID('Industriesektor GWh'!$B6299,41,1000))-1),nrg_cb_e!$C$3:$C$40,0))</f>
        <v>FC_IND_PPP_E</v>
      </c>
      <c r="G6299" s="21">
        <v>4745</v>
      </c>
    </row>
    <row r="6300" spans="1:7" x14ac:dyDescent="0.2">
      <c r="A6300" s="16" t="s">
        <v>58</v>
      </c>
      <c r="B6300" s="17" t="s">
        <v>70</v>
      </c>
      <c r="C6300" s="17" t="s">
        <v>8</v>
      </c>
      <c r="D6300" s="17" t="s">
        <v>10</v>
      </c>
      <c r="E6300" s="17" t="s">
        <v>20</v>
      </c>
      <c r="F6300" s="17" t="str">
        <f>INDEX(nrg_cb_e!$A$3:$A$40,MATCH(LEFT(MID('Industriesektor GWh'!$B6300,41,1000),SEARCH(" - ",MID('Industriesektor GWh'!$B6300,41,1000))-1),nrg_cb_e!$C$3:$C$40,0))</f>
        <v>FC_IND_PPP_E</v>
      </c>
      <c r="G6300" s="18">
        <v>5055</v>
      </c>
    </row>
    <row r="6301" spans="1:7" x14ac:dyDescent="0.2">
      <c r="A6301" s="19" t="s">
        <v>58</v>
      </c>
      <c r="B6301" s="20" t="s">
        <v>70</v>
      </c>
      <c r="C6301" s="20" t="s">
        <v>8</v>
      </c>
      <c r="D6301" s="20" t="s">
        <v>10</v>
      </c>
      <c r="E6301" s="20" t="s">
        <v>21</v>
      </c>
      <c r="F6301" s="20" t="str">
        <f>INDEX(nrg_cb_e!$A$3:$A$40,MATCH(LEFT(MID('Industriesektor GWh'!$B6301,41,1000),SEARCH(" - ",MID('Industriesektor GWh'!$B6301,41,1000))-1),nrg_cb_e!$C$3:$C$40,0))</f>
        <v>FC_IND_PPP_E</v>
      </c>
      <c r="G6301" s="21">
        <v>4539</v>
      </c>
    </row>
    <row r="6302" spans="1:7" x14ac:dyDescent="0.2">
      <c r="A6302" s="16" t="s">
        <v>58</v>
      </c>
      <c r="B6302" s="17" t="s">
        <v>70</v>
      </c>
      <c r="C6302" s="17" t="s">
        <v>8</v>
      </c>
      <c r="D6302" s="17" t="s">
        <v>10</v>
      </c>
      <c r="E6302" s="17" t="s">
        <v>22</v>
      </c>
      <c r="F6302" s="17" t="str">
        <f>INDEX(nrg_cb_e!$A$3:$A$40,MATCH(LEFT(MID('Industriesektor GWh'!$B6302,41,1000),SEARCH(" - ",MID('Industriesektor GWh'!$B6302,41,1000))-1),nrg_cb_e!$C$3:$C$40,0))</f>
        <v>FC_IND_PPP_E</v>
      </c>
      <c r="G6302" s="18">
        <v>4155</v>
      </c>
    </row>
    <row r="6303" spans="1:7" x14ac:dyDescent="0.2">
      <c r="A6303" s="19" t="s">
        <v>58</v>
      </c>
      <c r="B6303" s="20" t="s">
        <v>70</v>
      </c>
      <c r="C6303" s="20" t="s">
        <v>8</v>
      </c>
      <c r="D6303" s="20" t="s">
        <v>10</v>
      </c>
      <c r="E6303" s="20" t="s">
        <v>23</v>
      </c>
      <c r="F6303" s="20" t="str">
        <f>INDEX(nrg_cb_e!$A$3:$A$40,MATCH(LEFT(MID('Industriesektor GWh'!$B6303,41,1000),SEARCH(" - ",MID('Industriesektor GWh'!$B6303,41,1000))-1),nrg_cb_e!$C$3:$C$40,0))</f>
        <v>FC_IND_PPP_E</v>
      </c>
      <c r="G6303" s="21">
        <v>3640</v>
      </c>
    </row>
    <row r="6304" spans="1:7" x14ac:dyDescent="0.2">
      <c r="A6304" s="16" t="s">
        <v>58</v>
      </c>
      <c r="B6304" s="17" t="s">
        <v>70</v>
      </c>
      <c r="C6304" s="17" t="s">
        <v>8</v>
      </c>
      <c r="D6304" s="17" t="s">
        <v>10</v>
      </c>
      <c r="E6304" s="17" t="s">
        <v>24</v>
      </c>
      <c r="F6304" s="17" t="str">
        <f>INDEX(nrg_cb_e!$A$3:$A$40,MATCH(LEFT(MID('Industriesektor GWh'!$B6304,41,1000),SEARCH(" - ",MID('Industriesektor GWh'!$B6304,41,1000))-1),nrg_cb_e!$C$3:$C$40,0))</f>
        <v>FC_IND_PPP_E</v>
      </c>
      <c r="G6304" s="18">
        <v>3541</v>
      </c>
    </row>
    <row r="6305" spans="1:7" x14ac:dyDescent="0.2">
      <c r="A6305" s="19" t="s">
        <v>58</v>
      </c>
      <c r="B6305" s="20" t="s">
        <v>70</v>
      </c>
      <c r="C6305" s="20" t="s">
        <v>8</v>
      </c>
      <c r="D6305" s="20" t="s">
        <v>10</v>
      </c>
      <c r="E6305" s="20" t="s">
        <v>25</v>
      </c>
      <c r="F6305" s="20" t="str">
        <f>INDEX(nrg_cb_e!$A$3:$A$40,MATCH(LEFT(MID('Industriesektor GWh'!$B6305,41,1000),SEARCH(" - ",MID('Industriesektor GWh'!$B6305,41,1000))-1),nrg_cb_e!$C$3:$C$40,0))</f>
        <v>FC_IND_PPP_E</v>
      </c>
      <c r="G6305" s="21">
        <v>3487</v>
      </c>
    </row>
    <row r="6306" spans="1:7" x14ac:dyDescent="0.2">
      <c r="A6306" s="16" t="s">
        <v>58</v>
      </c>
      <c r="B6306" s="17" t="s">
        <v>70</v>
      </c>
      <c r="C6306" s="17" t="s">
        <v>8</v>
      </c>
      <c r="D6306" s="17" t="s">
        <v>10</v>
      </c>
      <c r="E6306" s="17" t="s">
        <v>26</v>
      </c>
      <c r="F6306" s="17" t="str">
        <f>INDEX(nrg_cb_e!$A$3:$A$40,MATCH(LEFT(MID('Industriesektor GWh'!$B6306,41,1000),SEARCH(" - ",MID('Industriesektor GWh'!$B6306,41,1000))-1),nrg_cb_e!$C$3:$C$40,0))</f>
        <v>FC_IND_PPP_E</v>
      </c>
      <c r="G6306" s="18">
        <v>3825</v>
      </c>
    </row>
    <row r="6307" spans="1:7" x14ac:dyDescent="0.2">
      <c r="A6307" s="19" t="s">
        <v>58</v>
      </c>
      <c r="B6307" s="20" t="s">
        <v>70</v>
      </c>
      <c r="C6307" s="20" t="s">
        <v>8</v>
      </c>
      <c r="D6307" s="20" t="s">
        <v>10</v>
      </c>
      <c r="E6307" s="20" t="s">
        <v>27</v>
      </c>
      <c r="F6307" s="20" t="str">
        <f>INDEX(nrg_cb_e!$A$3:$A$40,MATCH(LEFT(MID('Industriesektor GWh'!$B6307,41,1000),SEARCH(" - ",MID('Industriesektor GWh'!$B6307,41,1000))-1),nrg_cb_e!$C$3:$C$40,0))</f>
        <v>FC_IND_PPP_E</v>
      </c>
      <c r="G6307" s="21">
        <v>3908</v>
      </c>
    </row>
    <row r="6308" spans="1:7" x14ac:dyDescent="0.2">
      <c r="A6308" s="16" t="s">
        <v>58</v>
      </c>
      <c r="B6308" s="17" t="s">
        <v>70</v>
      </c>
      <c r="C6308" s="17" t="s">
        <v>8</v>
      </c>
      <c r="D6308" s="17" t="s">
        <v>10</v>
      </c>
      <c r="E6308" s="17" t="s">
        <v>28</v>
      </c>
      <c r="F6308" s="17" t="str">
        <f>INDEX(nrg_cb_e!$A$3:$A$40,MATCH(LEFT(MID('Industriesektor GWh'!$B6308,41,1000),SEARCH(" - ",MID('Industriesektor GWh'!$B6308,41,1000))-1),nrg_cb_e!$C$3:$C$40,0))</f>
        <v>FC_IND_PPP_E</v>
      </c>
      <c r="G6308" s="18">
        <v>3866.6179999999999</v>
      </c>
    </row>
    <row r="6309" spans="1:7" x14ac:dyDescent="0.2">
      <c r="A6309" s="19" t="s">
        <v>59</v>
      </c>
      <c r="B6309" s="20" t="s">
        <v>70</v>
      </c>
      <c r="C6309" s="20" t="s">
        <v>8</v>
      </c>
      <c r="D6309" s="20" t="s">
        <v>10</v>
      </c>
      <c r="E6309" s="20" t="s">
        <v>12</v>
      </c>
      <c r="F6309" s="20" t="str">
        <f>INDEX(nrg_cb_e!$A$3:$A$40,MATCH(LEFT(MID('Industriesektor GWh'!$B6309,41,1000),SEARCH(" - ",MID('Industriesektor GWh'!$B6309,41,1000))-1),nrg_cb_e!$C$3:$C$40,0))</f>
        <v>FC_IND_PPP_E</v>
      </c>
      <c r="G6309" s="21">
        <v>0</v>
      </c>
    </row>
    <row r="6310" spans="1:7" x14ac:dyDescent="0.2">
      <c r="A6310" s="16" t="s">
        <v>59</v>
      </c>
      <c r="B6310" s="17" t="s">
        <v>70</v>
      </c>
      <c r="C6310" s="17" t="s">
        <v>8</v>
      </c>
      <c r="D6310" s="17" t="s">
        <v>10</v>
      </c>
      <c r="E6310" s="17" t="s">
        <v>13</v>
      </c>
      <c r="F6310" s="17" t="str">
        <f>INDEX(nrg_cb_e!$A$3:$A$40,MATCH(LEFT(MID('Industriesektor GWh'!$B6310,41,1000),SEARCH(" - ",MID('Industriesektor GWh'!$B6310,41,1000))-1),nrg_cb_e!$C$3:$C$40,0))</f>
        <v>FC_IND_PPP_E</v>
      </c>
      <c r="G6310" s="18">
        <v>0</v>
      </c>
    </row>
    <row r="6311" spans="1:7" x14ac:dyDescent="0.2">
      <c r="A6311" s="19" t="s">
        <v>59</v>
      </c>
      <c r="B6311" s="20" t="s">
        <v>70</v>
      </c>
      <c r="C6311" s="20" t="s">
        <v>8</v>
      </c>
      <c r="D6311" s="20" t="s">
        <v>10</v>
      </c>
      <c r="E6311" s="20" t="s">
        <v>14</v>
      </c>
      <c r="F6311" s="20" t="str">
        <f>INDEX(nrg_cb_e!$A$3:$A$40,MATCH(LEFT(MID('Industriesektor GWh'!$B6311,41,1000),SEARCH(" - ",MID('Industriesektor GWh'!$B6311,41,1000))-1),nrg_cb_e!$C$3:$C$40,0))</f>
        <v>FC_IND_PPP_E</v>
      </c>
      <c r="G6311" s="21">
        <v>89</v>
      </c>
    </row>
    <row r="6312" spans="1:7" x14ac:dyDescent="0.2">
      <c r="A6312" s="16" t="s">
        <v>59</v>
      </c>
      <c r="B6312" s="17" t="s">
        <v>70</v>
      </c>
      <c r="C6312" s="17" t="s">
        <v>8</v>
      </c>
      <c r="D6312" s="17" t="s">
        <v>10</v>
      </c>
      <c r="E6312" s="17" t="s">
        <v>15</v>
      </c>
      <c r="F6312" s="17" t="str">
        <f>INDEX(nrg_cb_e!$A$3:$A$40,MATCH(LEFT(MID('Industriesektor GWh'!$B6312,41,1000),SEARCH(" - ",MID('Industriesektor GWh'!$B6312,41,1000))-1),nrg_cb_e!$C$3:$C$40,0))</f>
        <v>FC_IND_PPP_E</v>
      </c>
      <c r="G6312" s="18">
        <v>83</v>
      </c>
    </row>
    <row r="6313" spans="1:7" x14ac:dyDescent="0.2">
      <c r="A6313" s="19" t="s">
        <v>59</v>
      </c>
      <c r="B6313" s="20" t="s">
        <v>70</v>
      </c>
      <c r="C6313" s="20" t="s">
        <v>8</v>
      </c>
      <c r="D6313" s="20" t="s">
        <v>10</v>
      </c>
      <c r="E6313" s="20" t="s">
        <v>16</v>
      </c>
      <c r="F6313" s="20" t="str">
        <f>INDEX(nrg_cb_e!$A$3:$A$40,MATCH(LEFT(MID('Industriesektor GWh'!$B6313,41,1000),SEARCH(" - ",MID('Industriesektor GWh'!$B6313,41,1000))-1),nrg_cb_e!$C$3:$C$40,0))</f>
        <v>FC_IND_PPP_E</v>
      </c>
      <c r="G6313" s="21">
        <v>78</v>
      </c>
    </row>
    <row r="6314" spans="1:7" x14ac:dyDescent="0.2">
      <c r="A6314" s="16" t="s">
        <v>59</v>
      </c>
      <c r="B6314" s="17" t="s">
        <v>70</v>
      </c>
      <c r="C6314" s="17" t="s">
        <v>8</v>
      </c>
      <c r="D6314" s="17" t="s">
        <v>10</v>
      </c>
      <c r="E6314" s="17" t="s">
        <v>17</v>
      </c>
      <c r="F6314" s="17" t="str">
        <f>INDEX(nrg_cb_e!$A$3:$A$40,MATCH(LEFT(MID('Industriesektor GWh'!$B6314,41,1000),SEARCH(" - ",MID('Industriesektor GWh'!$B6314,41,1000))-1),nrg_cb_e!$C$3:$C$40,0))</f>
        <v>FC_IND_PPP_E</v>
      </c>
      <c r="G6314" s="18">
        <v>231</v>
      </c>
    </row>
    <row r="6315" spans="1:7" x14ac:dyDescent="0.2">
      <c r="A6315" s="19" t="s">
        <v>59</v>
      </c>
      <c r="B6315" s="20" t="s">
        <v>70</v>
      </c>
      <c r="C6315" s="20" t="s">
        <v>8</v>
      </c>
      <c r="D6315" s="20" t="s">
        <v>10</v>
      </c>
      <c r="E6315" s="20" t="s">
        <v>18</v>
      </c>
      <c r="F6315" s="20" t="str">
        <f>INDEX(nrg_cb_e!$A$3:$A$40,MATCH(LEFT(MID('Industriesektor GWh'!$B6315,41,1000),SEARCH(" - ",MID('Industriesektor GWh'!$B6315,41,1000))-1),nrg_cb_e!$C$3:$C$40,0))</f>
        <v>FC_IND_PPP_E</v>
      </c>
      <c r="G6315" s="21">
        <v>279</v>
      </c>
    </row>
    <row r="6316" spans="1:7" x14ac:dyDescent="0.2">
      <c r="A6316" s="16" t="s">
        <v>59</v>
      </c>
      <c r="B6316" s="17" t="s">
        <v>70</v>
      </c>
      <c r="C6316" s="17" t="s">
        <v>8</v>
      </c>
      <c r="D6316" s="17" t="s">
        <v>10</v>
      </c>
      <c r="E6316" s="17" t="s">
        <v>19</v>
      </c>
      <c r="F6316" s="17" t="str">
        <f>INDEX(nrg_cb_e!$A$3:$A$40,MATCH(LEFT(MID('Industriesektor GWh'!$B6316,41,1000),SEARCH(" - ",MID('Industriesektor GWh'!$B6316,41,1000))-1),nrg_cb_e!$C$3:$C$40,0))</f>
        <v>FC_IND_PPP_E</v>
      </c>
      <c r="G6316" s="18">
        <v>938</v>
      </c>
    </row>
    <row r="6317" spans="1:7" x14ac:dyDescent="0.2">
      <c r="A6317" s="19" t="s">
        <v>59</v>
      </c>
      <c r="B6317" s="20" t="s">
        <v>70</v>
      </c>
      <c r="C6317" s="20" t="s">
        <v>8</v>
      </c>
      <c r="D6317" s="20" t="s">
        <v>10</v>
      </c>
      <c r="E6317" s="20" t="s">
        <v>20</v>
      </c>
      <c r="F6317" s="20" t="str">
        <f>INDEX(nrg_cb_e!$A$3:$A$40,MATCH(LEFT(MID('Industriesektor GWh'!$B6317,41,1000),SEARCH(" - ",MID('Industriesektor GWh'!$B6317,41,1000))-1),nrg_cb_e!$C$3:$C$40,0))</f>
        <v>FC_IND_PPP_E</v>
      </c>
      <c r="G6317" s="21">
        <v>216</v>
      </c>
    </row>
    <row r="6318" spans="1:7" x14ac:dyDescent="0.2">
      <c r="A6318" s="16" t="s">
        <v>59</v>
      </c>
      <c r="B6318" s="17" t="s">
        <v>70</v>
      </c>
      <c r="C6318" s="17" t="s">
        <v>8</v>
      </c>
      <c r="D6318" s="17" t="s">
        <v>10</v>
      </c>
      <c r="E6318" s="17" t="s">
        <v>21</v>
      </c>
      <c r="F6318" s="17" t="str">
        <f>INDEX(nrg_cb_e!$A$3:$A$40,MATCH(LEFT(MID('Industriesektor GWh'!$B6318,41,1000),SEARCH(" - ",MID('Industriesektor GWh'!$B6318,41,1000))-1),nrg_cb_e!$C$3:$C$40,0))</f>
        <v>FC_IND_PPP_E</v>
      </c>
      <c r="G6318" s="18">
        <v>248</v>
      </c>
    </row>
    <row r="6319" spans="1:7" x14ac:dyDescent="0.2">
      <c r="A6319" s="19" t="s">
        <v>59</v>
      </c>
      <c r="B6319" s="20" t="s">
        <v>70</v>
      </c>
      <c r="C6319" s="20" t="s">
        <v>8</v>
      </c>
      <c r="D6319" s="20" t="s">
        <v>10</v>
      </c>
      <c r="E6319" s="20" t="s">
        <v>22</v>
      </c>
      <c r="F6319" s="20" t="str">
        <f>INDEX(nrg_cb_e!$A$3:$A$40,MATCH(LEFT(MID('Industriesektor GWh'!$B6319,41,1000),SEARCH(" - ",MID('Industriesektor GWh'!$B6319,41,1000))-1),nrg_cb_e!$C$3:$C$40,0))</f>
        <v>FC_IND_PPP_E</v>
      </c>
      <c r="G6319" s="21">
        <v>486</v>
      </c>
    </row>
    <row r="6320" spans="1:7" x14ac:dyDescent="0.2">
      <c r="A6320" s="16" t="s">
        <v>59</v>
      </c>
      <c r="B6320" s="17" t="s">
        <v>70</v>
      </c>
      <c r="C6320" s="17" t="s">
        <v>8</v>
      </c>
      <c r="D6320" s="17" t="s">
        <v>10</v>
      </c>
      <c r="E6320" s="17" t="s">
        <v>23</v>
      </c>
      <c r="F6320" s="17" t="str">
        <f>INDEX(nrg_cb_e!$A$3:$A$40,MATCH(LEFT(MID('Industriesektor GWh'!$B6320,41,1000),SEARCH(" - ",MID('Industriesektor GWh'!$B6320,41,1000))-1),nrg_cb_e!$C$3:$C$40,0))</f>
        <v>FC_IND_PPP_E</v>
      </c>
      <c r="G6320" s="18">
        <v>410</v>
      </c>
    </row>
    <row r="6321" spans="1:7" x14ac:dyDescent="0.2">
      <c r="A6321" s="19" t="s">
        <v>59</v>
      </c>
      <c r="B6321" s="20" t="s">
        <v>70</v>
      </c>
      <c r="C6321" s="20" t="s">
        <v>8</v>
      </c>
      <c r="D6321" s="20" t="s">
        <v>10</v>
      </c>
      <c r="E6321" s="20" t="s">
        <v>24</v>
      </c>
      <c r="F6321" s="20" t="str">
        <f>INDEX(nrg_cb_e!$A$3:$A$40,MATCH(LEFT(MID('Industriesektor GWh'!$B6321,41,1000),SEARCH(" - ",MID('Industriesektor GWh'!$B6321,41,1000))-1),nrg_cb_e!$C$3:$C$40,0))</f>
        <v>FC_IND_PPP_E</v>
      </c>
      <c r="G6321" s="21">
        <v>417</v>
      </c>
    </row>
    <row r="6322" spans="1:7" x14ac:dyDescent="0.2">
      <c r="A6322" s="16" t="s">
        <v>59</v>
      </c>
      <c r="B6322" s="17" t="s">
        <v>70</v>
      </c>
      <c r="C6322" s="17" t="s">
        <v>8</v>
      </c>
      <c r="D6322" s="17" t="s">
        <v>10</v>
      </c>
      <c r="E6322" s="17" t="s">
        <v>25</v>
      </c>
      <c r="F6322" s="17" t="str">
        <f>INDEX(nrg_cb_e!$A$3:$A$40,MATCH(LEFT(MID('Industriesektor GWh'!$B6322,41,1000),SEARCH(" - ",MID('Industriesektor GWh'!$B6322,41,1000))-1),nrg_cb_e!$C$3:$C$40,0))</f>
        <v>FC_IND_PPP_E</v>
      </c>
      <c r="G6322" s="18">
        <v>359</v>
      </c>
    </row>
    <row r="6323" spans="1:7" x14ac:dyDescent="0.2">
      <c r="A6323" s="19" t="s">
        <v>59</v>
      </c>
      <c r="B6323" s="20" t="s">
        <v>70</v>
      </c>
      <c r="C6323" s="20" t="s">
        <v>8</v>
      </c>
      <c r="D6323" s="20" t="s">
        <v>10</v>
      </c>
      <c r="E6323" s="20" t="s">
        <v>26</v>
      </c>
      <c r="F6323" s="20" t="str">
        <f>INDEX(nrg_cb_e!$A$3:$A$40,MATCH(LEFT(MID('Industriesektor GWh'!$B6323,41,1000),SEARCH(" - ",MID('Industriesektor GWh'!$B6323,41,1000))-1),nrg_cb_e!$C$3:$C$40,0))</f>
        <v>FC_IND_PPP_E</v>
      </c>
      <c r="G6323" s="21">
        <v>480</v>
      </c>
    </row>
    <row r="6324" spans="1:7" x14ac:dyDescent="0.2">
      <c r="A6324" s="16" t="s">
        <v>59</v>
      </c>
      <c r="B6324" s="17" t="s">
        <v>70</v>
      </c>
      <c r="C6324" s="17" t="s">
        <v>8</v>
      </c>
      <c r="D6324" s="17" t="s">
        <v>10</v>
      </c>
      <c r="E6324" s="17" t="s">
        <v>27</v>
      </c>
      <c r="F6324" s="17" t="str">
        <f>INDEX(nrg_cb_e!$A$3:$A$40,MATCH(LEFT(MID('Industriesektor GWh'!$B6324,41,1000),SEARCH(" - ",MID('Industriesektor GWh'!$B6324,41,1000))-1),nrg_cb_e!$C$3:$C$40,0))</f>
        <v>FC_IND_PPP_E</v>
      </c>
      <c r="G6324" s="18">
        <v>503.88400000000001</v>
      </c>
    </row>
    <row r="6325" spans="1:7" x14ac:dyDescent="0.2">
      <c r="A6325" s="19" t="s">
        <v>59</v>
      </c>
      <c r="B6325" s="20" t="s">
        <v>70</v>
      </c>
      <c r="C6325" s="20" t="s">
        <v>8</v>
      </c>
      <c r="D6325" s="20" t="s">
        <v>10</v>
      </c>
      <c r="E6325" s="20" t="s">
        <v>28</v>
      </c>
      <c r="F6325" s="20" t="str">
        <f>INDEX(nrg_cb_e!$A$3:$A$40,MATCH(LEFT(MID('Industriesektor GWh'!$B6325,41,1000),SEARCH(" - ",MID('Industriesektor GWh'!$B6325,41,1000))-1),nrg_cb_e!$C$3:$C$40,0))</f>
        <v>FC_IND_PPP_E</v>
      </c>
      <c r="G6325" s="21">
        <v>417.29</v>
      </c>
    </row>
    <row r="6326" spans="1:7" x14ac:dyDescent="0.2">
      <c r="A6326" s="16" t="s">
        <v>29</v>
      </c>
      <c r="B6326" s="17" t="s">
        <v>73</v>
      </c>
      <c r="C6326" s="17" t="s">
        <v>8</v>
      </c>
      <c r="D6326" s="17" t="s">
        <v>10</v>
      </c>
      <c r="E6326" s="17" t="s">
        <v>12</v>
      </c>
      <c r="F6326" s="17" t="str">
        <f>INDEX(nrg_cb_e!$A$3:$A$40,MATCH(LEFT(MID('Industriesektor GWh'!$B6326,41,1000),SEARCH(" - ",MID('Industriesektor GWh'!$B6326,41,1000))-1),nrg_cb_e!$C$3:$C$40,0))</f>
        <v>FC_IND_TL_E</v>
      </c>
      <c r="G6326" s="18">
        <v>1918</v>
      </c>
    </row>
    <row r="6327" spans="1:7" x14ac:dyDescent="0.2">
      <c r="A6327" s="19" t="s">
        <v>29</v>
      </c>
      <c r="B6327" s="20" t="s">
        <v>73</v>
      </c>
      <c r="C6327" s="20" t="s">
        <v>8</v>
      </c>
      <c r="D6327" s="20" t="s">
        <v>10</v>
      </c>
      <c r="E6327" s="20" t="s">
        <v>13</v>
      </c>
      <c r="F6327" s="20" t="str">
        <f>INDEX(nrg_cb_e!$A$3:$A$40,MATCH(LEFT(MID('Industriesektor GWh'!$B6327,41,1000),SEARCH(" - ",MID('Industriesektor GWh'!$B6327,41,1000))-1),nrg_cb_e!$C$3:$C$40,0))</f>
        <v>FC_IND_TL_E</v>
      </c>
      <c r="G6327" s="21">
        <v>1962</v>
      </c>
    </row>
    <row r="6328" spans="1:7" x14ac:dyDescent="0.2">
      <c r="A6328" s="16" t="s">
        <v>29</v>
      </c>
      <c r="B6328" s="17" t="s">
        <v>73</v>
      </c>
      <c r="C6328" s="17" t="s">
        <v>8</v>
      </c>
      <c r="D6328" s="17" t="s">
        <v>10</v>
      </c>
      <c r="E6328" s="17" t="s">
        <v>14</v>
      </c>
      <c r="F6328" s="17" t="str">
        <f>INDEX(nrg_cb_e!$A$3:$A$40,MATCH(LEFT(MID('Industriesektor GWh'!$B6328,41,1000),SEARCH(" - ",MID('Industriesektor GWh'!$B6328,41,1000))-1),nrg_cb_e!$C$3:$C$40,0))</f>
        <v>FC_IND_TL_E</v>
      </c>
      <c r="G6328" s="18">
        <v>2000</v>
      </c>
    </row>
    <row r="6329" spans="1:7" x14ac:dyDescent="0.2">
      <c r="A6329" s="19" t="s">
        <v>29</v>
      </c>
      <c r="B6329" s="20" t="s">
        <v>73</v>
      </c>
      <c r="C6329" s="20" t="s">
        <v>8</v>
      </c>
      <c r="D6329" s="20" t="s">
        <v>10</v>
      </c>
      <c r="E6329" s="20" t="s">
        <v>15</v>
      </c>
      <c r="F6329" s="20" t="str">
        <f>INDEX(nrg_cb_e!$A$3:$A$40,MATCH(LEFT(MID('Industriesektor GWh'!$B6329,41,1000),SEARCH(" - ",MID('Industriesektor GWh'!$B6329,41,1000))-1),nrg_cb_e!$C$3:$C$40,0))</f>
        <v>FC_IND_TL_E</v>
      </c>
      <c r="G6329" s="21">
        <v>1231</v>
      </c>
    </row>
    <row r="6330" spans="1:7" x14ac:dyDescent="0.2">
      <c r="A6330" s="16" t="s">
        <v>29</v>
      </c>
      <c r="B6330" s="17" t="s">
        <v>73</v>
      </c>
      <c r="C6330" s="17" t="s">
        <v>8</v>
      </c>
      <c r="D6330" s="17" t="s">
        <v>10</v>
      </c>
      <c r="E6330" s="17" t="s">
        <v>16</v>
      </c>
      <c r="F6330" s="17" t="str">
        <f>INDEX(nrg_cb_e!$A$3:$A$40,MATCH(LEFT(MID('Industriesektor GWh'!$B6330,41,1000),SEARCH(" - ",MID('Industriesektor GWh'!$B6330,41,1000))-1),nrg_cb_e!$C$3:$C$40,0))</f>
        <v>FC_IND_TL_E</v>
      </c>
      <c r="G6330" s="18">
        <v>1714</v>
      </c>
    </row>
    <row r="6331" spans="1:7" x14ac:dyDescent="0.2">
      <c r="A6331" s="19" t="s">
        <v>29</v>
      </c>
      <c r="B6331" s="20" t="s">
        <v>73</v>
      </c>
      <c r="C6331" s="20" t="s">
        <v>8</v>
      </c>
      <c r="D6331" s="20" t="s">
        <v>10</v>
      </c>
      <c r="E6331" s="20" t="s">
        <v>17</v>
      </c>
      <c r="F6331" s="20" t="str">
        <f>INDEX(nrg_cb_e!$A$3:$A$40,MATCH(LEFT(MID('Industriesektor GWh'!$B6331,41,1000),SEARCH(" - ",MID('Industriesektor GWh'!$B6331,41,1000))-1),nrg_cb_e!$C$3:$C$40,0))</f>
        <v>FC_IND_TL_E</v>
      </c>
      <c r="G6331" s="21">
        <v>1686</v>
      </c>
    </row>
    <row r="6332" spans="1:7" x14ac:dyDescent="0.2">
      <c r="A6332" s="16" t="s">
        <v>29</v>
      </c>
      <c r="B6332" s="17" t="s">
        <v>73</v>
      </c>
      <c r="C6332" s="17" t="s">
        <v>8</v>
      </c>
      <c r="D6332" s="17" t="s">
        <v>10</v>
      </c>
      <c r="E6332" s="17" t="s">
        <v>18</v>
      </c>
      <c r="F6332" s="17" t="str">
        <f>INDEX(nrg_cb_e!$A$3:$A$40,MATCH(LEFT(MID('Industriesektor GWh'!$B6332,41,1000),SEARCH(" - ",MID('Industriesektor GWh'!$B6332,41,1000))-1),nrg_cb_e!$C$3:$C$40,0))</f>
        <v>FC_IND_TL_E</v>
      </c>
      <c r="G6332" s="18">
        <v>1537</v>
      </c>
    </row>
    <row r="6333" spans="1:7" x14ac:dyDescent="0.2">
      <c r="A6333" s="19" t="s">
        <v>29</v>
      </c>
      <c r="B6333" s="20" t="s">
        <v>73</v>
      </c>
      <c r="C6333" s="20" t="s">
        <v>8</v>
      </c>
      <c r="D6333" s="20" t="s">
        <v>10</v>
      </c>
      <c r="E6333" s="20" t="s">
        <v>19</v>
      </c>
      <c r="F6333" s="20" t="str">
        <f>INDEX(nrg_cb_e!$A$3:$A$40,MATCH(LEFT(MID('Industriesektor GWh'!$B6333,41,1000),SEARCH(" - ",MID('Industriesektor GWh'!$B6333,41,1000))-1),nrg_cb_e!$C$3:$C$40,0))</f>
        <v>FC_IND_TL_E</v>
      </c>
      <c r="G6333" s="21">
        <v>1251</v>
      </c>
    </row>
    <row r="6334" spans="1:7" x14ac:dyDescent="0.2">
      <c r="A6334" s="16" t="s">
        <v>29</v>
      </c>
      <c r="B6334" s="17" t="s">
        <v>73</v>
      </c>
      <c r="C6334" s="17" t="s">
        <v>8</v>
      </c>
      <c r="D6334" s="17" t="s">
        <v>10</v>
      </c>
      <c r="E6334" s="17" t="s">
        <v>20</v>
      </c>
      <c r="F6334" s="17" t="str">
        <f>INDEX(nrg_cb_e!$A$3:$A$40,MATCH(LEFT(MID('Industriesektor GWh'!$B6334,41,1000),SEARCH(" - ",MID('Industriesektor GWh'!$B6334,41,1000))-1),nrg_cb_e!$C$3:$C$40,0))</f>
        <v>FC_IND_TL_E</v>
      </c>
      <c r="G6334" s="18">
        <v>1253</v>
      </c>
    </row>
    <row r="6335" spans="1:7" x14ac:dyDescent="0.2">
      <c r="A6335" s="19" t="s">
        <v>29</v>
      </c>
      <c r="B6335" s="20" t="s">
        <v>73</v>
      </c>
      <c r="C6335" s="20" t="s">
        <v>8</v>
      </c>
      <c r="D6335" s="20" t="s">
        <v>10</v>
      </c>
      <c r="E6335" s="20" t="s">
        <v>21</v>
      </c>
      <c r="F6335" s="20" t="str">
        <f>INDEX(nrg_cb_e!$A$3:$A$40,MATCH(LEFT(MID('Industriesektor GWh'!$B6335,41,1000),SEARCH(" - ",MID('Industriesektor GWh'!$B6335,41,1000))-1),nrg_cb_e!$C$3:$C$40,0))</f>
        <v>FC_IND_TL_E</v>
      </c>
      <c r="G6335" s="21">
        <v>1057</v>
      </c>
    </row>
    <row r="6336" spans="1:7" x14ac:dyDescent="0.2">
      <c r="A6336" s="16" t="s">
        <v>29</v>
      </c>
      <c r="B6336" s="17" t="s">
        <v>73</v>
      </c>
      <c r="C6336" s="17" t="s">
        <v>8</v>
      </c>
      <c r="D6336" s="17" t="s">
        <v>10</v>
      </c>
      <c r="E6336" s="17" t="s">
        <v>22</v>
      </c>
      <c r="F6336" s="17" t="str">
        <f>INDEX(nrg_cb_e!$A$3:$A$40,MATCH(LEFT(MID('Industriesektor GWh'!$B6336,41,1000),SEARCH(" - ",MID('Industriesektor GWh'!$B6336,41,1000))-1),nrg_cb_e!$C$3:$C$40,0))</f>
        <v>FC_IND_TL_E</v>
      </c>
      <c r="G6336" s="18">
        <v>1064</v>
      </c>
    </row>
    <row r="6337" spans="1:7" x14ac:dyDescent="0.2">
      <c r="A6337" s="19" t="s">
        <v>29</v>
      </c>
      <c r="B6337" s="20" t="s">
        <v>73</v>
      </c>
      <c r="C6337" s="20" t="s">
        <v>8</v>
      </c>
      <c r="D6337" s="20" t="s">
        <v>10</v>
      </c>
      <c r="E6337" s="20" t="s">
        <v>23</v>
      </c>
      <c r="F6337" s="20" t="str">
        <f>INDEX(nrg_cb_e!$A$3:$A$40,MATCH(LEFT(MID('Industriesektor GWh'!$B6337,41,1000),SEARCH(" - ",MID('Industriesektor GWh'!$B6337,41,1000))-1),nrg_cb_e!$C$3:$C$40,0))</f>
        <v>FC_IND_TL_E</v>
      </c>
      <c r="G6337" s="21">
        <v>1137</v>
      </c>
    </row>
    <row r="6338" spans="1:7" x14ac:dyDescent="0.2">
      <c r="A6338" s="16" t="s">
        <v>29</v>
      </c>
      <c r="B6338" s="17" t="s">
        <v>73</v>
      </c>
      <c r="C6338" s="17" t="s">
        <v>8</v>
      </c>
      <c r="D6338" s="17" t="s">
        <v>10</v>
      </c>
      <c r="E6338" s="17" t="s">
        <v>24</v>
      </c>
      <c r="F6338" s="17" t="str">
        <f>INDEX(nrg_cb_e!$A$3:$A$40,MATCH(LEFT(MID('Industriesektor GWh'!$B6338,41,1000),SEARCH(" - ",MID('Industriesektor GWh'!$B6338,41,1000))-1),nrg_cb_e!$C$3:$C$40,0))</f>
        <v>FC_IND_TL_E</v>
      </c>
      <c r="G6338" s="18">
        <v>1120.8</v>
      </c>
    </row>
    <row r="6339" spans="1:7" x14ac:dyDescent="0.2">
      <c r="A6339" s="19" t="s">
        <v>29</v>
      </c>
      <c r="B6339" s="20" t="s">
        <v>73</v>
      </c>
      <c r="C6339" s="20" t="s">
        <v>8</v>
      </c>
      <c r="D6339" s="20" t="s">
        <v>10</v>
      </c>
      <c r="E6339" s="20" t="s">
        <v>25</v>
      </c>
      <c r="F6339" s="20" t="str">
        <f>INDEX(nrg_cb_e!$A$3:$A$40,MATCH(LEFT(MID('Industriesektor GWh'!$B6339,41,1000),SEARCH(" - ",MID('Industriesektor GWh'!$B6339,41,1000))-1),nrg_cb_e!$C$3:$C$40,0))</f>
        <v>FC_IND_TL_E</v>
      </c>
      <c r="G6339" s="21">
        <v>1160.0999999999999</v>
      </c>
    </row>
    <row r="6340" spans="1:7" x14ac:dyDescent="0.2">
      <c r="A6340" s="16" t="s">
        <v>29</v>
      </c>
      <c r="B6340" s="17" t="s">
        <v>73</v>
      </c>
      <c r="C6340" s="17" t="s">
        <v>8</v>
      </c>
      <c r="D6340" s="17" t="s">
        <v>10</v>
      </c>
      <c r="E6340" s="17" t="s">
        <v>26</v>
      </c>
      <c r="F6340" s="17" t="str">
        <f>INDEX(nrg_cb_e!$A$3:$A$40,MATCH(LEFT(MID('Industriesektor GWh'!$B6340,41,1000),SEARCH(" - ",MID('Industriesektor GWh'!$B6340,41,1000))-1),nrg_cb_e!$C$3:$C$40,0))</f>
        <v>FC_IND_TL_E</v>
      </c>
      <c r="G6340" s="18">
        <v>1116.5</v>
      </c>
    </row>
    <row r="6341" spans="1:7" x14ac:dyDescent="0.2">
      <c r="A6341" s="19" t="s">
        <v>29</v>
      </c>
      <c r="B6341" s="20" t="s">
        <v>73</v>
      </c>
      <c r="C6341" s="20" t="s">
        <v>8</v>
      </c>
      <c r="D6341" s="20" t="s">
        <v>10</v>
      </c>
      <c r="E6341" s="20" t="s">
        <v>27</v>
      </c>
      <c r="F6341" s="20" t="str">
        <f>INDEX(nrg_cb_e!$A$3:$A$40,MATCH(LEFT(MID('Industriesektor GWh'!$B6341,41,1000),SEARCH(" - ",MID('Industriesektor GWh'!$B6341,41,1000))-1),nrg_cb_e!$C$3:$C$40,0))</f>
        <v>FC_IND_TL_E</v>
      </c>
      <c r="G6341" s="21">
        <v>1070.3</v>
      </c>
    </row>
    <row r="6342" spans="1:7" x14ac:dyDescent="0.2">
      <c r="A6342" s="16" t="s">
        <v>29</v>
      </c>
      <c r="B6342" s="17" t="s">
        <v>73</v>
      </c>
      <c r="C6342" s="17" t="s">
        <v>8</v>
      </c>
      <c r="D6342" s="17" t="s">
        <v>10</v>
      </c>
      <c r="E6342" s="17" t="s">
        <v>28</v>
      </c>
      <c r="F6342" s="17" t="str">
        <f>INDEX(nrg_cb_e!$A$3:$A$40,MATCH(LEFT(MID('Industriesektor GWh'!$B6342,41,1000),SEARCH(" - ",MID('Industriesektor GWh'!$B6342,41,1000))-1),nrg_cb_e!$C$3:$C$40,0))</f>
        <v>FC_IND_TL_E</v>
      </c>
      <c r="G6342" s="18">
        <v>1094.4000000000001</v>
      </c>
    </row>
    <row r="6343" spans="1:7" x14ac:dyDescent="0.2">
      <c r="A6343" s="19" t="s">
        <v>30</v>
      </c>
      <c r="B6343" s="20" t="s">
        <v>73</v>
      </c>
      <c r="C6343" s="20" t="s">
        <v>8</v>
      </c>
      <c r="D6343" s="20" t="s">
        <v>10</v>
      </c>
      <c r="E6343" s="20" t="s">
        <v>12</v>
      </c>
      <c r="F6343" s="20" t="str">
        <f>INDEX(nrg_cb_e!$A$3:$A$40,MATCH(LEFT(MID('Industriesektor GWh'!$B6343,41,1000),SEARCH(" - ",MID('Industriesektor GWh'!$B6343,41,1000))-1),nrg_cb_e!$C$3:$C$40,0))</f>
        <v>FC_IND_TL_E</v>
      </c>
      <c r="G6343" s="21">
        <v>444</v>
      </c>
    </row>
    <row r="6344" spans="1:7" x14ac:dyDescent="0.2">
      <c r="A6344" s="16" t="s">
        <v>30</v>
      </c>
      <c r="B6344" s="17" t="s">
        <v>73</v>
      </c>
      <c r="C6344" s="17" t="s">
        <v>8</v>
      </c>
      <c r="D6344" s="17" t="s">
        <v>10</v>
      </c>
      <c r="E6344" s="17" t="s">
        <v>13</v>
      </c>
      <c r="F6344" s="17" t="str">
        <f>INDEX(nrg_cb_e!$A$3:$A$40,MATCH(LEFT(MID('Industriesektor GWh'!$B6344,41,1000),SEARCH(" - ",MID('Industriesektor GWh'!$B6344,41,1000))-1),nrg_cb_e!$C$3:$C$40,0))</f>
        <v>FC_IND_TL_E</v>
      </c>
      <c r="G6344" s="18">
        <v>509</v>
      </c>
    </row>
    <row r="6345" spans="1:7" x14ac:dyDescent="0.2">
      <c r="A6345" s="19" t="s">
        <v>30</v>
      </c>
      <c r="B6345" s="20" t="s">
        <v>73</v>
      </c>
      <c r="C6345" s="20" t="s">
        <v>8</v>
      </c>
      <c r="D6345" s="20" t="s">
        <v>10</v>
      </c>
      <c r="E6345" s="20" t="s">
        <v>14</v>
      </c>
      <c r="F6345" s="20" t="str">
        <f>INDEX(nrg_cb_e!$A$3:$A$40,MATCH(LEFT(MID('Industriesektor GWh'!$B6345,41,1000),SEARCH(" - ",MID('Industriesektor GWh'!$B6345,41,1000))-1),nrg_cb_e!$C$3:$C$40,0))</f>
        <v>FC_IND_TL_E</v>
      </c>
      <c r="G6345" s="21">
        <v>553</v>
      </c>
    </row>
    <row r="6346" spans="1:7" x14ac:dyDescent="0.2">
      <c r="A6346" s="16" t="s">
        <v>30</v>
      </c>
      <c r="B6346" s="17" t="s">
        <v>73</v>
      </c>
      <c r="C6346" s="17" t="s">
        <v>8</v>
      </c>
      <c r="D6346" s="17" t="s">
        <v>10</v>
      </c>
      <c r="E6346" s="17" t="s">
        <v>15</v>
      </c>
      <c r="F6346" s="17" t="str">
        <f>INDEX(nrg_cb_e!$A$3:$A$40,MATCH(LEFT(MID('Industriesektor GWh'!$B6346,41,1000),SEARCH(" - ",MID('Industriesektor GWh'!$B6346,41,1000))-1),nrg_cb_e!$C$3:$C$40,0))</f>
        <v>FC_IND_TL_E</v>
      </c>
      <c r="G6346" s="18">
        <v>562</v>
      </c>
    </row>
    <row r="6347" spans="1:7" x14ac:dyDescent="0.2">
      <c r="A6347" s="19" t="s">
        <v>30</v>
      </c>
      <c r="B6347" s="20" t="s">
        <v>73</v>
      </c>
      <c r="C6347" s="20" t="s">
        <v>8</v>
      </c>
      <c r="D6347" s="20" t="s">
        <v>10</v>
      </c>
      <c r="E6347" s="20" t="s">
        <v>16</v>
      </c>
      <c r="F6347" s="20" t="str">
        <f>INDEX(nrg_cb_e!$A$3:$A$40,MATCH(LEFT(MID('Industriesektor GWh'!$B6347,41,1000),SEARCH(" - ",MID('Industriesektor GWh'!$B6347,41,1000))-1),nrg_cb_e!$C$3:$C$40,0))</f>
        <v>FC_IND_TL_E</v>
      </c>
      <c r="G6347" s="21">
        <v>597</v>
      </c>
    </row>
    <row r="6348" spans="1:7" x14ac:dyDescent="0.2">
      <c r="A6348" s="16" t="s">
        <v>30</v>
      </c>
      <c r="B6348" s="17" t="s">
        <v>73</v>
      </c>
      <c r="C6348" s="17" t="s">
        <v>8</v>
      </c>
      <c r="D6348" s="17" t="s">
        <v>10</v>
      </c>
      <c r="E6348" s="17" t="s">
        <v>17</v>
      </c>
      <c r="F6348" s="17" t="str">
        <f>INDEX(nrg_cb_e!$A$3:$A$40,MATCH(LEFT(MID('Industriesektor GWh'!$B6348,41,1000),SEARCH(" - ",MID('Industriesektor GWh'!$B6348,41,1000))-1),nrg_cb_e!$C$3:$C$40,0))</f>
        <v>FC_IND_TL_E</v>
      </c>
      <c r="G6348" s="18">
        <v>621</v>
      </c>
    </row>
    <row r="6349" spans="1:7" x14ac:dyDescent="0.2">
      <c r="A6349" s="19" t="s">
        <v>30</v>
      </c>
      <c r="B6349" s="20" t="s">
        <v>73</v>
      </c>
      <c r="C6349" s="20" t="s">
        <v>8</v>
      </c>
      <c r="D6349" s="20" t="s">
        <v>10</v>
      </c>
      <c r="E6349" s="20" t="s">
        <v>18</v>
      </c>
      <c r="F6349" s="20" t="str">
        <f>INDEX(nrg_cb_e!$A$3:$A$40,MATCH(LEFT(MID('Industriesektor GWh'!$B6349,41,1000),SEARCH(" - ",MID('Industriesektor GWh'!$B6349,41,1000))-1),nrg_cb_e!$C$3:$C$40,0))</f>
        <v>FC_IND_TL_E</v>
      </c>
      <c r="G6349" s="21">
        <v>540</v>
      </c>
    </row>
    <row r="6350" spans="1:7" x14ac:dyDescent="0.2">
      <c r="A6350" s="16" t="s">
        <v>30</v>
      </c>
      <c r="B6350" s="17" t="s">
        <v>73</v>
      </c>
      <c r="C6350" s="17" t="s">
        <v>8</v>
      </c>
      <c r="D6350" s="17" t="s">
        <v>10</v>
      </c>
      <c r="E6350" s="17" t="s">
        <v>19</v>
      </c>
      <c r="F6350" s="17" t="str">
        <f>INDEX(nrg_cb_e!$A$3:$A$40,MATCH(LEFT(MID('Industriesektor GWh'!$B6350,41,1000),SEARCH(" - ",MID('Industriesektor GWh'!$B6350,41,1000))-1),nrg_cb_e!$C$3:$C$40,0))</f>
        <v>FC_IND_TL_E</v>
      </c>
      <c r="G6350" s="18">
        <v>492</v>
      </c>
    </row>
    <row r="6351" spans="1:7" x14ac:dyDescent="0.2">
      <c r="A6351" s="19" t="s">
        <v>30</v>
      </c>
      <c r="B6351" s="20" t="s">
        <v>73</v>
      </c>
      <c r="C6351" s="20" t="s">
        <v>8</v>
      </c>
      <c r="D6351" s="20" t="s">
        <v>10</v>
      </c>
      <c r="E6351" s="20" t="s">
        <v>20</v>
      </c>
      <c r="F6351" s="20" t="str">
        <f>INDEX(nrg_cb_e!$A$3:$A$40,MATCH(LEFT(MID('Industriesektor GWh'!$B6351,41,1000),SEARCH(" - ",MID('Industriesektor GWh'!$B6351,41,1000))-1),nrg_cb_e!$C$3:$C$40,0))</f>
        <v>FC_IND_TL_E</v>
      </c>
      <c r="G6351" s="21">
        <v>386</v>
      </c>
    </row>
    <row r="6352" spans="1:7" x14ac:dyDescent="0.2">
      <c r="A6352" s="16" t="s">
        <v>30</v>
      </c>
      <c r="B6352" s="17" t="s">
        <v>73</v>
      </c>
      <c r="C6352" s="17" t="s">
        <v>8</v>
      </c>
      <c r="D6352" s="17" t="s">
        <v>10</v>
      </c>
      <c r="E6352" s="17" t="s">
        <v>21</v>
      </c>
      <c r="F6352" s="17" t="str">
        <f>INDEX(nrg_cb_e!$A$3:$A$40,MATCH(LEFT(MID('Industriesektor GWh'!$B6352,41,1000),SEARCH(" - ",MID('Industriesektor GWh'!$B6352,41,1000))-1),nrg_cb_e!$C$3:$C$40,0))</f>
        <v>FC_IND_TL_E</v>
      </c>
      <c r="G6352" s="18">
        <v>395</v>
      </c>
    </row>
    <row r="6353" spans="1:7" x14ac:dyDescent="0.2">
      <c r="A6353" s="19" t="s">
        <v>30</v>
      </c>
      <c r="B6353" s="20" t="s">
        <v>73</v>
      </c>
      <c r="C6353" s="20" t="s">
        <v>8</v>
      </c>
      <c r="D6353" s="20" t="s">
        <v>10</v>
      </c>
      <c r="E6353" s="20" t="s">
        <v>22</v>
      </c>
      <c r="F6353" s="20" t="str">
        <f>INDEX(nrg_cb_e!$A$3:$A$40,MATCH(LEFT(MID('Industriesektor GWh'!$B6353,41,1000),SEARCH(" - ",MID('Industriesektor GWh'!$B6353,41,1000))-1),nrg_cb_e!$C$3:$C$40,0))</f>
        <v>FC_IND_TL_E</v>
      </c>
      <c r="G6353" s="21">
        <v>379</v>
      </c>
    </row>
    <row r="6354" spans="1:7" x14ac:dyDescent="0.2">
      <c r="A6354" s="16" t="s">
        <v>30</v>
      </c>
      <c r="B6354" s="17" t="s">
        <v>73</v>
      </c>
      <c r="C6354" s="17" t="s">
        <v>8</v>
      </c>
      <c r="D6354" s="17" t="s">
        <v>10</v>
      </c>
      <c r="E6354" s="17" t="s">
        <v>23</v>
      </c>
      <c r="F6354" s="17" t="str">
        <f>INDEX(nrg_cb_e!$A$3:$A$40,MATCH(LEFT(MID('Industriesektor GWh'!$B6354,41,1000),SEARCH(" - ",MID('Industriesektor GWh'!$B6354,41,1000))-1),nrg_cb_e!$C$3:$C$40,0))</f>
        <v>FC_IND_TL_E</v>
      </c>
      <c r="G6354" s="18">
        <v>384</v>
      </c>
    </row>
    <row r="6355" spans="1:7" x14ac:dyDescent="0.2">
      <c r="A6355" s="19" t="s">
        <v>30</v>
      </c>
      <c r="B6355" s="20" t="s">
        <v>73</v>
      </c>
      <c r="C6355" s="20" t="s">
        <v>8</v>
      </c>
      <c r="D6355" s="20" t="s">
        <v>10</v>
      </c>
      <c r="E6355" s="20" t="s">
        <v>24</v>
      </c>
      <c r="F6355" s="20" t="str">
        <f>INDEX(nrg_cb_e!$A$3:$A$40,MATCH(LEFT(MID('Industriesektor GWh'!$B6355,41,1000),SEARCH(" - ",MID('Industriesektor GWh'!$B6355,41,1000))-1),nrg_cb_e!$C$3:$C$40,0))</f>
        <v>FC_IND_TL_E</v>
      </c>
      <c r="G6355" s="21">
        <v>367</v>
      </c>
    </row>
    <row r="6356" spans="1:7" x14ac:dyDescent="0.2">
      <c r="A6356" s="16" t="s">
        <v>30</v>
      </c>
      <c r="B6356" s="17" t="s">
        <v>73</v>
      </c>
      <c r="C6356" s="17" t="s">
        <v>8</v>
      </c>
      <c r="D6356" s="17" t="s">
        <v>10</v>
      </c>
      <c r="E6356" s="17" t="s">
        <v>25</v>
      </c>
      <c r="F6356" s="17" t="str">
        <f>INDEX(nrg_cb_e!$A$3:$A$40,MATCH(LEFT(MID('Industriesektor GWh'!$B6356,41,1000),SEARCH(" - ",MID('Industriesektor GWh'!$B6356,41,1000))-1),nrg_cb_e!$C$3:$C$40,0))</f>
        <v>FC_IND_TL_E</v>
      </c>
      <c r="G6356" s="18">
        <v>380</v>
      </c>
    </row>
    <row r="6357" spans="1:7" x14ac:dyDescent="0.2">
      <c r="A6357" s="19" t="s">
        <v>30</v>
      </c>
      <c r="B6357" s="20" t="s">
        <v>73</v>
      </c>
      <c r="C6357" s="20" t="s">
        <v>8</v>
      </c>
      <c r="D6357" s="20" t="s">
        <v>10</v>
      </c>
      <c r="E6357" s="20" t="s">
        <v>26</v>
      </c>
      <c r="F6357" s="20" t="str">
        <f>INDEX(nrg_cb_e!$A$3:$A$40,MATCH(LEFT(MID('Industriesektor GWh'!$B6357,41,1000),SEARCH(" - ",MID('Industriesektor GWh'!$B6357,41,1000))-1),nrg_cb_e!$C$3:$C$40,0))</f>
        <v>FC_IND_TL_E</v>
      </c>
      <c r="G6357" s="21">
        <v>372</v>
      </c>
    </row>
    <row r="6358" spans="1:7" x14ac:dyDescent="0.2">
      <c r="A6358" s="16" t="s">
        <v>30</v>
      </c>
      <c r="B6358" s="17" t="s">
        <v>73</v>
      </c>
      <c r="C6358" s="17" t="s">
        <v>8</v>
      </c>
      <c r="D6358" s="17" t="s">
        <v>10</v>
      </c>
      <c r="E6358" s="17" t="s">
        <v>27</v>
      </c>
      <c r="F6358" s="17" t="str">
        <f>INDEX(nrg_cb_e!$A$3:$A$40,MATCH(LEFT(MID('Industriesektor GWh'!$B6358,41,1000),SEARCH(" - ",MID('Industriesektor GWh'!$B6358,41,1000))-1),nrg_cb_e!$C$3:$C$40,0))</f>
        <v>FC_IND_TL_E</v>
      </c>
      <c r="G6358" s="18">
        <v>365.774</v>
      </c>
    </row>
    <row r="6359" spans="1:7" x14ac:dyDescent="0.2">
      <c r="A6359" s="19" t="s">
        <v>30</v>
      </c>
      <c r="B6359" s="20" t="s">
        <v>73</v>
      </c>
      <c r="C6359" s="20" t="s">
        <v>8</v>
      </c>
      <c r="D6359" s="20" t="s">
        <v>10</v>
      </c>
      <c r="E6359" s="20" t="s">
        <v>28</v>
      </c>
      <c r="F6359" s="20" t="str">
        <f>INDEX(nrg_cb_e!$A$3:$A$40,MATCH(LEFT(MID('Industriesektor GWh'!$B6359,41,1000),SEARCH(" - ",MID('Industriesektor GWh'!$B6359,41,1000))-1),nrg_cb_e!$C$3:$C$40,0))</f>
        <v>FC_IND_TL_E</v>
      </c>
      <c r="G6359" s="21">
        <v>363.24900000000002</v>
      </c>
    </row>
    <row r="6360" spans="1:7" x14ac:dyDescent="0.2">
      <c r="A6360" s="16" t="s">
        <v>31</v>
      </c>
      <c r="B6360" s="17" t="s">
        <v>73</v>
      </c>
      <c r="C6360" s="17" t="s">
        <v>8</v>
      </c>
      <c r="D6360" s="17" t="s">
        <v>10</v>
      </c>
      <c r="E6360" s="17" t="s">
        <v>12</v>
      </c>
      <c r="F6360" s="17" t="str">
        <f>INDEX(nrg_cb_e!$A$3:$A$40,MATCH(LEFT(MID('Industriesektor GWh'!$B6360,41,1000),SEARCH(" - ",MID('Industriesektor GWh'!$B6360,41,1000))-1),nrg_cb_e!$C$3:$C$40,0))</f>
        <v>FC_IND_TL_E</v>
      </c>
      <c r="G6360" s="18">
        <v>1292</v>
      </c>
    </row>
    <row r="6361" spans="1:7" x14ac:dyDescent="0.2">
      <c r="A6361" s="19" t="s">
        <v>31</v>
      </c>
      <c r="B6361" s="20" t="s">
        <v>73</v>
      </c>
      <c r="C6361" s="20" t="s">
        <v>8</v>
      </c>
      <c r="D6361" s="20" t="s">
        <v>10</v>
      </c>
      <c r="E6361" s="20" t="s">
        <v>13</v>
      </c>
      <c r="F6361" s="20" t="str">
        <f>INDEX(nrg_cb_e!$A$3:$A$40,MATCH(LEFT(MID('Industriesektor GWh'!$B6361,41,1000),SEARCH(" - ",MID('Industriesektor GWh'!$B6361,41,1000))-1),nrg_cb_e!$C$3:$C$40,0))</f>
        <v>FC_IND_TL_E</v>
      </c>
      <c r="G6361" s="21">
        <v>1134</v>
      </c>
    </row>
    <row r="6362" spans="1:7" x14ac:dyDescent="0.2">
      <c r="A6362" s="16" t="s">
        <v>31</v>
      </c>
      <c r="B6362" s="17" t="s">
        <v>73</v>
      </c>
      <c r="C6362" s="17" t="s">
        <v>8</v>
      </c>
      <c r="D6362" s="17" t="s">
        <v>10</v>
      </c>
      <c r="E6362" s="17" t="s">
        <v>14</v>
      </c>
      <c r="F6362" s="17" t="str">
        <f>INDEX(nrg_cb_e!$A$3:$A$40,MATCH(LEFT(MID('Industriesektor GWh'!$B6362,41,1000),SEARCH(" - ",MID('Industriesektor GWh'!$B6362,41,1000))-1),nrg_cb_e!$C$3:$C$40,0))</f>
        <v>FC_IND_TL_E</v>
      </c>
      <c r="G6362" s="18">
        <v>1123</v>
      </c>
    </row>
    <row r="6363" spans="1:7" x14ac:dyDescent="0.2">
      <c r="A6363" s="19" t="s">
        <v>31</v>
      </c>
      <c r="B6363" s="20" t="s">
        <v>73</v>
      </c>
      <c r="C6363" s="20" t="s">
        <v>8</v>
      </c>
      <c r="D6363" s="20" t="s">
        <v>10</v>
      </c>
      <c r="E6363" s="20" t="s">
        <v>15</v>
      </c>
      <c r="F6363" s="20" t="str">
        <f>INDEX(nrg_cb_e!$A$3:$A$40,MATCH(LEFT(MID('Industriesektor GWh'!$B6363,41,1000),SEARCH(" - ",MID('Industriesektor GWh'!$B6363,41,1000))-1),nrg_cb_e!$C$3:$C$40,0))</f>
        <v>FC_IND_TL_E</v>
      </c>
      <c r="G6363" s="21">
        <v>1155</v>
      </c>
    </row>
    <row r="6364" spans="1:7" x14ac:dyDescent="0.2">
      <c r="A6364" s="16" t="s">
        <v>31</v>
      </c>
      <c r="B6364" s="17" t="s">
        <v>73</v>
      </c>
      <c r="C6364" s="17" t="s">
        <v>8</v>
      </c>
      <c r="D6364" s="17" t="s">
        <v>10</v>
      </c>
      <c r="E6364" s="17" t="s">
        <v>16</v>
      </c>
      <c r="F6364" s="17" t="str">
        <f>INDEX(nrg_cb_e!$A$3:$A$40,MATCH(LEFT(MID('Industriesektor GWh'!$B6364,41,1000),SEARCH(" - ",MID('Industriesektor GWh'!$B6364,41,1000))-1),nrg_cb_e!$C$3:$C$40,0))</f>
        <v>FC_IND_TL_E</v>
      </c>
      <c r="G6364" s="18">
        <v>1005</v>
      </c>
    </row>
    <row r="6365" spans="1:7" x14ac:dyDescent="0.2">
      <c r="A6365" s="19" t="s">
        <v>31</v>
      </c>
      <c r="B6365" s="20" t="s">
        <v>73</v>
      </c>
      <c r="C6365" s="20" t="s">
        <v>8</v>
      </c>
      <c r="D6365" s="20" t="s">
        <v>10</v>
      </c>
      <c r="E6365" s="20" t="s">
        <v>17</v>
      </c>
      <c r="F6365" s="20" t="str">
        <f>INDEX(nrg_cb_e!$A$3:$A$40,MATCH(LEFT(MID('Industriesektor GWh'!$B6365,41,1000),SEARCH(" - ",MID('Industriesektor GWh'!$B6365,41,1000))-1),nrg_cb_e!$C$3:$C$40,0))</f>
        <v>FC_IND_TL_E</v>
      </c>
      <c r="G6365" s="21">
        <v>966</v>
      </c>
    </row>
    <row r="6366" spans="1:7" x14ac:dyDescent="0.2">
      <c r="A6366" s="16" t="s">
        <v>31</v>
      </c>
      <c r="B6366" s="17" t="s">
        <v>73</v>
      </c>
      <c r="C6366" s="17" t="s">
        <v>8</v>
      </c>
      <c r="D6366" s="17" t="s">
        <v>10</v>
      </c>
      <c r="E6366" s="17" t="s">
        <v>18</v>
      </c>
      <c r="F6366" s="17" t="str">
        <f>INDEX(nrg_cb_e!$A$3:$A$40,MATCH(LEFT(MID('Industriesektor GWh'!$B6366,41,1000),SEARCH(" - ",MID('Industriesektor GWh'!$B6366,41,1000))-1),nrg_cb_e!$C$3:$C$40,0))</f>
        <v>FC_IND_TL_E</v>
      </c>
      <c r="G6366" s="18">
        <v>897</v>
      </c>
    </row>
    <row r="6367" spans="1:7" x14ac:dyDescent="0.2">
      <c r="A6367" s="19" t="s">
        <v>31</v>
      </c>
      <c r="B6367" s="20" t="s">
        <v>73</v>
      </c>
      <c r="C6367" s="20" t="s">
        <v>8</v>
      </c>
      <c r="D6367" s="20" t="s">
        <v>10</v>
      </c>
      <c r="E6367" s="20" t="s">
        <v>19</v>
      </c>
      <c r="F6367" s="20" t="str">
        <f>INDEX(nrg_cb_e!$A$3:$A$40,MATCH(LEFT(MID('Industriesektor GWh'!$B6367,41,1000),SEARCH(" - ",MID('Industriesektor GWh'!$B6367,41,1000))-1),nrg_cb_e!$C$3:$C$40,0))</f>
        <v>FC_IND_TL_E</v>
      </c>
      <c r="G6367" s="21">
        <v>704</v>
      </c>
    </row>
    <row r="6368" spans="1:7" x14ac:dyDescent="0.2">
      <c r="A6368" s="16" t="s">
        <v>31</v>
      </c>
      <c r="B6368" s="17" t="s">
        <v>73</v>
      </c>
      <c r="C6368" s="17" t="s">
        <v>8</v>
      </c>
      <c r="D6368" s="17" t="s">
        <v>10</v>
      </c>
      <c r="E6368" s="17" t="s">
        <v>20</v>
      </c>
      <c r="F6368" s="17" t="str">
        <f>INDEX(nrg_cb_e!$A$3:$A$40,MATCH(LEFT(MID('Industriesektor GWh'!$B6368,41,1000),SEARCH(" - ",MID('Industriesektor GWh'!$B6368,41,1000))-1),nrg_cb_e!$C$3:$C$40,0))</f>
        <v>FC_IND_TL_E</v>
      </c>
      <c r="G6368" s="18">
        <v>723</v>
      </c>
    </row>
    <row r="6369" spans="1:7" x14ac:dyDescent="0.2">
      <c r="A6369" s="19" t="s">
        <v>31</v>
      </c>
      <c r="B6369" s="20" t="s">
        <v>73</v>
      </c>
      <c r="C6369" s="20" t="s">
        <v>8</v>
      </c>
      <c r="D6369" s="20" t="s">
        <v>10</v>
      </c>
      <c r="E6369" s="20" t="s">
        <v>21</v>
      </c>
      <c r="F6369" s="20" t="str">
        <f>INDEX(nrg_cb_e!$A$3:$A$40,MATCH(LEFT(MID('Industriesektor GWh'!$B6369,41,1000),SEARCH(" - ",MID('Industriesektor GWh'!$B6369,41,1000))-1),nrg_cb_e!$C$3:$C$40,0))</f>
        <v>FC_IND_TL_E</v>
      </c>
      <c r="G6369" s="21">
        <v>752</v>
      </c>
    </row>
    <row r="6370" spans="1:7" x14ac:dyDescent="0.2">
      <c r="A6370" s="16" t="s">
        <v>31</v>
      </c>
      <c r="B6370" s="17" t="s">
        <v>73</v>
      </c>
      <c r="C6370" s="17" t="s">
        <v>8</v>
      </c>
      <c r="D6370" s="17" t="s">
        <v>10</v>
      </c>
      <c r="E6370" s="17" t="s">
        <v>22</v>
      </c>
      <c r="F6370" s="17" t="str">
        <f>INDEX(nrg_cb_e!$A$3:$A$40,MATCH(LEFT(MID('Industriesektor GWh'!$B6370,41,1000),SEARCH(" - ",MID('Industriesektor GWh'!$B6370,41,1000))-1),nrg_cb_e!$C$3:$C$40,0))</f>
        <v>FC_IND_TL_E</v>
      </c>
      <c r="G6370" s="18">
        <v>728</v>
      </c>
    </row>
    <row r="6371" spans="1:7" x14ac:dyDescent="0.2">
      <c r="A6371" s="19" t="s">
        <v>31</v>
      </c>
      <c r="B6371" s="20" t="s">
        <v>73</v>
      </c>
      <c r="C6371" s="20" t="s">
        <v>8</v>
      </c>
      <c r="D6371" s="20" t="s">
        <v>10</v>
      </c>
      <c r="E6371" s="20" t="s">
        <v>23</v>
      </c>
      <c r="F6371" s="20" t="str">
        <f>INDEX(nrg_cb_e!$A$3:$A$40,MATCH(LEFT(MID('Industriesektor GWh'!$B6371,41,1000),SEARCH(" - ",MID('Industriesektor GWh'!$B6371,41,1000))-1),nrg_cb_e!$C$3:$C$40,0))</f>
        <v>FC_IND_TL_E</v>
      </c>
      <c r="G6371" s="21">
        <v>721</v>
      </c>
    </row>
    <row r="6372" spans="1:7" x14ac:dyDescent="0.2">
      <c r="A6372" s="16" t="s">
        <v>31</v>
      </c>
      <c r="B6372" s="17" t="s">
        <v>73</v>
      </c>
      <c r="C6372" s="17" t="s">
        <v>8</v>
      </c>
      <c r="D6372" s="17" t="s">
        <v>10</v>
      </c>
      <c r="E6372" s="17" t="s">
        <v>24</v>
      </c>
      <c r="F6372" s="17" t="str">
        <f>INDEX(nrg_cb_e!$A$3:$A$40,MATCH(LEFT(MID('Industriesektor GWh'!$B6372,41,1000),SEARCH(" - ",MID('Industriesektor GWh'!$B6372,41,1000))-1),nrg_cb_e!$C$3:$C$40,0))</f>
        <v>FC_IND_TL_E</v>
      </c>
      <c r="G6372" s="18">
        <v>728</v>
      </c>
    </row>
    <row r="6373" spans="1:7" x14ac:dyDescent="0.2">
      <c r="A6373" s="19" t="s">
        <v>31</v>
      </c>
      <c r="B6373" s="20" t="s">
        <v>73</v>
      </c>
      <c r="C6373" s="20" t="s">
        <v>8</v>
      </c>
      <c r="D6373" s="20" t="s">
        <v>10</v>
      </c>
      <c r="E6373" s="20" t="s">
        <v>25</v>
      </c>
      <c r="F6373" s="20" t="str">
        <f>INDEX(nrg_cb_e!$A$3:$A$40,MATCH(LEFT(MID('Industriesektor GWh'!$B6373,41,1000),SEARCH(" - ",MID('Industriesektor GWh'!$B6373,41,1000))-1),nrg_cb_e!$C$3:$C$40,0))</f>
        <v>FC_IND_TL_E</v>
      </c>
      <c r="G6373" s="21">
        <v>714</v>
      </c>
    </row>
    <row r="6374" spans="1:7" x14ac:dyDescent="0.2">
      <c r="A6374" s="16" t="s">
        <v>31</v>
      </c>
      <c r="B6374" s="17" t="s">
        <v>73</v>
      </c>
      <c r="C6374" s="17" t="s">
        <v>8</v>
      </c>
      <c r="D6374" s="17" t="s">
        <v>10</v>
      </c>
      <c r="E6374" s="17" t="s">
        <v>26</v>
      </c>
      <c r="F6374" s="17" t="str">
        <f>INDEX(nrg_cb_e!$A$3:$A$40,MATCH(LEFT(MID('Industriesektor GWh'!$B6374,41,1000),SEARCH(" - ",MID('Industriesektor GWh'!$B6374,41,1000))-1),nrg_cb_e!$C$3:$C$40,0))</f>
        <v>FC_IND_TL_E</v>
      </c>
      <c r="G6374" s="18">
        <v>713</v>
      </c>
    </row>
    <row r="6375" spans="1:7" x14ac:dyDescent="0.2">
      <c r="A6375" s="19" t="s">
        <v>31</v>
      </c>
      <c r="B6375" s="20" t="s">
        <v>73</v>
      </c>
      <c r="C6375" s="20" t="s">
        <v>8</v>
      </c>
      <c r="D6375" s="20" t="s">
        <v>10</v>
      </c>
      <c r="E6375" s="20" t="s">
        <v>27</v>
      </c>
      <c r="F6375" s="20" t="str">
        <f>INDEX(nrg_cb_e!$A$3:$A$40,MATCH(LEFT(MID('Industriesektor GWh'!$B6375,41,1000),SEARCH(" - ",MID('Industriesektor GWh'!$B6375,41,1000))-1),nrg_cb_e!$C$3:$C$40,0))</f>
        <v>FC_IND_TL_E</v>
      </c>
      <c r="G6375" s="21">
        <v>736.52200000000005</v>
      </c>
    </row>
    <row r="6376" spans="1:7" x14ac:dyDescent="0.2">
      <c r="A6376" s="16" t="s">
        <v>31</v>
      </c>
      <c r="B6376" s="17" t="s">
        <v>73</v>
      </c>
      <c r="C6376" s="17" t="s">
        <v>8</v>
      </c>
      <c r="D6376" s="17" t="s">
        <v>10</v>
      </c>
      <c r="E6376" s="17" t="s">
        <v>28</v>
      </c>
      <c r="F6376" s="17" t="str">
        <f>INDEX(nrg_cb_e!$A$3:$A$40,MATCH(LEFT(MID('Industriesektor GWh'!$B6376,41,1000),SEARCH(" - ",MID('Industriesektor GWh'!$B6376,41,1000))-1),nrg_cb_e!$C$3:$C$40,0))</f>
        <v>FC_IND_TL_E</v>
      </c>
      <c r="G6376" s="18">
        <v>757.11500000000001</v>
      </c>
    </row>
    <row r="6377" spans="1:7" x14ac:dyDescent="0.2">
      <c r="A6377" s="19" t="s">
        <v>32</v>
      </c>
      <c r="B6377" s="20" t="s">
        <v>73</v>
      </c>
      <c r="C6377" s="20" t="s">
        <v>8</v>
      </c>
      <c r="D6377" s="20" t="s">
        <v>10</v>
      </c>
      <c r="E6377" s="20" t="s">
        <v>12</v>
      </c>
      <c r="F6377" s="20" t="str">
        <f>INDEX(nrg_cb_e!$A$3:$A$40,MATCH(LEFT(MID('Industriesektor GWh'!$B6377,41,1000),SEARCH(" - ",MID('Industriesektor GWh'!$B6377,41,1000))-1),nrg_cb_e!$C$3:$C$40,0))</f>
        <v>FC_IND_TL_E</v>
      </c>
      <c r="G6377" s="21">
        <v>213</v>
      </c>
    </row>
    <row r="6378" spans="1:7" x14ac:dyDescent="0.2">
      <c r="A6378" s="16" t="s">
        <v>32</v>
      </c>
      <c r="B6378" s="17" t="s">
        <v>73</v>
      </c>
      <c r="C6378" s="17" t="s">
        <v>8</v>
      </c>
      <c r="D6378" s="17" t="s">
        <v>10</v>
      </c>
      <c r="E6378" s="17" t="s">
        <v>13</v>
      </c>
      <c r="F6378" s="17" t="str">
        <f>INDEX(nrg_cb_e!$A$3:$A$40,MATCH(LEFT(MID('Industriesektor GWh'!$B6378,41,1000),SEARCH(" - ",MID('Industriesektor GWh'!$B6378,41,1000))-1),nrg_cb_e!$C$3:$C$40,0))</f>
        <v>FC_IND_TL_E</v>
      </c>
      <c r="G6378" s="18">
        <v>212</v>
      </c>
    </row>
    <row r="6379" spans="1:7" x14ac:dyDescent="0.2">
      <c r="A6379" s="19" t="s">
        <v>32</v>
      </c>
      <c r="B6379" s="20" t="s">
        <v>73</v>
      </c>
      <c r="C6379" s="20" t="s">
        <v>8</v>
      </c>
      <c r="D6379" s="20" t="s">
        <v>10</v>
      </c>
      <c r="E6379" s="20" t="s">
        <v>14</v>
      </c>
      <c r="F6379" s="20" t="str">
        <f>INDEX(nrg_cb_e!$A$3:$A$40,MATCH(LEFT(MID('Industriesektor GWh'!$B6379,41,1000),SEARCH(" - ",MID('Industriesektor GWh'!$B6379,41,1000))-1),nrg_cb_e!$C$3:$C$40,0))</f>
        <v>FC_IND_TL_E</v>
      </c>
      <c r="G6379" s="21">
        <v>221</v>
      </c>
    </row>
    <row r="6380" spans="1:7" x14ac:dyDescent="0.2">
      <c r="A6380" s="16" t="s">
        <v>32</v>
      </c>
      <c r="B6380" s="17" t="s">
        <v>73</v>
      </c>
      <c r="C6380" s="17" t="s">
        <v>8</v>
      </c>
      <c r="D6380" s="17" t="s">
        <v>10</v>
      </c>
      <c r="E6380" s="17" t="s">
        <v>15</v>
      </c>
      <c r="F6380" s="17" t="str">
        <f>INDEX(nrg_cb_e!$A$3:$A$40,MATCH(LEFT(MID('Industriesektor GWh'!$B6380,41,1000),SEARCH(" - ",MID('Industriesektor GWh'!$B6380,41,1000))-1),nrg_cb_e!$C$3:$C$40,0))</f>
        <v>FC_IND_TL_E</v>
      </c>
      <c r="G6380" s="18">
        <v>183</v>
      </c>
    </row>
    <row r="6381" spans="1:7" x14ac:dyDescent="0.2">
      <c r="A6381" s="19" t="s">
        <v>32</v>
      </c>
      <c r="B6381" s="20" t="s">
        <v>73</v>
      </c>
      <c r="C6381" s="20" t="s">
        <v>8</v>
      </c>
      <c r="D6381" s="20" t="s">
        <v>10</v>
      </c>
      <c r="E6381" s="20" t="s">
        <v>16</v>
      </c>
      <c r="F6381" s="20" t="str">
        <f>INDEX(nrg_cb_e!$A$3:$A$40,MATCH(LEFT(MID('Industriesektor GWh'!$B6381,41,1000),SEARCH(" - ",MID('Industriesektor GWh'!$B6381,41,1000))-1),nrg_cb_e!$C$3:$C$40,0))</f>
        <v>FC_IND_TL_E</v>
      </c>
      <c r="G6381" s="21">
        <v>174</v>
      </c>
    </row>
    <row r="6382" spans="1:7" x14ac:dyDescent="0.2">
      <c r="A6382" s="16" t="s">
        <v>32</v>
      </c>
      <c r="B6382" s="17" t="s">
        <v>73</v>
      </c>
      <c r="C6382" s="17" t="s">
        <v>8</v>
      </c>
      <c r="D6382" s="17" t="s">
        <v>10</v>
      </c>
      <c r="E6382" s="17" t="s">
        <v>17</v>
      </c>
      <c r="F6382" s="17" t="str">
        <f>INDEX(nrg_cb_e!$A$3:$A$40,MATCH(LEFT(MID('Industriesektor GWh'!$B6382,41,1000),SEARCH(" - ",MID('Industriesektor GWh'!$B6382,41,1000))-1),nrg_cb_e!$C$3:$C$40,0))</f>
        <v>FC_IND_TL_E</v>
      </c>
      <c r="G6382" s="18">
        <v>171</v>
      </c>
    </row>
    <row r="6383" spans="1:7" x14ac:dyDescent="0.2">
      <c r="A6383" s="19" t="s">
        <v>32</v>
      </c>
      <c r="B6383" s="20" t="s">
        <v>73</v>
      </c>
      <c r="C6383" s="20" t="s">
        <v>8</v>
      </c>
      <c r="D6383" s="20" t="s">
        <v>10</v>
      </c>
      <c r="E6383" s="20" t="s">
        <v>18</v>
      </c>
      <c r="F6383" s="20" t="str">
        <f>INDEX(nrg_cb_e!$A$3:$A$40,MATCH(LEFT(MID('Industriesektor GWh'!$B6383,41,1000),SEARCH(" - ",MID('Industriesektor GWh'!$B6383,41,1000))-1),nrg_cb_e!$C$3:$C$40,0))</f>
        <v>FC_IND_TL_E</v>
      </c>
      <c r="G6383" s="21">
        <v>169</v>
      </c>
    </row>
    <row r="6384" spans="1:7" x14ac:dyDescent="0.2">
      <c r="A6384" s="16" t="s">
        <v>32</v>
      </c>
      <c r="B6384" s="17" t="s">
        <v>73</v>
      </c>
      <c r="C6384" s="17" t="s">
        <v>8</v>
      </c>
      <c r="D6384" s="17" t="s">
        <v>10</v>
      </c>
      <c r="E6384" s="17" t="s">
        <v>19</v>
      </c>
      <c r="F6384" s="17" t="str">
        <f>INDEX(nrg_cb_e!$A$3:$A$40,MATCH(LEFT(MID('Industriesektor GWh'!$B6384,41,1000),SEARCH(" - ",MID('Industriesektor GWh'!$B6384,41,1000))-1),nrg_cb_e!$C$3:$C$40,0))</f>
        <v>FC_IND_TL_E</v>
      </c>
      <c r="G6384" s="18">
        <v>157</v>
      </c>
    </row>
    <row r="6385" spans="1:7" x14ac:dyDescent="0.2">
      <c r="A6385" s="19" t="s">
        <v>32</v>
      </c>
      <c r="B6385" s="20" t="s">
        <v>73</v>
      </c>
      <c r="C6385" s="20" t="s">
        <v>8</v>
      </c>
      <c r="D6385" s="20" t="s">
        <v>10</v>
      </c>
      <c r="E6385" s="20" t="s">
        <v>20</v>
      </c>
      <c r="F6385" s="20" t="str">
        <f>INDEX(nrg_cb_e!$A$3:$A$40,MATCH(LEFT(MID('Industriesektor GWh'!$B6385,41,1000),SEARCH(" - ",MID('Industriesektor GWh'!$B6385,41,1000))-1),nrg_cb_e!$C$3:$C$40,0))</f>
        <v>FC_IND_TL_E</v>
      </c>
      <c r="G6385" s="21">
        <v>157</v>
      </c>
    </row>
    <row r="6386" spans="1:7" x14ac:dyDescent="0.2">
      <c r="A6386" s="16" t="s">
        <v>32</v>
      </c>
      <c r="B6386" s="17" t="s">
        <v>73</v>
      </c>
      <c r="C6386" s="17" t="s">
        <v>8</v>
      </c>
      <c r="D6386" s="17" t="s">
        <v>10</v>
      </c>
      <c r="E6386" s="17" t="s">
        <v>21</v>
      </c>
      <c r="F6386" s="17" t="str">
        <f>INDEX(nrg_cb_e!$A$3:$A$40,MATCH(LEFT(MID('Industriesektor GWh'!$B6386,41,1000),SEARCH(" - ",MID('Industriesektor GWh'!$B6386,41,1000))-1),nrg_cb_e!$C$3:$C$40,0))</f>
        <v>FC_IND_TL_E</v>
      </c>
      <c r="G6386" s="18">
        <v>155</v>
      </c>
    </row>
    <row r="6387" spans="1:7" x14ac:dyDescent="0.2">
      <c r="A6387" s="19" t="s">
        <v>32</v>
      </c>
      <c r="B6387" s="20" t="s">
        <v>73</v>
      </c>
      <c r="C6387" s="20" t="s">
        <v>8</v>
      </c>
      <c r="D6387" s="20" t="s">
        <v>10</v>
      </c>
      <c r="E6387" s="20" t="s">
        <v>22</v>
      </c>
      <c r="F6387" s="20" t="str">
        <f>INDEX(nrg_cb_e!$A$3:$A$40,MATCH(LEFT(MID('Industriesektor GWh'!$B6387,41,1000),SEARCH(" - ",MID('Industriesektor GWh'!$B6387,41,1000))-1),nrg_cb_e!$C$3:$C$40,0))</f>
        <v>FC_IND_TL_E</v>
      </c>
      <c r="G6387" s="21">
        <v>120</v>
      </c>
    </row>
    <row r="6388" spans="1:7" x14ac:dyDescent="0.2">
      <c r="A6388" s="16" t="s">
        <v>32</v>
      </c>
      <c r="B6388" s="17" t="s">
        <v>73</v>
      </c>
      <c r="C6388" s="17" t="s">
        <v>8</v>
      </c>
      <c r="D6388" s="17" t="s">
        <v>10</v>
      </c>
      <c r="E6388" s="17" t="s">
        <v>23</v>
      </c>
      <c r="F6388" s="17" t="str">
        <f>INDEX(nrg_cb_e!$A$3:$A$40,MATCH(LEFT(MID('Industriesektor GWh'!$B6388,41,1000),SEARCH(" - ",MID('Industriesektor GWh'!$B6388,41,1000))-1),nrg_cb_e!$C$3:$C$40,0))</f>
        <v>FC_IND_TL_E</v>
      </c>
      <c r="G6388" s="18">
        <v>128</v>
      </c>
    </row>
    <row r="6389" spans="1:7" x14ac:dyDescent="0.2">
      <c r="A6389" s="19" t="s">
        <v>32</v>
      </c>
      <c r="B6389" s="20" t="s">
        <v>73</v>
      </c>
      <c r="C6389" s="20" t="s">
        <v>8</v>
      </c>
      <c r="D6389" s="20" t="s">
        <v>10</v>
      </c>
      <c r="E6389" s="20" t="s">
        <v>24</v>
      </c>
      <c r="F6389" s="20" t="str">
        <f>INDEX(nrg_cb_e!$A$3:$A$40,MATCH(LEFT(MID('Industriesektor GWh'!$B6389,41,1000),SEARCH(" - ",MID('Industriesektor GWh'!$B6389,41,1000))-1),nrg_cb_e!$C$3:$C$40,0))</f>
        <v>FC_IND_TL_E</v>
      </c>
      <c r="G6389" s="21">
        <v>118</v>
      </c>
    </row>
    <row r="6390" spans="1:7" x14ac:dyDescent="0.2">
      <c r="A6390" s="16" t="s">
        <v>32</v>
      </c>
      <c r="B6390" s="17" t="s">
        <v>73</v>
      </c>
      <c r="C6390" s="17" t="s">
        <v>8</v>
      </c>
      <c r="D6390" s="17" t="s">
        <v>10</v>
      </c>
      <c r="E6390" s="17" t="s">
        <v>25</v>
      </c>
      <c r="F6390" s="17" t="str">
        <f>INDEX(nrg_cb_e!$A$3:$A$40,MATCH(LEFT(MID('Industriesektor GWh'!$B6390,41,1000),SEARCH(" - ",MID('Industriesektor GWh'!$B6390,41,1000))-1),nrg_cb_e!$C$3:$C$40,0))</f>
        <v>FC_IND_TL_E</v>
      </c>
      <c r="G6390" s="18">
        <v>117.098</v>
      </c>
    </row>
    <row r="6391" spans="1:7" x14ac:dyDescent="0.2">
      <c r="A6391" s="19" t="s">
        <v>32</v>
      </c>
      <c r="B6391" s="20" t="s">
        <v>73</v>
      </c>
      <c r="C6391" s="20" t="s">
        <v>8</v>
      </c>
      <c r="D6391" s="20" t="s">
        <v>10</v>
      </c>
      <c r="E6391" s="20" t="s">
        <v>26</v>
      </c>
      <c r="F6391" s="20" t="str">
        <f>INDEX(nrg_cb_e!$A$3:$A$40,MATCH(LEFT(MID('Industriesektor GWh'!$B6391,41,1000),SEARCH(" - ",MID('Industriesektor GWh'!$B6391,41,1000))-1),nrg_cb_e!$C$3:$C$40,0))</f>
        <v>FC_IND_TL_E</v>
      </c>
      <c r="G6391" s="21">
        <v>109.986</v>
      </c>
    </row>
    <row r="6392" spans="1:7" x14ac:dyDescent="0.2">
      <c r="A6392" s="16" t="s">
        <v>32</v>
      </c>
      <c r="B6392" s="17" t="s">
        <v>73</v>
      </c>
      <c r="C6392" s="17" t="s">
        <v>8</v>
      </c>
      <c r="D6392" s="17" t="s">
        <v>10</v>
      </c>
      <c r="E6392" s="17" t="s">
        <v>27</v>
      </c>
      <c r="F6392" s="17" t="str">
        <f>INDEX(nrg_cb_e!$A$3:$A$40,MATCH(LEFT(MID('Industriesektor GWh'!$B6392,41,1000),SEARCH(" - ",MID('Industriesektor GWh'!$B6392,41,1000))-1),nrg_cb_e!$C$3:$C$40,0))</f>
        <v>FC_IND_TL_E</v>
      </c>
      <c r="G6392" s="18">
        <v>111.67400000000001</v>
      </c>
    </row>
    <row r="6393" spans="1:7" x14ac:dyDescent="0.2">
      <c r="A6393" s="19" t="s">
        <v>32</v>
      </c>
      <c r="B6393" s="20" t="s">
        <v>73</v>
      </c>
      <c r="C6393" s="20" t="s">
        <v>8</v>
      </c>
      <c r="D6393" s="20" t="s">
        <v>10</v>
      </c>
      <c r="E6393" s="20" t="s">
        <v>28</v>
      </c>
      <c r="F6393" s="20" t="str">
        <f>INDEX(nrg_cb_e!$A$3:$A$40,MATCH(LEFT(MID('Industriesektor GWh'!$B6393,41,1000),SEARCH(" - ",MID('Industriesektor GWh'!$B6393,41,1000))-1),nrg_cb_e!$C$3:$C$40,0))</f>
        <v>FC_IND_TL_E</v>
      </c>
      <c r="G6393" s="21">
        <v>111.565</v>
      </c>
    </row>
    <row r="6394" spans="1:7" x14ac:dyDescent="0.2">
      <c r="A6394" s="16" t="s">
        <v>33</v>
      </c>
      <c r="B6394" s="17" t="s">
        <v>73</v>
      </c>
      <c r="C6394" s="17" t="s">
        <v>8</v>
      </c>
      <c r="D6394" s="17" t="s">
        <v>10</v>
      </c>
      <c r="E6394" s="17" t="s">
        <v>12</v>
      </c>
      <c r="F6394" s="17" t="str">
        <f>INDEX(nrg_cb_e!$A$3:$A$40,MATCH(LEFT(MID('Industriesektor GWh'!$B6394,41,1000),SEARCH(" - ",MID('Industriesektor GWh'!$B6394,41,1000))-1),nrg_cb_e!$C$3:$C$40,0))</f>
        <v>FC_IND_TL_E</v>
      </c>
      <c r="G6394" s="18">
        <v>4373</v>
      </c>
    </row>
    <row r="6395" spans="1:7" x14ac:dyDescent="0.2">
      <c r="A6395" s="19" t="s">
        <v>33</v>
      </c>
      <c r="B6395" s="20" t="s">
        <v>73</v>
      </c>
      <c r="C6395" s="20" t="s">
        <v>8</v>
      </c>
      <c r="D6395" s="20" t="s">
        <v>10</v>
      </c>
      <c r="E6395" s="20" t="s">
        <v>13</v>
      </c>
      <c r="F6395" s="20" t="str">
        <f>INDEX(nrg_cb_e!$A$3:$A$40,MATCH(LEFT(MID('Industriesektor GWh'!$B6395,41,1000),SEARCH(" - ",MID('Industriesektor GWh'!$B6395,41,1000))-1),nrg_cb_e!$C$3:$C$40,0))</f>
        <v>FC_IND_TL_E</v>
      </c>
      <c r="G6395" s="21">
        <v>3381</v>
      </c>
    </row>
    <row r="6396" spans="1:7" x14ac:dyDescent="0.2">
      <c r="A6396" s="16" t="s">
        <v>33</v>
      </c>
      <c r="B6396" s="17" t="s">
        <v>73</v>
      </c>
      <c r="C6396" s="17" t="s">
        <v>8</v>
      </c>
      <c r="D6396" s="17" t="s">
        <v>10</v>
      </c>
      <c r="E6396" s="17" t="s">
        <v>14</v>
      </c>
      <c r="F6396" s="17" t="str">
        <f>INDEX(nrg_cb_e!$A$3:$A$40,MATCH(LEFT(MID('Industriesektor GWh'!$B6396,41,1000),SEARCH(" - ",MID('Industriesektor GWh'!$B6396,41,1000))-1),nrg_cb_e!$C$3:$C$40,0))</f>
        <v>FC_IND_TL_E</v>
      </c>
      <c r="G6396" s="18">
        <v>3230</v>
      </c>
    </row>
    <row r="6397" spans="1:7" x14ac:dyDescent="0.2">
      <c r="A6397" s="19" t="s">
        <v>33</v>
      </c>
      <c r="B6397" s="20" t="s">
        <v>73</v>
      </c>
      <c r="C6397" s="20" t="s">
        <v>8</v>
      </c>
      <c r="D6397" s="20" t="s">
        <v>10</v>
      </c>
      <c r="E6397" s="20" t="s">
        <v>15</v>
      </c>
      <c r="F6397" s="20" t="str">
        <f>INDEX(nrg_cb_e!$A$3:$A$40,MATCH(LEFT(MID('Industriesektor GWh'!$B6397,41,1000),SEARCH(" - ",MID('Industriesektor GWh'!$B6397,41,1000))-1),nrg_cb_e!$C$3:$C$40,0))</f>
        <v>FC_IND_TL_E</v>
      </c>
      <c r="G6397" s="21">
        <v>3359</v>
      </c>
    </row>
    <row r="6398" spans="1:7" x14ac:dyDescent="0.2">
      <c r="A6398" s="16" t="s">
        <v>33</v>
      </c>
      <c r="B6398" s="17" t="s">
        <v>73</v>
      </c>
      <c r="C6398" s="17" t="s">
        <v>8</v>
      </c>
      <c r="D6398" s="17" t="s">
        <v>10</v>
      </c>
      <c r="E6398" s="17" t="s">
        <v>16</v>
      </c>
      <c r="F6398" s="17" t="str">
        <f>INDEX(nrg_cb_e!$A$3:$A$40,MATCH(LEFT(MID('Industriesektor GWh'!$B6398,41,1000),SEARCH(" - ",MID('Industriesektor GWh'!$B6398,41,1000))-1),nrg_cb_e!$C$3:$C$40,0))</f>
        <v>FC_IND_TL_E</v>
      </c>
      <c r="G6398" s="18">
        <v>2982</v>
      </c>
    </row>
    <row r="6399" spans="1:7" x14ac:dyDescent="0.2">
      <c r="A6399" s="19" t="s">
        <v>33</v>
      </c>
      <c r="B6399" s="20" t="s">
        <v>73</v>
      </c>
      <c r="C6399" s="20" t="s">
        <v>8</v>
      </c>
      <c r="D6399" s="20" t="s">
        <v>10</v>
      </c>
      <c r="E6399" s="20" t="s">
        <v>17</v>
      </c>
      <c r="F6399" s="20" t="str">
        <f>INDEX(nrg_cb_e!$A$3:$A$40,MATCH(LEFT(MID('Industriesektor GWh'!$B6399,41,1000),SEARCH(" - ",MID('Industriesektor GWh'!$B6399,41,1000))-1),nrg_cb_e!$C$3:$C$40,0))</f>
        <v>FC_IND_TL_E</v>
      </c>
      <c r="G6399" s="21">
        <v>3196</v>
      </c>
    </row>
    <row r="6400" spans="1:7" x14ac:dyDescent="0.2">
      <c r="A6400" s="16" t="s">
        <v>33</v>
      </c>
      <c r="B6400" s="17" t="s">
        <v>73</v>
      </c>
      <c r="C6400" s="17" t="s">
        <v>8</v>
      </c>
      <c r="D6400" s="17" t="s">
        <v>10</v>
      </c>
      <c r="E6400" s="17" t="s">
        <v>18</v>
      </c>
      <c r="F6400" s="17" t="str">
        <f>INDEX(nrg_cb_e!$A$3:$A$40,MATCH(LEFT(MID('Industriesektor GWh'!$B6400,41,1000),SEARCH(" - ",MID('Industriesektor GWh'!$B6400,41,1000))-1),nrg_cb_e!$C$3:$C$40,0))</f>
        <v>FC_IND_TL_E</v>
      </c>
      <c r="G6400" s="18">
        <v>2668</v>
      </c>
    </row>
    <row r="6401" spans="1:7" x14ac:dyDescent="0.2">
      <c r="A6401" s="19" t="s">
        <v>33</v>
      </c>
      <c r="B6401" s="20" t="s">
        <v>73</v>
      </c>
      <c r="C6401" s="20" t="s">
        <v>8</v>
      </c>
      <c r="D6401" s="20" t="s">
        <v>10</v>
      </c>
      <c r="E6401" s="20" t="s">
        <v>19</v>
      </c>
      <c r="F6401" s="20" t="str">
        <f>INDEX(nrg_cb_e!$A$3:$A$40,MATCH(LEFT(MID('Industriesektor GWh'!$B6401,41,1000),SEARCH(" - ",MID('Industriesektor GWh'!$B6401,41,1000))-1),nrg_cb_e!$C$3:$C$40,0))</f>
        <v>FC_IND_TL_E</v>
      </c>
      <c r="G6401" s="21">
        <v>2313</v>
      </c>
    </row>
    <row r="6402" spans="1:7" x14ac:dyDescent="0.2">
      <c r="A6402" s="16" t="s">
        <v>33</v>
      </c>
      <c r="B6402" s="17" t="s">
        <v>73</v>
      </c>
      <c r="C6402" s="17" t="s">
        <v>8</v>
      </c>
      <c r="D6402" s="17" t="s">
        <v>10</v>
      </c>
      <c r="E6402" s="17" t="s">
        <v>20</v>
      </c>
      <c r="F6402" s="17" t="str">
        <f>INDEX(nrg_cb_e!$A$3:$A$40,MATCH(LEFT(MID('Industriesektor GWh'!$B6402,41,1000),SEARCH(" - ",MID('Industriesektor GWh'!$B6402,41,1000))-1),nrg_cb_e!$C$3:$C$40,0))</f>
        <v>FC_IND_TL_E</v>
      </c>
      <c r="G6402" s="18">
        <v>2482</v>
      </c>
    </row>
    <row r="6403" spans="1:7" x14ac:dyDescent="0.2">
      <c r="A6403" s="19" t="s">
        <v>33</v>
      </c>
      <c r="B6403" s="20" t="s">
        <v>73</v>
      </c>
      <c r="C6403" s="20" t="s">
        <v>8</v>
      </c>
      <c r="D6403" s="20" t="s">
        <v>10</v>
      </c>
      <c r="E6403" s="20" t="s">
        <v>21</v>
      </c>
      <c r="F6403" s="20" t="str">
        <f>INDEX(nrg_cb_e!$A$3:$A$40,MATCH(LEFT(MID('Industriesektor GWh'!$B6403,41,1000),SEARCH(" - ",MID('Industriesektor GWh'!$B6403,41,1000))-1),nrg_cb_e!$C$3:$C$40,0))</f>
        <v>FC_IND_TL_E</v>
      </c>
      <c r="G6403" s="21">
        <v>2521</v>
      </c>
    </row>
    <row r="6404" spans="1:7" x14ac:dyDescent="0.2">
      <c r="A6404" s="16" t="s">
        <v>33</v>
      </c>
      <c r="B6404" s="17" t="s">
        <v>73</v>
      </c>
      <c r="C6404" s="17" t="s">
        <v>8</v>
      </c>
      <c r="D6404" s="17" t="s">
        <v>10</v>
      </c>
      <c r="E6404" s="17" t="s">
        <v>22</v>
      </c>
      <c r="F6404" s="17" t="str">
        <f>INDEX(nrg_cb_e!$A$3:$A$40,MATCH(LEFT(MID('Industriesektor GWh'!$B6404,41,1000),SEARCH(" - ",MID('Industriesektor GWh'!$B6404,41,1000))-1),nrg_cb_e!$C$3:$C$40,0))</f>
        <v>FC_IND_TL_E</v>
      </c>
      <c r="G6404" s="18">
        <v>2382</v>
      </c>
    </row>
    <row r="6405" spans="1:7" x14ac:dyDescent="0.2">
      <c r="A6405" s="19" t="s">
        <v>33</v>
      </c>
      <c r="B6405" s="20" t="s">
        <v>73</v>
      </c>
      <c r="C6405" s="20" t="s">
        <v>8</v>
      </c>
      <c r="D6405" s="20" t="s">
        <v>10</v>
      </c>
      <c r="E6405" s="20" t="s">
        <v>23</v>
      </c>
      <c r="F6405" s="20" t="str">
        <f>INDEX(nrg_cb_e!$A$3:$A$40,MATCH(LEFT(MID('Industriesektor GWh'!$B6405,41,1000),SEARCH(" - ",MID('Industriesektor GWh'!$B6405,41,1000))-1),nrg_cb_e!$C$3:$C$40,0))</f>
        <v>FC_IND_TL_E</v>
      </c>
      <c r="G6405" s="21">
        <v>2243</v>
      </c>
    </row>
    <row r="6406" spans="1:7" x14ac:dyDescent="0.2">
      <c r="A6406" s="16" t="s">
        <v>33</v>
      </c>
      <c r="B6406" s="17" t="s">
        <v>73</v>
      </c>
      <c r="C6406" s="17" t="s">
        <v>8</v>
      </c>
      <c r="D6406" s="17" t="s">
        <v>10</v>
      </c>
      <c r="E6406" s="17" t="s">
        <v>24</v>
      </c>
      <c r="F6406" s="17" t="str">
        <f>INDEX(nrg_cb_e!$A$3:$A$40,MATCH(LEFT(MID('Industriesektor GWh'!$B6406,41,1000),SEARCH(" - ",MID('Industriesektor GWh'!$B6406,41,1000))-1),nrg_cb_e!$C$3:$C$40,0))</f>
        <v>FC_IND_TL_E</v>
      </c>
      <c r="G6406" s="18">
        <v>2193</v>
      </c>
    </row>
    <row r="6407" spans="1:7" x14ac:dyDescent="0.2">
      <c r="A6407" s="19" t="s">
        <v>33</v>
      </c>
      <c r="B6407" s="20" t="s">
        <v>73</v>
      </c>
      <c r="C6407" s="20" t="s">
        <v>8</v>
      </c>
      <c r="D6407" s="20" t="s">
        <v>10</v>
      </c>
      <c r="E6407" s="20" t="s">
        <v>25</v>
      </c>
      <c r="F6407" s="20" t="str">
        <f>INDEX(nrg_cb_e!$A$3:$A$40,MATCH(LEFT(MID('Industriesektor GWh'!$B6407,41,1000),SEARCH(" - ",MID('Industriesektor GWh'!$B6407,41,1000))-1),nrg_cb_e!$C$3:$C$40,0))</f>
        <v>FC_IND_TL_E</v>
      </c>
      <c r="G6407" s="21">
        <v>2259</v>
      </c>
    </row>
    <row r="6408" spans="1:7" x14ac:dyDescent="0.2">
      <c r="A6408" s="16" t="s">
        <v>33</v>
      </c>
      <c r="B6408" s="17" t="s">
        <v>73</v>
      </c>
      <c r="C6408" s="17" t="s">
        <v>8</v>
      </c>
      <c r="D6408" s="17" t="s">
        <v>10</v>
      </c>
      <c r="E6408" s="17" t="s">
        <v>26</v>
      </c>
      <c r="F6408" s="17" t="str">
        <f>INDEX(nrg_cb_e!$A$3:$A$40,MATCH(LEFT(MID('Industriesektor GWh'!$B6408,41,1000),SEARCH(" - ",MID('Industriesektor GWh'!$B6408,41,1000))-1),nrg_cb_e!$C$3:$C$40,0))</f>
        <v>FC_IND_TL_E</v>
      </c>
      <c r="G6408" s="18">
        <v>2191</v>
      </c>
    </row>
    <row r="6409" spans="1:7" x14ac:dyDescent="0.2">
      <c r="A6409" s="19" t="s">
        <v>33</v>
      </c>
      <c r="B6409" s="20" t="s">
        <v>73</v>
      </c>
      <c r="C6409" s="20" t="s">
        <v>8</v>
      </c>
      <c r="D6409" s="20" t="s">
        <v>10</v>
      </c>
      <c r="E6409" s="20" t="s">
        <v>27</v>
      </c>
      <c r="F6409" s="20" t="str">
        <f>INDEX(nrg_cb_e!$A$3:$A$40,MATCH(LEFT(MID('Industriesektor GWh'!$B6409,41,1000),SEARCH(" - ",MID('Industriesektor GWh'!$B6409,41,1000))-1),nrg_cb_e!$C$3:$C$40,0))</f>
        <v>FC_IND_TL_E</v>
      </c>
      <c r="G6409" s="21">
        <v>2178</v>
      </c>
    </row>
    <row r="6410" spans="1:7" x14ac:dyDescent="0.2">
      <c r="A6410" s="16" t="s">
        <v>33</v>
      </c>
      <c r="B6410" s="17" t="s">
        <v>73</v>
      </c>
      <c r="C6410" s="17" t="s">
        <v>8</v>
      </c>
      <c r="D6410" s="17" t="s">
        <v>10</v>
      </c>
      <c r="E6410" s="17" t="s">
        <v>28</v>
      </c>
      <c r="F6410" s="17" t="str">
        <f>INDEX(nrg_cb_e!$A$3:$A$40,MATCH(LEFT(MID('Industriesektor GWh'!$B6410,41,1000),SEARCH(" - ",MID('Industriesektor GWh'!$B6410,41,1000))-1),nrg_cb_e!$C$3:$C$40,0))</f>
        <v>FC_IND_TL_E</v>
      </c>
      <c r="G6410" s="18">
        <v>2132</v>
      </c>
    </row>
    <row r="6411" spans="1:7" x14ac:dyDescent="0.2">
      <c r="A6411" s="19" t="s">
        <v>34</v>
      </c>
      <c r="B6411" s="20" t="s">
        <v>73</v>
      </c>
      <c r="C6411" s="20" t="s">
        <v>8</v>
      </c>
      <c r="D6411" s="20" t="s">
        <v>10</v>
      </c>
      <c r="E6411" s="20" t="s">
        <v>12</v>
      </c>
      <c r="F6411" s="20" t="str">
        <f>INDEX(nrg_cb_e!$A$3:$A$40,MATCH(LEFT(MID('Industriesektor GWh'!$B6411,41,1000),SEARCH(" - ",MID('Industriesektor GWh'!$B6411,41,1000))-1),nrg_cb_e!$C$3:$C$40,0))</f>
        <v>FC_IND_TL_E</v>
      </c>
      <c r="G6411" s="21">
        <v>242</v>
      </c>
    </row>
    <row r="6412" spans="1:7" x14ac:dyDescent="0.2">
      <c r="A6412" s="16" t="s">
        <v>34</v>
      </c>
      <c r="B6412" s="17" t="s">
        <v>73</v>
      </c>
      <c r="C6412" s="17" t="s">
        <v>8</v>
      </c>
      <c r="D6412" s="17" t="s">
        <v>10</v>
      </c>
      <c r="E6412" s="17" t="s">
        <v>13</v>
      </c>
      <c r="F6412" s="17" t="str">
        <f>INDEX(nrg_cb_e!$A$3:$A$40,MATCH(LEFT(MID('Industriesektor GWh'!$B6412,41,1000),SEARCH(" - ",MID('Industriesektor GWh'!$B6412,41,1000))-1),nrg_cb_e!$C$3:$C$40,0))</f>
        <v>FC_IND_TL_E</v>
      </c>
      <c r="G6412" s="18">
        <v>255</v>
      </c>
    </row>
    <row r="6413" spans="1:7" x14ac:dyDescent="0.2">
      <c r="A6413" s="19" t="s">
        <v>34</v>
      </c>
      <c r="B6413" s="20" t="s">
        <v>73</v>
      </c>
      <c r="C6413" s="20" t="s">
        <v>8</v>
      </c>
      <c r="D6413" s="20" t="s">
        <v>10</v>
      </c>
      <c r="E6413" s="20" t="s">
        <v>14</v>
      </c>
      <c r="F6413" s="20" t="str">
        <f>INDEX(nrg_cb_e!$A$3:$A$40,MATCH(LEFT(MID('Industriesektor GWh'!$B6413,41,1000),SEARCH(" - ",MID('Industriesektor GWh'!$B6413,41,1000))-1),nrg_cb_e!$C$3:$C$40,0))</f>
        <v>FC_IND_TL_E</v>
      </c>
      <c r="G6413" s="21">
        <v>261</v>
      </c>
    </row>
    <row r="6414" spans="1:7" x14ac:dyDescent="0.2">
      <c r="A6414" s="16" t="s">
        <v>34</v>
      </c>
      <c r="B6414" s="17" t="s">
        <v>73</v>
      </c>
      <c r="C6414" s="17" t="s">
        <v>8</v>
      </c>
      <c r="D6414" s="17" t="s">
        <v>10</v>
      </c>
      <c r="E6414" s="17" t="s">
        <v>15</v>
      </c>
      <c r="F6414" s="17" t="str">
        <f>INDEX(nrg_cb_e!$A$3:$A$40,MATCH(LEFT(MID('Industriesektor GWh'!$B6414,41,1000),SEARCH(" - ",MID('Industriesektor GWh'!$B6414,41,1000))-1),nrg_cb_e!$C$3:$C$40,0))</f>
        <v>FC_IND_TL_E</v>
      </c>
      <c r="G6414" s="18">
        <v>195</v>
      </c>
    </row>
    <row r="6415" spans="1:7" x14ac:dyDescent="0.2">
      <c r="A6415" s="19" t="s">
        <v>34</v>
      </c>
      <c r="B6415" s="20" t="s">
        <v>73</v>
      </c>
      <c r="C6415" s="20" t="s">
        <v>8</v>
      </c>
      <c r="D6415" s="20" t="s">
        <v>10</v>
      </c>
      <c r="E6415" s="20" t="s">
        <v>16</v>
      </c>
      <c r="F6415" s="20" t="str">
        <f>INDEX(nrg_cb_e!$A$3:$A$40,MATCH(LEFT(MID('Industriesektor GWh'!$B6415,41,1000),SEARCH(" - ",MID('Industriesektor GWh'!$B6415,41,1000))-1),nrg_cb_e!$C$3:$C$40,0))</f>
        <v>FC_IND_TL_E</v>
      </c>
      <c r="G6415" s="21">
        <v>195</v>
      </c>
    </row>
    <row r="6416" spans="1:7" x14ac:dyDescent="0.2">
      <c r="A6416" s="16" t="s">
        <v>34</v>
      </c>
      <c r="B6416" s="17" t="s">
        <v>73</v>
      </c>
      <c r="C6416" s="17" t="s">
        <v>8</v>
      </c>
      <c r="D6416" s="17" t="s">
        <v>10</v>
      </c>
      <c r="E6416" s="17" t="s">
        <v>17</v>
      </c>
      <c r="F6416" s="17" t="str">
        <f>INDEX(nrg_cb_e!$A$3:$A$40,MATCH(LEFT(MID('Industriesektor GWh'!$B6416,41,1000),SEARCH(" - ",MID('Industriesektor GWh'!$B6416,41,1000))-1),nrg_cb_e!$C$3:$C$40,0))</f>
        <v>FC_IND_TL_E</v>
      </c>
      <c r="G6416" s="18">
        <v>150</v>
      </c>
    </row>
    <row r="6417" spans="1:7" x14ac:dyDescent="0.2">
      <c r="A6417" s="19" t="s">
        <v>34</v>
      </c>
      <c r="B6417" s="20" t="s">
        <v>73</v>
      </c>
      <c r="C6417" s="20" t="s">
        <v>8</v>
      </c>
      <c r="D6417" s="20" t="s">
        <v>10</v>
      </c>
      <c r="E6417" s="20" t="s">
        <v>18</v>
      </c>
      <c r="F6417" s="20" t="str">
        <f>INDEX(nrg_cb_e!$A$3:$A$40,MATCH(LEFT(MID('Industriesektor GWh'!$B6417,41,1000),SEARCH(" - ",MID('Industriesektor GWh'!$B6417,41,1000))-1),nrg_cb_e!$C$3:$C$40,0))</f>
        <v>FC_IND_TL_E</v>
      </c>
      <c r="G6417" s="21">
        <v>133</v>
      </c>
    </row>
    <row r="6418" spans="1:7" x14ac:dyDescent="0.2">
      <c r="A6418" s="16" t="s">
        <v>34</v>
      </c>
      <c r="B6418" s="17" t="s">
        <v>73</v>
      </c>
      <c r="C6418" s="17" t="s">
        <v>8</v>
      </c>
      <c r="D6418" s="17" t="s">
        <v>10</v>
      </c>
      <c r="E6418" s="17" t="s">
        <v>19</v>
      </c>
      <c r="F6418" s="17" t="str">
        <f>INDEX(nrg_cb_e!$A$3:$A$40,MATCH(LEFT(MID('Industriesektor GWh'!$B6418,41,1000),SEARCH(" - ",MID('Industriesektor GWh'!$B6418,41,1000))-1),nrg_cb_e!$C$3:$C$40,0))</f>
        <v>FC_IND_TL_E</v>
      </c>
      <c r="G6418" s="18">
        <v>116</v>
      </c>
    </row>
    <row r="6419" spans="1:7" x14ac:dyDescent="0.2">
      <c r="A6419" s="19" t="s">
        <v>34</v>
      </c>
      <c r="B6419" s="20" t="s">
        <v>73</v>
      </c>
      <c r="C6419" s="20" t="s">
        <v>8</v>
      </c>
      <c r="D6419" s="20" t="s">
        <v>10</v>
      </c>
      <c r="E6419" s="20" t="s">
        <v>20</v>
      </c>
      <c r="F6419" s="20" t="str">
        <f>INDEX(nrg_cb_e!$A$3:$A$40,MATCH(LEFT(MID('Industriesektor GWh'!$B6419,41,1000),SEARCH(" - ",MID('Industriesektor GWh'!$B6419,41,1000))-1),nrg_cb_e!$C$3:$C$40,0))</f>
        <v>FC_IND_TL_E</v>
      </c>
      <c r="G6419" s="21">
        <v>123</v>
      </c>
    </row>
    <row r="6420" spans="1:7" x14ac:dyDescent="0.2">
      <c r="A6420" s="16" t="s">
        <v>34</v>
      </c>
      <c r="B6420" s="17" t="s">
        <v>73</v>
      </c>
      <c r="C6420" s="17" t="s">
        <v>8</v>
      </c>
      <c r="D6420" s="17" t="s">
        <v>10</v>
      </c>
      <c r="E6420" s="17" t="s">
        <v>21</v>
      </c>
      <c r="F6420" s="17" t="str">
        <f>INDEX(nrg_cb_e!$A$3:$A$40,MATCH(LEFT(MID('Industriesektor GWh'!$B6420,41,1000),SEARCH(" - ",MID('Industriesektor GWh'!$B6420,41,1000))-1),nrg_cb_e!$C$3:$C$40,0))</f>
        <v>FC_IND_TL_E</v>
      </c>
      <c r="G6420" s="18">
        <v>124</v>
      </c>
    </row>
    <row r="6421" spans="1:7" x14ac:dyDescent="0.2">
      <c r="A6421" s="19" t="s">
        <v>34</v>
      </c>
      <c r="B6421" s="20" t="s">
        <v>73</v>
      </c>
      <c r="C6421" s="20" t="s">
        <v>8</v>
      </c>
      <c r="D6421" s="20" t="s">
        <v>10</v>
      </c>
      <c r="E6421" s="20" t="s">
        <v>22</v>
      </c>
      <c r="F6421" s="20" t="str">
        <f>INDEX(nrg_cb_e!$A$3:$A$40,MATCH(LEFT(MID('Industriesektor GWh'!$B6421,41,1000),SEARCH(" - ",MID('Industriesektor GWh'!$B6421,41,1000))-1),nrg_cb_e!$C$3:$C$40,0))</f>
        <v>FC_IND_TL_E</v>
      </c>
      <c r="G6421" s="21">
        <v>118</v>
      </c>
    </row>
    <row r="6422" spans="1:7" x14ac:dyDescent="0.2">
      <c r="A6422" s="16" t="s">
        <v>34</v>
      </c>
      <c r="B6422" s="17" t="s">
        <v>73</v>
      </c>
      <c r="C6422" s="17" t="s">
        <v>8</v>
      </c>
      <c r="D6422" s="17" t="s">
        <v>10</v>
      </c>
      <c r="E6422" s="17" t="s">
        <v>23</v>
      </c>
      <c r="F6422" s="17" t="str">
        <f>INDEX(nrg_cb_e!$A$3:$A$40,MATCH(LEFT(MID('Industriesektor GWh'!$B6422,41,1000),SEARCH(" - ",MID('Industriesektor GWh'!$B6422,41,1000))-1),nrg_cb_e!$C$3:$C$40,0))</f>
        <v>FC_IND_TL_E</v>
      </c>
      <c r="G6422" s="18">
        <v>111</v>
      </c>
    </row>
    <row r="6423" spans="1:7" x14ac:dyDescent="0.2">
      <c r="A6423" s="19" t="s">
        <v>34</v>
      </c>
      <c r="B6423" s="20" t="s">
        <v>73</v>
      </c>
      <c r="C6423" s="20" t="s">
        <v>8</v>
      </c>
      <c r="D6423" s="20" t="s">
        <v>10</v>
      </c>
      <c r="E6423" s="20" t="s">
        <v>24</v>
      </c>
      <c r="F6423" s="20" t="str">
        <f>INDEX(nrg_cb_e!$A$3:$A$40,MATCH(LEFT(MID('Industriesektor GWh'!$B6423,41,1000),SEARCH(" - ",MID('Industriesektor GWh'!$B6423,41,1000))-1),nrg_cb_e!$C$3:$C$40,0))</f>
        <v>FC_IND_TL_E</v>
      </c>
      <c r="G6423" s="21">
        <v>115</v>
      </c>
    </row>
    <row r="6424" spans="1:7" x14ac:dyDescent="0.2">
      <c r="A6424" s="16" t="s">
        <v>34</v>
      </c>
      <c r="B6424" s="17" t="s">
        <v>73</v>
      </c>
      <c r="C6424" s="17" t="s">
        <v>8</v>
      </c>
      <c r="D6424" s="17" t="s">
        <v>10</v>
      </c>
      <c r="E6424" s="17" t="s">
        <v>25</v>
      </c>
      <c r="F6424" s="17" t="str">
        <f>INDEX(nrg_cb_e!$A$3:$A$40,MATCH(LEFT(MID('Industriesektor GWh'!$B6424,41,1000),SEARCH(" - ",MID('Industriesektor GWh'!$B6424,41,1000))-1),nrg_cb_e!$C$3:$C$40,0))</f>
        <v>FC_IND_TL_E</v>
      </c>
      <c r="G6424" s="18">
        <v>98</v>
      </c>
    </row>
    <row r="6425" spans="1:7" x14ac:dyDescent="0.2">
      <c r="A6425" s="19" t="s">
        <v>34</v>
      </c>
      <c r="B6425" s="20" t="s">
        <v>73</v>
      </c>
      <c r="C6425" s="20" t="s">
        <v>8</v>
      </c>
      <c r="D6425" s="20" t="s">
        <v>10</v>
      </c>
      <c r="E6425" s="20" t="s">
        <v>26</v>
      </c>
      <c r="F6425" s="20" t="str">
        <f>INDEX(nrg_cb_e!$A$3:$A$40,MATCH(LEFT(MID('Industriesektor GWh'!$B6425,41,1000),SEARCH(" - ",MID('Industriesektor GWh'!$B6425,41,1000))-1),nrg_cb_e!$C$3:$C$40,0))</f>
        <v>FC_IND_TL_E</v>
      </c>
      <c r="G6425" s="21">
        <v>74</v>
      </c>
    </row>
    <row r="6426" spans="1:7" x14ac:dyDescent="0.2">
      <c r="A6426" s="16" t="s">
        <v>34</v>
      </c>
      <c r="B6426" s="17" t="s">
        <v>73</v>
      </c>
      <c r="C6426" s="17" t="s">
        <v>8</v>
      </c>
      <c r="D6426" s="17" t="s">
        <v>10</v>
      </c>
      <c r="E6426" s="17" t="s">
        <v>27</v>
      </c>
      <c r="F6426" s="17" t="str">
        <f>INDEX(nrg_cb_e!$A$3:$A$40,MATCH(LEFT(MID('Industriesektor GWh'!$B6426,41,1000),SEARCH(" - ",MID('Industriesektor GWh'!$B6426,41,1000))-1),nrg_cb_e!$C$3:$C$40,0))</f>
        <v>FC_IND_TL_E</v>
      </c>
      <c r="G6426" s="18">
        <v>58</v>
      </c>
    </row>
    <row r="6427" spans="1:7" x14ac:dyDescent="0.2">
      <c r="A6427" s="19" t="s">
        <v>34</v>
      </c>
      <c r="B6427" s="20" t="s">
        <v>73</v>
      </c>
      <c r="C6427" s="20" t="s">
        <v>8</v>
      </c>
      <c r="D6427" s="20" t="s">
        <v>10</v>
      </c>
      <c r="E6427" s="20" t="s">
        <v>28</v>
      </c>
      <c r="F6427" s="20" t="str">
        <f>INDEX(nrg_cb_e!$A$3:$A$40,MATCH(LEFT(MID('Industriesektor GWh'!$B6427,41,1000),SEARCH(" - ",MID('Industriesektor GWh'!$B6427,41,1000))-1),nrg_cb_e!$C$3:$C$40,0))</f>
        <v>FC_IND_TL_E</v>
      </c>
      <c r="G6427" s="21">
        <v>61</v>
      </c>
    </row>
    <row r="6428" spans="1:7" x14ac:dyDescent="0.2">
      <c r="A6428" s="16" t="s">
        <v>35</v>
      </c>
      <c r="B6428" s="17" t="s">
        <v>73</v>
      </c>
      <c r="C6428" s="17" t="s">
        <v>8</v>
      </c>
      <c r="D6428" s="17" t="s">
        <v>10</v>
      </c>
      <c r="E6428" s="17" t="s">
        <v>12</v>
      </c>
      <c r="F6428" s="17" t="str">
        <f>INDEX(nrg_cb_e!$A$3:$A$40,MATCH(LEFT(MID('Industriesektor GWh'!$B6428,41,1000),SEARCH(" - ",MID('Industriesektor GWh'!$B6428,41,1000))-1),nrg_cb_e!$C$3:$C$40,0))</f>
        <v>FC_IND_TL_E</v>
      </c>
      <c r="G6428" s="18">
        <v>183.392</v>
      </c>
    </row>
    <row r="6429" spans="1:7" x14ac:dyDescent="0.2">
      <c r="A6429" s="19" t="s">
        <v>35</v>
      </c>
      <c r="B6429" s="20" t="s">
        <v>73</v>
      </c>
      <c r="C6429" s="20" t="s">
        <v>8</v>
      </c>
      <c r="D6429" s="20" t="s">
        <v>10</v>
      </c>
      <c r="E6429" s="20" t="s">
        <v>13</v>
      </c>
      <c r="F6429" s="20" t="str">
        <f>INDEX(nrg_cb_e!$A$3:$A$40,MATCH(LEFT(MID('Industriesektor GWh'!$B6429,41,1000),SEARCH(" - ",MID('Industriesektor GWh'!$B6429,41,1000))-1),nrg_cb_e!$C$3:$C$40,0))</f>
        <v>FC_IND_TL_E</v>
      </c>
      <c r="G6429" s="21">
        <v>170.76400000000001</v>
      </c>
    </row>
    <row r="6430" spans="1:7" x14ac:dyDescent="0.2">
      <c r="A6430" s="16" t="s">
        <v>35</v>
      </c>
      <c r="B6430" s="17" t="s">
        <v>73</v>
      </c>
      <c r="C6430" s="17" t="s">
        <v>8</v>
      </c>
      <c r="D6430" s="17" t="s">
        <v>10</v>
      </c>
      <c r="E6430" s="17" t="s">
        <v>14</v>
      </c>
      <c r="F6430" s="17" t="str">
        <f>INDEX(nrg_cb_e!$A$3:$A$40,MATCH(LEFT(MID('Industriesektor GWh'!$B6430,41,1000),SEARCH(" - ",MID('Industriesektor GWh'!$B6430,41,1000))-1),nrg_cb_e!$C$3:$C$40,0))</f>
        <v>FC_IND_TL_E</v>
      </c>
      <c r="G6430" s="18">
        <v>161.61000000000001</v>
      </c>
    </row>
    <row r="6431" spans="1:7" x14ac:dyDescent="0.2">
      <c r="A6431" s="19" t="s">
        <v>35</v>
      </c>
      <c r="B6431" s="20" t="s">
        <v>73</v>
      </c>
      <c r="C6431" s="20" t="s">
        <v>8</v>
      </c>
      <c r="D6431" s="20" t="s">
        <v>10</v>
      </c>
      <c r="E6431" s="20" t="s">
        <v>15</v>
      </c>
      <c r="F6431" s="20" t="str">
        <f>INDEX(nrg_cb_e!$A$3:$A$40,MATCH(LEFT(MID('Industriesektor GWh'!$B6431,41,1000),SEARCH(" - ",MID('Industriesektor GWh'!$B6431,41,1000))-1),nrg_cb_e!$C$3:$C$40,0))</f>
        <v>FC_IND_TL_E</v>
      </c>
      <c r="G6431" s="21">
        <v>180.10599999999999</v>
      </c>
    </row>
    <row r="6432" spans="1:7" x14ac:dyDescent="0.2">
      <c r="A6432" s="16" t="s">
        <v>35</v>
      </c>
      <c r="B6432" s="17" t="s">
        <v>73</v>
      </c>
      <c r="C6432" s="17" t="s">
        <v>8</v>
      </c>
      <c r="D6432" s="17" t="s">
        <v>10</v>
      </c>
      <c r="E6432" s="17" t="s">
        <v>16</v>
      </c>
      <c r="F6432" s="17" t="str">
        <f>INDEX(nrg_cb_e!$A$3:$A$40,MATCH(LEFT(MID('Industriesektor GWh'!$B6432,41,1000),SEARCH(" - ",MID('Industriesektor GWh'!$B6432,41,1000))-1),nrg_cb_e!$C$3:$C$40,0))</f>
        <v>FC_IND_TL_E</v>
      </c>
      <c r="G6432" s="18">
        <v>95.626000000000005</v>
      </c>
    </row>
    <row r="6433" spans="1:7" x14ac:dyDescent="0.2">
      <c r="A6433" s="19" t="s">
        <v>35</v>
      </c>
      <c r="B6433" s="20" t="s">
        <v>73</v>
      </c>
      <c r="C6433" s="20" t="s">
        <v>8</v>
      </c>
      <c r="D6433" s="20" t="s">
        <v>10</v>
      </c>
      <c r="E6433" s="20" t="s">
        <v>17</v>
      </c>
      <c r="F6433" s="20" t="str">
        <f>INDEX(nrg_cb_e!$A$3:$A$40,MATCH(LEFT(MID('Industriesektor GWh'!$B6433,41,1000),SEARCH(" - ",MID('Industriesektor GWh'!$B6433,41,1000))-1),nrg_cb_e!$C$3:$C$40,0))</f>
        <v>FC_IND_TL_E</v>
      </c>
      <c r="G6433" s="21">
        <v>85.045000000000002</v>
      </c>
    </row>
    <row r="6434" spans="1:7" x14ac:dyDescent="0.2">
      <c r="A6434" s="16" t="s">
        <v>35</v>
      </c>
      <c r="B6434" s="17" t="s">
        <v>73</v>
      </c>
      <c r="C6434" s="17" t="s">
        <v>8</v>
      </c>
      <c r="D6434" s="17" t="s">
        <v>10</v>
      </c>
      <c r="E6434" s="17" t="s">
        <v>18</v>
      </c>
      <c r="F6434" s="17" t="str">
        <f>INDEX(nrg_cb_e!$A$3:$A$40,MATCH(LEFT(MID('Industriesektor GWh'!$B6434,41,1000),SEARCH(" - ",MID('Industriesektor GWh'!$B6434,41,1000))-1),nrg_cb_e!$C$3:$C$40,0))</f>
        <v>FC_IND_TL_E</v>
      </c>
      <c r="G6434" s="18">
        <v>73.105999999999995</v>
      </c>
    </row>
    <row r="6435" spans="1:7" x14ac:dyDescent="0.2">
      <c r="A6435" s="19" t="s">
        <v>35</v>
      </c>
      <c r="B6435" s="20" t="s">
        <v>73</v>
      </c>
      <c r="C6435" s="20" t="s">
        <v>8</v>
      </c>
      <c r="D6435" s="20" t="s">
        <v>10</v>
      </c>
      <c r="E6435" s="20" t="s">
        <v>19</v>
      </c>
      <c r="F6435" s="20" t="str">
        <f>INDEX(nrg_cb_e!$A$3:$A$40,MATCH(LEFT(MID('Industriesektor GWh'!$B6435,41,1000),SEARCH(" - ",MID('Industriesektor GWh'!$B6435,41,1000))-1),nrg_cb_e!$C$3:$C$40,0))</f>
        <v>FC_IND_TL_E</v>
      </c>
      <c r="G6435" s="21">
        <v>79.968999999999994</v>
      </c>
    </row>
    <row r="6436" spans="1:7" x14ac:dyDescent="0.2">
      <c r="A6436" s="16" t="s">
        <v>35</v>
      </c>
      <c r="B6436" s="17" t="s">
        <v>73</v>
      </c>
      <c r="C6436" s="17" t="s">
        <v>8</v>
      </c>
      <c r="D6436" s="17" t="s">
        <v>10</v>
      </c>
      <c r="E6436" s="17" t="s">
        <v>20</v>
      </c>
      <c r="F6436" s="17" t="str">
        <f>INDEX(nrg_cb_e!$A$3:$A$40,MATCH(LEFT(MID('Industriesektor GWh'!$B6436,41,1000),SEARCH(" - ",MID('Industriesektor GWh'!$B6436,41,1000))-1),nrg_cb_e!$C$3:$C$40,0))</f>
        <v>FC_IND_TL_E</v>
      </c>
      <c r="G6436" s="18">
        <v>116.122</v>
      </c>
    </row>
    <row r="6437" spans="1:7" x14ac:dyDescent="0.2">
      <c r="A6437" s="19" t="s">
        <v>35</v>
      </c>
      <c r="B6437" s="20" t="s">
        <v>73</v>
      </c>
      <c r="C6437" s="20" t="s">
        <v>8</v>
      </c>
      <c r="D6437" s="20" t="s">
        <v>10</v>
      </c>
      <c r="E6437" s="20" t="s">
        <v>21</v>
      </c>
      <c r="F6437" s="20" t="str">
        <f>INDEX(nrg_cb_e!$A$3:$A$40,MATCH(LEFT(MID('Industriesektor GWh'!$B6437,41,1000),SEARCH(" - ",MID('Industriesektor GWh'!$B6437,41,1000))-1),nrg_cb_e!$C$3:$C$40,0))</f>
        <v>FC_IND_TL_E</v>
      </c>
      <c r="G6437" s="21">
        <v>121.22799999999999</v>
      </c>
    </row>
    <row r="6438" spans="1:7" x14ac:dyDescent="0.2">
      <c r="A6438" s="16" t="s">
        <v>35</v>
      </c>
      <c r="B6438" s="17" t="s">
        <v>73</v>
      </c>
      <c r="C6438" s="17" t="s">
        <v>8</v>
      </c>
      <c r="D6438" s="17" t="s">
        <v>10</v>
      </c>
      <c r="E6438" s="17" t="s">
        <v>22</v>
      </c>
      <c r="F6438" s="17" t="str">
        <f>INDEX(nrg_cb_e!$A$3:$A$40,MATCH(LEFT(MID('Industriesektor GWh'!$B6438,41,1000),SEARCH(" - ",MID('Industriesektor GWh'!$B6438,41,1000))-1),nrg_cb_e!$C$3:$C$40,0))</f>
        <v>FC_IND_TL_E</v>
      </c>
      <c r="G6438" s="18">
        <v>116.679</v>
      </c>
    </row>
    <row r="6439" spans="1:7" x14ac:dyDescent="0.2">
      <c r="A6439" s="19" t="s">
        <v>35</v>
      </c>
      <c r="B6439" s="20" t="s">
        <v>73</v>
      </c>
      <c r="C6439" s="20" t="s">
        <v>8</v>
      </c>
      <c r="D6439" s="20" t="s">
        <v>10</v>
      </c>
      <c r="E6439" s="20" t="s">
        <v>23</v>
      </c>
      <c r="F6439" s="20" t="str">
        <f>INDEX(nrg_cb_e!$A$3:$A$40,MATCH(LEFT(MID('Industriesektor GWh'!$B6439,41,1000),SEARCH(" - ",MID('Industriesektor GWh'!$B6439,41,1000))-1),nrg_cb_e!$C$3:$C$40,0))</f>
        <v>FC_IND_TL_E</v>
      </c>
      <c r="G6439" s="21">
        <v>118.488</v>
      </c>
    </row>
    <row r="6440" spans="1:7" x14ac:dyDescent="0.2">
      <c r="A6440" s="16" t="s">
        <v>35</v>
      </c>
      <c r="B6440" s="17" t="s">
        <v>73</v>
      </c>
      <c r="C6440" s="17" t="s">
        <v>8</v>
      </c>
      <c r="D6440" s="17" t="s">
        <v>10</v>
      </c>
      <c r="E6440" s="17" t="s">
        <v>24</v>
      </c>
      <c r="F6440" s="17" t="str">
        <f>INDEX(nrg_cb_e!$A$3:$A$40,MATCH(LEFT(MID('Industriesektor GWh'!$B6440,41,1000),SEARCH(" - ",MID('Industriesektor GWh'!$B6440,41,1000))-1),nrg_cb_e!$C$3:$C$40,0))</f>
        <v>FC_IND_TL_E</v>
      </c>
      <c r="G6440" s="18">
        <v>119.90300000000001</v>
      </c>
    </row>
    <row r="6441" spans="1:7" x14ac:dyDescent="0.2">
      <c r="A6441" s="19" t="s">
        <v>35</v>
      </c>
      <c r="B6441" s="20" t="s">
        <v>73</v>
      </c>
      <c r="C6441" s="20" t="s">
        <v>8</v>
      </c>
      <c r="D6441" s="20" t="s">
        <v>10</v>
      </c>
      <c r="E6441" s="20" t="s">
        <v>25</v>
      </c>
      <c r="F6441" s="20" t="str">
        <f>INDEX(nrg_cb_e!$A$3:$A$40,MATCH(LEFT(MID('Industriesektor GWh'!$B6441,41,1000),SEARCH(" - ",MID('Industriesektor GWh'!$B6441,41,1000))-1),nrg_cb_e!$C$3:$C$40,0))</f>
        <v>FC_IND_TL_E</v>
      </c>
      <c r="G6441" s="21">
        <v>125.592</v>
      </c>
    </row>
    <row r="6442" spans="1:7" x14ac:dyDescent="0.2">
      <c r="A6442" s="16" t="s">
        <v>35</v>
      </c>
      <c r="B6442" s="17" t="s">
        <v>73</v>
      </c>
      <c r="C6442" s="17" t="s">
        <v>8</v>
      </c>
      <c r="D6442" s="17" t="s">
        <v>10</v>
      </c>
      <c r="E6442" s="17" t="s">
        <v>26</v>
      </c>
      <c r="F6442" s="17" t="str">
        <f>INDEX(nrg_cb_e!$A$3:$A$40,MATCH(LEFT(MID('Industriesektor GWh'!$B6442,41,1000),SEARCH(" - ",MID('Industriesektor GWh'!$B6442,41,1000))-1),nrg_cb_e!$C$3:$C$40,0))</f>
        <v>FC_IND_TL_E</v>
      </c>
      <c r="G6442" s="18">
        <v>129.679</v>
      </c>
    </row>
    <row r="6443" spans="1:7" x14ac:dyDescent="0.2">
      <c r="A6443" s="19" t="s">
        <v>35</v>
      </c>
      <c r="B6443" s="20" t="s">
        <v>73</v>
      </c>
      <c r="C6443" s="20" t="s">
        <v>8</v>
      </c>
      <c r="D6443" s="20" t="s">
        <v>10</v>
      </c>
      <c r="E6443" s="20" t="s">
        <v>27</v>
      </c>
      <c r="F6443" s="20" t="str">
        <f>INDEX(nrg_cb_e!$A$3:$A$40,MATCH(LEFT(MID('Industriesektor GWh'!$B6443,41,1000),SEARCH(" - ",MID('Industriesektor GWh'!$B6443,41,1000))-1),nrg_cb_e!$C$3:$C$40,0))</f>
        <v>FC_IND_TL_E</v>
      </c>
      <c r="G6443" s="21">
        <v>131.12100000000001</v>
      </c>
    </row>
    <row r="6444" spans="1:7" x14ac:dyDescent="0.2">
      <c r="A6444" s="16" t="s">
        <v>35</v>
      </c>
      <c r="B6444" s="17" t="s">
        <v>73</v>
      </c>
      <c r="C6444" s="17" t="s">
        <v>8</v>
      </c>
      <c r="D6444" s="17" t="s">
        <v>10</v>
      </c>
      <c r="E6444" s="17" t="s">
        <v>28</v>
      </c>
      <c r="F6444" s="17" t="str">
        <f>INDEX(nrg_cb_e!$A$3:$A$40,MATCH(LEFT(MID('Industriesektor GWh'!$B6444,41,1000),SEARCH(" - ",MID('Industriesektor GWh'!$B6444,41,1000))-1),nrg_cb_e!$C$3:$C$40,0))</f>
        <v>FC_IND_TL_E</v>
      </c>
      <c r="G6444" s="18">
        <v>139.542</v>
      </c>
    </row>
    <row r="6445" spans="1:7" x14ac:dyDescent="0.2">
      <c r="A6445" s="19" t="s">
        <v>36</v>
      </c>
      <c r="B6445" s="20" t="s">
        <v>73</v>
      </c>
      <c r="C6445" s="20" t="s">
        <v>8</v>
      </c>
      <c r="D6445" s="20" t="s">
        <v>10</v>
      </c>
      <c r="E6445" s="20" t="s">
        <v>12</v>
      </c>
      <c r="F6445" s="20" t="str">
        <f>INDEX(nrg_cb_e!$A$3:$A$40,MATCH(LEFT(MID('Industriesektor GWh'!$B6445,41,1000),SEARCH(" - ",MID('Industriesektor GWh'!$B6445,41,1000))-1),nrg_cb_e!$C$3:$C$40,0))</f>
        <v>FC_IND_TL_E</v>
      </c>
      <c r="G6445" s="21">
        <v>965</v>
      </c>
    </row>
    <row r="6446" spans="1:7" x14ac:dyDescent="0.2">
      <c r="A6446" s="16" t="s">
        <v>36</v>
      </c>
      <c r="B6446" s="17" t="s">
        <v>73</v>
      </c>
      <c r="C6446" s="17" t="s">
        <v>8</v>
      </c>
      <c r="D6446" s="17" t="s">
        <v>10</v>
      </c>
      <c r="E6446" s="17" t="s">
        <v>13</v>
      </c>
      <c r="F6446" s="17" t="str">
        <f>INDEX(nrg_cb_e!$A$3:$A$40,MATCH(LEFT(MID('Industriesektor GWh'!$B6446,41,1000),SEARCH(" - ",MID('Industriesektor GWh'!$B6446,41,1000))-1),nrg_cb_e!$C$3:$C$40,0))</f>
        <v>FC_IND_TL_E</v>
      </c>
      <c r="G6446" s="18">
        <v>1013</v>
      </c>
    </row>
    <row r="6447" spans="1:7" x14ac:dyDescent="0.2">
      <c r="A6447" s="19" t="s">
        <v>36</v>
      </c>
      <c r="B6447" s="20" t="s">
        <v>73</v>
      </c>
      <c r="C6447" s="20" t="s">
        <v>8</v>
      </c>
      <c r="D6447" s="20" t="s">
        <v>10</v>
      </c>
      <c r="E6447" s="20" t="s">
        <v>14</v>
      </c>
      <c r="F6447" s="20" t="str">
        <f>INDEX(nrg_cb_e!$A$3:$A$40,MATCH(LEFT(MID('Industriesektor GWh'!$B6447,41,1000),SEARCH(" - ",MID('Industriesektor GWh'!$B6447,41,1000))-1),nrg_cb_e!$C$3:$C$40,0))</f>
        <v>FC_IND_TL_E</v>
      </c>
      <c r="G6447" s="21">
        <v>941</v>
      </c>
    </row>
    <row r="6448" spans="1:7" x14ac:dyDescent="0.2">
      <c r="A6448" s="16" t="s">
        <v>36</v>
      </c>
      <c r="B6448" s="17" t="s">
        <v>73</v>
      </c>
      <c r="C6448" s="17" t="s">
        <v>8</v>
      </c>
      <c r="D6448" s="17" t="s">
        <v>10</v>
      </c>
      <c r="E6448" s="17" t="s">
        <v>15</v>
      </c>
      <c r="F6448" s="17" t="str">
        <f>INDEX(nrg_cb_e!$A$3:$A$40,MATCH(LEFT(MID('Industriesektor GWh'!$B6448,41,1000),SEARCH(" - ",MID('Industriesektor GWh'!$B6448,41,1000))-1),nrg_cb_e!$C$3:$C$40,0))</f>
        <v>FC_IND_TL_E</v>
      </c>
      <c r="G6448" s="18">
        <v>759</v>
      </c>
    </row>
    <row r="6449" spans="1:7" x14ac:dyDescent="0.2">
      <c r="A6449" s="19" t="s">
        <v>36</v>
      </c>
      <c r="B6449" s="20" t="s">
        <v>73</v>
      </c>
      <c r="C6449" s="20" t="s">
        <v>8</v>
      </c>
      <c r="D6449" s="20" t="s">
        <v>10</v>
      </c>
      <c r="E6449" s="20" t="s">
        <v>16</v>
      </c>
      <c r="F6449" s="20" t="str">
        <f>INDEX(nrg_cb_e!$A$3:$A$40,MATCH(LEFT(MID('Industriesektor GWh'!$B6449,41,1000),SEARCH(" - ",MID('Industriesektor GWh'!$B6449,41,1000))-1),nrg_cb_e!$C$3:$C$40,0))</f>
        <v>FC_IND_TL_E</v>
      </c>
      <c r="G6449" s="21">
        <v>739</v>
      </c>
    </row>
    <row r="6450" spans="1:7" x14ac:dyDescent="0.2">
      <c r="A6450" s="16" t="s">
        <v>36</v>
      </c>
      <c r="B6450" s="17" t="s">
        <v>73</v>
      </c>
      <c r="C6450" s="17" t="s">
        <v>8</v>
      </c>
      <c r="D6450" s="17" t="s">
        <v>10</v>
      </c>
      <c r="E6450" s="17" t="s">
        <v>17</v>
      </c>
      <c r="F6450" s="17" t="str">
        <f>INDEX(nrg_cb_e!$A$3:$A$40,MATCH(LEFT(MID('Industriesektor GWh'!$B6450,41,1000),SEARCH(" - ",MID('Industriesektor GWh'!$B6450,41,1000))-1),nrg_cb_e!$C$3:$C$40,0))</f>
        <v>FC_IND_TL_E</v>
      </c>
      <c r="G6450" s="18">
        <v>826</v>
      </c>
    </row>
    <row r="6451" spans="1:7" x14ac:dyDescent="0.2">
      <c r="A6451" s="19" t="s">
        <v>36</v>
      </c>
      <c r="B6451" s="20" t="s">
        <v>73</v>
      </c>
      <c r="C6451" s="20" t="s">
        <v>8</v>
      </c>
      <c r="D6451" s="20" t="s">
        <v>10</v>
      </c>
      <c r="E6451" s="20" t="s">
        <v>18</v>
      </c>
      <c r="F6451" s="20" t="str">
        <f>INDEX(nrg_cb_e!$A$3:$A$40,MATCH(LEFT(MID('Industriesektor GWh'!$B6451,41,1000),SEARCH(" - ",MID('Industriesektor GWh'!$B6451,41,1000))-1),nrg_cb_e!$C$3:$C$40,0))</f>
        <v>FC_IND_TL_E</v>
      </c>
      <c r="G6451" s="21">
        <v>842</v>
      </c>
    </row>
    <row r="6452" spans="1:7" x14ac:dyDescent="0.2">
      <c r="A6452" s="16" t="s">
        <v>36</v>
      </c>
      <c r="B6452" s="17" t="s">
        <v>73</v>
      </c>
      <c r="C6452" s="17" t="s">
        <v>8</v>
      </c>
      <c r="D6452" s="17" t="s">
        <v>10</v>
      </c>
      <c r="E6452" s="17" t="s">
        <v>19</v>
      </c>
      <c r="F6452" s="17" t="str">
        <f>INDEX(nrg_cb_e!$A$3:$A$40,MATCH(LEFT(MID('Industriesektor GWh'!$B6452,41,1000),SEARCH(" - ",MID('Industriesektor GWh'!$B6452,41,1000))-1),nrg_cb_e!$C$3:$C$40,0))</f>
        <v>FC_IND_TL_E</v>
      </c>
      <c r="G6452" s="18">
        <v>612</v>
      </c>
    </row>
    <row r="6453" spans="1:7" x14ac:dyDescent="0.2">
      <c r="A6453" s="19" t="s">
        <v>36</v>
      </c>
      <c r="B6453" s="20" t="s">
        <v>73</v>
      </c>
      <c r="C6453" s="20" t="s">
        <v>8</v>
      </c>
      <c r="D6453" s="20" t="s">
        <v>10</v>
      </c>
      <c r="E6453" s="20" t="s">
        <v>20</v>
      </c>
      <c r="F6453" s="20" t="str">
        <f>INDEX(nrg_cb_e!$A$3:$A$40,MATCH(LEFT(MID('Industriesektor GWh'!$B6453,41,1000),SEARCH(" - ",MID('Industriesektor GWh'!$B6453,41,1000))-1),nrg_cb_e!$C$3:$C$40,0))</f>
        <v>FC_IND_TL_E</v>
      </c>
      <c r="G6453" s="21">
        <v>613</v>
      </c>
    </row>
    <row r="6454" spans="1:7" x14ac:dyDescent="0.2">
      <c r="A6454" s="16" t="s">
        <v>36</v>
      </c>
      <c r="B6454" s="17" t="s">
        <v>73</v>
      </c>
      <c r="C6454" s="17" t="s">
        <v>8</v>
      </c>
      <c r="D6454" s="17" t="s">
        <v>10</v>
      </c>
      <c r="E6454" s="17" t="s">
        <v>21</v>
      </c>
      <c r="F6454" s="17" t="str">
        <f>INDEX(nrg_cb_e!$A$3:$A$40,MATCH(LEFT(MID('Industriesektor GWh'!$B6454,41,1000),SEARCH(" - ",MID('Industriesektor GWh'!$B6454,41,1000))-1),nrg_cb_e!$C$3:$C$40,0))</f>
        <v>FC_IND_TL_E</v>
      </c>
      <c r="G6454" s="18">
        <v>545</v>
      </c>
    </row>
    <row r="6455" spans="1:7" x14ac:dyDescent="0.2">
      <c r="A6455" s="19" t="s">
        <v>36</v>
      </c>
      <c r="B6455" s="20" t="s">
        <v>73</v>
      </c>
      <c r="C6455" s="20" t="s">
        <v>8</v>
      </c>
      <c r="D6455" s="20" t="s">
        <v>10</v>
      </c>
      <c r="E6455" s="20" t="s">
        <v>22</v>
      </c>
      <c r="F6455" s="20" t="str">
        <f>INDEX(nrg_cb_e!$A$3:$A$40,MATCH(LEFT(MID('Industriesektor GWh'!$B6455,41,1000),SEARCH(" - ",MID('Industriesektor GWh'!$B6455,41,1000))-1),nrg_cb_e!$C$3:$C$40,0))</f>
        <v>FC_IND_TL_E</v>
      </c>
      <c r="G6455" s="21">
        <v>320</v>
      </c>
    </row>
    <row r="6456" spans="1:7" x14ac:dyDescent="0.2">
      <c r="A6456" s="16" t="s">
        <v>36</v>
      </c>
      <c r="B6456" s="17" t="s">
        <v>73</v>
      </c>
      <c r="C6456" s="17" t="s">
        <v>8</v>
      </c>
      <c r="D6456" s="17" t="s">
        <v>10</v>
      </c>
      <c r="E6456" s="17" t="s">
        <v>23</v>
      </c>
      <c r="F6456" s="17" t="str">
        <f>INDEX(nrg_cb_e!$A$3:$A$40,MATCH(LEFT(MID('Industriesektor GWh'!$B6456,41,1000),SEARCH(" - ",MID('Industriesektor GWh'!$B6456,41,1000))-1),nrg_cb_e!$C$3:$C$40,0))</f>
        <v>FC_IND_TL_E</v>
      </c>
      <c r="G6456" s="18">
        <v>298</v>
      </c>
    </row>
    <row r="6457" spans="1:7" x14ac:dyDescent="0.2">
      <c r="A6457" s="19" t="s">
        <v>36</v>
      </c>
      <c r="B6457" s="20" t="s">
        <v>73</v>
      </c>
      <c r="C6457" s="20" t="s">
        <v>8</v>
      </c>
      <c r="D6457" s="20" t="s">
        <v>10</v>
      </c>
      <c r="E6457" s="20" t="s">
        <v>24</v>
      </c>
      <c r="F6457" s="20" t="str">
        <f>INDEX(nrg_cb_e!$A$3:$A$40,MATCH(LEFT(MID('Industriesektor GWh'!$B6457,41,1000),SEARCH(" - ",MID('Industriesektor GWh'!$B6457,41,1000))-1),nrg_cb_e!$C$3:$C$40,0))</f>
        <v>FC_IND_TL_E</v>
      </c>
      <c r="G6457" s="21">
        <v>197</v>
      </c>
    </row>
    <row r="6458" spans="1:7" x14ac:dyDescent="0.2">
      <c r="A6458" s="16" t="s">
        <v>36</v>
      </c>
      <c r="B6458" s="17" t="s">
        <v>73</v>
      </c>
      <c r="C6458" s="17" t="s">
        <v>8</v>
      </c>
      <c r="D6458" s="17" t="s">
        <v>10</v>
      </c>
      <c r="E6458" s="17" t="s">
        <v>25</v>
      </c>
      <c r="F6458" s="17" t="str">
        <f>INDEX(nrg_cb_e!$A$3:$A$40,MATCH(LEFT(MID('Industriesektor GWh'!$B6458,41,1000),SEARCH(" - ",MID('Industriesektor GWh'!$B6458,41,1000))-1),nrg_cb_e!$C$3:$C$40,0))</f>
        <v>FC_IND_TL_E</v>
      </c>
      <c r="G6458" s="18">
        <v>203</v>
      </c>
    </row>
    <row r="6459" spans="1:7" x14ac:dyDescent="0.2">
      <c r="A6459" s="19" t="s">
        <v>36</v>
      </c>
      <c r="B6459" s="20" t="s">
        <v>73</v>
      </c>
      <c r="C6459" s="20" t="s">
        <v>8</v>
      </c>
      <c r="D6459" s="20" t="s">
        <v>10</v>
      </c>
      <c r="E6459" s="20" t="s">
        <v>26</v>
      </c>
      <c r="F6459" s="20" t="str">
        <f>INDEX(nrg_cb_e!$A$3:$A$40,MATCH(LEFT(MID('Industriesektor GWh'!$B6459,41,1000),SEARCH(" - ",MID('Industriesektor GWh'!$B6459,41,1000))-1),nrg_cb_e!$C$3:$C$40,0))</f>
        <v>FC_IND_TL_E</v>
      </c>
      <c r="G6459" s="21">
        <v>313</v>
      </c>
    </row>
    <row r="6460" spans="1:7" x14ac:dyDescent="0.2">
      <c r="A6460" s="16" t="s">
        <v>36</v>
      </c>
      <c r="B6460" s="17" t="s">
        <v>73</v>
      </c>
      <c r="C6460" s="17" t="s">
        <v>8</v>
      </c>
      <c r="D6460" s="17" t="s">
        <v>10</v>
      </c>
      <c r="E6460" s="17" t="s">
        <v>27</v>
      </c>
      <c r="F6460" s="17" t="str">
        <f>INDEX(nrg_cb_e!$A$3:$A$40,MATCH(LEFT(MID('Industriesektor GWh'!$B6460,41,1000),SEARCH(" - ",MID('Industriesektor GWh'!$B6460,41,1000))-1),nrg_cb_e!$C$3:$C$40,0))</f>
        <v>FC_IND_TL_E</v>
      </c>
      <c r="G6460" s="18">
        <v>229.91499999999999</v>
      </c>
    </row>
    <row r="6461" spans="1:7" x14ac:dyDescent="0.2">
      <c r="A6461" s="19" t="s">
        <v>36</v>
      </c>
      <c r="B6461" s="20" t="s">
        <v>73</v>
      </c>
      <c r="C6461" s="20" t="s">
        <v>8</v>
      </c>
      <c r="D6461" s="20" t="s">
        <v>10</v>
      </c>
      <c r="E6461" s="20" t="s">
        <v>28</v>
      </c>
      <c r="F6461" s="20" t="str">
        <f>INDEX(nrg_cb_e!$A$3:$A$40,MATCH(LEFT(MID('Industriesektor GWh'!$B6461,41,1000),SEARCH(" - ",MID('Industriesektor GWh'!$B6461,41,1000))-1),nrg_cb_e!$C$3:$C$40,0))</f>
        <v>FC_IND_TL_E</v>
      </c>
      <c r="G6461" s="21">
        <v>869.99</v>
      </c>
    </row>
    <row r="6462" spans="1:7" x14ac:dyDescent="0.2">
      <c r="A6462" s="16" t="s">
        <v>37</v>
      </c>
      <c r="B6462" s="17" t="s">
        <v>73</v>
      </c>
      <c r="C6462" s="17" t="s">
        <v>8</v>
      </c>
      <c r="D6462" s="17" t="s">
        <v>10</v>
      </c>
      <c r="E6462" s="17" t="s">
        <v>12</v>
      </c>
      <c r="F6462" s="17" t="str">
        <f>INDEX(nrg_cb_e!$A$3:$A$40,MATCH(LEFT(MID('Industriesektor GWh'!$B6462,41,1000),SEARCH(" - ",MID('Industriesektor GWh'!$B6462,41,1000))-1),nrg_cb_e!$C$3:$C$40,0))</f>
        <v>FC_IND_TL_E</v>
      </c>
      <c r="G6462" s="18">
        <v>4589</v>
      </c>
    </row>
    <row r="6463" spans="1:7" x14ac:dyDescent="0.2">
      <c r="A6463" s="19" t="s">
        <v>37</v>
      </c>
      <c r="B6463" s="20" t="s">
        <v>73</v>
      </c>
      <c r="C6463" s="20" t="s">
        <v>8</v>
      </c>
      <c r="D6463" s="20" t="s">
        <v>10</v>
      </c>
      <c r="E6463" s="20" t="s">
        <v>13</v>
      </c>
      <c r="F6463" s="20" t="str">
        <f>INDEX(nrg_cb_e!$A$3:$A$40,MATCH(LEFT(MID('Industriesektor GWh'!$B6463,41,1000),SEARCH(" - ",MID('Industriesektor GWh'!$B6463,41,1000))-1),nrg_cb_e!$C$3:$C$40,0))</f>
        <v>FC_IND_TL_E</v>
      </c>
      <c r="G6463" s="21">
        <v>4526</v>
      </c>
    </row>
    <row r="6464" spans="1:7" x14ac:dyDescent="0.2">
      <c r="A6464" s="16" t="s">
        <v>37</v>
      </c>
      <c r="B6464" s="17" t="s">
        <v>73</v>
      </c>
      <c r="C6464" s="17" t="s">
        <v>8</v>
      </c>
      <c r="D6464" s="17" t="s">
        <v>10</v>
      </c>
      <c r="E6464" s="17" t="s">
        <v>14</v>
      </c>
      <c r="F6464" s="17" t="str">
        <f>INDEX(nrg_cb_e!$A$3:$A$40,MATCH(LEFT(MID('Industriesektor GWh'!$B6464,41,1000),SEARCH(" - ",MID('Industriesektor GWh'!$B6464,41,1000))-1),nrg_cb_e!$C$3:$C$40,0))</f>
        <v>FC_IND_TL_E</v>
      </c>
      <c r="G6464" s="18">
        <v>4429</v>
      </c>
    </row>
    <row r="6465" spans="1:7" x14ac:dyDescent="0.2">
      <c r="A6465" s="19" t="s">
        <v>37</v>
      </c>
      <c r="B6465" s="20" t="s">
        <v>73</v>
      </c>
      <c r="C6465" s="20" t="s">
        <v>8</v>
      </c>
      <c r="D6465" s="20" t="s">
        <v>10</v>
      </c>
      <c r="E6465" s="20" t="s">
        <v>15</v>
      </c>
      <c r="F6465" s="20" t="str">
        <f>INDEX(nrg_cb_e!$A$3:$A$40,MATCH(LEFT(MID('Industriesektor GWh'!$B6465,41,1000),SEARCH(" - ",MID('Industriesektor GWh'!$B6465,41,1000))-1),nrg_cb_e!$C$3:$C$40,0))</f>
        <v>FC_IND_TL_E</v>
      </c>
      <c r="G6465" s="21">
        <v>4290</v>
      </c>
    </row>
    <row r="6466" spans="1:7" x14ac:dyDescent="0.2">
      <c r="A6466" s="16" t="s">
        <v>37</v>
      </c>
      <c r="B6466" s="17" t="s">
        <v>73</v>
      </c>
      <c r="C6466" s="17" t="s">
        <v>8</v>
      </c>
      <c r="D6466" s="17" t="s">
        <v>10</v>
      </c>
      <c r="E6466" s="17" t="s">
        <v>16</v>
      </c>
      <c r="F6466" s="17" t="str">
        <f>INDEX(nrg_cb_e!$A$3:$A$40,MATCH(LEFT(MID('Industriesektor GWh'!$B6466,41,1000),SEARCH(" - ",MID('Industriesektor GWh'!$B6466,41,1000))-1),nrg_cb_e!$C$3:$C$40,0))</f>
        <v>FC_IND_TL_E</v>
      </c>
      <c r="G6466" s="18">
        <v>2947</v>
      </c>
    </row>
    <row r="6467" spans="1:7" x14ac:dyDescent="0.2">
      <c r="A6467" s="19" t="s">
        <v>37</v>
      </c>
      <c r="B6467" s="20" t="s">
        <v>73</v>
      </c>
      <c r="C6467" s="20" t="s">
        <v>8</v>
      </c>
      <c r="D6467" s="20" t="s">
        <v>10</v>
      </c>
      <c r="E6467" s="20" t="s">
        <v>17</v>
      </c>
      <c r="F6467" s="20" t="str">
        <f>INDEX(nrg_cb_e!$A$3:$A$40,MATCH(LEFT(MID('Industriesektor GWh'!$B6467,41,1000),SEARCH(" - ",MID('Industriesektor GWh'!$B6467,41,1000))-1),nrg_cb_e!$C$3:$C$40,0))</f>
        <v>FC_IND_TL_E</v>
      </c>
      <c r="G6467" s="21">
        <v>2971</v>
      </c>
    </row>
    <row r="6468" spans="1:7" x14ac:dyDescent="0.2">
      <c r="A6468" s="16" t="s">
        <v>37</v>
      </c>
      <c r="B6468" s="17" t="s">
        <v>73</v>
      </c>
      <c r="C6468" s="17" t="s">
        <v>8</v>
      </c>
      <c r="D6468" s="17" t="s">
        <v>10</v>
      </c>
      <c r="E6468" s="17" t="s">
        <v>18</v>
      </c>
      <c r="F6468" s="17" t="str">
        <f>INDEX(nrg_cb_e!$A$3:$A$40,MATCH(LEFT(MID('Industriesektor GWh'!$B6468,41,1000),SEARCH(" - ",MID('Industriesektor GWh'!$B6468,41,1000))-1),nrg_cb_e!$C$3:$C$40,0))</f>
        <v>FC_IND_TL_E</v>
      </c>
      <c r="G6468" s="18">
        <v>2501</v>
      </c>
    </row>
    <row r="6469" spans="1:7" x14ac:dyDescent="0.2">
      <c r="A6469" s="19" t="s">
        <v>37</v>
      </c>
      <c r="B6469" s="20" t="s">
        <v>73</v>
      </c>
      <c r="C6469" s="20" t="s">
        <v>8</v>
      </c>
      <c r="D6469" s="20" t="s">
        <v>10</v>
      </c>
      <c r="E6469" s="20" t="s">
        <v>19</v>
      </c>
      <c r="F6469" s="20" t="str">
        <f>INDEX(nrg_cb_e!$A$3:$A$40,MATCH(LEFT(MID('Industriesektor GWh'!$B6469,41,1000),SEARCH(" - ",MID('Industriesektor GWh'!$B6469,41,1000))-1),nrg_cb_e!$C$3:$C$40,0))</f>
        <v>FC_IND_TL_E</v>
      </c>
      <c r="G6469" s="21">
        <v>2052</v>
      </c>
    </row>
    <row r="6470" spans="1:7" x14ac:dyDescent="0.2">
      <c r="A6470" s="16" t="s">
        <v>37</v>
      </c>
      <c r="B6470" s="17" t="s">
        <v>73</v>
      </c>
      <c r="C6470" s="17" t="s">
        <v>8</v>
      </c>
      <c r="D6470" s="17" t="s">
        <v>10</v>
      </c>
      <c r="E6470" s="17" t="s">
        <v>20</v>
      </c>
      <c r="F6470" s="17" t="str">
        <f>INDEX(nrg_cb_e!$A$3:$A$40,MATCH(LEFT(MID('Industriesektor GWh'!$B6470,41,1000),SEARCH(" - ",MID('Industriesektor GWh'!$B6470,41,1000))-1),nrg_cb_e!$C$3:$C$40,0))</f>
        <v>FC_IND_TL_E</v>
      </c>
      <c r="G6470" s="18">
        <v>2162</v>
      </c>
    </row>
    <row r="6471" spans="1:7" x14ac:dyDescent="0.2">
      <c r="A6471" s="19" t="s">
        <v>37</v>
      </c>
      <c r="B6471" s="20" t="s">
        <v>73</v>
      </c>
      <c r="C6471" s="20" t="s">
        <v>8</v>
      </c>
      <c r="D6471" s="20" t="s">
        <v>10</v>
      </c>
      <c r="E6471" s="20" t="s">
        <v>21</v>
      </c>
      <c r="F6471" s="20" t="str">
        <f>INDEX(nrg_cb_e!$A$3:$A$40,MATCH(LEFT(MID('Industriesektor GWh'!$B6471,41,1000),SEARCH(" - ",MID('Industriesektor GWh'!$B6471,41,1000))-1),nrg_cb_e!$C$3:$C$40,0))</f>
        <v>FC_IND_TL_E</v>
      </c>
      <c r="G6471" s="21">
        <v>2020</v>
      </c>
    </row>
    <row r="6472" spans="1:7" x14ac:dyDescent="0.2">
      <c r="A6472" s="16" t="s">
        <v>37</v>
      </c>
      <c r="B6472" s="17" t="s">
        <v>73</v>
      </c>
      <c r="C6472" s="17" t="s">
        <v>8</v>
      </c>
      <c r="D6472" s="17" t="s">
        <v>10</v>
      </c>
      <c r="E6472" s="17" t="s">
        <v>22</v>
      </c>
      <c r="F6472" s="17" t="str">
        <f>INDEX(nrg_cb_e!$A$3:$A$40,MATCH(LEFT(MID('Industriesektor GWh'!$B6472,41,1000),SEARCH(" - ",MID('Industriesektor GWh'!$B6472,41,1000))-1),nrg_cb_e!$C$3:$C$40,0))</f>
        <v>FC_IND_TL_E</v>
      </c>
      <c r="G6472" s="18">
        <v>1993</v>
      </c>
    </row>
    <row r="6473" spans="1:7" x14ac:dyDescent="0.2">
      <c r="A6473" s="19" t="s">
        <v>37</v>
      </c>
      <c r="B6473" s="20" t="s">
        <v>73</v>
      </c>
      <c r="C6473" s="20" t="s">
        <v>8</v>
      </c>
      <c r="D6473" s="20" t="s">
        <v>10</v>
      </c>
      <c r="E6473" s="20" t="s">
        <v>23</v>
      </c>
      <c r="F6473" s="20" t="str">
        <f>INDEX(nrg_cb_e!$A$3:$A$40,MATCH(LEFT(MID('Industriesektor GWh'!$B6473,41,1000),SEARCH(" - ",MID('Industriesektor GWh'!$B6473,41,1000))-1),nrg_cb_e!$C$3:$C$40,0))</f>
        <v>FC_IND_TL_E</v>
      </c>
      <c r="G6473" s="21">
        <v>1853</v>
      </c>
    </row>
    <row r="6474" spans="1:7" x14ac:dyDescent="0.2">
      <c r="A6474" s="16" t="s">
        <v>37</v>
      </c>
      <c r="B6474" s="17" t="s">
        <v>73</v>
      </c>
      <c r="C6474" s="17" t="s">
        <v>8</v>
      </c>
      <c r="D6474" s="17" t="s">
        <v>10</v>
      </c>
      <c r="E6474" s="17" t="s">
        <v>24</v>
      </c>
      <c r="F6474" s="17" t="str">
        <f>INDEX(nrg_cb_e!$A$3:$A$40,MATCH(LEFT(MID('Industriesektor GWh'!$B6474,41,1000),SEARCH(" - ",MID('Industriesektor GWh'!$B6474,41,1000))-1),nrg_cb_e!$C$3:$C$40,0))</f>
        <v>FC_IND_TL_E</v>
      </c>
      <c r="G6474" s="18">
        <v>1671</v>
      </c>
    </row>
    <row r="6475" spans="1:7" x14ac:dyDescent="0.2">
      <c r="A6475" s="19" t="s">
        <v>37</v>
      </c>
      <c r="B6475" s="20" t="s">
        <v>73</v>
      </c>
      <c r="C6475" s="20" t="s">
        <v>8</v>
      </c>
      <c r="D6475" s="20" t="s">
        <v>10</v>
      </c>
      <c r="E6475" s="20" t="s">
        <v>25</v>
      </c>
      <c r="F6475" s="20" t="str">
        <f>INDEX(nrg_cb_e!$A$3:$A$40,MATCH(LEFT(MID('Industriesektor GWh'!$B6475,41,1000),SEARCH(" - ",MID('Industriesektor GWh'!$B6475,41,1000))-1),nrg_cb_e!$C$3:$C$40,0))</f>
        <v>FC_IND_TL_E</v>
      </c>
      <c r="G6475" s="21">
        <v>1738</v>
      </c>
    </row>
    <row r="6476" spans="1:7" x14ac:dyDescent="0.2">
      <c r="A6476" s="16" t="s">
        <v>37</v>
      </c>
      <c r="B6476" s="17" t="s">
        <v>73</v>
      </c>
      <c r="C6476" s="17" t="s">
        <v>8</v>
      </c>
      <c r="D6476" s="17" t="s">
        <v>10</v>
      </c>
      <c r="E6476" s="17" t="s">
        <v>26</v>
      </c>
      <c r="F6476" s="17" t="str">
        <f>INDEX(nrg_cb_e!$A$3:$A$40,MATCH(LEFT(MID('Industriesektor GWh'!$B6476,41,1000),SEARCH(" - ",MID('Industriesektor GWh'!$B6476,41,1000))-1),nrg_cb_e!$C$3:$C$40,0))</f>
        <v>FC_IND_TL_E</v>
      </c>
      <c r="G6476" s="18">
        <v>1662</v>
      </c>
    </row>
    <row r="6477" spans="1:7" x14ac:dyDescent="0.2">
      <c r="A6477" s="19" t="s">
        <v>37</v>
      </c>
      <c r="B6477" s="20" t="s">
        <v>73</v>
      </c>
      <c r="C6477" s="20" t="s">
        <v>8</v>
      </c>
      <c r="D6477" s="20" t="s">
        <v>10</v>
      </c>
      <c r="E6477" s="20" t="s">
        <v>27</v>
      </c>
      <c r="F6477" s="20" t="str">
        <f>INDEX(nrg_cb_e!$A$3:$A$40,MATCH(LEFT(MID('Industriesektor GWh'!$B6477,41,1000),SEARCH(" - ",MID('Industriesektor GWh'!$B6477,41,1000))-1),nrg_cb_e!$C$3:$C$40,0))</f>
        <v>FC_IND_TL_E</v>
      </c>
      <c r="G6477" s="21">
        <v>1673</v>
      </c>
    </row>
    <row r="6478" spans="1:7" x14ac:dyDescent="0.2">
      <c r="A6478" s="16" t="s">
        <v>37</v>
      </c>
      <c r="B6478" s="17" t="s">
        <v>73</v>
      </c>
      <c r="C6478" s="17" t="s">
        <v>8</v>
      </c>
      <c r="D6478" s="17" t="s">
        <v>10</v>
      </c>
      <c r="E6478" s="17" t="s">
        <v>28</v>
      </c>
      <c r="F6478" s="17" t="str">
        <f>INDEX(nrg_cb_e!$A$3:$A$40,MATCH(LEFT(MID('Industriesektor GWh'!$B6478,41,1000),SEARCH(" - ",MID('Industriesektor GWh'!$B6478,41,1000))-1),nrg_cb_e!$C$3:$C$40,0))</f>
        <v>FC_IND_TL_E</v>
      </c>
      <c r="G6478" s="18">
        <v>1533</v>
      </c>
    </row>
    <row r="6479" spans="1:7" x14ac:dyDescent="0.2">
      <c r="A6479" s="19" t="s">
        <v>38</v>
      </c>
      <c r="B6479" s="20" t="s">
        <v>73</v>
      </c>
      <c r="C6479" s="20" t="s">
        <v>8</v>
      </c>
      <c r="D6479" s="20" t="s">
        <v>10</v>
      </c>
      <c r="E6479" s="20" t="s">
        <v>12</v>
      </c>
      <c r="F6479" s="20" t="str">
        <f>INDEX(nrg_cb_e!$A$3:$A$40,MATCH(LEFT(MID('Industriesektor GWh'!$B6479,41,1000),SEARCH(" - ",MID('Industriesektor GWh'!$B6479,41,1000))-1),nrg_cb_e!$C$3:$C$40,0))</f>
        <v>FC_IND_TL_E</v>
      </c>
      <c r="G6479" s="21">
        <v>3151</v>
      </c>
    </row>
    <row r="6480" spans="1:7" x14ac:dyDescent="0.2">
      <c r="A6480" s="16" t="s">
        <v>38</v>
      </c>
      <c r="B6480" s="17" t="s">
        <v>73</v>
      </c>
      <c r="C6480" s="17" t="s">
        <v>8</v>
      </c>
      <c r="D6480" s="17" t="s">
        <v>10</v>
      </c>
      <c r="E6480" s="17" t="s">
        <v>13</v>
      </c>
      <c r="F6480" s="17" t="str">
        <f>INDEX(nrg_cb_e!$A$3:$A$40,MATCH(LEFT(MID('Industriesektor GWh'!$B6480,41,1000),SEARCH(" - ",MID('Industriesektor GWh'!$B6480,41,1000))-1),nrg_cb_e!$C$3:$C$40,0))</f>
        <v>FC_IND_TL_E</v>
      </c>
      <c r="G6480" s="18">
        <v>2942</v>
      </c>
    </row>
    <row r="6481" spans="1:7" x14ac:dyDescent="0.2">
      <c r="A6481" s="19" t="s">
        <v>38</v>
      </c>
      <c r="B6481" s="20" t="s">
        <v>73</v>
      </c>
      <c r="C6481" s="20" t="s">
        <v>8</v>
      </c>
      <c r="D6481" s="20" t="s">
        <v>10</v>
      </c>
      <c r="E6481" s="20" t="s">
        <v>14</v>
      </c>
      <c r="F6481" s="20" t="str">
        <f>INDEX(nrg_cb_e!$A$3:$A$40,MATCH(LEFT(MID('Industriesektor GWh'!$B6481,41,1000),SEARCH(" - ",MID('Industriesektor GWh'!$B6481,41,1000))-1),nrg_cb_e!$C$3:$C$40,0))</f>
        <v>FC_IND_TL_E</v>
      </c>
      <c r="G6481" s="21">
        <v>2825</v>
      </c>
    </row>
    <row r="6482" spans="1:7" x14ac:dyDescent="0.2">
      <c r="A6482" s="16" t="s">
        <v>38</v>
      </c>
      <c r="B6482" s="17" t="s">
        <v>73</v>
      </c>
      <c r="C6482" s="17" t="s">
        <v>8</v>
      </c>
      <c r="D6482" s="17" t="s">
        <v>10</v>
      </c>
      <c r="E6482" s="17" t="s">
        <v>15</v>
      </c>
      <c r="F6482" s="17" t="str">
        <f>INDEX(nrg_cb_e!$A$3:$A$40,MATCH(LEFT(MID('Industriesektor GWh'!$B6482,41,1000),SEARCH(" - ",MID('Industriesektor GWh'!$B6482,41,1000))-1),nrg_cb_e!$C$3:$C$40,0))</f>
        <v>FC_IND_TL_E</v>
      </c>
      <c r="G6482" s="18">
        <v>2567</v>
      </c>
    </row>
    <row r="6483" spans="1:7" x14ac:dyDescent="0.2">
      <c r="A6483" s="19" t="s">
        <v>38</v>
      </c>
      <c r="B6483" s="20" t="s">
        <v>73</v>
      </c>
      <c r="C6483" s="20" t="s">
        <v>8</v>
      </c>
      <c r="D6483" s="20" t="s">
        <v>10</v>
      </c>
      <c r="E6483" s="20" t="s">
        <v>16</v>
      </c>
      <c r="F6483" s="20" t="str">
        <f>INDEX(nrg_cb_e!$A$3:$A$40,MATCH(LEFT(MID('Industriesektor GWh'!$B6483,41,1000),SEARCH(" - ",MID('Industriesektor GWh'!$B6483,41,1000))-1),nrg_cb_e!$C$3:$C$40,0))</f>
        <v>FC_IND_TL_E</v>
      </c>
      <c r="G6483" s="21">
        <v>2398</v>
      </c>
    </row>
    <row r="6484" spans="1:7" x14ac:dyDescent="0.2">
      <c r="A6484" s="16" t="s">
        <v>38</v>
      </c>
      <c r="B6484" s="17" t="s">
        <v>73</v>
      </c>
      <c r="C6484" s="17" t="s">
        <v>8</v>
      </c>
      <c r="D6484" s="17" t="s">
        <v>10</v>
      </c>
      <c r="E6484" s="17" t="s">
        <v>17</v>
      </c>
      <c r="F6484" s="17" t="str">
        <f>INDEX(nrg_cb_e!$A$3:$A$40,MATCH(LEFT(MID('Industriesektor GWh'!$B6484,41,1000),SEARCH(" - ",MID('Industriesektor GWh'!$B6484,41,1000))-1),nrg_cb_e!$C$3:$C$40,0))</f>
        <v>FC_IND_TL_E</v>
      </c>
      <c r="G6484" s="18">
        <v>2271</v>
      </c>
    </row>
    <row r="6485" spans="1:7" x14ac:dyDescent="0.2">
      <c r="A6485" s="19" t="s">
        <v>38</v>
      </c>
      <c r="B6485" s="20" t="s">
        <v>73</v>
      </c>
      <c r="C6485" s="20" t="s">
        <v>8</v>
      </c>
      <c r="D6485" s="20" t="s">
        <v>10</v>
      </c>
      <c r="E6485" s="20" t="s">
        <v>18</v>
      </c>
      <c r="F6485" s="20" t="str">
        <f>INDEX(nrg_cb_e!$A$3:$A$40,MATCH(LEFT(MID('Industriesektor GWh'!$B6485,41,1000),SEARCH(" - ",MID('Industriesektor GWh'!$B6485,41,1000))-1),nrg_cb_e!$C$3:$C$40,0))</f>
        <v>FC_IND_TL_E</v>
      </c>
      <c r="G6485" s="21">
        <v>2069</v>
      </c>
    </row>
    <row r="6486" spans="1:7" x14ac:dyDescent="0.2">
      <c r="A6486" s="16" t="s">
        <v>38</v>
      </c>
      <c r="B6486" s="17" t="s">
        <v>73</v>
      </c>
      <c r="C6486" s="17" t="s">
        <v>8</v>
      </c>
      <c r="D6486" s="17" t="s">
        <v>10</v>
      </c>
      <c r="E6486" s="17" t="s">
        <v>19</v>
      </c>
      <c r="F6486" s="17" t="str">
        <f>INDEX(nrg_cb_e!$A$3:$A$40,MATCH(LEFT(MID('Industriesektor GWh'!$B6486,41,1000),SEARCH(" - ",MID('Industriesektor GWh'!$B6486,41,1000))-1),nrg_cb_e!$C$3:$C$40,0))</f>
        <v>FC_IND_TL_E</v>
      </c>
      <c r="G6486" s="18">
        <v>1714</v>
      </c>
    </row>
    <row r="6487" spans="1:7" x14ac:dyDescent="0.2">
      <c r="A6487" s="19" t="s">
        <v>38</v>
      </c>
      <c r="B6487" s="20" t="s">
        <v>73</v>
      </c>
      <c r="C6487" s="20" t="s">
        <v>8</v>
      </c>
      <c r="D6487" s="20" t="s">
        <v>10</v>
      </c>
      <c r="E6487" s="20" t="s">
        <v>20</v>
      </c>
      <c r="F6487" s="20" t="str">
        <f>INDEX(nrg_cb_e!$A$3:$A$40,MATCH(LEFT(MID('Industriesektor GWh'!$B6487,41,1000),SEARCH(" - ",MID('Industriesektor GWh'!$B6487,41,1000))-1),nrg_cb_e!$C$3:$C$40,0))</f>
        <v>FC_IND_TL_E</v>
      </c>
      <c r="G6487" s="21">
        <v>1758</v>
      </c>
    </row>
    <row r="6488" spans="1:7" x14ac:dyDescent="0.2">
      <c r="A6488" s="16" t="s">
        <v>38</v>
      </c>
      <c r="B6488" s="17" t="s">
        <v>73</v>
      </c>
      <c r="C6488" s="17" t="s">
        <v>8</v>
      </c>
      <c r="D6488" s="17" t="s">
        <v>10</v>
      </c>
      <c r="E6488" s="17" t="s">
        <v>21</v>
      </c>
      <c r="F6488" s="17" t="str">
        <f>INDEX(nrg_cb_e!$A$3:$A$40,MATCH(LEFT(MID('Industriesektor GWh'!$B6488,41,1000),SEARCH(" - ",MID('Industriesektor GWh'!$B6488,41,1000))-1),nrg_cb_e!$C$3:$C$40,0))</f>
        <v>FC_IND_TL_E</v>
      </c>
      <c r="G6488" s="18">
        <v>1795.1489999999999</v>
      </c>
    </row>
    <row r="6489" spans="1:7" x14ac:dyDescent="0.2">
      <c r="A6489" s="19" t="s">
        <v>38</v>
      </c>
      <c r="B6489" s="20" t="s">
        <v>73</v>
      </c>
      <c r="C6489" s="20" t="s">
        <v>8</v>
      </c>
      <c r="D6489" s="20" t="s">
        <v>10</v>
      </c>
      <c r="E6489" s="20" t="s">
        <v>22</v>
      </c>
      <c r="F6489" s="20" t="str">
        <f>INDEX(nrg_cb_e!$A$3:$A$40,MATCH(LEFT(MID('Industriesektor GWh'!$B6489,41,1000),SEARCH(" - ",MID('Industriesektor GWh'!$B6489,41,1000))-1),nrg_cb_e!$C$3:$C$40,0))</f>
        <v>FC_IND_TL_E</v>
      </c>
      <c r="G6489" s="21">
        <v>1782.479</v>
      </c>
    </row>
    <row r="6490" spans="1:7" x14ac:dyDescent="0.2">
      <c r="A6490" s="16" t="s">
        <v>38</v>
      </c>
      <c r="B6490" s="17" t="s">
        <v>73</v>
      </c>
      <c r="C6490" s="17" t="s">
        <v>8</v>
      </c>
      <c r="D6490" s="17" t="s">
        <v>10</v>
      </c>
      <c r="E6490" s="17" t="s">
        <v>23</v>
      </c>
      <c r="F6490" s="17" t="str">
        <f>INDEX(nrg_cb_e!$A$3:$A$40,MATCH(LEFT(MID('Industriesektor GWh'!$B6490,41,1000),SEARCH(" - ",MID('Industriesektor GWh'!$B6490,41,1000))-1),nrg_cb_e!$C$3:$C$40,0))</f>
        <v>FC_IND_TL_E</v>
      </c>
      <c r="G6490" s="18">
        <v>1718.201</v>
      </c>
    </row>
    <row r="6491" spans="1:7" x14ac:dyDescent="0.2">
      <c r="A6491" s="19" t="s">
        <v>38</v>
      </c>
      <c r="B6491" s="20" t="s">
        <v>73</v>
      </c>
      <c r="C6491" s="20" t="s">
        <v>8</v>
      </c>
      <c r="D6491" s="20" t="s">
        <v>10</v>
      </c>
      <c r="E6491" s="20" t="s">
        <v>24</v>
      </c>
      <c r="F6491" s="20" t="str">
        <f>INDEX(nrg_cb_e!$A$3:$A$40,MATCH(LEFT(MID('Industriesektor GWh'!$B6491,41,1000),SEARCH(" - ",MID('Industriesektor GWh'!$B6491,41,1000))-1),nrg_cb_e!$C$3:$C$40,0))</f>
        <v>FC_IND_TL_E</v>
      </c>
      <c r="G6491" s="21">
        <v>1686.306</v>
      </c>
    </row>
    <row r="6492" spans="1:7" x14ac:dyDescent="0.2">
      <c r="A6492" s="16" t="s">
        <v>38</v>
      </c>
      <c r="B6492" s="17" t="s">
        <v>73</v>
      </c>
      <c r="C6492" s="17" t="s">
        <v>8</v>
      </c>
      <c r="D6492" s="17" t="s">
        <v>10</v>
      </c>
      <c r="E6492" s="17" t="s">
        <v>25</v>
      </c>
      <c r="F6492" s="17" t="str">
        <f>INDEX(nrg_cb_e!$A$3:$A$40,MATCH(LEFT(MID('Industriesektor GWh'!$B6492,41,1000),SEARCH(" - ",MID('Industriesektor GWh'!$B6492,41,1000))-1),nrg_cb_e!$C$3:$C$40,0))</f>
        <v>FC_IND_TL_E</v>
      </c>
      <c r="G6492" s="18">
        <v>1606.597</v>
      </c>
    </row>
    <row r="6493" spans="1:7" x14ac:dyDescent="0.2">
      <c r="A6493" s="19" t="s">
        <v>38</v>
      </c>
      <c r="B6493" s="20" t="s">
        <v>73</v>
      </c>
      <c r="C6493" s="20" t="s">
        <v>8</v>
      </c>
      <c r="D6493" s="20" t="s">
        <v>10</v>
      </c>
      <c r="E6493" s="20" t="s">
        <v>26</v>
      </c>
      <c r="F6493" s="20" t="str">
        <f>INDEX(nrg_cb_e!$A$3:$A$40,MATCH(LEFT(MID('Industriesektor GWh'!$B6493,41,1000),SEARCH(" - ",MID('Industriesektor GWh'!$B6493,41,1000))-1),nrg_cb_e!$C$3:$C$40,0))</f>
        <v>FC_IND_TL_E</v>
      </c>
      <c r="G6493" s="21">
        <v>1641.08</v>
      </c>
    </row>
    <row r="6494" spans="1:7" x14ac:dyDescent="0.2">
      <c r="A6494" s="16" t="s">
        <v>38</v>
      </c>
      <c r="B6494" s="17" t="s">
        <v>73</v>
      </c>
      <c r="C6494" s="17" t="s">
        <v>8</v>
      </c>
      <c r="D6494" s="17" t="s">
        <v>10</v>
      </c>
      <c r="E6494" s="17" t="s">
        <v>27</v>
      </c>
      <c r="F6494" s="17" t="str">
        <f>INDEX(nrg_cb_e!$A$3:$A$40,MATCH(LEFT(MID('Industriesektor GWh'!$B6494,41,1000),SEARCH(" - ",MID('Industriesektor GWh'!$B6494,41,1000))-1),nrg_cb_e!$C$3:$C$40,0))</f>
        <v>FC_IND_TL_E</v>
      </c>
      <c r="G6494" s="18">
        <v>1628.42</v>
      </c>
    </row>
    <row r="6495" spans="1:7" x14ac:dyDescent="0.2">
      <c r="A6495" s="19" t="s">
        <v>38</v>
      </c>
      <c r="B6495" s="20" t="s">
        <v>73</v>
      </c>
      <c r="C6495" s="20" t="s">
        <v>8</v>
      </c>
      <c r="D6495" s="20" t="s">
        <v>10</v>
      </c>
      <c r="E6495" s="20" t="s">
        <v>28</v>
      </c>
      <c r="F6495" s="20" t="str">
        <f>INDEX(nrg_cb_e!$A$3:$A$40,MATCH(LEFT(MID('Industriesektor GWh'!$B6495,41,1000),SEARCH(" - ",MID('Industriesektor GWh'!$B6495,41,1000))-1),nrg_cb_e!$C$3:$C$40,0))</f>
        <v>FC_IND_TL_E</v>
      </c>
      <c r="G6495" s="21">
        <v>1625.527</v>
      </c>
    </row>
    <row r="6496" spans="1:7" x14ac:dyDescent="0.2">
      <c r="A6496" s="16" t="s">
        <v>39</v>
      </c>
      <c r="B6496" s="17" t="s">
        <v>73</v>
      </c>
      <c r="C6496" s="17" t="s">
        <v>8</v>
      </c>
      <c r="D6496" s="17" t="s">
        <v>10</v>
      </c>
      <c r="E6496" s="17" t="s">
        <v>12</v>
      </c>
      <c r="F6496" s="17" t="str">
        <f>INDEX(nrg_cb_e!$A$3:$A$40,MATCH(LEFT(MID('Industriesektor GWh'!$B6496,41,1000),SEARCH(" - ",MID('Industriesektor GWh'!$B6496,41,1000))-1),nrg_cb_e!$C$3:$C$40,0))</f>
        <v>FC_IND_TL_E</v>
      </c>
      <c r="G6496" s="18">
        <v>159</v>
      </c>
    </row>
    <row r="6497" spans="1:7" x14ac:dyDescent="0.2">
      <c r="A6497" s="19" t="s">
        <v>39</v>
      </c>
      <c r="B6497" s="20" t="s">
        <v>73</v>
      </c>
      <c r="C6497" s="20" t="s">
        <v>8</v>
      </c>
      <c r="D6497" s="20" t="s">
        <v>10</v>
      </c>
      <c r="E6497" s="20" t="s">
        <v>13</v>
      </c>
      <c r="F6497" s="20" t="str">
        <f>INDEX(nrg_cb_e!$A$3:$A$40,MATCH(LEFT(MID('Industriesektor GWh'!$B6497,41,1000),SEARCH(" - ",MID('Industriesektor GWh'!$B6497,41,1000))-1),nrg_cb_e!$C$3:$C$40,0))</f>
        <v>FC_IND_TL_E</v>
      </c>
      <c r="G6497" s="21">
        <v>144</v>
      </c>
    </row>
    <row r="6498" spans="1:7" x14ac:dyDescent="0.2">
      <c r="A6498" s="16" t="s">
        <v>39</v>
      </c>
      <c r="B6498" s="17" t="s">
        <v>73</v>
      </c>
      <c r="C6498" s="17" t="s">
        <v>8</v>
      </c>
      <c r="D6498" s="17" t="s">
        <v>10</v>
      </c>
      <c r="E6498" s="17" t="s">
        <v>14</v>
      </c>
      <c r="F6498" s="17" t="str">
        <f>INDEX(nrg_cb_e!$A$3:$A$40,MATCH(LEFT(MID('Industriesektor GWh'!$B6498,41,1000),SEARCH(" - ",MID('Industriesektor GWh'!$B6498,41,1000))-1),nrg_cb_e!$C$3:$C$40,0))</f>
        <v>FC_IND_TL_E</v>
      </c>
      <c r="G6498" s="18">
        <v>173</v>
      </c>
    </row>
    <row r="6499" spans="1:7" x14ac:dyDescent="0.2">
      <c r="A6499" s="19" t="s">
        <v>39</v>
      </c>
      <c r="B6499" s="20" t="s">
        <v>73</v>
      </c>
      <c r="C6499" s="20" t="s">
        <v>8</v>
      </c>
      <c r="D6499" s="20" t="s">
        <v>10</v>
      </c>
      <c r="E6499" s="20" t="s">
        <v>15</v>
      </c>
      <c r="F6499" s="20" t="str">
        <f>INDEX(nrg_cb_e!$A$3:$A$40,MATCH(LEFT(MID('Industriesektor GWh'!$B6499,41,1000),SEARCH(" - ",MID('Industriesektor GWh'!$B6499,41,1000))-1),nrg_cb_e!$C$3:$C$40,0))</f>
        <v>FC_IND_TL_E</v>
      </c>
      <c r="G6499" s="21">
        <v>170</v>
      </c>
    </row>
    <row r="6500" spans="1:7" x14ac:dyDescent="0.2">
      <c r="A6500" s="16" t="s">
        <v>39</v>
      </c>
      <c r="B6500" s="17" t="s">
        <v>73</v>
      </c>
      <c r="C6500" s="17" t="s">
        <v>8</v>
      </c>
      <c r="D6500" s="17" t="s">
        <v>10</v>
      </c>
      <c r="E6500" s="17" t="s">
        <v>16</v>
      </c>
      <c r="F6500" s="17" t="str">
        <f>INDEX(nrg_cb_e!$A$3:$A$40,MATCH(LEFT(MID('Industriesektor GWh'!$B6500,41,1000),SEARCH(" - ",MID('Industriesektor GWh'!$B6500,41,1000))-1),nrg_cb_e!$C$3:$C$40,0))</f>
        <v>FC_IND_TL_E</v>
      </c>
      <c r="G6500" s="18">
        <v>170</v>
      </c>
    </row>
    <row r="6501" spans="1:7" x14ac:dyDescent="0.2">
      <c r="A6501" s="19" t="s">
        <v>39</v>
      </c>
      <c r="B6501" s="20" t="s">
        <v>73</v>
      </c>
      <c r="C6501" s="20" t="s">
        <v>8</v>
      </c>
      <c r="D6501" s="20" t="s">
        <v>10</v>
      </c>
      <c r="E6501" s="20" t="s">
        <v>17</v>
      </c>
      <c r="F6501" s="20" t="str">
        <f>INDEX(nrg_cb_e!$A$3:$A$40,MATCH(LEFT(MID('Industriesektor GWh'!$B6501,41,1000),SEARCH(" - ",MID('Industriesektor GWh'!$B6501,41,1000))-1),nrg_cb_e!$C$3:$C$40,0))</f>
        <v>FC_IND_TL_E</v>
      </c>
      <c r="G6501" s="21">
        <v>171</v>
      </c>
    </row>
    <row r="6502" spans="1:7" x14ac:dyDescent="0.2">
      <c r="A6502" s="16" t="s">
        <v>39</v>
      </c>
      <c r="B6502" s="17" t="s">
        <v>73</v>
      </c>
      <c r="C6502" s="17" t="s">
        <v>8</v>
      </c>
      <c r="D6502" s="17" t="s">
        <v>10</v>
      </c>
      <c r="E6502" s="17" t="s">
        <v>18</v>
      </c>
      <c r="F6502" s="17" t="str">
        <f>INDEX(nrg_cb_e!$A$3:$A$40,MATCH(LEFT(MID('Industriesektor GWh'!$B6502,41,1000),SEARCH(" - ",MID('Industriesektor GWh'!$B6502,41,1000))-1),nrg_cb_e!$C$3:$C$40,0))</f>
        <v>FC_IND_TL_E</v>
      </c>
      <c r="G6502" s="18">
        <v>162</v>
      </c>
    </row>
    <row r="6503" spans="1:7" x14ac:dyDescent="0.2">
      <c r="A6503" s="19" t="s">
        <v>39</v>
      </c>
      <c r="B6503" s="20" t="s">
        <v>73</v>
      </c>
      <c r="C6503" s="20" t="s">
        <v>8</v>
      </c>
      <c r="D6503" s="20" t="s">
        <v>10</v>
      </c>
      <c r="E6503" s="20" t="s">
        <v>19</v>
      </c>
      <c r="F6503" s="20" t="str">
        <f>INDEX(nrg_cb_e!$A$3:$A$40,MATCH(LEFT(MID('Industriesektor GWh'!$B6503,41,1000),SEARCH(" - ",MID('Industriesektor GWh'!$B6503,41,1000))-1),nrg_cb_e!$C$3:$C$40,0))</f>
        <v>FC_IND_TL_E</v>
      </c>
      <c r="G6503" s="21">
        <v>152</v>
      </c>
    </row>
    <row r="6504" spans="1:7" x14ac:dyDescent="0.2">
      <c r="A6504" s="16" t="s">
        <v>39</v>
      </c>
      <c r="B6504" s="17" t="s">
        <v>73</v>
      </c>
      <c r="C6504" s="17" t="s">
        <v>8</v>
      </c>
      <c r="D6504" s="17" t="s">
        <v>10</v>
      </c>
      <c r="E6504" s="17" t="s">
        <v>20</v>
      </c>
      <c r="F6504" s="17" t="str">
        <f>INDEX(nrg_cb_e!$A$3:$A$40,MATCH(LEFT(MID('Industriesektor GWh'!$B6504,41,1000),SEARCH(" - ",MID('Industriesektor GWh'!$B6504,41,1000))-1),nrg_cb_e!$C$3:$C$40,0))</f>
        <v>FC_IND_TL_E</v>
      </c>
      <c r="G6504" s="18">
        <v>147</v>
      </c>
    </row>
    <row r="6505" spans="1:7" x14ac:dyDescent="0.2">
      <c r="A6505" s="19" t="s">
        <v>39</v>
      </c>
      <c r="B6505" s="20" t="s">
        <v>73</v>
      </c>
      <c r="C6505" s="20" t="s">
        <v>8</v>
      </c>
      <c r="D6505" s="20" t="s">
        <v>10</v>
      </c>
      <c r="E6505" s="20" t="s">
        <v>21</v>
      </c>
      <c r="F6505" s="20" t="str">
        <f>INDEX(nrg_cb_e!$A$3:$A$40,MATCH(LEFT(MID('Industriesektor GWh'!$B6505,41,1000),SEARCH(" - ",MID('Industriesektor GWh'!$B6505,41,1000))-1),nrg_cb_e!$C$3:$C$40,0))</f>
        <v>FC_IND_TL_E</v>
      </c>
      <c r="G6505" s="21">
        <v>158</v>
      </c>
    </row>
    <row r="6506" spans="1:7" x14ac:dyDescent="0.2">
      <c r="A6506" s="16" t="s">
        <v>39</v>
      </c>
      <c r="B6506" s="17" t="s">
        <v>73</v>
      </c>
      <c r="C6506" s="17" t="s">
        <v>8</v>
      </c>
      <c r="D6506" s="17" t="s">
        <v>10</v>
      </c>
      <c r="E6506" s="17" t="s">
        <v>22</v>
      </c>
      <c r="F6506" s="17" t="str">
        <f>INDEX(nrg_cb_e!$A$3:$A$40,MATCH(LEFT(MID('Industriesektor GWh'!$B6506,41,1000),SEARCH(" - ",MID('Industriesektor GWh'!$B6506,41,1000))-1),nrg_cb_e!$C$3:$C$40,0))</f>
        <v>FC_IND_TL_E</v>
      </c>
      <c r="G6506" s="18">
        <v>155</v>
      </c>
    </row>
    <row r="6507" spans="1:7" x14ac:dyDescent="0.2">
      <c r="A6507" s="19" t="s">
        <v>39</v>
      </c>
      <c r="B6507" s="20" t="s">
        <v>73</v>
      </c>
      <c r="C6507" s="20" t="s">
        <v>8</v>
      </c>
      <c r="D6507" s="20" t="s">
        <v>10</v>
      </c>
      <c r="E6507" s="20" t="s">
        <v>23</v>
      </c>
      <c r="F6507" s="20" t="str">
        <f>INDEX(nrg_cb_e!$A$3:$A$40,MATCH(LEFT(MID('Industriesektor GWh'!$B6507,41,1000),SEARCH(" - ",MID('Industriesektor GWh'!$B6507,41,1000))-1),nrg_cb_e!$C$3:$C$40,0))</f>
        <v>FC_IND_TL_E</v>
      </c>
      <c r="G6507" s="21">
        <v>150</v>
      </c>
    </row>
    <row r="6508" spans="1:7" x14ac:dyDescent="0.2">
      <c r="A6508" s="16" t="s">
        <v>39</v>
      </c>
      <c r="B6508" s="17" t="s">
        <v>73</v>
      </c>
      <c r="C6508" s="17" t="s">
        <v>8</v>
      </c>
      <c r="D6508" s="17" t="s">
        <v>10</v>
      </c>
      <c r="E6508" s="17" t="s">
        <v>24</v>
      </c>
      <c r="F6508" s="17" t="str">
        <f>INDEX(nrg_cb_e!$A$3:$A$40,MATCH(LEFT(MID('Industriesektor GWh'!$B6508,41,1000),SEARCH(" - ",MID('Industriesektor GWh'!$B6508,41,1000))-1),nrg_cb_e!$C$3:$C$40,0))</f>
        <v>FC_IND_TL_E</v>
      </c>
      <c r="G6508" s="18">
        <v>159</v>
      </c>
    </row>
    <row r="6509" spans="1:7" x14ac:dyDescent="0.2">
      <c r="A6509" s="19" t="s">
        <v>39</v>
      </c>
      <c r="B6509" s="20" t="s">
        <v>73</v>
      </c>
      <c r="C6509" s="20" t="s">
        <v>8</v>
      </c>
      <c r="D6509" s="20" t="s">
        <v>10</v>
      </c>
      <c r="E6509" s="20" t="s">
        <v>25</v>
      </c>
      <c r="F6509" s="20" t="str">
        <f>INDEX(nrg_cb_e!$A$3:$A$40,MATCH(LEFT(MID('Industriesektor GWh'!$B6509,41,1000),SEARCH(" - ",MID('Industriesektor GWh'!$B6509,41,1000))-1),nrg_cb_e!$C$3:$C$40,0))</f>
        <v>FC_IND_TL_E</v>
      </c>
      <c r="G6509" s="21">
        <v>166</v>
      </c>
    </row>
    <row r="6510" spans="1:7" x14ac:dyDescent="0.2">
      <c r="A6510" s="16" t="s">
        <v>39</v>
      </c>
      <c r="B6510" s="17" t="s">
        <v>73</v>
      </c>
      <c r="C6510" s="17" t="s">
        <v>8</v>
      </c>
      <c r="D6510" s="17" t="s">
        <v>10</v>
      </c>
      <c r="E6510" s="17" t="s">
        <v>26</v>
      </c>
      <c r="F6510" s="17" t="str">
        <f>INDEX(nrg_cb_e!$A$3:$A$40,MATCH(LEFT(MID('Industriesektor GWh'!$B6510,41,1000),SEARCH(" - ",MID('Industriesektor GWh'!$B6510,41,1000))-1),nrg_cb_e!$C$3:$C$40,0))</f>
        <v>FC_IND_TL_E</v>
      </c>
      <c r="G6510" s="18">
        <v>149</v>
      </c>
    </row>
    <row r="6511" spans="1:7" x14ac:dyDescent="0.2">
      <c r="A6511" s="19" t="s">
        <v>39</v>
      </c>
      <c r="B6511" s="20" t="s">
        <v>73</v>
      </c>
      <c r="C6511" s="20" t="s">
        <v>8</v>
      </c>
      <c r="D6511" s="20" t="s">
        <v>10</v>
      </c>
      <c r="E6511" s="20" t="s">
        <v>27</v>
      </c>
      <c r="F6511" s="20" t="str">
        <f>INDEX(nrg_cb_e!$A$3:$A$40,MATCH(LEFT(MID('Industriesektor GWh'!$B6511,41,1000),SEARCH(" - ",MID('Industriesektor GWh'!$B6511,41,1000))-1),nrg_cb_e!$C$3:$C$40,0))</f>
        <v>FC_IND_TL_E</v>
      </c>
      <c r="G6511" s="21">
        <v>153</v>
      </c>
    </row>
    <row r="6512" spans="1:7" x14ac:dyDescent="0.2">
      <c r="A6512" s="16" t="s">
        <v>39</v>
      </c>
      <c r="B6512" s="17" t="s">
        <v>73</v>
      </c>
      <c r="C6512" s="17" t="s">
        <v>8</v>
      </c>
      <c r="D6512" s="17" t="s">
        <v>10</v>
      </c>
      <c r="E6512" s="17" t="s">
        <v>28</v>
      </c>
      <c r="F6512" s="17" t="str">
        <f>INDEX(nrg_cb_e!$A$3:$A$40,MATCH(LEFT(MID('Industriesektor GWh'!$B6512,41,1000),SEARCH(" - ",MID('Industriesektor GWh'!$B6512,41,1000))-1),nrg_cb_e!$C$3:$C$40,0))</f>
        <v>FC_IND_TL_E</v>
      </c>
      <c r="G6512" s="18">
        <v>148</v>
      </c>
    </row>
    <row r="6513" spans="1:7" x14ac:dyDescent="0.2">
      <c r="A6513" s="19" t="s">
        <v>40</v>
      </c>
      <c r="B6513" s="20" t="s">
        <v>73</v>
      </c>
      <c r="C6513" s="20" t="s">
        <v>8</v>
      </c>
      <c r="D6513" s="20" t="s">
        <v>10</v>
      </c>
      <c r="E6513" s="20" t="s">
        <v>12</v>
      </c>
      <c r="F6513" s="20" t="str">
        <f>INDEX(nrg_cb_e!$A$3:$A$40,MATCH(LEFT(MID('Industriesektor GWh'!$B6513,41,1000),SEARCH(" - ",MID('Industriesektor GWh'!$B6513,41,1000))-1),nrg_cb_e!$C$3:$C$40,0))</f>
        <v>FC_IND_TL_E</v>
      </c>
      <c r="G6513" s="21">
        <v>11058</v>
      </c>
    </row>
    <row r="6514" spans="1:7" x14ac:dyDescent="0.2">
      <c r="A6514" s="16" t="s">
        <v>40</v>
      </c>
      <c r="B6514" s="17" t="s">
        <v>73</v>
      </c>
      <c r="C6514" s="17" t="s">
        <v>8</v>
      </c>
      <c r="D6514" s="17" t="s">
        <v>10</v>
      </c>
      <c r="E6514" s="17" t="s">
        <v>13</v>
      </c>
      <c r="F6514" s="17" t="str">
        <f>INDEX(nrg_cb_e!$A$3:$A$40,MATCH(LEFT(MID('Industriesektor GWh'!$B6514,41,1000),SEARCH(" - ",MID('Industriesektor GWh'!$B6514,41,1000))-1),nrg_cb_e!$C$3:$C$40,0))</f>
        <v>FC_IND_TL_E</v>
      </c>
      <c r="G6514" s="18">
        <v>10537</v>
      </c>
    </row>
    <row r="6515" spans="1:7" x14ac:dyDescent="0.2">
      <c r="A6515" s="19" t="s">
        <v>40</v>
      </c>
      <c r="B6515" s="20" t="s">
        <v>73</v>
      </c>
      <c r="C6515" s="20" t="s">
        <v>8</v>
      </c>
      <c r="D6515" s="20" t="s">
        <v>10</v>
      </c>
      <c r="E6515" s="20" t="s">
        <v>14</v>
      </c>
      <c r="F6515" s="20" t="str">
        <f>INDEX(nrg_cb_e!$A$3:$A$40,MATCH(LEFT(MID('Industriesektor GWh'!$B6515,41,1000),SEARCH(" - ",MID('Industriesektor GWh'!$B6515,41,1000))-1),nrg_cb_e!$C$3:$C$40,0))</f>
        <v>FC_IND_TL_E</v>
      </c>
      <c r="G6515" s="21">
        <v>9788</v>
      </c>
    </row>
    <row r="6516" spans="1:7" x14ac:dyDescent="0.2">
      <c r="A6516" s="16" t="s">
        <v>40</v>
      </c>
      <c r="B6516" s="17" t="s">
        <v>73</v>
      </c>
      <c r="C6516" s="17" t="s">
        <v>8</v>
      </c>
      <c r="D6516" s="17" t="s">
        <v>10</v>
      </c>
      <c r="E6516" s="17" t="s">
        <v>15</v>
      </c>
      <c r="F6516" s="17" t="str">
        <f>INDEX(nrg_cb_e!$A$3:$A$40,MATCH(LEFT(MID('Industriesektor GWh'!$B6516,41,1000),SEARCH(" - ",MID('Industriesektor GWh'!$B6516,41,1000))-1),nrg_cb_e!$C$3:$C$40,0))</f>
        <v>FC_IND_TL_E</v>
      </c>
      <c r="G6516" s="18">
        <v>9119</v>
      </c>
    </row>
    <row r="6517" spans="1:7" x14ac:dyDescent="0.2">
      <c r="A6517" s="19" t="s">
        <v>40</v>
      </c>
      <c r="B6517" s="20" t="s">
        <v>73</v>
      </c>
      <c r="C6517" s="20" t="s">
        <v>8</v>
      </c>
      <c r="D6517" s="20" t="s">
        <v>10</v>
      </c>
      <c r="E6517" s="20" t="s">
        <v>16</v>
      </c>
      <c r="F6517" s="20" t="str">
        <f>INDEX(nrg_cb_e!$A$3:$A$40,MATCH(LEFT(MID('Industriesektor GWh'!$B6517,41,1000),SEARCH(" - ",MID('Industriesektor GWh'!$B6517,41,1000))-1),nrg_cb_e!$C$3:$C$40,0))</f>
        <v>FC_IND_TL_E</v>
      </c>
      <c r="G6517" s="21">
        <v>8936</v>
      </c>
    </row>
    <row r="6518" spans="1:7" x14ac:dyDescent="0.2">
      <c r="A6518" s="16" t="s">
        <v>40</v>
      </c>
      <c r="B6518" s="17" t="s">
        <v>73</v>
      </c>
      <c r="C6518" s="17" t="s">
        <v>8</v>
      </c>
      <c r="D6518" s="17" t="s">
        <v>10</v>
      </c>
      <c r="E6518" s="17" t="s">
        <v>17</v>
      </c>
      <c r="F6518" s="17" t="str">
        <f>INDEX(nrg_cb_e!$A$3:$A$40,MATCH(LEFT(MID('Industriesektor GWh'!$B6518,41,1000),SEARCH(" - ",MID('Industriesektor GWh'!$B6518,41,1000))-1),nrg_cb_e!$C$3:$C$40,0))</f>
        <v>FC_IND_TL_E</v>
      </c>
      <c r="G6518" s="18">
        <v>8410</v>
      </c>
    </row>
    <row r="6519" spans="1:7" x14ac:dyDescent="0.2">
      <c r="A6519" s="19" t="s">
        <v>40</v>
      </c>
      <c r="B6519" s="20" t="s">
        <v>73</v>
      </c>
      <c r="C6519" s="20" t="s">
        <v>8</v>
      </c>
      <c r="D6519" s="20" t="s">
        <v>10</v>
      </c>
      <c r="E6519" s="20" t="s">
        <v>18</v>
      </c>
      <c r="F6519" s="20" t="str">
        <f>INDEX(nrg_cb_e!$A$3:$A$40,MATCH(LEFT(MID('Industriesektor GWh'!$B6519,41,1000),SEARCH(" - ",MID('Industriesektor GWh'!$B6519,41,1000))-1),nrg_cb_e!$C$3:$C$40,0))</f>
        <v>FC_IND_TL_E</v>
      </c>
      <c r="G6519" s="21">
        <v>7568</v>
      </c>
    </row>
    <row r="6520" spans="1:7" x14ac:dyDescent="0.2">
      <c r="A6520" s="16" t="s">
        <v>40</v>
      </c>
      <c r="B6520" s="17" t="s">
        <v>73</v>
      </c>
      <c r="C6520" s="17" t="s">
        <v>8</v>
      </c>
      <c r="D6520" s="17" t="s">
        <v>10</v>
      </c>
      <c r="E6520" s="17" t="s">
        <v>19</v>
      </c>
      <c r="F6520" s="17" t="str">
        <f>INDEX(nrg_cb_e!$A$3:$A$40,MATCH(LEFT(MID('Industriesektor GWh'!$B6520,41,1000),SEARCH(" - ",MID('Industriesektor GWh'!$B6520,41,1000))-1),nrg_cb_e!$C$3:$C$40,0))</f>
        <v>FC_IND_TL_E</v>
      </c>
      <c r="G6520" s="18">
        <v>6197</v>
      </c>
    </row>
    <row r="6521" spans="1:7" x14ac:dyDescent="0.2">
      <c r="A6521" s="19" t="s">
        <v>40</v>
      </c>
      <c r="B6521" s="20" t="s">
        <v>73</v>
      </c>
      <c r="C6521" s="20" t="s">
        <v>8</v>
      </c>
      <c r="D6521" s="20" t="s">
        <v>10</v>
      </c>
      <c r="E6521" s="20" t="s">
        <v>20</v>
      </c>
      <c r="F6521" s="20" t="str">
        <f>INDEX(nrg_cb_e!$A$3:$A$40,MATCH(LEFT(MID('Industriesektor GWh'!$B6521,41,1000),SEARCH(" - ",MID('Industriesektor GWh'!$B6521,41,1000))-1),nrg_cb_e!$C$3:$C$40,0))</f>
        <v>FC_IND_TL_E</v>
      </c>
      <c r="G6521" s="21">
        <v>6334</v>
      </c>
    </row>
    <row r="6522" spans="1:7" x14ac:dyDescent="0.2">
      <c r="A6522" s="16" t="s">
        <v>40</v>
      </c>
      <c r="B6522" s="17" t="s">
        <v>73</v>
      </c>
      <c r="C6522" s="17" t="s">
        <v>8</v>
      </c>
      <c r="D6522" s="17" t="s">
        <v>10</v>
      </c>
      <c r="E6522" s="17" t="s">
        <v>21</v>
      </c>
      <c r="F6522" s="17" t="str">
        <f>INDEX(nrg_cb_e!$A$3:$A$40,MATCH(LEFT(MID('Industriesektor GWh'!$B6522,41,1000),SEARCH(" - ",MID('Industriesektor GWh'!$B6522,41,1000))-1),nrg_cb_e!$C$3:$C$40,0))</f>
        <v>FC_IND_TL_E</v>
      </c>
      <c r="G6522" s="18">
        <v>6064</v>
      </c>
    </row>
    <row r="6523" spans="1:7" x14ac:dyDescent="0.2">
      <c r="A6523" s="19" t="s">
        <v>40</v>
      </c>
      <c r="B6523" s="20" t="s">
        <v>73</v>
      </c>
      <c r="C6523" s="20" t="s">
        <v>8</v>
      </c>
      <c r="D6523" s="20" t="s">
        <v>10</v>
      </c>
      <c r="E6523" s="20" t="s">
        <v>22</v>
      </c>
      <c r="F6523" s="20" t="str">
        <f>INDEX(nrg_cb_e!$A$3:$A$40,MATCH(LEFT(MID('Industriesektor GWh'!$B6523,41,1000),SEARCH(" - ",MID('Industriesektor GWh'!$B6523,41,1000))-1),nrg_cb_e!$C$3:$C$40,0))</f>
        <v>FC_IND_TL_E</v>
      </c>
      <c r="G6523" s="21">
        <v>5523</v>
      </c>
    </row>
    <row r="6524" spans="1:7" x14ac:dyDescent="0.2">
      <c r="A6524" s="16" t="s">
        <v>40</v>
      </c>
      <c r="B6524" s="17" t="s">
        <v>73</v>
      </c>
      <c r="C6524" s="17" t="s">
        <v>8</v>
      </c>
      <c r="D6524" s="17" t="s">
        <v>10</v>
      </c>
      <c r="E6524" s="17" t="s">
        <v>23</v>
      </c>
      <c r="F6524" s="17" t="str">
        <f>INDEX(nrg_cb_e!$A$3:$A$40,MATCH(LEFT(MID('Industriesektor GWh'!$B6524,41,1000),SEARCH(" - ",MID('Industriesektor GWh'!$B6524,41,1000))-1),nrg_cb_e!$C$3:$C$40,0))</f>
        <v>FC_IND_TL_E</v>
      </c>
      <c r="G6524" s="18">
        <v>5343</v>
      </c>
    </row>
    <row r="6525" spans="1:7" x14ac:dyDescent="0.2">
      <c r="A6525" s="19" t="s">
        <v>40</v>
      </c>
      <c r="B6525" s="20" t="s">
        <v>73</v>
      </c>
      <c r="C6525" s="20" t="s">
        <v>8</v>
      </c>
      <c r="D6525" s="20" t="s">
        <v>10</v>
      </c>
      <c r="E6525" s="20" t="s">
        <v>24</v>
      </c>
      <c r="F6525" s="20" t="str">
        <f>INDEX(nrg_cb_e!$A$3:$A$40,MATCH(LEFT(MID('Industriesektor GWh'!$B6525,41,1000),SEARCH(" - ",MID('Industriesektor GWh'!$B6525,41,1000))-1),nrg_cb_e!$C$3:$C$40,0))</f>
        <v>FC_IND_TL_E</v>
      </c>
      <c r="G6525" s="21">
        <v>5237</v>
      </c>
    </row>
    <row r="6526" spans="1:7" x14ac:dyDescent="0.2">
      <c r="A6526" s="16" t="s">
        <v>40</v>
      </c>
      <c r="B6526" s="17" t="s">
        <v>73</v>
      </c>
      <c r="C6526" s="17" t="s">
        <v>8</v>
      </c>
      <c r="D6526" s="17" t="s">
        <v>10</v>
      </c>
      <c r="E6526" s="17" t="s">
        <v>25</v>
      </c>
      <c r="F6526" s="17" t="str">
        <f>INDEX(nrg_cb_e!$A$3:$A$40,MATCH(LEFT(MID('Industriesektor GWh'!$B6526,41,1000),SEARCH(" - ",MID('Industriesektor GWh'!$B6526,41,1000))-1),nrg_cb_e!$C$3:$C$40,0))</f>
        <v>FC_IND_TL_E</v>
      </c>
      <c r="G6526" s="18">
        <v>5232</v>
      </c>
    </row>
    <row r="6527" spans="1:7" x14ac:dyDescent="0.2">
      <c r="A6527" s="19" t="s">
        <v>40</v>
      </c>
      <c r="B6527" s="20" t="s">
        <v>73</v>
      </c>
      <c r="C6527" s="20" t="s">
        <v>8</v>
      </c>
      <c r="D6527" s="20" t="s">
        <v>10</v>
      </c>
      <c r="E6527" s="20" t="s">
        <v>26</v>
      </c>
      <c r="F6527" s="20" t="str">
        <f>INDEX(nrg_cb_e!$A$3:$A$40,MATCH(LEFT(MID('Industriesektor GWh'!$B6527,41,1000),SEARCH(" - ",MID('Industriesektor GWh'!$B6527,41,1000))-1),nrg_cb_e!$C$3:$C$40,0))</f>
        <v>FC_IND_TL_E</v>
      </c>
      <c r="G6527" s="21">
        <v>5153</v>
      </c>
    </row>
    <row r="6528" spans="1:7" x14ac:dyDescent="0.2">
      <c r="A6528" s="16" t="s">
        <v>40</v>
      </c>
      <c r="B6528" s="17" t="s">
        <v>73</v>
      </c>
      <c r="C6528" s="17" t="s">
        <v>8</v>
      </c>
      <c r="D6528" s="17" t="s">
        <v>10</v>
      </c>
      <c r="E6528" s="17" t="s">
        <v>27</v>
      </c>
      <c r="F6528" s="17" t="str">
        <f>INDEX(nrg_cb_e!$A$3:$A$40,MATCH(LEFT(MID('Industriesektor GWh'!$B6528,41,1000),SEARCH(" - ",MID('Industriesektor GWh'!$B6528,41,1000))-1),nrg_cb_e!$C$3:$C$40,0))</f>
        <v>FC_IND_TL_E</v>
      </c>
      <c r="G6528" s="18">
        <v>5164.2939999999999</v>
      </c>
    </row>
    <row r="6529" spans="1:7" x14ac:dyDescent="0.2">
      <c r="A6529" s="19" t="s">
        <v>40</v>
      </c>
      <c r="B6529" s="20" t="s">
        <v>73</v>
      </c>
      <c r="C6529" s="20" t="s">
        <v>8</v>
      </c>
      <c r="D6529" s="20" t="s">
        <v>10</v>
      </c>
      <c r="E6529" s="20" t="s">
        <v>28</v>
      </c>
      <c r="F6529" s="20" t="str">
        <f>INDEX(nrg_cb_e!$A$3:$A$40,MATCH(LEFT(MID('Industriesektor GWh'!$B6529,41,1000),SEARCH(" - ",MID('Industriesektor GWh'!$B6529,41,1000))-1),nrg_cb_e!$C$3:$C$40,0))</f>
        <v>FC_IND_TL_E</v>
      </c>
      <c r="G6529" s="21">
        <v>5119.7640000000001</v>
      </c>
    </row>
    <row r="6530" spans="1:7" x14ac:dyDescent="0.2">
      <c r="A6530" s="16" t="s">
        <v>41</v>
      </c>
      <c r="B6530" s="17" t="s">
        <v>73</v>
      </c>
      <c r="C6530" s="17" t="s">
        <v>8</v>
      </c>
      <c r="D6530" s="17" t="s">
        <v>10</v>
      </c>
      <c r="E6530" s="17" t="s">
        <v>12</v>
      </c>
      <c r="F6530" s="17" t="str">
        <f>INDEX(nrg_cb_e!$A$3:$A$40,MATCH(LEFT(MID('Industriesektor GWh'!$B6530,41,1000),SEARCH(" - ",MID('Industriesektor GWh'!$B6530,41,1000))-1),nrg_cb_e!$C$3:$C$40,0))</f>
        <v>FC_IND_TL_E</v>
      </c>
      <c r="G6530" s="18">
        <v>13</v>
      </c>
    </row>
    <row r="6531" spans="1:7" x14ac:dyDescent="0.2">
      <c r="A6531" s="19" t="s">
        <v>41</v>
      </c>
      <c r="B6531" s="20" t="s">
        <v>73</v>
      </c>
      <c r="C6531" s="20" t="s">
        <v>8</v>
      </c>
      <c r="D6531" s="20" t="s">
        <v>10</v>
      </c>
      <c r="E6531" s="20" t="s">
        <v>13</v>
      </c>
      <c r="F6531" s="20" t="str">
        <f>INDEX(nrg_cb_e!$A$3:$A$40,MATCH(LEFT(MID('Industriesektor GWh'!$B6531,41,1000),SEARCH(" - ",MID('Industriesektor GWh'!$B6531,41,1000))-1),nrg_cb_e!$C$3:$C$40,0))</f>
        <v>FC_IND_TL_E</v>
      </c>
      <c r="G6531" s="21">
        <v>13</v>
      </c>
    </row>
    <row r="6532" spans="1:7" x14ac:dyDescent="0.2">
      <c r="A6532" s="16" t="s">
        <v>41</v>
      </c>
      <c r="B6532" s="17" t="s">
        <v>73</v>
      </c>
      <c r="C6532" s="17" t="s">
        <v>8</v>
      </c>
      <c r="D6532" s="17" t="s">
        <v>10</v>
      </c>
      <c r="E6532" s="17" t="s">
        <v>14</v>
      </c>
      <c r="F6532" s="17" t="str">
        <f>INDEX(nrg_cb_e!$A$3:$A$40,MATCH(LEFT(MID('Industriesektor GWh'!$B6532,41,1000),SEARCH(" - ",MID('Industriesektor GWh'!$B6532,41,1000))-1),nrg_cb_e!$C$3:$C$40,0))</f>
        <v>FC_IND_TL_E</v>
      </c>
      <c r="G6532" s="18">
        <v>11</v>
      </c>
    </row>
    <row r="6533" spans="1:7" x14ac:dyDescent="0.2">
      <c r="A6533" s="19" t="s">
        <v>41</v>
      </c>
      <c r="B6533" s="20" t="s">
        <v>73</v>
      </c>
      <c r="C6533" s="20" t="s">
        <v>8</v>
      </c>
      <c r="D6533" s="20" t="s">
        <v>10</v>
      </c>
      <c r="E6533" s="20" t="s">
        <v>15</v>
      </c>
      <c r="F6533" s="20" t="str">
        <f>INDEX(nrg_cb_e!$A$3:$A$40,MATCH(LEFT(MID('Industriesektor GWh'!$B6533,41,1000),SEARCH(" - ",MID('Industriesektor GWh'!$B6533,41,1000))-1),nrg_cb_e!$C$3:$C$40,0))</f>
        <v>FC_IND_TL_E</v>
      </c>
      <c r="G6533" s="21">
        <v>11</v>
      </c>
    </row>
    <row r="6534" spans="1:7" x14ac:dyDescent="0.2">
      <c r="A6534" s="16" t="s">
        <v>41</v>
      </c>
      <c r="B6534" s="17" t="s">
        <v>73</v>
      </c>
      <c r="C6534" s="17" t="s">
        <v>8</v>
      </c>
      <c r="D6534" s="17" t="s">
        <v>10</v>
      </c>
      <c r="E6534" s="17" t="s">
        <v>16</v>
      </c>
      <c r="F6534" s="17" t="str">
        <f>INDEX(nrg_cb_e!$A$3:$A$40,MATCH(LEFT(MID('Industriesektor GWh'!$B6534,41,1000),SEARCH(" - ",MID('Industriesektor GWh'!$B6534,41,1000))-1),nrg_cb_e!$C$3:$C$40,0))</f>
        <v>FC_IND_TL_E</v>
      </c>
      <c r="G6534" s="18">
        <v>10</v>
      </c>
    </row>
    <row r="6535" spans="1:7" x14ac:dyDescent="0.2">
      <c r="A6535" s="19" t="s">
        <v>41</v>
      </c>
      <c r="B6535" s="20" t="s">
        <v>73</v>
      </c>
      <c r="C6535" s="20" t="s">
        <v>8</v>
      </c>
      <c r="D6535" s="20" t="s">
        <v>10</v>
      </c>
      <c r="E6535" s="20" t="s">
        <v>17</v>
      </c>
      <c r="F6535" s="20" t="str">
        <f>INDEX(nrg_cb_e!$A$3:$A$40,MATCH(LEFT(MID('Industriesektor GWh'!$B6535,41,1000),SEARCH(" - ",MID('Industriesektor GWh'!$B6535,41,1000))-1),nrg_cb_e!$C$3:$C$40,0))</f>
        <v>FC_IND_TL_E</v>
      </c>
      <c r="G6535" s="21">
        <v>9</v>
      </c>
    </row>
    <row r="6536" spans="1:7" x14ac:dyDescent="0.2">
      <c r="A6536" s="16" t="s">
        <v>41</v>
      </c>
      <c r="B6536" s="17" t="s">
        <v>73</v>
      </c>
      <c r="C6536" s="17" t="s">
        <v>8</v>
      </c>
      <c r="D6536" s="17" t="s">
        <v>10</v>
      </c>
      <c r="E6536" s="17" t="s">
        <v>18</v>
      </c>
      <c r="F6536" s="17" t="str">
        <f>INDEX(nrg_cb_e!$A$3:$A$40,MATCH(LEFT(MID('Industriesektor GWh'!$B6536,41,1000),SEARCH(" - ",MID('Industriesektor GWh'!$B6536,41,1000))-1),nrg_cb_e!$C$3:$C$40,0))</f>
        <v>FC_IND_TL_E</v>
      </c>
      <c r="G6536" s="18">
        <v>9</v>
      </c>
    </row>
    <row r="6537" spans="1:7" x14ac:dyDescent="0.2">
      <c r="A6537" s="19" t="s">
        <v>41</v>
      </c>
      <c r="B6537" s="20" t="s">
        <v>73</v>
      </c>
      <c r="C6537" s="20" t="s">
        <v>8</v>
      </c>
      <c r="D6537" s="20" t="s">
        <v>10</v>
      </c>
      <c r="E6537" s="20" t="s">
        <v>19</v>
      </c>
      <c r="F6537" s="20" t="str">
        <f>INDEX(nrg_cb_e!$A$3:$A$40,MATCH(LEFT(MID('Industriesektor GWh'!$B6537,41,1000),SEARCH(" - ",MID('Industriesektor GWh'!$B6537,41,1000))-1),nrg_cb_e!$C$3:$C$40,0))</f>
        <v>FC_IND_TL_E</v>
      </c>
      <c r="G6537" s="21">
        <v>9</v>
      </c>
    </row>
    <row r="6538" spans="1:7" x14ac:dyDescent="0.2">
      <c r="A6538" s="16" t="s">
        <v>41</v>
      </c>
      <c r="B6538" s="17" t="s">
        <v>73</v>
      </c>
      <c r="C6538" s="17" t="s">
        <v>8</v>
      </c>
      <c r="D6538" s="17" t="s">
        <v>10</v>
      </c>
      <c r="E6538" s="17" t="s">
        <v>20</v>
      </c>
      <c r="F6538" s="17" t="str">
        <f>INDEX(nrg_cb_e!$A$3:$A$40,MATCH(LEFT(MID('Industriesektor GWh'!$B6538,41,1000),SEARCH(" - ",MID('Industriesektor GWh'!$B6538,41,1000))-1),nrg_cb_e!$C$3:$C$40,0))</f>
        <v>FC_IND_TL_E</v>
      </c>
      <c r="G6538" s="18">
        <v>8</v>
      </c>
    </row>
    <row r="6539" spans="1:7" x14ac:dyDescent="0.2">
      <c r="A6539" s="19" t="s">
        <v>41</v>
      </c>
      <c r="B6539" s="20" t="s">
        <v>73</v>
      </c>
      <c r="C6539" s="20" t="s">
        <v>8</v>
      </c>
      <c r="D6539" s="20" t="s">
        <v>10</v>
      </c>
      <c r="E6539" s="20" t="s">
        <v>21</v>
      </c>
      <c r="F6539" s="20" t="str">
        <f>INDEX(nrg_cb_e!$A$3:$A$40,MATCH(LEFT(MID('Industriesektor GWh'!$B6539,41,1000),SEARCH(" - ",MID('Industriesektor GWh'!$B6539,41,1000))-1),nrg_cb_e!$C$3:$C$40,0))</f>
        <v>FC_IND_TL_E</v>
      </c>
      <c r="G6539" s="21">
        <v>7</v>
      </c>
    </row>
    <row r="6540" spans="1:7" x14ac:dyDescent="0.2">
      <c r="A6540" s="16" t="s">
        <v>41</v>
      </c>
      <c r="B6540" s="17" t="s">
        <v>73</v>
      </c>
      <c r="C6540" s="17" t="s">
        <v>8</v>
      </c>
      <c r="D6540" s="17" t="s">
        <v>10</v>
      </c>
      <c r="E6540" s="17" t="s">
        <v>22</v>
      </c>
      <c r="F6540" s="17" t="str">
        <f>INDEX(nrg_cb_e!$A$3:$A$40,MATCH(LEFT(MID('Industriesektor GWh'!$B6540,41,1000),SEARCH(" - ",MID('Industriesektor GWh'!$B6540,41,1000))-1),nrg_cb_e!$C$3:$C$40,0))</f>
        <v>FC_IND_TL_E</v>
      </c>
      <c r="G6540" s="18">
        <v>6</v>
      </c>
    </row>
    <row r="6541" spans="1:7" x14ac:dyDescent="0.2">
      <c r="A6541" s="19" t="s">
        <v>41</v>
      </c>
      <c r="B6541" s="20" t="s">
        <v>73</v>
      </c>
      <c r="C6541" s="20" t="s">
        <v>8</v>
      </c>
      <c r="D6541" s="20" t="s">
        <v>10</v>
      </c>
      <c r="E6541" s="20" t="s">
        <v>23</v>
      </c>
      <c r="F6541" s="20" t="str">
        <f>INDEX(nrg_cb_e!$A$3:$A$40,MATCH(LEFT(MID('Industriesektor GWh'!$B6541,41,1000),SEARCH(" - ",MID('Industriesektor GWh'!$B6541,41,1000))-1),nrg_cb_e!$C$3:$C$40,0))</f>
        <v>FC_IND_TL_E</v>
      </c>
      <c r="G6541" s="21">
        <v>6</v>
      </c>
    </row>
    <row r="6542" spans="1:7" x14ac:dyDescent="0.2">
      <c r="A6542" s="16" t="s">
        <v>41</v>
      </c>
      <c r="B6542" s="17" t="s">
        <v>73</v>
      </c>
      <c r="C6542" s="17" t="s">
        <v>8</v>
      </c>
      <c r="D6542" s="17" t="s">
        <v>10</v>
      </c>
      <c r="E6542" s="17" t="s">
        <v>24</v>
      </c>
      <c r="F6542" s="17" t="str">
        <f>INDEX(nrg_cb_e!$A$3:$A$40,MATCH(LEFT(MID('Industriesektor GWh'!$B6542,41,1000),SEARCH(" - ",MID('Industriesektor GWh'!$B6542,41,1000))-1),nrg_cb_e!$C$3:$C$40,0))</f>
        <v>FC_IND_TL_E</v>
      </c>
      <c r="G6542" s="18">
        <v>5</v>
      </c>
    </row>
    <row r="6543" spans="1:7" x14ac:dyDescent="0.2">
      <c r="A6543" s="19" t="s">
        <v>41</v>
      </c>
      <c r="B6543" s="20" t="s">
        <v>73</v>
      </c>
      <c r="C6543" s="20" t="s">
        <v>8</v>
      </c>
      <c r="D6543" s="20" t="s">
        <v>10</v>
      </c>
      <c r="E6543" s="20" t="s">
        <v>25</v>
      </c>
      <c r="F6543" s="20" t="str">
        <f>INDEX(nrg_cb_e!$A$3:$A$40,MATCH(LEFT(MID('Industriesektor GWh'!$B6543,41,1000),SEARCH(" - ",MID('Industriesektor GWh'!$B6543,41,1000))-1),nrg_cb_e!$C$3:$C$40,0))</f>
        <v>FC_IND_TL_E</v>
      </c>
      <c r="G6543" s="21">
        <v>5</v>
      </c>
    </row>
    <row r="6544" spans="1:7" x14ac:dyDescent="0.2">
      <c r="A6544" s="16" t="s">
        <v>41</v>
      </c>
      <c r="B6544" s="17" t="s">
        <v>73</v>
      </c>
      <c r="C6544" s="17" t="s">
        <v>8</v>
      </c>
      <c r="D6544" s="17" t="s">
        <v>10</v>
      </c>
      <c r="E6544" s="17" t="s">
        <v>26</v>
      </c>
      <c r="F6544" s="17" t="str">
        <f>INDEX(nrg_cb_e!$A$3:$A$40,MATCH(LEFT(MID('Industriesektor GWh'!$B6544,41,1000),SEARCH(" - ",MID('Industriesektor GWh'!$B6544,41,1000))-1),nrg_cb_e!$C$3:$C$40,0))</f>
        <v>FC_IND_TL_E</v>
      </c>
      <c r="G6544" s="18">
        <v>5</v>
      </c>
    </row>
    <row r="6545" spans="1:7" x14ac:dyDescent="0.2">
      <c r="A6545" s="19" t="s">
        <v>41</v>
      </c>
      <c r="B6545" s="20" t="s">
        <v>73</v>
      </c>
      <c r="C6545" s="20" t="s">
        <v>8</v>
      </c>
      <c r="D6545" s="20" t="s">
        <v>10</v>
      </c>
      <c r="E6545" s="20" t="s">
        <v>27</v>
      </c>
      <c r="F6545" s="20" t="str">
        <f>INDEX(nrg_cb_e!$A$3:$A$40,MATCH(LEFT(MID('Industriesektor GWh'!$B6545,41,1000),SEARCH(" - ",MID('Industriesektor GWh'!$B6545,41,1000))-1),nrg_cb_e!$C$3:$C$40,0))</f>
        <v>FC_IND_TL_E</v>
      </c>
      <c r="G6545" s="21">
        <v>4.8769999999999998</v>
      </c>
    </row>
    <row r="6546" spans="1:7" x14ac:dyDescent="0.2">
      <c r="A6546" s="16" t="s">
        <v>41</v>
      </c>
      <c r="B6546" s="17" t="s">
        <v>73</v>
      </c>
      <c r="C6546" s="17" t="s">
        <v>8</v>
      </c>
      <c r="D6546" s="17" t="s">
        <v>10</v>
      </c>
      <c r="E6546" s="17" t="s">
        <v>28</v>
      </c>
      <c r="F6546" s="17" t="str">
        <f>INDEX(nrg_cb_e!$A$3:$A$40,MATCH(LEFT(MID('Industriesektor GWh'!$B6546,41,1000),SEARCH(" - ",MID('Industriesektor GWh'!$B6546,41,1000))-1),nrg_cb_e!$C$3:$C$40,0))</f>
        <v>FC_IND_TL_E</v>
      </c>
      <c r="G6546" s="18">
        <v>4.9660000000000002</v>
      </c>
    </row>
    <row r="6547" spans="1:7" x14ac:dyDescent="0.2">
      <c r="A6547" s="19" t="s">
        <v>42</v>
      </c>
      <c r="B6547" s="20" t="s">
        <v>73</v>
      </c>
      <c r="C6547" s="20" t="s">
        <v>8</v>
      </c>
      <c r="D6547" s="20" t="s">
        <v>10</v>
      </c>
      <c r="E6547" s="20" t="s">
        <v>12</v>
      </c>
      <c r="F6547" s="20" t="str">
        <f>INDEX(nrg_cb_e!$A$3:$A$40,MATCH(LEFT(MID('Industriesektor GWh'!$B6547,41,1000),SEARCH(" - ",MID('Industriesektor GWh'!$B6547,41,1000))-1),nrg_cb_e!$C$3:$C$40,0))</f>
        <v>FC_IND_TL_E</v>
      </c>
      <c r="G6547" s="21">
        <v>213</v>
      </c>
    </row>
    <row r="6548" spans="1:7" x14ac:dyDescent="0.2">
      <c r="A6548" s="16" t="s">
        <v>42</v>
      </c>
      <c r="B6548" s="17" t="s">
        <v>73</v>
      </c>
      <c r="C6548" s="17" t="s">
        <v>8</v>
      </c>
      <c r="D6548" s="17" t="s">
        <v>10</v>
      </c>
      <c r="E6548" s="17" t="s">
        <v>13</v>
      </c>
      <c r="F6548" s="17" t="str">
        <f>INDEX(nrg_cb_e!$A$3:$A$40,MATCH(LEFT(MID('Industriesektor GWh'!$B6548,41,1000),SEARCH(" - ",MID('Industriesektor GWh'!$B6548,41,1000))-1),nrg_cb_e!$C$3:$C$40,0))</f>
        <v>FC_IND_TL_E</v>
      </c>
      <c r="G6548" s="18">
        <v>212</v>
      </c>
    </row>
    <row r="6549" spans="1:7" x14ac:dyDescent="0.2">
      <c r="A6549" s="19" t="s">
        <v>42</v>
      </c>
      <c r="B6549" s="20" t="s">
        <v>73</v>
      </c>
      <c r="C6549" s="20" t="s">
        <v>8</v>
      </c>
      <c r="D6549" s="20" t="s">
        <v>10</v>
      </c>
      <c r="E6549" s="20" t="s">
        <v>14</v>
      </c>
      <c r="F6549" s="20" t="str">
        <f>INDEX(nrg_cb_e!$A$3:$A$40,MATCH(LEFT(MID('Industriesektor GWh'!$B6549,41,1000),SEARCH(" - ",MID('Industriesektor GWh'!$B6549,41,1000))-1),nrg_cb_e!$C$3:$C$40,0))</f>
        <v>FC_IND_TL_E</v>
      </c>
      <c r="G6549" s="21">
        <v>190</v>
      </c>
    </row>
    <row r="6550" spans="1:7" x14ac:dyDescent="0.2">
      <c r="A6550" s="16" t="s">
        <v>42</v>
      </c>
      <c r="B6550" s="17" t="s">
        <v>73</v>
      </c>
      <c r="C6550" s="17" t="s">
        <v>8</v>
      </c>
      <c r="D6550" s="17" t="s">
        <v>10</v>
      </c>
      <c r="E6550" s="17" t="s">
        <v>15</v>
      </c>
      <c r="F6550" s="17" t="str">
        <f>INDEX(nrg_cb_e!$A$3:$A$40,MATCH(LEFT(MID('Industriesektor GWh'!$B6550,41,1000),SEARCH(" - ",MID('Industriesektor GWh'!$B6550,41,1000))-1),nrg_cb_e!$C$3:$C$40,0))</f>
        <v>FC_IND_TL_E</v>
      </c>
      <c r="G6550" s="18">
        <v>114</v>
      </c>
    </row>
    <row r="6551" spans="1:7" x14ac:dyDescent="0.2">
      <c r="A6551" s="19" t="s">
        <v>42</v>
      </c>
      <c r="B6551" s="20" t="s">
        <v>73</v>
      </c>
      <c r="C6551" s="20" t="s">
        <v>8</v>
      </c>
      <c r="D6551" s="20" t="s">
        <v>10</v>
      </c>
      <c r="E6551" s="20" t="s">
        <v>16</v>
      </c>
      <c r="F6551" s="20" t="str">
        <f>INDEX(nrg_cb_e!$A$3:$A$40,MATCH(LEFT(MID('Industriesektor GWh'!$B6551,41,1000),SEARCH(" - ",MID('Industriesektor GWh'!$B6551,41,1000))-1),nrg_cb_e!$C$3:$C$40,0))</f>
        <v>FC_IND_TL_E</v>
      </c>
      <c r="G6551" s="21">
        <v>99</v>
      </c>
    </row>
    <row r="6552" spans="1:7" x14ac:dyDescent="0.2">
      <c r="A6552" s="16" t="s">
        <v>42</v>
      </c>
      <c r="B6552" s="17" t="s">
        <v>73</v>
      </c>
      <c r="C6552" s="17" t="s">
        <v>8</v>
      </c>
      <c r="D6552" s="17" t="s">
        <v>10</v>
      </c>
      <c r="E6552" s="17" t="s">
        <v>17</v>
      </c>
      <c r="F6552" s="17" t="str">
        <f>INDEX(nrg_cb_e!$A$3:$A$40,MATCH(LEFT(MID('Industriesektor GWh'!$B6552,41,1000),SEARCH(" - ",MID('Industriesektor GWh'!$B6552,41,1000))-1),nrg_cb_e!$C$3:$C$40,0))</f>
        <v>FC_IND_TL_E</v>
      </c>
      <c r="G6552" s="18">
        <v>103</v>
      </c>
    </row>
    <row r="6553" spans="1:7" x14ac:dyDescent="0.2">
      <c r="A6553" s="19" t="s">
        <v>42</v>
      </c>
      <c r="B6553" s="20" t="s">
        <v>73</v>
      </c>
      <c r="C6553" s="20" t="s">
        <v>8</v>
      </c>
      <c r="D6553" s="20" t="s">
        <v>10</v>
      </c>
      <c r="E6553" s="20" t="s">
        <v>18</v>
      </c>
      <c r="F6553" s="20" t="str">
        <f>INDEX(nrg_cb_e!$A$3:$A$40,MATCH(LEFT(MID('Industriesektor GWh'!$B6553,41,1000),SEARCH(" - ",MID('Industriesektor GWh'!$B6553,41,1000))-1),nrg_cb_e!$C$3:$C$40,0))</f>
        <v>FC_IND_TL_E</v>
      </c>
      <c r="G6553" s="21">
        <v>70</v>
      </c>
    </row>
    <row r="6554" spans="1:7" x14ac:dyDescent="0.2">
      <c r="A6554" s="16" t="s">
        <v>42</v>
      </c>
      <c r="B6554" s="17" t="s">
        <v>73</v>
      </c>
      <c r="C6554" s="17" t="s">
        <v>8</v>
      </c>
      <c r="D6554" s="17" t="s">
        <v>10</v>
      </c>
      <c r="E6554" s="17" t="s">
        <v>19</v>
      </c>
      <c r="F6554" s="17" t="str">
        <f>INDEX(nrg_cb_e!$A$3:$A$40,MATCH(LEFT(MID('Industriesektor GWh'!$B6554,41,1000),SEARCH(" - ",MID('Industriesektor GWh'!$B6554,41,1000))-1),nrg_cb_e!$C$3:$C$40,0))</f>
        <v>FC_IND_TL_E</v>
      </c>
      <c r="G6554" s="18">
        <v>51</v>
      </c>
    </row>
    <row r="6555" spans="1:7" x14ac:dyDescent="0.2">
      <c r="A6555" s="19" t="s">
        <v>42</v>
      </c>
      <c r="B6555" s="20" t="s">
        <v>73</v>
      </c>
      <c r="C6555" s="20" t="s">
        <v>8</v>
      </c>
      <c r="D6555" s="20" t="s">
        <v>10</v>
      </c>
      <c r="E6555" s="20" t="s">
        <v>20</v>
      </c>
      <c r="F6555" s="20" t="str">
        <f>INDEX(nrg_cb_e!$A$3:$A$40,MATCH(LEFT(MID('Industriesektor GWh'!$B6555,41,1000),SEARCH(" - ",MID('Industriesektor GWh'!$B6555,41,1000))-1),nrg_cb_e!$C$3:$C$40,0))</f>
        <v>FC_IND_TL_E</v>
      </c>
      <c r="G6555" s="21">
        <v>40</v>
      </c>
    </row>
    <row r="6556" spans="1:7" x14ac:dyDescent="0.2">
      <c r="A6556" s="16" t="s">
        <v>42</v>
      </c>
      <c r="B6556" s="17" t="s">
        <v>73</v>
      </c>
      <c r="C6556" s="17" t="s">
        <v>8</v>
      </c>
      <c r="D6556" s="17" t="s">
        <v>10</v>
      </c>
      <c r="E6556" s="17" t="s">
        <v>21</v>
      </c>
      <c r="F6556" s="17" t="str">
        <f>INDEX(nrg_cb_e!$A$3:$A$40,MATCH(LEFT(MID('Industriesektor GWh'!$B6556,41,1000),SEARCH(" - ",MID('Industriesektor GWh'!$B6556,41,1000))-1),nrg_cb_e!$C$3:$C$40,0))</f>
        <v>FC_IND_TL_E</v>
      </c>
      <c r="G6556" s="18">
        <v>42</v>
      </c>
    </row>
    <row r="6557" spans="1:7" x14ac:dyDescent="0.2">
      <c r="A6557" s="19" t="s">
        <v>42</v>
      </c>
      <c r="B6557" s="20" t="s">
        <v>73</v>
      </c>
      <c r="C6557" s="20" t="s">
        <v>8</v>
      </c>
      <c r="D6557" s="20" t="s">
        <v>10</v>
      </c>
      <c r="E6557" s="20" t="s">
        <v>22</v>
      </c>
      <c r="F6557" s="20" t="str">
        <f>INDEX(nrg_cb_e!$A$3:$A$40,MATCH(LEFT(MID('Industriesektor GWh'!$B6557,41,1000),SEARCH(" - ",MID('Industriesektor GWh'!$B6557,41,1000))-1),nrg_cb_e!$C$3:$C$40,0))</f>
        <v>FC_IND_TL_E</v>
      </c>
      <c r="G6557" s="21">
        <v>36</v>
      </c>
    </row>
    <row r="6558" spans="1:7" x14ac:dyDescent="0.2">
      <c r="A6558" s="16" t="s">
        <v>42</v>
      </c>
      <c r="B6558" s="17" t="s">
        <v>73</v>
      </c>
      <c r="C6558" s="17" t="s">
        <v>8</v>
      </c>
      <c r="D6558" s="17" t="s">
        <v>10</v>
      </c>
      <c r="E6558" s="17" t="s">
        <v>23</v>
      </c>
      <c r="F6558" s="17" t="str">
        <f>INDEX(nrg_cb_e!$A$3:$A$40,MATCH(LEFT(MID('Industriesektor GWh'!$B6558,41,1000),SEARCH(" - ",MID('Industriesektor GWh'!$B6558,41,1000))-1),nrg_cb_e!$C$3:$C$40,0))</f>
        <v>FC_IND_TL_E</v>
      </c>
      <c r="G6558" s="18">
        <v>41</v>
      </c>
    </row>
    <row r="6559" spans="1:7" x14ac:dyDescent="0.2">
      <c r="A6559" s="19" t="s">
        <v>42</v>
      </c>
      <c r="B6559" s="20" t="s">
        <v>73</v>
      </c>
      <c r="C6559" s="20" t="s">
        <v>8</v>
      </c>
      <c r="D6559" s="20" t="s">
        <v>10</v>
      </c>
      <c r="E6559" s="20" t="s">
        <v>24</v>
      </c>
      <c r="F6559" s="20" t="str">
        <f>INDEX(nrg_cb_e!$A$3:$A$40,MATCH(LEFT(MID('Industriesektor GWh'!$B6559,41,1000),SEARCH(" - ",MID('Industriesektor GWh'!$B6559,41,1000))-1),nrg_cb_e!$C$3:$C$40,0))</f>
        <v>FC_IND_TL_E</v>
      </c>
      <c r="G6559" s="21">
        <v>33</v>
      </c>
    </row>
    <row r="6560" spans="1:7" x14ac:dyDescent="0.2">
      <c r="A6560" s="16" t="s">
        <v>42</v>
      </c>
      <c r="B6560" s="17" t="s">
        <v>73</v>
      </c>
      <c r="C6560" s="17" t="s">
        <v>8</v>
      </c>
      <c r="D6560" s="17" t="s">
        <v>10</v>
      </c>
      <c r="E6560" s="17" t="s">
        <v>25</v>
      </c>
      <c r="F6560" s="17" t="str">
        <f>INDEX(nrg_cb_e!$A$3:$A$40,MATCH(LEFT(MID('Industriesektor GWh'!$B6560,41,1000),SEARCH(" - ",MID('Industriesektor GWh'!$B6560,41,1000))-1),nrg_cb_e!$C$3:$C$40,0))</f>
        <v>FC_IND_TL_E</v>
      </c>
      <c r="G6560" s="18">
        <v>29</v>
      </c>
    </row>
    <row r="6561" spans="1:7" x14ac:dyDescent="0.2">
      <c r="A6561" s="19" t="s">
        <v>42</v>
      </c>
      <c r="B6561" s="20" t="s">
        <v>73</v>
      </c>
      <c r="C6561" s="20" t="s">
        <v>8</v>
      </c>
      <c r="D6561" s="20" t="s">
        <v>10</v>
      </c>
      <c r="E6561" s="20" t="s">
        <v>26</v>
      </c>
      <c r="F6561" s="20" t="str">
        <f>INDEX(nrg_cb_e!$A$3:$A$40,MATCH(LEFT(MID('Industriesektor GWh'!$B6561,41,1000),SEARCH(" - ",MID('Industriesektor GWh'!$B6561,41,1000))-1),nrg_cb_e!$C$3:$C$40,0))</f>
        <v>FC_IND_TL_E</v>
      </c>
      <c r="G6561" s="21">
        <v>30</v>
      </c>
    </row>
    <row r="6562" spans="1:7" x14ac:dyDescent="0.2">
      <c r="A6562" s="16" t="s">
        <v>42</v>
      </c>
      <c r="B6562" s="17" t="s">
        <v>73</v>
      </c>
      <c r="C6562" s="17" t="s">
        <v>8</v>
      </c>
      <c r="D6562" s="17" t="s">
        <v>10</v>
      </c>
      <c r="E6562" s="17" t="s">
        <v>27</v>
      </c>
      <c r="F6562" s="17" t="str">
        <f>INDEX(nrg_cb_e!$A$3:$A$40,MATCH(LEFT(MID('Industriesektor GWh'!$B6562,41,1000),SEARCH(" - ",MID('Industriesektor GWh'!$B6562,41,1000))-1),nrg_cb_e!$C$3:$C$40,0))</f>
        <v>FC_IND_TL_E</v>
      </c>
      <c r="G6562" s="18">
        <v>30.099</v>
      </c>
    </row>
    <row r="6563" spans="1:7" x14ac:dyDescent="0.2">
      <c r="A6563" s="19" t="s">
        <v>42</v>
      </c>
      <c r="B6563" s="20" t="s">
        <v>73</v>
      </c>
      <c r="C6563" s="20" t="s">
        <v>8</v>
      </c>
      <c r="D6563" s="20" t="s">
        <v>10</v>
      </c>
      <c r="E6563" s="20" t="s">
        <v>28</v>
      </c>
      <c r="F6563" s="20" t="str">
        <f>INDEX(nrg_cb_e!$A$3:$A$40,MATCH(LEFT(MID('Industriesektor GWh'!$B6563,41,1000),SEARCH(" - ",MID('Industriesektor GWh'!$B6563,41,1000))-1),nrg_cb_e!$C$3:$C$40,0))</f>
        <v>FC_IND_TL_E</v>
      </c>
      <c r="G6563" s="21">
        <v>29.384</v>
      </c>
    </row>
    <row r="6564" spans="1:7" x14ac:dyDescent="0.2">
      <c r="A6564" s="16" t="s">
        <v>43</v>
      </c>
      <c r="B6564" s="17" t="s">
        <v>73</v>
      </c>
      <c r="C6564" s="17" t="s">
        <v>8</v>
      </c>
      <c r="D6564" s="17" t="s">
        <v>10</v>
      </c>
      <c r="E6564" s="17" t="s">
        <v>12</v>
      </c>
      <c r="F6564" s="17" t="str">
        <f>INDEX(nrg_cb_e!$A$3:$A$40,MATCH(LEFT(MID('Industriesektor GWh'!$B6564,41,1000),SEARCH(" - ",MID('Industriesektor GWh'!$B6564,41,1000))-1),nrg_cb_e!$C$3:$C$40,0))</f>
        <v>FC_IND_TL_E</v>
      </c>
      <c r="G6564" s="18">
        <v>321</v>
      </c>
    </row>
    <row r="6565" spans="1:7" x14ac:dyDescent="0.2">
      <c r="A6565" s="19" t="s">
        <v>43</v>
      </c>
      <c r="B6565" s="20" t="s">
        <v>73</v>
      </c>
      <c r="C6565" s="20" t="s">
        <v>8</v>
      </c>
      <c r="D6565" s="20" t="s">
        <v>10</v>
      </c>
      <c r="E6565" s="20" t="s">
        <v>13</v>
      </c>
      <c r="F6565" s="20" t="str">
        <f>INDEX(nrg_cb_e!$A$3:$A$40,MATCH(LEFT(MID('Industriesektor GWh'!$B6565,41,1000),SEARCH(" - ",MID('Industriesektor GWh'!$B6565,41,1000))-1),nrg_cb_e!$C$3:$C$40,0))</f>
        <v>FC_IND_TL_E</v>
      </c>
      <c r="G6565" s="21">
        <v>315</v>
      </c>
    </row>
    <row r="6566" spans="1:7" x14ac:dyDescent="0.2">
      <c r="A6566" s="16" t="s">
        <v>43</v>
      </c>
      <c r="B6566" s="17" t="s">
        <v>73</v>
      </c>
      <c r="C6566" s="17" t="s">
        <v>8</v>
      </c>
      <c r="D6566" s="17" t="s">
        <v>10</v>
      </c>
      <c r="E6566" s="17" t="s">
        <v>14</v>
      </c>
      <c r="F6566" s="17" t="str">
        <f>INDEX(nrg_cb_e!$A$3:$A$40,MATCH(LEFT(MID('Industriesektor GWh'!$B6566,41,1000),SEARCH(" - ",MID('Industriesektor GWh'!$B6566,41,1000))-1),nrg_cb_e!$C$3:$C$40,0))</f>
        <v>FC_IND_TL_E</v>
      </c>
      <c r="G6566" s="18">
        <v>292</v>
      </c>
    </row>
    <row r="6567" spans="1:7" x14ac:dyDescent="0.2">
      <c r="A6567" s="19" t="s">
        <v>43</v>
      </c>
      <c r="B6567" s="20" t="s">
        <v>73</v>
      </c>
      <c r="C6567" s="20" t="s">
        <v>8</v>
      </c>
      <c r="D6567" s="20" t="s">
        <v>10</v>
      </c>
      <c r="E6567" s="20" t="s">
        <v>15</v>
      </c>
      <c r="F6567" s="20" t="str">
        <f>INDEX(nrg_cb_e!$A$3:$A$40,MATCH(LEFT(MID('Industriesektor GWh'!$B6567,41,1000),SEARCH(" - ",MID('Industriesektor GWh'!$B6567,41,1000))-1),nrg_cb_e!$C$3:$C$40,0))</f>
        <v>FC_IND_TL_E</v>
      </c>
      <c r="G6567" s="21">
        <v>252</v>
      </c>
    </row>
    <row r="6568" spans="1:7" x14ac:dyDescent="0.2">
      <c r="A6568" s="16" t="s">
        <v>43</v>
      </c>
      <c r="B6568" s="17" t="s">
        <v>73</v>
      </c>
      <c r="C6568" s="17" t="s">
        <v>8</v>
      </c>
      <c r="D6568" s="17" t="s">
        <v>10</v>
      </c>
      <c r="E6568" s="17" t="s">
        <v>16</v>
      </c>
      <c r="F6568" s="17" t="str">
        <f>INDEX(nrg_cb_e!$A$3:$A$40,MATCH(LEFT(MID('Industriesektor GWh'!$B6568,41,1000),SEARCH(" - ",MID('Industriesektor GWh'!$B6568,41,1000))-1),nrg_cb_e!$C$3:$C$40,0))</f>
        <v>FC_IND_TL_E</v>
      </c>
      <c r="G6568" s="18">
        <v>266</v>
      </c>
    </row>
    <row r="6569" spans="1:7" x14ac:dyDescent="0.2">
      <c r="A6569" s="19" t="s">
        <v>43</v>
      </c>
      <c r="B6569" s="20" t="s">
        <v>73</v>
      </c>
      <c r="C6569" s="20" t="s">
        <v>8</v>
      </c>
      <c r="D6569" s="20" t="s">
        <v>10</v>
      </c>
      <c r="E6569" s="20" t="s">
        <v>17</v>
      </c>
      <c r="F6569" s="20" t="str">
        <f>INDEX(nrg_cb_e!$A$3:$A$40,MATCH(LEFT(MID('Industriesektor GWh'!$B6569,41,1000),SEARCH(" - ",MID('Industriesektor GWh'!$B6569,41,1000))-1),nrg_cb_e!$C$3:$C$40,0))</f>
        <v>FC_IND_TL_E</v>
      </c>
      <c r="G6569" s="21">
        <v>248</v>
      </c>
    </row>
    <row r="6570" spans="1:7" x14ac:dyDescent="0.2">
      <c r="A6570" s="16" t="s">
        <v>43</v>
      </c>
      <c r="B6570" s="17" t="s">
        <v>73</v>
      </c>
      <c r="C6570" s="17" t="s">
        <v>8</v>
      </c>
      <c r="D6570" s="17" t="s">
        <v>10</v>
      </c>
      <c r="E6570" s="17" t="s">
        <v>18</v>
      </c>
      <c r="F6570" s="17" t="str">
        <f>INDEX(nrg_cb_e!$A$3:$A$40,MATCH(LEFT(MID('Industriesektor GWh'!$B6570,41,1000),SEARCH(" - ",MID('Industriesektor GWh'!$B6570,41,1000))-1),nrg_cb_e!$C$3:$C$40,0))</f>
        <v>FC_IND_TL_E</v>
      </c>
      <c r="G6570" s="18">
        <v>158</v>
      </c>
    </row>
    <row r="6571" spans="1:7" x14ac:dyDescent="0.2">
      <c r="A6571" s="19" t="s">
        <v>43</v>
      </c>
      <c r="B6571" s="20" t="s">
        <v>73</v>
      </c>
      <c r="C6571" s="20" t="s">
        <v>8</v>
      </c>
      <c r="D6571" s="20" t="s">
        <v>10</v>
      </c>
      <c r="E6571" s="20" t="s">
        <v>19</v>
      </c>
      <c r="F6571" s="20" t="str">
        <f>INDEX(nrg_cb_e!$A$3:$A$40,MATCH(LEFT(MID('Industriesektor GWh'!$B6571,41,1000),SEARCH(" - ",MID('Industriesektor GWh'!$B6571,41,1000))-1),nrg_cb_e!$C$3:$C$40,0))</f>
        <v>FC_IND_TL_E</v>
      </c>
      <c r="G6571" s="21">
        <v>204</v>
      </c>
    </row>
    <row r="6572" spans="1:7" x14ac:dyDescent="0.2">
      <c r="A6572" s="16" t="s">
        <v>43</v>
      </c>
      <c r="B6572" s="17" t="s">
        <v>73</v>
      </c>
      <c r="C6572" s="17" t="s">
        <v>8</v>
      </c>
      <c r="D6572" s="17" t="s">
        <v>10</v>
      </c>
      <c r="E6572" s="17" t="s">
        <v>20</v>
      </c>
      <c r="F6572" s="17" t="str">
        <f>INDEX(nrg_cb_e!$A$3:$A$40,MATCH(LEFT(MID('Industriesektor GWh'!$B6572,41,1000),SEARCH(" - ",MID('Industriesektor GWh'!$B6572,41,1000))-1),nrg_cb_e!$C$3:$C$40,0))</f>
        <v>FC_IND_TL_E</v>
      </c>
      <c r="G6572" s="18">
        <v>160</v>
      </c>
    </row>
    <row r="6573" spans="1:7" x14ac:dyDescent="0.2">
      <c r="A6573" s="19" t="s">
        <v>43</v>
      </c>
      <c r="B6573" s="20" t="s">
        <v>73</v>
      </c>
      <c r="C6573" s="20" t="s">
        <v>8</v>
      </c>
      <c r="D6573" s="20" t="s">
        <v>10</v>
      </c>
      <c r="E6573" s="20" t="s">
        <v>21</v>
      </c>
      <c r="F6573" s="20" t="str">
        <f>INDEX(nrg_cb_e!$A$3:$A$40,MATCH(LEFT(MID('Industriesektor GWh'!$B6573,41,1000),SEARCH(" - ",MID('Industriesektor GWh'!$B6573,41,1000))-1),nrg_cb_e!$C$3:$C$40,0))</f>
        <v>FC_IND_TL_E</v>
      </c>
      <c r="G6573" s="21">
        <v>147</v>
      </c>
    </row>
    <row r="6574" spans="1:7" x14ac:dyDescent="0.2">
      <c r="A6574" s="16" t="s">
        <v>43</v>
      </c>
      <c r="B6574" s="17" t="s">
        <v>73</v>
      </c>
      <c r="C6574" s="17" t="s">
        <v>8</v>
      </c>
      <c r="D6574" s="17" t="s">
        <v>10</v>
      </c>
      <c r="E6574" s="17" t="s">
        <v>22</v>
      </c>
      <c r="F6574" s="17" t="str">
        <f>INDEX(nrg_cb_e!$A$3:$A$40,MATCH(LEFT(MID('Industriesektor GWh'!$B6574,41,1000),SEARCH(" - ",MID('Industriesektor GWh'!$B6574,41,1000))-1),nrg_cb_e!$C$3:$C$40,0))</f>
        <v>FC_IND_TL_E</v>
      </c>
      <c r="G6574" s="18">
        <v>155</v>
      </c>
    </row>
    <row r="6575" spans="1:7" x14ac:dyDescent="0.2">
      <c r="A6575" s="19" t="s">
        <v>43</v>
      </c>
      <c r="B6575" s="20" t="s">
        <v>73</v>
      </c>
      <c r="C6575" s="20" t="s">
        <v>8</v>
      </c>
      <c r="D6575" s="20" t="s">
        <v>10</v>
      </c>
      <c r="E6575" s="20" t="s">
        <v>23</v>
      </c>
      <c r="F6575" s="20" t="str">
        <f>INDEX(nrg_cb_e!$A$3:$A$40,MATCH(LEFT(MID('Industriesektor GWh'!$B6575,41,1000),SEARCH(" - ",MID('Industriesektor GWh'!$B6575,41,1000))-1),nrg_cb_e!$C$3:$C$40,0))</f>
        <v>FC_IND_TL_E</v>
      </c>
      <c r="G6575" s="21">
        <v>150</v>
      </c>
    </row>
    <row r="6576" spans="1:7" x14ac:dyDescent="0.2">
      <c r="A6576" s="16" t="s">
        <v>43</v>
      </c>
      <c r="B6576" s="17" t="s">
        <v>73</v>
      </c>
      <c r="C6576" s="17" t="s">
        <v>8</v>
      </c>
      <c r="D6576" s="17" t="s">
        <v>10</v>
      </c>
      <c r="E6576" s="17" t="s">
        <v>24</v>
      </c>
      <c r="F6576" s="17" t="str">
        <f>INDEX(nrg_cb_e!$A$3:$A$40,MATCH(LEFT(MID('Industriesektor GWh'!$B6576,41,1000),SEARCH(" - ",MID('Industriesektor GWh'!$B6576,41,1000))-1),nrg_cb_e!$C$3:$C$40,0))</f>
        <v>FC_IND_TL_E</v>
      </c>
      <c r="G6576" s="18">
        <v>145</v>
      </c>
    </row>
    <row r="6577" spans="1:7" x14ac:dyDescent="0.2">
      <c r="A6577" s="19" t="s">
        <v>43</v>
      </c>
      <c r="B6577" s="20" t="s">
        <v>73</v>
      </c>
      <c r="C6577" s="20" t="s">
        <v>8</v>
      </c>
      <c r="D6577" s="20" t="s">
        <v>10</v>
      </c>
      <c r="E6577" s="20" t="s">
        <v>25</v>
      </c>
      <c r="F6577" s="20" t="str">
        <f>INDEX(nrg_cb_e!$A$3:$A$40,MATCH(LEFT(MID('Industriesektor GWh'!$B6577,41,1000),SEARCH(" - ",MID('Industriesektor GWh'!$B6577,41,1000))-1),nrg_cb_e!$C$3:$C$40,0))</f>
        <v>FC_IND_TL_E</v>
      </c>
      <c r="G6577" s="21">
        <v>158</v>
      </c>
    </row>
    <row r="6578" spans="1:7" x14ac:dyDescent="0.2">
      <c r="A6578" s="16" t="s">
        <v>43</v>
      </c>
      <c r="B6578" s="17" t="s">
        <v>73</v>
      </c>
      <c r="C6578" s="17" t="s">
        <v>8</v>
      </c>
      <c r="D6578" s="17" t="s">
        <v>10</v>
      </c>
      <c r="E6578" s="17" t="s">
        <v>26</v>
      </c>
      <c r="F6578" s="17" t="str">
        <f>INDEX(nrg_cb_e!$A$3:$A$40,MATCH(LEFT(MID('Industriesektor GWh'!$B6578,41,1000),SEARCH(" - ",MID('Industriesektor GWh'!$B6578,41,1000))-1),nrg_cb_e!$C$3:$C$40,0))</f>
        <v>FC_IND_TL_E</v>
      </c>
      <c r="G6578" s="18">
        <v>168</v>
      </c>
    </row>
    <row r="6579" spans="1:7" x14ac:dyDescent="0.2">
      <c r="A6579" s="19" t="s">
        <v>43</v>
      </c>
      <c r="B6579" s="20" t="s">
        <v>73</v>
      </c>
      <c r="C6579" s="20" t="s">
        <v>8</v>
      </c>
      <c r="D6579" s="20" t="s">
        <v>10</v>
      </c>
      <c r="E6579" s="20" t="s">
        <v>27</v>
      </c>
      <c r="F6579" s="20" t="str">
        <f>INDEX(nrg_cb_e!$A$3:$A$40,MATCH(LEFT(MID('Industriesektor GWh'!$B6579,41,1000),SEARCH(" - ",MID('Industriesektor GWh'!$B6579,41,1000))-1),nrg_cb_e!$C$3:$C$40,0))</f>
        <v>FC_IND_TL_E</v>
      </c>
      <c r="G6579" s="21">
        <v>163.19999999999999</v>
      </c>
    </row>
    <row r="6580" spans="1:7" x14ac:dyDescent="0.2">
      <c r="A6580" s="16" t="s">
        <v>43</v>
      </c>
      <c r="B6580" s="17" t="s">
        <v>73</v>
      </c>
      <c r="C6580" s="17" t="s">
        <v>8</v>
      </c>
      <c r="D6580" s="17" t="s">
        <v>10</v>
      </c>
      <c r="E6580" s="17" t="s">
        <v>28</v>
      </c>
      <c r="F6580" s="17" t="str">
        <f>INDEX(nrg_cb_e!$A$3:$A$40,MATCH(LEFT(MID('Industriesektor GWh'!$B6580,41,1000),SEARCH(" - ",MID('Industriesektor GWh'!$B6580,41,1000))-1),nrg_cb_e!$C$3:$C$40,0))</f>
        <v>FC_IND_TL_E</v>
      </c>
      <c r="G6580" s="18">
        <v>158.9</v>
      </c>
    </row>
    <row r="6581" spans="1:7" x14ac:dyDescent="0.2">
      <c r="A6581" s="19" t="s">
        <v>44</v>
      </c>
      <c r="B6581" s="20" t="s">
        <v>73</v>
      </c>
      <c r="C6581" s="20" t="s">
        <v>8</v>
      </c>
      <c r="D6581" s="20" t="s">
        <v>10</v>
      </c>
      <c r="E6581" s="20" t="s">
        <v>12</v>
      </c>
      <c r="F6581" s="20" t="str">
        <f>INDEX(nrg_cb_e!$A$3:$A$40,MATCH(LEFT(MID('Industriesektor GWh'!$B6581,41,1000),SEARCH(" - ",MID('Industriesektor GWh'!$B6581,41,1000))-1),nrg_cb_e!$C$3:$C$40,0))</f>
        <v>FC_IND_TL_E</v>
      </c>
      <c r="G6581" s="21">
        <v>186.584</v>
      </c>
    </row>
    <row r="6582" spans="1:7" x14ac:dyDescent="0.2">
      <c r="A6582" s="16" t="s">
        <v>44</v>
      </c>
      <c r="B6582" s="17" t="s">
        <v>73</v>
      </c>
      <c r="C6582" s="17" t="s">
        <v>8</v>
      </c>
      <c r="D6582" s="17" t="s">
        <v>10</v>
      </c>
      <c r="E6582" s="17" t="s">
        <v>13</v>
      </c>
      <c r="F6582" s="17" t="str">
        <f>INDEX(nrg_cb_e!$A$3:$A$40,MATCH(LEFT(MID('Industriesektor GWh'!$B6582,41,1000),SEARCH(" - ",MID('Industriesektor GWh'!$B6582,41,1000))-1),nrg_cb_e!$C$3:$C$40,0))</f>
        <v>FC_IND_TL_E</v>
      </c>
      <c r="G6582" s="18">
        <v>158.191</v>
      </c>
    </row>
    <row r="6583" spans="1:7" x14ac:dyDescent="0.2">
      <c r="A6583" s="19" t="s">
        <v>44</v>
      </c>
      <c r="B6583" s="20" t="s">
        <v>73</v>
      </c>
      <c r="C6583" s="20" t="s">
        <v>8</v>
      </c>
      <c r="D6583" s="20" t="s">
        <v>10</v>
      </c>
      <c r="E6583" s="20" t="s">
        <v>14</v>
      </c>
      <c r="F6583" s="20" t="str">
        <f>INDEX(nrg_cb_e!$A$3:$A$40,MATCH(LEFT(MID('Industriesektor GWh'!$B6583,41,1000),SEARCH(" - ",MID('Industriesektor GWh'!$B6583,41,1000))-1),nrg_cb_e!$C$3:$C$40,0))</f>
        <v>FC_IND_TL_E</v>
      </c>
      <c r="G6583" s="21">
        <v>153.64599999999999</v>
      </c>
    </row>
    <row r="6584" spans="1:7" x14ac:dyDescent="0.2">
      <c r="A6584" s="16" t="s">
        <v>44</v>
      </c>
      <c r="B6584" s="17" t="s">
        <v>73</v>
      </c>
      <c r="C6584" s="17" t="s">
        <v>8</v>
      </c>
      <c r="D6584" s="17" t="s">
        <v>10</v>
      </c>
      <c r="E6584" s="17" t="s">
        <v>15</v>
      </c>
      <c r="F6584" s="17" t="str">
        <f>INDEX(nrg_cb_e!$A$3:$A$40,MATCH(LEFT(MID('Industriesektor GWh'!$B6584,41,1000),SEARCH(" - ",MID('Industriesektor GWh'!$B6584,41,1000))-1),nrg_cb_e!$C$3:$C$40,0))</f>
        <v>FC_IND_TL_E</v>
      </c>
      <c r="G6584" s="18">
        <v>155.96799999999999</v>
      </c>
    </row>
    <row r="6585" spans="1:7" x14ac:dyDescent="0.2">
      <c r="A6585" s="19" t="s">
        <v>44</v>
      </c>
      <c r="B6585" s="20" t="s">
        <v>73</v>
      </c>
      <c r="C6585" s="20" t="s">
        <v>8</v>
      </c>
      <c r="D6585" s="20" t="s">
        <v>10</v>
      </c>
      <c r="E6585" s="20" t="s">
        <v>16</v>
      </c>
      <c r="F6585" s="20" t="str">
        <f>INDEX(nrg_cb_e!$A$3:$A$40,MATCH(LEFT(MID('Industriesektor GWh'!$B6585,41,1000),SEARCH(" - ",MID('Industriesektor GWh'!$B6585,41,1000))-1),nrg_cb_e!$C$3:$C$40,0))</f>
        <v>FC_IND_TL_E</v>
      </c>
      <c r="G6585" s="21">
        <v>129.13300000000001</v>
      </c>
    </row>
    <row r="6586" spans="1:7" x14ac:dyDescent="0.2">
      <c r="A6586" s="16" t="s">
        <v>44</v>
      </c>
      <c r="B6586" s="17" t="s">
        <v>73</v>
      </c>
      <c r="C6586" s="17" t="s">
        <v>8</v>
      </c>
      <c r="D6586" s="17" t="s">
        <v>10</v>
      </c>
      <c r="E6586" s="17" t="s">
        <v>17</v>
      </c>
      <c r="F6586" s="17" t="str">
        <f>INDEX(nrg_cb_e!$A$3:$A$40,MATCH(LEFT(MID('Industriesektor GWh'!$B6586,41,1000),SEARCH(" - ",MID('Industriesektor GWh'!$B6586,41,1000))-1),nrg_cb_e!$C$3:$C$40,0))</f>
        <v>FC_IND_TL_E</v>
      </c>
      <c r="G6586" s="18">
        <v>119.732</v>
      </c>
    </row>
    <row r="6587" spans="1:7" x14ac:dyDescent="0.2">
      <c r="A6587" s="19" t="s">
        <v>44</v>
      </c>
      <c r="B6587" s="20" t="s">
        <v>73</v>
      </c>
      <c r="C6587" s="20" t="s">
        <v>8</v>
      </c>
      <c r="D6587" s="20" t="s">
        <v>10</v>
      </c>
      <c r="E6587" s="20" t="s">
        <v>18</v>
      </c>
      <c r="F6587" s="20" t="str">
        <f>INDEX(nrg_cb_e!$A$3:$A$40,MATCH(LEFT(MID('Industriesektor GWh'!$B6587,41,1000),SEARCH(" - ",MID('Industriesektor GWh'!$B6587,41,1000))-1),nrg_cb_e!$C$3:$C$40,0))</f>
        <v>FC_IND_TL_E</v>
      </c>
      <c r="G6587" s="21">
        <v>133.37100000000001</v>
      </c>
    </row>
    <row r="6588" spans="1:7" x14ac:dyDescent="0.2">
      <c r="A6588" s="16" t="s">
        <v>44</v>
      </c>
      <c r="B6588" s="17" t="s">
        <v>73</v>
      </c>
      <c r="C6588" s="17" t="s">
        <v>8</v>
      </c>
      <c r="D6588" s="17" t="s">
        <v>10</v>
      </c>
      <c r="E6588" s="17" t="s">
        <v>19</v>
      </c>
      <c r="F6588" s="17" t="str">
        <f>INDEX(nrg_cb_e!$A$3:$A$40,MATCH(LEFT(MID('Industriesektor GWh'!$B6588,41,1000),SEARCH(" - ",MID('Industriesektor GWh'!$B6588,41,1000))-1),nrg_cb_e!$C$3:$C$40,0))</f>
        <v>FC_IND_TL_E</v>
      </c>
      <c r="G6588" s="18">
        <v>116.956</v>
      </c>
    </row>
    <row r="6589" spans="1:7" x14ac:dyDescent="0.2">
      <c r="A6589" s="19" t="s">
        <v>44</v>
      </c>
      <c r="B6589" s="20" t="s">
        <v>73</v>
      </c>
      <c r="C6589" s="20" t="s">
        <v>8</v>
      </c>
      <c r="D6589" s="20" t="s">
        <v>10</v>
      </c>
      <c r="E6589" s="20" t="s">
        <v>20</v>
      </c>
      <c r="F6589" s="20" t="str">
        <f>INDEX(nrg_cb_e!$A$3:$A$40,MATCH(LEFT(MID('Industriesektor GWh'!$B6589,41,1000),SEARCH(" - ",MID('Industriesektor GWh'!$B6589,41,1000))-1),nrg_cb_e!$C$3:$C$40,0))</f>
        <v>FC_IND_TL_E</v>
      </c>
      <c r="G6589" s="21">
        <v>141.30099999999999</v>
      </c>
    </row>
    <row r="6590" spans="1:7" x14ac:dyDescent="0.2">
      <c r="A6590" s="16" t="s">
        <v>44</v>
      </c>
      <c r="B6590" s="17" t="s">
        <v>73</v>
      </c>
      <c r="C6590" s="17" t="s">
        <v>8</v>
      </c>
      <c r="D6590" s="17" t="s">
        <v>10</v>
      </c>
      <c r="E6590" s="17" t="s">
        <v>21</v>
      </c>
      <c r="F6590" s="17" t="str">
        <f>INDEX(nrg_cb_e!$A$3:$A$40,MATCH(LEFT(MID('Industriesektor GWh'!$B6590,41,1000),SEARCH(" - ",MID('Industriesektor GWh'!$B6590,41,1000))-1),nrg_cb_e!$C$3:$C$40,0))</f>
        <v>FC_IND_TL_E</v>
      </c>
      <c r="G6590" s="18">
        <v>128.053</v>
      </c>
    </row>
    <row r="6591" spans="1:7" x14ac:dyDescent="0.2">
      <c r="A6591" s="19" t="s">
        <v>44</v>
      </c>
      <c r="B6591" s="20" t="s">
        <v>73</v>
      </c>
      <c r="C6591" s="20" t="s">
        <v>8</v>
      </c>
      <c r="D6591" s="20" t="s">
        <v>10</v>
      </c>
      <c r="E6591" s="20" t="s">
        <v>22</v>
      </c>
      <c r="F6591" s="20" t="str">
        <f>INDEX(nrg_cb_e!$A$3:$A$40,MATCH(LEFT(MID('Industriesektor GWh'!$B6591,41,1000),SEARCH(" - ",MID('Industriesektor GWh'!$B6591,41,1000))-1),nrg_cb_e!$C$3:$C$40,0))</f>
        <v>FC_IND_TL_E</v>
      </c>
      <c r="G6591" s="21">
        <v>108.575</v>
      </c>
    </row>
    <row r="6592" spans="1:7" x14ac:dyDescent="0.2">
      <c r="A6592" s="16" t="s">
        <v>44</v>
      </c>
      <c r="B6592" s="17" t="s">
        <v>73</v>
      </c>
      <c r="C6592" s="17" t="s">
        <v>8</v>
      </c>
      <c r="D6592" s="17" t="s">
        <v>10</v>
      </c>
      <c r="E6592" s="17" t="s">
        <v>23</v>
      </c>
      <c r="F6592" s="17" t="str">
        <f>INDEX(nrg_cb_e!$A$3:$A$40,MATCH(LEFT(MID('Industriesektor GWh'!$B6592,41,1000),SEARCH(" - ",MID('Industriesektor GWh'!$B6592,41,1000))-1),nrg_cb_e!$C$3:$C$40,0))</f>
        <v>FC_IND_TL_E</v>
      </c>
      <c r="G6592" s="18">
        <v>105.679</v>
      </c>
    </row>
    <row r="6593" spans="1:7" x14ac:dyDescent="0.2">
      <c r="A6593" s="19" t="s">
        <v>44</v>
      </c>
      <c r="B6593" s="20" t="s">
        <v>73</v>
      </c>
      <c r="C6593" s="20" t="s">
        <v>8</v>
      </c>
      <c r="D6593" s="20" t="s">
        <v>10</v>
      </c>
      <c r="E6593" s="20" t="s">
        <v>24</v>
      </c>
      <c r="F6593" s="20" t="str">
        <f>INDEX(nrg_cb_e!$A$3:$A$40,MATCH(LEFT(MID('Industriesektor GWh'!$B6593,41,1000),SEARCH(" - ",MID('Industriesektor GWh'!$B6593,41,1000))-1),nrg_cb_e!$C$3:$C$40,0))</f>
        <v>FC_IND_TL_E</v>
      </c>
      <c r="G6593" s="21">
        <v>86.183000000000007</v>
      </c>
    </row>
    <row r="6594" spans="1:7" x14ac:dyDescent="0.2">
      <c r="A6594" s="16" t="s">
        <v>44</v>
      </c>
      <c r="B6594" s="17" t="s">
        <v>73</v>
      </c>
      <c r="C6594" s="17" t="s">
        <v>8</v>
      </c>
      <c r="D6594" s="17" t="s">
        <v>10</v>
      </c>
      <c r="E6594" s="17" t="s">
        <v>25</v>
      </c>
      <c r="F6594" s="17" t="str">
        <f>INDEX(nrg_cb_e!$A$3:$A$40,MATCH(LEFT(MID('Industriesektor GWh'!$B6594,41,1000),SEARCH(" - ",MID('Industriesektor GWh'!$B6594,41,1000))-1),nrg_cb_e!$C$3:$C$40,0))</f>
        <v>FC_IND_TL_E</v>
      </c>
      <c r="G6594" s="18">
        <v>100.982</v>
      </c>
    </row>
    <row r="6595" spans="1:7" x14ac:dyDescent="0.2">
      <c r="A6595" s="19" t="s">
        <v>44</v>
      </c>
      <c r="B6595" s="20" t="s">
        <v>73</v>
      </c>
      <c r="C6595" s="20" t="s">
        <v>8</v>
      </c>
      <c r="D6595" s="20" t="s">
        <v>10</v>
      </c>
      <c r="E6595" s="20" t="s">
        <v>26</v>
      </c>
      <c r="F6595" s="20" t="str">
        <f>INDEX(nrg_cb_e!$A$3:$A$40,MATCH(LEFT(MID('Industriesektor GWh'!$B6595,41,1000),SEARCH(" - ",MID('Industriesektor GWh'!$B6595,41,1000))-1),nrg_cb_e!$C$3:$C$40,0))</f>
        <v>FC_IND_TL_E</v>
      </c>
      <c r="G6595" s="21">
        <v>100.804</v>
      </c>
    </row>
    <row r="6596" spans="1:7" x14ac:dyDescent="0.2">
      <c r="A6596" s="16" t="s">
        <v>44</v>
      </c>
      <c r="B6596" s="17" t="s">
        <v>73</v>
      </c>
      <c r="C6596" s="17" t="s">
        <v>8</v>
      </c>
      <c r="D6596" s="17" t="s">
        <v>10</v>
      </c>
      <c r="E6596" s="17" t="s">
        <v>27</v>
      </c>
      <c r="F6596" s="17" t="str">
        <f>INDEX(nrg_cb_e!$A$3:$A$40,MATCH(LEFT(MID('Industriesektor GWh'!$B6596,41,1000),SEARCH(" - ",MID('Industriesektor GWh'!$B6596,41,1000))-1),nrg_cb_e!$C$3:$C$40,0))</f>
        <v>FC_IND_TL_E</v>
      </c>
      <c r="G6596" s="18">
        <v>88.808000000000007</v>
      </c>
    </row>
    <row r="6597" spans="1:7" x14ac:dyDescent="0.2">
      <c r="A6597" s="19" t="s">
        <v>44</v>
      </c>
      <c r="B6597" s="20" t="s">
        <v>73</v>
      </c>
      <c r="C6597" s="20" t="s">
        <v>8</v>
      </c>
      <c r="D6597" s="20" t="s">
        <v>10</v>
      </c>
      <c r="E6597" s="20" t="s">
        <v>28</v>
      </c>
      <c r="F6597" s="20" t="str">
        <f>INDEX(nrg_cb_e!$A$3:$A$40,MATCH(LEFT(MID('Industriesektor GWh'!$B6597,41,1000),SEARCH(" - ",MID('Industriesektor GWh'!$B6597,41,1000))-1),nrg_cb_e!$C$3:$C$40,0))</f>
        <v>FC_IND_TL_E</v>
      </c>
      <c r="G6597" s="21">
        <v>94.454999999999998</v>
      </c>
    </row>
    <row r="6598" spans="1:7" x14ac:dyDescent="0.2">
      <c r="A6598" s="16" t="s">
        <v>45</v>
      </c>
      <c r="B6598" s="17" t="s">
        <v>73</v>
      </c>
      <c r="C6598" s="17" t="s">
        <v>8</v>
      </c>
      <c r="D6598" s="17" t="s">
        <v>10</v>
      </c>
      <c r="E6598" s="17" t="s">
        <v>12</v>
      </c>
      <c r="F6598" s="17" t="str">
        <f>INDEX(nrg_cb_e!$A$3:$A$40,MATCH(LEFT(MID('Industriesektor GWh'!$B6598,41,1000),SEARCH(" - ",MID('Industriesektor GWh'!$B6598,41,1000))-1),nrg_cb_e!$C$3:$C$40,0))</f>
        <v>FC_IND_TL_E</v>
      </c>
      <c r="G6598" s="18">
        <v>249</v>
      </c>
    </row>
    <row r="6599" spans="1:7" x14ac:dyDescent="0.2">
      <c r="A6599" s="19" t="s">
        <v>45</v>
      </c>
      <c r="B6599" s="20" t="s">
        <v>73</v>
      </c>
      <c r="C6599" s="20" t="s">
        <v>8</v>
      </c>
      <c r="D6599" s="20" t="s">
        <v>10</v>
      </c>
      <c r="E6599" s="20" t="s">
        <v>13</v>
      </c>
      <c r="F6599" s="20" t="str">
        <f>INDEX(nrg_cb_e!$A$3:$A$40,MATCH(LEFT(MID('Industriesektor GWh'!$B6599,41,1000),SEARCH(" - ",MID('Industriesektor GWh'!$B6599,41,1000))-1),nrg_cb_e!$C$3:$C$40,0))</f>
        <v>FC_IND_TL_E</v>
      </c>
      <c r="G6599" s="21">
        <v>215</v>
      </c>
    </row>
    <row r="6600" spans="1:7" x14ac:dyDescent="0.2">
      <c r="A6600" s="16" t="s">
        <v>45</v>
      </c>
      <c r="B6600" s="17" t="s">
        <v>73</v>
      </c>
      <c r="C6600" s="17" t="s">
        <v>8</v>
      </c>
      <c r="D6600" s="17" t="s">
        <v>10</v>
      </c>
      <c r="E6600" s="17" t="s">
        <v>14</v>
      </c>
      <c r="F6600" s="17" t="str">
        <f>INDEX(nrg_cb_e!$A$3:$A$40,MATCH(LEFT(MID('Industriesektor GWh'!$B6600,41,1000),SEARCH(" - ",MID('Industriesektor GWh'!$B6600,41,1000))-1),nrg_cb_e!$C$3:$C$40,0))</f>
        <v>FC_IND_TL_E</v>
      </c>
      <c r="G6600" s="18">
        <v>212</v>
      </c>
    </row>
    <row r="6601" spans="1:7" x14ac:dyDescent="0.2">
      <c r="A6601" s="19" t="s">
        <v>45</v>
      </c>
      <c r="B6601" s="20" t="s">
        <v>73</v>
      </c>
      <c r="C6601" s="20" t="s">
        <v>8</v>
      </c>
      <c r="D6601" s="20" t="s">
        <v>10</v>
      </c>
      <c r="E6601" s="20" t="s">
        <v>15</v>
      </c>
      <c r="F6601" s="20" t="str">
        <f>INDEX(nrg_cb_e!$A$3:$A$40,MATCH(LEFT(MID('Industriesektor GWh'!$B6601,41,1000),SEARCH(" - ",MID('Industriesektor GWh'!$B6601,41,1000))-1),nrg_cb_e!$C$3:$C$40,0))</f>
        <v>FC_IND_TL_E</v>
      </c>
      <c r="G6601" s="21">
        <v>186</v>
      </c>
    </row>
    <row r="6602" spans="1:7" x14ac:dyDescent="0.2">
      <c r="A6602" s="16" t="s">
        <v>45</v>
      </c>
      <c r="B6602" s="17" t="s">
        <v>73</v>
      </c>
      <c r="C6602" s="17" t="s">
        <v>8</v>
      </c>
      <c r="D6602" s="17" t="s">
        <v>10</v>
      </c>
      <c r="E6602" s="17" t="s">
        <v>16</v>
      </c>
      <c r="F6602" s="17" t="str">
        <f>INDEX(nrg_cb_e!$A$3:$A$40,MATCH(LEFT(MID('Industriesektor GWh'!$B6602,41,1000),SEARCH(" - ",MID('Industriesektor GWh'!$B6602,41,1000))-1),nrg_cb_e!$C$3:$C$40,0))</f>
        <v>FC_IND_TL_E</v>
      </c>
      <c r="G6602" s="18">
        <v>145</v>
      </c>
    </row>
    <row r="6603" spans="1:7" x14ac:dyDescent="0.2">
      <c r="A6603" s="19" t="s">
        <v>45</v>
      </c>
      <c r="B6603" s="20" t="s">
        <v>73</v>
      </c>
      <c r="C6603" s="20" t="s">
        <v>8</v>
      </c>
      <c r="D6603" s="20" t="s">
        <v>10</v>
      </c>
      <c r="E6603" s="20" t="s">
        <v>17</v>
      </c>
      <c r="F6603" s="20" t="str">
        <f>INDEX(nrg_cb_e!$A$3:$A$40,MATCH(LEFT(MID('Industriesektor GWh'!$B6603,41,1000),SEARCH(" - ",MID('Industriesektor GWh'!$B6603,41,1000))-1),nrg_cb_e!$C$3:$C$40,0))</f>
        <v>FC_IND_TL_E</v>
      </c>
      <c r="G6603" s="21">
        <v>135</v>
      </c>
    </row>
    <row r="6604" spans="1:7" x14ac:dyDescent="0.2">
      <c r="A6604" s="16" t="s">
        <v>45</v>
      </c>
      <c r="B6604" s="17" t="s">
        <v>73</v>
      </c>
      <c r="C6604" s="17" t="s">
        <v>8</v>
      </c>
      <c r="D6604" s="17" t="s">
        <v>10</v>
      </c>
      <c r="E6604" s="17" t="s">
        <v>18</v>
      </c>
      <c r="F6604" s="17" t="str">
        <f>INDEX(nrg_cb_e!$A$3:$A$40,MATCH(LEFT(MID('Industriesektor GWh'!$B6604,41,1000),SEARCH(" - ",MID('Industriesektor GWh'!$B6604,41,1000))-1),nrg_cb_e!$C$3:$C$40,0))</f>
        <v>FC_IND_TL_E</v>
      </c>
      <c r="G6604" s="18">
        <v>119</v>
      </c>
    </row>
    <row r="6605" spans="1:7" x14ac:dyDescent="0.2">
      <c r="A6605" s="19" t="s">
        <v>45</v>
      </c>
      <c r="B6605" s="20" t="s">
        <v>73</v>
      </c>
      <c r="C6605" s="20" t="s">
        <v>8</v>
      </c>
      <c r="D6605" s="20" t="s">
        <v>10</v>
      </c>
      <c r="E6605" s="20" t="s">
        <v>19</v>
      </c>
      <c r="F6605" s="20" t="str">
        <f>INDEX(nrg_cb_e!$A$3:$A$40,MATCH(LEFT(MID('Industriesektor GWh'!$B6605,41,1000),SEARCH(" - ",MID('Industriesektor GWh'!$B6605,41,1000))-1),nrg_cb_e!$C$3:$C$40,0))</f>
        <v>FC_IND_TL_E</v>
      </c>
      <c r="G6605" s="21">
        <v>95</v>
      </c>
    </row>
    <row r="6606" spans="1:7" x14ac:dyDescent="0.2">
      <c r="A6606" s="16" t="s">
        <v>45</v>
      </c>
      <c r="B6606" s="17" t="s">
        <v>73</v>
      </c>
      <c r="C6606" s="17" t="s">
        <v>8</v>
      </c>
      <c r="D6606" s="17" t="s">
        <v>10</v>
      </c>
      <c r="E6606" s="17" t="s">
        <v>20</v>
      </c>
      <c r="F6606" s="17" t="str">
        <f>INDEX(nrg_cb_e!$A$3:$A$40,MATCH(LEFT(MID('Industriesektor GWh'!$B6606,41,1000),SEARCH(" - ",MID('Industriesektor GWh'!$B6606,41,1000))-1),nrg_cb_e!$C$3:$C$40,0))</f>
        <v>FC_IND_TL_E</v>
      </c>
      <c r="G6606" s="18">
        <v>133</v>
      </c>
    </row>
    <row r="6607" spans="1:7" x14ac:dyDescent="0.2">
      <c r="A6607" s="19" t="s">
        <v>45</v>
      </c>
      <c r="B6607" s="20" t="s">
        <v>73</v>
      </c>
      <c r="C6607" s="20" t="s">
        <v>8</v>
      </c>
      <c r="D6607" s="20" t="s">
        <v>10</v>
      </c>
      <c r="E6607" s="20" t="s">
        <v>21</v>
      </c>
      <c r="F6607" s="20" t="str">
        <f>INDEX(nrg_cb_e!$A$3:$A$40,MATCH(LEFT(MID('Industriesektor GWh'!$B6607,41,1000),SEARCH(" - ",MID('Industriesektor GWh'!$B6607,41,1000))-1),nrg_cb_e!$C$3:$C$40,0))</f>
        <v>FC_IND_TL_E</v>
      </c>
      <c r="G6607" s="21">
        <v>134</v>
      </c>
    </row>
    <row r="6608" spans="1:7" x14ac:dyDescent="0.2">
      <c r="A6608" s="16" t="s">
        <v>45</v>
      </c>
      <c r="B6608" s="17" t="s">
        <v>73</v>
      </c>
      <c r="C6608" s="17" t="s">
        <v>8</v>
      </c>
      <c r="D6608" s="17" t="s">
        <v>10</v>
      </c>
      <c r="E6608" s="17" t="s">
        <v>22</v>
      </c>
      <c r="F6608" s="17" t="str">
        <f>INDEX(nrg_cb_e!$A$3:$A$40,MATCH(LEFT(MID('Industriesektor GWh'!$B6608,41,1000),SEARCH(" - ",MID('Industriesektor GWh'!$B6608,41,1000))-1),nrg_cb_e!$C$3:$C$40,0))</f>
        <v>FC_IND_TL_E</v>
      </c>
      <c r="G6608" s="18">
        <v>240</v>
      </c>
    </row>
    <row r="6609" spans="1:7" x14ac:dyDescent="0.2">
      <c r="A6609" s="19" t="s">
        <v>45</v>
      </c>
      <c r="B6609" s="20" t="s">
        <v>73</v>
      </c>
      <c r="C6609" s="20" t="s">
        <v>8</v>
      </c>
      <c r="D6609" s="20" t="s">
        <v>10</v>
      </c>
      <c r="E6609" s="20" t="s">
        <v>23</v>
      </c>
      <c r="F6609" s="20" t="str">
        <f>INDEX(nrg_cb_e!$A$3:$A$40,MATCH(LEFT(MID('Industriesektor GWh'!$B6609,41,1000),SEARCH(" - ",MID('Industriesektor GWh'!$B6609,41,1000))-1),nrg_cb_e!$C$3:$C$40,0))</f>
        <v>FC_IND_TL_E</v>
      </c>
      <c r="G6609" s="21">
        <v>194</v>
      </c>
    </row>
    <row r="6610" spans="1:7" x14ac:dyDescent="0.2">
      <c r="A6610" s="16" t="s">
        <v>45</v>
      </c>
      <c r="B6610" s="17" t="s">
        <v>73</v>
      </c>
      <c r="C6610" s="17" t="s">
        <v>8</v>
      </c>
      <c r="D6610" s="17" t="s">
        <v>10</v>
      </c>
      <c r="E6610" s="17" t="s">
        <v>24</v>
      </c>
      <c r="F6610" s="17" t="str">
        <f>INDEX(nrg_cb_e!$A$3:$A$40,MATCH(LEFT(MID('Industriesektor GWh'!$B6610,41,1000),SEARCH(" - ",MID('Industriesektor GWh'!$B6610,41,1000))-1),nrg_cb_e!$C$3:$C$40,0))</f>
        <v>FC_IND_TL_E</v>
      </c>
      <c r="G6610" s="18">
        <v>196</v>
      </c>
    </row>
    <row r="6611" spans="1:7" x14ac:dyDescent="0.2">
      <c r="A6611" s="19" t="s">
        <v>45</v>
      </c>
      <c r="B6611" s="20" t="s">
        <v>73</v>
      </c>
      <c r="C6611" s="20" t="s">
        <v>8</v>
      </c>
      <c r="D6611" s="20" t="s">
        <v>10</v>
      </c>
      <c r="E6611" s="20" t="s">
        <v>25</v>
      </c>
      <c r="F6611" s="20" t="str">
        <f>INDEX(nrg_cb_e!$A$3:$A$40,MATCH(LEFT(MID('Industriesektor GWh'!$B6611,41,1000),SEARCH(" - ",MID('Industriesektor GWh'!$B6611,41,1000))-1),nrg_cb_e!$C$3:$C$40,0))</f>
        <v>FC_IND_TL_E</v>
      </c>
      <c r="G6611" s="21">
        <v>219</v>
      </c>
    </row>
    <row r="6612" spans="1:7" x14ac:dyDescent="0.2">
      <c r="A6612" s="16" t="s">
        <v>45</v>
      </c>
      <c r="B6612" s="17" t="s">
        <v>73</v>
      </c>
      <c r="C6612" s="17" t="s">
        <v>8</v>
      </c>
      <c r="D6612" s="17" t="s">
        <v>10</v>
      </c>
      <c r="E6612" s="17" t="s">
        <v>26</v>
      </c>
      <c r="F6612" s="17" t="str">
        <f>INDEX(nrg_cb_e!$A$3:$A$40,MATCH(LEFT(MID('Industriesektor GWh'!$B6612,41,1000),SEARCH(" - ",MID('Industriesektor GWh'!$B6612,41,1000))-1),nrg_cb_e!$C$3:$C$40,0))</f>
        <v>FC_IND_TL_E</v>
      </c>
      <c r="G6612" s="18">
        <v>239</v>
      </c>
    </row>
    <row r="6613" spans="1:7" x14ac:dyDescent="0.2">
      <c r="A6613" s="19" t="s">
        <v>45</v>
      </c>
      <c r="B6613" s="20" t="s">
        <v>73</v>
      </c>
      <c r="C6613" s="20" t="s">
        <v>8</v>
      </c>
      <c r="D6613" s="20" t="s">
        <v>10</v>
      </c>
      <c r="E6613" s="20" t="s">
        <v>27</v>
      </c>
      <c r="F6613" s="20" t="str">
        <f>INDEX(nrg_cb_e!$A$3:$A$40,MATCH(LEFT(MID('Industriesektor GWh'!$B6613,41,1000),SEARCH(" - ",MID('Industriesektor GWh'!$B6613,41,1000))-1),nrg_cb_e!$C$3:$C$40,0))</f>
        <v>FC_IND_TL_E</v>
      </c>
      <c r="G6613" s="21">
        <v>226</v>
      </c>
    </row>
    <row r="6614" spans="1:7" x14ac:dyDescent="0.2">
      <c r="A6614" s="16" t="s">
        <v>45</v>
      </c>
      <c r="B6614" s="17" t="s">
        <v>73</v>
      </c>
      <c r="C6614" s="17" t="s">
        <v>8</v>
      </c>
      <c r="D6614" s="17" t="s">
        <v>10</v>
      </c>
      <c r="E6614" s="17" t="s">
        <v>28</v>
      </c>
      <c r="F6614" s="17" t="str">
        <f>INDEX(nrg_cb_e!$A$3:$A$40,MATCH(LEFT(MID('Industriesektor GWh'!$B6614,41,1000),SEARCH(" - ",MID('Industriesektor GWh'!$B6614,41,1000))-1),nrg_cb_e!$C$3:$C$40,0))</f>
        <v>FC_IND_TL_E</v>
      </c>
      <c r="G6614" s="18">
        <v>244</v>
      </c>
    </row>
    <row r="6615" spans="1:7" x14ac:dyDescent="0.2">
      <c r="A6615" s="19" t="s">
        <v>46</v>
      </c>
      <c r="B6615" s="20" t="s">
        <v>73</v>
      </c>
      <c r="C6615" s="20" t="s">
        <v>8</v>
      </c>
      <c r="D6615" s="20" t="s">
        <v>10</v>
      </c>
      <c r="E6615" s="20" t="s">
        <v>12</v>
      </c>
      <c r="F6615" s="20" t="str">
        <f>INDEX(nrg_cb_e!$A$3:$A$40,MATCH(LEFT(MID('Industriesektor GWh'!$B6615,41,1000),SEARCH(" - ",MID('Industriesektor GWh'!$B6615,41,1000))-1),nrg_cb_e!$C$3:$C$40,0))</f>
        <v>FC_IND_TL_E</v>
      </c>
      <c r="G6615" s="21">
        <v>0</v>
      </c>
    </row>
    <row r="6616" spans="1:7" x14ac:dyDescent="0.2">
      <c r="A6616" s="16" t="s">
        <v>46</v>
      </c>
      <c r="B6616" s="17" t="s">
        <v>73</v>
      </c>
      <c r="C6616" s="17" t="s">
        <v>8</v>
      </c>
      <c r="D6616" s="17" t="s">
        <v>10</v>
      </c>
      <c r="E6616" s="17" t="s">
        <v>13</v>
      </c>
      <c r="F6616" s="17" t="str">
        <f>INDEX(nrg_cb_e!$A$3:$A$40,MATCH(LEFT(MID('Industriesektor GWh'!$B6616,41,1000),SEARCH(" - ",MID('Industriesektor GWh'!$B6616,41,1000))-1),nrg_cb_e!$C$3:$C$40,0))</f>
        <v>FC_IND_TL_E</v>
      </c>
      <c r="G6616" s="18">
        <v>0</v>
      </c>
    </row>
    <row r="6617" spans="1:7" x14ac:dyDescent="0.2">
      <c r="A6617" s="19" t="s">
        <v>46</v>
      </c>
      <c r="B6617" s="20" t="s">
        <v>73</v>
      </c>
      <c r="C6617" s="20" t="s">
        <v>8</v>
      </c>
      <c r="D6617" s="20" t="s">
        <v>10</v>
      </c>
      <c r="E6617" s="20" t="s">
        <v>14</v>
      </c>
      <c r="F6617" s="20" t="str">
        <f>INDEX(nrg_cb_e!$A$3:$A$40,MATCH(LEFT(MID('Industriesektor GWh'!$B6617,41,1000),SEARCH(" - ",MID('Industriesektor GWh'!$B6617,41,1000))-1),nrg_cb_e!$C$3:$C$40,0))</f>
        <v>FC_IND_TL_E</v>
      </c>
      <c r="G6617" s="21">
        <v>0</v>
      </c>
    </row>
    <row r="6618" spans="1:7" x14ac:dyDescent="0.2">
      <c r="A6618" s="16" t="s">
        <v>46</v>
      </c>
      <c r="B6618" s="17" t="s">
        <v>73</v>
      </c>
      <c r="C6618" s="17" t="s">
        <v>8</v>
      </c>
      <c r="D6618" s="17" t="s">
        <v>10</v>
      </c>
      <c r="E6618" s="17" t="s">
        <v>15</v>
      </c>
      <c r="F6618" s="17" t="str">
        <f>INDEX(nrg_cb_e!$A$3:$A$40,MATCH(LEFT(MID('Industriesektor GWh'!$B6618,41,1000),SEARCH(" - ",MID('Industriesektor GWh'!$B6618,41,1000))-1),nrg_cb_e!$C$3:$C$40,0))</f>
        <v>FC_IND_TL_E</v>
      </c>
      <c r="G6618" s="18">
        <v>0</v>
      </c>
    </row>
    <row r="6619" spans="1:7" x14ac:dyDescent="0.2">
      <c r="A6619" s="19" t="s">
        <v>46</v>
      </c>
      <c r="B6619" s="20" t="s">
        <v>73</v>
      </c>
      <c r="C6619" s="20" t="s">
        <v>8</v>
      </c>
      <c r="D6619" s="20" t="s">
        <v>10</v>
      </c>
      <c r="E6619" s="20" t="s">
        <v>16</v>
      </c>
      <c r="F6619" s="20" t="str">
        <f>INDEX(nrg_cb_e!$A$3:$A$40,MATCH(LEFT(MID('Industriesektor GWh'!$B6619,41,1000),SEARCH(" - ",MID('Industriesektor GWh'!$B6619,41,1000))-1),nrg_cb_e!$C$3:$C$40,0))</f>
        <v>FC_IND_TL_E</v>
      </c>
      <c r="G6619" s="21">
        <v>0</v>
      </c>
    </row>
    <row r="6620" spans="1:7" x14ac:dyDescent="0.2">
      <c r="A6620" s="16" t="s">
        <v>46</v>
      </c>
      <c r="B6620" s="17" t="s">
        <v>73</v>
      </c>
      <c r="C6620" s="17" t="s">
        <v>8</v>
      </c>
      <c r="D6620" s="17" t="s">
        <v>10</v>
      </c>
      <c r="E6620" s="17" t="s">
        <v>17</v>
      </c>
      <c r="F6620" s="17" t="str">
        <f>INDEX(nrg_cb_e!$A$3:$A$40,MATCH(LEFT(MID('Industriesektor GWh'!$B6620,41,1000),SEARCH(" - ",MID('Industriesektor GWh'!$B6620,41,1000))-1),nrg_cb_e!$C$3:$C$40,0))</f>
        <v>FC_IND_TL_E</v>
      </c>
      <c r="G6620" s="18">
        <v>0</v>
      </c>
    </row>
    <row r="6621" spans="1:7" x14ac:dyDescent="0.2">
      <c r="A6621" s="19" t="s">
        <v>46</v>
      </c>
      <c r="B6621" s="20" t="s">
        <v>73</v>
      </c>
      <c r="C6621" s="20" t="s">
        <v>8</v>
      </c>
      <c r="D6621" s="20" t="s">
        <v>10</v>
      </c>
      <c r="E6621" s="20" t="s">
        <v>18</v>
      </c>
      <c r="F6621" s="20" t="str">
        <f>INDEX(nrg_cb_e!$A$3:$A$40,MATCH(LEFT(MID('Industriesektor GWh'!$B6621,41,1000),SEARCH(" - ",MID('Industriesektor GWh'!$B6621,41,1000))-1),nrg_cb_e!$C$3:$C$40,0))</f>
        <v>FC_IND_TL_E</v>
      </c>
      <c r="G6621" s="21">
        <v>0</v>
      </c>
    </row>
    <row r="6622" spans="1:7" x14ac:dyDescent="0.2">
      <c r="A6622" s="16" t="s">
        <v>46</v>
      </c>
      <c r="B6622" s="17" t="s">
        <v>73</v>
      </c>
      <c r="C6622" s="17" t="s">
        <v>8</v>
      </c>
      <c r="D6622" s="17" t="s">
        <v>10</v>
      </c>
      <c r="E6622" s="17" t="s">
        <v>19</v>
      </c>
      <c r="F6622" s="17" t="str">
        <f>INDEX(nrg_cb_e!$A$3:$A$40,MATCH(LEFT(MID('Industriesektor GWh'!$B6622,41,1000),SEARCH(" - ",MID('Industriesektor GWh'!$B6622,41,1000))-1),nrg_cb_e!$C$3:$C$40,0))</f>
        <v>FC_IND_TL_E</v>
      </c>
      <c r="G6622" s="18">
        <v>0</v>
      </c>
    </row>
    <row r="6623" spans="1:7" x14ac:dyDescent="0.2">
      <c r="A6623" s="19" t="s">
        <v>46</v>
      </c>
      <c r="B6623" s="20" t="s">
        <v>73</v>
      </c>
      <c r="C6623" s="20" t="s">
        <v>8</v>
      </c>
      <c r="D6623" s="20" t="s">
        <v>10</v>
      </c>
      <c r="E6623" s="20" t="s">
        <v>20</v>
      </c>
      <c r="F6623" s="20" t="str">
        <f>INDEX(nrg_cb_e!$A$3:$A$40,MATCH(LEFT(MID('Industriesektor GWh'!$B6623,41,1000),SEARCH(" - ",MID('Industriesektor GWh'!$B6623,41,1000))-1),nrg_cb_e!$C$3:$C$40,0))</f>
        <v>FC_IND_TL_E</v>
      </c>
      <c r="G6623" s="21">
        <v>47</v>
      </c>
    </row>
    <row r="6624" spans="1:7" x14ac:dyDescent="0.2">
      <c r="A6624" s="16" t="s">
        <v>46</v>
      </c>
      <c r="B6624" s="17" t="s">
        <v>73</v>
      </c>
      <c r="C6624" s="17" t="s">
        <v>8</v>
      </c>
      <c r="D6624" s="17" t="s">
        <v>10</v>
      </c>
      <c r="E6624" s="17" t="s">
        <v>21</v>
      </c>
      <c r="F6624" s="17" t="str">
        <f>INDEX(nrg_cb_e!$A$3:$A$40,MATCH(LEFT(MID('Industriesektor GWh'!$B6624,41,1000),SEARCH(" - ",MID('Industriesektor GWh'!$B6624,41,1000))-1),nrg_cb_e!$C$3:$C$40,0))</f>
        <v>FC_IND_TL_E</v>
      </c>
      <c r="G6624" s="18">
        <v>47</v>
      </c>
    </row>
    <row r="6625" spans="1:7" x14ac:dyDescent="0.2">
      <c r="A6625" s="19" t="s">
        <v>46</v>
      </c>
      <c r="B6625" s="20" t="s">
        <v>73</v>
      </c>
      <c r="C6625" s="20" t="s">
        <v>8</v>
      </c>
      <c r="D6625" s="20" t="s">
        <v>10</v>
      </c>
      <c r="E6625" s="20" t="s">
        <v>22</v>
      </c>
      <c r="F6625" s="20" t="str">
        <f>INDEX(nrg_cb_e!$A$3:$A$40,MATCH(LEFT(MID('Industriesektor GWh'!$B6625,41,1000),SEARCH(" - ",MID('Industriesektor GWh'!$B6625,41,1000))-1),nrg_cb_e!$C$3:$C$40,0))</f>
        <v>FC_IND_TL_E</v>
      </c>
      <c r="G6625" s="21">
        <v>46</v>
      </c>
    </row>
    <row r="6626" spans="1:7" x14ac:dyDescent="0.2">
      <c r="A6626" s="16" t="s">
        <v>46</v>
      </c>
      <c r="B6626" s="17" t="s">
        <v>73</v>
      </c>
      <c r="C6626" s="17" t="s">
        <v>8</v>
      </c>
      <c r="D6626" s="17" t="s">
        <v>10</v>
      </c>
      <c r="E6626" s="17" t="s">
        <v>23</v>
      </c>
      <c r="F6626" s="17" t="str">
        <f>INDEX(nrg_cb_e!$A$3:$A$40,MATCH(LEFT(MID('Industriesektor GWh'!$B6626,41,1000),SEARCH(" - ",MID('Industriesektor GWh'!$B6626,41,1000))-1),nrg_cb_e!$C$3:$C$40,0))</f>
        <v>FC_IND_TL_E</v>
      </c>
      <c r="G6626" s="18">
        <v>39</v>
      </c>
    </row>
    <row r="6627" spans="1:7" x14ac:dyDescent="0.2">
      <c r="A6627" s="19" t="s">
        <v>46</v>
      </c>
      <c r="B6627" s="20" t="s">
        <v>73</v>
      </c>
      <c r="C6627" s="20" t="s">
        <v>8</v>
      </c>
      <c r="D6627" s="20" t="s">
        <v>10</v>
      </c>
      <c r="E6627" s="20" t="s">
        <v>24</v>
      </c>
      <c r="F6627" s="20" t="str">
        <f>INDEX(nrg_cb_e!$A$3:$A$40,MATCH(LEFT(MID('Industriesektor GWh'!$B6627,41,1000),SEARCH(" - ",MID('Industriesektor GWh'!$B6627,41,1000))-1),nrg_cb_e!$C$3:$C$40,0))</f>
        <v>FC_IND_TL_E</v>
      </c>
      <c r="G6627" s="21">
        <v>30</v>
      </c>
    </row>
    <row r="6628" spans="1:7" x14ac:dyDescent="0.2">
      <c r="A6628" s="16" t="s">
        <v>46</v>
      </c>
      <c r="B6628" s="17" t="s">
        <v>73</v>
      </c>
      <c r="C6628" s="17" t="s">
        <v>8</v>
      </c>
      <c r="D6628" s="17" t="s">
        <v>10</v>
      </c>
      <c r="E6628" s="17" t="s">
        <v>25</v>
      </c>
      <c r="F6628" s="17" t="str">
        <f>INDEX(nrg_cb_e!$A$3:$A$40,MATCH(LEFT(MID('Industriesektor GWh'!$B6628,41,1000),SEARCH(" - ",MID('Industriesektor GWh'!$B6628,41,1000))-1),nrg_cb_e!$C$3:$C$40,0))</f>
        <v>FC_IND_TL_E</v>
      </c>
      <c r="G6628" s="18">
        <v>33</v>
      </c>
    </row>
    <row r="6629" spans="1:7" x14ac:dyDescent="0.2">
      <c r="A6629" s="19" t="s">
        <v>46</v>
      </c>
      <c r="B6629" s="20" t="s">
        <v>73</v>
      </c>
      <c r="C6629" s="20" t="s">
        <v>8</v>
      </c>
      <c r="D6629" s="20" t="s">
        <v>10</v>
      </c>
      <c r="E6629" s="20" t="s">
        <v>26</v>
      </c>
      <c r="F6629" s="20" t="str">
        <f>INDEX(nrg_cb_e!$A$3:$A$40,MATCH(LEFT(MID('Industriesektor GWh'!$B6629,41,1000),SEARCH(" - ",MID('Industriesektor GWh'!$B6629,41,1000))-1),nrg_cb_e!$C$3:$C$40,0))</f>
        <v>FC_IND_TL_E</v>
      </c>
      <c r="G6629" s="21">
        <v>28</v>
      </c>
    </row>
    <row r="6630" spans="1:7" x14ac:dyDescent="0.2">
      <c r="A6630" s="16" t="s">
        <v>46</v>
      </c>
      <c r="B6630" s="17" t="s">
        <v>73</v>
      </c>
      <c r="C6630" s="17" t="s">
        <v>8</v>
      </c>
      <c r="D6630" s="17" t="s">
        <v>10</v>
      </c>
      <c r="E6630" s="17" t="s">
        <v>27</v>
      </c>
      <c r="F6630" s="17" t="str">
        <f>INDEX(nrg_cb_e!$A$3:$A$40,MATCH(LEFT(MID('Industriesektor GWh'!$B6630,41,1000),SEARCH(" - ",MID('Industriesektor GWh'!$B6630,41,1000))-1),nrg_cb_e!$C$3:$C$40,0))</f>
        <v>FC_IND_TL_E</v>
      </c>
      <c r="G6630" s="18">
        <v>31.22</v>
      </c>
    </row>
    <row r="6631" spans="1:7" x14ac:dyDescent="0.2">
      <c r="A6631" s="19" t="s">
        <v>46</v>
      </c>
      <c r="B6631" s="20" t="s">
        <v>73</v>
      </c>
      <c r="C6631" s="20" t="s">
        <v>8</v>
      </c>
      <c r="D6631" s="20" t="s">
        <v>10</v>
      </c>
      <c r="E6631" s="20" t="s">
        <v>28</v>
      </c>
      <c r="F6631" s="20" t="str">
        <f>INDEX(nrg_cb_e!$A$3:$A$40,MATCH(LEFT(MID('Industriesektor GWh'!$B6631,41,1000),SEARCH(" - ",MID('Industriesektor GWh'!$B6631,41,1000))-1),nrg_cb_e!$C$3:$C$40,0))</f>
        <v>FC_IND_TL_E</v>
      </c>
      <c r="G6631" s="21">
        <v>32.131</v>
      </c>
    </row>
    <row r="6632" spans="1:7" x14ac:dyDescent="0.2">
      <c r="A6632" s="16" t="s">
        <v>47</v>
      </c>
      <c r="B6632" s="17" t="s">
        <v>73</v>
      </c>
      <c r="C6632" s="17" t="s">
        <v>8</v>
      </c>
      <c r="D6632" s="17" t="s">
        <v>10</v>
      </c>
      <c r="E6632" s="17" t="s">
        <v>12</v>
      </c>
      <c r="F6632" s="17" t="str">
        <f>INDEX(nrg_cb_e!$A$3:$A$40,MATCH(LEFT(MID('Industriesektor GWh'!$B6632,41,1000),SEARCH(" - ",MID('Industriesektor GWh'!$B6632,41,1000))-1),nrg_cb_e!$C$3:$C$40,0))</f>
        <v>FC_IND_TL_E</v>
      </c>
      <c r="G6632" s="18">
        <v>574</v>
      </c>
    </row>
    <row r="6633" spans="1:7" x14ac:dyDescent="0.2">
      <c r="A6633" s="19" t="s">
        <v>47</v>
      </c>
      <c r="B6633" s="20" t="s">
        <v>73</v>
      </c>
      <c r="C6633" s="20" t="s">
        <v>8</v>
      </c>
      <c r="D6633" s="20" t="s">
        <v>10</v>
      </c>
      <c r="E6633" s="20" t="s">
        <v>13</v>
      </c>
      <c r="F6633" s="20" t="str">
        <f>INDEX(nrg_cb_e!$A$3:$A$40,MATCH(LEFT(MID('Industriesektor GWh'!$B6633,41,1000),SEARCH(" - ",MID('Industriesektor GWh'!$B6633,41,1000))-1),nrg_cb_e!$C$3:$C$40,0))</f>
        <v>FC_IND_TL_E</v>
      </c>
      <c r="G6633" s="21">
        <v>548</v>
      </c>
    </row>
    <row r="6634" spans="1:7" x14ac:dyDescent="0.2">
      <c r="A6634" s="16" t="s">
        <v>47</v>
      </c>
      <c r="B6634" s="17" t="s">
        <v>73</v>
      </c>
      <c r="C6634" s="17" t="s">
        <v>8</v>
      </c>
      <c r="D6634" s="17" t="s">
        <v>10</v>
      </c>
      <c r="E6634" s="17" t="s">
        <v>14</v>
      </c>
      <c r="F6634" s="17" t="str">
        <f>INDEX(nrg_cb_e!$A$3:$A$40,MATCH(LEFT(MID('Industriesektor GWh'!$B6634,41,1000),SEARCH(" - ",MID('Industriesektor GWh'!$B6634,41,1000))-1),nrg_cb_e!$C$3:$C$40,0))</f>
        <v>FC_IND_TL_E</v>
      </c>
      <c r="G6634" s="18">
        <v>499</v>
      </c>
    </row>
    <row r="6635" spans="1:7" x14ac:dyDescent="0.2">
      <c r="A6635" s="19" t="s">
        <v>47</v>
      </c>
      <c r="B6635" s="20" t="s">
        <v>73</v>
      </c>
      <c r="C6635" s="20" t="s">
        <v>8</v>
      </c>
      <c r="D6635" s="20" t="s">
        <v>10</v>
      </c>
      <c r="E6635" s="20" t="s">
        <v>15</v>
      </c>
      <c r="F6635" s="20" t="str">
        <f>INDEX(nrg_cb_e!$A$3:$A$40,MATCH(LEFT(MID('Industriesektor GWh'!$B6635,41,1000),SEARCH(" - ",MID('Industriesektor GWh'!$B6635,41,1000))-1),nrg_cb_e!$C$3:$C$40,0))</f>
        <v>FC_IND_TL_E</v>
      </c>
      <c r="G6635" s="21">
        <v>407</v>
      </c>
    </row>
    <row r="6636" spans="1:7" x14ac:dyDescent="0.2">
      <c r="A6636" s="16" t="s">
        <v>47</v>
      </c>
      <c r="B6636" s="17" t="s">
        <v>73</v>
      </c>
      <c r="C6636" s="17" t="s">
        <v>8</v>
      </c>
      <c r="D6636" s="17" t="s">
        <v>10</v>
      </c>
      <c r="E6636" s="17" t="s">
        <v>16</v>
      </c>
      <c r="F6636" s="17" t="str">
        <f>INDEX(nrg_cb_e!$A$3:$A$40,MATCH(LEFT(MID('Industriesektor GWh'!$B6636,41,1000),SEARCH(" - ",MID('Industriesektor GWh'!$B6636,41,1000))-1),nrg_cb_e!$C$3:$C$40,0))</f>
        <v>FC_IND_TL_E</v>
      </c>
      <c r="G6636" s="18">
        <v>395</v>
      </c>
    </row>
    <row r="6637" spans="1:7" x14ac:dyDescent="0.2">
      <c r="A6637" s="19" t="s">
        <v>47</v>
      </c>
      <c r="B6637" s="20" t="s">
        <v>73</v>
      </c>
      <c r="C6637" s="20" t="s">
        <v>8</v>
      </c>
      <c r="D6637" s="20" t="s">
        <v>10</v>
      </c>
      <c r="E6637" s="20" t="s">
        <v>17</v>
      </c>
      <c r="F6637" s="20" t="str">
        <f>INDEX(nrg_cb_e!$A$3:$A$40,MATCH(LEFT(MID('Industriesektor GWh'!$B6637,41,1000),SEARCH(" - ",MID('Industriesektor GWh'!$B6637,41,1000))-1),nrg_cb_e!$C$3:$C$40,0))</f>
        <v>FC_IND_TL_E</v>
      </c>
      <c r="G6637" s="21">
        <v>388</v>
      </c>
    </row>
    <row r="6638" spans="1:7" x14ac:dyDescent="0.2">
      <c r="A6638" s="16" t="s">
        <v>47</v>
      </c>
      <c r="B6638" s="17" t="s">
        <v>73</v>
      </c>
      <c r="C6638" s="17" t="s">
        <v>8</v>
      </c>
      <c r="D6638" s="17" t="s">
        <v>10</v>
      </c>
      <c r="E6638" s="17" t="s">
        <v>18</v>
      </c>
      <c r="F6638" s="17" t="str">
        <f>INDEX(nrg_cb_e!$A$3:$A$40,MATCH(LEFT(MID('Industriesektor GWh'!$B6638,41,1000),SEARCH(" - ",MID('Industriesektor GWh'!$B6638,41,1000))-1),nrg_cb_e!$C$3:$C$40,0))</f>
        <v>FC_IND_TL_E</v>
      </c>
      <c r="G6638" s="18">
        <v>357</v>
      </c>
    </row>
    <row r="6639" spans="1:7" x14ac:dyDescent="0.2">
      <c r="A6639" s="19" t="s">
        <v>47</v>
      </c>
      <c r="B6639" s="20" t="s">
        <v>73</v>
      </c>
      <c r="C6639" s="20" t="s">
        <v>8</v>
      </c>
      <c r="D6639" s="20" t="s">
        <v>10</v>
      </c>
      <c r="E6639" s="20" t="s">
        <v>19</v>
      </c>
      <c r="F6639" s="20" t="str">
        <f>INDEX(nrg_cb_e!$A$3:$A$40,MATCH(LEFT(MID('Industriesektor GWh'!$B6639,41,1000),SEARCH(" - ",MID('Industriesektor GWh'!$B6639,41,1000))-1),nrg_cb_e!$C$3:$C$40,0))</f>
        <v>FC_IND_TL_E</v>
      </c>
      <c r="G6639" s="21">
        <v>320</v>
      </c>
    </row>
    <row r="6640" spans="1:7" x14ac:dyDescent="0.2">
      <c r="A6640" s="16" t="s">
        <v>47</v>
      </c>
      <c r="B6640" s="17" t="s">
        <v>73</v>
      </c>
      <c r="C6640" s="17" t="s">
        <v>8</v>
      </c>
      <c r="D6640" s="17" t="s">
        <v>10</v>
      </c>
      <c r="E6640" s="17" t="s">
        <v>20</v>
      </c>
      <c r="F6640" s="17" t="str">
        <f>INDEX(nrg_cb_e!$A$3:$A$40,MATCH(LEFT(MID('Industriesektor GWh'!$B6640,41,1000),SEARCH(" - ",MID('Industriesektor GWh'!$B6640,41,1000))-1),nrg_cb_e!$C$3:$C$40,0))</f>
        <v>FC_IND_TL_E</v>
      </c>
      <c r="G6640" s="18">
        <v>385</v>
      </c>
    </row>
    <row r="6641" spans="1:7" x14ac:dyDescent="0.2">
      <c r="A6641" s="19" t="s">
        <v>47</v>
      </c>
      <c r="B6641" s="20" t="s">
        <v>73</v>
      </c>
      <c r="C6641" s="20" t="s">
        <v>8</v>
      </c>
      <c r="D6641" s="20" t="s">
        <v>10</v>
      </c>
      <c r="E6641" s="20" t="s">
        <v>21</v>
      </c>
      <c r="F6641" s="20" t="str">
        <f>INDEX(nrg_cb_e!$A$3:$A$40,MATCH(LEFT(MID('Industriesektor GWh'!$B6641,41,1000),SEARCH(" - ",MID('Industriesektor GWh'!$B6641,41,1000))-1),nrg_cb_e!$C$3:$C$40,0))</f>
        <v>FC_IND_TL_E</v>
      </c>
      <c r="G6641" s="21">
        <v>363</v>
      </c>
    </row>
    <row r="6642" spans="1:7" x14ac:dyDescent="0.2">
      <c r="A6642" s="16" t="s">
        <v>47</v>
      </c>
      <c r="B6642" s="17" t="s">
        <v>73</v>
      </c>
      <c r="C6642" s="17" t="s">
        <v>8</v>
      </c>
      <c r="D6642" s="17" t="s">
        <v>10</v>
      </c>
      <c r="E6642" s="17" t="s">
        <v>22</v>
      </c>
      <c r="F6642" s="17" t="str">
        <f>INDEX(nrg_cb_e!$A$3:$A$40,MATCH(LEFT(MID('Industriesektor GWh'!$B6642,41,1000),SEARCH(" - ",MID('Industriesektor GWh'!$B6642,41,1000))-1),nrg_cb_e!$C$3:$C$40,0))</f>
        <v>FC_IND_TL_E</v>
      </c>
      <c r="G6642" s="18">
        <v>350</v>
      </c>
    </row>
    <row r="6643" spans="1:7" x14ac:dyDescent="0.2">
      <c r="A6643" s="19" t="s">
        <v>47</v>
      </c>
      <c r="B6643" s="20" t="s">
        <v>73</v>
      </c>
      <c r="C6643" s="20" t="s">
        <v>8</v>
      </c>
      <c r="D6643" s="20" t="s">
        <v>10</v>
      </c>
      <c r="E6643" s="20" t="s">
        <v>23</v>
      </c>
      <c r="F6643" s="20" t="str">
        <f>INDEX(nrg_cb_e!$A$3:$A$40,MATCH(LEFT(MID('Industriesektor GWh'!$B6643,41,1000),SEARCH(" - ",MID('Industriesektor GWh'!$B6643,41,1000))-1),nrg_cb_e!$C$3:$C$40,0))</f>
        <v>FC_IND_TL_E</v>
      </c>
      <c r="G6643" s="21">
        <v>377</v>
      </c>
    </row>
    <row r="6644" spans="1:7" x14ac:dyDescent="0.2">
      <c r="A6644" s="16" t="s">
        <v>47</v>
      </c>
      <c r="B6644" s="17" t="s">
        <v>73</v>
      </c>
      <c r="C6644" s="17" t="s">
        <v>8</v>
      </c>
      <c r="D6644" s="17" t="s">
        <v>10</v>
      </c>
      <c r="E6644" s="17" t="s">
        <v>24</v>
      </c>
      <c r="F6644" s="17" t="str">
        <f>INDEX(nrg_cb_e!$A$3:$A$40,MATCH(LEFT(MID('Industriesektor GWh'!$B6644,41,1000),SEARCH(" - ",MID('Industriesektor GWh'!$B6644,41,1000))-1),nrg_cb_e!$C$3:$C$40,0))</f>
        <v>FC_IND_TL_E</v>
      </c>
      <c r="G6644" s="18">
        <v>338</v>
      </c>
    </row>
    <row r="6645" spans="1:7" x14ac:dyDescent="0.2">
      <c r="A6645" s="19" t="s">
        <v>47</v>
      </c>
      <c r="B6645" s="20" t="s">
        <v>73</v>
      </c>
      <c r="C6645" s="20" t="s">
        <v>8</v>
      </c>
      <c r="D6645" s="20" t="s">
        <v>10</v>
      </c>
      <c r="E6645" s="20" t="s">
        <v>25</v>
      </c>
      <c r="F6645" s="20" t="str">
        <f>INDEX(nrg_cb_e!$A$3:$A$40,MATCH(LEFT(MID('Industriesektor GWh'!$B6645,41,1000),SEARCH(" - ",MID('Industriesektor GWh'!$B6645,41,1000))-1),nrg_cb_e!$C$3:$C$40,0))</f>
        <v>FC_IND_TL_E</v>
      </c>
      <c r="G6645" s="21">
        <v>362.46699999999998</v>
      </c>
    </row>
    <row r="6646" spans="1:7" x14ac:dyDescent="0.2">
      <c r="A6646" s="16" t="s">
        <v>47</v>
      </c>
      <c r="B6646" s="17" t="s">
        <v>73</v>
      </c>
      <c r="C6646" s="17" t="s">
        <v>8</v>
      </c>
      <c r="D6646" s="17" t="s">
        <v>10</v>
      </c>
      <c r="E6646" s="17" t="s">
        <v>26</v>
      </c>
      <c r="F6646" s="17" t="str">
        <f>INDEX(nrg_cb_e!$A$3:$A$40,MATCH(LEFT(MID('Industriesektor GWh'!$B6646,41,1000),SEARCH(" - ",MID('Industriesektor GWh'!$B6646,41,1000))-1),nrg_cb_e!$C$3:$C$40,0))</f>
        <v>FC_IND_TL_E</v>
      </c>
      <c r="G6646" s="18">
        <v>355.26</v>
      </c>
    </row>
    <row r="6647" spans="1:7" x14ac:dyDescent="0.2">
      <c r="A6647" s="19" t="s">
        <v>47</v>
      </c>
      <c r="B6647" s="20" t="s">
        <v>73</v>
      </c>
      <c r="C6647" s="20" t="s">
        <v>8</v>
      </c>
      <c r="D6647" s="20" t="s">
        <v>10</v>
      </c>
      <c r="E6647" s="20" t="s">
        <v>27</v>
      </c>
      <c r="F6647" s="20" t="str">
        <f>INDEX(nrg_cb_e!$A$3:$A$40,MATCH(LEFT(MID('Industriesektor GWh'!$B6647,41,1000),SEARCH(" - ",MID('Industriesektor GWh'!$B6647,41,1000))-1),nrg_cb_e!$C$3:$C$40,0))</f>
        <v>FC_IND_TL_E</v>
      </c>
      <c r="G6647" s="21">
        <v>370.202</v>
      </c>
    </row>
    <row r="6648" spans="1:7" x14ac:dyDescent="0.2">
      <c r="A6648" s="16" t="s">
        <v>47</v>
      </c>
      <c r="B6648" s="17" t="s">
        <v>73</v>
      </c>
      <c r="C6648" s="17" t="s">
        <v>8</v>
      </c>
      <c r="D6648" s="17" t="s">
        <v>10</v>
      </c>
      <c r="E6648" s="17" t="s">
        <v>28</v>
      </c>
      <c r="F6648" s="17" t="str">
        <f>INDEX(nrg_cb_e!$A$3:$A$40,MATCH(LEFT(MID('Industriesektor GWh'!$B6648,41,1000),SEARCH(" - ",MID('Industriesektor GWh'!$B6648,41,1000))-1),nrg_cb_e!$C$3:$C$40,0))</f>
        <v>FC_IND_TL_E</v>
      </c>
      <c r="G6648" s="18">
        <v>402.57400000000001</v>
      </c>
    </row>
    <row r="6649" spans="1:7" x14ac:dyDescent="0.2">
      <c r="A6649" s="19" t="s">
        <v>48</v>
      </c>
      <c r="B6649" s="20" t="s">
        <v>73</v>
      </c>
      <c r="C6649" s="20" t="s">
        <v>8</v>
      </c>
      <c r="D6649" s="20" t="s">
        <v>10</v>
      </c>
      <c r="E6649" s="20" t="s">
        <v>12</v>
      </c>
      <c r="F6649" s="20" t="str">
        <f>INDEX(nrg_cb_e!$A$3:$A$40,MATCH(LEFT(MID('Industriesektor GWh'!$B6649,41,1000),SEARCH(" - ",MID('Industriesektor GWh'!$B6649,41,1000))-1),nrg_cb_e!$C$3:$C$40,0))</f>
        <v>FC_IND_TL_E</v>
      </c>
      <c r="G6649" s="21">
        <v>599</v>
      </c>
    </row>
    <row r="6650" spans="1:7" x14ac:dyDescent="0.2">
      <c r="A6650" s="16" t="s">
        <v>48</v>
      </c>
      <c r="B6650" s="17" t="s">
        <v>73</v>
      </c>
      <c r="C6650" s="17" t="s">
        <v>8</v>
      </c>
      <c r="D6650" s="17" t="s">
        <v>10</v>
      </c>
      <c r="E6650" s="17" t="s">
        <v>13</v>
      </c>
      <c r="F6650" s="17" t="str">
        <f>INDEX(nrg_cb_e!$A$3:$A$40,MATCH(LEFT(MID('Industriesektor GWh'!$B6650,41,1000),SEARCH(" - ",MID('Industriesektor GWh'!$B6650,41,1000))-1),nrg_cb_e!$C$3:$C$40,0))</f>
        <v>FC_IND_TL_E</v>
      </c>
      <c r="G6650" s="18">
        <v>626</v>
      </c>
    </row>
    <row r="6651" spans="1:7" x14ac:dyDescent="0.2">
      <c r="A6651" s="19" t="s">
        <v>48</v>
      </c>
      <c r="B6651" s="20" t="s">
        <v>73</v>
      </c>
      <c r="C6651" s="20" t="s">
        <v>8</v>
      </c>
      <c r="D6651" s="20" t="s">
        <v>10</v>
      </c>
      <c r="E6651" s="20" t="s">
        <v>14</v>
      </c>
      <c r="F6651" s="20" t="str">
        <f>INDEX(nrg_cb_e!$A$3:$A$40,MATCH(LEFT(MID('Industriesektor GWh'!$B6651,41,1000),SEARCH(" - ",MID('Industriesektor GWh'!$B6651,41,1000))-1),nrg_cb_e!$C$3:$C$40,0))</f>
        <v>FC_IND_TL_E</v>
      </c>
      <c r="G6651" s="21">
        <v>640</v>
      </c>
    </row>
    <row r="6652" spans="1:7" x14ac:dyDescent="0.2">
      <c r="A6652" s="16" t="s">
        <v>48</v>
      </c>
      <c r="B6652" s="17" t="s">
        <v>73</v>
      </c>
      <c r="C6652" s="17" t="s">
        <v>8</v>
      </c>
      <c r="D6652" s="17" t="s">
        <v>10</v>
      </c>
      <c r="E6652" s="17" t="s">
        <v>15</v>
      </c>
      <c r="F6652" s="17" t="str">
        <f>INDEX(nrg_cb_e!$A$3:$A$40,MATCH(LEFT(MID('Industriesektor GWh'!$B6652,41,1000),SEARCH(" - ",MID('Industriesektor GWh'!$B6652,41,1000))-1),nrg_cb_e!$C$3:$C$40,0))</f>
        <v>FC_IND_TL_E</v>
      </c>
      <c r="G6652" s="18">
        <v>610.58100000000002</v>
      </c>
    </row>
    <row r="6653" spans="1:7" x14ac:dyDescent="0.2">
      <c r="A6653" s="19" t="s">
        <v>48</v>
      </c>
      <c r="B6653" s="20" t="s">
        <v>73</v>
      </c>
      <c r="C6653" s="20" t="s">
        <v>8</v>
      </c>
      <c r="D6653" s="20" t="s">
        <v>10</v>
      </c>
      <c r="E6653" s="20" t="s">
        <v>16</v>
      </c>
      <c r="F6653" s="20" t="str">
        <f>INDEX(nrg_cb_e!$A$3:$A$40,MATCH(LEFT(MID('Industriesektor GWh'!$B6653,41,1000),SEARCH(" - ",MID('Industriesektor GWh'!$B6653,41,1000))-1),nrg_cb_e!$C$3:$C$40,0))</f>
        <v>FC_IND_TL_E</v>
      </c>
      <c r="G6653" s="21">
        <v>591.79100000000005</v>
      </c>
    </row>
    <row r="6654" spans="1:7" x14ac:dyDescent="0.2">
      <c r="A6654" s="16" t="s">
        <v>48</v>
      </c>
      <c r="B6654" s="17" t="s">
        <v>73</v>
      </c>
      <c r="C6654" s="17" t="s">
        <v>8</v>
      </c>
      <c r="D6654" s="17" t="s">
        <v>10</v>
      </c>
      <c r="E6654" s="17" t="s">
        <v>17</v>
      </c>
      <c r="F6654" s="17" t="str">
        <f>INDEX(nrg_cb_e!$A$3:$A$40,MATCH(LEFT(MID('Industriesektor GWh'!$B6654,41,1000),SEARCH(" - ",MID('Industriesektor GWh'!$B6654,41,1000))-1),nrg_cb_e!$C$3:$C$40,0))</f>
        <v>FC_IND_TL_E</v>
      </c>
      <c r="G6654" s="18">
        <v>567.97299999999996</v>
      </c>
    </row>
    <row r="6655" spans="1:7" x14ac:dyDescent="0.2">
      <c r="A6655" s="19" t="s">
        <v>48</v>
      </c>
      <c r="B6655" s="20" t="s">
        <v>73</v>
      </c>
      <c r="C6655" s="20" t="s">
        <v>8</v>
      </c>
      <c r="D6655" s="20" t="s">
        <v>10</v>
      </c>
      <c r="E6655" s="20" t="s">
        <v>18</v>
      </c>
      <c r="F6655" s="20" t="str">
        <f>INDEX(nrg_cb_e!$A$3:$A$40,MATCH(LEFT(MID('Industriesektor GWh'!$B6655,41,1000),SEARCH(" - ",MID('Industriesektor GWh'!$B6655,41,1000))-1),nrg_cb_e!$C$3:$C$40,0))</f>
        <v>FC_IND_TL_E</v>
      </c>
      <c r="G6655" s="21">
        <v>520.30600000000004</v>
      </c>
    </row>
    <row r="6656" spans="1:7" x14ac:dyDescent="0.2">
      <c r="A6656" s="16" t="s">
        <v>48</v>
      </c>
      <c r="B6656" s="17" t="s">
        <v>73</v>
      </c>
      <c r="C6656" s="17" t="s">
        <v>8</v>
      </c>
      <c r="D6656" s="17" t="s">
        <v>10</v>
      </c>
      <c r="E6656" s="17" t="s">
        <v>19</v>
      </c>
      <c r="F6656" s="17" t="str">
        <f>INDEX(nrg_cb_e!$A$3:$A$40,MATCH(LEFT(MID('Industriesektor GWh'!$B6656,41,1000),SEARCH(" - ",MID('Industriesektor GWh'!$B6656,41,1000))-1),nrg_cb_e!$C$3:$C$40,0))</f>
        <v>FC_IND_TL_E</v>
      </c>
      <c r="G6656" s="18">
        <v>442.23099999999999</v>
      </c>
    </row>
    <row r="6657" spans="1:7" x14ac:dyDescent="0.2">
      <c r="A6657" s="19" t="s">
        <v>48</v>
      </c>
      <c r="B6657" s="20" t="s">
        <v>73</v>
      </c>
      <c r="C6657" s="20" t="s">
        <v>8</v>
      </c>
      <c r="D6657" s="20" t="s">
        <v>10</v>
      </c>
      <c r="E6657" s="20" t="s">
        <v>20</v>
      </c>
      <c r="F6657" s="20" t="str">
        <f>INDEX(nrg_cb_e!$A$3:$A$40,MATCH(LEFT(MID('Industriesektor GWh'!$B6657,41,1000),SEARCH(" - ",MID('Industriesektor GWh'!$B6657,41,1000))-1),nrg_cb_e!$C$3:$C$40,0))</f>
        <v>FC_IND_TL_E</v>
      </c>
      <c r="G6657" s="21">
        <v>436.81299999999999</v>
      </c>
    </row>
    <row r="6658" spans="1:7" x14ac:dyDescent="0.2">
      <c r="A6658" s="16" t="s">
        <v>48</v>
      </c>
      <c r="B6658" s="17" t="s">
        <v>73</v>
      </c>
      <c r="C6658" s="17" t="s">
        <v>8</v>
      </c>
      <c r="D6658" s="17" t="s">
        <v>10</v>
      </c>
      <c r="E6658" s="17" t="s">
        <v>21</v>
      </c>
      <c r="F6658" s="17" t="str">
        <f>INDEX(nrg_cb_e!$A$3:$A$40,MATCH(LEFT(MID('Industriesektor GWh'!$B6658,41,1000),SEARCH(" - ",MID('Industriesektor GWh'!$B6658,41,1000))-1),nrg_cb_e!$C$3:$C$40,0))</f>
        <v>FC_IND_TL_E</v>
      </c>
      <c r="G6658" s="18">
        <v>448.67899999999997</v>
      </c>
    </row>
    <row r="6659" spans="1:7" x14ac:dyDescent="0.2">
      <c r="A6659" s="19" t="s">
        <v>48</v>
      </c>
      <c r="B6659" s="20" t="s">
        <v>73</v>
      </c>
      <c r="C6659" s="20" t="s">
        <v>8</v>
      </c>
      <c r="D6659" s="20" t="s">
        <v>10</v>
      </c>
      <c r="E6659" s="20" t="s">
        <v>22</v>
      </c>
      <c r="F6659" s="20" t="str">
        <f>INDEX(nrg_cb_e!$A$3:$A$40,MATCH(LEFT(MID('Industriesektor GWh'!$B6659,41,1000),SEARCH(" - ",MID('Industriesektor GWh'!$B6659,41,1000))-1),nrg_cb_e!$C$3:$C$40,0))</f>
        <v>FC_IND_TL_E</v>
      </c>
      <c r="G6659" s="21">
        <v>443.488</v>
      </c>
    </row>
    <row r="6660" spans="1:7" x14ac:dyDescent="0.2">
      <c r="A6660" s="16" t="s">
        <v>48</v>
      </c>
      <c r="B6660" s="17" t="s">
        <v>73</v>
      </c>
      <c r="C6660" s="17" t="s">
        <v>8</v>
      </c>
      <c r="D6660" s="17" t="s">
        <v>10</v>
      </c>
      <c r="E6660" s="17" t="s">
        <v>23</v>
      </c>
      <c r="F6660" s="17" t="str">
        <f>INDEX(nrg_cb_e!$A$3:$A$40,MATCH(LEFT(MID('Industriesektor GWh'!$B6660,41,1000),SEARCH(" - ",MID('Industriesektor GWh'!$B6660,41,1000))-1),nrg_cb_e!$C$3:$C$40,0))</f>
        <v>FC_IND_TL_E</v>
      </c>
      <c r="G6660" s="18">
        <v>508.089</v>
      </c>
    </row>
    <row r="6661" spans="1:7" x14ac:dyDescent="0.2">
      <c r="A6661" s="19" t="s">
        <v>48</v>
      </c>
      <c r="B6661" s="20" t="s">
        <v>73</v>
      </c>
      <c r="C6661" s="20" t="s">
        <v>8</v>
      </c>
      <c r="D6661" s="20" t="s">
        <v>10</v>
      </c>
      <c r="E6661" s="20" t="s">
        <v>24</v>
      </c>
      <c r="F6661" s="20" t="str">
        <f>INDEX(nrg_cb_e!$A$3:$A$40,MATCH(LEFT(MID('Industriesektor GWh'!$B6661,41,1000),SEARCH(" - ",MID('Industriesektor GWh'!$B6661,41,1000))-1),nrg_cb_e!$C$3:$C$40,0))</f>
        <v>FC_IND_TL_E</v>
      </c>
      <c r="G6661" s="21">
        <v>437.17899999999997</v>
      </c>
    </row>
    <row r="6662" spans="1:7" x14ac:dyDescent="0.2">
      <c r="A6662" s="16" t="s">
        <v>48</v>
      </c>
      <c r="B6662" s="17" t="s">
        <v>73</v>
      </c>
      <c r="C6662" s="17" t="s">
        <v>8</v>
      </c>
      <c r="D6662" s="17" t="s">
        <v>10</v>
      </c>
      <c r="E6662" s="17" t="s">
        <v>25</v>
      </c>
      <c r="F6662" s="17" t="str">
        <f>INDEX(nrg_cb_e!$A$3:$A$40,MATCH(LEFT(MID('Industriesektor GWh'!$B6662,41,1000),SEARCH(" - ",MID('Industriesektor GWh'!$B6662,41,1000))-1),nrg_cb_e!$C$3:$C$40,0))</f>
        <v>FC_IND_TL_E</v>
      </c>
      <c r="G6662" s="18">
        <v>401.262</v>
      </c>
    </row>
    <row r="6663" spans="1:7" x14ac:dyDescent="0.2">
      <c r="A6663" s="19" t="s">
        <v>48</v>
      </c>
      <c r="B6663" s="20" t="s">
        <v>73</v>
      </c>
      <c r="C6663" s="20" t="s">
        <v>8</v>
      </c>
      <c r="D6663" s="20" t="s">
        <v>10</v>
      </c>
      <c r="E6663" s="20" t="s">
        <v>26</v>
      </c>
      <c r="F6663" s="20" t="str">
        <f>INDEX(nrg_cb_e!$A$3:$A$40,MATCH(LEFT(MID('Industriesektor GWh'!$B6663,41,1000),SEARCH(" - ",MID('Industriesektor GWh'!$B6663,41,1000))-1),nrg_cb_e!$C$3:$C$40,0))</f>
        <v>FC_IND_TL_E</v>
      </c>
      <c r="G6663" s="21">
        <v>372.69799999999998</v>
      </c>
    </row>
    <row r="6664" spans="1:7" x14ac:dyDescent="0.2">
      <c r="A6664" s="16" t="s">
        <v>48</v>
      </c>
      <c r="B6664" s="17" t="s">
        <v>73</v>
      </c>
      <c r="C6664" s="17" t="s">
        <v>8</v>
      </c>
      <c r="D6664" s="17" t="s">
        <v>10</v>
      </c>
      <c r="E6664" s="17" t="s">
        <v>27</v>
      </c>
      <c r="F6664" s="17" t="str">
        <f>INDEX(nrg_cb_e!$A$3:$A$40,MATCH(LEFT(MID('Industriesektor GWh'!$B6664,41,1000),SEARCH(" - ",MID('Industriesektor GWh'!$B6664,41,1000))-1),nrg_cb_e!$C$3:$C$40,0))</f>
        <v>FC_IND_TL_E</v>
      </c>
      <c r="G6664" s="18">
        <v>347.94099999999997</v>
      </c>
    </row>
    <row r="6665" spans="1:7" x14ac:dyDescent="0.2">
      <c r="A6665" s="19" t="s">
        <v>48</v>
      </c>
      <c r="B6665" s="20" t="s">
        <v>73</v>
      </c>
      <c r="C6665" s="20" t="s">
        <v>8</v>
      </c>
      <c r="D6665" s="20" t="s">
        <v>10</v>
      </c>
      <c r="E6665" s="20" t="s">
        <v>28</v>
      </c>
      <c r="F6665" s="20" t="str">
        <f>INDEX(nrg_cb_e!$A$3:$A$40,MATCH(LEFT(MID('Industriesektor GWh'!$B6665,41,1000),SEARCH(" - ",MID('Industriesektor GWh'!$B6665,41,1000))-1),nrg_cb_e!$C$3:$C$40,0))</f>
        <v>FC_IND_TL_E</v>
      </c>
      <c r="G6665" s="21">
        <v>314.464</v>
      </c>
    </row>
    <row r="6666" spans="1:7" x14ac:dyDescent="0.2">
      <c r="A6666" s="16" t="s">
        <v>49</v>
      </c>
      <c r="B6666" s="17" t="s">
        <v>73</v>
      </c>
      <c r="C6666" s="17" t="s">
        <v>8</v>
      </c>
      <c r="D6666" s="17" t="s">
        <v>10</v>
      </c>
      <c r="E6666" s="17" t="s">
        <v>12</v>
      </c>
      <c r="F6666" s="17" t="str">
        <f>INDEX(nrg_cb_e!$A$3:$A$40,MATCH(LEFT(MID('Industriesektor GWh'!$B6666,41,1000),SEARCH(" - ",MID('Industriesektor GWh'!$B6666,41,1000))-1),nrg_cb_e!$C$3:$C$40,0))</f>
        <v>FC_IND_TL_E</v>
      </c>
      <c r="G6666" s="18">
        <v>1161</v>
      </c>
    </row>
    <row r="6667" spans="1:7" x14ac:dyDescent="0.2">
      <c r="A6667" s="19" t="s">
        <v>49</v>
      </c>
      <c r="B6667" s="20" t="s">
        <v>73</v>
      </c>
      <c r="C6667" s="20" t="s">
        <v>8</v>
      </c>
      <c r="D6667" s="20" t="s">
        <v>10</v>
      </c>
      <c r="E6667" s="20" t="s">
        <v>13</v>
      </c>
      <c r="F6667" s="20" t="str">
        <f>INDEX(nrg_cb_e!$A$3:$A$40,MATCH(LEFT(MID('Industriesektor GWh'!$B6667,41,1000),SEARCH(" - ",MID('Industriesektor GWh'!$B6667,41,1000))-1),nrg_cb_e!$C$3:$C$40,0))</f>
        <v>FC_IND_TL_E</v>
      </c>
      <c r="G6667" s="21">
        <v>1137</v>
      </c>
    </row>
    <row r="6668" spans="1:7" x14ac:dyDescent="0.2">
      <c r="A6668" s="16" t="s">
        <v>49</v>
      </c>
      <c r="B6668" s="17" t="s">
        <v>73</v>
      </c>
      <c r="C6668" s="17" t="s">
        <v>8</v>
      </c>
      <c r="D6668" s="17" t="s">
        <v>10</v>
      </c>
      <c r="E6668" s="17" t="s">
        <v>14</v>
      </c>
      <c r="F6668" s="17" t="str">
        <f>INDEX(nrg_cb_e!$A$3:$A$40,MATCH(LEFT(MID('Industriesektor GWh'!$B6668,41,1000),SEARCH(" - ",MID('Industriesektor GWh'!$B6668,41,1000))-1),nrg_cb_e!$C$3:$C$40,0))</f>
        <v>FC_IND_TL_E</v>
      </c>
      <c r="G6668" s="18">
        <v>1178</v>
      </c>
    </row>
    <row r="6669" spans="1:7" x14ac:dyDescent="0.2">
      <c r="A6669" s="19" t="s">
        <v>49</v>
      </c>
      <c r="B6669" s="20" t="s">
        <v>73</v>
      </c>
      <c r="C6669" s="20" t="s">
        <v>8</v>
      </c>
      <c r="D6669" s="20" t="s">
        <v>10</v>
      </c>
      <c r="E6669" s="20" t="s">
        <v>15</v>
      </c>
      <c r="F6669" s="20" t="str">
        <f>INDEX(nrg_cb_e!$A$3:$A$40,MATCH(LEFT(MID('Industriesektor GWh'!$B6669,41,1000),SEARCH(" - ",MID('Industriesektor GWh'!$B6669,41,1000))-1),nrg_cb_e!$C$3:$C$40,0))</f>
        <v>FC_IND_TL_E</v>
      </c>
      <c r="G6669" s="21">
        <v>1026</v>
      </c>
    </row>
    <row r="6670" spans="1:7" x14ac:dyDescent="0.2">
      <c r="A6670" s="16" t="s">
        <v>49</v>
      </c>
      <c r="B6670" s="17" t="s">
        <v>73</v>
      </c>
      <c r="C6670" s="17" t="s">
        <v>8</v>
      </c>
      <c r="D6670" s="17" t="s">
        <v>10</v>
      </c>
      <c r="E6670" s="17" t="s">
        <v>16</v>
      </c>
      <c r="F6670" s="17" t="str">
        <f>INDEX(nrg_cb_e!$A$3:$A$40,MATCH(LEFT(MID('Industriesektor GWh'!$B6670,41,1000),SEARCH(" - ",MID('Industriesektor GWh'!$B6670,41,1000))-1),nrg_cb_e!$C$3:$C$40,0))</f>
        <v>FC_IND_TL_E</v>
      </c>
      <c r="G6670" s="18">
        <v>907</v>
      </c>
    </row>
    <row r="6671" spans="1:7" x14ac:dyDescent="0.2">
      <c r="A6671" s="19" t="s">
        <v>49</v>
      </c>
      <c r="B6671" s="20" t="s">
        <v>73</v>
      </c>
      <c r="C6671" s="20" t="s">
        <v>8</v>
      </c>
      <c r="D6671" s="20" t="s">
        <v>10</v>
      </c>
      <c r="E6671" s="20" t="s">
        <v>17</v>
      </c>
      <c r="F6671" s="20" t="str">
        <f>INDEX(nrg_cb_e!$A$3:$A$40,MATCH(LEFT(MID('Industriesektor GWh'!$B6671,41,1000),SEARCH(" - ",MID('Industriesektor GWh'!$B6671,41,1000))-1),nrg_cb_e!$C$3:$C$40,0))</f>
        <v>FC_IND_TL_E</v>
      </c>
      <c r="G6671" s="21">
        <v>918</v>
      </c>
    </row>
    <row r="6672" spans="1:7" x14ac:dyDescent="0.2">
      <c r="A6672" s="16" t="s">
        <v>49</v>
      </c>
      <c r="B6672" s="17" t="s">
        <v>73</v>
      </c>
      <c r="C6672" s="17" t="s">
        <v>8</v>
      </c>
      <c r="D6672" s="17" t="s">
        <v>10</v>
      </c>
      <c r="E6672" s="17" t="s">
        <v>18</v>
      </c>
      <c r="F6672" s="17" t="str">
        <f>INDEX(nrg_cb_e!$A$3:$A$40,MATCH(LEFT(MID('Industriesektor GWh'!$B6672,41,1000),SEARCH(" - ",MID('Industriesektor GWh'!$B6672,41,1000))-1),nrg_cb_e!$C$3:$C$40,0))</f>
        <v>FC_IND_TL_E</v>
      </c>
      <c r="G6672" s="18">
        <v>782</v>
      </c>
    </row>
    <row r="6673" spans="1:7" x14ac:dyDescent="0.2">
      <c r="A6673" s="19" t="s">
        <v>49</v>
      </c>
      <c r="B6673" s="20" t="s">
        <v>73</v>
      </c>
      <c r="C6673" s="20" t="s">
        <v>8</v>
      </c>
      <c r="D6673" s="20" t="s">
        <v>10</v>
      </c>
      <c r="E6673" s="20" t="s">
        <v>19</v>
      </c>
      <c r="F6673" s="20" t="str">
        <f>INDEX(nrg_cb_e!$A$3:$A$40,MATCH(LEFT(MID('Industriesektor GWh'!$B6673,41,1000),SEARCH(" - ",MID('Industriesektor GWh'!$B6673,41,1000))-1),nrg_cb_e!$C$3:$C$40,0))</f>
        <v>FC_IND_TL_E</v>
      </c>
      <c r="G6673" s="21">
        <v>573</v>
      </c>
    </row>
    <row r="6674" spans="1:7" x14ac:dyDescent="0.2">
      <c r="A6674" s="16" t="s">
        <v>49</v>
      </c>
      <c r="B6674" s="17" t="s">
        <v>73</v>
      </c>
      <c r="C6674" s="17" t="s">
        <v>8</v>
      </c>
      <c r="D6674" s="17" t="s">
        <v>10</v>
      </c>
      <c r="E6674" s="17" t="s">
        <v>20</v>
      </c>
      <c r="F6674" s="17" t="str">
        <f>INDEX(nrg_cb_e!$A$3:$A$40,MATCH(LEFT(MID('Industriesektor GWh'!$B6674,41,1000),SEARCH(" - ",MID('Industriesektor GWh'!$B6674,41,1000))-1),nrg_cb_e!$C$3:$C$40,0))</f>
        <v>FC_IND_TL_E</v>
      </c>
      <c r="G6674" s="18">
        <v>567</v>
      </c>
    </row>
    <row r="6675" spans="1:7" x14ac:dyDescent="0.2">
      <c r="A6675" s="19" t="s">
        <v>49</v>
      </c>
      <c r="B6675" s="20" t="s">
        <v>73</v>
      </c>
      <c r="C6675" s="20" t="s">
        <v>8</v>
      </c>
      <c r="D6675" s="20" t="s">
        <v>10</v>
      </c>
      <c r="E6675" s="20" t="s">
        <v>21</v>
      </c>
      <c r="F6675" s="20" t="str">
        <f>INDEX(nrg_cb_e!$A$3:$A$40,MATCH(LEFT(MID('Industriesektor GWh'!$B6675,41,1000),SEARCH(" - ",MID('Industriesektor GWh'!$B6675,41,1000))-1),nrg_cb_e!$C$3:$C$40,0))</f>
        <v>FC_IND_TL_E</v>
      </c>
      <c r="G6675" s="21">
        <v>512</v>
      </c>
    </row>
    <row r="6676" spans="1:7" x14ac:dyDescent="0.2">
      <c r="A6676" s="16" t="s">
        <v>49</v>
      </c>
      <c r="B6676" s="17" t="s">
        <v>73</v>
      </c>
      <c r="C6676" s="17" t="s">
        <v>8</v>
      </c>
      <c r="D6676" s="17" t="s">
        <v>10</v>
      </c>
      <c r="E6676" s="17" t="s">
        <v>22</v>
      </c>
      <c r="F6676" s="17" t="str">
        <f>INDEX(nrg_cb_e!$A$3:$A$40,MATCH(LEFT(MID('Industriesektor GWh'!$B6676,41,1000),SEARCH(" - ",MID('Industriesektor GWh'!$B6676,41,1000))-1),nrg_cb_e!$C$3:$C$40,0))</f>
        <v>FC_IND_TL_E</v>
      </c>
      <c r="G6676" s="18">
        <v>491</v>
      </c>
    </row>
    <row r="6677" spans="1:7" x14ac:dyDescent="0.2">
      <c r="A6677" s="19" t="s">
        <v>49</v>
      </c>
      <c r="B6677" s="20" t="s">
        <v>73</v>
      </c>
      <c r="C6677" s="20" t="s">
        <v>8</v>
      </c>
      <c r="D6677" s="20" t="s">
        <v>10</v>
      </c>
      <c r="E6677" s="20" t="s">
        <v>23</v>
      </c>
      <c r="F6677" s="20" t="str">
        <f>INDEX(nrg_cb_e!$A$3:$A$40,MATCH(LEFT(MID('Industriesektor GWh'!$B6677,41,1000),SEARCH(" - ",MID('Industriesektor GWh'!$B6677,41,1000))-1),nrg_cb_e!$C$3:$C$40,0))</f>
        <v>FC_IND_TL_E</v>
      </c>
      <c r="G6677" s="21">
        <v>534</v>
      </c>
    </row>
    <row r="6678" spans="1:7" x14ac:dyDescent="0.2">
      <c r="A6678" s="16" t="s">
        <v>49</v>
      </c>
      <c r="B6678" s="17" t="s">
        <v>73</v>
      </c>
      <c r="C6678" s="17" t="s">
        <v>8</v>
      </c>
      <c r="D6678" s="17" t="s">
        <v>10</v>
      </c>
      <c r="E6678" s="17" t="s">
        <v>24</v>
      </c>
      <c r="F6678" s="17" t="str">
        <f>INDEX(nrg_cb_e!$A$3:$A$40,MATCH(LEFT(MID('Industriesektor GWh'!$B6678,41,1000),SEARCH(" - ",MID('Industriesektor GWh'!$B6678,41,1000))-1),nrg_cb_e!$C$3:$C$40,0))</f>
        <v>FC_IND_TL_E</v>
      </c>
      <c r="G6678" s="18">
        <v>540</v>
      </c>
    </row>
    <row r="6679" spans="1:7" x14ac:dyDescent="0.2">
      <c r="A6679" s="19" t="s">
        <v>49</v>
      </c>
      <c r="B6679" s="20" t="s">
        <v>73</v>
      </c>
      <c r="C6679" s="20" t="s">
        <v>8</v>
      </c>
      <c r="D6679" s="20" t="s">
        <v>10</v>
      </c>
      <c r="E6679" s="20" t="s">
        <v>25</v>
      </c>
      <c r="F6679" s="20" t="str">
        <f>INDEX(nrg_cb_e!$A$3:$A$40,MATCH(LEFT(MID('Industriesektor GWh'!$B6679,41,1000),SEARCH(" - ",MID('Industriesektor GWh'!$B6679,41,1000))-1),nrg_cb_e!$C$3:$C$40,0))</f>
        <v>FC_IND_TL_E</v>
      </c>
      <c r="G6679" s="21">
        <v>570</v>
      </c>
    </row>
    <row r="6680" spans="1:7" x14ac:dyDescent="0.2">
      <c r="A6680" s="16" t="s">
        <v>49</v>
      </c>
      <c r="B6680" s="17" t="s">
        <v>73</v>
      </c>
      <c r="C6680" s="17" t="s">
        <v>8</v>
      </c>
      <c r="D6680" s="17" t="s">
        <v>10</v>
      </c>
      <c r="E6680" s="17" t="s">
        <v>26</v>
      </c>
      <c r="F6680" s="17" t="str">
        <f>INDEX(nrg_cb_e!$A$3:$A$40,MATCH(LEFT(MID('Industriesektor GWh'!$B6680,41,1000),SEARCH(" - ",MID('Industriesektor GWh'!$B6680,41,1000))-1),nrg_cb_e!$C$3:$C$40,0))</f>
        <v>FC_IND_TL_E</v>
      </c>
      <c r="G6680" s="18">
        <v>609</v>
      </c>
    </row>
    <row r="6681" spans="1:7" x14ac:dyDescent="0.2">
      <c r="A6681" s="19" t="s">
        <v>49</v>
      </c>
      <c r="B6681" s="20" t="s">
        <v>73</v>
      </c>
      <c r="C6681" s="20" t="s">
        <v>8</v>
      </c>
      <c r="D6681" s="20" t="s">
        <v>10</v>
      </c>
      <c r="E6681" s="20" t="s">
        <v>27</v>
      </c>
      <c r="F6681" s="20" t="str">
        <f>INDEX(nrg_cb_e!$A$3:$A$40,MATCH(LEFT(MID('Industriesektor GWh'!$B6681,41,1000),SEARCH(" - ",MID('Industriesektor GWh'!$B6681,41,1000))-1),nrg_cb_e!$C$3:$C$40,0))</f>
        <v>FC_IND_TL_E</v>
      </c>
      <c r="G6681" s="21">
        <v>606.24400000000003</v>
      </c>
    </row>
    <row r="6682" spans="1:7" x14ac:dyDescent="0.2">
      <c r="A6682" s="16" t="s">
        <v>49</v>
      </c>
      <c r="B6682" s="17" t="s">
        <v>73</v>
      </c>
      <c r="C6682" s="17" t="s">
        <v>8</v>
      </c>
      <c r="D6682" s="17" t="s">
        <v>10</v>
      </c>
      <c r="E6682" s="17" t="s">
        <v>28</v>
      </c>
      <c r="F6682" s="17" t="str">
        <f>INDEX(nrg_cb_e!$A$3:$A$40,MATCH(LEFT(MID('Industriesektor GWh'!$B6682,41,1000),SEARCH(" - ",MID('Industriesektor GWh'!$B6682,41,1000))-1),nrg_cb_e!$C$3:$C$40,0))</f>
        <v>FC_IND_TL_E</v>
      </c>
      <c r="G6682" s="18">
        <v>824.81500000000005</v>
      </c>
    </row>
    <row r="6683" spans="1:7" x14ac:dyDescent="0.2">
      <c r="A6683" s="19" t="s">
        <v>50</v>
      </c>
      <c r="B6683" s="20" t="s">
        <v>73</v>
      </c>
      <c r="C6683" s="20" t="s">
        <v>8</v>
      </c>
      <c r="D6683" s="20" t="s">
        <v>10</v>
      </c>
      <c r="E6683" s="20" t="s">
        <v>12</v>
      </c>
      <c r="F6683" s="20" t="str">
        <f>INDEX(nrg_cb_e!$A$3:$A$40,MATCH(LEFT(MID('Industriesektor GWh'!$B6683,41,1000),SEARCH(" - ",MID('Industriesektor GWh'!$B6683,41,1000))-1),nrg_cb_e!$C$3:$C$40,0))</f>
        <v>FC_IND_TL_E</v>
      </c>
      <c r="G6683" s="21">
        <v>2332</v>
      </c>
    </row>
    <row r="6684" spans="1:7" x14ac:dyDescent="0.2">
      <c r="A6684" s="16" t="s">
        <v>50</v>
      </c>
      <c r="B6684" s="17" t="s">
        <v>73</v>
      </c>
      <c r="C6684" s="17" t="s">
        <v>8</v>
      </c>
      <c r="D6684" s="17" t="s">
        <v>10</v>
      </c>
      <c r="E6684" s="17" t="s">
        <v>13</v>
      </c>
      <c r="F6684" s="17" t="str">
        <f>INDEX(nrg_cb_e!$A$3:$A$40,MATCH(LEFT(MID('Industriesektor GWh'!$B6684,41,1000),SEARCH(" - ",MID('Industriesektor GWh'!$B6684,41,1000))-1),nrg_cb_e!$C$3:$C$40,0))</f>
        <v>FC_IND_TL_E</v>
      </c>
      <c r="G6684" s="18">
        <v>2077</v>
      </c>
    </row>
    <row r="6685" spans="1:7" x14ac:dyDescent="0.2">
      <c r="A6685" s="19" t="s">
        <v>50</v>
      </c>
      <c r="B6685" s="20" t="s">
        <v>73</v>
      </c>
      <c r="C6685" s="20" t="s">
        <v>8</v>
      </c>
      <c r="D6685" s="20" t="s">
        <v>10</v>
      </c>
      <c r="E6685" s="20" t="s">
        <v>14</v>
      </c>
      <c r="F6685" s="20" t="str">
        <f>INDEX(nrg_cb_e!$A$3:$A$40,MATCH(LEFT(MID('Industriesektor GWh'!$B6685,41,1000),SEARCH(" - ",MID('Industriesektor GWh'!$B6685,41,1000))-1),nrg_cb_e!$C$3:$C$40,0))</f>
        <v>FC_IND_TL_E</v>
      </c>
      <c r="G6685" s="21">
        <v>1904</v>
      </c>
    </row>
    <row r="6686" spans="1:7" x14ac:dyDescent="0.2">
      <c r="A6686" s="16" t="s">
        <v>50</v>
      </c>
      <c r="B6686" s="17" t="s">
        <v>73</v>
      </c>
      <c r="C6686" s="17" t="s">
        <v>8</v>
      </c>
      <c r="D6686" s="17" t="s">
        <v>10</v>
      </c>
      <c r="E6686" s="17" t="s">
        <v>15</v>
      </c>
      <c r="F6686" s="17" t="str">
        <f>INDEX(nrg_cb_e!$A$3:$A$40,MATCH(LEFT(MID('Industriesektor GWh'!$B6686,41,1000),SEARCH(" - ",MID('Industriesektor GWh'!$B6686,41,1000))-1),nrg_cb_e!$C$3:$C$40,0))</f>
        <v>FC_IND_TL_E</v>
      </c>
      <c r="G6686" s="18">
        <v>1791</v>
      </c>
    </row>
    <row r="6687" spans="1:7" x14ac:dyDescent="0.2">
      <c r="A6687" s="19" t="s">
        <v>50</v>
      </c>
      <c r="B6687" s="20" t="s">
        <v>73</v>
      </c>
      <c r="C6687" s="20" t="s">
        <v>8</v>
      </c>
      <c r="D6687" s="20" t="s">
        <v>10</v>
      </c>
      <c r="E6687" s="20" t="s">
        <v>16</v>
      </c>
      <c r="F6687" s="20" t="str">
        <f>INDEX(nrg_cb_e!$A$3:$A$40,MATCH(LEFT(MID('Industriesektor GWh'!$B6687,41,1000),SEARCH(" - ",MID('Industriesektor GWh'!$B6687,41,1000))-1),nrg_cb_e!$C$3:$C$40,0))</f>
        <v>FC_IND_TL_E</v>
      </c>
      <c r="G6687" s="21">
        <v>1686</v>
      </c>
    </row>
    <row r="6688" spans="1:7" x14ac:dyDescent="0.2">
      <c r="A6688" s="16" t="s">
        <v>50</v>
      </c>
      <c r="B6688" s="17" t="s">
        <v>73</v>
      </c>
      <c r="C6688" s="17" t="s">
        <v>8</v>
      </c>
      <c r="D6688" s="17" t="s">
        <v>10</v>
      </c>
      <c r="E6688" s="17" t="s">
        <v>17</v>
      </c>
      <c r="F6688" s="17" t="str">
        <f>INDEX(nrg_cb_e!$A$3:$A$40,MATCH(LEFT(MID('Industriesektor GWh'!$B6688,41,1000),SEARCH(" - ",MID('Industriesektor GWh'!$B6688,41,1000))-1),nrg_cb_e!$C$3:$C$40,0))</f>
        <v>FC_IND_TL_E</v>
      </c>
      <c r="G6688" s="18">
        <v>1698</v>
      </c>
    </row>
    <row r="6689" spans="1:7" x14ac:dyDescent="0.2">
      <c r="A6689" s="19" t="s">
        <v>50</v>
      </c>
      <c r="B6689" s="20" t="s">
        <v>73</v>
      </c>
      <c r="C6689" s="20" t="s">
        <v>8</v>
      </c>
      <c r="D6689" s="20" t="s">
        <v>10</v>
      </c>
      <c r="E6689" s="20" t="s">
        <v>18</v>
      </c>
      <c r="F6689" s="20" t="str">
        <f>INDEX(nrg_cb_e!$A$3:$A$40,MATCH(LEFT(MID('Industriesektor GWh'!$B6689,41,1000),SEARCH(" - ",MID('Industriesektor GWh'!$B6689,41,1000))-1),nrg_cb_e!$C$3:$C$40,0))</f>
        <v>FC_IND_TL_E</v>
      </c>
      <c r="G6689" s="21">
        <v>1538</v>
      </c>
    </row>
    <row r="6690" spans="1:7" x14ac:dyDescent="0.2">
      <c r="A6690" s="16" t="s">
        <v>50</v>
      </c>
      <c r="B6690" s="17" t="s">
        <v>73</v>
      </c>
      <c r="C6690" s="17" t="s">
        <v>8</v>
      </c>
      <c r="D6690" s="17" t="s">
        <v>10</v>
      </c>
      <c r="E6690" s="17" t="s">
        <v>19</v>
      </c>
      <c r="F6690" s="17" t="str">
        <f>INDEX(nrg_cb_e!$A$3:$A$40,MATCH(LEFT(MID('Industriesektor GWh'!$B6690,41,1000),SEARCH(" - ",MID('Industriesektor GWh'!$B6690,41,1000))-1),nrg_cb_e!$C$3:$C$40,0))</f>
        <v>FC_IND_TL_E</v>
      </c>
      <c r="G6690" s="18">
        <v>1294</v>
      </c>
    </row>
    <row r="6691" spans="1:7" x14ac:dyDescent="0.2">
      <c r="A6691" s="19" t="s">
        <v>50</v>
      </c>
      <c r="B6691" s="20" t="s">
        <v>73</v>
      </c>
      <c r="C6691" s="20" t="s">
        <v>8</v>
      </c>
      <c r="D6691" s="20" t="s">
        <v>10</v>
      </c>
      <c r="E6691" s="20" t="s">
        <v>20</v>
      </c>
      <c r="F6691" s="20" t="str">
        <f>INDEX(nrg_cb_e!$A$3:$A$40,MATCH(LEFT(MID('Industriesektor GWh'!$B6691,41,1000),SEARCH(" - ",MID('Industriesektor GWh'!$B6691,41,1000))-1),nrg_cb_e!$C$3:$C$40,0))</f>
        <v>FC_IND_TL_E</v>
      </c>
      <c r="G6691" s="21">
        <v>1459</v>
      </c>
    </row>
    <row r="6692" spans="1:7" x14ac:dyDescent="0.2">
      <c r="A6692" s="16" t="s">
        <v>50</v>
      </c>
      <c r="B6692" s="17" t="s">
        <v>73</v>
      </c>
      <c r="C6692" s="17" t="s">
        <v>8</v>
      </c>
      <c r="D6692" s="17" t="s">
        <v>10</v>
      </c>
      <c r="E6692" s="17" t="s">
        <v>21</v>
      </c>
      <c r="F6692" s="17" t="str">
        <f>INDEX(nrg_cb_e!$A$3:$A$40,MATCH(LEFT(MID('Industriesektor GWh'!$B6692,41,1000),SEARCH(" - ",MID('Industriesektor GWh'!$B6692,41,1000))-1),nrg_cb_e!$C$3:$C$40,0))</f>
        <v>FC_IND_TL_E</v>
      </c>
      <c r="G6692" s="18">
        <v>1219</v>
      </c>
    </row>
    <row r="6693" spans="1:7" x14ac:dyDescent="0.2">
      <c r="A6693" s="19" t="s">
        <v>50</v>
      </c>
      <c r="B6693" s="20" t="s">
        <v>73</v>
      </c>
      <c r="C6693" s="20" t="s">
        <v>8</v>
      </c>
      <c r="D6693" s="20" t="s">
        <v>10</v>
      </c>
      <c r="E6693" s="20" t="s">
        <v>22</v>
      </c>
      <c r="F6693" s="20" t="str">
        <f>INDEX(nrg_cb_e!$A$3:$A$40,MATCH(LEFT(MID('Industriesektor GWh'!$B6693,41,1000),SEARCH(" - ",MID('Industriesektor GWh'!$B6693,41,1000))-1),nrg_cb_e!$C$3:$C$40,0))</f>
        <v>FC_IND_TL_E</v>
      </c>
      <c r="G6693" s="21">
        <v>1204</v>
      </c>
    </row>
    <row r="6694" spans="1:7" x14ac:dyDescent="0.2">
      <c r="A6694" s="16" t="s">
        <v>50</v>
      </c>
      <c r="B6694" s="17" t="s">
        <v>73</v>
      </c>
      <c r="C6694" s="17" t="s">
        <v>8</v>
      </c>
      <c r="D6694" s="17" t="s">
        <v>10</v>
      </c>
      <c r="E6694" s="17" t="s">
        <v>23</v>
      </c>
      <c r="F6694" s="17" t="str">
        <f>INDEX(nrg_cb_e!$A$3:$A$40,MATCH(LEFT(MID('Industriesektor GWh'!$B6694,41,1000),SEARCH(" - ",MID('Industriesektor GWh'!$B6694,41,1000))-1),nrg_cb_e!$C$3:$C$40,0))</f>
        <v>FC_IND_TL_E</v>
      </c>
      <c r="G6694" s="18">
        <v>1231</v>
      </c>
    </row>
    <row r="6695" spans="1:7" x14ac:dyDescent="0.2">
      <c r="A6695" s="19" t="s">
        <v>50</v>
      </c>
      <c r="B6695" s="20" t="s">
        <v>73</v>
      </c>
      <c r="C6695" s="20" t="s">
        <v>8</v>
      </c>
      <c r="D6695" s="20" t="s">
        <v>10</v>
      </c>
      <c r="E6695" s="20" t="s">
        <v>24</v>
      </c>
      <c r="F6695" s="20" t="str">
        <f>INDEX(nrg_cb_e!$A$3:$A$40,MATCH(LEFT(MID('Industriesektor GWh'!$B6695,41,1000),SEARCH(" - ",MID('Industriesektor GWh'!$B6695,41,1000))-1),nrg_cb_e!$C$3:$C$40,0))</f>
        <v>FC_IND_TL_E</v>
      </c>
      <c r="G6695" s="21">
        <v>1333</v>
      </c>
    </row>
    <row r="6696" spans="1:7" x14ac:dyDescent="0.2">
      <c r="A6696" s="16" t="s">
        <v>50</v>
      </c>
      <c r="B6696" s="17" t="s">
        <v>73</v>
      </c>
      <c r="C6696" s="17" t="s">
        <v>8</v>
      </c>
      <c r="D6696" s="17" t="s">
        <v>10</v>
      </c>
      <c r="E6696" s="17" t="s">
        <v>25</v>
      </c>
      <c r="F6696" s="17" t="str">
        <f>INDEX(nrg_cb_e!$A$3:$A$40,MATCH(LEFT(MID('Industriesektor GWh'!$B6696,41,1000),SEARCH(" - ",MID('Industriesektor GWh'!$B6696,41,1000))-1),nrg_cb_e!$C$3:$C$40,0))</f>
        <v>FC_IND_TL_E</v>
      </c>
      <c r="G6696" s="18">
        <v>1331</v>
      </c>
    </row>
    <row r="6697" spans="1:7" x14ac:dyDescent="0.2">
      <c r="A6697" s="19" t="s">
        <v>50</v>
      </c>
      <c r="B6697" s="20" t="s">
        <v>73</v>
      </c>
      <c r="C6697" s="20" t="s">
        <v>8</v>
      </c>
      <c r="D6697" s="20" t="s">
        <v>10</v>
      </c>
      <c r="E6697" s="20" t="s">
        <v>26</v>
      </c>
      <c r="F6697" s="20" t="str">
        <f>INDEX(nrg_cb_e!$A$3:$A$40,MATCH(LEFT(MID('Industriesektor GWh'!$B6697,41,1000),SEARCH(" - ",MID('Industriesektor GWh'!$B6697,41,1000))-1),nrg_cb_e!$C$3:$C$40,0))</f>
        <v>FC_IND_TL_E</v>
      </c>
      <c r="G6697" s="21">
        <v>1244.1179999999999</v>
      </c>
    </row>
    <row r="6698" spans="1:7" x14ac:dyDescent="0.2">
      <c r="A6698" s="16" t="s">
        <v>50</v>
      </c>
      <c r="B6698" s="17" t="s">
        <v>73</v>
      </c>
      <c r="C6698" s="17" t="s">
        <v>8</v>
      </c>
      <c r="D6698" s="17" t="s">
        <v>10</v>
      </c>
      <c r="E6698" s="17" t="s">
        <v>27</v>
      </c>
      <c r="F6698" s="17" t="str">
        <f>INDEX(nrg_cb_e!$A$3:$A$40,MATCH(LEFT(MID('Industriesektor GWh'!$B6698,41,1000),SEARCH(" - ",MID('Industriesektor GWh'!$B6698,41,1000))-1),nrg_cb_e!$C$3:$C$40,0))</f>
        <v>FC_IND_TL_E</v>
      </c>
      <c r="G6698" s="18">
        <v>1269.06</v>
      </c>
    </row>
    <row r="6699" spans="1:7" x14ac:dyDescent="0.2">
      <c r="A6699" s="19" t="s">
        <v>50</v>
      </c>
      <c r="B6699" s="20" t="s">
        <v>73</v>
      </c>
      <c r="C6699" s="20" t="s">
        <v>8</v>
      </c>
      <c r="D6699" s="20" t="s">
        <v>10</v>
      </c>
      <c r="E6699" s="20" t="s">
        <v>28</v>
      </c>
      <c r="F6699" s="20" t="str">
        <f>INDEX(nrg_cb_e!$A$3:$A$40,MATCH(LEFT(MID('Industriesektor GWh'!$B6699,41,1000),SEARCH(" - ",MID('Industriesektor GWh'!$B6699,41,1000))-1),nrg_cb_e!$C$3:$C$40,0))</f>
        <v>FC_IND_TL_E</v>
      </c>
      <c r="G6699" s="21">
        <v>1279.829</v>
      </c>
    </row>
    <row r="6700" spans="1:7" x14ac:dyDescent="0.2">
      <c r="A6700" s="16" t="s">
        <v>51</v>
      </c>
      <c r="B6700" s="17" t="s">
        <v>73</v>
      </c>
      <c r="C6700" s="17" t="s">
        <v>8</v>
      </c>
      <c r="D6700" s="17" t="s">
        <v>10</v>
      </c>
      <c r="E6700" s="17" t="s">
        <v>12</v>
      </c>
      <c r="F6700" s="17" t="str">
        <f>INDEX(nrg_cb_e!$A$3:$A$40,MATCH(LEFT(MID('Industriesektor GWh'!$B6700,41,1000),SEARCH(" - ",MID('Industriesektor GWh'!$B6700,41,1000))-1),nrg_cb_e!$C$3:$C$40,0))</f>
        <v>FC_IND_TL_E</v>
      </c>
      <c r="G6700" s="18">
        <v>1206</v>
      </c>
    </row>
    <row r="6701" spans="1:7" x14ac:dyDescent="0.2">
      <c r="A6701" s="19" t="s">
        <v>51</v>
      </c>
      <c r="B6701" s="20" t="s">
        <v>73</v>
      </c>
      <c r="C6701" s="20" t="s">
        <v>8</v>
      </c>
      <c r="D6701" s="20" t="s">
        <v>10</v>
      </c>
      <c r="E6701" s="20" t="s">
        <v>13</v>
      </c>
      <c r="F6701" s="20" t="str">
        <f>INDEX(nrg_cb_e!$A$3:$A$40,MATCH(LEFT(MID('Industriesektor GWh'!$B6701,41,1000),SEARCH(" - ",MID('Industriesektor GWh'!$B6701,41,1000))-1),nrg_cb_e!$C$3:$C$40,0))</f>
        <v>FC_IND_TL_E</v>
      </c>
      <c r="G6701" s="21">
        <v>990</v>
      </c>
    </row>
    <row r="6702" spans="1:7" x14ac:dyDescent="0.2">
      <c r="A6702" s="16" t="s">
        <v>51</v>
      </c>
      <c r="B6702" s="17" t="s">
        <v>73</v>
      </c>
      <c r="C6702" s="17" t="s">
        <v>8</v>
      </c>
      <c r="D6702" s="17" t="s">
        <v>10</v>
      </c>
      <c r="E6702" s="17" t="s">
        <v>14</v>
      </c>
      <c r="F6702" s="17" t="str">
        <f>INDEX(nrg_cb_e!$A$3:$A$40,MATCH(LEFT(MID('Industriesektor GWh'!$B6702,41,1000),SEARCH(" - ",MID('Industriesektor GWh'!$B6702,41,1000))-1),nrg_cb_e!$C$3:$C$40,0))</f>
        <v>FC_IND_TL_E</v>
      </c>
      <c r="G6702" s="18">
        <v>998</v>
      </c>
    </row>
    <row r="6703" spans="1:7" x14ac:dyDescent="0.2">
      <c r="A6703" s="19" t="s">
        <v>51</v>
      </c>
      <c r="B6703" s="20" t="s">
        <v>73</v>
      </c>
      <c r="C6703" s="20" t="s">
        <v>8</v>
      </c>
      <c r="D6703" s="20" t="s">
        <v>10</v>
      </c>
      <c r="E6703" s="20" t="s">
        <v>15</v>
      </c>
      <c r="F6703" s="20" t="str">
        <f>INDEX(nrg_cb_e!$A$3:$A$40,MATCH(LEFT(MID('Industriesektor GWh'!$B6703,41,1000),SEARCH(" - ",MID('Industriesektor GWh'!$B6703,41,1000))-1),nrg_cb_e!$C$3:$C$40,0))</f>
        <v>FC_IND_TL_E</v>
      </c>
      <c r="G6703" s="21">
        <v>605</v>
      </c>
    </row>
    <row r="6704" spans="1:7" x14ac:dyDescent="0.2">
      <c r="A6704" s="16" t="s">
        <v>51</v>
      </c>
      <c r="B6704" s="17" t="s">
        <v>73</v>
      </c>
      <c r="C6704" s="17" t="s">
        <v>8</v>
      </c>
      <c r="D6704" s="17" t="s">
        <v>10</v>
      </c>
      <c r="E6704" s="17" t="s">
        <v>16</v>
      </c>
      <c r="F6704" s="17" t="str">
        <f>INDEX(nrg_cb_e!$A$3:$A$40,MATCH(LEFT(MID('Industriesektor GWh'!$B6704,41,1000),SEARCH(" - ",MID('Industriesektor GWh'!$B6704,41,1000))-1),nrg_cb_e!$C$3:$C$40,0))</f>
        <v>FC_IND_TL_E</v>
      </c>
      <c r="G6704" s="18">
        <v>822</v>
      </c>
    </row>
    <row r="6705" spans="1:7" x14ac:dyDescent="0.2">
      <c r="A6705" s="19" t="s">
        <v>51</v>
      </c>
      <c r="B6705" s="20" t="s">
        <v>73</v>
      </c>
      <c r="C6705" s="20" t="s">
        <v>8</v>
      </c>
      <c r="D6705" s="20" t="s">
        <v>10</v>
      </c>
      <c r="E6705" s="20" t="s">
        <v>17</v>
      </c>
      <c r="F6705" s="20" t="str">
        <f>INDEX(nrg_cb_e!$A$3:$A$40,MATCH(LEFT(MID('Industriesektor GWh'!$B6705,41,1000),SEARCH(" - ",MID('Industriesektor GWh'!$B6705,41,1000))-1),nrg_cb_e!$C$3:$C$40,0))</f>
        <v>FC_IND_TL_E</v>
      </c>
      <c r="G6705" s="21">
        <v>849</v>
      </c>
    </row>
    <row r="6706" spans="1:7" x14ac:dyDescent="0.2">
      <c r="A6706" s="16" t="s">
        <v>51</v>
      </c>
      <c r="B6706" s="17" t="s">
        <v>73</v>
      </c>
      <c r="C6706" s="17" t="s">
        <v>8</v>
      </c>
      <c r="D6706" s="17" t="s">
        <v>10</v>
      </c>
      <c r="E6706" s="17" t="s">
        <v>18</v>
      </c>
      <c r="F6706" s="17" t="str">
        <f>INDEX(nrg_cb_e!$A$3:$A$40,MATCH(LEFT(MID('Industriesektor GWh'!$B6706,41,1000),SEARCH(" - ",MID('Industriesektor GWh'!$B6706,41,1000))-1),nrg_cb_e!$C$3:$C$40,0))</f>
        <v>FC_IND_TL_E</v>
      </c>
      <c r="G6706" s="18">
        <v>1133</v>
      </c>
    </row>
    <row r="6707" spans="1:7" x14ac:dyDescent="0.2">
      <c r="A6707" s="19" t="s">
        <v>51</v>
      </c>
      <c r="B6707" s="20" t="s">
        <v>73</v>
      </c>
      <c r="C6707" s="20" t="s">
        <v>8</v>
      </c>
      <c r="D6707" s="20" t="s">
        <v>10</v>
      </c>
      <c r="E6707" s="20" t="s">
        <v>19</v>
      </c>
      <c r="F6707" s="20" t="str">
        <f>INDEX(nrg_cb_e!$A$3:$A$40,MATCH(LEFT(MID('Industriesektor GWh'!$B6707,41,1000),SEARCH(" - ",MID('Industriesektor GWh'!$B6707,41,1000))-1),nrg_cb_e!$C$3:$C$40,0))</f>
        <v>FC_IND_TL_E</v>
      </c>
      <c r="G6707" s="21">
        <v>659</v>
      </c>
    </row>
    <row r="6708" spans="1:7" x14ac:dyDescent="0.2">
      <c r="A6708" s="16" t="s">
        <v>51</v>
      </c>
      <c r="B6708" s="17" t="s">
        <v>73</v>
      </c>
      <c r="C6708" s="17" t="s">
        <v>8</v>
      </c>
      <c r="D6708" s="17" t="s">
        <v>10</v>
      </c>
      <c r="E6708" s="17" t="s">
        <v>20</v>
      </c>
      <c r="F6708" s="17" t="str">
        <f>INDEX(nrg_cb_e!$A$3:$A$40,MATCH(LEFT(MID('Industriesektor GWh'!$B6708,41,1000),SEARCH(" - ",MID('Industriesektor GWh'!$B6708,41,1000))-1),nrg_cb_e!$C$3:$C$40,0))</f>
        <v>FC_IND_TL_E</v>
      </c>
      <c r="G6708" s="18">
        <v>813</v>
      </c>
    </row>
    <row r="6709" spans="1:7" x14ac:dyDescent="0.2">
      <c r="A6709" s="19" t="s">
        <v>51</v>
      </c>
      <c r="B6709" s="20" t="s">
        <v>73</v>
      </c>
      <c r="C6709" s="20" t="s">
        <v>8</v>
      </c>
      <c r="D6709" s="20" t="s">
        <v>10</v>
      </c>
      <c r="E6709" s="20" t="s">
        <v>21</v>
      </c>
      <c r="F6709" s="20" t="str">
        <f>INDEX(nrg_cb_e!$A$3:$A$40,MATCH(LEFT(MID('Industriesektor GWh'!$B6709,41,1000),SEARCH(" - ",MID('Industriesektor GWh'!$B6709,41,1000))-1),nrg_cb_e!$C$3:$C$40,0))</f>
        <v>FC_IND_TL_E</v>
      </c>
      <c r="G6709" s="21">
        <v>778</v>
      </c>
    </row>
    <row r="6710" spans="1:7" x14ac:dyDescent="0.2">
      <c r="A6710" s="16" t="s">
        <v>51</v>
      </c>
      <c r="B6710" s="17" t="s">
        <v>73</v>
      </c>
      <c r="C6710" s="17" t="s">
        <v>8</v>
      </c>
      <c r="D6710" s="17" t="s">
        <v>10</v>
      </c>
      <c r="E6710" s="17" t="s">
        <v>22</v>
      </c>
      <c r="F6710" s="17" t="str">
        <f>INDEX(nrg_cb_e!$A$3:$A$40,MATCH(LEFT(MID('Industriesektor GWh'!$B6710,41,1000),SEARCH(" - ",MID('Industriesektor GWh'!$B6710,41,1000))-1),nrg_cb_e!$C$3:$C$40,0))</f>
        <v>FC_IND_TL_E</v>
      </c>
      <c r="G6710" s="18">
        <v>730</v>
      </c>
    </row>
    <row r="6711" spans="1:7" x14ac:dyDescent="0.2">
      <c r="A6711" s="19" t="s">
        <v>51</v>
      </c>
      <c r="B6711" s="20" t="s">
        <v>73</v>
      </c>
      <c r="C6711" s="20" t="s">
        <v>8</v>
      </c>
      <c r="D6711" s="20" t="s">
        <v>10</v>
      </c>
      <c r="E6711" s="20" t="s">
        <v>23</v>
      </c>
      <c r="F6711" s="20" t="str">
        <f>INDEX(nrg_cb_e!$A$3:$A$40,MATCH(LEFT(MID('Industriesektor GWh'!$B6711,41,1000),SEARCH(" - ",MID('Industriesektor GWh'!$B6711,41,1000))-1),nrg_cb_e!$C$3:$C$40,0))</f>
        <v>FC_IND_TL_E</v>
      </c>
      <c r="G6711" s="21">
        <v>794</v>
      </c>
    </row>
    <row r="6712" spans="1:7" x14ac:dyDescent="0.2">
      <c r="A6712" s="16" t="s">
        <v>51</v>
      </c>
      <c r="B6712" s="17" t="s">
        <v>73</v>
      </c>
      <c r="C6712" s="17" t="s">
        <v>8</v>
      </c>
      <c r="D6712" s="17" t="s">
        <v>10</v>
      </c>
      <c r="E6712" s="17" t="s">
        <v>24</v>
      </c>
      <c r="F6712" s="17" t="str">
        <f>INDEX(nrg_cb_e!$A$3:$A$40,MATCH(LEFT(MID('Industriesektor GWh'!$B6712,41,1000),SEARCH(" - ",MID('Industriesektor GWh'!$B6712,41,1000))-1),nrg_cb_e!$C$3:$C$40,0))</f>
        <v>FC_IND_TL_E</v>
      </c>
      <c r="G6712" s="18">
        <v>851</v>
      </c>
    </row>
    <row r="6713" spans="1:7" x14ac:dyDescent="0.2">
      <c r="A6713" s="19" t="s">
        <v>51</v>
      </c>
      <c r="B6713" s="20" t="s">
        <v>73</v>
      </c>
      <c r="C6713" s="20" t="s">
        <v>8</v>
      </c>
      <c r="D6713" s="20" t="s">
        <v>10</v>
      </c>
      <c r="E6713" s="20" t="s">
        <v>25</v>
      </c>
      <c r="F6713" s="20" t="str">
        <f>INDEX(nrg_cb_e!$A$3:$A$40,MATCH(LEFT(MID('Industriesektor GWh'!$B6713,41,1000),SEARCH(" - ",MID('Industriesektor GWh'!$B6713,41,1000))-1),nrg_cb_e!$C$3:$C$40,0))</f>
        <v>FC_IND_TL_E</v>
      </c>
      <c r="G6713" s="21">
        <v>745</v>
      </c>
    </row>
    <row r="6714" spans="1:7" x14ac:dyDescent="0.2">
      <c r="A6714" s="16" t="s">
        <v>51</v>
      </c>
      <c r="B6714" s="17" t="s">
        <v>73</v>
      </c>
      <c r="C6714" s="17" t="s">
        <v>8</v>
      </c>
      <c r="D6714" s="17" t="s">
        <v>10</v>
      </c>
      <c r="E6714" s="17" t="s">
        <v>26</v>
      </c>
      <c r="F6714" s="17" t="str">
        <f>INDEX(nrg_cb_e!$A$3:$A$40,MATCH(LEFT(MID('Industriesektor GWh'!$B6714,41,1000),SEARCH(" - ",MID('Industriesektor GWh'!$B6714,41,1000))-1),nrg_cb_e!$C$3:$C$40,0))</f>
        <v>FC_IND_TL_E</v>
      </c>
      <c r="G6714" s="18">
        <v>707</v>
      </c>
    </row>
    <row r="6715" spans="1:7" x14ac:dyDescent="0.2">
      <c r="A6715" s="19" t="s">
        <v>51</v>
      </c>
      <c r="B6715" s="20" t="s">
        <v>73</v>
      </c>
      <c r="C6715" s="20" t="s">
        <v>8</v>
      </c>
      <c r="D6715" s="20" t="s">
        <v>10</v>
      </c>
      <c r="E6715" s="20" t="s">
        <v>27</v>
      </c>
      <c r="F6715" s="20" t="str">
        <f>INDEX(nrg_cb_e!$A$3:$A$40,MATCH(LEFT(MID('Industriesektor GWh'!$B6715,41,1000),SEARCH(" - ",MID('Industriesektor GWh'!$B6715,41,1000))-1),nrg_cb_e!$C$3:$C$40,0))</f>
        <v>FC_IND_TL_E</v>
      </c>
      <c r="G6715" s="21">
        <v>680.71600000000001</v>
      </c>
    </row>
    <row r="6716" spans="1:7" x14ac:dyDescent="0.2">
      <c r="A6716" s="16" t="s">
        <v>51</v>
      </c>
      <c r="B6716" s="17" t="s">
        <v>73</v>
      </c>
      <c r="C6716" s="17" t="s">
        <v>8</v>
      </c>
      <c r="D6716" s="17" t="s">
        <v>10</v>
      </c>
      <c r="E6716" s="17" t="s">
        <v>28</v>
      </c>
      <c r="F6716" s="17" t="str">
        <f>INDEX(nrg_cb_e!$A$3:$A$40,MATCH(LEFT(MID('Industriesektor GWh'!$B6716,41,1000),SEARCH(" - ",MID('Industriesektor GWh'!$B6716,41,1000))-1),nrg_cb_e!$C$3:$C$40,0))</f>
        <v>FC_IND_TL_E</v>
      </c>
      <c r="G6716" s="18">
        <v>663.19799999999998</v>
      </c>
    </row>
    <row r="6717" spans="1:7" x14ac:dyDescent="0.2">
      <c r="A6717" s="19" t="s">
        <v>52</v>
      </c>
      <c r="B6717" s="20" t="s">
        <v>73</v>
      </c>
      <c r="C6717" s="20" t="s">
        <v>8</v>
      </c>
      <c r="D6717" s="20" t="s">
        <v>10</v>
      </c>
      <c r="E6717" s="20" t="s">
        <v>12</v>
      </c>
      <c r="F6717" s="20" t="str">
        <f>INDEX(nrg_cb_e!$A$3:$A$40,MATCH(LEFT(MID('Industriesektor GWh'!$B6717,41,1000),SEARCH(" - ",MID('Industriesektor GWh'!$B6717,41,1000))-1),nrg_cb_e!$C$3:$C$40,0))</f>
        <v>FC_IND_TL_E</v>
      </c>
      <c r="G6717" s="21">
        <v>256</v>
      </c>
    </row>
    <row r="6718" spans="1:7" x14ac:dyDescent="0.2">
      <c r="A6718" s="16" t="s">
        <v>52</v>
      </c>
      <c r="B6718" s="17" t="s">
        <v>73</v>
      </c>
      <c r="C6718" s="17" t="s">
        <v>8</v>
      </c>
      <c r="D6718" s="17" t="s">
        <v>10</v>
      </c>
      <c r="E6718" s="17" t="s">
        <v>13</v>
      </c>
      <c r="F6718" s="17" t="str">
        <f>INDEX(nrg_cb_e!$A$3:$A$40,MATCH(LEFT(MID('Industriesektor GWh'!$B6718,41,1000),SEARCH(" - ",MID('Industriesektor GWh'!$B6718,41,1000))-1),nrg_cb_e!$C$3:$C$40,0))</f>
        <v>FC_IND_TL_E</v>
      </c>
      <c r="G6718" s="18">
        <v>273</v>
      </c>
    </row>
    <row r="6719" spans="1:7" x14ac:dyDescent="0.2">
      <c r="A6719" s="19" t="s">
        <v>52</v>
      </c>
      <c r="B6719" s="20" t="s">
        <v>73</v>
      </c>
      <c r="C6719" s="20" t="s">
        <v>8</v>
      </c>
      <c r="D6719" s="20" t="s">
        <v>10</v>
      </c>
      <c r="E6719" s="20" t="s">
        <v>14</v>
      </c>
      <c r="F6719" s="20" t="str">
        <f>INDEX(nrg_cb_e!$A$3:$A$40,MATCH(LEFT(MID('Industriesektor GWh'!$B6719,41,1000),SEARCH(" - ",MID('Industriesektor GWh'!$B6719,41,1000))-1),nrg_cb_e!$C$3:$C$40,0))</f>
        <v>FC_IND_TL_E</v>
      </c>
      <c r="G6719" s="21">
        <v>261</v>
      </c>
    </row>
    <row r="6720" spans="1:7" x14ac:dyDescent="0.2">
      <c r="A6720" s="16" t="s">
        <v>52</v>
      </c>
      <c r="B6720" s="17" t="s">
        <v>73</v>
      </c>
      <c r="C6720" s="17" t="s">
        <v>8</v>
      </c>
      <c r="D6720" s="17" t="s">
        <v>10</v>
      </c>
      <c r="E6720" s="17" t="s">
        <v>15</v>
      </c>
      <c r="F6720" s="17" t="str">
        <f>INDEX(nrg_cb_e!$A$3:$A$40,MATCH(LEFT(MID('Industriesektor GWh'!$B6720,41,1000),SEARCH(" - ",MID('Industriesektor GWh'!$B6720,41,1000))-1),nrg_cb_e!$C$3:$C$40,0))</f>
        <v>FC_IND_TL_E</v>
      </c>
      <c r="G6720" s="18">
        <v>250</v>
      </c>
    </row>
    <row r="6721" spans="1:7" x14ac:dyDescent="0.2">
      <c r="A6721" s="19" t="s">
        <v>52</v>
      </c>
      <c r="B6721" s="20" t="s">
        <v>73</v>
      </c>
      <c r="C6721" s="20" t="s">
        <v>8</v>
      </c>
      <c r="D6721" s="20" t="s">
        <v>10</v>
      </c>
      <c r="E6721" s="20" t="s">
        <v>16</v>
      </c>
      <c r="F6721" s="20" t="str">
        <f>INDEX(nrg_cb_e!$A$3:$A$40,MATCH(LEFT(MID('Industriesektor GWh'!$B6721,41,1000),SEARCH(" - ",MID('Industriesektor GWh'!$B6721,41,1000))-1),nrg_cb_e!$C$3:$C$40,0))</f>
        <v>FC_IND_TL_E</v>
      </c>
      <c r="G6721" s="21">
        <v>248</v>
      </c>
    </row>
    <row r="6722" spans="1:7" x14ac:dyDescent="0.2">
      <c r="A6722" s="16" t="s">
        <v>52</v>
      </c>
      <c r="B6722" s="17" t="s">
        <v>73</v>
      </c>
      <c r="C6722" s="17" t="s">
        <v>8</v>
      </c>
      <c r="D6722" s="17" t="s">
        <v>10</v>
      </c>
      <c r="E6722" s="17" t="s">
        <v>17</v>
      </c>
      <c r="F6722" s="17" t="str">
        <f>INDEX(nrg_cb_e!$A$3:$A$40,MATCH(LEFT(MID('Industriesektor GWh'!$B6722,41,1000),SEARCH(" - ",MID('Industriesektor GWh'!$B6722,41,1000))-1),nrg_cb_e!$C$3:$C$40,0))</f>
        <v>FC_IND_TL_E</v>
      </c>
      <c r="G6722" s="18">
        <v>245</v>
      </c>
    </row>
    <row r="6723" spans="1:7" x14ac:dyDescent="0.2">
      <c r="A6723" s="19" t="s">
        <v>52</v>
      </c>
      <c r="B6723" s="20" t="s">
        <v>73</v>
      </c>
      <c r="C6723" s="20" t="s">
        <v>8</v>
      </c>
      <c r="D6723" s="20" t="s">
        <v>10</v>
      </c>
      <c r="E6723" s="20" t="s">
        <v>18</v>
      </c>
      <c r="F6723" s="20" t="str">
        <f>INDEX(nrg_cb_e!$A$3:$A$40,MATCH(LEFT(MID('Industriesektor GWh'!$B6723,41,1000),SEARCH(" - ",MID('Industriesektor GWh'!$B6723,41,1000))-1),nrg_cb_e!$C$3:$C$40,0))</f>
        <v>FC_IND_TL_E</v>
      </c>
      <c r="G6723" s="21">
        <v>187</v>
      </c>
    </row>
    <row r="6724" spans="1:7" x14ac:dyDescent="0.2">
      <c r="A6724" s="16" t="s">
        <v>52</v>
      </c>
      <c r="B6724" s="17" t="s">
        <v>73</v>
      </c>
      <c r="C6724" s="17" t="s">
        <v>8</v>
      </c>
      <c r="D6724" s="17" t="s">
        <v>10</v>
      </c>
      <c r="E6724" s="17" t="s">
        <v>19</v>
      </c>
      <c r="F6724" s="17" t="str">
        <f>INDEX(nrg_cb_e!$A$3:$A$40,MATCH(LEFT(MID('Industriesektor GWh'!$B6724,41,1000),SEARCH(" - ",MID('Industriesektor GWh'!$B6724,41,1000))-1),nrg_cb_e!$C$3:$C$40,0))</f>
        <v>FC_IND_TL_E</v>
      </c>
      <c r="G6724" s="18">
        <v>147</v>
      </c>
    </row>
    <row r="6725" spans="1:7" x14ac:dyDescent="0.2">
      <c r="A6725" s="19" t="s">
        <v>52</v>
      </c>
      <c r="B6725" s="20" t="s">
        <v>73</v>
      </c>
      <c r="C6725" s="20" t="s">
        <v>8</v>
      </c>
      <c r="D6725" s="20" t="s">
        <v>10</v>
      </c>
      <c r="E6725" s="20" t="s">
        <v>20</v>
      </c>
      <c r="F6725" s="20" t="str">
        <f>INDEX(nrg_cb_e!$A$3:$A$40,MATCH(LEFT(MID('Industriesektor GWh'!$B6725,41,1000),SEARCH(" - ",MID('Industriesektor GWh'!$B6725,41,1000))-1),nrg_cb_e!$C$3:$C$40,0))</f>
        <v>FC_IND_TL_E</v>
      </c>
      <c r="G6725" s="21">
        <v>150</v>
      </c>
    </row>
    <row r="6726" spans="1:7" x14ac:dyDescent="0.2">
      <c r="A6726" s="16" t="s">
        <v>52</v>
      </c>
      <c r="B6726" s="17" t="s">
        <v>73</v>
      </c>
      <c r="C6726" s="17" t="s">
        <v>8</v>
      </c>
      <c r="D6726" s="17" t="s">
        <v>10</v>
      </c>
      <c r="E6726" s="17" t="s">
        <v>21</v>
      </c>
      <c r="F6726" s="17" t="str">
        <f>INDEX(nrg_cb_e!$A$3:$A$40,MATCH(LEFT(MID('Industriesektor GWh'!$B6726,41,1000),SEARCH(" - ",MID('Industriesektor GWh'!$B6726,41,1000))-1),nrg_cb_e!$C$3:$C$40,0))</f>
        <v>FC_IND_TL_E</v>
      </c>
      <c r="G6726" s="18">
        <v>126</v>
      </c>
    </row>
    <row r="6727" spans="1:7" x14ac:dyDescent="0.2">
      <c r="A6727" s="19" t="s">
        <v>52</v>
      </c>
      <c r="B6727" s="20" t="s">
        <v>73</v>
      </c>
      <c r="C6727" s="20" t="s">
        <v>8</v>
      </c>
      <c r="D6727" s="20" t="s">
        <v>10</v>
      </c>
      <c r="E6727" s="20" t="s">
        <v>22</v>
      </c>
      <c r="F6727" s="20" t="str">
        <f>INDEX(nrg_cb_e!$A$3:$A$40,MATCH(LEFT(MID('Industriesektor GWh'!$B6727,41,1000),SEARCH(" - ",MID('Industriesektor GWh'!$B6727,41,1000))-1),nrg_cb_e!$C$3:$C$40,0))</f>
        <v>FC_IND_TL_E</v>
      </c>
      <c r="G6727" s="21">
        <v>115</v>
      </c>
    </row>
    <row r="6728" spans="1:7" x14ac:dyDescent="0.2">
      <c r="A6728" s="16" t="s">
        <v>52</v>
      </c>
      <c r="B6728" s="17" t="s">
        <v>73</v>
      </c>
      <c r="C6728" s="17" t="s">
        <v>8</v>
      </c>
      <c r="D6728" s="17" t="s">
        <v>10</v>
      </c>
      <c r="E6728" s="17" t="s">
        <v>23</v>
      </c>
      <c r="F6728" s="17" t="str">
        <f>INDEX(nrg_cb_e!$A$3:$A$40,MATCH(LEFT(MID('Industriesektor GWh'!$B6728,41,1000),SEARCH(" - ",MID('Industriesektor GWh'!$B6728,41,1000))-1),nrg_cb_e!$C$3:$C$40,0))</f>
        <v>FC_IND_TL_E</v>
      </c>
      <c r="G6728" s="18">
        <v>121</v>
      </c>
    </row>
    <row r="6729" spans="1:7" x14ac:dyDescent="0.2">
      <c r="A6729" s="19" t="s">
        <v>52</v>
      </c>
      <c r="B6729" s="20" t="s">
        <v>73</v>
      </c>
      <c r="C6729" s="20" t="s">
        <v>8</v>
      </c>
      <c r="D6729" s="20" t="s">
        <v>10</v>
      </c>
      <c r="E6729" s="20" t="s">
        <v>24</v>
      </c>
      <c r="F6729" s="20" t="str">
        <f>INDEX(nrg_cb_e!$A$3:$A$40,MATCH(LEFT(MID('Industriesektor GWh'!$B6729,41,1000),SEARCH(" - ",MID('Industriesektor GWh'!$B6729,41,1000))-1),nrg_cb_e!$C$3:$C$40,0))</f>
        <v>FC_IND_TL_E</v>
      </c>
      <c r="G6729" s="21">
        <v>106</v>
      </c>
    </row>
    <row r="6730" spans="1:7" x14ac:dyDescent="0.2">
      <c r="A6730" s="16" t="s">
        <v>52</v>
      </c>
      <c r="B6730" s="17" t="s">
        <v>73</v>
      </c>
      <c r="C6730" s="17" t="s">
        <v>8</v>
      </c>
      <c r="D6730" s="17" t="s">
        <v>10</v>
      </c>
      <c r="E6730" s="17" t="s">
        <v>25</v>
      </c>
      <c r="F6730" s="17" t="str">
        <f>INDEX(nrg_cb_e!$A$3:$A$40,MATCH(LEFT(MID('Industriesektor GWh'!$B6730,41,1000),SEARCH(" - ",MID('Industriesektor GWh'!$B6730,41,1000))-1),nrg_cb_e!$C$3:$C$40,0))</f>
        <v>FC_IND_TL_E</v>
      </c>
      <c r="G6730" s="18">
        <v>95</v>
      </c>
    </row>
    <row r="6731" spans="1:7" x14ac:dyDescent="0.2">
      <c r="A6731" s="19" t="s">
        <v>52</v>
      </c>
      <c r="B6731" s="20" t="s">
        <v>73</v>
      </c>
      <c r="C6731" s="20" t="s">
        <v>8</v>
      </c>
      <c r="D6731" s="20" t="s">
        <v>10</v>
      </c>
      <c r="E6731" s="20" t="s">
        <v>26</v>
      </c>
      <c r="F6731" s="20" t="str">
        <f>INDEX(nrg_cb_e!$A$3:$A$40,MATCH(LEFT(MID('Industriesektor GWh'!$B6731,41,1000),SEARCH(" - ",MID('Industriesektor GWh'!$B6731,41,1000))-1),nrg_cb_e!$C$3:$C$40,0))</f>
        <v>FC_IND_TL_E</v>
      </c>
      <c r="G6731" s="21">
        <v>102</v>
      </c>
    </row>
    <row r="6732" spans="1:7" x14ac:dyDescent="0.2">
      <c r="A6732" s="16" t="s">
        <v>52</v>
      </c>
      <c r="B6732" s="17" t="s">
        <v>73</v>
      </c>
      <c r="C6732" s="17" t="s">
        <v>8</v>
      </c>
      <c r="D6732" s="17" t="s">
        <v>10</v>
      </c>
      <c r="E6732" s="17" t="s">
        <v>27</v>
      </c>
      <c r="F6732" s="17" t="str">
        <f>INDEX(nrg_cb_e!$A$3:$A$40,MATCH(LEFT(MID('Industriesektor GWh'!$B6732,41,1000),SEARCH(" - ",MID('Industriesektor GWh'!$B6732,41,1000))-1),nrg_cb_e!$C$3:$C$40,0))</f>
        <v>FC_IND_TL_E</v>
      </c>
      <c r="G6732" s="18">
        <v>103.57299999999999</v>
      </c>
    </row>
    <row r="6733" spans="1:7" x14ac:dyDescent="0.2">
      <c r="A6733" s="19" t="s">
        <v>52</v>
      </c>
      <c r="B6733" s="20" t="s">
        <v>73</v>
      </c>
      <c r="C6733" s="20" t="s">
        <v>8</v>
      </c>
      <c r="D6733" s="20" t="s">
        <v>10</v>
      </c>
      <c r="E6733" s="20" t="s">
        <v>28</v>
      </c>
      <c r="F6733" s="20" t="str">
        <f>INDEX(nrg_cb_e!$A$3:$A$40,MATCH(LEFT(MID('Industriesektor GWh'!$B6733,41,1000),SEARCH(" - ",MID('Industriesektor GWh'!$B6733,41,1000))-1),nrg_cb_e!$C$3:$C$40,0))</f>
        <v>FC_IND_TL_E</v>
      </c>
      <c r="G6733" s="21">
        <v>96.914000000000001</v>
      </c>
    </row>
    <row r="6734" spans="1:7" x14ac:dyDescent="0.2">
      <c r="A6734" s="16" t="s">
        <v>53</v>
      </c>
      <c r="B6734" s="17" t="s">
        <v>73</v>
      </c>
      <c r="C6734" s="17" t="s">
        <v>8</v>
      </c>
      <c r="D6734" s="17" t="s">
        <v>10</v>
      </c>
      <c r="E6734" s="17" t="s">
        <v>12</v>
      </c>
      <c r="F6734" s="17" t="str">
        <f>INDEX(nrg_cb_e!$A$3:$A$40,MATCH(LEFT(MID('Industriesektor GWh'!$B6734,41,1000),SEARCH(" - ",MID('Industriesektor GWh'!$B6734,41,1000))-1),nrg_cb_e!$C$3:$C$40,0))</f>
        <v>FC_IND_TL_E</v>
      </c>
      <c r="G6734" s="18">
        <v>189</v>
      </c>
    </row>
    <row r="6735" spans="1:7" x14ac:dyDescent="0.2">
      <c r="A6735" s="19" t="s">
        <v>53</v>
      </c>
      <c r="B6735" s="20" t="s">
        <v>73</v>
      </c>
      <c r="C6735" s="20" t="s">
        <v>8</v>
      </c>
      <c r="D6735" s="20" t="s">
        <v>10</v>
      </c>
      <c r="E6735" s="20" t="s">
        <v>13</v>
      </c>
      <c r="F6735" s="20" t="str">
        <f>INDEX(nrg_cb_e!$A$3:$A$40,MATCH(LEFT(MID('Industriesektor GWh'!$B6735,41,1000),SEARCH(" - ",MID('Industriesektor GWh'!$B6735,41,1000))-1),nrg_cb_e!$C$3:$C$40,0))</f>
        <v>FC_IND_TL_E</v>
      </c>
      <c r="G6735" s="21">
        <v>175</v>
      </c>
    </row>
    <row r="6736" spans="1:7" x14ac:dyDescent="0.2">
      <c r="A6736" s="16" t="s">
        <v>53</v>
      </c>
      <c r="B6736" s="17" t="s">
        <v>73</v>
      </c>
      <c r="C6736" s="17" t="s">
        <v>8</v>
      </c>
      <c r="D6736" s="17" t="s">
        <v>10</v>
      </c>
      <c r="E6736" s="17" t="s">
        <v>14</v>
      </c>
      <c r="F6736" s="17" t="str">
        <f>INDEX(nrg_cb_e!$A$3:$A$40,MATCH(LEFT(MID('Industriesektor GWh'!$B6736,41,1000),SEARCH(" - ",MID('Industriesektor GWh'!$B6736,41,1000))-1),nrg_cb_e!$C$3:$C$40,0))</f>
        <v>FC_IND_TL_E</v>
      </c>
      <c r="G6736" s="18">
        <v>197</v>
      </c>
    </row>
    <row r="6737" spans="1:7" x14ac:dyDescent="0.2">
      <c r="A6737" s="19" t="s">
        <v>53</v>
      </c>
      <c r="B6737" s="20" t="s">
        <v>73</v>
      </c>
      <c r="C6737" s="20" t="s">
        <v>8</v>
      </c>
      <c r="D6737" s="20" t="s">
        <v>10</v>
      </c>
      <c r="E6737" s="20" t="s">
        <v>15</v>
      </c>
      <c r="F6737" s="20" t="str">
        <f>INDEX(nrg_cb_e!$A$3:$A$40,MATCH(LEFT(MID('Industriesektor GWh'!$B6737,41,1000),SEARCH(" - ",MID('Industriesektor GWh'!$B6737,41,1000))-1),nrg_cb_e!$C$3:$C$40,0))</f>
        <v>FC_IND_TL_E</v>
      </c>
      <c r="G6737" s="21">
        <v>227</v>
      </c>
    </row>
    <row r="6738" spans="1:7" x14ac:dyDescent="0.2">
      <c r="A6738" s="16" t="s">
        <v>53</v>
      </c>
      <c r="B6738" s="17" t="s">
        <v>73</v>
      </c>
      <c r="C6738" s="17" t="s">
        <v>8</v>
      </c>
      <c r="D6738" s="17" t="s">
        <v>10</v>
      </c>
      <c r="E6738" s="17" t="s">
        <v>16</v>
      </c>
      <c r="F6738" s="17" t="str">
        <f>INDEX(nrg_cb_e!$A$3:$A$40,MATCH(LEFT(MID('Industriesektor GWh'!$B6738,41,1000),SEARCH(" - ",MID('Industriesektor GWh'!$B6738,41,1000))-1),nrg_cb_e!$C$3:$C$40,0))</f>
        <v>FC_IND_TL_E</v>
      </c>
      <c r="G6738" s="18">
        <v>185</v>
      </c>
    </row>
    <row r="6739" spans="1:7" x14ac:dyDescent="0.2">
      <c r="A6739" s="19" t="s">
        <v>53</v>
      </c>
      <c r="B6739" s="20" t="s">
        <v>73</v>
      </c>
      <c r="C6739" s="20" t="s">
        <v>8</v>
      </c>
      <c r="D6739" s="20" t="s">
        <v>10</v>
      </c>
      <c r="E6739" s="20" t="s">
        <v>17</v>
      </c>
      <c r="F6739" s="20" t="str">
        <f>INDEX(nrg_cb_e!$A$3:$A$40,MATCH(LEFT(MID('Industriesektor GWh'!$B6739,41,1000),SEARCH(" - ",MID('Industriesektor GWh'!$B6739,41,1000))-1),nrg_cb_e!$C$3:$C$40,0))</f>
        <v>FC_IND_TL_E</v>
      </c>
      <c r="G6739" s="21">
        <v>181</v>
      </c>
    </row>
    <row r="6740" spans="1:7" x14ac:dyDescent="0.2">
      <c r="A6740" s="16" t="s">
        <v>53</v>
      </c>
      <c r="B6740" s="17" t="s">
        <v>73</v>
      </c>
      <c r="C6740" s="17" t="s">
        <v>8</v>
      </c>
      <c r="D6740" s="17" t="s">
        <v>10</v>
      </c>
      <c r="E6740" s="17" t="s">
        <v>18</v>
      </c>
      <c r="F6740" s="17" t="str">
        <f>INDEX(nrg_cb_e!$A$3:$A$40,MATCH(LEFT(MID('Industriesektor GWh'!$B6740,41,1000),SEARCH(" - ",MID('Industriesektor GWh'!$B6740,41,1000))-1),nrg_cb_e!$C$3:$C$40,0))</f>
        <v>FC_IND_TL_E</v>
      </c>
      <c r="G6740" s="18">
        <v>154</v>
      </c>
    </row>
    <row r="6741" spans="1:7" x14ac:dyDescent="0.2">
      <c r="A6741" s="19" t="s">
        <v>53</v>
      </c>
      <c r="B6741" s="20" t="s">
        <v>73</v>
      </c>
      <c r="C6741" s="20" t="s">
        <v>8</v>
      </c>
      <c r="D6741" s="20" t="s">
        <v>10</v>
      </c>
      <c r="E6741" s="20" t="s">
        <v>19</v>
      </c>
      <c r="F6741" s="20" t="str">
        <f>INDEX(nrg_cb_e!$A$3:$A$40,MATCH(LEFT(MID('Industriesektor GWh'!$B6741,41,1000),SEARCH(" - ",MID('Industriesektor GWh'!$B6741,41,1000))-1),nrg_cb_e!$C$3:$C$40,0))</f>
        <v>FC_IND_TL_E</v>
      </c>
      <c r="G6741" s="21">
        <v>143</v>
      </c>
    </row>
    <row r="6742" spans="1:7" x14ac:dyDescent="0.2">
      <c r="A6742" s="16" t="s">
        <v>53</v>
      </c>
      <c r="B6742" s="17" t="s">
        <v>73</v>
      </c>
      <c r="C6742" s="17" t="s">
        <v>8</v>
      </c>
      <c r="D6742" s="17" t="s">
        <v>10</v>
      </c>
      <c r="E6742" s="17" t="s">
        <v>20</v>
      </c>
      <c r="F6742" s="17" t="str">
        <f>INDEX(nrg_cb_e!$A$3:$A$40,MATCH(LEFT(MID('Industriesektor GWh'!$B6742,41,1000),SEARCH(" - ",MID('Industriesektor GWh'!$B6742,41,1000))-1),nrg_cb_e!$C$3:$C$40,0))</f>
        <v>FC_IND_TL_E</v>
      </c>
      <c r="G6742" s="18">
        <v>134</v>
      </c>
    </row>
    <row r="6743" spans="1:7" x14ac:dyDescent="0.2">
      <c r="A6743" s="19" t="s">
        <v>53</v>
      </c>
      <c r="B6743" s="20" t="s">
        <v>73</v>
      </c>
      <c r="C6743" s="20" t="s">
        <v>8</v>
      </c>
      <c r="D6743" s="20" t="s">
        <v>10</v>
      </c>
      <c r="E6743" s="20" t="s">
        <v>21</v>
      </c>
      <c r="F6743" s="20" t="str">
        <f>INDEX(nrg_cb_e!$A$3:$A$40,MATCH(LEFT(MID('Industriesektor GWh'!$B6743,41,1000),SEARCH(" - ",MID('Industriesektor GWh'!$B6743,41,1000))-1),nrg_cb_e!$C$3:$C$40,0))</f>
        <v>FC_IND_TL_E</v>
      </c>
      <c r="G6743" s="21">
        <v>150</v>
      </c>
    </row>
    <row r="6744" spans="1:7" x14ac:dyDescent="0.2">
      <c r="A6744" s="16" t="s">
        <v>53</v>
      </c>
      <c r="B6744" s="17" t="s">
        <v>73</v>
      </c>
      <c r="C6744" s="17" t="s">
        <v>8</v>
      </c>
      <c r="D6744" s="17" t="s">
        <v>10</v>
      </c>
      <c r="E6744" s="17" t="s">
        <v>22</v>
      </c>
      <c r="F6744" s="17" t="str">
        <f>INDEX(nrg_cb_e!$A$3:$A$40,MATCH(LEFT(MID('Industriesektor GWh'!$B6744,41,1000),SEARCH(" - ",MID('Industriesektor GWh'!$B6744,41,1000))-1),nrg_cb_e!$C$3:$C$40,0))</f>
        <v>FC_IND_TL_E</v>
      </c>
      <c r="G6744" s="18">
        <v>125</v>
      </c>
    </row>
    <row r="6745" spans="1:7" x14ac:dyDescent="0.2">
      <c r="A6745" s="19" t="s">
        <v>53</v>
      </c>
      <c r="B6745" s="20" t="s">
        <v>73</v>
      </c>
      <c r="C6745" s="20" t="s">
        <v>8</v>
      </c>
      <c r="D6745" s="20" t="s">
        <v>10</v>
      </c>
      <c r="E6745" s="20" t="s">
        <v>23</v>
      </c>
      <c r="F6745" s="20" t="str">
        <f>INDEX(nrg_cb_e!$A$3:$A$40,MATCH(LEFT(MID('Industriesektor GWh'!$B6745,41,1000),SEARCH(" - ",MID('Industriesektor GWh'!$B6745,41,1000))-1),nrg_cb_e!$C$3:$C$40,0))</f>
        <v>FC_IND_TL_E</v>
      </c>
      <c r="G6745" s="21">
        <v>126</v>
      </c>
    </row>
    <row r="6746" spans="1:7" x14ac:dyDescent="0.2">
      <c r="A6746" s="16" t="s">
        <v>53</v>
      </c>
      <c r="B6746" s="17" t="s">
        <v>73</v>
      </c>
      <c r="C6746" s="17" t="s">
        <v>8</v>
      </c>
      <c r="D6746" s="17" t="s">
        <v>10</v>
      </c>
      <c r="E6746" s="17" t="s">
        <v>24</v>
      </c>
      <c r="F6746" s="17" t="str">
        <f>INDEX(nrg_cb_e!$A$3:$A$40,MATCH(LEFT(MID('Industriesektor GWh'!$B6746,41,1000),SEARCH(" - ",MID('Industriesektor GWh'!$B6746,41,1000))-1),nrg_cb_e!$C$3:$C$40,0))</f>
        <v>FC_IND_TL_E</v>
      </c>
      <c r="G6746" s="18">
        <v>137</v>
      </c>
    </row>
    <row r="6747" spans="1:7" x14ac:dyDescent="0.2">
      <c r="A6747" s="19" t="s">
        <v>53</v>
      </c>
      <c r="B6747" s="20" t="s">
        <v>73</v>
      </c>
      <c r="C6747" s="20" t="s">
        <v>8</v>
      </c>
      <c r="D6747" s="20" t="s">
        <v>10</v>
      </c>
      <c r="E6747" s="20" t="s">
        <v>25</v>
      </c>
      <c r="F6747" s="20" t="str">
        <f>INDEX(nrg_cb_e!$A$3:$A$40,MATCH(LEFT(MID('Industriesektor GWh'!$B6747,41,1000),SEARCH(" - ",MID('Industriesektor GWh'!$B6747,41,1000))-1),nrg_cb_e!$C$3:$C$40,0))</f>
        <v>FC_IND_TL_E</v>
      </c>
      <c r="G6747" s="21">
        <v>130</v>
      </c>
    </row>
    <row r="6748" spans="1:7" x14ac:dyDescent="0.2">
      <c r="A6748" s="16" t="s">
        <v>53</v>
      </c>
      <c r="B6748" s="17" t="s">
        <v>73</v>
      </c>
      <c r="C6748" s="17" t="s">
        <v>8</v>
      </c>
      <c r="D6748" s="17" t="s">
        <v>10</v>
      </c>
      <c r="E6748" s="17" t="s">
        <v>26</v>
      </c>
      <c r="F6748" s="17" t="str">
        <f>INDEX(nrg_cb_e!$A$3:$A$40,MATCH(LEFT(MID('Industriesektor GWh'!$B6748,41,1000),SEARCH(" - ",MID('Industriesektor GWh'!$B6748,41,1000))-1),nrg_cb_e!$C$3:$C$40,0))</f>
        <v>FC_IND_TL_E</v>
      </c>
      <c r="G6748" s="18">
        <v>125</v>
      </c>
    </row>
    <row r="6749" spans="1:7" x14ac:dyDescent="0.2">
      <c r="A6749" s="19" t="s">
        <v>53</v>
      </c>
      <c r="B6749" s="20" t="s">
        <v>73</v>
      </c>
      <c r="C6749" s="20" t="s">
        <v>8</v>
      </c>
      <c r="D6749" s="20" t="s">
        <v>10</v>
      </c>
      <c r="E6749" s="20" t="s">
        <v>27</v>
      </c>
      <c r="F6749" s="20" t="str">
        <f>INDEX(nrg_cb_e!$A$3:$A$40,MATCH(LEFT(MID('Industriesektor GWh'!$B6749,41,1000),SEARCH(" - ",MID('Industriesektor GWh'!$B6749,41,1000))-1),nrg_cb_e!$C$3:$C$40,0))</f>
        <v>FC_IND_TL_E</v>
      </c>
      <c r="G6749" s="21">
        <v>128</v>
      </c>
    </row>
    <row r="6750" spans="1:7" x14ac:dyDescent="0.2">
      <c r="A6750" s="16" t="s">
        <v>53</v>
      </c>
      <c r="B6750" s="17" t="s">
        <v>73</v>
      </c>
      <c r="C6750" s="17" t="s">
        <v>8</v>
      </c>
      <c r="D6750" s="17" t="s">
        <v>10</v>
      </c>
      <c r="E6750" s="17" t="s">
        <v>28</v>
      </c>
      <c r="F6750" s="17" t="str">
        <f>INDEX(nrg_cb_e!$A$3:$A$40,MATCH(LEFT(MID('Industriesektor GWh'!$B6750,41,1000),SEARCH(" - ",MID('Industriesektor GWh'!$B6750,41,1000))-1),nrg_cb_e!$C$3:$C$40,0))</f>
        <v>FC_IND_TL_E</v>
      </c>
      <c r="G6750" s="18">
        <v>130</v>
      </c>
    </row>
    <row r="6751" spans="1:7" x14ac:dyDescent="0.2">
      <c r="A6751" s="19" t="s">
        <v>54</v>
      </c>
      <c r="B6751" s="20" t="s">
        <v>73</v>
      </c>
      <c r="C6751" s="20" t="s">
        <v>8</v>
      </c>
      <c r="D6751" s="20" t="s">
        <v>10</v>
      </c>
      <c r="E6751" s="20" t="s">
        <v>12</v>
      </c>
      <c r="F6751" s="20" t="str">
        <f>INDEX(nrg_cb_e!$A$3:$A$40,MATCH(LEFT(MID('Industriesektor GWh'!$B6751,41,1000),SEARCH(" - ",MID('Industriesektor GWh'!$B6751,41,1000))-1),nrg_cb_e!$C$3:$C$40,0))</f>
        <v>FC_IND_TL_E</v>
      </c>
      <c r="G6751" s="21">
        <v>249</v>
      </c>
    </row>
    <row r="6752" spans="1:7" x14ac:dyDescent="0.2">
      <c r="A6752" s="16" t="s">
        <v>54</v>
      </c>
      <c r="B6752" s="17" t="s">
        <v>73</v>
      </c>
      <c r="C6752" s="17" t="s">
        <v>8</v>
      </c>
      <c r="D6752" s="17" t="s">
        <v>10</v>
      </c>
      <c r="E6752" s="17" t="s">
        <v>13</v>
      </c>
      <c r="F6752" s="17" t="str">
        <f>INDEX(nrg_cb_e!$A$3:$A$40,MATCH(LEFT(MID('Industriesektor GWh'!$B6752,41,1000),SEARCH(" - ",MID('Industriesektor GWh'!$B6752,41,1000))-1),nrg_cb_e!$C$3:$C$40,0))</f>
        <v>FC_IND_TL_E</v>
      </c>
      <c r="G6752" s="18">
        <v>229</v>
      </c>
    </row>
    <row r="6753" spans="1:7" x14ac:dyDescent="0.2">
      <c r="A6753" s="19" t="s">
        <v>54</v>
      </c>
      <c r="B6753" s="20" t="s">
        <v>73</v>
      </c>
      <c r="C6753" s="20" t="s">
        <v>8</v>
      </c>
      <c r="D6753" s="20" t="s">
        <v>10</v>
      </c>
      <c r="E6753" s="20" t="s">
        <v>14</v>
      </c>
      <c r="F6753" s="20" t="str">
        <f>INDEX(nrg_cb_e!$A$3:$A$40,MATCH(LEFT(MID('Industriesektor GWh'!$B6753,41,1000),SEARCH(" - ",MID('Industriesektor GWh'!$B6753,41,1000))-1),nrg_cb_e!$C$3:$C$40,0))</f>
        <v>FC_IND_TL_E</v>
      </c>
      <c r="G6753" s="21">
        <v>223</v>
      </c>
    </row>
    <row r="6754" spans="1:7" x14ac:dyDescent="0.2">
      <c r="A6754" s="16" t="s">
        <v>54</v>
      </c>
      <c r="B6754" s="17" t="s">
        <v>73</v>
      </c>
      <c r="C6754" s="17" t="s">
        <v>8</v>
      </c>
      <c r="D6754" s="17" t="s">
        <v>10</v>
      </c>
      <c r="E6754" s="17" t="s">
        <v>15</v>
      </c>
      <c r="F6754" s="17" t="str">
        <f>INDEX(nrg_cb_e!$A$3:$A$40,MATCH(LEFT(MID('Industriesektor GWh'!$B6754,41,1000),SEARCH(" - ",MID('Industriesektor GWh'!$B6754,41,1000))-1),nrg_cb_e!$C$3:$C$40,0))</f>
        <v>FC_IND_TL_E</v>
      </c>
      <c r="G6754" s="18">
        <v>209</v>
      </c>
    </row>
    <row r="6755" spans="1:7" x14ac:dyDescent="0.2">
      <c r="A6755" s="19" t="s">
        <v>54</v>
      </c>
      <c r="B6755" s="20" t="s">
        <v>73</v>
      </c>
      <c r="C6755" s="20" t="s">
        <v>8</v>
      </c>
      <c r="D6755" s="20" t="s">
        <v>10</v>
      </c>
      <c r="E6755" s="20" t="s">
        <v>16</v>
      </c>
      <c r="F6755" s="20" t="str">
        <f>INDEX(nrg_cb_e!$A$3:$A$40,MATCH(LEFT(MID('Industriesektor GWh'!$B6755,41,1000),SEARCH(" - ",MID('Industriesektor GWh'!$B6755,41,1000))-1),nrg_cb_e!$C$3:$C$40,0))</f>
        <v>FC_IND_TL_E</v>
      </c>
      <c r="G6755" s="21">
        <v>203</v>
      </c>
    </row>
    <row r="6756" spans="1:7" x14ac:dyDescent="0.2">
      <c r="A6756" s="16" t="s">
        <v>54</v>
      </c>
      <c r="B6756" s="17" t="s">
        <v>73</v>
      </c>
      <c r="C6756" s="17" t="s">
        <v>8</v>
      </c>
      <c r="D6756" s="17" t="s">
        <v>10</v>
      </c>
      <c r="E6756" s="17" t="s">
        <v>17</v>
      </c>
      <c r="F6756" s="17" t="str">
        <f>INDEX(nrg_cb_e!$A$3:$A$40,MATCH(LEFT(MID('Industriesektor GWh'!$B6756,41,1000),SEARCH(" - ",MID('Industriesektor GWh'!$B6756,41,1000))-1),nrg_cb_e!$C$3:$C$40,0))</f>
        <v>FC_IND_TL_E</v>
      </c>
      <c r="G6756" s="18">
        <v>182</v>
      </c>
    </row>
    <row r="6757" spans="1:7" x14ac:dyDescent="0.2">
      <c r="A6757" s="19" t="s">
        <v>54</v>
      </c>
      <c r="B6757" s="20" t="s">
        <v>73</v>
      </c>
      <c r="C6757" s="20" t="s">
        <v>8</v>
      </c>
      <c r="D6757" s="20" t="s">
        <v>10</v>
      </c>
      <c r="E6757" s="20" t="s">
        <v>18</v>
      </c>
      <c r="F6757" s="20" t="str">
        <f>INDEX(nrg_cb_e!$A$3:$A$40,MATCH(LEFT(MID('Industriesektor GWh'!$B6757,41,1000),SEARCH(" - ",MID('Industriesektor GWh'!$B6757,41,1000))-1),nrg_cb_e!$C$3:$C$40,0))</f>
        <v>FC_IND_TL_E</v>
      </c>
      <c r="G6757" s="21">
        <v>163</v>
      </c>
    </row>
    <row r="6758" spans="1:7" x14ac:dyDescent="0.2">
      <c r="A6758" s="16" t="s">
        <v>54</v>
      </c>
      <c r="B6758" s="17" t="s">
        <v>73</v>
      </c>
      <c r="C6758" s="17" t="s">
        <v>8</v>
      </c>
      <c r="D6758" s="17" t="s">
        <v>10</v>
      </c>
      <c r="E6758" s="17" t="s">
        <v>19</v>
      </c>
      <c r="F6758" s="17" t="str">
        <f>INDEX(nrg_cb_e!$A$3:$A$40,MATCH(LEFT(MID('Industriesektor GWh'!$B6758,41,1000),SEARCH(" - ",MID('Industriesektor GWh'!$B6758,41,1000))-1),nrg_cb_e!$C$3:$C$40,0))</f>
        <v>FC_IND_TL_E</v>
      </c>
      <c r="G6758" s="18">
        <v>178</v>
      </c>
    </row>
    <row r="6759" spans="1:7" x14ac:dyDescent="0.2">
      <c r="A6759" s="19" t="s">
        <v>54</v>
      </c>
      <c r="B6759" s="20" t="s">
        <v>73</v>
      </c>
      <c r="C6759" s="20" t="s">
        <v>8</v>
      </c>
      <c r="D6759" s="20" t="s">
        <v>10</v>
      </c>
      <c r="E6759" s="20" t="s">
        <v>20</v>
      </c>
      <c r="F6759" s="20" t="str">
        <f>INDEX(nrg_cb_e!$A$3:$A$40,MATCH(LEFT(MID('Industriesektor GWh'!$B6759,41,1000),SEARCH(" - ",MID('Industriesektor GWh'!$B6759,41,1000))-1),nrg_cb_e!$C$3:$C$40,0))</f>
        <v>FC_IND_TL_E</v>
      </c>
      <c r="G6759" s="21">
        <v>134</v>
      </c>
    </row>
    <row r="6760" spans="1:7" x14ac:dyDescent="0.2">
      <c r="A6760" s="16" t="s">
        <v>54</v>
      </c>
      <c r="B6760" s="17" t="s">
        <v>73</v>
      </c>
      <c r="C6760" s="17" t="s">
        <v>8</v>
      </c>
      <c r="D6760" s="17" t="s">
        <v>10</v>
      </c>
      <c r="E6760" s="17" t="s">
        <v>21</v>
      </c>
      <c r="F6760" s="17" t="str">
        <f>INDEX(nrg_cb_e!$A$3:$A$40,MATCH(LEFT(MID('Industriesektor GWh'!$B6760,41,1000),SEARCH(" - ",MID('Industriesektor GWh'!$B6760,41,1000))-1),nrg_cb_e!$C$3:$C$40,0))</f>
        <v>FC_IND_TL_E</v>
      </c>
      <c r="G6760" s="18">
        <v>137</v>
      </c>
    </row>
    <row r="6761" spans="1:7" x14ac:dyDescent="0.2">
      <c r="A6761" s="19" t="s">
        <v>54</v>
      </c>
      <c r="B6761" s="20" t="s">
        <v>73</v>
      </c>
      <c r="C6761" s="20" t="s">
        <v>8</v>
      </c>
      <c r="D6761" s="20" t="s">
        <v>10</v>
      </c>
      <c r="E6761" s="20" t="s">
        <v>22</v>
      </c>
      <c r="F6761" s="20" t="str">
        <f>INDEX(nrg_cb_e!$A$3:$A$40,MATCH(LEFT(MID('Industriesektor GWh'!$B6761,41,1000),SEARCH(" - ",MID('Industriesektor GWh'!$B6761,41,1000))-1),nrg_cb_e!$C$3:$C$40,0))</f>
        <v>FC_IND_TL_E</v>
      </c>
      <c r="G6761" s="21">
        <v>207</v>
      </c>
    </row>
    <row r="6762" spans="1:7" x14ac:dyDescent="0.2">
      <c r="A6762" s="16" t="s">
        <v>54</v>
      </c>
      <c r="B6762" s="17" t="s">
        <v>73</v>
      </c>
      <c r="C6762" s="17" t="s">
        <v>8</v>
      </c>
      <c r="D6762" s="17" t="s">
        <v>10</v>
      </c>
      <c r="E6762" s="17" t="s">
        <v>23</v>
      </c>
      <c r="F6762" s="17" t="str">
        <f>INDEX(nrg_cb_e!$A$3:$A$40,MATCH(LEFT(MID('Industriesektor GWh'!$B6762,41,1000),SEARCH(" - ",MID('Industriesektor GWh'!$B6762,41,1000))-1),nrg_cb_e!$C$3:$C$40,0))</f>
        <v>FC_IND_TL_E</v>
      </c>
      <c r="G6762" s="18">
        <v>162</v>
      </c>
    </row>
    <row r="6763" spans="1:7" x14ac:dyDescent="0.2">
      <c r="A6763" s="19" t="s">
        <v>54</v>
      </c>
      <c r="B6763" s="20" t="s">
        <v>73</v>
      </c>
      <c r="C6763" s="20" t="s">
        <v>8</v>
      </c>
      <c r="D6763" s="20" t="s">
        <v>10</v>
      </c>
      <c r="E6763" s="20" t="s">
        <v>24</v>
      </c>
      <c r="F6763" s="20" t="str">
        <f>INDEX(nrg_cb_e!$A$3:$A$40,MATCH(LEFT(MID('Industriesektor GWh'!$B6763,41,1000),SEARCH(" - ",MID('Industriesektor GWh'!$B6763,41,1000))-1),nrg_cb_e!$C$3:$C$40,0))</f>
        <v>FC_IND_TL_E</v>
      </c>
      <c r="G6763" s="21">
        <v>119</v>
      </c>
    </row>
    <row r="6764" spans="1:7" x14ac:dyDescent="0.2">
      <c r="A6764" s="16" t="s">
        <v>54</v>
      </c>
      <c r="B6764" s="17" t="s">
        <v>73</v>
      </c>
      <c r="C6764" s="17" t="s">
        <v>8</v>
      </c>
      <c r="D6764" s="17" t="s">
        <v>10</v>
      </c>
      <c r="E6764" s="17" t="s">
        <v>25</v>
      </c>
      <c r="F6764" s="17" t="str">
        <f>INDEX(nrg_cb_e!$A$3:$A$40,MATCH(LEFT(MID('Industriesektor GWh'!$B6764,41,1000),SEARCH(" - ",MID('Industriesektor GWh'!$B6764,41,1000))-1),nrg_cb_e!$C$3:$C$40,0))</f>
        <v>FC_IND_TL_E</v>
      </c>
      <c r="G6764" s="18">
        <v>123</v>
      </c>
    </row>
    <row r="6765" spans="1:7" x14ac:dyDescent="0.2">
      <c r="A6765" s="19" t="s">
        <v>54</v>
      </c>
      <c r="B6765" s="20" t="s">
        <v>73</v>
      </c>
      <c r="C6765" s="20" t="s">
        <v>8</v>
      </c>
      <c r="D6765" s="20" t="s">
        <v>10</v>
      </c>
      <c r="E6765" s="20" t="s">
        <v>26</v>
      </c>
      <c r="F6765" s="20" t="str">
        <f>INDEX(nrg_cb_e!$A$3:$A$40,MATCH(LEFT(MID('Industriesektor GWh'!$B6765,41,1000),SEARCH(" - ",MID('Industriesektor GWh'!$B6765,41,1000))-1),nrg_cb_e!$C$3:$C$40,0))</f>
        <v>FC_IND_TL_E</v>
      </c>
      <c r="G6765" s="21">
        <v>124</v>
      </c>
    </row>
    <row r="6766" spans="1:7" x14ac:dyDescent="0.2">
      <c r="A6766" s="16" t="s">
        <v>54</v>
      </c>
      <c r="B6766" s="17" t="s">
        <v>73</v>
      </c>
      <c r="C6766" s="17" t="s">
        <v>8</v>
      </c>
      <c r="D6766" s="17" t="s">
        <v>10</v>
      </c>
      <c r="E6766" s="17" t="s">
        <v>27</v>
      </c>
      <c r="F6766" s="17" t="str">
        <f>INDEX(nrg_cb_e!$A$3:$A$40,MATCH(LEFT(MID('Industriesektor GWh'!$B6766,41,1000),SEARCH(" - ",MID('Industriesektor GWh'!$B6766,41,1000))-1),nrg_cb_e!$C$3:$C$40,0))</f>
        <v>FC_IND_TL_E</v>
      </c>
      <c r="G6766" s="18">
        <v>109</v>
      </c>
    </row>
    <row r="6767" spans="1:7" x14ac:dyDescent="0.2">
      <c r="A6767" s="19" t="s">
        <v>54</v>
      </c>
      <c r="B6767" s="20" t="s">
        <v>73</v>
      </c>
      <c r="C6767" s="20" t="s">
        <v>8</v>
      </c>
      <c r="D6767" s="20" t="s">
        <v>10</v>
      </c>
      <c r="E6767" s="20" t="s">
        <v>28</v>
      </c>
      <c r="F6767" s="20" t="str">
        <f>INDEX(nrg_cb_e!$A$3:$A$40,MATCH(LEFT(MID('Industriesektor GWh'!$B6767,41,1000),SEARCH(" - ",MID('Industriesektor GWh'!$B6767,41,1000))-1),nrg_cb_e!$C$3:$C$40,0))</f>
        <v>FC_IND_TL_E</v>
      </c>
      <c r="G6767" s="21">
        <v>114</v>
      </c>
    </row>
    <row r="6768" spans="1:7" x14ac:dyDescent="0.2">
      <c r="A6768" s="16" t="s">
        <v>55</v>
      </c>
      <c r="B6768" s="17" t="s">
        <v>73</v>
      </c>
      <c r="C6768" s="17" t="s">
        <v>8</v>
      </c>
      <c r="D6768" s="17" t="s">
        <v>10</v>
      </c>
      <c r="E6768" s="17" t="s">
        <v>12</v>
      </c>
      <c r="F6768" s="17" t="str">
        <f>INDEX(nrg_cb_e!$A$3:$A$40,MATCH(LEFT(MID('Industriesektor GWh'!$B6768,41,1000),SEARCH(" - ",MID('Industriesektor GWh'!$B6768,41,1000))-1),nrg_cb_e!$C$3:$C$40,0))</f>
        <v>FC_IND_TL_E</v>
      </c>
      <c r="G6768" s="18">
        <v>368</v>
      </c>
    </row>
    <row r="6769" spans="1:7" x14ac:dyDescent="0.2">
      <c r="A6769" s="19" t="s">
        <v>55</v>
      </c>
      <c r="B6769" s="20" t="s">
        <v>73</v>
      </c>
      <c r="C6769" s="20" t="s">
        <v>8</v>
      </c>
      <c r="D6769" s="20" t="s">
        <v>10</v>
      </c>
      <c r="E6769" s="20" t="s">
        <v>13</v>
      </c>
      <c r="F6769" s="20" t="str">
        <f>INDEX(nrg_cb_e!$A$3:$A$40,MATCH(LEFT(MID('Industriesektor GWh'!$B6769,41,1000),SEARCH(" - ",MID('Industriesektor GWh'!$B6769,41,1000))-1),nrg_cb_e!$C$3:$C$40,0))</f>
        <v>FC_IND_TL_E</v>
      </c>
      <c r="G6769" s="21">
        <v>323</v>
      </c>
    </row>
    <row r="6770" spans="1:7" x14ac:dyDescent="0.2">
      <c r="A6770" s="16" t="s">
        <v>55</v>
      </c>
      <c r="B6770" s="17" t="s">
        <v>73</v>
      </c>
      <c r="C6770" s="17" t="s">
        <v>8</v>
      </c>
      <c r="D6770" s="17" t="s">
        <v>10</v>
      </c>
      <c r="E6770" s="17" t="s">
        <v>14</v>
      </c>
      <c r="F6770" s="17" t="str">
        <f>INDEX(nrg_cb_e!$A$3:$A$40,MATCH(LEFT(MID('Industriesektor GWh'!$B6770,41,1000),SEARCH(" - ",MID('Industriesektor GWh'!$B6770,41,1000))-1),nrg_cb_e!$C$3:$C$40,0))</f>
        <v>FC_IND_TL_E</v>
      </c>
      <c r="G6770" s="18">
        <v>329</v>
      </c>
    </row>
    <row r="6771" spans="1:7" x14ac:dyDescent="0.2">
      <c r="A6771" s="19" t="s">
        <v>55</v>
      </c>
      <c r="B6771" s="20" t="s">
        <v>73</v>
      </c>
      <c r="C6771" s="20" t="s">
        <v>8</v>
      </c>
      <c r="D6771" s="20" t="s">
        <v>10</v>
      </c>
      <c r="E6771" s="20" t="s">
        <v>15</v>
      </c>
      <c r="F6771" s="20" t="str">
        <f>INDEX(nrg_cb_e!$A$3:$A$40,MATCH(LEFT(MID('Industriesektor GWh'!$B6771,41,1000),SEARCH(" - ",MID('Industriesektor GWh'!$B6771,41,1000))-1),nrg_cb_e!$C$3:$C$40,0))</f>
        <v>FC_IND_TL_E</v>
      </c>
      <c r="G6771" s="21">
        <v>255</v>
      </c>
    </row>
    <row r="6772" spans="1:7" x14ac:dyDescent="0.2">
      <c r="A6772" s="16" t="s">
        <v>55</v>
      </c>
      <c r="B6772" s="17" t="s">
        <v>73</v>
      </c>
      <c r="C6772" s="17" t="s">
        <v>8</v>
      </c>
      <c r="D6772" s="17" t="s">
        <v>10</v>
      </c>
      <c r="E6772" s="17" t="s">
        <v>16</v>
      </c>
      <c r="F6772" s="17" t="str">
        <f>INDEX(nrg_cb_e!$A$3:$A$40,MATCH(LEFT(MID('Industriesektor GWh'!$B6772,41,1000),SEARCH(" - ",MID('Industriesektor GWh'!$B6772,41,1000))-1),nrg_cb_e!$C$3:$C$40,0))</f>
        <v>FC_IND_TL_E</v>
      </c>
      <c r="G6772" s="18">
        <v>242</v>
      </c>
    </row>
    <row r="6773" spans="1:7" x14ac:dyDescent="0.2">
      <c r="A6773" s="19" t="s">
        <v>55</v>
      </c>
      <c r="B6773" s="20" t="s">
        <v>73</v>
      </c>
      <c r="C6773" s="20" t="s">
        <v>8</v>
      </c>
      <c r="D6773" s="20" t="s">
        <v>10</v>
      </c>
      <c r="E6773" s="20" t="s">
        <v>17</v>
      </c>
      <c r="F6773" s="20" t="str">
        <f>INDEX(nrg_cb_e!$A$3:$A$40,MATCH(LEFT(MID('Industriesektor GWh'!$B6773,41,1000),SEARCH(" - ",MID('Industriesektor GWh'!$B6773,41,1000))-1),nrg_cb_e!$C$3:$C$40,0))</f>
        <v>FC_IND_TL_E</v>
      </c>
      <c r="G6773" s="21">
        <v>208</v>
      </c>
    </row>
    <row r="6774" spans="1:7" x14ac:dyDescent="0.2">
      <c r="A6774" s="16" t="s">
        <v>55</v>
      </c>
      <c r="B6774" s="17" t="s">
        <v>73</v>
      </c>
      <c r="C6774" s="17" t="s">
        <v>8</v>
      </c>
      <c r="D6774" s="17" t="s">
        <v>10</v>
      </c>
      <c r="E6774" s="17" t="s">
        <v>18</v>
      </c>
      <c r="F6774" s="17" t="str">
        <f>INDEX(nrg_cb_e!$A$3:$A$40,MATCH(LEFT(MID('Industriesektor GWh'!$B6774,41,1000),SEARCH(" - ",MID('Industriesektor GWh'!$B6774,41,1000))-1),nrg_cb_e!$C$3:$C$40,0))</f>
        <v>FC_IND_TL_E</v>
      </c>
      <c r="G6774" s="18">
        <v>270</v>
      </c>
    </row>
    <row r="6775" spans="1:7" x14ac:dyDescent="0.2">
      <c r="A6775" s="19" t="s">
        <v>55</v>
      </c>
      <c r="B6775" s="20" t="s">
        <v>73</v>
      </c>
      <c r="C6775" s="20" t="s">
        <v>8</v>
      </c>
      <c r="D6775" s="20" t="s">
        <v>10</v>
      </c>
      <c r="E6775" s="20" t="s">
        <v>19</v>
      </c>
      <c r="F6775" s="20" t="str">
        <f>INDEX(nrg_cb_e!$A$3:$A$40,MATCH(LEFT(MID('Industriesektor GWh'!$B6775,41,1000),SEARCH(" - ",MID('Industriesektor GWh'!$B6775,41,1000))-1),nrg_cb_e!$C$3:$C$40,0))</f>
        <v>FC_IND_TL_E</v>
      </c>
      <c r="G6775" s="21">
        <v>172</v>
      </c>
    </row>
    <row r="6776" spans="1:7" x14ac:dyDescent="0.2">
      <c r="A6776" s="16" t="s">
        <v>55</v>
      </c>
      <c r="B6776" s="17" t="s">
        <v>73</v>
      </c>
      <c r="C6776" s="17" t="s">
        <v>8</v>
      </c>
      <c r="D6776" s="17" t="s">
        <v>10</v>
      </c>
      <c r="E6776" s="17" t="s">
        <v>20</v>
      </c>
      <c r="F6776" s="17" t="str">
        <f>INDEX(nrg_cb_e!$A$3:$A$40,MATCH(LEFT(MID('Industriesektor GWh'!$B6776,41,1000),SEARCH(" - ",MID('Industriesektor GWh'!$B6776,41,1000))-1),nrg_cb_e!$C$3:$C$40,0))</f>
        <v>FC_IND_TL_E</v>
      </c>
      <c r="G6776" s="18">
        <v>189</v>
      </c>
    </row>
    <row r="6777" spans="1:7" x14ac:dyDescent="0.2">
      <c r="A6777" s="19" t="s">
        <v>55</v>
      </c>
      <c r="B6777" s="20" t="s">
        <v>73</v>
      </c>
      <c r="C6777" s="20" t="s">
        <v>8</v>
      </c>
      <c r="D6777" s="20" t="s">
        <v>10</v>
      </c>
      <c r="E6777" s="20" t="s">
        <v>21</v>
      </c>
      <c r="F6777" s="20" t="str">
        <f>INDEX(nrg_cb_e!$A$3:$A$40,MATCH(LEFT(MID('Industriesektor GWh'!$B6777,41,1000),SEARCH(" - ",MID('Industriesektor GWh'!$B6777,41,1000))-1),nrg_cb_e!$C$3:$C$40,0))</f>
        <v>FC_IND_TL_E</v>
      </c>
      <c r="G6777" s="21">
        <v>155</v>
      </c>
    </row>
    <row r="6778" spans="1:7" x14ac:dyDescent="0.2">
      <c r="A6778" s="16" t="s">
        <v>55</v>
      </c>
      <c r="B6778" s="17" t="s">
        <v>73</v>
      </c>
      <c r="C6778" s="17" t="s">
        <v>8</v>
      </c>
      <c r="D6778" s="17" t="s">
        <v>10</v>
      </c>
      <c r="E6778" s="17" t="s">
        <v>22</v>
      </c>
      <c r="F6778" s="17" t="str">
        <f>INDEX(nrg_cb_e!$A$3:$A$40,MATCH(LEFT(MID('Industriesektor GWh'!$B6778,41,1000),SEARCH(" - ",MID('Industriesektor GWh'!$B6778,41,1000))-1),nrg_cb_e!$C$3:$C$40,0))</f>
        <v>FC_IND_TL_E</v>
      </c>
      <c r="G6778" s="18">
        <v>145</v>
      </c>
    </row>
    <row r="6779" spans="1:7" x14ac:dyDescent="0.2">
      <c r="A6779" s="19" t="s">
        <v>55</v>
      </c>
      <c r="B6779" s="20" t="s">
        <v>73</v>
      </c>
      <c r="C6779" s="20" t="s">
        <v>8</v>
      </c>
      <c r="D6779" s="20" t="s">
        <v>10</v>
      </c>
      <c r="E6779" s="20" t="s">
        <v>23</v>
      </c>
      <c r="F6779" s="20" t="str">
        <f>INDEX(nrg_cb_e!$A$3:$A$40,MATCH(LEFT(MID('Industriesektor GWh'!$B6779,41,1000),SEARCH(" - ",MID('Industriesektor GWh'!$B6779,41,1000))-1),nrg_cb_e!$C$3:$C$40,0))</f>
        <v>FC_IND_TL_E</v>
      </c>
      <c r="G6779" s="21">
        <v>140</v>
      </c>
    </row>
    <row r="6780" spans="1:7" x14ac:dyDescent="0.2">
      <c r="A6780" s="16" t="s">
        <v>55</v>
      </c>
      <c r="B6780" s="17" t="s">
        <v>73</v>
      </c>
      <c r="C6780" s="17" t="s">
        <v>8</v>
      </c>
      <c r="D6780" s="17" t="s">
        <v>10</v>
      </c>
      <c r="E6780" s="17" t="s">
        <v>24</v>
      </c>
      <c r="F6780" s="17" t="str">
        <f>INDEX(nrg_cb_e!$A$3:$A$40,MATCH(LEFT(MID('Industriesektor GWh'!$B6780,41,1000),SEARCH(" - ",MID('Industriesektor GWh'!$B6780,41,1000))-1),nrg_cb_e!$C$3:$C$40,0))</f>
        <v>FC_IND_TL_E</v>
      </c>
      <c r="G6780" s="18">
        <v>190</v>
      </c>
    </row>
    <row r="6781" spans="1:7" x14ac:dyDescent="0.2">
      <c r="A6781" s="19" t="s">
        <v>55</v>
      </c>
      <c r="B6781" s="20" t="s">
        <v>73</v>
      </c>
      <c r="C6781" s="20" t="s">
        <v>8</v>
      </c>
      <c r="D6781" s="20" t="s">
        <v>10</v>
      </c>
      <c r="E6781" s="20" t="s">
        <v>25</v>
      </c>
      <c r="F6781" s="20" t="str">
        <f>INDEX(nrg_cb_e!$A$3:$A$40,MATCH(LEFT(MID('Industriesektor GWh'!$B6781,41,1000),SEARCH(" - ",MID('Industriesektor GWh'!$B6781,41,1000))-1),nrg_cb_e!$C$3:$C$40,0))</f>
        <v>FC_IND_TL_E</v>
      </c>
      <c r="G6781" s="21">
        <v>198</v>
      </c>
    </row>
    <row r="6782" spans="1:7" x14ac:dyDescent="0.2">
      <c r="A6782" s="16" t="s">
        <v>55</v>
      </c>
      <c r="B6782" s="17" t="s">
        <v>73</v>
      </c>
      <c r="C6782" s="17" t="s">
        <v>8</v>
      </c>
      <c r="D6782" s="17" t="s">
        <v>10</v>
      </c>
      <c r="E6782" s="17" t="s">
        <v>26</v>
      </c>
      <c r="F6782" s="17" t="str">
        <f>INDEX(nrg_cb_e!$A$3:$A$40,MATCH(LEFT(MID('Industriesektor GWh'!$B6782,41,1000),SEARCH(" - ",MID('Industriesektor GWh'!$B6782,41,1000))-1),nrg_cb_e!$C$3:$C$40,0))</f>
        <v>FC_IND_TL_E</v>
      </c>
      <c r="G6782" s="18">
        <v>204</v>
      </c>
    </row>
    <row r="6783" spans="1:7" x14ac:dyDescent="0.2">
      <c r="A6783" s="19" t="s">
        <v>55</v>
      </c>
      <c r="B6783" s="20" t="s">
        <v>73</v>
      </c>
      <c r="C6783" s="20" t="s">
        <v>8</v>
      </c>
      <c r="D6783" s="20" t="s">
        <v>10</v>
      </c>
      <c r="E6783" s="20" t="s">
        <v>27</v>
      </c>
      <c r="F6783" s="20" t="str">
        <f>INDEX(nrg_cb_e!$A$3:$A$40,MATCH(LEFT(MID('Industriesektor GWh'!$B6783,41,1000),SEARCH(" - ",MID('Industriesektor GWh'!$B6783,41,1000))-1),nrg_cb_e!$C$3:$C$40,0))</f>
        <v>FC_IND_TL_E</v>
      </c>
      <c r="G6783" s="21">
        <v>203</v>
      </c>
    </row>
    <row r="6784" spans="1:7" x14ac:dyDescent="0.2">
      <c r="A6784" s="16" t="s">
        <v>55</v>
      </c>
      <c r="B6784" s="17" t="s">
        <v>73</v>
      </c>
      <c r="C6784" s="17" t="s">
        <v>8</v>
      </c>
      <c r="D6784" s="17" t="s">
        <v>10</v>
      </c>
      <c r="E6784" s="17" t="s">
        <v>28</v>
      </c>
      <c r="F6784" s="17" t="str">
        <f>INDEX(nrg_cb_e!$A$3:$A$40,MATCH(LEFT(MID('Industriesektor GWh'!$B6784,41,1000),SEARCH(" - ",MID('Industriesektor GWh'!$B6784,41,1000))-1),nrg_cb_e!$C$3:$C$40,0))</f>
        <v>FC_IND_TL_E</v>
      </c>
      <c r="G6784" s="18">
        <v>200</v>
      </c>
    </row>
    <row r="6785" spans="1:7" x14ac:dyDescent="0.2">
      <c r="A6785" s="19" t="s">
        <v>56</v>
      </c>
      <c r="B6785" s="20" t="s">
        <v>73</v>
      </c>
      <c r="C6785" s="20" t="s">
        <v>8</v>
      </c>
      <c r="D6785" s="20" t="s">
        <v>10</v>
      </c>
      <c r="E6785" s="20" t="s">
        <v>12</v>
      </c>
      <c r="F6785" s="20" t="str">
        <f>INDEX(nrg_cb_e!$A$3:$A$40,MATCH(LEFT(MID('Industriesektor GWh'!$B6785,41,1000),SEARCH(" - ",MID('Industriesektor GWh'!$B6785,41,1000))-1),nrg_cb_e!$C$3:$C$40,0))</f>
        <v>FC_IND_TL_E</v>
      </c>
      <c r="G6785" s="21">
        <v>3463</v>
      </c>
    </row>
    <row r="6786" spans="1:7" x14ac:dyDescent="0.2">
      <c r="A6786" s="16" t="s">
        <v>56</v>
      </c>
      <c r="B6786" s="17" t="s">
        <v>73</v>
      </c>
      <c r="C6786" s="17" t="s">
        <v>8</v>
      </c>
      <c r="D6786" s="17" t="s">
        <v>10</v>
      </c>
      <c r="E6786" s="17" t="s">
        <v>13</v>
      </c>
      <c r="F6786" s="17" t="str">
        <f>INDEX(nrg_cb_e!$A$3:$A$40,MATCH(LEFT(MID('Industriesektor GWh'!$B6786,41,1000),SEARCH(" - ",MID('Industriesektor GWh'!$B6786,41,1000))-1),nrg_cb_e!$C$3:$C$40,0))</f>
        <v>FC_IND_TL_E</v>
      </c>
      <c r="G6786" s="18">
        <v>3403</v>
      </c>
    </row>
    <row r="6787" spans="1:7" x14ac:dyDescent="0.2">
      <c r="A6787" s="19" t="s">
        <v>56</v>
      </c>
      <c r="B6787" s="20" t="s">
        <v>73</v>
      </c>
      <c r="C6787" s="20" t="s">
        <v>8</v>
      </c>
      <c r="D6787" s="20" t="s">
        <v>10</v>
      </c>
      <c r="E6787" s="20" t="s">
        <v>14</v>
      </c>
      <c r="F6787" s="20" t="str">
        <f>INDEX(nrg_cb_e!$A$3:$A$40,MATCH(LEFT(MID('Industriesektor GWh'!$B6787,41,1000),SEARCH(" - ",MID('Industriesektor GWh'!$B6787,41,1000))-1),nrg_cb_e!$C$3:$C$40,0))</f>
        <v>FC_IND_TL_E</v>
      </c>
      <c r="G6787" s="21">
        <v>3333</v>
      </c>
    </row>
    <row r="6788" spans="1:7" x14ac:dyDescent="0.2">
      <c r="A6788" s="16" t="s">
        <v>56</v>
      </c>
      <c r="B6788" s="17" t="s">
        <v>73</v>
      </c>
      <c r="C6788" s="17" t="s">
        <v>8</v>
      </c>
      <c r="D6788" s="17" t="s">
        <v>10</v>
      </c>
      <c r="E6788" s="17" t="s">
        <v>15</v>
      </c>
      <c r="F6788" s="17" t="str">
        <f>INDEX(nrg_cb_e!$A$3:$A$40,MATCH(LEFT(MID('Industriesektor GWh'!$B6788,41,1000),SEARCH(" - ",MID('Industriesektor GWh'!$B6788,41,1000))-1),nrg_cb_e!$C$3:$C$40,0))</f>
        <v>FC_IND_TL_E</v>
      </c>
      <c r="G6788" s="18">
        <v>3393</v>
      </c>
    </row>
    <row r="6789" spans="1:7" x14ac:dyDescent="0.2">
      <c r="A6789" s="19" t="s">
        <v>56</v>
      </c>
      <c r="B6789" s="20" t="s">
        <v>73</v>
      </c>
      <c r="C6789" s="20" t="s">
        <v>8</v>
      </c>
      <c r="D6789" s="20" t="s">
        <v>10</v>
      </c>
      <c r="E6789" s="20" t="s">
        <v>16</v>
      </c>
      <c r="F6789" s="20" t="str">
        <f>INDEX(nrg_cb_e!$A$3:$A$40,MATCH(LEFT(MID('Industriesektor GWh'!$B6789,41,1000),SEARCH(" - ",MID('Industriesektor GWh'!$B6789,41,1000))-1),nrg_cb_e!$C$3:$C$40,0))</f>
        <v>FC_IND_TL_E</v>
      </c>
      <c r="G6789" s="21">
        <v>3360</v>
      </c>
    </row>
    <row r="6790" spans="1:7" x14ac:dyDescent="0.2">
      <c r="A6790" s="16" t="s">
        <v>56</v>
      </c>
      <c r="B6790" s="17" t="s">
        <v>73</v>
      </c>
      <c r="C6790" s="17" t="s">
        <v>8</v>
      </c>
      <c r="D6790" s="17" t="s">
        <v>10</v>
      </c>
      <c r="E6790" s="17" t="s">
        <v>17</v>
      </c>
      <c r="F6790" s="17" t="str">
        <f>INDEX(nrg_cb_e!$A$3:$A$40,MATCH(LEFT(MID('Industriesektor GWh'!$B6790,41,1000),SEARCH(" - ",MID('Industriesektor GWh'!$B6790,41,1000))-1),nrg_cb_e!$C$3:$C$40,0))</f>
        <v>FC_IND_TL_E</v>
      </c>
      <c r="G6790" s="18">
        <v>3349</v>
      </c>
    </row>
    <row r="6791" spans="1:7" x14ac:dyDescent="0.2">
      <c r="A6791" s="19" t="s">
        <v>56</v>
      </c>
      <c r="B6791" s="20" t="s">
        <v>73</v>
      </c>
      <c r="C6791" s="20" t="s">
        <v>8</v>
      </c>
      <c r="D6791" s="20" t="s">
        <v>10</v>
      </c>
      <c r="E6791" s="20" t="s">
        <v>18</v>
      </c>
      <c r="F6791" s="20" t="str">
        <f>INDEX(nrg_cb_e!$A$3:$A$40,MATCH(LEFT(MID('Industriesektor GWh'!$B6791,41,1000),SEARCH(" - ",MID('Industriesektor GWh'!$B6791,41,1000))-1),nrg_cb_e!$C$3:$C$40,0))</f>
        <v>FC_IND_TL_E</v>
      </c>
      <c r="G6791" s="21">
        <v>3395</v>
      </c>
    </row>
    <row r="6792" spans="1:7" x14ac:dyDescent="0.2">
      <c r="A6792" s="16" t="s">
        <v>56</v>
      </c>
      <c r="B6792" s="17" t="s">
        <v>73</v>
      </c>
      <c r="C6792" s="17" t="s">
        <v>8</v>
      </c>
      <c r="D6792" s="17" t="s">
        <v>10</v>
      </c>
      <c r="E6792" s="17" t="s">
        <v>19</v>
      </c>
      <c r="F6792" s="17" t="str">
        <f>INDEX(nrg_cb_e!$A$3:$A$40,MATCH(LEFT(MID('Industriesektor GWh'!$B6792,41,1000),SEARCH(" - ",MID('Industriesektor GWh'!$B6792,41,1000))-1),nrg_cb_e!$C$3:$C$40,0))</f>
        <v>FC_IND_TL_E</v>
      </c>
      <c r="G6792" s="18">
        <v>3013</v>
      </c>
    </row>
    <row r="6793" spans="1:7" x14ac:dyDescent="0.2">
      <c r="A6793" s="19" t="s">
        <v>56</v>
      </c>
      <c r="B6793" s="20" t="s">
        <v>73</v>
      </c>
      <c r="C6793" s="20" t="s">
        <v>8</v>
      </c>
      <c r="D6793" s="20" t="s">
        <v>10</v>
      </c>
      <c r="E6793" s="20" t="s">
        <v>20</v>
      </c>
      <c r="F6793" s="20" t="str">
        <f>INDEX(nrg_cb_e!$A$3:$A$40,MATCH(LEFT(MID('Industriesektor GWh'!$B6793,41,1000),SEARCH(" - ",MID('Industriesektor GWh'!$B6793,41,1000))-1),nrg_cb_e!$C$3:$C$40,0))</f>
        <v>FC_IND_TL_E</v>
      </c>
      <c r="G6793" s="21">
        <v>3050</v>
      </c>
    </row>
    <row r="6794" spans="1:7" x14ac:dyDescent="0.2">
      <c r="A6794" s="16" t="s">
        <v>56</v>
      </c>
      <c r="B6794" s="17" t="s">
        <v>73</v>
      </c>
      <c r="C6794" s="17" t="s">
        <v>8</v>
      </c>
      <c r="D6794" s="17" t="s">
        <v>10</v>
      </c>
      <c r="E6794" s="17" t="s">
        <v>21</v>
      </c>
      <c r="F6794" s="17" t="str">
        <f>INDEX(nrg_cb_e!$A$3:$A$40,MATCH(LEFT(MID('Industriesektor GWh'!$B6794,41,1000),SEARCH(" - ",MID('Industriesektor GWh'!$B6794,41,1000))-1),nrg_cb_e!$C$3:$C$40,0))</f>
        <v>FC_IND_TL_E</v>
      </c>
      <c r="G6794" s="18">
        <v>2992</v>
      </c>
    </row>
    <row r="6795" spans="1:7" x14ac:dyDescent="0.2">
      <c r="A6795" s="19" t="s">
        <v>56</v>
      </c>
      <c r="B6795" s="20" t="s">
        <v>73</v>
      </c>
      <c r="C6795" s="20" t="s">
        <v>8</v>
      </c>
      <c r="D6795" s="20" t="s">
        <v>10</v>
      </c>
      <c r="E6795" s="20" t="s">
        <v>22</v>
      </c>
      <c r="F6795" s="20" t="str">
        <f>INDEX(nrg_cb_e!$A$3:$A$40,MATCH(LEFT(MID('Industriesektor GWh'!$B6795,41,1000),SEARCH(" - ",MID('Industriesektor GWh'!$B6795,41,1000))-1),nrg_cb_e!$C$3:$C$40,0))</f>
        <v>FC_IND_TL_E</v>
      </c>
      <c r="G6795" s="21">
        <v>2910</v>
      </c>
    </row>
    <row r="6796" spans="1:7" x14ac:dyDescent="0.2">
      <c r="A6796" s="16" t="s">
        <v>56</v>
      </c>
      <c r="B6796" s="17" t="s">
        <v>73</v>
      </c>
      <c r="C6796" s="17" t="s">
        <v>8</v>
      </c>
      <c r="D6796" s="17" t="s">
        <v>10</v>
      </c>
      <c r="E6796" s="17" t="s">
        <v>23</v>
      </c>
      <c r="F6796" s="17" t="str">
        <f>INDEX(nrg_cb_e!$A$3:$A$40,MATCH(LEFT(MID('Industriesektor GWh'!$B6796,41,1000),SEARCH(" - ",MID('Industriesektor GWh'!$B6796,41,1000))-1),nrg_cb_e!$C$3:$C$40,0))</f>
        <v>FC_IND_TL_E</v>
      </c>
      <c r="G6796" s="18">
        <v>2894</v>
      </c>
    </row>
    <row r="6797" spans="1:7" x14ac:dyDescent="0.2">
      <c r="A6797" s="19" t="s">
        <v>56</v>
      </c>
      <c r="B6797" s="20" t="s">
        <v>73</v>
      </c>
      <c r="C6797" s="20" t="s">
        <v>8</v>
      </c>
      <c r="D6797" s="20" t="s">
        <v>10</v>
      </c>
      <c r="E6797" s="20" t="s">
        <v>24</v>
      </c>
      <c r="F6797" s="20" t="str">
        <f>INDEX(nrg_cb_e!$A$3:$A$40,MATCH(LEFT(MID('Industriesektor GWh'!$B6797,41,1000),SEARCH(" - ",MID('Industriesektor GWh'!$B6797,41,1000))-1),nrg_cb_e!$C$3:$C$40,0))</f>
        <v>FC_IND_TL_E</v>
      </c>
      <c r="G6797" s="21">
        <v>2721</v>
      </c>
    </row>
    <row r="6798" spans="1:7" x14ac:dyDescent="0.2">
      <c r="A6798" s="16" t="s">
        <v>56</v>
      </c>
      <c r="B6798" s="17" t="s">
        <v>73</v>
      </c>
      <c r="C6798" s="17" t="s">
        <v>8</v>
      </c>
      <c r="D6798" s="17" t="s">
        <v>10</v>
      </c>
      <c r="E6798" s="17" t="s">
        <v>25</v>
      </c>
      <c r="F6798" s="17" t="str">
        <f>INDEX(nrg_cb_e!$A$3:$A$40,MATCH(LEFT(MID('Industriesektor GWh'!$B6798,41,1000),SEARCH(" - ",MID('Industriesektor GWh'!$B6798,41,1000))-1),nrg_cb_e!$C$3:$C$40,0))</f>
        <v>FC_IND_TL_E</v>
      </c>
      <c r="G6798" s="18">
        <v>2692.2719999999999</v>
      </c>
    </row>
    <row r="6799" spans="1:7" x14ac:dyDescent="0.2">
      <c r="A6799" s="19" t="s">
        <v>56</v>
      </c>
      <c r="B6799" s="20" t="s">
        <v>73</v>
      </c>
      <c r="C6799" s="20" t="s">
        <v>8</v>
      </c>
      <c r="D6799" s="20" t="s">
        <v>10</v>
      </c>
      <c r="E6799" s="20" t="s">
        <v>26</v>
      </c>
      <c r="F6799" s="20" t="str">
        <f>INDEX(nrg_cb_e!$A$3:$A$40,MATCH(LEFT(MID('Industriesektor GWh'!$B6799,41,1000),SEARCH(" - ",MID('Industriesektor GWh'!$B6799,41,1000))-1),nrg_cb_e!$C$3:$C$40,0))</f>
        <v>FC_IND_TL_E</v>
      </c>
      <c r="G6799" s="21">
        <v>2693.7579999999998</v>
      </c>
    </row>
    <row r="6800" spans="1:7" x14ac:dyDescent="0.2">
      <c r="A6800" s="16" t="s">
        <v>56</v>
      </c>
      <c r="B6800" s="17" t="s">
        <v>73</v>
      </c>
      <c r="C6800" s="17" t="s">
        <v>8</v>
      </c>
      <c r="D6800" s="17" t="s">
        <v>10</v>
      </c>
      <c r="E6800" s="17" t="s">
        <v>27</v>
      </c>
      <c r="F6800" s="17" t="str">
        <f>INDEX(nrg_cb_e!$A$3:$A$40,MATCH(LEFT(MID('Industriesektor GWh'!$B6800,41,1000),SEARCH(" - ",MID('Industriesektor GWh'!$B6800,41,1000))-1),nrg_cb_e!$C$3:$C$40,0))</f>
        <v>FC_IND_TL_E</v>
      </c>
      <c r="G6800" s="18">
        <v>2718.35</v>
      </c>
    </row>
    <row r="6801" spans="1:7" x14ac:dyDescent="0.2">
      <c r="A6801" s="19" t="s">
        <v>56</v>
      </c>
      <c r="B6801" s="20" t="s">
        <v>73</v>
      </c>
      <c r="C6801" s="20" t="s">
        <v>8</v>
      </c>
      <c r="D6801" s="20" t="s">
        <v>10</v>
      </c>
      <c r="E6801" s="20" t="s">
        <v>28</v>
      </c>
      <c r="F6801" s="20" t="str">
        <f>INDEX(nrg_cb_e!$A$3:$A$40,MATCH(LEFT(MID('Industriesektor GWh'!$B6801,41,1000),SEARCH(" - ",MID('Industriesektor GWh'!$B6801,41,1000))-1),nrg_cb_e!$C$3:$C$40,0))</f>
        <v>FC_IND_TL_E</v>
      </c>
      <c r="G6801" s="21">
        <v>2721.4169999999999</v>
      </c>
    </row>
    <row r="6802" spans="1:7" x14ac:dyDescent="0.2">
      <c r="A6802" s="16" t="s">
        <v>57</v>
      </c>
      <c r="B6802" s="17" t="s">
        <v>73</v>
      </c>
      <c r="C6802" s="17" t="s">
        <v>8</v>
      </c>
      <c r="D6802" s="17" t="s">
        <v>10</v>
      </c>
      <c r="E6802" s="17" t="s">
        <v>12</v>
      </c>
      <c r="F6802" s="17" t="str">
        <f>INDEX(nrg_cb_e!$A$3:$A$40,MATCH(LEFT(MID('Industriesektor GWh'!$B6802,41,1000),SEARCH(" - ",MID('Industriesektor GWh'!$B6802,41,1000))-1),nrg_cb_e!$C$3:$C$40,0))</f>
        <v>FC_IND_TL_E</v>
      </c>
      <c r="G6802" s="18">
        <v>18</v>
      </c>
    </row>
    <row r="6803" spans="1:7" x14ac:dyDescent="0.2">
      <c r="A6803" s="19" t="s">
        <v>57</v>
      </c>
      <c r="B6803" s="20" t="s">
        <v>73</v>
      </c>
      <c r="C6803" s="20" t="s">
        <v>8</v>
      </c>
      <c r="D6803" s="20" t="s">
        <v>10</v>
      </c>
      <c r="E6803" s="20" t="s">
        <v>13</v>
      </c>
      <c r="F6803" s="20" t="str">
        <f>INDEX(nrg_cb_e!$A$3:$A$40,MATCH(LEFT(MID('Industriesektor GWh'!$B6803,41,1000),SEARCH(" - ",MID('Industriesektor GWh'!$B6803,41,1000))-1),nrg_cb_e!$C$3:$C$40,0))</f>
        <v>FC_IND_TL_E</v>
      </c>
      <c r="G6803" s="21">
        <v>16</v>
      </c>
    </row>
    <row r="6804" spans="1:7" x14ac:dyDescent="0.2">
      <c r="A6804" s="16" t="s">
        <v>57</v>
      </c>
      <c r="B6804" s="17" t="s">
        <v>73</v>
      </c>
      <c r="C6804" s="17" t="s">
        <v>8</v>
      </c>
      <c r="D6804" s="17" t="s">
        <v>10</v>
      </c>
      <c r="E6804" s="17" t="s">
        <v>14</v>
      </c>
      <c r="F6804" s="17" t="str">
        <f>INDEX(nrg_cb_e!$A$3:$A$40,MATCH(LEFT(MID('Industriesektor GWh'!$B6804,41,1000),SEARCH(" - ",MID('Industriesektor GWh'!$B6804,41,1000))-1),nrg_cb_e!$C$3:$C$40,0))</f>
        <v>FC_IND_TL_E</v>
      </c>
      <c r="G6804" s="18">
        <v>16</v>
      </c>
    </row>
    <row r="6805" spans="1:7" x14ac:dyDescent="0.2">
      <c r="A6805" s="19" t="s">
        <v>57</v>
      </c>
      <c r="B6805" s="20" t="s">
        <v>73</v>
      </c>
      <c r="C6805" s="20" t="s">
        <v>8</v>
      </c>
      <c r="D6805" s="20" t="s">
        <v>10</v>
      </c>
      <c r="E6805" s="20" t="s">
        <v>15</v>
      </c>
      <c r="F6805" s="20" t="str">
        <f>INDEX(nrg_cb_e!$A$3:$A$40,MATCH(LEFT(MID('Industriesektor GWh'!$B6805,41,1000),SEARCH(" - ",MID('Industriesektor GWh'!$B6805,41,1000))-1),nrg_cb_e!$C$3:$C$40,0))</f>
        <v>FC_IND_TL_E</v>
      </c>
      <c r="G6805" s="21">
        <v>13</v>
      </c>
    </row>
    <row r="6806" spans="1:7" x14ac:dyDescent="0.2">
      <c r="A6806" s="16" t="s">
        <v>57</v>
      </c>
      <c r="B6806" s="17" t="s">
        <v>73</v>
      </c>
      <c r="C6806" s="17" t="s">
        <v>8</v>
      </c>
      <c r="D6806" s="17" t="s">
        <v>10</v>
      </c>
      <c r="E6806" s="17" t="s">
        <v>16</v>
      </c>
      <c r="F6806" s="17" t="str">
        <f>INDEX(nrg_cb_e!$A$3:$A$40,MATCH(LEFT(MID('Industriesektor GWh'!$B6806,41,1000),SEARCH(" - ",MID('Industriesektor GWh'!$B6806,41,1000))-1),nrg_cb_e!$C$3:$C$40,0))</f>
        <v>FC_IND_TL_E</v>
      </c>
      <c r="G6806" s="18">
        <v>4</v>
      </c>
    </row>
    <row r="6807" spans="1:7" x14ac:dyDescent="0.2">
      <c r="A6807" s="19" t="s">
        <v>57</v>
      </c>
      <c r="B6807" s="20" t="s">
        <v>73</v>
      </c>
      <c r="C6807" s="20" t="s">
        <v>8</v>
      </c>
      <c r="D6807" s="20" t="s">
        <v>10</v>
      </c>
      <c r="E6807" s="20" t="s">
        <v>17</v>
      </c>
      <c r="F6807" s="20" t="str">
        <f>INDEX(nrg_cb_e!$A$3:$A$40,MATCH(LEFT(MID('Industriesektor GWh'!$B6807,41,1000),SEARCH(" - ",MID('Industriesektor GWh'!$B6807,41,1000))-1),nrg_cb_e!$C$3:$C$40,0))</f>
        <v>FC_IND_TL_E</v>
      </c>
      <c r="G6807" s="21">
        <v>3</v>
      </c>
    </row>
    <row r="6808" spans="1:7" x14ac:dyDescent="0.2">
      <c r="A6808" s="16" t="s">
        <v>57</v>
      </c>
      <c r="B6808" s="17" t="s">
        <v>73</v>
      </c>
      <c r="C6808" s="17" t="s">
        <v>8</v>
      </c>
      <c r="D6808" s="17" t="s">
        <v>10</v>
      </c>
      <c r="E6808" s="17" t="s">
        <v>18</v>
      </c>
      <c r="F6808" s="17" t="str">
        <f>INDEX(nrg_cb_e!$A$3:$A$40,MATCH(LEFT(MID('Industriesektor GWh'!$B6808,41,1000),SEARCH(" - ",MID('Industriesektor GWh'!$B6808,41,1000))-1),nrg_cb_e!$C$3:$C$40,0))</f>
        <v>FC_IND_TL_E</v>
      </c>
      <c r="G6808" s="18">
        <v>3</v>
      </c>
    </row>
    <row r="6809" spans="1:7" x14ac:dyDescent="0.2">
      <c r="A6809" s="19" t="s">
        <v>57</v>
      </c>
      <c r="B6809" s="20" t="s">
        <v>73</v>
      </c>
      <c r="C6809" s="20" t="s">
        <v>8</v>
      </c>
      <c r="D6809" s="20" t="s">
        <v>10</v>
      </c>
      <c r="E6809" s="20" t="s">
        <v>19</v>
      </c>
      <c r="F6809" s="20" t="str">
        <f>INDEX(nrg_cb_e!$A$3:$A$40,MATCH(LEFT(MID('Industriesektor GWh'!$B6809,41,1000),SEARCH(" - ",MID('Industriesektor GWh'!$B6809,41,1000))-1),nrg_cb_e!$C$3:$C$40,0))</f>
        <v>FC_IND_TL_E</v>
      </c>
      <c r="G6809" s="21">
        <v>3</v>
      </c>
    </row>
    <row r="6810" spans="1:7" x14ac:dyDescent="0.2">
      <c r="A6810" s="16" t="s">
        <v>57</v>
      </c>
      <c r="B6810" s="17" t="s">
        <v>73</v>
      </c>
      <c r="C6810" s="17" t="s">
        <v>8</v>
      </c>
      <c r="D6810" s="17" t="s">
        <v>10</v>
      </c>
      <c r="E6810" s="17" t="s">
        <v>20</v>
      </c>
      <c r="F6810" s="17" t="str">
        <f>INDEX(nrg_cb_e!$A$3:$A$40,MATCH(LEFT(MID('Industriesektor GWh'!$B6810,41,1000),SEARCH(" - ",MID('Industriesektor GWh'!$B6810,41,1000))-1),nrg_cb_e!$C$3:$C$40,0))</f>
        <v>FC_IND_TL_E</v>
      </c>
      <c r="G6810" s="18">
        <v>3</v>
      </c>
    </row>
    <row r="6811" spans="1:7" x14ac:dyDescent="0.2">
      <c r="A6811" s="19" t="s">
        <v>57</v>
      </c>
      <c r="B6811" s="20" t="s">
        <v>73</v>
      </c>
      <c r="C6811" s="20" t="s">
        <v>8</v>
      </c>
      <c r="D6811" s="20" t="s">
        <v>10</v>
      </c>
      <c r="E6811" s="20" t="s">
        <v>21</v>
      </c>
      <c r="F6811" s="20" t="str">
        <f>INDEX(nrg_cb_e!$A$3:$A$40,MATCH(LEFT(MID('Industriesektor GWh'!$B6811,41,1000),SEARCH(" - ",MID('Industriesektor GWh'!$B6811,41,1000))-1),nrg_cb_e!$C$3:$C$40,0))</f>
        <v>FC_IND_TL_E</v>
      </c>
      <c r="G6811" s="21">
        <v>3</v>
      </c>
    </row>
    <row r="6812" spans="1:7" x14ac:dyDescent="0.2">
      <c r="A6812" s="16" t="s">
        <v>57</v>
      </c>
      <c r="B6812" s="17" t="s">
        <v>73</v>
      </c>
      <c r="C6812" s="17" t="s">
        <v>8</v>
      </c>
      <c r="D6812" s="17" t="s">
        <v>10</v>
      </c>
      <c r="E6812" s="17" t="s">
        <v>22</v>
      </c>
      <c r="F6812" s="17" t="str">
        <f>INDEX(nrg_cb_e!$A$3:$A$40,MATCH(LEFT(MID('Industriesektor GWh'!$B6812,41,1000),SEARCH(" - ",MID('Industriesektor GWh'!$B6812,41,1000))-1),nrg_cb_e!$C$3:$C$40,0))</f>
        <v>FC_IND_TL_E</v>
      </c>
      <c r="G6812" s="18">
        <v>3</v>
      </c>
    </row>
    <row r="6813" spans="1:7" x14ac:dyDescent="0.2">
      <c r="A6813" s="19" t="s">
        <v>57</v>
      </c>
      <c r="B6813" s="20" t="s">
        <v>73</v>
      </c>
      <c r="C6813" s="20" t="s">
        <v>8</v>
      </c>
      <c r="D6813" s="20" t="s">
        <v>10</v>
      </c>
      <c r="E6813" s="20" t="s">
        <v>23</v>
      </c>
      <c r="F6813" s="20" t="str">
        <f>INDEX(nrg_cb_e!$A$3:$A$40,MATCH(LEFT(MID('Industriesektor GWh'!$B6813,41,1000),SEARCH(" - ",MID('Industriesektor GWh'!$B6813,41,1000))-1),nrg_cb_e!$C$3:$C$40,0))</f>
        <v>FC_IND_TL_E</v>
      </c>
      <c r="G6813" s="21">
        <v>3</v>
      </c>
    </row>
    <row r="6814" spans="1:7" x14ac:dyDescent="0.2">
      <c r="A6814" s="16" t="s">
        <v>57</v>
      </c>
      <c r="B6814" s="17" t="s">
        <v>73</v>
      </c>
      <c r="C6814" s="17" t="s">
        <v>8</v>
      </c>
      <c r="D6814" s="17" t="s">
        <v>10</v>
      </c>
      <c r="E6814" s="17" t="s">
        <v>24</v>
      </c>
      <c r="F6814" s="17" t="str">
        <f>INDEX(nrg_cb_e!$A$3:$A$40,MATCH(LEFT(MID('Industriesektor GWh'!$B6814,41,1000),SEARCH(" - ",MID('Industriesektor GWh'!$B6814,41,1000))-1),nrg_cb_e!$C$3:$C$40,0))</f>
        <v>FC_IND_TL_E</v>
      </c>
      <c r="G6814" s="18">
        <v>2</v>
      </c>
    </row>
    <row r="6815" spans="1:7" x14ac:dyDescent="0.2">
      <c r="A6815" s="19" t="s">
        <v>57</v>
      </c>
      <c r="B6815" s="20" t="s">
        <v>73</v>
      </c>
      <c r="C6815" s="20" t="s">
        <v>8</v>
      </c>
      <c r="D6815" s="20" t="s">
        <v>10</v>
      </c>
      <c r="E6815" s="20" t="s">
        <v>25</v>
      </c>
      <c r="F6815" s="20" t="str">
        <f>INDEX(nrg_cb_e!$A$3:$A$40,MATCH(LEFT(MID('Industriesektor GWh'!$B6815,41,1000),SEARCH(" - ",MID('Industriesektor GWh'!$B6815,41,1000))-1),nrg_cb_e!$C$3:$C$40,0))</f>
        <v>FC_IND_TL_E</v>
      </c>
      <c r="G6815" s="21">
        <v>2</v>
      </c>
    </row>
    <row r="6816" spans="1:7" x14ac:dyDescent="0.2">
      <c r="A6816" s="16" t="s">
        <v>57</v>
      </c>
      <c r="B6816" s="17" t="s">
        <v>73</v>
      </c>
      <c r="C6816" s="17" t="s">
        <v>8</v>
      </c>
      <c r="D6816" s="17" t="s">
        <v>10</v>
      </c>
      <c r="E6816" s="17" t="s">
        <v>26</v>
      </c>
      <c r="F6816" s="17" t="str">
        <f>INDEX(nrg_cb_e!$A$3:$A$40,MATCH(LEFT(MID('Industriesektor GWh'!$B6816,41,1000),SEARCH(" - ",MID('Industriesektor GWh'!$B6816,41,1000))-1),nrg_cb_e!$C$3:$C$40,0))</f>
        <v>FC_IND_TL_E</v>
      </c>
      <c r="G6816" s="18">
        <v>3</v>
      </c>
    </row>
    <row r="6817" spans="1:7" x14ac:dyDescent="0.2">
      <c r="A6817" s="19" t="s">
        <v>57</v>
      </c>
      <c r="B6817" s="20" t="s">
        <v>73</v>
      </c>
      <c r="C6817" s="20" t="s">
        <v>8</v>
      </c>
      <c r="D6817" s="20" t="s">
        <v>10</v>
      </c>
      <c r="E6817" s="20" t="s">
        <v>27</v>
      </c>
      <c r="F6817" s="20" t="str">
        <f>INDEX(nrg_cb_e!$A$3:$A$40,MATCH(LEFT(MID('Industriesektor GWh'!$B6817,41,1000),SEARCH(" - ",MID('Industriesektor GWh'!$B6817,41,1000))-1),nrg_cb_e!$C$3:$C$40,0))</f>
        <v>FC_IND_TL_E</v>
      </c>
      <c r="G6817" s="21">
        <v>2.6320000000000001</v>
      </c>
    </row>
    <row r="6818" spans="1:7" x14ac:dyDescent="0.2">
      <c r="A6818" s="16" t="s">
        <v>57</v>
      </c>
      <c r="B6818" s="17" t="s">
        <v>73</v>
      </c>
      <c r="C6818" s="17" t="s">
        <v>8</v>
      </c>
      <c r="D6818" s="17" t="s">
        <v>10</v>
      </c>
      <c r="E6818" s="17" t="s">
        <v>28</v>
      </c>
      <c r="F6818" s="17" t="str">
        <f>INDEX(nrg_cb_e!$A$3:$A$40,MATCH(LEFT(MID('Industriesektor GWh'!$B6818,41,1000),SEARCH(" - ",MID('Industriesektor GWh'!$B6818,41,1000))-1),nrg_cb_e!$C$3:$C$40,0))</f>
        <v>FC_IND_TL_E</v>
      </c>
      <c r="G6818" s="18">
        <v>3.246</v>
      </c>
    </row>
    <row r="6819" spans="1:7" x14ac:dyDescent="0.2">
      <c r="A6819" s="19" t="s">
        <v>58</v>
      </c>
      <c r="B6819" s="20" t="s">
        <v>73</v>
      </c>
      <c r="C6819" s="20" t="s">
        <v>8</v>
      </c>
      <c r="D6819" s="20" t="s">
        <v>10</v>
      </c>
      <c r="E6819" s="20" t="s">
        <v>12</v>
      </c>
      <c r="F6819" s="20" t="str">
        <f>INDEX(nrg_cb_e!$A$3:$A$40,MATCH(LEFT(MID('Industriesektor GWh'!$B6819,41,1000),SEARCH(" - ",MID('Industriesektor GWh'!$B6819,41,1000))-1),nrg_cb_e!$C$3:$C$40,0))</f>
        <v>FC_IND_TL_E</v>
      </c>
      <c r="G6819" s="21">
        <v>190</v>
      </c>
    </row>
    <row r="6820" spans="1:7" x14ac:dyDescent="0.2">
      <c r="A6820" s="16" t="s">
        <v>58</v>
      </c>
      <c r="B6820" s="17" t="s">
        <v>73</v>
      </c>
      <c r="C6820" s="17" t="s">
        <v>8</v>
      </c>
      <c r="D6820" s="17" t="s">
        <v>10</v>
      </c>
      <c r="E6820" s="17" t="s">
        <v>13</v>
      </c>
      <c r="F6820" s="17" t="str">
        <f>INDEX(nrg_cb_e!$A$3:$A$40,MATCH(LEFT(MID('Industriesektor GWh'!$B6820,41,1000),SEARCH(" - ",MID('Industriesektor GWh'!$B6820,41,1000))-1),nrg_cb_e!$C$3:$C$40,0))</f>
        <v>FC_IND_TL_E</v>
      </c>
      <c r="G6820" s="18">
        <v>189</v>
      </c>
    </row>
    <row r="6821" spans="1:7" x14ac:dyDescent="0.2">
      <c r="A6821" s="19" t="s">
        <v>58</v>
      </c>
      <c r="B6821" s="20" t="s">
        <v>73</v>
      </c>
      <c r="C6821" s="20" t="s">
        <v>8</v>
      </c>
      <c r="D6821" s="20" t="s">
        <v>10</v>
      </c>
      <c r="E6821" s="20" t="s">
        <v>14</v>
      </c>
      <c r="F6821" s="20" t="str">
        <f>INDEX(nrg_cb_e!$A$3:$A$40,MATCH(LEFT(MID('Industriesektor GWh'!$B6821,41,1000),SEARCH(" - ",MID('Industriesektor GWh'!$B6821,41,1000))-1),nrg_cb_e!$C$3:$C$40,0))</f>
        <v>FC_IND_TL_E</v>
      </c>
      <c r="G6821" s="21">
        <v>172</v>
      </c>
    </row>
    <row r="6822" spans="1:7" x14ac:dyDescent="0.2">
      <c r="A6822" s="16" t="s">
        <v>58</v>
      </c>
      <c r="B6822" s="17" t="s">
        <v>73</v>
      </c>
      <c r="C6822" s="17" t="s">
        <v>8</v>
      </c>
      <c r="D6822" s="17" t="s">
        <v>10</v>
      </c>
      <c r="E6822" s="17" t="s">
        <v>15</v>
      </c>
      <c r="F6822" s="17" t="str">
        <f>INDEX(nrg_cb_e!$A$3:$A$40,MATCH(LEFT(MID('Industriesektor GWh'!$B6822,41,1000),SEARCH(" - ",MID('Industriesektor GWh'!$B6822,41,1000))-1),nrg_cb_e!$C$3:$C$40,0))</f>
        <v>FC_IND_TL_E</v>
      </c>
      <c r="G6822" s="18">
        <v>172</v>
      </c>
    </row>
    <row r="6823" spans="1:7" x14ac:dyDescent="0.2">
      <c r="A6823" s="19" t="s">
        <v>58</v>
      </c>
      <c r="B6823" s="20" t="s">
        <v>73</v>
      </c>
      <c r="C6823" s="20" t="s">
        <v>8</v>
      </c>
      <c r="D6823" s="20" t="s">
        <v>10</v>
      </c>
      <c r="E6823" s="20" t="s">
        <v>16</v>
      </c>
      <c r="F6823" s="20" t="str">
        <f>INDEX(nrg_cb_e!$A$3:$A$40,MATCH(LEFT(MID('Industriesektor GWh'!$B6823,41,1000),SEARCH(" - ",MID('Industriesektor GWh'!$B6823,41,1000))-1),nrg_cb_e!$C$3:$C$40,0))</f>
        <v>FC_IND_TL_E</v>
      </c>
      <c r="G6823" s="21">
        <v>172</v>
      </c>
    </row>
    <row r="6824" spans="1:7" x14ac:dyDescent="0.2">
      <c r="A6824" s="16" t="s">
        <v>58</v>
      </c>
      <c r="B6824" s="17" t="s">
        <v>73</v>
      </c>
      <c r="C6824" s="17" t="s">
        <v>8</v>
      </c>
      <c r="D6824" s="17" t="s">
        <v>10</v>
      </c>
      <c r="E6824" s="17" t="s">
        <v>17</v>
      </c>
      <c r="F6824" s="17" t="str">
        <f>INDEX(nrg_cb_e!$A$3:$A$40,MATCH(LEFT(MID('Industriesektor GWh'!$B6824,41,1000),SEARCH(" - ",MID('Industriesektor GWh'!$B6824,41,1000))-1),nrg_cb_e!$C$3:$C$40,0))</f>
        <v>FC_IND_TL_E</v>
      </c>
      <c r="G6824" s="18">
        <v>158</v>
      </c>
    </row>
    <row r="6825" spans="1:7" x14ac:dyDescent="0.2">
      <c r="A6825" s="19" t="s">
        <v>58</v>
      </c>
      <c r="B6825" s="20" t="s">
        <v>73</v>
      </c>
      <c r="C6825" s="20" t="s">
        <v>8</v>
      </c>
      <c r="D6825" s="20" t="s">
        <v>10</v>
      </c>
      <c r="E6825" s="20" t="s">
        <v>18</v>
      </c>
      <c r="F6825" s="20" t="str">
        <f>INDEX(nrg_cb_e!$A$3:$A$40,MATCH(LEFT(MID('Industriesektor GWh'!$B6825,41,1000),SEARCH(" - ",MID('Industriesektor GWh'!$B6825,41,1000))-1),nrg_cb_e!$C$3:$C$40,0))</f>
        <v>FC_IND_TL_E</v>
      </c>
      <c r="G6825" s="21">
        <v>139</v>
      </c>
    </row>
    <row r="6826" spans="1:7" x14ac:dyDescent="0.2">
      <c r="A6826" s="16" t="s">
        <v>58</v>
      </c>
      <c r="B6826" s="17" t="s">
        <v>73</v>
      </c>
      <c r="C6826" s="17" t="s">
        <v>8</v>
      </c>
      <c r="D6826" s="17" t="s">
        <v>10</v>
      </c>
      <c r="E6826" s="17" t="s">
        <v>19</v>
      </c>
      <c r="F6826" s="17" t="str">
        <f>INDEX(nrg_cb_e!$A$3:$A$40,MATCH(LEFT(MID('Industriesektor GWh'!$B6826,41,1000),SEARCH(" - ",MID('Industriesektor GWh'!$B6826,41,1000))-1),nrg_cb_e!$C$3:$C$40,0))</f>
        <v>FC_IND_TL_E</v>
      </c>
      <c r="G6826" s="18">
        <v>89</v>
      </c>
    </row>
    <row r="6827" spans="1:7" x14ac:dyDescent="0.2">
      <c r="A6827" s="19" t="s">
        <v>58</v>
      </c>
      <c r="B6827" s="20" t="s">
        <v>73</v>
      </c>
      <c r="C6827" s="20" t="s">
        <v>8</v>
      </c>
      <c r="D6827" s="20" t="s">
        <v>10</v>
      </c>
      <c r="E6827" s="20" t="s">
        <v>20</v>
      </c>
      <c r="F6827" s="20" t="str">
        <f>INDEX(nrg_cb_e!$A$3:$A$40,MATCH(LEFT(MID('Industriesektor GWh'!$B6827,41,1000),SEARCH(" - ",MID('Industriesektor GWh'!$B6827,41,1000))-1),nrg_cb_e!$C$3:$C$40,0))</f>
        <v>FC_IND_TL_E</v>
      </c>
      <c r="G6827" s="21">
        <v>82</v>
      </c>
    </row>
    <row r="6828" spans="1:7" x14ac:dyDescent="0.2">
      <c r="A6828" s="16" t="s">
        <v>58</v>
      </c>
      <c r="B6828" s="17" t="s">
        <v>73</v>
      </c>
      <c r="C6828" s="17" t="s">
        <v>8</v>
      </c>
      <c r="D6828" s="17" t="s">
        <v>10</v>
      </c>
      <c r="E6828" s="17" t="s">
        <v>21</v>
      </c>
      <c r="F6828" s="17" t="str">
        <f>INDEX(nrg_cb_e!$A$3:$A$40,MATCH(LEFT(MID('Industriesektor GWh'!$B6828,41,1000),SEARCH(" - ",MID('Industriesektor GWh'!$B6828,41,1000))-1),nrg_cb_e!$C$3:$C$40,0))</f>
        <v>FC_IND_TL_E</v>
      </c>
      <c r="G6828" s="18">
        <v>88</v>
      </c>
    </row>
    <row r="6829" spans="1:7" x14ac:dyDescent="0.2">
      <c r="A6829" s="19" t="s">
        <v>58</v>
      </c>
      <c r="B6829" s="20" t="s">
        <v>73</v>
      </c>
      <c r="C6829" s="20" t="s">
        <v>8</v>
      </c>
      <c r="D6829" s="20" t="s">
        <v>10</v>
      </c>
      <c r="E6829" s="20" t="s">
        <v>22</v>
      </c>
      <c r="F6829" s="20" t="str">
        <f>INDEX(nrg_cb_e!$A$3:$A$40,MATCH(LEFT(MID('Industriesektor GWh'!$B6829,41,1000),SEARCH(" - ",MID('Industriesektor GWh'!$B6829,41,1000))-1),nrg_cb_e!$C$3:$C$40,0))</f>
        <v>FC_IND_TL_E</v>
      </c>
      <c r="G6829" s="21">
        <v>90</v>
      </c>
    </row>
    <row r="6830" spans="1:7" x14ac:dyDescent="0.2">
      <c r="A6830" s="16" t="s">
        <v>58</v>
      </c>
      <c r="B6830" s="17" t="s">
        <v>73</v>
      </c>
      <c r="C6830" s="17" t="s">
        <v>8</v>
      </c>
      <c r="D6830" s="17" t="s">
        <v>10</v>
      </c>
      <c r="E6830" s="17" t="s">
        <v>23</v>
      </c>
      <c r="F6830" s="17" t="str">
        <f>INDEX(nrg_cb_e!$A$3:$A$40,MATCH(LEFT(MID('Industriesektor GWh'!$B6830,41,1000),SEARCH(" - ",MID('Industriesektor GWh'!$B6830,41,1000))-1),nrg_cb_e!$C$3:$C$40,0))</f>
        <v>FC_IND_TL_E</v>
      </c>
      <c r="G6830" s="18">
        <v>82</v>
      </c>
    </row>
    <row r="6831" spans="1:7" x14ac:dyDescent="0.2">
      <c r="A6831" s="19" t="s">
        <v>58</v>
      </c>
      <c r="B6831" s="20" t="s">
        <v>73</v>
      </c>
      <c r="C6831" s="20" t="s">
        <v>8</v>
      </c>
      <c r="D6831" s="20" t="s">
        <v>10</v>
      </c>
      <c r="E6831" s="20" t="s">
        <v>24</v>
      </c>
      <c r="F6831" s="20" t="str">
        <f>INDEX(nrg_cb_e!$A$3:$A$40,MATCH(LEFT(MID('Industriesektor GWh'!$B6831,41,1000),SEARCH(" - ",MID('Industriesektor GWh'!$B6831,41,1000))-1),nrg_cb_e!$C$3:$C$40,0))</f>
        <v>FC_IND_TL_E</v>
      </c>
      <c r="G6831" s="21">
        <v>78</v>
      </c>
    </row>
    <row r="6832" spans="1:7" x14ac:dyDescent="0.2">
      <c r="A6832" s="16" t="s">
        <v>58</v>
      </c>
      <c r="B6832" s="17" t="s">
        <v>73</v>
      </c>
      <c r="C6832" s="17" t="s">
        <v>8</v>
      </c>
      <c r="D6832" s="17" t="s">
        <v>10</v>
      </c>
      <c r="E6832" s="17" t="s">
        <v>25</v>
      </c>
      <c r="F6832" s="17" t="str">
        <f>INDEX(nrg_cb_e!$A$3:$A$40,MATCH(LEFT(MID('Industriesektor GWh'!$B6832,41,1000),SEARCH(" - ",MID('Industriesektor GWh'!$B6832,41,1000))-1),nrg_cb_e!$C$3:$C$40,0))</f>
        <v>FC_IND_TL_E</v>
      </c>
      <c r="G6832" s="18">
        <v>89</v>
      </c>
    </row>
    <row r="6833" spans="1:7" x14ac:dyDescent="0.2">
      <c r="A6833" s="19" t="s">
        <v>58</v>
      </c>
      <c r="B6833" s="20" t="s">
        <v>73</v>
      </c>
      <c r="C6833" s="20" t="s">
        <v>8</v>
      </c>
      <c r="D6833" s="20" t="s">
        <v>10</v>
      </c>
      <c r="E6833" s="20" t="s">
        <v>26</v>
      </c>
      <c r="F6833" s="20" t="str">
        <f>INDEX(nrg_cb_e!$A$3:$A$40,MATCH(LEFT(MID('Industriesektor GWh'!$B6833,41,1000),SEARCH(" - ",MID('Industriesektor GWh'!$B6833,41,1000))-1),nrg_cb_e!$C$3:$C$40,0))</f>
        <v>FC_IND_TL_E</v>
      </c>
      <c r="G6833" s="21">
        <v>73</v>
      </c>
    </row>
    <row r="6834" spans="1:7" x14ac:dyDescent="0.2">
      <c r="A6834" s="16" t="s">
        <v>58</v>
      </c>
      <c r="B6834" s="17" t="s">
        <v>73</v>
      </c>
      <c r="C6834" s="17" t="s">
        <v>8</v>
      </c>
      <c r="D6834" s="17" t="s">
        <v>10</v>
      </c>
      <c r="E6834" s="17" t="s">
        <v>27</v>
      </c>
      <c r="F6834" s="17" t="str">
        <f>INDEX(nrg_cb_e!$A$3:$A$40,MATCH(LEFT(MID('Industriesektor GWh'!$B6834,41,1000),SEARCH(" - ",MID('Industriesektor GWh'!$B6834,41,1000))-1),nrg_cb_e!$C$3:$C$40,0))</f>
        <v>FC_IND_TL_E</v>
      </c>
      <c r="G6834" s="18">
        <v>69</v>
      </c>
    </row>
    <row r="6835" spans="1:7" x14ac:dyDescent="0.2">
      <c r="A6835" s="19" t="s">
        <v>58</v>
      </c>
      <c r="B6835" s="20" t="s">
        <v>73</v>
      </c>
      <c r="C6835" s="20" t="s">
        <v>8</v>
      </c>
      <c r="D6835" s="20" t="s">
        <v>10</v>
      </c>
      <c r="E6835" s="20" t="s">
        <v>28</v>
      </c>
      <c r="F6835" s="20" t="str">
        <f>INDEX(nrg_cb_e!$A$3:$A$40,MATCH(LEFT(MID('Industriesektor GWh'!$B6835,41,1000),SEARCH(" - ",MID('Industriesektor GWh'!$B6835,41,1000))-1),nrg_cb_e!$C$3:$C$40,0))</f>
        <v>FC_IND_TL_E</v>
      </c>
      <c r="G6835" s="21">
        <v>73.125</v>
      </c>
    </row>
    <row r="6836" spans="1:7" x14ac:dyDescent="0.2">
      <c r="A6836" s="16" t="s">
        <v>59</v>
      </c>
      <c r="B6836" s="17" t="s">
        <v>73</v>
      </c>
      <c r="C6836" s="17" t="s">
        <v>8</v>
      </c>
      <c r="D6836" s="17" t="s">
        <v>10</v>
      </c>
      <c r="E6836" s="17" t="s">
        <v>12</v>
      </c>
      <c r="F6836" s="17" t="str">
        <f>INDEX(nrg_cb_e!$A$3:$A$40,MATCH(LEFT(MID('Industriesektor GWh'!$B6836,41,1000),SEARCH(" - ",MID('Industriesektor GWh'!$B6836,41,1000))-1),nrg_cb_e!$C$3:$C$40,0))</f>
        <v>FC_IND_TL_E</v>
      </c>
      <c r="G6836" s="18">
        <v>0</v>
      </c>
    </row>
    <row r="6837" spans="1:7" x14ac:dyDescent="0.2">
      <c r="A6837" s="19" t="s">
        <v>59</v>
      </c>
      <c r="B6837" s="20" t="s">
        <v>73</v>
      </c>
      <c r="C6837" s="20" t="s">
        <v>8</v>
      </c>
      <c r="D6837" s="20" t="s">
        <v>10</v>
      </c>
      <c r="E6837" s="20" t="s">
        <v>13</v>
      </c>
      <c r="F6837" s="20" t="str">
        <f>INDEX(nrg_cb_e!$A$3:$A$40,MATCH(LEFT(MID('Industriesektor GWh'!$B6837,41,1000),SEARCH(" - ",MID('Industriesektor GWh'!$B6837,41,1000))-1),nrg_cb_e!$C$3:$C$40,0))</f>
        <v>FC_IND_TL_E</v>
      </c>
      <c r="G6837" s="21">
        <v>0</v>
      </c>
    </row>
    <row r="6838" spans="1:7" x14ac:dyDescent="0.2">
      <c r="A6838" s="16" t="s">
        <v>59</v>
      </c>
      <c r="B6838" s="17" t="s">
        <v>73</v>
      </c>
      <c r="C6838" s="17" t="s">
        <v>8</v>
      </c>
      <c r="D6838" s="17" t="s">
        <v>10</v>
      </c>
      <c r="E6838" s="17" t="s">
        <v>14</v>
      </c>
      <c r="F6838" s="17" t="str">
        <f>INDEX(nrg_cb_e!$A$3:$A$40,MATCH(LEFT(MID('Industriesektor GWh'!$B6838,41,1000),SEARCH(" - ",MID('Industriesektor GWh'!$B6838,41,1000))-1),nrg_cb_e!$C$3:$C$40,0))</f>
        <v>FC_IND_TL_E</v>
      </c>
      <c r="G6838" s="18">
        <v>181</v>
      </c>
    </row>
    <row r="6839" spans="1:7" x14ac:dyDescent="0.2">
      <c r="A6839" s="19" t="s">
        <v>59</v>
      </c>
      <c r="B6839" s="20" t="s">
        <v>73</v>
      </c>
      <c r="C6839" s="20" t="s">
        <v>8</v>
      </c>
      <c r="D6839" s="20" t="s">
        <v>10</v>
      </c>
      <c r="E6839" s="20" t="s">
        <v>15</v>
      </c>
      <c r="F6839" s="20" t="str">
        <f>INDEX(nrg_cb_e!$A$3:$A$40,MATCH(LEFT(MID('Industriesektor GWh'!$B6839,41,1000),SEARCH(" - ",MID('Industriesektor GWh'!$B6839,41,1000))-1),nrg_cb_e!$C$3:$C$40,0))</f>
        <v>FC_IND_TL_E</v>
      </c>
      <c r="G6839" s="21">
        <v>153</v>
      </c>
    </row>
    <row r="6840" spans="1:7" x14ac:dyDescent="0.2">
      <c r="A6840" s="16" t="s">
        <v>59</v>
      </c>
      <c r="B6840" s="17" t="s">
        <v>73</v>
      </c>
      <c r="C6840" s="17" t="s">
        <v>8</v>
      </c>
      <c r="D6840" s="17" t="s">
        <v>10</v>
      </c>
      <c r="E6840" s="17" t="s">
        <v>16</v>
      </c>
      <c r="F6840" s="17" t="str">
        <f>INDEX(nrg_cb_e!$A$3:$A$40,MATCH(LEFT(MID('Industriesektor GWh'!$B6840,41,1000),SEARCH(" - ",MID('Industriesektor GWh'!$B6840,41,1000))-1),nrg_cb_e!$C$3:$C$40,0))</f>
        <v>FC_IND_TL_E</v>
      </c>
      <c r="G6840" s="18">
        <v>135</v>
      </c>
    </row>
    <row r="6841" spans="1:7" x14ac:dyDescent="0.2">
      <c r="A6841" s="19" t="s">
        <v>59</v>
      </c>
      <c r="B6841" s="20" t="s">
        <v>73</v>
      </c>
      <c r="C6841" s="20" t="s">
        <v>8</v>
      </c>
      <c r="D6841" s="20" t="s">
        <v>10</v>
      </c>
      <c r="E6841" s="20" t="s">
        <v>17</v>
      </c>
      <c r="F6841" s="20" t="str">
        <f>INDEX(nrg_cb_e!$A$3:$A$40,MATCH(LEFT(MID('Industriesektor GWh'!$B6841,41,1000),SEARCH(" - ",MID('Industriesektor GWh'!$B6841,41,1000))-1),nrg_cb_e!$C$3:$C$40,0))</f>
        <v>FC_IND_TL_E</v>
      </c>
      <c r="G6841" s="21">
        <v>238</v>
      </c>
    </row>
    <row r="6842" spans="1:7" x14ac:dyDescent="0.2">
      <c r="A6842" s="16" t="s">
        <v>59</v>
      </c>
      <c r="B6842" s="17" t="s">
        <v>73</v>
      </c>
      <c r="C6842" s="17" t="s">
        <v>8</v>
      </c>
      <c r="D6842" s="17" t="s">
        <v>10</v>
      </c>
      <c r="E6842" s="17" t="s">
        <v>18</v>
      </c>
      <c r="F6842" s="17" t="str">
        <f>INDEX(nrg_cb_e!$A$3:$A$40,MATCH(LEFT(MID('Industriesektor GWh'!$B6842,41,1000),SEARCH(" - ",MID('Industriesektor GWh'!$B6842,41,1000))-1),nrg_cb_e!$C$3:$C$40,0))</f>
        <v>FC_IND_TL_E</v>
      </c>
      <c r="G6842" s="18">
        <v>195</v>
      </c>
    </row>
    <row r="6843" spans="1:7" x14ac:dyDescent="0.2">
      <c r="A6843" s="19" t="s">
        <v>59</v>
      </c>
      <c r="B6843" s="20" t="s">
        <v>73</v>
      </c>
      <c r="C6843" s="20" t="s">
        <v>8</v>
      </c>
      <c r="D6843" s="20" t="s">
        <v>10</v>
      </c>
      <c r="E6843" s="20" t="s">
        <v>19</v>
      </c>
      <c r="F6843" s="20" t="str">
        <f>INDEX(nrg_cb_e!$A$3:$A$40,MATCH(LEFT(MID('Industriesektor GWh'!$B6843,41,1000),SEARCH(" - ",MID('Industriesektor GWh'!$B6843,41,1000))-1),nrg_cb_e!$C$3:$C$40,0))</f>
        <v>FC_IND_TL_E</v>
      </c>
      <c r="G6843" s="21">
        <v>103</v>
      </c>
    </row>
    <row r="6844" spans="1:7" x14ac:dyDescent="0.2">
      <c r="A6844" s="16" t="s">
        <v>59</v>
      </c>
      <c r="B6844" s="17" t="s">
        <v>73</v>
      </c>
      <c r="C6844" s="17" t="s">
        <v>8</v>
      </c>
      <c r="D6844" s="17" t="s">
        <v>10</v>
      </c>
      <c r="E6844" s="17" t="s">
        <v>20</v>
      </c>
      <c r="F6844" s="17" t="str">
        <f>INDEX(nrg_cb_e!$A$3:$A$40,MATCH(LEFT(MID('Industriesektor GWh'!$B6844,41,1000),SEARCH(" - ",MID('Industriesektor GWh'!$B6844,41,1000))-1),nrg_cb_e!$C$3:$C$40,0))</f>
        <v>FC_IND_TL_E</v>
      </c>
      <c r="G6844" s="18">
        <v>117</v>
      </c>
    </row>
    <row r="6845" spans="1:7" x14ac:dyDescent="0.2">
      <c r="A6845" s="19" t="s">
        <v>59</v>
      </c>
      <c r="B6845" s="20" t="s">
        <v>73</v>
      </c>
      <c r="C6845" s="20" t="s">
        <v>8</v>
      </c>
      <c r="D6845" s="20" t="s">
        <v>10</v>
      </c>
      <c r="E6845" s="20" t="s">
        <v>21</v>
      </c>
      <c r="F6845" s="20" t="str">
        <f>INDEX(nrg_cb_e!$A$3:$A$40,MATCH(LEFT(MID('Industriesektor GWh'!$B6845,41,1000),SEARCH(" - ",MID('Industriesektor GWh'!$B6845,41,1000))-1),nrg_cb_e!$C$3:$C$40,0))</f>
        <v>FC_IND_TL_E</v>
      </c>
      <c r="G6845" s="21">
        <v>129</v>
      </c>
    </row>
    <row r="6846" spans="1:7" x14ac:dyDescent="0.2">
      <c r="A6846" s="16" t="s">
        <v>59</v>
      </c>
      <c r="B6846" s="17" t="s">
        <v>73</v>
      </c>
      <c r="C6846" s="17" t="s">
        <v>8</v>
      </c>
      <c r="D6846" s="17" t="s">
        <v>10</v>
      </c>
      <c r="E6846" s="17" t="s">
        <v>22</v>
      </c>
      <c r="F6846" s="17" t="str">
        <f>INDEX(nrg_cb_e!$A$3:$A$40,MATCH(LEFT(MID('Industriesektor GWh'!$B6846,41,1000),SEARCH(" - ",MID('Industriesektor GWh'!$B6846,41,1000))-1),nrg_cb_e!$C$3:$C$40,0))</f>
        <v>FC_IND_TL_E</v>
      </c>
      <c r="G6846" s="18">
        <v>140</v>
      </c>
    </row>
    <row r="6847" spans="1:7" x14ac:dyDescent="0.2">
      <c r="A6847" s="19" t="s">
        <v>59</v>
      </c>
      <c r="B6847" s="20" t="s">
        <v>73</v>
      </c>
      <c r="C6847" s="20" t="s">
        <v>8</v>
      </c>
      <c r="D6847" s="20" t="s">
        <v>10</v>
      </c>
      <c r="E6847" s="20" t="s">
        <v>23</v>
      </c>
      <c r="F6847" s="20" t="str">
        <f>INDEX(nrg_cb_e!$A$3:$A$40,MATCH(LEFT(MID('Industriesektor GWh'!$B6847,41,1000),SEARCH(" - ",MID('Industriesektor GWh'!$B6847,41,1000))-1),nrg_cb_e!$C$3:$C$40,0))</f>
        <v>FC_IND_TL_E</v>
      </c>
      <c r="G6847" s="21">
        <v>156</v>
      </c>
    </row>
    <row r="6848" spans="1:7" x14ac:dyDescent="0.2">
      <c r="A6848" s="16" t="s">
        <v>59</v>
      </c>
      <c r="B6848" s="17" t="s">
        <v>73</v>
      </c>
      <c r="C6848" s="17" t="s">
        <v>8</v>
      </c>
      <c r="D6848" s="17" t="s">
        <v>10</v>
      </c>
      <c r="E6848" s="17" t="s">
        <v>24</v>
      </c>
      <c r="F6848" s="17" t="str">
        <f>INDEX(nrg_cb_e!$A$3:$A$40,MATCH(LEFT(MID('Industriesektor GWh'!$B6848,41,1000),SEARCH(" - ",MID('Industriesektor GWh'!$B6848,41,1000))-1),nrg_cb_e!$C$3:$C$40,0))</f>
        <v>FC_IND_TL_E</v>
      </c>
      <c r="G6848" s="18">
        <v>296</v>
      </c>
    </row>
    <row r="6849" spans="1:7" x14ac:dyDescent="0.2">
      <c r="A6849" s="19" t="s">
        <v>59</v>
      </c>
      <c r="B6849" s="20" t="s">
        <v>73</v>
      </c>
      <c r="C6849" s="20" t="s">
        <v>8</v>
      </c>
      <c r="D6849" s="20" t="s">
        <v>10</v>
      </c>
      <c r="E6849" s="20" t="s">
        <v>25</v>
      </c>
      <c r="F6849" s="20" t="str">
        <f>INDEX(nrg_cb_e!$A$3:$A$40,MATCH(LEFT(MID('Industriesektor GWh'!$B6849,41,1000),SEARCH(" - ",MID('Industriesektor GWh'!$B6849,41,1000))-1),nrg_cb_e!$C$3:$C$40,0))</f>
        <v>FC_IND_TL_E</v>
      </c>
      <c r="G6849" s="21">
        <v>272</v>
      </c>
    </row>
    <row r="6850" spans="1:7" x14ac:dyDescent="0.2">
      <c r="A6850" s="16" t="s">
        <v>59</v>
      </c>
      <c r="B6850" s="17" t="s">
        <v>73</v>
      </c>
      <c r="C6850" s="17" t="s">
        <v>8</v>
      </c>
      <c r="D6850" s="17" t="s">
        <v>10</v>
      </c>
      <c r="E6850" s="17" t="s">
        <v>26</v>
      </c>
      <c r="F6850" s="17" t="str">
        <f>INDEX(nrg_cb_e!$A$3:$A$40,MATCH(LEFT(MID('Industriesektor GWh'!$B6850,41,1000),SEARCH(" - ",MID('Industriesektor GWh'!$B6850,41,1000))-1),nrg_cb_e!$C$3:$C$40,0))</f>
        <v>FC_IND_TL_E</v>
      </c>
      <c r="G6850" s="18">
        <v>358</v>
      </c>
    </row>
    <row r="6851" spans="1:7" x14ac:dyDescent="0.2">
      <c r="A6851" s="19" t="s">
        <v>59</v>
      </c>
      <c r="B6851" s="20" t="s">
        <v>73</v>
      </c>
      <c r="C6851" s="20" t="s">
        <v>8</v>
      </c>
      <c r="D6851" s="20" t="s">
        <v>10</v>
      </c>
      <c r="E6851" s="20" t="s">
        <v>27</v>
      </c>
      <c r="F6851" s="20" t="str">
        <f>INDEX(nrg_cb_e!$A$3:$A$40,MATCH(LEFT(MID('Industriesektor GWh'!$B6851,41,1000),SEARCH(" - ",MID('Industriesektor GWh'!$B6851,41,1000))-1),nrg_cb_e!$C$3:$C$40,0))</f>
        <v>FC_IND_TL_E</v>
      </c>
      <c r="G6851" s="21">
        <v>375.69600000000003</v>
      </c>
    </row>
    <row r="6852" spans="1:7" x14ac:dyDescent="0.2">
      <c r="A6852" s="16" t="s">
        <v>59</v>
      </c>
      <c r="B6852" s="17" t="s">
        <v>73</v>
      </c>
      <c r="C6852" s="17" t="s">
        <v>8</v>
      </c>
      <c r="D6852" s="17" t="s">
        <v>10</v>
      </c>
      <c r="E6852" s="17" t="s">
        <v>28</v>
      </c>
      <c r="F6852" s="17" t="str">
        <f>INDEX(nrg_cb_e!$A$3:$A$40,MATCH(LEFT(MID('Industriesektor GWh'!$B6852,41,1000),SEARCH(" - ",MID('Industriesektor GWh'!$B6852,41,1000))-1),nrg_cb_e!$C$3:$C$40,0))</f>
        <v>FC_IND_TL_E</v>
      </c>
      <c r="G6852" s="18">
        <v>343.404</v>
      </c>
    </row>
    <row r="6853" spans="1:7" x14ac:dyDescent="0.2">
      <c r="A6853" s="19"/>
      <c r="B6853" s="20"/>
      <c r="C6853" s="20"/>
      <c r="D6853" s="20"/>
      <c r="E6853" s="20"/>
      <c r="F6853" s="20"/>
      <c r="G6853" s="21"/>
    </row>
    <row r="6854" spans="1:7" x14ac:dyDescent="0.2">
      <c r="A6854" s="16"/>
      <c r="B6854" s="17"/>
      <c r="C6854" s="17"/>
      <c r="D6854" s="17"/>
      <c r="E6854" s="17"/>
      <c r="F6854" s="17"/>
      <c r="G6854" s="18"/>
    </row>
    <row r="6855" spans="1:7" x14ac:dyDescent="0.2">
      <c r="A6855" s="19"/>
      <c r="B6855" s="20"/>
      <c r="C6855" s="20"/>
      <c r="D6855" s="20"/>
      <c r="E6855" s="20"/>
      <c r="F6855" s="20"/>
      <c r="G6855" s="21"/>
    </row>
    <row r="6856" spans="1:7" x14ac:dyDescent="0.2">
      <c r="A6856" s="16"/>
      <c r="B6856" s="17"/>
      <c r="C6856" s="17"/>
      <c r="D6856" s="17"/>
      <c r="E6856" s="17"/>
      <c r="F6856" s="17"/>
      <c r="G6856" s="18"/>
    </row>
    <row r="6857" spans="1:7" x14ac:dyDescent="0.2">
      <c r="A6857" s="19"/>
      <c r="B6857" s="20"/>
      <c r="C6857" s="20"/>
      <c r="D6857" s="20"/>
      <c r="E6857" s="20"/>
      <c r="F6857" s="20"/>
      <c r="G6857" s="21"/>
    </row>
    <row r="6858" spans="1:7" x14ac:dyDescent="0.2">
      <c r="A6858" s="16"/>
      <c r="B6858" s="17"/>
      <c r="C6858" s="17"/>
      <c r="D6858" s="17"/>
      <c r="E6858" s="17"/>
      <c r="F6858" s="17"/>
      <c r="G6858" s="18"/>
    </row>
    <row r="6859" spans="1:7" x14ac:dyDescent="0.2">
      <c r="A6859" s="19"/>
      <c r="B6859" s="20"/>
      <c r="C6859" s="20"/>
      <c r="D6859" s="20"/>
      <c r="E6859" s="20"/>
      <c r="F6859" s="20"/>
      <c r="G6859" s="21"/>
    </row>
    <row r="6860" spans="1:7" x14ac:dyDescent="0.2">
      <c r="A6860" s="16"/>
      <c r="B6860" s="17"/>
      <c r="C6860" s="17"/>
      <c r="D6860" s="17"/>
      <c r="E6860" s="17"/>
      <c r="F6860" s="17"/>
      <c r="G6860" s="18"/>
    </row>
    <row r="6861" spans="1:7" x14ac:dyDescent="0.2">
      <c r="A6861" s="19"/>
      <c r="B6861" s="20"/>
      <c r="C6861" s="20"/>
      <c r="D6861" s="20"/>
      <c r="E6861" s="20"/>
      <c r="F6861" s="20"/>
      <c r="G6861" s="21"/>
    </row>
    <row r="6862" spans="1:7" x14ac:dyDescent="0.2">
      <c r="A6862" s="16"/>
      <c r="B6862" s="17"/>
      <c r="C6862" s="17"/>
      <c r="D6862" s="17"/>
      <c r="E6862" s="17"/>
      <c r="F6862" s="17"/>
      <c r="G6862" s="18"/>
    </row>
    <row r="6863" spans="1:7" x14ac:dyDescent="0.2">
      <c r="A6863" s="19"/>
      <c r="B6863" s="20"/>
      <c r="C6863" s="20"/>
      <c r="D6863" s="20"/>
      <c r="E6863" s="20"/>
      <c r="F6863" s="20"/>
      <c r="G6863" s="21"/>
    </row>
    <row r="6864" spans="1:7" x14ac:dyDescent="0.2">
      <c r="A6864" s="16"/>
      <c r="B6864" s="17"/>
      <c r="C6864" s="17"/>
      <c r="D6864" s="17"/>
      <c r="E6864" s="17"/>
      <c r="F6864" s="17"/>
      <c r="G6864" s="18"/>
    </row>
    <row r="6865" spans="1:7" x14ac:dyDescent="0.2">
      <c r="A6865" s="19"/>
      <c r="B6865" s="20"/>
      <c r="C6865" s="20"/>
      <c r="D6865" s="20"/>
      <c r="E6865" s="20"/>
      <c r="F6865" s="20"/>
      <c r="G6865" s="21"/>
    </row>
    <row r="6866" spans="1:7" x14ac:dyDescent="0.2">
      <c r="A6866" s="16"/>
      <c r="B6866" s="17"/>
      <c r="C6866" s="17"/>
      <c r="D6866" s="17"/>
      <c r="E6866" s="17"/>
      <c r="F6866" s="17"/>
      <c r="G6866" s="18"/>
    </row>
    <row r="6867" spans="1:7" x14ac:dyDescent="0.2">
      <c r="A6867" s="19"/>
      <c r="B6867" s="20"/>
      <c r="C6867" s="20"/>
      <c r="D6867" s="20"/>
      <c r="E6867" s="20"/>
      <c r="F6867" s="20"/>
      <c r="G6867" s="21"/>
    </row>
    <row r="6868" spans="1:7" x14ac:dyDescent="0.2">
      <c r="A6868" s="16"/>
      <c r="B6868" s="17"/>
      <c r="C6868" s="17"/>
      <c r="D6868" s="17"/>
      <c r="E6868" s="17"/>
      <c r="F6868" s="17"/>
      <c r="G6868" s="18"/>
    </row>
    <row r="6869" spans="1:7" x14ac:dyDescent="0.2">
      <c r="A6869" s="19"/>
      <c r="B6869" s="20"/>
      <c r="C6869" s="20"/>
      <c r="D6869" s="20"/>
      <c r="E6869" s="20"/>
      <c r="F6869" s="20"/>
      <c r="G6869" s="21"/>
    </row>
    <row r="6870" spans="1:7" x14ac:dyDescent="0.2">
      <c r="A6870" s="16"/>
      <c r="B6870" s="17"/>
      <c r="C6870" s="17"/>
      <c r="D6870" s="17"/>
      <c r="E6870" s="17"/>
      <c r="F6870" s="17"/>
      <c r="G6870" s="18"/>
    </row>
    <row r="6871" spans="1:7" x14ac:dyDescent="0.2">
      <c r="A6871" s="19"/>
      <c r="B6871" s="20"/>
      <c r="C6871" s="20"/>
      <c r="D6871" s="20"/>
      <c r="E6871" s="20"/>
      <c r="F6871" s="20"/>
      <c r="G6871" s="21"/>
    </row>
    <row r="6872" spans="1:7" x14ac:dyDescent="0.2">
      <c r="A6872" s="16"/>
      <c r="B6872" s="17"/>
      <c r="C6872" s="17"/>
      <c r="D6872" s="17"/>
      <c r="E6872" s="17"/>
      <c r="F6872" s="17"/>
      <c r="G6872" s="18"/>
    </row>
    <row r="6873" spans="1:7" x14ac:dyDescent="0.2">
      <c r="A6873" s="19"/>
      <c r="B6873" s="20"/>
      <c r="C6873" s="20"/>
      <c r="D6873" s="20"/>
      <c r="E6873" s="20"/>
      <c r="F6873" s="20"/>
      <c r="G6873" s="21"/>
    </row>
    <row r="6874" spans="1:7" x14ac:dyDescent="0.2">
      <c r="A6874" s="16"/>
      <c r="B6874" s="17"/>
      <c r="C6874" s="17"/>
      <c r="D6874" s="17"/>
      <c r="E6874" s="17"/>
      <c r="F6874" s="17"/>
      <c r="G6874" s="18"/>
    </row>
    <row r="6875" spans="1:7" x14ac:dyDescent="0.2">
      <c r="A6875" s="19"/>
      <c r="B6875" s="20"/>
      <c r="C6875" s="20"/>
      <c r="D6875" s="20"/>
      <c r="E6875" s="20"/>
      <c r="F6875" s="20"/>
      <c r="G6875" s="21"/>
    </row>
    <row r="6876" spans="1:7" x14ac:dyDescent="0.2">
      <c r="A6876" s="16"/>
      <c r="B6876" s="17"/>
      <c r="C6876" s="17"/>
      <c r="D6876" s="17"/>
      <c r="E6876" s="17"/>
      <c r="F6876" s="17"/>
      <c r="G6876" s="18"/>
    </row>
    <row r="6877" spans="1:7" x14ac:dyDescent="0.2">
      <c r="A6877" s="19"/>
      <c r="B6877" s="20"/>
      <c r="C6877" s="20"/>
      <c r="D6877" s="20"/>
      <c r="E6877" s="20"/>
      <c r="F6877" s="20"/>
      <c r="G6877" s="21"/>
    </row>
    <row r="6878" spans="1:7" x14ac:dyDescent="0.2">
      <c r="A6878" s="16"/>
      <c r="B6878" s="17"/>
      <c r="C6878" s="17"/>
      <c r="D6878" s="17"/>
      <c r="E6878" s="17"/>
      <c r="F6878" s="17"/>
      <c r="G6878" s="18"/>
    </row>
    <row r="6879" spans="1:7" x14ac:dyDescent="0.2">
      <c r="A6879" s="19"/>
      <c r="B6879" s="20"/>
      <c r="C6879" s="20"/>
      <c r="D6879" s="20"/>
      <c r="E6879" s="20"/>
      <c r="F6879" s="20"/>
      <c r="G6879" s="21"/>
    </row>
    <row r="6880" spans="1:7" x14ac:dyDescent="0.2">
      <c r="A6880" s="16"/>
      <c r="B6880" s="17"/>
      <c r="C6880" s="17"/>
      <c r="D6880" s="17"/>
      <c r="E6880" s="17"/>
      <c r="F6880" s="17"/>
      <c r="G6880" s="18"/>
    </row>
    <row r="6881" spans="1:7" x14ac:dyDescent="0.2">
      <c r="A6881" s="19"/>
      <c r="B6881" s="20"/>
      <c r="C6881" s="20"/>
      <c r="D6881" s="20"/>
      <c r="E6881" s="20"/>
      <c r="F6881" s="20"/>
      <c r="G6881" s="21"/>
    </row>
    <row r="6882" spans="1:7" x14ac:dyDescent="0.2">
      <c r="A6882" s="16"/>
      <c r="B6882" s="17"/>
      <c r="C6882" s="17"/>
      <c r="D6882" s="17"/>
      <c r="E6882" s="17"/>
      <c r="F6882" s="17"/>
      <c r="G6882" s="18"/>
    </row>
    <row r="6883" spans="1:7" x14ac:dyDescent="0.2">
      <c r="A6883" s="19"/>
      <c r="B6883" s="20"/>
      <c r="C6883" s="20"/>
      <c r="D6883" s="20"/>
      <c r="E6883" s="20"/>
      <c r="F6883" s="20"/>
      <c r="G6883" s="21"/>
    </row>
    <row r="6884" spans="1:7" x14ac:dyDescent="0.2">
      <c r="A6884" s="16"/>
      <c r="B6884" s="17"/>
      <c r="C6884" s="17"/>
      <c r="D6884" s="17"/>
      <c r="E6884" s="17"/>
      <c r="F6884" s="17"/>
      <c r="G6884" s="18"/>
    </row>
    <row r="6885" spans="1:7" x14ac:dyDescent="0.2">
      <c r="A6885" s="19"/>
      <c r="B6885" s="20"/>
      <c r="C6885" s="20"/>
      <c r="D6885" s="20"/>
      <c r="E6885" s="20"/>
      <c r="F6885" s="20"/>
      <c r="G6885" s="21"/>
    </row>
    <row r="6886" spans="1:7" x14ac:dyDescent="0.2">
      <c r="A6886" s="16"/>
      <c r="B6886" s="17"/>
      <c r="C6886" s="17"/>
      <c r="D6886" s="17"/>
      <c r="E6886" s="17"/>
      <c r="F6886" s="17"/>
      <c r="G6886" s="18"/>
    </row>
    <row r="6887" spans="1:7" x14ac:dyDescent="0.2">
      <c r="A6887" s="19"/>
      <c r="B6887" s="20"/>
      <c r="C6887" s="20"/>
      <c r="D6887" s="20"/>
      <c r="E6887" s="20"/>
      <c r="F6887" s="20"/>
      <c r="G6887" s="21"/>
    </row>
    <row r="6888" spans="1:7" x14ac:dyDescent="0.2">
      <c r="A6888" s="16"/>
      <c r="B6888" s="17"/>
      <c r="C6888" s="17"/>
      <c r="D6888" s="17"/>
      <c r="E6888" s="17"/>
      <c r="F6888" s="17"/>
      <c r="G6888" s="18"/>
    </row>
    <row r="6889" spans="1:7" x14ac:dyDescent="0.2">
      <c r="A6889" s="19"/>
      <c r="B6889" s="20"/>
      <c r="C6889" s="20"/>
      <c r="D6889" s="20"/>
      <c r="E6889" s="20"/>
      <c r="F6889" s="20"/>
      <c r="G6889" s="21"/>
    </row>
    <row r="6890" spans="1:7" x14ac:dyDescent="0.2">
      <c r="A6890" s="16"/>
      <c r="B6890" s="17"/>
      <c r="C6890" s="17"/>
      <c r="D6890" s="17"/>
      <c r="E6890" s="17"/>
      <c r="F6890" s="17"/>
      <c r="G6890" s="18"/>
    </row>
    <row r="6891" spans="1:7" x14ac:dyDescent="0.2">
      <c r="A6891" s="19"/>
      <c r="B6891" s="20"/>
      <c r="C6891" s="20"/>
      <c r="D6891" s="20"/>
      <c r="E6891" s="20"/>
      <c r="F6891" s="20"/>
      <c r="G6891" s="21"/>
    </row>
    <row r="6892" spans="1:7" x14ac:dyDescent="0.2">
      <c r="A6892" s="16"/>
      <c r="B6892" s="17"/>
      <c r="C6892" s="17"/>
      <c r="D6892" s="17"/>
      <c r="E6892" s="17"/>
      <c r="F6892" s="17"/>
      <c r="G6892" s="18"/>
    </row>
    <row r="6893" spans="1:7" x14ac:dyDescent="0.2">
      <c r="A6893" s="19"/>
      <c r="B6893" s="20"/>
      <c r="C6893" s="20"/>
      <c r="D6893" s="20"/>
      <c r="E6893" s="20"/>
      <c r="F6893" s="20"/>
      <c r="G6893" s="21"/>
    </row>
    <row r="6894" spans="1:7" x14ac:dyDescent="0.2">
      <c r="A6894" s="16"/>
      <c r="B6894" s="17"/>
      <c r="C6894" s="17"/>
      <c r="D6894" s="17"/>
      <c r="E6894" s="17"/>
      <c r="F6894" s="17"/>
      <c r="G6894" s="18"/>
    </row>
    <row r="6895" spans="1:7" x14ac:dyDescent="0.2">
      <c r="A6895" s="19"/>
      <c r="B6895" s="20"/>
      <c r="C6895" s="20"/>
      <c r="D6895" s="20"/>
      <c r="E6895" s="20"/>
      <c r="F6895" s="20"/>
      <c r="G6895" s="21"/>
    </row>
    <row r="6896" spans="1:7" x14ac:dyDescent="0.2">
      <c r="A6896" s="16"/>
      <c r="B6896" s="17"/>
      <c r="C6896" s="17"/>
      <c r="D6896" s="17"/>
      <c r="E6896" s="17"/>
      <c r="F6896" s="17"/>
      <c r="G6896" s="18"/>
    </row>
    <row r="6897" spans="1:7" x14ac:dyDescent="0.2">
      <c r="A6897" s="19"/>
      <c r="B6897" s="20"/>
      <c r="C6897" s="20"/>
      <c r="D6897" s="20"/>
      <c r="E6897" s="20"/>
      <c r="F6897" s="20"/>
      <c r="G6897" s="21"/>
    </row>
    <row r="6898" spans="1:7" x14ac:dyDescent="0.2">
      <c r="A6898" s="16"/>
      <c r="B6898" s="17"/>
      <c r="C6898" s="17"/>
      <c r="D6898" s="17"/>
      <c r="E6898" s="17"/>
      <c r="F6898" s="17"/>
      <c r="G6898" s="18"/>
    </row>
    <row r="6899" spans="1:7" x14ac:dyDescent="0.2">
      <c r="A6899" s="19"/>
      <c r="B6899" s="20"/>
      <c r="C6899" s="20"/>
      <c r="D6899" s="20"/>
      <c r="E6899" s="20"/>
      <c r="F6899" s="20"/>
      <c r="G6899" s="21"/>
    </row>
    <row r="6900" spans="1:7" x14ac:dyDescent="0.2">
      <c r="A6900" s="16"/>
      <c r="B6900" s="17"/>
      <c r="C6900" s="17"/>
      <c r="D6900" s="17"/>
      <c r="E6900" s="17"/>
      <c r="F6900" s="17"/>
      <c r="G6900" s="18"/>
    </row>
    <row r="6901" spans="1:7" x14ac:dyDescent="0.2">
      <c r="A6901" s="19"/>
      <c r="B6901" s="20"/>
      <c r="C6901" s="20"/>
      <c r="D6901" s="20"/>
      <c r="E6901" s="20"/>
      <c r="F6901" s="20"/>
      <c r="G6901" s="21"/>
    </row>
    <row r="6902" spans="1:7" x14ac:dyDescent="0.2">
      <c r="A6902" s="16"/>
      <c r="B6902" s="17"/>
      <c r="C6902" s="17"/>
      <c r="D6902" s="17"/>
      <c r="E6902" s="17"/>
      <c r="F6902" s="17"/>
      <c r="G6902" s="18"/>
    </row>
    <row r="6903" spans="1:7" x14ac:dyDescent="0.2">
      <c r="A6903" s="19"/>
      <c r="B6903" s="20"/>
      <c r="C6903" s="20"/>
      <c r="D6903" s="20"/>
      <c r="E6903" s="20"/>
      <c r="F6903" s="20"/>
      <c r="G6903" s="21"/>
    </row>
    <row r="6904" spans="1:7" x14ac:dyDescent="0.2">
      <c r="A6904" s="16"/>
      <c r="B6904" s="17"/>
      <c r="C6904" s="17"/>
      <c r="D6904" s="17"/>
      <c r="E6904" s="17"/>
      <c r="F6904" s="17"/>
      <c r="G6904" s="18"/>
    </row>
    <row r="6905" spans="1:7" x14ac:dyDescent="0.2">
      <c r="A6905" s="19"/>
      <c r="B6905" s="20"/>
      <c r="C6905" s="20"/>
      <c r="D6905" s="20"/>
      <c r="E6905" s="20"/>
      <c r="F6905" s="20"/>
      <c r="G6905" s="21"/>
    </row>
    <row r="6906" spans="1:7" x14ac:dyDescent="0.2">
      <c r="A6906" s="16"/>
      <c r="B6906" s="17"/>
      <c r="C6906" s="17"/>
      <c r="D6906" s="17"/>
      <c r="E6906" s="17"/>
      <c r="F6906" s="17"/>
      <c r="G6906" s="18"/>
    </row>
    <row r="6907" spans="1:7" x14ac:dyDescent="0.2">
      <c r="A6907" s="19"/>
      <c r="B6907" s="20"/>
      <c r="C6907" s="20"/>
      <c r="D6907" s="20"/>
      <c r="E6907" s="20"/>
      <c r="F6907" s="20"/>
      <c r="G6907" s="21"/>
    </row>
    <row r="6908" spans="1:7" x14ac:dyDescent="0.2">
      <c r="A6908" s="16"/>
      <c r="B6908" s="17"/>
      <c r="C6908" s="17"/>
      <c r="D6908" s="17"/>
      <c r="E6908" s="17"/>
      <c r="F6908" s="17"/>
      <c r="G6908" s="18"/>
    </row>
    <row r="6909" spans="1:7" x14ac:dyDescent="0.2">
      <c r="A6909" s="19"/>
      <c r="B6909" s="20"/>
      <c r="C6909" s="20"/>
      <c r="D6909" s="20"/>
      <c r="E6909" s="20"/>
      <c r="F6909" s="20"/>
      <c r="G6909" s="21"/>
    </row>
    <row r="6910" spans="1:7" x14ac:dyDescent="0.2">
      <c r="A6910" s="16"/>
      <c r="B6910" s="17"/>
      <c r="C6910" s="17"/>
      <c r="D6910" s="17"/>
      <c r="E6910" s="17"/>
      <c r="F6910" s="17"/>
      <c r="G6910" s="18"/>
    </row>
    <row r="6911" spans="1:7" x14ac:dyDescent="0.2">
      <c r="A6911" s="19"/>
      <c r="B6911" s="20"/>
      <c r="C6911" s="20"/>
      <c r="D6911" s="20"/>
      <c r="E6911" s="20"/>
      <c r="F6911" s="20"/>
      <c r="G6911" s="21"/>
    </row>
    <row r="6912" spans="1:7" x14ac:dyDescent="0.2">
      <c r="A6912" s="16"/>
      <c r="B6912" s="17"/>
      <c r="C6912" s="17"/>
      <c r="D6912" s="17"/>
      <c r="E6912" s="17"/>
      <c r="F6912" s="17"/>
      <c r="G6912" s="18"/>
    </row>
    <row r="6913" spans="1:7" x14ac:dyDescent="0.2">
      <c r="A6913" s="19"/>
      <c r="B6913" s="20"/>
      <c r="C6913" s="20"/>
      <c r="D6913" s="20"/>
      <c r="E6913" s="20"/>
      <c r="F6913" s="20"/>
      <c r="G6913" s="21"/>
    </row>
    <row r="6914" spans="1:7" x14ac:dyDescent="0.2">
      <c r="A6914" s="16"/>
      <c r="B6914" s="17"/>
      <c r="C6914" s="17"/>
      <c r="D6914" s="17"/>
      <c r="E6914" s="17"/>
      <c r="F6914" s="17"/>
      <c r="G6914" s="18"/>
    </row>
    <row r="6915" spans="1:7" x14ac:dyDescent="0.2">
      <c r="A6915" s="19"/>
      <c r="B6915" s="20"/>
      <c r="C6915" s="20"/>
      <c r="D6915" s="20"/>
      <c r="E6915" s="20"/>
      <c r="F6915" s="20"/>
      <c r="G6915" s="21"/>
    </row>
    <row r="6916" spans="1:7" x14ac:dyDescent="0.2">
      <c r="A6916" s="16"/>
      <c r="B6916" s="17"/>
      <c r="C6916" s="17"/>
      <c r="D6916" s="17"/>
      <c r="E6916" s="17"/>
      <c r="F6916" s="17"/>
      <c r="G6916" s="18"/>
    </row>
    <row r="6917" spans="1:7" x14ac:dyDescent="0.2">
      <c r="A6917" s="19"/>
      <c r="B6917" s="20"/>
      <c r="C6917" s="20"/>
      <c r="D6917" s="20"/>
      <c r="E6917" s="20"/>
      <c r="F6917" s="20"/>
      <c r="G6917" s="21"/>
    </row>
    <row r="6918" spans="1:7" x14ac:dyDescent="0.2">
      <c r="A6918" s="16"/>
      <c r="B6918" s="17"/>
      <c r="C6918" s="17"/>
      <c r="D6918" s="17"/>
      <c r="E6918" s="17"/>
      <c r="F6918" s="17"/>
      <c r="G6918" s="18"/>
    </row>
    <row r="6919" spans="1:7" x14ac:dyDescent="0.2">
      <c r="A6919" s="19"/>
      <c r="B6919" s="20"/>
      <c r="C6919" s="20"/>
      <c r="D6919" s="20"/>
      <c r="E6919" s="20"/>
      <c r="F6919" s="20"/>
      <c r="G6919" s="21"/>
    </row>
    <row r="6920" spans="1:7" x14ac:dyDescent="0.2">
      <c r="A6920" s="16"/>
      <c r="B6920" s="17"/>
      <c r="C6920" s="17"/>
      <c r="D6920" s="17"/>
      <c r="E6920" s="17"/>
      <c r="F6920" s="17"/>
      <c r="G6920" s="18"/>
    </row>
    <row r="6921" spans="1:7" x14ac:dyDescent="0.2">
      <c r="A6921" s="19"/>
      <c r="B6921" s="20"/>
      <c r="C6921" s="20"/>
      <c r="D6921" s="20"/>
      <c r="E6921" s="20"/>
      <c r="F6921" s="20"/>
      <c r="G6921" s="21"/>
    </row>
    <row r="6922" spans="1:7" x14ac:dyDescent="0.2">
      <c r="A6922" s="16"/>
      <c r="B6922" s="17"/>
      <c r="C6922" s="17"/>
      <c r="D6922" s="17"/>
      <c r="E6922" s="17"/>
      <c r="F6922" s="17"/>
      <c r="G6922" s="18"/>
    </row>
    <row r="6923" spans="1:7" x14ac:dyDescent="0.2">
      <c r="A6923" s="19"/>
      <c r="B6923" s="20"/>
      <c r="C6923" s="20"/>
      <c r="D6923" s="20"/>
      <c r="E6923" s="20"/>
      <c r="F6923" s="20"/>
      <c r="G6923" s="21"/>
    </row>
    <row r="6924" spans="1:7" x14ac:dyDescent="0.2">
      <c r="A6924" s="16"/>
      <c r="B6924" s="17"/>
      <c r="C6924" s="17"/>
      <c r="D6924" s="17"/>
      <c r="E6924" s="17"/>
      <c r="F6924" s="17"/>
      <c r="G6924" s="18"/>
    </row>
    <row r="6925" spans="1:7" x14ac:dyDescent="0.2">
      <c r="A6925" s="19"/>
      <c r="B6925" s="20"/>
      <c r="C6925" s="20"/>
      <c r="D6925" s="20"/>
      <c r="E6925" s="20"/>
      <c r="F6925" s="20"/>
      <c r="G6925" s="21"/>
    </row>
    <row r="6926" spans="1:7" x14ac:dyDescent="0.2">
      <c r="A6926" s="16"/>
      <c r="B6926" s="17"/>
      <c r="C6926" s="17"/>
      <c r="D6926" s="17"/>
      <c r="E6926" s="17"/>
      <c r="F6926" s="17"/>
      <c r="G6926" s="18"/>
    </row>
    <row r="6927" spans="1:7" x14ac:dyDescent="0.2">
      <c r="A6927" s="19"/>
      <c r="B6927" s="20"/>
      <c r="C6927" s="20"/>
      <c r="D6927" s="20"/>
      <c r="E6927" s="20"/>
      <c r="F6927" s="20"/>
      <c r="G6927" s="21"/>
    </row>
    <row r="6928" spans="1:7" x14ac:dyDescent="0.2">
      <c r="A6928" s="16"/>
      <c r="B6928" s="17"/>
      <c r="C6928" s="17"/>
      <c r="D6928" s="17"/>
      <c r="E6928" s="17"/>
      <c r="F6928" s="17"/>
      <c r="G6928" s="18"/>
    </row>
    <row r="6929" spans="1:7" x14ac:dyDescent="0.2">
      <c r="A6929" s="19"/>
      <c r="B6929" s="20"/>
      <c r="C6929" s="20"/>
      <c r="D6929" s="20"/>
      <c r="E6929" s="20"/>
      <c r="F6929" s="20"/>
      <c r="G6929" s="21"/>
    </row>
    <row r="6930" spans="1:7" x14ac:dyDescent="0.2">
      <c r="A6930" s="16"/>
      <c r="B6930" s="17"/>
      <c r="C6930" s="17"/>
      <c r="D6930" s="17"/>
      <c r="E6930" s="17"/>
      <c r="F6930" s="17"/>
      <c r="G6930" s="18"/>
    </row>
    <row r="6931" spans="1:7" x14ac:dyDescent="0.2">
      <c r="A6931" s="19"/>
      <c r="B6931" s="20"/>
      <c r="C6931" s="20"/>
      <c r="D6931" s="20"/>
      <c r="E6931" s="20"/>
      <c r="F6931" s="20"/>
      <c r="G6931" s="21"/>
    </row>
    <row r="6932" spans="1:7" x14ac:dyDescent="0.2">
      <c r="A6932" s="16"/>
      <c r="B6932" s="17"/>
      <c r="C6932" s="17"/>
      <c r="D6932" s="17"/>
      <c r="E6932" s="17"/>
      <c r="F6932" s="17"/>
      <c r="G6932" s="18"/>
    </row>
    <row r="6933" spans="1:7" x14ac:dyDescent="0.2">
      <c r="A6933" s="19"/>
      <c r="B6933" s="20"/>
      <c r="C6933" s="20"/>
      <c r="D6933" s="20"/>
      <c r="E6933" s="20"/>
      <c r="F6933" s="20"/>
      <c r="G6933" s="21"/>
    </row>
    <row r="6934" spans="1:7" x14ac:dyDescent="0.2">
      <c r="A6934" s="16"/>
      <c r="B6934" s="17"/>
      <c r="C6934" s="17"/>
      <c r="D6934" s="17"/>
      <c r="E6934" s="17"/>
      <c r="F6934" s="17"/>
      <c r="G6934" s="18"/>
    </row>
    <row r="6935" spans="1:7" x14ac:dyDescent="0.2">
      <c r="A6935" s="19"/>
      <c r="B6935" s="20"/>
      <c r="C6935" s="20"/>
      <c r="D6935" s="20"/>
      <c r="E6935" s="20"/>
      <c r="F6935" s="20"/>
      <c r="G6935" s="21"/>
    </row>
    <row r="6936" spans="1:7" x14ac:dyDescent="0.2">
      <c r="A6936" s="16"/>
      <c r="B6936" s="17"/>
      <c r="C6936" s="17"/>
      <c r="D6936" s="17"/>
      <c r="E6936" s="17"/>
      <c r="F6936" s="17"/>
      <c r="G6936" s="18"/>
    </row>
    <row r="6937" spans="1:7" x14ac:dyDescent="0.2">
      <c r="A6937" s="19"/>
      <c r="B6937" s="20"/>
      <c r="C6937" s="20"/>
      <c r="D6937" s="20"/>
      <c r="E6937" s="20"/>
      <c r="F6937" s="20"/>
      <c r="G6937" s="21"/>
    </row>
    <row r="6938" spans="1:7" x14ac:dyDescent="0.2">
      <c r="A6938" s="16"/>
      <c r="B6938" s="17"/>
      <c r="C6938" s="17"/>
      <c r="D6938" s="17"/>
      <c r="E6938" s="17"/>
      <c r="F6938" s="17"/>
      <c r="G6938" s="18"/>
    </row>
    <row r="6939" spans="1:7" x14ac:dyDescent="0.2">
      <c r="A6939" s="19"/>
      <c r="B6939" s="20"/>
      <c r="C6939" s="20"/>
      <c r="D6939" s="20"/>
      <c r="E6939" s="20"/>
      <c r="F6939" s="20"/>
      <c r="G6939" s="21"/>
    </row>
    <row r="6940" spans="1:7" x14ac:dyDescent="0.2">
      <c r="A6940" s="16"/>
      <c r="B6940" s="17"/>
      <c r="C6940" s="17"/>
      <c r="D6940" s="17"/>
      <c r="E6940" s="17"/>
      <c r="F6940" s="17"/>
      <c r="G6940" s="18"/>
    </row>
    <row r="6941" spans="1:7" x14ac:dyDescent="0.2">
      <c r="A6941" s="19"/>
      <c r="B6941" s="20"/>
      <c r="C6941" s="20"/>
      <c r="D6941" s="20"/>
      <c r="E6941" s="20"/>
      <c r="F6941" s="20"/>
      <c r="G6941" s="21"/>
    </row>
    <row r="6942" spans="1:7" x14ac:dyDescent="0.2">
      <c r="A6942" s="16"/>
      <c r="B6942" s="17"/>
      <c r="C6942" s="17"/>
      <c r="D6942" s="17"/>
      <c r="E6942" s="17"/>
      <c r="F6942" s="17"/>
      <c r="G6942" s="18"/>
    </row>
    <row r="6943" spans="1:7" x14ac:dyDescent="0.2">
      <c r="A6943" s="19"/>
      <c r="B6943" s="20"/>
      <c r="C6943" s="20"/>
      <c r="D6943" s="20"/>
      <c r="E6943" s="20"/>
      <c r="F6943" s="20"/>
      <c r="G6943" s="21"/>
    </row>
    <row r="6944" spans="1:7" x14ac:dyDescent="0.2">
      <c r="A6944" s="16"/>
      <c r="B6944" s="17"/>
      <c r="C6944" s="17"/>
      <c r="D6944" s="17"/>
      <c r="E6944" s="17"/>
      <c r="F6944" s="17"/>
      <c r="G6944" s="18"/>
    </row>
    <row r="6945" spans="1:7" x14ac:dyDescent="0.2">
      <c r="A6945" s="19"/>
      <c r="B6945" s="20"/>
      <c r="C6945" s="20"/>
      <c r="D6945" s="20"/>
      <c r="E6945" s="20"/>
      <c r="F6945" s="20"/>
      <c r="G6945" s="21"/>
    </row>
    <row r="6946" spans="1:7" x14ac:dyDescent="0.2">
      <c r="A6946" s="16"/>
      <c r="B6946" s="17"/>
      <c r="C6946" s="17"/>
      <c r="D6946" s="17"/>
      <c r="E6946" s="17"/>
      <c r="F6946" s="17"/>
      <c r="G6946" s="18"/>
    </row>
    <row r="6947" spans="1:7" x14ac:dyDescent="0.2">
      <c r="A6947" s="19"/>
      <c r="B6947" s="20"/>
      <c r="C6947" s="20"/>
      <c r="D6947" s="20"/>
      <c r="E6947" s="20"/>
      <c r="F6947" s="20"/>
      <c r="G6947" s="21"/>
    </row>
    <row r="6948" spans="1:7" x14ac:dyDescent="0.2">
      <c r="A6948" s="16"/>
      <c r="B6948" s="17"/>
      <c r="C6948" s="17"/>
      <c r="D6948" s="17"/>
      <c r="E6948" s="17"/>
      <c r="F6948" s="17"/>
      <c r="G6948" s="18"/>
    </row>
    <row r="6949" spans="1:7" x14ac:dyDescent="0.2">
      <c r="A6949" s="19"/>
      <c r="B6949" s="20"/>
      <c r="C6949" s="20"/>
      <c r="D6949" s="20"/>
      <c r="E6949" s="20"/>
      <c r="F6949" s="20"/>
      <c r="G6949" s="21"/>
    </row>
    <row r="6950" spans="1:7" x14ac:dyDescent="0.2">
      <c r="A6950" s="16"/>
      <c r="B6950" s="17"/>
      <c r="C6950" s="17"/>
      <c r="D6950" s="17"/>
      <c r="E6950" s="17"/>
      <c r="F6950" s="17"/>
      <c r="G6950" s="18"/>
    </row>
    <row r="6951" spans="1:7" x14ac:dyDescent="0.2">
      <c r="A6951" s="19"/>
      <c r="B6951" s="20"/>
      <c r="C6951" s="20"/>
      <c r="D6951" s="20"/>
      <c r="E6951" s="20"/>
      <c r="F6951" s="20"/>
      <c r="G6951" s="21"/>
    </row>
    <row r="6952" spans="1:7" x14ac:dyDescent="0.2">
      <c r="A6952" s="16"/>
      <c r="B6952" s="17"/>
      <c r="C6952" s="17"/>
      <c r="D6952" s="17"/>
      <c r="E6952" s="17"/>
      <c r="F6952" s="17"/>
      <c r="G6952" s="18"/>
    </row>
    <row r="6953" spans="1:7" x14ac:dyDescent="0.2">
      <c r="A6953" s="19"/>
      <c r="B6953" s="20"/>
      <c r="C6953" s="20"/>
      <c r="D6953" s="20"/>
      <c r="E6953" s="20"/>
      <c r="F6953" s="20"/>
      <c r="G6953" s="21"/>
    </row>
    <row r="6954" spans="1:7" x14ac:dyDescent="0.2">
      <c r="A6954" s="16"/>
      <c r="B6954" s="17"/>
      <c r="C6954" s="17"/>
      <c r="D6954" s="17"/>
      <c r="E6954" s="17"/>
      <c r="F6954" s="17"/>
      <c r="G6954" s="18"/>
    </row>
    <row r="6955" spans="1:7" x14ac:dyDescent="0.2">
      <c r="A6955" s="19"/>
      <c r="B6955" s="20"/>
      <c r="C6955" s="20"/>
      <c r="D6955" s="20"/>
      <c r="E6955" s="20"/>
      <c r="F6955" s="20"/>
      <c r="G6955" s="21"/>
    </row>
    <row r="6956" spans="1:7" x14ac:dyDescent="0.2">
      <c r="A6956" s="16"/>
      <c r="B6956" s="17"/>
      <c r="C6956" s="17"/>
      <c r="D6956" s="17"/>
      <c r="E6956" s="17"/>
      <c r="F6956" s="17"/>
      <c r="G6956" s="18"/>
    </row>
    <row r="6957" spans="1:7" x14ac:dyDescent="0.2">
      <c r="A6957" s="19"/>
      <c r="B6957" s="20"/>
      <c r="C6957" s="20"/>
      <c r="D6957" s="20"/>
      <c r="E6957" s="20"/>
      <c r="F6957" s="20"/>
      <c r="G6957" s="21"/>
    </row>
    <row r="6958" spans="1:7" x14ac:dyDescent="0.2">
      <c r="A6958" s="16"/>
      <c r="B6958" s="17"/>
      <c r="C6958" s="17"/>
      <c r="D6958" s="17"/>
      <c r="E6958" s="17"/>
      <c r="F6958" s="17"/>
      <c r="G6958" s="18"/>
    </row>
    <row r="6959" spans="1:7" x14ac:dyDescent="0.2">
      <c r="A6959" s="19"/>
      <c r="B6959" s="20"/>
      <c r="C6959" s="20"/>
      <c r="D6959" s="20"/>
      <c r="E6959" s="20"/>
      <c r="F6959" s="20"/>
      <c r="G6959" s="21"/>
    </row>
    <row r="6960" spans="1:7" x14ac:dyDescent="0.2">
      <c r="A6960" s="16"/>
      <c r="B6960" s="17"/>
      <c r="C6960" s="17"/>
      <c r="D6960" s="17"/>
      <c r="E6960" s="17"/>
      <c r="F6960" s="17"/>
      <c r="G6960" s="18"/>
    </row>
    <row r="6961" spans="1:7" x14ac:dyDescent="0.2">
      <c r="A6961" s="19"/>
      <c r="B6961" s="20"/>
      <c r="C6961" s="20"/>
      <c r="D6961" s="20"/>
      <c r="E6961" s="20"/>
      <c r="F6961" s="20"/>
      <c r="G6961" s="21"/>
    </row>
    <row r="6962" spans="1:7" x14ac:dyDescent="0.2">
      <c r="A6962" s="16"/>
      <c r="B6962" s="17"/>
      <c r="C6962" s="17"/>
      <c r="D6962" s="17"/>
      <c r="E6962" s="17"/>
      <c r="F6962" s="17"/>
      <c r="G6962" s="18"/>
    </row>
    <row r="6963" spans="1:7" x14ac:dyDescent="0.2">
      <c r="A6963" s="19"/>
      <c r="B6963" s="20"/>
      <c r="C6963" s="20"/>
      <c r="D6963" s="20"/>
      <c r="E6963" s="20"/>
      <c r="F6963" s="20"/>
      <c r="G6963" s="21"/>
    </row>
    <row r="6964" spans="1:7" x14ac:dyDescent="0.2">
      <c r="A6964" s="16"/>
      <c r="B6964" s="17"/>
      <c r="C6964" s="17"/>
      <c r="D6964" s="17"/>
      <c r="E6964" s="17"/>
      <c r="F6964" s="17"/>
      <c r="G6964" s="18"/>
    </row>
    <row r="6965" spans="1:7" x14ac:dyDescent="0.2">
      <c r="A6965" s="19"/>
      <c r="B6965" s="20"/>
      <c r="C6965" s="20"/>
      <c r="D6965" s="20"/>
      <c r="E6965" s="20"/>
      <c r="F6965" s="20"/>
      <c r="G6965" s="21"/>
    </row>
    <row r="6966" spans="1:7" x14ac:dyDescent="0.2">
      <c r="A6966" s="16"/>
      <c r="B6966" s="17"/>
      <c r="C6966" s="17"/>
      <c r="D6966" s="17"/>
      <c r="E6966" s="17"/>
      <c r="F6966" s="17"/>
      <c r="G6966" s="18"/>
    </row>
    <row r="6967" spans="1:7" x14ac:dyDescent="0.2">
      <c r="A6967" s="19"/>
      <c r="B6967" s="20"/>
      <c r="C6967" s="20"/>
      <c r="D6967" s="20"/>
      <c r="E6967" s="20"/>
      <c r="F6967" s="20"/>
      <c r="G6967" s="21"/>
    </row>
    <row r="6968" spans="1:7" x14ac:dyDescent="0.2">
      <c r="A6968" s="16"/>
      <c r="B6968" s="17"/>
      <c r="C6968" s="17"/>
      <c r="D6968" s="17"/>
      <c r="E6968" s="17"/>
      <c r="F6968" s="17"/>
      <c r="G6968" s="18"/>
    </row>
    <row r="6969" spans="1:7" x14ac:dyDescent="0.2">
      <c r="A6969" s="19"/>
      <c r="B6969" s="20"/>
      <c r="C6969" s="20"/>
      <c r="D6969" s="20"/>
      <c r="E6969" s="20"/>
      <c r="F6969" s="20"/>
      <c r="G6969" s="21"/>
    </row>
    <row r="6970" spans="1:7" x14ac:dyDescent="0.2">
      <c r="A6970" s="16"/>
      <c r="B6970" s="17"/>
      <c r="C6970" s="17"/>
      <c r="D6970" s="17"/>
      <c r="E6970" s="17"/>
      <c r="F6970" s="17"/>
      <c r="G6970" s="18"/>
    </row>
    <row r="6971" spans="1:7" x14ac:dyDescent="0.2">
      <c r="A6971" s="19"/>
      <c r="B6971" s="20"/>
      <c r="C6971" s="20"/>
      <c r="D6971" s="20"/>
      <c r="E6971" s="20"/>
      <c r="F6971" s="20"/>
      <c r="G6971" s="21"/>
    </row>
    <row r="6972" spans="1:7" x14ac:dyDescent="0.2">
      <c r="A6972" s="16"/>
      <c r="B6972" s="17"/>
      <c r="C6972" s="17"/>
      <c r="D6972" s="17"/>
      <c r="E6972" s="17"/>
      <c r="F6972" s="17"/>
      <c r="G6972" s="18"/>
    </row>
    <row r="6973" spans="1:7" x14ac:dyDescent="0.2">
      <c r="A6973" s="19"/>
      <c r="B6973" s="20"/>
      <c r="C6973" s="20"/>
      <c r="D6973" s="20"/>
      <c r="E6973" s="20"/>
      <c r="F6973" s="20"/>
      <c r="G6973" s="21"/>
    </row>
    <row r="6974" spans="1:7" x14ac:dyDescent="0.2">
      <c r="A6974" s="16"/>
      <c r="B6974" s="17"/>
      <c r="C6974" s="17"/>
      <c r="D6974" s="17"/>
      <c r="E6974" s="17"/>
      <c r="F6974" s="17"/>
      <c r="G6974" s="18"/>
    </row>
    <row r="6975" spans="1:7" x14ac:dyDescent="0.2">
      <c r="A6975" s="19"/>
      <c r="B6975" s="20"/>
      <c r="C6975" s="20"/>
      <c r="D6975" s="20"/>
      <c r="E6975" s="20"/>
      <c r="F6975" s="20"/>
      <c r="G6975" s="21"/>
    </row>
    <row r="6976" spans="1:7" x14ac:dyDescent="0.2">
      <c r="A6976" s="16"/>
      <c r="B6976" s="17"/>
      <c r="C6976" s="17"/>
      <c r="D6976" s="17"/>
      <c r="E6976" s="17"/>
      <c r="F6976" s="17"/>
      <c r="G6976" s="18"/>
    </row>
    <row r="6977" spans="1:7" x14ac:dyDescent="0.2">
      <c r="A6977" s="19"/>
      <c r="B6977" s="20"/>
      <c r="C6977" s="20"/>
      <c r="D6977" s="20"/>
      <c r="E6977" s="20"/>
      <c r="F6977" s="20"/>
      <c r="G6977" s="21"/>
    </row>
    <row r="6978" spans="1:7" x14ac:dyDescent="0.2">
      <c r="A6978" s="16"/>
      <c r="B6978" s="17"/>
      <c r="C6978" s="17"/>
      <c r="D6978" s="17"/>
      <c r="E6978" s="17"/>
      <c r="F6978" s="17"/>
      <c r="G6978" s="18"/>
    </row>
    <row r="6979" spans="1:7" x14ac:dyDescent="0.2">
      <c r="A6979" s="19"/>
      <c r="B6979" s="20"/>
      <c r="C6979" s="20"/>
      <c r="D6979" s="20"/>
      <c r="E6979" s="20"/>
      <c r="F6979" s="20"/>
      <c r="G6979" s="21"/>
    </row>
    <row r="6980" spans="1:7" x14ac:dyDescent="0.2">
      <c r="A6980" s="16"/>
      <c r="B6980" s="17"/>
      <c r="C6980" s="17"/>
      <c r="D6980" s="17"/>
      <c r="E6980" s="17"/>
      <c r="F6980" s="17"/>
      <c r="G6980" s="18"/>
    </row>
    <row r="6981" spans="1:7" x14ac:dyDescent="0.2">
      <c r="A6981" s="19"/>
      <c r="B6981" s="20"/>
      <c r="C6981" s="20"/>
      <c r="D6981" s="20"/>
      <c r="E6981" s="20"/>
      <c r="F6981" s="20"/>
      <c r="G6981" s="21"/>
    </row>
    <row r="6982" spans="1:7" x14ac:dyDescent="0.2">
      <c r="A6982" s="16"/>
      <c r="B6982" s="17"/>
      <c r="C6982" s="17"/>
      <c r="D6982" s="17"/>
      <c r="E6982" s="17"/>
      <c r="F6982" s="17"/>
      <c r="G6982" s="18"/>
    </row>
    <row r="6983" spans="1:7" x14ac:dyDescent="0.2">
      <c r="A6983" s="19"/>
      <c r="B6983" s="20"/>
      <c r="C6983" s="20"/>
      <c r="D6983" s="20"/>
      <c r="E6983" s="20"/>
      <c r="F6983" s="20"/>
      <c r="G6983" s="21"/>
    </row>
    <row r="6984" spans="1:7" x14ac:dyDescent="0.2">
      <c r="A6984" s="16"/>
      <c r="B6984" s="17"/>
      <c r="C6984" s="17"/>
      <c r="D6984" s="17"/>
      <c r="E6984" s="17"/>
      <c r="F6984" s="17"/>
      <c r="G6984" s="18"/>
    </row>
    <row r="6985" spans="1:7" x14ac:dyDescent="0.2">
      <c r="A6985" s="19"/>
      <c r="B6985" s="20"/>
      <c r="C6985" s="20"/>
      <c r="D6985" s="20"/>
      <c r="E6985" s="20"/>
      <c r="F6985" s="20"/>
      <c r="G6985" s="21"/>
    </row>
    <row r="6986" spans="1:7" x14ac:dyDescent="0.2">
      <c r="A6986" s="16"/>
      <c r="B6986" s="17"/>
      <c r="C6986" s="17"/>
      <c r="D6986" s="17"/>
      <c r="E6986" s="17"/>
      <c r="F6986" s="17"/>
      <c r="G6986" s="18"/>
    </row>
    <row r="6987" spans="1:7" x14ac:dyDescent="0.2">
      <c r="A6987" s="19"/>
      <c r="B6987" s="20"/>
      <c r="C6987" s="20"/>
      <c r="D6987" s="20"/>
      <c r="E6987" s="20"/>
      <c r="F6987" s="20"/>
      <c r="G6987" s="21"/>
    </row>
    <row r="6988" spans="1:7" x14ac:dyDescent="0.2">
      <c r="A6988" s="16"/>
      <c r="B6988" s="17"/>
      <c r="C6988" s="17"/>
      <c r="D6988" s="17"/>
      <c r="E6988" s="17"/>
      <c r="F6988" s="17"/>
      <c r="G6988" s="18"/>
    </row>
    <row r="6989" spans="1:7" x14ac:dyDescent="0.2">
      <c r="A6989" s="19"/>
      <c r="B6989" s="20"/>
      <c r="C6989" s="20"/>
      <c r="D6989" s="20"/>
      <c r="E6989" s="20"/>
      <c r="F6989" s="20"/>
      <c r="G6989" s="21"/>
    </row>
    <row r="6990" spans="1:7" x14ac:dyDescent="0.2">
      <c r="A6990" s="16"/>
      <c r="B6990" s="17"/>
      <c r="C6990" s="17"/>
      <c r="D6990" s="17"/>
      <c r="E6990" s="17"/>
      <c r="F6990" s="17"/>
      <c r="G6990" s="18"/>
    </row>
    <row r="6991" spans="1:7" x14ac:dyDescent="0.2">
      <c r="A6991" s="19"/>
      <c r="B6991" s="20"/>
      <c r="C6991" s="20"/>
      <c r="D6991" s="20"/>
      <c r="E6991" s="20"/>
      <c r="F6991" s="20"/>
      <c r="G6991" s="21"/>
    </row>
    <row r="6992" spans="1:7" x14ac:dyDescent="0.2">
      <c r="A6992" s="16"/>
      <c r="B6992" s="17"/>
      <c r="C6992" s="17"/>
      <c r="D6992" s="17"/>
      <c r="E6992" s="17"/>
      <c r="F6992" s="17"/>
      <c r="G6992" s="18"/>
    </row>
    <row r="6993" spans="1:7" x14ac:dyDescent="0.2">
      <c r="A6993" s="19"/>
      <c r="B6993" s="20"/>
      <c r="C6993" s="20"/>
      <c r="D6993" s="20"/>
      <c r="E6993" s="20"/>
      <c r="F6993" s="20"/>
      <c r="G6993" s="21"/>
    </row>
    <row r="6994" spans="1:7" x14ac:dyDescent="0.2">
      <c r="A6994" s="16"/>
      <c r="B6994" s="17"/>
      <c r="C6994" s="17"/>
      <c r="D6994" s="17"/>
      <c r="E6994" s="17"/>
      <c r="F6994" s="17"/>
      <c r="G6994" s="18"/>
    </row>
    <row r="6995" spans="1:7" x14ac:dyDescent="0.2">
      <c r="A6995" s="19"/>
      <c r="B6995" s="20"/>
      <c r="C6995" s="20"/>
      <c r="D6995" s="20"/>
      <c r="E6995" s="20"/>
      <c r="F6995" s="20"/>
      <c r="G6995" s="21"/>
    </row>
    <row r="6996" spans="1:7" x14ac:dyDescent="0.2">
      <c r="A6996" s="16"/>
      <c r="B6996" s="17"/>
      <c r="C6996" s="17"/>
      <c r="D6996" s="17"/>
      <c r="E6996" s="17"/>
      <c r="F6996" s="17"/>
      <c r="G6996" s="18"/>
    </row>
    <row r="6997" spans="1:7" x14ac:dyDescent="0.2">
      <c r="A6997" s="19"/>
      <c r="B6997" s="20"/>
      <c r="C6997" s="20"/>
      <c r="D6997" s="20"/>
      <c r="E6997" s="20"/>
      <c r="F6997" s="20"/>
      <c r="G6997" s="21"/>
    </row>
    <row r="6998" spans="1:7" x14ac:dyDescent="0.2">
      <c r="A6998" s="16"/>
      <c r="B6998" s="17"/>
      <c r="C6998" s="17"/>
      <c r="D6998" s="17"/>
      <c r="E6998" s="17"/>
      <c r="F6998" s="17"/>
      <c r="G6998" s="18"/>
    </row>
    <row r="6999" spans="1:7" x14ac:dyDescent="0.2">
      <c r="A6999" s="19"/>
      <c r="B6999" s="20"/>
      <c r="C6999" s="20"/>
      <c r="D6999" s="20"/>
      <c r="E6999" s="20"/>
      <c r="F6999" s="20"/>
      <c r="G6999" s="21"/>
    </row>
    <row r="7000" spans="1:7" x14ac:dyDescent="0.2">
      <c r="A7000" s="16"/>
      <c r="B7000" s="17"/>
      <c r="C7000" s="17"/>
      <c r="D7000" s="17"/>
      <c r="E7000" s="17"/>
      <c r="F7000" s="17"/>
      <c r="G7000" s="18"/>
    </row>
    <row r="7001" spans="1:7" x14ac:dyDescent="0.2">
      <c r="A7001" s="19"/>
      <c r="B7001" s="20"/>
      <c r="C7001" s="20"/>
      <c r="D7001" s="20"/>
      <c r="E7001" s="20"/>
      <c r="F7001" s="20"/>
      <c r="G7001" s="21"/>
    </row>
    <row r="7002" spans="1:7" x14ac:dyDescent="0.2">
      <c r="A7002" s="16"/>
      <c r="B7002" s="17"/>
      <c r="C7002" s="17"/>
      <c r="D7002" s="17"/>
      <c r="E7002" s="17"/>
      <c r="F7002" s="17"/>
      <c r="G7002" s="18"/>
    </row>
    <row r="7003" spans="1:7" x14ac:dyDescent="0.2">
      <c r="A7003" s="19"/>
      <c r="B7003" s="20"/>
      <c r="C7003" s="20"/>
      <c r="D7003" s="20"/>
      <c r="E7003" s="20"/>
      <c r="F7003" s="20"/>
      <c r="G7003" s="21"/>
    </row>
    <row r="7004" spans="1:7" x14ac:dyDescent="0.2">
      <c r="A7004" s="16"/>
      <c r="B7004" s="17"/>
      <c r="C7004" s="17"/>
      <c r="D7004" s="17"/>
      <c r="E7004" s="17"/>
      <c r="F7004" s="17"/>
      <c r="G7004" s="18"/>
    </row>
    <row r="7005" spans="1:7" x14ac:dyDescent="0.2">
      <c r="A7005" s="19"/>
      <c r="B7005" s="20"/>
      <c r="C7005" s="20"/>
      <c r="D7005" s="20"/>
      <c r="E7005" s="20"/>
      <c r="F7005" s="20"/>
      <c r="G7005" s="21"/>
    </row>
    <row r="7006" spans="1:7" x14ac:dyDescent="0.2">
      <c r="A7006" s="16"/>
      <c r="B7006" s="17"/>
      <c r="C7006" s="17"/>
      <c r="D7006" s="17"/>
      <c r="E7006" s="17"/>
      <c r="F7006" s="17"/>
      <c r="G7006" s="18"/>
    </row>
    <row r="7007" spans="1:7" x14ac:dyDescent="0.2">
      <c r="A7007" s="19"/>
      <c r="B7007" s="20"/>
      <c r="C7007" s="20"/>
      <c r="D7007" s="20"/>
      <c r="E7007" s="20"/>
      <c r="F7007" s="20"/>
      <c r="G7007" s="21"/>
    </row>
    <row r="7008" spans="1:7" x14ac:dyDescent="0.2">
      <c r="A7008" s="16"/>
      <c r="B7008" s="17"/>
      <c r="C7008" s="17"/>
      <c r="D7008" s="17"/>
      <c r="E7008" s="17"/>
      <c r="F7008" s="17"/>
      <c r="G7008" s="18"/>
    </row>
    <row r="7009" spans="1:7" x14ac:dyDescent="0.2">
      <c r="A7009" s="19"/>
      <c r="B7009" s="20"/>
      <c r="C7009" s="20"/>
      <c r="D7009" s="20"/>
      <c r="E7009" s="20"/>
      <c r="F7009" s="20"/>
      <c r="G7009" s="21"/>
    </row>
    <row r="7010" spans="1:7" x14ac:dyDescent="0.2">
      <c r="A7010" s="16"/>
      <c r="B7010" s="17"/>
      <c r="C7010" s="17"/>
      <c r="D7010" s="17"/>
      <c r="E7010" s="17"/>
      <c r="F7010" s="17"/>
      <c r="G7010" s="18"/>
    </row>
    <row r="7011" spans="1:7" x14ac:dyDescent="0.2">
      <c r="A7011" s="19"/>
      <c r="B7011" s="20"/>
      <c r="C7011" s="20"/>
      <c r="D7011" s="20"/>
      <c r="E7011" s="20"/>
      <c r="F7011" s="20"/>
      <c r="G7011" s="21"/>
    </row>
    <row r="7012" spans="1:7" x14ac:dyDescent="0.2">
      <c r="A7012" s="16"/>
      <c r="B7012" s="17"/>
      <c r="C7012" s="17"/>
      <c r="D7012" s="17"/>
      <c r="E7012" s="17"/>
      <c r="F7012" s="17"/>
      <c r="G7012" s="18"/>
    </row>
    <row r="7013" spans="1:7" x14ac:dyDescent="0.2">
      <c r="A7013" s="19"/>
      <c r="B7013" s="20"/>
      <c r="C7013" s="20"/>
      <c r="D7013" s="20"/>
      <c r="E7013" s="20"/>
      <c r="F7013" s="20"/>
      <c r="G7013" s="21"/>
    </row>
    <row r="7014" spans="1:7" x14ac:dyDescent="0.2">
      <c r="A7014" s="16"/>
      <c r="B7014" s="17"/>
      <c r="C7014" s="17"/>
      <c r="D7014" s="17"/>
      <c r="E7014" s="17"/>
      <c r="F7014" s="17"/>
      <c r="G7014" s="18"/>
    </row>
    <row r="7015" spans="1:7" x14ac:dyDescent="0.2">
      <c r="A7015" s="19"/>
      <c r="B7015" s="20"/>
      <c r="C7015" s="20"/>
      <c r="D7015" s="20"/>
      <c r="E7015" s="20"/>
      <c r="F7015" s="20"/>
      <c r="G7015" s="21"/>
    </row>
    <row r="7016" spans="1:7" x14ac:dyDescent="0.2">
      <c r="A7016" s="16"/>
      <c r="B7016" s="17"/>
      <c r="C7016" s="17"/>
      <c r="D7016" s="17"/>
      <c r="E7016" s="17"/>
      <c r="F7016" s="17"/>
      <c r="G7016" s="18"/>
    </row>
    <row r="7017" spans="1:7" x14ac:dyDescent="0.2">
      <c r="A7017" s="19"/>
      <c r="B7017" s="20"/>
      <c r="C7017" s="20"/>
      <c r="D7017" s="20"/>
      <c r="E7017" s="20"/>
      <c r="F7017" s="20"/>
      <c r="G7017" s="21"/>
    </row>
    <row r="7018" spans="1:7" x14ac:dyDescent="0.2">
      <c r="A7018" s="16"/>
      <c r="B7018" s="17"/>
      <c r="C7018" s="17"/>
      <c r="D7018" s="17"/>
      <c r="E7018" s="17"/>
      <c r="F7018" s="17"/>
      <c r="G7018" s="18"/>
    </row>
    <row r="7019" spans="1:7" x14ac:dyDescent="0.2">
      <c r="A7019" s="19"/>
      <c r="B7019" s="20"/>
      <c r="C7019" s="20"/>
      <c r="D7019" s="20"/>
      <c r="E7019" s="20"/>
      <c r="F7019" s="20"/>
      <c r="G7019" s="21"/>
    </row>
    <row r="7020" spans="1:7" x14ac:dyDescent="0.2">
      <c r="A7020" s="16"/>
      <c r="B7020" s="17"/>
      <c r="C7020" s="17"/>
      <c r="D7020" s="17"/>
      <c r="E7020" s="17"/>
      <c r="F7020" s="17"/>
      <c r="G7020" s="18"/>
    </row>
    <row r="7021" spans="1:7" x14ac:dyDescent="0.2">
      <c r="A7021" s="19"/>
      <c r="B7021" s="20"/>
      <c r="C7021" s="20"/>
      <c r="D7021" s="20"/>
      <c r="E7021" s="20"/>
      <c r="F7021" s="20"/>
      <c r="G7021" s="21"/>
    </row>
    <row r="7022" spans="1:7" x14ac:dyDescent="0.2">
      <c r="A7022" s="16"/>
      <c r="B7022" s="17"/>
      <c r="C7022" s="17"/>
      <c r="D7022" s="17"/>
      <c r="E7022" s="17"/>
      <c r="F7022" s="17"/>
      <c r="G7022" s="18"/>
    </row>
    <row r="7023" spans="1:7" x14ac:dyDescent="0.2">
      <c r="A7023" s="19"/>
      <c r="B7023" s="20"/>
      <c r="C7023" s="20"/>
      <c r="D7023" s="20"/>
      <c r="E7023" s="20"/>
      <c r="F7023" s="20"/>
      <c r="G7023" s="21"/>
    </row>
    <row r="7024" spans="1:7" x14ac:dyDescent="0.2">
      <c r="A7024" s="16"/>
      <c r="B7024" s="17"/>
      <c r="C7024" s="17"/>
      <c r="D7024" s="17"/>
      <c r="E7024" s="17"/>
      <c r="F7024" s="17"/>
      <c r="G7024" s="18"/>
    </row>
    <row r="7025" spans="1:7" x14ac:dyDescent="0.2">
      <c r="A7025" s="19"/>
      <c r="B7025" s="20"/>
      <c r="C7025" s="20"/>
      <c r="D7025" s="20"/>
      <c r="E7025" s="20"/>
      <c r="F7025" s="20"/>
      <c r="G7025" s="21"/>
    </row>
    <row r="7026" spans="1:7" x14ac:dyDescent="0.2">
      <c r="A7026" s="16"/>
      <c r="B7026" s="17"/>
      <c r="C7026" s="17"/>
      <c r="D7026" s="17"/>
      <c r="E7026" s="17"/>
      <c r="F7026" s="17"/>
      <c r="G7026" s="18"/>
    </row>
    <row r="7027" spans="1:7" x14ac:dyDescent="0.2">
      <c r="A7027" s="19"/>
      <c r="B7027" s="20"/>
      <c r="C7027" s="20"/>
      <c r="D7027" s="20"/>
      <c r="E7027" s="20"/>
      <c r="F7027" s="20"/>
      <c r="G7027" s="21"/>
    </row>
    <row r="7028" spans="1:7" x14ac:dyDescent="0.2">
      <c r="A7028" s="16"/>
      <c r="B7028" s="17"/>
      <c r="C7028" s="17"/>
      <c r="D7028" s="17"/>
      <c r="E7028" s="17"/>
      <c r="F7028" s="17"/>
      <c r="G7028" s="18"/>
    </row>
    <row r="7029" spans="1:7" x14ac:dyDescent="0.2">
      <c r="A7029" s="19"/>
      <c r="B7029" s="20"/>
      <c r="C7029" s="20"/>
      <c r="D7029" s="20"/>
      <c r="E7029" s="20"/>
      <c r="F7029" s="20"/>
      <c r="G7029" s="21"/>
    </row>
    <row r="7030" spans="1:7" x14ac:dyDescent="0.2">
      <c r="A7030" s="16"/>
      <c r="B7030" s="17"/>
      <c r="C7030" s="17"/>
      <c r="D7030" s="17"/>
      <c r="E7030" s="17"/>
      <c r="F7030" s="17"/>
      <c r="G7030" s="18"/>
    </row>
    <row r="7031" spans="1:7" x14ac:dyDescent="0.2">
      <c r="A7031" s="19"/>
      <c r="B7031" s="20"/>
      <c r="C7031" s="20"/>
      <c r="D7031" s="20"/>
      <c r="E7031" s="20"/>
      <c r="F7031" s="20"/>
      <c r="G7031" s="21"/>
    </row>
    <row r="7032" spans="1:7" x14ac:dyDescent="0.2">
      <c r="A7032" s="16"/>
      <c r="B7032" s="17"/>
      <c r="C7032" s="17"/>
      <c r="D7032" s="17"/>
      <c r="E7032" s="17"/>
      <c r="F7032" s="17"/>
      <c r="G7032" s="18"/>
    </row>
    <row r="7033" spans="1:7" x14ac:dyDescent="0.2">
      <c r="A7033" s="19"/>
      <c r="B7033" s="20"/>
      <c r="C7033" s="20"/>
      <c r="D7033" s="20"/>
      <c r="E7033" s="20"/>
      <c r="F7033" s="20"/>
      <c r="G7033" s="21"/>
    </row>
    <row r="7034" spans="1:7" x14ac:dyDescent="0.2">
      <c r="A7034" s="16"/>
      <c r="B7034" s="17"/>
      <c r="C7034" s="17"/>
      <c r="D7034" s="17"/>
      <c r="E7034" s="17"/>
      <c r="F7034" s="17"/>
      <c r="G7034" s="18"/>
    </row>
    <row r="7035" spans="1:7" x14ac:dyDescent="0.2">
      <c r="A7035" s="19"/>
      <c r="B7035" s="20"/>
      <c r="C7035" s="20"/>
      <c r="D7035" s="20"/>
      <c r="E7035" s="20"/>
      <c r="F7035" s="20"/>
      <c r="G7035" s="21"/>
    </row>
    <row r="7036" spans="1:7" x14ac:dyDescent="0.2">
      <c r="A7036" s="16"/>
      <c r="B7036" s="17"/>
      <c r="C7036" s="17"/>
      <c r="D7036" s="17"/>
      <c r="E7036" s="17"/>
      <c r="F7036" s="17"/>
      <c r="G7036" s="18"/>
    </row>
    <row r="7037" spans="1:7" x14ac:dyDescent="0.2">
      <c r="A7037" s="19"/>
      <c r="B7037" s="20"/>
      <c r="C7037" s="20"/>
      <c r="D7037" s="20"/>
      <c r="E7037" s="20"/>
      <c r="F7037" s="20"/>
      <c r="G7037" s="21"/>
    </row>
    <row r="7038" spans="1:7" x14ac:dyDescent="0.2">
      <c r="A7038" s="16"/>
      <c r="B7038" s="17"/>
      <c r="C7038" s="17"/>
      <c r="D7038" s="17"/>
      <c r="E7038" s="17"/>
      <c r="F7038" s="17"/>
      <c r="G7038" s="18"/>
    </row>
    <row r="7039" spans="1:7" x14ac:dyDescent="0.2">
      <c r="A7039" s="19"/>
      <c r="B7039" s="20"/>
      <c r="C7039" s="20"/>
      <c r="D7039" s="20"/>
      <c r="E7039" s="20"/>
      <c r="F7039" s="20"/>
      <c r="G7039" s="21"/>
    </row>
    <row r="7040" spans="1:7" x14ac:dyDescent="0.2">
      <c r="A7040" s="16"/>
      <c r="B7040" s="17"/>
      <c r="C7040" s="17"/>
      <c r="D7040" s="17"/>
      <c r="E7040" s="17"/>
      <c r="F7040" s="17"/>
      <c r="G7040" s="18"/>
    </row>
    <row r="7041" spans="1:7" x14ac:dyDescent="0.2">
      <c r="A7041" s="19"/>
      <c r="B7041" s="20"/>
      <c r="C7041" s="20"/>
      <c r="D7041" s="20"/>
      <c r="E7041" s="20"/>
      <c r="F7041" s="20"/>
      <c r="G7041" s="21"/>
    </row>
    <row r="7042" spans="1:7" x14ac:dyDescent="0.2">
      <c r="A7042" s="16"/>
      <c r="B7042" s="17"/>
      <c r="C7042" s="17"/>
      <c r="D7042" s="17"/>
      <c r="E7042" s="17"/>
      <c r="F7042" s="17"/>
      <c r="G7042" s="18"/>
    </row>
    <row r="7043" spans="1:7" x14ac:dyDescent="0.2">
      <c r="A7043" s="19"/>
      <c r="B7043" s="20"/>
      <c r="C7043" s="20"/>
      <c r="D7043" s="20"/>
      <c r="E7043" s="20"/>
      <c r="F7043" s="20"/>
      <c r="G7043" s="21"/>
    </row>
    <row r="7044" spans="1:7" x14ac:dyDescent="0.2">
      <c r="A7044" s="16"/>
      <c r="B7044" s="17"/>
      <c r="C7044" s="17"/>
      <c r="D7044" s="17"/>
      <c r="E7044" s="17"/>
      <c r="F7044" s="17"/>
      <c r="G7044" s="18"/>
    </row>
    <row r="7045" spans="1:7" x14ac:dyDescent="0.2">
      <c r="A7045" s="19"/>
      <c r="B7045" s="20"/>
      <c r="C7045" s="20"/>
      <c r="D7045" s="20"/>
      <c r="E7045" s="20"/>
      <c r="F7045" s="20"/>
      <c r="G7045" s="21"/>
    </row>
    <row r="7046" spans="1:7" x14ac:dyDescent="0.2">
      <c r="A7046" s="16"/>
      <c r="B7046" s="17"/>
      <c r="C7046" s="17"/>
      <c r="D7046" s="17"/>
      <c r="E7046" s="17"/>
      <c r="F7046" s="17"/>
      <c r="G7046" s="18"/>
    </row>
    <row r="7047" spans="1:7" x14ac:dyDescent="0.2">
      <c r="A7047" s="19"/>
      <c r="B7047" s="20"/>
      <c r="C7047" s="20"/>
      <c r="D7047" s="20"/>
      <c r="E7047" s="20"/>
      <c r="F7047" s="20"/>
      <c r="G7047" s="21"/>
    </row>
    <row r="7048" spans="1:7" x14ac:dyDescent="0.2">
      <c r="A7048" s="16"/>
      <c r="B7048" s="17"/>
      <c r="C7048" s="17"/>
      <c r="D7048" s="17"/>
      <c r="E7048" s="17"/>
      <c r="F7048" s="17"/>
      <c r="G7048" s="18"/>
    </row>
    <row r="7049" spans="1:7" x14ac:dyDescent="0.2">
      <c r="A7049" s="19"/>
      <c r="B7049" s="20"/>
      <c r="C7049" s="20"/>
      <c r="D7049" s="20"/>
      <c r="E7049" s="20"/>
      <c r="F7049" s="20"/>
      <c r="G7049" s="21"/>
    </row>
    <row r="7050" spans="1:7" x14ac:dyDescent="0.2">
      <c r="A7050" s="16"/>
      <c r="B7050" s="17"/>
      <c r="C7050" s="17"/>
      <c r="D7050" s="17"/>
      <c r="E7050" s="17"/>
      <c r="F7050" s="17"/>
      <c r="G7050" s="18"/>
    </row>
    <row r="7051" spans="1:7" x14ac:dyDescent="0.2">
      <c r="A7051" s="19"/>
      <c r="B7051" s="20"/>
      <c r="C7051" s="20"/>
      <c r="D7051" s="20"/>
      <c r="E7051" s="20"/>
      <c r="F7051" s="20"/>
      <c r="G7051" s="21"/>
    </row>
    <row r="7052" spans="1:7" x14ac:dyDescent="0.2">
      <c r="A7052" s="16"/>
      <c r="B7052" s="17"/>
      <c r="C7052" s="17"/>
      <c r="D7052" s="17"/>
      <c r="E7052" s="17"/>
      <c r="F7052" s="17"/>
      <c r="G7052" s="18"/>
    </row>
    <row r="7053" spans="1:7" x14ac:dyDescent="0.2">
      <c r="A7053" s="19"/>
      <c r="B7053" s="20"/>
      <c r="C7053" s="20"/>
      <c r="D7053" s="20"/>
      <c r="E7053" s="20"/>
      <c r="F7053" s="20"/>
      <c r="G7053" s="21"/>
    </row>
    <row r="7054" spans="1:7" x14ac:dyDescent="0.2">
      <c r="A7054" s="16"/>
      <c r="B7054" s="17"/>
      <c r="C7054" s="17"/>
      <c r="D7054" s="17"/>
      <c r="E7054" s="17"/>
      <c r="F7054" s="17"/>
      <c r="G7054" s="18"/>
    </row>
    <row r="7055" spans="1:7" x14ac:dyDescent="0.2">
      <c r="A7055" s="19"/>
      <c r="B7055" s="20"/>
      <c r="C7055" s="20"/>
      <c r="D7055" s="20"/>
      <c r="E7055" s="20"/>
      <c r="F7055" s="20"/>
      <c r="G7055" s="21"/>
    </row>
    <row r="7056" spans="1:7" x14ac:dyDescent="0.2">
      <c r="A7056" s="16"/>
      <c r="B7056" s="17"/>
      <c r="C7056" s="17"/>
      <c r="D7056" s="17"/>
      <c r="E7056" s="17"/>
      <c r="F7056" s="17"/>
      <c r="G7056" s="18"/>
    </row>
    <row r="7057" spans="1:7" x14ac:dyDescent="0.2">
      <c r="A7057" s="19"/>
      <c r="B7057" s="20"/>
      <c r="C7057" s="20"/>
      <c r="D7057" s="20"/>
      <c r="E7057" s="20"/>
      <c r="F7057" s="20"/>
      <c r="G7057" s="21"/>
    </row>
    <row r="7058" spans="1:7" x14ac:dyDescent="0.2">
      <c r="A7058" s="16"/>
      <c r="B7058" s="17"/>
      <c r="C7058" s="17"/>
      <c r="D7058" s="17"/>
      <c r="E7058" s="17"/>
      <c r="F7058" s="17"/>
      <c r="G7058" s="18"/>
    </row>
    <row r="7059" spans="1:7" x14ac:dyDescent="0.2">
      <c r="A7059" s="19"/>
      <c r="B7059" s="20"/>
      <c r="C7059" s="20"/>
      <c r="D7059" s="20"/>
      <c r="E7059" s="20"/>
      <c r="F7059" s="20"/>
      <c r="G7059" s="21"/>
    </row>
    <row r="7060" spans="1:7" x14ac:dyDescent="0.2">
      <c r="A7060" s="16"/>
      <c r="B7060" s="17"/>
      <c r="C7060" s="17"/>
      <c r="D7060" s="17"/>
      <c r="E7060" s="17"/>
      <c r="F7060" s="17"/>
      <c r="G7060" s="18"/>
    </row>
    <row r="7061" spans="1:7" x14ac:dyDescent="0.2">
      <c r="A7061" s="19"/>
      <c r="B7061" s="20"/>
      <c r="C7061" s="20"/>
      <c r="D7061" s="20"/>
      <c r="E7061" s="20"/>
      <c r="F7061" s="20"/>
      <c r="G7061" s="21"/>
    </row>
    <row r="7062" spans="1:7" x14ac:dyDescent="0.2">
      <c r="A7062" s="16"/>
      <c r="B7062" s="17"/>
      <c r="C7062" s="17"/>
      <c r="D7062" s="17"/>
      <c r="E7062" s="17"/>
      <c r="F7062" s="17"/>
      <c r="G7062" s="18"/>
    </row>
    <row r="7063" spans="1:7" x14ac:dyDescent="0.2">
      <c r="A7063" s="19"/>
      <c r="B7063" s="20"/>
      <c r="C7063" s="20"/>
      <c r="D7063" s="20"/>
      <c r="E7063" s="20"/>
      <c r="F7063" s="20"/>
      <c r="G7063" s="21"/>
    </row>
    <row r="7064" spans="1:7" x14ac:dyDescent="0.2">
      <c r="A7064" s="16"/>
      <c r="B7064" s="17"/>
      <c r="C7064" s="17"/>
      <c r="D7064" s="17"/>
      <c r="E7064" s="17"/>
      <c r="F7064" s="17"/>
      <c r="G7064" s="18"/>
    </row>
    <row r="7065" spans="1:7" x14ac:dyDescent="0.2">
      <c r="A7065" s="19"/>
      <c r="B7065" s="20"/>
      <c r="C7065" s="20"/>
      <c r="D7065" s="20"/>
      <c r="E7065" s="20"/>
      <c r="F7065" s="20"/>
      <c r="G7065" s="21"/>
    </row>
    <row r="7066" spans="1:7" x14ac:dyDescent="0.2">
      <c r="A7066" s="16"/>
      <c r="B7066" s="17"/>
      <c r="C7066" s="17"/>
      <c r="D7066" s="17"/>
      <c r="E7066" s="17"/>
      <c r="F7066" s="17"/>
      <c r="G7066" s="18"/>
    </row>
    <row r="7067" spans="1:7" x14ac:dyDescent="0.2">
      <c r="A7067" s="19"/>
      <c r="B7067" s="20"/>
      <c r="C7067" s="20"/>
      <c r="D7067" s="20"/>
      <c r="E7067" s="20"/>
      <c r="F7067" s="20"/>
      <c r="G7067" s="21"/>
    </row>
    <row r="7068" spans="1:7" x14ac:dyDescent="0.2">
      <c r="A7068" s="16"/>
      <c r="B7068" s="17"/>
      <c r="C7068" s="17"/>
      <c r="D7068" s="17"/>
      <c r="E7068" s="17"/>
      <c r="F7068" s="17"/>
      <c r="G7068" s="18"/>
    </row>
    <row r="7069" spans="1:7" x14ac:dyDescent="0.2">
      <c r="A7069" s="19"/>
      <c r="B7069" s="20"/>
      <c r="C7069" s="20"/>
      <c r="D7069" s="20"/>
      <c r="E7069" s="20"/>
      <c r="F7069" s="20"/>
      <c r="G7069" s="21"/>
    </row>
    <row r="7070" spans="1:7" x14ac:dyDescent="0.2">
      <c r="A7070" s="16"/>
      <c r="B7070" s="17"/>
      <c r="C7070" s="17"/>
      <c r="D7070" s="17"/>
      <c r="E7070" s="17"/>
      <c r="F7070" s="17"/>
      <c r="G7070" s="18"/>
    </row>
    <row r="7071" spans="1:7" x14ac:dyDescent="0.2">
      <c r="A7071" s="19"/>
      <c r="B7071" s="20"/>
      <c r="C7071" s="20"/>
      <c r="D7071" s="20"/>
      <c r="E7071" s="20"/>
      <c r="F7071" s="20"/>
      <c r="G7071" s="21"/>
    </row>
    <row r="7072" spans="1:7" x14ac:dyDescent="0.2">
      <c r="A7072" s="16"/>
      <c r="B7072" s="17"/>
      <c r="C7072" s="17"/>
      <c r="D7072" s="17"/>
      <c r="E7072" s="17"/>
      <c r="F7072" s="17"/>
      <c r="G7072" s="18"/>
    </row>
    <row r="7073" spans="1:7" x14ac:dyDescent="0.2">
      <c r="A7073" s="19"/>
      <c r="B7073" s="20"/>
      <c r="C7073" s="20"/>
      <c r="D7073" s="20"/>
      <c r="E7073" s="20"/>
      <c r="F7073" s="20"/>
      <c r="G7073" s="21"/>
    </row>
    <row r="7074" spans="1:7" x14ac:dyDescent="0.2">
      <c r="A7074" s="16"/>
      <c r="B7074" s="17"/>
      <c r="C7074" s="17"/>
      <c r="D7074" s="17"/>
      <c r="E7074" s="17"/>
      <c r="F7074" s="17"/>
      <c r="G7074" s="18"/>
    </row>
    <row r="7075" spans="1:7" x14ac:dyDescent="0.2">
      <c r="A7075" s="19"/>
      <c r="B7075" s="20"/>
      <c r="C7075" s="20"/>
      <c r="D7075" s="20"/>
      <c r="E7075" s="20"/>
      <c r="F7075" s="20"/>
      <c r="G7075" s="21"/>
    </row>
    <row r="7076" spans="1:7" x14ac:dyDescent="0.2">
      <c r="A7076" s="16"/>
      <c r="B7076" s="17"/>
      <c r="C7076" s="17"/>
      <c r="D7076" s="17"/>
      <c r="E7076" s="17"/>
      <c r="F7076" s="17"/>
      <c r="G7076" s="18"/>
    </row>
    <row r="7077" spans="1:7" x14ac:dyDescent="0.2">
      <c r="A7077" s="19"/>
      <c r="B7077" s="20"/>
      <c r="C7077" s="20"/>
      <c r="D7077" s="20"/>
      <c r="E7077" s="20"/>
      <c r="F7077" s="20"/>
      <c r="G7077" s="21"/>
    </row>
    <row r="7078" spans="1:7" x14ac:dyDescent="0.2">
      <c r="A7078" s="16"/>
      <c r="B7078" s="17"/>
      <c r="C7078" s="17"/>
      <c r="D7078" s="17"/>
      <c r="E7078" s="17"/>
      <c r="F7078" s="17"/>
      <c r="G7078" s="18"/>
    </row>
    <row r="7079" spans="1:7" x14ac:dyDescent="0.2">
      <c r="A7079" s="19"/>
      <c r="B7079" s="20"/>
      <c r="C7079" s="20"/>
      <c r="D7079" s="20"/>
      <c r="E7079" s="20"/>
      <c r="F7079" s="20"/>
      <c r="G7079" s="21"/>
    </row>
    <row r="7080" spans="1:7" x14ac:dyDescent="0.2">
      <c r="A7080" s="16"/>
      <c r="B7080" s="17"/>
      <c r="C7080" s="17"/>
      <c r="D7080" s="17"/>
      <c r="E7080" s="17"/>
      <c r="F7080" s="17"/>
      <c r="G7080" s="18"/>
    </row>
    <row r="7081" spans="1:7" x14ac:dyDescent="0.2">
      <c r="A7081" s="19"/>
      <c r="B7081" s="20"/>
      <c r="C7081" s="20"/>
      <c r="D7081" s="20"/>
      <c r="E7081" s="20"/>
      <c r="F7081" s="20"/>
      <c r="G7081" s="21"/>
    </row>
    <row r="7082" spans="1:7" x14ac:dyDescent="0.2">
      <c r="A7082" s="16"/>
      <c r="B7082" s="17"/>
      <c r="C7082" s="17"/>
      <c r="D7082" s="17"/>
      <c r="E7082" s="17"/>
      <c r="F7082" s="17"/>
      <c r="G7082" s="18"/>
    </row>
    <row r="7083" spans="1:7" x14ac:dyDescent="0.2">
      <c r="A7083" s="19"/>
      <c r="B7083" s="20"/>
      <c r="C7083" s="20"/>
      <c r="D7083" s="20"/>
      <c r="E7083" s="20"/>
      <c r="F7083" s="20"/>
      <c r="G7083" s="21"/>
    </row>
    <row r="7084" spans="1:7" x14ac:dyDescent="0.2">
      <c r="A7084" s="16"/>
      <c r="B7084" s="17"/>
      <c r="C7084" s="17"/>
      <c r="D7084" s="17"/>
      <c r="E7084" s="17"/>
      <c r="F7084" s="17"/>
      <c r="G7084" s="18"/>
    </row>
    <row r="7085" spans="1:7" x14ac:dyDescent="0.2">
      <c r="A7085" s="19"/>
      <c r="B7085" s="20"/>
      <c r="C7085" s="20"/>
      <c r="D7085" s="20"/>
      <c r="E7085" s="20"/>
      <c r="F7085" s="20"/>
      <c r="G7085" s="21"/>
    </row>
    <row r="7086" spans="1:7" x14ac:dyDescent="0.2">
      <c r="A7086" s="16"/>
      <c r="B7086" s="17"/>
      <c r="C7086" s="17"/>
      <c r="D7086" s="17"/>
      <c r="E7086" s="17"/>
      <c r="F7086" s="17"/>
      <c r="G7086" s="18"/>
    </row>
    <row r="7087" spans="1:7" x14ac:dyDescent="0.2">
      <c r="A7087" s="19"/>
      <c r="B7087" s="20"/>
      <c r="C7087" s="20"/>
      <c r="D7087" s="20"/>
      <c r="E7087" s="20"/>
      <c r="F7087" s="20"/>
      <c r="G7087" s="21"/>
    </row>
    <row r="7088" spans="1:7" x14ac:dyDescent="0.2">
      <c r="A7088" s="16"/>
      <c r="B7088" s="17"/>
      <c r="C7088" s="17"/>
      <c r="D7088" s="17"/>
      <c r="E7088" s="17"/>
      <c r="F7088" s="17"/>
      <c r="G7088" s="18"/>
    </row>
    <row r="7089" spans="1:7" x14ac:dyDescent="0.2">
      <c r="A7089" s="19"/>
      <c r="B7089" s="20"/>
      <c r="C7089" s="20"/>
      <c r="D7089" s="20"/>
      <c r="E7089" s="20"/>
      <c r="F7089" s="20"/>
      <c r="G7089" s="21"/>
    </row>
    <row r="7090" spans="1:7" x14ac:dyDescent="0.2">
      <c r="A7090" s="16"/>
      <c r="B7090" s="17"/>
      <c r="C7090" s="17"/>
      <c r="D7090" s="17"/>
      <c r="E7090" s="17"/>
      <c r="F7090" s="17"/>
      <c r="G7090" s="18"/>
    </row>
    <row r="7091" spans="1:7" x14ac:dyDescent="0.2">
      <c r="A7091" s="19"/>
      <c r="B7091" s="20"/>
      <c r="C7091" s="20"/>
      <c r="D7091" s="20"/>
      <c r="E7091" s="20"/>
      <c r="F7091" s="20"/>
      <c r="G7091" s="21"/>
    </row>
    <row r="7092" spans="1:7" x14ac:dyDescent="0.2">
      <c r="A7092" s="16"/>
      <c r="B7092" s="17"/>
      <c r="C7092" s="17"/>
      <c r="D7092" s="17"/>
      <c r="E7092" s="17"/>
      <c r="F7092" s="17"/>
      <c r="G7092" s="18"/>
    </row>
    <row r="7093" spans="1:7" x14ac:dyDescent="0.2">
      <c r="A7093" s="19"/>
      <c r="B7093" s="20"/>
      <c r="C7093" s="20"/>
      <c r="D7093" s="20"/>
      <c r="E7093" s="20"/>
      <c r="F7093" s="20"/>
      <c r="G7093" s="21"/>
    </row>
    <row r="7094" spans="1:7" x14ac:dyDescent="0.2">
      <c r="A7094" s="16"/>
      <c r="B7094" s="17"/>
      <c r="C7094" s="17"/>
      <c r="D7094" s="17"/>
      <c r="E7094" s="17"/>
      <c r="F7094" s="17"/>
      <c r="G7094" s="18"/>
    </row>
    <row r="7095" spans="1:7" x14ac:dyDescent="0.2">
      <c r="A7095" s="19"/>
      <c r="B7095" s="20"/>
      <c r="C7095" s="20"/>
      <c r="D7095" s="20"/>
      <c r="E7095" s="20"/>
      <c r="F7095" s="20"/>
      <c r="G7095" s="21"/>
    </row>
    <row r="7096" spans="1:7" x14ac:dyDescent="0.2">
      <c r="A7096" s="16"/>
      <c r="B7096" s="17"/>
      <c r="C7096" s="17"/>
      <c r="D7096" s="17"/>
      <c r="E7096" s="17"/>
      <c r="F7096" s="17"/>
      <c r="G7096" s="18"/>
    </row>
    <row r="7097" spans="1:7" x14ac:dyDescent="0.2">
      <c r="A7097" s="19"/>
      <c r="B7097" s="20"/>
      <c r="C7097" s="20"/>
      <c r="D7097" s="20"/>
      <c r="E7097" s="20"/>
      <c r="F7097" s="20"/>
      <c r="G7097" s="21"/>
    </row>
    <row r="7098" spans="1:7" x14ac:dyDescent="0.2">
      <c r="A7098" s="16"/>
      <c r="B7098" s="17"/>
      <c r="C7098" s="17"/>
      <c r="D7098" s="17"/>
      <c r="E7098" s="17"/>
      <c r="F7098" s="17"/>
      <c r="G7098" s="18"/>
    </row>
    <row r="7099" spans="1:7" x14ac:dyDescent="0.2">
      <c r="A7099" s="19"/>
      <c r="B7099" s="20"/>
      <c r="C7099" s="20"/>
      <c r="D7099" s="20"/>
      <c r="E7099" s="20"/>
      <c r="F7099" s="20"/>
      <c r="G7099" s="21"/>
    </row>
    <row r="7100" spans="1:7" x14ac:dyDescent="0.2">
      <c r="A7100" s="16"/>
      <c r="B7100" s="17"/>
      <c r="C7100" s="17"/>
      <c r="D7100" s="17"/>
      <c r="E7100" s="17"/>
      <c r="F7100" s="17"/>
      <c r="G7100" s="18"/>
    </row>
    <row r="7101" spans="1:7" x14ac:dyDescent="0.2">
      <c r="A7101" s="19"/>
      <c r="B7101" s="20"/>
      <c r="C7101" s="20"/>
      <c r="D7101" s="20"/>
      <c r="E7101" s="20"/>
      <c r="F7101" s="20"/>
      <c r="G7101" s="21"/>
    </row>
    <row r="7102" spans="1:7" x14ac:dyDescent="0.2">
      <c r="A7102" s="16"/>
      <c r="B7102" s="17"/>
      <c r="C7102" s="17"/>
      <c r="D7102" s="17"/>
      <c r="E7102" s="17"/>
      <c r="F7102" s="17"/>
      <c r="G7102" s="18"/>
    </row>
    <row r="7103" spans="1:7" x14ac:dyDescent="0.2">
      <c r="A7103" s="19"/>
      <c r="B7103" s="20"/>
      <c r="C7103" s="20"/>
      <c r="D7103" s="20"/>
      <c r="E7103" s="20"/>
      <c r="F7103" s="20"/>
      <c r="G7103" s="21"/>
    </row>
    <row r="7104" spans="1:7" x14ac:dyDescent="0.2">
      <c r="A7104" s="16"/>
      <c r="B7104" s="17"/>
      <c r="C7104" s="17"/>
      <c r="D7104" s="17"/>
      <c r="E7104" s="17"/>
      <c r="F7104" s="17"/>
      <c r="G7104" s="18"/>
    </row>
    <row r="7105" spans="1:7" x14ac:dyDescent="0.2">
      <c r="A7105" s="19"/>
      <c r="B7105" s="20"/>
      <c r="C7105" s="20"/>
      <c r="D7105" s="20"/>
      <c r="E7105" s="20"/>
      <c r="F7105" s="20"/>
      <c r="G7105" s="21"/>
    </row>
    <row r="7106" spans="1:7" x14ac:dyDescent="0.2">
      <c r="A7106" s="16"/>
      <c r="B7106" s="17"/>
      <c r="C7106" s="17"/>
      <c r="D7106" s="17"/>
      <c r="E7106" s="17"/>
      <c r="F7106" s="17"/>
      <c r="G7106" s="18"/>
    </row>
    <row r="7107" spans="1:7" x14ac:dyDescent="0.2">
      <c r="A7107" s="19"/>
      <c r="B7107" s="20"/>
      <c r="C7107" s="20"/>
      <c r="D7107" s="20"/>
      <c r="E7107" s="20"/>
      <c r="F7107" s="20"/>
      <c r="G7107" s="21"/>
    </row>
    <row r="7108" spans="1:7" x14ac:dyDescent="0.2">
      <c r="A7108" s="16"/>
      <c r="B7108" s="17"/>
      <c r="C7108" s="17"/>
      <c r="D7108" s="17"/>
      <c r="E7108" s="17"/>
      <c r="F7108" s="17"/>
      <c r="G7108" s="18"/>
    </row>
    <row r="7109" spans="1:7" x14ac:dyDescent="0.2">
      <c r="A7109" s="19"/>
      <c r="B7109" s="20"/>
      <c r="C7109" s="20"/>
      <c r="D7109" s="20"/>
      <c r="E7109" s="20"/>
      <c r="F7109" s="20"/>
      <c r="G7109" s="21"/>
    </row>
    <row r="7110" spans="1:7" x14ac:dyDescent="0.2">
      <c r="A7110" s="16"/>
      <c r="B7110" s="17"/>
      <c r="C7110" s="17"/>
      <c r="D7110" s="17"/>
      <c r="E7110" s="17"/>
      <c r="F7110" s="17"/>
      <c r="G7110" s="18"/>
    </row>
    <row r="7111" spans="1:7" x14ac:dyDescent="0.2">
      <c r="A7111" s="19"/>
      <c r="B7111" s="20"/>
      <c r="C7111" s="20"/>
      <c r="D7111" s="20"/>
      <c r="E7111" s="20"/>
      <c r="F7111" s="20"/>
      <c r="G7111" s="21"/>
    </row>
    <row r="7112" spans="1:7" x14ac:dyDescent="0.2">
      <c r="A7112" s="16"/>
      <c r="B7112" s="17"/>
      <c r="C7112" s="17"/>
      <c r="D7112" s="17"/>
      <c r="E7112" s="17"/>
      <c r="F7112" s="17"/>
      <c r="G7112" s="18"/>
    </row>
    <row r="7113" spans="1:7" x14ac:dyDescent="0.2">
      <c r="A7113" s="19"/>
      <c r="B7113" s="20"/>
      <c r="C7113" s="20"/>
      <c r="D7113" s="20"/>
      <c r="E7113" s="20"/>
      <c r="F7113" s="20"/>
      <c r="G7113" s="21"/>
    </row>
    <row r="7114" spans="1:7" x14ac:dyDescent="0.2">
      <c r="A7114" s="16"/>
      <c r="B7114" s="17"/>
      <c r="C7114" s="17"/>
      <c r="D7114" s="17"/>
      <c r="E7114" s="17"/>
      <c r="F7114" s="17"/>
      <c r="G7114" s="18"/>
    </row>
    <row r="7115" spans="1:7" x14ac:dyDescent="0.2">
      <c r="A7115" s="19"/>
      <c r="B7115" s="20"/>
      <c r="C7115" s="20"/>
      <c r="D7115" s="20"/>
      <c r="E7115" s="20"/>
      <c r="F7115" s="20"/>
      <c r="G7115" s="21"/>
    </row>
    <row r="7116" spans="1:7" x14ac:dyDescent="0.2">
      <c r="A7116" s="16"/>
      <c r="B7116" s="17"/>
      <c r="C7116" s="17"/>
      <c r="D7116" s="17"/>
      <c r="E7116" s="17"/>
      <c r="F7116" s="17"/>
      <c r="G7116" s="18"/>
    </row>
    <row r="7117" spans="1:7" x14ac:dyDescent="0.2">
      <c r="A7117" s="19"/>
      <c r="B7117" s="20"/>
      <c r="C7117" s="20"/>
      <c r="D7117" s="20"/>
      <c r="E7117" s="20"/>
      <c r="F7117" s="20"/>
      <c r="G7117" s="21"/>
    </row>
    <row r="7118" spans="1:7" x14ac:dyDescent="0.2">
      <c r="A7118" s="16"/>
      <c r="B7118" s="17"/>
      <c r="C7118" s="17"/>
      <c r="D7118" s="17"/>
      <c r="E7118" s="17"/>
      <c r="F7118" s="17"/>
      <c r="G7118" s="18"/>
    </row>
    <row r="7119" spans="1:7" x14ac:dyDescent="0.2">
      <c r="A7119" s="19"/>
      <c r="B7119" s="20"/>
      <c r="C7119" s="20"/>
      <c r="D7119" s="20"/>
      <c r="E7119" s="20"/>
      <c r="F7119" s="20"/>
      <c r="G7119" s="21"/>
    </row>
    <row r="7120" spans="1:7" x14ac:dyDescent="0.2">
      <c r="A7120" s="16"/>
      <c r="B7120" s="17"/>
      <c r="C7120" s="17"/>
      <c r="D7120" s="17"/>
      <c r="E7120" s="17"/>
      <c r="F7120" s="17"/>
      <c r="G7120" s="18"/>
    </row>
    <row r="7121" spans="1:7" x14ac:dyDescent="0.2">
      <c r="A7121" s="19"/>
      <c r="B7121" s="20"/>
      <c r="C7121" s="20"/>
      <c r="D7121" s="20"/>
      <c r="E7121" s="20"/>
      <c r="F7121" s="20"/>
      <c r="G7121" s="21"/>
    </row>
    <row r="7122" spans="1:7" x14ac:dyDescent="0.2">
      <c r="A7122" s="16"/>
      <c r="B7122" s="17"/>
      <c r="C7122" s="17"/>
      <c r="D7122" s="17"/>
      <c r="E7122" s="17"/>
      <c r="F7122" s="17"/>
      <c r="G7122" s="18"/>
    </row>
    <row r="7123" spans="1:7" x14ac:dyDescent="0.2">
      <c r="A7123" s="19"/>
      <c r="B7123" s="20"/>
      <c r="C7123" s="20"/>
      <c r="D7123" s="20"/>
      <c r="E7123" s="20"/>
      <c r="F7123" s="20"/>
      <c r="G7123" s="21"/>
    </row>
    <row r="7124" spans="1:7" x14ac:dyDescent="0.2">
      <c r="A7124" s="16"/>
      <c r="B7124" s="17"/>
      <c r="C7124" s="17"/>
      <c r="D7124" s="17"/>
      <c r="E7124" s="17"/>
      <c r="F7124" s="17"/>
      <c r="G7124" s="18"/>
    </row>
    <row r="7125" spans="1:7" x14ac:dyDescent="0.2">
      <c r="A7125" s="19"/>
      <c r="B7125" s="20"/>
      <c r="C7125" s="20"/>
      <c r="D7125" s="20"/>
      <c r="E7125" s="20"/>
      <c r="F7125" s="20"/>
      <c r="G7125" s="21"/>
    </row>
    <row r="7126" spans="1:7" x14ac:dyDescent="0.2">
      <c r="A7126" s="16"/>
      <c r="B7126" s="17"/>
      <c r="C7126" s="17"/>
      <c r="D7126" s="17"/>
      <c r="E7126" s="17"/>
      <c r="F7126" s="17"/>
      <c r="G7126" s="18"/>
    </row>
    <row r="7127" spans="1:7" x14ac:dyDescent="0.2">
      <c r="A7127" s="19"/>
      <c r="B7127" s="20"/>
      <c r="C7127" s="20"/>
      <c r="D7127" s="20"/>
      <c r="E7127" s="20"/>
      <c r="F7127" s="20"/>
      <c r="G7127" s="21"/>
    </row>
    <row r="7128" spans="1:7" x14ac:dyDescent="0.2">
      <c r="A7128" s="16"/>
      <c r="B7128" s="17"/>
      <c r="C7128" s="17"/>
      <c r="D7128" s="17"/>
      <c r="E7128" s="17"/>
      <c r="F7128" s="17"/>
      <c r="G7128" s="18"/>
    </row>
    <row r="7129" spans="1:7" x14ac:dyDescent="0.2">
      <c r="A7129" s="19"/>
      <c r="B7129" s="20"/>
      <c r="C7129" s="20"/>
      <c r="D7129" s="20"/>
      <c r="E7129" s="20"/>
      <c r="F7129" s="20"/>
      <c r="G7129" s="21"/>
    </row>
    <row r="7130" spans="1:7" x14ac:dyDescent="0.2">
      <c r="A7130" s="16"/>
      <c r="B7130" s="17"/>
      <c r="C7130" s="17"/>
      <c r="D7130" s="17"/>
      <c r="E7130" s="17"/>
      <c r="F7130" s="17"/>
      <c r="G7130" s="18"/>
    </row>
    <row r="7131" spans="1:7" x14ac:dyDescent="0.2">
      <c r="A7131" s="19"/>
      <c r="B7131" s="20"/>
      <c r="C7131" s="20"/>
      <c r="D7131" s="20"/>
      <c r="E7131" s="20"/>
      <c r="F7131" s="20"/>
      <c r="G7131" s="21"/>
    </row>
    <row r="7132" spans="1:7" x14ac:dyDescent="0.2">
      <c r="A7132" s="16"/>
      <c r="B7132" s="17"/>
      <c r="C7132" s="17"/>
      <c r="D7132" s="17"/>
      <c r="E7132" s="17"/>
      <c r="F7132" s="17"/>
      <c r="G7132" s="18"/>
    </row>
    <row r="7133" spans="1:7" x14ac:dyDescent="0.2">
      <c r="A7133" s="19"/>
      <c r="B7133" s="20"/>
      <c r="C7133" s="20"/>
      <c r="D7133" s="20"/>
      <c r="E7133" s="20"/>
      <c r="F7133" s="20"/>
      <c r="G7133" s="21"/>
    </row>
    <row r="7134" spans="1:7" x14ac:dyDescent="0.2">
      <c r="A7134" s="16"/>
      <c r="B7134" s="17"/>
      <c r="C7134" s="17"/>
      <c r="D7134" s="17"/>
      <c r="E7134" s="17"/>
      <c r="F7134" s="17"/>
      <c r="G7134" s="18"/>
    </row>
    <row r="7135" spans="1:7" x14ac:dyDescent="0.2">
      <c r="A7135" s="19"/>
      <c r="B7135" s="20"/>
      <c r="C7135" s="20"/>
      <c r="D7135" s="20"/>
      <c r="E7135" s="20"/>
      <c r="F7135" s="20"/>
      <c r="G7135" s="21"/>
    </row>
    <row r="7136" spans="1:7" x14ac:dyDescent="0.2">
      <c r="A7136" s="16"/>
      <c r="B7136" s="17"/>
      <c r="C7136" s="17"/>
      <c r="D7136" s="17"/>
      <c r="E7136" s="17"/>
      <c r="F7136" s="17"/>
      <c r="G7136" s="18"/>
    </row>
    <row r="7137" spans="1:7" x14ac:dyDescent="0.2">
      <c r="A7137" s="19"/>
      <c r="B7137" s="20"/>
      <c r="C7137" s="20"/>
      <c r="D7137" s="20"/>
      <c r="E7137" s="20"/>
      <c r="F7137" s="20"/>
      <c r="G7137" s="21"/>
    </row>
    <row r="7138" spans="1:7" x14ac:dyDescent="0.2">
      <c r="A7138" s="16"/>
      <c r="B7138" s="17"/>
      <c r="C7138" s="17"/>
      <c r="D7138" s="17"/>
      <c r="E7138" s="17"/>
      <c r="F7138" s="17"/>
      <c r="G7138" s="18"/>
    </row>
    <row r="7139" spans="1:7" x14ac:dyDescent="0.2">
      <c r="A7139" s="19"/>
      <c r="B7139" s="20"/>
      <c r="C7139" s="20"/>
      <c r="D7139" s="20"/>
      <c r="E7139" s="20"/>
      <c r="F7139" s="20"/>
      <c r="G7139" s="21"/>
    </row>
    <row r="7140" spans="1:7" x14ac:dyDescent="0.2">
      <c r="A7140" s="16"/>
      <c r="B7140" s="17"/>
      <c r="C7140" s="17"/>
      <c r="D7140" s="17"/>
      <c r="E7140" s="17"/>
      <c r="F7140" s="17"/>
      <c r="G7140" s="18"/>
    </row>
    <row r="7141" spans="1:7" x14ac:dyDescent="0.2">
      <c r="A7141" s="19"/>
      <c r="B7141" s="20"/>
      <c r="C7141" s="20"/>
      <c r="D7141" s="20"/>
      <c r="E7141" s="20"/>
      <c r="F7141" s="20"/>
      <c r="G7141" s="21"/>
    </row>
    <row r="7142" spans="1:7" x14ac:dyDescent="0.2">
      <c r="A7142" s="16"/>
      <c r="B7142" s="17"/>
      <c r="C7142" s="17"/>
      <c r="D7142" s="17"/>
      <c r="E7142" s="17"/>
      <c r="F7142" s="17"/>
      <c r="G7142" s="18"/>
    </row>
    <row r="7143" spans="1:7" x14ac:dyDescent="0.2">
      <c r="A7143" s="19"/>
      <c r="B7143" s="20"/>
      <c r="C7143" s="20"/>
      <c r="D7143" s="20"/>
      <c r="E7143" s="20"/>
      <c r="F7143" s="20"/>
      <c r="G7143" s="21"/>
    </row>
    <row r="7144" spans="1:7" x14ac:dyDescent="0.2">
      <c r="A7144" s="16"/>
      <c r="B7144" s="17"/>
      <c r="C7144" s="17"/>
      <c r="D7144" s="17"/>
      <c r="E7144" s="17"/>
      <c r="F7144" s="17"/>
      <c r="G7144" s="18"/>
    </row>
    <row r="7145" spans="1:7" x14ac:dyDescent="0.2">
      <c r="A7145" s="19"/>
      <c r="B7145" s="20"/>
      <c r="C7145" s="20"/>
      <c r="D7145" s="20"/>
      <c r="E7145" s="20"/>
      <c r="F7145" s="20"/>
      <c r="G7145" s="21"/>
    </row>
    <row r="7146" spans="1:7" x14ac:dyDescent="0.2">
      <c r="A7146" s="16"/>
      <c r="B7146" s="17"/>
      <c r="C7146" s="17"/>
      <c r="D7146" s="17"/>
      <c r="E7146" s="17"/>
      <c r="F7146" s="17"/>
      <c r="G7146" s="18"/>
    </row>
    <row r="7147" spans="1:7" x14ac:dyDescent="0.2">
      <c r="A7147" s="19"/>
      <c r="B7147" s="20"/>
      <c r="C7147" s="20"/>
      <c r="D7147" s="20"/>
      <c r="E7147" s="20"/>
      <c r="F7147" s="20"/>
      <c r="G7147" s="21"/>
    </row>
    <row r="7148" spans="1:7" x14ac:dyDescent="0.2">
      <c r="A7148" s="16"/>
      <c r="B7148" s="17"/>
      <c r="C7148" s="17"/>
      <c r="D7148" s="17"/>
      <c r="E7148" s="17"/>
      <c r="F7148" s="17"/>
      <c r="G7148" s="18"/>
    </row>
    <row r="7149" spans="1:7" x14ac:dyDescent="0.2">
      <c r="A7149" s="19"/>
      <c r="B7149" s="20"/>
      <c r="C7149" s="20"/>
      <c r="D7149" s="20"/>
      <c r="E7149" s="20"/>
      <c r="F7149" s="20"/>
      <c r="G7149" s="21"/>
    </row>
    <row r="7150" spans="1:7" x14ac:dyDescent="0.2">
      <c r="A7150" s="16"/>
      <c r="B7150" s="17"/>
      <c r="C7150" s="17"/>
      <c r="D7150" s="17"/>
      <c r="E7150" s="17"/>
      <c r="F7150" s="17"/>
      <c r="G7150" s="18"/>
    </row>
    <row r="7151" spans="1:7" x14ac:dyDescent="0.2">
      <c r="A7151" s="19"/>
      <c r="B7151" s="20"/>
      <c r="C7151" s="20"/>
      <c r="D7151" s="20"/>
      <c r="E7151" s="20"/>
      <c r="F7151" s="20"/>
      <c r="G7151" s="21"/>
    </row>
    <row r="7152" spans="1:7" x14ac:dyDescent="0.2">
      <c r="A7152" s="16"/>
      <c r="B7152" s="17"/>
      <c r="C7152" s="17"/>
      <c r="D7152" s="17"/>
      <c r="E7152" s="17"/>
      <c r="F7152" s="17"/>
      <c r="G7152" s="18"/>
    </row>
    <row r="7153" spans="1:7" x14ac:dyDescent="0.2">
      <c r="A7153" s="19"/>
      <c r="B7153" s="20"/>
      <c r="C7153" s="20"/>
      <c r="D7153" s="20"/>
      <c r="E7153" s="20"/>
      <c r="F7153" s="20"/>
      <c r="G7153" s="21"/>
    </row>
    <row r="7154" spans="1:7" x14ac:dyDescent="0.2">
      <c r="A7154" s="16"/>
      <c r="B7154" s="17"/>
      <c r="C7154" s="17"/>
      <c r="D7154" s="17"/>
      <c r="E7154" s="17"/>
      <c r="F7154" s="17"/>
      <c r="G7154" s="18"/>
    </row>
    <row r="7155" spans="1:7" x14ac:dyDescent="0.2">
      <c r="A7155" s="19"/>
      <c r="B7155" s="20"/>
      <c r="C7155" s="20"/>
      <c r="D7155" s="20"/>
      <c r="E7155" s="20"/>
      <c r="F7155" s="20"/>
      <c r="G7155" s="21"/>
    </row>
    <row r="7156" spans="1:7" x14ac:dyDescent="0.2">
      <c r="A7156" s="16"/>
      <c r="B7156" s="17"/>
      <c r="C7156" s="17"/>
      <c r="D7156" s="17"/>
      <c r="E7156" s="17"/>
      <c r="F7156" s="17"/>
      <c r="G7156" s="18"/>
    </row>
    <row r="7157" spans="1:7" x14ac:dyDescent="0.2">
      <c r="A7157" s="19"/>
      <c r="B7157" s="20"/>
      <c r="C7157" s="20"/>
      <c r="D7157" s="20"/>
      <c r="E7157" s="20"/>
      <c r="F7157" s="20"/>
      <c r="G7157" s="21"/>
    </row>
    <row r="7158" spans="1:7" x14ac:dyDescent="0.2">
      <c r="A7158" s="16"/>
      <c r="B7158" s="17"/>
      <c r="C7158" s="17"/>
      <c r="D7158" s="17"/>
      <c r="E7158" s="17"/>
      <c r="F7158" s="17"/>
      <c r="G7158" s="18"/>
    </row>
    <row r="7159" spans="1:7" x14ac:dyDescent="0.2">
      <c r="A7159" s="19"/>
      <c r="B7159" s="20"/>
      <c r="C7159" s="20"/>
      <c r="D7159" s="20"/>
      <c r="E7159" s="20"/>
      <c r="F7159" s="20"/>
      <c r="G7159" s="21"/>
    </row>
    <row r="7160" spans="1:7" x14ac:dyDescent="0.2">
      <c r="A7160" s="16"/>
      <c r="B7160" s="17"/>
      <c r="C7160" s="17"/>
      <c r="D7160" s="17"/>
      <c r="E7160" s="17"/>
      <c r="F7160" s="17"/>
      <c r="G7160" s="18"/>
    </row>
    <row r="7161" spans="1:7" x14ac:dyDescent="0.2">
      <c r="A7161" s="19"/>
      <c r="B7161" s="20"/>
      <c r="C7161" s="20"/>
      <c r="D7161" s="20"/>
      <c r="E7161" s="20"/>
      <c r="F7161" s="20"/>
      <c r="G7161" s="21"/>
    </row>
    <row r="7162" spans="1:7" x14ac:dyDescent="0.2">
      <c r="A7162" s="16"/>
      <c r="B7162" s="17"/>
      <c r="C7162" s="17"/>
      <c r="D7162" s="17"/>
      <c r="E7162" s="17"/>
      <c r="F7162" s="17"/>
      <c r="G7162" s="18"/>
    </row>
    <row r="7163" spans="1:7" x14ac:dyDescent="0.2">
      <c r="A7163" s="19"/>
      <c r="B7163" s="20"/>
      <c r="C7163" s="20"/>
      <c r="D7163" s="20"/>
      <c r="E7163" s="20"/>
      <c r="F7163" s="20"/>
      <c r="G7163" s="21"/>
    </row>
    <row r="7164" spans="1:7" x14ac:dyDescent="0.2">
      <c r="A7164" s="16"/>
      <c r="B7164" s="17"/>
      <c r="C7164" s="17"/>
      <c r="D7164" s="17"/>
      <c r="E7164" s="17"/>
      <c r="F7164" s="17"/>
      <c r="G7164" s="18"/>
    </row>
    <row r="7165" spans="1:7" x14ac:dyDescent="0.2">
      <c r="A7165" s="19"/>
      <c r="B7165" s="20"/>
      <c r="C7165" s="20"/>
      <c r="D7165" s="20"/>
      <c r="E7165" s="20"/>
      <c r="F7165" s="20"/>
      <c r="G7165" s="21"/>
    </row>
    <row r="7166" spans="1:7" x14ac:dyDescent="0.2">
      <c r="A7166" s="16"/>
      <c r="B7166" s="17"/>
      <c r="C7166" s="17"/>
      <c r="D7166" s="17"/>
      <c r="E7166" s="17"/>
      <c r="F7166" s="17"/>
      <c r="G7166" s="18"/>
    </row>
    <row r="7167" spans="1:7" x14ac:dyDescent="0.2">
      <c r="A7167" s="19"/>
      <c r="B7167" s="20"/>
      <c r="C7167" s="20"/>
      <c r="D7167" s="20"/>
      <c r="E7167" s="20"/>
      <c r="F7167" s="20"/>
      <c r="G7167" s="21"/>
    </row>
    <row r="7168" spans="1:7" x14ac:dyDescent="0.2">
      <c r="A7168" s="16"/>
      <c r="B7168" s="17"/>
      <c r="C7168" s="17"/>
      <c r="D7168" s="17"/>
      <c r="E7168" s="17"/>
      <c r="F7168" s="17"/>
      <c r="G7168" s="18"/>
    </row>
    <row r="7169" spans="1:7" x14ac:dyDescent="0.2">
      <c r="A7169" s="19"/>
      <c r="B7169" s="20"/>
      <c r="C7169" s="20"/>
      <c r="D7169" s="20"/>
      <c r="E7169" s="20"/>
      <c r="F7169" s="20"/>
      <c r="G7169" s="21"/>
    </row>
    <row r="7170" spans="1:7" x14ac:dyDescent="0.2">
      <c r="A7170" s="16"/>
      <c r="B7170" s="17"/>
      <c r="C7170" s="17"/>
      <c r="D7170" s="17"/>
      <c r="E7170" s="17"/>
      <c r="F7170" s="17"/>
      <c r="G7170" s="18"/>
    </row>
    <row r="7171" spans="1:7" x14ac:dyDescent="0.2">
      <c r="A7171" s="19"/>
      <c r="B7171" s="20"/>
      <c r="C7171" s="20"/>
      <c r="D7171" s="20"/>
      <c r="E7171" s="20"/>
      <c r="F7171" s="20"/>
      <c r="G7171" s="21"/>
    </row>
    <row r="7172" spans="1:7" x14ac:dyDescent="0.2">
      <c r="A7172" s="16"/>
      <c r="B7172" s="17"/>
      <c r="C7172" s="17"/>
      <c r="D7172" s="17"/>
      <c r="E7172" s="17"/>
      <c r="F7172" s="17"/>
      <c r="G7172" s="18"/>
    </row>
    <row r="7173" spans="1:7" x14ac:dyDescent="0.2">
      <c r="A7173" s="19"/>
      <c r="B7173" s="20"/>
      <c r="C7173" s="20"/>
      <c r="D7173" s="20"/>
      <c r="E7173" s="20"/>
      <c r="F7173" s="20"/>
      <c r="G7173" s="21"/>
    </row>
    <row r="7174" spans="1:7" x14ac:dyDescent="0.2">
      <c r="A7174" s="16"/>
      <c r="B7174" s="17"/>
      <c r="C7174" s="17"/>
      <c r="D7174" s="17"/>
      <c r="E7174" s="17"/>
      <c r="F7174" s="17"/>
      <c r="G7174" s="18"/>
    </row>
    <row r="7175" spans="1:7" x14ac:dyDescent="0.2">
      <c r="A7175" s="19"/>
      <c r="B7175" s="20"/>
      <c r="C7175" s="20"/>
      <c r="D7175" s="20"/>
      <c r="E7175" s="20"/>
      <c r="F7175" s="20"/>
      <c r="G7175" s="21"/>
    </row>
    <row r="7176" spans="1:7" x14ac:dyDescent="0.2">
      <c r="A7176" s="16"/>
      <c r="B7176" s="17"/>
      <c r="C7176" s="17"/>
      <c r="D7176" s="17"/>
      <c r="E7176" s="17"/>
      <c r="F7176" s="17"/>
      <c r="G7176" s="18"/>
    </row>
    <row r="7177" spans="1:7" x14ac:dyDescent="0.2">
      <c r="A7177" s="19"/>
      <c r="B7177" s="20"/>
      <c r="C7177" s="20"/>
      <c r="D7177" s="20"/>
      <c r="E7177" s="20"/>
      <c r="F7177" s="20"/>
      <c r="G7177" s="21"/>
    </row>
    <row r="7178" spans="1:7" x14ac:dyDescent="0.2">
      <c r="A7178" s="16"/>
      <c r="B7178" s="17"/>
      <c r="C7178" s="17"/>
      <c r="D7178" s="17"/>
      <c r="E7178" s="17"/>
      <c r="F7178" s="17"/>
      <c r="G7178" s="18"/>
    </row>
    <row r="7179" spans="1:7" x14ac:dyDescent="0.2">
      <c r="A7179" s="19"/>
      <c r="B7179" s="20"/>
      <c r="C7179" s="20"/>
      <c r="D7179" s="20"/>
      <c r="E7179" s="20"/>
      <c r="F7179" s="20"/>
      <c r="G7179" s="21"/>
    </row>
    <row r="7180" spans="1:7" x14ac:dyDescent="0.2">
      <c r="A7180" s="16"/>
      <c r="B7180" s="17"/>
      <c r="C7180" s="17"/>
      <c r="D7180" s="17"/>
      <c r="E7180" s="17"/>
      <c r="F7180" s="17"/>
      <c r="G7180" s="18"/>
    </row>
    <row r="7181" spans="1:7" x14ac:dyDescent="0.2">
      <c r="A7181" s="19"/>
      <c r="B7181" s="20"/>
      <c r="C7181" s="20"/>
      <c r="D7181" s="20"/>
      <c r="E7181" s="20"/>
      <c r="F7181" s="20"/>
      <c r="G7181" s="21"/>
    </row>
    <row r="7182" spans="1:7" x14ac:dyDescent="0.2">
      <c r="A7182" s="16"/>
      <c r="B7182" s="17"/>
      <c r="C7182" s="17"/>
      <c r="D7182" s="17"/>
      <c r="E7182" s="17"/>
      <c r="F7182" s="17"/>
      <c r="G7182" s="18"/>
    </row>
    <row r="7183" spans="1:7" x14ac:dyDescent="0.2">
      <c r="A7183" s="19"/>
      <c r="B7183" s="20"/>
      <c r="C7183" s="20"/>
      <c r="D7183" s="20"/>
      <c r="E7183" s="20"/>
      <c r="F7183" s="20"/>
      <c r="G7183" s="21"/>
    </row>
    <row r="7184" spans="1:7" x14ac:dyDescent="0.2">
      <c r="A7184" s="16"/>
      <c r="B7184" s="17"/>
      <c r="C7184" s="17"/>
      <c r="D7184" s="17"/>
      <c r="E7184" s="17"/>
      <c r="F7184" s="17"/>
      <c r="G7184" s="18"/>
    </row>
    <row r="7185" spans="1:7" x14ac:dyDescent="0.2">
      <c r="A7185" s="19"/>
      <c r="B7185" s="20"/>
      <c r="C7185" s="20"/>
      <c r="D7185" s="20"/>
      <c r="E7185" s="20"/>
      <c r="F7185" s="20"/>
      <c r="G7185" s="21"/>
    </row>
    <row r="7186" spans="1:7" x14ac:dyDescent="0.2">
      <c r="A7186" s="16"/>
      <c r="B7186" s="17"/>
      <c r="C7186" s="17"/>
      <c r="D7186" s="17"/>
      <c r="E7186" s="17"/>
      <c r="F7186" s="17"/>
      <c r="G7186" s="18"/>
    </row>
    <row r="7187" spans="1:7" x14ac:dyDescent="0.2">
      <c r="A7187" s="19"/>
      <c r="B7187" s="20"/>
      <c r="C7187" s="20"/>
      <c r="D7187" s="20"/>
      <c r="E7187" s="20"/>
      <c r="F7187" s="20"/>
      <c r="G7187" s="21"/>
    </row>
    <row r="7188" spans="1:7" x14ac:dyDescent="0.2">
      <c r="A7188" s="16"/>
      <c r="B7188" s="17"/>
      <c r="C7188" s="17"/>
      <c r="D7188" s="17"/>
      <c r="E7188" s="17"/>
      <c r="F7188" s="17"/>
      <c r="G7188" s="18"/>
    </row>
    <row r="7189" spans="1:7" x14ac:dyDescent="0.2">
      <c r="A7189" s="19"/>
      <c r="B7189" s="20"/>
      <c r="C7189" s="20"/>
      <c r="D7189" s="20"/>
      <c r="E7189" s="20"/>
      <c r="F7189" s="20"/>
      <c r="G7189" s="21"/>
    </row>
    <row r="7190" spans="1:7" x14ac:dyDescent="0.2">
      <c r="A7190" s="16"/>
      <c r="B7190" s="17"/>
      <c r="C7190" s="17"/>
      <c r="D7190" s="17"/>
      <c r="E7190" s="17"/>
      <c r="F7190" s="17"/>
      <c r="G7190" s="18"/>
    </row>
    <row r="7191" spans="1:7" x14ac:dyDescent="0.2">
      <c r="A7191" s="19"/>
      <c r="B7191" s="20"/>
      <c r="C7191" s="20"/>
      <c r="D7191" s="20"/>
      <c r="E7191" s="20"/>
      <c r="F7191" s="20"/>
      <c r="G7191" s="21"/>
    </row>
    <row r="7192" spans="1:7" x14ac:dyDescent="0.2">
      <c r="A7192" s="16"/>
      <c r="B7192" s="17"/>
      <c r="C7192" s="17"/>
      <c r="D7192" s="17"/>
      <c r="E7192" s="17"/>
      <c r="F7192" s="17"/>
      <c r="G7192" s="18"/>
    </row>
    <row r="7193" spans="1:7" x14ac:dyDescent="0.2">
      <c r="A7193" s="19"/>
      <c r="B7193" s="20"/>
      <c r="C7193" s="20"/>
      <c r="D7193" s="20"/>
      <c r="E7193" s="20"/>
      <c r="F7193" s="20"/>
      <c r="G7193" s="21"/>
    </row>
    <row r="7194" spans="1:7" x14ac:dyDescent="0.2">
      <c r="A7194" s="16"/>
      <c r="B7194" s="17"/>
      <c r="C7194" s="17"/>
      <c r="D7194" s="17"/>
      <c r="E7194" s="17"/>
      <c r="F7194" s="17"/>
      <c r="G7194" s="18"/>
    </row>
    <row r="7195" spans="1:7" x14ac:dyDescent="0.2">
      <c r="A7195" s="19"/>
      <c r="B7195" s="20"/>
      <c r="C7195" s="20"/>
      <c r="D7195" s="20"/>
      <c r="E7195" s="20"/>
      <c r="F7195" s="20"/>
      <c r="G7195" s="21"/>
    </row>
    <row r="7196" spans="1:7" x14ac:dyDescent="0.2">
      <c r="A7196" s="16"/>
      <c r="B7196" s="17"/>
      <c r="C7196" s="17"/>
      <c r="D7196" s="17"/>
      <c r="E7196" s="17"/>
      <c r="F7196" s="17"/>
      <c r="G7196" s="18"/>
    </row>
    <row r="7197" spans="1:7" x14ac:dyDescent="0.2">
      <c r="A7197" s="19"/>
      <c r="B7197" s="20"/>
      <c r="C7197" s="20"/>
      <c r="D7197" s="20"/>
      <c r="E7197" s="20"/>
      <c r="F7197" s="20"/>
      <c r="G7197" s="21"/>
    </row>
    <row r="7198" spans="1:7" x14ac:dyDescent="0.2">
      <c r="A7198" s="16"/>
      <c r="B7198" s="17"/>
      <c r="C7198" s="17"/>
      <c r="D7198" s="17"/>
      <c r="E7198" s="17"/>
      <c r="F7198" s="17"/>
      <c r="G7198" s="18"/>
    </row>
    <row r="7199" spans="1:7" x14ac:dyDescent="0.2">
      <c r="A7199" s="19"/>
      <c r="B7199" s="20"/>
      <c r="C7199" s="20"/>
      <c r="D7199" s="20"/>
      <c r="E7199" s="20"/>
      <c r="F7199" s="20"/>
      <c r="G7199" s="21"/>
    </row>
    <row r="7200" spans="1:7" x14ac:dyDescent="0.2">
      <c r="A7200" s="16"/>
      <c r="B7200" s="17"/>
      <c r="C7200" s="17"/>
      <c r="D7200" s="17"/>
      <c r="E7200" s="17"/>
      <c r="F7200" s="17"/>
      <c r="G7200" s="18"/>
    </row>
    <row r="7201" spans="1:7" x14ac:dyDescent="0.2">
      <c r="A7201" s="19"/>
      <c r="B7201" s="20"/>
      <c r="C7201" s="20"/>
      <c r="D7201" s="20"/>
      <c r="E7201" s="20"/>
      <c r="F7201" s="20"/>
      <c r="G7201" s="21"/>
    </row>
    <row r="7202" spans="1:7" x14ac:dyDescent="0.2">
      <c r="A7202" s="16"/>
      <c r="B7202" s="17"/>
      <c r="C7202" s="17"/>
      <c r="D7202" s="17"/>
      <c r="E7202" s="17"/>
      <c r="F7202" s="17"/>
      <c r="G7202" s="18"/>
    </row>
    <row r="7203" spans="1:7" x14ac:dyDescent="0.2">
      <c r="A7203" s="19"/>
      <c r="B7203" s="20"/>
      <c r="C7203" s="20"/>
      <c r="D7203" s="20"/>
      <c r="E7203" s="20"/>
      <c r="F7203" s="20"/>
      <c r="G7203" s="21"/>
    </row>
    <row r="7204" spans="1:7" x14ac:dyDescent="0.2">
      <c r="A7204" s="16"/>
      <c r="B7204" s="17"/>
      <c r="C7204" s="17"/>
      <c r="D7204" s="17"/>
      <c r="E7204" s="17"/>
      <c r="F7204" s="17"/>
      <c r="G7204" s="18"/>
    </row>
    <row r="7205" spans="1:7" x14ac:dyDescent="0.2">
      <c r="A7205" s="19"/>
      <c r="B7205" s="20"/>
      <c r="C7205" s="20"/>
      <c r="D7205" s="20"/>
      <c r="E7205" s="20"/>
      <c r="F7205" s="20"/>
      <c r="G7205" s="21"/>
    </row>
    <row r="7206" spans="1:7" x14ac:dyDescent="0.2">
      <c r="A7206" s="16"/>
      <c r="B7206" s="17"/>
      <c r="C7206" s="17"/>
      <c r="D7206" s="17"/>
      <c r="E7206" s="17"/>
      <c r="F7206" s="17"/>
      <c r="G7206" s="18"/>
    </row>
    <row r="7207" spans="1:7" x14ac:dyDescent="0.2">
      <c r="A7207" s="19"/>
      <c r="B7207" s="20"/>
      <c r="C7207" s="20"/>
      <c r="D7207" s="20"/>
      <c r="E7207" s="20"/>
      <c r="F7207" s="20"/>
      <c r="G7207" s="21"/>
    </row>
    <row r="7208" spans="1:7" x14ac:dyDescent="0.2">
      <c r="A7208" s="16"/>
      <c r="B7208" s="17"/>
      <c r="C7208" s="17"/>
      <c r="D7208" s="17"/>
      <c r="E7208" s="17"/>
      <c r="F7208" s="17"/>
      <c r="G7208" s="18"/>
    </row>
    <row r="7209" spans="1:7" x14ac:dyDescent="0.2">
      <c r="A7209" s="19"/>
      <c r="B7209" s="20"/>
      <c r="C7209" s="20"/>
      <c r="D7209" s="20"/>
      <c r="E7209" s="20"/>
      <c r="F7209" s="20"/>
      <c r="G7209" s="21"/>
    </row>
    <row r="7210" spans="1:7" x14ac:dyDescent="0.2">
      <c r="A7210" s="16"/>
      <c r="B7210" s="17"/>
      <c r="C7210" s="17"/>
      <c r="D7210" s="17"/>
      <c r="E7210" s="17"/>
      <c r="F7210" s="17"/>
      <c r="G7210" s="18"/>
    </row>
    <row r="7211" spans="1:7" x14ac:dyDescent="0.2">
      <c r="A7211" s="19"/>
      <c r="B7211" s="20"/>
      <c r="C7211" s="20"/>
      <c r="D7211" s="20"/>
      <c r="E7211" s="20"/>
      <c r="F7211" s="20"/>
      <c r="G7211" s="21"/>
    </row>
    <row r="7212" spans="1:7" x14ac:dyDescent="0.2">
      <c r="A7212" s="16"/>
      <c r="B7212" s="17"/>
      <c r="C7212" s="17"/>
      <c r="D7212" s="17"/>
      <c r="E7212" s="17"/>
      <c r="F7212" s="17"/>
      <c r="G7212" s="18"/>
    </row>
    <row r="7213" spans="1:7" x14ac:dyDescent="0.2">
      <c r="A7213" s="19"/>
      <c r="B7213" s="20"/>
      <c r="C7213" s="20"/>
      <c r="D7213" s="20"/>
      <c r="E7213" s="20"/>
      <c r="F7213" s="20"/>
      <c r="G7213" s="21"/>
    </row>
    <row r="7214" spans="1:7" x14ac:dyDescent="0.2">
      <c r="A7214" s="16"/>
      <c r="B7214" s="17"/>
      <c r="C7214" s="17"/>
      <c r="D7214" s="17"/>
      <c r="E7214" s="17"/>
      <c r="F7214" s="17"/>
      <c r="G7214" s="18"/>
    </row>
    <row r="7215" spans="1:7" x14ac:dyDescent="0.2">
      <c r="A7215" s="19"/>
      <c r="B7215" s="20"/>
      <c r="C7215" s="20"/>
      <c r="D7215" s="20"/>
      <c r="E7215" s="20"/>
      <c r="F7215" s="20"/>
      <c r="G7215" s="21"/>
    </row>
    <row r="7216" spans="1:7" x14ac:dyDescent="0.2">
      <c r="A7216" s="16"/>
      <c r="B7216" s="17"/>
      <c r="C7216" s="17"/>
      <c r="D7216" s="17"/>
      <c r="E7216" s="17"/>
      <c r="F7216" s="17"/>
      <c r="G7216" s="18"/>
    </row>
    <row r="7217" spans="1:7" x14ac:dyDescent="0.2">
      <c r="A7217" s="19"/>
      <c r="B7217" s="20"/>
      <c r="C7217" s="20"/>
      <c r="D7217" s="20"/>
      <c r="E7217" s="20"/>
      <c r="F7217" s="20"/>
      <c r="G7217" s="21"/>
    </row>
    <row r="7218" spans="1:7" x14ac:dyDescent="0.2">
      <c r="A7218" s="16"/>
      <c r="B7218" s="17"/>
      <c r="C7218" s="17"/>
      <c r="D7218" s="17"/>
      <c r="E7218" s="17"/>
      <c r="F7218" s="17"/>
      <c r="G7218" s="18"/>
    </row>
    <row r="7219" spans="1:7" x14ac:dyDescent="0.2">
      <c r="A7219" s="19"/>
      <c r="B7219" s="20"/>
      <c r="C7219" s="20"/>
      <c r="D7219" s="20"/>
      <c r="E7219" s="20"/>
      <c r="F7219" s="20"/>
      <c r="G7219" s="21"/>
    </row>
    <row r="7220" spans="1:7" x14ac:dyDescent="0.2">
      <c r="A7220" s="16"/>
      <c r="B7220" s="17"/>
      <c r="C7220" s="17"/>
      <c r="D7220" s="17"/>
      <c r="E7220" s="17"/>
      <c r="F7220" s="17"/>
      <c r="G7220" s="18"/>
    </row>
    <row r="7221" spans="1:7" x14ac:dyDescent="0.2">
      <c r="A7221" s="19"/>
      <c r="B7221" s="20"/>
      <c r="C7221" s="20"/>
      <c r="D7221" s="20"/>
      <c r="E7221" s="20"/>
      <c r="F7221" s="20"/>
      <c r="G7221" s="21"/>
    </row>
    <row r="7222" spans="1:7" x14ac:dyDescent="0.2">
      <c r="A7222" s="16"/>
      <c r="B7222" s="17"/>
      <c r="C7222" s="17"/>
      <c r="D7222" s="17"/>
      <c r="E7222" s="17"/>
      <c r="F7222" s="17"/>
      <c r="G7222" s="18"/>
    </row>
    <row r="7223" spans="1:7" x14ac:dyDescent="0.2">
      <c r="A7223" s="19"/>
      <c r="B7223" s="20"/>
      <c r="C7223" s="20"/>
      <c r="D7223" s="20"/>
      <c r="E7223" s="20"/>
      <c r="F7223" s="20"/>
      <c r="G7223" s="21"/>
    </row>
    <row r="7224" spans="1:7" x14ac:dyDescent="0.2">
      <c r="A7224" s="16"/>
      <c r="B7224" s="17"/>
      <c r="C7224" s="17"/>
      <c r="D7224" s="17"/>
      <c r="E7224" s="17"/>
      <c r="F7224" s="17"/>
      <c r="G7224" s="18"/>
    </row>
    <row r="7225" spans="1:7" x14ac:dyDescent="0.2">
      <c r="A7225" s="19"/>
      <c r="B7225" s="20"/>
      <c r="C7225" s="20"/>
      <c r="D7225" s="20"/>
      <c r="E7225" s="20"/>
      <c r="F7225" s="20"/>
      <c r="G7225" s="21"/>
    </row>
    <row r="7226" spans="1:7" x14ac:dyDescent="0.2">
      <c r="A7226" s="16"/>
      <c r="B7226" s="17"/>
      <c r="C7226" s="17"/>
      <c r="D7226" s="17"/>
      <c r="E7226" s="17"/>
      <c r="F7226" s="17"/>
      <c r="G7226" s="18"/>
    </row>
    <row r="7227" spans="1:7" x14ac:dyDescent="0.2">
      <c r="A7227" s="19"/>
      <c r="B7227" s="20"/>
      <c r="C7227" s="20"/>
      <c r="D7227" s="20"/>
      <c r="E7227" s="20"/>
      <c r="F7227" s="20"/>
      <c r="G7227" s="21"/>
    </row>
    <row r="7228" spans="1:7" x14ac:dyDescent="0.2">
      <c r="A7228" s="16"/>
      <c r="B7228" s="17"/>
      <c r="C7228" s="17"/>
      <c r="D7228" s="17"/>
      <c r="E7228" s="17"/>
      <c r="F7228" s="17"/>
      <c r="G7228" s="18"/>
    </row>
    <row r="7229" spans="1:7" x14ac:dyDescent="0.2">
      <c r="A7229" s="19"/>
      <c r="B7229" s="20"/>
      <c r="C7229" s="20"/>
      <c r="D7229" s="20"/>
      <c r="E7229" s="20"/>
      <c r="F7229" s="20"/>
      <c r="G7229" s="21"/>
    </row>
    <row r="7230" spans="1:7" x14ac:dyDescent="0.2">
      <c r="A7230" s="16"/>
      <c r="B7230" s="17"/>
      <c r="C7230" s="17"/>
      <c r="D7230" s="17"/>
      <c r="E7230" s="17"/>
      <c r="F7230" s="17"/>
      <c r="G7230" s="18"/>
    </row>
    <row r="7231" spans="1:7" x14ac:dyDescent="0.2">
      <c r="A7231" s="19"/>
      <c r="B7231" s="20"/>
      <c r="C7231" s="20"/>
      <c r="D7231" s="20"/>
      <c r="E7231" s="20"/>
      <c r="F7231" s="20"/>
      <c r="G7231" s="21"/>
    </row>
    <row r="7232" spans="1:7" x14ac:dyDescent="0.2">
      <c r="A7232" s="16"/>
      <c r="B7232" s="17"/>
      <c r="C7232" s="17"/>
      <c r="D7232" s="17"/>
      <c r="E7232" s="17"/>
      <c r="F7232" s="17"/>
      <c r="G7232" s="18"/>
    </row>
    <row r="7233" spans="1:7" x14ac:dyDescent="0.2">
      <c r="A7233" s="19"/>
      <c r="B7233" s="20"/>
      <c r="C7233" s="20"/>
      <c r="D7233" s="20"/>
      <c r="E7233" s="20"/>
      <c r="F7233" s="20"/>
      <c r="G7233" s="21"/>
    </row>
    <row r="7234" spans="1:7" x14ac:dyDescent="0.2">
      <c r="A7234" s="16"/>
      <c r="B7234" s="17"/>
      <c r="C7234" s="17"/>
      <c r="D7234" s="17"/>
      <c r="E7234" s="17"/>
      <c r="F7234" s="17"/>
      <c r="G7234" s="18"/>
    </row>
    <row r="7235" spans="1:7" x14ac:dyDescent="0.2">
      <c r="A7235" s="19"/>
      <c r="B7235" s="20"/>
      <c r="C7235" s="20"/>
      <c r="D7235" s="20"/>
      <c r="E7235" s="20"/>
      <c r="F7235" s="20"/>
      <c r="G7235" s="21"/>
    </row>
    <row r="7236" spans="1:7" x14ac:dyDescent="0.2">
      <c r="A7236" s="16"/>
      <c r="B7236" s="17"/>
      <c r="C7236" s="17"/>
      <c r="D7236" s="17"/>
      <c r="E7236" s="17"/>
      <c r="F7236" s="17"/>
      <c r="G7236" s="18"/>
    </row>
    <row r="7237" spans="1:7" x14ac:dyDescent="0.2">
      <c r="A7237" s="19"/>
      <c r="B7237" s="20"/>
      <c r="C7237" s="20"/>
      <c r="D7237" s="20"/>
      <c r="E7237" s="20"/>
      <c r="F7237" s="20"/>
      <c r="G7237" s="21"/>
    </row>
    <row r="7238" spans="1:7" x14ac:dyDescent="0.2">
      <c r="A7238" s="16"/>
      <c r="B7238" s="17"/>
      <c r="C7238" s="17"/>
      <c r="D7238" s="17"/>
      <c r="E7238" s="17"/>
      <c r="F7238" s="17"/>
      <c r="G7238" s="18"/>
    </row>
    <row r="7239" spans="1:7" x14ac:dyDescent="0.2">
      <c r="A7239" s="19"/>
      <c r="B7239" s="20"/>
      <c r="C7239" s="20"/>
      <c r="D7239" s="20"/>
      <c r="E7239" s="20"/>
      <c r="F7239" s="20"/>
      <c r="G7239" s="21"/>
    </row>
    <row r="7240" spans="1:7" x14ac:dyDescent="0.2">
      <c r="A7240" s="16"/>
      <c r="B7240" s="17"/>
      <c r="C7240" s="17"/>
      <c r="D7240" s="17"/>
      <c r="E7240" s="17"/>
      <c r="F7240" s="17"/>
      <c r="G7240" s="18"/>
    </row>
    <row r="7241" spans="1:7" x14ac:dyDescent="0.2">
      <c r="A7241" s="19"/>
      <c r="B7241" s="20"/>
      <c r="C7241" s="20"/>
      <c r="D7241" s="20"/>
      <c r="E7241" s="20"/>
      <c r="F7241" s="20"/>
      <c r="G7241" s="21"/>
    </row>
    <row r="7242" spans="1:7" x14ac:dyDescent="0.2">
      <c r="A7242" s="16"/>
      <c r="B7242" s="17"/>
      <c r="C7242" s="17"/>
      <c r="D7242" s="17"/>
      <c r="E7242" s="17"/>
      <c r="F7242" s="17"/>
      <c r="G7242" s="18"/>
    </row>
    <row r="7243" spans="1:7" x14ac:dyDescent="0.2">
      <c r="A7243" s="19"/>
      <c r="B7243" s="20"/>
      <c r="C7243" s="20"/>
      <c r="D7243" s="20"/>
      <c r="E7243" s="20"/>
      <c r="F7243" s="20"/>
      <c r="G7243" s="21"/>
    </row>
    <row r="7244" spans="1:7" x14ac:dyDescent="0.2">
      <c r="A7244" s="16"/>
      <c r="B7244" s="17"/>
      <c r="C7244" s="17"/>
      <c r="D7244" s="17"/>
      <c r="E7244" s="17"/>
      <c r="F7244" s="17"/>
      <c r="G7244" s="18"/>
    </row>
    <row r="7245" spans="1:7" x14ac:dyDescent="0.2">
      <c r="A7245" s="19"/>
      <c r="B7245" s="20"/>
      <c r="C7245" s="20"/>
      <c r="D7245" s="20"/>
      <c r="E7245" s="20"/>
      <c r="F7245" s="20"/>
      <c r="G7245" s="21"/>
    </row>
    <row r="7246" spans="1:7" x14ac:dyDescent="0.2">
      <c r="A7246" s="16"/>
      <c r="B7246" s="17"/>
      <c r="C7246" s="17"/>
      <c r="D7246" s="17"/>
      <c r="E7246" s="17"/>
      <c r="F7246" s="17"/>
      <c r="G7246" s="18"/>
    </row>
    <row r="7247" spans="1:7" x14ac:dyDescent="0.2">
      <c r="A7247" s="19"/>
      <c r="B7247" s="20"/>
      <c r="C7247" s="20"/>
      <c r="D7247" s="20"/>
      <c r="E7247" s="20"/>
      <c r="F7247" s="20"/>
      <c r="G7247" s="21"/>
    </row>
    <row r="7248" spans="1:7" x14ac:dyDescent="0.2">
      <c r="A7248" s="16"/>
      <c r="B7248" s="17"/>
      <c r="C7248" s="17"/>
      <c r="D7248" s="17"/>
      <c r="E7248" s="17"/>
      <c r="F7248" s="17"/>
      <c r="G7248" s="18"/>
    </row>
    <row r="7249" spans="1:7" x14ac:dyDescent="0.2">
      <c r="A7249" s="19"/>
      <c r="B7249" s="20"/>
      <c r="C7249" s="20"/>
      <c r="D7249" s="20"/>
      <c r="E7249" s="20"/>
      <c r="F7249" s="20"/>
      <c r="G7249" s="21"/>
    </row>
    <row r="7250" spans="1:7" x14ac:dyDescent="0.2">
      <c r="A7250" s="16"/>
      <c r="B7250" s="17"/>
      <c r="C7250" s="17"/>
      <c r="D7250" s="17"/>
      <c r="E7250" s="17"/>
      <c r="F7250" s="17"/>
      <c r="G7250" s="18"/>
    </row>
    <row r="7251" spans="1:7" x14ac:dyDescent="0.2">
      <c r="A7251" s="19"/>
      <c r="B7251" s="20"/>
      <c r="C7251" s="20"/>
      <c r="D7251" s="20"/>
      <c r="E7251" s="20"/>
      <c r="F7251" s="20"/>
      <c r="G7251" s="21"/>
    </row>
    <row r="7252" spans="1:7" x14ac:dyDescent="0.2">
      <c r="A7252" s="16"/>
      <c r="B7252" s="17"/>
      <c r="C7252" s="17"/>
      <c r="D7252" s="17"/>
      <c r="E7252" s="17"/>
      <c r="F7252" s="17"/>
      <c r="G7252" s="18"/>
    </row>
    <row r="7253" spans="1:7" x14ac:dyDescent="0.2">
      <c r="A7253" s="19"/>
      <c r="B7253" s="20"/>
      <c r="C7253" s="20"/>
      <c r="D7253" s="20"/>
      <c r="E7253" s="20"/>
      <c r="F7253" s="20"/>
      <c r="G7253" s="21"/>
    </row>
    <row r="7254" spans="1:7" x14ac:dyDescent="0.2">
      <c r="A7254" s="16"/>
      <c r="B7254" s="17"/>
      <c r="C7254" s="17"/>
      <c r="D7254" s="17"/>
      <c r="E7254" s="17"/>
      <c r="F7254" s="17"/>
      <c r="G7254" s="18"/>
    </row>
    <row r="7255" spans="1:7" x14ac:dyDescent="0.2">
      <c r="A7255" s="19"/>
      <c r="B7255" s="20"/>
      <c r="C7255" s="20"/>
      <c r="D7255" s="20"/>
      <c r="E7255" s="20"/>
      <c r="F7255" s="20"/>
      <c r="G7255" s="21"/>
    </row>
    <row r="7256" spans="1:7" x14ac:dyDescent="0.2">
      <c r="A7256" s="16"/>
      <c r="B7256" s="17"/>
      <c r="C7256" s="17"/>
      <c r="D7256" s="17"/>
      <c r="E7256" s="17"/>
      <c r="F7256" s="17"/>
      <c r="G7256" s="18"/>
    </row>
    <row r="7257" spans="1:7" x14ac:dyDescent="0.2">
      <c r="A7257" s="19"/>
      <c r="B7257" s="20"/>
      <c r="C7257" s="20"/>
      <c r="D7257" s="20"/>
      <c r="E7257" s="20"/>
      <c r="F7257" s="20"/>
      <c r="G7257" s="21"/>
    </row>
    <row r="7258" spans="1:7" x14ac:dyDescent="0.2">
      <c r="A7258" s="16"/>
      <c r="B7258" s="17"/>
      <c r="C7258" s="17"/>
      <c r="D7258" s="17"/>
      <c r="E7258" s="17"/>
      <c r="F7258" s="17"/>
      <c r="G7258" s="18"/>
    </row>
    <row r="7259" spans="1:7" x14ac:dyDescent="0.2">
      <c r="A7259" s="19"/>
      <c r="B7259" s="20"/>
      <c r="C7259" s="20"/>
      <c r="D7259" s="20"/>
      <c r="E7259" s="20"/>
      <c r="F7259" s="20"/>
      <c r="G7259" s="21"/>
    </row>
    <row r="7260" spans="1:7" x14ac:dyDescent="0.2">
      <c r="A7260" s="16"/>
      <c r="B7260" s="17"/>
      <c r="C7260" s="17"/>
      <c r="D7260" s="17"/>
      <c r="E7260" s="17"/>
      <c r="F7260" s="17"/>
      <c r="G7260" s="18"/>
    </row>
    <row r="7261" spans="1:7" x14ac:dyDescent="0.2">
      <c r="A7261" s="19"/>
      <c r="B7261" s="20"/>
      <c r="C7261" s="20"/>
      <c r="D7261" s="20"/>
      <c r="E7261" s="20"/>
      <c r="F7261" s="20"/>
      <c r="G7261" s="21"/>
    </row>
    <row r="7262" spans="1:7" x14ac:dyDescent="0.2">
      <c r="A7262" s="16"/>
      <c r="B7262" s="17"/>
      <c r="C7262" s="17"/>
      <c r="D7262" s="17"/>
      <c r="E7262" s="17"/>
      <c r="F7262" s="17"/>
      <c r="G7262" s="18"/>
    </row>
    <row r="7263" spans="1:7" x14ac:dyDescent="0.2">
      <c r="A7263" s="19"/>
      <c r="B7263" s="20"/>
      <c r="C7263" s="20"/>
      <c r="D7263" s="20"/>
      <c r="E7263" s="20"/>
      <c r="F7263" s="20"/>
      <c r="G7263" s="21"/>
    </row>
    <row r="7264" spans="1:7" x14ac:dyDescent="0.2">
      <c r="A7264" s="16"/>
      <c r="B7264" s="17"/>
      <c r="C7264" s="17"/>
      <c r="D7264" s="17"/>
      <c r="E7264" s="17"/>
      <c r="F7264" s="17"/>
      <c r="G7264" s="18"/>
    </row>
    <row r="7265" spans="1:7" x14ac:dyDescent="0.2">
      <c r="A7265" s="19"/>
      <c r="B7265" s="20"/>
      <c r="C7265" s="20"/>
      <c r="D7265" s="20"/>
      <c r="E7265" s="20"/>
      <c r="F7265" s="20"/>
      <c r="G7265" s="21"/>
    </row>
    <row r="7266" spans="1:7" x14ac:dyDescent="0.2">
      <c r="A7266" s="16"/>
      <c r="B7266" s="17"/>
      <c r="C7266" s="17"/>
      <c r="D7266" s="17"/>
      <c r="E7266" s="17"/>
      <c r="F7266" s="17"/>
      <c r="G7266" s="18"/>
    </row>
    <row r="7267" spans="1:7" x14ac:dyDescent="0.2">
      <c r="A7267" s="19"/>
      <c r="B7267" s="20"/>
      <c r="C7267" s="20"/>
      <c r="D7267" s="20"/>
      <c r="E7267" s="20"/>
      <c r="F7267" s="20"/>
      <c r="G7267" s="21"/>
    </row>
    <row r="7268" spans="1:7" x14ac:dyDescent="0.2">
      <c r="A7268" s="16"/>
      <c r="B7268" s="17"/>
      <c r="C7268" s="17"/>
      <c r="D7268" s="17"/>
      <c r="E7268" s="17"/>
      <c r="F7268" s="17"/>
      <c r="G7268" s="18"/>
    </row>
    <row r="7269" spans="1:7" x14ac:dyDescent="0.2">
      <c r="A7269" s="19"/>
      <c r="B7269" s="20"/>
      <c r="C7269" s="20"/>
      <c r="D7269" s="20"/>
      <c r="E7269" s="20"/>
      <c r="F7269" s="20"/>
      <c r="G7269" s="21"/>
    </row>
    <row r="7270" spans="1:7" x14ac:dyDescent="0.2">
      <c r="A7270" s="16"/>
      <c r="B7270" s="17"/>
      <c r="C7270" s="17"/>
      <c r="D7270" s="17"/>
      <c r="E7270" s="17"/>
      <c r="F7270" s="17"/>
      <c r="G7270" s="18"/>
    </row>
    <row r="7271" spans="1:7" x14ac:dyDescent="0.2">
      <c r="A7271" s="19"/>
      <c r="B7271" s="20"/>
      <c r="C7271" s="20"/>
      <c r="D7271" s="20"/>
      <c r="E7271" s="20"/>
      <c r="F7271" s="20"/>
      <c r="G7271" s="21"/>
    </row>
    <row r="7272" spans="1:7" x14ac:dyDescent="0.2">
      <c r="A7272" s="16"/>
      <c r="B7272" s="17"/>
      <c r="C7272" s="17"/>
      <c r="D7272" s="17"/>
      <c r="E7272" s="17"/>
      <c r="F7272" s="17"/>
      <c r="G7272" s="18"/>
    </row>
    <row r="7273" spans="1:7" x14ac:dyDescent="0.2">
      <c r="A7273" s="19"/>
      <c r="B7273" s="20"/>
      <c r="C7273" s="20"/>
      <c r="D7273" s="20"/>
      <c r="E7273" s="20"/>
      <c r="F7273" s="20"/>
      <c r="G7273" s="21"/>
    </row>
    <row r="7274" spans="1:7" x14ac:dyDescent="0.2">
      <c r="A7274" s="16"/>
      <c r="B7274" s="17"/>
      <c r="C7274" s="17"/>
      <c r="D7274" s="17"/>
      <c r="E7274" s="17"/>
      <c r="F7274" s="17"/>
      <c r="G7274" s="18"/>
    </row>
    <row r="7275" spans="1:7" x14ac:dyDescent="0.2">
      <c r="A7275" s="19"/>
      <c r="B7275" s="20"/>
      <c r="C7275" s="20"/>
      <c r="D7275" s="20"/>
      <c r="E7275" s="20"/>
      <c r="F7275" s="20"/>
      <c r="G7275" s="21"/>
    </row>
    <row r="7276" spans="1:7" x14ac:dyDescent="0.2">
      <c r="A7276" s="16"/>
      <c r="B7276" s="17"/>
      <c r="C7276" s="17"/>
      <c r="D7276" s="17"/>
      <c r="E7276" s="17"/>
      <c r="F7276" s="17"/>
      <c r="G7276" s="18"/>
    </row>
    <row r="7277" spans="1:7" x14ac:dyDescent="0.2">
      <c r="A7277" s="19"/>
      <c r="B7277" s="20"/>
      <c r="C7277" s="20"/>
      <c r="D7277" s="20"/>
      <c r="E7277" s="20"/>
      <c r="F7277" s="20"/>
      <c r="G7277" s="21"/>
    </row>
    <row r="7278" spans="1:7" x14ac:dyDescent="0.2">
      <c r="A7278" s="16"/>
      <c r="B7278" s="17"/>
      <c r="C7278" s="17"/>
      <c r="D7278" s="17"/>
      <c r="E7278" s="17"/>
      <c r="F7278" s="17"/>
      <c r="G7278" s="18"/>
    </row>
    <row r="7279" spans="1:7" x14ac:dyDescent="0.2">
      <c r="A7279" s="19"/>
      <c r="B7279" s="20"/>
      <c r="C7279" s="20"/>
      <c r="D7279" s="20"/>
      <c r="E7279" s="20"/>
      <c r="F7279" s="20"/>
      <c r="G7279" s="21"/>
    </row>
    <row r="7280" spans="1:7" x14ac:dyDescent="0.2">
      <c r="A7280" s="16"/>
      <c r="B7280" s="17"/>
      <c r="C7280" s="17"/>
      <c r="D7280" s="17"/>
      <c r="E7280" s="17"/>
      <c r="F7280" s="17"/>
      <c r="G7280" s="18"/>
    </row>
    <row r="7281" spans="1:7" x14ac:dyDescent="0.2">
      <c r="A7281" s="19"/>
      <c r="B7281" s="20"/>
      <c r="C7281" s="20"/>
      <c r="D7281" s="20"/>
      <c r="E7281" s="20"/>
      <c r="F7281" s="20"/>
      <c r="G7281" s="21"/>
    </row>
    <row r="7282" spans="1:7" x14ac:dyDescent="0.2">
      <c r="A7282" s="16"/>
      <c r="B7282" s="17"/>
      <c r="C7282" s="17"/>
      <c r="D7282" s="17"/>
      <c r="E7282" s="17"/>
      <c r="F7282" s="17"/>
      <c r="G7282" s="18"/>
    </row>
    <row r="7283" spans="1:7" x14ac:dyDescent="0.2">
      <c r="A7283" s="19"/>
      <c r="B7283" s="20"/>
      <c r="C7283" s="20"/>
      <c r="D7283" s="20"/>
      <c r="E7283" s="20"/>
      <c r="F7283" s="20"/>
      <c r="G7283" s="21"/>
    </row>
    <row r="7284" spans="1:7" x14ac:dyDescent="0.2">
      <c r="A7284" s="16"/>
      <c r="B7284" s="17"/>
      <c r="C7284" s="17"/>
      <c r="D7284" s="17"/>
      <c r="E7284" s="17"/>
      <c r="F7284" s="17"/>
      <c r="G7284" s="18"/>
    </row>
    <row r="7285" spans="1:7" x14ac:dyDescent="0.2">
      <c r="A7285" s="19"/>
      <c r="B7285" s="20"/>
      <c r="C7285" s="20"/>
      <c r="D7285" s="20"/>
      <c r="E7285" s="20"/>
      <c r="F7285" s="20"/>
      <c r="G7285" s="21"/>
    </row>
    <row r="7286" spans="1:7" x14ac:dyDescent="0.2">
      <c r="A7286" s="16"/>
      <c r="B7286" s="17"/>
      <c r="C7286" s="17"/>
      <c r="D7286" s="17"/>
      <c r="E7286" s="17"/>
      <c r="F7286" s="17"/>
      <c r="G7286" s="18"/>
    </row>
    <row r="7287" spans="1:7" x14ac:dyDescent="0.2">
      <c r="A7287" s="19"/>
      <c r="B7287" s="20"/>
      <c r="C7287" s="20"/>
      <c r="D7287" s="20"/>
      <c r="E7287" s="20"/>
      <c r="F7287" s="20"/>
      <c r="G7287" s="21"/>
    </row>
    <row r="7288" spans="1:7" x14ac:dyDescent="0.2">
      <c r="A7288" s="16"/>
      <c r="B7288" s="17"/>
      <c r="C7288" s="17"/>
      <c r="D7288" s="17"/>
      <c r="E7288" s="17"/>
      <c r="F7288" s="17"/>
      <c r="G7288" s="18"/>
    </row>
    <row r="7289" spans="1:7" x14ac:dyDescent="0.2">
      <c r="A7289" s="19"/>
      <c r="B7289" s="20"/>
      <c r="C7289" s="20"/>
      <c r="D7289" s="20"/>
      <c r="E7289" s="20"/>
      <c r="F7289" s="20"/>
      <c r="G7289" s="21"/>
    </row>
    <row r="7290" spans="1:7" x14ac:dyDescent="0.2">
      <c r="A7290" s="16"/>
      <c r="B7290" s="17"/>
      <c r="C7290" s="17"/>
      <c r="D7290" s="17"/>
      <c r="E7290" s="17"/>
      <c r="F7290" s="17"/>
      <c r="G7290" s="18"/>
    </row>
    <row r="7291" spans="1:7" x14ac:dyDescent="0.2">
      <c r="A7291" s="19"/>
      <c r="B7291" s="20"/>
      <c r="C7291" s="20"/>
      <c r="D7291" s="20"/>
      <c r="E7291" s="20"/>
      <c r="F7291" s="20"/>
      <c r="G7291" s="21"/>
    </row>
    <row r="7292" spans="1:7" x14ac:dyDescent="0.2">
      <c r="A7292" s="16"/>
      <c r="B7292" s="17"/>
      <c r="C7292" s="17"/>
      <c r="D7292" s="17"/>
      <c r="E7292" s="17"/>
      <c r="F7292" s="17"/>
      <c r="G7292" s="18"/>
    </row>
    <row r="7293" spans="1:7" x14ac:dyDescent="0.2">
      <c r="A7293" s="19"/>
      <c r="B7293" s="20"/>
      <c r="C7293" s="20"/>
      <c r="D7293" s="20"/>
      <c r="E7293" s="20"/>
      <c r="F7293" s="20"/>
      <c r="G7293" s="21"/>
    </row>
    <row r="7294" spans="1:7" x14ac:dyDescent="0.2">
      <c r="A7294" s="16"/>
      <c r="B7294" s="17"/>
      <c r="C7294" s="17"/>
      <c r="D7294" s="17"/>
      <c r="E7294" s="17"/>
      <c r="F7294" s="17"/>
      <c r="G7294" s="18"/>
    </row>
    <row r="7295" spans="1:7" x14ac:dyDescent="0.2">
      <c r="A7295" s="19"/>
      <c r="B7295" s="20"/>
      <c r="C7295" s="20"/>
      <c r="D7295" s="20"/>
      <c r="E7295" s="20"/>
      <c r="F7295" s="20"/>
      <c r="G7295" s="21"/>
    </row>
    <row r="7296" spans="1:7" x14ac:dyDescent="0.2">
      <c r="A7296" s="16"/>
      <c r="B7296" s="17"/>
      <c r="C7296" s="17"/>
      <c r="D7296" s="17"/>
      <c r="E7296" s="17"/>
      <c r="F7296" s="17"/>
      <c r="G7296" s="18"/>
    </row>
    <row r="7297" spans="1:7" x14ac:dyDescent="0.2">
      <c r="A7297" s="19"/>
      <c r="B7297" s="20"/>
      <c r="C7297" s="20"/>
      <c r="D7297" s="20"/>
      <c r="E7297" s="20"/>
      <c r="F7297" s="20"/>
      <c r="G7297" s="21"/>
    </row>
    <row r="7298" spans="1:7" x14ac:dyDescent="0.2">
      <c r="A7298" s="16"/>
      <c r="B7298" s="17"/>
      <c r="C7298" s="17"/>
      <c r="D7298" s="17"/>
      <c r="E7298" s="17"/>
      <c r="F7298" s="17"/>
      <c r="G7298" s="18"/>
    </row>
    <row r="7299" spans="1:7" x14ac:dyDescent="0.2">
      <c r="A7299" s="19"/>
      <c r="B7299" s="20"/>
      <c r="C7299" s="20"/>
      <c r="D7299" s="20"/>
      <c r="E7299" s="20"/>
      <c r="F7299" s="20"/>
      <c r="G7299" s="21"/>
    </row>
    <row r="7300" spans="1:7" x14ac:dyDescent="0.2">
      <c r="A7300" s="16"/>
      <c r="B7300" s="17"/>
      <c r="C7300" s="17"/>
      <c r="D7300" s="17"/>
      <c r="E7300" s="17"/>
      <c r="F7300" s="17"/>
      <c r="G7300" s="18"/>
    </row>
    <row r="7301" spans="1:7" x14ac:dyDescent="0.2">
      <c r="A7301" s="19"/>
      <c r="B7301" s="20"/>
      <c r="C7301" s="20"/>
      <c r="D7301" s="20"/>
      <c r="E7301" s="20"/>
      <c r="F7301" s="20"/>
      <c r="G7301" s="21"/>
    </row>
    <row r="7302" spans="1:7" x14ac:dyDescent="0.2">
      <c r="A7302" s="16"/>
      <c r="B7302" s="17"/>
      <c r="C7302" s="17"/>
      <c r="D7302" s="17"/>
      <c r="E7302" s="17"/>
      <c r="F7302" s="17"/>
      <c r="G7302" s="18"/>
    </row>
    <row r="7303" spans="1:7" x14ac:dyDescent="0.2">
      <c r="A7303" s="19"/>
      <c r="B7303" s="20"/>
      <c r="C7303" s="20"/>
      <c r="D7303" s="20"/>
      <c r="E7303" s="20"/>
      <c r="F7303" s="20"/>
      <c r="G7303" s="21"/>
    </row>
    <row r="7304" spans="1:7" x14ac:dyDescent="0.2">
      <c r="A7304" s="16"/>
      <c r="B7304" s="17"/>
      <c r="C7304" s="17"/>
      <c r="D7304" s="17"/>
      <c r="E7304" s="17"/>
      <c r="F7304" s="17"/>
      <c r="G7304" s="18"/>
    </row>
    <row r="7305" spans="1:7" x14ac:dyDescent="0.2">
      <c r="A7305" s="19"/>
      <c r="B7305" s="20"/>
      <c r="C7305" s="20"/>
      <c r="D7305" s="20"/>
      <c r="E7305" s="20"/>
      <c r="F7305" s="20"/>
      <c r="G7305" s="21"/>
    </row>
    <row r="7306" spans="1:7" x14ac:dyDescent="0.2">
      <c r="A7306" s="16"/>
      <c r="B7306" s="17"/>
      <c r="C7306" s="17"/>
      <c r="D7306" s="17"/>
      <c r="E7306" s="17"/>
      <c r="F7306" s="17"/>
      <c r="G7306" s="18"/>
    </row>
    <row r="7307" spans="1:7" x14ac:dyDescent="0.2">
      <c r="A7307" s="19"/>
      <c r="B7307" s="20"/>
      <c r="C7307" s="20"/>
      <c r="D7307" s="20"/>
      <c r="E7307" s="20"/>
      <c r="F7307" s="20"/>
      <c r="G7307" s="21"/>
    </row>
    <row r="7308" spans="1:7" x14ac:dyDescent="0.2">
      <c r="A7308" s="16"/>
      <c r="B7308" s="17"/>
      <c r="C7308" s="17"/>
      <c r="D7308" s="17"/>
      <c r="E7308" s="17"/>
      <c r="F7308" s="17"/>
      <c r="G7308" s="18"/>
    </row>
    <row r="7309" spans="1:7" x14ac:dyDescent="0.2">
      <c r="A7309" s="19"/>
      <c r="B7309" s="20"/>
      <c r="C7309" s="20"/>
      <c r="D7309" s="20"/>
      <c r="E7309" s="20"/>
      <c r="F7309" s="20"/>
      <c r="G7309" s="21"/>
    </row>
    <row r="7310" spans="1:7" x14ac:dyDescent="0.2">
      <c r="A7310" s="16"/>
      <c r="B7310" s="17"/>
      <c r="C7310" s="17"/>
      <c r="D7310" s="17"/>
      <c r="E7310" s="17"/>
      <c r="F7310" s="17"/>
      <c r="G7310" s="18"/>
    </row>
    <row r="7311" spans="1:7" x14ac:dyDescent="0.2">
      <c r="A7311" s="19"/>
      <c r="B7311" s="20"/>
      <c r="C7311" s="20"/>
      <c r="D7311" s="20"/>
      <c r="E7311" s="20"/>
      <c r="F7311" s="20"/>
      <c r="G7311" s="21"/>
    </row>
    <row r="7312" spans="1:7" x14ac:dyDescent="0.2">
      <c r="A7312" s="16"/>
      <c r="B7312" s="17"/>
      <c r="C7312" s="17"/>
      <c r="D7312" s="17"/>
      <c r="E7312" s="17"/>
      <c r="F7312" s="17"/>
      <c r="G7312" s="18"/>
    </row>
    <row r="7313" spans="1:7" x14ac:dyDescent="0.2">
      <c r="A7313" s="19"/>
      <c r="B7313" s="20"/>
      <c r="C7313" s="20"/>
      <c r="D7313" s="20"/>
      <c r="E7313" s="20"/>
      <c r="F7313" s="20"/>
      <c r="G7313" s="21"/>
    </row>
    <row r="7314" spans="1:7" x14ac:dyDescent="0.2">
      <c r="A7314" s="16"/>
      <c r="B7314" s="17"/>
      <c r="C7314" s="17"/>
      <c r="D7314" s="17"/>
      <c r="E7314" s="17"/>
      <c r="F7314" s="17"/>
      <c r="G7314" s="18"/>
    </row>
    <row r="7315" spans="1:7" x14ac:dyDescent="0.2">
      <c r="A7315" s="19"/>
      <c r="B7315" s="20"/>
      <c r="C7315" s="20"/>
      <c r="D7315" s="20"/>
      <c r="E7315" s="20"/>
      <c r="F7315" s="20"/>
      <c r="G7315" s="21"/>
    </row>
    <row r="7316" spans="1:7" x14ac:dyDescent="0.2">
      <c r="A7316" s="16"/>
      <c r="B7316" s="17"/>
      <c r="C7316" s="17"/>
      <c r="D7316" s="17"/>
      <c r="E7316" s="17"/>
      <c r="F7316" s="17"/>
      <c r="G7316" s="18"/>
    </row>
    <row r="7317" spans="1:7" x14ac:dyDescent="0.2">
      <c r="A7317" s="19"/>
      <c r="B7317" s="20"/>
      <c r="C7317" s="20"/>
      <c r="D7317" s="20"/>
      <c r="E7317" s="20"/>
      <c r="F7317" s="20"/>
      <c r="G7317" s="21"/>
    </row>
    <row r="7318" spans="1:7" x14ac:dyDescent="0.2">
      <c r="A7318" s="16"/>
      <c r="B7318" s="17"/>
      <c r="C7318" s="17"/>
      <c r="D7318" s="17"/>
      <c r="E7318" s="17"/>
      <c r="F7318" s="17"/>
      <c r="G7318" s="18"/>
    </row>
    <row r="7319" spans="1:7" x14ac:dyDescent="0.2">
      <c r="A7319" s="19"/>
      <c r="B7319" s="20"/>
      <c r="C7319" s="20"/>
      <c r="D7319" s="20"/>
      <c r="E7319" s="20"/>
      <c r="F7319" s="20"/>
      <c r="G7319" s="21"/>
    </row>
    <row r="7320" spans="1:7" x14ac:dyDescent="0.2">
      <c r="A7320" s="16"/>
      <c r="B7320" s="17"/>
      <c r="C7320" s="17"/>
      <c r="D7320" s="17"/>
      <c r="E7320" s="17"/>
      <c r="F7320" s="17"/>
      <c r="G7320" s="18"/>
    </row>
    <row r="7321" spans="1:7" x14ac:dyDescent="0.2">
      <c r="A7321" s="19"/>
      <c r="B7321" s="20"/>
      <c r="C7321" s="20"/>
      <c r="D7321" s="20"/>
      <c r="E7321" s="20"/>
      <c r="F7321" s="20"/>
      <c r="G7321" s="21"/>
    </row>
    <row r="7322" spans="1:7" x14ac:dyDescent="0.2">
      <c r="A7322" s="16"/>
      <c r="B7322" s="17"/>
      <c r="C7322" s="17"/>
      <c r="D7322" s="17"/>
      <c r="E7322" s="17"/>
      <c r="F7322" s="17"/>
      <c r="G7322" s="18"/>
    </row>
    <row r="7323" spans="1:7" x14ac:dyDescent="0.2">
      <c r="A7323" s="19"/>
      <c r="B7323" s="20"/>
      <c r="C7323" s="20"/>
      <c r="D7323" s="20"/>
      <c r="E7323" s="20"/>
      <c r="F7323" s="20"/>
      <c r="G7323" s="21"/>
    </row>
    <row r="7324" spans="1:7" x14ac:dyDescent="0.2">
      <c r="A7324" s="16"/>
      <c r="B7324" s="17"/>
      <c r="C7324" s="17"/>
      <c r="D7324" s="17"/>
      <c r="E7324" s="17"/>
      <c r="F7324" s="17"/>
      <c r="G7324" s="18"/>
    </row>
    <row r="7325" spans="1:7" x14ac:dyDescent="0.2">
      <c r="A7325" s="19"/>
      <c r="B7325" s="20"/>
      <c r="C7325" s="20"/>
      <c r="D7325" s="20"/>
      <c r="E7325" s="20"/>
      <c r="F7325" s="20"/>
      <c r="G7325" s="21"/>
    </row>
    <row r="7326" spans="1:7" x14ac:dyDescent="0.2">
      <c r="A7326" s="16"/>
      <c r="B7326" s="17"/>
      <c r="C7326" s="17"/>
      <c r="D7326" s="17"/>
      <c r="E7326" s="17"/>
      <c r="F7326" s="17"/>
      <c r="G7326" s="18"/>
    </row>
    <row r="7327" spans="1:7" x14ac:dyDescent="0.2">
      <c r="A7327" s="19"/>
      <c r="B7327" s="20"/>
      <c r="C7327" s="20"/>
      <c r="D7327" s="20"/>
      <c r="E7327" s="20"/>
      <c r="F7327" s="20"/>
      <c r="G7327" s="21"/>
    </row>
    <row r="7328" spans="1:7" x14ac:dyDescent="0.2">
      <c r="A7328" s="16"/>
      <c r="B7328" s="17"/>
      <c r="C7328" s="17"/>
      <c r="D7328" s="17"/>
      <c r="E7328" s="17"/>
      <c r="F7328" s="17"/>
      <c r="G7328" s="18"/>
    </row>
    <row r="7329" spans="1:7" x14ac:dyDescent="0.2">
      <c r="A7329" s="19"/>
      <c r="B7329" s="20"/>
      <c r="C7329" s="20"/>
      <c r="D7329" s="20"/>
      <c r="E7329" s="20"/>
      <c r="F7329" s="20"/>
      <c r="G7329" s="21"/>
    </row>
    <row r="7330" spans="1:7" x14ac:dyDescent="0.2">
      <c r="A7330" s="16"/>
      <c r="B7330" s="17"/>
      <c r="C7330" s="17"/>
      <c r="D7330" s="17"/>
      <c r="E7330" s="17"/>
      <c r="F7330" s="17"/>
      <c r="G7330" s="18"/>
    </row>
    <row r="7331" spans="1:7" x14ac:dyDescent="0.2">
      <c r="A7331" s="19"/>
      <c r="B7331" s="20"/>
      <c r="C7331" s="20"/>
      <c r="D7331" s="20"/>
      <c r="E7331" s="20"/>
      <c r="F7331" s="20"/>
      <c r="G7331" s="21"/>
    </row>
    <row r="7332" spans="1:7" x14ac:dyDescent="0.2">
      <c r="A7332" s="16"/>
      <c r="B7332" s="17"/>
      <c r="C7332" s="17"/>
      <c r="D7332" s="17"/>
      <c r="E7332" s="17"/>
      <c r="F7332" s="17"/>
      <c r="G7332" s="18"/>
    </row>
    <row r="7333" spans="1:7" x14ac:dyDescent="0.2">
      <c r="A7333" s="19"/>
      <c r="B7333" s="20"/>
      <c r="C7333" s="20"/>
      <c r="D7333" s="20"/>
      <c r="E7333" s="20"/>
      <c r="F7333" s="20"/>
      <c r="G7333" s="21"/>
    </row>
    <row r="7334" spans="1:7" x14ac:dyDescent="0.2">
      <c r="A7334" s="16"/>
      <c r="B7334" s="17"/>
      <c r="C7334" s="17"/>
      <c r="D7334" s="17"/>
      <c r="E7334" s="17"/>
      <c r="F7334" s="17"/>
      <c r="G7334" s="18"/>
    </row>
    <row r="7335" spans="1:7" x14ac:dyDescent="0.2">
      <c r="A7335" s="19"/>
      <c r="B7335" s="20"/>
      <c r="C7335" s="20"/>
      <c r="D7335" s="20"/>
      <c r="E7335" s="20"/>
      <c r="F7335" s="20"/>
      <c r="G7335" s="21"/>
    </row>
    <row r="7336" spans="1:7" x14ac:dyDescent="0.2">
      <c r="A7336" s="16"/>
      <c r="B7336" s="17"/>
      <c r="C7336" s="17"/>
      <c r="D7336" s="17"/>
      <c r="E7336" s="17"/>
      <c r="F7336" s="17"/>
      <c r="G7336" s="18"/>
    </row>
    <row r="7337" spans="1:7" x14ac:dyDescent="0.2">
      <c r="A7337" s="19"/>
      <c r="B7337" s="20"/>
      <c r="C7337" s="20"/>
      <c r="D7337" s="20"/>
      <c r="E7337" s="20"/>
      <c r="F7337" s="20"/>
      <c r="G7337" s="21"/>
    </row>
    <row r="7338" spans="1:7" x14ac:dyDescent="0.2">
      <c r="A7338" s="16"/>
      <c r="B7338" s="17"/>
      <c r="C7338" s="17"/>
      <c r="D7338" s="17"/>
      <c r="E7338" s="17"/>
      <c r="F7338" s="17"/>
      <c r="G7338" s="18"/>
    </row>
    <row r="7339" spans="1:7" x14ac:dyDescent="0.2">
      <c r="A7339" s="19"/>
      <c r="B7339" s="20"/>
      <c r="C7339" s="20"/>
      <c r="D7339" s="20"/>
      <c r="E7339" s="20"/>
      <c r="F7339" s="20"/>
      <c r="G7339" s="21"/>
    </row>
    <row r="7340" spans="1:7" x14ac:dyDescent="0.2">
      <c r="A7340" s="16"/>
      <c r="B7340" s="17"/>
      <c r="C7340" s="17"/>
      <c r="D7340" s="17"/>
      <c r="E7340" s="17"/>
      <c r="F7340" s="17"/>
      <c r="G7340" s="18"/>
    </row>
    <row r="7341" spans="1:7" x14ac:dyDescent="0.2">
      <c r="A7341" s="19"/>
      <c r="B7341" s="20"/>
      <c r="C7341" s="20"/>
      <c r="D7341" s="20"/>
      <c r="E7341" s="20"/>
      <c r="F7341" s="20"/>
      <c r="G7341" s="21"/>
    </row>
    <row r="7342" spans="1:7" x14ac:dyDescent="0.2">
      <c r="A7342" s="16"/>
      <c r="B7342" s="17"/>
      <c r="C7342" s="17"/>
      <c r="D7342" s="17"/>
      <c r="E7342" s="17"/>
      <c r="F7342" s="17"/>
      <c r="G7342" s="18"/>
    </row>
    <row r="7343" spans="1:7" x14ac:dyDescent="0.2">
      <c r="A7343" s="19"/>
      <c r="B7343" s="20"/>
      <c r="C7343" s="20"/>
      <c r="D7343" s="20"/>
      <c r="E7343" s="20"/>
      <c r="F7343" s="20"/>
      <c r="G7343" s="21"/>
    </row>
    <row r="7344" spans="1:7" x14ac:dyDescent="0.2">
      <c r="A7344" s="16"/>
      <c r="B7344" s="17"/>
      <c r="C7344" s="17"/>
      <c r="D7344" s="17"/>
      <c r="E7344" s="17"/>
      <c r="F7344" s="17"/>
      <c r="G7344" s="18"/>
    </row>
    <row r="7345" spans="1:7" x14ac:dyDescent="0.2">
      <c r="A7345" s="19"/>
      <c r="B7345" s="20"/>
      <c r="C7345" s="20"/>
      <c r="D7345" s="20"/>
      <c r="E7345" s="20"/>
      <c r="F7345" s="20"/>
      <c r="G7345" s="21"/>
    </row>
    <row r="7346" spans="1:7" x14ac:dyDescent="0.2">
      <c r="A7346" s="16"/>
      <c r="B7346" s="17"/>
      <c r="C7346" s="17"/>
      <c r="D7346" s="17"/>
      <c r="E7346" s="17"/>
      <c r="F7346" s="17"/>
      <c r="G7346" s="18"/>
    </row>
    <row r="7347" spans="1:7" x14ac:dyDescent="0.2">
      <c r="A7347" s="19"/>
      <c r="B7347" s="20"/>
      <c r="C7347" s="20"/>
      <c r="D7347" s="20"/>
      <c r="E7347" s="20"/>
      <c r="F7347" s="20"/>
      <c r="G7347" s="21"/>
    </row>
    <row r="7348" spans="1:7" x14ac:dyDescent="0.2">
      <c r="A7348" s="16"/>
      <c r="B7348" s="17"/>
      <c r="C7348" s="17"/>
      <c r="D7348" s="17"/>
      <c r="E7348" s="17"/>
      <c r="F7348" s="17"/>
      <c r="G7348" s="18"/>
    </row>
    <row r="7349" spans="1:7" x14ac:dyDescent="0.2">
      <c r="A7349" s="19"/>
      <c r="B7349" s="20"/>
      <c r="C7349" s="20"/>
      <c r="D7349" s="20"/>
      <c r="E7349" s="20"/>
      <c r="F7349" s="20"/>
      <c r="G7349" s="21"/>
    </row>
    <row r="7350" spans="1:7" x14ac:dyDescent="0.2">
      <c r="A7350" s="16"/>
      <c r="B7350" s="17"/>
      <c r="C7350" s="17"/>
      <c r="D7350" s="17"/>
      <c r="E7350" s="17"/>
      <c r="F7350" s="17"/>
      <c r="G7350" s="18"/>
    </row>
    <row r="7351" spans="1:7" x14ac:dyDescent="0.2">
      <c r="A7351" s="19"/>
      <c r="B7351" s="20"/>
      <c r="C7351" s="20"/>
      <c r="D7351" s="20"/>
      <c r="E7351" s="20"/>
      <c r="F7351" s="20"/>
      <c r="G7351" s="21"/>
    </row>
    <row r="7352" spans="1:7" x14ac:dyDescent="0.2">
      <c r="A7352" s="16"/>
      <c r="B7352" s="17"/>
      <c r="C7352" s="17"/>
      <c r="D7352" s="17"/>
      <c r="E7352" s="17"/>
      <c r="F7352" s="17"/>
      <c r="G7352" s="18"/>
    </row>
    <row r="7353" spans="1:7" x14ac:dyDescent="0.2">
      <c r="A7353" s="19"/>
      <c r="B7353" s="20"/>
      <c r="C7353" s="20"/>
      <c r="D7353" s="20"/>
      <c r="E7353" s="20"/>
      <c r="F7353" s="20"/>
      <c r="G7353" s="21"/>
    </row>
    <row r="7354" spans="1:7" x14ac:dyDescent="0.2">
      <c r="A7354" s="16"/>
      <c r="B7354" s="17"/>
      <c r="C7354" s="17"/>
      <c r="D7354" s="17"/>
      <c r="E7354" s="17"/>
      <c r="F7354" s="17"/>
      <c r="G7354" s="18"/>
    </row>
    <row r="7355" spans="1:7" x14ac:dyDescent="0.2">
      <c r="A7355" s="19"/>
      <c r="B7355" s="20"/>
      <c r="C7355" s="20"/>
      <c r="D7355" s="20"/>
      <c r="E7355" s="20"/>
      <c r="F7355" s="20"/>
      <c r="G7355" s="21"/>
    </row>
    <row r="7356" spans="1:7" x14ac:dyDescent="0.2">
      <c r="A7356" s="16"/>
      <c r="B7356" s="17"/>
      <c r="C7356" s="17"/>
      <c r="D7356" s="17"/>
      <c r="E7356" s="17"/>
      <c r="F7356" s="17"/>
      <c r="G7356" s="18"/>
    </row>
    <row r="7357" spans="1:7" x14ac:dyDescent="0.2">
      <c r="A7357" s="19"/>
      <c r="B7357" s="20"/>
      <c r="C7357" s="20"/>
      <c r="D7357" s="20"/>
      <c r="E7357" s="20"/>
      <c r="F7357" s="20"/>
      <c r="G7357" s="21"/>
    </row>
    <row r="7358" spans="1:7" x14ac:dyDescent="0.2">
      <c r="A7358" s="16"/>
      <c r="B7358" s="17"/>
      <c r="C7358" s="17"/>
      <c r="D7358" s="17"/>
      <c r="E7358" s="17"/>
      <c r="F7358" s="17"/>
      <c r="G7358" s="18"/>
    </row>
    <row r="7359" spans="1:7" x14ac:dyDescent="0.2">
      <c r="A7359" s="19"/>
      <c r="B7359" s="20"/>
      <c r="C7359" s="20"/>
      <c r="D7359" s="20"/>
      <c r="E7359" s="20"/>
      <c r="F7359" s="20"/>
      <c r="G7359" s="21"/>
    </row>
    <row r="7360" spans="1:7" x14ac:dyDescent="0.2">
      <c r="A7360" s="16"/>
      <c r="B7360" s="17"/>
      <c r="C7360" s="17"/>
      <c r="D7360" s="17"/>
      <c r="E7360" s="17"/>
      <c r="F7360" s="17"/>
      <c r="G7360" s="18"/>
    </row>
    <row r="7361" spans="1:7" x14ac:dyDescent="0.2">
      <c r="A7361" s="19"/>
      <c r="B7361" s="20"/>
      <c r="C7361" s="20"/>
      <c r="D7361" s="20"/>
      <c r="E7361" s="20"/>
      <c r="F7361" s="20"/>
      <c r="G7361" s="21"/>
    </row>
    <row r="7362" spans="1:7" x14ac:dyDescent="0.2">
      <c r="A7362" s="16"/>
      <c r="B7362" s="17"/>
      <c r="C7362" s="17"/>
      <c r="D7362" s="17"/>
      <c r="E7362" s="17"/>
      <c r="F7362" s="17"/>
      <c r="G7362" s="18"/>
    </row>
    <row r="7363" spans="1:7" x14ac:dyDescent="0.2">
      <c r="A7363" s="19"/>
      <c r="B7363" s="20"/>
      <c r="C7363" s="20"/>
      <c r="D7363" s="20"/>
      <c r="E7363" s="20"/>
      <c r="F7363" s="20"/>
      <c r="G7363" s="21"/>
    </row>
    <row r="7364" spans="1:7" x14ac:dyDescent="0.2">
      <c r="A7364" s="16"/>
      <c r="B7364" s="17"/>
      <c r="C7364" s="17"/>
      <c r="D7364" s="17"/>
      <c r="E7364" s="17"/>
      <c r="F7364" s="17"/>
      <c r="G7364" s="18"/>
    </row>
    <row r="7365" spans="1:7" x14ac:dyDescent="0.2">
      <c r="A7365" s="19"/>
      <c r="B7365" s="20"/>
      <c r="C7365" s="20"/>
      <c r="D7365" s="20"/>
      <c r="E7365" s="20"/>
      <c r="F7365" s="20"/>
      <c r="G7365" s="21"/>
    </row>
    <row r="7366" spans="1:7" x14ac:dyDescent="0.2">
      <c r="A7366" s="16"/>
      <c r="B7366" s="17"/>
      <c r="C7366" s="17"/>
      <c r="D7366" s="17"/>
      <c r="E7366" s="17"/>
      <c r="F7366" s="17"/>
      <c r="G7366" s="18"/>
    </row>
    <row r="7367" spans="1:7" x14ac:dyDescent="0.2">
      <c r="A7367" s="19"/>
      <c r="B7367" s="20"/>
      <c r="C7367" s="20"/>
      <c r="D7367" s="20"/>
      <c r="E7367" s="20"/>
      <c r="F7367" s="20"/>
      <c r="G7367" s="21"/>
    </row>
    <row r="7368" spans="1:7" x14ac:dyDescent="0.2">
      <c r="A7368" s="16"/>
      <c r="B7368" s="17"/>
      <c r="C7368" s="17"/>
      <c r="D7368" s="17"/>
      <c r="E7368" s="17"/>
      <c r="F7368" s="17"/>
      <c r="G7368" s="18"/>
    </row>
    <row r="7369" spans="1:7" x14ac:dyDescent="0.2">
      <c r="A7369" s="19"/>
      <c r="B7369" s="20"/>
      <c r="C7369" s="20"/>
      <c r="D7369" s="20"/>
      <c r="E7369" s="20"/>
      <c r="F7369" s="20"/>
      <c r="G7369" s="21"/>
    </row>
    <row r="7370" spans="1:7" x14ac:dyDescent="0.2">
      <c r="A7370" s="16"/>
      <c r="B7370" s="17"/>
      <c r="C7370" s="17"/>
      <c r="D7370" s="17"/>
      <c r="E7370" s="17"/>
      <c r="F7370" s="17"/>
      <c r="G7370" s="18"/>
    </row>
    <row r="7371" spans="1:7" x14ac:dyDescent="0.2">
      <c r="A7371" s="19"/>
      <c r="B7371" s="20"/>
      <c r="C7371" s="20"/>
      <c r="D7371" s="20"/>
      <c r="E7371" s="20"/>
      <c r="F7371" s="20"/>
      <c r="G7371" s="21"/>
    </row>
    <row r="7372" spans="1:7" x14ac:dyDescent="0.2">
      <c r="A7372" s="16"/>
      <c r="B7372" s="17"/>
      <c r="C7372" s="17"/>
      <c r="D7372" s="17"/>
      <c r="E7372" s="17"/>
      <c r="F7372" s="17"/>
      <c r="G7372" s="18"/>
    </row>
    <row r="7373" spans="1:7" x14ac:dyDescent="0.2">
      <c r="A7373" s="19"/>
      <c r="B7373" s="20"/>
      <c r="C7373" s="20"/>
      <c r="D7373" s="20"/>
      <c r="E7373" s="20"/>
      <c r="F7373" s="20"/>
      <c r="G7373" s="21"/>
    </row>
    <row r="7374" spans="1:7" x14ac:dyDescent="0.2">
      <c r="A7374" s="16"/>
      <c r="B7374" s="17"/>
      <c r="C7374" s="17"/>
      <c r="D7374" s="17"/>
      <c r="E7374" s="17"/>
      <c r="F7374" s="17"/>
      <c r="G7374" s="18"/>
    </row>
    <row r="7375" spans="1:7" x14ac:dyDescent="0.2">
      <c r="A7375" s="19"/>
      <c r="B7375" s="20"/>
      <c r="C7375" s="20"/>
      <c r="D7375" s="20"/>
      <c r="E7375" s="20"/>
      <c r="F7375" s="20"/>
      <c r="G7375" s="21"/>
    </row>
    <row r="7376" spans="1:7" x14ac:dyDescent="0.2">
      <c r="A7376" s="16"/>
      <c r="B7376" s="17"/>
      <c r="C7376" s="17"/>
      <c r="D7376" s="17"/>
      <c r="E7376" s="17"/>
      <c r="F7376" s="17"/>
      <c r="G7376" s="18"/>
    </row>
    <row r="7377" spans="1:7" x14ac:dyDescent="0.2">
      <c r="A7377" s="19"/>
      <c r="B7377" s="20"/>
      <c r="C7377" s="20"/>
      <c r="D7377" s="20"/>
      <c r="E7377" s="20"/>
      <c r="F7377" s="20"/>
      <c r="G7377" s="21"/>
    </row>
    <row r="7378" spans="1:7" x14ac:dyDescent="0.2">
      <c r="A7378" s="16"/>
      <c r="B7378" s="17"/>
      <c r="C7378" s="17"/>
      <c r="D7378" s="17"/>
      <c r="E7378" s="17"/>
      <c r="F7378" s="17"/>
      <c r="G7378" s="18"/>
    </row>
    <row r="7379" spans="1:7" x14ac:dyDescent="0.2">
      <c r="A7379" s="19"/>
      <c r="B7379" s="20"/>
      <c r="C7379" s="20"/>
      <c r="D7379" s="20"/>
      <c r="E7379" s="20"/>
      <c r="F7379" s="20"/>
      <c r="G7379" s="21"/>
    </row>
    <row r="7380" spans="1:7" x14ac:dyDescent="0.2">
      <c r="A7380" s="16"/>
      <c r="B7380" s="17"/>
      <c r="C7380" s="17"/>
      <c r="D7380" s="17"/>
      <c r="E7380" s="17"/>
      <c r="F7380" s="17"/>
      <c r="G7380" s="18"/>
    </row>
    <row r="7381" spans="1:7" x14ac:dyDescent="0.2">
      <c r="A7381" s="19"/>
      <c r="B7381" s="20"/>
      <c r="C7381" s="20"/>
      <c r="D7381" s="20"/>
      <c r="E7381" s="20"/>
      <c r="F7381" s="20"/>
      <c r="G7381" s="21"/>
    </row>
    <row r="7382" spans="1:7" x14ac:dyDescent="0.2">
      <c r="A7382" s="16"/>
      <c r="B7382" s="17"/>
      <c r="C7382" s="17"/>
      <c r="D7382" s="17"/>
      <c r="E7382" s="17"/>
      <c r="F7382" s="17"/>
      <c r="G7382" s="18"/>
    </row>
    <row r="7383" spans="1:7" x14ac:dyDescent="0.2">
      <c r="A7383" s="19"/>
      <c r="B7383" s="20"/>
      <c r="C7383" s="20"/>
      <c r="D7383" s="20"/>
      <c r="E7383" s="20"/>
      <c r="F7383" s="20"/>
      <c r="G7383" s="21"/>
    </row>
    <row r="7384" spans="1:7" x14ac:dyDescent="0.2">
      <c r="A7384" s="16"/>
      <c r="B7384" s="17"/>
      <c r="C7384" s="17"/>
      <c r="D7384" s="17"/>
      <c r="E7384" s="17"/>
      <c r="F7384" s="17"/>
      <c r="G7384" s="18"/>
    </row>
    <row r="7385" spans="1:7" x14ac:dyDescent="0.2">
      <c r="A7385" s="19"/>
      <c r="B7385" s="20"/>
      <c r="C7385" s="20"/>
      <c r="D7385" s="20"/>
      <c r="E7385" s="20"/>
      <c r="F7385" s="20"/>
      <c r="G7385" s="21"/>
    </row>
    <row r="7386" spans="1:7" x14ac:dyDescent="0.2">
      <c r="A7386" s="16"/>
      <c r="B7386" s="17"/>
      <c r="C7386" s="17"/>
      <c r="D7386" s="17"/>
      <c r="E7386" s="17"/>
      <c r="F7386" s="17"/>
      <c r="G7386" s="18"/>
    </row>
    <row r="7387" spans="1:7" x14ac:dyDescent="0.2">
      <c r="A7387" s="19"/>
      <c r="B7387" s="20"/>
      <c r="C7387" s="20"/>
      <c r="D7387" s="20"/>
      <c r="E7387" s="20"/>
      <c r="F7387" s="20"/>
      <c r="G7387" s="21"/>
    </row>
    <row r="7388" spans="1:7" x14ac:dyDescent="0.2">
      <c r="A7388" s="16"/>
      <c r="B7388" s="17"/>
      <c r="C7388" s="17"/>
      <c r="D7388" s="17"/>
      <c r="E7388" s="17"/>
      <c r="F7388" s="17"/>
      <c r="G7388" s="18"/>
    </row>
    <row r="7389" spans="1:7" x14ac:dyDescent="0.2">
      <c r="A7389" s="19"/>
      <c r="B7389" s="20"/>
      <c r="C7389" s="20"/>
      <c r="D7389" s="20"/>
      <c r="E7389" s="20"/>
      <c r="F7389" s="20"/>
      <c r="G7389" s="21"/>
    </row>
    <row r="7390" spans="1:7" x14ac:dyDescent="0.2">
      <c r="A7390" s="16"/>
      <c r="B7390" s="17"/>
      <c r="C7390" s="17"/>
      <c r="D7390" s="17"/>
      <c r="E7390" s="17"/>
      <c r="F7390" s="17"/>
      <c r="G7390" s="18"/>
    </row>
    <row r="7391" spans="1:7" x14ac:dyDescent="0.2">
      <c r="A7391" s="19"/>
      <c r="B7391" s="20"/>
      <c r="C7391" s="20"/>
      <c r="D7391" s="20"/>
      <c r="E7391" s="20"/>
      <c r="F7391" s="20"/>
      <c r="G7391" s="21"/>
    </row>
    <row r="7392" spans="1:7" x14ac:dyDescent="0.2">
      <c r="A7392" s="16"/>
      <c r="B7392" s="17"/>
      <c r="C7392" s="17"/>
      <c r="D7392" s="17"/>
      <c r="E7392" s="17"/>
      <c r="F7392" s="17"/>
      <c r="G7392" s="18"/>
    </row>
    <row r="7393" spans="1:7" x14ac:dyDescent="0.2">
      <c r="A7393" s="19"/>
      <c r="B7393" s="20"/>
      <c r="C7393" s="20"/>
      <c r="D7393" s="20"/>
      <c r="E7393" s="20"/>
      <c r="F7393" s="20"/>
      <c r="G7393" s="21"/>
    </row>
    <row r="7394" spans="1:7" x14ac:dyDescent="0.2">
      <c r="A7394" s="16"/>
      <c r="B7394" s="17"/>
      <c r="C7394" s="17"/>
      <c r="D7394" s="17"/>
      <c r="E7394" s="17"/>
      <c r="F7394" s="17"/>
      <c r="G7394" s="18"/>
    </row>
    <row r="7395" spans="1:7" x14ac:dyDescent="0.2">
      <c r="A7395" s="19"/>
      <c r="B7395" s="20"/>
      <c r="C7395" s="20"/>
      <c r="D7395" s="20"/>
      <c r="E7395" s="20"/>
      <c r="F7395" s="20"/>
      <c r="G7395" s="21"/>
    </row>
    <row r="7396" spans="1:7" x14ac:dyDescent="0.2">
      <c r="A7396" s="16"/>
      <c r="B7396" s="17"/>
      <c r="C7396" s="17"/>
      <c r="D7396" s="17"/>
      <c r="E7396" s="17"/>
      <c r="F7396" s="17"/>
      <c r="G7396" s="18"/>
    </row>
    <row r="7397" spans="1:7" x14ac:dyDescent="0.2">
      <c r="A7397" s="19"/>
      <c r="B7397" s="20"/>
      <c r="C7397" s="20"/>
      <c r="D7397" s="20"/>
      <c r="E7397" s="20"/>
      <c r="F7397" s="20"/>
      <c r="G7397" s="21"/>
    </row>
    <row r="7398" spans="1:7" x14ac:dyDescent="0.2">
      <c r="A7398" s="16"/>
      <c r="B7398" s="17"/>
      <c r="C7398" s="17"/>
      <c r="D7398" s="17"/>
      <c r="E7398" s="17"/>
      <c r="F7398" s="17"/>
      <c r="G7398" s="18"/>
    </row>
    <row r="7399" spans="1:7" x14ac:dyDescent="0.2">
      <c r="A7399" s="19"/>
      <c r="B7399" s="20"/>
      <c r="C7399" s="20"/>
      <c r="D7399" s="20"/>
      <c r="E7399" s="20"/>
      <c r="F7399" s="20"/>
      <c r="G7399" s="21"/>
    </row>
    <row r="7400" spans="1:7" x14ac:dyDescent="0.2">
      <c r="A7400" s="16"/>
      <c r="B7400" s="17"/>
      <c r="C7400" s="17"/>
      <c r="D7400" s="17"/>
      <c r="E7400" s="17"/>
      <c r="F7400" s="17"/>
      <c r="G7400" s="18"/>
    </row>
    <row r="7401" spans="1:7" x14ac:dyDescent="0.2">
      <c r="A7401" s="19"/>
      <c r="B7401" s="20"/>
      <c r="C7401" s="20"/>
      <c r="D7401" s="20"/>
      <c r="E7401" s="20"/>
      <c r="F7401" s="20"/>
      <c r="G7401" s="21"/>
    </row>
    <row r="7402" spans="1:7" x14ac:dyDescent="0.2">
      <c r="A7402" s="16"/>
      <c r="B7402" s="17"/>
      <c r="C7402" s="17"/>
      <c r="D7402" s="17"/>
      <c r="E7402" s="17"/>
      <c r="F7402" s="17"/>
      <c r="G7402" s="18"/>
    </row>
    <row r="7403" spans="1:7" x14ac:dyDescent="0.2">
      <c r="A7403" s="19"/>
      <c r="B7403" s="20"/>
      <c r="C7403" s="20"/>
      <c r="D7403" s="20"/>
      <c r="E7403" s="20"/>
      <c r="F7403" s="20"/>
      <c r="G7403" s="21"/>
    </row>
    <row r="7404" spans="1:7" x14ac:dyDescent="0.2">
      <c r="A7404" s="16"/>
      <c r="B7404" s="17"/>
      <c r="C7404" s="17"/>
      <c r="D7404" s="17"/>
      <c r="E7404" s="17"/>
      <c r="F7404" s="17"/>
      <c r="G7404" s="18"/>
    </row>
    <row r="7405" spans="1:7" x14ac:dyDescent="0.2">
      <c r="A7405" s="19"/>
      <c r="B7405" s="20"/>
      <c r="C7405" s="20"/>
      <c r="D7405" s="20"/>
      <c r="E7405" s="20"/>
      <c r="F7405" s="20"/>
      <c r="G7405" s="21"/>
    </row>
    <row r="7406" spans="1:7" x14ac:dyDescent="0.2">
      <c r="A7406" s="16"/>
      <c r="B7406" s="17"/>
      <c r="C7406" s="17"/>
      <c r="D7406" s="17"/>
      <c r="E7406" s="17"/>
      <c r="F7406" s="17"/>
      <c r="G7406" s="18"/>
    </row>
    <row r="7407" spans="1:7" x14ac:dyDescent="0.2">
      <c r="A7407" s="19"/>
      <c r="B7407" s="20"/>
      <c r="C7407" s="20"/>
      <c r="D7407" s="20"/>
      <c r="E7407" s="20"/>
      <c r="F7407" s="20"/>
      <c r="G7407" s="21"/>
    </row>
    <row r="7408" spans="1:7" x14ac:dyDescent="0.2">
      <c r="A7408" s="16"/>
      <c r="B7408" s="17"/>
      <c r="C7408" s="17"/>
      <c r="D7408" s="17"/>
      <c r="E7408" s="17"/>
      <c r="F7408" s="17"/>
      <c r="G7408" s="18"/>
    </row>
    <row r="7409" spans="1:7" x14ac:dyDescent="0.2">
      <c r="A7409" s="19"/>
      <c r="B7409" s="20"/>
      <c r="C7409" s="20"/>
      <c r="D7409" s="20"/>
      <c r="E7409" s="20"/>
      <c r="F7409" s="20"/>
      <c r="G7409" s="21"/>
    </row>
    <row r="7410" spans="1:7" x14ac:dyDescent="0.2">
      <c r="A7410" s="16"/>
      <c r="B7410" s="17"/>
      <c r="C7410" s="17"/>
      <c r="D7410" s="17"/>
      <c r="E7410" s="17"/>
      <c r="F7410" s="17"/>
      <c r="G7410" s="18"/>
    </row>
    <row r="7411" spans="1:7" x14ac:dyDescent="0.2">
      <c r="A7411" s="19"/>
      <c r="B7411" s="20"/>
      <c r="C7411" s="20"/>
      <c r="D7411" s="20"/>
      <c r="E7411" s="20"/>
      <c r="F7411" s="20"/>
      <c r="G7411" s="21"/>
    </row>
    <row r="7412" spans="1:7" x14ac:dyDescent="0.2">
      <c r="A7412" s="16"/>
      <c r="B7412" s="17"/>
      <c r="C7412" s="17"/>
      <c r="D7412" s="17"/>
      <c r="E7412" s="17"/>
      <c r="F7412" s="17"/>
      <c r="G7412" s="18"/>
    </row>
    <row r="7413" spans="1:7" x14ac:dyDescent="0.2">
      <c r="A7413" s="19"/>
      <c r="B7413" s="20"/>
      <c r="C7413" s="20"/>
      <c r="D7413" s="20"/>
      <c r="E7413" s="20"/>
      <c r="F7413" s="20"/>
      <c r="G7413" s="21"/>
    </row>
    <row r="7414" spans="1:7" x14ac:dyDescent="0.2">
      <c r="A7414" s="16"/>
      <c r="B7414" s="17"/>
      <c r="C7414" s="17"/>
      <c r="D7414" s="17"/>
      <c r="E7414" s="17"/>
      <c r="F7414" s="17"/>
      <c r="G7414" s="18"/>
    </row>
    <row r="7415" spans="1:7" x14ac:dyDescent="0.2">
      <c r="A7415" s="19"/>
      <c r="B7415" s="20"/>
      <c r="C7415" s="20"/>
      <c r="D7415" s="20"/>
      <c r="E7415" s="20"/>
      <c r="F7415" s="20"/>
      <c r="G7415" s="21"/>
    </row>
    <row r="7416" spans="1:7" x14ac:dyDescent="0.2">
      <c r="A7416" s="16"/>
      <c r="B7416" s="17"/>
      <c r="C7416" s="17"/>
      <c r="D7416" s="17"/>
      <c r="E7416" s="17"/>
      <c r="F7416" s="17"/>
      <c r="G7416" s="18"/>
    </row>
    <row r="7417" spans="1:7" x14ac:dyDescent="0.2">
      <c r="A7417" s="19"/>
      <c r="B7417" s="20"/>
      <c r="C7417" s="20"/>
      <c r="D7417" s="20"/>
      <c r="E7417" s="20"/>
      <c r="F7417" s="20"/>
      <c r="G7417" s="21"/>
    </row>
    <row r="7418" spans="1:7" x14ac:dyDescent="0.2">
      <c r="A7418" s="16"/>
      <c r="B7418" s="17"/>
      <c r="C7418" s="17"/>
      <c r="D7418" s="17"/>
      <c r="E7418" s="17"/>
      <c r="F7418" s="17"/>
      <c r="G7418" s="18"/>
    </row>
    <row r="7419" spans="1:7" x14ac:dyDescent="0.2">
      <c r="A7419" s="19"/>
      <c r="B7419" s="20"/>
      <c r="C7419" s="20"/>
      <c r="D7419" s="20"/>
      <c r="E7419" s="20"/>
      <c r="F7419" s="20"/>
      <c r="G7419" s="21"/>
    </row>
    <row r="7420" spans="1:7" x14ac:dyDescent="0.2">
      <c r="A7420" s="16"/>
      <c r="B7420" s="17"/>
      <c r="C7420" s="17"/>
      <c r="D7420" s="17"/>
      <c r="E7420" s="17"/>
      <c r="F7420" s="17"/>
      <c r="G7420" s="18"/>
    </row>
    <row r="7421" spans="1:7" x14ac:dyDescent="0.2">
      <c r="A7421" s="19"/>
      <c r="B7421" s="20"/>
      <c r="C7421" s="20"/>
      <c r="D7421" s="20"/>
      <c r="E7421" s="20"/>
      <c r="F7421" s="20"/>
      <c r="G7421" s="21"/>
    </row>
    <row r="7422" spans="1:7" x14ac:dyDescent="0.2">
      <c r="A7422" s="16"/>
      <c r="B7422" s="17"/>
      <c r="C7422" s="17"/>
      <c r="D7422" s="17"/>
      <c r="E7422" s="17"/>
      <c r="F7422" s="17"/>
      <c r="G7422" s="18"/>
    </row>
    <row r="7423" spans="1:7" x14ac:dyDescent="0.2">
      <c r="A7423" s="19"/>
      <c r="B7423" s="20"/>
      <c r="C7423" s="20"/>
      <c r="D7423" s="20"/>
      <c r="E7423" s="20"/>
      <c r="F7423" s="20"/>
      <c r="G7423" s="21"/>
    </row>
    <row r="7424" spans="1:7" x14ac:dyDescent="0.2">
      <c r="A7424" s="16"/>
      <c r="B7424" s="17"/>
      <c r="C7424" s="17"/>
      <c r="D7424" s="17"/>
      <c r="E7424" s="17"/>
      <c r="F7424" s="17"/>
      <c r="G7424" s="18"/>
    </row>
    <row r="7425" spans="1:7" x14ac:dyDescent="0.2">
      <c r="A7425" s="19"/>
      <c r="B7425" s="20"/>
      <c r="C7425" s="20"/>
      <c r="D7425" s="20"/>
      <c r="E7425" s="20"/>
      <c r="F7425" s="20"/>
      <c r="G7425" s="21"/>
    </row>
    <row r="7426" spans="1:7" x14ac:dyDescent="0.2">
      <c r="A7426" s="16"/>
      <c r="B7426" s="17"/>
      <c r="C7426" s="17"/>
      <c r="D7426" s="17"/>
      <c r="E7426" s="17"/>
      <c r="F7426" s="17"/>
      <c r="G7426" s="18"/>
    </row>
    <row r="7427" spans="1:7" x14ac:dyDescent="0.2">
      <c r="A7427" s="19"/>
      <c r="B7427" s="20"/>
      <c r="C7427" s="20"/>
      <c r="D7427" s="20"/>
      <c r="E7427" s="20"/>
      <c r="F7427" s="20"/>
      <c r="G7427" s="21"/>
    </row>
    <row r="7428" spans="1:7" x14ac:dyDescent="0.2">
      <c r="A7428" s="16"/>
      <c r="B7428" s="17"/>
      <c r="C7428" s="17"/>
      <c r="D7428" s="17"/>
      <c r="E7428" s="17"/>
      <c r="F7428" s="17"/>
      <c r="G7428" s="18"/>
    </row>
    <row r="7429" spans="1:7" x14ac:dyDescent="0.2">
      <c r="A7429" s="19"/>
      <c r="B7429" s="20"/>
      <c r="C7429" s="20"/>
      <c r="D7429" s="20"/>
      <c r="E7429" s="20"/>
      <c r="F7429" s="20"/>
      <c r="G7429" s="21"/>
    </row>
    <row r="7430" spans="1:7" x14ac:dyDescent="0.2">
      <c r="A7430" s="16"/>
      <c r="B7430" s="17"/>
      <c r="C7430" s="17"/>
      <c r="D7430" s="17"/>
      <c r="E7430" s="17"/>
      <c r="F7430" s="17"/>
      <c r="G7430" s="18"/>
    </row>
    <row r="7431" spans="1:7" x14ac:dyDescent="0.2">
      <c r="A7431" s="19"/>
      <c r="B7431" s="20"/>
      <c r="C7431" s="20"/>
      <c r="D7431" s="20"/>
      <c r="E7431" s="20"/>
      <c r="F7431" s="20"/>
      <c r="G7431" s="21"/>
    </row>
    <row r="7432" spans="1:7" x14ac:dyDescent="0.2">
      <c r="A7432" s="16"/>
      <c r="B7432" s="17"/>
      <c r="C7432" s="17"/>
      <c r="D7432" s="17"/>
      <c r="E7432" s="17"/>
      <c r="F7432" s="17"/>
      <c r="G7432" s="18"/>
    </row>
    <row r="7433" spans="1:7" x14ac:dyDescent="0.2">
      <c r="A7433" s="19"/>
      <c r="B7433" s="20"/>
      <c r="C7433" s="20"/>
      <c r="D7433" s="20"/>
      <c r="E7433" s="20"/>
      <c r="F7433" s="20"/>
      <c r="G7433" s="21"/>
    </row>
    <row r="7434" spans="1:7" x14ac:dyDescent="0.2">
      <c r="A7434" s="16"/>
      <c r="B7434" s="17"/>
      <c r="C7434" s="17"/>
      <c r="D7434" s="17"/>
      <c r="E7434" s="17"/>
      <c r="F7434" s="17"/>
      <c r="G7434" s="18"/>
    </row>
    <row r="7435" spans="1:7" x14ac:dyDescent="0.2">
      <c r="A7435" s="19"/>
      <c r="B7435" s="20"/>
      <c r="C7435" s="20"/>
      <c r="D7435" s="20"/>
      <c r="E7435" s="20"/>
      <c r="F7435" s="20"/>
      <c r="G7435" s="21"/>
    </row>
    <row r="7436" spans="1:7" x14ac:dyDescent="0.2">
      <c r="A7436" s="16"/>
      <c r="B7436" s="17"/>
      <c r="C7436" s="17"/>
      <c r="D7436" s="17"/>
      <c r="E7436" s="17"/>
      <c r="F7436" s="17"/>
      <c r="G7436" s="18"/>
    </row>
    <row r="7437" spans="1:7" x14ac:dyDescent="0.2">
      <c r="A7437" s="19"/>
      <c r="B7437" s="20"/>
      <c r="C7437" s="20"/>
      <c r="D7437" s="20"/>
      <c r="E7437" s="20"/>
      <c r="F7437" s="20"/>
      <c r="G7437" s="21"/>
    </row>
    <row r="7438" spans="1:7" x14ac:dyDescent="0.2">
      <c r="A7438" s="16"/>
      <c r="B7438" s="17"/>
      <c r="C7438" s="17"/>
      <c r="D7438" s="17"/>
      <c r="E7438" s="17"/>
      <c r="F7438" s="17"/>
      <c r="G7438" s="18"/>
    </row>
    <row r="7439" spans="1:7" x14ac:dyDescent="0.2">
      <c r="A7439" s="19"/>
      <c r="B7439" s="20"/>
      <c r="C7439" s="20"/>
      <c r="D7439" s="20"/>
      <c r="E7439" s="20"/>
      <c r="F7439" s="20"/>
      <c r="G7439" s="21"/>
    </row>
    <row r="7440" spans="1:7" x14ac:dyDescent="0.2">
      <c r="A7440" s="16"/>
      <c r="B7440" s="17"/>
      <c r="C7440" s="17"/>
      <c r="D7440" s="17"/>
      <c r="E7440" s="17"/>
      <c r="F7440" s="17"/>
      <c r="G7440" s="18"/>
    </row>
    <row r="7441" spans="1:7" x14ac:dyDescent="0.2">
      <c r="A7441" s="19"/>
      <c r="B7441" s="20"/>
      <c r="C7441" s="20"/>
      <c r="D7441" s="20"/>
      <c r="E7441" s="20"/>
      <c r="F7441" s="20"/>
      <c r="G7441" s="21"/>
    </row>
    <row r="7442" spans="1:7" x14ac:dyDescent="0.2">
      <c r="A7442" s="16"/>
      <c r="B7442" s="17"/>
      <c r="C7442" s="17"/>
      <c r="D7442" s="17"/>
      <c r="E7442" s="17"/>
      <c r="F7442" s="17"/>
      <c r="G7442" s="18"/>
    </row>
    <row r="7443" spans="1:7" x14ac:dyDescent="0.2">
      <c r="A7443" s="19"/>
      <c r="B7443" s="20"/>
      <c r="C7443" s="20"/>
      <c r="D7443" s="20"/>
      <c r="E7443" s="20"/>
      <c r="F7443" s="20"/>
      <c r="G7443" s="21"/>
    </row>
    <row r="7444" spans="1:7" x14ac:dyDescent="0.2">
      <c r="A7444" s="16"/>
      <c r="B7444" s="17"/>
      <c r="C7444" s="17"/>
      <c r="D7444" s="17"/>
      <c r="E7444" s="17"/>
      <c r="F7444" s="17"/>
      <c r="G7444" s="18"/>
    </row>
    <row r="7445" spans="1:7" x14ac:dyDescent="0.2">
      <c r="A7445" s="19"/>
      <c r="B7445" s="20"/>
      <c r="C7445" s="20"/>
      <c r="D7445" s="20"/>
      <c r="E7445" s="20"/>
      <c r="F7445" s="20"/>
      <c r="G7445" s="21"/>
    </row>
    <row r="7446" spans="1:7" x14ac:dyDescent="0.2">
      <c r="A7446" s="16"/>
      <c r="B7446" s="17"/>
      <c r="C7446" s="17"/>
      <c r="D7446" s="17"/>
      <c r="E7446" s="17"/>
      <c r="F7446" s="17"/>
      <c r="G7446" s="18"/>
    </row>
    <row r="7447" spans="1:7" x14ac:dyDescent="0.2">
      <c r="A7447" s="19"/>
      <c r="B7447" s="20"/>
      <c r="C7447" s="20"/>
      <c r="D7447" s="20"/>
      <c r="E7447" s="20"/>
      <c r="F7447" s="20"/>
      <c r="G7447" s="21"/>
    </row>
    <row r="7448" spans="1:7" x14ac:dyDescent="0.2">
      <c r="A7448" s="16"/>
      <c r="B7448" s="17"/>
      <c r="C7448" s="17"/>
      <c r="D7448" s="17"/>
      <c r="E7448" s="17"/>
      <c r="F7448" s="17"/>
      <c r="G7448" s="18"/>
    </row>
    <row r="7449" spans="1:7" x14ac:dyDescent="0.2">
      <c r="A7449" s="19"/>
      <c r="B7449" s="20"/>
      <c r="C7449" s="20"/>
      <c r="D7449" s="20"/>
      <c r="E7449" s="20"/>
      <c r="F7449" s="20"/>
      <c r="G7449" s="21"/>
    </row>
    <row r="7450" spans="1:7" x14ac:dyDescent="0.2">
      <c r="A7450" s="16"/>
      <c r="B7450" s="17"/>
      <c r="C7450" s="17"/>
      <c r="D7450" s="17"/>
      <c r="E7450" s="17"/>
      <c r="F7450" s="17"/>
      <c r="G7450" s="18"/>
    </row>
    <row r="7451" spans="1:7" x14ac:dyDescent="0.2">
      <c r="A7451" s="19"/>
      <c r="B7451" s="20"/>
      <c r="C7451" s="20"/>
      <c r="D7451" s="20"/>
      <c r="E7451" s="20"/>
      <c r="F7451" s="20"/>
      <c r="G7451" s="21"/>
    </row>
    <row r="7452" spans="1:7" x14ac:dyDescent="0.2">
      <c r="A7452" s="16"/>
      <c r="B7452" s="17"/>
      <c r="C7452" s="17"/>
      <c r="D7452" s="17"/>
      <c r="E7452" s="17"/>
      <c r="F7452" s="17"/>
      <c r="G7452" s="18"/>
    </row>
    <row r="7453" spans="1:7" x14ac:dyDescent="0.2">
      <c r="A7453" s="19"/>
      <c r="B7453" s="20"/>
      <c r="C7453" s="20"/>
      <c r="D7453" s="20"/>
      <c r="E7453" s="20"/>
      <c r="F7453" s="20"/>
      <c r="G7453" s="21"/>
    </row>
    <row r="7454" spans="1:7" x14ac:dyDescent="0.2">
      <c r="A7454" s="16"/>
      <c r="B7454" s="17"/>
      <c r="C7454" s="17"/>
      <c r="D7454" s="17"/>
      <c r="E7454" s="17"/>
      <c r="F7454" s="17"/>
      <c r="G7454" s="18"/>
    </row>
    <row r="7455" spans="1:7" x14ac:dyDescent="0.2">
      <c r="A7455" s="19"/>
      <c r="B7455" s="20"/>
      <c r="C7455" s="20"/>
      <c r="D7455" s="20"/>
      <c r="E7455" s="20"/>
      <c r="F7455" s="20"/>
      <c r="G7455" s="21"/>
    </row>
    <row r="7456" spans="1:7" x14ac:dyDescent="0.2">
      <c r="A7456" s="16"/>
      <c r="B7456" s="17"/>
      <c r="C7456" s="17"/>
      <c r="D7456" s="17"/>
      <c r="E7456" s="17"/>
      <c r="F7456" s="17"/>
      <c r="G7456" s="18"/>
    </row>
    <row r="7457" spans="1:7" x14ac:dyDescent="0.2">
      <c r="A7457" s="19"/>
      <c r="B7457" s="20"/>
      <c r="C7457" s="20"/>
      <c r="D7457" s="20"/>
      <c r="E7457" s="20"/>
      <c r="F7457" s="20"/>
      <c r="G7457" s="21"/>
    </row>
    <row r="7458" spans="1:7" x14ac:dyDescent="0.2">
      <c r="A7458" s="16"/>
      <c r="B7458" s="17"/>
      <c r="C7458" s="17"/>
      <c r="D7458" s="17"/>
      <c r="E7458" s="17"/>
      <c r="F7458" s="17"/>
      <c r="G7458" s="18"/>
    </row>
    <row r="7459" spans="1:7" x14ac:dyDescent="0.2">
      <c r="A7459" s="19"/>
      <c r="B7459" s="20"/>
      <c r="C7459" s="20"/>
      <c r="D7459" s="20"/>
      <c r="E7459" s="20"/>
      <c r="F7459" s="20"/>
      <c r="G7459" s="21"/>
    </row>
    <row r="7460" spans="1:7" x14ac:dyDescent="0.2">
      <c r="A7460" s="16"/>
      <c r="B7460" s="17"/>
      <c r="C7460" s="17"/>
      <c r="D7460" s="17"/>
      <c r="E7460" s="17"/>
      <c r="F7460" s="17"/>
      <c r="G7460" s="18"/>
    </row>
    <row r="7461" spans="1:7" x14ac:dyDescent="0.2">
      <c r="A7461" s="19"/>
      <c r="B7461" s="20"/>
      <c r="C7461" s="20"/>
      <c r="D7461" s="20"/>
      <c r="E7461" s="20"/>
      <c r="F7461" s="20"/>
      <c r="G7461" s="21"/>
    </row>
    <row r="7462" spans="1:7" x14ac:dyDescent="0.2">
      <c r="A7462" s="16"/>
      <c r="B7462" s="17"/>
      <c r="C7462" s="17"/>
      <c r="D7462" s="17"/>
      <c r="E7462" s="17"/>
      <c r="F7462" s="17"/>
      <c r="G7462" s="18"/>
    </row>
    <row r="7463" spans="1:7" x14ac:dyDescent="0.2">
      <c r="A7463" s="19"/>
      <c r="B7463" s="20"/>
      <c r="C7463" s="20"/>
      <c r="D7463" s="20"/>
      <c r="E7463" s="20"/>
      <c r="F7463" s="20"/>
      <c r="G7463" s="21"/>
    </row>
    <row r="7464" spans="1:7" x14ac:dyDescent="0.2">
      <c r="A7464" s="16"/>
      <c r="B7464" s="17"/>
      <c r="C7464" s="17"/>
      <c r="D7464" s="17"/>
      <c r="E7464" s="17"/>
      <c r="F7464" s="17"/>
      <c r="G7464" s="18"/>
    </row>
    <row r="7465" spans="1:7" x14ac:dyDescent="0.2">
      <c r="A7465" s="19"/>
      <c r="B7465" s="20"/>
      <c r="C7465" s="20"/>
      <c r="D7465" s="20"/>
      <c r="E7465" s="20"/>
      <c r="F7465" s="20"/>
      <c r="G7465" s="21"/>
    </row>
    <row r="7466" spans="1:7" x14ac:dyDescent="0.2">
      <c r="A7466" s="16"/>
      <c r="B7466" s="17"/>
      <c r="C7466" s="17"/>
      <c r="D7466" s="17"/>
      <c r="E7466" s="17"/>
      <c r="F7466" s="17"/>
      <c r="G7466" s="18"/>
    </row>
    <row r="7467" spans="1:7" x14ac:dyDescent="0.2">
      <c r="A7467" s="19"/>
      <c r="B7467" s="20"/>
      <c r="C7467" s="20"/>
      <c r="D7467" s="20"/>
      <c r="E7467" s="20"/>
      <c r="F7467" s="20"/>
      <c r="G7467" s="21"/>
    </row>
    <row r="7468" spans="1:7" x14ac:dyDescent="0.2">
      <c r="A7468" s="16"/>
      <c r="B7468" s="17"/>
      <c r="C7468" s="17"/>
      <c r="D7468" s="17"/>
      <c r="E7468" s="17"/>
      <c r="F7468" s="17"/>
      <c r="G7468" s="18"/>
    </row>
    <row r="7469" spans="1:7" x14ac:dyDescent="0.2">
      <c r="A7469" s="19"/>
      <c r="B7469" s="20"/>
      <c r="C7469" s="20"/>
      <c r="D7469" s="20"/>
      <c r="E7469" s="20"/>
      <c r="F7469" s="20"/>
      <c r="G7469" s="21"/>
    </row>
    <row r="7470" spans="1:7" x14ac:dyDescent="0.2">
      <c r="A7470" s="16"/>
      <c r="B7470" s="17"/>
      <c r="C7470" s="17"/>
      <c r="D7470" s="17"/>
      <c r="E7470" s="17"/>
      <c r="F7470" s="17"/>
      <c r="G7470" s="18"/>
    </row>
    <row r="7471" spans="1:7" x14ac:dyDescent="0.2">
      <c r="A7471" s="19"/>
      <c r="B7471" s="20"/>
      <c r="C7471" s="20"/>
      <c r="D7471" s="20"/>
      <c r="E7471" s="20"/>
      <c r="F7471" s="20"/>
      <c r="G7471" s="21"/>
    </row>
    <row r="7472" spans="1:7" x14ac:dyDescent="0.2">
      <c r="A7472" s="16"/>
      <c r="B7472" s="17"/>
      <c r="C7472" s="17"/>
      <c r="D7472" s="17"/>
      <c r="E7472" s="17"/>
      <c r="F7472" s="17"/>
      <c r="G7472" s="18"/>
    </row>
    <row r="7473" spans="1:7" x14ac:dyDescent="0.2">
      <c r="A7473" s="19"/>
      <c r="B7473" s="20"/>
      <c r="C7473" s="20"/>
      <c r="D7473" s="20"/>
      <c r="E7473" s="20"/>
      <c r="F7473" s="20"/>
      <c r="G7473" s="21"/>
    </row>
    <row r="7474" spans="1:7" x14ac:dyDescent="0.2">
      <c r="A7474" s="16"/>
      <c r="B7474" s="17"/>
      <c r="C7474" s="17"/>
      <c r="D7474" s="17"/>
      <c r="E7474" s="17"/>
      <c r="F7474" s="17"/>
      <c r="G7474" s="18"/>
    </row>
    <row r="7475" spans="1:7" x14ac:dyDescent="0.2">
      <c r="A7475" s="19"/>
      <c r="B7475" s="20"/>
      <c r="C7475" s="20"/>
      <c r="D7475" s="20"/>
      <c r="E7475" s="20"/>
      <c r="F7475" s="20"/>
      <c r="G7475" s="21"/>
    </row>
    <row r="7476" spans="1:7" x14ac:dyDescent="0.2">
      <c r="A7476" s="16"/>
      <c r="B7476" s="17"/>
      <c r="C7476" s="17"/>
      <c r="D7476" s="17"/>
      <c r="E7476" s="17"/>
      <c r="F7476" s="17"/>
      <c r="G7476" s="18"/>
    </row>
    <row r="7477" spans="1:7" x14ac:dyDescent="0.2">
      <c r="A7477" s="19"/>
      <c r="B7477" s="20"/>
      <c r="C7477" s="20"/>
      <c r="D7477" s="20"/>
      <c r="E7477" s="20"/>
      <c r="F7477" s="20"/>
      <c r="G7477" s="21"/>
    </row>
    <row r="7478" spans="1:7" x14ac:dyDescent="0.2">
      <c r="A7478" s="16"/>
      <c r="B7478" s="17"/>
      <c r="C7478" s="17"/>
      <c r="D7478" s="17"/>
      <c r="E7478" s="17"/>
      <c r="F7478" s="17"/>
      <c r="G7478" s="18"/>
    </row>
    <row r="7479" spans="1:7" x14ac:dyDescent="0.2">
      <c r="A7479" s="19"/>
      <c r="B7479" s="20"/>
      <c r="C7479" s="20"/>
      <c r="D7479" s="20"/>
      <c r="E7479" s="20"/>
      <c r="F7479" s="20"/>
      <c r="G7479" s="21"/>
    </row>
    <row r="7480" spans="1:7" x14ac:dyDescent="0.2">
      <c r="A7480" s="16"/>
      <c r="B7480" s="17"/>
      <c r="C7480" s="17"/>
      <c r="D7480" s="17"/>
      <c r="E7480" s="17"/>
      <c r="F7480" s="17"/>
      <c r="G7480" s="18"/>
    </row>
    <row r="7481" spans="1:7" x14ac:dyDescent="0.2">
      <c r="A7481" s="19"/>
      <c r="B7481" s="20"/>
      <c r="C7481" s="20"/>
      <c r="D7481" s="20"/>
      <c r="E7481" s="20"/>
      <c r="F7481" s="20"/>
      <c r="G7481" s="21"/>
    </row>
    <row r="7482" spans="1:7" x14ac:dyDescent="0.2">
      <c r="A7482" s="16"/>
      <c r="B7482" s="17"/>
      <c r="C7482" s="17"/>
      <c r="D7482" s="17"/>
      <c r="E7482" s="17"/>
      <c r="F7482" s="17"/>
      <c r="G7482" s="18"/>
    </row>
    <row r="7483" spans="1:7" x14ac:dyDescent="0.2">
      <c r="A7483" s="19"/>
      <c r="B7483" s="20"/>
      <c r="C7483" s="20"/>
      <c r="D7483" s="20"/>
      <c r="E7483" s="20"/>
      <c r="F7483" s="20"/>
      <c r="G7483" s="21"/>
    </row>
    <row r="7484" spans="1:7" x14ac:dyDescent="0.2">
      <c r="A7484" s="16"/>
      <c r="B7484" s="17"/>
      <c r="C7484" s="17"/>
      <c r="D7484" s="17"/>
      <c r="E7484" s="17"/>
      <c r="F7484" s="17"/>
      <c r="G7484" s="18"/>
    </row>
    <row r="7485" spans="1:7" x14ac:dyDescent="0.2">
      <c r="A7485" s="19"/>
      <c r="B7485" s="20"/>
      <c r="C7485" s="20"/>
      <c r="D7485" s="20"/>
      <c r="E7485" s="20"/>
      <c r="F7485" s="20"/>
      <c r="G7485" s="21"/>
    </row>
    <row r="7486" spans="1:7" x14ac:dyDescent="0.2">
      <c r="A7486" s="16"/>
      <c r="B7486" s="17"/>
      <c r="C7486" s="17"/>
      <c r="D7486" s="17"/>
      <c r="E7486" s="17"/>
      <c r="F7486" s="17"/>
      <c r="G7486" s="18"/>
    </row>
    <row r="7487" spans="1:7" x14ac:dyDescent="0.2">
      <c r="A7487" s="19"/>
      <c r="B7487" s="20"/>
      <c r="C7487" s="20"/>
      <c r="D7487" s="20"/>
      <c r="E7487" s="20"/>
      <c r="F7487" s="20"/>
      <c r="G7487" s="21"/>
    </row>
    <row r="7488" spans="1:7" x14ac:dyDescent="0.2">
      <c r="A7488" s="16"/>
      <c r="B7488" s="17"/>
      <c r="C7488" s="17"/>
      <c r="D7488" s="17"/>
      <c r="E7488" s="17"/>
      <c r="F7488" s="17"/>
      <c r="G7488" s="18"/>
    </row>
    <row r="7489" spans="1:7" x14ac:dyDescent="0.2">
      <c r="A7489" s="19"/>
      <c r="B7489" s="20"/>
      <c r="C7489" s="20"/>
      <c r="D7489" s="20"/>
      <c r="E7489" s="20"/>
      <c r="F7489" s="20"/>
      <c r="G7489" s="21"/>
    </row>
    <row r="7490" spans="1:7" x14ac:dyDescent="0.2">
      <c r="A7490" s="16"/>
      <c r="B7490" s="17"/>
      <c r="C7490" s="17"/>
      <c r="D7490" s="17"/>
      <c r="E7490" s="17"/>
      <c r="F7490" s="17"/>
      <c r="G7490" s="18"/>
    </row>
    <row r="7491" spans="1:7" x14ac:dyDescent="0.2">
      <c r="A7491" s="19"/>
      <c r="B7491" s="20"/>
      <c r="C7491" s="20"/>
      <c r="D7491" s="20"/>
      <c r="E7491" s="20"/>
      <c r="F7491" s="20"/>
      <c r="G7491" s="21"/>
    </row>
    <row r="7492" spans="1:7" x14ac:dyDescent="0.2">
      <c r="A7492" s="16"/>
      <c r="B7492" s="17"/>
      <c r="C7492" s="17"/>
      <c r="D7492" s="17"/>
      <c r="E7492" s="17"/>
      <c r="F7492" s="17"/>
      <c r="G7492" s="18"/>
    </row>
    <row r="7493" spans="1:7" x14ac:dyDescent="0.2">
      <c r="A7493" s="19"/>
      <c r="B7493" s="20"/>
      <c r="C7493" s="20"/>
      <c r="D7493" s="20"/>
      <c r="E7493" s="20"/>
      <c r="F7493" s="20"/>
      <c r="G7493" s="21"/>
    </row>
    <row r="7494" spans="1:7" x14ac:dyDescent="0.2">
      <c r="A7494" s="16"/>
      <c r="B7494" s="17"/>
      <c r="C7494" s="17"/>
      <c r="D7494" s="17"/>
      <c r="E7494" s="17"/>
      <c r="F7494" s="17"/>
      <c r="G7494" s="18"/>
    </row>
    <row r="7495" spans="1:7" x14ac:dyDescent="0.2">
      <c r="A7495" s="19"/>
      <c r="B7495" s="20"/>
      <c r="C7495" s="20"/>
      <c r="D7495" s="20"/>
      <c r="E7495" s="20"/>
      <c r="F7495" s="20"/>
      <c r="G7495" s="21"/>
    </row>
    <row r="7496" spans="1:7" x14ac:dyDescent="0.2">
      <c r="A7496" s="16"/>
      <c r="B7496" s="17"/>
      <c r="C7496" s="17"/>
      <c r="D7496" s="17"/>
      <c r="E7496" s="17"/>
      <c r="F7496" s="17"/>
      <c r="G7496" s="18"/>
    </row>
    <row r="7497" spans="1:7" x14ac:dyDescent="0.2">
      <c r="A7497" s="19"/>
      <c r="B7497" s="20"/>
      <c r="C7497" s="20"/>
      <c r="D7497" s="20"/>
      <c r="E7497" s="20"/>
      <c r="F7497" s="20"/>
      <c r="G7497" s="21"/>
    </row>
    <row r="7498" spans="1:7" x14ac:dyDescent="0.2">
      <c r="A7498" s="16"/>
      <c r="B7498" s="17"/>
      <c r="C7498" s="17"/>
      <c r="D7498" s="17"/>
      <c r="E7498" s="17"/>
      <c r="F7498" s="17"/>
      <c r="G7498" s="18"/>
    </row>
    <row r="7499" spans="1:7" x14ac:dyDescent="0.2">
      <c r="A7499" s="19"/>
      <c r="B7499" s="20"/>
      <c r="C7499" s="20"/>
      <c r="D7499" s="20"/>
      <c r="E7499" s="20"/>
      <c r="F7499" s="20"/>
      <c r="G7499" s="21"/>
    </row>
    <row r="7500" spans="1:7" x14ac:dyDescent="0.2">
      <c r="A7500" s="16"/>
      <c r="B7500" s="17"/>
      <c r="C7500" s="17"/>
      <c r="D7500" s="17"/>
      <c r="E7500" s="17"/>
      <c r="F7500" s="17"/>
      <c r="G7500" s="18"/>
    </row>
    <row r="7501" spans="1:7" x14ac:dyDescent="0.2">
      <c r="A7501" s="19"/>
      <c r="B7501" s="20"/>
      <c r="C7501" s="20"/>
      <c r="D7501" s="20"/>
      <c r="E7501" s="20"/>
      <c r="F7501" s="20"/>
      <c r="G7501" s="21"/>
    </row>
    <row r="7502" spans="1:7" x14ac:dyDescent="0.2">
      <c r="A7502" s="16"/>
      <c r="B7502" s="17"/>
      <c r="C7502" s="17"/>
      <c r="D7502" s="17"/>
      <c r="E7502" s="17"/>
      <c r="F7502" s="17"/>
      <c r="G7502" s="18"/>
    </row>
    <row r="7503" spans="1:7" x14ac:dyDescent="0.2">
      <c r="A7503" s="19"/>
      <c r="B7503" s="20"/>
      <c r="C7503" s="20"/>
      <c r="D7503" s="20"/>
      <c r="E7503" s="20"/>
      <c r="F7503" s="20"/>
      <c r="G7503" s="21"/>
    </row>
    <row r="7504" spans="1:7" x14ac:dyDescent="0.2">
      <c r="A7504" s="16"/>
      <c r="B7504" s="17"/>
      <c r="C7504" s="17"/>
      <c r="D7504" s="17"/>
      <c r="E7504" s="17"/>
      <c r="F7504" s="17"/>
      <c r="G7504" s="18"/>
    </row>
    <row r="7505" spans="1:7" x14ac:dyDescent="0.2">
      <c r="A7505" s="19"/>
      <c r="B7505" s="20"/>
      <c r="C7505" s="20"/>
      <c r="D7505" s="20"/>
      <c r="E7505" s="20"/>
      <c r="F7505" s="20"/>
      <c r="G7505" s="21"/>
    </row>
    <row r="7506" spans="1:7" x14ac:dyDescent="0.2">
      <c r="A7506" s="16"/>
      <c r="B7506" s="17"/>
      <c r="C7506" s="17"/>
      <c r="D7506" s="17"/>
      <c r="E7506" s="17"/>
      <c r="F7506" s="17"/>
      <c r="G7506" s="18"/>
    </row>
    <row r="7507" spans="1:7" x14ac:dyDescent="0.2">
      <c r="A7507" s="19"/>
      <c r="B7507" s="20"/>
      <c r="C7507" s="20"/>
      <c r="D7507" s="20"/>
      <c r="E7507" s="20"/>
      <c r="F7507" s="20"/>
      <c r="G7507" s="21"/>
    </row>
    <row r="7508" spans="1:7" x14ac:dyDescent="0.2">
      <c r="A7508" s="16"/>
      <c r="B7508" s="17"/>
      <c r="C7508" s="17"/>
      <c r="D7508" s="17"/>
      <c r="E7508" s="17"/>
      <c r="F7508" s="17"/>
      <c r="G7508" s="18"/>
    </row>
    <row r="7509" spans="1:7" x14ac:dyDescent="0.2">
      <c r="A7509" s="19"/>
      <c r="B7509" s="20"/>
      <c r="C7509" s="20"/>
      <c r="D7509" s="20"/>
      <c r="E7509" s="20"/>
      <c r="F7509" s="20"/>
      <c r="G7509" s="21"/>
    </row>
    <row r="7510" spans="1:7" x14ac:dyDescent="0.2">
      <c r="A7510" s="16"/>
      <c r="B7510" s="17"/>
      <c r="C7510" s="17"/>
      <c r="D7510" s="17"/>
      <c r="E7510" s="17"/>
      <c r="F7510" s="17"/>
      <c r="G7510" s="18"/>
    </row>
    <row r="7511" spans="1:7" x14ac:dyDescent="0.2">
      <c r="A7511" s="19"/>
      <c r="B7511" s="20"/>
      <c r="C7511" s="20"/>
      <c r="D7511" s="20"/>
      <c r="E7511" s="20"/>
      <c r="F7511" s="20"/>
      <c r="G7511" s="21"/>
    </row>
    <row r="7512" spans="1:7" x14ac:dyDescent="0.2">
      <c r="A7512" s="16"/>
      <c r="B7512" s="17"/>
      <c r="C7512" s="17"/>
      <c r="D7512" s="17"/>
      <c r="E7512" s="17"/>
      <c r="F7512" s="17"/>
      <c r="G7512" s="18"/>
    </row>
    <row r="7513" spans="1:7" x14ac:dyDescent="0.2">
      <c r="A7513" s="19"/>
      <c r="B7513" s="20"/>
      <c r="C7513" s="20"/>
      <c r="D7513" s="20"/>
      <c r="E7513" s="20"/>
      <c r="F7513" s="20"/>
      <c r="G7513" s="21"/>
    </row>
    <row r="7514" spans="1:7" x14ac:dyDescent="0.2">
      <c r="A7514" s="16"/>
      <c r="B7514" s="17"/>
      <c r="C7514" s="17"/>
      <c r="D7514" s="17"/>
      <c r="E7514" s="17"/>
      <c r="F7514" s="17"/>
      <c r="G7514" s="18"/>
    </row>
    <row r="7515" spans="1:7" x14ac:dyDescent="0.2">
      <c r="A7515" s="19"/>
      <c r="B7515" s="20"/>
      <c r="C7515" s="20"/>
      <c r="D7515" s="20"/>
      <c r="E7515" s="20"/>
      <c r="F7515" s="20"/>
      <c r="G7515" s="21"/>
    </row>
    <row r="7516" spans="1:7" x14ac:dyDescent="0.2">
      <c r="A7516" s="16"/>
      <c r="B7516" s="17"/>
      <c r="C7516" s="17"/>
      <c r="D7516" s="17"/>
      <c r="E7516" s="17"/>
      <c r="F7516" s="17"/>
      <c r="G7516" s="18"/>
    </row>
    <row r="7517" spans="1:7" x14ac:dyDescent="0.2">
      <c r="A7517" s="19"/>
      <c r="B7517" s="20"/>
      <c r="C7517" s="20"/>
      <c r="D7517" s="20"/>
      <c r="E7517" s="20"/>
      <c r="F7517" s="20"/>
      <c r="G7517" s="21"/>
    </row>
    <row r="7518" spans="1:7" x14ac:dyDescent="0.2">
      <c r="A7518" s="16"/>
      <c r="B7518" s="17"/>
      <c r="C7518" s="17"/>
      <c r="D7518" s="17"/>
      <c r="E7518" s="17"/>
      <c r="F7518" s="17"/>
      <c r="G7518" s="18"/>
    </row>
    <row r="7519" spans="1:7" x14ac:dyDescent="0.2">
      <c r="A7519" s="19"/>
      <c r="B7519" s="20"/>
      <c r="C7519" s="20"/>
      <c r="D7519" s="20"/>
      <c r="E7519" s="20"/>
      <c r="F7519" s="20"/>
      <c r="G7519" s="21"/>
    </row>
    <row r="7520" spans="1:7" x14ac:dyDescent="0.2">
      <c r="A7520" s="16"/>
      <c r="B7520" s="17"/>
      <c r="C7520" s="17"/>
      <c r="D7520" s="17"/>
      <c r="E7520" s="17"/>
      <c r="F7520" s="17"/>
      <c r="G7520" s="18"/>
    </row>
    <row r="7521" spans="1:7" x14ac:dyDescent="0.2">
      <c r="A7521" s="19"/>
      <c r="B7521" s="20"/>
      <c r="C7521" s="20"/>
      <c r="D7521" s="20"/>
      <c r="E7521" s="20"/>
      <c r="F7521" s="20"/>
      <c r="G7521" s="21"/>
    </row>
    <row r="7522" spans="1:7" x14ac:dyDescent="0.2">
      <c r="A7522" s="16"/>
      <c r="B7522" s="17"/>
      <c r="C7522" s="17"/>
      <c r="D7522" s="17"/>
      <c r="E7522" s="17"/>
      <c r="F7522" s="17"/>
      <c r="G7522" s="18"/>
    </row>
    <row r="7523" spans="1:7" x14ac:dyDescent="0.2">
      <c r="A7523" s="19"/>
      <c r="B7523" s="20"/>
      <c r="C7523" s="20"/>
      <c r="D7523" s="20"/>
      <c r="E7523" s="20"/>
      <c r="F7523" s="20"/>
      <c r="G7523" s="21"/>
    </row>
    <row r="7524" spans="1:7" x14ac:dyDescent="0.2">
      <c r="A7524" s="16"/>
      <c r="B7524" s="17"/>
      <c r="C7524" s="17"/>
      <c r="D7524" s="17"/>
      <c r="E7524" s="17"/>
      <c r="F7524" s="17"/>
      <c r="G7524" s="18"/>
    </row>
    <row r="7525" spans="1:7" x14ac:dyDescent="0.2">
      <c r="A7525" s="19"/>
      <c r="B7525" s="20"/>
      <c r="C7525" s="20"/>
      <c r="D7525" s="20"/>
      <c r="E7525" s="20"/>
      <c r="F7525" s="20"/>
      <c r="G7525" s="21"/>
    </row>
    <row r="7526" spans="1:7" x14ac:dyDescent="0.2">
      <c r="A7526" s="16"/>
      <c r="B7526" s="17"/>
      <c r="C7526" s="17"/>
      <c r="D7526" s="17"/>
      <c r="E7526" s="17"/>
      <c r="F7526" s="17"/>
      <c r="G7526" s="18"/>
    </row>
    <row r="7527" spans="1:7" x14ac:dyDescent="0.2">
      <c r="A7527" s="19"/>
      <c r="B7527" s="20"/>
      <c r="C7527" s="20"/>
      <c r="D7527" s="20"/>
      <c r="E7527" s="20"/>
      <c r="F7527" s="20"/>
      <c r="G7527" s="21"/>
    </row>
    <row r="7528" spans="1:7" x14ac:dyDescent="0.2">
      <c r="A7528" s="16"/>
      <c r="B7528" s="17"/>
      <c r="C7528" s="17"/>
      <c r="D7528" s="17"/>
      <c r="E7528" s="17"/>
      <c r="F7528" s="17"/>
      <c r="G7528" s="18"/>
    </row>
    <row r="7529" spans="1:7" x14ac:dyDescent="0.2">
      <c r="A7529" s="19"/>
      <c r="B7529" s="20"/>
      <c r="C7529" s="20"/>
      <c r="D7529" s="20"/>
      <c r="E7529" s="20"/>
      <c r="F7529" s="20"/>
      <c r="G7529" s="21"/>
    </row>
    <row r="7530" spans="1:7" x14ac:dyDescent="0.2">
      <c r="A7530" s="16"/>
      <c r="B7530" s="17"/>
      <c r="C7530" s="17"/>
      <c r="D7530" s="17"/>
      <c r="E7530" s="17"/>
      <c r="F7530" s="17"/>
      <c r="G7530" s="18"/>
    </row>
    <row r="7531" spans="1:7" x14ac:dyDescent="0.2">
      <c r="A7531" s="19"/>
      <c r="B7531" s="20"/>
      <c r="C7531" s="20"/>
      <c r="D7531" s="20"/>
      <c r="E7531" s="20"/>
      <c r="F7531" s="20"/>
      <c r="G7531" s="21"/>
    </row>
    <row r="7532" spans="1:7" x14ac:dyDescent="0.2">
      <c r="A7532" s="16"/>
      <c r="B7532" s="17"/>
      <c r="C7532" s="17"/>
      <c r="D7532" s="17"/>
      <c r="E7532" s="17"/>
      <c r="F7532" s="17"/>
      <c r="G7532" s="18"/>
    </row>
    <row r="7533" spans="1:7" x14ac:dyDescent="0.2">
      <c r="A7533" s="19"/>
      <c r="B7533" s="20"/>
      <c r="C7533" s="20"/>
      <c r="D7533" s="20"/>
      <c r="E7533" s="20"/>
      <c r="F7533" s="20"/>
      <c r="G7533" s="21"/>
    </row>
    <row r="7534" spans="1:7" x14ac:dyDescent="0.2">
      <c r="A7534" s="16"/>
      <c r="B7534" s="17"/>
      <c r="C7534" s="17"/>
      <c r="D7534" s="17"/>
      <c r="E7534" s="17"/>
      <c r="F7534" s="17"/>
      <c r="G7534" s="18"/>
    </row>
    <row r="7535" spans="1:7" x14ac:dyDescent="0.2">
      <c r="A7535" s="19"/>
      <c r="B7535" s="20"/>
      <c r="C7535" s="20"/>
      <c r="D7535" s="20"/>
      <c r="E7535" s="20"/>
      <c r="F7535" s="20"/>
      <c r="G7535" s="21"/>
    </row>
    <row r="7536" spans="1:7" x14ac:dyDescent="0.2">
      <c r="A7536" s="16"/>
      <c r="B7536" s="17"/>
      <c r="C7536" s="17"/>
      <c r="D7536" s="17"/>
      <c r="E7536" s="17"/>
      <c r="F7536" s="17"/>
      <c r="G7536" s="18"/>
    </row>
    <row r="7537" spans="1:7" x14ac:dyDescent="0.2">
      <c r="A7537" s="19"/>
      <c r="B7537" s="20"/>
      <c r="C7537" s="20"/>
      <c r="D7537" s="20"/>
      <c r="E7537" s="20"/>
      <c r="F7537" s="20"/>
      <c r="G7537" s="21"/>
    </row>
    <row r="7538" spans="1:7" x14ac:dyDescent="0.2">
      <c r="A7538" s="16"/>
      <c r="B7538" s="17"/>
      <c r="C7538" s="17"/>
      <c r="D7538" s="17"/>
      <c r="E7538" s="17"/>
      <c r="F7538" s="17"/>
      <c r="G7538" s="18"/>
    </row>
    <row r="7539" spans="1:7" x14ac:dyDescent="0.2">
      <c r="A7539" s="19"/>
      <c r="B7539" s="20"/>
      <c r="C7539" s="20"/>
      <c r="D7539" s="20"/>
      <c r="E7539" s="20"/>
      <c r="F7539" s="20"/>
      <c r="G7539" s="21"/>
    </row>
    <row r="7540" spans="1:7" x14ac:dyDescent="0.2">
      <c r="A7540" s="16"/>
      <c r="B7540" s="17"/>
      <c r="C7540" s="17"/>
      <c r="D7540" s="17"/>
      <c r="E7540" s="17"/>
      <c r="F7540" s="17"/>
      <c r="G7540" s="18"/>
    </row>
    <row r="7541" spans="1:7" x14ac:dyDescent="0.2">
      <c r="A7541" s="19"/>
      <c r="B7541" s="20"/>
      <c r="C7541" s="20"/>
      <c r="D7541" s="20"/>
      <c r="E7541" s="20"/>
      <c r="F7541" s="20"/>
      <c r="G7541" s="21"/>
    </row>
    <row r="7542" spans="1:7" x14ac:dyDescent="0.2">
      <c r="A7542" s="16"/>
      <c r="B7542" s="17"/>
      <c r="C7542" s="17"/>
      <c r="D7542" s="17"/>
      <c r="E7542" s="17"/>
      <c r="F7542" s="17"/>
      <c r="G7542" s="18"/>
    </row>
    <row r="7543" spans="1:7" x14ac:dyDescent="0.2">
      <c r="A7543" s="19"/>
      <c r="B7543" s="20"/>
      <c r="C7543" s="20"/>
      <c r="D7543" s="20"/>
      <c r="E7543" s="20"/>
      <c r="F7543" s="20"/>
      <c r="G7543" s="21"/>
    </row>
    <row r="7544" spans="1:7" x14ac:dyDescent="0.2">
      <c r="A7544" s="16"/>
      <c r="B7544" s="17"/>
      <c r="C7544" s="17"/>
      <c r="D7544" s="17"/>
      <c r="E7544" s="17"/>
      <c r="F7544" s="17"/>
      <c r="G7544" s="18"/>
    </row>
    <row r="7545" spans="1:7" x14ac:dyDescent="0.2">
      <c r="A7545" s="19"/>
      <c r="B7545" s="20"/>
      <c r="C7545" s="20"/>
      <c r="D7545" s="20"/>
      <c r="E7545" s="20"/>
      <c r="F7545" s="20"/>
      <c r="G7545" s="21"/>
    </row>
    <row r="7546" spans="1:7" x14ac:dyDescent="0.2">
      <c r="A7546" s="16"/>
      <c r="B7546" s="17"/>
      <c r="C7546" s="17"/>
      <c r="D7546" s="17"/>
      <c r="E7546" s="17"/>
      <c r="F7546" s="17"/>
      <c r="G7546" s="18"/>
    </row>
    <row r="7547" spans="1:7" x14ac:dyDescent="0.2">
      <c r="A7547" s="19"/>
      <c r="B7547" s="20"/>
      <c r="C7547" s="20"/>
      <c r="D7547" s="20"/>
      <c r="E7547" s="20"/>
      <c r="F7547" s="20"/>
      <c r="G7547" s="21"/>
    </row>
    <row r="7548" spans="1:7" x14ac:dyDescent="0.2">
      <c r="A7548" s="16"/>
      <c r="B7548" s="17"/>
      <c r="C7548" s="17"/>
      <c r="D7548" s="17"/>
      <c r="E7548" s="17"/>
      <c r="F7548" s="17"/>
      <c r="G7548" s="18"/>
    </row>
    <row r="7549" spans="1:7" x14ac:dyDescent="0.2">
      <c r="A7549" s="19"/>
      <c r="B7549" s="20"/>
      <c r="C7549" s="20"/>
      <c r="D7549" s="20"/>
      <c r="E7549" s="20"/>
      <c r="F7549" s="20"/>
      <c r="G7549" s="21"/>
    </row>
    <row r="7550" spans="1:7" x14ac:dyDescent="0.2">
      <c r="A7550" s="16"/>
      <c r="B7550" s="17"/>
      <c r="C7550" s="17"/>
      <c r="D7550" s="17"/>
      <c r="E7550" s="17"/>
      <c r="F7550" s="17"/>
      <c r="G7550" s="18"/>
    </row>
    <row r="7551" spans="1:7" x14ac:dyDescent="0.2">
      <c r="A7551" s="19"/>
      <c r="B7551" s="20"/>
      <c r="C7551" s="20"/>
      <c r="D7551" s="20"/>
      <c r="E7551" s="20"/>
      <c r="F7551" s="20"/>
      <c r="G7551" s="21"/>
    </row>
    <row r="7552" spans="1:7" x14ac:dyDescent="0.2">
      <c r="A7552" s="16"/>
      <c r="B7552" s="17"/>
      <c r="C7552" s="17"/>
      <c r="D7552" s="17"/>
      <c r="E7552" s="17"/>
      <c r="F7552" s="17"/>
      <c r="G7552" s="18"/>
    </row>
    <row r="7553" spans="1:7" x14ac:dyDescent="0.2">
      <c r="A7553" s="19"/>
      <c r="B7553" s="20"/>
      <c r="C7553" s="20"/>
      <c r="D7553" s="20"/>
      <c r="E7553" s="20"/>
      <c r="F7553" s="20"/>
      <c r="G7553" s="21"/>
    </row>
    <row r="7554" spans="1:7" x14ac:dyDescent="0.2">
      <c r="A7554" s="16"/>
      <c r="B7554" s="17"/>
      <c r="C7554" s="17"/>
      <c r="D7554" s="17"/>
      <c r="E7554" s="17"/>
      <c r="F7554" s="17"/>
      <c r="G7554" s="18"/>
    </row>
    <row r="7555" spans="1:7" x14ac:dyDescent="0.2">
      <c r="A7555" s="19"/>
      <c r="B7555" s="20"/>
      <c r="C7555" s="20"/>
      <c r="D7555" s="20"/>
      <c r="E7555" s="20"/>
      <c r="F7555" s="20"/>
      <c r="G7555" s="21"/>
    </row>
    <row r="7556" spans="1:7" x14ac:dyDescent="0.2">
      <c r="A7556" s="16"/>
      <c r="B7556" s="17"/>
      <c r="C7556" s="17"/>
      <c r="D7556" s="17"/>
      <c r="E7556" s="17"/>
      <c r="F7556" s="17"/>
      <c r="G7556" s="18"/>
    </row>
    <row r="7557" spans="1:7" x14ac:dyDescent="0.2">
      <c r="A7557" s="19"/>
      <c r="B7557" s="20"/>
      <c r="C7557" s="20"/>
      <c r="D7557" s="20"/>
      <c r="E7557" s="20"/>
      <c r="F7557" s="20"/>
      <c r="G7557" s="21"/>
    </row>
    <row r="7558" spans="1:7" x14ac:dyDescent="0.2">
      <c r="A7558" s="16"/>
      <c r="B7558" s="17"/>
      <c r="C7558" s="17"/>
      <c r="D7558" s="17"/>
      <c r="E7558" s="17"/>
      <c r="F7558" s="17"/>
      <c r="G7558" s="18"/>
    </row>
    <row r="7559" spans="1:7" x14ac:dyDescent="0.2">
      <c r="A7559" s="19"/>
      <c r="B7559" s="20"/>
      <c r="C7559" s="20"/>
      <c r="D7559" s="20"/>
      <c r="E7559" s="20"/>
      <c r="F7559" s="20"/>
      <c r="G7559" s="21"/>
    </row>
    <row r="7560" spans="1:7" x14ac:dyDescent="0.2">
      <c r="A7560" s="16"/>
      <c r="B7560" s="17"/>
      <c r="C7560" s="17"/>
      <c r="D7560" s="17"/>
      <c r="E7560" s="17"/>
      <c r="F7560" s="17"/>
      <c r="G7560" s="18"/>
    </row>
    <row r="7561" spans="1:7" x14ac:dyDescent="0.2">
      <c r="A7561" s="19"/>
      <c r="B7561" s="20"/>
      <c r="C7561" s="20"/>
      <c r="D7561" s="20"/>
      <c r="E7561" s="20"/>
      <c r="F7561" s="20"/>
      <c r="G7561" s="21"/>
    </row>
    <row r="7562" spans="1:7" x14ac:dyDescent="0.2">
      <c r="A7562" s="16"/>
      <c r="B7562" s="17"/>
      <c r="C7562" s="17"/>
      <c r="D7562" s="17"/>
      <c r="E7562" s="17"/>
      <c r="F7562" s="17"/>
      <c r="G7562" s="18"/>
    </row>
    <row r="7563" spans="1:7" x14ac:dyDescent="0.2">
      <c r="A7563" s="19"/>
      <c r="B7563" s="20"/>
      <c r="C7563" s="20"/>
      <c r="D7563" s="20"/>
      <c r="E7563" s="20"/>
      <c r="F7563" s="20"/>
      <c r="G7563" s="21"/>
    </row>
    <row r="7564" spans="1:7" x14ac:dyDescent="0.2">
      <c r="A7564" s="16"/>
      <c r="B7564" s="17"/>
      <c r="C7564" s="17"/>
      <c r="D7564" s="17"/>
      <c r="E7564" s="17"/>
      <c r="F7564" s="17"/>
      <c r="G7564" s="18"/>
    </row>
    <row r="7565" spans="1:7" x14ac:dyDescent="0.2">
      <c r="A7565" s="19"/>
      <c r="B7565" s="20"/>
      <c r="C7565" s="20"/>
      <c r="D7565" s="20"/>
      <c r="E7565" s="20"/>
      <c r="F7565" s="20"/>
      <c r="G7565" s="21"/>
    </row>
    <row r="7566" spans="1:7" x14ac:dyDescent="0.2">
      <c r="A7566" s="16"/>
      <c r="B7566" s="17"/>
      <c r="C7566" s="17"/>
      <c r="D7566" s="17"/>
      <c r="E7566" s="17"/>
      <c r="F7566" s="17"/>
      <c r="G7566" s="18"/>
    </row>
    <row r="7567" spans="1:7" x14ac:dyDescent="0.2">
      <c r="A7567" s="19"/>
      <c r="B7567" s="20"/>
      <c r="C7567" s="20"/>
      <c r="D7567" s="20"/>
      <c r="E7567" s="20"/>
      <c r="F7567" s="20"/>
      <c r="G7567" s="21"/>
    </row>
    <row r="7568" spans="1:7" x14ac:dyDescent="0.2">
      <c r="A7568" s="16"/>
      <c r="B7568" s="17"/>
      <c r="C7568" s="17"/>
      <c r="D7568" s="17"/>
      <c r="E7568" s="17"/>
      <c r="F7568" s="17"/>
      <c r="G7568" s="18"/>
    </row>
    <row r="7569" spans="1:7" x14ac:dyDescent="0.2">
      <c r="A7569" s="19"/>
      <c r="B7569" s="20"/>
      <c r="C7569" s="20"/>
      <c r="D7569" s="20"/>
      <c r="E7569" s="20"/>
      <c r="F7569" s="20"/>
      <c r="G7569" s="21"/>
    </row>
    <row r="7570" spans="1:7" x14ac:dyDescent="0.2">
      <c r="A7570" s="16"/>
      <c r="B7570" s="17"/>
      <c r="C7570" s="17"/>
      <c r="D7570" s="17"/>
      <c r="E7570" s="17"/>
      <c r="F7570" s="17"/>
      <c r="G7570" s="18"/>
    </row>
    <row r="7571" spans="1:7" x14ac:dyDescent="0.2">
      <c r="A7571" s="19"/>
      <c r="B7571" s="20"/>
      <c r="C7571" s="20"/>
      <c r="D7571" s="20"/>
      <c r="E7571" s="20"/>
      <c r="F7571" s="20"/>
      <c r="G7571" s="21"/>
    </row>
    <row r="7572" spans="1:7" x14ac:dyDescent="0.2">
      <c r="A7572" s="16"/>
      <c r="B7572" s="17"/>
      <c r="C7572" s="17"/>
      <c r="D7572" s="17"/>
      <c r="E7572" s="17"/>
      <c r="F7572" s="17"/>
      <c r="G7572" s="18"/>
    </row>
    <row r="7573" spans="1:7" x14ac:dyDescent="0.2">
      <c r="A7573" s="19"/>
      <c r="B7573" s="20"/>
      <c r="C7573" s="20"/>
      <c r="D7573" s="20"/>
      <c r="E7573" s="20"/>
      <c r="F7573" s="20"/>
      <c r="G7573" s="21"/>
    </row>
    <row r="7574" spans="1:7" x14ac:dyDescent="0.2">
      <c r="A7574" s="16"/>
      <c r="B7574" s="17"/>
      <c r="C7574" s="17"/>
      <c r="D7574" s="17"/>
      <c r="E7574" s="17"/>
      <c r="F7574" s="17"/>
      <c r="G7574" s="18"/>
    </row>
    <row r="7575" spans="1:7" x14ac:dyDescent="0.2">
      <c r="A7575" s="19"/>
      <c r="B7575" s="20"/>
      <c r="C7575" s="20"/>
      <c r="D7575" s="20"/>
      <c r="E7575" s="20"/>
      <c r="F7575" s="20"/>
      <c r="G7575" s="21"/>
    </row>
    <row r="7576" spans="1:7" x14ac:dyDescent="0.2">
      <c r="A7576" s="16"/>
      <c r="B7576" s="17"/>
      <c r="C7576" s="17"/>
      <c r="D7576" s="17"/>
      <c r="E7576" s="17"/>
      <c r="F7576" s="17"/>
      <c r="G7576" s="18"/>
    </row>
    <row r="7577" spans="1:7" x14ac:dyDescent="0.2">
      <c r="A7577" s="19"/>
      <c r="B7577" s="20"/>
      <c r="C7577" s="20"/>
      <c r="D7577" s="20"/>
      <c r="E7577" s="20"/>
      <c r="F7577" s="20"/>
      <c r="G7577" s="21"/>
    </row>
    <row r="7578" spans="1:7" x14ac:dyDescent="0.2">
      <c r="A7578" s="16"/>
      <c r="B7578" s="17"/>
      <c r="C7578" s="17"/>
      <c r="D7578" s="17"/>
      <c r="E7578" s="17"/>
      <c r="F7578" s="17"/>
      <c r="G7578" s="18"/>
    </row>
    <row r="7579" spans="1:7" x14ac:dyDescent="0.2">
      <c r="A7579" s="19"/>
      <c r="B7579" s="20"/>
      <c r="C7579" s="20"/>
      <c r="D7579" s="20"/>
      <c r="E7579" s="20"/>
      <c r="F7579" s="20"/>
      <c r="G7579" s="21"/>
    </row>
    <row r="7580" spans="1:7" x14ac:dyDescent="0.2">
      <c r="A7580" s="16"/>
      <c r="B7580" s="17"/>
      <c r="C7580" s="17"/>
      <c r="D7580" s="17"/>
      <c r="E7580" s="17"/>
      <c r="F7580" s="17"/>
      <c r="G7580" s="18"/>
    </row>
    <row r="7581" spans="1:7" x14ac:dyDescent="0.2">
      <c r="A7581" s="19"/>
      <c r="B7581" s="20"/>
      <c r="C7581" s="20"/>
      <c r="D7581" s="20"/>
      <c r="E7581" s="20"/>
      <c r="F7581" s="20"/>
      <c r="G7581" s="21"/>
    </row>
    <row r="7582" spans="1:7" x14ac:dyDescent="0.2">
      <c r="A7582" s="16"/>
      <c r="B7582" s="17"/>
      <c r="C7582" s="17"/>
      <c r="D7582" s="17"/>
      <c r="E7582" s="17"/>
      <c r="F7582" s="17"/>
      <c r="G7582" s="18"/>
    </row>
    <row r="7583" spans="1:7" x14ac:dyDescent="0.2">
      <c r="A7583" s="19"/>
      <c r="B7583" s="20"/>
      <c r="C7583" s="20"/>
      <c r="D7583" s="20"/>
      <c r="E7583" s="20"/>
      <c r="F7583" s="20"/>
      <c r="G7583" s="21"/>
    </row>
    <row r="7584" spans="1:7" x14ac:dyDescent="0.2">
      <c r="A7584" s="16"/>
      <c r="B7584" s="17"/>
      <c r="C7584" s="17"/>
      <c r="D7584" s="17"/>
      <c r="E7584" s="17"/>
      <c r="F7584" s="17"/>
      <c r="G7584" s="18"/>
    </row>
    <row r="7585" spans="1:7" x14ac:dyDescent="0.2">
      <c r="A7585" s="19"/>
      <c r="B7585" s="20"/>
      <c r="C7585" s="20"/>
      <c r="D7585" s="20"/>
      <c r="E7585" s="20"/>
      <c r="F7585" s="20"/>
      <c r="G7585" s="21"/>
    </row>
    <row r="7586" spans="1:7" x14ac:dyDescent="0.2">
      <c r="A7586" s="16"/>
      <c r="B7586" s="17"/>
      <c r="C7586" s="17"/>
      <c r="D7586" s="17"/>
      <c r="E7586" s="17"/>
      <c r="F7586" s="17"/>
      <c r="G7586" s="18"/>
    </row>
    <row r="7587" spans="1:7" x14ac:dyDescent="0.2">
      <c r="A7587" s="19"/>
      <c r="B7587" s="20"/>
      <c r="C7587" s="20"/>
      <c r="D7587" s="20"/>
      <c r="E7587" s="20"/>
      <c r="F7587" s="20"/>
      <c r="G7587" s="21"/>
    </row>
    <row r="7588" spans="1:7" x14ac:dyDescent="0.2">
      <c r="A7588" s="16"/>
      <c r="B7588" s="17"/>
      <c r="C7588" s="17"/>
      <c r="D7588" s="17"/>
      <c r="E7588" s="17"/>
      <c r="F7588" s="17"/>
      <c r="G7588" s="18"/>
    </row>
    <row r="7589" spans="1:7" x14ac:dyDescent="0.2">
      <c r="A7589" s="19"/>
      <c r="B7589" s="20"/>
      <c r="C7589" s="20"/>
      <c r="D7589" s="20"/>
      <c r="E7589" s="20"/>
      <c r="F7589" s="20"/>
      <c r="G7589" s="21"/>
    </row>
    <row r="7590" spans="1:7" x14ac:dyDescent="0.2">
      <c r="A7590" s="16"/>
      <c r="B7590" s="17"/>
      <c r="C7590" s="17"/>
      <c r="D7590" s="17"/>
      <c r="E7590" s="17"/>
      <c r="F7590" s="17"/>
      <c r="G7590" s="18"/>
    </row>
    <row r="7591" spans="1:7" x14ac:dyDescent="0.2">
      <c r="A7591" s="19"/>
      <c r="B7591" s="20"/>
      <c r="C7591" s="20"/>
      <c r="D7591" s="20"/>
      <c r="E7591" s="20"/>
      <c r="F7591" s="20"/>
      <c r="G7591" s="21"/>
    </row>
    <row r="7592" spans="1:7" x14ac:dyDescent="0.2">
      <c r="A7592" s="16"/>
      <c r="B7592" s="17"/>
      <c r="C7592" s="17"/>
      <c r="D7592" s="17"/>
      <c r="E7592" s="17"/>
      <c r="F7592" s="17"/>
      <c r="G7592" s="18"/>
    </row>
    <row r="7593" spans="1:7" x14ac:dyDescent="0.2">
      <c r="A7593" s="19"/>
      <c r="B7593" s="20"/>
      <c r="C7593" s="20"/>
      <c r="D7593" s="20"/>
      <c r="E7593" s="20"/>
      <c r="F7593" s="20"/>
      <c r="G7593" s="21"/>
    </row>
    <row r="7594" spans="1:7" x14ac:dyDescent="0.2">
      <c r="A7594" s="16"/>
      <c r="B7594" s="17"/>
      <c r="C7594" s="17"/>
      <c r="D7594" s="17"/>
      <c r="E7594" s="17"/>
      <c r="F7594" s="17"/>
      <c r="G7594" s="18"/>
    </row>
    <row r="7595" spans="1:7" x14ac:dyDescent="0.2">
      <c r="A7595" s="19"/>
      <c r="B7595" s="20"/>
      <c r="C7595" s="20"/>
      <c r="D7595" s="20"/>
      <c r="E7595" s="20"/>
      <c r="F7595" s="20"/>
      <c r="G7595" s="21"/>
    </row>
    <row r="7596" spans="1:7" x14ac:dyDescent="0.2">
      <c r="A7596" s="16"/>
      <c r="B7596" s="17"/>
      <c r="C7596" s="17"/>
      <c r="D7596" s="17"/>
      <c r="E7596" s="17"/>
      <c r="F7596" s="17"/>
      <c r="G7596" s="18"/>
    </row>
    <row r="7597" spans="1:7" x14ac:dyDescent="0.2">
      <c r="A7597" s="19"/>
      <c r="B7597" s="20"/>
      <c r="C7597" s="20"/>
      <c r="D7597" s="20"/>
      <c r="E7597" s="20"/>
      <c r="F7597" s="20"/>
      <c r="G7597" s="21"/>
    </row>
    <row r="7598" spans="1:7" x14ac:dyDescent="0.2">
      <c r="A7598" s="16"/>
      <c r="B7598" s="17"/>
      <c r="C7598" s="17"/>
      <c r="D7598" s="17"/>
      <c r="E7598" s="17"/>
      <c r="F7598" s="17"/>
      <c r="G7598" s="18"/>
    </row>
    <row r="7599" spans="1:7" x14ac:dyDescent="0.2">
      <c r="A7599" s="19"/>
      <c r="B7599" s="20"/>
      <c r="C7599" s="20"/>
      <c r="D7599" s="20"/>
      <c r="E7599" s="20"/>
      <c r="F7599" s="20"/>
      <c r="G7599" s="21"/>
    </row>
    <row r="7600" spans="1:7" x14ac:dyDescent="0.2">
      <c r="A7600" s="16"/>
      <c r="B7600" s="17"/>
      <c r="C7600" s="17"/>
      <c r="D7600" s="17"/>
      <c r="E7600" s="17"/>
      <c r="F7600" s="17"/>
      <c r="G7600" s="18"/>
    </row>
    <row r="7601" spans="1:7" x14ac:dyDescent="0.2">
      <c r="A7601" s="19"/>
      <c r="B7601" s="20"/>
      <c r="C7601" s="20"/>
      <c r="D7601" s="20"/>
      <c r="E7601" s="20"/>
      <c r="F7601" s="20"/>
      <c r="G7601" s="21"/>
    </row>
    <row r="7602" spans="1:7" x14ac:dyDescent="0.2">
      <c r="A7602" s="16"/>
      <c r="B7602" s="17"/>
      <c r="C7602" s="17"/>
      <c r="D7602" s="17"/>
      <c r="E7602" s="17"/>
      <c r="F7602" s="17"/>
      <c r="G7602" s="18"/>
    </row>
    <row r="7603" spans="1:7" x14ac:dyDescent="0.2">
      <c r="A7603" s="19"/>
      <c r="B7603" s="20"/>
      <c r="C7603" s="20"/>
      <c r="D7603" s="20"/>
      <c r="E7603" s="20"/>
      <c r="F7603" s="20"/>
      <c r="G7603" s="21"/>
    </row>
    <row r="7604" spans="1:7" x14ac:dyDescent="0.2">
      <c r="A7604" s="16"/>
      <c r="B7604" s="17"/>
      <c r="C7604" s="17"/>
      <c r="D7604" s="17"/>
      <c r="E7604" s="17"/>
      <c r="F7604" s="17"/>
      <c r="G7604" s="18"/>
    </row>
    <row r="7605" spans="1:7" x14ac:dyDescent="0.2">
      <c r="A7605" s="19"/>
      <c r="B7605" s="20"/>
      <c r="C7605" s="20"/>
      <c r="D7605" s="20"/>
      <c r="E7605" s="20"/>
      <c r="F7605" s="20"/>
      <c r="G7605" s="21"/>
    </row>
    <row r="7606" spans="1:7" x14ac:dyDescent="0.2">
      <c r="A7606" s="16"/>
      <c r="B7606" s="17"/>
      <c r="C7606" s="17"/>
      <c r="D7606" s="17"/>
      <c r="E7606" s="17"/>
      <c r="F7606" s="17"/>
      <c r="G7606" s="18"/>
    </row>
    <row r="7607" spans="1:7" x14ac:dyDescent="0.2">
      <c r="A7607" s="19"/>
      <c r="B7607" s="20"/>
      <c r="C7607" s="20"/>
      <c r="D7607" s="20"/>
      <c r="E7607" s="20"/>
      <c r="F7607" s="20"/>
      <c r="G7607" s="21"/>
    </row>
    <row r="7608" spans="1:7" x14ac:dyDescent="0.2">
      <c r="A7608" s="16"/>
      <c r="B7608" s="17"/>
      <c r="C7608" s="17"/>
      <c r="D7608" s="17"/>
      <c r="E7608" s="17"/>
      <c r="F7608" s="17"/>
      <c r="G7608" s="18"/>
    </row>
    <row r="7609" spans="1:7" x14ac:dyDescent="0.2">
      <c r="A7609" s="19"/>
      <c r="B7609" s="20"/>
      <c r="C7609" s="20"/>
      <c r="D7609" s="20"/>
      <c r="E7609" s="20"/>
      <c r="F7609" s="20"/>
      <c r="G7609" s="21"/>
    </row>
    <row r="7610" spans="1:7" x14ac:dyDescent="0.2">
      <c r="A7610" s="16"/>
      <c r="B7610" s="17"/>
      <c r="C7610" s="17"/>
      <c r="D7610" s="17"/>
      <c r="E7610" s="17"/>
      <c r="F7610" s="17"/>
      <c r="G7610" s="18"/>
    </row>
    <row r="7611" spans="1:7" x14ac:dyDescent="0.2">
      <c r="A7611" s="19"/>
      <c r="B7611" s="20"/>
      <c r="C7611" s="20"/>
      <c r="D7611" s="20"/>
      <c r="E7611" s="20"/>
      <c r="F7611" s="20"/>
      <c r="G7611" s="21"/>
    </row>
    <row r="7612" spans="1:7" x14ac:dyDescent="0.2">
      <c r="A7612" s="16"/>
      <c r="B7612" s="17"/>
      <c r="C7612" s="17"/>
      <c r="D7612" s="17"/>
      <c r="E7612" s="17"/>
      <c r="F7612" s="17"/>
      <c r="G7612" s="18"/>
    </row>
    <row r="7613" spans="1:7" x14ac:dyDescent="0.2">
      <c r="A7613" s="19"/>
      <c r="B7613" s="20"/>
      <c r="C7613" s="20"/>
      <c r="D7613" s="20"/>
      <c r="E7613" s="20"/>
      <c r="F7613" s="20"/>
      <c r="G7613" s="21"/>
    </row>
    <row r="7614" spans="1:7" x14ac:dyDescent="0.2">
      <c r="A7614" s="16"/>
      <c r="B7614" s="17"/>
      <c r="C7614" s="17"/>
      <c r="D7614" s="17"/>
      <c r="E7614" s="17"/>
      <c r="F7614" s="17"/>
      <c r="G7614" s="18"/>
    </row>
    <row r="7615" spans="1:7" x14ac:dyDescent="0.2">
      <c r="A7615" s="19"/>
      <c r="B7615" s="20"/>
      <c r="C7615" s="20"/>
      <c r="D7615" s="20"/>
      <c r="E7615" s="20"/>
      <c r="F7615" s="20"/>
      <c r="G7615" s="21"/>
    </row>
    <row r="7616" spans="1:7" x14ac:dyDescent="0.2">
      <c r="A7616" s="16"/>
      <c r="B7616" s="17"/>
      <c r="C7616" s="17"/>
      <c r="D7616" s="17"/>
      <c r="E7616" s="17"/>
      <c r="F7616" s="17"/>
      <c r="G7616" s="18"/>
    </row>
    <row r="7617" spans="1:7" x14ac:dyDescent="0.2">
      <c r="A7617" s="19"/>
      <c r="B7617" s="20"/>
      <c r="C7617" s="20"/>
      <c r="D7617" s="20"/>
      <c r="E7617" s="20"/>
      <c r="F7617" s="20"/>
      <c r="G7617" s="21"/>
    </row>
    <row r="7618" spans="1:7" x14ac:dyDescent="0.2">
      <c r="A7618" s="16"/>
      <c r="B7618" s="17"/>
      <c r="C7618" s="17"/>
      <c r="D7618" s="17"/>
      <c r="E7618" s="17"/>
      <c r="F7618" s="17"/>
      <c r="G7618" s="18"/>
    </row>
    <row r="7619" spans="1:7" x14ac:dyDescent="0.2">
      <c r="A7619" s="19"/>
      <c r="B7619" s="20"/>
      <c r="C7619" s="20"/>
      <c r="D7619" s="20"/>
      <c r="E7619" s="20"/>
      <c r="F7619" s="20"/>
      <c r="G7619" s="21"/>
    </row>
    <row r="7620" spans="1:7" x14ac:dyDescent="0.2">
      <c r="A7620" s="16"/>
      <c r="B7620" s="17"/>
      <c r="C7620" s="17"/>
      <c r="D7620" s="17"/>
      <c r="E7620" s="17"/>
      <c r="F7620" s="17"/>
      <c r="G7620" s="18"/>
    </row>
    <row r="7621" spans="1:7" x14ac:dyDescent="0.2">
      <c r="A7621" s="19"/>
      <c r="B7621" s="20"/>
      <c r="C7621" s="20"/>
      <c r="D7621" s="20"/>
      <c r="E7621" s="20"/>
      <c r="F7621" s="20"/>
      <c r="G7621" s="21"/>
    </row>
    <row r="7622" spans="1:7" x14ac:dyDescent="0.2">
      <c r="A7622" s="16"/>
      <c r="B7622" s="17"/>
      <c r="C7622" s="17"/>
      <c r="D7622" s="17"/>
      <c r="E7622" s="17"/>
      <c r="F7622" s="17"/>
      <c r="G7622" s="18"/>
    </row>
    <row r="7623" spans="1:7" x14ac:dyDescent="0.2">
      <c r="A7623" s="19"/>
      <c r="B7623" s="20"/>
      <c r="C7623" s="20"/>
      <c r="D7623" s="20"/>
      <c r="E7623" s="20"/>
      <c r="F7623" s="20"/>
      <c r="G7623" s="21"/>
    </row>
    <row r="7624" spans="1:7" x14ac:dyDescent="0.2">
      <c r="A7624" s="16"/>
      <c r="B7624" s="17"/>
      <c r="C7624" s="17"/>
      <c r="D7624" s="17"/>
      <c r="E7624" s="17"/>
      <c r="F7624" s="17"/>
      <c r="G7624" s="18"/>
    </row>
    <row r="7625" spans="1:7" x14ac:dyDescent="0.2">
      <c r="A7625" s="19"/>
      <c r="B7625" s="20"/>
      <c r="C7625" s="20"/>
      <c r="D7625" s="20"/>
      <c r="E7625" s="20"/>
      <c r="F7625" s="20"/>
      <c r="G7625" s="21"/>
    </row>
    <row r="7626" spans="1:7" x14ac:dyDescent="0.2">
      <c r="A7626" s="16"/>
      <c r="B7626" s="17"/>
      <c r="C7626" s="17"/>
      <c r="D7626" s="17"/>
      <c r="E7626" s="17"/>
      <c r="F7626" s="17"/>
      <c r="G7626" s="18"/>
    </row>
    <row r="7627" spans="1:7" x14ac:dyDescent="0.2">
      <c r="A7627" s="19"/>
      <c r="B7627" s="20"/>
      <c r="C7627" s="20"/>
      <c r="D7627" s="20"/>
      <c r="E7627" s="20"/>
      <c r="F7627" s="20"/>
      <c r="G7627" s="21"/>
    </row>
    <row r="7628" spans="1:7" x14ac:dyDescent="0.2">
      <c r="A7628" s="16"/>
      <c r="B7628" s="17"/>
      <c r="C7628" s="17"/>
      <c r="D7628" s="17"/>
      <c r="E7628" s="17"/>
      <c r="F7628" s="17"/>
      <c r="G7628" s="18"/>
    </row>
    <row r="7629" spans="1:7" x14ac:dyDescent="0.2">
      <c r="A7629" s="19"/>
      <c r="B7629" s="20"/>
      <c r="C7629" s="20"/>
      <c r="D7629" s="20"/>
      <c r="E7629" s="20"/>
      <c r="F7629" s="20"/>
      <c r="G7629" s="21"/>
    </row>
    <row r="7630" spans="1:7" x14ac:dyDescent="0.2">
      <c r="A7630" s="16"/>
      <c r="B7630" s="17"/>
      <c r="C7630" s="17"/>
      <c r="D7630" s="17"/>
      <c r="E7630" s="17"/>
      <c r="F7630" s="17"/>
      <c r="G7630" s="18"/>
    </row>
    <row r="7631" spans="1:7" x14ac:dyDescent="0.2">
      <c r="A7631" s="19"/>
      <c r="B7631" s="20"/>
      <c r="C7631" s="20"/>
      <c r="D7631" s="20"/>
      <c r="E7631" s="20"/>
      <c r="F7631" s="20"/>
      <c r="G7631" s="21"/>
    </row>
    <row r="7632" spans="1:7" x14ac:dyDescent="0.2">
      <c r="A7632" s="16"/>
      <c r="B7632" s="17"/>
      <c r="C7632" s="17"/>
      <c r="D7632" s="17"/>
      <c r="E7632" s="17"/>
      <c r="F7632" s="17"/>
      <c r="G7632" s="18"/>
    </row>
    <row r="7633" spans="1:7" x14ac:dyDescent="0.2">
      <c r="A7633" s="19"/>
      <c r="B7633" s="20"/>
      <c r="C7633" s="20"/>
      <c r="D7633" s="20"/>
      <c r="E7633" s="20"/>
      <c r="F7633" s="20"/>
      <c r="G7633" s="21"/>
    </row>
    <row r="7634" spans="1:7" x14ac:dyDescent="0.2">
      <c r="A7634" s="16"/>
      <c r="B7634" s="17"/>
      <c r="C7634" s="17"/>
      <c r="D7634" s="17"/>
      <c r="E7634" s="17"/>
      <c r="F7634" s="17"/>
      <c r="G7634" s="18"/>
    </row>
    <row r="7635" spans="1:7" x14ac:dyDescent="0.2">
      <c r="A7635" s="19"/>
      <c r="B7635" s="20"/>
      <c r="C7635" s="20"/>
      <c r="D7635" s="20"/>
      <c r="E7635" s="20"/>
      <c r="F7635" s="20"/>
      <c r="G7635" s="21"/>
    </row>
    <row r="7636" spans="1:7" x14ac:dyDescent="0.2">
      <c r="A7636" s="16"/>
      <c r="B7636" s="17"/>
      <c r="C7636" s="17"/>
      <c r="D7636" s="17"/>
      <c r="E7636" s="17"/>
      <c r="F7636" s="17"/>
      <c r="G7636" s="18"/>
    </row>
    <row r="7637" spans="1:7" x14ac:dyDescent="0.2">
      <c r="A7637" s="19"/>
      <c r="B7637" s="20"/>
      <c r="C7637" s="20"/>
      <c r="D7637" s="20"/>
      <c r="E7637" s="20"/>
      <c r="F7637" s="20"/>
      <c r="G7637" s="21"/>
    </row>
    <row r="7638" spans="1:7" x14ac:dyDescent="0.2">
      <c r="A7638" s="16"/>
      <c r="B7638" s="17"/>
      <c r="C7638" s="17"/>
      <c r="D7638" s="17"/>
      <c r="E7638" s="17"/>
      <c r="F7638" s="17"/>
      <c r="G7638" s="18"/>
    </row>
    <row r="7639" spans="1:7" x14ac:dyDescent="0.2">
      <c r="A7639" s="19"/>
      <c r="B7639" s="20"/>
      <c r="C7639" s="20"/>
      <c r="D7639" s="20"/>
      <c r="E7639" s="20"/>
      <c r="F7639" s="20"/>
      <c r="G7639" s="21"/>
    </row>
    <row r="7640" spans="1:7" x14ac:dyDescent="0.2">
      <c r="A7640" s="16"/>
      <c r="B7640" s="17"/>
      <c r="C7640" s="17"/>
      <c r="D7640" s="17"/>
      <c r="E7640" s="17"/>
      <c r="F7640" s="17"/>
      <c r="G7640" s="18"/>
    </row>
    <row r="7641" spans="1:7" x14ac:dyDescent="0.2">
      <c r="A7641" s="19"/>
      <c r="B7641" s="20"/>
      <c r="C7641" s="20"/>
      <c r="D7641" s="20"/>
      <c r="E7641" s="20"/>
      <c r="F7641" s="20"/>
      <c r="G7641" s="21"/>
    </row>
    <row r="7642" spans="1:7" x14ac:dyDescent="0.2">
      <c r="A7642" s="16"/>
      <c r="B7642" s="17"/>
      <c r="C7642" s="17"/>
      <c r="D7642" s="17"/>
      <c r="E7642" s="17"/>
      <c r="F7642" s="17"/>
      <c r="G7642" s="18"/>
    </row>
    <row r="7643" spans="1:7" x14ac:dyDescent="0.2">
      <c r="A7643" s="19"/>
      <c r="B7643" s="20"/>
      <c r="C7643" s="20"/>
      <c r="D7643" s="20"/>
      <c r="E7643" s="20"/>
      <c r="F7643" s="20"/>
      <c r="G7643" s="21"/>
    </row>
    <row r="7644" spans="1:7" x14ac:dyDescent="0.2">
      <c r="A7644" s="16"/>
      <c r="B7644" s="17"/>
      <c r="C7644" s="17"/>
      <c r="D7644" s="17"/>
      <c r="E7644" s="17"/>
      <c r="F7644" s="17"/>
      <c r="G7644" s="18"/>
    </row>
    <row r="7645" spans="1:7" x14ac:dyDescent="0.2">
      <c r="A7645" s="19"/>
      <c r="B7645" s="20"/>
      <c r="C7645" s="20"/>
      <c r="D7645" s="20"/>
      <c r="E7645" s="20"/>
      <c r="F7645" s="20"/>
      <c r="G7645" s="21"/>
    </row>
    <row r="7646" spans="1:7" x14ac:dyDescent="0.2">
      <c r="A7646" s="16"/>
      <c r="B7646" s="17"/>
      <c r="C7646" s="17"/>
      <c r="D7646" s="17"/>
      <c r="E7646" s="17"/>
      <c r="F7646" s="17"/>
      <c r="G7646" s="18"/>
    </row>
    <row r="7647" spans="1:7" x14ac:dyDescent="0.2">
      <c r="A7647" s="19"/>
      <c r="B7647" s="20"/>
      <c r="C7647" s="20"/>
      <c r="D7647" s="20"/>
      <c r="E7647" s="20"/>
      <c r="F7647" s="20"/>
      <c r="G7647" s="21"/>
    </row>
    <row r="7648" spans="1:7" x14ac:dyDescent="0.2">
      <c r="A7648" s="16"/>
      <c r="B7648" s="17"/>
      <c r="C7648" s="17"/>
      <c r="D7648" s="17"/>
      <c r="E7648" s="17"/>
      <c r="F7648" s="17"/>
      <c r="G7648" s="18"/>
    </row>
    <row r="7649" spans="1:7" x14ac:dyDescent="0.2">
      <c r="A7649" s="19"/>
      <c r="B7649" s="20"/>
      <c r="C7649" s="20"/>
      <c r="D7649" s="20"/>
      <c r="E7649" s="20"/>
      <c r="F7649" s="20"/>
      <c r="G7649" s="21"/>
    </row>
    <row r="7650" spans="1:7" x14ac:dyDescent="0.2">
      <c r="A7650" s="16"/>
      <c r="B7650" s="17"/>
      <c r="C7650" s="17"/>
      <c r="D7650" s="17"/>
      <c r="E7650" s="17"/>
      <c r="F7650" s="17"/>
      <c r="G7650" s="18"/>
    </row>
    <row r="7651" spans="1:7" x14ac:dyDescent="0.2">
      <c r="A7651" s="19"/>
      <c r="B7651" s="20"/>
      <c r="C7651" s="20"/>
      <c r="D7651" s="20"/>
      <c r="E7651" s="20"/>
      <c r="F7651" s="20"/>
      <c r="G7651" s="21"/>
    </row>
    <row r="7652" spans="1:7" x14ac:dyDescent="0.2">
      <c r="A7652" s="16"/>
      <c r="B7652" s="17"/>
      <c r="C7652" s="17"/>
      <c r="D7652" s="17"/>
      <c r="E7652" s="17"/>
      <c r="F7652" s="17"/>
      <c r="G7652" s="18"/>
    </row>
    <row r="7653" spans="1:7" x14ac:dyDescent="0.2">
      <c r="A7653" s="19"/>
      <c r="B7653" s="20"/>
      <c r="C7653" s="20"/>
      <c r="D7653" s="20"/>
      <c r="E7653" s="20"/>
      <c r="F7653" s="20"/>
      <c r="G7653" s="21"/>
    </row>
    <row r="7654" spans="1:7" x14ac:dyDescent="0.2">
      <c r="A7654" s="16"/>
      <c r="B7654" s="17"/>
      <c r="C7654" s="17"/>
      <c r="D7654" s="17"/>
      <c r="E7654" s="17"/>
      <c r="F7654" s="17"/>
      <c r="G7654" s="18"/>
    </row>
    <row r="7655" spans="1:7" x14ac:dyDescent="0.2">
      <c r="A7655" s="19"/>
      <c r="B7655" s="20"/>
      <c r="C7655" s="20"/>
      <c r="D7655" s="20"/>
      <c r="E7655" s="20"/>
      <c r="F7655" s="20"/>
      <c r="G7655" s="21"/>
    </row>
    <row r="7656" spans="1:7" x14ac:dyDescent="0.2">
      <c r="A7656" s="16"/>
      <c r="B7656" s="17"/>
      <c r="C7656" s="17"/>
      <c r="D7656" s="17"/>
      <c r="E7656" s="17"/>
      <c r="F7656" s="17"/>
      <c r="G7656" s="18"/>
    </row>
    <row r="7657" spans="1:7" x14ac:dyDescent="0.2">
      <c r="A7657" s="19"/>
      <c r="B7657" s="20"/>
      <c r="C7657" s="20"/>
      <c r="D7657" s="20"/>
      <c r="E7657" s="20"/>
      <c r="F7657" s="20"/>
      <c r="G7657" s="21"/>
    </row>
    <row r="7658" spans="1:7" x14ac:dyDescent="0.2">
      <c r="A7658" s="16"/>
      <c r="B7658" s="17"/>
      <c r="C7658" s="17"/>
      <c r="D7658" s="17"/>
      <c r="E7658" s="17"/>
      <c r="F7658" s="17"/>
      <c r="G7658" s="18"/>
    </row>
    <row r="7659" spans="1:7" x14ac:dyDescent="0.2">
      <c r="A7659" s="19"/>
      <c r="B7659" s="20"/>
      <c r="C7659" s="20"/>
      <c r="D7659" s="20"/>
      <c r="E7659" s="20"/>
      <c r="F7659" s="20"/>
      <c r="G7659" s="21"/>
    </row>
    <row r="7660" spans="1:7" x14ac:dyDescent="0.2">
      <c r="A7660" s="16"/>
      <c r="B7660" s="17"/>
      <c r="C7660" s="17"/>
      <c r="D7660" s="17"/>
      <c r="E7660" s="17"/>
      <c r="F7660" s="17"/>
      <c r="G7660" s="18"/>
    </row>
    <row r="7661" spans="1:7" x14ac:dyDescent="0.2">
      <c r="A7661" s="19"/>
      <c r="B7661" s="20"/>
      <c r="C7661" s="20"/>
      <c r="D7661" s="20"/>
      <c r="E7661" s="20"/>
      <c r="F7661" s="20"/>
      <c r="G7661" s="21"/>
    </row>
    <row r="7662" spans="1:7" x14ac:dyDescent="0.2">
      <c r="A7662" s="16"/>
      <c r="B7662" s="17"/>
      <c r="C7662" s="17"/>
      <c r="D7662" s="17"/>
      <c r="E7662" s="17"/>
      <c r="F7662" s="17"/>
      <c r="G7662" s="18"/>
    </row>
    <row r="7663" spans="1:7" x14ac:dyDescent="0.2">
      <c r="A7663" s="19"/>
      <c r="B7663" s="20"/>
      <c r="C7663" s="20"/>
      <c r="D7663" s="20"/>
      <c r="E7663" s="20"/>
      <c r="F7663" s="20"/>
      <c r="G7663" s="21"/>
    </row>
    <row r="7664" spans="1:7" x14ac:dyDescent="0.2">
      <c r="A7664" s="16"/>
      <c r="B7664" s="17"/>
      <c r="C7664" s="17"/>
      <c r="D7664" s="17"/>
      <c r="E7664" s="17"/>
      <c r="F7664" s="17"/>
      <c r="G7664" s="18"/>
    </row>
    <row r="7665" spans="1:7" x14ac:dyDescent="0.2">
      <c r="A7665" s="19"/>
      <c r="B7665" s="20"/>
      <c r="C7665" s="20"/>
      <c r="D7665" s="20"/>
      <c r="E7665" s="20"/>
      <c r="F7665" s="20"/>
      <c r="G7665" s="21"/>
    </row>
    <row r="7666" spans="1:7" x14ac:dyDescent="0.2">
      <c r="A7666" s="16"/>
      <c r="B7666" s="17"/>
      <c r="C7666" s="17"/>
      <c r="D7666" s="17"/>
      <c r="E7666" s="17"/>
      <c r="F7666" s="17"/>
      <c r="G7666" s="18"/>
    </row>
    <row r="7667" spans="1:7" x14ac:dyDescent="0.2">
      <c r="A7667" s="19"/>
      <c r="B7667" s="20"/>
      <c r="C7667" s="20"/>
      <c r="D7667" s="20"/>
      <c r="E7667" s="20"/>
      <c r="F7667" s="20"/>
      <c r="G7667" s="21"/>
    </row>
    <row r="7668" spans="1:7" x14ac:dyDescent="0.2">
      <c r="A7668" s="16"/>
      <c r="B7668" s="17"/>
      <c r="C7668" s="17"/>
      <c r="D7668" s="17"/>
      <c r="E7668" s="17"/>
      <c r="F7668" s="17"/>
      <c r="G7668" s="18"/>
    </row>
    <row r="7669" spans="1:7" x14ac:dyDescent="0.2">
      <c r="A7669" s="19"/>
      <c r="B7669" s="20"/>
      <c r="C7669" s="20"/>
      <c r="D7669" s="20"/>
      <c r="E7669" s="20"/>
      <c r="F7669" s="20"/>
      <c r="G7669" s="21"/>
    </row>
    <row r="7670" spans="1:7" x14ac:dyDescent="0.2">
      <c r="A7670" s="16"/>
      <c r="B7670" s="17"/>
      <c r="C7670" s="17"/>
      <c r="D7670" s="17"/>
      <c r="E7670" s="17"/>
      <c r="F7670" s="17"/>
      <c r="G7670" s="18"/>
    </row>
    <row r="7671" spans="1:7" x14ac:dyDescent="0.2">
      <c r="A7671" s="19"/>
      <c r="B7671" s="20"/>
      <c r="C7671" s="20"/>
      <c r="D7671" s="20"/>
      <c r="E7671" s="20"/>
      <c r="F7671" s="20"/>
      <c r="G7671" s="21"/>
    </row>
    <row r="7672" spans="1:7" x14ac:dyDescent="0.2">
      <c r="A7672" s="16"/>
      <c r="B7672" s="17"/>
      <c r="C7672" s="17"/>
      <c r="D7672" s="17"/>
      <c r="E7672" s="17"/>
      <c r="F7672" s="17"/>
      <c r="G7672" s="18"/>
    </row>
    <row r="7673" spans="1:7" x14ac:dyDescent="0.2">
      <c r="A7673" s="19"/>
      <c r="B7673" s="20"/>
      <c r="C7673" s="20"/>
      <c r="D7673" s="20"/>
      <c r="E7673" s="20"/>
      <c r="F7673" s="20"/>
      <c r="G7673" s="21"/>
    </row>
    <row r="7674" spans="1:7" x14ac:dyDescent="0.2">
      <c r="A7674" s="16"/>
      <c r="B7674" s="17"/>
      <c r="C7674" s="17"/>
      <c r="D7674" s="17"/>
      <c r="E7674" s="17"/>
      <c r="F7674" s="17"/>
      <c r="G7674" s="18"/>
    </row>
    <row r="7675" spans="1:7" x14ac:dyDescent="0.2">
      <c r="A7675" s="19"/>
      <c r="B7675" s="20"/>
      <c r="C7675" s="20"/>
      <c r="D7675" s="20"/>
      <c r="E7675" s="20"/>
      <c r="F7675" s="20"/>
      <c r="G7675" s="21"/>
    </row>
    <row r="7676" spans="1:7" x14ac:dyDescent="0.2">
      <c r="A7676" s="16"/>
      <c r="B7676" s="17"/>
      <c r="C7676" s="17"/>
      <c r="D7676" s="17"/>
      <c r="E7676" s="17"/>
      <c r="F7676" s="17"/>
      <c r="G7676" s="18"/>
    </row>
    <row r="7677" spans="1:7" x14ac:dyDescent="0.2">
      <c r="A7677" s="19"/>
      <c r="B7677" s="20"/>
      <c r="C7677" s="20"/>
      <c r="D7677" s="20"/>
      <c r="E7677" s="20"/>
      <c r="F7677" s="20"/>
      <c r="G7677" s="21"/>
    </row>
    <row r="7678" spans="1:7" x14ac:dyDescent="0.2">
      <c r="A7678" s="16"/>
      <c r="B7678" s="17"/>
      <c r="C7678" s="17"/>
      <c r="D7678" s="17"/>
      <c r="E7678" s="17"/>
      <c r="F7678" s="17"/>
      <c r="G7678" s="18"/>
    </row>
    <row r="7679" spans="1:7" x14ac:dyDescent="0.2">
      <c r="A7679" s="19"/>
      <c r="B7679" s="20"/>
      <c r="C7679" s="20"/>
      <c r="D7679" s="20"/>
      <c r="E7679" s="20"/>
      <c r="F7679" s="20"/>
      <c r="G7679" s="21"/>
    </row>
    <row r="7680" spans="1:7" x14ac:dyDescent="0.2">
      <c r="A7680" s="16"/>
      <c r="B7680" s="17"/>
      <c r="C7680" s="17"/>
      <c r="D7680" s="17"/>
      <c r="E7680" s="17"/>
      <c r="F7680" s="17"/>
      <c r="G7680" s="18"/>
    </row>
    <row r="7681" spans="1:7" x14ac:dyDescent="0.2">
      <c r="A7681" s="19"/>
      <c r="B7681" s="20"/>
      <c r="C7681" s="20"/>
      <c r="D7681" s="20"/>
      <c r="E7681" s="20"/>
      <c r="F7681" s="20"/>
      <c r="G7681" s="21"/>
    </row>
    <row r="7682" spans="1:7" x14ac:dyDescent="0.2">
      <c r="A7682" s="16"/>
      <c r="B7682" s="17"/>
      <c r="C7682" s="17"/>
      <c r="D7682" s="17"/>
      <c r="E7682" s="17"/>
      <c r="F7682" s="17"/>
      <c r="G7682" s="18"/>
    </row>
    <row r="7683" spans="1:7" x14ac:dyDescent="0.2">
      <c r="A7683" s="19"/>
      <c r="B7683" s="20"/>
      <c r="C7683" s="20"/>
      <c r="D7683" s="20"/>
      <c r="E7683" s="20"/>
      <c r="F7683" s="20"/>
      <c r="G7683" s="21"/>
    </row>
    <row r="7684" spans="1:7" x14ac:dyDescent="0.2">
      <c r="A7684" s="16"/>
      <c r="B7684" s="17"/>
      <c r="C7684" s="17"/>
      <c r="D7684" s="17"/>
      <c r="E7684" s="17"/>
      <c r="F7684" s="17"/>
      <c r="G7684" s="18"/>
    </row>
    <row r="7685" spans="1:7" x14ac:dyDescent="0.2">
      <c r="A7685" s="19"/>
      <c r="B7685" s="20"/>
      <c r="C7685" s="20"/>
      <c r="D7685" s="20"/>
      <c r="E7685" s="20"/>
      <c r="F7685" s="20"/>
      <c r="G7685" s="21"/>
    </row>
    <row r="7686" spans="1:7" x14ac:dyDescent="0.2">
      <c r="A7686" s="16"/>
      <c r="B7686" s="17"/>
      <c r="C7686" s="17"/>
      <c r="D7686" s="17"/>
      <c r="E7686" s="17"/>
      <c r="F7686" s="17"/>
      <c r="G7686" s="18"/>
    </row>
    <row r="7687" spans="1:7" x14ac:dyDescent="0.2">
      <c r="A7687" s="19"/>
      <c r="B7687" s="20"/>
      <c r="C7687" s="20"/>
      <c r="D7687" s="20"/>
      <c r="E7687" s="20"/>
      <c r="F7687" s="20"/>
      <c r="G7687" s="21"/>
    </row>
    <row r="7688" spans="1:7" x14ac:dyDescent="0.2">
      <c r="A7688" s="16"/>
      <c r="B7688" s="17"/>
      <c r="C7688" s="17"/>
      <c r="D7688" s="17"/>
      <c r="E7688" s="17"/>
      <c r="F7688" s="17"/>
      <c r="G7688" s="18"/>
    </row>
    <row r="7689" spans="1:7" x14ac:dyDescent="0.2">
      <c r="A7689" s="19"/>
      <c r="B7689" s="20"/>
      <c r="C7689" s="20"/>
      <c r="D7689" s="20"/>
      <c r="E7689" s="20"/>
      <c r="F7689" s="20"/>
      <c r="G7689" s="21"/>
    </row>
    <row r="7690" spans="1:7" x14ac:dyDescent="0.2">
      <c r="A7690" s="16"/>
      <c r="B7690" s="17"/>
      <c r="C7690" s="17"/>
      <c r="D7690" s="17"/>
      <c r="E7690" s="17"/>
      <c r="F7690" s="17"/>
      <c r="G7690" s="18"/>
    </row>
    <row r="7691" spans="1:7" x14ac:dyDescent="0.2">
      <c r="A7691" s="19"/>
      <c r="B7691" s="20"/>
      <c r="C7691" s="20"/>
      <c r="D7691" s="20"/>
      <c r="E7691" s="20"/>
      <c r="F7691" s="20"/>
      <c r="G7691" s="21"/>
    </row>
    <row r="7692" spans="1:7" x14ac:dyDescent="0.2">
      <c r="A7692" s="16"/>
      <c r="B7692" s="17"/>
      <c r="C7692" s="17"/>
      <c r="D7692" s="17"/>
      <c r="E7692" s="17"/>
      <c r="F7692" s="17"/>
      <c r="G7692" s="18"/>
    </row>
    <row r="7693" spans="1:7" x14ac:dyDescent="0.2">
      <c r="A7693" s="19"/>
      <c r="B7693" s="20"/>
      <c r="C7693" s="20"/>
      <c r="D7693" s="20"/>
      <c r="E7693" s="20"/>
      <c r="F7693" s="20"/>
      <c r="G7693" s="21"/>
    </row>
    <row r="7694" spans="1:7" x14ac:dyDescent="0.2">
      <c r="A7694" s="16"/>
      <c r="B7694" s="17"/>
      <c r="C7694" s="17"/>
      <c r="D7694" s="17"/>
      <c r="E7694" s="17"/>
      <c r="F7694" s="17"/>
      <c r="G7694" s="18"/>
    </row>
    <row r="7695" spans="1:7" x14ac:dyDescent="0.2">
      <c r="A7695" s="19"/>
      <c r="B7695" s="20"/>
      <c r="C7695" s="20"/>
      <c r="D7695" s="20"/>
      <c r="E7695" s="20"/>
      <c r="F7695" s="20"/>
      <c r="G7695" s="21"/>
    </row>
    <row r="7696" spans="1:7" x14ac:dyDescent="0.2">
      <c r="A7696" s="16"/>
      <c r="B7696" s="17"/>
      <c r="C7696" s="17"/>
      <c r="D7696" s="17"/>
      <c r="E7696" s="17"/>
      <c r="F7696" s="17"/>
      <c r="G7696" s="18"/>
    </row>
    <row r="7697" spans="1:7" x14ac:dyDescent="0.2">
      <c r="A7697" s="19"/>
      <c r="B7697" s="20"/>
      <c r="C7697" s="20"/>
      <c r="D7697" s="20"/>
      <c r="E7697" s="20"/>
      <c r="F7697" s="20"/>
      <c r="G7697" s="21"/>
    </row>
    <row r="7698" spans="1:7" x14ac:dyDescent="0.2">
      <c r="A7698" s="16"/>
      <c r="B7698" s="17"/>
      <c r="C7698" s="17"/>
      <c r="D7698" s="17"/>
      <c r="E7698" s="17"/>
      <c r="F7698" s="17"/>
      <c r="G7698" s="18"/>
    </row>
    <row r="7699" spans="1:7" x14ac:dyDescent="0.2">
      <c r="A7699" s="19"/>
      <c r="B7699" s="20"/>
      <c r="C7699" s="20"/>
      <c r="D7699" s="20"/>
      <c r="E7699" s="20"/>
      <c r="F7699" s="20"/>
      <c r="G7699" s="21"/>
    </row>
    <row r="7700" spans="1:7" x14ac:dyDescent="0.2">
      <c r="A7700" s="16"/>
      <c r="B7700" s="17"/>
      <c r="C7700" s="17"/>
      <c r="D7700" s="17"/>
      <c r="E7700" s="17"/>
      <c r="F7700" s="17"/>
      <c r="G7700" s="18"/>
    </row>
    <row r="7701" spans="1:7" x14ac:dyDescent="0.2">
      <c r="A7701" s="19"/>
      <c r="B7701" s="20"/>
      <c r="C7701" s="20"/>
      <c r="D7701" s="20"/>
      <c r="E7701" s="20"/>
      <c r="F7701" s="20"/>
      <c r="G7701" s="21"/>
    </row>
    <row r="7702" spans="1:7" x14ac:dyDescent="0.2">
      <c r="A7702" s="16"/>
      <c r="B7702" s="17"/>
      <c r="C7702" s="17"/>
      <c r="D7702" s="17"/>
      <c r="E7702" s="17"/>
      <c r="F7702" s="17"/>
      <c r="G7702" s="18"/>
    </row>
    <row r="7703" spans="1:7" x14ac:dyDescent="0.2">
      <c r="A7703" s="19"/>
      <c r="B7703" s="20"/>
      <c r="C7703" s="20"/>
      <c r="D7703" s="20"/>
      <c r="E7703" s="20"/>
      <c r="F7703" s="20"/>
      <c r="G7703" s="21"/>
    </row>
    <row r="7704" spans="1:7" x14ac:dyDescent="0.2">
      <c r="A7704" s="16"/>
      <c r="B7704" s="17"/>
      <c r="C7704" s="17"/>
      <c r="D7704" s="17"/>
      <c r="E7704" s="17"/>
      <c r="F7704" s="17"/>
      <c r="G7704" s="18"/>
    </row>
    <row r="7705" spans="1:7" x14ac:dyDescent="0.2">
      <c r="A7705" s="19"/>
      <c r="B7705" s="20"/>
      <c r="C7705" s="20"/>
      <c r="D7705" s="20"/>
      <c r="E7705" s="20"/>
      <c r="F7705" s="20"/>
      <c r="G7705" s="21"/>
    </row>
    <row r="7706" spans="1:7" x14ac:dyDescent="0.2">
      <c r="A7706" s="16"/>
      <c r="B7706" s="17"/>
      <c r="C7706" s="17"/>
      <c r="D7706" s="17"/>
      <c r="E7706" s="17"/>
      <c r="F7706" s="17"/>
      <c r="G7706" s="18"/>
    </row>
    <row r="7707" spans="1:7" x14ac:dyDescent="0.2">
      <c r="A7707" s="19"/>
      <c r="B7707" s="20"/>
      <c r="C7707" s="20"/>
      <c r="D7707" s="20"/>
      <c r="E7707" s="20"/>
      <c r="F7707" s="20"/>
      <c r="G7707" s="21"/>
    </row>
    <row r="7708" spans="1:7" x14ac:dyDescent="0.2">
      <c r="A7708" s="16"/>
      <c r="B7708" s="17"/>
      <c r="C7708" s="17"/>
      <c r="D7708" s="17"/>
      <c r="E7708" s="17"/>
      <c r="F7708" s="17"/>
      <c r="G7708" s="18"/>
    </row>
    <row r="7709" spans="1:7" x14ac:dyDescent="0.2">
      <c r="A7709" s="19"/>
      <c r="B7709" s="20"/>
      <c r="C7709" s="20"/>
      <c r="D7709" s="20"/>
      <c r="E7709" s="20"/>
      <c r="F7709" s="20"/>
      <c r="G7709" s="21"/>
    </row>
    <row r="7710" spans="1:7" x14ac:dyDescent="0.2">
      <c r="A7710" s="16"/>
      <c r="B7710" s="17"/>
      <c r="C7710" s="17"/>
      <c r="D7710" s="17"/>
      <c r="E7710" s="17"/>
      <c r="F7710" s="17"/>
      <c r="G7710" s="18"/>
    </row>
    <row r="7711" spans="1:7" x14ac:dyDescent="0.2">
      <c r="A7711" s="19"/>
      <c r="B7711" s="20"/>
      <c r="C7711" s="20"/>
      <c r="D7711" s="20"/>
      <c r="E7711" s="20"/>
      <c r="F7711" s="20"/>
      <c r="G7711" s="21"/>
    </row>
    <row r="7712" spans="1:7" x14ac:dyDescent="0.2">
      <c r="A7712" s="16"/>
      <c r="B7712" s="17"/>
      <c r="C7712" s="17"/>
      <c r="D7712" s="17"/>
      <c r="E7712" s="17"/>
      <c r="F7712" s="17"/>
      <c r="G7712" s="18"/>
    </row>
    <row r="7713" spans="1:7" x14ac:dyDescent="0.2">
      <c r="A7713" s="19"/>
      <c r="B7713" s="20"/>
      <c r="C7713" s="20"/>
      <c r="D7713" s="20"/>
      <c r="E7713" s="20"/>
      <c r="F7713" s="20"/>
      <c r="G7713" s="21"/>
    </row>
    <row r="7714" spans="1:7" x14ac:dyDescent="0.2">
      <c r="A7714" s="16"/>
      <c r="B7714" s="17"/>
      <c r="C7714" s="17"/>
      <c r="D7714" s="17"/>
      <c r="E7714" s="17"/>
      <c r="F7714" s="17"/>
      <c r="G7714" s="18"/>
    </row>
    <row r="7715" spans="1:7" x14ac:dyDescent="0.2">
      <c r="A7715" s="19"/>
      <c r="B7715" s="20"/>
      <c r="C7715" s="20"/>
      <c r="D7715" s="20"/>
      <c r="E7715" s="20"/>
      <c r="F7715" s="20"/>
      <c r="G7715" s="21"/>
    </row>
    <row r="7716" spans="1:7" x14ac:dyDescent="0.2">
      <c r="A7716" s="16"/>
      <c r="B7716" s="17"/>
      <c r="C7716" s="17"/>
      <c r="D7716" s="17"/>
      <c r="E7716" s="17"/>
      <c r="F7716" s="17"/>
      <c r="G7716" s="18"/>
    </row>
    <row r="7717" spans="1:7" x14ac:dyDescent="0.2">
      <c r="A7717" s="19"/>
      <c r="B7717" s="20"/>
      <c r="C7717" s="20"/>
      <c r="D7717" s="20"/>
      <c r="E7717" s="20"/>
      <c r="F7717" s="20"/>
      <c r="G7717" s="21"/>
    </row>
    <row r="7718" spans="1:7" x14ac:dyDescent="0.2">
      <c r="A7718" s="16"/>
      <c r="B7718" s="17"/>
      <c r="C7718" s="17"/>
      <c r="D7718" s="17"/>
      <c r="E7718" s="17"/>
      <c r="F7718" s="17"/>
      <c r="G7718" s="18"/>
    </row>
    <row r="7719" spans="1:7" x14ac:dyDescent="0.2">
      <c r="A7719" s="19"/>
      <c r="B7719" s="20"/>
      <c r="C7719" s="20"/>
      <c r="D7719" s="20"/>
      <c r="E7719" s="20"/>
      <c r="F7719" s="20"/>
      <c r="G7719" s="21"/>
    </row>
    <row r="7720" spans="1:7" x14ac:dyDescent="0.2">
      <c r="A7720" s="16"/>
      <c r="B7720" s="17"/>
      <c r="C7720" s="17"/>
      <c r="D7720" s="17"/>
      <c r="E7720" s="17"/>
      <c r="F7720" s="17"/>
      <c r="G7720" s="18"/>
    </row>
    <row r="7721" spans="1:7" x14ac:dyDescent="0.2">
      <c r="A7721" s="19"/>
      <c r="B7721" s="20"/>
      <c r="C7721" s="20"/>
      <c r="D7721" s="20"/>
      <c r="E7721" s="20"/>
      <c r="F7721" s="20"/>
      <c r="G7721" s="21"/>
    </row>
    <row r="7722" spans="1:7" x14ac:dyDescent="0.2">
      <c r="A7722" s="16"/>
      <c r="B7722" s="17"/>
      <c r="C7722" s="17"/>
      <c r="D7722" s="17"/>
      <c r="E7722" s="17"/>
      <c r="F7722" s="17"/>
      <c r="G7722" s="18"/>
    </row>
    <row r="7723" spans="1:7" x14ac:dyDescent="0.2">
      <c r="A7723" s="19"/>
      <c r="B7723" s="20"/>
      <c r="C7723" s="20"/>
      <c r="D7723" s="20"/>
      <c r="E7723" s="20"/>
      <c r="F7723" s="20"/>
      <c r="G7723" s="21"/>
    </row>
    <row r="7724" spans="1:7" x14ac:dyDescent="0.2">
      <c r="A7724" s="16"/>
      <c r="B7724" s="17"/>
      <c r="C7724" s="17"/>
      <c r="D7724" s="17"/>
      <c r="E7724" s="17"/>
      <c r="F7724" s="17"/>
      <c r="G7724" s="18"/>
    </row>
    <row r="7725" spans="1:7" x14ac:dyDescent="0.2">
      <c r="A7725" s="19"/>
      <c r="B7725" s="20"/>
      <c r="C7725" s="20"/>
      <c r="D7725" s="20"/>
      <c r="E7725" s="20"/>
      <c r="F7725" s="20"/>
      <c r="G7725" s="21"/>
    </row>
    <row r="7726" spans="1:7" x14ac:dyDescent="0.2">
      <c r="A7726" s="16"/>
      <c r="B7726" s="17"/>
      <c r="C7726" s="17"/>
      <c r="D7726" s="17"/>
      <c r="E7726" s="17"/>
      <c r="F7726" s="17"/>
      <c r="G7726" s="18"/>
    </row>
    <row r="7727" spans="1:7" x14ac:dyDescent="0.2">
      <c r="A7727" s="19"/>
      <c r="B7727" s="20"/>
      <c r="C7727" s="20"/>
      <c r="D7727" s="20"/>
      <c r="E7727" s="20"/>
      <c r="F7727" s="20"/>
      <c r="G7727" s="21"/>
    </row>
    <row r="7728" spans="1:7" x14ac:dyDescent="0.2">
      <c r="A7728" s="16"/>
      <c r="B7728" s="17"/>
      <c r="C7728" s="17"/>
      <c r="D7728" s="17"/>
      <c r="E7728" s="17"/>
      <c r="F7728" s="17"/>
      <c r="G7728" s="18"/>
    </row>
    <row r="7729" spans="1:7" x14ac:dyDescent="0.2">
      <c r="A7729" s="19"/>
      <c r="B7729" s="20"/>
      <c r="C7729" s="20"/>
      <c r="D7729" s="20"/>
      <c r="E7729" s="20"/>
      <c r="F7729" s="20"/>
      <c r="G7729" s="21"/>
    </row>
    <row r="7730" spans="1:7" x14ac:dyDescent="0.2">
      <c r="A7730" s="16"/>
      <c r="B7730" s="17"/>
      <c r="C7730" s="17"/>
      <c r="D7730" s="17"/>
      <c r="E7730" s="17"/>
      <c r="F7730" s="17"/>
      <c r="G7730" s="18"/>
    </row>
    <row r="7731" spans="1:7" x14ac:dyDescent="0.2">
      <c r="A7731" s="19"/>
      <c r="B7731" s="20"/>
      <c r="C7731" s="20"/>
      <c r="D7731" s="20"/>
      <c r="E7731" s="20"/>
      <c r="F7731" s="20"/>
      <c r="G7731" s="21"/>
    </row>
    <row r="7732" spans="1:7" x14ac:dyDescent="0.2">
      <c r="A7732" s="16"/>
      <c r="B7732" s="17"/>
      <c r="C7732" s="17"/>
      <c r="D7732" s="17"/>
      <c r="E7732" s="17"/>
      <c r="F7732" s="17"/>
      <c r="G7732" s="18"/>
    </row>
    <row r="7733" spans="1:7" x14ac:dyDescent="0.2">
      <c r="A7733" s="19"/>
      <c r="B7733" s="20"/>
      <c r="C7733" s="20"/>
      <c r="D7733" s="20"/>
      <c r="E7733" s="20"/>
      <c r="F7733" s="20"/>
      <c r="G7733" s="21"/>
    </row>
    <row r="7734" spans="1:7" x14ac:dyDescent="0.2">
      <c r="A7734" s="16"/>
      <c r="B7734" s="17"/>
      <c r="C7734" s="17"/>
      <c r="D7734" s="17"/>
      <c r="E7734" s="17"/>
      <c r="F7734" s="17"/>
      <c r="G7734" s="18"/>
    </row>
    <row r="7735" spans="1:7" x14ac:dyDescent="0.2">
      <c r="A7735" s="19"/>
      <c r="B7735" s="20"/>
      <c r="C7735" s="20"/>
      <c r="D7735" s="20"/>
      <c r="E7735" s="20"/>
      <c r="F7735" s="20"/>
      <c r="G7735" s="21"/>
    </row>
    <row r="7736" spans="1:7" x14ac:dyDescent="0.2">
      <c r="A7736" s="16"/>
      <c r="B7736" s="17"/>
      <c r="C7736" s="17"/>
      <c r="D7736" s="17"/>
      <c r="E7736" s="17"/>
      <c r="F7736" s="17"/>
      <c r="G7736" s="18"/>
    </row>
    <row r="7737" spans="1:7" x14ac:dyDescent="0.2">
      <c r="A7737" s="19"/>
      <c r="B7737" s="20"/>
      <c r="C7737" s="20"/>
      <c r="D7737" s="20"/>
      <c r="E7737" s="20"/>
      <c r="F7737" s="20"/>
      <c r="G7737" s="21"/>
    </row>
    <row r="7738" spans="1:7" x14ac:dyDescent="0.2">
      <c r="A7738" s="16"/>
      <c r="B7738" s="17"/>
      <c r="C7738" s="17"/>
      <c r="D7738" s="17"/>
      <c r="E7738" s="17"/>
      <c r="F7738" s="17"/>
      <c r="G7738" s="18"/>
    </row>
    <row r="7739" spans="1:7" x14ac:dyDescent="0.2">
      <c r="A7739" s="19"/>
      <c r="B7739" s="20"/>
      <c r="C7739" s="20"/>
      <c r="D7739" s="20"/>
      <c r="E7739" s="20"/>
      <c r="F7739" s="20"/>
      <c r="G7739" s="21"/>
    </row>
    <row r="7740" spans="1:7" x14ac:dyDescent="0.2">
      <c r="A7740" s="16"/>
      <c r="B7740" s="17"/>
      <c r="C7740" s="17"/>
      <c r="D7740" s="17"/>
      <c r="E7740" s="17"/>
      <c r="F7740" s="17"/>
      <c r="G7740" s="18"/>
    </row>
    <row r="7741" spans="1:7" x14ac:dyDescent="0.2">
      <c r="A7741" s="19"/>
      <c r="B7741" s="20"/>
      <c r="C7741" s="20"/>
      <c r="D7741" s="20"/>
      <c r="E7741" s="20"/>
      <c r="F7741" s="20"/>
      <c r="G7741" s="21"/>
    </row>
    <row r="7742" spans="1:7" x14ac:dyDescent="0.2">
      <c r="A7742" s="16"/>
      <c r="B7742" s="17"/>
      <c r="C7742" s="17"/>
      <c r="D7742" s="17"/>
      <c r="E7742" s="17"/>
      <c r="F7742" s="17"/>
      <c r="G7742" s="18"/>
    </row>
    <row r="7743" spans="1:7" x14ac:dyDescent="0.2">
      <c r="A7743" s="19"/>
      <c r="B7743" s="20"/>
      <c r="C7743" s="20"/>
      <c r="D7743" s="20"/>
      <c r="E7743" s="20"/>
      <c r="F7743" s="20"/>
      <c r="G7743" s="21"/>
    </row>
    <row r="7744" spans="1:7" x14ac:dyDescent="0.2">
      <c r="A7744" s="16"/>
      <c r="B7744" s="17"/>
      <c r="C7744" s="17"/>
      <c r="D7744" s="17"/>
      <c r="E7744" s="17"/>
      <c r="F7744" s="17"/>
      <c r="G7744" s="18"/>
    </row>
    <row r="7745" spans="1:7" x14ac:dyDescent="0.2">
      <c r="A7745" s="19"/>
      <c r="B7745" s="20"/>
      <c r="C7745" s="20"/>
      <c r="D7745" s="20"/>
      <c r="E7745" s="20"/>
      <c r="F7745" s="20"/>
      <c r="G7745" s="21"/>
    </row>
    <row r="7746" spans="1:7" x14ac:dyDescent="0.2">
      <c r="A7746" s="16"/>
      <c r="B7746" s="17"/>
      <c r="C7746" s="17"/>
      <c r="D7746" s="17"/>
      <c r="E7746" s="17"/>
      <c r="F7746" s="17"/>
      <c r="G7746" s="18"/>
    </row>
    <row r="7747" spans="1:7" x14ac:dyDescent="0.2">
      <c r="A7747" s="19"/>
      <c r="B7747" s="20"/>
      <c r="C7747" s="20"/>
      <c r="D7747" s="20"/>
      <c r="E7747" s="20"/>
      <c r="F7747" s="20"/>
      <c r="G7747" s="21"/>
    </row>
    <row r="7748" spans="1:7" x14ac:dyDescent="0.2">
      <c r="A7748" s="16"/>
      <c r="B7748" s="17"/>
      <c r="C7748" s="17"/>
      <c r="D7748" s="17"/>
      <c r="E7748" s="17"/>
      <c r="F7748" s="17"/>
      <c r="G7748" s="18"/>
    </row>
    <row r="7749" spans="1:7" x14ac:dyDescent="0.2">
      <c r="A7749" s="19"/>
      <c r="B7749" s="20"/>
      <c r="C7749" s="20"/>
      <c r="D7749" s="20"/>
      <c r="E7749" s="20"/>
      <c r="F7749" s="20"/>
      <c r="G7749" s="21"/>
    </row>
    <row r="7750" spans="1:7" x14ac:dyDescent="0.2">
      <c r="A7750" s="16"/>
      <c r="B7750" s="17"/>
      <c r="C7750" s="17"/>
      <c r="D7750" s="17"/>
      <c r="E7750" s="17"/>
      <c r="F7750" s="17"/>
      <c r="G7750" s="18"/>
    </row>
    <row r="7751" spans="1:7" x14ac:dyDescent="0.2">
      <c r="A7751" s="19"/>
      <c r="B7751" s="20"/>
      <c r="C7751" s="20"/>
      <c r="D7751" s="20"/>
      <c r="E7751" s="20"/>
      <c r="F7751" s="20"/>
      <c r="G7751" s="21"/>
    </row>
    <row r="7752" spans="1:7" x14ac:dyDescent="0.2">
      <c r="A7752" s="16"/>
      <c r="B7752" s="17"/>
      <c r="C7752" s="17"/>
      <c r="D7752" s="17"/>
      <c r="E7752" s="17"/>
      <c r="F7752" s="17"/>
      <c r="G7752" s="18"/>
    </row>
    <row r="7753" spans="1:7" x14ac:dyDescent="0.2">
      <c r="A7753" s="19"/>
      <c r="B7753" s="20"/>
      <c r="C7753" s="20"/>
      <c r="D7753" s="20"/>
      <c r="E7753" s="20"/>
      <c r="F7753" s="20"/>
      <c r="G7753" s="21"/>
    </row>
    <row r="7754" spans="1:7" x14ac:dyDescent="0.2">
      <c r="A7754" s="16"/>
      <c r="B7754" s="17"/>
      <c r="C7754" s="17"/>
      <c r="D7754" s="17"/>
      <c r="E7754" s="17"/>
      <c r="F7754" s="17"/>
      <c r="G7754" s="18"/>
    </row>
    <row r="7755" spans="1:7" x14ac:dyDescent="0.2">
      <c r="A7755" s="19"/>
      <c r="B7755" s="20"/>
      <c r="C7755" s="20"/>
      <c r="D7755" s="20"/>
      <c r="E7755" s="20"/>
      <c r="F7755" s="20"/>
      <c r="G7755" s="21"/>
    </row>
    <row r="7756" spans="1:7" x14ac:dyDescent="0.2">
      <c r="A7756" s="16"/>
      <c r="B7756" s="17"/>
      <c r="C7756" s="17"/>
      <c r="D7756" s="17"/>
      <c r="E7756" s="17"/>
      <c r="F7756" s="17"/>
      <c r="G7756" s="18"/>
    </row>
    <row r="7757" spans="1:7" x14ac:dyDescent="0.2">
      <c r="A7757" s="19"/>
      <c r="B7757" s="20"/>
      <c r="C7757" s="20"/>
      <c r="D7757" s="20"/>
      <c r="E7757" s="20"/>
      <c r="F7757" s="20"/>
      <c r="G7757" s="21"/>
    </row>
    <row r="7758" spans="1:7" x14ac:dyDescent="0.2">
      <c r="A7758" s="16"/>
      <c r="B7758" s="17"/>
      <c r="C7758" s="17"/>
      <c r="D7758" s="17"/>
      <c r="E7758" s="17"/>
      <c r="F7758" s="17"/>
      <c r="G7758" s="18"/>
    </row>
    <row r="7759" spans="1:7" x14ac:dyDescent="0.2">
      <c r="A7759" s="19"/>
      <c r="B7759" s="20"/>
      <c r="C7759" s="20"/>
      <c r="D7759" s="20"/>
      <c r="E7759" s="20"/>
      <c r="F7759" s="20"/>
      <c r="G7759" s="21"/>
    </row>
    <row r="7760" spans="1:7" x14ac:dyDescent="0.2">
      <c r="A7760" s="16"/>
      <c r="B7760" s="17"/>
      <c r="C7760" s="17"/>
      <c r="D7760" s="17"/>
      <c r="E7760" s="17"/>
      <c r="F7760" s="17"/>
      <c r="G7760" s="18"/>
    </row>
    <row r="7761" spans="1:7" x14ac:dyDescent="0.2">
      <c r="A7761" s="19"/>
      <c r="B7761" s="20"/>
      <c r="C7761" s="20"/>
      <c r="D7761" s="20"/>
      <c r="E7761" s="20"/>
      <c r="F7761" s="20"/>
      <c r="G7761" s="21"/>
    </row>
    <row r="7762" spans="1:7" x14ac:dyDescent="0.2">
      <c r="A7762" s="16"/>
      <c r="B7762" s="17"/>
      <c r="C7762" s="17"/>
      <c r="D7762" s="17"/>
      <c r="E7762" s="17"/>
      <c r="F7762" s="17"/>
      <c r="G7762" s="18"/>
    </row>
    <row r="7763" spans="1:7" x14ac:dyDescent="0.2">
      <c r="A7763" s="19"/>
      <c r="B7763" s="20"/>
      <c r="C7763" s="20"/>
      <c r="D7763" s="20"/>
      <c r="E7763" s="20"/>
      <c r="F7763" s="20"/>
      <c r="G7763" s="21"/>
    </row>
    <row r="7764" spans="1:7" x14ac:dyDescent="0.2">
      <c r="A7764" s="16"/>
      <c r="B7764" s="17"/>
      <c r="C7764" s="17"/>
      <c r="D7764" s="17"/>
      <c r="E7764" s="17"/>
      <c r="F7764" s="17"/>
      <c r="G7764" s="18"/>
    </row>
    <row r="7765" spans="1:7" x14ac:dyDescent="0.2">
      <c r="A7765" s="19"/>
      <c r="B7765" s="20"/>
      <c r="C7765" s="20"/>
      <c r="D7765" s="20"/>
      <c r="E7765" s="20"/>
      <c r="F7765" s="20"/>
      <c r="G7765" s="21"/>
    </row>
    <row r="7766" spans="1:7" x14ac:dyDescent="0.2">
      <c r="A7766" s="16"/>
      <c r="B7766" s="17"/>
      <c r="C7766" s="17"/>
      <c r="D7766" s="17"/>
      <c r="E7766" s="17"/>
      <c r="F7766" s="17"/>
      <c r="G7766" s="18"/>
    </row>
    <row r="7767" spans="1:7" x14ac:dyDescent="0.2">
      <c r="A7767" s="19"/>
      <c r="B7767" s="20"/>
      <c r="C7767" s="20"/>
      <c r="D7767" s="20"/>
      <c r="E7767" s="20"/>
      <c r="F7767" s="20"/>
      <c r="G7767" s="21"/>
    </row>
    <row r="7768" spans="1:7" x14ac:dyDescent="0.2">
      <c r="A7768" s="16"/>
      <c r="B7768" s="17"/>
      <c r="C7768" s="17"/>
      <c r="D7768" s="17"/>
      <c r="E7768" s="17"/>
      <c r="F7768" s="17"/>
      <c r="G7768" s="18"/>
    </row>
    <row r="7769" spans="1:7" x14ac:dyDescent="0.2">
      <c r="A7769" s="19"/>
      <c r="B7769" s="20"/>
      <c r="C7769" s="20"/>
      <c r="D7769" s="20"/>
      <c r="E7769" s="20"/>
      <c r="F7769" s="20"/>
      <c r="G7769" s="21"/>
    </row>
    <row r="7770" spans="1:7" x14ac:dyDescent="0.2">
      <c r="A7770" s="16"/>
      <c r="B7770" s="17"/>
      <c r="C7770" s="17"/>
      <c r="D7770" s="17"/>
      <c r="E7770" s="17"/>
      <c r="F7770" s="17"/>
      <c r="G7770" s="18"/>
    </row>
    <row r="7771" spans="1:7" x14ac:dyDescent="0.2">
      <c r="A7771" s="19"/>
      <c r="B7771" s="20"/>
      <c r="C7771" s="20"/>
      <c r="D7771" s="20"/>
      <c r="E7771" s="20"/>
      <c r="F7771" s="20"/>
      <c r="G7771" s="21"/>
    </row>
    <row r="7772" spans="1:7" x14ac:dyDescent="0.2">
      <c r="A7772" s="16"/>
      <c r="B7772" s="17"/>
      <c r="C7772" s="17"/>
      <c r="D7772" s="17"/>
      <c r="E7772" s="17"/>
      <c r="F7772" s="17"/>
      <c r="G7772" s="18"/>
    </row>
    <row r="7773" spans="1:7" x14ac:dyDescent="0.2">
      <c r="A7773" s="19"/>
      <c r="B7773" s="20"/>
      <c r="C7773" s="20"/>
      <c r="D7773" s="20"/>
      <c r="E7773" s="20"/>
      <c r="F7773" s="20"/>
      <c r="G7773" s="21"/>
    </row>
    <row r="7774" spans="1:7" x14ac:dyDescent="0.2">
      <c r="A7774" s="16"/>
      <c r="B7774" s="17"/>
      <c r="C7774" s="17"/>
      <c r="D7774" s="17"/>
      <c r="E7774" s="17"/>
      <c r="F7774" s="17"/>
      <c r="G7774" s="18"/>
    </row>
    <row r="7775" spans="1:7" x14ac:dyDescent="0.2">
      <c r="A7775" s="19"/>
      <c r="B7775" s="20"/>
      <c r="C7775" s="20"/>
      <c r="D7775" s="20"/>
      <c r="E7775" s="20"/>
      <c r="F7775" s="20"/>
      <c r="G7775" s="21"/>
    </row>
    <row r="7776" spans="1:7" x14ac:dyDescent="0.2">
      <c r="A7776" s="16"/>
      <c r="B7776" s="17"/>
      <c r="C7776" s="17"/>
      <c r="D7776" s="17"/>
      <c r="E7776" s="17"/>
      <c r="F7776" s="17"/>
      <c r="G7776" s="18"/>
    </row>
    <row r="7777" spans="1:7" x14ac:dyDescent="0.2">
      <c r="A7777" s="19"/>
      <c r="B7777" s="20"/>
      <c r="C7777" s="20"/>
      <c r="D7777" s="20"/>
      <c r="E7777" s="20"/>
      <c r="F7777" s="20"/>
      <c r="G7777" s="21"/>
    </row>
    <row r="7778" spans="1:7" x14ac:dyDescent="0.2">
      <c r="A7778" s="16"/>
      <c r="B7778" s="17"/>
      <c r="C7778" s="17"/>
      <c r="D7778" s="17"/>
      <c r="E7778" s="17"/>
      <c r="F7778" s="17"/>
      <c r="G7778" s="18"/>
    </row>
    <row r="7779" spans="1:7" x14ac:dyDescent="0.2">
      <c r="A7779" s="19"/>
      <c r="B7779" s="20"/>
      <c r="C7779" s="20"/>
      <c r="D7779" s="20"/>
      <c r="E7779" s="20"/>
      <c r="F7779" s="20"/>
      <c r="G7779" s="21"/>
    </row>
    <row r="7780" spans="1:7" x14ac:dyDescent="0.2">
      <c r="A7780" s="16"/>
      <c r="B7780" s="17"/>
      <c r="C7780" s="17"/>
      <c r="D7780" s="17"/>
      <c r="E7780" s="17"/>
      <c r="F7780" s="17"/>
      <c r="G7780" s="18"/>
    </row>
    <row r="7781" spans="1:7" x14ac:dyDescent="0.2">
      <c r="A7781" s="19"/>
      <c r="B7781" s="20"/>
      <c r="C7781" s="20"/>
      <c r="D7781" s="20"/>
      <c r="E7781" s="20"/>
      <c r="F7781" s="20"/>
      <c r="G7781" s="21"/>
    </row>
    <row r="7782" spans="1:7" x14ac:dyDescent="0.2">
      <c r="A7782" s="16"/>
      <c r="B7782" s="17"/>
      <c r="C7782" s="17"/>
      <c r="D7782" s="17"/>
      <c r="E7782" s="17"/>
      <c r="F7782" s="17"/>
      <c r="G7782" s="18"/>
    </row>
    <row r="7783" spans="1:7" x14ac:dyDescent="0.2">
      <c r="A7783" s="19"/>
      <c r="B7783" s="20"/>
      <c r="C7783" s="20"/>
      <c r="D7783" s="20"/>
      <c r="E7783" s="20"/>
      <c r="F7783" s="20"/>
      <c r="G7783" s="21"/>
    </row>
    <row r="7784" spans="1:7" x14ac:dyDescent="0.2">
      <c r="A7784" s="16"/>
      <c r="B7784" s="17"/>
      <c r="C7784" s="17"/>
      <c r="D7784" s="17"/>
      <c r="E7784" s="17"/>
      <c r="F7784" s="17"/>
      <c r="G7784" s="18"/>
    </row>
    <row r="7785" spans="1:7" x14ac:dyDescent="0.2">
      <c r="A7785" s="19"/>
      <c r="B7785" s="20"/>
      <c r="C7785" s="20"/>
      <c r="D7785" s="20"/>
      <c r="E7785" s="20"/>
      <c r="F7785" s="20"/>
      <c r="G7785" s="21"/>
    </row>
    <row r="7786" spans="1:7" x14ac:dyDescent="0.2">
      <c r="A7786" s="16"/>
      <c r="B7786" s="17"/>
      <c r="C7786" s="17"/>
      <c r="D7786" s="17"/>
      <c r="E7786" s="17"/>
      <c r="F7786" s="17"/>
      <c r="G7786" s="18"/>
    </row>
    <row r="7787" spans="1:7" x14ac:dyDescent="0.2">
      <c r="A7787" s="19"/>
      <c r="B7787" s="20"/>
      <c r="C7787" s="20"/>
      <c r="D7787" s="20"/>
      <c r="E7787" s="20"/>
      <c r="F7787" s="20"/>
      <c r="G7787" s="21"/>
    </row>
    <row r="7788" spans="1:7" x14ac:dyDescent="0.2">
      <c r="A7788" s="16"/>
      <c r="B7788" s="17"/>
      <c r="C7788" s="17"/>
      <c r="D7788" s="17"/>
      <c r="E7788" s="17"/>
      <c r="F7788" s="17"/>
      <c r="G7788" s="18"/>
    </row>
    <row r="7789" spans="1:7" x14ac:dyDescent="0.2">
      <c r="A7789" s="19"/>
      <c r="B7789" s="20"/>
      <c r="C7789" s="20"/>
      <c r="D7789" s="20"/>
      <c r="E7789" s="20"/>
      <c r="F7789" s="20"/>
      <c r="G7789" s="21"/>
    </row>
    <row r="7790" spans="1:7" x14ac:dyDescent="0.2">
      <c r="A7790" s="16"/>
      <c r="B7790" s="17"/>
      <c r="C7790" s="17"/>
      <c r="D7790" s="17"/>
      <c r="E7790" s="17"/>
      <c r="F7790" s="17"/>
      <c r="G7790" s="18"/>
    </row>
    <row r="7791" spans="1:7" x14ac:dyDescent="0.2">
      <c r="A7791" s="19"/>
      <c r="B7791" s="20"/>
      <c r="C7791" s="20"/>
      <c r="D7791" s="20"/>
      <c r="E7791" s="20"/>
      <c r="F7791" s="20"/>
      <c r="G7791" s="21"/>
    </row>
    <row r="7792" spans="1:7" x14ac:dyDescent="0.2">
      <c r="A7792" s="16"/>
      <c r="B7792" s="17"/>
      <c r="C7792" s="17"/>
      <c r="D7792" s="17"/>
      <c r="E7792" s="17"/>
      <c r="F7792" s="17"/>
      <c r="G7792" s="18"/>
    </row>
    <row r="7793" spans="1:7" x14ac:dyDescent="0.2">
      <c r="A7793" s="19"/>
      <c r="B7793" s="20"/>
      <c r="C7793" s="20"/>
      <c r="D7793" s="20"/>
      <c r="E7793" s="20"/>
      <c r="F7793" s="20"/>
      <c r="G7793" s="21"/>
    </row>
    <row r="7794" spans="1:7" x14ac:dyDescent="0.2">
      <c r="A7794" s="16"/>
      <c r="B7794" s="17"/>
      <c r="C7794" s="17"/>
      <c r="D7794" s="17"/>
      <c r="E7794" s="17"/>
      <c r="F7794" s="17"/>
      <c r="G7794" s="18"/>
    </row>
    <row r="7795" spans="1:7" x14ac:dyDescent="0.2">
      <c r="A7795" s="19"/>
      <c r="B7795" s="20"/>
      <c r="C7795" s="20"/>
      <c r="D7795" s="20"/>
      <c r="E7795" s="20"/>
      <c r="F7795" s="20"/>
      <c r="G7795" s="21"/>
    </row>
    <row r="7796" spans="1:7" x14ac:dyDescent="0.2">
      <c r="A7796" s="16"/>
      <c r="B7796" s="17"/>
      <c r="C7796" s="17"/>
      <c r="D7796" s="17"/>
      <c r="E7796" s="17"/>
      <c r="F7796" s="17"/>
      <c r="G7796" s="18"/>
    </row>
    <row r="7797" spans="1:7" x14ac:dyDescent="0.2">
      <c r="A7797" s="19"/>
      <c r="B7797" s="20"/>
      <c r="C7797" s="20"/>
      <c r="D7797" s="20"/>
      <c r="E7797" s="20"/>
      <c r="F7797" s="20"/>
      <c r="G7797" s="21"/>
    </row>
    <row r="7798" spans="1:7" x14ac:dyDescent="0.2">
      <c r="A7798" s="16"/>
      <c r="B7798" s="17"/>
      <c r="C7798" s="17"/>
      <c r="D7798" s="17"/>
      <c r="E7798" s="17"/>
      <c r="F7798" s="17"/>
      <c r="G7798" s="18"/>
    </row>
    <row r="7799" spans="1:7" x14ac:dyDescent="0.2">
      <c r="A7799" s="19"/>
      <c r="B7799" s="20"/>
      <c r="C7799" s="20"/>
      <c r="D7799" s="20"/>
      <c r="E7799" s="20"/>
      <c r="F7799" s="20"/>
      <c r="G7799" s="21"/>
    </row>
    <row r="7800" spans="1:7" x14ac:dyDescent="0.2">
      <c r="A7800" s="16"/>
      <c r="B7800" s="17"/>
      <c r="C7800" s="17"/>
      <c r="D7800" s="17"/>
      <c r="E7800" s="17"/>
      <c r="F7800" s="17"/>
      <c r="G7800" s="18"/>
    </row>
    <row r="7801" spans="1:7" x14ac:dyDescent="0.2">
      <c r="A7801" s="19"/>
      <c r="B7801" s="20"/>
      <c r="C7801" s="20"/>
      <c r="D7801" s="20"/>
      <c r="E7801" s="20"/>
      <c r="F7801" s="20"/>
      <c r="G7801" s="21"/>
    </row>
    <row r="7802" spans="1:7" x14ac:dyDescent="0.2">
      <c r="A7802" s="16"/>
      <c r="B7802" s="17"/>
      <c r="C7802" s="17"/>
      <c r="D7802" s="17"/>
      <c r="E7802" s="17"/>
      <c r="F7802" s="17"/>
      <c r="G7802" s="18"/>
    </row>
    <row r="7803" spans="1:7" x14ac:dyDescent="0.2">
      <c r="A7803" s="19"/>
      <c r="B7803" s="20"/>
      <c r="C7803" s="20"/>
      <c r="D7803" s="20"/>
      <c r="E7803" s="20"/>
      <c r="F7803" s="20"/>
      <c r="G7803" s="21"/>
    </row>
    <row r="7804" spans="1:7" x14ac:dyDescent="0.2">
      <c r="A7804" s="16"/>
      <c r="B7804" s="17"/>
      <c r="C7804" s="17"/>
      <c r="D7804" s="17"/>
      <c r="E7804" s="17"/>
      <c r="F7804" s="17"/>
      <c r="G7804" s="18"/>
    </row>
    <row r="7805" spans="1:7" x14ac:dyDescent="0.2">
      <c r="A7805" s="19"/>
      <c r="B7805" s="20"/>
      <c r="C7805" s="20"/>
      <c r="D7805" s="20"/>
      <c r="E7805" s="20"/>
      <c r="F7805" s="20"/>
      <c r="G7805" s="21"/>
    </row>
    <row r="7806" spans="1:7" x14ac:dyDescent="0.2">
      <c r="A7806" s="16"/>
      <c r="B7806" s="17"/>
      <c r="C7806" s="17"/>
      <c r="D7806" s="17"/>
      <c r="E7806" s="17"/>
      <c r="F7806" s="17"/>
      <c r="G7806" s="18"/>
    </row>
    <row r="7807" spans="1:7" x14ac:dyDescent="0.2">
      <c r="A7807" s="19"/>
      <c r="B7807" s="20"/>
      <c r="C7807" s="20"/>
      <c r="D7807" s="20"/>
      <c r="E7807" s="20"/>
      <c r="F7807" s="20"/>
      <c r="G7807" s="21"/>
    </row>
    <row r="7808" spans="1:7" x14ac:dyDescent="0.2">
      <c r="A7808" s="16"/>
      <c r="B7808" s="17"/>
      <c r="C7808" s="17"/>
      <c r="D7808" s="17"/>
      <c r="E7808" s="17"/>
      <c r="F7808" s="17"/>
      <c r="G7808" s="18"/>
    </row>
    <row r="7809" spans="1:7" x14ac:dyDescent="0.2">
      <c r="A7809" s="19"/>
      <c r="B7809" s="20"/>
      <c r="C7809" s="20"/>
      <c r="D7809" s="20"/>
      <c r="E7809" s="20"/>
      <c r="F7809" s="20"/>
      <c r="G7809" s="21"/>
    </row>
    <row r="7810" spans="1:7" x14ac:dyDescent="0.2">
      <c r="A7810" s="16"/>
      <c r="B7810" s="17"/>
      <c r="C7810" s="17"/>
      <c r="D7810" s="17"/>
      <c r="E7810" s="17"/>
      <c r="F7810" s="17"/>
      <c r="G7810" s="18"/>
    </row>
    <row r="7811" spans="1:7" x14ac:dyDescent="0.2">
      <c r="A7811" s="19"/>
      <c r="B7811" s="20"/>
      <c r="C7811" s="20"/>
      <c r="D7811" s="20"/>
      <c r="E7811" s="20"/>
      <c r="F7811" s="20"/>
      <c r="G7811" s="21"/>
    </row>
    <row r="7812" spans="1:7" x14ac:dyDescent="0.2">
      <c r="A7812" s="16"/>
      <c r="B7812" s="17"/>
      <c r="C7812" s="17"/>
      <c r="D7812" s="17"/>
      <c r="E7812" s="17"/>
      <c r="F7812" s="17"/>
      <c r="G7812" s="18"/>
    </row>
    <row r="7813" spans="1:7" x14ac:dyDescent="0.2">
      <c r="A7813" s="19"/>
      <c r="B7813" s="20"/>
      <c r="C7813" s="20"/>
      <c r="D7813" s="20"/>
      <c r="E7813" s="20"/>
      <c r="F7813" s="20"/>
      <c r="G7813" s="21"/>
    </row>
    <row r="7814" spans="1:7" x14ac:dyDescent="0.2">
      <c r="A7814" s="16"/>
      <c r="B7814" s="17"/>
      <c r="C7814" s="17"/>
      <c r="D7814" s="17"/>
      <c r="E7814" s="17"/>
      <c r="F7814" s="17"/>
      <c r="G7814" s="18"/>
    </row>
    <row r="7815" spans="1:7" x14ac:dyDescent="0.2">
      <c r="A7815" s="19"/>
      <c r="B7815" s="20"/>
      <c r="C7815" s="20"/>
      <c r="D7815" s="20"/>
      <c r="E7815" s="20"/>
      <c r="F7815" s="20"/>
      <c r="G7815" s="21"/>
    </row>
    <row r="7816" spans="1:7" x14ac:dyDescent="0.2">
      <c r="A7816" s="16"/>
      <c r="B7816" s="17"/>
      <c r="C7816" s="17"/>
      <c r="D7816" s="17"/>
      <c r="E7816" s="17"/>
      <c r="F7816" s="17"/>
      <c r="G7816" s="18"/>
    </row>
    <row r="7817" spans="1:7" x14ac:dyDescent="0.2">
      <c r="A7817" s="19"/>
      <c r="B7817" s="20"/>
      <c r="C7817" s="20"/>
      <c r="D7817" s="20"/>
      <c r="E7817" s="20"/>
      <c r="F7817" s="20"/>
      <c r="G7817" s="21"/>
    </row>
    <row r="7818" spans="1:7" x14ac:dyDescent="0.2">
      <c r="A7818" s="16"/>
      <c r="B7818" s="17"/>
      <c r="C7818" s="17"/>
      <c r="D7818" s="17"/>
      <c r="E7818" s="17"/>
      <c r="F7818" s="17"/>
      <c r="G7818" s="18"/>
    </row>
    <row r="7819" spans="1:7" x14ac:dyDescent="0.2">
      <c r="A7819" s="19"/>
      <c r="B7819" s="20"/>
      <c r="C7819" s="20"/>
      <c r="D7819" s="20"/>
      <c r="E7819" s="20"/>
      <c r="F7819" s="20"/>
      <c r="G7819" s="21"/>
    </row>
    <row r="7820" spans="1:7" x14ac:dyDescent="0.2">
      <c r="A7820" s="16"/>
      <c r="B7820" s="17"/>
      <c r="C7820" s="17"/>
      <c r="D7820" s="17"/>
      <c r="E7820" s="17"/>
      <c r="F7820" s="17"/>
      <c r="G7820" s="18"/>
    </row>
    <row r="7821" spans="1:7" x14ac:dyDescent="0.2">
      <c r="A7821" s="19"/>
      <c r="B7821" s="20"/>
      <c r="C7821" s="20"/>
      <c r="D7821" s="20"/>
      <c r="E7821" s="20"/>
      <c r="F7821" s="20"/>
      <c r="G7821" s="21"/>
    </row>
    <row r="7822" spans="1:7" x14ac:dyDescent="0.2">
      <c r="A7822" s="16"/>
      <c r="B7822" s="17"/>
      <c r="C7822" s="17"/>
      <c r="D7822" s="17"/>
      <c r="E7822" s="17"/>
      <c r="F7822" s="17"/>
      <c r="G7822" s="18"/>
    </row>
    <row r="7823" spans="1:7" x14ac:dyDescent="0.2">
      <c r="A7823" s="19"/>
      <c r="B7823" s="20"/>
      <c r="C7823" s="20"/>
      <c r="D7823" s="20"/>
      <c r="E7823" s="20"/>
      <c r="F7823" s="20"/>
      <c r="G7823" s="21"/>
    </row>
    <row r="7824" spans="1:7" x14ac:dyDescent="0.2">
      <c r="A7824" s="16"/>
      <c r="B7824" s="17"/>
      <c r="C7824" s="17"/>
      <c r="D7824" s="17"/>
      <c r="E7824" s="17"/>
      <c r="F7824" s="17"/>
      <c r="G7824" s="18"/>
    </row>
    <row r="7825" spans="1:7" x14ac:dyDescent="0.2">
      <c r="A7825" s="19"/>
      <c r="B7825" s="20"/>
      <c r="C7825" s="20"/>
      <c r="D7825" s="20"/>
      <c r="E7825" s="20"/>
      <c r="F7825" s="20"/>
      <c r="G7825" s="21"/>
    </row>
    <row r="7826" spans="1:7" x14ac:dyDescent="0.2">
      <c r="A7826" s="16"/>
      <c r="B7826" s="17"/>
      <c r="C7826" s="17"/>
      <c r="D7826" s="17"/>
      <c r="E7826" s="17"/>
      <c r="F7826" s="17"/>
      <c r="G7826" s="18"/>
    </row>
    <row r="7827" spans="1:7" x14ac:dyDescent="0.2">
      <c r="A7827" s="19"/>
      <c r="B7827" s="20"/>
      <c r="C7827" s="20"/>
      <c r="D7827" s="20"/>
      <c r="E7827" s="20"/>
      <c r="F7827" s="20"/>
      <c r="G7827" s="21"/>
    </row>
    <row r="7828" spans="1:7" x14ac:dyDescent="0.2">
      <c r="A7828" s="16"/>
      <c r="B7828" s="17"/>
      <c r="C7828" s="17"/>
      <c r="D7828" s="17"/>
      <c r="E7828" s="17"/>
      <c r="F7828" s="17"/>
      <c r="G7828" s="18"/>
    </row>
    <row r="7829" spans="1:7" x14ac:dyDescent="0.2">
      <c r="A7829" s="19"/>
      <c r="B7829" s="20"/>
      <c r="C7829" s="20"/>
      <c r="D7829" s="20"/>
      <c r="E7829" s="20"/>
      <c r="F7829" s="20"/>
      <c r="G7829" s="21"/>
    </row>
    <row r="7830" spans="1:7" x14ac:dyDescent="0.2">
      <c r="A7830" s="16"/>
      <c r="B7830" s="17"/>
      <c r="C7830" s="17"/>
      <c r="D7830" s="17"/>
      <c r="E7830" s="17"/>
      <c r="F7830" s="17"/>
      <c r="G7830" s="18"/>
    </row>
    <row r="7831" spans="1:7" x14ac:dyDescent="0.2">
      <c r="A7831" s="19"/>
      <c r="B7831" s="20"/>
      <c r="C7831" s="20"/>
      <c r="D7831" s="20"/>
      <c r="E7831" s="20"/>
      <c r="F7831" s="20"/>
      <c r="G7831" s="21"/>
    </row>
    <row r="7832" spans="1:7" x14ac:dyDescent="0.2">
      <c r="A7832" s="16"/>
      <c r="B7832" s="17"/>
      <c r="C7832" s="17"/>
      <c r="D7832" s="17"/>
      <c r="E7832" s="17"/>
      <c r="F7832" s="17"/>
      <c r="G7832" s="18"/>
    </row>
    <row r="7833" spans="1:7" x14ac:dyDescent="0.2">
      <c r="A7833" s="19"/>
      <c r="B7833" s="20"/>
      <c r="C7833" s="20"/>
      <c r="D7833" s="20"/>
      <c r="E7833" s="20"/>
      <c r="F7833" s="20"/>
      <c r="G7833" s="21"/>
    </row>
    <row r="7834" spans="1:7" x14ac:dyDescent="0.2">
      <c r="A7834" s="16"/>
      <c r="B7834" s="17"/>
      <c r="C7834" s="17"/>
      <c r="D7834" s="17"/>
      <c r="E7834" s="17"/>
      <c r="F7834" s="17"/>
      <c r="G7834" s="18"/>
    </row>
    <row r="7835" spans="1:7" x14ac:dyDescent="0.2">
      <c r="A7835" s="19"/>
      <c r="B7835" s="20"/>
      <c r="C7835" s="20"/>
      <c r="D7835" s="20"/>
      <c r="E7835" s="20"/>
      <c r="F7835" s="20"/>
      <c r="G7835" s="21"/>
    </row>
    <row r="7836" spans="1:7" x14ac:dyDescent="0.2">
      <c r="A7836" s="16"/>
      <c r="B7836" s="17"/>
      <c r="C7836" s="17"/>
      <c r="D7836" s="17"/>
      <c r="E7836" s="17"/>
      <c r="F7836" s="17"/>
      <c r="G7836" s="18"/>
    </row>
    <row r="7837" spans="1:7" x14ac:dyDescent="0.2">
      <c r="A7837" s="19"/>
      <c r="B7837" s="20"/>
      <c r="C7837" s="20"/>
      <c r="D7837" s="20"/>
      <c r="E7837" s="20"/>
      <c r="F7837" s="20"/>
      <c r="G7837" s="21"/>
    </row>
    <row r="7838" spans="1:7" x14ac:dyDescent="0.2">
      <c r="A7838" s="16"/>
      <c r="B7838" s="17"/>
      <c r="C7838" s="17"/>
      <c r="D7838" s="17"/>
      <c r="E7838" s="17"/>
      <c r="F7838" s="17"/>
      <c r="G7838" s="18"/>
    </row>
    <row r="7839" spans="1:7" x14ac:dyDescent="0.2">
      <c r="A7839" s="19"/>
      <c r="B7839" s="20"/>
      <c r="C7839" s="20"/>
      <c r="D7839" s="20"/>
      <c r="E7839" s="20"/>
      <c r="F7839" s="20"/>
      <c r="G7839" s="21"/>
    </row>
    <row r="7840" spans="1:7" x14ac:dyDescent="0.2">
      <c r="A7840" s="16"/>
      <c r="B7840" s="17"/>
      <c r="C7840" s="17"/>
      <c r="D7840" s="17"/>
      <c r="E7840" s="17"/>
      <c r="F7840" s="17"/>
      <c r="G7840" s="18"/>
    </row>
    <row r="7841" spans="1:7" x14ac:dyDescent="0.2">
      <c r="A7841" s="19"/>
      <c r="B7841" s="20"/>
      <c r="C7841" s="20"/>
      <c r="D7841" s="20"/>
      <c r="E7841" s="20"/>
      <c r="F7841" s="20"/>
      <c r="G7841" s="21"/>
    </row>
    <row r="7842" spans="1:7" x14ac:dyDescent="0.2">
      <c r="A7842" s="16"/>
      <c r="B7842" s="17"/>
      <c r="C7842" s="17"/>
      <c r="D7842" s="17"/>
      <c r="E7842" s="17"/>
      <c r="F7842" s="17"/>
      <c r="G7842" s="18"/>
    </row>
    <row r="7843" spans="1:7" x14ac:dyDescent="0.2">
      <c r="A7843" s="19"/>
      <c r="B7843" s="20"/>
      <c r="C7843" s="20"/>
      <c r="D7843" s="20"/>
      <c r="E7843" s="20"/>
      <c r="F7843" s="20"/>
      <c r="G7843" s="21"/>
    </row>
    <row r="7844" spans="1:7" x14ac:dyDescent="0.2">
      <c r="A7844" s="16"/>
      <c r="B7844" s="17"/>
      <c r="C7844" s="17"/>
      <c r="D7844" s="17"/>
      <c r="E7844" s="17"/>
      <c r="F7844" s="17"/>
      <c r="G7844" s="18"/>
    </row>
    <row r="7845" spans="1:7" x14ac:dyDescent="0.2">
      <c r="A7845" s="19"/>
      <c r="B7845" s="20"/>
      <c r="C7845" s="20"/>
      <c r="D7845" s="20"/>
      <c r="E7845" s="20"/>
      <c r="F7845" s="20"/>
      <c r="G7845" s="21"/>
    </row>
    <row r="7846" spans="1:7" x14ac:dyDescent="0.2">
      <c r="A7846" s="16"/>
      <c r="B7846" s="17"/>
      <c r="C7846" s="17"/>
      <c r="D7846" s="17"/>
      <c r="E7846" s="17"/>
      <c r="F7846" s="17"/>
      <c r="G7846" s="18"/>
    </row>
    <row r="7847" spans="1:7" x14ac:dyDescent="0.2">
      <c r="A7847" s="19"/>
      <c r="B7847" s="20"/>
      <c r="C7847" s="20"/>
      <c r="D7847" s="20"/>
      <c r="E7847" s="20"/>
      <c r="F7847" s="20"/>
      <c r="G7847" s="21"/>
    </row>
    <row r="7848" spans="1:7" x14ac:dyDescent="0.2">
      <c r="A7848" s="16"/>
      <c r="B7848" s="17"/>
      <c r="C7848" s="17"/>
      <c r="D7848" s="17"/>
      <c r="E7848" s="17"/>
      <c r="F7848" s="17"/>
      <c r="G7848" s="18"/>
    </row>
    <row r="7849" spans="1:7" x14ac:dyDescent="0.2">
      <c r="A7849" s="19"/>
      <c r="B7849" s="20"/>
      <c r="C7849" s="20"/>
      <c r="D7849" s="20"/>
      <c r="E7849" s="20"/>
      <c r="F7849" s="20"/>
      <c r="G7849" s="21"/>
    </row>
    <row r="7850" spans="1:7" x14ac:dyDescent="0.2">
      <c r="A7850" s="16"/>
      <c r="B7850" s="17"/>
      <c r="C7850" s="17"/>
      <c r="D7850" s="17"/>
      <c r="E7850" s="17"/>
      <c r="F7850" s="17"/>
      <c r="G7850" s="18"/>
    </row>
    <row r="7851" spans="1:7" x14ac:dyDescent="0.2">
      <c r="A7851" s="19"/>
      <c r="B7851" s="20"/>
      <c r="C7851" s="20"/>
      <c r="D7851" s="20"/>
      <c r="E7851" s="20"/>
      <c r="F7851" s="20"/>
      <c r="G7851" s="21"/>
    </row>
    <row r="7852" spans="1:7" x14ac:dyDescent="0.2">
      <c r="A7852" s="16"/>
      <c r="B7852" s="17"/>
      <c r="C7852" s="17"/>
      <c r="D7852" s="17"/>
      <c r="E7852" s="17"/>
      <c r="F7852" s="17"/>
      <c r="G7852" s="18"/>
    </row>
    <row r="7853" spans="1:7" x14ac:dyDescent="0.2">
      <c r="A7853" s="19"/>
      <c r="B7853" s="20"/>
      <c r="C7853" s="20"/>
      <c r="D7853" s="20"/>
      <c r="E7853" s="20"/>
      <c r="F7853" s="20"/>
      <c r="G7853" s="21"/>
    </row>
    <row r="7854" spans="1:7" x14ac:dyDescent="0.2">
      <c r="A7854" s="16"/>
      <c r="B7854" s="17"/>
      <c r="C7854" s="17"/>
      <c r="D7854" s="17"/>
      <c r="E7854" s="17"/>
      <c r="F7854" s="17"/>
      <c r="G7854" s="18"/>
    </row>
    <row r="7855" spans="1:7" x14ac:dyDescent="0.2">
      <c r="A7855" s="19"/>
      <c r="B7855" s="20"/>
      <c r="C7855" s="20"/>
      <c r="D7855" s="20"/>
      <c r="E7855" s="20"/>
      <c r="F7855" s="20"/>
      <c r="G7855" s="21"/>
    </row>
    <row r="7856" spans="1:7" x14ac:dyDescent="0.2">
      <c r="A7856" s="16"/>
      <c r="B7856" s="17"/>
      <c r="C7856" s="17"/>
      <c r="D7856" s="17"/>
      <c r="E7856" s="17"/>
      <c r="F7856" s="17"/>
      <c r="G7856" s="18"/>
    </row>
    <row r="7857" spans="1:7" x14ac:dyDescent="0.2">
      <c r="A7857" s="19"/>
      <c r="B7857" s="20"/>
      <c r="C7857" s="20"/>
      <c r="D7857" s="20"/>
      <c r="E7857" s="20"/>
      <c r="F7857" s="20"/>
      <c r="G7857" s="21"/>
    </row>
    <row r="7858" spans="1:7" x14ac:dyDescent="0.2">
      <c r="A7858" s="16"/>
      <c r="B7858" s="17"/>
      <c r="C7858" s="17"/>
      <c r="D7858" s="17"/>
      <c r="E7858" s="17"/>
      <c r="F7858" s="17"/>
      <c r="G7858" s="18"/>
    </row>
    <row r="7859" spans="1:7" x14ac:dyDescent="0.2">
      <c r="A7859" s="19"/>
      <c r="B7859" s="20"/>
      <c r="C7859" s="20"/>
      <c r="D7859" s="20"/>
      <c r="E7859" s="20"/>
      <c r="F7859" s="20"/>
      <c r="G7859" s="21"/>
    </row>
    <row r="7860" spans="1:7" x14ac:dyDescent="0.2">
      <c r="A7860" s="16"/>
      <c r="B7860" s="17"/>
      <c r="C7860" s="17"/>
      <c r="D7860" s="17"/>
      <c r="E7860" s="17"/>
      <c r="F7860" s="17"/>
      <c r="G7860" s="18"/>
    </row>
    <row r="7861" spans="1:7" x14ac:dyDescent="0.2">
      <c r="A7861" s="19"/>
      <c r="B7861" s="20"/>
      <c r="C7861" s="20"/>
      <c r="D7861" s="20"/>
      <c r="E7861" s="20"/>
      <c r="F7861" s="20"/>
      <c r="G7861" s="21"/>
    </row>
    <row r="7862" spans="1:7" x14ac:dyDescent="0.2">
      <c r="A7862" s="16"/>
      <c r="B7862" s="17"/>
      <c r="C7862" s="17"/>
      <c r="D7862" s="17"/>
      <c r="E7862" s="17"/>
      <c r="F7862" s="17"/>
      <c r="G7862" s="18"/>
    </row>
    <row r="7863" spans="1:7" x14ac:dyDescent="0.2">
      <c r="A7863" s="19"/>
      <c r="B7863" s="20"/>
      <c r="C7863" s="20"/>
      <c r="D7863" s="20"/>
      <c r="E7863" s="20"/>
      <c r="F7863" s="20"/>
      <c r="G7863" s="21"/>
    </row>
    <row r="7864" spans="1:7" x14ac:dyDescent="0.2">
      <c r="A7864" s="16"/>
      <c r="B7864" s="17"/>
      <c r="C7864" s="17"/>
      <c r="D7864" s="17"/>
      <c r="E7864" s="17"/>
      <c r="F7864" s="17"/>
      <c r="G7864" s="18"/>
    </row>
    <row r="7865" spans="1:7" x14ac:dyDescent="0.2">
      <c r="A7865" s="19"/>
      <c r="B7865" s="20"/>
      <c r="C7865" s="20"/>
      <c r="D7865" s="20"/>
      <c r="E7865" s="20"/>
      <c r="F7865" s="20"/>
      <c r="G7865" s="21"/>
    </row>
    <row r="7866" spans="1:7" x14ac:dyDescent="0.2">
      <c r="A7866" s="16"/>
      <c r="B7866" s="17"/>
      <c r="C7866" s="17"/>
      <c r="D7866" s="17"/>
      <c r="E7866" s="17"/>
      <c r="F7866" s="17"/>
      <c r="G7866" s="18"/>
    </row>
    <row r="7867" spans="1:7" x14ac:dyDescent="0.2">
      <c r="A7867" s="19"/>
      <c r="B7867" s="20"/>
      <c r="C7867" s="20"/>
      <c r="D7867" s="20"/>
      <c r="E7867" s="20"/>
      <c r="F7867" s="20"/>
      <c r="G7867" s="21"/>
    </row>
    <row r="7868" spans="1:7" x14ac:dyDescent="0.2">
      <c r="A7868" s="16"/>
      <c r="B7868" s="17"/>
      <c r="C7868" s="17"/>
      <c r="D7868" s="17"/>
      <c r="E7868" s="17"/>
      <c r="F7868" s="17"/>
      <c r="G7868" s="18"/>
    </row>
    <row r="7869" spans="1:7" x14ac:dyDescent="0.2">
      <c r="A7869" s="19"/>
      <c r="B7869" s="20"/>
      <c r="C7869" s="20"/>
      <c r="D7869" s="20"/>
      <c r="E7869" s="20"/>
      <c r="F7869" s="20"/>
      <c r="G7869" s="21"/>
    </row>
    <row r="7870" spans="1:7" x14ac:dyDescent="0.2">
      <c r="A7870" s="16"/>
      <c r="B7870" s="17"/>
      <c r="C7870" s="17"/>
      <c r="D7870" s="17"/>
      <c r="E7870" s="17"/>
      <c r="F7870" s="17"/>
      <c r="G7870" s="18"/>
    </row>
    <row r="7871" spans="1:7" x14ac:dyDescent="0.2">
      <c r="A7871" s="19"/>
      <c r="B7871" s="20"/>
      <c r="C7871" s="20"/>
      <c r="D7871" s="20"/>
      <c r="E7871" s="20"/>
      <c r="F7871" s="20"/>
      <c r="G7871" s="21"/>
    </row>
    <row r="7872" spans="1:7" x14ac:dyDescent="0.2">
      <c r="A7872" s="16"/>
      <c r="B7872" s="17"/>
      <c r="C7872" s="17"/>
      <c r="D7872" s="17"/>
      <c r="E7872" s="17"/>
      <c r="F7872" s="17"/>
      <c r="G7872" s="18"/>
    </row>
    <row r="7873" spans="1:7" x14ac:dyDescent="0.2">
      <c r="A7873" s="19"/>
      <c r="B7873" s="20"/>
      <c r="C7873" s="20"/>
      <c r="D7873" s="20"/>
      <c r="E7873" s="20"/>
      <c r="F7873" s="20"/>
      <c r="G7873" s="21"/>
    </row>
    <row r="7874" spans="1:7" x14ac:dyDescent="0.2">
      <c r="A7874" s="16"/>
      <c r="B7874" s="17"/>
      <c r="C7874" s="17"/>
      <c r="D7874" s="17"/>
      <c r="E7874" s="17"/>
      <c r="F7874" s="17"/>
      <c r="G7874" s="18"/>
    </row>
    <row r="7875" spans="1:7" x14ac:dyDescent="0.2">
      <c r="A7875" s="19"/>
      <c r="B7875" s="20"/>
      <c r="C7875" s="20"/>
      <c r="D7875" s="20"/>
      <c r="E7875" s="20"/>
      <c r="F7875" s="20"/>
      <c r="G7875" s="21"/>
    </row>
    <row r="7876" spans="1:7" x14ac:dyDescent="0.2">
      <c r="A7876" s="16"/>
      <c r="B7876" s="17"/>
      <c r="C7876" s="17"/>
      <c r="D7876" s="17"/>
      <c r="E7876" s="17"/>
      <c r="F7876" s="17"/>
      <c r="G7876" s="18"/>
    </row>
    <row r="7877" spans="1:7" x14ac:dyDescent="0.2">
      <c r="A7877" s="19"/>
      <c r="B7877" s="20"/>
      <c r="C7877" s="20"/>
      <c r="D7877" s="20"/>
      <c r="E7877" s="20"/>
      <c r="F7877" s="20"/>
      <c r="G7877" s="21"/>
    </row>
    <row r="7878" spans="1:7" x14ac:dyDescent="0.2">
      <c r="A7878" s="16"/>
      <c r="B7878" s="17"/>
      <c r="C7878" s="17"/>
      <c r="D7878" s="17"/>
      <c r="E7878" s="17"/>
      <c r="F7878" s="17"/>
      <c r="G7878" s="18"/>
    </row>
    <row r="7879" spans="1:7" x14ac:dyDescent="0.2">
      <c r="A7879" s="19"/>
      <c r="B7879" s="20"/>
      <c r="C7879" s="20"/>
      <c r="D7879" s="20"/>
      <c r="E7879" s="20"/>
      <c r="F7879" s="20"/>
      <c r="G7879" s="21"/>
    </row>
    <row r="7880" spans="1:7" x14ac:dyDescent="0.2">
      <c r="A7880" s="16"/>
      <c r="B7880" s="17"/>
      <c r="C7880" s="17"/>
      <c r="D7880" s="17"/>
      <c r="E7880" s="17"/>
      <c r="F7880" s="17"/>
      <c r="G7880" s="18"/>
    </row>
    <row r="7881" spans="1:7" x14ac:dyDescent="0.2">
      <c r="A7881" s="19"/>
      <c r="B7881" s="20"/>
      <c r="C7881" s="20"/>
      <c r="D7881" s="20"/>
      <c r="E7881" s="20"/>
      <c r="F7881" s="20"/>
      <c r="G7881" s="21"/>
    </row>
    <row r="7882" spans="1:7" x14ac:dyDescent="0.2">
      <c r="A7882" s="16"/>
      <c r="B7882" s="17"/>
      <c r="C7882" s="17"/>
      <c r="D7882" s="17"/>
      <c r="E7882" s="17"/>
      <c r="F7882" s="17"/>
      <c r="G7882" s="18"/>
    </row>
    <row r="7883" spans="1:7" x14ac:dyDescent="0.2">
      <c r="A7883" s="19"/>
      <c r="B7883" s="20"/>
      <c r="C7883" s="20"/>
      <c r="D7883" s="20"/>
      <c r="E7883" s="20"/>
      <c r="F7883" s="20"/>
      <c r="G7883" s="21"/>
    </row>
    <row r="7884" spans="1:7" x14ac:dyDescent="0.2">
      <c r="A7884" s="16"/>
      <c r="B7884" s="17"/>
      <c r="C7884" s="17"/>
      <c r="D7884" s="17"/>
      <c r="E7884" s="17"/>
      <c r="F7884" s="17"/>
      <c r="G7884" s="18"/>
    </row>
    <row r="7885" spans="1:7" x14ac:dyDescent="0.2">
      <c r="A7885" s="19"/>
      <c r="B7885" s="20"/>
      <c r="C7885" s="20"/>
      <c r="D7885" s="20"/>
      <c r="E7885" s="20"/>
      <c r="F7885" s="20"/>
      <c r="G7885" s="21"/>
    </row>
    <row r="7886" spans="1:7" x14ac:dyDescent="0.2">
      <c r="A7886" s="16"/>
      <c r="B7886" s="17"/>
      <c r="C7886" s="17"/>
      <c r="D7886" s="17"/>
      <c r="E7886" s="17"/>
      <c r="F7886" s="17"/>
      <c r="G7886" s="18"/>
    </row>
    <row r="7887" spans="1:7" x14ac:dyDescent="0.2">
      <c r="A7887" s="19"/>
      <c r="B7887" s="20"/>
      <c r="C7887" s="20"/>
      <c r="D7887" s="20"/>
      <c r="E7887" s="20"/>
      <c r="F7887" s="20"/>
      <c r="G7887" s="21"/>
    </row>
    <row r="7888" spans="1:7" x14ac:dyDescent="0.2">
      <c r="A7888" s="16"/>
      <c r="B7888" s="17"/>
      <c r="C7888" s="17"/>
      <c r="D7888" s="17"/>
      <c r="E7888" s="17"/>
      <c r="F7888" s="17"/>
      <c r="G7888" s="18"/>
    </row>
    <row r="7889" spans="1:7" x14ac:dyDescent="0.2">
      <c r="A7889" s="19"/>
      <c r="B7889" s="20"/>
      <c r="C7889" s="20"/>
      <c r="D7889" s="20"/>
      <c r="E7889" s="20"/>
      <c r="F7889" s="20"/>
      <c r="G7889" s="21"/>
    </row>
    <row r="7890" spans="1:7" x14ac:dyDescent="0.2">
      <c r="A7890" s="16"/>
      <c r="B7890" s="17"/>
      <c r="C7890" s="17"/>
      <c r="D7890" s="17"/>
      <c r="E7890" s="17"/>
      <c r="F7890" s="17"/>
      <c r="G7890" s="18"/>
    </row>
    <row r="7891" spans="1:7" x14ac:dyDescent="0.2">
      <c r="A7891" s="19"/>
      <c r="B7891" s="20"/>
      <c r="C7891" s="20"/>
      <c r="D7891" s="20"/>
      <c r="E7891" s="20"/>
      <c r="F7891" s="20"/>
      <c r="G7891" s="21"/>
    </row>
    <row r="7892" spans="1:7" x14ac:dyDescent="0.2">
      <c r="A7892" s="16"/>
      <c r="B7892" s="17"/>
      <c r="C7892" s="17"/>
      <c r="D7892" s="17"/>
      <c r="E7892" s="17"/>
      <c r="F7892" s="17"/>
      <c r="G7892" s="18"/>
    </row>
    <row r="7893" spans="1:7" x14ac:dyDescent="0.2">
      <c r="A7893" s="19"/>
      <c r="B7893" s="20"/>
      <c r="C7893" s="20"/>
      <c r="D7893" s="20"/>
      <c r="E7893" s="20"/>
      <c r="F7893" s="20"/>
      <c r="G7893" s="21"/>
    </row>
    <row r="7894" spans="1:7" x14ac:dyDescent="0.2">
      <c r="A7894" s="16"/>
      <c r="B7894" s="17"/>
      <c r="C7894" s="17"/>
      <c r="D7894" s="17"/>
      <c r="E7894" s="17"/>
      <c r="F7894" s="17"/>
      <c r="G7894" s="18"/>
    </row>
    <row r="7895" spans="1:7" x14ac:dyDescent="0.2">
      <c r="A7895" s="19"/>
      <c r="B7895" s="20"/>
      <c r="C7895" s="20"/>
      <c r="D7895" s="20"/>
      <c r="E7895" s="20"/>
      <c r="F7895" s="20"/>
      <c r="G7895" s="21"/>
    </row>
    <row r="7896" spans="1:7" x14ac:dyDescent="0.2">
      <c r="A7896" s="16"/>
      <c r="B7896" s="17"/>
      <c r="C7896" s="17"/>
      <c r="D7896" s="17"/>
      <c r="E7896" s="17"/>
      <c r="F7896" s="17"/>
      <c r="G7896" s="18"/>
    </row>
    <row r="7897" spans="1:7" x14ac:dyDescent="0.2">
      <c r="A7897" s="19"/>
      <c r="B7897" s="20"/>
      <c r="C7897" s="20"/>
      <c r="D7897" s="20"/>
      <c r="E7897" s="20"/>
      <c r="F7897" s="20"/>
      <c r="G7897" s="21"/>
    </row>
    <row r="7898" spans="1:7" x14ac:dyDescent="0.2">
      <c r="A7898" s="16"/>
      <c r="B7898" s="17"/>
      <c r="C7898" s="17"/>
      <c r="D7898" s="17"/>
      <c r="E7898" s="17"/>
      <c r="F7898" s="17"/>
      <c r="G7898" s="18"/>
    </row>
    <row r="7899" spans="1:7" x14ac:dyDescent="0.2">
      <c r="A7899" s="19"/>
      <c r="B7899" s="20"/>
      <c r="C7899" s="20"/>
      <c r="D7899" s="20"/>
      <c r="E7899" s="20"/>
      <c r="F7899" s="20"/>
      <c r="G7899" s="21"/>
    </row>
    <row r="7900" spans="1:7" x14ac:dyDescent="0.2">
      <c r="A7900" s="16"/>
      <c r="B7900" s="17"/>
      <c r="C7900" s="17"/>
      <c r="D7900" s="17"/>
      <c r="E7900" s="17"/>
      <c r="F7900" s="17"/>
      <c r="G7900" s="18"/>
    </row>
    <row r="7901" spans="1:7" x14ac:dyDescent="0.2">
      <c r="A7901" s="19"/>
      <c r="B7901" s="20"/>
      <c r="C7901" s="20"/>
      <c r="D7901" s="20"/>
      <c r="E7901" s="20"/>
      <c r="F7901" s="20"/>
      <c r="G7901" s="21"/>
    </row>
    <row r="7902" spans="1:7" x14ac:dyDescent="0.2">
      <c r="A7902" s="16"/>
      <c r="B7902" s="17"/>
      <c r="C7902" s="17"/>
      <c r="D7902" s="17"/>
      <c r="E7902" s="17"/>
      <c r="F7902" s="17"/>
      <c r="G7902" s="18"/>
    </row>
    <row r="7903" spans="1:7" x14ac:dyDescent="0.2">
      <c r="A7903" s="19"/>
      <c r="B7903" s="20"/>
      <c r="C7903" s="20"/>
      <c r="D7903" s="20"/>
      <c r="E7903" s="20"/>
      <c r="F7903" s="20"/>
      <c r="G7903" s="21"/>
    </row>
    <row r="7904" spans="1:7" x14ac:dyDescent="0.2">
      <c r="A7904" s="16"/>
      <c r="B7904" s="17"/>
      <c r="C7904" s="17"/>
      <c r="D7904" s="17"/>
      <c r="E7904" s="17"/>
      <c r="F7904" s="17"/>
      <c r="G7904" s="18"/>
    </row>
    <row r="7905" spans="1:7" x14ac:dyDescent="0.2">
      <c r="A7905" s="19"/>
      <c r="B7905" s="20"/>
      <c r="C7905" s="20"/>
      <c r="D7905" s="20"/>
      <c r="E7905" s="20"/>
      <c r="F7905" s="20"/>
      <c r="G7905" s="21"/>
    </row>
    <row r="7906" spans="1:7" x14ac:dyDescent="0.2">
      <c r="A7906" s="6"/>
      <c r="B7906" s="7"/>
      <c r="C7906" s="7"/>
      <c r="D7906" s="7"/>
      <c r="E7906" s="7"/>
      <c r="F7906" s="7"/>
      <c r="G7906" s="8"/>
    </row>
  </sheetData>
  <autoFilter ref="A1:I7906"/>
  <pageMargins left="0.7" right="0.7" top="0.78740157499999996" bottom="0.78740157499999996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FFC000"/>
  </sheetPr>
  <dimension ref="A1:AB1055"/>
  <sheetViews>
    <sheetView topLeftCell="F1" zoomScale="70" zoomScaleNormal="70" workbookViewId="0">
      <selection activeCell="I1" sqref="I1:AB33"/>
    </sheetView>
  </sheetViews>
  <sheetFormatPr baseColWidth="10" defaultRowHeight="14.25" x14ac:dyDescent="0.2"/>
  <cols>
    <col min="2" max="2" width="73.75" customWidth="1"/>
    <col min="6" max="6" width="39.5" customWidth="1"/>
    <col min="9" max="9" width="46.125" bestFit="1" customWidth="1"/>
    <col min="10" max="10" width="14.375" customWidth="1"/>
    <col min="11" max="27" width="11.875" customWidth="1"/>
    <col min="28" max="28" width="15.625" bestFit="1" customWidth="1"/>
  </cols>
  <sheetData>
    <row r="1" spans="1:28" ht="15" x14ac:dyDescent="0.25">
      <c r="A1" s="13" t="s">
        <v>77</v>
      </c>
      <c r="B1" s="14" t="s">
        <v>80</v>
      </c>
      <c r="C1" s="14" t="s">
        <v>78</v>
      </c>
      <c r="D1" s="14" t="s">
        <v>79</v>
      </c>
      <c r="E1" s="14" t="s">
        <v>83</v>
      </c>
      <c r="F1" s="14" t="s">
        <v>85</v>
      </c>
      <c r="G1" s="15" t="s">
        <v>84</v>
      </c>
      <c r="I1" s="22" t="s">
        <v>165</v>
      </c>
      <c r="K1" s="22" t="s">
        <v>83</v>
      </c>
    </row>
    <row r="2" spans="1:28" x14ac:dyDescent="0.2">
      <c r="A2" t="s">
        <v>29</v>
      </c>
      <c r="B2" t="s">
        <v>75</v>
      </c>
      <c r="C2" t="s">
        <v>8</v>
      </c>
      <c r="D2" t="s">
        <v>10</v>
      </c>
      <c r="E2" t="s">
        <v>12</v>
      </c>
      <c r="F2" s="20" t="str">
        <f>INDEX(nrg_cb_e!$A$3:$A$40,MATCH(LEFT(MID(B2,43,1000),SEARCH(" - ",MID(B2,43,1000))-1),nrg_cb_e!$C$3:$C$40,0))</f>
        <v>FC_OTH_CP_E</v>
      </c>
      <c r="G2">
        <v>11858</v>
      </c>
      <c r="I2" s="22" t="s">
        <v>77</v>
      </c>
      <c r="J2" s="22" t="s">
        <v>85</v>
      </c>
      <c r="K2" s="24" t="s">
        <v>12</v>
      </c>
      <c r="L2" s="24" t="s">
        <v>13</v>
      </c>
      <c r="M2" s="24" t="s">
        <v>14</v>
      </c>
      <c r="N2" s="24" t="s">
        <v>15</v>
      </c>
      <c r="O2" s="24" t="s">
        <v>16</v>
      </c>
      <c r="P2" s="24" t="s">
        <v>17</v>
      </c>
      <c r="Q2" s="24" t="s">
        <v>18</v>
      </c>
      <c r="R2" s="24" t="s">
        <v>19</v>
      </c>
      <c r="S2" s="24" t="s">
        <v>20</v>
      </c>
      <c r="T2" s="24" t="s">
        <v>21</v>
      </c>
      <c r="U2" s="24" t="s">
        <v>22</v>
      </c>
      <c r="V2" s="24" t="s">
        <v>23</v>
      </c>
      <c r="W2" s="24" t="s">
        <v>24</v>
      </c>
      <c r="X2" s="24" t="s">
        <v>25</v>
      </c>
      <c r="Y2" s="24" t="s">
        <v>26</v>
      </c>
      <c r="Z2" s="24" t="s">
        <v>27</v>
      </c>
      <c r="AA2" s="24" t="s">
        <v>28</v>
      </c>
      <c r="AB2" t="s">
        <v>164</v>
      </c>
    </row>
    <row r="3" spans="1:28" x14ac:dyDescent="0.2">
      <c r="A3" t="s">
        <v>29</v>
      </c>
      <c r="B3" t="s">
        <v>75</v>
      </c>
      <c r="C3" t="s">
        <v>8</v>
      </c>
      <c r="D3" t="s">
        <v>10</v>
      </c>
      <c r="E3" t="s">
        <v>13</v>
      </c>
      <c r="F3" s="20" t="str">
        <f>INDEX(nrg_cb_e!$A$3:$A$40,MATCH(LEFT(MID(B3,43,1000),SEARCH(" - ",MID(B3,43,1000))-1),nrg_cb_e!$C$3:$C$40,0))</f>
        <v>FC_OTH_CP_E</v>
      </c>
      <c r="G3">
        <v>11906</v>
      </c>
      <c r="I3" t="s">
        <v>29</v>
      </c>
      <c r="J3" t="s">
        <v>154</v>
      </c>
      <c r="K3" s="23">
        <v>11858</v>
      </c>
      <c r="L3" s="23">
        <v>11906</v>
      </c>
      <c r="M3" s="23">
        <v>11928</v>
      </c>
      <c r="N3" s="23">
        <v>12703</v>
      </c>
      <c r="O3" s="23">
        <v>17148</v>
      </c>
      <c r="P3" s="23">
        <v>18147</v>
      </c>
      <c r="Q3" s="23">
        <v>20830</v>
      </c>
      <c r="R3" s="23">
        <v>21476</v>
      </c>
      <c r="S3" s="23">
        <v>22182</v>
      </c>
      <c r="T3" s="23">
        <v>21653</v>
      </c>
      <c r="U3" s="23">
        <v>21954</v>
      </c>
      <c r="V3" s="23">
        <v>22262</v>
      </c>
      <c r="W3" s="23">
        <v>21322.7</v>
      </c>
      <c r="X3" s="23">
        <v>21669.1</v>
      </c>
      <c r="Y3" s="23">
        <v>21807.5</v>
      </c>
      <c r="Z3" s="23">
        <v>21767.1</v>
      </c>
      <c r="AA3" s="23">
        <v>22047.9</v>
      </c>
      <c r="AB3" s="23">
        <v>322661.30000000005</v>
      </c>
    </row>
    <row r="4" spans="1:28" x14ac:dyDescent="0.2">
      <c r="A4" t="s">
        <v>29</v>
      </c>
      <c r="B4" t="s">
        <v>75</v>
      </c>
      <c r="C4" t="s">
        <v>8</v>
      </c>
      <c r="D4" t="s">
        <v>10</v>
      </c>
      <c r="E4" t="s">
        <v>14</v>
      </c>
      <c r="F4" s="20" t="str">
        <f>INDEX(nrg_cb_e!$A$3:$A$40,MATCH(LEFT(MID(B4,43,1000),SEARCH(" - ",MID(B4,43,1000))-1),nrg_cb_e!$C$3:$C$40,0))</f>
        <v>FC_OTH_CP_E</v>
      </c>
      <c r="G4">
        <v>11928</v>
      </c>
      <c r="I4" t="s">
        <v>30</v>
      </c>
      <c r="J4" t="s">
        <v>154</v>
      </c>
      <c r="K4" s="23">
        <v>5641</v>
      </c>
      <c r="L4" s="23">
        <v>5989</v>
      </c>
      <c r="M4" s="23">
        <v>5768</v>
      </c>
      <c r="N4" s="23">
        <v>6143</v>
      </c>
      <c r="O4" s="23">
        <v>6887</v>
      </c>
      <c r="P4" s="23">
        <v>6993</v>
      </c>
      <c r="Q4" s="23">
        <v>7479</v>
      </c>
      <c r="R4" s="23">
        <v>7433</v>
      </c>
      <c r="S4" s="23">
        <v>8101</v>
      </c>
      <c r="T4" s="23">
        <v>8437</v>
      </c>
      <c r="U4" s="23">
        <v>8170</v>
      </c>
      <c r="V4" s="23">
        <v>7954</v>
      </c>
      <c r="W4" s="23">
        <v>7831</v>
      </c>
      <c r="X4" s="23">
        <v>8076</v>
      </c>
      <c r="Y4" s="23">
        <v>8505</v>
      </c>
      <c r="Z4" s="23">
        <v>8433.7720000000008</v>
      </c>
      <c r="AA4" s="23">
        <v>8470.5470000000005</v>
      </c>
      <c r="AB4" s="23">
        <v>126311.319</v>
      </c>
    </row>
    <row r="5" spans="1:28" x14ac:dyDescent="0.2">
      <c r="A5" t="s">
        <v>29</v>
      </c>
      <c r="B5" t="s">
        <v>75</v>
      </c>
      <c r="C5" t="s">
        <v>8</v>
      </c>
      <c r="D5" t="s">
        <v>10</v>
      </c>
      <c r="E5" t="s">
        <v>15</v>
      </c>
      <c r="F5" s="20" t="str">
        <f>INDEX(nrg_cb_e!$A$3:$A$40,MATCH(LEFT(MID(B5,43,1000),SEARCH(" - ",MID(B5,43,1000))-1),nrg_cb_e!$C$3:$C$40,0))</f>
        <v>FC_OTH_CP_E</v>
      </c>
      <c r="G5">
        <v>12703</v>
      </c>
      <c r="I5" t="s">
        <v>32</v>
      </c>
      <c r="J5" t="s">
        <v>154</v>
      </c>
      <c r="K5" s="23">
        <v>10247</v>
      </c>
      <c r="L5" s="23">
        <v>10189</v>
      </c>
      <c r="M5" s="23">
        <v>10399</v>
      </c>
      <c r="N5" s="23">
        <v>10472</v>
      </c>
      <c r="O5" s="23">
        <v>10737</v>
      </c>
      <c r="P5" s="23">
        <v>10989</v>
      </c>
      <c r="Q5" s="23">
        <v>10976</v>
      </c>
      <c r="R5" s="23">
        <v>10680</v>
      </c>
      <c r="S5" s="23">
        <v>10835</v>
      </c>
      <c r="T5" s="23">
        <v>10656</v>
      </c>
      <c r="U5" s="23">
        <v>10481</v>
      </c>
      <c r="V5" s="23">
        <v>10227</v>
      </c>
      <c r="W5" s="23">
        <v>10288</v>
      </c>
      <c r="X5" s="23">
        <v>10087.23</v>
      </c>
      <c r="Y5" s="23">
        <v>10216.535</v>
      </c>
      <c r="Z5" s="23">
        <v>10685.246999999999</v>
      </c>
      <c r="AA5" s="23">
        <v>10594.387000000001</v>
      </c>
      <c r="AB5" s="23">
        <v>178759.399</v>
      </c>
    </row>
    <row r="6" spans="1:28" x14ac:dyDescent="0.2">
      <c r="A6" t="s">
        <v>29</v>
      </c>
      <c r="B6" t="s">
        <v>75</v>
      </c>
      <c r="C6" t="s">
        <v>8</v>
      </c>
      <c r="D6" t="s">
        <v>10</v>
      </c>
      <c r="E6" t="s">
        <v>16</v>
      </c>
      <c r="F6" s="20" t="str">
        <f>INDEX(nrg_cb_e!$A$3:$A$40,MATCH(LEFT(MID(B6,43,1000),SEARCH(" - ",MID(B6,43,1000))-1),nrg_cb_e!$C$3:$C$40,0))</f>
        <v>FC_OTH_CP_E</v>
      </c>
      <c r="G6">
        <v>17148</v>
      </c>
      <c r="I6" t="s">
        <v>33</v>
      </c>
      <c r="J6" t="s">
        <v>154</v>
      </c>
      <c r="K6" s="23">
        <v>135238</v>
      </c>
      <c r="L6" s="23">
        <v>142237</v>
      </c>
      <c r="M6" s="23">
        <v>141219</v>
      </c>
      <c r="N6" s="23">
        <v>137410</v>
      </c>
      <c r="O6" s="23">
        <v>142151</v>
      </c>
      <c r="P6" s="23">
        <v>137885</v>
      </c>
      <c r="Q6" s="23">
        <v>142193</v>
      </c>
      <c r="R6" s="23">
        <v>144673</v>
      </c>
      <c r="S6" s="23">
        <v>143862</v>
      </c>
      <c r="T6" s="23">
        <v>136306</v>
      </c>
      <c r="U6" s="23">
        <v>139210</v>
      </c>
      <c r="V6" s="23">
        <v>142062</v>
      </c>
      <c r="W6" s="23">
        <v>131515</v>
      </c>
      <c r="X6" s="23">
        <v>140736</v>
      </c>
      <c r="Y6" s="23">
        <v>141585</v>
      </c>
      <c r="Z6" s="23">
        <v>141479</v>
      </c>
      <c r="AA6" s="23">
        <v>137097</v>
      </c>
      <c r="AB6" s="23">
        <v>2376858</v>
      </c>
    </row>
    <row r="7" spans="1:28" x14ac:dyDescent="0.2">
      <c r="A7" t="s">
        <v>29</v>
      </c>
      <c r="B7" t="s">
        <v>75</v>
      </c>
      <c r="C7" t="s">
        <v>8</v>
      </c>
      <c r="D7" t="s">
        <v>10</v>
      </c>
      <c r="E7" t="s">
        <v>17</v>
      </c>
      <c r="F7" s="20" t="str">
        <f>INDEX(nrg_cb_e!$A$3:$A$40,MATCH(LEFT(MID(B7,43,1000),SEARCH(" - ",MID(B7,43,1000))-1),nrg_cb_e!$C$3:$C$40,0))</f>
        <v>FC_OTH_CP_E</v>
      </c>
      <c r="G7">
        <v>18147</v>
      </c>
      <c r="I7" t="s">
        <v>34</v>
      </c>
      <c r="J7" t="s">
        <v>154</v>
      </c>
      <c r="K7" s="23">
        <v>1570</v>
      </c>
      <c r="L7" s="23">
        <v>1664</v>
      </c>
      <c r="M7" s="23">
        <v>1850</v>
      </c>
      <c r="N7" s="23">
        <v>1929</v>
      </c>
      <c r="O7" s="23">
        <v>2176</v>
      </c>
      <c r="P7" s="23">
        <v>2358</v>
      </c>
      <c r="Q7" s="23">
        <v>2553</v>
      </c>
      <c r="R7" s="23">
        <v>2559</v>
      </c>
      <c r="S7" s="23">
        <v>2511</v>
      </c>
      <c r="T7" s="23">
        <v>2378</v>
      </c>
      <c r="U7" s="23">
        <v>2536</v>
      </c>
      <c r="V7" s="23">
        <v>2530</v>
      </c>
      <c r="W7" s="23">
        <v>2795</v>
      </c>
      <c r="X7" s="23">
        <v>2813</v>
      </c>
      <c r="Y7" s="23">
        <v>2971</v>
      </c>
      <c r="Z7" s="23">
        <v>2715.4920000000002</v>
      </c>
      <c r="AA7" s="23">
        <v>2933</v>
      </c>
      <c r="AB7" s="23">
        <v>40841.491999999998</v>
      </c>
    </row>
    <row r="8" spans="1:28" x14ac:dyDescent="0.2">
      <c r="A8" t="s">
        <v>29</v>
      </c>
      <c r="B8" t="s">
        <v>75</v>
      </c>
      <c r="C8" t="s">
        <v>8</v>
      </c>
      <c r="D8" t="s">
        <v>10</v>
      </c>
      <c r="E8" t="s">
        <v>18</v>
      </c>
      <c r="F8" s="20" t="str">
        <f>INDEX(nrg_cb_e!$A$3:$A$40,MATCH(LEFT(MID(B8,43,1000),SEARCH(" - ",MID(B8,43,1000))-1),nrg_cb_e!$C$3:$C$40,0))</f>
        <v>FC_OTH_CP_E</v>
      </c>
      <c r="G8">
        <v>20830</v>
      </c>
      <c r="I8" t="s">
        <v>54</v>
      </c>
      <c r="J8" t="s">
        <v>154</v>
      </c>
      <c r="K8" s="23">
        <v>14646</v>
      </c>
      <c r="L8" s="23">
        <v>14673</v>
      </c>
      <c r="M8" s="23">
        <v>15173</v>
      </c>
      <c r="N8" s="23">
        <v>15523</v>
      </c>
      <c r="O8" s="23">
        <v>15937</v>
      </c>
      <c r="P8" s="23">
        <v>16200</v>
      </c>
      <c r="Q8" s="23">
        <v>16549</v>
      </c>
      <c r="R8" s="23">
        <v>17254</v>
      </c>
      <c r="S8" s="23">
        <v>17846</v>
      </c>
      <c r="T8" s="23">
        <v>17263</v>
      </c>
      <c r="U8" s="23">
        <v>17857</v>
      </c>
      <c r="V8" s="23">
        <v>17505</v>
      </c>
      <c r="W8" s="23">
        <v>17459</v>
      </c>
      <c r="X8" s="23">
        <v>17450</v>
      </c>
      <c r="Y8" s="23">
        <v>17645</v>
      </c>
      <c r="Z8" s="23">
        <v>17520</v>
      </c>
      <c r="AA8" s="23">
        <v>18200</v>
      </c>
      <c r="AB8" s="23">
        <v>284700</v>
      </c>
    </row>
    <row r="9" spans="1:28" x14ac:dyDescent="0.2">
      <c r="A9" t="s">
        <v>29</v>
      </c>
      <c r="B9" t="s">
        <v>75</v>
      </c>
      <c r="C9" t="s">
        <v>8</v>
      </c>
      <c r="D9" t="s">
        <v>10</v>
      </c>
      <c r="E9" t="s">
        <v>19</v>
      </c>
      <c r="F9" s="20" t="str">
        <f>INDEX(nrg_cb_e!$A$3:$A$40,MATCH(LEFT(MID(B9,43,1000),SEARCH(" - ",MID(B9,43,1000))-1),nrg_cb_e!$C$3:$C$40,0))</f>
        <v>FC_OTH_CP_E</v>
      </c>
      <c r="G9">
        <v>21476</v>
      </c>
      <c r="I9" t="s">
        <v>38</v>
      </c>
      <c r="J9" t="s">
        <v>154</v>
      </c>
      <c r="K9" s="23">
        <v>108712</v>
      </c>
      <c r="L9" s="23">
        <v>116183</v>
      </c>
      <c r="M9" s="23">
        <v>120337</v>
      </c>
      <c r="N9" s="23">
        <v>125188</v>
      </c>
      <c r="O9" s="23">
        <v>129924</v>
      </c>
      <c r="P9" s="23">
        <v>133217</v>
      </c>
      <c r="Q9" s="23">
        <v>132482</v>
      </c>
      <c r="R9" s="23">
        <v>136668</v>
      </c>
      <c r="S9" s="23">
        <v>144664</v>
      </c>
      <c r="T9" s="23">
        <v>135741.87</v>
      </c>
      <c r="U9" s="23">
        <v>141858.549</v>
      </c>
      <c r="V9" s="23">
        <v>142102.28700000001</v>
      </c>
      <c r="W9" s="23">
        <v>135993.97700000001</v>
      </c>
      <c r="X9" s="23">
        <v>139343.10999999999</v>
      </c>
      <c r="Y9" s="23">
        <v>139851.70199999999</v>
      </c>
      <c r="Z9" s="23">
        <v>139382.383</v>
      </c>
      <c r="AA9" s="23">
        <v>138487.65400000001</v>
      </c>
      <c r="AB9" s="23">
        <v>2260136.5320000001</v>
      </c>
    </row>
    <row r="10" spans="1:28" x14ac:dyDescent="0.2">
      <c r="A10" t="s">
        <v>29</v>
      </c>
      <c r="B10" t="s">
        <v>75</v>
      </c>
      <c r="C10" t="s">
        <v>8</v>
      </c>
      <c r="D10" t="s">
        <v>10</v>
      </c>
      <c r="E10" t="s">
        <v>20</v>
      </c>
      <c r="F10" s="20" t="str">
        <f>INDEX(nrg_cb_e!$A$3:$A$40,MATCH(LEFT(MID(B10,43,1000),SEARCH(" - ",MID(B10,43,1000))-1),nrg_cb_e!$C$3:$C$40,0))</f>
        <v>FC_OTH_CP_E</v>
      </c>
      <c r="G10">
        <v>22182</v>
      </c>
      <c r="I10" t="s">
        <v>36</v>
      </c>
      <c r="J10" t="s">
        <v>154</v>
      </c>
      <c r="K10" s="23">
        <v>13989</v>
      </c>
      <c r="L10" s="23">
        <v>15005</v>
      </c>
      <c r="M10" s="23">
        <v>15872</v>
      </c>
      <c r="N10" s="23">
        <v>16479</v>
      </c>
      <c r="O10" s="23">
        <v>17757</v>
      </c>
      <c r="P10" s="23">
        <v>18773</v>
      </c>
      <c r="Q10" s="23">
        <v>19691</v>
      </c>
      <c r="R10" s="23">
        <v>19769</v>
      </c>
      <c r="S10" s="23">
        <v>18000</v>
      </c>
      <c r="T10" s="23">
        <v>16839</v>
      </c>
      <c r="U10" s="23">
        <v>18470</v>
      </c>
      <c r="V10" s="23">
        <v>17008</v>
      </c>
      <c r="W10" s="23">
        <v>16802</v>
      </c>
      <c r="X10" s="23">
        <v>17926</v>
      </c>
      <c r="Y10" s="23">
        <v>19448</v>
      </c>
      <c r="Z10" s="23">
        <v>19243.437000000002</v>
      </c>
      <c r="AA10" s="23">
        <v>17807.75</v>
      </c>
      <c r="AB10" s="23">
        <v>298879.18699999998</v>
      </c>
    </row>
    <row r="11" spans="1:28" x14ac:dyDescent="0.2">
      <c r="A11" t="s">
        <v>29</v>
      </c>
      <c r="B11" t="s">
        <v>75</v>
      </c>
      <c r="C11" t="s">
        <v>8</v>
      </c>
      <c r="D11" t="s">
        <v>10</v>
      </c>
      <c r="E11" t="s">
        <v>21</v>
      </c>
      <c r="F11" s="20" t="str">
        <f>INDEX(nrg_cb_e!$A$3:$A$40,MATCH(LEFT(MID(B11,43,1000),SEARCH(" - ",MID(B11,43,1000))-1),nrg_cb_e!$C$3:$C$40,0))</f>
        <v>FC_OTH_CP_E</v>
      </c>
      <c r="G11">
        <v>21653</v>
      </c>
      <c r="I11" t="s">
        <v>35</v>
      </c>
      <c r="J11" t="s">
        <v>154</v>
      </c>
      <c r="K11" s="23">
        <v>6748</v>
      </c>
      <c r="L11" s="23">
        <v>8163</v>
      </c>
      <c r="M11" s="23">
        <v>8167.23</v>
      </c>
      <c r="N11" s="23">
        <v>8465.1540000000005</v>
      </c>
      <c r="O11" s="23">
        <v>8133.0280000000002</v>
      </c>
      <c r="P11" s="23">
        <v>8710.2330000000002</v>
      </c>
      <c r="Q11" s="23">
        <v>9556.3449999999993</v>
      </c>
      <c r="R11" s="23">
        <v>7944.2860000000001</v>
      </c>
      <c r="S11" s="23">
        <v>7165.85</v>
      </c>
      <c r="T11" s="23">
        <v>6501.2939999999999</v>
      </c>
      <c r="U11" s="23">
        <v>6278.7060000000001</v>
      </c>
      <c r="V11" s="23">
        <v>6366.0950000000003</v>
      </c>
      <c r="W11" s="23">
        <v>6438.8909999999996</v>
      </c>
      <c r="X11" s="23">
        <v>6745.8609999999999</v>
      </c>
      <c r="Y11" s="23">
        <v>6951.1149999999998</v>
      </c>
      <c r="Z11" s="23">
        <v>7027.0330000000004</v>
      </c>
      <c r="AA11" s="23">
        <v>7462.2259999999997</v>
      </c>
      <c r="AB11" s="23">
        <v>126824.34700000001</v>
      </c>
    </row>
    <row r="12" spans="1:28" x14ac:dyDescent="0.2">
      <c r="A12" t="s">
        <v>29</v>
      </c>
      <c r="B12" t="s">
        <v>75</v>
      </c>
      <c r="C12" t="s">
        <v>8</v>
      </c>
      <c r="D12" t="s">
        <v>10</v>
      </c>
      <c r="E12" t="s">
        <v>22</v>
      </c>
      <c r="F12" s="20" t="str">
        <f>INDEX(nrg_cb_e!$A$3:$A$40,MATCH(LEFT(MID(B12,43,1000),SEARCH(" - ",MID(B12,43,1000))-1),nrg_cb_e!$C$3:$C$40,0))</f>
        <v>FC_OTH_CP_E</v>
      </c>
      <c r="G12">
        <v>21954</v>
      </c>
      <c r="I12" t="s">
        <v>57</v>
      </c>
      <c r="J12" t="s">
        <v>154</v>
      </c>
      <c r="K12" s="23">
        <v>802</v>
      </c>
      <c r="L12" s="23">
        <v>784</v>
      </c>
      <c r="M12" s="23">
        <v>882</v>
      </c>
      <c r="N12" s="23">
        <v>916</v>
      </c>
      <c r="O12" s="23">
        <v>957</v>
      </c>
      <c r="P12" s="23">
        <v>989</v>
      </c>
      <c r="Q12" s="23">
        <v>1063</v>
      </c>
      <c r="R12" s="23">
        <v>1021</v>
      </c>
      <c r="S12" s="23">
        <v>1023</v>
      </c>
      <c r="T12" s="23">
        <v>1019</v>
      </c>
      <c r="U12" s="23">
        <v>1037</v>
      </c>
      <c r="V12" s="23">
        <v>1040</v>
      </c>
      <c r="W12" s="23">
        <v>1026</v>
      </c>
      <c r="X12" s="23">
        <v>1217</v>
      </c>
      <c r="Y12" s="23">
        <v>1263</v>
      </c>
      <c r="Z12" s="23">
        <v>1331.617</v>
      </c>
      <c r="AA12" s="23">
        <v>1714.0719999999999</v>
      </c>
      <c r="AB12" s="23">
        <v>18084.688999999998</v>
      </c>
    </row>
    <row r="13" spans="1:28" x14ac:dyDescent="0.2">
      <c r="A13" t="s">
        <v>29</v>
      </c>
      <c r="B13" t="s">
        <v>75</v>
      </c>
      <c r="C13" t="s">
        <v>8</v>
      </c>
      <c r="D13" t="s">
        <v>10</v>
      </c>
      <c r="E13" t="s">
        <v>23</v>
      </c>
      <c r="F13" s="20" t="str">
        <f>INDEX(nrg_cb_e!$A$3:$A$40,MATCH(LEFT(MID(B13,43,1000),SEARCH(" - ",MID(B13,43,1000))-1),nrg_cb_e!$C$3:$C$40,0))</f>
        <v>FC_OTH_CP_E</v>
      </c>
      <c r="G13">
        <v>22262</v>
      </c>
      <c r="I13" t="s">
        <v>40</v>
      </c>
      <c r="J13" t="s">
        <v>154</v>
      </c>
      <c r="K13" s="23">
        <v>62830</v>
      </c>
      <c r="L13" s="23">
        <v>67426</v>
      </c>
      <c r="M13" s="23">
        <v>69955</v>
      </c>
      <c r="N13" s="23">
        <v>73875</v>
      </c>
      <c r="O13" s="23">
        <v>78057</v>
      </c>
      <c r="P13" s="23">
        <v>79865</v>
      </c>
      <c r="Q13" s="23">
        <v>82773</v>
      </c>
      <c r="R13" s="23">
        <v>84300</v>
      </c>
      <c r="S13" s="23">
        <v>85619</v>
      </c>
      <c r="T13" s="23">
        <v>86912</v>
      </c>
      <c r="U13" s="23">
        <v>90279</v>
      </c>
      <c r="V13" s="23">
        <v>88982</v>
      </c>
      <c r="W13" s="23">
        <v>88489</v>
      </c>
      <c r="X13" s="23">
        <v>92085</v>
      </c>
      <c r="Y13" s="23">
        <v>91736</v>
      </c>
      <c r="Z13" s="23">
        <v>93491.933999999994</v>
      </c>
      <c r="AA13" s="23">
        <v>94489.797999999995</v>
      </c>
      <c r="AB13" s="23">
        <v>1411164.7319999998</v>
      </c>
    </row>
    <row r="14" spans="1:28" x14ac:dyDescent="0.2">
      <c r="A14" t="s">
        <v>29</v>
      </c>
      <c r="B14" t="s">
        <v>75</v>
      </c>
      <c r="C14" t="s">
        <v>8</v>
      </c>
      <c r="D14" t="s">
        <v>10</v>
      </c>
      <c r="E14" t="s">
        <v>24</v>
      </c>
      <c r="F14" s="20" t="str">
        <f>INDEX(nrg_cb_e!$A$3:$A$40,MATCH(LEFT(MID(B14,43,1000),SEARCH(" - ",MID(B14,43,1000))-1),nrg_cb_e!$C$3:$C$40,0))</f>
        <v>FC_OTH_CP_E</v>
      </c>
      <c r="G14">
        <v>21322.7</v>
      </c>
      <c r="I14" t="s">
        <v>39</v>
      </c>
      <c r="J14" t="s">
        <v>154</v>
      </c>
      <c r="K14" s="23">
        <v>3484</v>
      </c>
      <c r="L14" s="23">
        <v>3757</v>
      </c>
      <c r="M14" s="23">
        <v>4030</v>
      </c>
      <c r="N14" s="23">
        <v>4413</v>
      </c>
      <c r="O14" s="23">
        <v>4686</v>
      </c>
      <c r="P14" s="23">
        <v>4873</v>
      </c>
      <c r="Q14" s="23">
        <v>5288</v>
      </c>
      <c r="R14" s="23">
        <v>5311</v>
      </c>
      <c r="S14" s="23">
        <v>5385</v>
      </c>
      <c r="T14" s="23">
        <v>5516</v>
      </c>
      <c r="U14" s="23">
        <v>5513</v>
      </c>
      <c r="V14" s="23">
        <v>5387</v>
      </c>
      <c r="W14" s="23">
        <v>5215</v>
      </c>
      <c r="X14" s="23">
        <v>5405</v>
      </c>
      <c r="Y14" s="23">
        <v>5433</v>
      </c>
      <c r="Z14" s="23">
        <v>5777.1</v>
      </c>
      <c r="AA14" s="23">
        <v>5945.2</v>
      </c>
      <c r="AB14" s="23">
        <v>85418.3</v>
      </c>
    </row>
    <row r="15" spans="1:28" x14ac:dyDescent="0.2">
      <c r="A15" t="s">
        <v>29</v>
      </c>
      <c r="B15" t="s">
        <v>75</v>
      </c>
      <c r="C15" t="s">
        <v>8</v>
      </c>
      <c r="D15" t="s">
        <v>10</v>
      </c>
      <c r="E15" t="s">
        <v>25</v>
      </c>
      <c r="F15" s="20" t="str">
        <f>INDEX(nrg_cb_e!$A$3:$A$40,MATCH(LEFT(MID(B15,43,1000),SEARCH(" - ",MID(B15,43,1000))-1),nrg_cb_e!$C$3:$C$40,0))</f>
        <v>FC_OTH_CP_E</v>
      </c>
      <c r="G15">
        <v>21669.1</v>
      </c>
      <c r="I15" t="s">
        <v>42</v>
      </c>
      <c r="J15" t="s">
        <v>154</v>
      </c>
      <c r="K15" s="23">
        <v>1727</v>
      </c>
      <c r="L15" s="23">
        <v>1865</v>
      </c>
      <c r="M15" s="23">
        <v>1988</v>
      </c>
      <c r="N15" s="23">
        <v>2142</v>
      </c>
      <c r="O15" s="23">
        <v>2331</v>
      </c>
      <c r="P15" s="23">
        <v>2704</v>
      </c>
      <c r="Q15" s="23">
        <v>2628</v>
      </c>
      <c r="R15" s="23">
        <v>2335</v>
      </c>
      <c r="S15" s="23">
        <v>2420</v>
      </c>
      <c r="T15" s="23">
        <v>2487</v>
      </c>
      <c r="U15" s="23">
        <v>2798</v>
      </c>
      <c r="V15" s="23">
        <v>2703</v>
      </c>
      <c r="W15" s="23">
        <v>2882</v>
      </c>
      <c r="X15" s="23">
        <v>2725</v>
      </c>
      <c r="Y15" s="23">
        <v>2733</v>
      </c>
      <c r="Z15" s="23">
        <v>2764.703</v>
      </c>
      <c r="AA15" s="23">
        <v>2856.0070000000001</v>
      </c>
      <c r="AB15" s="23">
        <v>42088.71</v>
      </c>
    </row>
    <row r="16" spans="1:28" x14ac:dyDescent="0.2">
      <c r="A16" t="s">
        <v>29</v>
      </c>
      <c r="B16" t="s">
        <v>75</v>
      </c>
      <c r="C16" t="s">
        <v>8</v>
      </c>
      <c r="D16" t="s">
        <v>10</v>
      </c>
      <c r="E16" t="s">
        <v>26</v>
      </c>
      <c r="F16" s="20" t="str">
        <f>INDEX(nrg_cb_e!$A$3:$A$40,MATCH(LEFT(MID(B16,43,1000),SEARCH(" - ",MID(B16,43,1000))-1),nrg_cb_e!$C$3:$C$40,0))</f>
        <v>FC_OTH_CP_E</v>
      </c>
      <c r="G16">
        <v>21807.5</v>
      </c>
      <c r="I16" t="s">
        <v>43</v>
      </c>
      <c r="J16" t="s">
        <v>154</v>
      </c>
      <c r="K16" s="23">
        <v>2096</v>
      </c>
      <c r="L16" s="23">
        <v>2375</v>
      </c>
      <c r="M16" s="23">
        <v>2543</v>
      </c>
      <c r="N16" s="23">
        <v>2686</v>
      </c>
      <c r="O16" s="23">
        <v>2836</v>
      </c>
      <c r="P16" s="23">
        <v>3012</v>
      </c>
      <c r="Q16" s="23">
        <v>3240</v>
      </c>
      <c r="R16" s="23">
        <v>2955</v>
      </c>
      <c r="S16" s="23">
        <v>2839</v>
      </c>
      <c r="T16" s="23">
        <v>2953</v>
      </c>
      <c r="U16" s="23">
        <v>3114</v>
      </c>
      <c r="V16" s="23">
        <v>3130</v>
      </c>
      <c r="W16" s="23">
        <v>3218</v>
      </c>
      <c r="X16" s="23">
        <v>3110</v>
      </c>
      <c r="Y16" s="23">
        <v>3280</v>
      </c>
      <c r="Z16" s="23">
        <v>3307.3</v>
      </c>
      <c r="AA16" s="23">
        <v>3436.5</v>
      </c>
      <c r="AB16" s="23">
        <v>50130.8</v>
      </c>
    </row>
    <row r="17" spans="1:28" x14ac:dyDescent="0.2">
      <c r="A17" t="s">
        <v>29</v>
      </c>
      <c r="B17" t="s">
        <v>75</v>
      </c>
      <c r="C17" t="s">
        <v>8</v>
      </c>
      <c r="D17" t="s">
        <v>10</v>
      </c>
      <c r="E17" t="s">
        <v>27</v>
      </c>
      <c r="F17" s="20" t="str">
        <f>INDEX(nrg_cb_e!$A$3:$A$40,MATCH(LEFT(MID(B17,43,1000),SEARCH(" - ",MID(B17,43,1000))-1),nrg_cb_e!$C$3:$C$40,0))</f>
        <v>FC_OTH_CP_E</v>
      </c>
      <c r="G17">
        <v>21767.1</v>
      </c>
      <c r="I17" t="s">
        <v>44</v>
      </c>
      <c r="J17" t="s">
        <v>154</v>
      </c>
      <c r="K17" s="23">
        <v>1560.481</v>
      </c>
      <c r="L17" s="23">
        <v>1692.502</v>
      </c>
      <c r="M17" s="23">
        <v>1580.412</v>
      </c>
      <c r="N17" s="23">
        <v>1750.8389999999999</v>
      </c>
      <c r="O17" s="23">
        <v>1777.163</v>
      </c>
      <c r="P17" s="23">
        <v>2126.0250000000001</v>
      </c>
      <c r="Q17" s="23">
        <v>2076.7939999999999</v>
      </c>
      <c r="R17" s="23">
        <v>1962.146</v>
      </c>
      <c r="S17" s="23">
        <v>1993.5340000000001</v>
      </c>
      <c r="T17" s="23">
        <v>1880.5709999999999</v>
      </c>
      <c r="U17" s="23">
        <v>1946.136</v>
      </c>
      <c r="V17" s="23">
        <v>1999.3019999999999</v>
      </c>
      <c r="W17" s="23">
        <v>1932.0830000000001</v>
      </c>
      <c r="X17" s="23">
        <v>1920.4</v>
      </c>
      <c r="Y17" s="23">
        <v>1793.7170000000001</v>
      </c>
      <c r="Z17" s="23">
        <v>2252.107</v>
      </c>
      <c r="AA17" s="23">
        <v>2261.9299999999998</v>
      </c>
      <c r="AB17" s="23">
        <v>32506.142</v>
      </c>
    </row>
    <row r="18" spans="1:28" x14ac:dyDescent="0.2">
      <c r="A18" t="s">
        <v>29</v>
      </c>
      <c r="B18" t="s">
        <v>75</v>
      </c>
      <c r="C18" t="s">
        <v>8</v>
      </c>
      <c r="D18" t="s">
        <v>10</v>
      </c>
      <c r="E18" t="s">
        <v>28</v>
      </c>
      <c r="F18" s="20" t="str">
        <f>INDEX(nrg_cb_e!$A$3:$A$40,MATCH(LEFT(MID(B18,43,1000),SEARCH(" - ",MID(B18,43,1000))-1),nrg_cb_e!$C$3:$C$40,0))</f>
        <v>FC_OTH_CP_E</v>
      </c>
      <c r="G18">
        <v>22047.9</v>
      </c>
      <c r="I18" t="s">
        <v>46</v>
      </c>
      <c r="J18" t="s">
        <v>154</v>
      </c>
      <c r="K18" s="23">
        <v>577</v>
      </c>
      <c r="L18" s="23">
        <v>621</v>
      </c>
      <c r="M18" s="23">
        <v>624</v>
      </c>
      <c r="N18" s="23">
        <v>563</v>
      </c>
      <c r="O18" s="23">
        <v>664</v>
      </c>
      <c r="P18" s="23">
        <v>663</v>
      </c>
      <c r="Q18" s="23">
        <v>650</v>
      </c>
      <c r="R18" s="23">
        <v>627</v>
      </c>
      <c r="S18" s="23">
        <v>797</v>
      </c>
      <c r="T18" s="23">
        <v>829</v>
      </c>
      <c r="U18" s="23">
        <v>888</v>
      </c>
      <c r="V18" s="23">
        <v>896</v>
      </c>
      <c r="W18" s="23">
        <v>943</v>
      </c>
      <c r="X18" s="23">
        <v>1002</v>
      </c>
      <c r="Y18" s="23">
        <v>992.40599999999995</v>
      </c>
      <c r="Z18" s="23">
        <v>1092.5350000000001</v>
      </c>
      <c r="AA18" s="23">
        <v>1117.828</v>
      </c>
      <c r="AB18" s="23">
        <v>13546.768999999998</v>
      </c>
    </row>
    <row r="19" spans="1:28" x14ac:dyDescent="0.2">
      <c r="A19" t="s">
        <v>30</v>
      </c>
      <c r="B19" t="s">
        <v>75</v>
      </c>
      <c r="C19" t="s">
        <v>8</v>
      </c>
      <c r="D19" t="s">
        <v>10</v>
      </c>
      <c r="E19" t="s">
        <v>12</v>
      </c>
      <c r="F19" s="20" t="str">
        <f>INDEX(nrg_cb_e!$A$3:$A$40,MATCH(LEFT(MID(B19,43,1000),SEARCH(" - ",MID(B19,43,1000))-1),nrg_cb_e!$C$3:$C$40,0))</f>
        <v>FC_OTH_CP_E</v>
      </c>
      <c r="G19">
        <v>5641</v>
      </c>
      <c r="I19" t="s">
        <v>47</v>
      </c>
      <c r="J19" t="s">
        <v>154</v>
      </c>
      <c r="K19" s="23">
        <v>30421</v>
      </c>
      <c r="L19" s="23">
        <v>31815</v>
      </c>
      <c r="M19" s="23">
        <v>32942</v>
      </c>
      <c r="N19" s="23">
        <v>33698</v>
      </c>
      <c r="O19" s="23">
        <v>34627</v>
      </c>
      <c r="P19" s="23">
        <v>35417</v>
      </c>
      <c r="Q19" s="23">
        <v>35889</v>
      </c>
      <c r="R19" s="23">
        <v>36547</v>
      </c>
      <c r="S19" s="23">
        <v>36766</v>
      </c>
      <c r="T19" s="23">
        <v>36911</v>
      </c>
      <c r="U19" s="23">
        <v>36129.586000000003</v>
      </c>
      <c r="V19" s="23">
        <v>36282.525999999998</v>
      </c>
      <c r="W19" s="23">
        <v>35589.983</v>
      </c>
      <c r="X19" s="23">
        <v>36173.955999999998</v>
      </c>
      <c r="Y19" s="23">
        <v>36165.339</v>
      </c>
      <c r="Z19" s="23">
        <v>36615.023999999998</v>
      </c>
      <c r="AA19" s="23">
        <v>36907.129000000001</v>
      </c>
      <c r="AB19" s="23">
        <v>598896.54299999995</v>
      </c>
    </row>
    <row r="20" spans="1:28" x14ac:dyDescent="0.2">
      <c r="A20" t="s">
        <v>30</v>
      </c>
      <c r="B20" t="s">
        <v>75</v>
      </c>
      <c r="C20" t="s">
        <v>8</v>
      </c>
      <c r="D20" t="s">
        <v>10</v>
      </c>
      <c r="E20" t="s">
        <v>13</v>
      </c>
      <c r="F20" s="20" t="str">
        <f>INDEX(nrg_cb_e!$A$3:$A$40,MATCH(LEFT(MID(B20,43,1000),SEARCH(" - ",MID(B20,43,1000))-1),nrg_cb_e!$C$3:$C$40,0))</f>
        <v>FC_OTH_CP_E</v>
      </c>
      <c r="G20">
        <v>5989</v>
      </c>
      <c r="I20" t="s">
        <v>58</v>
      </c>
      <c r="J20" t="s">
        <v>154</v>
      </c>
      <c r="K20" s="23">
        <v>24323</v>
      </c>
      <c r="L20" s="23">
        <v>20833</v>
      </c>
      <c r="M20" s="23">
        <v>21586</v>
      </c>
      <c r="N20" s="23">
        <v>21954</v>
      </c>
      <c r="O20" s="23">
        <v>21160</v>
      </c>
      <c r="P20" s="23">
        <v>23322</v>
      </c>
      <c r="Q20" s="23">
        <v>23656</v>
      </c>
      <c r="R20" s="23">
        <v>26892</v>
      </c>
      <c r="S20" s="23">
        <v>26188</v>
      </c>
      <c r="T20" s="23">
        <v>24863</v>
      </c>
      <c r="U20" s="23">
        <v>25856</v>
      </c>
      <c r="V20" s="23">
        <v>26056</v>
      </c>
      <c r="W20" s="23">
        <v>24659</v>
      </c>
      <c r="X20" s="23">
        <v>24660</v>
      </c>
      <c r="Y20" s="23">
        <v>26133</v>
      </c>
      <c r="Z20" s="23">
        <v>25012</v>
      </c>
      <c r="AA20" s="23">
        <v>25446.355</v>
      </c>
      <c r="AB20" s="23">
        <v>412599.35499999998</v>
      </c>
    </row>
    <row r="21" spans="1:28" x14ac:dyDescent="0.2">
      <c r="A21" t="s">
        <v>30</v>
      </c>
      <c r="B21" t="s">
        <v>75</v>
      </c>
      <c r="C21" t="s">
        <v>8</v>
      </c>
      <c r="D21" t="s">
        <v>10</v>
      </c>
      <c r="E21" t="s">
        <v>14</v>
      </c>
      <c r="F21" s="20" t="str">
        <f>INDEX(nrg_cb_e!$A$3:$A$40,MATCH(LEFT(MID(B21,43,1000),SEARCH(" - ",MID(B21,43,1000))-1),nrg_cb_e!$C$3:$C$40,0))</f>
        <v>FC_OTH_CP_E</v>
      </c>
      <c r="G21">
        <v>5768</v>
      </c>
      <c r="I21" t="s">
        <v>48</v>
      </c>
      <c r="J21" t="s">
        <v>154</v>
      </c>
      <c r="K21" s="23">
        <v>11327</v>
      </c>
      <c r="L21" s="23">
        <v>11672</v>
      </c>
      <c r="M21" s="23">
        <v>10687</v>
      </c>
      <c r="N21" s="23">
        <v>12573.75</v>
      </c>
      <c r="O21" s="23">
        <v>12623.959000000001</v>
      </c>
      <c r="P21" s="23">
        <v>12357.696</v>
      </c>
      <c r="Q21" s="23">
        <v>13364.093000000001</v>
      </c>
      <c r="R21" s="23">
        <v>11539.986999999999</v>
      </c>
      <c r="S21" s="23">
        <v>11814.789000000001</v>
      </c>
      <c r="T21" s="23">
        <v>11697.398999999999</v>
      </c>
      <c r="U21" s="23">
        <v>12005.47</v>
      </c>
      <c r="V21" s="23">
        <v>12004.215</v>
      </c>
      <c r="W21" s="23">
        <v>12256.793</v>
      </c>
      <c r="X21" s="23">
        <v>12274.313</v>
      </c>
      <c r="Y21" s="23">
        <v>11541.174999999999</v>
      </c>
      <c r="Z21" s="23">
        <v>12214.653</v>
      </c>
      <c r="AA21" s="23">
        <v>12253.928</v>
      </c>
      <c r="AB21" s="23">
        <v>204208.21999999997</v>
      </c>
    </row>
    <row r="22" spans="1:28" x14ac:dyDescent="0.2">
      <c r="A22" t="s">
        <v>30</v>
      </c>
      <c r="B22" t="s">
        <v>75</v>
      </c>
      <c r="C22" t="s">
        <v>8</v>
      </c>
      <c r="D22" t="s">
        <v>10</v>
      </c>
      <c r="E22" t="s">
        <v>15</v>
      </c>
      <c r="F22" s="20" t="str">
        <f>INDEX(nrg_cb_e!$A$3:$A$40,MATCH(LEFT(MID(B22,43,1000),SEARCH(" - ",MID(B22,43,1000))-1),nrg_cb_e!$C$3:$C$40,0))</f>
        <v>FC_OTH_CP_E</v>
      </c>
      <c r="G22">
        <v>6143</v>
      </c>
      <c r="I22" t="s">
        <v>49</v>
      </c>
      <c r="J22" t="s">
        <v>154</v>
      </c>
      <c r="K22" s="23">
        <v>28640</v>
      </c>
      <c r="L22" s="23">
        <v>29892</v>
      </c>
      <c r="M22" s="23">
        <v>31017</v>
      </c>
      <c r="N22" s="23">
        <v>33357</v>
      </c>
      <c r="O22" s="23">
        <v>36711</v>
      </c>
      <c r="P22" s="23">
        <v>37189</v>
      </c>
      <c r="Q22" s="23">
        <v>41090</v>
      </c>
      <c r="R22" s="23">
        <v>40552</v>
      </c>
      <c r="S22" s="23">
        <v>43669</v>
      </c>
      <c r="T22" s="23">
        <v>44190</v>
      </c>
      <c r="U22" s="23">
        <v>44378</v>
      </c>
      <c r="V22" s="23">
        <v>43130</v>
      </c>
      <c r="W22" s="23">
        <v>45171.472999999998</v>
      </c>
      <c r="X22" s="23">
        <v>45442.62</v>
      </c>
      <c r="Y22" s="23">
        <v>47799.5</v>
      </c>
      <c r="Z22" s="23">
        <v>47018.758000000002</v>
      </c>
      <c r="AA22" s="23">
        <v>49441.15</v>
      </c>
      <c r="AB22" s="23">
        <v>688688.50100000005</v>
      </c>
    </row>
    <row r="23" spans="1:28" x14ac:dyDescent="0.2">
      <c r="A23" t="s">
        <v>30</v>
      </c>
      <c r="B23" t="s">
        <v>75</v>
      </c>
      <c r="C23" t="s">
        <v>8</v>
      </c>
      <c r="D23" t="s">
        <v>10</v>
      </c>
      <c r="E23" t="s">
        <v>16</v>
      </c>
      <c r="F23" s="20" t="str">
        <f>INDEX(nrg_cb_e!$A$3:$A$40,MATCH(LEFT(MID(B23,43,1000),SEARCH(" - ",MID(B23,43,1000))-1),nrg_cb_e!$C$3:$C$40,0))</f>
        <v>FC_OTH_CP_E</v>
      </c>
      <c r="G23">
        <v>6887</v>
      </c>
      <c r="I23" t="s">
        <v>50</v>
      </c>
      <c r="J23" t="s">
        <v>154</v>
      </c>
      <c r="K23" s="23">
        <v>12363</v>
      </c>
      <c r="L23" s="23">
        <v>13185</v>
      </c>
      <c r="M23" s="23">
        <v>13705</v>
      </c>
      <c r="N23" s="23">
        <v>14407</v>
      </c>
      <c r="O23" s="23">
        <v>15240</v>
      </c>
      <c r="P23" s="23">
        <v>15606</v>
      </c>
      <c r="Q23" s="23">
        <v>15775</v>
      </c>
      <c r="R23" s="23">
        <v>15973</v>
      </c>
      <c r="S23" s="23">
        <v>16397</v>
      </c>
      <c r="T23" s="23">
        <v>16270</v>
      </c>
      <c r="U23" s="23">
        <v>16007</v>
      </c>
      <c r="V23" s="23">
        <v>15707</v>
      </c>
      <c r="W23" s="23">
        <v>16756</v>
      </c>
      <c r="X23" s="23">
        <v>17193</v>
      </c>
      <c r="Y23" s="23">
        <v>16456.566999999999</v>
      </c>
      <c r="Z23" s="23">
        <v>16369.539000000001</v>
      </c>
      <c r="AA23" s="23">
        <v>16749.644</v>
      </c>
      <c r="AB23" s="23">
        <v>264159.75</v>
      </c>
    </row>
    <row r="24" spans="1:28" x14ac:dyDescent="0.2">
      <c r="A24" t="s">
        <v>30</v>
      </c>
      <c r="B24" t="s">
        <v>75</v>
      </c>
      <c r="C24" t="s">
        <v>8</v>
      </c>
      <c r="D24" t="s">
        <v>10</v>
      </c>
      <c r="E24" t="s">
        <v>17</v>
      </c>
      <c r="F24" s="20" t="str">
        <f>INDEX(nrg_cb_e!$A$3:$A$40,MATCH(LEFT(MID(B24,43,1000),SEARCH(" - ",MID(B24,43,1000))-1),nrg_cb_e!$C$3:$C$40,0))</f>
        <v>FC_OTH_CP_E</v>
      </c>
      <c r="G24">
        <v>6993</v>
      </c>
      <c r="I24" t="s">
        <v>51</v>
      </c>
      <c r="J24" t="s">
        <v>154</v>
      </c>
      <c r="K24" s="23">
        <v>2741</v>
      </c>
      <c r="L24" s="23">
        <v>4749</v>
      </c>
      <c r="M24" s="23">
        <v>3586</v>
      </c>
      <c r="N24" s="23">
        <v>4000</v>
      </c>
      <c r="O24" s="23">
        <v>4900</v>
      </c>
      <c r="P24" s="23">
        <v>5721</v>
      </c>
      <c r="Q24" s="23">
        <v>6432</v>
      </c>
      <c r="R24" s="23">
        <v>6526</v>
      </c>
      <c r="S24" s="23">
        <v>7581</v>
      </c>
      <c r="T24" s="23">
        <v>7869</v>
      </c>
      <c r="U24" s="23">
        <v>7897</v>
      </c>
      <c r="V24" s="23">
        <v>7961</v>
      </c>
      <c r="W24" s="23">
        <v>8223</v>
      </c>
      <c r="X24" s="23">
        <v>8407</v>
      </c>
      <c r="Y24" s="23">
        <v>8581</v>
      </c>
      <c r="Z24" s="23">
        <v>8547.5400000000009</v>
      </c>
      <c r="AA24" s="23">
        <v>8752.6859999999997</v>
      </c>
      <c r="AB24" s="23">
        <v>112474.22600000001</v>
      </c>
    </row>
    <row r="25" spans="1:28" x14ac:dyDescent="0.2">
      <c r="A25" t="s">
        <v>30</v>
      </c>
      <c r="B25" t="s">
        <v>75</v>
      </c>
      <c r="C25" t="s">
        <v>8</v>
      </c>
      <c r="D25" t="s">
        <v>10</v>
      </c>
      <c r="E25" t="s">
        <v>18</v>
      </c>
      <c r="F25" s="20" t="str">
        <f>INDEX(nrg_cb_e!$A$3:$A$40,MATCH(LEFT(MID(B25,43,1000),SEARCH(" - ",MID(B25,43,1000))-1),nrg_cb_e!$C$3:$C$40,0))</f>
        <v>FC_OTH_CP_E</v>
      </c>
      <c r="G25">
        <v>7479</v>
      </c>
      <c r="I25" t="s">
        <v>55</v>
      </c>
      <c r="J25" t="s">
        <v>154</v>
      </c>
      <c r="K25" s="23">
        <v>28002</v>
      </c>
      <c r="L25" s="23">
        <v>27263</v>
      </c>
      <c r="M25" s="23">
        <v>27557</v>
      </c>
      <c r="N25" s="23">
        <v>26135</v>
      </c>
      <c r="O25" s="23">
        <v>27139</v>
      </c>
      <c r="P25" s="23">
        <v>28457</v>
      </c>
      <c r="Q25" s="23">
        <v>28096</v>
      </c>
      <c r="R25" s="23">
        <v>26744</v>
      </c>
      <c r="S25" s="23">
        <v>27187</v>
      </c>
      <c r="T25" s="23">
        <v>24636</v>
      </c>
      <c r="U25" s="23">
        <v>25741</v>
      </c>
      <c r="V25" s="23">
        <v>25504</v>
      </c>
      <c r="W25" s="23">
        <v>26347</v>
      </c>
      <c r="X25" s="23">
        <v>27736</v>
      </c>
      <c r="Y25" s="23">
        <v>28733</v>
      </c>
      <c r="Z25" s="23">
        <v>27563</v>
      </c>
      <c r="AA25" s="23">
        <v>28012</v>
      </c>
      <c r="AB25" s="23">
        <v>460852</v>
      </c>
    </row>
    <row r="26" spans="1:28" x14ac:dyDescent="0.2">
      <c r="A26" t="s">
        <v>30</v>
      </c>
      <c r="B26" t="s">
        <v>75</v>
      </c>
      <c r="C26" t="s">
        <v>8</v>
      </c>
      <c r="D26" t="s">
        <v>10</v>
      </c>
      <c r="E26" t="s">
        <v>19</v>
      </c>
      <c r="F26" s="20" t="str">
        <f>INDEX(nrg_cb_e!$A$3:$A$40,MATCH(LEFT(MID(B26,43,1000),SEARCH(" - ",MID(B26,43,1000))-1),nrg_cb_e!$C$3:$C$40,0))</f>
        <v>FC_OTH_CP_E</v>
      </c>
      <c r="G26">
        <v>7433</v>
      </c>
      <c r="I26" t="s">
        <v>59</v>
      </c>
      <c r="J26" t="s">
        <v>154</v>
      </c>
      <c r="K26" s="23">
        <v>335</v>
      </c>
      <c r="L26" s="23">
        <v>313</v>
      </c>
      <c r="M26" s="23">
        <v>4590</v>
      </c>
      <c r="N26" s="23">
        <v>4956</v>
      </c>
      <c r="O26" s="23">
        <v>5195</v>
      </c>
      <c r="P26" s="23">
        <v>5369</v>
      </c>
      <c r="Q26" s="23">
        <v>5615</v>
      </c>
      <c r="R26" s="23">
        <v>4828</v>
      </c>
      <c r="S26" s="23">
        <v>4957</v>
      </c>
      <c r="T26" s="23">
        <v>5003</v>
      </c>
      <c r="U26" s="23">
        <v>4918</v>
      </c>
      <c r="V26" s="23">
        <v>4899</v>
      </c>
      <c r="W26" s="23">
        <v>4566</v>
      </c>
      <c r="X26" s="23">
        <v>4920</v>
      </c>
      <c r="Y26" s="23">
        <v>5005</v>
      </c>
      <c r="Z26" s="23">
        <v>5190.2700000000004</v>
      </c>
      <c r="AA26" s="23">
        <v>5183.1689999999999</v>
      </c>
      <c r="AB26" s="23">
        <v>75842.438999999998</v>
      </c>
    </row>
    <row r="27" spans="1:28" x14ac:dyDescent="0.2">
      <c r="A27" t="s">
        <v>30</v>
      </c>
      <c r="B27" t="s">
        <v>75</v>
      </c>
      <c r="C27" t="s">
        <v>8</v>
      </c>
      <c r="D27" t="s">
        <v>10</v>
      </c>
      <c r="E27" t="s">
        <v>20</v>
      </c>
      <c r="F27" s="20" t="str">
        <f>INDEX(nrg_cb_e!$A$3:$A$40,MATCH(LEFT(MID(B27,43,1000),SEARCH(" - ",MID(B27,43,1000))-1),nrg_cb_e!$C$3:$C$40,0))</f>
        <v>FC_OTH_CP_E</v>
      </c>
      <c r="G27">
        <v>8101</v>
      </c>
      <c r="I27" t="s">
        <v>53</v>
      </c>
      <c r="J27" t="s">
        <v>154</v>
      </c>
      <c r="K27" s="23">
        <v>7350</v>
      </c>
      <c r="L27" s="23">
        <v>6471</v>
      </c>
      <c r="M27" s="23">
        <v>7353</v>
      </c>
      <c r="N27" s="23">
        <v>6151</v>
      </c>
      <c r="O27" s="23">
        <v>6267</v>
      </c>
      <c r="P27" s="23">
        <v>6844</v>
      </c>
      <c r="Q27" s="23">
        <v>6790</v>
      </c>
      <c r="R27" s="23">
        <v>7079</v>
      </c>
      <c r="S27" s="23">
        <v>8014</v>
      </c>
      <c r="T27" s="23">
        <v>8232</v>
      </c>
      <c r="U27" s="23">
        <v>6450</v>
      </c>
      <c r="V27" s="23">
        <v>7549</v>
      </c>
      <c r="W27" s="23">
        <v>6145</v>
      </c>
      <c r="X27" s="23">
        <v>6866</v>
      </c>
      <c r="Y27" s="23">
        <v>6946</v>
      </c>
      <c r="Z27" s="23">
        <v>7674</v>
      </c>
      <c r="AA27" s="23">
        <v>7218</v>
      </c>
      <c r="AB27" s="23">
        <v>119399</v>
      </c>
    </row>
    <row r="28" spans="1:28" x14ac:dyDescent="0.2">
      <c r="A28" t="s">
        <v>30</v>
      </c>
      <c r="B28" t="s">
        <v>75</v>
      </c>
      <c r="C28" t="s">
        <v>8</v>
      </c>
      <c r="D28" t="s">
        <v>10</v>
      </c>
      <c r="E28" t="s">
        <v>21</v>
      </c>
      <c r="F28" s="20" t="str">
        <f>INDEX(nrg_cb_e!$A$3:$A$40,MATCH(LEFT(MID(B28,43,1000),SEARCH(" - ",MID(B28,43,1000))-1),nrg_cb_e!$C$3:$C$40,0))</f>
        <v>FC_OTH_CP_E</v>
      </c>
      <c r="G28">
        <v>8437</v>
      </c>
      <c r="I28" t="s">
        <v>52</v>
      </c>
      <c r="J28" t="s">
        <v>154</v>
      </c>
      <c r="K28" s="23">
        <v>2986</v>
      </c>
      <c r="L28" s="23">
        <v>2272</v>
      </c>
      <c r="M28" s="23">
        <v>2589</v>
      </c>
      <c r="N28" s="23">
        <v>2421</v>
      </c>
      <c r="O28" s="23">
        <v>2472</v>
      </c>
      <c r="P28" s="23">
        <v>2580</v>
      </c>
      <c r="Q28" s="23">
        <v>3117</v>
      </c>
      <c r="R28" s="23">
        <v>3034</v>
      </c>
      <c r="S28" s="23">
        <v>3066</v>
      </c>
      <c r="T28" s="23">
        <v>3261</v>
      </c>
      <c r="U28" s="23">
        <v>3168</v>
      </c>
      <c r="V28" s="23">
        <v>3218</v>
      </c>
      <c r="W28" s="23">
        <v>3141</v>
      </c>
      <c r="X28" s="23">
        <v>3232</v>
      </c>
      <c r="Y28" s="23">
        <v>3365</v>
      </c>
      <c r="Z28" s="23">
        <v>3523.8670000000002</v>
      </c>
      <c r="AA28" s="23">
        <v>3269.0990000000002</v>
      </c>
      <c r="AB28" s="23">
        <v>50714.966</v>
      </c>
    </row>
    <row r="29" spans="1:28" x14ac:dyDescent="0.2">
      <c r="A29" t="s">
        <v>30</v>
      </c>
      <c r="B29" t="s">
        <v>75</v>
      </c>
      <c r="C29" t="s">
        <v>8</v>
      </c>
      <c r="D29" t="s">
        <v>10</v>
      </c>
      <c r="E29" t="s">
        <v>22</v>
      </c>
      <c r="F29" s="20" t="str">
        <f>INDEX(nrg_cb_e!$A$3:$A$40,MATCH(LEFT(MID(B29,43,1000),SEARCH(" - ",MID(B29,43,1000))-1),nrg_cb_e!$C$3:$C$40,0))</f>
        <v>FC_OTH_CP_E</v>
      </c>
      <c r="G29">
        <v>8170</v>
      </c>
      <c r="I29" t="s">
        <v>37</v>
      </c>
      <c r="J29" t="s">
        <v>154</v>
      </c>
      <c r="K29" s="23">
        <v>53227</v>
      </c>
      <c r="L29" s="23">
        <v>57232</v>
      </c>
      <c r="M29" s="23">
        <v>60671</v>
      </c>
      <c r="N29" s="23">
        <v>63823</v>
      </c>
      <c r="O29" s="23">
        <v>73130</v>
      </c>
      <c r="P29" s="23">
        <v>74050</v>
      </c>
      <c r="Q29" s="23">
        <v>79769</v>
      </c>
      <c r="R29" s="23">
        <v>81019</v>
      </c>
      <c r="S29" s="23">
        <v>83892</v>
      </c>
      <c r="T29" s="23">
        <v>81825</v>
      </c>
      <c r="U29" s="23">
        <v>80752</v>
      </c>
      <c r="V29" s="23">
        <v>76302</v>
      </c>
      <c r="W29" s="23">
        <v>70562</v>
      </c>
      <c r="X29" s="23">
        <v>74108</v>
      </c>
      <c r="Y29" s="23">
        <v>73388</v>
      </c>
      <c r="Z29" s="23">
        <v>75307</v>
      </c>
      <c r="AA29" s="23">
        <v>74513</v>
      </c>
      <c r="AB29" s="23">
        <v>1233570</v>
      </c>
    </row>
    <row r="30" spans="1:28" x14ac:dyDescent="0.2">
      <c r="A30" t="s">
        <v>30</v>
      </c>
      <c r="B30" t="s">
        <v>75</v>
      </c>
      <c r="C30" t="s">
        <v>8</v>
      </c>
      <c r="D30" t="s">
        <v>10</v>
      </c>
      <c r="E30" t="s">
        <v>23</v>
      </c>
      <c r="F30" s="20" t="str">
        <f>INDEX(nrg_cb_e!$A$3:$A$40,MATCH(LEFT(MID(B30,43,1000),SEARCH(" - ",MID(B30,43,1000))-1),nrg_cb_e!$C$3:$C$40,0))</f>
        <v>FC_OTH_CP_E</v>
      </c>
      <c r="G30">
        <v>7954</v>
      </c>
      <c r="I30" t="s">
        <v>31</v>
      </c>
      <c r="J30" t="s">
        <v>154</v>
      </c>
      <c r="K30" s="23">
        <v>11379</v>
      </c>
      <c r="L30" s="23">
        <v>12592</v>
      </c>
      <c r="M30" s="23">
        <v>12600</v>
      </c>
      <c r="N30" s="23">
        <v>12911</v>
      </c>
      <c r="O30" s="23">
        <v>13392</v>
      </c>
      <c r="P30" s="23">
        <v>13769</v>
      </c>
      <c r="Q30" s="23">
        <v>14336</v>
      </c>
      <c r="R30" s="23">
        <v>14038</v>
      </c>
      <c r="S30" s="23">
        <v>14851</v>
      </c>
      <c r="T30" s="23">
        <v>14471</v>
      </c>
      <c r="U30" s="23">
        <v>14469</v>
      </c>
      <c r="V30" s="23">
        <v>14809</v>
      </c>
      <c r="W30" s="23">
        <v>14464</v>
      </c>
      <c r="X30" s="23">
        <v>14875</v>
      </c>
      <c r="Y30" s="23">
        <v>15327</v>
      </c>
      <c r="Z30" s="23">
        <v>15618.21</v>
      </c>
      <c r="AA30" s="23">
        <v>16027.522999999999</v>
      </c>
      <c r="AB30" s="23">
        <v>239928.73299999998</v>
      </c>
    </row>
    <row r="31" spans="1:28" x14ac:dyDescent="0.2">
      <c r="A31" t="s">
        <v>30</v>
      </c>
      <c r="B31" t="s">
        <v>75</v>
      </c>
      <c r="C31" t="s">
        <v>8</v>
      </c>
      <c r="D31" t="s">
        <v>10</v>
      </c>
      <c r="E31" t="s">
        <v>24</v>
      </c>
      <c r="F31" s="20" t="str">
        <f>INDEX(nrg_cb_e!$A$3:$A$40,MATCH(LEFT(MID(B31,43,1000),SEARCH(" - ",MID(B31,43,1000))-1),nrg_cb_e!$C$3:$C$40,0))</f>
        <v>FC_OTH_CP_E</v>
      </c>
      <c r="G31">
        <v>7831</v>
      </c>
      <c r="I31" t="s">
        <v>45</v>
      </c>
      <c r="J31" t="s">
        <v>154</v>
      </c>
      <c r="K31" s="23">
        <v>8723</v>
      </c>
      <c r="L31" s="23">
        <v>8647</v>
      </c>
      <c r="M31" s="23">
        <v>9124</v>
      </c>
      <c r="N31" s="23">
        <v>9931</v>
      </c>
      <c r="O31" s="23">
        <v>10298</v>
      </c>
      <c r="P31" s="23">
        <v>10853</v>
      </c>
      <c r="Q31" s="23">
        <v>10827</v>
      </c>
      <c r="R31" s="23">
        <v>11363</v>
      </c>
      <c r="S31" s="23">
        <v>11355</v>
      </c>
      <c r="T31" s="23">
        <v>11466</v>
      </c>
      <c r="U31" s="23">
        <v>7817</v>
      </c>
      <c r="V31" s="23">
        <v>7507</v>
      </c>
      <c r="W31" s="23">
        <v>7647</v>
      </c>
      <c r="X31" s="23">
        <v>7937</v>
      </c>
      <c r="Y31" s="23">
        <v>8045</v>
      </c>
      <c r="Z31" s="23">
        <v>8323</v>
      </c>
      <c r="AA31" s="23">
        <v>8540</v>
      </c>
      <c r="AB31" s="23">
        <v>158403</v>
      </c>
    </row>
    <row r="32" spans="1:28" x14ac:dyDescent="0.2">
      <c r="A32" t="s">
        <v>30</v>
      </c>
      <c r="B32" t="s">
        <v>75</v>
      </c>
      <c r="C32" t="s">
        <v>8</v>
      </c>
      <c r="D32" t="s">
        <v>10</v>
      </c>
      <c r="E32" t="s">
        <v>25</v>
      </c>
      <c r="F32" s="20" t="str">
        <f>INDEX(nrg_cb_e!$A$3:$A$40,MATCH(LEFT(MID(B32,43,1000),SEARCH(" - ",MID(B32,43,1000))-1),nrg_cb_e!$C$3:$C$40,0))</f>
        <v>FC_OTH_CP_E</v>
      </c>
      <c r="G32">
        <v>8076</v>
      </c>
      <c r="I32" t="s">
        <v>56</v>
      </c>
      <c r="J32" t="s">
        <v>154</v>
      </c>
      <c r="K32" s="23">
        <v>93620</v>
      </c>
      <c r="L32" s="23">
        <v>91722</v>
      </c>
      <c r="M32" s="23">
        <v>95178</v>
      </c>
      <c r="N32" s="23">
        <v>98878</v>
      </c>
      <c r="O32" s="23">
        <v>97618</v>
      </c>
      <c r="P32" s="23">
        <v>97764</v>
      </c>
      <c r="Q32" s="23">
        <v>99861</v>
      </c>
      <c r="R32" s="23">
        <v>95628</v>
      </c>
      <c r="S32" s="23">
        <v>97372</v>
      </c>
      <c r="T32" s="23">
        <v>95718</v>
      </c>
      <c r="U32" s="23">
        <v>96802</v>
      </c>
      <c r="V32" s="23">
        <v>97652</v>
      </c>
      <c r="W32" s="23">
        <v>93356</v>
      </c>
      <c r="X32" s="23">
        <v>94144.376999999993</v>
      </c>
      <c r="Y32" s="23">
        <v>93692.277000000002</v>
      </c>
      <c r="Z32" s="23">
        <v>92792.122000000003</v>
      </c>
      <c r="AA32" s="23">
        <v>92256.781000000003</v>
      </c>
      <c r="AB32" s="23">
        <v>1624054.557</v>
      </c>
    </row>
    <row r="33" spans="1:28" x14ac:dyDescent="0.2">
      <c r="A33" t="s">
        <v>30</v>
      </c>
      <c r="B33" t="s">
        <v>75</v>
      </c>
      <c r="C33" t="s">
        <v>8</v>
      </c>
      <c r="D33" t="s">
        <v>10</v>
      </c>
      <c r="E33" t="s">
        <v>26</v>
      </c>
      <c r="F33" s="20" t="str">
        <f>INDEX(nrg_cb_e!$A$3:$A$40,MATCH(LEFT(MID(B33,43,1000),SEARCH(" - ",MID(B33,43,1000))-1),nrg_cb_e!$C$3:$C$40,0))</f>
        <v>FC_OTH_CP_E</v>
      </c>
      <c r="G33">
        <v>8505</v>
      </c>
      <c r="I33" t="s">
        <v>41</v>
      </c>
      <c r="J33" t="s">
        <v>154</v>
      </c>
      <c r="K33" s="23">
        <v>1584</v>
      </c>
      <c r="L33" s="23">
        <v>1664</v>
      </c>
      <c r="M33" s="23">
        <v>1712.355</v>
      </c>
      <c r="N33" s="23">
        <v>1786.355</v>
      </c>
      <c r="O33" s="23">
        <v>1858.355</v>
      </c>
      <c r="P33" s="23">
        <v>1952.355</v>
      </c>
      <c r="Q33" s="23">
        <v>2067.355</v>
      </c>
      <c r="R33" s="23">
        <v>2164.355</v>
      </c>
      <c r="S33" s="23">
        <v>2256.355</v>
      </c>
      <c r="T33" s="23">
        <v>2138.4140000000002</v>
      </c>
      <c r="U33" s="23">
        <v>2000.4290000000001</v>
      </c>
      <c r="V33" s="23">
        <v>1786.4290000000001</v>
      </c>
      <c r="W33" s="23">
        <v>1838.4290000000001</v>
      </c>
      <c r="X33" s="23">
        <v>1886.4290000000001</v>
      </c>
      <c r="Y33" s="23">
        <v>2065.4290000000001</v>
      </c>
      <c r="Z33" s="23">
        <v>2096.6610000000001</v>
      </c>
      <c r="AA33" s="23">
        <v>2174.0340000000001</v>
      </c>
      <c r="AB33" s="23">
        <v>33031.739000000001</v>
      </c>
    </row>
    <row r="34" spans="1:28" x14ac:dyDescent="0.2">
      <c r="A34" t="s">
        <v>30</v>
      </c>
      <c r="B34" t="s">
        <v>75</v>
      </c>
      <c r="C34" t="s">
        <v>8</v>
      </c>
      <c r="D34" t="s">
        <v>10</v>
      </c>
      <c r="E34" t="s">
        <v>27</v>
      </c>
      <c r="F34" s="20" t="str">
        <f>INDEX(nrg_cb_e!$A$3:$A$40,MATCH(LEFT(MID(B34,43,1000),SEARCH(" - ",MID(B34,43,1000))-1),nrg_cb_e!$C$3:$C$40,0))</f>
        <v>FC_OTH_CP_E</v>
      </c>
      <c r="G34">
        <v>8433.7720000000008</v>
      </c>
    </row>
    <row r="35" spans="1:28" x14ac:dyDescent="0.2">
      <c r="A35" t="s">
        <v>30</v>
      </c>
      <c r="B35" t="s">
        <v>75</v>
      </c>
      <c r="C35" t="s">
        <v>8</v>
      </c>
      <c r="D35" t="s">
        <v>10</v>
      </c>
      <c r="E35" t="s">
        <v>28</v>
      </c>
      <c r="F35" s="20" t="str">
        <f>INDEX(nrg_cb_e!$A$3:$A$40,MATCH(LEFT(MID(B35,43,1000),SEARCH(" - ",MID(B35,43,1000))-1),nrg_cb_e!$C$3:$C$40,0))</f>
        <v>FC_OTH_CP_E</v>
      </c>
      <c r="G35">
        <v>8470.5470000000005</v>
      </c>
    </row>
    <row r="36" spans="1:28" x14ac:dyDescent="0.2">
      <c r="A36" t="s">
        <v>31</v>
      </c>
      <c r="B36" t="s">
        <v>75</v>
      </c>
      <c r="C36" t="s">
        <v>8</v>
      </c>
      <c r="D36" t="s">
        <v>10</v>
      </c>
      <c r="E36" t="s">
        <v>12</v>
      </c>
      <c r="F36" s="20" t="str">
        <f>INDEX(nrg_cb_e!$A$3:$A$40,MATCH(LEFT(MID(B36,43,1000),SEARCH(" - ",MID(B36,43,1000))-1),nrg_cb_e!$C$3:$C$40,0))</f>
        <v>FC_OTH_CP_E</v>
      </c>
      <c r="G36">
        <v>11379</v>
      </c>
    </row>
    <row r="37" spans="1:28" x14ac:dyDescent="0.2">
      <c r="A37" t="s">
        <v>31</v>
      </c>
      <c r="B37" t="s">
        <v>75</v>
      </c>
      <c r="C37" t="s">
        <v>8</v>
      </c>
      <c r="D37" t="s">
        <v>10</v>
      </c>
      <c r="E37" t="s">
        <v>13</v>
      </c>
      <c r="F37" s="20" t="str">
        <f>INDEX(nrg_cb_e!$A$3:$A$40,MATCH(LEFT(MID(B37,43,1000),SEARCH(" - ",MID(B37,43,1000))-1),nrg_cb_e!$C$3:$C$40,0))</f>
        <v>FC_OTH_CP_E</v>
      </c>
      <c r="G37">
        <v>12592</v>
      </c>
    </row>
    <row r="38" spans="1:28" x14ac:dyDescent="0.2">
      <c r="A38" t="s">
        <v>31</v>
      </c>
      <c r="B38" t="s">
        <v>75</v>
      </c>
      <c r="C38" t="s">
        <v>8</v>
      </c>
      <c r="D38" t="s">
        <v>10</v>
      </c>
      <c r="E38" t="s">
        <v>14</v>
      </c>
      <c r="F38" s="20" t="str">
        <f>INDEX(nrg_cb_e!$A$3:$A$40,MATCH(LEFT(MID(B38,43,1000),SEARCH(" - ",MID(B38,43,1000))-1),nrg_cb_e!$C$3:$C$40,0))</f>
        <v>FC_OTH_CP_E</v>
      </c>
      <c r="G38">
        <v>12600</v>
      </c>
    </row>
    <row r="39" spans="1:28" x14ac:dyDescent="0.2">
      <c r="A39" t="s">
        <v>31</v>
      </c>
      <c r="B39" t="s">
        <v>75</v>
      </c>
      <c r="C39" t="s">
        <v>8</v>
      </c>
      <c r="D39" t="s">
        <v>10</v>
      </c>
      <c r="E39" t="s">
        <v>15</v>
      </c>
      <c r="F39" s="20" t="str">
        <f>INDEX(nrg_cb_e!$A$3:$A$40,MATCH(LEFT(MID(B39,43,1000),SEARCH(" - ",MID(B39,43,1000))-1),nrg_cb_e!$C$3:$C$40,0))</f>
        <v>FC_OTH_CP_E</v>
      </c>
      <c r="G39">
        <v>12911</v>
      </c>
    </row>
    <row r="40" spans="1:28" x14ac:dyDescent="0.2">
      <c r="A40" t="s">
        <v>31</v>
      </c>
      <c r="B40" t="s">
        <v>75</v>
      </c>
      <c r="C40" t="s">
        <v>8</v>
      </c>
      <c r="D40" t="s">
        <v>10</v>
      </c>
      <c r="E40" t="s">
        <v>16</v>
      </c>
      <c r="F40" s="20" t="str">
        <f>INDEX(nrg_cb_e!$A$3:$A$40,MATCH(LEFT(MID(B40,43,1000),SEARCH(" - ",MID(B40,43,1000))-1),nrg_cb_e!$C$3:$C$40,0))</f>
        <v>FC_OTH_CP_E</v>
      </c>
      <c r="G40">
        <v>13392</v>
      </c>
    </row>
    <row r="41" spans="1:28" x14ac:dyDescent="0.2">
      <c r="A41" t="s">
        <v>31</v>
      </c>
      <c r="B41" t="s">
        <v>75</v>
      </c>
      <c r="C41" t="s">
        <v>8</v>
      </c>
      <c r="D41" t="s">
        <v>10</v>
      </c>
      <c r="E41" t="s">
        <v>17</v>
      </c>
      <c r="F41" s="20" t="str">
        <f>INDEX(nrg_cb_e!$A$3:$A$40,MATCH(LEFT(MID(B41,43,1000),SEARCH(" - ",MID(B41,43,1000))-1),nrg_cb_e!$C$3:$C$40,0))</f>
        <v>FC_OTH_CP_E</v>
      </c>
      <c r="G41">
        <v>13769</v>
      </c>
    </row>
    <row r="42" spans="1:28" x14ac:dyDescent="0.2">
      <c r="A42" t="s">
        <v>31</v>
      </c>
      <c r="B42" t="s">
        <v>75</v>
      </c>
      <c r="C42" t="s">
        <v>8</v>
      </c>
      <c r="D42" t="s">
        <v>10</v>
      </c>
      <c r="E42" t="s">
        <v>18</v>
      </c>
      <c r="F42" s="20" t="str">
        <f>INDEX(nrg_cb_e!$A$3:$A$40,MATCH(LEFT(MID(B42,43,1000),SEARCH(" - ",MID(B42,43,1000))-1),nrg_cb_e!$C$3:$C$40,0))</f>
        <v>FC_OTH_CP_E</v>
      </c>
      <c r="G42">
        <v>14336</v>
      </c>
    </row>
    <row r="43" spans="1:28" x14ac:dyDescent="0.2">
      <c r="A43" t="s">
        <v>31</v>
      </c>
      <c r="B43" t="s">
        <v>75</v>
      </c>
      <c r="C43" t="s">
        <v>8</v>
      </c>
      <c r="D43" t="s">
        <v>10</v>
      </c>
      <c r="E43" t="s">
        <v>19</v>
      </c>
      <c r="F43" s="20" t="str">
        <f>INDEX(nrg_cb_e!$A$3:$A$40,MATCH(LEFT(MID(B43,43,1000),SEARCH(" - ",MID(B43,43,1000))-1),nrg_cb_e!$C$3:$C$40,0))</f>
        <v>FC_OTH_CP_E</v>
      </c>
      <c r="G43">
        <v>14038</v>
      </c>
    </row>
    <row r="44" spans="1:28" x14ac:dyDescent="0.2">
      <c r="A44" t="s">
        <v>31</v>
      </c>
      <c r="B44" t="s">
        <v>75</v>
      </c>
      <c r="C44" t="s">
        <v>8</v>
      </c>
      <c r="D44" t="s">
        <v>10</v>
      </c>
      <c r="E44" t="s">
        <v>20</v>
      </c>
      <c r="F44" s="20" t="str">
        <f>INDEX(nrg_cb_e!$A$3:$A$40,MATCH(LEFT(MID(B44,43,1000),SEARCH(" - ",MID(B44,43,1000))-1),nrg_cb_e!$C$3:$C$40,0))</f>
        <v>FC_OTH_CP_E</v>
      </c>
      <c r="G44">
        <v>14851</v>
      </c>
    </row>
    <row r="45" spans="1:28" x14ac:dyDescent="0.2">
      <c r="A45" t="s">
        <v>31</v>
      </c>
      <c r="B45" t="s">
        <v>75</v>
      </c>
      <c r="C45" t="s">
        <v>8</v>
      </c>
      <c r="D45" t="s">
        <v>10</v>
      </c>
      <c r="E45" t="s">
        <v>21</v>
      </c>
      <c r="F45" s="20" t="str">
        <f>INDEX(nrg_cb_e!$A$3:$A$40,MATCH(LEFT(MID(B45,43,1000),SEARCH(" - ",MID(B45,43,1000))-1),nrg_cb_e!$C$3:$C$40,0))</f>
        <v>FC_OTH_CP_E</v>
      </c>
      <c r="G45">
        <v>14471</v>
      </c>
    </row>
    <row r="46" spans="1:28" x14ac:dyDescent="0.2">
      <c r="A46" t="s">
        <v>31</v>
      </c>
      <c r="B46" t="s">
        <v>75</v>
      </c>
      <c r="C46" t="s">
        <v>8</v>
      </c>
      <c r="D46" t="s">
        <v>10</v>
      </c>
      <c r="E46" t="s">
        <v>22</v>
      </c>
      <c r="F46" s="20" t="str">
        <f>INDEX(nrg_cb_e!$A$3:$A$40,MATCH(LEFT(MID(B46,43,1000),SEARCH(" - ",MID(B46,43,1000))-1),nrg_cb_e!$C$3:$C$40,0))</f>
        <v>FC_OTH_CP_E</v>
      </c>
      <c r="G46">
        <v>14469</v>
      </c>
    </row>
    <row r="47" spans="1:28" x14ac:dyDescent="0.2">
      <c r="A47" t="s">
        <v>31</v>
      </c>
      <c r="B47" t="s">
        <v>75</v>
      </c>
      <c r="C47" t="s">
        <v>8</v>
      </c>
      <c r="D47" t="s">
        <v>10</v>
      </c>
      <c r="E47" t="s">
        <v>23</v>
      </c>
      <c r="F47" s="20" t="str">
        <f>INDEX(nrg_cb_e!$A$3:$A$40,MATCH(LEFT(MID(B47,43,1000),SEARCH(" - ",MID(B47,43,1000))-1),nrg_cb_e!$C$3:$C$40,0))</f>
        <v>FC_OTH_CP_E</v>
      </c>
      <c r="G47">
        <v>14809</v>
      </c>
    </row>
    <row r="48" spans="1:28" x14ac:dyDescent="0.2">
      <c r="A48" t="s">
        <v>31</v>
      </c>
      <c r="B48" t="s">
        <v>75</v>
      </c>
      <c r="C48" t="s">
        <v>8</v>
      </c>
      <c r="D48" t="s">
        <v>10</v>
      </c>
      <c r="E48" t="s">
        <v>24</v>
      </c>
      <c r="F48" s="20" t="str">
        <f>INDEX(nrg_cb_e!$A$3:$A$40,MATCH(LEFT(MID(B48,43,1000),SEARCH(" - ",MID(B48,43,1000))-1),nrg_cb_e!$C$3:$C$40,0))</f>
        <v>FC_OTH_CP_E</v>
      </c>
      <c r="G48">
        <v>14464</v>
      </c>
    </row>
    <row r="49" spans="1:7" x14ac:dyDescent="0.2">
      <c r="A49" t="s">
        <v>31</v>
      </c>
      <c r="B49" t="s">
        <v>75</v>
      </c>
      <c r="C49" t="s">
        <v>8</v>
      </c>
      <c r="D49" t="s">
        <v>10</v>
      </c>
      <c r="E49" t="s">
        <v>25</v>
      </c>
      <c r="F49" s="20" t="str">
        <f>INDEX(nrg_cb_e!$A$3:$A$40,MATCH(LEFT(MID(B49,43,1000),SEARCH(" - ",MID(B49,43,1000))-1),nrg_cb_e!$C$3:$C$40,0))</f>
        <v>FC_OTH_CP_E</v>
      </c>
      <c r="G49">
        <v>14875</v>
      </c>
    </row>
    <row r="50" spans="1:7" x14ac:dyDescent="0.2">
      <c r="A50" t="s">
        <v>31</v>
      </c>
      <c r="B50" t="s">
        <v>75</v>
      </c>
      <c r="C50" t="s">
        <v>8</v>
      </c>
      <c r="D50" t="s">
        <v>10</v>
      </c>
      <c r="E50" t="s">
        <v>26</v>
      </c>
      <c r="F50" s="20" t="str">
        <f>INDEX(nrg_cb_e!$A$3:$A$40,MATCH(LEFT(MID(B50,43,1000),SEARCH(" - ",MID(B50,43,1000))-1),nrg_cb_e!$C$3:$C$40,0))</f>
        <v>FC_OTH_CP_E</v>
      </c>
      <c r="G50">
        <v>15327</v>
      </c>
    </row>
    <row r="51" spans="1:7" x14ac:dyDescent="0.2">
      <c r="A51" t="s">
        <v>31</v>
      </c>
      <c r="B51" t="s">
        <v>75</v>
      </c>
      <c r="C51" t="s">
        <v>8</v>
      </c>
      <c r="D51" t="s">
        <v>10</v>
      </c>
      <c r="E51" t="s">
        <v>27</v>
      </c>
      <c r="F51" s="20" t="str">
        <f>INDEX(nrg_cb_e!$A$3:$A$40,MATCH(LEFT(MID(B51,43,1000),SEARCH(" - ",MID(B51,43,1000))-1),nrg_cb_e!$C$3:$C$40,0))</f>
        <v>FC_OTH_CP_E</v>
      </c>
      <c r="G51">
        <v>15618.21</v>
      </c>
    </row>
    <row r="52" spans="1:7" x14ac:dyDescent="0.2">
      <c r="A52" t="s">
        <v>31</v>
      </c>
      <c r="B52" t="s">
        <v>75</v>
      </c>
      <c r="C52" t="s">
        <v>8</v>
      </c>
      <c r="D52" t="s">
        <v>10</v>
      </c>
      <c r="E52" t="s">
        <v>28</v>
      </c>
      <c r="F52" s="20" t="str">
        <f>INDEX(nrg_cb_e!$A$3:$A$40,MATCH(LEFT(MID(B52,43,1000),SEARCH(" - ",MID(B52,43,1000))-1),nrg_cb_e!$C$3:$C$40,0))</f>
        <v>FC_OTH_CP_E</v>
      </c>
      <c r="G52">
        <v>16027.522999999999</v>
      </c>
    </row>
    <row r="53" spans="1:7" x14ac:dyDescent="0.2">
      <c r="A53" t="s">
        <v>32</v>
      </c>
      <c r="B53" t="s">
        <v>75</v>
      </c>
      <c r="C53" t="s">
        <v>8</v>
      </c>
      <c r="D53" t="s">
        <v>10</v>
      </c>
      <c r="E53" t="s">
        <v>12</v>
      </c>
      <c r="F53" s="20" t="str">
        <f>INDEX(nrg_cb_e!$A$3:$A$40,MATCH(LEFT(MID(B53,43,1000),SEARCH(" - ",MID(B53,43,1000))-1),nrg_cb_e!$C$3:$C$40,0))</f>
        <v>FC_OTH_CP_E</v>
      </c>
      <c r="G53">
        <v>10247</v>
      </c>
    </row>
    <row r="54" spans="1:7" x14ac:dyDescent="0.2">
      <c r="A54" t="s">
        <v>32</v>
      </c>
      <c r="B54" t="s">
        <v>75</v>
      </c>
      <c r="C54" t="s">
        <v>8</v>
      </c>
      <c r="D54" t="s">
        <v>10</v>
      </c>
      <c r="E54" t="s">
        <v>13</v>
      </c>
      <c r="F54" s="20" t="str">
        <f>INDEX(nrg_cb_e!$A$3:$A$40,MATCH(LEFT(MID(B54,43,1000),SEARCH(" - ",MID(B54,43,1000))-1),nrg_cb_e!$C$3:$C$40,0))</f>
        <v>FC_OTH_CP_E</v>
      </c>
      <c r="G54">
        <v>10189</v>
      </c>
    </row>
    <row r="55" spans="1:7" x14ac:dyDescent="0.2">
      <c r="A55" t="s">
        <v>32</v>
      </c>
      <c r="B55" t="s">
        <v>75</v>
      </c>
      <c r="C55" t="s">
        <v>8</v>
      </c>
      <c r="D55" t="s">
        <v>10</v>
      </c>
      <c r="E55" t="s">
        <v>14</v>
      </c>
      <c r="F55" s="20" t="str">
        <f>INDEX(nrg_cb_e!$A$3:$A$40,MATCH(LEFT(MID(B55,43,1000),SEARCH(" - ",MID(B55,43,1000))-1),nrg_cb_e!$C$3:$C$40,0))</f>
        <v>FC_OTH_CP_E</v>
      </c>
      <c r="G55">
        <v>10399</v>
      </c>
    </row>
    <row r="56" spans="1:7" x14ac:dyDescent="0.2">
      <c r="A56" t="s">
        <v>32</v>
      </c>
      <c r="B56" t="s">
        <v>75</v>
      </c>
      <c r="C56" t="s">
        <v>8</v>
      </c>
      <c r="D56" t="s">
        <v>10</v>
      </c>
      <c r="E56" t="s">
        <v>15</v>
      </c>
      <c r="F56" s="20" t="str">
        <f>INDEX(nrg_cb_e!$A$3:$A$40,MATCH(LEFT(MID(B56,43,1000),SEARCH(" - ",MID(B56,43,1000))-1),nrg_cb_e!$C$3:$C$40,0))</f>
        <v>FC_OTH_CP_E</v>
      </c>
      <c r="G56">
        <v>10472</v>
      </c>
    </row>
    <row r="57" spans="1:7" x14ac:dyDescent="0.2">
      <c r="A57" t="s">
        <v>32</v>
      </c>
      <c r="B57" t="s">
        <v>75</v>
      </c>
      <c r="C57" t="s">
        <v>8</v>
      </c>
      <c r="D57" t="s">
        <v>10</v>
      </c>
      <c r="E57" t="s">
        <v>16</v>
      </c>
      <c r="F57" s="20" t="str">
        <f>INDEX(nrg_cb_e!$A$3:$A$40,MATCH(LEFT(MID(B57,43,1000),SEARCH(" - ",MID(B57,43,1000))-1),nrg_cb_e!$C$3:$C$40,0))</f>
        <v>FC_OTH_CP_E</v>
      </c>
      <c r="G57">
        <v>10737</v>
      </c>
    </row>
    <row r="58" spans="1:7" x14ac:dyDescent="0.2">
      <c r="A58" t="s">
        <v>32</v>
      </c>
      <c r="B58" t="s">
        <v>75</v>
      </c>
      <c r="C58" t="s">
        <v>8</v>
      </c>
      <c r="D58" t="s">
        <v>10</v>
      </c>
      <c r="E58" t="s">
        <v>17</v>
      </c>
      <c r="F58" s="20" t="str">
        <f>INDEX(nrg_cb_e!$A$3:$A$40,MATCH(LEFT(MID(B58,43,1000),SEARCH(" - ",MID(B58,43,1000))-1),nrg_cb_e!$C$3:$C$40,0))</f>
        <v>FC_OTH_CP_E</v>
      </c>
      <c r="G58">
        <v>10989</v>
      </c>
    </row>
    <row r="59" spans="1:7" x14ac:dyDescent="0.2">
      <c r="A59" t="s">
        <v>32</v>
      </c>
      <c r="B59" t="s">
        <v>75</v>
      </c>
      <c r="C59" t="s">
        <v>8</v>
      </c>
      <c r="D59" t="s">
        <v>10</v>
      </c>
      <c r="E59" t="s">
        <v>18</v>
      </c>
      <c r="F59" s="20" t="str">
        <f>INDEX(nrg_cb_e!$A$3:$A$40,MATCH(LEFT(MID(B59,43,1000),SEARCH(" - ",MID(B59,43,1000))-1),nrg_cb_e!$C$3:$C$40,0))</f>
        <v>FC_OTH_CP_E</v>
      </c>
      <c r="G59">
        <v>10976</v>
      </c>
    </row>
    <row r="60" spans="1:7" x14ac:dyDescent="0.2">
      <c r="A60" t="s">
        <v>32</v>
      </c>
      <c r="B60" t="s">
        <v>75</v>
      </c>
      <c r="C60" t="s">
        <v>8</v>
      </c>
      <c r="D60" t="s">
        <v>10</v>
      </c>
      <c r="E60" t="s">
        <v>19</v>
      </c>
      <c r="F60" s="20" t="str">
        <f>INDEX(nrg_cb_e!$A$3:$A$40,MATCH(LEFT(MID(B60,43,1000),SEARCH(" - ",MID(B60,43,1000))-1),nrg_cb_e!$C$3:$C$40,0))</f>
        <v>FC_OTH_CP_E</v>
      </c>
      <c r="G60">
        <v>10680</v>
      </c>
    </row>
    <row r="61" spans="1:7" x14ac:dyDescent="0.2">
      <c r="A61" t="s">
        <v>32</v>
      </c>
      <c r="B61" t="s">
        <v>75</v>
      </c>
      <c r="C61" t="s">
        <v>8</v>
      </c>
      <c r="D61" t="s">
        <v>10</v>
      </c>
      <c r="E61" t="s">
        <v>20</v>
      </c>
      <c r="F61" s="20" t="str">
        <f>INDEX(nrg_cb_e!$A$3:$A$40,MATCH(LEFT(MID(B61,43,1000),SEARCH(" - ",MID(B61,43,1000))-1),nrg_cb_e!$C$3:$C$40,0))</f>
        <v>FC_OTH_CP_E</v>
      </c>
      <c r="G61">
        <v>10835</v>
      </c>
    </row>
    <row r="62" spans="1:7" x14ac:dyDescent="0.2">
      <c r="A62" t="s">
        <v>32</v>
      </c>
      <c r="B62" t="s">
        <v>75</v>
      </c>
      <c r="C62" t="s">
        <v>8</v>
      </c>
      <c r="D62" t="s">
        <v>10</v>
      </c>
      <c r="E62" t="s">
        <v>21</v>
      </c>
      <c r="F62" s="20" t="str">
        <f>INDEX(nrg_cb_e!$A$3:$A$40,MATCH(LEFT(MID(B62,43,1000),SEARCH(" - ",MID(B62,43,1000))-1),nrg_cb_e!$C$3:$C$40,0))</f>
        <v>FC_OTH_CP_E</v>
      </c>
      <c r="G62">
        <v>10656</v>
      </c>
    </row>
    <row r="63" spans="1:7" x14ac:dyDescent="0.2">
      <c r="A63" t="s">
        <v>32</v>
      </c>
      <c r="B63" t="s">
        <v>75</v>
      </c>
      <c r="C63" t="s">
        <v>8</v>
      </c>
      <c r="D63" t="s">
        <v>10</v>
      </c>
      <c r="E63" t="s">
        <v>22</v>
      </c>
      <c r="F63" s="20" t="str">
        <f>INDEX(nrg_cb_e!$A$3:$A$40,MATCH(LEFT(MID(B63,43,1000),SEARCH(" - ",MID(B63,43,1000))-1),nrg_cb_e!$C$3:$C$40,0))</f>
        <v>FC_OTH_CP_E</v>
      </c>
      <c r="G63">
        <v>10481</v>
      </c>
    </row>
    <row r="64" spans="1:7" x14ac:dyDescent="0.2">
      <c r="A64" t="s">
        <v>32</v>
      </c>
      <c r="B64" t="s">
        <v>75</v>
      </c>
      <c r="C64" t="s">
        <v>8</v>
      </c>
      <c r="D64" t="s">
        <v>10</v>
      </c>
      <c r="E64" t="s">
        <v>23</v>
      </c>
      <c r="F64" s="20" t="str">
        <f>INDEX(nrg_cb_e!$A$3:$A$40,MATCH(LEFT(MID(B64,43,1000),SEARCH(" - ",MID(B64,43,1000))-1),nrg_cb_e!$C$3:$C$40,0))</f>
        <v>FC_OTH_CP_E</v>
      </c>
      <c r="G64">
        <v>10227</v>
      </c>
    </row>
    <row r="65" spans="1:7" x14ac:dyDescent="0.2">
      <c r="A65" t="s">
        <v>32</v>
      </c>
      <c r="B65" t="s">
        <v>75</v>
      </c>
      <c r="C65" t="s">
        <v>8</v>
      </c>
      <c r="D65" t="s">
        <v>10</v>
      </c>
      <c r="E65" t="s">
        <v>24</v>
      </c>
      <c r="F65" s="20" t="str">
        <f>INDEX(nrg_cb_e!$A$3:$A$40,MATCH(LEFT(MID(B65,43,1000),SEARCH(" - ",MID(B65,43,1000))-1),nrg_cb_e!$C$3:$C$40,0))</f>
        <v>FC_OTH_CP_E</v>
      </c>
      <c r="G65">
        <v>10288</v>
      </c>
    </row>
    <row r="66" spans="1:7" x14ac:dyDescent="0.2">
      <c r="A66" t="s">
        <v>32</v>
      </c>
      <c r="B66" t="s">
        <v>75</v>
      </c>
      <c r="C66" t="s">
        <v>8</v>
      </c>
      <c r="D66" t="s">
        <v>10</v>
      </c>
      <c r="E66" t="s">
        <v>25</v>
      </c>
      <c r="F66" s="20" t="str">
        <f>INDEX(nrg_cb_e!$A$3:$A$40,MATCH(LEFT(MID(B66,43,1000),SEARCH(" - ",MID(B66,43,1000))-1),nrg_cb_e!$C$3:$C$40,0))</f>
        <v>FC_OTH_CP_E</v>
      </c>
      <c r="G66">
        <v>10087.23</v>
      </c>
    </row>
    <row r="67" spans="1:7" x14ac:dyDescent="0.2">
      <c r="A67" t="s">
        <v>32</v>
      </c>
      <c r="B67" t="s">
        <v>75</v>
      </c>
      <c r="C67" t="s">
        <v>8</v>
      </c>
      <c r="D67" t="s">
        <v>10</v>
      </c>
      <c r="E67" t="s">
        <v>26</v>
      </c>
      <c r="F67" s="20" t="str">
        <f>INDEX(nrg_cb_e!$A$3:$A$40,MATCH(LEFT(MID(B67,43,1000),SEARCH(" - ",MID(B67,43,1000))-1),nrg_cb_e!$C$3:$C$40,0))</f>
        <v>FC_OTH_CP_E</v>
      </c>
      <c r="G67">
        <v>10216.535</v>
      </c>
    </row>
    <row r="68" spans="1:7" x14ac:dyDescent="0.2">
      <c r="A68" t="s">
        <v>32</v>
      </c>
      <c r="B68" t="s">
        <v>75</v>
      </c>
      <c r="C68" t="s">
        <v>8</v>
      </c>
      <c r="D68" t="s">
        <v>10</v>
      </c>
      <c r="E68" t="s">
        <v>27</v>
      </c>
      <c r="F68" s="20" t="str">
        <f>INDEX(nrg_cb_e!$A$3:$A$40,MATCH(LEFT(MID(B68,43,1000),SEARCH(" - ",MID(B68,43,1000))-1),nrg_cb_e!$C$3:$C$40,0))</f>
        <v>FC_OTH_CP_E</v>
      </c>
      <c r="G68">
        <v>10685.246999999999</v>
      </c>
    </row>
    <row r="69" spans="1:7" x14ac:dyDescent="0.2">
      <c r="A69" t="s">
        <v>32</v>
      </c>
      <c r="B69" t="s">
        <v>75</v>
      </c>
      <c r="C69" t="s">
        <v>8</v>
      </c>
      <c r="D69" t="s">
        <v>10</v>
      </c>
      <c r="E69" t="s">
        <v>28</v>
      </c>
      <c r="F69" s="20" t="str">
        <f>INDEX(nrg_cb_e!$A$3:$A$40,MATCH(LEFT(MID(B69,43,1000),SEARCH(" - ",MID(B69,43,1000))-1),nrg_cb_e!$C$3:$C$40,0))</f>
        <v>FC_OTH_CP_E</v>
      </c>
      <c r="G69">
        <v>10594.387000000001</v>
      </c>
    </row>
    <row r="70" spans="1:7" x14ac:dyDescent="0.2">
      <c r="A70" t="s">
        <v>33</v>
      </c>
      <c r="B70" t="s">
        <v>75</v>
      </c>
      <c r="C70" t="s">
        <v>8</v>
      </c>
      <c r="D70" t="s">
        <v>10</v>
      </c>
      <c r="E70" t="s">
        <v>12</v>
      </c>
      <c r="F70" s="20" t="str">
        <f>INDEX(nrg_cb_e!$A$3:$A$40,MATCH(LEFT(MID(B70,43,1000),SEARCH(" - ",MID(B70,43,1000))-1),nrg_cb_e!$C$3:$C$40,0))</f>
        <v>FC_OTH_CP_E</v>
      </c>
      <c r="G70">
        <v>135238</v>
      </c>
    </row>
    <row r="71" spans="1:7" x14ac:dyDescent="0.2">
      <c r="A71" t="s">
        <v>33</v>
      </c>
      <c r="B71" t="s">
        <v>75</v>
      </c>
      <c r="C71" t="s">
        <v>8</v>
      </c>
      <c r="D71" t="s">
        <v>10</v>
      </c>
      <c r="E71" t="s">
        <v>13</v>
      </c>
      <c r="F71" s="20" t="str">
        <f>INDEX(nrg_cb_e!$A$3:$A$40,MATCH(LEFT(MID(B71,43,1000),SEARCH(" - ",MID(B71,43,1000))-1),nrg_cb_e!$C$3:$C$40,0))</f>
        <v>FC_OTH_CP_E</v>
      </c>
      <c r="G71">
        <v>142237</v>
      </c>
    </row>
    <row r="72" spans="1:7" x14ac:dyDescent="0.2">
      <c r="A72" t="s">
        <v>33</v>
      </c>
      <c r="B72" t="s">
        <v>75</v>
      </c>
      <c r="C72" t="s">
        <v>8</v>
      </c>
      <c r="D72" t="s">
        <v>10</v>
      </c>
      <c r="E72" t="s">
        <v>14</v>
      </c>
      <c r="F72" s="20" t="str">
        <f>INDEX(nrg_cb_e!$A$3:$A$40,MATCH(LEFT(MID(B72,43,1000),SEARCH(" - ",MID(B72,43,1000))-1),nrg_cb_e!$C$3:$C$40,0))</f>
        <v>FC_OTH_CP_E</v>
      </c>
      <c r="G72">
        <v>141219</v>
      </c>
    </row>
    <row r="73" spans="1:7" x14ac:dyDescent="0.2">
      <c r="A73" t="s">
        <v>33</v>
      </c>
      <c r="B73" t="s">
        <v>75</v>
      </c>
      <c r="C73" t="s">
        <v>8</v>
      </c>
      <c r="D73" t="s">
        <v>10</v>
      </c>
      <c r="E73" t="s">
        <v>15</v>
      </c>
      <c r="F73" s="20" t="str">
        <f>INDEX(nrg_cb_e!$A$3:$A$40,MATCH(LEFT(MID(B73,43,1000),SEARCH(" - ",MID(B73,43,1000))-1),nrg_cb_e!$C$3:$C$40,0))</f>
        <v>FC_OTH_CP_E</v>
      </c>
      <c r="G73">
        <v>137410</v>
      </c>
    </row>
    <row r="74" spans="1:7" x14ac:dyDescent="0.2">
      <c r="A74" t="s">
        <v>33</v>
      </c>
      <c r="B74" t="s">
        <v>75</v>
      </c>
      <c r="C74" t="s">
        <v>8</v>
      </c>
      <c r="D74" t="s">
        <v>10</v>
      </c>
      <c r="E74" t="s">
        <v>16</v>
      </c>
      <c r="F74" s="20" t="str">
        <f>INDEX(nrg_cb_e!$A$3:$A$40,MATCH(LEFT(MID(B74,43,1000),SEARCH(" - ",MID(B74,43,1000))-1),nrg_cb_e!$C$3:$C$40,0))</f>
        <v>FC_OTH_CP_E</v>
      </c>
      <c r="G74">
        <v>142151</v>
      </c>
    </row>
    <row r="75" spans="1:7" x14ac:dyDescent="0.2">
      <c r="A75" t="s">
        <v>33</v>
      </c>
      <c r="B75" t="s">
        <v>75</v>
      </c>
      <c r="C75" t="s">
        <v>8</v>
      </c>
      <c r="D75" t="s">
        <v>10</v>
      </c>
      <c r="E75" t="s">
        <v>17</v>
      </c>
      <c r="F75" s="20" t="str">
        <f>INDEX(nrg_cb_e!$A$3:$A$40,MATCH(LEFT(MID(B75,43,1000),SEARCH(" - ",MID(B75,43,1000))-1),nrg_cb_e!$C$3:$C$40,0))</f>
        <v>FC_OTH_CP_E</v>
      </c>
      <c r="G75">
        <v>137885</v>
      </c>
    </row>
    <row r="76" spans="1:7" x14ac:dyDescent="0.2">
      <c r="A76" t="s">
        <v>33</v>
      </c>
      <c r="B76" t="s">
        <v>75</v>
      </c>
      <c r="C76" t="s">
        <v>8</v>
      </c>
      <c r="D76" t="s">
        <v>10</v>
      </c>
      <c r="E76" t="s">
        <v>18</v>
      </c>
      <c r="F76" s="20" t="str">
        <f>INDEX(nrg_cb_e!$A$3:$A$40,MATCH(LEFT(MID(B76,43,1000),SEARCH(" - ",MID(B76,43,1000))-1),nrg_cb_e!$C$3:$C$40,0))</f>
        <v>FC_OTH_CP_E</v>
      </c>
      <c r="G76">
        <v>142193</v>
      </c>
    </row>
    <row r="77" spans="1:7" x14ac:dyDescent="0.2">
      <c r="A77" t="s">
        <v>33</v>
      </c>
      <c r="B77" t="s">
        <v>75</v>
      </c>
      <c r="C77" t="s">
        <v>8</v>
      </c>
      <c r="D77" t="s">
        <v>10</v>
      </c>
      <c r="E77" t="s">
        <v>19</v>
      </c>
      <c r="F77" s="20" t="str">
        <f>INDEX(nrg_cb_e!$A$3:$A$40,MATCH(LEFT(MID(B77,43,1000),SEARCH(" - ",MID(B77,43,1000))-1),nrg_cb_e!$C$3:$C$40,0))</f>
        <v>FC_OTH_CP_E</v>
      </c>
      <c r="G77">
        <v>144673</v>
      </c>
    </row>
    <row r="78" spans="1:7" x14ac:dyDescent="0.2">
      <c r="A78" t="s">
        <v>33</v>
      </c>
      <c r="B78" t="s">
        <v>75</v>
      </c>
      <c r="C78" t="s">
        <v>8</v>
      </c>
      <c r="D78" t="s">
        <v>10</v>
      </c>
      <c r="E78" t="s">
        <v>20</v>
      </c>
      <c r="F78" s="20" t="str">
        <f>INDEX(nrg_cb_e!$A$3:$A$40,MATCH(LEFT(MID(B78,43,1000),SEARCH(" - ",MID(B78,43,1000))-1),nrg_cb_e!$C$3:$C$40,0))</f>
        <v>FC_OTH_CP_E</v>
      </c>
      <c r="G78">
        <v>143862</v>
      </c>
    </row>
    <row r="79" spans="1:7" x14ac:dyDescent="0.2">
      <c r="A79" t="s">
        <v>33</v>
      </c>
      <c r="B79" t="s">
        <v>75</v>
      </c>
      <c r="C79" t="s">
        <v>8</v>
      </c>
      <c r="D79" t="s">
        <v>10</v>
      </c>
      <c r="E79" t="s">
        <v>21</v>
      </c>
      <c r="F79" s="20" t="str">
        <f>INDEX(nrg_cb_e!$A$3:$A$40,MATCH(LEFT(MID(B79,43,1000),SEARCH(" - ",MID(B79,43,1000))-1),nrg_cb_e!$C$3:$C$40,0))</f>
        <v>FC_OTH_CP_E</v>
      </c>
      <c r="G79">
        <v>136306</v>
      </c>
    </row>
    <row r="80" spans="1:7" x14ac:dyDescent="0.2">
      <c r="A80" t="s">
        <v>33</v>
      </c>
      <c r="B80" t="s">
        <v>75</v>
      </c>
      <c r="C80" t="s">
        <v>8</v>
      </c>
      <c r="D80" t="s">
        <v>10</v>
      </c>
      <c r="E80" t="s">
        <v>22</v>
      </c>
      <c r="F80" s="20" t="str">
        <f>INDEX(nrg_cb_e!$A$3:$A$40,MATCH(LEFT(MID(B80,43,1000),SEARCH(" - ",MID(B80,43,1000))-1),nrg_cb_e!$C$3:$C$40,0))</f>
        <v>FC_OTH_CP_E</v>
      </c>
      <c r="G80">
        <v>139210</v>
      </c>
    </row>
    <row r="81" spans="1:7" x14ac:dyDescent="0.2">
      <c r="A81" t="s">
        <v>33</v>
      </c>
      <c r="B81" t="s">
        <v>75</v>
      </c>
      <c r="C81" t="s">
        <v>8</v>
      </c>
      <c r="D81" t="s">
        <v>10</v>
      </c>
      <c r="E81" t="s">
        <v>23</v>
      </c>
      <c r="F81" s="20" t="str">
        <f>INDEX(nrg_cb_e!$A$3:$A$40,MATCH(LEFT(MID(B81,43,1000),SEARCH(" - ",MID(B81,43,1000))-1),nrg_cb_e!$C$3:$C$40,0))</f>
        <v>FC_OTH_CP_E</v>
      </c>
      <c r="G81">
        <v>142062</v>
      </c>
    </row>
    <row r="82" spans="1:7" x14ac:dyDescent="0.2">
      <c r="A82" t="s">
        <v>33</v>
      </c>
      <c r="B82" t="s">
        <v>75</v>
      </c>
      <c r="C82" t="s">
        <v>8</v>
      </c>
      <c r="D82" t="s">
        <v>10</v>
      </c>
      <c r="E82" t="s">
        <v>24</v>
      </c>
      <c r="F82" s="20" t="str">
        <f>INDEX(nrg_cb_e!$A$3:$A$40,MATCH(LEFT(MID(B82,43,1000),SEARCH(" - ",MID(B82,43,1000))-1),nrg_cb_e!$C$3:$C$40,0))</f>
        <v>FC_OTH_CP_E</v>
      </c>
      <c r="G82">
        <v>131515</v>
      </c>
    </row>
    <row r="83" spans="1:7" x14ac:dyDescent="0.2">
      <c r="A83" t="s">
        <v>33</v>
      </c>
      <c r="B83" t="s">
        <v>75</v>
      </c>
      <c r="C83" t="s">
        <v>8</v>
      </c>
      <c r="D83" t="s">
        <v>10</v>
      </c>
      <c r="E83" t="s">
        <v>25</v>
      </c>
      <c r="F83" s="20" t="str">
        <f>INDEX(nrg_cb_e!$A$3:$A$40,MATCH(LEFT(MID(B83,43,1000),SEARCH(" - ",MID(B83,43,1000))-1),nrg_cb_e!$C$3:$C$40,0))</f>
        <v>FC_OTH_CP_E</v>
      </c>
      <c r="G83">
        <v>140736</v>
      </c>
    </row>
    <row r="84" spans="1:7" x14ac:dyDescent="0.2">
      <c r="A84" t="s">
        <v>33</v>
      </c>
      <c r="B84" t="s">
        <v>75</v>
      </c>
      <c r="C84" t="s">
        <v>8</v>
      </c>
      <c r="D84" t="s">
        <v>10</v>
      </c>
      <c r="E84" t="s">
        <v>26</v>
      </c>
      <c r="F84" s="20" t="str">
        <f>INDEX(nrg_cb_e!$A$3:$A$40,MATCH(LEFT(MID(B84,43,1000),SEARCH(" - ",MID(B84,43,1000))-1),nrg_cb_e!$C$3:$C$40,0))</f>
        <v>FC_OTH_CP_E</v>
      </c>
      <c r="G84">
        <v>141585</v>
      </c>
    </row>
    <row r="85" spans="1:7" x14ac:dyDescent="0.2">
      <c r="A85" t="s">
        <v>33</v>
      </c>
      <c r="B85" t="s">
        <v>75</v>
      </c>
      <c r="C85" t="s">
        <v>8</v>
      </c>
      <c r="D85" t="s">
        <v>10</v>
      </c>
      <c r="E85" t="s">
        <v>27</v>
      </c>
      <c r="F85" s="20" t="str">
        <f>INDEX(nrg_cb_e!$A$3:$A$40,MATCH(LEFT(MID(B85,43,1000),SEARCH(" - ",MID(B85,43,1000))-1),nrg_cb_e!$C$3:$C$40,0))</f>
        <v>FC_OTH_CP_E</v>
      </c>
      <c r="G85">
        <v>141479</v>
      </c>
    </row>
    <row r="86" spans="1:7" x14ac:dyDescent="0.2">
      <c r="A86" t="s">
        <v>33</v>
      </c>
      <c r="B86" t="s">
        <v>75</v>
      </c>
      <c r="C86" t="s">
        <v>8</v>
      </c>
      <c r="D86" t="s">
        <v>10</v>
      </c>
      <c r="E86" t="s">
        <v>28</v>
      </c>
      <c r="F86" s="20" t="str">
        <f>INDEX(nrg_cb_e!$A$3:$A$40,MATCH(LEFT(MID(B86,43,1000),SEARCH(" - ",MID(B86,43,1000))-1),nrg_cb_e!$C$3:$C$40,0))</f>
        <v>FC_OTH_CP_E</v>
      </c>
      <c r="G86">
        <v>137097</v>
      </c>
    </row>
    <row r="87" spans="1:7" x14ac:dyDescent="0.2">
      <c r="A87" t="s">
        <v>34</v>
      </c>
      <c r="B87" t="s">
        <v>75</v>
      </c>
      <c r="C87" t="s">
        <v>8</v>
      </c>
      <c r="D87" t="s">
        <v>10</v>
      </c>
      <c r="E87" t="s">
        <v>12</v>
      </c>
      <c r="F87" s="20" t="str">
        <f>INDEX(nrg_cb_e!$A$3:$A$40,MATCH(LEFT(MID(B87,43,1000),SEARCH(" - ",MID(B87,43,1000))-1),nrg_cb_e!$C$3:$C$40,0))</f>
        <v>FC_OTH_CP_E</v>
      </c>
      <c r="G87">
        <v>1570</v>
      </c>
    </row>
    <row r="88" spans="1:7" x14ac:dyDescent="0.2">
      <c r="A88" t="s">
        <v>34</v>
      </c>
      <c r="B88" t="s">
        <v>75</v>
      </c>
      <c r="C88" t="s">
        <v>8</v>
      </c>
      <c r="D88" t="s">
        <v>10</v>
      </c>
      <c r="E88" t="s">
        <v>13</v>
      </c>
      <c r="F88" s="20" t="str">
        <f>INDEX(nrg_cb_e!$A$3:$A$40,MATCH(LEFT(MID(B88,43,1000),SEARCH(" - ",MID(B88,43,1000))-1),nrg_cb_e!$C$3:$C$40,0))</f>
        <v>FC_OTH_CP_E</v>
      </c>
      <c r="G88">
        <v>1664</v>
      </c>
    </row>
    <row r="89" spans="1:7" x14ac:dyDescent="0.2">
      <c r="A89" t="s">
        <v>34</v>
      </c>
      <c r="B89" t="s">
        <v>75</v>
      </c>
      <c r="C89" t="s">
        <v>8</v>
      </c>
      <c r="D89" t="s">
        <v>10</v>
      </c>
      <c r="E89" t="s">
        <v>14</v>
      </c>
      <c r="F89" s="20" t="str">
        <f>INDEX(nrg_cb_e!$A$3:$A$40,MATCH(LEFT(MID(B89,43,1000),SEARCH(" - ",MID(B89,43,1000))-1),nrg_cb_e!$C$3:$C$40,0))</f>
        <v>FC_OTH_CP_E</v>
      </c>
      <c r="G89">
        <v>1850</v>
      </c>
    </row>
    <row r="90" spans="1:7" x14ac:dyDescent="0.2">
      <c r="A90" t="s">
        <v>34</v>
      </c>
      <c r="B90" t="s">
        <v>75</v>
      </c>
      <c r="C90" t="s">
        <v>8</v>
      </c>
      <c r="D90" t="s">
        <v>10</v>
      </c>
      <c r="E90" t="s">
        <v>15</v>
      </c>
      <c r="F90" s="20" t="str">
        <f>INDEX(nrg_cb_e!$A$3:$A$40,MATCH(LEFT(MID(B90,43,1000),SEARCH(" - ",MID(B90,43,1000))-1),nrg_cb_e!$C$3:$C$40,0))</f>
        <v>FC_OTH_CP_E</v>
      </c>
      <c r="G90">
        <v>1929</v>
      </c>
    </row>
    <row r="91" spans="1:7" x14ac:dyDescent="0.2">
      <c r="A91" t="s">
        <v>34</v>
      </c>
      <c r="B91" t="s">
        <v>75</v>
      </c>
      <c r="C91" t="s">
        <v>8</v>
      </c>
      <c r="D91" t="s">
        <v>10</v>
      </c>
      <c r="E91" t="s">
        <v>16</v>
      </c>
      <c r="F91" s="20" t="str">
        <f>INDEX(nrg_cb_e!$A$3:$A$40,MATCH(LEFT(MID(B91,43,1000),SEARCH(" - ",MID(B91,43,1000))-1),nrg_cb_e!$C$3:$C$40,0))</f>
        <v>FC_OTH_CP_E</v>
      </c>
      <c r="G91">
        <v>2176</v>
      </c>
    </row>
    <row r="92" spans="1:7" x14ac:dyDescent="0.2">
      <c r="A92" t="s">
        <v>34</v>
      </c>
      <c r="B92" t="s">
        <v>75</v>
      </c>
      <c r="C92" t="s">
        <v>8</v>
      </c>
      <c r="D92" t="s">
        <v>10</v>
      </c>
      <c r="E92" t="s">
        <v>17</v>
      </c>
      <c r="F92" s="20" t="str">
        <f>INDEX(nrg_cb_e!$A$3:$A$40,MATCH(LEFT(MID(B92,43,1000),SEARCH(" - ",MID(B92,43,1000))-1),nrg_cb_e!$C$3:$C$40,0))</f>
        <v>FC_OTH_CP_E</v>
      </c>
      <c r="G92">
        <v>2358</v>
      </c>
    </row>
    <row r="93" spans="1:7" x14ac:dyDescent="0.2">
      <c r="A93" t="s">
        <v>34</v>
      </c>
      <c r="B93" t="s">
        <v>75</v>
      </c>
      <c r="C93" t="s">
        <v>8</v>
      </c>
      <c r="D93" t="s">
        <v>10</v>
      </c>
      <c r="E93" t="s">
        <v>18</v>
      </c>
      <c r="F93" s="20" t="str">
        <f>INDEX(nrg_cb_e!$A$3:$A$40,MATCH(LEFT(MID(B93,43,1000),SEARCH(" - ",MID(B93,43,1000))-1),nrg_cb_e!$C$3:$C$40,0))</f>
        <v>FC_OTH_CP_E</v>
      </c>
      <c r="G93">
        <v>2553</v>
      </c>
    </row>
    <row r="94" spans="1:7" x14ac:dyDescent="0.2">
      <c r="A94" t="s">
        <v>34</v>
      </c>
      <c r="B94" t="s">
        <v>75</v>
      </c>
      <c r="C94" t="s">
        <v>8</v>
      </c>
      <c r="D94" t="s">
        <v>10</v>
      </c>
      <c r="E94" t="s">
        <v>19</v>
      </c>
      <c r="F94" s="20" t="str">
        <f>INDEX(nrg_cb_e!$A$3:$A$40,MATCH(LEFT(MID(B94,43,1000),SEARCH(" - ",MID(B94,43,1000))-1),nrg_cb_e!$C$3:$C$40,0))</f>
        <v>FC_OTH_CP_E</v>
      </c>
      <c r="G94">
        <v>2559</v>
      </c>
    </row>
    <row r="95" spans="1:7" x14ac:dyDescent="0.2">
      <c r="A95" t="s">
        <v>34</v>
      </c>
      <c r="B95" t="s">
        <v>75</v>
      </c>
      <c r="C95" t="s">
        <v>8</v>
      </c>
      <c r="D95" t="s">
        <v>10</v>
      </c>
      <c r="E95" t="s">
        <v>20</v>
      </c>
      <c r="F95" s="20" t="str">
        <f>INDEX(nrg_cb_e!$A$3:$A$40,MATCH(LEFT(MID(B95,43,1000),SEARCH(" - ",MID(B95,43,1000))-1),nrg_cb_e!$C$3:$C$40,0))</f>
        <v>FC_OTH_CP_E</v>
      </c>
      <c r="G95">
        <v>2511</v>
      </c>
    </row>
    <row r="96" spans="1:7" x14ac:dyDescent="0.2">
      <c r="A96" t="s">
        <v>34</v>
      </c>
      <c r="B96" t="s">
        <v>75</v>
      </c>
      <c r="C96" t="s">
        <v>8</v>
      </c>
      <c r="D96" t="s">
        <v>10</v>
      </c>
      <c r="E96" t="s">
        <v>21</v>
      </c>
      <c r="F96" s="20" t="str">
        <f>INDEX(nrg_cb_e!$A$3:$A$40,MATCH(LEFT(MID(B96,43,1000),SEARCH(" - ",MID(B96,43,1000))-1),nrg_cb_e!$C$3:$C$40,0))</f>
        <v>FC_OTH_CP_E</v>
      </c>
      <c r="G96">
        <v>2378</v>
      </c>
    </row>
    <row r="97" spans="1:7" x14ac:dyDescent="0.2">
      <c r="A97" t="s">
        <v>34</v>
      </c>
      <c r="B97" t="s">
        <v>75</v>
      </c>
      <c r="C97" t="s">
        <v>8</v>
      </c>
      <c r="D97" t="s">
        <v>10</v>
      </c>
      <c r="E97" t="s">
        <v>22</v>
      </c>
      <c r="F97" s="20" t="str">
        <f>INDEX(nrg_cb_e!$A$3:$A$40,MATCH(LEFT(MID(B97,43,1000),SEARCH(" - ",MID(B97,43,1000))-1),nrg_cb_e!$C$3:$C$40,0))</f>
        <v>FC_OTH_CP_E</v>
      </c>
      <c r="G97">
        <v>2536</v>
      </c>
    </row>
    <row r="98" spans="1:7" x14ac:dyDescent="0.2">
      <c r="A98" t="s">
        <v>34</v>
      </c>
      <c r="B98" t="s">
        <v>75</v>
      </c>
      <c r="C98" t="s">
        <v>8</v>
      </c>
      <c r="D98" t="s">
        <v>10</v>
      </c>
      <c r="E98" t="s">
        <v>23</v>
      </c>
      <c r="F98" s="20" t="str">
        <f>INDEX(nrg_cb_e!$A$3:$A$40,MATCH(LEFT(MID(B98,43,1000),SEARCH(" - ",MID(B98,43,1000))-1),nrg_cb_e!$C$3:$C$40,0))</f>
        <v>FC_OTH_CP_E</v>
      </c>
      <c r="G98">
        <v>2530</v>
      </c>
    </row>
    <row r="99" spans="1:7" x14ac:dyDescent="0.2">
      <c r="A99" t="s">
        <v>34</v>
      </c>
      <c r="B99" t="s">
        <v>75</v>
      </c>
      <c r="C99" t="s">
        <v>8</v>
      </c>
      <c r="D99" t="s">
        <v>10</v>
      </c>
      <c r="E99" t="s">
        <v>24</v>
      </c>
      <c r="F99" s="20" t="str">
        <f>INDEX(nrg_cb_e!$A$3:$A$40,MATCH(LEFT(MID(B99,43,1000),SEARCH(" - ",MID(B99,43,1000))-1),nrg_cb_e!$C$3:$C$40,0))</f>
        <v>FC_OTH_CP_E</v>
      </c>
      <c r="G99">
        <v>2795</v>
      </c>
    </row>
    <row r="100" spans="1:7" x14ac:dyDescent="0.2">
      <c r="A100" t="s">
        <v>34</v>
      </c>
      <c r="B100" t="s">
        <v>75</v>
      </c>
      <c r="C100" t="s">
        <v>8</v>
      </c>
      <c r="D100" t="s">
        <v>10</v>
      </c>
      <c r="E100" t="s">
        <v>25</v>
      </c>
      <c r="F100" s="20" t="str">
        <f>INDEX(nrg_cb_e!$A$3:$A$40,MATCH(LEFT(MID(B100,43,1000),SEARCH(" - ",MID(B100,43,1000))-1),nrg_cb_e!$C$3:$C$40,0))</f>
        <v>FC_OTH_CP_E</v>
      </c>
      <c r="G100">
        <v>2813</v>
      </c>
    </row>
    <row r="101" spans="1:7" x14ac:dyDescent="0.2">
      <c r="A101" t="s">
        <v>34</v>
      </c>
      <c r="B101" t="s">
        <v>75</v>
      </c>
      <c r="C101" t="s">
        <v>8</v>
      </c>
      <c r="D101" t="s">
        <v>10</v>
      </c>
      <c r="E101" t="s">
        <v>26</v>
      </c>
      <c r="F101" s="20" t="str">
        <f>INDEX(nrg_cb_e!$A$3:$A$40,MATCH(LEFT(MID(B101,43,1000),SEARCH(" - ",MID(B101,43,1000))-1),nrg_cb_e!$C$3:$C$40,0))</f>
        <v>FC_OTH_CP_E</v>
      </c>
      <c r="G101">
        <v>2971</v>
      </c>
    </row>
    <row r="102" spans="1:7" x14ac:dyDescent="0.2">
      <c r="A102" t="s">
        <v>34</v>
      </c>
      <c r="B102" t="s">
        <v>75</v>
      </c>
      <c r="C102" t="s">
        <v>8</v>
      </c>
      <c r="D102" t="s">
        <v>10</v>
      </c>
      <c r="E102" t="s">
        <v>27</v>
      </c>
      <c r="F102" s="20" t="str">
        <f>INDEX(nrg_cb_e!$A$3:$A$40,MATCH(LEFT(MID(B102,43,1000),SEARCH(" - ",MID(B102,43,1000))-1),nrg_cb_e!$C$3:$C$40,0))</f>
        <v>FC_OTH_CP_E</v>
      </c>
      <c r="G102">
        <v>2715.4920000000002</v>
      </c>
    </row>
    <row r="103" spans="1:7" x14ac:dyDescent="0.2">
      <c r="A103" t="s">
        <v>34</v>
      </c>
      <c r="B103" t="s">
        <v>75</v>
      </c>
      <c r="C103" t="s">
        <v>8</v>
      </c>
      <c r="D103" t="s">
        <v>10</v>
      </c>
      <c r="E103" t="s">
        <v>28</v>
      </c>
      <c r="F103" s="20" t="str">
        <f>INDEX(nrg_cb_e!$A$3:$A$40,MATCH(LEFT(MID(B103,43,1000),SEARCH(" - ",MID(B103,43,1000))-1),nrg_cb_e!$C$3:$C$40,0))</f>
        <v>FC_OTH_CP_E</v>
      </c>
      <c r="G103">
        <v>2933</v>
      </c>
    </row>
    <row r="104" spans="1:7" x14ac:dyDescent="0.2">
      <c r="A104" t="s">
        <v>35</v>
      </c>
      <c r="B104" t="s">
        <v>75</v>
      </c>
      <c r="C104" t="s">
        <v>8</v>
      </c>
      <c r="D104" t="s">
        <v>10</v>
      </c>
      <c r="E104" t="s">
        <v>12</v>
      </c>
      <c r="F104" s="20" t="str">
        <f>INDEX(nrg_cb_e!$A$3:$A$40,MATCH(LEFT(MID(B104,43,1000),SEARCH(" - ",MID(B104,43,1000))-1),nrg_cb_e!$C$3:$C$40,0))</f>
        <v>FC_OTH_CP_E</v>
      </c>
      <c r="G104">
        <v>6748</v>
      </c>
    </row>
    <row r="105" spans="1:7" x14ac:dyDescent="0.2">
      <c r="A105" t="s">
        <v>35</v>
      </c>
      <c r="B105" t="s">
        <v>75</v>
      </c>
      <c r="C105" t="s">
        <v>8</v>
      </c>
      <c r="D105" t="s">
        <v>10</v>
      </c>
      <c r="E105" t="s">
        <v>13</v>
      </c>
      <c r="F105" s="20" t="str">
        <f>INDEX(nrg_cb_e!$A$3:$A$40,MATCH(LEFT(MID(B105,43,1000),SEARCH(" - ",MID(B105,43,1000))-1),nrg_cb_e!$C$3:$C$40,0))</f>
        <v>FC_OTH_CP_E</v>
      </c>
      <c r="G105">
        <v>8163</v>
      </c>
    </row>
    <row r="106" spans="1:7" x14ac:dyDescent="0.2">
      <c r="A106" t="s">
        <v>35</v>
      </c>
      <c r="B106" t="s">
        <v>75</v>
      </c>
      <c r="C106" t="s">
        <v>8</v>
      </c>
      <c r="D106" t="s">
        <v>10</v>
      </c>
      <c r="E106" t="s">
        <v>14</v>
      </c>
      <c r="F106" s="20" t="str">
        <f>INDEX(nrg_cb_e!$A$3:$A$40,MATCH(LEFT(MID(B106,43,1000),SEARCH(" - ",MID(B106,43,1000))-1),nrg_cb_e!$C$3:$C$40,0))</f>
        <v>FC_OTH_CP_E</v>
      </c>
      <c r="G106">
        <v>8167.23</v>
      </c>
    </row>
    <row r="107" spans="1:7" x14ac:dyDescent="0.2">
      <c r="A107" t="s">
        <v>35</v>
      </c>
      <c r="B107" t="s">
        <v>75</v>
      </c>
      <c r="C107" t="s">
        <v>8</v>
      </c>
      <c r="D107" t="s">
        <v>10</v>
      </c>
      <c r="E107" t="s">
        <v>15</v>
      </c>
      <c r="F107" s="20" t="str">
        <f>INDEX(nrg_cb_e!$A$3:$A$40,MATCH(LEFT(MID(B107,43,1000),SEARCH(" - ",MID(B107,43,1000))-1),nrg_cb_e!$C$3:$C$40,0))</f>
        <v>FC_OTH_CP_E</v>
      </c>
      <c r="G107">
        <v>8465.1540000000005</v>
      </c>
    </row>
    <row r="108" spans="1:7" x14ac:dyDescent="0.2">
      <c r="A108" t="s">
        <v>35</v>
      </c>
      <c r="B108" t="s">
        <v>75</v>
      </c>
      <c r="C108" t="s">
        <v>8</v>
      </c>
      <c r="D108" t="s">
        <v>10</v>
      </c>
      <c r="E108" t="s">
        <v>16</v>
      </c>
      <c r="F108" s="20" t="str">
        <f>INDEX(nrg_cb_e!$A$3:$A$40,MATCH(LEFT(MID(B108,43,1000),SEARCH(" - ",MID(B108,43,1000))-1),nrg_cb_e!$C$3:$C$40,0))</f>
        <v>FC_OTH_CP_E</v>
      </c>
      <c r="G108">
        <v>8133.0280000000002</v>
      </c>
    </row>
    <row r="109" spans="1:7" x14ac:dyDescent="0.2">
      <c r="A109" t="s">
        <v>35</v>
      </c>
      <c r="B109" t="s">
        <v>75</v>
      </c>
      <c r="C109" t="s">
        <v>8</v>
      </c>
      <c r="D109" t="s">
        <v>10</v>
      </c>
      <c r="E109" t="s">
        <v>17</v>
      </c>
      <c r="F109" s="20" t="str">
        <f>INDEX(nrg_cb_e!$A$3:$A$40,MATCH(LEFT(MID(B109,43,1000),SEARCH(" - ",MID(B109,43,1000))-1),nrg_cb_e!$C$3:$C$40,0))</f>
        <v>FC_OTH_CP_E</v>
      </c>
      <c r="G109">
        <v>8710.2330000000002</v>
      </c>
    </row>
    <row r="110" spans="1:7" x14ac:dyDescent="0.2">
      <c r="A110" t="s">
        <v>35</v>
      </c>
      <c r="B110" t="s">
        <v>75</v>
      </c>
      <c r="C110" t="s">
        <v>8</v>
      </c>
      <c r="D110" t="s">
        <v>10</v>
      </c>
      <c r="E110" t="s">
        <v>18</v>
      </c>
      <c r="F110" s="20" t="str">
        <f>INDEX(nrg_cb_e!$A$3:$A$40,MATCH(LEFT(MID(B110,43,1000),SEARCH(" - ",MID(B110,43,1000))-1),nrg_cb_e!$C$3:$C$40,0))</f>
        <v>FC_OTH_CP_E</v>
      </c>
      <c r="G110">
        <v>9556.3449999999993</v>
      </c>
    </row>
    <row r="111" spans="1:7" x14ac:dyDescent="0.2">
      <c r="A111" t="s">
        <v>35</v>
      </c>
      <c r="B111" t="s">
        <v>75</v>
      </c>
      <c r="C111" t="s">
        <v>8</v>
      </c>
      <c r="D111" t="s">
        <v>10</v>
      </c>
      <c r="E111" t="s">
        <v>19</v>
      </c>
      <c r="F111" s="20" t="str">
        <f>INDEX(nrg_cb_e!$A$3:$A$40,MATCH(LEFT(MID(B111,43,1000),SEARCH(" - ",MID(B111,43,1000))-1),nrg_cb_e!$C$3:$C$40,0))</f>
        <v>FC_OTH_CP_E</v>
      </c>
      <c r="G111">
        <v>7944.2860000000001</v>
      </c>
    </row>
    <row r="112" spans="1:7" x14ac:dyDescent="0.2">
      <c r="A112" t="s">
        <v>35</v>
      </c>
      <c r="B112" t="s">
        <v>75</v>
      </c>
      <c r="C112" t="s">
        <v>8</v>
      </c>
      <c r="D112" t="s">
        <v>10</v>
      </c>
      <c r="E112" t="s">
        <v>20</v>
      </c>
      <c r="F112" s="20" t="str">
        <f>INDEX(nrg_cb_e!$A$3:$A$40,MATCH(LEFT(MID(B112,43,1000),SEARCH(" - ",MID(B112,43,1000))-1),nrg_cb_e!$C$3:$C$40,0))</f>
        <v>FC_OTH_CP_E</v>
      </c>
      <c r="G112">
        <v>7165.85</v>
      </c>
    </row>
    <row r="113" spans="1:7" x14ac:dyDescent="0.2">
      <c r="A113" t="s">
        <v>35</v>
      </c>
      <c r="B113" t="s">
        <v>75</v>
      </c>
      <c r="C113" t="s">
        <v>8</v>
      </c>
      <c r="D113" t="s">
        <v>10</v>
      </c>
      <c r="E113" t="s">
        <v>21</v>
      </c>
      <c r="F113" s="20" t="str">
        <f>INDEX(nrg_cb_e!$A$3:$A$40,MATCH(LEFT(MID(B113,43,1000),SEARCH(" - ",MID(B113,43,1000))-1),nrg_cb_e!$C$3:$C$40,0))</f>
        <v>FC_OTH_CP_E</v>
      </c>
      <c r="G113">
        <v>6501.2939999999999</v>
      </c>
    </row>
    <row r="114" spans="1:7" x14ac:dyDescent="0.2">
      <c r="A114" t="s">
        <v>35</v>
      </c>
      <c r="B114" t="s">
        <v>75</v>
      </c>
      <c r="C114" t="s">
        <v>8</v>
      </c>
      <c r="D114" t="s">
        <v>10</v>
      </c>
      <c r="E114" t="s">
        <v>22</v>
      </c>
      <c r="F114" s="20" t="str">
        <f>INDEX(nrg_cb_e!$A$3:$A$40,MATCH(LEFT(MID(B114,43,1000),SEARCH(" - ",MID(B114,43,1000))-1),nrg_cb_e!$C$3:$C$40,0))</f>
        <v>FC_OTH_CP_E</v>
      </c>
      <c r="G114">
        <v>6278.7060000000001</v>
      </c>
    </row>
    <row r="115" spans="1:7" x14ac:dyDescent="0.2">
      <c r="A115" t="s">
        <v>35</v>
      </c>
      <c r="B115" t="s">
        <v>75</v>
      </c>
      <c r="C115" t="s">
        <v>8</v>
      </c>
      <c r="D115" t="s">
        <v>10</v>
      </c>
      <c r="E115" t="s">
        <v>23</v>
      </c>
      <c r="F115" s="20" t="str">
        <f>INDEX(nrg_cb_e!$A$3:$A$40,MATCH(LEFT(MID(B115,43,1000),SEARCH(" - ",MID(B115,43,1000))-1),nrg_cb_e!$C$3:$C$40,0))</f>
        <v>FC_OTH_CP_E</v>
      </c>
      <c r="G115">
        <v>6366.0950000000003</v>
      </c>
    </row>
    <row r="116" spans="1:7" x14ac:dyDescent="0.2">
      <c r="A116" t="s">
        <v>35</v>
      </c>
      <c r="B116" t="s">
        <v>75</v>
      </c>
      <c r="C116" t="s">
        <v>8</v>
      </c>
      <c r="D116" t="s">
        <v>10</v>
      </c>
      <c r="E116" t="s">
        <v>24</v>
      </c>
      <c r="F116" s="20" t="str">
        <f>INDEX(nrg_cb_e!$A$3:$A$40,MATCH(LEFT(MID(B116,43,1000),SEARCH(" - ",MID(B116,43,1000))-1),nrg_cb_e!$C$3:$C$40,0))</f>
        <v>FC_OTH_CP_E</v>
      </c>
      <c r="G116">
        <v>6438.8909999999996</v>
      </c>
    </row>
    <row r="117" spans="1:7" x14ac:dyDescent="0.2">
      <c r="A117" t="s">
        <v>35</v>
      </c>
      <c r="B117" t="s">
        <v>75</v>
      </c>
      <c r="C117" t="s">
        <v>8</v>
      </c>
      <c r="D117" t="s">
        <v>10</v>
      </c>
      <c r="E117" t="s">
        <v>25</v>
      </c>
      <c r="F117" s="20" t="str">
        <f>INDEX(nrg_cb_e!$A$3:$A$40,MATCH(LEFT(MID(B117,43,1000),SEARCH(" - ",MID(B117,43,1000))-1),nrg_cb_e!$C$3:$C$40,0))</f>
        <v>FC_OTH_CP_E</v>
      </c>
      <c r="G117">
        <v>6745.8609999999999</v>
      </c>
    </row>
    <row r="118" spans="1:7" x14ac:dyDescent="0.2">
      <c r="A118" t="s">
        <v>35</v>
      </c>
      <c r="B118" t="s">
        <v>75</v>
      </c>
      <c r="C118" t="s">
        <v>8</v>
      </c>
      <c r="D118" t="s">
        <v>10</v>
      </c>
      <c r="E118" t="s">
        <v>26</v>
      </c>
      <c r="F118" s="20" t="str">
        <f>INDEX(nrg_cb_e!$A$3:$A$40,MATCH(LEFT(MID(B118,43,1000),SEARCH(" - ",MID(B118,43,1000))-1),nrg_cb_e!$C$3:$C$40,0))</f>
        <v>FC_OTH_CP_E</v>
      </c>
      <c r="G118">
        <v>6951.1149999999998</v>
      </c>
    </row>
    <row r="119" spans="1:7" x14ac:dyDescent="0.2">
      <c r="A119" t="s">
        <v>35</v>
      </c>
      <c r="B119" t="s">
        <v>75</v>
      </c>
      <c r="C119" t="s">
        <v>8</v>
      </c>
      <c r="D119" t="s">
        <v>10</v>
      </c>
      <c r="E119" t="s">
        <v>27</v>
      </c>
      <c r="F119" s="20" t="str">
        <f>INDEX(nrg_cb_e!$A$3:$A$40,MATCH(LEFT(MID(B119,43,1000),SEARCH(" - ",MID(B119,43,1000))-1),nrg_cb_e!$C$3:$C$40,0))</f>
        <v>FC_OTH_CP_E</v>
      </c>
      <c r="G119">
        <v>7027.0330000000004</v>
      </c>
    </row>
    <row r="120" spans="1:7" x14ac:dyDescent="0.2">
      <c r="A120" t="s">
        <v>35</v>
      </c>
      <c r="B120" t="s">
        <v>75</v>
      </c>
      <c r="C120" t="s">
        <v>8</v>
      </c>
      <c r="D120" t="s">
        <v>10</v>
      </c>
      <c r="E120" t="s">
        <v>28</v>
      </c>
      <c r="F120" s="20" t="str">
        <f>INDEX(nrg_cb_e!$A$3:$A$40,MATCH(LEFT(MID(B120,43,1000),SEARCH(" - ",MID(B120,43,1000))-1),nrg_cb_e!$C$3:$C$40,0))</f>
        <v>FC_OTH_CP_E</v>
      </c>
      <c r="G120">
        <v>7462.2259999999997</v>
      </c>
    </row>
    <row r="121" spans="1:7" x14ac:dyDescent="0.2">
      <c r="A121" t="s">
        <v>36</v>
      </c>
      <c r="B121" t="s">
        <v>75</v>
      </c>
      <c r="C121" t="s">
        <v>8</v>
      </c>
      <c r="D121" t="s">
        <v>10</v>
      </c>
      <c r="E121" t="s">
        <v>12</v>
      </c>
      <c r="F121" s="20" t="str">
        <f>INDEX(nrg_cb_e!$A$3:$A$40,MATCH(LEFT(MID(B121,43,1000),SEARCH(" - ",MID(B121,43,1000))-1),nrg_cb_e!$C$3:$C$40,0))</f>
        <v>FC_OTH_CP_E</v>
      </c>
      <c r="G121">
        <v>13989</v>
      </c>
    </row>
    <row r="122" spans="1:7" x14ac:dyDescent="0.2">
      <c r="A122" t="s">
        <v>36</v>
      </c>
      <c r="B122" t="s">
        <v>75</v>
      </c>
      <c r="C122" t="s">
        <v>8</v>
      </c>
      <c r="D122" t="s">
        <v>10</v>
      </c>
      <c r="E122" t="s">
        <v>13</v>
      </c>
      <c r="F122" s="20" t="str">
        <f>INDEX(nrg_cb_e!$A$3:$A$40,MATCH(LEFT(MID(B122,43,1000),SEARCH(" - ",MID(B122,43,1000))-1),nrg_cb_e!$C$3:$C$40,0))</f>
        <v>FC_OTH_CP_E</v>
      </c>
      <c r="G122">
        <v>15005</v>
      </c>
    </row>
    <row r="123" spans="1:7" x14ac:dyDescent="0.2">
      <c r="A123" t="s">
        <v>36</v>
      </c>
      <c r="B123" t="s">
        <v>75</v>
      </c>
      <c r="C123" t="s">
        <v>8</v>
      </c>
      <c r="D123" t="s">
        <v>10</v>
      </c>
      <c r="E123" t="s">
        <v>14</v>
      </c>
      <c r="F123" s="20" t="str">
        <f>INDEX(nrg_cb_e!$A$3:$A$40,MATCH(LEFT(MID(B123,43,1000),SEARCH(" - ",MID(B123,43,1000))-1),nrg_cb_e!$C$3:$C$40,0))</f>
        <v>FC_OTH_CP_E</v>
      </c>
      <c r="G123">
        <v>15872</v>
      </c>
    </row>
    <row r="124" spans="1:7" x14ac:dyDescent="0.2">
      <c r="A124" t="s">
        <v>36</v>
      </c>
      <c r="B124" t="s">
        <v>75</v>
      </c>
      <c r="C124" t="s">
        <v>8</v>
      </c>
      <c r="D124" t="s">
        <v>10</v>
      </c>
      <c r="E124" t="s">
        <v>15</v>
      </c>
      <c r="F124" s="20" t="str">
        <f>INDEX(nrg_cb_e!$A$3:$A$40,MATCH(LEFT(MID(B124,43,1000),SEARCH(" - ",MID(B124,43,1000))-1),nrg_cb_e!$C$3:$C$40,0))</f>
        <v>FC_OTH_CP_E</v>
      </c>
      <c r="G124">
        <v>16479</v>
      </c>
    </row>
    <row r="125" spans="1:7" x14ac:dyDescent="0.2">
      <c r="A125" t="s">
        <v>36</v>
      </c>
      <c r="B125" t="s">
        <v>75</v>
      </c>
      <c r="C125" t="s">
        <v>8</v>
      </c>
      <c r="D125" t="s">
        <v>10</v>
      </c>
      <c r="E125" t="s">
        <v>16</v>
      </c>
      <c r="F125" s="20" t="str">
        <f>INDEX(nrg_cb_e!$A$3:$A$40,MATCH(LEFT(MID(B125,43,1000),SEARCH(" - ",MID(B125,43,1000))-1),nrg_cb_e!$C$3:$C$40,0))</f>
        <v>FC_OTH_CP_E</v>
      </c>
      <c r="G125">
        <v>17757</v>
      </c>
    </row>
    <row r="126" spans="1:7" x14ac:dyDescent="0.2">
      <c r="A126" t="s">
        <v>36</v>
      </c>
      <c r="B126" t="s">
        <v>75</v>
      </c>
      <c r="C126" t="s">
        <v>8</v>
      </c>
      <c r="D126" t="s">
        <v>10</v>
      </c>
      <c r="E126" t="s">
        <v>17</v>
      </c>
      <c r="F126" s="20" t="str">
        <f>INDEX(nrg_cb_e!$A$3:$A$40,MATCH(LEFT(MID(B126,43,1000),SEARCH(" - ",MID(B126,43,1000))-1),nrg_cb_e!$C$3:$C$40,0))</f>
        <v>FC_OTH_CP_E</v>
      </c>
      <c r="G126">
        <v>18773</v>
      </c>
    </row>
    <row r="127" spans="1:7" x14ac:dyDescent="0.2">
      <c r="A127" t="s">
        <v>36</v>
      </c>
      <c r="B127" t="s">
        <v>75</v>
      </c>
      <c r="C127" t="s">
        <v>8</v>
      </c>
      <c r="D127" t="s">
        <v>10</v>
      </c>
      <c r="E127" t="s">
        <v>18</v>
      </c>
      <c r="F127" s="20" t="str">
        <f>INDEX(nrg_cb_e!$A$3:$A$40,MATCH(LEFT(MID(B127,43,1000),SEARCH(" - ",MID(B127,43,1000))-1),nrg_cb_e!$C$3:$C$40,0))</f>
        <v>FC_OTH_CP_E</v>
      </c>
      <c r="G127">
        <v>19691</v>
      </c>
    </row>
    <row r="128" spans="1:7" x14ac:dyDescent="0.2">
      <c r="A128" t="s">
        <v>36</v>
      </c>
      <c r="B128" t="s">
        <v>75</v>
      </c>
      <c r="C128" t="s">
        <v>8</v>
      </c>
      <c r="D128" t="s">
        <v>10</v>
      </c>
      <c r="E128" t="s">
        <v>19</v>
      </c>
      <c r="F128" s="20" t="str">
        <f>INDEX(nrg_cb_e!$A$3:$A$40,MATCH(LEFT(MID(B128,43,1000),SEARCH(" - ",MID(B128,43,1000))-1),nrg_cb_e!$C$3:$C$40,0))</f>
        <v>FC_OTH_CP_E</v>
      </c>
      <c r="G128">
        <v>19769</v>
      </c>
    </row>
    <row r="129" spans="1:7" x14ac:dyDescent="0.2">
      <c r="A129" t="s">
        <v>36</v>
      </c>
      <c r="B129" t="s">
        <v>75</v>
      </c>
      <c r="C129" t="s">
        <v>8</v>
      </c>
      <c r="D129" t="s">
        <v>10</v>
      </c>
      <c r="E129" t="s">
        <v>20</v>
      </c>
      <c r="F129" s="20" t="str">
        <f>INDEX(nrg_cb_e!$A$3:$A$40,MATCH(LEFT(MID(B129,43,1000),SEARCH(" - ",MID(B129,43,1000))-1),nrg_cb_e!$C$3:$C$40,0))</f>
        <v>FC_OTH_CP_E</v>
      </c>
      <c r="G129">
        <v>18000</v>
      </c>
    </row>
    <row r="130" spans="1:7" x14ac:dyDescent="0.2">
      <c r="A130" t="s">
        <v>36</v>
      </c>
      <c r="B130" t="s">
        <v>75</v>
      </c>
      <c r="C130" t="s">
        <v>8</v>
      </c>
      <c r="D130" t="s">
        <v>10</v>
      </c>
      <c r="E130" t="s">
        <v>21</v>
      </c>
      <c r="F130" s="20" t="str">
        <f>INDEX(nrg_cb_e!$A$3:$A$40,MATCH(LEFT(MID(B130,43,1000),SEARCH(" - ",MID(B130,43,1000))-1),nrg_cb_e!$C$3:$C$40,0))</f>
        <v>FC_OTH_CP_E</v>
      </c>
      <c r="G130">
        <v>16839</v>
      </c>
    </row>
    <row r="131" spans="1:7" x14ac:dyDescent="0.2">
      <c r="A131" t="s">
        <v>36</v>
      </c>
      <c r="B131" t="s">
        <v>75</v>
      </c>
      <c r="C131" t="s">
        <v>8</v>
      </c>
      <c r="D131" t="s">
        <v>10</v>
      </c>
      <c r="E131" t="s">
        <v>22</v>
      </c>
      <c r="F131" s="20" t="str">
        <f>INDEX(nrg_cb_e!$A$3:$A$40,MATCH(LEFT(MID(B131,43,1000),SEARCH(" - ",MID(B131,43,1000))-1),nrg_cb_e!$C$3:$C$40,0))</f>
        <v>FC_OTH_CP_E</v>
      </c>
      <c r="G131">
        <v>18470</v>
      </c>
    </row>
    <row r="132" spans="1:7" x14ac:dyDescent="0.2">
      <c r="A132" t="s">
        <v>36</v>
      </c>
      <c r="B132" t="s">
        <v>75</v>
      </c>
      <c r="C132" t="s">
        <v>8</v>
      </c>
      <c r="D132" t="s">
        <v>10</v>
      </c>
      <c r="E132" t="s">
        <v>23</v>
      </c>
      <c r="F132" s="20" t="str">
        <f>INDEX(nrg_cb_e!$A$3:$A$40,MATCH(LEFT(MID(B132,43,1000),SEARCH(" - ",MID(B132,43,1000))-1),nrg_cb_e!$C$3:$C$40,0))</f>
        <v>FC_OTH_CP_E</v>
      </c>
      <c r="G132">
        <v>17008</v>
      </c>
    </row>
    <row r="133" spans="1:7" x14ac:dyDescent="0.2">
      <c r="A133" t="s">
        <v>36</v>
      </c>
      <c r="B133" t="s">
        <v>75</v>
      </c>
      <c r="C133" t="s">
        <v>8</v>
      </c>
      <c r="D133" t="s">
        <v>10</v>
      </c>
      <c r="E133" t="s">
        <v>24</v>
      </c>
      <c r="F133" s="20" t="str">
        <f>INDEX(nrg_cb_e!$A$3:$A$40,MATCH(LEFT(MID(B133,43,1000),SEARCH(" - ",MID(B133,43,1000))-1),nrg_cb_e!$C$3:$C$40,0))</f>
        <v>FC_OTH_CP_E</v>
      </c>
      <c r="G133">
        <v>16802</v>
      </c>
    </row>
    <row r="134" spans="1:7" x14ac:dyDescent="0.2">
      <c r="A134" t="s">
        <v>36</v>
      </c>
      <c r="B134" t="s">
        <v>75</v>
      </c>
      <c r="C134" t="s">
        <v>8</v>
      </c>
      <c r="D134" t="s">
        <v>10</v>
      </c>
      <c r="E134" t="s">
        <v>25</v>
      </c>
      <c r="F134" s="20" t="str">
        <f>INDEX(nrg_cb_e!$A$3:$A$40,MATCH(LEFT(MID(B134,43,1000),SEARCH(" - ",MID(B134,43,1000))-1),nrg_cb_e!$C$3:$C$40,0))</f>
        <v>FC_OTH_CP_E</v>
      </c>
      <c r="G134">
        <v>17926</v>
      </c>
    </row>
    <row r="135" spans="1:7" x14ac:dyDescent="0.2">
      <c r="A135" t="s">
        <v>36</v>
      </c>
      <c r="B135" t="s">
        <v>75</v>
      </c>
      <c r="C135" t="s">
        <v>8</v>
      </c>
      <c r="D135" t="s">
        <v>10</v>
      </c>
      <c r="E135" t="s">
        <v>26</v>
      </c>
      <c r="F135" s="20" t="str">
        <f>INDEX(nrg_cb_e!$A$3:$A$40,MATCH(LEFT(MID(B135,43,1000),SEARCH(" - ",MID(B135,43,1000))-1),nrg_cb_e!$C$3:$C$40,0))</f>
        <v>FC_OTH_CP_E</v>
      </c>
      <c r="G135">
        <v>19448</v>
      </c>
    </row>
    <row r="136" spans="1:7" x14ac:dyDescent="0.2">
      <c r="A136" t="s">
        <v>36</v>
      </c>
      <c r="B136" t="s">
        <v>75</v>
      </c>
      <c r="C136" t="s">
        <v>8</v>
      </c>
      <c r="D136" t="s">
        <v>10</v>
      </c>
      <c r="E136" t="s">
        <v>27</v>
      </c>
      <c r="F136" s="20" t="str">
        <f>INDEX(nrg_cb_e!$A$3:$A$40,MATCH(LEFT(MID(B136,43,1000),SEARCH(" - ",MID(B136,43,1000))-1),nrg_cb_e!$C$3:$C$40,0))</f>
        <v>FC_OTH_CP_E</v>
      </c>
      <c r="G136">
        <v>19243.437000000002</v>
      </c>
    </row>
    <row r="137" spans="1:7" x14ac:dyDescent="0.2">
      <c r="A137" t="s">
        <v>36</v>
      </c>
      <c r="B137" t="s">
        <v>75</v>
      </c>
      <c r="C137" t="s">
        <v>8</v>
      </c>
      <c r="D137" t="s">
        <v>10</v>
      </c>
      <c r="E137" t="s">
        <v>28</v>
      </c>
      <c r="F137" s="20" t="str">
        <f>INDEX(nrg_cb_e!$A$3:$A$40,MATCH(LEFT(MID(B137,43,1000),SEARCH(" - ",MID(B137,43,1000))-1),nrg_cb_e!$C$3:$C$40,0))</f>
        <v>FC_OTH_CP_E</v>
      </c>
      <c r="G137">
        <v>17807.75</v>
      </c>
    </row>
    <row r="138" spans="1:7" x14ac:dyDescent="0.2">
      <c r="A138" t="s">
        <v>37</v>
      </c>
      <c r="B138" t="s">
        <v>75</v>
      </c>
      <c r="C138" t="s">
        <v>8</v>
      </c>
      <c r="D138" t="s">
        <v>10</v>
      </c>
      <c r="E138" t="s">
        <v>12</v>
      </c>
      <c r="F138" s="20" t="str">
        <f>INDEX(nrg_cb_e!$A$3:$A$40,MATCH(LEFT(MID(B138,43,1000),SEARCH(" - ",MID(B138,43,1000))-1),nrg_cb_e!$C$3:$C$40,0))</f>
        <v>FC_OTH_CP_E</v>
      </c>
      <c r="G138">
        <v>53227</v>
      </c>
    </row>
    <row r="139" spans="1:7" x14ac:dyDescent="0.2">
      <c r="A139" t="s">
        <v>37</v>
      </c>
      <c r="B139" t="s">
        <v>75</v>
      </c>
      <c r="C139" t="s">
        <v>8</v>
      </c>
      <c r="D139" t="s">
        <v>10</v>
      </c>
      <c r="E139" t="s">
        <v>13</v>
      </c>
      <c r="F139" s="20" t="str">
        <f>INDEX(nrg_cb_e!$A$3:$A$40,MATCH(LEFT(MID(B139,43,1000),SEARCH(" - ",MID(B139,43,1000))-1),nrg_cb_e!$C$3:$C$40,0))</f>
        <v>FC_OTH_CP_E</v>
      </c>
      <c r="G139">
        <v>57232</v>
      </c>
    </row>
    <row r="140" spans="1:7" x14ac:dyDescent="0.2">
      <c r="A140" t="s">
        <v>37</v>
      </c>
      <c r="B140" t="s">
        <v>75</v>
      </c>
      <c r="C140" t="s">
        <v>8</v>
      </c>
      <c r="D140" t="s">
        <v>10</v>
      </c>
      <c r="E140" t="s">
        <v>14</v>
      </c>
      <c r="F140" s="20" t="str">
        <f>INDEX(nrg_cb_e!$A$3:$A$40,MATCH(LEFT(MID(B140,43,1000),SEARCH(" - ",MID(B140,43,1000))-1),nrg_cb_e!$C$3:$C$40,0))</f>
        <v>FC_OTH_CP_E</v>
      </c>
      <c r="G140">
        <v>60671</v>
      </c>
    </row>
    <row r="141" spans="1:7" x14ac:dyDescent="0.2">
      <c r="A141" t="s">
        <v>37</v>
      </c>
      <c r="B141" t="s">
        <v>75</v>
      </c>
      <c r="C141" t="s">
        <v>8</v>
      </c>
      <c r="D141" t="s">
        <v>10</v>
      </c>
      <c r="E141" t="s">
        <v>15</v>
      </c>
      <c r="F141" s="20" t="str">
        <f>INDEX(nrg_cb_e!$A$3:$A$40,MATCH(LEFT(MID(B141,43,1000),SEARCH(" - ",MID(B141,43,1000))-1),nrg_cb_e!$C$3:$C$40,0))</f>
        <v>FC_OTH_CP_E</v>
      </c>
      <c r="G141">
        <v>63823</v>
      </c>
    </row>
    <row r="142" spans="1:7" x14ac:dyDescent="0.2">
      <c r="A142" t="s">
        <v>37</v>
      </c>
      <c r="B142" t="s">
        <v>75</v>
      </c>
      <c r="C142" t="s">
        <v>8</v>
      </c>
      <c r="D142" t="s">
        <v>10</v>
      </c>
      <c r="E142" t="s">
        <v>16</v>
      </c>
      <c r="F142" s="20" t="str">
        <f>INDEX(nrg_cb_e!$A$3:$A$40,MATCH(LEFT(MID(B142,43,1000),SEARCH(" - ",MID(B142,43,1000))-1),nrg_cb_e!$C$3:$C$40,0))</f>
        <v>FC_OTH_CP_E</v>
      </c>
      <c r="G142">
        <v>73130</v>
      </c>
    </row>
    <row r="143" spans="1:7" x14ac:dyDescent="0.2">
      <c r="A143" t="s">
        <v>37</v>
      </c>
      <c r="B143" t="s">
        <v>75</v>
      </c>
      <c r="C143" t="s">
        <v>8</v>
      </c>
      <c r="D143" t="s">
        <v>10</v>
      </c>
      <c r="E143" t="s">
        <v>17</v>
      </c>
      <c r="F143" s="20" t="str">
        <f>INDEX(nrg_cb_e!$A$3:$A$40,MATCH(LEFT(MID(B143,43,1000),SEARCH(" - ",MID(B143,43,1000))-1),nrg_cb_e!$C$3:$C$40,0))</f>
        <v>FC_OTH_CP_E</v>
      </c>
      <c r="G143">
        <v>74050</v>
      </c>
    </row>
    <row r="144" spans="1:7" x14ac:dyDescent="0.2">
      <c r="A144" t="s">
        <v>37</v>
      </c>
      <c r="B144" t="s">
        <v>75</v>
      </c>
      <c r="C144" t="s">
        <v>8</v>
      </c>
      <c r="D144" t="s">
        <v>10</v>
      </c>
      <c r="E144" t="s">
        <v>18</v>
      </c>
      <c r="F144" s="20" t="str">
        <f>INDEX(nrg_cb_e!$A$3:$A$40,MATCH(LEFT(MID(B144,43,1000),SEARCH(" - ",MID(B144,43,1000))-1),nrg_cb_e!$C$3:$C$40,0))</f>
        <v>FC_OTH_CP_E</v>
      </c>
      <c r="G144">
        <v>79769</v>
      </c>
    </row>
    <row r="145" spans="1:7" x14ac:dyDescent="0.2">
      <c r="A145" t="s">
        <v>37</v>
      </c>
      <c r="B145" t="s">
        <v>75</v>
      </c>
      <c r="C145" t="s">
        <v>8</v>
      </c>
      <c r="D145" t="s">
        <v>10</v>
      </c>
      <c r="E145" t="s">
        <v>19</v>
      </c>
      <c r="F145" s="20" t="str">
        <f>INDEX(nrg_cb_e!$A$3:$A$40,MATCH(LEFT(MID(B145,43,1000),SEARCH(" - ",MID(B145,43,1000))-1),nrg_cb_e!$C$3:$C$40,0))</f>
        <v>FC_OTH_CP_E</v>
      </c>
      <c r="G145">
        <v>81019</v>
      </c>
    </row>
    <row r="146" spans="1:7" x14ac:dyDescent="0.2">
      <c r="A146" t="s">
        <v>37</v>
      </c>
      <c r="B146" t="s">
        <v>75</v>
      </c>
      <c r="C146" t="s">
        <v>8</v>
      </c>
      <c r="D146" t="s">
        <v>10</v>
      </c>
      <c r="E146" t="s">
        <v>20</v>
      </c>
      <c r="F146" s="20" t="str">
        <f>INDEX(nrg_cb_e!$A$3:$A$40,MATCH(LEFT(MID(B146,43,1000),SEARCH(" - ",MID(B146,43,1000))-1),nrg_cb_e!$C$3:$C$40,0))</f>
        <v>FC_OTH_CP_E</v>
      </c>
      <c r="G146">
        <v>83892</v>
      </c>
    </row>
    <row r="147" spans="1:7" x14ac:dyDescent="0.2">
      <c r="A147" t="s">
        <v>37</v>
      </c>
      <c r="B147" t="s">
        <v>75</v>
      </c>
      <c r="C147" t="s">
        <v>8</v>
      </c>
      <c r="D147" t="s">
        <v>10</v>
      </c>
      <c r="E147" t="s">
        <v>21</v>
      </c>
      <c r="F147" s="20" t="str">
        <f>INDEX(nrg_cb_e!$A$3:$A$40,MATCH(LEFT(MID(B147,43,1000),SEARCH(" - ",MID(B147,43,1000))-1),nrg_cb_e!$C$3:$C$40,0))</f>
        <v>FC_OTH_CP_E</v>
      </c>
      <c r="G147">
        <v>81825</v>
      </c>
    </row>
    <row r="148" spans="1:7" x14ac:dyDescent="0.2">
      <c r="A148" t="s">
        <v>37</v>
      </c>
      <c r="B148" t="s">
        <v>75</v>
      </c>
      <c r="C148" t="s">
        <v>8</v>
      </c>
      <c r="D148" t="s">
        <v>10</v>
      </c>
      <c r="E148" t="s">
        <v>22</v>
      </c>
      <c r="F148" s="20" t="str">
        <f>INDEX(nrg_cb_e!$A$3:$A$40,MATCH(LEFT(MID(B148,43,1000),SEARCH(" - ",MID(B148,43,1000))-1),nrg_cb_e!$C$3:$C$40,0))</f>
        <v>FC_OTH_CP_E</v>
      </c>
      <c r="G148">
        <v>80752</v>
      </c>
    </row>
    <row r="149" spans="1:7" x14ac:dyDescent="0.2">
      <c r="A149" t="s">
        <v>37</v>
      </c>
      <c r="B149" t="s">
        <v>75</v>
      </c>
      <c r="C149" t="s">
        <v>8</v>
      </c>
      <c r="D149" t="s">
        <v>10</v>
      </c>
      <c r="E149" t="s">
        <v>23</v>
      </c>
      <c r="F149" s="20" t="str">
        <f>INDEX(nrg_cb_e!$A$3:$A$40,MATCH(LEFT(MID(B149,43,1000),SEARCH(" - ",MID(B149,43,1000))-1),nrg_cb_e!$C$3:$C$40,0))</f>
        <v>FC_OTH_CP_E</v>
      </c>
      <c r="G149">
        <v>76302</v>
      </c>
    </row>
    <row r="150" spans="1:7" x14ac:dyDescent="0.2">
      <c r="A150" t="s">
        <v>37</v>
      </c>
      <c r="B150" t="s">
        <v>75</v>
      </c>
      <c r="C150" t="s">
        <v>8</v>
      </c>
      <c r="D150" t="s">
        <v>10</v>
      </c>
      <c r="E150" t="s">
        <v>24</v>
      </c>
      <c r="F150" s="20" t="str">
        <f>INDEX(nrg_cb_e!$A$3:$A$40,MATCH(LEFT(MID(B150,43,1000),SEARCH(" - ",MID(B150,43,1000))-1),nrg_cb_e!$C$3:$C$40,0))</f>
        <v>FC_OTH_CP_E</v>
      </c>
      <c r="G150">
        <v>70562</v>
      </c>
    </row>
    <row r="151" spans="1:7" x14ac:dyDescent="0.2">
      <c r="A151" t="s">
        <v>37</v>
      </c>
      <c r="B151" t="s">
        <v>75</v>
      </c>
      <c r="C151" t="s">
        <v>8</v>
      </c>
      <c r="D151" t="s">
        <v>10</v>
      </c>
      <c r="E151" t="s">
        <v>25</v>
      </c>
      <c r="F151" s="20" t="str">
        <f>INDEX(nrg_cb_e!$A$3:$A$40,MATCH(LEFT(MID(B151,43,1000),SEARCH(" - ",MID(B151,43,1000))-1),nrg_cb_e!$C$3:$C$40,0))</f>
        <v>FC_OTH_CP_E</v>
      </c>
      <c r="G151">
        <v>74108</v>
      </c>
    </row>
    <row r="152" spans="1:7" x14ac:dyDescent="0.2">
      <c r="A152" t="s">
        <v>37</v>
      </c>
      <c r="B152" t="s">
        <v>75</v>
      </c>
      <c r="C152" t="s">
        <v>8</v>
      </c>
      <c r="D152" t="s">
        <v>10</v>
      </c>
      <c r="E152" t="s">
        <v>26</v>
      </c>
      <c r="F152" s="20" t="str">
        <f>INDEX(nrg_cb_e!$A$3:$A$40,MATCH(LEFT(MID(B152,43,1000),SEARCH(" - ",MID(B152,43,1000))-1),nrg_cb_e!$C$3:$C$40,0))</f>
        <v>FC_OTH_CP_E</v>
      </c>
      <c r="G152">
        <v>73388</v>
      </c>
    </row>
    <row r="153" spans="1:7" x14ac:dyDescent="0.2">
      <c r="A153" t="s">
        <v>37</v>
      </c>
      <c r="B153" t="s">
        <v>75</v>
      </c>
      <c r="C153" t="s">
        <v>8</v>
      </c>
      <c r="D153" t="s">
        <v>10</v>
      </c>
      <c r="E153" t="s">
        <v>27</v>
      </c>
      <c r="F153" s="20" t="str">
        <f>INDEX(nrg_cb_e!$A$3:$A$40,MATCH(LEFT(MID(B153,43,1000),SEARCH(" - ",MID(B153,43,1000))-1),nrg_cb_e!$C$3:$C$40,0))</f>
        <v>FC_OTH_CP_E</v>
      </c>
      <c r="G153">
        <v>75307</v>
      </c>
    </row>
    <row r="154" spans="1:7" x14ac:dyDescent="0.2">
      <c r="A154" t="s">
        <v>37</v>
      </c>
      <c r="B154" t="s">
        <v>75</v>
      </c>
      <c r="C154" t="s">
        <v>8</v>
      </c>
      <c r="D154" t="s">
        <v>10</v>
      </c>
      <c r="E154" t="s">
        <v>28</v>
      </c>
      <c r="F154" s="20" t="str">
        <f>INDEX(nrg_cb_e!$A$3:$A$40,MATCH(LEFT(MID(B154,43,1000),SEARCH(" - ",MID(B154,43,1000))-1),nrg_cb_e!$C$3:$C$40,0))</f>
        <v>FC_OTH_CP_E</v>
      </c>
      <c r="G154">
        <v>74513</v>
      </c>
    </row>
    <row r="155" spans="1:7" x14ac:dyDescent="0.2">
      <c r="A155" t="s">
        <v>38</v>
      </c>
      <c r="B155" t="s">
        <v>75</v>
      </c>
      <c r="C155" t="s">
        <v>8</v>
      </c>
      <c r="D155" t="s">
        <v>10</v>
      </c>
      <c r="E155" t="s">
        <v>12</v>
      </c>
      <c r="F155" s="20" t="str">
        <f>INDEX(nrg_cb_e!$A$3:$A$40,MATCH(LEFT(MID(B155,43,1000),SEARCH(" - ",MID(B155,43,1000))-1),nrg_cb_e!$C$3:$C$40,0))</f>
        <v>FC_OTH_CP_E</v>
      </c>
      <c r="G155">
        <v>108712</v>
      </c>
    </row>
    <row r="156" spans="1:7" x14ac:dyDescent="0.2">
      <c r="A156" t="s">
        <v>38</v>
      </c>
      <c r="B156" t="s">
        <v>75</v>
      </c>
      <c r="C156" t="s">
        <v>8</v>
      </c>
      <c r="D156" t="s">
        <v>10</v>
      </c>
      <c r="E156" t="s">
        <v>13</v>
      </c>
      <c r="F156" s="20" t="str">
        <f>INDEX(nrg_cb_e!$A$3:$A$40,MATCH(LEFT(MID(B156,43,1000),SEARCH(" - ",MID(B156,43,1000))-1),nrg_cb_e!$C$3:$C$40,0))</f>
        <v>FC_OTH_CP_E</v>
      </c>
      <c r="G156">
        <v>116183</v>
      </c>
    </row>
    <row r="157" spans="1:7" x14ac:dyDescent="0.2">
      <c r="A157" t="s">
        <v>38</v>
      </c>
      <c r="B157" t="s">
        <v>75</v>
      </c>
      <c r="C157" t="s">
        <v>8</v>
      </c>
      <c r="D157" t="s">
        <v>10</v>
      </c>
      <c r="E157" t="s">
        <v>14</v>
      </c>
      <c r="F157" s="20" t="str">
        <f>INDEX(nrg_cb_e!$A$3:$A$40,MATCH(LEFT(MID(B157,43,1000),SEARCH(" - ",MID(B157,43,1000))-1),nrg_cb_e!$C$3:$C$40,0))</f>
        <v>FC_OTH_CP_E</v>
      </c>
      <c r="G157">
        <v>120337</v>
      </c>
    </row>
    <row r="158" spans="1:7" x14ac:dyDescent="0.2">
      <c r="A158" t="s">
        <v>38</v>
      </c>
      <c r="B158" t="s">
        <v>75</v>
      </c>
      <c r="C158" t="s">
        <v>8</v>
      </c>
      <c r="D158" t="s">
        <v>10</v>
      </c>
      <c r="E158" t="s">
        <v>15</v>
      </c>
      <c r="F158" s="20" t="str">
        <f>INDEX(nrg_cb_e!$A$3:$A$40,MATCH(LEFT(MID(B158,43,1000),SEARCH(" - ",MID(B158,43,1000))-1),nrg_cb_e!$C$3:$C$40,0))</f>
        <v>FC_OTH_CP_E</v>
      </c>
      <c r="G158">
        <v>125188</v>
      </c>
    </row>
    <row r="159" spans="1:7" x14ac:dyDescent="0.2">
      <c r="A159" t="s">
        <v>38</v>
      </c>
      <c r="B159" t="s">
        <v>75</v>
      </c>
      <c r="C159" t="s">
        <v>8</v>
      </c>
      <c r="D159" t="s">
        <v>10</v>
      </c>
      <c r="E159" t="s">
        <v>16</v>
      </c>
      <c r="F159" s="20" t="str">
        <f>INDEX(nrg_cb_e!$A$3:$A$40,MATCH(LEFT(MID(B159,43,1000),SEARCH(" - ",MID(B159,43,1000))-1),nrg_cb_e!$C$3:$C$40,0))</f>
        <v>FC_OTH_CP_E</v>
      </c>
      <c r="G159">
        <v>129924</v>
      </c>
    </row>
    <row r="160" spans="1:7" x14ac:dyDescent="0.2">
      <c r="A160" t="s">
        <v>38</v>
      </c>
      <c r="B160" t="s">
        <v>75</v>
      </c>
      <c r="C160" t="s">
        <v>8</v>
      </c>
      <c r="D160" t="s">
        <v>10</v>
      </c>
      <c r="E160" t="s">
        <v>17</v>
      </c>
      <c r="F160" s="20" t="str">
        <f>INDEX(nrg_cb_e!$A$3:$A$40,MATCH(LEFT(MID(B160,43,1000),SEARCH(" - ",MID(B160,43,1000))-1),nrg_cb_e!$C$3:$C$40,0))</f>
        <v>FC_OTH_CP_E</v>
      </c>
      <c r="G160">
        <v>133217</v>
      </c>
    </row>
    <row r="161" spans="1:7" x14ac:dyDescent="0.2">
      <c r="A161" t="s">
        <v>38</v>
      </c>
      <c r="B161" t="s">
        <v>75</v>
      </c>
      <c r="C161" t="s">
        <v>8</v>
      </c>
      <c r="D161" t="s">
        <v>10</v>
      </c>
      <c r="E161" t="s">
        <v>18</v>
      </c>
      <c r="F161" s="20" t="str">
        <f>INDEX(nrg_cb_e!$A$3:$A$40,MATCH(LEFT(MID(B161,43,1000),SEARCH(" - ",MID(B161,43,1000))-1),nrg_cb_e!$C$3:$C$40,0))</f>
        <v>FC_OTH_CP_E</v>
      </c>
      <c r="G161">
        <v>132482</v>
      </c>
    </row>
    <row r="162" spans="1:7" x14ac:dyDescent="0.2">
      <c r="A162" t="s">
        <v>38</v>
      </c>
      <c r="B162" t="s">
        <v>75</v>
      </c>
      <c r="C162" t="s">
        <v>8</v>
      </c>
      <c r="D162" t="s">
        <v>10</v>
      </c>
      <c r="E162" t="s">
        <v>19</v>
      </c>
      <c r="F162" s="20" t="str">
        <f>INDEX(nrg_cb_e!$A$3:$A$40,MATCH(LEFT(MID(B162,43,1000),SEARCH(" - ",MID(B162,43,1000))-1),nrg_cb_e!$C$3:$C$40,0))</f>
        <v>FC_OTH_CP_E</v>
      </c>
      <c r="G162">
        <v>136668</v>
      </c>
    </row>
    <row r="163" spans="1:7" x14ac:dyDescent="0.2">
      <c r="A163" t="s">
        <v>38</v>
      </c>
      <c r="B163" t="s">
        <v>75</v>
      </c>
      <c r="C163" t="s">
        <v>8</v>
      </c>
      <c r="D163" t="s">
        <v>10</v>
      </c>
      <c r="E163" t="s">
        <v>20</v>
      </c>
      <c r="F163" s="20" t="str">
        <f>INDEX(nrg_cb_e!$A$3:$A$40,MATCH(LEFT(MID(B163,43,1000),SEARCH(" - ",MID(B163,43,1000))-1),nrg_cb_e!$C$3:$C$40,0))</f>
        <v>FC_OTH_CP_E</v>
      </c>
      <c r="G163">
        <v>144664</v>
      </c>
    </row>
    <row r="164" spans="1:7" x14ac:dyDescent="0.2">
      <c r="A164" t="s">
        <v>38</v>
      </c>
      <c r="B164" t="s">
        <v>75</v>
      </c>
      <c r="C164" t="s">
        <v>8</v>
      </c>
      <c r="D164" t="s">
        <v>10</v>
      </c>
      <c r="E164" t="s">
        <v>21</v>
      </c>
      <c r="F164" s="20" t="str">
        <f>INDEX(nrg_cb_e!$A$3:$A$40,MATCH(LEFT(MID(B164,43,1000),SEARCH(" - ",MID(B164,43,1000))-1),nrg_cb_e!$C$3:$C$40,0))</f>
        <v>FC_OTH_CP_E</v>
      </c>
      <c r="G164">
        <v>135741.87</v>
      </c>
    </row>
    <row r="165" spans="1:7" x14ac:dyDescent="0.2">
      <c r="A165" t="s">
        <v>38</v>
      </c>
      <c r="B165" t="s">
        <v>75</v>
      </c>
      <c r="C165" t="s">
        <v>8</v>
      </c>
      <c r="D165" t="s">
        <v>10</v>
      </c>
      <c r="E165" t="s">
        <v>22</v>
      </c>
      <c r="F165" s="20" t="str">
        <f>INDEX(nrg_cb_e!$A$3:$A$40,MATCH(LEFT(MID(B165,43,1000),SEARCH(" - ",MID(B165,43,1000))-1),nrg_cb_e!$C$3:$C$40,0))</f>
        <v>FC_OTH_CP_E</v>
      </c>
      <c r="G165">
        <v>141858.549</v>
      </c>
    </row>
    <row r="166" spans="1:7" x14ac:dyDescent="0.2">
      <c r="A166" t="s">
        <v>38</v>
      </c>
      <c r="B166" t="s">
        <v>75</v>
      </c>
      <c r="C166" t="s">
        <v>8</v>
      </c>
      <c r="D166" t="s">
        <v>10</v>
      </c>
      <c r="E166" t="s">
        <v>23</v>
      </c>
      <c r="F166" s="20" t="str">
        <f>INDEX(nrg_cb_e!$A$3:$A$40,MATCH(LEFT(MID(B166,43,1000),SEARCH(" - ",MID(B166,43,1000))-1),nrg_cb_e!$C$3:$C$40,0))</f>
        <v>FC_OTH_CP_E</v>
      </c>
      <c r="G166">
        <v>142102.28700000001</v>
      </c>
    </row>
    <row r="167" spans="1:7" x14ac:dyDescent="0.2">
      <c r="A167" t="s">
        <v>38</v>
      </c>
      <c r="B167" t="s">
        <v>75</v>
      </c>
      <c r="C167" t="s">
        <v>8</v>
      </c>
      <c r="D167" t="s">
        <v>10</v>
      </c>
      <c r="E167" t="s">
        <v>24</v>
      </c>
      <c r="F167" s="20" t="str">
        <f>INDEX(nrg_cb_e!$A$3:$A$40,MATCH(LEFT(MID(B167,43,1000),SEARCH(" - ",MID(B167,43,1000))-1),nrg_cb_e!$C$3:$C$40,0))</f>
        <v>FC_OTH_CP_E</v>
      </c>
      <c r="G167">
        <v>135993.97700000001</v>
      </c>
    </row>
    <row r="168" spans="1:7" x14ac:dyDescent="0.2">
      <c r="A168" t="s">
        <v>38</v>
      </c>
      <c r="B168" t="s">
        <v>75</v>
      </c>
      <c r="C168" t="s">
        <v>8</v>
      </c>
      <c r="D168" t="s">
        <v>10</v>
      </c>
      <c r="E168" t="s">
        <v>25</v>
      </c>
      <c r="F168" s="20" t="str">
        <f>INDEX(nrg_cb_e!$A$3:$A$40,MATCH(LEFT(MID(B168,43,1000),SEARCH(" - ",MID(B168,43,1000))-1),nrg_cb_e!$C$3:$C$40,0))</f>
        <v>FC_OTH_CP_E</v>
      </c>
      <c r="G168">
        <v>139343.10999999999</v>
      </c>
    </row>
    <row r="169" spans="1:7" x14ac:dyDescent="0.2">
      <c r="A169" t="s">
        <v>38</v>
      </c>
      <c r="B169" t="s">
        <v>75</v>
      </c>
      <c r="C169" t="s">
        <v>8</v>
      </c>
      <c r="D169" t="s">
        <v>10</v>
      </c>
      <c r="E169" t="s">
        <v>26</v>
      </c>
      <c r="F169" s="20" t="str">
        <f>INDEX(nrg_cb_e!$A$3:$A$40,MATCH(LEFT(MID(B169,43,1000),SEARCH(" - ",MID(B169,43,1000))-1),nrg_cb_e!$C$3:$C$40,0))</f>
        <v>FC_OTH_CP_E</v>
      </c>
      <c r="G169">
        <v>139851.70199999999</v>
      </c>
    </row>
    <row r="170" spans="1:7" x14ac:dyDescent="0.2">
      <c r="A170" t="s">
        <v>38</v>
      </c>
      <c r="B170" t="s">
        <v>75</v>
      </c>
      <c r="C170" t="s">
        <v>8</v>
      </c>
      <c r="D170" t="s">
        <v>10</v>
      </c>
      <c r="E170" t="s">
        <v>27</v>
      </c>
      <c r="F170" s="20" t="str">
        <f>INDEX(nrg_cb_e!$A$3:$A$40,MATCH(LEFT(MID(B170,43,1000),SEARCH(" - ",MID(B170,43,1000))-1),nrg_cb_e!$C$3:$C$40,0))</f>
        <v>FC_OTH_CP_E</v>
      </c>
      <c r="G170">
        <v>139382.383</v>
      </c>
    </row>
    <row r="171" spans="1:7" x14ac:dyDescent="0.2">
      <c r="A171" t="s">
        <v>38</v>
      </c>
      <c r="B171" t="s">
        <v>75</v>
      </c>
      <c r="C171" t="s">
        <v>8</v>
      </c>
      <c r="D171" t="s">
        <v>10</v>
      </c>
      <c r="E171" t="s">
        <v>28</v>
      </c>
      <c r="F171" s="20" t="str">
        <f>INDEX(nrg_cb_e!$A$3:$A$40,MATCH(LEFT(MID(B171,43,1000),SEARCH(" - ",MID(B171,43,1000))-1),nrg_cb_e!$C$3:$C$40,0))</f>
        <v>FC_OTH_CP_E</v>
      </c>
      <c r="G171">
        <v>138487.65400000001</v>
      </c>
    </row>
    <row r="172" spans="1:7" x14ac:dyDescent="0.2">
      <c r="A172" t="s">
        <v>39</v>
      </c>
      <c r="B172" t="s">
        <v>75</v>
      </c>
      <c r="C172" t="s">
        <v>8</v>
      </c>
      <c r="D172" t="s">
        <v>10</v>
      </c>
      <c r="E172" t="s">
        <v>12</v>
      </c>
      <c r="F172" s="20" t="str">
        <f>INDEX(nrg_cb_e!$A$3:$A$40,MATCH(LEFT(MID(B172,43,1000),SEARCH(" - ",MID(B172,43,1000))-1),nrg_cb_e!$C$3:$C$40,0))</f>
        <v>FC_OTH_CP_E</v>
      </c>
      <c r="G172">
        <v>3484</v>
      </c>
    </row>
    <row r="173" spans="1:7" x14ac:dyDescent="0.2">
      <c r="A173" t="s">
        <v>39</v>
      </c>
      <c r="B173" t="s">
        <v>75</v>
      </c>
      <c r="C173" t="s">
        <v>8</v>
      </c>
      <c r="D173" t="s">
        <v>10</v>
      </c>
      <c r="E173" t="s">
        <v>13</v>
      </c>
      <c r="F173" s="20" t="str">
        <f>INDEX(nrg_cb_e!$A$3:$A$40,MATCH(LEFT(MID(B173,43,1000),SEARCH(" - ",MID(B173,43,1000))-1),nrg_cb_e!$C$3:$C$40,0))</f>
        <v>FC_OTH_CP_E</v>
      </c>
      <c r="G173">
        <v>3757</v>
      </c>
    </row>
    <row r="174" spans="1:7" x14ac:dyDescent="0.2">
      <c r="A174" t="s">
        <v>39</v>
      </c>
      <c r="B174" t="s">
        <v>75</v>
      </c>
      <c r="C174" t="s">
        <v>8</v>
      </c>
      <c r="D174" t="s">
        <v>10</v>
      </c>
      <c r="E174" t="s">
        <v>14</v>
      </c>
      <c r="F174" s="20" t="str">
        <f>INDEX(nrg_cb_e!$A$3:$A$40,MATCH(LEFT(MID(B174,43,1000),SEARCH(" - ",MID(B174,43,1000))-1),nrg_cb_e!$C$3:$C$40,0))</f>
        <v>FC_OTH_CP_E</v>
      </c>
      <c r="G174">
        <v>4030</v>
      </c>
    </row>
    <row r="175" spans="1:7" x14ac:dyDescent="0.2">
      <c r="A175" t="s">
        <v>39</v>
      </c>
      <c r="B175" t="s">
        <v>75</v>
      </c>
      <c r="C175" t="s">
        <v>8</v>
      </c>
      <c r="D175" t="s">
        <v>10</v>
      </c>
      <c r="E175" t="s">
        <v>15</v>
      </c>
      <c r="F175" s="20" t="str">
        <f>INDEX(nrg_cb_e!$A$3:$A$40,MATCH(LEFT(MID(B175,43,1000),SEARCH(" - ",MID(B175,43,1000))-1),nrg_cb_e!$C$3:$C$40,0))</f>
        <v>FC_OTH_CP_E</v>
      </c>
      <c r="G175">
        <v>4413</v>
      </c>
    </row>
    <row r="176" spans="1:7" x14ac:dyDescent="0.2">
      <c r="A176" t="s">
        <v>39</v>
      </c>
      <c r="B176" t="s">
        <v>75</v>
      </c>
      <c r="C176" t="s">
        <v>8</v>
      </c>
      <c r="D176" t="s">
        <v>10</v>
      </c>
      <c r="E176" t="s">
        <v>16</v>
      </c>
      <c r="F176" s="20" t="str">
        <f>INDEX(nrg_cb_e!$A$3:$A$40,MATCH(LEFT(MID(B176,43,1000),SEARCH(" - ",MID(B176,43,1000))-1),nrg_cb_e!$C$3:$C$40,0))</f>
        <v>FC_OTH_CP_E</v>
      </c>
      <c r="G176">
        <v>4686</v>
      </c>
    </row>
    <row r="177" spans="1:7" x14ac:dyDescent="0.2">
      <c r="A177" t="s">
        <v>39</v>
      </c>
      <c r="B177" t="s">
        <v>75</v>
      </c>
      <c r="C177" t="s">
        <v>8</v>
      </c>
      <c r="D177" t="s">
        <v>10</v>
      </c>
      <c r="E177" t="s">
        <v>17</v>
      </c>
      <c r="F177" s="20" t="str">
        <f>INDEX(nrg_cb_e!$A$3:$A$40,MATCH(LEFT(MID(B177,43,1000),SEARCH(" - ",MID(B177,43,1000))-1),nrg_cb_e!$C$3:$C$40,0))</f>
        <v>FC_OTH_CP_E</v>
      </c>
      <c r="G177">
        <v>4873</v>
      </c>
    </row>
    <row r="178" spans="1:7" x14ac:dyDescent="0.2">
      <c r="A178" t="s">
        <v>39</v>
      </c>
      <c r="B178" t="s">
        <v>75</v>
      </c>
      <c r="C178" t="s">
        <v>8</v>
      </c>
      <c r="D178" t="s">
        <v>10</v>
      </c>
      <c r="E178" t="s">
        <v>18</v>
      </c>
      <c r="F178" s="20" t="str">
        <f>INDEX(nrg_cb_e!$A$3:$A$40,MATCH(LEFT(MID(B178,43,1000),SEARCH(" - ",MID(B178,43,1000))-1),nrg_cb_e!$C$3:$C$40,0))</f>
        <v>FC_OTH_CP_E</v>
      </c>
      <c r="G178">
        <v>5288</v>
      </c>
    </row>
    <row r="179" spans="1:7" x14ac:dyDescent="0.2">
      <c r="A179" t="s">
        <v>39</v>
      </c>
      <c r="B179" t="s">
        <v>75</v>
      </c>
      <c r="C179" t="s">
        <v>8</v>
      </c>
      <c r="D179" t="s">
        <v>10</v>
      </c>
      <c r="E179" t="s">
        <v>19</v>
      </c>
      <c r="F179" s="20" t="str">
        <f>INDEX(nrg_cb_e!$A$3:$A$40,MATCH(LEFT(MID(B179,43,1000),SEARCH(" - ",MID(B179,43,1000))-1),nrg_cb_e!$C$3:$C$40,0))</f>
        <v>FC_OTH_CP_E</v>
      </c>
      <c r="G179">
        <v>5311</v>
      </c>
    </row>
    <row r="180" spans="1:7" x14ac:dyDescent="0.2">
      <c r="A180" t="s">
        <v>39</v>
      </c>
      <c r="B180" t="s">
        <v>75</v>
      </c>
      <c r="C180" t="s">
        <v>8</v>
      </c>
      <c r="D180" t="s">
        <v>10</v>
      </c>
      <c r="E180" t="s">
        <v>20</v>
      </c>
      <c r="F180" s="20" t="str">
        <f>INDEX(nrg_cb_e!$A$3:$A$40,MATCH(LEFT(MID(B180,43,1000),SEARCH(" - ",MID(B180,43,1000))-1),nrg_cb_e!$C$3:$C$40,0))</f>
        <v>FC_OTH_CP_E</v>
      </c>
      <c r="G180">
        <v>5385</v>
      </c>
    </row>
    <row r="181" spans="1:7" x14ac:dyDescent="0.2">
      <c r="A181" t="s">
        <v>39</v>
      </c>
      <c r="B181" t="s">
        <v>75</v>
      </c>
      <c r="C181" t="s">
        <v>8</v>
      </c>
      <c r="D181" t="s">
        <v>10</v>
      </c>
      <c r="E181" t="s">
        <v>21</v>
      </c>
      <c r="F181" s="20" t="str">
        <f>INDEX(nrg_cb_e!$A$3:$A$40,MATCH(LEFT(MID(B181,43,1000),SEARCH(" - ",MID(B181,43,1000))-1),nrg_cb_e!$C$3:$C$40,0))</f>
        <v>FC_OTH_CP_E</v>
      </c>
      <c r="G181">
        <v>5516</v>
      </c>
    </row>
    <row r="182" spans="1:7" x14ac:dyDescent="0.2">
      <c r="A182" t="s">
        <v>39</v>
      </c>
      <c r="B182" t="s">
        <v>75</v>
      </c>
      <c r="C182" t="s">
        <v>8</v>
      </c>
      <c r="D182" t="s">
        <v>10</v>
      </c>
      <c r="E182" t="s">
        <v>22</v>
      </c>
      <c r="F182" s="20" t="str">
        <f>INDEX(nrg_cb_e!$A$3:$A$40,MATCH(LEFT(MID(B182,43,1000),SEARCH(" - ",MID(B182,43,1000))-1),nrg_cb_e!$C$3:$C$40,0))</f>
        <v>FC_OTH_CP_E</v>
      </c>
      <c r="G182">
        <v>5513</v>
      </c>
    </row>
    <row r="183" spans="1:7" x14ac:dyDescent="0.2">
      <c r="A183" t="s">
        <v>39</v>
      </c>
      <c r="B183" t="s">
        <v>75</v>
      </c>
      <c r="C183" t="s">
        <v>8</v>
      </c>
      <c r="D183" t="s">
        <v>10</v>
      </c>
      <c r="E183" t="s">
        <v>23</v>
      </c>
      <c r="F183" s="20" t="str">
        <f>INDEX(nrg_cb_e!$A$3:$A$40,MATCH(LEFT(MID(B183,43,1000),SEARCH(" - ",MID(B183,43,1000))-1),nrg_cb_e!$C$3:$C$40,0))</f>
        <v>FC_OTH_CP_E</v>
      </c>
      <c r="G183">
        <v>5387</v>
      </c>
    </row>
    <row r="184" spans="1:7" x14ac:dyDescent="0.2">
      <c r="A184" t="s">
        <v>39</v>
      </c>
      <c r="B184" t="s">
        <v>75</v>
      </c>
      <c r="C184" t="s">
        <v>8</v>
      </c>
      <c r="D184" t="s">
        <v>10</v>
      </c>
      <c r="E184" t="s">
        <v>24</v>
      </c>
      <c r="F184" s="20" t="str">
        <f>INDEX(nrg_cb_e!$A$3:$A$40,MATCH(LEFT(MID(B184,43,1000),SEARCH(" - ",MID(B184,43,1000))-1),nrg_cb_e!$C$3:$C$40,0))</f>
        <v>FC_OTH_CP_E</v>
      </c>
      <c r="G184">
        <v>5215</v>
      </c>
    </row>
    <row r="185" spans="1:7" x14ac:dyDescent="0.2">
      <c r="A185" t="s">
        <v>39</v>
      </c>
      <c r="B185" t="s">
        <v>75</v>
      </c>
      <c r="C185" t="s">
        <v>8</v>
      </c>
      <c r="D185" t="s">
        <v>10</v>
      </c>
      <c r="E185" t="s">
        <v>25</v>
      </c>
      <c r="F185" s="20" t="str">
        <f>INDEX(nrg_cb_e!$A$3:$A$40,MATCH(LEFT(MID(B185,43,1000),SEARCH(" - ",MID(B185,43,1000))-1),nrg_cb_e!$C$3:$C$40,0))</f>
        <v>FC_OTH_CP_E</v>
      </c>
      <c r="G185">
        <v>5405</v>
      </c>
    </row>
    <row r="186" spans="1:7" x14ac:dyDescent="0.2">
      <c r="A186" t="s">
        <v>39</v>
      </c>
      <c r="B186" t="s">
        <v>75</v>
      </c>
      <c r="C186" t="s">
        <v>8</v>
      </c>
      <c r="D186" t="s">
        <v>10</v>
      </c>
      <c r="E186" t="s">
        <v>26</v>
      </c>
      <c r="F186" s="20" t="str">
        <f>INDEX(nrg_cb_e!$A$3:$A$40,MATCH(LEFT(MID(B186,43,1000),SEARCH(" - ",MID(B186,43,1000))-1),nrg_cb_e!$C$3:$C$40,0))</f>
        <v>FC_OTH_CP_E</v>
      </c>
      <c r="G186">
        <v>5433</v>
      </c>
    </row>
    <row r="187" spans="1:7" x14ac:dyDescent="0.2">
      <c r="A187" t="s">
        <v>39</v>
      </c>
      <c r="B187" t="s">
        <v>75</v>
      </c>
      <c r="C187" t="s">
        <v>8</v>
      </c>
      <c r="D187" t="s">
        <v>10</v>
      </c>
      <c r="E187" t="s">
        <v>27</v>
      </c>
      <c r="F187" s="20" t="str">
        <f>INDEX(nrg_cb_e!$A$3:$A$40,MATCH(LEFT(MID(B187,43,1000),SEARCH(" - ",MID(B187,43,1000))-1),nrg_cb_e!$C$3:$C$40,0))</f>
        <v>FC_OTH_CP_E</v>
      </c>
      <c r="G187">
        <v>5777.1</v>
      </c>
    </row>
    <row r="188" spans="1:7" x14ac:dyDescent="0.2">
      <c r="A188" t="s">
        <v>39</v>
      </c>
      <c r="B188" t="s">
        <v>75</v>
      </c>
      <c r="C188" t="s">
        <v>8</v>
      </c>
      <c r="D188" t="s">
        <v>10</v>
      </c>
      <c r="E188" t="s">
        <v>28</v>
      </c>
      <c r="F188" s="20" t="str">
        <f>INDEX(nrg_cb_e!$A$3:$A$40,MATCH(LEFT(MID(B188,43,1000),SEARCH(" - ",MID(B188,43,1000))-1),nrg_cb_e!$C$3:$C$40,0))</f>
        <v>FC_OTH_CP_E</v>
      </c>
      <c r="G188">
        <v>5945.2</v>
      </c>
    </row>
    <row r="189" spans="1:7" x14ac:dyDescent="0.2">
      <c r="A189" t="s">
        <v>40</v>
      </c>
      <c r="B189" t="s">
        <v>75</v>
      </c>
      <c r="C189" t="s">
        <v>8</v>
      </c>
      <c r="D189" t="s">
        <v>10</v>
      </c>
      <c r="E189" t="s">
        <v>12</v>
      </c>
      <c r="F189" s="20" t="str">
        <f>INDEX(nrg_cb_e!$A$3:$A$40,MATCH(LEFT(MID(B189,43,1000),SEARCH(" - ",MID(B189,43,1000))-1),nrg_cb_e!$C$3:$C$40,0))</f>
        <v>FC_OTH_CP_E</v>
      </c>
      <c r="G189">
        <v>62830</v>
      </c>
    </row>
    <row r="190" spans="1:7" x14ac:dyDescent="0.2">
      <c r="A190" t="s">
        <v>40</v>
      </c>
      <c r="B190" t="s">
        <v>75</v>
      </c>
      <c r="C190" t="s">
        <v>8</v>
      </c>
      <c r="D190" t="s">
        <v>10</v>
      </c>
      <c r="E190" t="s">
        <v>13</v>
      </c>
      <c r="F190" s="20" t="str">
        <f>INDEX(nrg_cb_e!$A$3:$A$40,MATCH(LEFT(MID(B190,43,1000),SEARCH(" - ",MID(B190,43,1000))-1),nrg_cb_e!$C$3:$C$40,0))</f>
        <v>FC_OTH_CP_E</v>
      </c>
      <c r="G190">
        <v>67426</v>
      </c>
    </row>
    <row r="191" spans="1:7" x14ac:dyDescent="0.2">
      <c r="A191" t="s">
        <v>40</v>
      </c>
      <c r="B191" t="s">
        <v>75</v>
      </c>
      <c r="C191" t="s">
        <v>8</v>
      </c>
      <c r="D191" t="s">
        <v>10</v>
      </c>
      <c r="E191" t="s">
        <v>14</v>
      </c>
      <c r="F191" s="20" t="str">
        <f>INDEX(nrg_cb_e!$A$3:$A$40,MATCH(LEFT(MID(B191,43,1000),SEARCH(" - ",MID(B191,43,1000))-1),nrg_cb_e!$C$3:$C$40,0))</f>
        <v>FC_OTH_CP_E</v>
      </c>
      <c r="G191">
        <v>69955</v>
      </c>
    </row>
    <row r="192" spans="1:7" x14ac:dyDescent="0.2">
      <c r="A192" t="s">
        <v>40</v>
      </c>
      <c r="B192" t="s">
        <v>75</v>
      </c>
      <c r="C192" t="s">
        <v>8</v>
      </c>
      <c r="D192" t="s">
        <v>10</v>
      </c>
      <c r="E192" t="s">
        <v>15</v>
      </c>
      <c r="F192" s="20" t="str">
        <f>INDEX(nrg_cb_e!$A$3:$A$40,MATCH(LEFT(MID(B192,43,1000),SEARCH(" - ",MID(B192,43,1000))-1),nrg_cb_e!$C$3:$C$40,0))</f>
        <v>FC_OTH_CP_E</v>
      </c>
      <c r="G192">
        <v>73875</v>
      </c>
    </row>
    <row r="193" spans="1:7" x14ac:dyDescent="0.2">
      <c r="A193" t="s">
        <v>40</v>
      </c>
      <c r="B193" t="s">
        <v>75</v>
      </c>
      <c r="C193" t="s">
        <v>8</v>
      </c>
      <c r="D193" t="s">
        <v>10</v>
      </c>
      <c r="E193" t="s">
        <v>16</v>
      </c>
      <c r="F193" s="20" t="str">
        <f>INDEX(nrg_cb_e!$A$3:$A$40,MATCH(LEFT(MID(B193,43,1000),SEARCH(" - ",MID(B193,43,1000))-1),nrg_cb_e!$C$3:$C$40,0))</f>
        <v>FC_OTH_CP_E</v>
      </c>
      <c r="G193">
        <v>78057</v>
      </c>
    </row>
    <row r="194" spans="1:7" x14ac:dyDescent="0.2">
      <c r="A194" t="s">
        <v>40</v>
      </c>
      <c r="B194" t="s">
        <v>75</v>
      </c>
      <c r="C194" t="s">
        <v>8</v>
      </c>
      <c r="D194" t="s">
        <v>10</v>
      </c>
      <c r="E194" t="s">
        <v>17</v>
      </c>
      <c r="F194" s="20" t="str">
        <f>INDEX(nrg_cb_e!$A$3:$A$40,MATCH(LEFT(MID(B194,43,1000),SEARCH(" - ",MID(B194,43,1000))-1),nrg_cb_e!$C$3:$C$40,0))</f>
        <v>FC_OTH_CP_E</v>
      </c>
      <c r="G194">
        <v>79865</v>
      </c>
    </row>
    <row r="195" spans="1:7" x14ac:dyDescent="0.2">
      <c r="A195" t="s">
        <v>40</v>
      </c>
      <c r="B195" t="s">
        <v>75</v>
      </c>
      <c r="C195" t="s">
        <v>8</v>
      </c>
      <c r="D195" t="s">
        <v>10</v>
      </c>
      <c r="E195" t="s">
        <v>18</v>
      </c>
      <c r="F195" s="20" t="str">
        <f>INDEX(nrg_cb_e!$A$3:$A$40,MATCH(LEFT(MID(B195,43,1000),SEARCH(" - ",MID(B195,43,1000))-1),nrg_cb_e!$C$3:$C$40,0))</f>
        <v>FC_OTH_CP_E</v>
      </c>
      <c r="G195">
        <v>82773</v>
      </c>
    </row>
    <row r="196" spans="1:7" x14ac:dyDescent="0.2">
      <c r="A196" t="s">
        <v>40</v>
      </c>
      <c r="B196" t="s">
        <v>75</v>
      </c>
      <c r="C196" t="s">
        <v>8</v>
      </c>
      <c r="D196" t="s">
        <v>10</v>
      </c>
      <c r="E196" t="s">
        <v>19</v>
      </c>
      <c r="F196" s="20" t="str">
        <f>INDEX(nrg_cb_e!$A$3:$A$40,MATCH(LEFT(MID(B196,43,1000),SEARCH(" - ",MID(B196,43,1000))-1),nrg_cb_e!$C$3:$C$40,0))</f>
        <v>FC_OTH_CP_E</v>
      </c>
      <c r="G196">
        <v>84300</v>
      </c>
    </row>
    <row r="197" spans="1:7" x14ac:dyDescent="0.2">
      <c r="A197" t="s">
        <v>40</v>
      </c>
      <c r="B197" t="s">
        <v>75</v>
      </c>
      <c r="C197" t="s">
        <v>8</v>
      </c>
      <c r="D197" t="s">
        <v>10</v>
      </c>
      <c r="E197" t="s">
        <v>20</v>
      </c>
      <c r="F197" s="20" t="str">
        <f>INDEX(nrg_cb_e!$A$3:$A$40,MATCH(LEFT(MID(B197,43,1000),SEARCH(" - ",MID(B197,43,1000))-1),nrg_cb_e!$C$3:$C$40,0))</f>
        <v>FC_OTH_CP_E</v>
      </c>
      <c r="G197">
        <v>85619</v>
      </c>
    </row>
    <row r="198" spans="1:7" x14ac:dyDescent="0.2">
      <c r="A198" t="s">
        <v>40</v>
      </c>
      <c r="B198" t="s">
        <v>75</v>
      </c>
      <c r="C198" t="s">
        <v>8</v>
      </c>
      <c r="D198" t="s">
        <v>10</v>
      </c>
      <c r="E198" t="s">
        <v>21</v>
      </c>
      <c r="F198" s="20" t="str">
        <f>INDEX(nrg_cb_e!$A$3:$A$40,MATCH(LEFT(MID(B198,43,1000),SEARCH(" - ",MID(B198,43,1000))-1),nrg_cb_e!$C$3:$C$40,0))</f>
        <v>FC_OTH_CP_E</v>
      </c>
      <c r="G198">
        <v>86912</v>
      </c>
    </row>
    <row r="199" spans="1:7" x14ac:dyDescent="0.2">
      <c r="A199" t="s">
        <v>40</v>
      </c>
      <c r="B199" t="s">
        <v>75</v>
      </c>
      <c r="C199" t="s">
        <v>8</v>
      </c>
      <c r="D199" t="s">
        <v>10</v>
      </c>
      <c r="E199" t="s">
        <v>22</v>
      </c>
      <c r="F199" s="20" t="str">
        <f>INDEX(nrg_cb_e!$A$3:$A$40,MATCH(LEFT(MID(B199,43,1000),SEARCH(" - ",MID(B199,43,1000))-1),nrg_cb_e!$C$3:$C$40,0))</f>
        <v>FC_OTH_CP_E</v>
      </c>
      <c r="G199">
        <v>90279</v>
      </c>
    </row>
    <row r="200" spans="1:7" x14ac:dyDescent="0.2">
      <c r="A200" t="s">
        <v>40</v>
      </c>
      <c r="B200" t="s">
        <v>75</v>
      </c>
      <c r="C200" t="s">
        <v>8</v>
      </c>
      <c r="D200" t="s">
        <v>10</v>
      </c>
      <c r="E200" t="s">
        <v>23</v>
      </c>
      <c r="F200" s="20" t="str">
        <f>INDEX(nrg_cb_e!$A$3:$A$40,MATCH(LEFT(MID(B200,43,1000),SEARCH(" - ",MID(B200,43,1000))-1),nrg_cb_e!$C$3:$C$40,0))</f>
        <v>FC_OTH_CP_E</v>
      </c>
      <c r="G200">
        <v>88982</v>
      </c>
    </row>
    <row r="201" spans="1:7" x14ac:dyDescent="0.2">
      <c r="A201" t="s">
        <v>40</v>
      </c>
      <c r="B201" t="s">
        <v>75</v>
      </c>
      <c r="C201" t="s">
        <v>8</v>
      </c>
      <c r="D201" t="s">
        <v>10</v>
      </c>
      <c r="E201" t="s">
        <v>24</v>
      </c>
      <c r="F201" s="20" t="str">
        <f>INDEX(nrg_cb_e!$A$3:$A$40,MATCH(LEFT(MID(B201,43,1000),SEARCH(" - ",MID(B201,43,1000))-1),nrg_cb_e!$C$3:$C$40,0))</f>
        <v>FC_OTH_CP_E</v>
      </c>
      <c r="G201">
        <v>88489</v>
      </c>
    </row>
    <row r="202" spans="1:7" x14ac:dyDescent="0.2">
      <c r="A202" t="s">
        <v>40</v>
      </c>
      <c r="B202" t="s">
        <v>75</v>
      </c>
      <c r="C202" t="s">
        <v>8</v>
      </c>
      <c r="D202" t="s">
        <v>10</v>
      </c>
      <c r="E202" t="s">
        <v>25</v>
      </c>
      <c r="F202" s="20" t="str">
        <f>INDEX(nrg_cb_e!$A$3:$A$40,MATCH(LEFT(MID(B202,43,1000),SEARCH(" - ",MID(B202,43,1000))-1),nrg_cb_e!$C$3:$C$40,0))</f>
        <v>FC_OTH_CP_E</v>
      </c>
      <c r="G202">
        <v>92085</v>
      </c>
    </row>
    <row r="203" spans="1:7" x14ac:dyDescent="0.2">
      <c r="A203" t="s">
        <v>40</v>
      </c>
      <c r="B203" t="s">
        <v>75</v>
      </c>
      <c r="C203" t="s">
        <v>8</v>
      </c>
      <c r="D203" t="s">
        <v>10</v>
      </c>
      <c r="E203" t="s">
        <v>26</v>
      </c>
      <c r="F203" s="20" t="str">
        <f>INDEX(nrg_cb_e!$A$3:$A$40,MATCH(LEFT(MID(B203,43,1000),SEARCH(" - ",MID(B203,43,1000))-1),nrg_cb_e!$C$3:$C$40,0))</f>
        <v>FC_OTH_CP_E</v>
      </c>
      <c r="G203">
        <v>91736</v>
      </c>
    </row>
    <row r="204" spans="1:7" x14ac:dyDescent="0.2">
      <c r="A204" t="s">
        <v>40</v>
      </c>
      <c r="B204" t="s">
        <v>75</v>
      </c>
      <c r="C204" t="s">
        <v>8</v>
      </c>
      <c r="D204" t="s">
        <v>10</v>
      </c>
      <c r="E204" t="s">
        <v>27</v>
      </c>
      <c r="F204" s="20" t="str">
        <f>INDEX(nrg_cb_e!$A$3:$A$40,MATCH(LEFT(MID(B204,43,1000),SEARCH(" - ",MID(B204,43,1000))-1),nrg_cb_e!$C$3:$C$40,0))</f>
        <v>FC_OTH_CP_E</v>
      </c>
      <c r="G204">
        <v>93491.933999999994</v>
      </c>
    </row>
    <row r="205" spans="1:7" x14ac:dyDescent="0.2">
      <c r="A205" t="s">
        <v>40</v>
      </c>
      <c r="B205" t="s">
        <v>75</v>
      </c>
      <c r="C205" t="s">
        <v>8</v>
      </c>
      <c r="D205" t="s">
        <v>10</v>
      </c>
      <c r="E205" t="s">
        <v>28</v>
      </c>
      <c r="F205" s="20" t="str">
        <f>INDEX(nrg_cb_e!$A$3:$A$40,MATCH(LEFT(MID(B205,43,1000),SEARCH(" - ",MID(B205,43,1000))-1),nrg_cb_e!$C$3:$C$40,0))</f>
        <v>FC_OTH_CP_E</v>
      </c>
      <c r="G205">
        <v>94489.797999999995</v>
      </c>
    </row>
    <row r="206" spans="1:7" x14ac:dyDescent="0.2">
      <c r="A206" t="s">
        <v>41</v>
      </c>
      <c r="B206" t="s">
        <v>75</v>
      </c>
      <c r="C206" t="s">
        <v>8</v>
      </c>
      <c r="D206" t="s">
        <v>10</v>
      </c>
      <c r="E206" t="s">
        <v>12</v>
      </c>
      <c r="F206" s="20" t="str">
        <f>INDEX(nrg_cb_e!$A$3:$A$40,MATCH(LEFT(MID(B206,43,1000),SEARCH(" - ",MID(B206,43,1000))-1),nrg_cb_e!$C$3:$C$40,0))</f>
        <v>FC_OTH_CP_E</v>
      </c>
      <c r="G206">
        <v>1584</v>
      </c>
    </row>
    <row r="207" spans="1:7" x14ac:dyDescent="0.2">
      <c r="A207" t="s">
        <v>41</v>
      </c>
      <c r="B207" t="s">
        <v>75</v>
      </c>
      <c r="C207" t="s">
        <v>8</v>
      </c>
      <c r="D207" t="s">
        <v>10</v>
      </c>
      <c r="E207" t="s">
        <v>13</v>
      </c>
      <c r="F207" s="20" t="str">
        <f>INDEX(nrg_cb_e!$A$3:$A$40,MATCH(LEFT(MID(B207,43,1000),SEARCH(" - ",MID(B207,43,1000))-1),nrg_cb_e!$C$3:$C$40,0))</f>
        <v>FC_OTH_CP_E</v>
      </c>
      <c r="G207">
        <v>1664</v>
      </c>
    </row>
    <row r="208" spans="1:7" x14ac:dyDescent="0.2">
      <c r="A208" t="s">
        <v>41</v>
      </c>
      <c r="B208" t="s">
        <v>75</v>
      </c>
      <c r="C208" t="s">
        <v>8</v>
      </c>
      <c r="D208" t="s">
        <v>10</v>
      </c>
      <c r="E208" t="s">
        <v>14</v>
      </c>
      <c r="F208" s="20" t="str">
        <f>INDEX(nrg_cb_e!$A$3:$A$40,MATCH(LEFT(MID(B208,43,1000),SEARCH(" - ",MID(B208,43,1000))-1),nrg_cb_e!$C$3:$C$40,0))</f>
        <v>FC_OTH_CP_E</v>
      </c>
      <c r="G208">
        <v>1712.355</v>
      </c>
    </row>
    <row r="209" spans="1:7" x14ac:dyDescent="0.2">
      <c r="A209" t="s">
        <v>41</v>
      </c>
      <c r="B209" t="s">
        <v>75</v>
      </c>
      <c r="C209" t="s">
        <v>8</v>
      </c>
      <c r="D209" t="s">
        <v>10</v>
      </c>
      <c r="E209" t="s">
        <v>15</v>
      </c>
      <c r="F209" s="20" t="str">
        <f>INDEX(nrg_cb_e!$A$3:$A$40,MATCH(LEFT(MID(B209,43,1000),SEARCH(" - ",MID(B209,43,1000))-1),nrg_cb_e!$C$3:$C$40,0))</f>
        <v>FC_OTH_CP_E</v>
      </c>
      <c r="G209">
        <v>1786.355</v>
      </c>
    </row>
    <row r="210" spans="1:7" x14ac:dyDescent="0.2">
      <c r="A210" t="s">
        <v>41</v>
      </c>
      <c r="B210" t="s">
        <v>75</v>
      </c>
      <c r="C210" t="s">
        <v>8</v>
      </c>
      <c r="D210" t="s">
        <v>10</v>
      </c>
      <c r="E210" t="s">
        <v>16</v>
      </c>
      <c r="F210" s="20" t="str">
        <f>INDEX(nrg_cb_e!$A$3:$A$40,MATCH(LEFT(MID(B210,43,1000),SEARCH(" - ",MID(B210,43,1000))-1),nrg_cb_e!$C$3:$C$40,0))</f>
        <v>FC_OTH_CP_E</v>
      </c>
      <c r="G210">
        <v>1858.355</v>
      </c>
    </row>
    <row r="211" spans="1:7" x14ac:dyDescent="0.2">
      <c r="A211" t="s">
        <v>41</v>
      </c>
      <c r="B211" t="s">
        <v>75</v>
      </c>
      <c r="C211" t="s">
        <v>8</v>
      </c>
      <c r="D211" t="s">
        <v>10</v>
      </c>
      <c r="E211" t="s">
        <v>17</v>
      </c>
      <c r="F211" s="20" t="str">
        <f>INDEX(nrg_cb_e!$A$3:$A$40,MATCH(LEFT(MID(B211,43,1000),SEARCH(" - ",MID(B211,43,1000))-1),nrg_cb_e!$C$3:$C$40,0))</f>
        <v>FC_OTH_CP_E</v>
      </c>
      <c r="G211">
        <v>1952.355</v>
      </c>
    </row>
    <row r="212" spans="1:7" x14ac:dyDescent="0.2">
      <c r="A212" t="s">
        <v>41</v>
      </c>
      <c r="B212" t="s">
        <v>75</v>
      </c>
      <c r="C212" t="s">
        <v>8</v>
      </c>
      <c r="D212" t="s">
        <v>10</v>
      </c>
      <c r="E212" t="s">
        <v>18</v>
      </c>
      <c r="F212" s="20" t="str">
        <f>INDEX(nrg_cb_e!$A$3:$A$40,MATCH(LEFT(MID(B212,43,1000),SEARCH(" - ",MID(B212,43,1000))-1),nrg_cb_e!$C$3:$C$40,0))</f>
        <v>FC_OTH_CP_E</v>
      </c>
      <c r="G212">
        <v>2067.355</v>
      </c>
    </row>
    <row r="213" spans="1:7" x14ac:dyDescent="0.2">
      <c r="A213" t="s">
        <v>41</v>
      </c>
      <c r="B213" t="s">
        <v>75</v>
      </c>
      <c r="C213" t="s">
        <v>8</v>
      </c>
      <c r="D213" t="s">
        <v>10</v>
      </c>
      <c r="E213" t="s">
        <v>19</v>
      </c>
      <c r="F213" s="20" t="str">
        <f>INDEX(nrg_cb_e!$A$3:$A$40,MATCH(LEFT(MID(B213,43,1000),SEARCH(" - ",MID(B213,43,1000))-1),nrg_cb_e!$C$3:$C$40,0))</f>
        <v>FC_OTH_CP_E</v>
      </c>
      <c r="G213">
        <v>2164.355</v>
      </c>
    </row>
    <row r="214" spans="1:7" x14ac:dyDescent="0.2">
      <c r="A214" t="s">
        <v>41</v>
      </c>
      <c r="B214" t="s">
        <v>75</v>
      </c>
      <c r="C214" t="s">
        <v>8</v>
      </c>
      <c r="D214" t="s">
        <v>10</v>
      </c>
      <c r="E214" t="s">
        <v>20</v>
      </c>
      <c r="F214" s="20" t="str">
        <f>INDEX(nrg_cb_e!$A$3:$A$40,MATCH(LEFT(MID(B214,43,1000),SEARCH(" - ",MID(B214,43,1000))-1),nrg_cb_e!$C$3:$C$40,0))</f>
        <v>FC_OTH_CP_E</v>
      </c>
      <c r="G214">
        <v>2256.355</v>
      </c>
    </row>
    <row r="215" spans="1:7" x14ac:dyDescent="0.2">
      <c r="A215" t="s">
        <v>41</v>
      </c>
      <c r="B215" t="s">
        <v>75</v>
      </c>
      <c r="C215" t="s">
        <v>8</v>
      </c>
      <c r="D215" t="s">
        <v>10</v>
      </c>
      <c r="E215" t="s">
        <v>21</v>
      </c>
      <c r="F215" s="20" t="str">
        <f>INDEX(nrg_cb_e!$A$3:$A$40,MATCH(LEFT(MID(B215,43,1000),SEARCH(" - ",MID(B215,43,1000))-1),nrg_cb_e!$C$3:$C$40,0))</f>
        <v>FC_OTH_CP_E</v>
      </c>
      <c r="G215">
        <v>2138.4140000000002</v>
      </c>
    </row>
    <row r="216" spans="1:7" x14ac:dyDescent="0.2">
      <c r="A216" t="s">
        <v>41</v>
      </c>
      <c r="B216" t="s">
        <v>75</v>
      </c>
      <c r="C216" t="s">
        <v>8</v>
      </c>
      <c r="D216" t="s">
        <v>10</v>
      </c>
      <c r="E216" t="s">
        <v>22</v>
      </c>
      <c r="F216" s="20" t="str">
        <f>INDEX(nrg_cb_e!$A$3:$A$40,MATCH(LEFT(MID(B216,43,1000),SEARCH(" - ",MID(B216,43,1000))-1),nrg_cb_e!$C$3:$C$40,0))</f>
        <v>FC_OTH_CP_E</v>
      </c>
      <c r="G216">
        <v>2000.4290000000001</v>
      </c>
    </row>
    <row r="217" spans="1:7" x14ac:dyDescent="0.2">
      <c r="A217" t="s">
        <v>41</v>
      </c>
      <c r="B217" t="s">
        <v>75</v>
      </c>
      <c r="C217" t="s">
        <v>8</v>
      </c>
      <c r="D217" t="s">
        <v>10</v>
      </c>
      <c r="E217" t="s">
        <v>23</v>
      </c>
      <c r="F217" s="20" t="str">
        <f>INDEX(nrg_cb_e!$A$3:$A$40,MATCH(LEFT(MID(B217,43,1000),SEARCH(" - ",MID(B217,43,1000))-1),nrg_cb_e!$C$3:$C$40,0))</f>
        <v>FC_OTH_CP_E</v>
      </c>
      <c r="G217">
        <v>1786.4290000000001</v>
      </c>
    </row>
    <row r="218" spans="1:7" x14ac:dyDescent="0.2">
      <c r="A218" t="s">
        <v>41</v>
      </c>
      <c r="B218" t="s">
        <v>75</v>
      </c>
      <c r="C218" t="s">
        <v>8</v>
      </c>
      <c r="D218" t="s">
        <v>10</v>
      </c>
      <c r="E218" t="s">
        <v>24</v>
      </c>
      <c r="F218" s="20" t="str">
        <f>INDEX(nrg_cb_e!$A$3:$A$40,MATCH(LEFT(MID(B218,43,1000),SEARCH(" - ",MID(B218,43,1000))-1),nrg_cb_e!$C$3:$C$40,0))</f>
        <v>FC_OTH_CP_E</v>
      </c>
      <c r="G218">
        <v>1838.4290000000001</v>
      </c>
    </row>
    <row r="219" spans="1:7" x14ac:dyDescent="0.2">
      <c r="A219" t="s">
        <v>41</v>
      </c>
      <c r="B219" t="s">
        <v>75</v>
      </c>
      <c r="C219" t="s">
        <v>8</v>
      </c>
      <c r="D219" t="s">
        <v>10</v>
      </c>
      <c r="E219" t="s">
        <v>25</v>
      </c>
      <c r="F219" s="20" t="str">
        <f>INDEX(nrg_cb_e!$A$3:$A$40,MATCH(LEFT(MID(B219,43,1000),SEARCH(" - ",MID(B219,43,1000))-1),nrg_cb_e!$C$3:$C$40,0))</f>
        <v>FC_OTH_CP_E</v>
      </c>
      <c r="G219">
        <v>1886.4290000000001</v>
      </c>
    </row>
    <row r="220" spans="1:7" x14ac:dyDescent="0.2">
      <c r="A220" t="s">
        <v>41</v>
      </c>
      <c r="B220" t="s">
        <v>75</v>
      </c>
      <c r="C220" t="s">
        <v>8</v>
      </c>
      <c r="D220" t="s">
        <v>10</v>
      </c>
      <c r="E220" t="s">
        <v>26</v>
      </c>
      <c r="F220" s="20" t="str">
        <f>INDEX(nrg_cb_e!$A$3:$A$40,MATCH(LEFT(MID(B220,43,1000),SEARCH(" - ",MID(B220,43,1000))-1),nrg_cb_e!$C$3:$C$40,0))</f>
        <v>FC_OTH_CP_E</v>
      </c>
      <c r="G220">
        <v>2065.4290000000001</v>
      </c>
    </row>
    <row r="221" spans="1:7" x14ac:dyDescent="0.2">
      <c r="A221" t="s">
        <v>41</v>
      </c>
      <c r="B221" t="s">
        <v>75</v>
      </c>
      <c r="C221" t="s">
        <v>8</v>
      </c>
      <c r="D221" t="s">
        <v>10</v>
      </c>
      <c r="E221" t="s">
        <v>27</v>
      </c>
      <c r="F221" s="20" t="str">
        <f>INDEX(nrg_cb_e!$A$3:$A$40,MATCH(LEFT(MID(B221,43,1000),SEARCH(" - ",MID(B221,43,1000))-1),nrg_cb_e!$C$3:$C$40,0))</f>
        <v>FC_OTH_CP_E</v>
      </c>
      <c r="G221">
        <v>2096.6610000000001</v>
      </c>
    </row>
    <row r="222" spans="1:7" x14ac:dyDescent="0.2">
      <c r="A222" t="s">
        <v>41</v>
      </c>
      <c r="B222" t="s">
        <v>75</v>
      </c>
      <c r="C222" t="s">
        <v>8</v>
      </c>
      <c r="D222" t="s">
        <v>10</v>
      </c>
      <c r="E222" t="s">
        <v>28</v>
      </c>
      <c r="F222" s="20" t="str">
        <f>INDEX(nrg_cb_e!$A$3:$A$40,MATCH(LEFT(MID(B222,43,1000),SEARCH(" - ",MID(B222,43,1000))-1),nrg_cb_e!$C$3:$C$40,0))</f>
        <v>FC_OTH_CP_E</v>
      </c>
      <c r="G222">
        <v>2174.0340000000001</v>
      </c>
    </row>
    <row r="223" spans="1:7" x14ac:dyDescent="0.2">
      <c r="A223" t="s">
        <v>42</v>
      </c>
      <c r="B223" t="s">
        <v>75</v>
      </c>
      <c r="C223" t="s">
        <v>8</v>
      </c>
      <c r="D223" t="s">
        <v>10</v>
      </c>
      <c r="E223" t="s">
        <v>12</v>
      </c>
      <c r="F223" s="20" t="str">
        <f>INDEX(nrg_cb_e!$A$3:$A$40,MATCH(LEFT(MID(B223,43,1000),SEARCH(" - ",MID(B223,43,1000))-1),nrg_cb_e!$C$3:$C$40,0))</f>
        <v>FC_OTH_CP_E</v>
      </c>
      <c r="G223">
        <v>1727</v>
      </c>
    </row>
    <row r="224" spans="1:7" x14ac:dyDescent="0.2">
      <c r="A224" t="s">
        <v>42</v>
      </c>
      <c r="B224" t="s">
        <v>75</v>
      </c>
      <c r="C224" t="s">
        <v>8</v>
      </c>
      <c r="D224" t="s">
        <v>10</v>
      </c>
      <c r="E224" t="s">
        <v>13</v>
      </c>
      <c r="F224" s="20" t="str">
        <f>INDEX(nrg_cb_e!$A$3:$A$40,MATCH(LEFT(MID(B224,43,1000),SEARCH(" - ",MID(B224,43,1000))-1),nrg_cb_e!$C$3:$C$40,0))</f>
        <v>FC_OTH_CP_E</v>
      </c>
      <c r="G224">
        <v>1865</v>
      </c>
    </row>
    <row r="225" spans="1:7" x14ac:dyDescent="0.2">
      <c r="A225" t="s">
        <v>42</v>
      </c>
      <c r="B225" t="s">
        <v>75</v>
      </c>
      <c r="C225" t="s">
        <v>8</v>
      </c>
      <c r="D225" t="s">
        <v>10</v>
      </c>
      <c r="E225" t="s">
        <v>14</v>
      </c>
      <c r="F225" s="20" t="str">
        <f>INDEX(nrg_cb_e!$A$3:$A$40,MATCH(LEFT(MID(B225,43,1000),SEARCH(" - ",MID(B225,43,1000))-1),nrg_cb_e!$C$3:$C$40,0))</f>
        <v>FC_OTH_CP_E</v>
      </c>
      <c r="G225">
        <v>1988</v>
      </c>
    </row>
    <row r="226" spans="1:7" x14ac:dyDescent="0.2">
      <c r="A226" t="s">
        <v>42</v>
      </c>
      <c r="B226" t="s">
        <v>75</v>
      </c>
      <c r="C226" t="s">
        <v>8</v>
      </c>
      <c r="D226" t="s">
        <v>10</v>
      </c>
      <c r="E226" t="s">
        <v>15</v>
      </c>
      <c r="F226" s="20" t="str">
        <f>INDEX(nrg_cb_e!$A$3:$A$40,MATCH(LEFT(MID(B226,43,1000),SEARCH(" - ",MID(B226,43,1000))-1),nrg_cb_e!$C$3:$C$40,0))</f>
        <v>FC_OTH_CP_E</v>
      </c>
      <c r="G226">
        <v>2142</v>
      </c>
    </row>
    <row r="227" spans="1:7" x14ac:dyDescent="0.2">
      <c r="A227" t="s">
        <v>42</v>
      </c>
      <c r="B227" t="s">
        <v>75</v>
      </c>
      <c r="C227" t="s">
        <v>8</v>
      </c>
      <c r="D227" t="s">
        <v>10</v>
      </c>
      <c r="E227" t="s">
        <v>16</v>
      </c>
      <c r="F227" s="20" t="str">
        <f>INDEX(nrg_cb_e!$A$3:$A$40,MATCH(LEFT(MID(B227,43,1000),SEARCH(" - ",MID(B227,43,1000))-1),nrg_cb_e!$C$3:$C$40,0))</f>
        <v>FC_OTH_CP_E</v>
      </c>
      <c r="G227">
        <v>2331</v>
      </c>
    </row>
    <row r="228" spans="1:7" x14ac:dyDescent="0.2">
      <c r="A228" t="s">
        <v>42</v>
      </c>
      <c r="B228" t="s">
        <v>75</v>
      </c>
      <c r="C228" t="s">
        <v>8</v>
      </c>
      <c r="D228" t="s">
        <v>10</v>
      </c>
      <c r="E228" t="s">
        <v>17</v>
      </c>
      <c r="F228" s="20" t="str">
        <f>INDEX(nrg_cb_e!$A$3:$A$40,MATCH(LEFT(MID(B228,43,1000),SEARCH(" - ",MID(B228,43,1000))-1),nrg_cb_e!$C$3:$C$40,0))</f>
        <v>FC_OTH_CP_E</v>
      </c>
      <c r="G228">
        <v>2704</v>
      </c>
    </row>
    <row r="229" spans="1:7" x14ac:dyDescent="0.2">
      <c r="A229" t="s">
        <v>42</v>
      </c>
      <c r="B229" t="s">
        <v>75</v>
      </c>
      <c r="C229" t="s">
        <v>8</v>
      </c>
      <c r="D229" t="s">
        <v>10</v>
      </c>
      <c r="E229" t="s">
        <v>18</v>
      </c>
      <c r="F229" s="20" t="str">
        <f>INDEX(nrg_cb_e!$A$3:$A$40,MATCH(LEFT(MID(B229,43,1000),SEARCH(" - ",MID(B229,43,1000))-1),nrg_cb_e!$C$3:$C$40,0))</f>
        <v>FC_OTH_CP_E</v>
      </c>
      <c r="G229">
        <v>2628</v>
      </c>
    </row>
    <row r="230" spans="1:7" x14ac:dyDescent="0.2">
      <c r="A230" t="s">
        <v>42</v>
      </c>
      <c r="B230" t="s">
        <v>75</v>
      </c>
      <c r="C230" t="s">
        <v>8</v>
      </c>
      <c r="D230" t="s">
        <v>10</v>
      </c>
      <c r="E230" t="s">
        <v>19</v>
      </c>
      <c r="F230" s="20" t="str">
        <f>INDEX(nrg_cb_e!$A$3:$A$40,MATCH(LEFT(MID(B230,43,1000),SEARCH(" - ",MID(B230,43,1000))-1),nrg_cb_e!$C$3:$C$40,0))</f>
        <v>FC_OTH_CP_E</v>
      </c>
      <c r="G230">
        <v>2335</v>
      </c>
    </row>
    <row r="231" spans="1:7" x14ac:dyDescent="0.2">
      <c r="A231" t="s">
        <v>42</v>
      </c>
      <c r="B231" t="s">
        <v>75</v>
      </c>
      <c r="C231" t="s">
        <v>8</v>
      </c>
      <c r="D231" t="s">
        <v>10</v>
      </c>
      <c r="E231" t="s">
        <v>20</v>
      </c>
      <c r="F231" s="20" t="str">
        <f>INDEX(nrg_cb_e!$A$3:$A$40,MATCH(LEFT(MID(B231,43,1000),SEARCH(" - ",MID(B231,43,1000))-1),nrg_cb_e!$C$3:$C$40,0))</f>
        <v>FC_OTH_CP_E</v>
      </c>
      <c r="G231">
        <v>2420</v>
      </c>
    </row>
    <row r="232" spans="1:7" x14ac:dyDescent="0.2">
      <c r="A232" t="s">
        <v>42</v>
      </c>
      <c r="B232" t="s">
        <v>75</v>
      </c>
      <c r="C232" t="s">
        <v>8</v>
      </c>
      <c r="D232" t="s">
        <v>10</v>
      </c>
      <c r="E232" t="s">
        <v>21</v>
      </c>
      <c r="F232" s="20" t="str">
        <f>INDEX(nrg_cb_e!$A$3:$A$40,MATCH(LEFT(MID(B232,43,1000),SEARCH(" - ",MID(B232,43,1000))-1),nrg_cb_e!$C$3:$C$40,0))</f>
        <v>FC_OTH_CP_E</v>
      </c>
      <c r="G232">
        <v>2487</v>
      </c>
    </row>
    <row r="233" spans="1:7" x14ac:dyDescent="0.2">
      <c r="A233" t="s">
        <v>42</v>
      </c>
      <c r="B233" t="s">
        <v>75</v>
      </c>
      <c r="C233" t="s">
        <v>8</v>
      </c>
      <c r="D233" t="s">
        <v>10</v>
      </c>
      <c r="E233" t="s">
        <v>22</v>
      </c>
      <c r="F233" s="20" t="str">
        <f>INDEX(nrg_cb_e!$A$3:$A$40,MATCH(LEFT(MID(B233,43,1000),SEARCH(" - ",MID(B233,43,1000))-1),nrg_cb_e!$C$3:$C$40,0))</f>
        <v>FC_OTH_CP_E</v>
      </c>
      <c r="G233">
        <v>2798</v>
      </c>
    </row>
    <row r="234" spans="1:7" x14ac:dyDescent="0.2">
      <c r="A234" t="s">
        <v>42</v>
      </c>
      <c r="B234" t="s">
        <v>75</v>
      </c>
      <c r="C234" t="s">
        <v>8</v>
      </c>
      <c r="D234" t="s">
        <v>10</v>
      </c>
      <c r="E234" t="s">
        <v>23</v>
      </c>
      <c r="F234" s="20" t="str">
        <f>INDEX(nrg_cb_e!$A$3:$A$40,MATCH(LEFT(MID(B234,43,1000),SEARCH(" - ",MID(B234,43,1000))-1),nrg_cb_e!$C$3:$C$40,0))</f>
        <v>FC_OTH_CP_E</v>
      </c>
      <c r="G234">
        <v>2703</v>
      </c>
    </row>
    <row r="235" spans="1:7" x14ac:dyDescent="0.2">
      <c r="A235" t="s">
        <v>42</v>
      </c>
      <c r="B235" t="s">
        <v>75</v>
      </c>
      <c r="C235" t="s">
        <v>8</v>
      </c>
      <c r="D235" t="s">
        <v>10</v>
      </c>
      <c r="E235" t="s">
        <v>24</v>
      </c>
      <c r="F235" s="20" t="str">
        <f>INDEX(nrg_cb_e!$A$3:$A$40,MATCH(LEFT(MID(B235,43,1000),SEARCH(" - ",MID(B235,43,1000))-1),nrg_cb_e!$C$3:$C$40,0))</f>
        <v>FC_OTH_CP_E</v>
      </c>
      <c r="G235">
        <v>2882</v>
      </c>
    </row>
    <row r="236" spans="1:7" x14ac:dyDescent="0.2">
      <c r="A236" t="s">
        <v>42</v>
      </c>
      <c r="B236" t="s">
        <v>75</v>
      </c>
      <c r="C236" t="s">
        <v>8</v>
      </c>
      <c r="D236" t="s">
        <v>10</v>
      </c>
      <c r="E236" t="s">
        <v>25</v>
      </c>
      <c r="F236" s="20" t="str">
        <f>INDEX(nrg_cb_e!$A$3:$A$40,MATCH(LEFT(MID(B236,43,1000),SEARCH(" - ",MID(B236,43,1000))-1),nrg_cb_e!$C$3:$C$40,0))</f>
        <v>FC_OTH_CP_E</v>
      </c>
      <c r="G236">
        <v>2725</v>
      </c>
    </row>
    <row r="237" spans="1:7" x14ac:dyDescent="0.2">
      <c r="A237" t="s">
        <v>42</v>
      </c>
      <c r="B237" t="s">
        <v>75</v>
      </c>
      <c r="C237" t="s">
        <v>8</v>
      </c>
      <c r="D237" t="s">
        <v>10</v>
      </c>
      <c r="E237" t="s">
        <v>26</v>
      </c>
      <c r="F237" s="20" t="str">
        <f>INDEX(nrg_cb_e!$A$3:$A$40,MATCH(LEFT(MID(B237,43,1000),SEARCH(" - ",MID(B237,43,1000))-1),nrg_cb_e!$C$3:$C$40,0))</f>
        <v>FC_OTH_CP_E</v>
      </c>
      <c r="G237">
        <v>2733</v>
      </c>
    </row>
    <row r="238" spans="1:7" x14ac:dyDescent="0.2">
      <c r="A238" t="s">
        <v>42</v>
      </c>
      <c r="B238" t="s">
        <v>75</v>
      </c>
      <c r="C238" t="s">
        <v>8</v>
      </c>
      <c r="D238" t="s">
        <v>10</v>
      </c>
      <c r="E238" t="s">
        <v>27</v>
      </c>
      <c r="F238" s="20" t="str">
        <f>INDEX(nrg_cb_e!$A$3:$A$40,MATCH(LEFT(MID(B238,43,1000),SEARCH(" - ",MID(B238,43,1000))-1),nrg_cb_e!$C$3:$C$40,0))</f>
        <v>FC_OTH_CP_E</v>
      </c>
      <c r="G238">
        <v>2764.703</v>
      </c>
    </row>
    <row r="239" spans="1:7" x14ac:dyDescent="0.2">
      <c r="A239" t="s">
        <v>42</v>
      </c>
      <c r="B239" t="s">
        <v>75</v>
      </c>
      <c r="C239" t="s">
        <v>8</v>
      </c>
      <c r="D239" t="s">
        <v>10</v>
      </c>
      <c r="E239" t="s">
        <v>28</v>
      </c>
      <c r="F239" s="20" t="str">
        <f>INDEX(nrg_cb_e!$A$3:$A$40,MATCH(LEFT(MID(B239,43,1000),SEARCH(" - ",MID(B239,43,1000))-1),nrg_cb_e!$C$3:$C$40,0))</f>
        <v>FC_OTH_CP_E</v>
      </c>
      <c r="G239">
        <v>2856.0070000000001</v>
      </c>
    </row>
    <row r="240" spans="1:7" x14ac:dyDescent="0.2">
      <c r="A240" t="s">
        <v>43</v>
      </c>
      <c r="B240" t="s">
        <v>75</v>
      </c>
      <c r="C240" t="s">
        <v>8</v>
      </c>
      <c r="D240" t="s">
        <v>10</v>
      </c>
      <c r="E240" t="s">
        <v>12</v>
      </c>
      <c r="F240" s="20" t="str">
        <f>INDEX(nrg_cb_e!$A$3:$A$40,MATCH(LEFT(MID(B240,43,1000),SEARCH(" - ",MID(B240,43,1000))-1),nrg_cb_e!$C$3:$C$40,0))</f>
        <v>FC_OTH_CP_E</v>
      </c>
      <c r="G240">
        <v>2096</v>
      </c>
    </row>
    <row r="241" spans="1:7" x14ac:dyDescent="0.2">
      <c r="A241" t="s">
        <v>43</v>
      </c>
      <c r="B241" t="s">
        <v>75</v>
      </c>
      <c r="C241" t="s">
        <v>8</v>
      </c>
      <c r="D241" t="s">
        <v>10</v>
      </c>
      <c r="E241" t="s">
        <v>13</v>
      </c>
      <c r="F241" s="20" t="str">
        <f>INDEX(nrg_cb_e!$A$3:$A$40,MATCH(LEFT(MID(B241,43,1000),SEARCH(" - ",MID(B241,43,1000))-1),nrg_cb_e!$C$3:$C$40,0))</f>
        <v>FC_OTH_CP_E</v>
      </c>
      <c r="G241">
        <v>2375</v>
      </c>
    </row>
    <row r="242" spans="1:7" x14ac:dyDescent="0.2">
      <c r="A242" t="s">
        <v>43</v>
      </c>
      <c r="B242" t="s">
        <v>75</v>
      </c>
      <c r="C242" t="s">
        <v>8</v>
      </c>
      <c r="D242" t="s">
        <v>10</v>
      </c>
      <c r="E242" t="s">
        <v>14</v>
      </c>
      <c r="F242" s="20" t="str">
        <f>INDEX(nrg_cb_e!$A$3:$A$40,MATCH(LEFT(MID(B242,43,1000),SEARCH(" - ",MID(B242,43,1000))-1),nrg_cb_e!$C$3:$C$40,0))</f>
        <v>FC_OTH_CP_E</v>
      </c>
      <c r="G242">
        <v>2543</v>
      </c>
    </row>
    <row r="243" spans="1:7" x14ac:dyDescent="0.2">
      <c r="A243" t="s">
        <v>43</v>
      </c>
      <c r="B243" t="s">
        <v>75</v>
      </c>
      <c r="C243" t="s">
        <v>8</v>
      </c>
      <c r="D243" t="s">
        <v>10</v>
      </c>
      <c r="E243" t="s">
        <v>15</v>
      </c>
      <c r="F243" s="20" t="str">
        <f>INDEX(nrg_cb_e!$A$3:$A$40,MATCH(LEFT(MID(B243,43,1000),SEARCH(" - ",MID(B243,43,1000))-1),nrg_cb_e!$C$3:$C$40,0))</f>
        <v>FC_OTH_CP_E</v>
      </c>
      <c r="G243">
        <v>2686</v>
      </c>
    </row>
    <row r="244" spans="1:7" x14ac:dyDescent="0.2">
      <c r="A244" t="s">
        <v>43</v>
      </c>
      <c r="B244" t="s">
        <v>75</v>
      </c>
      <c r="C244" t="s">
        <v>8</v>
      </c>
      <c r="D244" t="s">
        <v>10</v>
      </c>
      <c r="E244" t="s">
        <v>16</v>
      </c>
      <c r="F244" s="20" t="str">
        <f>INDEX(nrg_cb_e!$A$3:$A$40,MATCH(LEFT(MID(B244,43,1000),SEARCH(" - ",MID(B244,43,1000))-1),nrg_cb_e!$C$3:$C$40,0))</f>
        <v>FC_OTH_CP_E</v>
      </c>
      <c r="G244">
        <v>2836</v>
      </c>
    </row>
    <row r="245" spans="1:7" x14ac:dyDescent="0.2">
      <c r="A245" t="s">
        <v>43</v>
      </c>
      <c r="B245" t="s">
        <v>75</v>
      </c>
      <c r="C245" t="s">
        <v>8</v>
      </c>
      <c r="D245" t="s">
        <v>10</v>
      </c>
      <c r="E245" t="s">
        <v>17</v>
      </c>
      <c r="F245" s="20" t="str">
        <f>INDEX(nrg_cb_e!$A$3:$A$40,MATCH(LEFT(MID(B245,43,1000),SEARCH(" - ",MID(B245,43,1000))-1),nrg_cb_e!$C$3:$C$40,0))</f>
        <v>FC_OTH_CP_E</v>
      </c>
      <c r="G245">
        <v>3012</v>
      </c>
    </row>
    <row r="246" spans="1:7" x14ac:dyDescent="0.2">
      <c r="A246" t="s">
        <v>43</v>
      </c>
      <c r="B246" t="s">
        <v>75</v>
      </c>
      <c r="C246" t="s">
        <v>8</v>
      </c>
      <c r="D246" t="s">
        <v>10</v>
      </c>
      <c r="E246" t="s">
        <v>18</v>
      </c>
      <c r="F246" s="20" t="str">
        <f>INDEX(nrg_cb_e!$A$3:$A$40,MATCH(LEFT(MID(B246,43,1000),SEARCH(" - ",MID(B246,43,1000))-1),nrg_cb_e!$C$3:$C$40,0))</f>
        <v>FC_OTH_CP_E</v>
      </c>
      <c r="G246">
        <v>3240</v>
      </c>
    </row>
    <row r="247" spans="1:7" x14ac:dyDescent="0.2">
      <c r="A247" t="s">
        <v>43</v>
      </c>
      <c r="B247" t="s">
        <v>75</v>
      </c>
      <c r="C247" t="s">
        <v>8</v>
      </c>
      <c r="D247" t="s">
        <v>10</v>
      </c>
      <c r="E247" t="s">
        <v>19</v>
      </c>
      <c r="F247" s="20" t="str">
        <f>INDEX(nrg_cb_e!$A$3:$A$40,MATCH(LEFT(MID(B247,43,1000),SEARCH(" - ",MID(B247,43,1000))-1),nrg_cb_e!$C$3:$C$40,0))</f>
        <v>FC_OTH_CP_E</v>
      </c>
      <c r="G247">
        <v>2955</v>
      </c>
    </row>
    <row r="248" spans="1:7" x14ac:dyDescent="0.2">
      <c r="A248" t="s">
        <v>43</v>
      </c>
      <c r="B248" t="s">
        <v>75</v>
      </c>
      <c r="C248" t="s">
        <v>8</v>
      </c>
      <c r="D248" t="s">
        <v>10</v>
      </c>
      <c r="E248" t="s">
        <v>20</v>
      </c>
      <c r="F248" s="20" t="str">
        <f>INDEX(nrg_cb_e!$A$3:$A$40,MATCH(LEFT(MID(B248,43,1000),SEARCH(" - ",MID(B248,43,1000))-1),nrg_cb_e!$C$3:$C$40,0))</f>
        <v>FC_OTH_CP_E</v>
      </c>
      <c r="G248">
        <v>2839</v>
      </c>
    </row>
    <row r="249" spans="1:7" x14ac:dyDescent="0.2">
      <c r="A249" t="s">
        <v>43</v>
      </c>
      <c r="B249" t="s">
        <v>75</v>
      </c>
      <c r="C249" t="s">
        <v>8</v>
      </c>
      <c r="D249" t="s">
        <v>10</v>
      </c>
      <c r="E249" t="s">
        <v>21</v>
      </c>
      <c r="F249" s="20" t="str">
        <f>INDEX(nrg_cb_e!$A$3:$A$40,MATCH(LEFT(MID(B249,43,1000),SEARCH(" - ",MID(B249,43,1000))-1),nrg_cb_e!$C$3:$C$40,0))</f>
        <v>FC_OTH_CP_E</v>
      </c>
      <c r="G249">
        <v>2953</v>
      </c>
    </row>
    <row r="250" spans="1:7" x14ac:dyDescent="0.2">
      <c r="A250" t="s">
        <v>43</v>
      </c>
      <c r="B250" t="s">
        <v>75</v>
      </c>
      <c r="C250" t="s">
        <v>8</v>
      </c>
      <c r="D250" t="s">
        <v>10</v>
      </c>
      <c r="E250" t="s">
        <v>22</v>
      </c>
      <c r="F250" s="20" t="str">
        <f>INDEX(nrg_cb_e!$A$3:$A$40,MATCH(LEFT(MID(B250,43,1000),SEARCH(" - ",MID(B250,43,1000))-1),nrg_cb_e!$C$3:$C$40,0))</f>
        <v>FC_OTH_CP_E</v>
      </c>
      <c r="G250">
        <v>3114</v>
      </c>
    </row>
    <row r="251" spans="1:7" x14ac:dyDescent="0.2">
      <c r="A251" t="s">
        <v>43</v>
      </c>
      <c r="B251" t="s">
        <v>75</v>
      </c>
      <c r="C251" t="s">
        <v>8</v>
      </c>
      <c r="D251" t="s">
        <v>10</v>
      </c>
      <c r="E251" t="s">
        <v>23</v>
      </c>
      <c r="F251" s="20" t="str">
        <f>INDEX(nrg_cb_e!$A$3:$A$40,MATCH(LEFT(MID(B251,43,1000),SEARCH(" - ",MID(B251,43,1000))-1),nrg_cb_e!$C$3:$C$40,0))</f>
        <v>FC_OTH_CP_E</v>
      </c>
      <c r="G251">
        <v>3130</v>
      </c>
    </row>
    <row r="252" spans="1:7" x14ac:dyDescent="0.2">
      <c r="A252" t="s">
        <v>43</v>
      </c>
      <c r="B252" t="s">
        <v>75</v>
      </c>
      <c r="C252" t="s">
        <v>8</v>
      </c>
      <c r="D252" t="s">
        <v>10</v>
      </c>
      <c r="E252" t="s">
        <v>24</v>
      </c>
      <c r="F252" s="20" t="str">
        <f>INDEX(nrg_cb_e!$A$3:$A$40,MATCH(LEFT(MID(B252,43,1000),SEARCH(" - ",MID(B252,43,1000))-1),nrg_cb_e!$C$3:$C$40,0))</f>
        <v>FC_OTH_CP_E</v>
      </c>
      <c r="G252">
        <v>3218</v>
      </c>
    </row>
    <row r="253" spans="1:7" x14ac:dyDescent="0.2">
      <c r="A253" t="s">
        <v>43</v>
      </c>
      <c r="B253" t="s">
        <v>75</v>
      </c>
      <c r="C253" t="s">
        <v>8</v>
      </c>
      <c r="D253" t="s">
        <v>10</v>
      </c>
      <c r="E253" t="s">
        <v>25</v>
      </c>
      <c r="F253" s="20" t="str">
        <f>INDEX(nrg_cb_e!$A$3:$A$40,MATCH(LEFT(MID(B253,43,1000),SEARCH(" - ",MID(B253,43,1000))-1),nrg_cb_e!$C$3:$C$40,0))</f>
        <v>FC_OTH_CP_E</v>
      </c>
      <c r="G253">
        <v>3110</v>
      </c>
    </row>
    <row r="254" spans="1:7" x14ac:dyDescent="0.2">
      <c r="A254" t="s">
        <v>43</v>
      </c>
      <c r="B254" t="s">
        <v>75</v>
      </c>
      <c r="C254" t="s">
        <v>8</v>
      </c>
      <c r="D254" t="s">
        <v>10</v>
      </c>
      <c r="E254" t="s">
        <v>26</v>
      </c>
      <c r="F254" s="20" t="str">
        <f>INDEX(nrg_cb_e!$A$3:$A$40,MATCH(LEFT(MID(B254,43,1000),SEARCH(" - ",MID(B254,43,1000))-1),nrg_cb_e!$C$3:$C$40,0))</f>
        <v>FC_OTH_CP_E</v>
      </c>
      <c r="G254">
        <v>3280</v>
      </c>
    </row>
    <row r="255" spans="1:7" x14ac:dyDescent="0.2">
      <c r="A255" t="s">
        <v>43</v>
      </c>
      <c r="B255" t="s">
        <v>75</v>
      </c>
      <c r="C255" t="s">
        <v>8</v>
      </c>
      <c r="D255" t="s">
        <v>10</v>
      </c>
      <c r="E255" t="s">
        <v>27</v>
      </c>
      <c r="F255" s="20" t="str">
        <f>INDEX(nrg_cb_e!$A$3:$A$40,MATCH(LEFT(MID(B255,43,1000),SEARCH(" - ",MID(B255,43,1000))-1),nrg_cb_e!$C$3:$C$40,0))</f>
        <v>FC_OTH_CP_E</v>
      </c>
      <c r="G255">
        <v>3307.3</v>
      </c>
    </row>
    <row r="256" spans="1:7" x14ac:dyDescent="0.2">
      <c r="A256" t="s">
        <v>43</v>
      </c>
      <c r="B256" t="s">
        <v>75</v>
      </c>
      <c r="C256" t="s">
        <v>8</v>
      </c>
      <c r="D256" t="s">
        <v>10</v>
      </c>
      <c r="E256" t="s">
        <v>28</v>
      </c>
      <c r="F256" s="20" t="str">
        <f>INDEX(nrg_cb_e!$A$3:$A$40,MATCH(LEFT(MID(B256,43,1000),SEARCH(" - ",MID(B256,43,1000))-1),nrg_cb_e!$C$3:$C$40,0))</f>
        <v>FC_OTH_CP_E</v>
      </c>
      <c r="G256">
        <v>3436.5</v>
      </c>
    </row>
    <row r="257" spans="1:7" x14ac:dyDescent="0.2">
      <c r="A257" t="s">
        <v>44</v>
      </c>
      <c r="B257" t="s">
        <v>75</v>
      </c>
      <c r="C257" t="s">
        <v>8</v>
      </c>
      <c r="D257" t="s">
        <v>10</v>
      </c>
      <c r="E257" t="s">
        <v>12</v>
      </c>
      <c r="F257" s="20" t="str">
        <f>INDEX(nrg_cb_e!$A$3:$A$40,MATCH(LEFT(MID(B257,43,1000),SEARCH(" - ",MID(B257,43,1000))-1),nrg_cb_e!$C$3:$C$40,0))</f>
        <v>FC_OTH_CP_E</v>
      </c>
      <c r="G257">
        <v>1560.481</v>
      </c>
    </row>
    <row r="258" spans="1:7" x14ac:dyDescent="0.2">
      <c r="A258" t="s">
        <v>44</v>
      </c>
      <c r="B258" t="s">
        <v>75</v>
      </c>
      <c r="C258" t="s">
        <v>8</v>
      </c>
      <c r="D258" t="s">
        <v>10</v>
      </c>
      <c r="E258" t="s">
        <v>13</v>
      </c>
      <c r="F258" s="20" t="str">
        <f>INDEX(nrg_cb_e!$A$3:$A$40,MATCH(LEFT(MID(B258,43,1000),SEARCH(" - ",MID(B258,43,1000))-1),nrg_cb_e!$C$3:$C$40,0))</f>
        <v>FC_OTH_CP_E</v>
      </c>
      <c r="G258">
        <v>1692.502</v>
      </c>
    </row>
    <row r="259" spans="1:7" x14ac:dyDescent="0.2">
      <c r="A259" t="s">
        <v>44</v>
      </c>
      <c r="B259" t="s">
        <v>75</v>
      </c>
      <c r="C259" t="s">
        <v>8</v>
      </c>
      <c r="D259" t="s">
        <v>10</v>
      </c>
      <c r="E259" t="s">
        <v>14</v>
      </c>
      <c r="F259" s="20" t="str">
        <f>INDEX(nrg_cb_e!$A$3:$A$40,MATCH(LEFT(MID(B259,43,1000),SEARCH(" - ",MID(B259,43,1000))-1),nrg_cb_e!$C$3:$C$40,0))</f>
        <v>FC_OTH_CP_E</v>
      </c>
      <c r="G259">
        <v>1580.412</v>
      </c>
    </row>
    <row r="260" spans="1:7" x14ac:dyDescent="0.2">
      <c r="A260" t="s">
        <v>44</v>
      </c>
      <c r="B260" t="s">
        <v>75</v>
      </c>
      <c r="C260" t="s">
        <v>8</v>
      </c>
      <c r="D260" t="s">
        <v>10</v>
      </c>
      <c r="E260" t="s">
        <v>15</v>
      </c>
      <c r="F260" s="20" t="str">
        <f>INDEX(nrg_cb_e!$A$3:$A$40,MATCH(LEFT(MID(B260,43,1000),SEARCH(" - ",MID(B260,43,1000))-1),nrg_cb_e!$C$3:$C$40,0))</f>
        <v>FC_OTH_CP_E</v>
      </c>
      <c r="G260">
        <v>1750.8389999999999</v>
      </c>
    </row>
    <row r="261" spans="1:7" x14ac:dyDescent="0.2">
      <c r="A261" t="s">
        <v>44</v>
      </c>
      <c r="B261" t="s">
        <v>75</v>
      </c>
      <c r="C261" t="s">
        <v>8</v>
      </c>
      <c r="D261" t="s">
        <v>10</v>
      </c>
      <c r="E261" t="s">
        <v>16</v>
      </c>
      <c r="F261" s="20" t="str">
        <f>INDEX(nrg_cb_e!$A$3:$A$40,MATCH(LEFT(MID(B261,43,1000),SEARCH(" - ",MID(B261,43,1000))-1),nrg_cb_e!$C$3:$C$40,0))</f>
        <v>FC_OTH_CP_E</v>
      </c>
      <c r="G261">
        <v>1777.163</v>
      </c>
    </row>
    <row r="262" spans="1:7" x14ac:dyDescent="0.2">
      <c r="A262" t="s">
        <v>44</v>
      </c>
      <c r="B262" t="s">
        <v>75</v>
      </c>
      <c r="C262" t="s">
        <v>8</v>
      </c>
      <c r="D262" t="s">
        <v>10</v>
      </c>
      <c r="E262" t="s">
        <v>17</v>
      </c>
      <c r="F262" s="20" t="str">
        <f>INDEX(nrg_cb_e!$A$3:$A$40,MATCH(LEFT(MID(B262,43,1000),SEARCH(" - ",MID(B262,43,1000))-1),nrg_cb_e!$C$3:$C$40,0))</f>
        <v>FC_OTH_CP_E</v>
      </c>
      <c r="G262">
        <v>2126.0250000000001</v>
      </c>
    </row>
    <row r="263" spans="1:7" x14ac:dyDescent="0.2">
      <c r="A263" t="s">
        <v>44</v>
      </c>
      <c r="B263" t="s">
        <v>75</v>
      </c>
      <c r="C263" t="s">
        <v>8</v>
      </c>
      <c r="D263" t="s">
        <v>10</v>
      </c>
      <c r="E263" t="s">
        <v>18</v>
      </c>
      <c r="F263" s="20" t="str">
        <f>INDEX(nrg_cb_e!$A$3:$A$40,MATCH(LEFT(MID(B263,43,1000),SEARCH(" - ",MID(B263,43,1000))-1),nrg_cb_e!$C$3:$C$40,0))</f>
        <v>FC_OTH_CP_E</v>
      </c>
      <c r="G263">
        <v>2076.7939999999999</v>
      </c>
    </row>
    <row r="264" spans="1:7" x14ac:dyDescent="0.2">
      <c r="A264" t="s">
        <v>44</v>
      </c>
      <c r="B264" t="s">
        <v>75</v>
      </c>
      <c r="C264" t="s">
        <v>8</v>
      </c>
      <c r="D264" t="s">
        <v>10</v>
      </c>
      <c r="E264" t="s">
        <v>19</v>
      </c>
      <c r="F264" s="20" t="str">
        <f>INDEX(nrg_cb_e!$A$3:$A$40,MATCH(LEFT(MID(B264,43,1000),SEARCH(" - ",MID(B264,43,1000))-1),nrg_cb_e!$C$3:$C$40,0))</f>
        <v>FC_OTH_CP_E</v>
      </c>
      <c r="G264">
        <v>1962.146</v>
      </c>
    </row>
    <row r="265" spans="1:7" x14ac:dyDescent="0.2">
      <c r="A265" t="s">
        <v>44</v>
      </c>
      <c r="B265" t="s">
        <v>75</v>
      </c>
      <c r="C265" t="s">
        <v>8</v>
      </c>
      <c r="D265" t="s">
        <v>10</v>
      </c>
      <c r="E265" t="s">
        <v>20</v>
      </c>
      <c r="F265" s="20" t="str">
        <f>INDEX(nrg_cb_e!$A$3:$A$40,MATCH(LEFT(MID(B265,43,1000),SEARCH(" - ",MID(B265,43,1000))-1),nrg_cb_e!$C$3:$C$40,0))</f>
        <v>FC_OTH_CP_E</v>
      </c>
      <c r="G265">
        <v>1993.5340000000001</v>
      </c>
    </row>
    <row r="266" spans="1:7" x14ac:dyDescent="0.2">
      <c r="A266" t="s">
        <v>44</v>
      </c>
      <c r="B266" t="s">
        <v>75</v>
      </c>
      <c r="C266" t="s">
        <v>8</v>
      </c>
      <c r="D266" t="s">
        <v>10</v>
      </c>
      <c r="E266" t="s">
        <v>21</v>
      </c>
      <c r="F266" s="20" t="str">
        <f>INDEX(nrg_cb_e!$A$3:$A$40,MATCH(LEFT(MID(B266,43,1000),SEARCH(" - ",MID(B266,43,1000))-1),nrg_cb_e!$C$3:$C$40,0))</f>
        <v>FC_OTH_CP_E</v>
      </c>
      <c r="G266">
        <v>1880.5709999999999</v>
      </c>
    </row>
    <row r="267" spans="1:7" x14ac:dyDescent="0.2">
      <c r="A267" t="s">
        <v>44</v>
      </c>
      <c r="B267" t="s">
        <v>75</v>
      </c>
      <c r="C267" t="s">
        <v>8</v>
      </c>
      <c r="D267" t="s">
        <v>10</v>
      </c>
      <c r="E267" t="s">
        <v>22</v>
      </c>
      <c r="F267" s="20" t="str">
        <f>INDEX(nrg_cb_e!$A$3:$A$40,MATCH(LEFT(MID(B267,43,1000),SEARCH(" - ",MID(B267,43,1000))-1),nrg_cb_e!$C$3:$C$40,0))</f>
        <v>FC_OTH_CP_E</v>
      </c>
      <c r="G267">
        <v>1946.136</v>
      </c>
    </row>
    <row r="268" spans="1:7" x14ac:dyDescent="0.2">
      <c r="A268" t="s">
        <v>44</v>
      </c>
      <c r="B268" t="s">
        <v>75</v>
      </c>
      <c r="C268" t="s">
        <v>8</v>
      </c>
      <c r="D268" t="s">
        <v>10</v>
      </c>
      <c r="E268" t="s">
        <v>23</v>
      </c>
      <c r="F268" s="20" t="str">
        <f>INDEX(nrg_cb_e!$A$3:$A$40,MATCH(LEFT(MID(B268,43,1000),SEARCH(" - ",MID(B268,43,1000))-1),nrg_cb_e!$C$3:$C$40,0))</f>
        <v>FC_OTH_CP_E</v>
      </c>
      <c r="G268">
        <v>1999.3019999999999</v>
      </c>
    </row>
    <row r="269" spans="1:7" x14ac:dyDescent="0.2">
      <c r="A269" t="s">
        <v>44</v>
      </c>
      <c r="B269" t="s">
        <v>75</v>
      </c>
      <c r="C269" t="s">
        <v>8</v>
      </c>
      <c r="D269" t="s">
        <v>10</v>
      </c>
      <c r="E269" t="s">
        <v>24</v>
      </c>
      <c r="F269" s="20" t="str">
        <f>INDEX(nrg_cb_e!$A$3:$A$40,MATCH(LEFT(MID(B269,43,1000),SEARCH(" - ",MID(B269,43,1000))-1),nrg_cb_e!$C$3:$C$40,0))</f>
        <v>FC_OTH_CP_E</v>
      </c>
      <c r="G269">
        <v>1932.0830000000001</v>
      </c>
    </row>
    <row r="270" spans="1:7" x14ac:dyDescent="0.2">
      <c r="A270" t="s">
        <v>44</v>
      </c>
      <c r="B270" t="s">
        <v>75</v>
      </c>
      <c r="C270" t="s">
        <v>8</v>
      </c>
      <c r="D270" t="s">
        <v>10</v>
      </c>
      <c r="E270" t="s">
        <v>25</v>
      </c>
      <c r="F270" s="20" t="str">
        <f>INDEX(nrg_cb_e!$A$3:$A$40,MATCH(LEFT(MID(B270,43,1000),SEARCH(" - ",MID(B270,43,1000))-1),nrg_cb_e!$C$3:$C$40,0))</f>
        <v>FC_OTH_CP_E</v>
      </c>
      <c r="G270">
        <v>1920.4</v>
      </c>
    </row>
    <row r="271" spans="1:7" x14ac:dyDescent="0.2">
      <c r="A271" t="s">
        <v>44</v>
      </c>
      <c r="B271" t="s">
        <v>75</v>
      </c>
      <c r="C271" t="s">
        <v>8</v>
      </c>
      <c r="D271" t="s">
        <v>10</v>
      </c>
      <c r="E271" t="s">
        <v>26</v>
      </c>
      <c r="F271" s="20" t="str">
        <f>INDEX(nrg_cb_e!$A$3:$A$40,MATCH(LEFT(MID(B271,43,1000),SEARCH(" - ",MID(B271,43,1000))-1),nrg_cb_e!$C$3:$C$40,0))</f>
        <v>FC_OTH_CP_E</v>
      </c>
      <c r="G271">
        <v>1793.7170000000001</v>
      </c>
    </row>
    <row r="272" spans="1:7" x14ac:dyDescent="0.2">
      <c r="A272" t="s">
        <v>44</v>
      </c>
      <c r="B272" t="s">
        <v>75</v>
      </c>
      <c r="C272" t="s">
        <v>8</v>
      </c>
      <c r="D272" t="s">
        <v>10</v>
      </c>
      <c r="E272" t="s">
        <v>27</v>
      </c>
      <c r="F272" s="20" t="str">
        <f>INDEX(nrg_cb_e!$A$3:$A$40,MATCH(LEFT(MID(B272,43,1000),SEARCH(" - ",MID(B272,43,1000))-1),nrg_cb_e!$C$3:$C$40,0))</f>
        <v>FC_OTH_CP_E</v>
      </c>
      <c r="G272">
        <v>2252.107</v>
      </c>
    </row>
    <row r="273" spans="1:7" x14ac:dyDescent="0.2">
      <c r="A273" t="s">
        <v>44</v>
      </c>
      <c r="B273" t="s">
        <v>75</v>
      </c>
      <c r="C273" t="s">
        <v>8</v>
      </c>
      <c r="D273" t="s">
        <v>10</v>
      </c>
      <c r="E273" t="s">
        <v>28</v>
      </c>
      <c r="F273" s="20" t="str">
        <f>INDEX(nrg_cb_e!$A$3:$A$40,MATCH(LEFT(MID(B273,43,1000),SEARCH(" - ",MID(B273,43,1000))-1),nrg_cb_e!$C$3:$C$40,0))</f>
        <v>FC_OTH_CP_E</v>
      </c>
      <c r="G273">
        <v>2261.9299999999998</v>
      </c>
    </row>
    <row r="274" spans="1:7" x14ac:dyDescent="0.2">
      <c r="A274" t="s">
        <v>45</v>
      </c>
      <c r="B274" t="s">
        <v>75</v>
      </c>
      <c r="C274" t="s">
        <v>8</v>
      </c>
      <c r="D274" t="s">
        <v>10</v>
      </c>
      <c r="E274" t="s">
        <v>12</v>
      </c>
      <c r="F274" s="20" t="str">
        <f>INDEX(nrg_cb_e!$A$3:$A$40,MATCH(LEFT(MID(B274,43,1000),SEARCH(" - ",MID(B274,43,1000))-1),nrg_cb_e!$C$3:$C$40,0))</f>
        <v>FC_OTH_CP_E</v>
      </c>
      <c r="G274">
        <v>8723</v>
      </c>
    </row>
    <row r="275" spans="1:7" x14ac:dyDescent="0.2">
      <c r="A275" t="s">
        <v>45</v>
      </c>
      <c r="B275" t="s">
        <v>75</v>
      </c>
      <c r="C275" t="s">
        <v>8</v>
      </c>
      <c r="D275" t="s">
        <v>10</v>
      </c>
      <c r="E275" t="s">
        <v>13</v>
      </c>
      <c r="F275" s="20" t="str">
        <f>INDEX(nrg_cb_e!$A$3:$A$40,MATCH(LEFT(MID(B275,43,1000),SEARCH(" - ",MID(B275,43,1000))-1),nrg_cb_e!$C$3:$C$40,0))</f>
        <v>FC_OTH_CP_E</v>
      </c>
      <c r="G275">
        <v>8647</v>
      </c>
    </row>
    <row r="276" spans="1:7" x14ac:dyDescent="0.2">
      <c r="A276" t="s">
        <v>45</v>
      </c>
      <c r="B276" t="s">
        <v>75</v>
      </c>
      <c r="C276" t="s">
        <v>8</v>
      </c>
      <c r="D276" t="s">
        <v>10</v>
      </c>
      <c r="E276" t="s">
        <v>14</v>
      </c>
      <c r="F276" s="20" t="str">
        <f>INDEX(nrg_cb_e!$A$3:$A$40,MATCH(LEFT(MID(B276,43,1000),SEARCH(" - ",MID(B276,43,1000))-1),nrg_cb_e!$C$3:$C$40,0))</f>
        <v>FC_OTH_CP_E</v>
      </c>
      <c r="G276">
        <v>9124</v>
      </c>
    </row>
    <row r="277" spans="1:7" x14ac:dyDescent="0.2">
      <c r="A277" t="s">
        <v>45</v>
      </c>
      <c r="B277" t="s">
        <v>75</v>
      </c>
      <c r="C277" t="s">
        <v>8</v>
      </c>
      <c r="D277" t="s">
        <v>10</v>
      </c>
      <c r="E277" t="s">
        <v>15</v>
      </c>
      <c r="F277" s="20" t="str">
        <f>INDEX(nrg_cb_e!$A$3:$A$40,MATCH(LEFT(MID(B277,43,1000),SEARCH(" - ",MID(B277,43,1000))-1),nrg_cb_e!$C$3:$C$40,0))</f>
        <v>FC_OTH_CP_E</v>
      </c>
      <c r="G277">
        <v>9931</v>
      </c>
    </row>
    <row r="278" spans="1:7" x14ac:dyDescent="0.2">
      <c r="A278" t="s">
        <v>45</v>
      </c>
      <c r="B278" t="s">
        <v>75</v>
      </c>
      <c r="C278" t="s">
        <v>8</v>
      </c>
      <c r="D278" t="s">
        <v>10</v>
      </c>
      <c r="E278" t="s">
        <v>16</v>
      </c>
      <c r="F278" s="20" t="str">
        <f>INDEX(nrg_cb_e!$A$3:$A$40,MATCH(LEFT(MID(B278,43,1000),SEARCH(" - ",MID(B278,43,1000))-1),nrg_cb_e!$C$3:$C$40,0))</f>
        <v>FC_OTH_CP_E</v>
      </c>
      <c r="G278">
        <v>10298</v>
      </c>
    </row>
    <row r="279" spans="1:7" x14ac:dyDescent="0.2">
      <c r="A279" t="s">
        <v>45</v>
      </c>
      <c r="B279" t="s">
        <v>75</v>
      </c>
      <c r="C279" t="s">
        <v>8</v>
      </c>
      <c r="D279" t="s">
        <v>10</v>
      </c>
      <c r="E279" t="s">
        <v>17</v>
      </c>
      <c r="F279" s="20" t="str">
        <f>INDEX(nrg_cb_e!$A$3:$A$40,MATCH(LEFT(MID(B279,43,1000),SEARCH(" - ",MID(B279,43,1000))-1),nrg_cb_e!$C$3:$C$40,0))</f>
        <v>FC_OTH_CP_E</v>
      </c>
      <c r="G279">
        <v>10853</v>
      </c>
    </row>
    <row r="280" spans="1:7" x14ac:dyDescent="0.2">
      <c r="A280" t="s">
        <v>45</v>
      </c>
      <c r="B280" t="s">
        <v>75</v>
      </c>
      <c r="C280" t="s">
        <v>8</v>
      </c>
      <c r="D280" t="s">
        <v>10</v>
      </c>
      <c r="E280" t="s">
        <v>18</v>
      </c>
      <c r="F280" s="20" t="str">
        <f>INDEX(nrg_cb_e!$A$3:$A$40,MATCH(LEFT(MID(B280,43,1000),SEARCH(" - ",MID(B280,43,1000))-1),nrg_cb_e!$C$3:$C$40,0))</f>
        <v>FC_OTH_CP_E</v>
      </c>
      <c r="G280">
        <v>10827</v>
      </c>
    </row>
    <row r="281" spans="1:7" x14ac:dyDescent="0.2">
      <c r="A281" t="s">
        <v>45</v>
      </c>
      <c r="B281" t="s">
        <v>75</v>
      </c>
      <c r="C281" t="s">
        <v>8</v>
      </c>
      <c r="D281" t="s">
        <v>10</v>
      </c>
      <c r="E281" t="s">
        <v>19</v>
      </c>
      <c r="F281" s="20" t="str">
        <f>INDEX(nrg_cb_e!$A$3:$A$40,MATCH(LEFT(MID(B281,43,1000),SEARCH(" - ",MID(B281,43,1000))-1),nrg_cb_e!$C$3:$C$40,0))</f>
        <v>FC_OTH_CP_E</v>
      </c>
      <c r="G281">
        <v>11363</v>
      </c>
    </row>
    <row r="282" spans="1:7" x14ac:dyDescent="0.2">
      <c r="A282" t="s">
        <v>45</v>
      </c>
      <c r="B282" t="s">
        <v>75</v>
      </c>
      <c r="C282" t="s">
        <v>8</v>
      </c>
      <c r="D282" t="s">
        <v>10</v>
      </c>
      <c r="E282" t="s">
        <v>20</v>
      </c>
      <c r="F282" s="20" t="str">
        <f>INDEX(nrg_cb_e!$A$3:$A$40,MATCH(LEFT(MID(B282,43,1000),SEARCH(" - ",MID(B282,43,1000))-1),nrg_cb_e!$C$3:$C$40,0))</f>
        <v>FC_OTH_CP_E</v>
      </c>
      <c r="G282">
        <v>11355</v>
      </c>
    </row>
    <row r="283" spans="1:7" x14ac:dyDescent="0.2">
      <c r="A283" t="s">
        <v>45</v>
      </c>
      <c r="B283" t="s">
        <v>75</v>
      </c>
      <c r="C283" t="s">
        <v>8</v>
      </c>
      <c r="D283" t="s">
        <v>10</v>
      </c>
      <c r="E283" t="s">
        <v>21</v>
      </c>
      <c r="F283" s="20" t="str">
        <f>INDEX(nrg_cb_e!$A$3:$A$40,MATCH(LEFT(MID(B283,43,1000),SEARCH(" - ",MID(B283,43,1000))-1),nrg_cb_e!$C$3:$C$40,0))</f>
        <v>FC_OTH_CP_E</v>
      </c>
      <c r="G283">
        <v>11466</v>
      </c>
    </row>
    <row r="284" spans="1:7" x14ac:dyDescent="0.2">
      <c r="A284" t="s">
        <v>45</v>
      </c>
      <c r="B284" t="s">
        <v>75</v>
      </c>
      <c r="C284" t="s">
        <v>8</v>
      </c>
      <c r="D284" t="s">
        <v>10</v>
      </c>
      <c r="E284" t="s">
        <v>22</v>
      </c>
      <c r="F284" s="20" t="str">
        <f>INDEX(nrg_cb_e!$A$3:$A$40,MATCH(LEFT(MID(B284,43,1000),SEARCH(" - ",MID(B284,43,1000))-1),nrg_cb_e!$C$3:$C$40,0))</f>
        <v>FC_OTH_CP_E</v>
      </c>
      <c r="G284">
        <v>7817</v>
      </c>
    </row>
    <row r="285" spans="1:7" x14ac:dyDescent="0.2">
      <c r="A285" t="s">
        <v>45</v>
      </c>
      <c r="B285" t="s">
        <v>75</v>
      </c>
      <c r="C285" t="s">
        <v>8</v>
      </c>
      <c r="D285" t="s">
        <v>10</v>
      </c>
      <c r="E285" t="s">
        <v>23</v>
      </c>
      <c r="F285" s="20" t="str">
        <f>INDEX(nrg_cb_e!$A$3:$A$40,MATCH(LEFT(MID(B285,43,1000),SEARCH(" - ",MID(B285,43,1000))-1),nrg_cb_e!$C$3:$C$40,0))</f>
        <v>FC_OTH_CP_E</v>
      </c>
      <c r="G285">
        <v>7507</v>
      </c>
    </row>
    <row r="286" spans="1:7" x14ac:dyDescent="0.2">
      <c r="A286" t="s">
        <v>45</v>
      </c>
      <c r="B286" t="s">
        <v>75</v>
      </c>
      <c r="C286" t="s">
        <v>8</v>
      </c>
      <c r="D286" t="s">
        <v>10</v>
      </c>
      <c r="E286" t="s">
        <v>24</v>
      </c>
      <c r="F286" s="20" t="str">
        <f>INDEX(nrg_cb_e!$A$3:$A$40,MATCH(LEFT(MID(B286,43,1000),SEARCH(" - ",MID(B286,43,1000))-1),nrg_cb_e!$C$3:$C$40,0))</f>
        <v>FC_OTH_CP_E</v>
      </c>
      <c r="G286">
        <v>7647</v>
      </c>
    </row>
    <row r="287" spans="1:7" x14ac:dyDescent="0.2">
      <c r="A287" t="s">
        <v>45</v>
      </c>
      <c r="B287" t="s">
        <v>75</v>
      </c>
      <c r="C287" t="s">
        <v>8</v>
      </c>
      <c r="D287" t="s">
        <v>10</v>
      </c>
      <c r="E287" t="s">
        <v>25</v>
      </c>
      <c r="F287" s="20" t="str">
        <f>INDEX(nrg_cb_e!$A$3:$A$40,MATCH(LEFT(MID(B287,43,1000),SEARCH(" - ",MID(B287,43,1000))-1),nrg_cb_e!$C$3:$C$40,0))</f>
        <v>FC_OTH_CP_E</v>
      </c>
      <c r="G287">
        <v>7937</v>
      </c>
    </row>
    <row r="288" spans="1:7" x14ac:dyDescent="0.2">
      <c r="A288" t="s">
        <v>45</v>
      </c>
      <c r="B288" t="s">
        <v>75</v>
      </c>
      <c r="C288" t="s">
        <v>8</v>
      </c>
      <c r="D288" t="s">
        <v>10</v>
      </c>
      <c r="E288" t="s">
        <v>26</v>
      </c>
      <c r="F288" s="20" t="str">
        <f>INDEX(nrg_cb_e!$A$3:$A$40,MATCH(LEFT(MID(B288,43,1000),SEARCH(" - ",MID(B288,43,1000))-1),nrg_cb_e!$C$3:$C$40,0))</f>
        <v>FC_OTH_CP_E</v>
      </c>
      <c r="G288">
        <v>8045</v>
      </c>
    </row>
    <row r="289" spans="1:7" x14ac:dyDescent="0.2">
      <c r="A289" t="s">
        <v>45</v>
      </c>
      <c r="B289" t="s">
        <v>75</v>
      </c>
      <c r="C289" t="s">
        <v>8</v>
      </c>
      <c r="D289" t="s">
        <v>10</v>
      </c>
      <c r="E289" t="s">
        <v>27</v>
      </c>
      <c r="F289" s="20" t="str">
        <f>INDEX(nrg_cb_e!$A$3:$A$40,MATCH(LEFT(MID(B289,43,1000),SEARCH(" - ",MID(B289,43,1000))-1),nrg_cb_e!$C$3:$C$40,0))</f>
        <v>FC_OTH_CP_E</v>
      </c>
      <c r="G289">
        <v>8323</v>
      </c>
    </row>
    <row r="290" spans="1:7" x14ac:dyDescent="0.2">
      <c r="A290" t="s">
        <v>45</v>
      </c>
      <c r="B290" t="s">
        <v>75</v>
      </c>
      <c r="C290" t="s">
        <v>8</v>
      </c>
      <c r="D290" t="s">
        <v>10</v>
      </c>
      <c r="E290" t="s">
        <v>28</v>
      </c>
      <c r="F290" s="20" t="str">
        <f>INDEX(nrg_cb_e!$A$3:$A$40,MATCH(LEFT(MID(B290,43,1000),SEARCH(" - ",MID(B290,43,1000))-1),nrg_cb_e!$C$3:$C$40,0))</f>
        <v>FC_OTH_CP_E</v>
      </c>
      <c r="G290">
        <v>8540</v>
      </c>
    </row>
    <row r="291" spans="1:7" x14ac:dyDescent="0.2">
      <c r="A291" t="s">
        <v>46</v>
      </c>
      <c r="B291" t="s">
        <v>75</v>
      </c>
      <c r="C291" t="s">
        <v>8</v>
      </c>
      <c r="D291" t="s">
        <v>10</v>
      </c>
      <c r="E291" t="s">
        <v>12</v>
      </c>
      <c r="F291" s="20" t="str">
        <f>INDEX(nrg_cb_e!$A$3:$A$40,MATCH(LEFT(MID(B291,43,1000),SEARCH(" - ",MID(B291,43,1000))-1),nrg_cb_e!$C$3:$C$40,0))</f>
        <v>FC_OTH_CP_E</v>
      </c>
      <c r="G291">
        <v>577</v>
      </c>
    </row>
    <row r="292" spans="1:7" x14ac:dyDescent="0.2">
      <c r="A292" t="s">
        <v>46</v>
      </c>
      <c r="B292" t="s">
        <v>75</v>
      </c>
      <c r="C292" t="s">
        <v>8</v>
      </c>
      <c r="D292" t="s">
        <v>10</v>
      </c>
      <c r="E292" t="s">
        <v>13</v>
      </c>
      <c r="F292" s="20" t="str">
        <f>INDEX(nrg_cb_e!$A$3:$A$40,MATCH(LEFT(MID(B292,43,1000),SEARCH(" - ",MID(B292,43,1000))-1),nrg_cb_e!$C$3:$C$40,0))</f>
        <v>FC_OTH_CP_E</v>
      </c>
      <c r="G292">
        <v>621</v>
      </c>
    </row>
    <row r="293" spans="1:7" x14ac:dyDescent="0.2">
      <c r="A293" t="s">
        <v>46</v>
      </c>
      <c r="B293" t="s">
        <v>75</v>
      </c>
      <c r="C293" t="s">
        <v>8</v>
      </c>
      <c r="D293" t="s">
        <v>10</v>
      </c>
      <c r="E293" t="s">
        <v>14</v>
      </c>
      <c r="F293" s="20" t="str">
        <f>INDEX(nrg_cb_e!$A$3:$A$40,MATCH(LEFT(MID(B293,43,1000),SEARCH(" - ",MID(B293,43,1000))-1),nrg_cb_e!$C$3:$C$40,0))</f>
        <v>FC_OTH_CP_E</v>
      </c>
      <c r="G293">
        <v>624</v>
      </c>
    </row>
    <row r="294" spans="1:7" x14ac:dyDescent="0.2">
      <c r="A294" t="s">
        <v>46</v>
      </c>
      <c r="B294" t="s">
        <v>75</v>
      </c>
      <c r="C294" t="s">
        <v>8</v>
      </c>
      <c r="D294" t="s">
        <v>10</v>
      </c>
      <c r="E294" t="s">
        <v>15</v>
      </c>
      <c r="F294" s="20" t="str">
        <f>INDEX(nrg_cb_e!$A$3:$A$40,MATCH(LEFT(MID(B294,43,1000),SEARCH(" - ",MID(B294,43,1000))-1),nrg_cb_e!$C$3:$C$40,0))</f>
        <v>FC_OTH_CP_E</v>
      </c>
      <c r="G294">
        <v>563</v>
      </c>
    </row>
    <row r="295" spans="1:7" x14ac:dyDescent="0.2">
      <c r="A295" t="s">
        <v>46</v>
      </c>
      <c r="B295" t="s">
        <v>75</v>
      </c>
      <c r="C295" t="s">
        <v>8</v>
      </c>
      <c r="D295" t="s">
        <v>10</v>
      </c>
      <c r="E295" t="s">
        <v>16</v>
      </c>
      <c r="F295" s="20" t="str">
        <f>INDEX(nrg_cb_e!$A$3:$A$40,MATCH(LEFT(MID(B295,43,1000),SEARCH(" - ",MID(B295,43,1000))-1),nrg_cb_e!$C$3:$C$40,0))</f>
        <v>FC_OTH_CP_E</v>
      </c>
      <c r="G295">
        <v>664</v>
      </c>
    </row>
    <row r="296" spans="1:7" x14ac:dyDescent="0.2">
      <c r="A296" t="s">
        <v>46</v>
      </c>
      <c r="B296" t="s">
        <v>75</v>
      </c>
      <c r="C296" t="s">
        <v>8</v>
      </c>
      <c r="D296" t="s">
        <v>10</v>
      </c>
      <c r="E296" t="s">
        <v>17</v>
      </c>
      <c r="F296" s="20" t="str">
        <f>INDEX(nrg_cb_e!$A$3:$A$40,MATCH(LEFT(MID(B296,43,1000),SEARCH(" - ",MID(B296,43,1000))-1),nrg_cb_e!$C$3:$C$40,0))</f>
        <v>FC_OTH_CP_E</v>
      </c>
      <c r="G296">
        <v>663</v>
      </c>
    </row>
    <row r="297" spans="1:7" x14ac:dyDescent="0.2">
      <c r="A297" t="s">
        <v>46</v>
      </c>
      <c r="B297" t="s">
        <v>75</v>
      </c>
      <c r="C297" t="s">
        <v>8</v>
      </c>
      <c r="D297" t="s">
        <v>10</v>
      </c>
      <c r="E297" t="s">
        <v>18</v>
      </c>
      <c r="F297" s="20" t="str">
        <f>INDEX(nrg_cb_e!$A$3:$A$40,MATCH(LEFT(MID(B297,43,1000),SEARCH(" - ",MID(B297,43,1000))-1),nrg_cb_e!$C$3:$C$40,0))</f>
        <v>FC_OTH_CP_E</v>
      </c>
      <c r="G297">
        <v>650</v>
      </c>
    </row>
    <row r="298" spans="1:7" x14ac:dyDescent="0.2">
      <c r="A298" t="s">
        <v>46</v>
      </c>
      <c r="B298" t="s">
        <v>75</v>
      </c>
      <c r="C298" t="s">
        <v>8</v>
      </c>
      <c r="D298" t="s">
        <v>10</v>
      </c>
      <c r="E298" t="s">
        <v>19</v>
      </c>
      <c r="F298" s="20" t="str">
        <f>INDEX(nrg_cb_e!$A$3:$A$40,MATCH(LEFT(MID(B298,43,1000),SEARCH(" - ",MID(B298,43,1000))-1),nrg_cb_e!$C$3:$C$40,0))</f>
        <v>FC_OTH_CP_E</v>
      </c>
      <c r="G298">
        <v>627</v>
      </c>
    </row>
    <row r="299" spans="1:7" x14ac:dyDescent="0.2">
      <c r="A299" t="s">
        <v>46</v>
      </c>
      <c r="B299" t="s">
        <v>75</v>
      </c>
      <c r="C299" t="s">
        <v>8</v>
      </c>
      <c r="D299" t="s">
        <v>10</v>
      </c>
      <c r="E299" t="s">
        <v>20</v>
      </c>
      <c r="F299" s="20" t="str">
        <f>INDEX(nrg_cb_e!$A$3:$A$40,MATCH(LEFT(MID(B299,43,1000),SEARCH(" - ",MID(B299,43,1000))-1),nrg_cb_e!$C$3:$C$40,0))</f>
        <v>FC_OTH_CP_E</v>
      </c>
      <c r="G299">
        <v>797</v>
      </c>
    </row>
    <row r="300" spans="1:7" x14ac:dyDescent="0.2">
      <c r="A300" t="s">
        <v>46</v>
      </c>
      <c r="B300" t="s">
        <v>75</v>
      </c>
      <c r="C300" t="s">
        <v>8</v>
      </c>
      <c r="D300" t="s">
        <v>10</v>
      </c>
      <c r="E300" t="s">
        <v>21</v>
      </c>
      <c r="F300" s="20" t="str">
        <f>INDEX(nrg_cb_e!$A$3:$A$40,MATCH(LEFT(MID(B300,43,1000),SEARCH(" - ",MID(B300,43,1000))-1),nrg_cb_e!$C$3:$C$40,0))</f>
        <v>FC_OTH_CP_E</v>
      </c>
      <c r="G300">
        <v>829</v>
      </c>
    </row>
    <row r="301" spans="1:7" x14ac:dyDescent="0.2">
      <c r="A301" t="s">
        <v>46</v>
      </c>
      <c r="B301" t="s">
        <v>75</v>
      </c>
      <c r="C301" t="s">
        <v>8</v>
      </c>
      <c r="D301" t="s">
        <v>10</v>
      </c>
      <c r="E301" t="s">
        <v>22</v>
      </c>
      <c r="F301" s="20" t="str">
        <f>INDEX(nrg_cb_e!$A$3:$A$40,MATCH(LEFT(MID(B301,43,1000),SEARCH(" - ",MID(B301,43,1000))-1),nrg_cb_e!$C$3:$C$40,0))</f>
        <v>FC_OTH_CP_E</v>
      </c>
      <c r="G301">
        <v>888</v>
      </c>
    </row>
    <row r="302" spans="1:7" x14ac:dyDescent="0.2">
      <c r="A302" t="s">
        <v>46</v>
      </c>
      <c r="B302" t="s">
        <v>75</v>
      </c>
      <c r="C302" t="s">
        <v>8</v>
      </c>
      <c r="D302" t="s">
        <v>10</v>
      </c>
      <c r="E302" t="s">
        <v>23</v>
      </c>
      <c r="F302" s="20" t="str">
        <f>INDEX(nrg_cb_e!$A$3:$A$40,MATCH(LEFT(MID(B302,43,1000),SEARCH(" - ",MID(B302,43,1000))-1),nrg_cb_e!$C$3:$C$40,0))</f>
        <v>FC_OTH_CP_E</v>
      </c>
      <c r="G302">
        <v>896</v>
      </c>
    </row>
    <row r="303" spans="1:7" x14ac:dyDescent="0.2">
      <c r="A303" t="s">
        <v>46</v>
      </c>
      <c r="B303" t="s">
        <v>75</v>
      </c>
      <c r="C303" t="s">
        <v>8</v>
      </c>
      <c r="D303" t="s">
        <v>10</v>
      </c>
      <c r="E303" t="s">
        <v>24</v>
      </c>
      <c r="F303" s="20" t="str">
        <f>INDEX(nrg_cb_e!$A$3:$A$40,MATCH(LEFT(MID(B303,43,1000),SEARCH(" - ",MID(B303,43,1000))-1),nrg_cb_e!$C$3:$C$40,0))</f>
        <v>FC_OTH_CP_E</v>
      </c>
      <c r="G303">
        <v>943</v>
      </c>
    </row>
    <row r="304" spans="1:7" x14ac:dyDescent="0.2">
      <c r="A304" t="s">
        <v>46</v>
      </c>
      <c r="B304" t="s">
        <v>75</v>
      </c>
      <c r="C304" t="s">
        <v>8</v>
      </c>
      <c r="D304" t="s">
        <v>10</v>
      </c>
      <c r="E304" t="s">
        <v>25</v>
      </c>
      <c r="F304" s="20" t="str">
        <f>INDEX(nrg_cb_e!$A$3:$A$40,MATCH(LEFT(MID(B304,43,1000),SEARCH(" - ",MID(B304,43,1000))-1),nrg_cb_e!$C$3:$C$40,0))</f>
        <v>FC_OTH_CP_E</v>
      </c>
      <c r="G304">
        <v>1002</v>
      </c>
    </row>
    <row r="305" spans="1:7" x14ac:dyDescent="0.2">
      <c r="A305" t="s">
        <v>46</v>
      </c>
      <c r="B305" t="s">
        <v>75</v>
      </c>
      <c r="C305" t="s">
        <v>8</v>
      </c>
      <c r="D305" t="s">
        <v>10</v>
      </c>
      <c r="E305" t="s">
        <v>26</v>
      </c>
      <c r="F305" s="20" t="str">
        <f>INDEX(nrg_cb_e!$A$3:$A$40,MATCH(LEFT(MID(B305,43,1000),SEARCH(" - ",MID(B305,43,1000))-1),nrg_cb_e!$C$3:$C$40,0))</f>
        <v>FC_OTH_CP_E</v>
      </c>
      <c r="G305">
        <v>992.40599999999995</v>
      </c>
    </row>
    <row r="306" spans="1:7" x14ac:dyDescent="0.2">
      <c r="A306" t="s">
        <v>46</v>
      </c>
      <c r="B306" t="s">
        <v>75</v>
      </c>
      <c r="C306" t="s">
        <v>8</v>
      </c>
      <c r="D306" t="s">
        <v>10</v>
      </c>
      <c r="E306" t="s">
        <v>27</v>
      </c>
      <c r="F306" s="20" t="str">
        <f>INDEX(nrg_cb_e!$A$3:$A$40,MATCH(LEFT(MID(B306,43,1000),SEARCH(" - ",MID(B306,43,1000))-1),nrg_cb_e!$C$3:$C$40,0))</f>
        <v>FC_OTH_CP_E</v>
      </c>
      <c r="G306">
        <v>1092.5350000000001</v>
      </c>
    </row>
    <row r="307" spans="1:7" x14ac:dyDescent="0.2">
      <c r="A307" t="s">
        <v>46</v>
      </c>
      <c r="B307" t="s">
        <v>75</v>
      </c>
      <c r="C307" t="s">
        <v>8</v>
      </c>
      <c r="D307" t="s">
        <v>10</v>
      </c>
      <c r="E307" t="s">
        <v>28</v>
      </c>
      <c r="F307" s="20" t="str">
        <f>INDEX(nrg_cb_e!$A$3:$A$40,MATCH(LEFT(MID(B307,43,1000),SEARCH(" - ",MID(B307,43,1000))-1),nrg_cb_e!$C$3:$C$40,0))</f>
        <v>FC_OTH_CP_E</v>
      </c>
      <c r="G307">
        <v>1117.828</v>
      </c>
    </row>
    <row r="308" spans="1:7" x14ac:dyDescent="0.2">
      <c r="A308" t="s">
        <v>47</v>
      </c>
      <c r="B308" t="s">
        <v>75</v>
      </c>
      <c r="C308" t="s">
        <v>8</v>
      </c>
      <c r="D308" t="s">
        <v>10</v>
      </c>
      <c r="E308" t="s">
        <v>12</v>
      </c>
      <c r="F308" s="20" t="str">
        <f>INDEX(nrg_cb_e!$A$3:$A$40,MATCH(LEFT(MID(B308,43,1000),SEARCH(" - ",MID(B308,43,1000))-1),nrg_cb_e!$C$3:$C$40,0))</f>
        <v>FC_OTH_CP_E</v>
      </c>
      <c r="G308">
        <v>30421</v>
      </c>
    </row>
    <row r="309" spans="1:7" x14ac:dyDescent="0.2">
      <c r="A309" t="s">
        <v>47</v>
      </c>
      <c r="B309" t="s">
        <v>75</v>
      </c>
      <c r="C309" t="s">
        <v>8</v>
      </c>
      <c r="D309" t="s">
        <v>10</v>
      </c>
      <c r="E309" t="s">
        <v>13</v>
      </c>
      <c r="F309" s="20" t="str">
        <f>INDEX(nrg_cb_e!$A$3:$A$40,MATCH(LEFT(MID(B309,43,1000),SEARCH(" - ",MID(B309,43,1000))-1),nrg_cb_e!$C$3:$C$40,0))</f>
        <v>FC_OTH_CP_E</v>
      </c>
      <c r="G309">
        <v>31815</v>
      </c>
    </row>
    <row r="310" spans="1:7" x14ac:dyDescent="0.2">
      <c r="A310" t="s">
        <v>47</v>
      </c>
      <c r="B310" t="s">
        <v>75</v>
      </c>
      <c r="C310" t="s">
        <v>8</v>
      </c>
      <c r="D310" t="s">
        <v>10</v>
      </c>
      <c r="E310" t="s">
        <v>14</v>
      </c>
      <c r="F310" s="20" t="str">
        <f>INDEX(nrg_cb_e!$A$3:$A$40,MATCH(LEFT(MID(B310,43,1000),SEARCH(" - ",MID(B310,43,1000))-1),nrg_cb_e!$C$3:$C$40,0))</f>
        <v>FC_OTH_CP_E</v>
      </c>
      <c r="G310">
        <v>32942</v>
      </c>
    </row>
    <row r="311" spans="1:7" x14ac:dyDescent="0.2">
      <c r="A311" t="s">
        <v>47</v>
      </c>
      <c r="B311" t="s">
        <v>75</v>
      </c>
      <c r="C311" t="s">
        <v>8</v>
      </c>
      <c r="D311" t="s">
        <v>10</v>
      </c>
      <c r="E311" t="s">
        <v>15</v>
      </c>
      <c r="F311" s="20" t="str">
        <f>INDEX(nrg_cb_e!$A$3:$A$40,MATCH(LEFT(MID(B311,43,1000),SEARCH(" - ",MID(B311,43,1000))-1),nrg_cb_e!$C$3:$C$40,0))</f>
        <v>FC_OTH_CP_E</v>
      </c>
      <c r="G311">
        <v>33698</v>
      </c>
    </row>
    <row r="312" spans="1:7" x14ac:dyDescent="0.2">
      <c r="A312" t="s">
        <v>47</v>
      </c>
      <c r="B312" t="s">
        <v>75</v>
      </c>
      <c r="C312" t="s">
        <v>8</v>
      </c>
      <c r="D312" t="s">
        <v>10</v>
      </c>
      <c r="E312" t="s">
        <v>16</v>
      </c>
      <c r="F312" s="20" t="str">
        <f>INDEX(nrg_cb_e!$A$3:$A$40,MATCH(LEFT(MID(B312,43,1000),SEARCH(" - ",MID(B312,43,1000))-1),nrg_cb_e!$C$3:$C$40,0))</f>
        <v>FC_OTH_CP_E</v>
      </c>
      <c r="G312">
        <v>34627</v>
      </c>
    </row>
    <row r="313" spans="1:7" x14ac:dyDescent="0.2">
      <c r="A313" t="s">
        <v>47</v>
      </c>
      <c r="B313" t="s">
        <v>75</v>
      </c>
      <c r="C313" t="s">
        <v>8</v>
      </c>
      <c r="D313" t="s">
        <v>10</v>
      </c>
      <c r="E313" t="s">
        <v>17</v>
      </c>
      <c r="F313" s="20" t="str">
        <f>INDEX(nrg_cb_e!$A$3:$A$40,MATCH(LEFT(MID(B313,43,1000),SEARCH(" - ",MID(B313,43,1000))-1),nrg_cb_e!$C$3:$C$40,0))</f>
        <v>FC_OTH_CP_E</v>
      </c>
      <c r="G313">
        <v>35417</v>
      </c>
    </row>
    <row r="314" spans="1:7" x14ac:dyDescent="0.2">
      <c r="A314" t="s">
        <v>47</v>
      </c>
      <c r="B314" t="s">
        <v>75</v>
      </c>
      <c r="C314" t="s">
        <v>8</v>
      </c>
      <c r="D314" t="s">
        <v>10</v>
      </c>
      <c r="E314" t="s">
        <v>18</v>
      </c>
      <c r="F314" s="20" t="str">
        <f>INDEX(nrg_cb_e!$A$3:$A$40,MATCH(LEFT(MID(B314,43,1000),SEARCH(" - ",MID(B314,43,1000))-1),nrg_cb_e!$C$3:$C$40,0))</f>
        <v>FC_OTH_CP_E</v>
      </c>
      <c r="G314">
        <v>35889</v>
      </c>
    </row>
    <row r="315" spans="1:7" x14ac:dyDescent="0.2">
      <c r="A315" t="s">
        <v>47</v>
      </c>
      <c r="B315" t="s">
        <v>75</v>
      </c>
      <c r="C315" t="s">
        <v>8</v>
      </c>
      <c r="D315" t="s">
        <v>10</v>
      </c>
      <c r="E315" t="s">
        <v>19</v>
      </c>
      <c r="F315" s="20" t="str">
        <f>INDEX(nrg_cb_e!$A$3:$A$40,MATCH(LEFT(MID(B315,43,1000),SEARCH(" - ",MID(B315,43,1000))-1),nrg_cb_e!$C$3:$C$40,0))</f>
        <v>FC_OTH_CP_E</v>
      </c>
      <c r="G315">
        <v>36547</v>
      </c>
    </row>
    <row r="316" spans="1:7" x14ac:dyDescent="0.2">
      <c r="A316" t="s">
        <v>47</v>
      </c>
      <c r="B316" t="s">
        <v>75</v>
      </c>
      <c r="C316" t="s">
        <v>8</v>
      </c>
      <c r="D316" t="s">
        <v>10</v>
      </c>
      <c r="E316" t="s">
        <v>20</v>
      </c>
      <c r="F316" s="20" t="str">
        <f>INDEX(nrg_cb_e!$A$3:$A$40,MATCH(LEFT(MID(B316,43,1000),SEARCH(" - ",MID(B316,43,1000))-1),nrg_cb_e!$C$3:$C$40,0))</f>
        <v>FC_OTH_CP_E</v>
      </c>
      <c r="G316">
        <v>36766</v>
      </c>
    </row>
    <row r="317" spans="1:7" x14ac:dyDescent="0.2">
      <c r="A317" t="s">
        <v>47</v>
      </c>
      <c r="B317" t="s">
        <v>75</v>
      </c>
      <c r="C317" t="s">
        <v>8</v>
      </c>
      <c r="D317" t="s">
        <v>10</v>
      </c>
      <c r="E317" t="s">
        <v>21</v>
      </c>
      <c r="F317" s="20" t="str">
        <f>INDEX(nrg_cb_e!$A$3:$A$40,MATCH(LEFT(MID(B317,43,1000),SEARCH(" - ",MID(B317,43,1000))-1),nrg_cb_e!$C$3:$C$40,0))</f>
        <v>FC_OTH_CP_E</v>
      </c>
      <c r="G317">
        <v>36911</v>
      </c>
    </row>
    <row r="318" spans="1:7" x14ac:dyDescent="0.2">
      <c r="A318" t="s">
        <v>47</v>
      </c>
      <c r="B318" t="s">
        <v>75</v>
      </c>
      <c r="C318" t="s">
        <v>8</v>
      </c>
      <c r="D318" t="s">
        <v>10</v>
      </c>
      <c r="E318" t="s">
        <v>22</v>
      </c>
      <c r="F318" s="20" t="str">
        <f>INDEX(nrg_cb_e!$A$3:$A$40,MATCH(LEFT(MID(B318,43,1000),SEARCH(" - ",MID(B318,43,1000))-1),nrg_cb_e!$C$3:$C$40,0))</f>
        <v>FC_OTH_CP_E</v>
      </c>
      <c r="G318">
        <v>36129.586000000003</v>
      </c>
    </row>
    <row r="319" spans="1:7" x14ac:dyDescent="0.2">
      <c r="A319" t="s">
        <v>47</v>
      </c>
      <c r="B319" t="s">
        <v>75</v>
      </c>
      <c r="C319" t="s">
        <v>8</v>
      </c>
      <c r="D319" t="s">
        <v>10</v>
      </c>
      <c r="E319" t="s">
        <v>23</v>
      </c>
      <c r="F319" s="20" t="str">
        <f>INDEX(nrg_cb_e!$A$3:$A$40,MATCH(LEFT(MID(B319,43,1000),SEARCH(" - ",MID(B319,43,1000))-1),nrg_cb_e!$C$3:$C$40,0))</f>
        <v>FC_OTH_CP_E</v>
      </c>
      <c r="G319">
        <v>36282.525999999998</v>
      </c>
    </row>
    <row r="320" spans="1:7" x14ac:dyDescent="0.2">
      <c r="A320" t="s">
        <v>47</v>
      </c>
      <c r="B320" t="s">
        <v>75</v>
      </c>
      <c r="C320" t="s">
        <v>8</v>
      </c>
      <c r="D320" t="s">
        <v>10</v>
      </c>
      <c r="E320" t="s">
        <v>24</v>
      </c>
      <c r="F320" s="20" t="str">
        <f>INDEX(nrg_cb_e!$A$3:$A$40,MATCH(LEFT(MID(B320,43,1000),SEARCH(" - ",MID(B320,43,1000))-1),nrg_cb_e!$C$3:$C$40,0))</f>
        <v>FC_OTH_CP_E</v>
      </c>
      <c r="G320">
        <v>35589.983</v>
      </c>
    </row>
    <row r="321" spans="1:7" x14ac:dyDescent="0.2">
      <c r="A321" t="s">
        <v>47</v>
      </c>
      <c r="B321" t="s">
        <v>75</v>
      </c>
      <c r="C321" t="s">
        <v>8</v>
      </c>
      <c r="D321" t="s">
        <v>10</v>
      </c>
      <c r="E321" t="s">
        <v>25</v>
      </c>
      <c r="F321" s="20" t="str">
        <f>INDEX(nrg_cb_e!$A$3:$A$40,MATCH(LEFT(MID(B321,43,1000),SEARCH(" - ",MID(B321,43,1000))-1),nrg_cb_e!$C$3:$C$40,0))</f>
        <v>FC_OTH_CP_E</v>
      </c>
      <c r="G321">
        <v>36173.955999999998</v>
      </c>
    </row>
    <row r="322" spans="1:7" x14ac:dyDescent="0.2">
      <c r="A322" t="s">
        <v>47</v>
      </c>
      <c r="B322" t="s">
        <v>75</v>
      </c>
      <c r="C322" t="s">
        <v>8</v>
      </c>
      <c r="D322" t="s">
        <v>10</v>
      </c>
      <c r="E322" t="s">
        <v>26</v>
      </c>
      <c r="F322" s="20" t="str">
        <f>INDEX(nrg_cb_e!$A$3:$A$40,MATCH(LEFT(MID(B322,43,1000),SEARCH(" - ",MID(B322,43,1000))-1),nrg_cb_e!$C$3:$C$40,0))</f>
        <v>FC_OTH_CP_E</v>
      </c>
      <c r="G322">
        <v>36165.339</v>
      </c>
    </row>
    <row r="323" spans="1:7" x14ac:dyDescent="0.2">
      <c r="A323" t="s">
        <v>47</v>
      </c>
      <c r="B323" t="s">
        <v>75</v>
      </c>
      <c r="C323" t="s">
        <v>8</v>
      </c>
      <c r="D323" t="s">
        <v>10</v>
      </c>
      <c r="E323" t="s">
        <v>27</v>
      </c>
      <c r="F323" s="20" t="str">
        <f>INDEX(nrg_cb_e!$A$3:$A$40,MATCH(LEFT(MID(B323,43,1000),SEARCH(" - ",MID(B323,43,1000))-1),nrg_cb_e!$C$3:$C$40,0))</f>
        <v>FC_OTH_CP_E</v>
      </c>
      <c r="G323">
        <v>36615.023999999998</v>
      </c>
    </row>
    <row r="324" spans="1:7" x14ac:dyDescent="0.2">
      <c r="A324" t="s">
        <v>47</v>
      </c>
      <c r="B324" t="s">
        <v>75</v>
      </c>
      <c r="C324" t="s">
        <v>8</v>
      </c>
      <c r="D324" t="s">
        <v>10</v>
      </c>
      <c r="E324" t="s">
        <v>28</v>
      </c>
      <c r="F324" s="20" t="str">
        <f>INDEX(nrg_cb_e!$A$3:$A$40,MATCH(LEFT(MID(B324,43,1000),SEARCH(" - ",MID(B324,43,1000))-1),nrg_cb_e!$C$3:$C$40,0))</f>
        <v>FC_OTH_CP_E</v>
      </c>
      <c r="G324">
        <v>36907.129000000001</v>
      </c>
    </row>
    <row r="325" spans="1:7" x14ac:dyDescent="0.2">
      <c r="A325" t="s">
        <v>48</v>
      </c>
      <c r="B325" t="s">
        <v>75</v>
      </c>
      <c r="C325" t="s">
        <v>8</v>
      </c>
      <c r="D325" t="s">
        <v>10</v>
      </c>
      <c r="E325" t="s">
        <v>12</v>
      </c>
      <c r="F325" s="20" t="str">
        <f>INDEX(nrg_cb_e!$A$3:$A$40,MATCH(LEFT(MID(B325,43,1000),SEARCH(" - ",MID(B325,43,1000))-1),nrg_cb_e!$C$3:$C$40,0))</f>
        <v>FC_OTH_CP_E</v>
      </c>
      <c r="G325">
        <v>11327</v>
      </c>
    </row>
    <row r="326" spans="1:7" x14ac:dyDescent="0.2">
      <c r="A326" t="s">
        <v>48</v>
      </c>
      <c r="B326" t="s">
        <v>75</v>
      </c>
      <c r="C326" t="s">
        <v>8</v>
      </c>
      <c r="D326" t="s">
        <v>10</v>
      </c>
      <c r="E326" t="s">
        <v>13</v>
      </c>
      <c r="F326" s="20" t="str">
        <f>INDEX(nrg_cb_e!$A$3:$A$40,MATCH(LEFT(MID(B326,43,1000),SEARCH(" - ",MID(B326,43,1000))-1),nrg_cb_e!$C$3:$C$40,0))</f>
        <v>FC_OTH_CP_E</v>
      </c>
      <c r="G326">
        <v>11672</v>
      </c>
    </row>
    <row r="327" spans="1:7" x14ac:dyDescent="0.2">
      <c r="A327" t="s">
        <v>48</v>
      </c>
      <c r="B327" t="s">
        <v>75</v>
      </c>
      <c r="C327" t="s">
        <v>8</v>
      </c>
      <c r="D327" t="s">
        <v>10</v>
      </c>
      <c r="E327" t="s">
        <v>14</v>
      </c>
      <c r="F327" s="20" t="str">
        <f>INDEX(nrg_cb_e!$A$3:$A$40,MATCH(LEFT(MID(B327,43,1000),SEARCH(" - ",MID(B327,43,1000))-1),nrg_cb_e!$C$3:$C$40,0))</f>
        <v>FC_OTH_CP_E</v>
      </c>
      <c r="G327">
        <v>10687</v>
      </c>
    </row>
    <row r="328" spans="1:7" x14ac:dyDescent="0.2">
      <c r="A328" t="s">
        <v>48</v>
      </c>
      <c r="B328" t="s">
        <v>75</v>
      </c>
      <c r="C328" t="s">
        <v>8</v>
      </c>
      <c r="D328" t="s">
        <v>10</v>
      </c>
      <c r="E328" t="s">
        <v>15</v>
      </c>
      <c r="F328" s="20" t="str">
        <f>INDEX(nrg_cb_e!$A$3:$A$40,MATCH(LEFT(MID(B328,43,1000),SEARCH(" - ",MID(B328,43,1000))-1),nrg_cb_e!$C$3:$C$40,0))</f>
        <v>FC_OTH_CP_E</v>
      </c>
      <c r="G328">
        <v>12573.75</v>
      </c>
    </row>
    <row r="329" spans="1:7" x14ac:dyDescent="0.2">
      <c r="A329" t="s">
        <v>48</v>
      </c>
      <c r="B329" t="s">
        <v>75</v>
      </c>
      <c r="C329" t="s">
        <v>8</v>
      </c>
      <c r="D329" t="s">
        <v>10</v>
      </c>
      <c r="E329" t="s">
        <v>16</v>
      </c>
      <c r="F329" s="20" t="str">
        <f>INDEX(nrg_cb_e!$A$3:$A$40,MATCH(LEFT(MID(B329,43,1000),SEARCH(" - ",MID(B329,43,1000))-1),nrg_cb_e!$C$3:$C$40,0))</f>
        <v>FC_OTH_CP_E</v>
      </c>
      <c r="G329">
        <v>12623.959000000001</v>
      </c>
    </row>
    <row r="330" spans="1:7" x14ac:dyDescent="0.2">
      <c r="A330" t="s">
        <v>48</v>
      </c>
      <c r="B330" t="s">
        <v>75</v>
      </c>
      <c r="C330" t="s">
        <v>8</v>
      </c>
      <c r="D330" t="s">
        <v>10</v>
      </c>
      <c r="E330" t="s">
        <v>17</v>
      </c>
      <c r="F330" s="20" t="str">
        <f>INDEX(nrg_cb_e!$A$3:$A$40,MATCH(LEFT(MID(B330,43,1000),SEARCH(" - ",MID(B330,43,1000))-1),nrg_cb_e!$C$3:$C$40,0))</f>
        <v>FC_OTH_CP_E</v>
      </c>
      <c r="G330">
        <v>12357.696</v>
      </c>
    </row>
    <row r="331" spans="1:7" x14ac:dyDescent="0.2">
      <c r="A331" t="s">
        <v>48</v>
      </c>
      <c r="B331" t="s">
        <v>75</v>
      </c>
      <c r="C331" t="s">
        <v>8</v>
      </c>
      <c r="D331" t="s">
        <v>10</v>
      </c>
      <c r="E331" t="s">
        <v>18</v>
      </c>
      <c r="F331" s="20" t="str">
        <f>INDEX(nrg_cb_e!$A$3:$A$40,MATCH(LEFT(MID(B331,43,1000),SEARCH(" - ",MID(B331,43,1000))-1),nrg_cb_e!$C$3:$C$40,0))</f>
        <v>FC_OTH_CP_E</v>
      </c>
      <c r="G331">
        <v>13364.093000000001</v>
      </c>
    </row>
    <row r="332" spans="1:7" x14ac:dyDescent="0.2">
      <c r="A332" t="s">
        <v>48</v>
      </c>
      <c r="B332" t="s">
        <v>75</v>
      </c>
      <c r="C332" t="s">
        <v>8</v>
      </c>
      <c r="D332" t="s">
        <v>10</v>
      </c>
      <c r="E332" t="s">
        <v>19</v>
      </c>
      <c r="F332" s="20" t="str">
        <f>INDEX(nrg_cb_e!$A$3:$A$40,MATCH(LEFT(MID(B332,43,1000),SEARCH(" - ",MID(B332,43,1000))-1),nrg_cb_e!$C$3:$C$40,0))</f>
        <v>FC_OTH_CP_E</v>
      </c>
      <c r="G332">
        <v>11539.986999999999</v>
      </c>
    </row>
    <row r="333" spans="1:7" x14ac:dyDescent="0.2">
      <c r="A333" t="s">
        <v>48</v>
      </c>
      <c r="B333" t="s">
        <v>75</v>
      </c>
      <c r="C333" t="s">
        <v>8</v>
      </c>
      <c r="D333" t="s">
        <v>10</v>
      </c>
      <c r="E333" t="s">
        <v>20</v>
      </c>
      <c r="F333" s="20" t="str">
        <f>INDEX(nrg_cb_e!$A$3:$A$40,MATCH(LEFT(MID(B333,43,1000),SEARCH(" - ",MID(B333,43,1000))-1),nrg_cb_e!$C$3:$C$40,0))</f>
        <v>FC_OTH_CP_E</v>
      </c>
      <c r="G333">
        <v>11814.789000000001</v>
      </c>
    </row>
    <row r="334" spans="1:7" x14ac:dyDescent="0.2">
      <c r="A334" t="s">
        <v>48</v>
      </c>
      <c r="B334" t="s">
        <v>75</v>
      </c>
      <c r="C334" t="s">
        <v>8</v>
      </c>
      <c r="D334" t="s">
        <v>10</v>
      </c>
      <c r="E334" t="s">
        <v>21</v>
      </c>
      <c r="F334" s="20" t="str">
        <f>INDEX(nrg_cb_e!$A$3:$A$40,MATCH(LEFT(MID(B334,43,1000),SEARCH(" - ",MID(B334,43,1000))-1),nrg_cb_e!$C$3:$C$40,0))</f>
        <v>FC_OTH_CP_E</v>
      </c>
      <c r="G334">
        <v>11697.398999999999</v>
      </c>
    </row>
    <row r="335" spans="1:7" x14ac:dyDescent="0.2">
      <c r="A335" t="s">
        <v>48</v>
      </c>
      <c r="B335" t="s">
        <v>75</v>
      </c>
      <c r="C335" t="s">
        <v>8</v>
      </c>
      <c r="D335" t="s">
        <v>10</v>
      </c>
      <c r="E335" t="s">
        <v>22</v>
      </c>
      <c r="F335" s="20" t="str">
        <f>INDEX(nrg_cb_e!$A$3:$A$40,MATCH(LEFT(MID(B335,43,1000),SEARCH(" - ",MID(B335,43,1000))-1),nrg_cb_e!$C$3:$C$40,0))</f>
        <v>FC_OTH_CP_E</v>
      </c>
      <c r="G335">
        <v>12005.47</v>
      </c>
    </row>
    <row r="336" spans="1:7" x14ac:dyDescent="0.2">
      <c r="A336" t="s">
        <v>48</v>
      </c>
      <c r="B336" t="s">
        <v>75</v>
      </c>
      <c r="C336" t="s">
        <v>8</v>
      </c>
      <c r="D336" t="s">
        <v>10</v>
      </c>
      <c r="E336" t="s">
        <v>23</v>
      </c>
      <c r="F336" s="20" t="str">
        <f>INDEX(nrg_cb_e!$A$3:$A$40,MATCH(LEFT(MID(B336,43,1000),SEARCH(" - ",MID(B336,43,1000))-1),nrg_cb_e!$C$3:$C$40,0))</f>
        <v>FC_OTH_CP_E</v>
      </c>
      <c r="G336">
        <v>12004.215</v>
      </c>
    </row>
    <row r="337" spans="1:7" x14ac:dyDescent="0.2">
      <c r="A337" t="s">
        <v>48</v>
      </c>
      <c r="B337" t="s">
        <v>75</v>
      </c>
      <c r="C337" t="s">
        <v>8</v>
      </c>
      <c r="D337" t="s">
        <v>10</v>
      </c>
      <c r="E337" t="s">
        <v>24</v>
      </c>
      <c r="F337" s="20" t="str">
        <f>INDEX(nrg_cb_e!$A$3:$A$40,MATCH(LEFT(MID(B337,43,1000),SEARCH(" - ",MID(B337,43,1000))-1),nrg_cb_e!$C$3:$C$40,0))</f>
        <v>FC_OTH_CP_E</v>
      </c>
      <c r="G337">
        <v>12256.793</v>
      </c>
    </row>
    <row r="338" spans="1:7" x14ac:dyDescent="0.2">
      <c r="A338" t="s">
        <v>48</v>
      </c>
      <c r="B338" t="s">
        <v>75</v>
      </c>
      <c r="C338" t="s">
        <v>8</v>
      </c>
      <c r="D338" t="s">
        <v>10</v>
      </c>
      <c r="E338" t="s">
        <v>25</v>
      </c>
      <c r="F338" s="20" t="str">
        <f>INDEX(nrg_cb_e!$A$3:$A$40,MATCH(LEFT(MID(B338,43,1000),SEARCH(" - ",MID(B338,43,1000))-1),nrg_cb_e!$C$3:$C$40,0))</f>
        <v>FC_OTH_CP_E</v>
      </c>
      <c r="G338">
        <v>12274.313</v>
      </c>
    </row>
    <row r="339" spans="1:7" x14ac:dyDescent="0.2">
      <c r="A339" t="s">
        <v>48</v>
      </c>
      <c r="B339" t="s">
        <v>75</v>
      </c>
      <c r="C339" t="s">
        <v>8</v>
      </c>
      <c r="D339" t="s">
        <v>10</v>
      </c>
      <c r="E339" t="s">
        <v>26</v>
      </c>
      <c r="F339" s="20" t="str">
        <f>INDEX(nrg_cb_e!$A$3:$A$40,MATCH(LEFT(MID(B339,43,1000),SEARCH(" - ",MID(B339,43,1000))-1),nrg_cb_e!$C$3:$C$40,0))</f>
        <v>FC_OTH_CP_E</v>
      </c>
      <c r="G339">
        <v>11541.174999999999</v>
      </c>
    </row>
    <row r="340" spans="1:7" x14ac:dyDescent="0.2">
      <c r="A340" t="s">
        <v>48</v>
      </c>
      <c r="B340" t="s">
        <v>75</v>
      </c>
      <c r="C340" t="s">
        <v>8</v>
      </c>
      <c r="D340" t="s">
        <v>10</v>
      </c>
      <c r="E340" t="s">
        <v>27</v>
      </c>
      <c r="F340" s="20" t="str">
        <f>INDEX(nrg_cb_e!$A$3:$A$40,MATCH(LEFT(MID(B340,43,1000),SEARCH(" - ",MID(B340,43,1000))-1),nrg_cb_e!$C$3:$C$40,0))</f>
        <v>FC_OTH_CP_E</v>
      </c>
      <c r="G340">
        <v>12214.653</v>
      </c>
    </row>
    <row r="341" spans="1:7" x14ac:dyDescent="0.2">
      <c r="A341" t="s">
        <v>48</v>
      </c>
      <c r="B341" t="s">
        <v>75</v>
      </c>
      <c r="C341" t="s">
        <v>8</v>
      </c>
      <c r="D341" t="s">
        <v>10</v>
      </c>
      <c r="E341" t="s">
        <v>28</v>
      </c>
      <c r="F341" s="20" t="str">
        <f>INDEX(nrg_cb_e!$A$3:$A$40,MATCH(LEFT(MID(B341,43,1000),SEARCH(" - ",MID(B341,43,1000))-1),nrg_cb_e!$C$3:$C$40,0))</f>
        <v>FC_OTH_CP_E</v>
      </c>
      <c r="G341">
        <v>12253.928</v>
      </c>
    </row>
    <row r="342" spans="1:7" x14ac:dyDescent="0.2">
      <c r="A342" t="s">
        <v>49</v>
      </c>
      <c r="B342" t="s">
        <v>75</v>
      </c>
      <c r="C342" t="s">
        <v>8</v>
      </c>
      <c r="D342" t="s">
        <v>10</v>
      </c>
      <c r="E342" t="s">
        <v>12</v>
      </c>
      <c r="F342" s="20" t="str">
        <f>INDEX(nrg_cb_e!$A$3:$A$40,MATCH(LEFT(MID(B342,43,1000),SEARCH(" - ",MID(B342,43,1000))-1),nrg_cb_e!$C$3:$C$40,0))</f>
        <v>FC_OTH_CP_E</v>
      </c>
      <c r="G342">
        <v>28640</v>
      </c>
    </row>
    <row r="343" spans="1:7" x14ac:dyDescent="0.2">
      <c r="A343" t="s">
        <v>49</v>
      </c>
      <c r="B343" t="s">
        <v>75</v>
      </c>
      <c r="C343" t="s">
        <v>8</v>
      </c>
      <c r="D343" t="s">
        <v>10</v>
      </c>
      <c r="E343" t="s">
        <v>13</v>
      </c>
      <c r="F343" s="20" t="str">
        <f>INDEX(nrg_cb_e!$A$3:$A$40,MATCH(LEFT(MID(B343,43,1000),SEARCH(" - ",MID(B343,43,1000))-1),nrg_cb_e!$C$3:$C$40,0))</f>
        <v>FC_OTH_CP_E</v>
      </c>
      <c r="G343">
        <v>29892</v>
      </c>
    </row>
    <row r="344" spans="1:7" x14ac:dyDescent="0.2">
      <c r="A344" t="s">
        <v>49</v>
      </c>
      <c r="B344" t="s">
        <v>75</v>
      </c>
      <c r="C344" t="s">
        <v>8</v>
      </c>
      <c r="D344" t="s">
        <v>10</v>
      </c>
      <c r="E344" t="s">
        <v>14</v>
      </c>
      <c r="F344" s="20" t="str">
        <f>INDEX(nrg_cb_e!$A$3:$A$40,MATCH(LEFT(MID(B344,43,1000),SEARCH(" - ",MID(B344,43,1000))-1),nrg_cb_e!$C$3:$C$40,0))</f>
        <v>FC_OTH_CP_E</v>
      </c>
      <c r="G344">
        <v>31017</v>
      </c>
    </row>
    <row r="345" spans="1:7" x14ac:dyDescent="0.2">
      <c r="A345" t="s">
        <v>49</v>
      </c>
      <c r="B345" t="s">
        <v>75</v>
      </c>
      <c r="C345" t="s">
        <v>8</v>
      </c>
      <c r="D345" t="s">
        <v>10</v>
      </c>
      <c r="E345" t="s">
        <v>15</v>
      </c>
      <c r="F345" s="20" t="str">
        <f>INDEX(nrg_cb_e!$A$3:$A$40,MATCH(LEFT(MID(B345,43,1000),SEARCH(" - ",MID(B345,43,1000))-1),nrg_cb_e!$C$3:$C$40,0))</f>
        <v>FC_OTH_CP_E</v>
      </c>
      <c r="G345">
        <v>33357</v>
      </c>
    </row>
    <row r="346" spans="1:7" x14ac:dyDescent="0.2">
      <c r="A346" t="s">
        <v>49</v>
      </c>
      <c r="B346" t="s">
        <v>75</v>
      </c>
      <c r="C346" t="s">
        <v>8</v>
      </c>
      <c r="D346" t="s">
        <v>10</v>
      </c>
      <c r="E346" t="s">
        <v>16</v>
      </c>
      <c r="F346" s="20" t="str">
        <f>INDEX(nrg_cb_e!$A$3:$A$40,MATCH(LEFT(MID(B346,43,1000),SEARCH(" - ",MID(B346,43,1000))-1),nrg_cb_e!$C$3:$C$40,0))</f>
        <v>FC_OTH_CP_E</v>
      </c>
      <c r="G346">
        <v>36711</v>
      </c>
    </row>
    <row r="347" spans="1:7" x14ac:dyDescent="0.2">
      <c r="A347" t="s">
        <v>49</v>
      </c>
      <c r="B347" t="s">
        <v>75</v>
      </c>
      <c r="C347" t="s">
        <v>8</v>
      </c>
      <c r="D347" t="s">
        <v>10</v>
      </c>
      <c r="E347" t="s">
        <v>17</v>
      </c>
      <c r="F347" s="20" t="str">
        <f>INDEX(nrg_cb_e!$A$3:$A$40,MATCH(LEFT(MID(B347,43,1000),SEARCH(" - ",MID(B347,43,1000))-1),nrg_cb_e!$C$3:$C$40,0))</f>
        <v>FC_OTH_CP_E</v>
      </c>
      <c r="G347">
        <v>37189</v>
      </c>
    </row>
    <row r="348" spans="1:7" x14ac:dyDescent="0.2">
      <c r="A348" t="s">
        <v>49</v>
      </c>
      <c r="B348" t="s">
        <v>75</v>
      </c>
      <c r="C348" t="s">
        <v>8</v>
      </c>
      <c r="D348" t="s">
        <v>10</v>
      </c>
      <c r="E348" t="s">
        <v>18</v>
      </c>
      <c r="F348" s="20" t="str">
        <f>INDEX(nrg_cb_e!$A$3:$A$40,MATCH(LEFT(MID(B348,43,1000),SEARCH(" - ",MID(B348,43,1000))-1),nrg_cb_e!$C$3:$C$40,0))</f>
        <v>FC_OTH_CP_E</v>
      </c>
      <c r="G348">
        <v>41090</v>
      </c>
    </row>
    <row r="349" spans="1:7" x14ac:dyDescent="0.2">
      <c r="A349" t="s">
        <v>49</v>
      </c>
      <c r="B349" t="s">
        <v>75</v>
      </c>
      <c r="C349" t="s">
        <v>8</v>
      </c>
      <c r="D349" t="s">
        <v>10</v>
      </c>
      <c r="E349" t="s">
        <v>19</v>
      </c>
      <c r="F349" s="20" t="str">
        <f>INDEX(nrg_cb_e!$A$3:$A$40,MATCH(LEFT(MID(B349,43,1000),SEARCH(" - ",MID(B349,43,1000))-1),nrg_cb_e!$C$3:$C$40,0))</f>
        <v>FC_OTH_CP_E</v>
      </c>
      <c r="G349">
        <v>40552</v>
      </c>
    </row>
    <row r="350" spans="1:7" x14ac:dyDescent="0.2">
      <c r="A350" t="s">
        <v>49</v>
      </c>
      <c r="B350" t="s">
        <v>75</v>
      </c>
      <c r="C350" t="s">
        <v>8</v>
      </c>
      <c r="D350" t="s">
        <v>10</v>
      </c>
      <c r="E350" t="s">
        <v>20</v>
      </c>
      <c r="F350" s="20" t="str">
        <f>INDEX(nrg_cb_e!$A$3:$A$40,MATCH(LEFT(MID(B350,43,1000),SEARCH(" - ",MID(B350,43,1000))-1),nrg_cb_e!$C$3:$C$40,0))</f>
        <v>FC_OTH_CP_E</v>
      </c>
      <c r="G350">
        <v>43669</v>
      </c>
    </row>
    <row r="351" spans="1:7" x14ac:dyDescent="0.2">
      <c r="A351" t="s">
        <v>49</v>
      </c>
      <c r="B351" t="s">
        <v>75</v>
      </c>
      <c r="C351" t="s">
        <v>8</v>
      </c>
      <c r="D351" t="s">
        <v>10</v>
      </c>
      <c r="E351" t="s">
        <v>21</v>
      </c>
      <c r="F351" s="20" t="str">
        <f>INDEX(nrg_cb_e!$A$3:$A$40,MATCH(LEFT(MID(B351,43,1000),SEARCH(" - ",MID(B351,43,1000))-1),nrg_cb_e!$C$3:$C$40,0))</f>
        <v>FC_OTH_CP_E</v>
      </c>
      <c r="G351">
        <v>44190</v>
      </c>
    </row>
    <row r="352" spans="1:7" x14ac:dyDescent="0.2">
      <c r="A352" t="s">
        <v>49</v>
      </c>
      <c r="B352" t="s">
        <v>75</v>
      </c>
      <c r="C352" t="s">
        <v>8</v>
      </c>
      <c r="D352" t="s">
        <v>10</v>
      </c>
      <c r="E352" t="s">
        <v>22</v>
      </c>
      <c r="F352" s="20" t="str">
        <f>INDEX(nrg_cb_e!$A$3:$A$40,MATCH(LEFT(MID(B352,43,1000),SEARCH(" - ",MID(B352,43,1000))-1),nrg_cb_e!$C$3:$C$40,0))</f>
        <v>FC_OTH_CP_E</v>
      </c>
      <c r="G352">
        <v>44378</v>
      </c>
    </row>
    <row r="353" spans="1:7" x14ac:dyDescent="0.2">
      <c r="A353" t="s">
        <v>49</v>
      </c>
      <c r="B353" t="s">
        <v>75</v>
      </c>
      <c r="C353" t="s">
        <v>8</v>
      </c>
      <c r="D353" t="s">
        <v>10</v>
      </c>
      <c r="E353" t="s">
        <v>23</v>
      </c>
      <c r="F353" s="20" t="str">
        <f>INDEX(nrg_cb_e!$A$3:$A$40,MATCH(LEFT(MID(B353,43,1000),SEARCH(" - ",MID(B353,43,1000))-1),nrg_cb_e!$C$3:$C$40,0))</f>
        <v>FC_OTH_CP_E</v>
      </c>
      <c r="G353">
        <v>43130</v>
      </c>
    </row>
    <row r="354" spans="1:7" x14ac:dyDescent="0.2">
      <c r="A354" t="s">
        <v>49</v>
      </c>
      <c r="B354" t="s">
        <v>75</v>
      </c>
      <c r="C354" t="s">
        <v>8</v>
      </c>
      <c r="D354" t="s">
        <v>10</v>
      </c>
      <c r="E354" t="s">
        <v>24</v>
      </c>
      <c r="F354" s="20" t="str">
        <f>INDEX(nrg_cb_e!$A$3:$A$40,MATCH(LEFT(MID(B354,43,1000),SEARCH(" - ",MID(B354,43,1000))-1),nrg_cb_e!$C$3:$C$40,0))</f>
        <v>FC_OTH_CP_E</v>
      </c>
      <c r="G354">
        <v>45171.472999999998</v>
      </c>
    </row>
    <row r="355" spans="1:7" x14ac:dyDescent="0.2">
      <c r="A355" t="s">
        <v>49</v>
      </c>
      <c r="B355" t="s">
        <v>75</v>
      </c>
      <c r="C355" t="s">
        <v>8</v>
      </c>
      <c r="D355" t="s">
        <v>10</v>
      </c>
      <c r="E355" t="s">
        <v>25</v>
      </c>
      <c r="F355" s="20" t="str">
        <f>INDEX(nrg_cb_e!$A$3:$A$40,MATCH(LEFT(MID(B355,43,1000),SEARCH(" - ",MID(B355,43,1000))-1),nrg_cb_e!$C$3:$C$40,0))</f>
        <v>FC_OTH_CP_E</v>
      </c>
      <c r="G355">
        <v>45442.62</v>
      </c>
    </row>
    <row r="356" spans="1:7" x14ac:dyDescent="0.2">
      <c r="A356" t="s">
        <v>49</v>
      </c>
      <c r="B356" t="s">
        <v>75</v>
      </c>
      <c r="C356" t="s">
        <v>8</v>
      </c>
      <c r="D356" t="s">
        <v>10</v>
      </c>
      <c r="E356" t="s">
        <v>26</v>
      </c>
      <c r="F356" s="20" t="str">
        <f>INDEX(nrg_cb_e!$A$3:$A$40,MATCH(LEFT(MID(B356,43,1000),SEARCH(" - ",MID(B356,43,1000))-1),nrg_cb_e!$C$3:$C$40,0))</f>
        <v>FC_OTH_CP_E</v>
      </c>
      <c r="G356">
        <v>47799.5</v>
      </c>
    </row>
    <row r="357" spans="1:7" x14ac:dyDescent="0.2">
      <c r="A357" t="s">
        <v>49</v>
      </c>
      <c r="B357" t="s">
        <v>75</v>
      </c>
      <c r="C357" t="s">
        <v>8</v>
      </c>
      <c r="D357" t="s">
        <v>10</v>
      </c>
      <c r="E357" t="s">
        <v>27</v>
      </c>
      <c r="F357" s="20" t="str">
        <f>INDEX(nrg_cb_e!$A$3:$A$40,MATCH(LEFT(MID(B357,43,1000),SEARCH(" - ",MID(B357,43,1000))-1),nrg_cb_e!$C$3:$C$40,0))</f>
        <v>FC_OTH_CP_E</v>
      </c>
      <c r="G357">
        <v>47018.758000000002</v>
      </c>
    </row>
    <row r="358" spans="1:7" x14ac:dyDescent="0.2">
      <c r="A358" t="s">
        <v>49</v>
      </c>
      <c r="B358" t="s">
        <v>75</v>
      </c>
      <c r="C358" t="s">
        <v>8</v>
      </c>
      <c r="D358" t="s">
        <v>10</v>
      </c>
      <c r="E358" t="s">
        <v>28</v>
      </c>
      <c r="F358" s="20" t="str">
        <f>INDEX(nrg_cb_e!$A$3:$A$40,MATCH(LEFT(MID(B358,43,1000),SEARCH(" - ",MID(B358,43,1000))-1),nrg_cb_e!$C$3:$C$40,0))</f>
        <v>FC_OTH_CP_E</v>
      </c>
      <c r="G358">
        <v>49441.15</v>
      </c>
    </row>
    <row r="359" spans="1:7" x14ac:dyDescent="0.2">
      <c r="A359" t="s">
        <v>50</v>
      </c>
      <c r="B359" t="s">
        <v>75</v>
      </c>
      <c r="C359" t="s">
        <v>8</v>
      </c>
      <c r="D359" t="s">
        <v>10</v>
      </c>
      <c r="E359" t="s">
        <v>12</v>
      </c>
      <c r="F359" s="20" t="str">
        <f>INDEX(nrg_cb_e!$A$3:$A$40,MATCH(LEFT(MID(B359,43,1000),SEARCH(" - ",MID(B359,43,1000))-1),nrg_cb_e!$C$3:$C$40,0))</f>
        <v>FC_OTH_CP_E</v>
      </c>
      <c r="G359">
        <v>12363</v>
      </c>
    </row>
    <row r="360" spans="1:7" x14ac:dyDescent="0.2">
      <c r="A360" t="s">
        <v>50</v>
      </c>
      <c r="B360" t="s">
        <v>75</v>
      </c>
      <c r="C360" t="s">
        <v>8</v>
      </c>
      <c r="D360" t="s">
        <v>10</v>
      </c>
      <c r="E360" t="s">
        <v>13</v>
      </c>
      <c r="F360" s="20" t="str">
        <f>INDEX(nrg_cb_e!$A$3:$A$40,MATCH(LEFT(MID(B360,43,1000),SEARCH(" - ",MID(B360,43,1000))-1),nrg_cb_e!$C$3:$C$40,0))</f>
        <v>FC_OTH_CP_E</v>
      </c>
      <c r="G360">
        <v>13185</v>
      </c>
    </row>
    <row r="361" spans="1:7" x14ac:dyDescent="0.2">
      <c r="A361" t="s">
        <v>50</v>
      </c>
      <c r="B361" t="s">
        <v>75</v>
      </c>
      <c r="C361" t="s">
        <v>8</v>
      </c>
      <c r="D361" t="s">
        <v>10</v>
      </c>
      <c r="E361" t="s">
        <v>14</v>
      </c>
      <c r="F361" s="20" t="str">
        <f>INDEX(nrg_cb_e!$A$3:$A$40,MATCH(LEFT(MID(B361,43,1000),SEARCH(" - ",MID(B361,43,1000))-1),nrg_cb_e!$C$3:$C$40,0))</f>
        <v>FC_OTH_CP_E</v>
      </c>
      <c r="G361">
        <v>13705</v>
      </c>
    </row>
    <row r="362" spans="1:7" x14ac:dyDescent="0.2">
      <c r="A362" t="s">
        <v>50</v>
      </c>
      <c r="B362" t="s">
        <v>75</v>
      </c>
      <c r="C362" t="s">
        <v>8</v>
      </c>
      <c r="D362" t="s">
        <v>10</v>
      </c>
      <c r="E362" t="s">
        <v>15</v>
      </c>
      <c r="F362" s="20" t="str">
        <f>INDEX(nrg_cb_e!$A$3:$A$40,MATCH(LEFT(MID(B362,43,1000),SEARCH(" - ",MID(B362,43,1000))-1),nrg_cb_e!$C$3:$C$40,0))</f>
        <v>FC_OTH_CP_E</v>
      </c>
      <c r="G362">
        <v>14407</v>
      </c>
    </row>
    <row r="363" spans="1:7" x14ac:dyDescent="0.2">
      <c r="A363" t="s">
        <v>50</v>
      </c>
      <c r="B363" t="s">
        <v>75</v>
      </c>
      <c r="C363" t="s">
        <v>8</v>
      </c>
      <c r="D363" t="s">
        <v>10</v>
      </c>
      <c r="E363" t="s">
        <v>16</v>
      </c>
      <c r="F363" s="20" t="str">
        <f>INDEX(nrg_cb_e!$A$3:$A$40,MATCH(LEFT(MID(B363,43,1000),SEARCH(" - ",MID(B363,43,1000))-1),nrg_cb_e!$C$3:$C$40,0))</f>
        <v>FC_OTH_CP_E</v>
      </c>
      <c r="G363">
        <v>15240</v>
      </c>
    </row>
    <row r="364" spans="1:7" x14ac:dyDescent="0.2">
      <c r="A364" t="s">
        <v>50</v>
      </c>
      <c r="B364" t="s">
        <v>75</v>
      </c>
      <c r="C364" t="s">
        <v>8</v>
      </c>
      <c r="D364" t="s">
        <v>10</v>
      </c>
      <c r="E364" t="s">
        <v>17</v>
      </c>
      <c r="F364" s="20" t="str">
        <f>INDEX(nrg_cb_e!$A$3:$A$40,MATCH(LEFT(MID(B364,43,1000),SEARCH(" - ",MID(B364,43,1000))-1),nrg_cb_e!$C$3:$C$40,0))</f>
        <v>FC_OTH_CP_E</v>
      </c>
      <c r="G364">
        <v>15606</v>
      </c>
    </row>
    <row r="365" spans="1:7" x14ac:dyDescent="0.2">
      <c r="A365" t="s">
        <v>50</v>
      </c>
      <c r="B365" t="s">
        <v>75</v>
      </c>
      <c r="C365" t="s">
        <v>8</v>
      </c>
      <c r="D365" t="s">
        <v>10</v>
      </c>
      <c r="E365" t="s">
        <v>18</v>
      </c>
      <c r="F365" s="20" t="str">
        <f>INDEX(nrg_cb_e!$A$3:$A$40,MATCH(LEFT(MID(B365,43,1000),SEARCH(" - ",MID(B365,43,1000))-1),nrg_cb_e!$C$3:$C$40,0))</f>
        <v>FC_OTH_CP_E</v>
      </c>
      <c r="G365">
        <v>15775</v>
      </c>
    </row>
    <row r="366" spans="1:7" x14ac:dyDescent="0.2">
      <c r="A366" t="s">
        <v>50</v>
      </c>
      <c r="B366" t="s">
        <v>75</v>
      </c>
      <c r="C366" t="s">
        <v>8</v>
      </c>
      <c r="D366" t="s">
        <v>10</v>
      </c>
      <c r="E366" t="s">
        <v>19</v>
      </c>
      <c r="F366" s="20" t="str">
        <f>INDEX(nrg_cb_e!$A$3:$A$40,MATCH(LEFT(MID(B366,43,1000),SEARCH(" - ",MID(B366,43,1000))-1),nrg_cb_e!$C$3:$C$40,0))</f>
        <v>FC_OTH_CP_E</v>
      </c>
      <c r="G366">
        <v>15973</v>
      </c>
    </row>
    <row r="367" spans="1:7" x14ac:dyDescent="0.2">
      <c r="A367" t="s">
        <v>50</v>
      </c>
      <c r="B367" t="s">
        <v>75</v>
      </c>
      <c r="C367" t="s">
        <v>8</v>
      </c>
      <c r="D367" t="s">
        <v>10</v>
      </c>
      <c r="E367" t="s">
        <v>20</v>
      </c>
      <c r="F367" s="20" t="str">
        <f>INDEX(nrg_cb_e!$A$3:$A$40,MATCH(LEFT(MID(B367,43,1000),SEARCH(" - ",MID(B367,43,1000))-1),nrg_cb_e!$C$3:$C$40,0))</f>
        <v>FC_OTH_CP_E</v>
      </c>
      <c r="G367">
        <v>16397</v>
      </c>
    </row>
    <row r="368" spans="1:7" x14ac:dyDescent="0.2">
      <c r="A368" t="s">
        <v>50</v>
      </c>
      <c r="B368" t="s">
        <v>75</v>
      </c>
      <c r="C368" t="s">
        <v>8</v>
      </c>
      <c r="D368" t="s">
        <v>10</v>
      </c>
      <c r="E368" t="s">
        <v>21</v>
      </c>
      <c r="F368" s="20" t="str">
        <f>INDEX(nrg_cb_e!$A$3:$A$40,MATCH(LEFT(MID(B368,43,1000),SEARCH(" - ",MID(B368,43,1000))-1),nrg_cb_e!$C$3:$C$40,0))</f>
        <v>FC_OTH_CP_E</v>
      </c>
      <c r="G368">
        <v>16270</v>
      </c>
    </row>
    <row r="369" spans="1:7" x14ac:dyDescent="0.2">
      <c r="A369" t="s">
        <v>50</v>
      </c>
      <c r="B369" t="s">
        <v>75</v>
      </c>
      <c r="C369" t="s">
        <v>8</v>
      </c>
      <c r="D369" t="s">
        <v>10</v>
      </c>
      <c r="E369" t="s">
        <v>22</v>
      </c>
      <c r="F369" s="20" t="str">
        <f>INDEX(nrg_cb_e!$A$3:$A$40,MATCH(LEFT(MID(B369,43,1000),SEARCH(" - ",MID(B369,43,1000))-1),nrg_cb_e!$C$3:$C$40,0))</f>
        <v>FC_OTH_CP_E</v>
      </c>
      <c r="G369">
        <v>16007</v>
      </c>
    </row>
    <row r="370" spans="1:7" x14ac:dyDescent="0.2">
      <c r="A370" t="s">
        <v>50</v>
      </c>
      <c r="B370" t="s">
        <v>75</v>
      </c>
      <c r="C370" t="s">
        <v>8</v>
      </c>
      <c r="D370" t="s">
        <v>10</v>
      </c>
      <c r="E370" t="s">
        <v>23</v>
      </c>
      <c r="F370" s="20" t="str">
        <f>INDEX(nrg_cb_e!$A$3:$A$40,MATCH(LEFT(MID(B370,43,1000),SEARCH(" - ",MID(B370,43,1000))-1),nrg_cb_e!$C$3:$C$40,0))</f>
        <v>FC_OTH_CP_E</v>
      </c>
      <c r="G370">
        <v>15707</v>
      </c>
    </row>
    <row r="371" spans="1:7" x14ac:dyDescent="0.2">
      <c r="A371" t="s">
        <v>50</v>
      </c>
      <c r="B371" t="s">
        <v>75</v>
      </c>
      <c r="C371" t="s">
        <v>8</v>
      </c>
      <c r="D371" t="s">
        <v>10</v>
      </c>
      <c r="E371" t="s">
        <v>24</v>
      </c>
      <c r="F371" s="20" t="str">
        <f>INDEX(nrg_cb_e!$A$3:$A$40,MATCH(LEFT(MID(B371,43,1000),SEARCH(" - ",MID(B371,43,1000))-1),nrg_cb_e!$C$3:$C$40,0))</f>
        <v>FC_OTH_CP_E</v>
      </c>
      <c r="G371">
        <v>16756</v>
      </c>
    </row>
    <row r="372" spans="1:7" x14ac:dyDescent="0.2">
      <c r="A372" t="s">
        <v>50</v>
      </c>
      <c r="B372" t="s">
        <v>75</v>
      </c>
      <c r="C372" t="s">
        <v>8</v>
      </c>
      <c r="D372" t="s">
        <v>10</v>
      </c>
      <c r="E372" t="s">
        <v>25</v>
      </c>
      <c r="F372" s="20" t="str">
        <f>INDEX(nrg_cb_e!$A$3:$A$40,MATCH(LEFT(MID(B372,43,1000),SEARCH(" - ",MID(B372,43,1000))-1),nrg_cb_e!$C$3:$C$40,0))</f>
        <v>FC_OTH_CP_E</v>
      </c>
      <c r="G372">
        <v>17193</v>
      </c>
    </row>
    <row r="373" spans="1:7" x14ac:dyDescent="0.2">
      <c r="A373" t="s">
        <v>50</v>
      </c>
      <c r="B373" t="s">
        <v>75</v>
      </c>
      <c r="C373" t="s">
        <v>8</v>
      </c>
      <c r="D373" t="s">
        <v>10</v>
      </c>
      <c r="E373" t="s">
        <v>26</v>
      </c>
      <c r="F373" s="20" t="str">
        <f>INDEX(nrg_cb_e!$A$3:$A$40,MATCH(LEFT(MID(B373,43,1000),SEARCH(" - ",MID(B373,43,1000))-1),nrg_cb_e!$C$3:$C$40,0))</f>
        <v>FC_OTH_CP_E</v>
      </c>
      <c r="G373">
        <v>16456.566999999999</v>
      </c>
    </row>
    <row r="374" spans="1:7" x14ac:dyDescent="0.2">
      <c r="A374" t="s">
        <v>50</v>
      </c>
      <c r="B374" t="s">
        <v>75</v>
      </c>
      <c r="C374" t="s">
        <v>8</v>
      </c>
      <c r="D374" t="s">
        <v>10</v>
      </c>
      <c r="E374" t="s">
        <v>27</v>
      </c>
      <c r="F374" s="20" t="str">
        <f>INDEX(nrg_cb_e!$A$3:$A$40,MATCH(LEFT(MID(B374,43,1000),SEARCH(" - ",MID(B374,43,1000))-1),nrg_cb_e!$C$3:$C$40,0))</f>
        <v>FC_OTH_CP_E</v>
      </c>
      <c r="G374">
        <v>16369.539000000001</v>
      </c>
    </row>
    <row r="375" spans="1:7" x14ac:dyDescent="0.2">
      <c r="A375" t="s">
        <v>50</v>
      </c>
      <c r="B375" t="s">
        <v>75</v>
      </c>
      <c r="C375" t="s">
        <v>8</v>
      </c>
      <c r="D375" t="s">
        <v>10</v>
      </c>
      <c r="E375" t="s">
        <v>28</v>
      </c>
      <c r="F375" s="20" t="str">
        <f>INDEX(nrg_cb_e!$A$3:$A$40,MATCH(LEFT(MID(B375,43,1000),SEARCH(" - ",MID(B375,43,1000))-1),nrg_cb_e!$C$3:$C$40,0))</f>
        <v>FC_OTH_CP_E</v>
      </c>
      <c r="G375">
        <v>16749.644</v>
      </c>
    </row>
    <row r="376" spans="1:7" x14ac:dyDescent="0.2">
      <c r="A376" t="s">
        <v>51</v>
      </c>
      <c r="B376" t="s">
        <v>75</v>
      </c>
      <c r="C376" t="s">
        <v>8</v>
      </c>
      <c r="D376" t="s">
        <v>10</v>
      </c>
      <c r="E376" t="s">
        <v>12</v>
      </c>
      <c r="F376" s="20" t="str">
        <f>INDEX(nrg_cb_e!$A$3:$A$40,MATCH(LEFT(MID(B376,43,1000),SEARCH(" - ",MID(B376,43,1000))-1),nrg_cb_e!$C$3:$C$40,0))</f>
        <v>FC_OTH_CP_E</v>
      </c>
      <c r="G376">
        <v>2741</v>
      </c>
    </row>
    <row r="377" spans="1:7" x14ac:dyDescent="0.2">
      <c r="A377" t="s">
        <v>51</v>
      </c>
      <c r="B377" t="s">
        <v>75</v>
      </c>
      <c r="C377" t="s">
        <v>8</v>
      </c>
      <c r="D377" t="s">
        <v>10</v>
      </c>
      <c r="E377" t="s">
        <v>13</v>
      </c>
      <c r="F377" s="20" t="str">
        <f>INDEX(nrg_cb_e!$A$3:$A$40,MATCH(LEFT(MID(B377,43,1000),SEARCH(" - ",MID(B377,43,1000))-1),nrg_cb_e!$C$3:$C$40,0))</f>
        <v>FC_OTH_CP_E</v>
      </c>
      <c r="G377">
        <v>4749</v>
      </c>
    </row>
    <row r="378" spans="1:7" x14ac:dyDescent="0.2">
      <c r="A378" t="s">
        <v>51</v>
      </c>
      <c r="B378" t="s">
        <v>75</v>
      </c>
      <c r="C378" t="s">
        <v>8</v>
      </c>
      <c r="D378" t="s">
        <v>10</v>
      </c>
      <c r="E378" t="s">
        <v>14</v>
      </c>
      <c r="F378" s="20" t="str">
        <f>INDEX(nrg_cb_e!$A$3:$A$40,MATCH(LEFT(MID(B378,43,1000),SEARCH(" - ",MID(B378,43,1000))-1),nrg_cb_e!$C$3:$C$40,0))</f>
        <v>FC_OTH_CP_E</v>
      </c>
      <c r="G378">
        <v>3586</v>
      </c>
    </row>
    <row r="379" spans="1:7" x14ac:dyDescent="0.2">
      <c r="A379" t="s">
        <v>51</v>
      </c>
      <c r="B379" t="s">
        <v>75</v>
      </c>
      <c r="C379" t="s">
        <v>8</v>
      </c>
      <c r="D379" t="s">
        <v>10</v>
      </c>
      <c r="E379" t="s">
        <v>15</v>
      </c>
      <c r="F379" s="20" t="str">
        <f>INDEX(nrg_cb_e!$A$3:$A$40,MATCH(LEFT(MID(B379,43,1000),SEARCH(" - ",MID(B379,43,1000))-1),nrg_cb_e!$C$3:$C$40,0))</f>
        <v>FC_OTH_CP_E</v>
      </c>
      <c r="G379">
        <v>4000</v>
      </c>
    </row>
    <row r="380" spans="1:7" x14ac:dyDescent="0.2">
      <c r="A380" t="s">
        <v>51</v>
      </c>
      <c r="B380" t="s">
        <v>75</v>
      </c>
      <c r="C380" t="s">
        <v>8</v>
      </c>
      <c r="D380" t="s">
        <v>10</v>
      </c>
      <c r="E380" t="s">
        <v>16</v>
      </c>
      <c r="F380" s="20" t="str">
        <f>INDEX(nrg_cb_e!$A$3:$A$40,MATCH(LEFT(MID(B380,43,1000),SEARCH(" - ",MID(B380,43,1000))-1),nrg_cb_e!$C$3:$C$40,0))</f>
        <v>FC_OTH_CP_E</v>
      </c>
      <c r="G380">
        <v>4900</v>
      </c>
    </row>
    <row r="381" spans="1:7" x14ac:dyDescent="0.2">
      <c r="A381" t="s">
        <v>51</v>
      </c>
      <c r="B381" t="s">
        <v>75</v>
      </c>
      <c r="C381" t="s">
        <v>8</v>
      </c>
      <c r="D381" t="s">
        <v>10</v>
      </c>
      <c r="E381" t="s">
        <v>17</v>
      </c>
      <c r="F381" s="20" t="str">
        <f>INDEX(nrg_cb_e!$A$3:$A$40,MATCH(LEFT(MID(B381,43,1000),SEARCH(" - ",MID(B381,43,1000))-1),nrg_cb_e!$C$3:$C$40,0))</f>
        <v>FC_OTH_CP_E</v>
      </c>
      <c r="G381">
        <v>5721</v>
      </c>
    </row>
    <row r="382" spans="1:7" x14ac:dyDescent="0.2">
      <c r="A382" t="s">
        <v>51</v>
      </c>
      <c r="B382" t="s">
        <v>75</v>
      </c>
      <c r="C382" t="s">
        <v>8</v>
      </c>
      <c r="D382" t="s">
        <v>10</v>
      </c>
      <c r="E382" t="s">
        <v>18</v>
      </c>
      <c r="F382" s="20" t="str">
        <f>INDEX(nrg_cb_e!$A$3:$A$40,MATCH(LEFT(MID(B382,43,1000),SEARCH(" - ",MID(B382,43,1000))-1),nrg_cb_e!$C$3:$C$40,0))</f>
        <v>FC_OTH_CP_E</v>
      </c>
      <c r="G382">
        <v>6432</v>
      </c>
    </row>
    <row r="383" spans="1:7" x14ac:dyDescent="0.2">
      <c r="A383" t="s">
        <v>51</v>
      </c>
      <c r="B383" t="s">
        <v>75</v>
      </c>
      <c r="C383" t="s">
        <v>8</v>
      </c>
      <c r="D383" t="s">
        <v>10</v>
      </c>
      <c r="E383" t="s">
        <v>19</v>
      </c>
      <c r="F383" s="20" t="str">
        <f>INDEX(nrg_cb_e!$A$3:$A$40,MATCH(LEFT(MID(B383,43,1000),SEARCH(" - ",MID(B383,43,1000))-1),nrg_cb_e!$C$3:$C$40,0))</f>
        <v>FC_OTH_CP_E</v>
      </c>
      <c r="G383">
        <v>6526</v>
      </c>
    </row>
    <row r="384" spans="1:7" x14ac:dyDescent="0.2">
      <c r="A384" t="s">
        <v>51</v>
      </c>
      <c r="B384" t="s">
        <v>75</v>
      </c>
      <c r="C384" t="s">
        <v>8</v>
      </c>
      <c r="D384" t="s">
        <v>10</v>
      </c>
      <c r="E384" t="s">
        <v>20</v>
      </c>
      <c r="F384" s="20" t="str">
        <f>INDEX(nrg_cb_e!$A$3:$A$40,MATCH(LEFT(MID(B384,43,1000),SEARCH(" - ",MID(B384,43,1000))-1),nrg_cb_e!$C$3:$C$40,0))</f>
        <v>FC_OTH_CP_E</v>
      </c>
      <c r="G384">
        <v>7581</v>
      </c>
    </row>
    <row r="385" spans="1:7" x14ac:dyDescent="0.2">
      <c r="A385" t="s">
        <v>51</v>
      </c>
      <c r="B385" t="s">
        <v>75</v>
      </c>
      <c r="C385" t="s">
        <v>8</v>
      </c>
      <c r="D385" t="s">
        <v>10</v>
      </c>
      <c r="E385" t="s">
        <v>21</v>
      </c>
      <c r="F385" s="20" t="str">
        <f>INDEX(nrg_cb_e!$A$3:$A$40,MATCH(LEFT(MID(B385,43,1000),SEARCH(" - ",MID(B385,43,1000))-1),nrg_cb_e!$C$3:$C$40,0))</f>
        <v>FC_OTH_CP_E</v>
      </c>
      <c r="G385">
        <v>7869</v>
      </c>
    </row>
    <row r="386" spans="1:7" x14ac:dyDescent="0.2">
      <c r="A386" t="s">
        <v>51</v>
      </c>
      <c r="B386" t="s">
        <v>75</v>
      </c>
      <c r="C386" t="s">
        <v>8</v>
      </c>
      <c r="D386" t="s">
        <v>10</v>
      </c>
      <c r="E386" t="s">
        <v>22</v>
      </c>
      <c r="F386" s="20" t="str">
        <f>INDEX(nrg_cb_e!$A$3:$A$40,MATCH(LEFT(MID(B386,43,1000),SEARCH(" - ",MID(B386,43,1000))-1),nrg_cb_e!$C$3:$C$40,0))</f>
        <v>FC_OTH_CP_E</v>
      </c>
      <c r="G386">
        <v>7897</v>
      </c>
    </row>
    <row r="387" spans="1:7" x14ac:dyDescent="0.2">
      <c r="A387" t="s">
        <v>51</v>
      </c>
      <c r="B387" t="s">
        <v>75</v>
      </c>
      <c r="C387" t="s">
        <v>8</v>
      </c>
      <c r="D387" t="s">
        <v>10</v>
      </c>
      <c r="E387" t="s">
        <v>23</v>
      </c>
      <c r="F387" s="20" t="str">
        <f>INDEX(nrg_cb_e!$A$3:$A$40,MATCH(LEFT(MID(B387,43,1000),SEARCH(" - ",MID(B387,43,1000))-1),nrg_cb_e!$C$3:$C$40,0))</f>
        <v>FC_OTH_CP_E</v>
      </c>
      <c r="G387">
        <v>7961</v>
      </c>
    </row>
    <row r="388" spans="1:7" x14ac:dyDescent="0.2">
      <c r="A388" t="s">
        <v>51</v>
      </c>
      <c r="B388" t="s">
        <v>75</v>
      </c>
      <c r="C388" t="s">
        <v>8</v>
      </c>
      <c r="D388" t="s">
        <v>10</v>
      </c>
      <c r="E388" t="s">
        <v>24</v>
      </c>
      <c r="F388" s="20" t="str">
        <f>INDEX(nrg_cb_e!$A$3:$A$40,MATCH(LEFT(MID(B388,43,1000),SEARCH(" - ",MID(B388,43,1000))-1),nrg_cb_e!$C$3:$C$40,0))</f>
        <v>FC_OTH_CP_E</v>
      </c>
      <c r="G388">
        <v>8223</v>
      </c>
    </row>
    <row r="389" spans="1:7" x14ac:dyDescent="0.2">
      <c r="A389" t="s">
        <v>51</v>
      </c>
      <c r="B389" t="s">
        <v>75</v>
      </c>
      <c r="C389" t="s">
        <v>8</v>
      </c>
      <c r="D389" t="s">
        <v>10</v>
      </c>
      <c r="E389" t="s">
        <v>25</v>
      </c>
      <c r="F389" s="20" t="str">
        <f>INDEX(nrg_cb_e!$A$3:$A$40,MATCH(LEFT(MID(B389,43,1000),SEARCH(" - ",MID(B389,43,1000))-1),nrg_cb_e!$C$3:$C$40,0))</f>
        <v>FC_OTH_CP_E</v>
      </c>
      <c r="G389">
        <v>8407</v>
      </c>
    </row>
    <row r="390" spans="1:7" x14ac:dyDescent="0.2">
      <c r="A390" t="s">
        <v>51</v>
      </c>
      <c r="B390" t="s">
        <v>75</v>
      </c>
      <c r="C390" t="s">
        <v>8</v>
      </c>
      <c r="D390" t="s">
        <v>10</v>
      </c>
      <c r="E390" t="s">
        <v>26</v>
      </c>
      <c r="F390" s="20" t="str">
        <f>INDEX(nrg_cb_e!$A$3:$A$40,MATCH(LEFT(MID(B390,43,1000),SEARCH(" - ",MID(B390,43,1000))-1),nrg_cb_e!$C$3:$C$40,0))</f>
        <v>FC_OTH_CP_E</v>
      </c>
      <c r="G390">
        <v>8581</v>
      </c>
    </row>
    <row r="391" spans="1:7" x14ac:dyDescent="0.2">
      <c r="A391" t="s">
        <v>51</v>
      </c>
      <c r="B391" t="s">
        <v>75</v>
      </c>
      <c r="C391" t="s">
        <v>8</v>
      </c>
      <c r="D391" t="s">
        <v>10</v>
      </c>
      <c r="E391" t="s">
        <v>27</v>
      </c>
      <c r="F391" s="20" t="str">
        <f>INDEX(nrg_cb_e!$A$3:$A$40,MATCH(LEFT(MID(B391,43,1000),SEARCH(" - ",MID(B391,43,1000))-1),nrg_cb_e!$C$3:$C$40,0))</f>
        <v>FC_OTH_CP_E</v>
      </c>
      <c r="G391">
        <v>8547.5400000000009</v>
      </c>
    </row>
    <row r="392" spans="1:7" x14ac:dyDescent="0.2">
      <c r="A392" t="s">
        <v>51</v>
      </c>
      <c r="B392" t="s">
        <v>75</v>
      </c>
      <c r="C392" t="s">
        <v>8</v>
      </c>
      <c r="D392" t="s">
        <v>10</v>
      </c>
      <c r="E392" t="s">
        <v>28</v>
      </c>
      <c r="F392" s="20" t="str">
        <f>INDEX(nrg_cb_e!$A$3:$A$40,MATCH(LEFT(MID(B392,43,1000),SEARCH(" - ",MID(B392,43,1000))-1),nrg_cb_e!$C$3:$C$40,0))</f>
        <v>FC_OTH_CP_E</v>
      </c>
      <c r="G392">
        <v>8752.6859999999997</v>
      </c>
    </row>
    <row r="393" spans="1:7" x14ac:dyDescent="0.2">
      <c r="A393" t="s">
        <v>52</v>
      </c>
      <c r="B393" t="s">
        <v>75</v>
      </c>
      <c r="C393" t="s">
        <v>8</v>
      </c>
      <c r="D393" t="s">
        <v>10</v>
      </c>
      <c r="E393" t="s">
        <v>12</v>
      </c>
      <c r="F393" s="20" t="str">
        <f>INDEX(nrg_cb_e!$A$3:$A$40,MATCH(LEFT(MID(B393,43,1000),SEARCH(" - ",MID(B393,43,1000))-1),nrg_cb_e!$C$3:$C$40,0))</f>
        <v>FC_OTH_CP_E</v>
      </c>
      <c r="G393">
        <v>2986</v>
      </c>
    </row>
    <row r="394" spans="1:7" x14ac:dyDescent="0.2">
      <c r="A394" t="s">
        <v>52</v>
      </c>
      <c r="B394" t="s">
        <v>75</v>
      </c>
      <c r="C394" t="s">
        <v>8</v>
      </c>
      <c r="D394" t="s">
        <v>10</v>
      </c>
      <c r="E394" t="s">
        <v>13</v>
      </c>
      <c r="F394" s="20" t="str">
        <f>INDEX(nrg_cb_e!$A$3:$A$40,MATCH(LEFT(MID(B394,43,1000),SEARCH(" - ",MID(B394,43,1000))-1),nrg_cb_e!$C$3:$C$40,0))</f>
        <v>FC_OTH_CP_E</v>
      </c>
      <c r="G394">
        <v>2272</v>
      </c>
    </row>
    <row r="395" spans="1:7" x14ac:dyDescent="0.2">
      <c r="A395" t="s">
        <v>52</v>
      </c>
      <c r="B395" t="s">
        <v>75</v>
      </c>
      <c r="C395" t="s">
        <v>8</v>
      </c>
      <c r="D395" t="s">
        <v>10</v>
      </c>
      <c r="E395" t="s">
        <v>14</v>
      </c>
      <c r="F395" s="20" t="str">
        <f>INDEX(nrg_cb_e!$A$3:$A$40,MATCH(LEFT(MID(B395,43,1000),SEARCH(" - ",MID(B395,43,1000))-1),nrg_cb_e!$C$3:$C$40,0))</f>
        <v>FC_OTH_CP_E</v>
      </c>
      <c r="G395">
        <v>2589</v>
      </c>
    </row>
    <row r="396" spans="1:7" x14ac:dyDescent="0.2">
      <c r="A396" t="s">
        <v>52</v>
      </c>
      <c r="B396" t="s">
        <v>75</v>
      </c>
      <c r="C396" t="s">
        <v>8</v>
      </c>
      <c r="D396" t="s">
        <v>10</v>
      </c>
      <c r="E396" t="s">
        <v>15</v>
      </c>
      <c r="F396" s="20" t="str">
        <f>INDEX(nrg_cb_e!$A$3:$A$40,MATCH(LEFT(MID(B396,43,1000),SEARCH(" - ",MID(B396,43,1000))-1),nrg_cb_e!$C$3:$C$40,0))</f>
        <v>FC_OTH_CP_E</v>
      </c>
      <c r="G396">
        <v>2421</v>
      </c>
    </row>
    <row r="397" spans="1:7" x14ac:dyDescent="0.2">
      <c r="A397" t="s">
        <v>52</v>
      </c>
      <c r="B397" t="s">
        <v>75</v>
      </c>
      <c r="C397" t="s">
        <v>8</v>
      </c>
      <c r="D397" t="s">
        <v>10</v>
      </c>
      <c r="E397" t="s">
        <v>16</v>
      </c>
      <c r="F397" s="20" t="str">
        <f>INDEX(nrg_cb_e!$A$3:$A$40,MATCH(LEFT(MID(B397,43,1000),SEARCH(" - ",MID(B397,43,1000))-1),nrg_cb_e!$C$3:$C$40,0))</f>
        <v>FC_OTH_CP_E</v>
      </c>
      <c r="G397">
        <v>2472</v>
      </c>
    </row>
    <row r="398" spans="1:7" x14ac:dyDescent="0.2">
      <c r="A398" t="s">
        <v>52</v>
      </c>
      <c r="B398" t="s">
        <v>75</v>
      </c>
      <c r="C398" t="s">
        <v>8</v>
      </c>
      <c r="D398" t="s">
        <v>10</v>
      </c>
      <c r="E398" t="s">
        <v>17</v>
      </c>
      <c r="F398" s="20" t="str">
        <f>INDEX(nrg_cb_e!$A$3:$A$40,MATCH(LEFT(MID(B398,43,1000),SEARCH(" - ",MID(B398,43,1000))-1),nrg_cb_e!$C$3:$C$40,0))</f>
        <v>FC_OTH_CP_E</v>
      </c>
      <c r="G398">
        <v>2580</v>
      </c>
    </row>
    <row r="399" spans="1:7" x14ac:dyDescent="0.2">
      <c r="A399" t="s">
        <v>52</v>
      </c>
      <c r="B399" t="s">
        <v>75</v>
      </c>
      <c r="C399" t="s">
        <v>8</v>
      </c>
      <c r="D399" t="s">
        <v>10</v>
      </c>
      <c r="E399" t="s">
        <v>18</v>
      </c>
      <c r="F399" s="20" t="str">
        <f>INDEX(nrg_cb_e!$A$3:$A$40,MATCH(LEFT(MID(B399,43,1000),SEARCH(" - ",MID(B399,43,1000))-1),nrg_cb_e!$C$3:$C$40,0))</f>
        <v>FC_OTH_CP_E</v>
      </c>
      <c r="G399">
        <v>3117</v>
      </c>
    </row>
    <row r="400" spans="1:7" x14ac:dyDescent="0.2">
      <c r="A400" t="s">
        <v>52</v>
      </c>
      <c r="B400" t="s">
        <v>75</v>
      </c>
      <c r="C400" t="s">
        <v>8</v>
      </c>
      <c r="D400" t="s">
        <v>10</v>
      </c>
      <c r="E400" t="s">
        <v>19</v>
      </c>
      <c r="F400" s="20" t="str">
        <f>INDEX(nrg_cb_e!$A$3:$A$40,MATCH(LEFT(MID(B400,43,1000),SEARCH(" - ",MID(B400,43,1000))-1),nrg_cb_e!$C$3:$C$40,0))</f>
        <v>FC_OTH_CP_E</v>
      </c>
      <c r="G400">
        <v>3034</v>
      </c>
    </row>
    <row r="401" spans="1:7" x14ac:dyDescent="0.2">
      <c r="A401" t="s">
        <v>52</v>
      </c>
      <c r="B401" t="s">
        <v>75</v>
      </c>
      <c r="C401" t="s">
        <v>8</v>
      </c>
      <c r="D401" t="s">
        <v>10</v>
      </c>
      <c r="E401" t="s">
        <v>20</v>
      </c>
      <c r="F401" s="20" t="str">
        <f>INDEX(nrg_cb_e!$A$3:$A$40,MATCH(LEFT(MID(B401,43,1000),SEARCH(" - ",MID(B401,43,1000))-1),nrg_cb_e!$C$3:$C$40,0))</f>
        <v>FC_OTH_CP_E</v>
      </c>
      <c r="G401">
        <v>3066</v>
      </c>
    </row>
    <row r="402" spans="1:7" x14ac:dyDescent="0.2">
      <c r="A402" t="s">
        <v>52</v>
      </c>
      <c r="B402" t="s">
        <v>75</v>
      </c>
      <c r="C402" t="s">
        <v>8</v>
      </c>
      <c r="D402" t="s">
        <v>10</v>
      </c>
      <c r="E402" t="s">
        <v>21</v>
      </c>
      <c r="F402" s="20" t="str">
        <f>INDEX(nrg_cb_e!$A$3:$A$40,MATCH(LEFT(MID(B402,43,1000),SEARCH(" - ",MID(B402,43,1000))-1),nrg_cb_e!$C$3:$C$40,0))</f>
        <v>FC_OTH_CP_E</v>
      </c>
      <c r="G402">
        <v>3261</v>
      </c>
    </row>
    <row r="403" spans="1:7" x14ac:dyDescent="0.2">
      <c r="A403" t="s">
        <v>52</v>
      </c>
      <c r="B403" t="s">
        <v>75</v>
      </c>
      <c r="C403" t="s">
        <v>8</v>
      </c>
      <c r="D403" t="s">
        <v>10</v>
      </c>
      <c r="E403" t="s">
        <v>22</v>
      </c>
      <c r="F403" s="20" t="str">
        <f>INDEX(nrg_cb_e!$A$3:$A$40,MATCH(LEFT(MID(B403,43,1000),SEARCH(" - ",MID(B403,43,1000))-1),nrg_cb_e!$C$3:$C$40,0))</f>
        <v>FC_OTH_CP_E</v>
      </c>
      <c r="G403">
        <v>3168</v>
      </c>
    </row>
    <row r="404" spans="1:7" x14ac:dyDescent="0.2">
      <c r="A404" t="s">
        <v>52</v>
      </c>
      <c r="B404" t="s">
        <v>75</v>
      </c>
      <c r="C404" t="s">
        <v>8</v>
      </c>
      <c r="D404" t="s">
        <v>10</v>
      </c>
      <c r="E404" t="s">
        <v>23</v>
      </c>
      <c r="F404" s="20" t="str">
        <f>INDEX(nrg_cb_e!$A$3:$A$40,MATCH(LEFT(MID(B404,43,1000),SEARCH(" - ",MID(B404,43,1000))-1),nrg_cb_e!$C$3:$C$40,0))</f>
        <v>FC_OTH_CP_E</v>
      </c>
      <c r="G404">
        <v>3218</v>
      </c>
    </row>
    <row r="405" spans="1:7" x14ac:dyDescent="0.2">
      <c r="A405" t="s">
        <v>52</v>
      </c>
      <c r="B405" t="s">
        <v>75</v>
      </c>
      <c r="C405" t="s">
        <v>8</v>
      </c>
      <c r="D405" t="s">
        <v>10</v>
      </c>
      <c r="E405" t="s">
        <v>24</v>
      </c>
      <c r="F405" s="20" t="str">
        <f>INDEX(nrg_cb_e!$A$3:$A$40,MATCH(LEFT(MID(B405,43,1000),SEARCH(" - ",MID(B405,43,1000))-1),nrg_cb_e!$C$3:$C$40,0))</f>
        <v>FC_OTH_CP_E</v>
      </c>
      <c r="G405">
        <v>3141</v>
      </c>
    </row>
    <row r="406" spans="1:7" x14ac:dyDescent="0.2">
      <c r="A406" t="s">
        <v>52</v>
      </c>
      <c r="B406" t="s">
        <v>75</v>
      </c>
      <c r="C406" t="s">
        <v>8</v>
      </c>
      <c r="D406" t="s">
        <v>10</v>
      </c>
      <c r="E406" t="s">
        <v>25</v>
      </c>
      <c r="F406" s="20" t="str">
        <f>INDEX(nrg_cb_e!$A$3:$A$40,MATCH(LEFT(MID(B406,43,1000),SEARCH(" - ",MID(B406,43,1000))-1),nrg_cb_e!$C$3:$C$40,0))</f>
        <v>FC_OTH_CP_E</v>
      </c>
      <c r="G406">
        <v>3232</v>
      </c>
    </row>
    <row r="407" spans="1:7" x14ac:dyDescent="0.2">
      <c r="A407" t="s">
        <v>52</v>
      </c>
      <c r="B407" t="s">
        <v>75</v>
      </c>
      <c r="C407" t="s">
        <v>8</v>
      </c>
      <c r="D407" t="s">
        <v>10</v>
      </c>
      <c r="E407" t="s">
        <v>26</v>
      </c>
      <c r="F407" s="20" t="str">
        <f>INDEX(nrg_cb_e!$A$3:$A$40,MATCH(LEFT(MID(B407,43,1000),SEARCH(" - ",MID(B407,43,1000))-1),nrg_cb_e!$C$3:$C$40,0))</f>
        <v>FC_OTH_CP_E</v>
      </c>
      <c r="G407">
        <v>3365</v>
      </c>
    </row>
    <row r="408" spans="1:7" x14ac:dyDescent="0.2">
      <c r="A408" t="s">
        <v>52</v>
      </c>
      <c r="B408" t="s">
        <v>75</v>
      </c>
      <c r="C408" t="s">
        <v>8</v>
      </c>
      <c r="D408" t="s">
        <v>10</v>
      </c>
      <c r="E408" t="s">
        <v>27</v>
      </c>
      <c r="F408" s="20" t="str">
        <f>INDEX(nrg_cb_e!$A$3:$A$40,MATCH(LEFT(MID(B408,43,1000),SEARCH(" - ",MID(B408,43,1000))-1),nrg_cb_e!$C$3:$C$40,0))</f>
        <v>FC_OTH_CP_E</v>
      </c>
      <c r="G408">
        <v>3523.8670000000002</v>
      </c>
    </row>
    <row r="409" spans="1:7" x14ac:dyDescent="0.2">
      <c r="A409" t="s">
        <v>52</v>
      </c>
      <c r="B409" t="s">
        <v>75</v>
      </c>
      <c r="C409" t="s">
        <v>8</v>
      </c>
      <c r="D409" t="s">
        <v>10</v>
      </c>
      <c r="E409" t="s">
        <v>28</v>
      </c>
      <c r="F409" s="20" t="str">
        <f>INDEX(nrg_cb_e!$A$3:$A$40,MATCH(LEFT(MID(B409,43,1000),SEARCH(" - ",MID(B409,43,1000))-1),nrg_cb_e!$C$3:$C$40,0))</f>
        <v>FC_OTH_CP_E</v>
      </c>
      <c r="G409">
        <v>3269.0990000000002</v>
      </c>
    </row>
    <row r="410" spans="1:7" x14ac:dyDescent="0.2">
      <c r="A410" t="s">
        <v>53</v>
      </c>
      <c r="B410" t="s">
        <v>75</v>
      </c>
      <c r="C410" t="s">
        <v>8</v>
      </c>
      <c r="D410" t="s">
        <v>10</v>
      </c>
      <c r="E410" t="s">
        <v>12</v>
      </c>
      <c r="F410" s="20" t="str">
        <f>INDEX(nrg_cb_e!$A$3:$A$40,MATCH(LEFT(MID(B410,43,1000),SEARCH(" - ",MID(B410,43,1000))-1),nrg_cb_e!$C$3:$C$40,0))</f>
        <v>FC_OTH_CP_E</v>
      </c>
      <c r="G410">
        <v>7350</v>
      </c>
    </row>
    <row r="411" spans="1:7" x14ac:dyDescent="0.2">
      <c r="A411" t="s">
        <v>53</v>
      </c>
      <c r="B411" t="s">
        <v>75</v>
      </c>
      <c r="C411" t="s">
        <v>8</v>
      </c>
      <c r="D411" t="s">
        <v>10</v>
      </c>
      <c r="E411" t="s">
        <v>13</v>
      </c>
      <c r="F411" s="20" t="str">
        <f>INDEX(nrg_cb_e!$A$3:$A$40,MATCH(LEFT(MID(B411,43,1000),SEARCH(" - ",MID(B411,43,1000))-1),nrg_cb_e!$C$3:$C$40,0))</f>
        <v>FC_OTH_CP_E</v>
      </c>
      <c r="G411">
        <v>6471</v>
      </c>
    </row>
    <row r="412" spans="1:7" x14ac:dyDescent="0.2">
      <c r="A412" t="s">
        <v>53</v>
      </c>
      <c r="B412" t="s">
        <v>75</v>
      </c>
      <c r="C412" t="s">
        <v>8</v>
      </c>
      <c r="D412" t="s">
        <v>10</v>
      </c>
      <c r="E412" t="s">
        <v>14</v>
      </c>
      <c r="F412" s="20" t="str">
        <f>INDEX(nrg_cb_e!$A$3:$A$40,MATCH(LEFT(MID(B412,43,1000),SEARCH(" - ",MID(B412,43,1000))-1),nrg_cb_e!$C$3:$C$40,0))</f>
        <v>FC_OTH_CP_E</v>
      </c>
      <c r="G412">
        <v>7353</v>
      </c>
    </row>
    <row r="413" spans="1:7" x14ac:dyDescent="0.2">
      <c r="A413" t="s">
        <v>53</v>
      </c>
      <c r="B413" t="s">
        <v>75</v>
      </c>
      <c r="C413" t="s">
        <v>8</v>
      </c>
      <c r="D413" t="s">
        <v>10</v>
      </c>
      <c r="E413" t="s">
        <v>15</v>
      </c>
      <c r="F413" s="20" t="str">
        <f>INDEX(nrg_cb_e!$A$3:$A$40,MATCH(LEFT(MID(B413,43,1000),SEARCH(" - ",MID(B413,43,1000))-1),nrg_cb_e!$C$3:$C$40,0))</f>
        <v>FC_OTH_CP_E</v>
      </c>
      <c r="G413">
        <v>6151</v>
      </c>
    </row>
    <row r="414" spans="1:7" x14ac:dyDescent="0.2">
      <c r="A414" t="s">
        <v>53</v>
      </c>
      <c r="B414" t="s">
        <v>75</v>
      </c>
      <c r="C414" t="s">
        <v>8</v>
      </c>
      <c r="D414" t="s">
        <v>10</v>
      </c>
      <c r="E414" t="s">
        <v>16</v>
      </c>
      <c r="F414" s="20" t="str">
        <f>INDEX(nrg_cb_e!$A$3:$A$40,MATCH(LEFT(MID(B414,43,1000),SEARCH(" - ",MID(B414,43,1000))-1),nrg_cb_e!$C$3:$C$40,0))</f>
        <v>FC_OTH_CP_E</v>
      </c>
      <c r="G414">
        <v>6267</v>
      </c>
    </row>
    <row r="415" spans="1:7" x14ac:dyDescent="0.2">
      <c r="A415" t="s">
        <v>53</v>
      </c>
      <c r="B415" t="s">
        <v>75</v>
      </c>
      <c r="C415" t="s">
        <v>8</v>
      </c>
      <c r="D415" t="s">
        <v>10</v>
      </c>
      <c r="E415" t="s">
        <v>17</v>
      </c>
      <c r="F415" s="20" t="str">
        <f>INDEX(nrg_cb_e!$A$3:$A$40,MATCH(LEFT(MID(B415,43,1000),SEARCH(" - ",MID(B415,43,1000))-1),nrg_cb_e!$C$3:$C$40,0))</f>
        <v>FC_OTH_CP_E</v>
      </c>
      <c r="G415">
        <v>6844</v>
      </c>
    </row>
    <row r="416" spans="1:7" x14ac:dyDescent="0.2">
      <c r="A416" t="s">
        <v>53</v>
      </c>
      <c r="B416" t="s">
        <v>75</v>
      </c>
      <c r="C416" t="s">
        <v>8</v>
      </c>
      <c r="D416" t="s">
        <v>10</v>
      </c>
      <c r="E416" t="s">
        <v>18</v>
      </c>
      <c r="F416" s="20" t="str">
        <f>INDEX(nrg_cb_e!$A$3:$A$40,MATCH(LEFT(MID(B416,43,1000),SEARCH(" - ",MID(B416,43,1000))-1),nrg_cb_e!$C$3:$C$40,0))</f>
        <v>FC_OTH_CP_E</v>
      </c>
      <c r="G416">
        <v>6790</v>
      </c>
    </row>
    <row r="417" spans="1:7" x14ac:dyDescent="0.2">
      <c r="A417" t="s">
        <v>53</v>
      </c>
      <c r="B417" t="s">
        <v>75</v>
      </c>
      <c r="C417" t="s">
        <v>8</v>
      </c>
      <c r="D417" t="s">
        <v>10</v>
      </c>
      <c r="E417" t="s">
        <v>19</v>
      </c>
      <c r="F417" s="20" t="str">
        <f>INDEX(nrg_cb_e!$A$3:$A$40,MATCH(LEFT(MID(B417,43,1000),SEARCH(" - ",MID(B417,43,1000))-1),nrg_cb_e!$C$3:$C$40,0))</f>
        <v>FC_OTH_CP_E</v>
      </c>
      <c r="G417">
        <v>7079</v>
      </c>
    </row>
    <row r="418" spans="1:7" x14ac:dyDescent="0.2">
      <c r="A418" t="s">
        <v>53</v>
      </c>
      <c r="B418" t="s">
        <v>75</v>
      </c>
      <c r="C418" t="s">
        <v>8</v>
      </c>
      <c r="D418" t="s">
        <v>10</v>
      </c>
      <c r="E418" t="s">
        <v>20</v>
      </c>
      <c r="F418" s="20" t="str">
        <f>INDEX(nrg_cb_e!$A$3:$A$40,MATCH(LEFT(MID(B418,43,1000),SEARCH(" - ",MID(B418,43,1000))-1),nrg_cb_e!$C$3:$C$40,0))</f>
        <v>FC_OTH_CP_E</v>
      </c>
      <c r="G418">
        <v>8014</v>
      </c>
    </row>
    <row r="419" spans="1:7" x14ac:dyDescent="0.2">
      <c r="A419" t="s">
        <v>53</v>
      </c>
      <c r="B419" t="s">
        <v>75</v>
      </c>
      <c r="C419" t="s">
        <v>8</v>
      </c>
      <c r="D419" t="s">
        <v>10</v>
      </c>
      <c r="E419" t="s">
        <v>21</v>
      </c>
      <c r="F419" s="20" t="str">
        <f>INDEX(nrg_cb_e!$A$3:$A$40,MATCH(LEFT(MID(B419,43,1000),SEARCH(" - ",MID(B419,43,1000))-1),nrg_cb_e!$C$3:$C$40,0))</f>
        <v>FC_OTH_CP_E</v>
      </c>
      <c r="G419">
        <v>8232</v>
      </c>
    </row>
    <row r="420" spans="1:7" x14ac:dyDescent="0.2">
      <c r="A420" t="s">
        <v>53</v>
      </c>
      <c r="B420" t="s">
        <v>75</v>
      </c>
      <c r="C420" t="s">
        <v>8</v>
      </c>
      <c r="D420" t="s">
        <v>10</v>
      </c>
      <c r="E420" t="s">
        <v>22</v>
      </c>
      <c r="F420" s="20" t="str">
        <f>INDEX(nrg_cb_e!$A$3:$A$40,MATCH(LEFT(MID(B420,43,1000),SEARCH(" - ",MID(B420,43,1000))-1),nrg_cb_e!$C$3:$C$40,0))</f>
        <v>FC_OTH_CP_E</v>
      </c>
      <c r="G420">
        <v>6450</v>
      </c>
    </row>
    <row r="421" spans="1:7" x14ac:dyDescent="0.2">
      <c r="A421" t="s">
        <v>53</v>
      </c>
      <c r="B421" t="s">
        <v>75</v>
      </c>
      <c r="C421" t="s">
        <v>8</v>
      </c>
      <c r="D421" t="s">
        <v>10</v>
      </c>
      <c r="E421" t="s">
        <v>23</v>
      </c>
      <c r="F421" s="20" t="str">
        <f>INDEX(nrg_cb_e!$A$3:$A$40,MATCH(LEFT(MID(B421,43,1000),SEARCH(" - ",MID(B421,43,1000))-1),nrg_cb_e!$C$3:$C$40,0))</f>
        <v>FC_OTH_CP_E</v>
      </c>
      <c r="G421">
        <v>7549</v>
      </c>
    </row>
    <row r="422" spans="1:7" x14ac:dyDescent="0.2">
      <c r="A422" t="s">
        <v>53</v>
      </c>
      <c r="B422" t="s">
        <v>75</v>
      </c>
      <c r="C422" t="s">
        <v>8</v>
      </c>
      <c r="D422" t="s">
        <v>10</v>
      </c>
      <c r="E422" t="s">
        <v>24</v>
      </c>
      <c r="F422" s="20" t="str">
        <f>INDEX(nrg_cb_e!$A$3:$A$40,MATCH(LEFT(MID(B422,43,1000),SEARCH(" - ",MID(B422,43,1000))-1),nrg_cb_e!$C$3:$C$40,0))</f>
        <v>FC_OTH_CP_E</v>
      </c>
      <c r="G422">
        <v>6145</v>
      </c>
    </row>
    <row r="423" spans="1:7" x14ac:dyDescent="0.2">
      <c r="A423" t="s">
        <v>53</v>
      </c>
      <c r="B423" t="s">
        <v>75</v>
      </c>
      <c r="C423" t="s">
        <v>8</v>
      </c>
      <c r="D423" t="s">
        <v>10</v>
      </c>
      <c r="E423" t="s">
        <v>25</v>
      </c>
      <c r="F423" s="20" t="str">
        <f>INDEX(nrg_cb_e!$A$3:$A$40,MATCH(LEFT(MID(B423,43,1000),SEARCH(" - ",MID(B423,43,1000))-1),nrg_cb_e!$C$3:$C$40,0))</f>
        <v>FC_OTH_CP_E</v>
      </c>
      <c r="G423">
        <v>6866</v>
      </c>
    </row>
    <row r="424" spans="1:7" x14ac:dyDescent="0.2">
      <c r="A424" t="s">
        <v>53</v>
      </c>
      <c r="B424" t="s">
        <v>75</v>
      </c>
      <c r="C424" t="s">
        <v>8</v>
      </c>
      <c r="D424" t="s">
        <v>10</v>
      </c>
      <c r="E424" t="s">
        <v>26</v>
      </c>
      <c r="F424" s="20" t="str">
        <f>INDEX(nrg_cb_e!$A$3:$A$40,MATCH(LEFT(MID(B424,43,1000),SEARCH(" - ",MID(B424,43,1000))-1),nrg_cb_e!$C$3:$C$40,0))</f>
        <v>FC_OTH_CP_E</v>
      </c>
      <c r="G424">
        <v>6946</v>
      </c>
    </row>
    <row r="425" spans="1:7" x14ac:dyDescent="0.2">
      <c r="A425" t="s">
        <v>53</v>
      </c>
      <c r="B425" t="s">
        <v>75</v>
      </c>
      <c r="C425" t="s">
        <v>8</v>
      </c>
      <c r="D425" t="s">
        <v>10</v>
      </c>
      <c r="E425" t="s">
        <v>27</v>
      </c>
      <c r="F425" s="20" t="str">
        <f>INDEX(nrg_cb_e!$A$3:$A$40,MATCH(LEFT(MID(B425,43,1000),SEARCH(" - ",MID(B425,43,1000))-1),nrg_cb_e!$C$3:$C$40,0))</f>
        <v>FC_OTH_CP_E</v>
      </c>
      <c r="G425">
        <v>7674</v>
      </c>
    </row>
    <row r="426" spans="1:7" x14ac:dyDescent="0.2">
      <c r="A426" t="s">
        <v>53</v>
      </c>
      <c r="B426" t="s">
        <v>75</v>
      </c>
      <c r="C426" t="s">
        <v>8</v>
      </c>
      <c r="D426" t="s">
        <v>10</v>
      </c>
      <c r="E426" t="s">
        <v>28</v>
      </c>
      <c r="F426" s="20" t="str">
        <f>INDEX(nrg_cb_e!$A$3:$A$40,MATCH(LEFT(MID(B426,43,1000),SEARCH(" - ",MID(B426,43,1000))-1),nrg_cb_e!$C$3:$C$40,0))</f>
        <v>FC_OTH_CP_E</v>
      </c>
      <c r="G426">
        <v>7218</v>
      </c>
    </row>
    <row r="427" spans="1:7" x14ac:dyDescent="0.2">
      <c r="A427" t="s">
        <v>54</v>
      </c>
      <c r="B427" t="s">
        <v>75</v>
      </c>
      <c r="C427" t="s">
        <v>8</v>
      </c>
      <c r="D427" t="s">
        <v>10</v>
      </c>
      <c r="E427" t="s">
        <v>12</v>
      </c>
      <c r="F427" s="20" t="str">
        <f>INDEX(nrg_cb_e!$A$3:$A$40,MATCH(LEFT(MID(B427,43,1000),SEARCH(" - ",MID(B427,43,1000))-1),nrg_cb_e!$C$3:$C$40,0))</f>
        <v>FC_OTH_CP_E</v>
      </c>
      <c r="G427">
        <v>14646</v>
      </c>
    </row>
    <row r="428" spans="1:7" x14ac:dyDescent="0.2">
      <c r="A428" t="s">
        <v>54</v>
      </c>
      <c r="B428" t="s">
        <v>75</v>
      </c>
      <c r="C428" t="s">
        <v>8</v>
      </c>
      <c r="D428" t="s">
        <v>10</v>
      </c>
      <c r="E428" t="s">
        <v>13</v>
      </c>
      <c r="F428" s="20" t="str">
        <f>INDEX(nrg_cb_e!$A$3:$A$40,MATCH(LEFT(MID(B428,43,1000),SEARCH(" - ",MID(B428,43,1000))-1),nrg_cb_e!$C$3:$C$40,0))</f>
        <v>FC_OTH_CP_E</v>
      </c>
      <c r="G428">
        <v>14673</v>
      </c>
    </row>
    <row r="429" spans="1:7" x14ac:dyDescent="0.2">
      <c r="A429" t="s">
        <v>54</v>
      </c>
      <c r="B429" t="s">
        <v>75</v>
      </c>
      <c r="C429" t="s">
        <v>8</v>
      </c>
      <c r="D429" t="s">
        <v>10</v>
      </c>
      <c r="E429" t="s">
        <v>14</v>
      </c>
      <c r="F429" s="20" t="str">
        <f>INDEX(nrg_cb_e!$A$3:$A$40,MATCH(LEFT(MID(B429,43,1000),SEARCH(" - ",MID(B429,43,1000))-1),nrg_cb_e!$C$3:$C$40,0))</f>
        <v>FC_OTH_CP_E</v>
      </c>
      <c r="G429">
        <v>15173</v>
      </c>
    </row>
    <row r="430" spans="1:7" x14ac:dyDescent="0.2">
      <c r="A430" t="s">
        <v>54</v>
      </c>
      <c r="B430" t="s">
        <v>75</v>
      </c>
      <c r="C430" t="s">
        <v>8</v>
      </c>
      <c r="D430" t="s">
        <v>10</v>
      </c>
      <c r="E430" t="s">
        <v>15</v>
      </c>
      <c r="F430" s="20" t="str">
        <f>INDEX(nrg_cb_e!$A$3:$A$40,MATCH(LEFT(MID(B430,43,1000),SEARCH(" - ",MID(B430,43,1000))-1),nrg_cb_e!$C$3:$C$40,0))</f>
        <v>FC_OTH_CP_E</v>
      </c>
      <c r="G430">
        <v>15523</v>
      </c>
    </row>
    <row r="431" spans="1:7" x14ac:dyDescent="0.2">
      <c r="A431" t="s">
        <v>54</v>
      </c>
      <c r="B431" t="s">
        <v>75</v>
      </c>
      <c r="C431" t="s">
        <v>8</v>
      </c>
      <c r="D431" t="s">
        <v>10</v>
      </c>
      <c r="E431" t="s">
        <v>16</v>
      </c>
      <c r="F431" s="20" t="str">
        <f>INDEX(nrg_cb_e!$A$3:$A$40,MATCH(LEFT(MID(B431,43,1000),SEARCH(" - ",MID(B431,43,1000))-1),nrg_cb_e!$C$3:$C$40,0))</f>
        <v>FC_OTH_CP_E</v>
      </c>
      <c r="G431">
        <v>15937</v>
      </c>
    </row>
    <row r="432" spans="1:7" x14ac:dyDescent="0.2">
      <c r="A432" t="s">
        <v>54</v>
      </c>
      <c r="B432" t="s">
        <v>75</v>
      </c>
      <c r="C432" t="s">
        <v>8</v>
      </c>
      <c r="D432" t="s">
        <v>10</v>
      </c>
      <c r="E432" t="s">
        <v>17</v>
      </c>
      <c r="F432" s="20" t="str">
        <f>INDEX(nrg_cb_e!$A$3:$A$40,MATCH(LEFT(MID(B432,43,1000),SEARCH(" - ",MID(B432,43,1000))-1),nrg_cb_e!$C$3:$C$40,0))</f>
        <v>FC_OTH_CP_E</v>
      </c>
      <c r="G432">
        <v>16200</v>
      </c>
    </row>
    <row r="433" spans="1:7" x14ac:dyDescent="0.2">
      <c r="A433" t="s">
        <v>54</v>
      </c>
      <c r="B433" t="s">
        <v>75</v>
      </c>
      <c r="C433" t="s">
        <v>8</v>
      </c>
      <c r="D433" t="s">
        <v>10</v>
      </c>
      <c r="E433" t="s">
        <v>18</v>
      </c>
      <c r="F433" s="20" t="str">
        <f>INDEX(nrg_cb_e!$A$3:$A$40,MATCH(LEFT(MID(B433,43,1000),SEARCH(" - ",MID(B433,43,1000))-1),nrg_cb_e!$C$3:$C$40,0))</f>
        <v>FC_OTH_CP_E</v>
      </c>
      <c r="G433">
        <v>16549</v>
      </c>
    </row>
    <row r="434" spans="1:7" x14ac:dyDescent="0.2">
      <c r="A434" t="s">
        <v>54</v>
      </c>
      <c r="B434" t="s">
        <v>75</v>
      </c>
      <c r="C434" t="s">
        <v>8</v>
      </c>
      <c r="D434" t="s">
        <v>10</v>
      </c>
      <c r="E434" t="s">
        <v>19</v>
      </c>
      <c r="F434" s="20" t="str">
        <f>INDEX(nrg_cb_e!$A$3:$A$40,MATCH(LEFT(MID(B434,43,1000),SEARCH(" - ",MID(B434,43,1000))-1),nrg_cb_e!$C$3:$C$40,0))</f>
        <v>FC_OTH_CP_E</v>
      </c>
      <c r="G434">
        <v>17254</v>
      </c>
    </row>
    <row r="435" spans="1:7" x14ac:dyDescent="0.2">
      <c r="A435" t="s">
        <v>54</v>
      </c>
      <c r="B435" t="s">
        <v>75</v>
      </c>
      <c r="C435" t="s">
        <v>8</v>
      </c>
      <c r="D435" t="s">
        <v>10</v>
      </c>
      <c r="E435" t="s">
        <v>20</v>
      </c>
      <c r="F435" s="20" t="str">
        <f>INDEX(nrg_cb_e!$A$3:$A$40,MATCH(LEFT(MID(B435,43,1000),SEARCH(" - ",MID(B435,43,1000))-1),nrg_cb_e!$C$3:$C$40,0))</f>
        <v>FC_OTH_CP_E</v>
      </c>
      <c r="G435">
        <v>17846</v>
      </c>
    </row>
    <row r="436" spans="1:7" x14ac:dyDescent="0.2">
      <c r="A436" t="s">
        <v>54</v>
      </c>
      <c r="B436" t="s">
        <v>75</v>
      </c>
      <c r="C436" t="s">
        <v>8</v>
      </c>
      <c r="D436" t="s">
        <v>10</v>
      </c>
      <c r="E436" t="s">
        <v>21</v>
      </c>
      <c r="F436" s="20" t="str">
        <f>INDEX(nrg_cb_e!$A$3:$A$40,MATCH(LEFT(MID(B436,43,1000),SEARCH(" - ",MID(B436,43,1000))-1),nrg_cb_e!$C$3:$C$40,0))</f>
        <v>FC_OTH_CP_E</v>
      </c>
      <c r="G436">
        <v>17263</v>
      </c>
    </row>
    <row r="437" spans="1:7" x14ac:dyDescent="0.2">
      <c r="A437" t="s">
        <v>54</v>
      </c>
      <c r="B437" t="s">
        <v>75</v>
      </c>
      <c r="C437" t="s">
        <v>8</v>
      </c>
      <c r="D437" t="s">
        <v>10</v>
      </c>
      <c r="E437" t="s">
        <v>22</v>
      </c>
      <c r="F437" s="20" t="str">
        <f>INDEX(nrg_cb_e!$A$3:$A$40,MATCH(LEFT(MID(B437,43,1000),SEARCH(" - ",MID(B437,43,1000))-1),nrg_cb_e!$C$3:$C$40,0))</f>
        <v>FC_OTH_CP_E</v>
      </c>
      <c r="G437">
        <v>17857</v>
      </c>
    </row>
    <row r="438" spans="1:7" x14ac:dyDescent="0.2">
      <c r="A438" t="s">
        <v>54</v>
      </c>
      <c r="B438" t="s">
        <v>75</v>
      </c>
      <c r="C438" t="s">
        <v>8</v>
      </c>
      <c r="D438" t="s">
        <v>10</v>
      </c>
      <c r="E438" t="s">
        <v>23</v>
      </c>
      <c r="F438" s="20" t="str">
        <f>INDEX(nrg_cb_e!$A$3:$A$40,MATCH(LEFT(MID(B438,43,1000),SEARCH(" - ",MID(B438,43,1000))-1),nrg_cb_e!$C$3:$C$40,0))</f>
        <v>FC_OTH_CP_E</v>
      </c>
      <c r="G438">
        <v>17505</v>
      </c>
    </row>
    <row r="439" spans="1:7" x14ac:dyDescent="0.2">
      <c r="A439" t="s">
        <v>54</v>
      </c>
      <c r="B439" t="s">
        <v>75</v>
      </c>
      <c r="C439" t="s">
        <v>8</v>
      </c>
      <c r="D439" t="s">
        <v>10</v>
      </c>
      <c r="E439" t="s">
        <v>24</v>
      </c>
      <c r="F439" s="20" t="str">
        <f>INDEX(nrg_cb_e!$A$3:$A$40,MATCH(LEFT(MID(B439,43,1000),SEARCH(" - ",MID(B439,43,1000))-1),nrg_cb_e!$C$3:$C$40,0))</f>
        <v>FC_OTH_CP_E</v>
      </c>
      <c r="G439">
        <v>17459</v>
      </c>
    </row>
    <row r="440" spans="1:7" x14ac:dyDescent="0.2">
      <c r="A440" t="s">
        <v>54</v>
      </c>
      <c r="B440" t="s">
        <v>75</v>
      </c>
      <c r="C440" t="s">
        <v>8</v>
      </c>
      <c r="D440" t="s">
        <v>10</v>
      </c>
      <c r="E440" t="s">
        <v>25</v>
      </c>
      <c r="F440" s="20" t="str">
        <f>INDEX(nrg_cb_e!$A$3:$A$40,MATCH(LEFT(MID(B440,43,1000),SEARCH(" - ",MID(B440,43,1000))-1),nrg_cb_e!$C$3:$C$40,0))</f>
        <v>FC_OTH_CP_E</v>
      </c>
      <c r="G440">
        <v>17450</v>
      </c>
    </row>
    <row r="441" spans="1:7" x14ac:dyDescent="0.2">
      <c r="A441" t="s">
        <v>54</v>
      </c>
      <c r="B441" t="s">
        <v>75</v>
      </c>
      <c r="C441" t="s">
        <v>8</v>
      </c>
      <c r="D441" t="s">
        <v>10</v>
      </c>
      <c r="E441" t="s">
        <v>26</v>
      </c>
      <c r="F441" s="20" t="str">
        <f>INDEX(nrg_cb_e!$A$3:$A$40,MATCH(LEFT(MID(B441,43,1000),SEARCH(" - ",MID(B441,43,1000))-1),nrg_cb_e!$C$3:$C$40,0))</f>
        <v>FC_OTH_CP_E</v>
      </c>
      <c r="G441">
        <v>17645</v>
      </c>
    </row>
    <row r="442" spans="1:7" x14ac:dyDescent="0.2">
      <c r="A442" t="s">
        <v>54</v>
      </c>
      <c r="B442" t="s">
        <v>75</v>
      </c>
      <c r="C442" t="s">
        <v>8</v>
      </c>
      <c r="D442" t="s">
        <v>10</v>
      </c>
      <c r="E442" t="s">
        <v>27</v>
      </c>
      <c r="F442" s="20" t="str">
        <f>INDEX(nrg_cb_e!$A$3:$A$40,MATCH(LEFT(MID(B442,43,1000),SEARCH(" - ",MID(B442,43,1000))-1),nrg_cb_e!$C$3:$C$40,0))</f>
        <v>FC_OTH_CP_E</v>
      </c>
      <c r="G442">
        <v>17520</v>
      </c>
    </row>
    <row r="443" spans="1:7" x14ac:dyDescent="0.2">
      <c r="A443" t="s">
        <v>54</v>
      </c>
      <c r="B443" t="s">
        <v>75</v>
      </c>
      <c r="C443" t="s">
        <v>8</v>
      </c>
      <c r="D443" t="s">
        <v>10</v>
      </c>
      <c r="E443" t="s">
        <v>28</v>
      </c>
      <c r="F443" s="20" t="str">
        <f>INDEX(nrg_cb_e!$A$3:$A$40,MATCH(LEFT(MID(B443,43,1000),SEARCH(" - ",MID(B443,43,1000))-1),nrg_cb_e!$C$3:$C$40,0))</f>
        <v>FC_OTH_CP_E</v>
      </c>
      <c r="G443">
        <v>18200</v>
      </c>
    </row>
    <row r="444" spans="1:7" x14ac:dyDescent="0.2">
      <c r="A444" t="s">
        <v>55</v>
      </c>
      <c r="B444" t="s">
        <v>75</v>
      </c>
      <c r="C444" t="s">
        <v>8</v>
      </c>
      <c r="D444" t="s">
        <v>10</v>
      </c>
      <c r="E444" t="s">
        <v>12</v>
      </c>
      <c r="F444" s="20" t="str">
        <f>INDEX(nrg_cb_e!$A$3:$A$40,MATCH(LEFT(MID(B444,43,1000),SEARCH(" - ",MID(B444,43,1000))-1),nrg_cb_e!$C$3:$C$40,0))</f>
        <v>FC_OTH_CP_E</v>
      </c>
      <c r="G444">
        <v>28002</v>
      </c>
    </row>
    <row r="445" spans="1:7" x14ac:dyDescent="0.2">
      <c r="A445" t="s">
        <v>55</v>
      </c>
      <c r="B445" t="s">
        <v>75</v>
      </c>
      <c r="C445" t="s">
        <v>8</v>
      </c>
      <c r="D445" t="s">
        <v>10</v>
      </c>
      <c r="E445" t="s">
        <v>13</v>
      </c>
      <c r="F445" s="20" t="str">
        <f>INDEX(nrg_cb_e!$A$3:$A$40,MATCH(LEFT(MID(B445,43,1000),SEARCH(" - ",MID(B445,43,1000))-1),nrg_cb_e!$C$3:$C$40,0))</f>
        <v>FC_OTH_CP_E</v>
      </c>
      <c r="G445">
        <v>27263</v>
      </c>
    </row>
    <row r="446" spans="1:7" x14ac:dyDescent="0.2">
      <c r="A446" t="s">
        <v>55</v>
      </c>
      <c r="B446" t="s">
        <v>75</v>
      </c>
      <c r="C446" t="s">
        <v>8</v>
      </c>
      <c r="D446" t="s">
        <v>10</v>
      </c>
      <c r="E446" t="s">
        <v>14</v>
      </c>
      <c r="F446" s="20" t="str">
        <f>INDEX(nrg_cb_e!$A$3:$A$40,MATCH(LEFT(MID(B446,43,1000),SEARCH(" - ",MID(B446,43,1000))-1),nrg_cb_e!$C$3:$C$40,0))</f>
        <v>FC_OTH_CP_E</v>
      </c>
      <c r="G446">
        <v>27557</v>
      </c>
    </row>
    <row r="447" spans="1:7" x14ac:dyDescent="0.2">
      <c r="A447" t="s">
        <v>55</v>
      </c>
      <c r="B447" t="s">
        <v>75</v>
      </c>
      <c r="C447" t="s">
        <v>8</v>
      </c>
      <c r="D447" t="s">
        <v>10</v>
      </c>
      <c r="E447" t="s">
        <v>15</v>
      </c>
      <c r="F447" s="20" t="str">
        <f>INDEX(nrg_cb_e!$A$3:$A$40,MATCH(LEFT(MID(B447,43,1000),SEARCH(" - ",MID(B447,43,1000))-1),nrg_cb_e!$C$3:$C$40,0))</f>
        <v>FC_OTH_CP_E</v>
      </c>
      <c r="G447">
        <v>26135</v>
      </c>
    </row>
    <row r="448" spans="1:7" x14ac:dyDescent="0.2">
      <c r="A448" t="s">
        <v>55</v>
      </c>
      <c r="B448" t="s">
        <v>75</v>
      </c>
      <c r="C448" t="s">
        <v>8</v>
      </c>
      <c r="D448" t="s">
        <v>10</v>
      </c>
      <c r="E448" t="s">
        <v>16</v>
      </c>
      <c r="F448" s="20" t="str">
        <f>INDEX(nrg_cb_e!$A$3:$A$40,MATCH(LEFT(MID(B448,43,1000),SEARCH(" - ",MID(B448,43,1000))-1),nrg_cb_e!$C$3:$C$40,0))</f>
        <v>FC_OTH_CP_E</v>
      </c>
      <c r="G448">
        <v>27139</v>
      </c>
    </row>
    <row r="449" spans="1:7" x14ac:dyDescent="0.2">
      <c r="A449" t="s">
        <v>55</v>
      </c>
      <c r="B449" t="s">
        <v>75</v>
      </c>
      <c r="C449" t="s">
        <v>8</v>
      </c>
      <c r="D449" t="s">
        <v>10</v>
      </c>
      <c r="E449" t="s">
        <v>17</v>
      </c>
      <c r="F449" s="20" t="str">
        <f>INDEX(nrg_cb_e!$A$3:$A$40,MATCH(LEFT(MID(B449,43,1000),SEARCH(" - ",MID(B449,43,1000))-1),nrg_cb_e!$C$3:$C$40,0))</f>
        <v>FC_OTH_CP_E</v>
      </c>
      <c r="G449">
        <v>28457</v>
      </c>
    </row>
    <row r="450" spans="1:7" x14ac:dyDescent="0.2">
      <c r="A450" t="s">
        <v>55</v>
      </c>
      <c r="B450" t="s">
        <v>75</v>
      </c>
      <c r="C450" t="s">
        <v>8</v>
      </c>
      <c r="D450" t="s">
        <v>10</v>
      </c>
      <c r="E450" t="s">
        <v>18</v>
      </c>
      <c r="F450" s="20" t="str">
        <f>INDEX(nrg_cb_e!$A$3:$A$40,MATCH(LEFT(MID(B450,43,1000),SEARCH(" - ",MID(B450,43,1000))-1),nrg_cb_e!$C$3:$C$40,0))</f>
        <v>FC_OTH_CP_E</v>
      </c>
      <c r="G450">
        <v>28096</v>
      </c>
    </row>
    <row r="451" spans="1:7" x14ac:dyDescent="0.2">
      <c r="A451" t="s">
        <v>55</v>
      </c>
      <c r="B451" t="s">
        <v>75</v>
      </c>
      <c r="C451" t="s">
        <v>8</v>
      </c>
      <c r="D451" t="s">
        <v>10</v>
      </c>
      <c r="E451" t="s">
        <v>19</v>
      </c>
      <c r="F451" s="20" t="str">
        <f>INDEX(nrg_cb_e!$A$3:$A$40,MATCH(LEFT(MID(B451,43,1000),SEARCH(" - ",MID(B451,43,1000))-1),nrg_cb_e!$C$3:$C$40,0))</f>
        <v>FC_OTH_CP_E</v>
      </c>
      <c r="G451">
        <v>26744</v>
      </c>
    </row>
    <row r="452" spans="1:7" x14ac:dyDescent="0.2">
      <c r="A452" t="s">
        <v>55</v>
      </c>
      <c r="B452" t="s">
        <v>75</v>
      </c>
      <c r="C452" t="s">
        <v>8</v>
      </c>
      <c r="D452" t="s">
        <v>10</v>
      </c>
      <c r="E452" t="s">
        <v>20</v>
      </c>
      <c r="F452" s="20" t="str">
        <f>INDEX(nrg_cb_e!$A$3:$A$40,MATCH(LEFT(MID(B452,43,1000),SEARCH(" - ",MID(B452,43,1000))-1),nrg_cb_e!$C$3:$C$40,0))</f>
        <v>FC_OTH_CP_E</v>
      </c>
      <c r="G452">
        <v>27187</v>
      </c>
    </row>
    <row r="453" spans="1:7" x14ac:dyDescent="0.2">
      <c r="A453" t="s">
        <v>55</v>
      </c>
      <c r="B453" t="s">
        <v>75</v>
      </c>
      <c r="C453" t="s">
        <v>8</v>
      </c>
      <c r="D453" t="s">
        <v>10</v>
      </c>
      <c r="E453" t="s">
        <v>21</v>
      </c>
      <c r="F453" s="20" t="str">
        <f>INDEX(nrg_cb_e!$A$3:$A$40,MATCH(LEFT(MID(B453,43,1000),SEARCH(" - ",MID(B453,43,1000))-1),nrg_cb_e!$C$3:$C$40,0))</f>
        <v>FC_OTH_CP_E</v>
      </c>
      <c r="G453">
        <v>24636</v>
      </c>
    </row>
    <row r="454" spans="1:7" x14ac:dyDescent="0.2">
      <c r="A454" t="s">
        <v>55</v>
      </c>
      <c r="B454" t="s">
        <v>75</v>
      </c>
      <c r="C454" t="s">
        <v>8</v>
      </c>
      <c r="D454" t="s">
        <v>10</v>
      </c>
      <c r="E454" t="s">
        <v>22</v>
      </c>
      <c r="F454" s="20" t="str">
        <f>INDEX(nrg_cb_e!$A$3:$A$40,MATCH(LEFT(MID(B454,43,1000),SEARCH(" - ",MID(B454,43,1000))-1),nrg_cb_e!$C$3:$C$40,0))</f>
        <v>FC_OTH_CP_E</v>
      </c>
      <c r="G454">
        <v>25741</v>
      </c>
    </row>
    <row r="455" spans="1:7" x14ac:dyDescent="0.2">
      <c r="A455" t="s">
        <v>55</v>
      </c>
      <c r="B455" t="s">
        <v>75</v>
      </c>
      <c r="C455" t="s">
        <v>8</v>
      </c>
      <c r="D455" t="s">
        <v>10</v>
      </c>
      <c r="E455" t="s">
        <v>23</v>
      </c>
      <c r="F455" s="20" t="str">
        <f>INDEX(nrg_cb_e!$A$3:$A$40,MATCH(LEFT(MID(B455,43,1000),SEARCH(" - ",MID(B455,43,1000))-1),nrg_cb_e!$C$3:$C$40,0))</f>
        <v>FC_OTH_CP_E</v>
      </c>
      <c r="G455">
        <v>25504</v>
      </c>
    </row>
    <row r="456" spans="1:7" x14ac:dyDescent="0.2">
      <c r="A456" t="s">
        <v>55</v>
      </c>
      <c r="B456" t="s">
        <v>75</v>
      </c>
      <c r="C456" t="s">
        <v>8</v>
      </c>
      <c r="D456" t="s">
        <v>10</v>
      </c>
      <c r="E456" t="s">
        <v>24</v>
      </c>
      <c r="F456" s="20" t="str">
        <f>INDEX(nrg_cb_e!$A$3:$A$40,MATCH(LEFT(MID(B456,43,1000),SEARCH(" - ",MID(B456,43,1000))-1),nrg_cb_e!$C$3:$C$40,0))</f>
        <v>FC_OTH_CP_E</v>
      </c>
      <c r="G456">
        <v>26347</v>
      </c>
    </row>
    <row r="457" spans="1:7" x14ac:dyDescent="0.2">
      <c r="A457" t="s">
        <v>55</v>
      </c>
      <c r="B457" t="s">
        <v>75</v>
      </c>
      <c r="C457" t="s">
        <v>8</v>
      </c>
      <c r="D457" t="s">
        <v>10</v>
      </c>
      <c r="E457" t="s">
        <v>25</v>
      </c>
      <c r="F457" s="20" t="str">
        <f>INDEX(nrg_cb_e!$A$3:$A$40,MATCH(LEFT(MID(B457,43,1000),SEARCH(" - ",MID(B457,43,1000))-1),nrg_cb_e!$C$3:$C$40,0))</f>
        <v>FC_OTH_CP_E</v>
      </c>
      <c r="G457">
        <v>27736</v>
      </c>
    </row>
    <row r="458" spans="1:7" x14ac:dyDescent="0.2">
      <c r="A458" t="s">
        <v>55</v>
      </c>
      <c r="B458" t="s">
        <v>75</v>
      </c>
      <c r="C458" t="s">
        <v>8</v>
      </c>
      <c r="D458" t="s">
        <v>10</v>
      </c>
      <c r="E458" t="s">
        <v>26</v>
      </c>
      <c r="F458" s="20" t="str">
        <f>INDEX(nrg_cb_e!$A$3:$A$40,MATCH(LEFT(MID(B458,43,1000),SEARCH(" - ",MID(B458,43,1000))-1),nrg_cb_e!$C$3:$C$40,0))</f>
        <v>FC_OTH_CP_E</v>
      </c>
      <c r="G458">
        <v>28733</v>
      </c>
    </row>
    <row r="459" spans="1:7" x14ac:dyDescent="0.2">
      <c r="A459" t="s">
        <v>55</v>
      </c>
      <c r="B459" t="s">
        <v>75</v>
      </c>
      <c r="C459" t="s">
        <v>8</v>
      </c>
      <c r="D459" t="s">
        <v>10</v>
      </c>
      <c r="E459" t="s">
        <v>27</v>
      </c>
      <c r="F459" s="20" t="str">
        <f>INDEX(nrg_cb_e!$A$3:$A$40,MATCH(LEFT(MID(B459,43,1000),SEARCH(" - ",MID(B459,43,1000))-1),nrg_cb_e!$C$3:$C$40,0))</f>
        <v>FC_OTH_CP_E</v>
      </c>
      <c r="G459">
        <v>27563</v>
      </c>
    </row>
    <row r="460" spans="1:7" x14ac:dyDescent="0.2">
      <c r="A460" t="s">
        <v>55</v>
      </c>
      <c r="B460" t="s">
        <v>75</v>
      </c>
      <c r="C460" t="s">
        <v>8</v>
      </c>
      <c r="D460" t="s">
        <v>10</v>
      </c>
      <c r="E460" t="s">
        <v>28</v>
      </c>
      <c r="F460" s="20" t="str">
        <f>INDEX(nrg_cb_e!$A$3:$A$40,MATCH(LEFT(MID(B460,43,1000),SEARCH(" - ",MID(B460,43,1000))-1),nrg_cb_e!$C$3:$C$40,0))</f>
        <v>FC_OTH_CP_E</v>
      </c>
      <c r="G460">
        <v>28012</v>
      </c>
    </row>
    <row r="461" spans="1:7" x14ac:dyDescent="0.2">
      <c r="A461" t="s">
        <v>56</v>
      </c>
      <c r="B461" t="s">
        <v>75</v>
      </c>
      <c r="C461" t="s">
        <v>8</v>
      </c>
      <c r="D461" t="s">
        <v>10</v>
      </c>
      <c r="E461" t="s">
        <v>12</v>
      </c>
      <c r="F461" s="20" t="str">
        <f>INDEX(nrg_cb_e!$A$3:$A$40,MATCH(LEFT(MID(B461,43,1000),SEARCH(" - ",MID(B461,43,1000))-1),nrg_cb_e!$C$3:$C$40,0))</f>
        <v>FC_OTH_CP_E</v>
      </c>
      <c r="G461">
        <v>93620</v>
      </c>
    </row>
    <row r="462" spans="1:7" x14ac:dyDescent="0.2">
      <c r="A462" t="s">
        <v>56</v>
      </c>
      <c r="B462" t="s">
        <v>75</v>
      </c>
      <c r="C462" t="s">
        <v>8</v>
      </c>
      <c r="D462" t="s">
        <v>10</v>
      </c>
      <c r="E462" t="s">
        <v>13</v>
      </c>
      <c r="F462" s="20" t="str">
        <f>INDEX(nrg_cb_e!$A$3:$A$40,MATCH(LEFT(MID(B462,43,1000),SEARCH(" - ",MID(B462,43,1000))-1),nrg_cb_e!$C$3:$C$40,0))</f>
        <v>FC_OTH_CP_E</v>
      </c>
      <c r="G462">
        <v>91722</v>
      </c>
    </row>
    <row r="463" spans="1:7" x14ac:dyDescent="0.2">
      <c r="A463" t="s">
        <v>56</v>
      </c>
      <c r="B463" t="s">
        <v>75</v>
      </c>
      <c r="C463" t="s">
        <v>8</v>
      </c>
      <c r="D463" t="s">
        <v>10</v>
      </c>
      <c r="E463" t="s">
        <v>14</v>
      </c>
      <c r="F463" s="20" t="str">
        <f>INDEX(nrg_cb_e!$A$3:$A$40,MATCH(LEFT(MID(B463,43,1000),SEARCH(" - ",MID(B463,43,1000))-1),nrg_cb_e!$C$3:$C$40,0))</f>
        <v>FC_OTH_CP_E</v>
      </c>
      <c r="G463">
        <v>95178</v>
      </c>
    </row>
    <row r="464" spans="1:7" x14ac:dyDescent="0.2">
      <c r="A464" t="s">
        <v>56</v>
      </c>
      <c r="B464" t="s">
        <v>75</v>
      </c>
      <c r="C464" t="s">
        <v>8</v>
      </c>
      <c r="D464" t="s">
        <v>10</v>
      </c>
      <c r="E464" t="s">
        <v>15</v>
      </c>
      <c r="F464" s="20" t="str">
        <f>INDEX(nrg_cb_e!$A$3:$A$40,MATCH(LEFT(MID(B464,43,1000),SEARCH(" - ",MID(B464,43,1000))-1),nrg_cb_e!$C$3:$C$40,0))</f>
        <v>FC_OTH_CP_E</v>
      </c>
      <c r="G464">
        <v>98878</v>
      </c>
    </row>
    <row r="465" spans="1:7" x14ac:dyDescent="0.2">
      <c r="A465" t="s">
        <v>56</v>
      </c>
      <c r="B465" t="s">
        <v>75</v>
      </c>
      <c r="C465" t="s">
        <v>8</v>
      </c>
      <c r="D465" t="s">
        <v>10</v>
      </c>
      <c r="E465" t="s">
        <v>16</v>
      </c>
      <c r="F465" s="20" t="str">
        <f>INDEX(nrg_cb_e!$A$3:$A$40,MATCH(LEFT(MID(B465,43,1000),SEARCH(" - ",MID(B465,43,1000))-1),nrg_cb_e!$C$3:$C$40,0))</f>
        <v>FC_OTH_CP_E</v>
      </c>
      <c r="G465">
        <v>97618</v>
      </c>
    </row>
    <row r="466" spans="1:7" x14ac:dyDescent="0.2">
      <c r="A466" t="s">
        <v>56</v>
      </c>
      <c r="B466" t="s">
        <v>75</v>
      </c>
      <c r="C466" t="s">
        <v>8</v>
      </c>
      <c r="D466" t="s">
        <v>10</v>
      </c>
      <c r="E466" t="s">
        <v>17</v>
      </c>
      <c r="F466" s="20" t="str">
        <f>INDEX(nrg_cb_e!$A$3:$A$40,MATCH(LEFT(MID(B466,43,1000),SEARCH(" - ",MID(B466,43,1000))-1),nrg_cb_e!$C$3:$C$40,0))</f>
        <v>FC_OTH_CP_E</v>
      </c>
      <c r="G466">
        <v>97764</v>
      </c>
    </row>
    <row r="467" spans="1:7" x14ac:dyDescent="0.2">
      <c r="A467" t="s">
        <v>56</v>
      </c>
      <c r="B467" t="s">
        <v>75</v>
      </c>
      <c r="C467" t="s">
        <v>8</v>
      </c>
      <c r="D467" t="s">
        <v>10</v>
      </c>
      <c r="E467" t="s">
        <v>18</v>
      </c>
      <c r="F467" s="20" t="str">
        <f>INDEX(nrg_cb_e!$A$3:$A$40,MATCH(LEFT(MID(B467,43,1000),SEARCH(" - ",MID(B467,43,1000))-1),nrg_cb_e!$C$3:$C$40,0))</f>
        <v>FC_OTH_CP_E</v>
      </c>
      <c r="G467">
        <v>99861</v>
      </c>
    </row>
    <row r="468" spans="1:7" x14ac:dyDescent="0.2">
      <c r="A468" t="s">
        <v>56</v>
      </c>
      <c r="B468" t="s">
        <v>75</v>
      </c>
      <c r="C468" t="s">
        <v>8</v>
      </c>
      <c r="D468" t="s">
        <v>10</v>
      </c>
      <c r="E468" t="s">
        <v>19</v>
      </c>
      <c r="F468" s="20" t="str">
        <f>INDEX(nrg_cb_e!$A$3:$A$40,MATCH(LEFT(MID(B468,43,1000),SEARCH(" - ",MID(B468,43,1000))-1),nrg_cb_e!$C$3:$C$40,0))</f>
        <v>FC_OTH_CP_E</v>
      </c>
      <c r="G468">
        <v>95628</v>
      </c>
    </row>
    <row r="469" spans="1:7" x14ac:dyDescent="0.2">
      <c r="A469" t="s">
        <v>56</v>
      </c>
      <c r="B469" t="s">
        <v>75</v>
      </c>
      <c r="C469" t="s">
        <v>8</v>
      </c>
      <c r="D469" t="s">
        <v>10</v>
      </c>
      <c r="E469" t="s">
        <v>20</v>
      </c>
      <c r="F469" s="20" t="str">
        <f>INDEX(nrg_cb_e!$A$3:$A$40,MATCH(LEFT(MID(B469,43,1000),SEARCH(" - ",MID(B469,43,1000))-1),nrg_cb_e!$C$3:$C$40,0))</f>
        <v>FC_OTH_CP_E</v>
      </c>
      <c r="G469">
        <v>97372</v>
      </c>
    </row>
    <row r="470" spans="1:7" x14ac:dyDescent="0.2">
      <c r="A470" t="s">
        <v>56</v>
      </c>
      <c r="B470" t="s">
        <v>75</v>
      </c>
      <c r="C470" t="s">
        <v>8</v>
      </c>
      <c r="D470" t="s">
        <v>10</v>
      </c>
      <c r="E470" t="s">
        <v>21</v>
      </c>
      <c r="F470" s="20" t="str">
        <f>INDEX(nrg_cb_e!$A$3:$A$40,MATCH(LEFT(MID(B470,43,1000),SEARCH(" - ",MID(B470,43,1000))-1),nrg_cb_e!$C$3:$C$40,0))</f>
        <v>FC_OTH_CP_E</v>
      </c>
      <c r="G470">
        <v>95718</v>
      </c>
    </row>
    <row r="471" spans="1:7" x14ac:dyDescent="0.2">
      <c r="A471" t="s">
        <v>56</v>
      </c>
      <c r="B471" t="s">
        <v>75</v>
      </c>
      <c r="C471" t="s">
        <v>8</v>
      </c>
      <c r="D471" t="s">
        <v>10</v>
      </c>
      <c r="E471" t="s">
        <v>22</v>
      </c>
      <c r="F471" s="20" t="str">
        <f>INDEX(nrg_cb_e!$A$3:$A$40,MATCH(LEFT(MID(B471,43,1000),SEARCH(" - ",MID(B471,43,1000))-1),nrg_cb_e!$C$3:$C$40,0))</f>
        <v>FC_OTH_CP_E</v>
      </c>
      <c r="G471">
        <v>96802</v>
      </c>
    </row>
    <row r="472" spans="1:7" x14ac:dyDescent="0.2">
      <c r="A472" t="s">
        <v>56</v>
      </c>
      <c r="B472" t="s">
        <v>75</v>
      </c>
      <c r="C472" t="s">
        <v>8</v>
      </c>
      <c r="D472" t="s">
        <v>10</v>
      </c>
      <c r="E472" t="s">
        <v>23</v>
      </c>
      <c r="F472" s="20" t="str">
        <f>INDEX(nrg_cb_e!$A$3:$A$40,MATCH(LEFT(MID(B472,43,1000),SEARCH(" - ",MID(B472,43,1000))-1),nrg_cb_e!$C$3:$C$40,0))</f>
        <v>FC_OTH_CP_E</v>
      </c>
      <c r="G472">
        <v>97652</v>
      </c>
    </row>
    <row r="473" spans="1:7" x14ac:dyDescent="0.2">
      <c r="A473" t="s">
        <v>56</v>
      </c>
      <c r="B473" t="s">
        <v>75</v>
      </c>
      <c r="C473" t="s">
        <v>8</v>
      </c>
      <c r="D473" t="s">
        <v>10</v>
      </c>
      <c r="E473" t="s">
        <v>24</v>
      </c>
      <c r="F473" s="20" t="str">
        <f>INDEX(nrg_cb_e!$A$3:$A$40,MATCH(LEFT(MID(B473,43,1000),SEARCH(" - ",MID(B473,43,1000))-1),nrg_cb_e!$C$3:$C$40,0))</f>
        <v>FC_OTH_CP_E</v>
      </c>
      <c r="G473">
        <v>93356</v>
      </c>
    </row>
    <row r="474" spans="1:7" x14ac:dyDescent="0.2">
      <c r="A474" t="s">
        <v>56</v>
      </c>
      <c r="B474" t="s">
        <v>75</v>
      </c>
      <c r="C474" t="s">
        <v>8</v>
      </c>
      <c r="D474" t="s">
        <v>10</v>
      </c>
      <c r="E474" t="s">
        <v>25</v>
      </c>
      <c r="F474" s="20" t="str">
        <f>INDEX(nrg_cb_e!$A$3:$A$40,MATCH(LEFT(MID(B474,43,1000),SEARCH(" - ",MID(B474,43,1000))-1),nrg_cb_e!$C$3:$C$40,0))</f>
        <v>FC_OTH_CP_E</v>
      </c>
      <c r="G474">
        <v>94144.376999999993</v>
      </c>
    </row>
    <row r="475" spans="1:7" x14ac:dyDescent="0.2">
      <c r="A475" t="s">
        <v>56</v>
      </c>
      <c r="B475" t="s">
        <v>75</v>
      </c>
      <c r="C475" t="s">
        <v>8</v>
      </c>
      <c r="D475" t="s">
        <v>10</v>
      </c>
      <c r="E475" t="s">
        <v>26</v>
      </c>
      <c r="F475" s="20" t="str">
        <f>INDEX(nrg_cb_e!$A$3:$A$40,MATCH(LEFT(MID(B475,43,1000),SEARCH(" - ",MID(B475,43,1000))-1),nrg_cb_e!$C$3:$C$40,0))</f>
        <v>FC_OTH_CP_E</v>
      </c>
      <c r="G475">
        <v>93692.277000000002</v>
      </c>
    </row>
    <row r="476" spans="1:7" x14ac:dyDescent="0.2">
      <c r="A476" t="s">
        <v>56</v>
      </c>
      <c r="B476" t="s">
        <v>75</v>
      </c>
      <c r="C476" t="s">
        <v>8</v>
      </c>
      <c r="D476" t="s">
        <v>10</v>
      </c>
      <c r="E476" t="s">
        <v>27</v>
      </c>
      <c r="F476" s="20" t="str">
        <f>INDEX(nrg_cb_e!$A$3:$A$40,MATCH(LEFT(MID(B476,43,1000),SEARCH(" - ",MID(B476,43,1000))-1),nrg_cb_e!$C$3:$C$40,0))</f>
        <v>FC_OTH_CP_E</v>
      </c>
      <c r="G476">
        <v>92792.122000000003</v>
      </c>
    </row>
    <row r="477" spans="1:7" x14ac:dyDescent="0.2">
      <c r="A477" t="s">
        <v>56</v>
      </c>
      <c r="B477" t="s">
        <v>75</v>
      </c>
      <c r="C477" t="s">
        <v>8</v>
      </c>
      <c r="D477" t="s">
        <v>10</v>
      </c>
      <c r="E477" t="s">
        <v>28</v>
      </c>
      <c r="F477" s="20" t="str">
        <f>INDEX(nrg_cb_e!$A$3:$A$40,MATCH(LEFT(MID(B477,43,1000),SEARCH(" - ",MID(B477,43,1000))-1),nrg_cb_e!$C$3:$C$40,0))</f>
        <v>FC_OTH_CP_E</v>
      </c>
      <c r="G477">
        <v>92256.781000000003</v>
      </c>
    </row>
    <row r="478" spans="1:7" x14ac:dyDescent="0.2">
      <c r="A478" t="s">
        <v>57</v>
      </c>
      <c r="B478" t="s">
        <v>75</v>
      </c>
      <c r="C478" t="s">
        <v>8</v>
      </c>
      <c r="D478" t="s">
        <v>10</v>
      </c>
      <c r="E478" t="s">
        <v>12</v>
      </c>
      <c r="F478" s="20" t="str">
        <f>INDEX(nrg_cb_e!$A$3:$A$40,MATCH(LEFT(MID(B478,43,1000),SEARCH(" - ",MID(B478,43,1000))-1),nrg_cb_e!$C$3:$C$40,0))</f>
        <v>FC_OTH_CP_E</v>
      </c>
      <c r="G478">
        <v>802</v>
      </c>
    </row>
    <row r="479" spans="1:7" x14ac:dyDescent="0.2">
      <c r="A479" t="s">
        <v>57</v>
      </c>
      <c r="B479" t="s">
        <v>75</v>
      </c>
      <c r="C479" t="s">
        <v>8</v>
      </c>
      <c r="D479" t="s">
        <v>10</v>
      </c>
      <c r="E479" t="s">
        <v>13</v>
      </c>
      <c r="F479" s="20" t="str">
        <f>INDEX(nrg_cb_e!$A$3:$A$40,MATCH(LEFT(MID(B479,43,1000),SEARCH(" - ",MID(B479,43,1000))-1),nrg_cb_e!$C$3:$C$40,0))</f>
        <v>FC_OTH_CP_E</v>
      </c>
      <c r="G479">
        <v>784</v>
      </c>
    </row>
    <row r="480" spans="1:7" x14ac:dyDescent="0.2">
      <c r="A480" t="s">
        <v>57</v>
      </c>
      <c r="B480" t="s">
        <v>75</v>
      </c>
      <c r="C480" t="s">
        <v>8</v>
      </c>
      <c r="D480" t="s">
        <v>10</v>
      </c>
      <c r="E480" t="s">
        <v>14</v>
      </c>
      <c r="F480" s="20" t="str">
        <f>INDEX(nrg_cb_e!$A$3:$A$40,MATCH(LEFT(MID(B480,43,1000),SEARCH(" - ",MID(B480,43,1000))-1),nrg_cb_e!$C$3:$C$40,0))</f>
        <v>FC_OTH_CP_E</v>
      </c>
      <c r="G480">
        <v>882</v>
      </c>
    </row>
    <row r="481" spans="1:7" x14ac:dyDescent="0.2">
      <c r="A481" t="s">
        <v>57</v>
      </c>
      <c r="B481" t="s">
        <v>75</v>
      </c>
      <c r="C481" t="s">
        <v>8</v>
      </c>
      <c r="D481" t="s">
        <v>10</v>
      </c>
      <c r="E481" t="s">
        <v>15</v>
      </c>
      <c r="F481" s="20" t="str">
        <f>INDEX(nrg_cb_e!$A$3:$A$40,MATCH(LEFT(MID(B481,43,1000),SEARCH(" - ",MID(B481,43,1000))-1),nrg_cb_e!$C$3:$C$40,0))</f>
        <v>FC_OTH_CP_E</v>
      </c>
      <c r="G481">
        <v>916</v>
      </c>
    </row>
    <row r="482" spans="1:7" x14ac:dyDescent="0.2">
      <c r="A482" t="s">
        <v>57</v>
      </c>
      <c r="B482" t="s">
        <v>75</v>
      </c>
      <c r="C482" t="s">
        <v>8</v>
      </c>
      <c r="D482" t="s">
        <v>10</v>
      </c>
      <c r="E482" t="s">
        <v>16</v>
      </c>
      <c r="F482" s="20" t="str">
        <f>INDEX(nrg_cb_e!$A$3:$A$40,MATCH(LEFT(MID(B482,43,1000),SEARCH(" - ",MID(B482,43,1000))-1),nrg_cb_e!$C$3:$C$40,0))</f>
        <v>FC_OTH_CP_E</v>
      </c>
      <c r="G482">
        <v>957</v>
      </c>
    </row>
    <row r="483" spans="1:7" x14ac:dyDescent="0.2">
      <c r="A483" t="s">
        <v>57</v>
      </c>
      <c r="B483" t="s">
        <v>75</v>
      </c>
      <c r="C483" t="s">
        <v>8</v>
      </c>
      <c r="D483" t="s">
        <v>10</v>
      </c>
      <c r="E483" t="s">
        <v>17</v>
      </c>
      <c r="F483" s="20" t="str">
        <f>INDEX(nrg_cb_e!$A$3:$A$40,MATCH(LEFT(MID(B483,43,1000),SEARCH(" - ",MID(B483,43,1000))-1),nrg_cb_e!$C$3:$C$40,0))</f>
        <v>FC_OTH_CP_E</v>
      </c>
      <c r="G483">
        <v>989</v>
      </c>
    </row>
    <row r="484" spans="1:7" x14ac:dyDescent="0.2">
      <c r="A484" t="s">
        <v>57</v>
      </c>
      <c r="B484" t="s">
        <v>75</v>
      </c>
      <c r="C484" t="s">
        <v>8</v>
      </c>
      <c r="D484" t="s">
        <v>10</v>
      </c>
      <c r="E484" t="s">
        <v>18</v>
      </c>
      <c r="F484" s="20" t="str">
        <f>INDEX(nrg_cb_e!$A$3:$A$40,MATCH(LEFT(MID(B484,43,1000),SEARCH(" - ",MID(B484,43,1000))-1),nrg_cb_e!$C$3:$C$40,0))</f>
        <v>FC_OTH_CP_E</v>
      </c>
      <c r="G484">
        <v>1063</v>
      </c>
    </row>
    <row r="485" spans="1:7" x14ac:dyDescent="0.2">
      <c r="A485" t="s">
        <v>57</v>
      </c>
      <c r="B485" t="s">
        <v>75</v>
      </c>
      <c r="C485" t="s">
        <v>8</v>
      </c>
      <c r="D485" t="s">
        <v>10</v>
      </c>
      <c r="E485" t="s">
        <v>19</v>
      </c>
      <c r="F485" s="20" t="str">
        <f>INDEX(nrg_cb_e!$A$3:$A$40,MATCH(LEFT(MID(B485,43,1000),SEARCH(" - ",MID(B485,43,1000))-1),nrg_cb_e!$C$3:$C$40,0))</f>
        <v>FC_OTH_CP_E</v>
      </c>
      <c r="G485">
        <v>1021</v>
      </c>
    </row>
    <row r="486" spans="1:7" x14ac:dyDescent="0.2">
      <c r="A486" t="s">
        <v>57</v>
      </c>
      <c r="B486" t="s">
        <v>75</v>
      </c>
      <c r="C486" t="s">
        <v>8</v>
      </c>
      <c r="D486" t="s">
        <v>10</v>
      </c>
      <c r="E486" t="s">
        <v>20</v>
      </c>
      <c r="F486" s="20" t="str">
        <f>INDEX(nrg_cb_e!$A$3:$A$40,MATCH(LEFT(MID(B486,43,1000),SEARCH(" - ",MID(B486,43,1000))-1),nrg_cb_e!$C$3:$C$40,0))</f>
        <v>FC_OTH_CP_E</v>
      </c>
      <c r="G486">
        <v>1023</v>
      </c>
    </row>
    <row r="487" spans="1:7" x14ac:dyDescent="0.2">
      <c r="A487" t="s">
        <v>57</v>
      </c>
      <c r="B487" t="s">
        <v>75</v>
      </c>
      <c r="C487" t="s">
        <v>8</v>
      </c>
      <c r="D487" t="s">
        <v>10</v>
      </c>
      <c r="E487" t="s">
        <v>21</v>
      </c>
      <c r="F487" s="20" t="str">
        <f>INDEX(nrg_cb_e!$A$3:$A$40,MATCH(LEFT(MID(B487,43,1000),SEARCH(" - ",MID(B487,43,1000))-1),nrg_cb_e!$C$3:$C$40,0))</f>
        <v>FC_OTH_CP_E</v>
      </c>
      <c r="G487">
        <v>1019</v>
      </c>
    </row>
    <row r="488" spans="1:7" x14ac:dyDescent="0.2">
      <c r="A488" t="s">
        <v>57</v>
      </c>
      <c r="B488" t="s">
        <v>75</v>
      </c>
      <c r="C488" t="s">
        <v>8</v>
      </c>
      <c r="D488" t="s">
        <v>10</v>
      </c>
      <c r="E488" t="s">
        <v>22</v>
      </c>
      <c r="F488" s="20" t="str">
        <f>INDEX(nrg_cb_e!$A$3:$A$40,MATCH(LEFT(MID(B488,43,1000),SEARCH(" - ",MID(B488,43,1000))-1),nrg_cb_e!$C$3:$C$40,0))</f>
        <v>FC_OTH_CP_E</v>
      </c>
      <c r="G488">
        <v>1037</v>
      </c>
    </row>
    <row r="489" spans="1:7" x14ac:dyDescent="0.2">
      <c r="A489" t="s">
        <v>57</v>
      </c>
      <c r="B489" t="s">
        <v>75</v>
      </c>
      <c r="C489" t="s">
        <v>8</v>
      </c>
      <c r="D489" t="s">
        <v>10</v>
      </c>
      <c r="E489" t="s">
        <v>23</v>
      </c>
      <c r="F489" s="20" t="str">
        <f>INDEX(nrg_cb_e!$A$3:$A$40,MATCH(LEFT(MID(B489,43,1000),SEARCH(" - ",MID(B489,43,1000))-1),nrg_cb_e!$C$3:$C$40,0))</f>
        <v>FC_OTH_CP_E</v>
      </c>
      <c r="G489">
        <v>1040</v>
      </c>
    </row>
    <row r="490" spans="1:7" x14ac:dyDescent="0.2">
      <c r="A490" t="s">
        <v>57</v>
      </c>
      <c r="B490" t="s">
        <v>75</v>
      </c>
      <c r="C490" t="s">
        <v>8</v>
      </c>
      <c r="D490" t="s">
        <v>10</v>
      </c>
      <c r="E490" t="s">
        <v>24</v>
      </c>
      <c r="F490" s="20" t="str">
        <f>INDEX(nrg_cb_e!$A$3:$A$40,MATCH(LEFT(MID(B490,43,1000),SEARCH(" - ",MID(B490,43,1000))-1),nrg_cb_e!$C$3:$C$40,0))</f>
        <v>FC_OTH_CP_E</v>
      </c>
      <c r="G490">
        <v>1026</v>
      </c>
    </row>
    <row r="491" spans="1:7" x14ac:dyDescent="0.2">
      <c r="A491" t="s">
        <v>57</v>
      </c>
      <c r="B491" t="s">
        <v>75</v>
      </c>
      <c r="C491" t="s">
        <v>8</v>
      </c>
      <c r="D491" t="s">
        <v>10</v>
      </c>
      <c r="E491" t="s">
        <v>25</v>
      </c>
      <c r="F491" s="20" t="str">
        <f>INDEX(nrg_cb_e!$A$3:$A$40,MATCH(LEFT(MID(B491,43,1000),SEARCH(" - ",MID(B491,43,1000))-1),nrg_cb_e!$C$3:$C$40,0))</f>
        <v>FC_OTH_CP_E</v>
      </c>
      <c r="G491">
        <v>1217</v>
      </c>
    </row>
    <row r="492" spans="1:7" x14ac:dyDescent="0.2">
      <c r="A492" t="s">
        <v>57</v>
      </c>
      <c r="B492" t="s">
        <v>75</v>
      </c>
      <c r="C492" t="s">
        <v>8</v>
      </c>
      <c r="D492" t="s">
        <v>10</v>
      </c>
      <c r="E492" t="s">
        <v>26</v>
      </c>
      <c r="F492" s="20" t="str">
        <f>INDEX(nrg_cb_e!$A$3:$A$40,MATCH(LEFT(MID(B492,43,1000),SEARCH(" - ",MID(B492,43,1000))-1),nrg_cb_e!$C$3:$C$40,0))</f>
        <v>FC_OTH_CP_E</v>
      </c>
      <c r="G492">
        <v>1263</v>
      </c>
    </row>
    <row r="493" spans="1:7" x14ac:dyDescent="0.2">
      <c r="A493" t="s">
        <v>57</v>
      </c>
      <c r="B493" t="s">
        <v>75</v>
      </c>
      <c r="C493" t="s">
        <v>8</v>
      </c>
      <c r="D493" t="s">
        <v>10</v>
      </c>
      <c r="E493" t="s">
        <v>27</v>
      </c>
      <c r="F493" s="20" t="str">
        <f>INDEX(nrg_cb_e!$A$3:$A$40,MATCH(LEFT(MID(B493,43,1000),SEARCH(" - ",MID(B493,43,1000))-1),nrg_cb_e!$C$3:$C$40,0))</f>
        <v>FC_OTH_CP_E</v>
      </c>
      <c r="G493">
        <v>1331.617</v>
      </c>
    </row>
    <row r="494" spans="1:7" x14ac:dyDescent="0.2">
      <c r="A494" t="s">
        <v>57</v>
      </c>
      <c r="B494" t="s">
        <v>75</v>
      </c>
      <c r="C494" t="s">
        <v>8</v>
      </c>
      <c r="D494" t="s">
        <v>10</v>
      </c>
      <c r="E494" t="s">
        <v>28</v>
      </c>
      <c r="F494" s="20" t="str">
        <f>INDEX(nrg_cb_e!$A$3:$A$40,MATCH(LEFT(MID(B494,43,1000),SEARCH(" - ",MID(B494,43,1000))-1),nrg_cb_e!$C$3:$C$40,0))</f>
        <v>FC_OTH_CP_E</v>
      </c>
      <c r="G494">
        <v>1714.0719999999999</v>
      </c>
    </row>
    <row r="495" spans="1:7" x14ac:dyDescent="0.2">
      <c r="A495" t="s">
        <v>58</v>
      </c>
      <c r="B495" t="s">
        <v>75</v>
      </c>
      <c r="C495" t="s">
        <v>8</v>
      </c>
      <c r="D495" t="s">
        <v>10</v>
      </c>
      <c r="E495" t="s">
        <v>12</v>
      </c>
      <c r="F495" s="20" t="str">
        <f>INDEX(nrg_cb_e!$A$3:$A$40,MATCH(LEFT(MID(B495,43,1000),SEARCH(" - ",MID(B495,43,1000))-1),nrg_cb_e!$C$3:$C$40,0))</f>
        <v>FC_OTH_CP_E</v>
      </c>
      <c r="G495">
        <v>24323</v>
      </c>
    </row>
    <row r="496" spans="1:7" x14ac:dyDescent="0.2">
      <c r="A496" t="s">
        <v>58</v>
      </c>
      <c r="B496" t="s">
        <v>75</v>
      </c>
      <c r="C496" t="s">
        <v>8</v>
      </c>
      <c r="D496" t="s">
        <v>10</v>
      </c>
      <c r="E496" t="s">
        <v>13</v>
      </c>
      <c r="F496" s="20" t="str">
        <f>INDEX(nrg_cb_e!$A$3:$A$40,MATCH(LEFT(MID(B496,43,1000),SEARCH(" - ",MID(B496,43,1000))-1),nrg_cb_e!$C$3:$C$40,0))</f>
        <v>FC_OTH_CP_E</v>
      </c>
      <c r="G496">
        <v>20833</v>
      </c>
    </row>
    <row r="497" spans="1:7" x14ac:dyDescent="0.2">
      <c r="A497" t="s">
        <v>58</v>
      </c>
      <c r="B497" t="s">
        <v>75</v>
      </c>
      <c r="C497" t="s">
        <v>8</v>
      </c>
      <c r="D497" t="s">
        <v>10</v>
      </c>
      <c r="E497" t="s">
        <v>14</v>
      </c>
      <c r="F497" s="20" t="str">
        <f>INDEX(nrg_cb_e!$A$3:$A$40,MATCH(LEFT(MID(B497,43,1000),SEARCH(" - ",MID(B497,43,1000))-1),nrg_cb_e!$C$3:$C$40,0))</f>
        <v>FC_OTH_CP_E</v>
      </c>
      <c r="G497">
        <v>21586</v>
      </c>
    </row>
    <row r="498" spans="1:7" x14ac:dyDescent="0.2">
      <c r="A498" t="s">
        <v>58</v>
      </c>
      <c r="B498" t="s">
        <v>75</v>
      </c>
      <c r="C498" t="s">
        <v>8</v>
      </c>
      <c r="D498" t="s">
        <v>10</v>
      </c>
      <c r="E498" t="s">
        <v>15</v>
      </c>
      <c r="F498" s="20" t="str">
        <f>INDEX(nrg_cb_e!$A$3:$A$40,MATCH(LEFT(MID(B498,43,1000),SEARCH(" - ",MID(B498,43,1000))-1),nrg_cb_e!$C$3:$C$40,0))</f>
        <v>FC_OTH_CP_E</v>
      </c>
      <c r="G498">
        <v>21954</v>
      </c>
    </row>
    <row r="499" spans="1:7" x14ac:dyDescent="0.2">
      <c r="A499" t="s">
        <v>58</v>
      </c>
      <c r="B499" t="s">
        <v>75</v>
      </c>
      <c r="C499" t="s">
        <v>8</v>
      </c>
      <c r="D499" t="s">
        <v>10</v>
      </c>
      <c r="E499" t="s">
        <v>16</v>
      </c>
      <c r="F499" s="20" t="str">
        <f>INDEX(nrg_cb_e!$A$3:$A$40,MATCH(LEFT(MID(B499,43,1000),SEARCH(" - ",MID(B499,43,1000))-1),nrg_cb_e!$C$3:$C$40,0))</f>
        <v>FC_OTH_CP_E</v>
      </c>
      <c r="G499">
        <v>21160</v>
      </c>
    </row>
    <row r="500" spans="1:7" x14ac:dyDescent="0.2">
      <c r="A500" t="s">
        <v>58</v>
      </c>
      <c r="B500" t="s">
        <v>75</v>
      </c>
      <c r="C500" t="s">
        <v>8</v>
      </c>
      <c r="D500" t="s">
        <v>10</v>
      </c>
      <c r="E500" t="s">
        <v>17</v>
      </c>
      <c r="F500" s="20" t="str">
        <f>INDEX(nrg_cb_e!$A$3:$A$40,MATCH(LEFT(MID(B500,43,1000),SEARCH(" - ",MID(B500,43,1000))-1),nrg_cb_e!$C$3:$C$40,0))</f>
        <v>FC_OTH_CP_E</v>
      </c>
      <c r="G500">
        <v>23322</v>
      </c>
    </row>
    <row r="501" spans="1:7" x14ac:dyDescent="0.2">
      <c r="A501" t="s">
        <v>58</v>
      </c>
      <c r="B501" t="s">
        <v>75</v>
      </c>
      <c r="C501" t="s">
        <v>8</v>
      </c>
      <c r="D501" t="s">
        <v>10</v>
      </c>
      <c r="E501" t="s">
        <v>18</v>
      </c>
      <c r="F501" s="20" t="str">
        <f>INDEX(nrg_cb_e!$A$3:$A$40,MATCH(LEFT(MID(B501,43,1000),SEARCH(" - ",MID(B501,43,1000))-1),nrg_cb_e!$C$3:$C$40,0))</f>
        <v>FC_OTH_CP_E</v>
      </c>
      <c r="G501">
        <v>23656</v>
      </c>
    </row>
    <row r="502" spans="1:7" x14ac:dyDescent="0.2">
      <c r="A502" t="s">
        <v>58</v>
      </c>
      <c r="B502" t="s">
        <v>75</v>
      </c>
      <c r="C502" t="s">
        <v>8</v>
      </c>
      <c r="D502" t="s">
        <v>10</v>
      </c>
      <c r="E502" t="s">
        <v>19</v>
      </c>
      <c r="F502" s="20" t="str">
        <f>INDEX(nrg_cb_e!$A$3:$A$40,MATCH(LEFT(MID(B502,43,1000),SEARCH(" - ",MID(B502,43,1000))-1),nrg_cb_e!$C$3:$C$40,0))</f>
        <v>FC_OTH_CP_E</v>
      </c>
      <c r="G502">
        <v>26892</v>
      </c>
    </row>
    <row r="503" spans="1:7" x14ac:dyDescent="0.2">
      <c r="A503" t="s">
        <v>58</v>
      </c>
      <c r="B503" t="s">
        <v>75</v>
      </c>
      <c r="C503" t="s">
        <v>8</v>
      </c>
      <c r="D503" t="s">
        <v>10</v>
      </c>
      <c r="E503" t="s">
        <v>20</v>
      </c>
      <c r="F503" s="20" t="str">
        <f>INDEX(nrg_cb_e!$A$3:$A$40,MATCH(LEFT(MID(B503,43,1000),SEARCH(" - ",MID(B503,43,1000))-1),nrg_cb_e!$C$3:$C$40,0))</f>
        <v>FC_OTH_CP_E</v>
      </c>
      <c r="G503">
        <v>26188</v>
      </c>
    </row>
    <row r="504" spans="1:7" x14ac:dyDescent="0.2">
      <c r="A504" t="s">
        <v>58</v>
      </c>
      <c r="B504" t="s">
        <v>75</v>
      </c>
      <c r="C504" t="s">
        <v>8</v>
      </c>
      <c r="D504" t="s">
        <v>10</v>
      </c>
      <c r="E504" t="s">
        <v>21</v>
      </c>
      <c r="F504" s="20" t="str">
        <f>INDEX(nrg_cb_e!$A$3:$A$40,MATCH(LEFT(MID(B504,43,1000),SEARCH(" - ",MID(B504,43,1000))-1),nrg_cb_e!$C$3:$C$40,0))</f>
        <v>FC_OTH_CP_E</v>
      </c>
      <c r="G504">
        <v>24863</v>
      </c>
    </row>
    <row r="505" spans="1:7" x14ac:dyDescent="0.2">
      <c r="A505" t="s">
        <v>58</v>
      </c>
      <c r="B505" t="s">
        <v>75</v>
      </c>
      <c r="C505" t="s">
        <v>8</v>
      </c>
      <c r="D505" t="s">
        <v>10</v>
      </c>
      <c r="E505" t="s">
        <v>22</v>
      </c>
      <c r="F505" s="20" t="str">
        <f>INDEX(nrg_cb_e!$A$3:$A$40,MATCH(LEFT(MID(B505,43,1000),SEARCH(" - ",MID(B505,43,1000))-1),nrg_cb_e!$C$3:$C$40,0))</f>
        <v>FC_OTH_CP_E</v>
      </c>
      <c r="G505">
        <v>25856</v>
      </c>
    </row>
    <row r="506" spans="1:7" x14ac:dyDescent="0.2">
      <c r="A506" t="s">
        <v>58</v>
      </c>
      <c r="B506" t="s">
        <v>75</v>
      </c>
      <c r="C506" t="s">
        <v>8</v>
      </c>
      <c r="D506" t="s">
        <v>10</v>
      </c>
      <c r="E506" t="s">
        <v>23</v>
      </c>
      <c r="F506" s="20" t="str">
        <f>INDEX(nrg_cb_e!$A$3:$A$40,MATCH(LEFT(MID(B506,43,1000),SEARCH(" - ",MID(B506,43,1000))-1),nrg_cb_e!$C$3:$C$40,0))</f>
        <v>FC_OTH_CP_E</v>
      </c>
      <c r="G506">
        <v>26056</v>
      </c>
    </row>
    <row r="507" spans="1:7" x14ac:dyDescent="0.2">
      <c r="A507" t="s">
        <v>58</v>
      </c>
      <c r="B507" t="s">
        <v>75</v>
      </c>
      <c r="C507" t="s">
        <v>8</v>
      </c>
      <c r="D507" t="s">
        <v>10</v>
      </c>
      <c r="E507" t="s">
        <v>24</v>
      </c>
      <c r="F507" s="20" t="str">
        <f>INDEX(nrg_cb_e!$A$3:$A$40,MATCH(LEFT(MID(B507,43,1000),SEARCH(" - ",MID(B507,43,1000))-1),nrg_cb_e!$C$3:$C$40,0))</f>
        <v>FC_OTH_CP_E</v>
      </c>
      <c r="G507">
        <v>24659</v>
      </c>
    </row>
    <row r="508" spans="1:7" x14ac:dyDescent="0.2">
      <c r="A508" t="s">
        <v>58</v>
      </c>
      <c r="B508" t="s">
        <v>75</v>
      </c>
      <c r="C508" t="s">
        <v>8</v>
      </c>
      <c r="D508" t="s">
        <v>10</v>
      </c>
      <c r="E508" t="s">
        <v>25</v>
      </c>
      <c r="F508" s="20" t="str">
        <f>INDEX(nrg_cb_e!$A$3:$A$40,MATCH(LEFT(MID(B508,43,1000),SEARCH(" - ",MID(B508,43,1000))-1),nrg_cb_e!$C$3:$C$40,0))</f>
        <v>FC_OTH_CP_E</v>
      </c>
      <c r="G508">
        <v>24660</v>
      </c>
    </row>
    <row r="509" spans="1:7" x14ac:dyDescent="0.2">
      <c r="A509" t="s">
        <v>58</v>
      </c>
      <c r="B509" t="s">
        <v>75</v>
      </c>
      <c r="C509" t="s">
        <v>8</v>
      </c>
      <c r="D509" t="s">
        <v>10</v>
      </c>
      <c r="E509" t="s">
        <v>26</v>
      </c>
      <c r="F509" s="20" t="str">
        <f>INDEX(nrg_cb_e!$A$3:$A$40,MATCH(LEFT(MID(B509,43,1000),SEARCH(" - ",MID(B509,43,1000))-1),nrg_cb_e!$C$3:$C$40,0))</f>
        <v>FC_OTH_CP_E</v>
      </c>
      <c r="G509">
        <v>26133</v>
      </c>
    </row>
    <row r="510" spans="1:7" x14ac:dyDescent="0.2">
      <c r="A510" t="s">
        <v>58</v>
      </c>
      <c r="B510" t="s">
        <v>75</v>
      </c>
      <c r="C510" t="s">
        <v>8</v>
      </c>
      <c r="D510" t="s">
        <v>10</v>
      </c>
      <c r="E510" t="s">
        <v>27</v>
      </c>
      <c r="F510" s="20" t="str">
        <f>INDEX(nrg_cb_e!$A$3:$A$40,MATCH(LEFT(MID(B510,43,1000),SEARCH(" - ",MID(B510,43,1000))-1),nrg_cb_e!$C$3:$C$40,0))</f>
        <v>FC_OTH_CP_E</v>
      </c>
      <c r="G510">
        <v>25012</v>
      </c>
    </row>
    <row r="511" spans="1:7" x14ac:dyDescent="0.2">
      <c r="A511" t="s">
        <v>58</v>
      </c>
      <c r="B511" t="s">
        <v>75</v>
      </c>
      <c r="C511" t="s">
        <v>8</v>
      </c>
      <c r="D511" t="s">
        <v>10</v>
      </c>
      <c r="E511" t="s">
        <v>28</v>
      </c>
      <c r="F511" s="20" t="str">
        <f>INDEX(nrg_cb_e!$A$3:$A$40,MATCH(LEFT(MID(B511,43,1000),SEARCH(" - ",MID(B511,43,1000))-1),nrg_cb_e!$C$3:$C$40,0))</f>
        <v>FC_OTH_CP_E</v>
      </c>
      <c r="G511">
        <v>25446.355</v>
      </c>
    </row>
    <row r="512" spans="1:7" x14ac:dyDescent="0.2">
      <c r="A512" t="s">
        <v>59</v>
      </c>
      <c r="B512" t="s">
        <v>75</v>
      </c>
      <c r="C512" t="s">
        <v>8</v>
      </c>
      <c r="D512" t="s">
        <v>10</v>
      </c>
      <c r="E512" t="s">
        <v>12</v>
      </c>
      <c r="F512" s="20" t="str">
        <f>INDEX(nrg_cb_e!$A$3:$A$40,MATCH(LEFT(MID(B512,43,1000),SEARCH(" - ",MID(B512,43,1000))-1),nrg_cb_e!$C$3:$C$40,0))</f>
        <v>FC_OTH_CP_E</v>
      </c>
      <c r="G512">
        <v>335</v>
      </c>
    </row>
    <row r="513" spans="1:7" x14ac:dyDescent="0.2">
      <c r="A513" t="s">
        <v>59</v>
      </c>
      <c r="B513" t="s">
        <v>75</v>
      </c>
      <c r="C513" t="s">
        <v>8</v>
      </c>
      <c r="D513" t="s">
        <v>10</v>
      </c>
      <c r="E513" t="s">
        <v>13</v>
      </c>
      <c r="F513" s="20" t="str">
        <f>INDEX(nrg_cb_e!$A$3:$A$40,MATCH(LEFT(MID(B513,43,1000),SEARCH(" - ",MID(B513,43,1000))-1),nrg_cb_e!$C$3:$C$40,0))</f>
        <v>FC_OTH_CP_E</v>
      </c>
      <c r="G513">
        <v>313</v>
      </c>
    </row>
    <row r="514" spans="1:7" x14ac:dyDescent="0.2">
      <c r="A514" t="s">
        <v>59</v>
      </c>
      <c r="B514" t="s">
        <v>75</v>
      </c>
      <c r="C514" t="s">
        <v>8</v>
      </c>
      <c r="D514" t="s">
        <v>10</v>
      </c>
      <c r="E514" t="s">
        <v>14</v>
      </c>
      <c r="F514" s="20" t="str">
        <f>INDEX(nrg_cb_e!$A$3:$A$40,MATCH(LEFT(MID(B514,43,1000),SEARCH(" - ",MID(B514,43,1000))-1),nrg_cb_e!$C$3:$C$40,0))</f>
        <v>FC_OTH_CP_E</v>
      </c>
      <c r="G514">
        <v>4590</v>
      </c>
    </row>
    <row r="515" spans="1:7" x14ac:dyDescent="0.2">
      <c r="A515" t="s">
        <v>59</v>
      </c>
      <c r="B515" t="s">
        <v>75</v>
      </c>
      <c r="C515" t="s">
        <v>8</v>
      </c>
      <c r="D515" t="s">
        <v>10</v>
      </c>
      <c r="E515" t="s">
        <v>15</v>
      </c>
      <c r="F515" s="20" t="str">
        <f>INDEX(nrg_cb_e!$A$3:$A$40,MATCH(LEFT(MID(B515,43,1000),SEARCH(" - ",MID(B515,43,1000))-1),nrg_cb_e!$C$3:$C$40,0))</f>
        <v>FC_OTH_CP_E</v>
      </c>
      <c r="G515">
        <v>4956</v>
      </c>
    </row>
    <row r="516" spans="1:7" x14ac:dyDescent="0.2">
      <c r="A516" t="s">
        <v>59</v>
      </c>
      <c r="B516" t="s">
        <v>75</v>
      </c>
      <c r="C516" t="s">
        <v>8</v>
      </c>
      <c r="D516" t="s">
        <v>10</v>
      </c>
      <c r="E516" t="s">
        <v>16</v>
      </c>
      <c r="F516" s="20" t="str">
        <f>INDEX(nrg_cb_e!$A$3:$A$40,MATCH(LEFT(MID(B516,43,1000),SEARCH(" - ",MID(B516,43,1000))-1),nrg_cb_e!$C$3:$C$40,0))</f>
        <v>FC_OTH_CP_E</v>
      </c>
      <c r="G516">
        <v>5195</v>
      </c>
    </row>
    <row r="517" spans="1:7" x14ac:dyDescent="0.2">
      <c r="A517" t="s">
        <v>59</v>
      </c>
      <c r="B517" t="s">
        <v>75</v>
      </c>
      <c r="C517" t="s">
        <v>8</v>
      </c>
      <c r="D517" t="s">
        <v>10</v>
      </c>
      <c r="E517" t="s">
        <v>17</v>
      </c>
      <c r="F517" s="20" t="str">
        <f>INDEX(nrg_cb_e!$A$3:$A$40,MATCH(LEFT(MID(B517,43,1000),SEARCH(" - ",MID(B517,43,1000))-1),nrg_cb_e!$C$3:$C$40,0))</f>
        <v>FC_OTH_CP_E</v>
      </c>
      <c r="G517">
        <v>5369</v>
      </c>
    </row>
    <row r="518" spans="1:7" x14ac:dyDescent="0.2">
      <c r="A518" t="s">
        <v>59</v>
      </c>
      <c r="B518" t="s">
        <v>75</v>
      </c>
      <c r="C518" t="s">
        <v>8</v>
      </c>
      <c r="D518" t="s">
        <v>10</v>
      </c>
      <c r="E518" t="s">
        <v>18</v>
      </c>
      <c r="F518" s="20" t="str">
        <f>INDEX(nrg_cb_e!$A$3:$A$40,MATCH(LEFT(MID(B518,43,1000),SEARCH(" - ",MID(B518,43,1000))-1),nrg_cb_e!$C$3:$C$40,0))</f>
        <v>FC_OTH_CP_E</v>
      </c>
      <c r="G518">
        <v>5615</v>
      </c>
    </row>
    <row r="519" spans="1:7" x14ac:dyDescent="0.2">
      <c r="A519" t="s">
        <v>59</v>
      </c>
      <c r="B519" t="s">
        <v>75</v>
      </c>
      <c r="C519" t="s">
        <v>8</v>
      </c>
      <c r="D519" t="s">
        <v>10</v>
      </c>
      <c r="E519" t="s">
        <v>19</v>
      </c>
      <c r="F519" s="20" t="str">
        <f>INDEX(nrg_cb_e!$A$3:$A$40,MATCH(LEFT(MID(B519,43,1000),SEARCH(" - ",MID(B519,43,1000))-1),nrg_cb_e!$C$3:$C$40,0))</f>
        <v>FC_OTH_CP_E</v>
      </c>
      <c r="G519">
        <v>4828</v>
      </c>
    </row>
    <row r="520" spans="1:7" x14ac:dyDescent="0.2">
      <c r="A520" t="s">
        <v>59</v>
      </c>
      <c r="B520" t="s">
        <v>75</v>
      </c>
      <c r="C520" t="s">
        <v>8</v>
      </c>
      <c r="D520" t="s">
        <v>10</v>
      </c>
      <c r="E520" t="s">
        <v>20</v>
      </c>
      <c r="F520" s="20" t="str">
        <f>INDEX(nrg_cb_e!$A$3:$A$40,MATCH(LEFT(MID(B520,43,1000),SEARCH(" - ",MID(B520,43,1000))-1),nrg_cb_e!$C$3:$C$40,0))</f>
        <v>FC_OTH_CP_E</v>
      </c>
      <c r="G520">
        <v>4957</v>
      </c>
    </row>
    <row r="521" spans="1:7" x14ac:dyDescent="0.2">
      <c r="A521" t="s">
        <v>59</v>
      </c>
      <c r="B521" t="s">
        <v>75</v>
      </c>
      <c r="C521" t="s">
        <v>8</v>
      </c>
      <c r="D521" t="s">
        <v>10</v>
      </c>
      <c r="E521" t="s">
        <v>21</v>
      </c>
      <c r="F521" s="20" t="str">
        <f>INDEX(nrg_cb_e!$A$3:$A$40,MATCH(LEFT(MID(B521,43,1000),SEARCH(" - ",MID(B521,43,1000))-1),nrg_cb_e!$C$3:$C$40,0))</f>
        <v>FC_OTH_CP_E</v>
      </c>
      <c r="G521">
        <v>5003</v>
      </c>
    </row>
    <row r="522" spans="1:7" x14ac:dyDescent="0.2">
      <c r="A522" t="s">
        <v>59</v>
      </c>
      <c r="B522" t="s">
        <v>75</v>
      </c>
      <c r="C522" t="s">
        <v>8</v>
      </c>
      <c r="D522" t="s">
        <v>10</v>
      </c>
      <c r="E522" t="s">
        <v>22</v>
      </c>
      <c r="F522" s="20" t="str">
        <f>INDEX(nrg_cb_e!$A$3:$A$40,MATCH(LEFT(MID(B522,43,1000),SEARCH(" - ",MID(B522,43,1000))-1),nrg_cb_e!$C$3:$C$40,0))</f>
        <v>FC_OTH_CP_E</v>
      </c>
      <c r="G522">
        <v>4918</v>
      </c>
    </row>
    <row r="523" spans="1:7" x14ac:dyDescent="0.2">
      <c r="A523" t="s">
        <v>59</v>
      </c>
      <c r="B523" t="s">
        <v>75</v>
      </c>
      <c r="C523" t="s">
        <v>8</v>
      </c>
      <c r="D523" t="s">
        <v>10</v>
      </c>
      <c r="E523" t="s">
        <v>23</v>
      </c>
      <c r="F523" s="20" t="str">
        <f>INDEX(nrg_cb_e!$A$3:$A$40,MATCH(LEFT(MID(B523,43,1000),SEARCH(" - ",MID(B523,43,1000))-1),nrg_cb_e!$C$3:$C$40,0))</f>
        <v>FC_OTH_CP_E</v>
      </c>
      <c r="G523">
        <v>4899</v>
      </c>
    </row>
    <row r="524" spans="1:7" x14ac:dyDescent="0.2">
      <c r="A524" t="s">
        <v>59</v>
      </c>
      <c r="B524" t="s">
        <v>75</v>
      </c>
      <c r="C524" t="s">
        <v>8</v>
      </c>
      <c r="D524" t="s">
        <v>10</v>
      </c>
      <c r="E524" t="s">
        <v>24</v>
      </c>
      <c r="F524" s="20" t="str">
        <f>INDEX(nrg_cb_e!$A$3:$A$40,MATCH(LEFT(MID(B524,43,1000),SEARCH(" - ",MID(B524,43,1000))-1),nrg_cb_e!$C$3:$C$40,0))</f>
        <v>FC_OTH_CP_E</v>
      </c>
      <c r="G524">
        <v>4566</v>
      </c>
    </row>
    <row r="525" spans="1:7" x14ac:dyDescent="0.2">
      <c r="A525" t="s">
        <v>59</v>
      </c>
      <c r="B525" t="s">
        <v>75</v>
      </c>
      <c r="C525" t="s">
        <v>8</v>
      </c>
      <c r="D525" t="s">
        <v>10</v>
      </c>
      <c r="E525" t="s">
        <v>25</v>
      </c>
      <c r="F525" s="20" t="str">
        <f>INDEX(nrg_cb_e!$A$3:$A$40,MATCH(LEFT(MID(B525,43,1000),SEARCH(" - ",MID(B525,43,1000))-1),nrg_cb_e!$C$3:$C$40,0))</f>
        <v>FC_OTH_CP_E</v>
      </c>
      <c r="G525">
        <v>4920</v>
      </c>
    </row>
    <row r="526" spans="1:7" x14ac:dyDescent="0.2">
      <c r="A526" t="s">
        <v>59</v>
      </c>
      <c r="B526" t="s">
        <v>75</v>
      </c>
      <c r="C526" t="s">
        <v>8</v>
      </c>
      <c r="D526" t="s">
        <v>10</v>
      </c>
      <c r="E526" t="s">
        <v>26</v>
      </c>
      <c r="F526" s="20" t="str">
        <f>INDEX(nrg_cb_e!$A$3:$A$40,MATCH(LEFT(MID(B526,43,1000),SEARCH(" - ",MID(B526,43,1000))-1),nrg_cb_e!$C$3:$C$40,0))</f>
        <v>FC_OTH_CP_E</v>
      </c>
      <c r="G526">
        <v>5005</v>
      </c>
    </row>
    <row r="527" spans="1:7" x14ac:dyDescent="0.2">
      <c r="A527" t="s">
        <v>59</v>
      </c>
      <c r="B527" t="s">
        <v>75</v>
      </c>
      <c r="C527" t="s">
        <v>8</v>
      </c>
      <c r="D527" t="s">
        <v>10</v>
      </c>
      <c r="E527" t="s">
        <v>27</v>
      </c>
      <c r="F527" s="20" t="str">
        <f>INDEX(nrg_cb_e!$A$3:$A$40,MATCH(LEFT(MID(B527,43,1000),SEARCH(" - ",MID(B527,43,1000))-1),nrg_cb_e!$C$3:$C$40,0))</f>
        <v>FC_OTH_CP_E</v>
      </c>
      <c r="G527">
        <v>5190.2700000000004</v>
      </c>
    </row>
    <row r="528" spans="1:7" x14ac:dyDescent="0.2">
      <c r="A528" t="s">
        <v>59</v>
      </c>
      <c r="B528" t="s">
        <v>75</v>
      </c>
      <c r="C528" t="s">
        <v>8</v>
      </c>
      <c r="D528" t="s">
        <v>10</v>
      </c>
      <c r="E528" t="s">
        <v>28</v>
      </c>
      <c r="F528" s="20" t="str">
        <f>INDEX(nrg_cb_e!$A$3:$A$40,MATCH(LEFT(MID(B528,43,1000),SEARCH(" - ",MID(B528,43,1000))-1),nrg_cb_e!$C$3:$C$40,0))</f>
        <v>FC_OTH_CP_E</v>
      </c>
      <c r="G528">
        <v>5183.1689999999999</v>
      </c>
    </row>
    <row r="529" spans="1:7" x14ac:dyDescent="0.2">
      <c r="A529" t="s">
        <v>29</v>
      </c>
      <c r="B529" t="s">
        <v>76</v>
      </c>
      <c r="C529" t="s">
        <v>8</v>
      </c>
      <c r="D529" t="s">
        <v>10</v>
      </c>
      <c r="E529" t="s">
        <v>12</v>
      </c>
      <c r="F529" s="20" t="str">
        <f>INDEX(nrg_cb_e!$A$3:$A$40,MATCH(LEFT(MID(B529,43,1000),SEARCH(" - ",MID(B529,43,1000))-1),nrg_cb_e!$C$3:$C$40,0))</f>
        <v>FC_OTH_HH_E</v>
      </c>
      <c r="G529">
        <v>25921</v>
      </c>
    </row>
    <row r="530" spans="1:7" x14ac:dyDescent="0.2">
      <c r="A530" t="s">
        <v>29</v>
      </c>
      <c r="B530" t="s">
        <v>76</v>
      </c>
      <c r="C530" t="s">
        <v>8</v>
      </c>
      <c r="D530" t="s">
        <v>10</v>
      </c>
      <c r="E530" t="s">
        <v>13</v>
      </c>
      <c r="F530" s="20" t="str">
        <f>INDEX(nrg_cb_e!$A$3:$A$40,MATCH(LEFT(MID(B530,43,1000),SEARCH(" - ",MID(B530,43,1000))-1),nrg_cb_e!$C$3:$C$40,0))</f>
        <v>FC_OTH_HH_E</v>
      </c>
      <c r="G530">
        <v>26026</v>
      </c>
    </row>
    <row r="531" spans="1:7" x14ac:dyDescent="0.2">
      <c r="A531" t="s">
        <v>29</v>
      </c>
      <c r="B531" t="s">
        <v>76</v>
      </c>
      <c r="C531" t="s">
        <v>8</v>
      </c>
      <c r="D531" t="s">
        <v>10</v>
      </c>
      <c r="E531" t="s">
        <v>14</v>
      </c>
      <c r="F531" s="20" t="str">
        <f>INDEX(nrg_cb_e!$A$3:$A$40,MATCH(LEFT(MID(B531,43,1000),SEARCH(" - ",MID(B531,43,1000))-1),nrg_cb_e!$C$3:$C$40,0))</f>
        <v>FC_OTH_HH_E</v>
      </c>
      <c r="G531">
        <v>26543</v>
      </c>
    </row>
    <row r="532" spans="1:7" x14ac:dyDescent="0.2">
      <c r="A532" t="s">
        <v>29</v>
      </c>
      <c r="B532" t="s">
        <v>76</v>
      </c>
      <c r="C532" t="s">
        <v>8</v>
      </c>
      <c r="D532" t="s">
        <v>10</v>
      </c>
      <c r="E532" t="s">
        <v>15</v>
      </c>
      <c r="F532" s="20" t="str">
        <f>INDEX(nrg_cb_e!$A$3:$A$40,MATCH(LEFT(MID(B532,43,1000),SEARCH(" - ",MID(B532,43,1000))-1),nrg_cb_e!$C$3:$C$40,0))</f>
        <v>FC_OTH_HH_E</v>
      </c>
      <c r="G532">
        <v>26007</v>
      </c>
    </row>
    <row r="533" spans="1:7" x14ac:dyDescent="0.2">
      <c r="A533" t="s">
        <v>29</v>
      </c>
      <c r="B533" t="s">
        <v>76</v>
      </c>
      <c r="C533" t="s">
        <v>8</v>
      </c>
      <c r="D533" t="s">
        <v>10</v>
      </c>
      <c r="E533" t="s">
        <v>16</v>
      </c>
      <c r="F533" s="20" t="str">
        <f>INDEX(nrg_cb_e!$A$3:$A$40,MATCH(LEFT(MID(B533,43,1000),SEARCH(" - ",MID(B533,43,1000))-1),nrg_cb_e!$C$3:$C$40,0))</f>
        <v>FC_OTH_HH_E</v>
      </c>
      <c r="G533">
        <v>22722</v>
      </c>
    </row>
    <row r="534" spans="1:7" x14ac:dyDescent="0.2">
      <c r="A534" t="s">
        <v>29</v>
      </c>
      <c r="B534" t="s">
        <v>76</v>
      </c>
      <c r="C534" t="s">
        <v>8</v>
      </c>
      <c r="D534" t="s">
        <v>10</v>
      </c>
      <c r="E534" t="s">
        <v>17</v>
      </c>
      <c r="F534" s="20" t="str">
        <f>INDEX(nrg_cb_e!$A$3:$A$40,MATCH(LEFT(MID(B534,43,1000),SEARCH(" - ",MID(B534,43,1000))-1),nrg_cb_e!$C$3:$C$40,0))</f>
        <v>FC_OTH_HH_E</v>
      </c>
      <c r="G534">
        <v>21856</v>
      </c>
    </row>
    <row r="535" spans="1:7" x14ac:dyDescent="0.2">
      <c r="A535" t="s">
        <v>29</v>
      </c>
      <c r="B535" t="s">
        <v>76</v>
      </c>
      <c r="C535" t="s">
        <v>8</v>
      </c>
      <c r="D535" t="s">
        <v>10</v>
      </c>
      <c r="E535" t="s">
        <v>18</v>
      </c>
      <c r="F535" s="20" t="str">
        <f>INDEX(nrg_cb_e!$A$3:$A$40,MATCH(LEFT(MID(B535,43,1000),SEARCH(" - ",MID(B535,43,1000))-1),nrg_cb_e!$C$3:$C$40,0))</f>
        <v>FC_OTH_HH_E</v>
      </c>
      <c r="G535">
        <v>19982</v>
      </c>
    </row>
    <row r="536" spans="1:7" x14ac:dyDescent="0.2">
      <c r="A536" t="s">
        <v>29</v>
      </c>
      <c r="B536" t="s">
        <v>76</v>
      </c>
      <c r="C536" t="s">
        <v>8</v>
      </c>
      <c r="D536" t="s">
        <v>10</v>
      </c>
      <c r="E536" t="s">
        <v>19</v>
      </c>
      <c r="F536" s="20" t="str">
        <f>INDEX(nrg_cb_e!$A$3:$A$40,MATCH(LEFT(MID(B536,43,1000),SEARCH(" - ",MID(B536,43,1000))-1),nrg_cb_e!$C$3:$C$40,0))</f>
        <v>FC_OTH_HH_E</v>
      </c>
      <c r="G536">
        <v>20210</v>
      </c>
    </row>
    <row r="537" spans="1:7" x14ac:dyDescent="0.2">
      <c r="A537" t="s">
        <v>29</v>
      </c>
      <c r="B537" t="s">
        <v>76</v>
      </c>
      <c r="C537" t="s">
        <v>8</v>
      </c>
      <c r="D537" t="s">
        <v>10</v>
      </c>
      <c r="E537" t="s">
        <v>20</v>
      </c>
      <c r="F537" s="20" t="str">
        <f>INDEX(nrg_cb_e!$A$3:$A$40,MATCH(LEFT(MID(B537,43,1000),SEARCH(" - ",MID(B537,43,1000))-1),nrg_cb_e!$C$3:$C$40,0))</f>
        <v>FC_OTH_HH_E</v>
      </c>
      <c r="G537">
        <v>20276</v>
      </c>
    </row>
    <row r="538" spans="1:7" x14ac:dyDescent="0.2">
      <c r="A538" t="s">
        <v>29</v>
      </c>
      <c r="B538" t="s">
        <v>76</v>
      </c>
      <c r="C538" t="s">
        <v>8</v>
      </c>
      <c r="D538" t="s">
        <v>10</v>
      </c>
      <c r="E538" t="s">
        <v>21</v>
      </c>
      <c r="F538" s="20" t="str">
        <f>INDEX(nrg_cb_e!$A$3:$A$40,MATCH(LEFT(MID(B538,43,1000),SEARCH(" - ",MID(B538,43,1000))-1),nrg_cb_e!$C$3:$C$40,0))</f>
        <v>FC_OTH_HH_E</v>
      </c>
      <c r="G538">
        <v>19257</v>
      </c>
    </row>
    <row r="539" spans="1:7" x14ac:dyDescent="0.2">
      <c r="A539" t="s">
        <v>29</v>
      </c>
      <c r="B539" t="s">
        <v>76</v>
      </c>
      <c r="C539" t="s">
        <v>8</v>
      </c>
      <c r="D539" t="s">
        <v>10</v>
      </c>
      <c r="E539" t="s">
        <v>22</v>
      </c>
      <c r="F539" s="20" t="str">
        <f>INDEX(nrg_cb_e!$A$3:$A$40,MATCH(LEFT(MID(B539,43,1000),SEARCH(" - ",MID(B539,43,1000))-1),nrg_cb_e!$C$3:$C$40,0))</f>
        <v>FC_OTH_HH_E</v>
      </c>
      <c r="G539">
        <v>19848</v>
      </c>
    </row>
    <row r="540" spans="1:7" x14ac:dyDescent="0.2">
      <c r="A540" t="s">
        <v>29</v>
      </c>
      <c r="B540" t="s">
        <v>76</v>
      </c>
      <c r="C540" t="s">
        <v>8</v>
      </c>
      <c r="D540" t="s">
        <v>10</v>
      </c>
      <c r="E540" t="s">
        <v>23</v>
      </c>
      <c r="F540" s="20" t="str">
        <f>INDEX(nrg_cb_e!$A$3:$A$40,MATCH(LEFT(MID(B540,43,1000),SEARCH(" - ",MID(B540,43,1000))-1),nrg_cb_e!$C$3:$C$40,0))</f>
        <v>FC_OTH_HH_E</v>
      </c>
      <c r="G540">
        <v>19810</v>
      </c>
    </row>
    <row r="541" spans="1:7" x14ac:dyDescent="0.2">
      <c r="A541" t="s">
        <v>29</v>
      </c>
      <c r="B541" t="s">
        <v>76</v>
      </c>
      <c r="C541" t="s">
        <v>8</v>
      </c>
      <c r="D541" t="s">
        <v>10</v>
      </c>
      <c r="E541" t="s">
        <v>24</v>
      </c>
      <c r="F541" s="20" t="str">
        <f>INDEX(nrg_cb_e!$A$3:$A$40,MATCH(LEFT(MID(B541,43,1000),SEARCH(" - ",MID(B541,43,1000))-1),nrg_cb_e!$C$3:$C$40,0))</f>
        <v>FC_OTH_HH_E</v>
      </c>
      <c r="G541">
        <v>18992.2</v>
      </c>
    </row>
    <row r="542" spans="1:7" x14ac:dyDescent="0.2">
      <c r="A542" t="s">
        <v>29</v>
      </c>
      <c r="B542" t="s">
        <v>76</v>
      </c>
      <c r="C542" t="s">
        <v>8</v>
      </c>
      <c r="D542" t="s">
        <v>10</v>
      </c>
      <c r="E542" t="s">
        <v>25</v>
      </c>
      <c r="F542" s="20" t="str">
        <f>INDEX(nrg_cb_e!$A$3:$A$40,MATCH(LEFT(MID(B542,43,1000),SEARCH(" - ",MID(B542,43,1000))-1),nrg_cb_e!$C$3:$C$40,0))</f>
        <v>FC_OTH_HH_E</v>
      </c>
      <c r="G542">
        <v>18862.2</v>
      </c>
    </row>
    <row r="543" spans="1:7" x14ac:dyDescent="0.2">
      <c r="A543" t="s">
        <v>29</v>
      </c>
      <c r="B543" t="s">
        <v>76</v>
      </c>
      <c r="C543" t="s">
        <v>8</v>
      </c>
      <c r="D543" t="s">
        <v>10</v>
      </c>
      <c r="E543" t="s">
        <v>26</v>
      </c>
      <c r="F543" s="20" t="str">
        <f>INDEX(nrg_cb_e!$A$3:$A$40,MATCH(LEFT(MID(B543,43,1000),SEARCH(" - ",MID(B543,43,1000))-1),nrg_cb_e!$C$3:$C$40,0))</f>
        <v>FC_OTH_HH_E</v>
      </c>
      <c r="G543">
        <v>18884.599999999999</v>
      </c>
    </row>
    <row r="544" spans="1:7" x14ac:dyDescent="0.2">
      <c r="A544" t="s">
        <v>29</v>
      </c>
      <c r="B544" t="s">
        <v>76</v>
      </c>
      <c r="C544" t="s">
        <v>8</v>
      </c>
      <c r="D544" t="s">
        <v>10</v>
      </c>
      <c r="E544" t="s">
        <v>27</v>
      </c>
      <c r="F544" s="20" t="str">
        <f>INDEX(nrg_cb_e!$A$3:$A$40,MATCH(LEFT(MID(B544,43,1000),SEARCH(" - ",MID(B544,43,1000))-1),nrg_cb_e!$C$3:$C$40,0))</f>
        <v>FC_OTH_HH_E</v>
      </c>
      <c r="G544">
        <v>18567.599999999999</v>
      </c>
    </row>
    <row r="545" spans="1:7" x14ac:dyDescent="0.2">
      <c r="A545" t="s">
        <v>29</v>
      </c>
      <c r="B545" t="s">
        <v>76</v>
      </c>
      <c r="C545" t="s">
        <v>8</v>
      </c>
      <c r="D545" t="s">
        <v>10</v>
      </c>
      <c r="E545" t="s">
        <v>28</v>
      </c>
      <c r="F545" s="20" t="str">
        <f>INDEX(nrg_cb_e!$A$3:$A$40,MATCH(LEFT(MID(B545,43,1000),SEARCH(" - ",MID(B545,43,1000))-1),nrg_cb_e!$C$3:$C$40,0))</f>
        <v>FC_OTH_HH_E</v>
      </c>
      <c r="G545">
        <v>18440.8</v>
      </c>
    </row>
    <row r="546" spans="1:7" x14ac:dyDescent="0.2">
      <c r="A546" t="s">
        <v>30</v>
      </c>
      <c r="B546" t="s">
        <v>76</v>
      </c>
      <c r="C546" t="s">
        <v>8</v>
      </c>
      <c r="D546" t="s">
        <v>10</v>
      </c>
      <c r="E546" t="s">
        <v>12</v>
      </c>
      <c r="F546" s="20" t="str">
        <f>INDEX(nrg_cb_e!$A$3:$A$40,MATCH(LEFT(MID(B546,43,1000),SEARCH(" - ",MID(B546,43,1000))-1),nrg_cb_e!$C$3:$C$40,0))</f>
        <v>FC_OTH_HH_E</v>
      </c>
      <c r="G546">
        <v>9306</v>
      </c>
    </row>
    <row r="547" spans="1:7" x14ac:dyDescent="0.2">
      <c r="A547" t="s">
        <v>30</v>
      </c>
      <c r="B547" t="s">
        <v>76</v>
      </c>
      <c r="C547" t="s">
        <v>8</v>
      </c>
      <c r="D547" t="s">
        <v>10</v>
      </c>
      <c r="E547" t="s">
        <v>13</v>
      </c>
      <c r="F547" s="20" t="str">
        <f>INDEX(nrg_cb_e!$A$3:$A$40,MATCH(LEFT(MID(B547,43,1000),SEARCH(" - ",MID(B547,43,1000))-1),nrg_cb_e!$C$3:$C$40,0))</f>
        <v>FC_OTH_HH_E</v>
      </c>
      <c r="G547">
        <v>9311</v>
      </c>
    </row>
    <row r="548" spans="1:7" x14ac:dyDescent="0.2">
      <c r="A548" t="s">
        <v>30</v>
      </c>
      <c r="B548" t="s">
        <v>76</v>
      </c>
      <c r="C548" t="s">
        <v>8</v>
      </c>
      <c r="D548" t="s">
        <v>10</v>
      </c>
      <c r="E548" t="s">
        <v>14</v>
      </c>
      <c r="F548" s="20" t="str">
        <f>INDEX(nrg_cb_e!$A$3:$A$40,MATCH(LEFT(MID(B548,43,1000),SEARCH(" - ",MID(B548,43,1000))-1),nrg_cb_e!$C$3:$C$40,0))</f>
        <v>FC_OTH_HH_E</v>
      </c>
      <c r="G548">
        <v>8770</v>
      </c>
    </row>
    <row r="549" spans="1:7" x14ac:dyDescent="0.2">
      <c r="A549" t="s">
        <v>30</v>
      </c>
      <c r="B549" t="s">
        <v>76</v>
      </c>
      <c r="C549" t="s">
        <v>8</v>
      </c>
      <c r="D549" t="s">
        <v>10</v>
      </c>
      <c r="E549" t="s">
        <v>15</v>
      </c>
      <c r="F549" s="20" t="str">
        <f>INDEX(nrg_cb_e!$A$3:$A$40,MATCH(LEFT(MID(B549,43,1000),SEARCH(" - ",MID(B549,43,1000))-1),nrg_cb_e!$C$3:$C$40,0))</f>
        <v>FC_OTH_HH_E</v>
      </c>
      <c r="G549">
        <v>9046</v>
      </c>
    </row>
    <row r="550" spans="1:7" x14ac:dyDescent="0.2">
      <c r="A550" t="s">
        <v>30</v>
      </c>
      <c r="B550" t="s">
        <v>76</v>
      </c>
      <c r="C550" t="s">
        <v>8</v>
      </c>
      <c r="D550" t="s">
        <v>10</v>
      </c>
      <c r="E550" t="s">
        <v>16</v>
      </c>
      <c r="F550" s="20" t="str">
        <f>INDEX(nrg_cb_e!$A$3:$A$40,MATCH(LEFT(MID(B550,43,1000),SEARCH(" - ",MID(B550,43,1000))-1),nrg_cb_e!$C$3:$C$40,0))</f>
        <v>FC_OTH_HH_E</v>
      </c>
      <c r="G550">
        <v>9305</v>
      </c>
    </row>
    <row r="551" spans="1:7" x14ac:dyDescent="0.2">
      <c r="A551" t="s">
        <v>30</v>
      </c>
      <c r="B551" t="s">
        <v>76</v>
      </c>
      <c r="C551" t="s">
        <v>8</v>
      </c>
      <c r="D551" t="s">
        <v>10</v>
      </c>
      <c r="E551" t="s">
        <v>17</v>
      </c>
      <c r="F551" s="20" t="str">
        <f>INDEX(nrg_cb_e!$A$3:$A$40,MATCH(LEFT(MID(B551,43,1000),SEARCH(" - ",MID(B551,43,1000))-1),nrg_cb_e!$C$3:$C$40,0))</f>
        <v>FC_OTH_HH_E</v>
      </c>
      <c r="G551">
        <v>9376</v>
      </c>
    </row>
    <row r="552" spans="1:7" x14ac:dyDescent="0.2">
      <c r="A552" t="s">
        <v>30</v>
      </c>
      <c r="B552" t="s">
        <v>76</v>
      </c>
      <c r="C552" t="s">
        <v>8</v>
      </c>
      <c r="D552" t="s">
        <v>10</v>
      </c>
      <c r="E552" t="s">
        <v>18</v>
      </c>
      <c r="F552" s="20" t="str">
        <f>INDEX(nrg_cb_e!$A$3:$A$40,MATCH(LEFT(MID(B552,43,1000),SEARCH(" - ",MID(B552,43,1000))-1),nrg_cb_e!$C$3:$C$40,0))</f>
        <v>FC_OTH_HH_E</v>
      </c>
      <c r="G552">
        <v>10027</v>
      </c>
    </row>
    <row r="553" spans="1:7" x14ac:dyDescent="0.2">
      <c r="A553" t="s">
        <v>30</v>
      </c>
      <c r="B553" t="s">
        <v>76</v>
      </c>
      <c r="C553" t="s">
        <v>8</v>
      </c>
      <c r="D553" t="s">
        <v>10</v>
      </c>
      <c r="E553" t="s">
        <v>19</v>
      </c>
      <c r="F553" s="20" t="str">
        <f>INDEX(nrg_cb_e!$A$3:$A$40,MATCH(LEFT(MID(B553,43,1000),SEARCH(" - ",MID(B553,43,1000))-1),nrg_cb_e!$C$3:$C$40,0))</f>
        <v>FC_OTH_HH_E</v>
      </c>
      <c r="G553">
        <v>10302</v>
      </c>
    </row>
    <row r="554" spans="1:7" x14ac:dyDescent="0.2">
      <c r="A554" t="s">
        <v>30</v>
      </c>
      <c r="B554" t="s">
        <v>76</v>
      </c>
      <c r="C554" t="s">
        <v>8</v>
      </c>
      <c r="D554" t="s">
        <v>10</v>
      </c>
      <c r="E554" t="s">
        <v>20</v>
      </c>
      <c r="F554" s="20" t="str">
        <f>INDEX(nrg_cb_e!$A$3:$A$40,MATCH(LEFT(MID(B554,43,1000),SEARCH(" - ",MID(B554,43,1000))-1),nrg_cb_e!$C$3:$C$40,0))</f>
        <v>FC_OTH_HH_E</v>
      </c>
      <c r="G554">
        <v>10559</v>
      </c>
    </row>
    <row r="555" spans="1:7" x14ac:dyDescent="0.2">
      <c r="A555" t="s">
        <v>30</v>
      </c>
      <c r="B555" t="s">
        <v>76</v>
      </c>
      <c r="C555" t="s">
        <v>8</v>
      </c>
      <c r="D555" t="s">
        <v>10</v>
      </c>
      <c r="E555" t="s">
        <v>21</v>
      </c>
      <c r="F555" s="20" t="str">
        <f>INDEX(nrg_cb_e!$A$3:$A$40,MATCH(LEFT(MID(B555,43,1000),SEARCH(" - ",MID(B555,43,1000))-1),nrg_cb_e!$C$3:$C$40,0))</f>
        <v>FC_OTH_HH_E</v>
      </c>
      <c r="G555">
        <v>10912</v>
      </c>
    </row>
    <row r="556" spans="1:7" x14ac:dyDescent="0.2">
      <c r="A556" t="s">
        <v>30</v>
      </c>
      <c r="B556" t="s">
        <v>76</v>
      </c>
      <c r="C556" t="s">
        <v>8</v>
      </c>
      <c r="D556" t="s">
        <v>10</v>
      </c>
      <c r="E556" t="s">
        <v>22</v>
      </c>
      <c r="F556" s="20" t="str">
        <f>INDEX(nrg_cb_e!$A$3:$A$40,MATCH(LEFT(MID(B556,43,1000),SEARCH(" - ",MID(B556,43,1000))-1),nrg_cb_e!$C$3:$C$40,0))</f>
        <v>FC_OTH_HH_E</v>
      </c>
      <c r="G556">
        <v>10838</v>
      </c>
    </row>
    <row r="557" spans="1:7" x14ac:dyDescent="0.2">
      <c r="A557" t="s">
        <v>30</v>
      </c>
      <c r="B557" t="s">
        <v>76</v>
      </c>
      <c r="C557" t="s">
        <v>8</v>
      </c>
      <c r="D557" t="s">
        <v>10</v>
      </c>
      <c r="E557" t="s">
        <v>23</v>
      </c>
      <c r="F557" s="20" t="str">
        <f>INDEX(nrg_cb_e!$A$3:$A$40,MATCH(LEFT(MID(B557,43,1000),SEARCH(" - ",MID(B557,43,1000))-1),nrg_cb_e!$C$3:$C$40,0))</f>
        <v>FC_OTH_HH_E</v>
      </c>
      <c r="G557">
        <v>10537</v>
      </c>
    </row>
    <row r="558" spans="1:7" x14ac:dyDescent="0.2">
      <c r="A558" t="s">
        <v>30</v>
      </c>
      <c r="B558" t="s">
        <v>76</v>
      </c>
      <c r="C558" t="s">
        <v>8</v>
      </c>
      <c r="D558" t="s">
        <v>10</v>
      </c>
      <c r="E558" t="s">
        <v>24</v>
      </c>
      <c r="F558" s="20" t="str">
        <f>INDEX(nrg_cb_e!$A$3:$A$40,MATCH(LEFT(MID(B558,43,1000),SEARCH(" - ",MID(B558,43,1000))-1),nrg_cb_e!$C$3:$C$40,0))</f>
        <v>FC_OTH_HH_E</v>
      </c>
      <c r="G558">
        <v>10590</v>
      </c>
    </row>
    <row r="559" spans="1:7" x14ac:dyDescent="0.2">
      <c r="A559" t="s">
        <v>30</v>
      </c>
      <c r="B559" t="s">
        <v>76</v>
      </c>
      <c r="C559" t="s">
        <v>8</v>
      </c>
      <c r="D559" t="s">
        <v>10</v>
      </c>
      <c r="E559" t="s">
        <v>25</v>
      </c>
      <c r="F559" s="20" t="str">
        <f>INDEX(nrg_cb_e!$A$3:$A$40,MATCH(LEFT(MID(B559,43,1000),SEARCH(" - ",MID(B559,43,1000))-1),nrg_cb_e!$C$3:$C$40,0))</f>
        <v>FC_OTH_HH_E</v>
      </c>
      <c r="G559">
        <v>10644</v>
      </c>
    </row>
    <row r="560" spans="1:7" x14ac:dyDescent="0.2">
      <c r="A560" t="s">
        <v>30</v>
      </c>
      <c r="B560" t="s">
        <v>76</v>
      </c>
      <c r="C560" t="s">
        <v>8</v>
      </c>
      <c r="D560" t="s">
        <v>10</v>
      </c>
      <c r="E560" t="s">
        <v>26</v>
      </c>
      <c r="F560" s="20" t="str">
        <f>INDEX(nrg_cb_e!$A$3:$A$40,MATCH(LEFT(MID(B560,43,1000),SEARCH(" - ",MID(B560,43,1000))-1),nrg_cb_e!$C$3:$C$40,0))</f>
        <v>FC_OTH_HH_E</v>
      </c>
      <c r="G560">
        <v>10733</v>
      </c>
    </row>
    <row r="561" spans="1:7" x14ac:dyDescent="0.2">
      <c r="A561" t="s">
        <v>30</v>
      </c>
      <c r="B561" t="s">
        <v>76</v>
      </c>
      <c r="C561" t="s">
        <v>8</v>
      </c>
      <c r="D561" t="s">
        <v>10</v>
      </c>
      <c r="E561" t="s">
        <v>27</v>
      </c>
      <c r="F561" s="20" t="str">
        <f>INDEX(nrg_cb_e!$A$3:$A$40,MATCH(LEFT(MID(B561,43,1000),SEARCH(" - ",MID(B561,43,1000))-1),nrg_cb_e!$C$3:$C$40,0))</f>
        <v>FC_OTH_HH_E</v>
      </c>
      <c r="G561">
        <v>11137.538</v>
      </c>
    </row>
    <row r="562" spans="1:7" x14ac:dyDescent="0.2">
      <c r="A562" t="s">
        <v>30</v>
      </c>
      <c r="B562" t="s">
        <v>76</v>
      </c>
      <c r="C562" t="s">
        <v>8</v>
      </c>
      <c r="D562" t="s">
        <v>10</v>
      </c>
      <c r="E562" t="s">
        <v>28</v>
      </c>
      <c r="F562" s="20" t="str">
        <f>INDEX(nrg_cb_e!$A$3:$A$40,MATCH(LEFT(MID(B562,43,1000),SEARCH(" - ",MID(B562,43,1000))-1),nrg_cb_e!$C$3:$C$40,0))</f>
        <v>FC_OTH_HH_E</v>
      </c>
      <c r="G562">
        <v>10963.025</v>
      </c>
    </row>
    <row r="563" spans="1:7" x14ac:dyDescent="0.2">
      <c r="A563" t="s">
        <v>31</v>
      </c>
      <c r="B563" t="s">
        <v>76</v>
      </c>
      <c r="C563" t="s">
        <v>8</v>
      </c>
      <c r="D563" t="s">
        <v>10</v>
      </c>
      <c r="E563" t="s">
        <v>12</v>
      </c>
      <c r="F563" s="20" t="str">
        <f>INDEX(nrg_cb_e!$A$3:$A$40,MATCH(LEFT(MID(B563,43,1000),SEARCH(" - ",MID(B563,43,1000))-1),nrg_cb_e!$C$3:$C$40,0))</f>
        <v>FC_OTH_HH_E</v>
      </c>
      <c r="G563">
        <v>14121</v>
      </c>
    </row>
    <row r="564" spans="1:7" x14ac:dyDescent="0.2">
      <c r="A564" t="s">
        <v>31</v>
      </c>
      <c r="B564" t="s">
        <v>76</v>
      </c>
      <c r="C564" t="s">
        <v>8</v>
      </c>
      <c r="D564" t="s">
        <v>10</v>
      </c>
      <c r="E564" t="s">
        <v>13</v>
      </c>
      <c r="F564" s="20" t="str">
        <f>INDEX(nrg_cb_e!$A$3:$A$40,MATCH(LEFT(MID(B564,43,1000),SEARCH(" - ",MID(B564,43,1000))-1),nrg_cb_e!$C$3:$C$40,0))</f>
        <v>FC_OTH_HH_E</v>
      </c>
      <c r="G564">
        <v>14508</v>
      </c>
    </row>
    <row r="565" spans="1:7" x14ac:dyDescent="0.2">
      <c r="A565" t="s">
        <v>31</v>
      </c>
      <c r="B565" t="s">
        <v>76</v>
      </c>
      <c r="C565" t="s">
        <v>8</v>
      </c>
      <c r="D565" t="s">
        <v>10</v>
      </c>
      <c r="E565" t="s">
        <v>14</v>
      </c>
      <c r="F565" s="20" t="str">
        <f>INDEX(nrg_cb_e!$A$3:$A$40,MATCH(LEFT(MID(B565,43,1000),SEARCH(" - ",MID(B565,43,1000))-1),nrg_cb_e!$C$3:$C$40,0))</f>
        <v>FC_OTH_HH_E</v>
      </c>
      <c r="G565">
        <v>14525</v>
      </c>
    </row>
    <row r="566" spans="1:7" x14ac:dyDescent="0.2">
      <c r="A566" t="s">
        <v>31</v>
      </c>
      <c r="B566" t="s">
        <v>76</v>
      </c>
      <c r="C566" t="s">
        <v>8</v>
      </c>
      <c r="D566" t="s">
        <v>10</v>
      </c>
      <c r="E566" t="s">
        <v>15</v>
      </c>
      <c r="F566" s="20" t="str">
        <f>INDEX(nrg_cb_e!$A$3:$A$40,MATCH(LEFT(MID(B566,43,1000),SEARCH(" - ",MID(B566,43,1000))-1),nrg_cb_e!$C$3:$C$40,0))</f>
        <v>FC_OTH_HH_E</v>
      </c>
      <c r="G566">
        <v>14719</v>
      </c>
    </row>
    <row r="567" spans="1:7" x14ac:dyDescent="0.2">
      <c r="A567" t="s">
        <v>31</v>
      </c>
      <c r="B567" t="s">
        <v>76</v>
      </c>
      <c r="C567" t="s">
        <v>8</v>
      </c>
      <c r="D567" t="s">
        <v>10</v>
      </c>
      <c r="E567" t="s">
        <v>16</v>
      </c>
      <c r="F567" s="20" t="str">
        <f>INDEX(nrg_cb_e!$A$3:$A$40,MATCH(LEFT(MID(B567,43,1000),SEARCH(" - ",MID(B567,43,1000))-1),nrg_cb_e!$C$3:$C$40,0))</f>
        <v>FC_OTH_HH_E</v>
      </c>
      <c r="G567">
        <v>15198</v>
      </c>
    </row>
    <row r="568" spans="1:7" x14ac:dyDescent="0.2">
      <c r="A568" t="s">
        <v>31</v>
      </c>
      <c r="B568" t="s">
        <v>76</v>
      </c>
      <c r="C568" t="s">
        <v>8</v>
      </c>
      <c r="D568" t="s">
        <v>10</v>
      </c>
      <c r="E568" t="s">
        <v>17</v>
      </c>
      <c r="F568" s="20" t="str">
        <f>INDEX(nrg_cb_e!$A$3:$A$40,MATCH(LEFT(MID(B568,43,1000),SEARCH(" - ",MID(B568,43,1000))-1),nrg_cb_e!$C$3:$C$40,0))</f>
        <v>FC_OTH_HH_E</v>
      </c>
      <c r="G568">
        <v>14646</v>
      </c>
    </row>
    <row r="569" spans="1:7" x14ac:dyDescent="0.2">
      <c r="A569" t="s">
        <v>31</v>
      </c>
      <c r="B569" t="s">
        <v>76</v>
      </c>
      <c r="C569" t="s">
        <v>8</v>
      </c>
      <c r="D569" t="s">
        <v>10</v>
      </c>
      <c r="E569" t="s">
        <v>18</v>
      </c>
      <c r="F569" s="20" t="str">
        <f>INDEX(nrg_cb_e!$A$3:$A$40,MATCH(LEFT(MID(B569,43,1000),SEARCH(" - ",MID(B569,43,1000))-1),nrg_cb_e!$C$3:$C$40,0))</f>
        <v>FC_OTH_HH_E</v>
      </c>
      <c r="G569">
        <v>14703</v>
      </c>
    </row>
    <row r="570" spans="1:7" x14ac:dyDescent="0.2">
      <c r="A570" t="s">
        <v>31</v>
      </c>
      <c r="B570" t="s">
        <v>76</v>
      </c>
      <c r="C570" t="s">
        <v>8</v>
      </c>
      <c r="D570" t="s">
        <v>10</v>
      </c>
      <c r="E570" t="s">
        <v>19</v>
      </c>
      <c r="F570" s="20" t="str">
        <f>INDEX(nrg_cb_e!$A$3:$A$40,MATCH(LEFT(MID(B570,43,1000),SEARCH(" - ",MID(B570,43,1000))-1),nrg_cb_e!$C$3:$C$40,0))</f>
        <v>FC_OTH_HH_E</v>
      </c>
      <c r="G570">
        <v>14687</v>
      </c>
    </row>
    <row r="571" spans="1:7" x14ac:dyDescent="0.2">
      <c r="A571" t="s">
        <v>31</v>
      </c>
      <c r="B571" t="s">
        <v>76</v>
      </c>
      <c r="C571" t="s">
        <v>8</v>
      </c>
      <c r="D571" t="s">
        <v>10</v>
      </c>
      <c r="E571" t="s">
        <v>20</v>
      </c>
      <c r="F571" s="20" t="str">
        <f>INDEX(nrg_cb_e!$A$3:$A$40,MATCH(LEFT(MID(B571,43,1000),SEARCH(" - ",MID(B571,43,1000))-1),nrg_cb_e!$C$3:$C$40,0))</f>
        <v>FC_OTH_HH_E</v>
      </c>
      <c r="G571">
        <v>15028</v>
      </c>
    </row>
    <row r="572" spans="1:7" x14ac:dyDescent="0.2">
      <c r="A572" t="s">
        <v>31</v>
      </c>
      <c r="B572" t="s">
        <v>76</v>
      </c>
      <c r="C572" t="s">
        <v>8</v>
      </c>
      <c r="D572" t="s">
        <v>10</v>
      </c>
      <c r="E572" t="s">
        <v>21</v>
      </c>
      <c r="F572" s="20" t="str">
        <f>INDEX(nrg_cb_e!$A$3:$A$40,MATCH(LEFT(MID(B572,43,1000),SEARCH(" - ",MID(B572,43,1000))-1),nrg_cb_e!$C$3:$C$40,0))</f>
        <v>FC_OTH_HH_E</v>
      </c>
      <c r="G572">
        <v>14200</v>
      </c>
    </row>
    <row r="573" spans="1:7" x14ac:dyDescent="0.2">
      <c r="A573" t="s">
        <v>31</v>
      </c>
      <c r="B573" t="s">
        <v>76</v>
      </c>
      <c r="C573" t="s">
        <v>8</v>
      </c>
      <c r="D573" t="s">
        <v>10</v>
      </c>
      <c r="E573" t="s">
        <v>22</v>
      </c>
      <c r="F573" s="20" t="str">
        <f>INDEX(nrg_cb_e!$A$3:$A$40,MATCH(LEFT(MID(B573,43,1000),SEARCH(" - ",MID(B573,43,1000))-1),nrg_cb_e!$C$3:$C$40,0))</f>
        <v>FC_OTH_HH_E</v>
      </c>
      <c r="G573">
        <v>14581</v>
      </c>
    </row>
    <row r="574" spans="1:7" x14ac:dyDescent="0.2">
      <c r="A574" t="s">
        <v>31</v>
      </c>
      <c r="B574" t="s">
        <v>76</v>
      </c>
      <c r="C574" t="s">
        <v>8</v>
      </c>
      <c r="D574" t="s">
        <v>10</v>
      </c>
      <c r="E574" t="s">
        <v>23</v>
      </c>
      <c r="F574" s="20" t="str">
        <f>INDEX(nrg_cb_e!$A$3:$A$40,MATCH(LEFT(MID(B574,43,1000),SEARCH(" - ",MID(B574,43,1000))-1),nrg_cb_e!$C$3:$C$40,0))</f>
        <v>FC_OTH_HH_E</v>
      </c>
      <c r="G574">
        <v>14716</v>
      </c>
    </row>
    <row r="575" spans="1:7" x14ac:dyDescent="0.2">
      <c r="A575" t="s">
        <v>31</v>
      </c>
      <c r="B575" t="s">
        <v>76</v>
      </c>
      <c r="C575" t="s">
        <v>8</v>
      </c>
      <c r="D575" t="s">
        <v>10</v>
      </c>
      <c r="E575" t="s">
        <v>24</v>
      </c>
      <c r="F575" s="20" t="str">
        <f>INDEX(nrg_cb_e!$A$3:$A$40,MATCH(LEFT(MID(B575,43,1000),SEARCH(" - ",MID(B575,43,1000))-1),nrg_cb_e!$C$3:$C$40,0))</f>
        <v>FC_OTH_HH_E</v>
      </c>
      <c r="G575">
        <v>14125</v>
      </c>
    </row>
    <row r="576" spans="1:7" x14ac:dyDescent="0.2">
      <c r="A576" t="s">
        <v>31</v>
      </c>
      <c r="B576" t="s">
        <v>76</v>
      </c>
      <c r="C576" t="s">
        <v>8</v>
      </c>
      <c r="D576" t="s">
        <v>10</v>
      </c>
      <c r="E576" t="s">
        <v>25</v>
      </c>
      <c r="F576" s="20" t="str">
        <f>INDEX(nrg_cb_e!$A$3:$A$40,MATCH(LEFT(MID(B576,43,1000),SEARCH(" - ",MID(B576,43,1000))-1),nrg_cb_e!$C$3:$C$40,0))</f>
        <v>FC_OTH_HH_E</v>
      </c>
      <c r="G576">
        <v>14382</v>
      </c>
    </row>
    <row r="577" spans="1:7" x14ac:dyDescent="0.2">
      <c r="A577" t="s">
        <v>31</v>
      </c>
      <c r="B577" t="s">
        <v>76</v>
      </c>
      <c r="C577" t="s">
        <v>8</v>
      </c>
      <c r="D577" t="s">
        <v>10</v>
      </c>
      <c r="E577" t="s">
        <v>26</v>
      </c>
      <c r="F577" s="20" t="str">
        <f>INDEX(nrg_cb_e!$A$3:$A$40,MATCH(LEFT(MID(B577,43,1000),SEARCH(" - ",MID(B577,43,1000))-1),nrg_cb_e!$C$3:$C$40,0))</f>
        <v>FC_OTH_HH_E</v>
      </c>
      <c r="G577">
        <v>14935</v>
      </c>
    </row>
    <row r="578" spans="1:7" x14ac:dyDescent="0.2">
      <c r="A578" t="s">
        <v>31</v>
      </c>
      <c r="B578" t="s">
        <v>76</v>
      </c>
      <c r="C578" t="s">
        <v>8</v>
      </c>
      <c r="D578" t="s">
        <v>10</v>
      </c>
      <c r="E578" t="s">
        <v>27</v>
      </c>
      <c r="F578" s="20" t="str">
        <f>INDEX(nrg_cb_e!$A$3:$A$40,MATCH(LEFT(MID(B578,43,1000),SEARCH(" - ",MID(B578,43,1000))-1),nrg_cb_e!$C$3:$C$40,0))</f>
        <v>FC_OTH_HH_E</v>
      </c>
      <c r="G578">
        <v>15211.27</v>
      </c>
    </row>
    <row r="579" spans="1:7" x14ac:dyDescent="0.2">
      <c r="A579" t="s">
        <v>31</v>
      </c>
      <c r="B579" t="s">
        <v>76</v>
      </c>
      <c r="C579" t="s">
        <v>8</v>
      </c>
      <c r="D579" t="s">
        <v>10</v>
      </c>
      <c r="E579" t="s">
        <v>28</v>
      </c>
      <c r="F579" s="20" t="str">
        <f>INDEX(nrg_cb_e!$A$3:$A$40,MATCH(LEFT(MID(B579,43,1000),SEARCH(" - ",MID(B579,43,1000))-1),nrg_cb_e!$C$3:$C$40,0))</f>
        <v>FC_OTH_HH_E</v>
      </c>
      <c r="G579">
        <v>15049.536</v>
      </c>
    </row>
    <row r="580" spans="1:7" x14ac:dyDescent="0.2">
      <c r="A580" t="s">
        <v>32</v>
      </c>
      <c r="B580" t="s">
        <v>76</v>
      </c>
      <c r="C580" t="s">
        <v>8</v>
      </c>
      <c r="D580" t="s">
        <v>10</v>
      </c>
      <c r="E580" t="s">
        <v>12</v>
      </c>
      <c r="F580" s="20" t="str">
        <f>INDEX(nrg_cb_e!$A$3:$A$40,MATCH(LEFT(MID(B580,43,1000),SEARCH(" - ",MID(B580,43,1000))-1),nrg_cb_e!$C$3:$C$40,0))</f>
        <v>FC_OTH_HH_E</v>
      </c>
      <c r="G580">
        <v>10190</v>
      </c>
    </row>
    <row r="581" spans="1:7" x14ac:dyDescent="0.2">
      <c r="A581" t="s">
        <v>32</v>
      </c>
      <c r="B581" t="s">
        <v>76</v>
      </c>
      <c r="C581" t="s">
        <v>8</v>
      </c>
      <c r="D581" t="s">
        <v>10</v>
      </c>
      <c r="E581" t="s">
        <v>13</v>
      </c>
      <c r="F581" s="20" t="str">
        <f>INDEX(nrg_cb_e!$A$3:$A$40,MATCH(LEFT(MID(B581,43,1000),SEARCH(" - ",MID(B581,43,1000))-1),nrg_cb_e!$C$3:$C$40,0))</f>
        <v>FC_OTH_HH_E</v>
      </c>
      <c r="G581">
        <v>10262</v>
      </c>
    </row>
    <row r="582" spans="1:7" x14ac:dyDescent="0.2">
      <c r="A582" t="s">
        <v>32</v>
      </c>
      <c r="B582" t="s">
        <v>76</v>
      </c>
      <c r="C582" t="s">
        <v>8</v>
      </c>
      <c r="D582" t="s">
        <v>10</v>
      </c>
      <c r="E582" t="s">
        <v>14</v>
      </c>
      <c r="F582" s="20" t="str">
        <f>INDEX(nrg_cb_e!$A$3:$A$40,MATCH(LEFT(MID(B582,43,1000),SEARCH(" - ",MID(B582,43,1000))-1),nrg_cb_e!$C$3:$C$40,0))</f>
        <v>FC_OTH_HH_E</v>
      </c>
      <c r="G582">
        <v>10332</v>
      </c>
    </row>
    <row r="583" spans="1:7" x14ac:dyDescent="0.2">
      <c r="A583" t="s">
        <v>32</v>
      </c>
      <c r="B583" t="s">
        <v>76</v>
      </c>
      <c r="C583" t="s">
        <v>8</v>
      </c>
      <c r="D583" t="s">
        <v>10</v>
      </c>
      <c r="E583" t="s">
        <v>15</v>
      </c>
      <c r="F583" s="20" t="str">
        <f>INDEX(nrg_cb_e!$A$3:$A$40,MATCH(LEFT(MID(B583,43,1000),SEARCH(" - ",MID(B583,43,1000))-1),nrg_cb_e!$C$3:$C$40,0))</f>
        <v>FC_OTH_HH_E</v>
      </c>
      <c r="G583">
        <v>10449</v>
      </c>
    </row>
    <row r="584" spans="1:7" x14ac:dyDescent="0.2">
      <c r="A584" t="s">
        <v>32</v>
      </c>
      <c r="B584" t="s">
        <v>76</v>
      </c>
      <c r="C584" t="s">
        <v>8</v>
      </c>
      <c r="D584" t="s">
        <v>10</v>
      </c>
      <c r="E584" t="s">
        <v>16</v>
      </c>
      <c r="F584" s="20" t="str">
        <f>INDEX(nrg_cb_e!$A$3:$A$40,MATCH(LEFT(MID(B584,43,1000),SEARCH(" - ",MID(B584,43,1000))-1),nrg_cb_e!$C$3:$C$40,0))</f>
        <v>FC_OTH_HH_E</v>
      </c>
      <c r="G584">
        <v>10573</v>
      </c>
    </row>
    <row r="585" spans="1:7" x14ac:dyDescent="0.2">
      <c r="A585" t="s">
        <v>32</v>
      </c>
      <c r="B585" t="s">
        <v>76</v>
      </c>
      <c r="C585" t="s">
        <v>8</v>
      </c>
      <c r="D585" t="s">
        <v>10</v>
      </c>
      <c r="E585" t="s">
        <v>17</v>
      </c>
      <c r="F585" s="20" t="str">
        <f>INDEX(nrg_cb_e!$A$3:$A$40,MATCH(LEFT(MID(B585,43,1000),SEARCH(" - ",MID(B585,43,1000))-1),nrg_cb_e!$C$3:$C$40,0))</f>
        <v>FC_OTH_HH_E</v>
      </c>
      <c r="G585">
        <v>10349</v>
      </c>
    </row>
    <row r="586" spans="1:7" x14ac:dyDescent="0.2">
      <c r="A586" t="s">
        <v>32</v>
      </c>
      <c r="B586" t="s">
        <v>76</v>
      </c>
      <c r="C586" t="s">
        <v>8</v>
      </c>
      <c r="D586" t="s">
        <v>10</v>
      </c>
      <c r="E586" t="s">
        <v>18</v>
      </c>
      <c r="F586" s="20" t="str">
        <f>INDEX(nrg_cb_e!$A$3:$A$40,MATCH(LEFT(MID(B586,43,1000),SEARCH(" - ",MID(B586,43,1000))-1),nrg_cb_e!$C$3:$C$40,0))</f>
        <v>FC_OTH_HH_E</v>
      </c>
      <c r="G586">
        <v>10280</v>
      </c>
    </row>
    <row r="587" spans="1:7" x14ac:dyDescent="0.2">
      <c r="A587" t="s">
        <v>32</v>
      </c>
      <c r="B587" t="s">
        <v>76</v>
      </c>
      <c r="C587" t="s">
        <v>8</v>
      </c>
      <c r="D587" t="s">
        <v>10</v>
      </c>
      <c r="E587" t="s">
        <v>19</v>
      </c>
      <c r="F587" s="20" t="str">
        <f>INDEX(nrg_cb_e!$A$3:$A$40,MATCH(LEFT(MID(B587,43,1000),SEARCH(" - ",MID(B587,43,1000))-1),nrg_cb_e!$C$3:$C$40,0))</f>
        <v>FC_OTH_HH_E</v>
      </c>
      <c r="G587">
        <v>10096</v>
      </c>
    </row>
    <row r="588" spans="1:7" x14ac:dyDescent="0.2">
      <c r="A588" t="s">
        <v>32</v>
      </c>
      <c r="B588" t="s">
        <v>76</v>
      </c>
      <c r="C588" t="s">
        <v>8</v>
      </c>
      <c r="D588" t="s">
        <v>10</v>
      </c>
      <c r="E588" t="s">
        <v>20</v>
      </c>
      <c r="F588" s="20" t="str">
        <f>INDEX(nrg_cb_e!$A$3:$A$40,MATCH(LEFT(MID(B588,43,1000),SEARCH(" - ",MID(B588,43,1000))-1),nrg_cb_e!$C$3:$C$40,0))</f>
        <v>FC_OTH_HH_E</v>
      </c>
      <c r="G588">
        <v>10389</v>
      </c>
    </row>
    <row r="589" spans="1:7" x14ac:dyDescent="0.2">
      <c r="A589" t="s">
        <v>32</v>
      </c>
      <c r="B589" t="s">
        <v>76</v>
      </c>
      <c r="C589" t="s">
        <v>8</v>
      </c>
      <c r="D589" t="s">
        <v>10</v>
      </c>
      <c r="E589" t="s">
        <v>21</v>
      </c>
      <c r="F589" s="20" t="str">
        <f>INDEX(nrg_cb_e!$A$3:$A$40,MATCH(LEFT(MID(B589,43,1000),SEARCH(" - ",MID(B589,43,1000))-1),nrg_cb_e!$C$3:$C$40,0))</f>
        <v>FC_OTH_HH_E</v>
      </c>
      <c r="G589">
        <v>10111</v>
      </c>
    </row>
    <row r="590" spans="1:7" x14ac:dyDescent="0.2">
      <c r="A590" t="s">
        <v>32</v>
      </c>
      <c r="B590" t="s">
        <v>76</v>
      </c>
      <c r="C590" t="s">
        <v>8</v>
      </c>
      <c r="D590" t="s">
        <v>10</v>
      </c>
      <c r="E590" t="s">
        <v>22</v>
      </c>
      <c r="F590" s="20" t="str">
        <f>INDEX(nrg_cb_e!$A$3:$A$40,MATCH(LEFT(MID(B590,43,1000),SEARCH(" - ",MID(B590,43,1000))-1),nrg_cb_e!$C$3:$C$40,0))</f>
        <v>FC_OTH_HH_E</v>
      </c>
      <c r="G590">
        <v>9989</v>
      </c>
    </row>
    <row r="591" spans="1:7" x14ac:dyDescent="0.2">
      <c r="A591" t="s">
        <v>32</v>
      </c>
      <c r="B591" t="s">
        <v>76</v>
      </c>
      <c r="C591" t="s">
        <v>8</v>
      </c>
      <c r="D591" t="s">
        <v>10</v>
      </c>
      <c r="E591" t="s">
        <v>23</v>
      </c>
      <c r="F591" s="20" t="str">
        <f>INDEX(nrg_cb_e!$A$3:$A$40,MATCH(LEFT(MID(B591,43,1000),SEARCH(" - ",MID(B591,43,1000))-1),nrg_cb_e!$C$3:$C$40,0))</f>
        <v>FC_OTH_HH_E</v>
      </c>
      <c r="G591">
        <v>10307</v>
      </c>
    </row>
    <row r="592" spans="1:7" x14ac:dyDescent="0.2">
      <c r="A592" t="s">
        <v>32</v>
      </c>
      <c r="B592" t="s">
        <v>76</v>
      </c>
      <c r="C592" t="s">
        <v>8</v>
      </c>
      <c r="D592" t="s">
        <v>10</v>
      </c>
      <c r="E592" t="s">
        <v>24</v>
      </c>
      <c r="F592" s="20" t="str">
        <f>INDEX(nrg_cb_e!$A$3:$A$40,MATCH(LEFT(MID(B592,43,1000),SEARCH(" - ",MID(B592,43,1000))-1),nrg_cb_e!$C$3:$C$40,0))</f>
        <v>FC_OTH_HH_E</v>
      </c>
      <c r="G592">
        <v>10104</v>
      </c>
    </row>
    <row r="593" spans="1:7" x14ac:dyDescent="0.2">
      <c r="A593" t="s">
        <v>32</v>
      </c>
      <c r="B593" t="s">
        <v>76</v>
      </c>
      <c r="C593" t="s">
        <v>8</v>
      </c>
      <c r="D593" t="s">
        <v>10</v>
      </c>
      <c r="E593" t="s">
        <v>25</v>
      </c>
      <c r="F593" s="20" t="str">
        <f>INDEX(nrg_cb_e!$A$3:$A$40,MATCH(LEFT(MID(B593,43,1000),SEARCH(" - ",MID(B593,43,1000))-1),nrg_cb_e!$C$3:$C$40,0))</f>
        <v>FC_OTH_HH_E</v>
      </c>
      <c r="G593">
        <v>10176.653</v>
      </c>
    </row>
    <row r="594" spans="1:7" x14ac:dyDescent="0.2">
      <c r="A594" t="s">
        <v>32</v>
      </c>
      <c r="B594" t="s">
        <v>76</v>
      </c>
      <c r="C594" t="s">
        <v>8</v>
      </c>
      <c r="D594" t="s">
        <v>10</v>
      </c>
      <c r="E594" t="s">
        <v>26</v>
      </c>
      <c r="F594" s="20" t="str">
        <f>INDEX(nrg_cb_e!$A$3:$A$40,MATCH(LEFT(MID(B594,43,1000),SEARCH(" - ",MID(B594,43,1000))-1),nrg_cb_e!$C$3:$C$40,0))</f>
        <v>FC_OTH_HH_E</v>
      </c>
      <c r="G594">
        <v>10296.171</v>
      </c>
    </row>
    <row r="595" spans="1:7" x14ac:dyDescent="0.2">
      <c r="A595" t="s">
        <v>32</v>
      </c>
      <c r="B595" t="s">
        <v>76</v>
      </c>
      <c r="C595" t="s">
        <v>8</v>
      </c>
      <c r="D595" t="s">
        <v>10</v>
      </c>
      <c r="E595" t="s">
        <v>27</v>
      </c>
      <c r="F595" s="20" t="str">
        <f>INDEX(nrg_cb_e!$A$3:$A$40,MATCH(LEFT(MID(B595,43,1000),SEARCH(" - ",MID(B595,43,1000))-1),nrg_cb_e!$C$3:$C$40,0))</f>
        <v>FC_OTH_HH_E</v>
      </c>
      <c r="G595">
        <v>9863.9269999999997</v>
      </c>
    </row>
    <row r="596" spans="1:7" x14ac:dyDescent="0.2">
      <c r="A596" t="s">
        <v>32</v>
      </c>
      <c r="B596" t="s">
        <v>76</v>
      </c>
      <c r="C596" t="s">
        <v>8</v>
      </c>
      <c r="D596" t="s">
        <v>10</v>
      </c>
      <c r="E596" t="s">
        <v>28</v>
      </c>
      <c r="F596" s="20" t="str">
        <f>INDEX(nrg_cb_e!$A$3:$A$40,MATCH(LEFT(MID(B596,43,1000),SEARCH(" - ",MID(B596,43,1000))-1),nrg_cb_e!$C$3:$C$40,0))</f>
        <v>FC_OTH_HH_E</v>
      </c>
      <c r="G596">
        <v>9772.9310000000005</v>
      </c>
    </row>
    <row r="597" spans="1:7" x14ac:dyDescent="0.2">
      <c r="A597" t="s">
        <v>33</v>
      </c>
      <c r="B597" t="s">
        <v>76</v>
      </c>
      <c r="C597" t="s">
        <v>8</v>
      </c>
      <c r="D597" t="s">
        <v>10</v>
      </c>
      <c r="E597" t="s">
        <v>12</v>
      </c>
      <c r="F597" s="20" t="str">
        <f>INDEX(nrg_cb_e!$A$3:$A$40,MATCH(LEFT(MID(B597,43,1000),SEARCH(" - ",MID(B597,43,1000))-1),nrg_cb_e!$C$3:$C$40,0))</f>
        <v>FC_OTH_HH_E</v>
      </c>
      <c r="G597">
        <v>136500</v>
      </c>
    </row>
    <row r="598" spans="1:7" x14ac:dyDescent="0.2">
      <c r="A598" t="s">
        <v>33</v>
      </c>
      <c r="B598" t="s">
        <v>76</v>
      </c>
      <c r="C598" t="s">
        <v>8</v>
      </c>
      <c r="D598" t="s">
        <v>10</v>
      </c>
      <c r="E598" t="s">
        <v>13</v>
      </c>
      <c r="F598" s="20" t="str">
        <f>INDEX(nrg_cb_e!$A$3:$A$40,MATCH(LEFT(MID(B598,43,1000),SEARCH(" - ",MID(B598,43,1000))-1),nrg_cb_e!$C$3:$C$40,0))</f>
        <v>FC_OTH_HH_E</v>
      </c>
      <c r="G598">
        <v>139100</v>
      </c>
    </row>
    <row r="599" spans="1:7" x14ac:dyDescent="0.2">
      <c r="A599" t="s">
        <v>33</v>
      </c>
      <c r="B599" t="s">
        <v>76</v>
      </c>
      <c r="C599" t="s">
        <v>8</v>
      </c>
      <c r="D599" t="s">
        <v>10</v>
      </c>
      <c r="E599" t="s">
        <v>14</v>
      </c>
      <c r="F599" s="20" t="str">
        <f>INDEX(nrg_cb_e!$A$3:$A$40,MATCH(LEFT(MID(B599,43,1000),SEARCH(" - ",MID(B599,43,1000))-1),nrg_cb_e!$C$3:$C$40,0))</f>
        <v>FC_OTH_HH_E</v>
      </c>
      <c r="G599">
        <v>140400</v>
      </c>
    </row>
    <row r="600" spans="1:7" x14ac:dyDescent="0.2">
      <c r="A600" t="s">
        <v>33</v>
      </c>
      <c r="B600" t="s">
        <v>76</v>
      </c>
      <c r="C600" t="s">
        <v>8</v>
      </c>
      <c r="D600" t="s">
        <v>10</v>
      </c>
      <c r="E600" t="s">
        <v>15</v>
      </c>
      <c r="F600" s="20" t="str">
        <f>INDEX(nrg_cb_e!$A$3:$A$40,MATCH(LEFT(MID(B600,43,1000),SEARCH(" - ",MID(B600,43,1000))-1),nrg_cb_e!$C$3:$C$40,0))</f>
        <v>FC_OTH_HH_E</v>
      </c>
      <c r="G600">
        <v>141300</v>
      </c>
    </row>
    <row r="601" spans="1:7" x14ac:dyDescent="0.2">
      <c r="A601" t="s">
        <v>33</v>
      </c>
      <c r="B601" t="s">
        <v>76</v>
      </c>
      <c r="C601" t="s">
        <v>8</v>
      </c>
      <c r="D601" t="s">
        <v>10</v>
      </c>
      <c r="E601" t="s">
        <v>16</v>
      </c>
      <c r="F601" s="20" t="str">
        <f>INDEX(nrg_cb_e!$A$3:$A$40,MATCH(LEFT(MID(B601,43,1000),SEARCH(" - ",MID(B601,43,1000))-1),nrg_cb_e!$C$3:$C$40,0))</f>
        <v>FC_OTH_HH_E</v>
      </c>
      <c r="G601">
        <v>141500</v>
      </c>
    </row>
    <row r="602" spans="1:7" x14ac:dyDescent="0.2">
      <c r="A602" t="s">
        <v>33</v>
      </c>
      <c r="B602" t="s">
        <v>76</v>
      </c>
      <c r="C602" t="s">
        <v>8</v>
      </c>
      <c r="D602" t="s">
        <v>10</v>
      </c>
      <c r="E602" t="s">
        <v>17</v>
      </c>
      <c r="F602" s="20" t="str">
        <f>INDEX(nrg_cb_e!$A$3:$A$40,MATCH(LEFT(MID(B602,43,1000),SEARCH(" - ",MID(B602,43,1000))-1),nrg_cb_e!$C$3:$C$40,0))</f>
        <v>FC_OTH_HH_E</v>
      </c>
      <c r="G602">
        <v>140100</v>
      </c>
    </row>
    <row r="603" spans="1:7" x14ac:dyDescent="0.2">
      <c r="A603" t="s">
        <v>33</v>
      </c>
      <c r="B603" t="s">
        <v>76</v>
      </c>
      <c r="C603" t="s">
        <v>8</v>
      </c>
      <c r="D603" t="s">
        <v>10</v>
      </c>
      <c r="E603" t="s">
        <v>18</v>
      </c>
      <c r="F603" s="20" t="str">
        <f>INDEX(nrg_cb_e!$A$3:$A$40,MATCH(LEFT(MID(B603,43,1000),SEARCH(" - ",MID(B603,43,1000))-1),nrg_cb_e!$C$3:$C$40,0))</f>
        <v>FC_OTH_HH_E</v>
      </c>
      <c r="G603">
        <v>139500</v>
      </c>
    </row>
    <row r="604" spans="1:7" x14ac:dyDescent="0.2">
      <c r="A604" t="s">
        <v>33</v>
      </c>
      <c r="B604" t="s">
        <v>76</v>
      </c>
      <c r="C604" t="s">
        <v>8</v>
      </c>
      <c r="D604" t="s">
        <v>10</v>
      </c>
      <c r="E604" t="s">
        <v>19</v>
      </c>
      <c r="F604" s="20" t="str">
        <f>INDEX(nrg_cb_e!$A$3:$A$40,MATCH(LEFT(MID(B604,43,1000),SEARCH(" - ",MID(B604,43,1000))-1),nrg_cb_e!$C$3:$C$40,0))</f>
        <v>FC_OTH_HH_E</v>
      </c>
      <c r="G604">
        <v>139200</v>
      </c>
    </row>
    <row r="605" spans="1:7" x14ac:dyDescent="0.2">
      <c r="A605" t="s">
        <v>33</v>
      </c>
      <c r="B605" t="s">
        <v>76</v>
      </c>
      <c r="C605" t="s">
        <v>8</v>
      </c>
      <c r="D605" t="s">
        <v>10</v>
      </c>
      <c r="E605" t="s">
        <v>20</v>
      </c>
      <c r="F605" s="20" t="str">
        <f>INDEX(nrg_cb_e!$A$3:$A$40,MATCH(LEFT(MID(B605,43,1000),SEARCH(" - ",MID(B605,43,1000))-1),nrg_cb_e!$C$3:$C$40,0))</f>
        <v>FC_OTH_HH_E</v>
      </c>
      <c r="G605">
        <v>141700</v>
      </c>
    </row>
    <row r="606" spans="1:7" x14ac:dyDescent="0.2">
      <c r="A606" t="s">
        <v>33</v>
      </c>
      <c r="B606" t="s">
        <v>76</v>
      </c>
      <c r="C606" t="s">
        <v>8</v>
      </c>
      <c r="D606" t="s">
        <v>10</v>
      </c>
      <c r="E606" t="s">
        <v>21</v>
      </c>
      <c r="F606" s="20" t="str">
        <f>INDEX(nrg_cb_e!$A$3:$A$40,MATCH(LEFT(MID(B606,43,1000),SEARCH(" - ",MID(B606,43,1000))-1),nrg_cb_e!$C$3:$C$40,0))</f>
        <v>FC_OTH_HH_E</v>
      </c>
      <c r="G606">
        <v>136600</v>
      </c>
    </row>
    <row r="607" spans="1:7" x14ac:dyDescent="0.2">
      <c r="A607" t="s">
        <v>33</v>
      </c>
      <c r="B607" t="s">
        <v>76</v>
      </c>
      <c r="C607" t="s">
        <v>8</v>
      </c>
      <c r="D607" t="s">
        <v>10</v>
      </c>
      <c r="E607" t="s">
        <v>22</v>
      </c>
      <c r="F607" s="20" t="str">
        <f>INDEX(nrg_cb_e!$A$3:$A$40,MATCH(LEFT(MID(B607,43,1000),SEARCH(" - ",MID(B607,43,1000))-1),nrg_cb_e!$C$3:$C$40,0))</f>
        <v>FC_OTH_HH_E</v>
      </c>
      <c r="G607">
        <v>137000</v>
      </c>
    </row>
    <row r="608" spans="1:7" x14ac:dyDescent="0.2">
      <c r="A608" t="s">
        <v>33</v>
      </c>
      <c r="B608" t="s">
        <v>76</v>
      </c>
      <c r="C608" t="s">
        <v>8</v>
      </c>
      <c r="D608" t="s">
        <v>10</v>
      </c>
      <c r="E608" t="s">
        <v>23</v>
      </c>
      <c r="F608" s="20" t="str">
        <f>INDEX(nrg_cb_e!$A$3:$A$40,MATCH(LEFT(MID(B608,43,1000),SEARCH(" - ",MID(B608,43,1000))-1),nrg_cb_e!$C$3:$C$40,0))</f>
        <v>FC_OTH_HH_E</v>
      </c>
      <c r="G608">
        <v>136000</v>
      </c>
    </row>
    <row r="609" spans="1:7" x14ac:dyDescent="0.2">
      <c r="A609" t="s">
        <v>33</v>
      </c>
      <c r="B609" t="s">
        <v>76</v>
      </c>
      <c r="C609" t="s">
        <v>8</v>
      </c>
      <c r="D609" t="s">
        <v>10</v>
      </c>
      <c r="E609" t="s">
        <v>24</v>
      </c>
      <c r="F609" s="20" t="str">
        <f>INDEX(nrg_cb_e!$A$3:$A$40,MATCH(LEFT(MID(B609,43,1000),SEARCH(" - ",MID(B609,43,1000))-1),nrg_cb_e!$C$3:$C$40,0))</f>
        <v>FC_OTH_HH_E</v>
      </c>
      <c r="G609">
        <v>129600</v>
      </c>
    </row>
    <row r="610" spans="1:7" x14ac:dyDescent="0.2">
      <c r="A610" t="s">
        <v>33</v>
      </c>
      <c r="B610" t="s">
        <v>76</v>
      </c>
      <c r="C610" t="s">
        <v>8</v>
      </c>
      <c r="D610" t="s">
        <v>10</v>
      </c>
      <c r="E610" t="s">
        <v>25</v>
      </c>
      <c r="F610" s="20" t="str">
        <f>INDEX(nrg_cb_e!$A$3:$A$40,MATCH(LEFT(MID(B610,43,1000),SEARCH(" - ",MID(B610,43,1000))-1),nrg_cb_e!$C$3:$C$40,0))</f>
        <v>FC_OTH_HH_E</v>
      </c>
      <c r="G610">
        <v>128700</v>
      </c>
    </row>
    <row r="611" spans="1:7" x14ac:dyDescent="0.2">
      <c r="A611" t="s">
        <v>33</v>
      </c>
      <c r="B611" t="s">
        <v>76</v>
      </c>
      <c r="C611" t="s">
        <v>8</v>
      </c>
      <c r="D611" t="s">
        <v>10</v>
      </c>
      <c r="E611" t="s">
        <v>26</v>
      </c>
      <c r="F611" s="20" t="str">
        <f>INDEX(nrg_cb_e!$A$3:$A$40,MATCH(LEFT(MID(B611,43,1000),SEARCH(" - ",MID(B611,43,1000))-1),nrg_cb_e!$C$3:$C$40,0))</f>
        <v>FC_OTH_HH_E</v>
      </c>
      <c r="G611">
        <v>128200</v>
      </c>
    </row>
    <row r="612" spans="1:7" x14ac:dyDescent="0.2">
      <c r="A612" t="s">
        <v>33</v>
      </c>
      <c r="B612" t="s">
        <v>76</v>
      </c>
      <c r="C612" t="s">
        <v>8</v>
      </c>
      <c r="D612" t="s">
        <v>10</v>
      </c>
      <c r="E612" t="s">
        <v>27</v>
      </c>
      <c r="F612" s="20" t="str">
        <f>INDEX(nrg_cb_e!$A$3:$A$40,MATCH(LEFT(MID(B612,43,1000),SEARCH(" - ",MID(B612,43,1000))-1),nrg_cb_e!$C$3:$C$40,0))</f>
        <v>FC_OTH_HH_E</v>
      </c>
      <c r="G612">
        <v>128200</v>
      </c>
    </row>
    <row r="613" spans="1:7" x14ac:dyDescent="0.2">
      <c r="A613" t="s">
        <v>33</v>
      </c>
      <c r="B613" t="s">
        <v>76</v>
      </c>
      <c r="C613" t="s">
        <v>8</v>
      </c>
      <c r="D613" t="s">
        <v>10</v>
      </c>
      <c r="E613" t="s">
        <v>28</v>
      </c>
      <c r="F613" s="20" t="str">
        <f>INDEX(nrg_cb_e!$A$3:$A$40,MATCH(LEFT(MID(B613,43,1000),SEARCH(" - ",MID(B613,43,1000))-1),nrg_cb_e!$C$3:$C$40,0))</f>
        <v>FC_OTH_HH_E</v>
      </c>
      <c r="G613">
        <v>128200</v>
      </c>
    </row>
    <row r="614" spans="1:7" x14ac:dyDescent="0.2">
      <c r="A614" t="s">
        <v>34</v>
      </c>
      <c r="B614" t="s">
        <v>76</v>
      </c>
      <c r="C614" t="s">
        <v>8</v>
      </c>
      <c r="D614" t="s">
        <v>10</v>
      </c>
      <c r="E614" t="s">
        <v>12</v>
      </c>
      <c r="F614" s="20" t="str">
        <f>INDEX(nrg_cb_e!$A$3:$A$40,MATCH(LEFT(MID(B614,43,1000),SEARCH(" - ",MID(B614,43,1000))-1),nrg_cb_e!$C$3:$C$40,0))</f>
        <v>FC_OTH_HH_E</v>
      </c>
      <c r="G614">
        <v>1584</v>
      </c>
    </row>
    <row r="615" spans="1:7" x14ac:dyDescent="0.2">
      <c r="A615" t="s">
        <v>34</v>
      </c>
      <c r="B615" t="s">
        <v>76</v>
      </c>
      <c r="C615" t="s">
        <v>8</v>
      </c>
      <c r="D615" t="s">
        <v>10</v>
      </c>
      <c r="E615" t="s">
        <v>13</v>
      </c>
      <c r="F615" s="20" t="str">
        <f>INDEX(nrg_cb_e!$A$3:$A$40,MATCH(LEFT(MID(B615,43,1000),SEARCH(" - ",MID(B615,43,1000))-1),nrg_cb_e!$C$3:$C$40,0))</f>
        <v>FC_OTH_HH_E</v>
      </c>
      <c r="G615">
        <v>1594</v>
      </c>
    </row>
    <row r="616" spans="1:7" x14ac:dyDescent="0.2">
      <c r="A616" t="s">
        <v>34</v>
      </c>
      <c r="B616" t="s">
        <v>76</v>
      </c>
      <c r="C616" t="s">
        <v>8</v>
      </c>
      <c r="D616" t="s">
        <v>10</v>
      </c>
      <c r="E616" t="s">
        <v>14</v>
      </c>
      <c r="F616" s="20" t="str">
        <f>INDEX(nrg_cb_e!$A$3:$A$40,MATCH(LEFT(MID(B616,43,1000),SEARCH(" - ",MID(B616,43,1000))-1),nrg_cb_e!$C$3:$C$40,0))</f>
        <v>FC_OTH_HH_E</v>
      </c>
      <c r="G616">
        <v>1618</v>
      </c>
    </row>
    <row r="617" spans="1:7" x14ac:dyDescent="0.2">
      <c r="A617" t="s">
        <v>34</v>
      </c>
      <c r="B617" t="s">
        <v>76</v>
      </c>
      <c r="C617" t="s">
        <v>8</v>
      </c>
      <c r="D617" t="s">
        <v>10</v>
      </c>
      <c r="E617" t="s">
        <v>15</v>
      </c>
      <c r="F617" s="20" t="str">
        <f>INDEX(nrg_cb_e!$A$3:$A$40,MATCH(LEFT(MID(B617,43,1000),SEARCH(" - ",MID(B617,43,1000))-1),nrg_cb_e!$C$3:$C$40,0))</f>
        <v>FC_OTH_HH_E</v>
      </c>
      <c r="G617">
        <v>1620</v>
      </c>
    </row>
    <row r="618" spans="1:7" x14ac:dyDescent="0.2">
      <c r="A618" t="s">
        <v>34</v>
      </c>
      <c r="B618" t="s">
        <v>76</v>
      </c>
      <c r="C618" t="s">
        <v>8</v>
      </c>
      <c r="D618" t="s">
        <v>10</v>
      </c>
      <c r="E618" t="s">
        <v>16</v>
      </c>
      <c r="F618" s="20" t="str">
        <f>INDEX(nrg_cb_e!$A$3:$A$40,MATCH(LEFT(MID(B618,43,1000),SEARCH(" - ",MID(B618,43,1000))-1),nrg_cb_e!$C$3:$C$40,0))</f>
        <v>FC_OTH_HH_E</v>
      </c>
      <c r="G618">
        <v>1675</v>
      </c>
    </row>
    <row r="619" spans="1:7" x14ac:dyDescent="0.2">
      <c r="A619" t="s">
        <v>34</v>
      </c>
      <c r="B619" t="s">
        <v>76</v>
      </c>
      <c r="C619" t="s">
        <v>8</v>
      </c>
      <c r="D619" t="s">
        <v>10</v>
      </c>
      <c r="E619" t="s">
        <v>17</v>
      </c>
      <c r="F619" s="20" t="str">
        <f>INDEX(nrg_cb_e!$A$3:$A$40,MATCH(LEFT(MID(B619,43,1000),SEARCH(" - ",MID(B619,43,1000))-1),nrg_cb_e!$C$3:$C$40,0))</f>
        <v>FC_OTH_HH_E</v>
      </c>
      <c r="G619">
        <v>1773</v>
      </c>
    </row>
    <row r="620" spans="1:7" x14ac:dyDescent="0.2">
      <c r="A620" t="s">
        <v>34</v>
      </c>
      <c r="B620" t="s">
        <v>76</v>
      </c>
      <c r="C620" t="s">
        <v>8</v>
      </c>
      <c r="D620" t="s">
        <v>10</v>
      </c>
      <c r="E620" t="s">
        <v>18</v>
      </c>
      <c r="F620" s="20" t="str">
        <f>INDEX(nrg_cb_e!$A$3:$A$40,MATCH(LEFT(MID(B620,43,1000),SEARCH(" - ",MID(B620,43,1000))-1),nrg_cb_e!$C$3:$C$40,0))</f>
        <v>FC_OTH_HH_E</v>
      </c>
      <c r="G620">
        <v>1845</v>
      </c>
    </row>
    <row r="621" spans="1:7" x14ac:dyDescent="0.2">
      <c r="A621" t="s">
        <v>34</v>
      </c>
      <c r="B621" t="s">
        <v>76</v>
      </c>
      <c r="C621" t="s">
        <v>8</v>
      </c>
      <c r="D621" t="s">
        <v>10</v>
      </c>
      <c r="E621" t="s">
        <v>19</v>
      </c>
      <c r="F621" s="20" t="str">
        <f>INDEX(nrg_cb_e!$A$3:$A$40,MATCH(LEFT(MID(B621,43,1000),SEARCH(" - ",MID(B621,43,1000))-1),nrg_cb_e!$C$3:$C$40,0))</f>
        <v>FC_OTH_HH_E</v>
      </c>
      <c r="G621">
        <v>1884</v>
      </c>
    </row>
    <row r="622" spans="1:7" x14ac:dyDescent="0.2">
      <c r="A622" t="s">
        <v>34</v>
      </c>
      <c r="B622" t="s">
        <v>76</v>
      </c>
      <c r="C622" t="s">
        <v>8</v>
      </c>
      <c r="D622" t="s">
        <v>10</v>
      </c>
      <c r="E622" t="s">
        <v>20</v>
      </c>
      <c r="F622" s="20" t="str">
        <f>INDEX(nrg_cb_e!$A$3:$A$40,MATCH(LEFT(MID(B622,43,1000),SEARCH(" - ",MID(B622,43,1000))-1),nrg_cb_e!$C$3:$C$40,0))</f>
        <v>FC_OTH_HH_E</v>
      </c>
      <c r="G622">
        <v>2023</v>
      </c>
    </row>
    <row r="623" spans="1:7" x14ac:dyDescent="0.2">
      <c r="A623" t="s">
        <v>34</v>
      </c>
      <c r="B623" t="s">
        <v>76</v>
      </c>
      <c r="C623" t="s">
        <v>8</v>
      </c>
      <c r="D623" t="s">
        <v>10</v>
      </c>
      <c r="E623" t="s">
        <v>21</v>
      </c>
      <c r="F623" s="20" t="str">
        <f>INDEX(nrg_cb_e!$A$3:$A$40,MATCH(LEFT(MID(B623,43,1000),SEARCH(" - ",MID(B623,43,1000))-1),nrg_cb_e!$C$3:$C$40,0))</f>
        <v>FC_OTH_HH_E</v>
      </c>
      <c r="G623">
        <v>1934</v>
      </c>
    </row>
    <row r="624" spans="1:7" x14ac:dyDescent="0.2">
      <c r="A624" t="s">
        <v>34</v>
      </c>
      <c r="B624" t="s">
        <v>76</v>
      </c>
      <c r="C624" t="s">
        <v>8</v>
      </c>
      <c r="D624" t="s">
        <v>10</v>
      </c>
      <c r="E624" t="s">
        <v>22</v>
      </c>
      <c r="F624" s="20" t="str">
        <f>INDEX(nrg_cb_e!$A$3:$A$40,MATCH(LEFT(MID(B624,43,1000),SEARCH(" - ",MID(B624,43,1000))-1),nrg_cb_e!$C$3:$C$40,0))</f>
        <v>FC_OTH_HH_E</v>
      </c>
      <c r="G624">
        <v>1956</v>
      </c>
    </row>
    <row r="625" spans="1:7" x14ac:dyDescent="0.2">
      <c r="A625" t="s">
        <v>34</v>
      </c>
      <c r="B625" t="s">
        <v>76</v>
      </c>
      <c r="C625" t="s">
        <v>8</v>
      </c>
      <c r="D625" t="s">
        <v>10</v>
      </c>
      <c r="E625" t="s">
        <v>23</v>
      </c>
      <c r="F625" s="20" t="str">
        <f>INDEX(nrg_cb_e!$A$3:$A$40,MATCH(LEFT(MID(B625,43,1000),SEARCH(" - ",MID(B625,43,1000))-1),nrg_cb_e!$C$3:$C$40,0))</f>
        <v>FC_OTH_HH_E</v>
      </c>
      <c r="G625">
        <v>1865</v>
      </c>
    </row>
    <row r="626" spans="1:7" x14ac:dyDescent="0.2">
      <c r="A626" t="s">
        <v>34</v>
      </c>
      <c r="B626" t="s">
        <v>76</v>
      </c>
      <c r="C626" t="s">
        <v>8</v>
      </c>
      <c r="D626" t="s">
        <v>10</v>
      </c>
      <c r="E626" t="s">
        <v>24</v>
      </c>
      <c r="F626" s="20" t="str">
        <f>INDEX(nrg_cb_e!$A$3:$A$40,MATCH(LEFT(MID(B626,43,1000),SEARCH(" - ",MID(B626,43,1000))-1),nrg_cb_e!$C$3:$C$40,0))</f>
        <v>FC_OTH_HH_E</v>
      </c>
      <c r="G626">
        <v>1739</v>
      </c>
    </row>
    <row r="627" spans="1:7" x14ac:dyDescent="0.2">
      <c r="A627" t="s">
        <v>34</v>
      </c>
      <c r="B627" t="s">
        <v>76</v>
      </c>
      <c r="C627" t="s">
        <v>8</v>
      </c>
      <c r="D627" t="s">
        <v>10</v>
      </c>
      <c r="E627" t="s">
        <v>25</v>
      </c>
      <c r="F627" s="20" t="str">
        <f>INDEX(nrg_cb_e!$A$3:$A$40,MATCH(LEFT(MID(B627,43,1000),SEARCH(" - ",MID(B627,43,1000))-1),nrg_cb_e!$C$3:$C$40,0))</f>
        <v>FC_OTH_HH_E</v>
      </c>
      <c r="G627">
        <v>1728</v>
      </c>
    </row>
    <row r="628" spans="1:7" x14ac:dyDescent="0.2">
      <c r="A628" t="s">
        <v>34</v>
      </c>
      <c r="B628" t="s">
        <v>76</v>
      </c>
      <c r="C628" t="s">
        <v>8</v>
      </c>
      <c r="D628" t="s">
        <v>10</v>
      </c>
      <c r="E628" t="s">
        <v>26</v>
      </c>
      <c r="F628" s="20" t="str">
        <f>INDEX(nrg_cb_e!$A$3:$A$40,MATCH(LEFT(MID(B628,43,1000),SEARCH(" - ",MID(B628,43,1000))-1),nrg_cb_e!$C$3:$C$40,0))</f>
        <v>FC_OTH_HH_E</v>
      </c>
      <c r="G628">
        <v>1913</v>
      </c>
    </row>
    <row r="629" spans="1:7" x14ac:dyDescent="0.2">
      <c r="A629" t="s">
        <v>34</v>
      </c>
      <c r="B629" t="s">
        <v>76</v>
      </c>
      <c r="C629" t="s">
        <v>8</v>
      </c>
      <c r="D629" t="s">
        <v>10</v>
      </c>
      <c r="E629" t="s">
        <v>27</v>
      </c>
      <c r="F629" s="20" t="str">
        <f>INDEX(nrg_cb_e!$A$3:$A$40,MATCH(LEFT(MID(B629,43,1000),SEARCH(" - ",MID(B629,43,1000))-1),nrg_cb_e!$C$3:$C$40,0))</f>
        <v>FC_OTH_HH_E</v>
      </c>
      <c r="G629">
        <v>1940</v>
      </c>
    </row>
    <row r="630" spans="1:7" x14ac:dyDescent="0.2">
      <c r="A630" t="s">
        <v>34</v>
      </c>
      <c r="B630" t="s">
        <v>76</v>
      </c>
      <c r="C630" t="s">
        <v>8</v>
      </c>
      <c r="D630" t="s">
        <v>10</v>
      </c>
      <c r="E630" t="s">
        <v>28</v>
      </c>
      <c r="F630" s="20" t="str">
        <f>INDEX(nrg_cb_e!$A$3:$A$40,MATCH(LEFT(MID(B630,43,1000),SEARCH(" - ",MID(B630,43,1000))-1),nrg_cb_e!$C$3:$C$40,0))</f>
        <v>FC_OTH_HH_E</v>
      </c>
      <c r="G630">
        <v>1860</v>
      </c>
    </row>
    <row r="631" spans="1:7" x14ac:dyDescent="0.2">
      <c r="A631" t="s">
        <v>35</v>
      </c>
      <c r="B631" t="s">
        <v>76</v>
      </c>
      <c r="C631" t="s">
        <v>8</v>
      </c>
      <c r="D631" t="s">
        <v>10</v>
      </c>
      <c r="E631" t="s">
        <v>12</v>
      </c>
      <c r="F631" s="20" t="str">
        <f>INDEX(nrg_cb_e!$A$3:$A$40,MATCH(LEFT(MID(B631,43,1000),SEARCH(" - ",MID(B631,43,1000))-1),nrg_cb_e!$C$3:$C$40,0))</f>
        <v>FC_OTH_HH_E</v>
      </c>
      <c r="G631">
        <v>6579</v>
      </c>
    </row>
    <row r="632" spans="1:7" x14ac:dyDescent="0.2">
      <c r="A632" t="s">
        <v>35</v>
      </c>
      <c r="B632" t="s">
        <v>76</v>
      </c>
      <c r="C632" t="s">
        <v>8</v>
      </c>
      <c r="D632" t="s">
        <v>10</v>
      </c>
      <c r="E632" t="s">
        <v>13</v>
      </c>
      <c r="F632" s="20" t="str">
        <f>INDEX(nrg_cb_e!$A$3:$A$40,MATCH(LEFT(MID(B632,43,1000),SEARCH(" - ",MID(B632,43,1000))-1),nrg_cb_e!$C$3:$C$40,0))</f>
        <v>FC_OTH_HH_E</v>
      </c>
      <c r="G632">
        <v>6966</v>
      </c>
    </row>
    <row r="633" spans="1:7" x14ac:dyDescent="0.2">
      <c r="A633" t="s">
        <v>35</v>
      </c>
      <c r="B633" t="s">
        <v>76</v>
      </c>
      <c r="C633" t="s">
        <v>8</v>
      </c>
      <c r="D633" t="s">
        <v>10</v>
      </c>
      <c r="E633" t="s">
        <v>14</v>
      </c>
      <c r="F633" s="20" t="str">
        <f>INDEX(nrg_cb_e!$A$3:$A$40,MATCH(LEFT(MID(B633,43,1000),SEARCH(" - ",MID(B633,43,1000))-1),nrg_cb_e!$C$3:$C$40,0))</f>
        <v>FC_OTH_HH_E</v>
      </c>
      <c r="G633">
        <v>7346</v>
      </c>
    </row>
    <row r="634" spans="1:7" x14ac:dyDescent="0.2">
      <c r="A634" t="s">
        <v>35</v>
      </c>
      <c r="B634" t="s">
        <v>76</v>
      </c>
      <c r="C634" t="s">
        <v>8</v>
      </c>
      <c r="D634" t="s">
        <v>10</v>
      </c>
      <c r="E634" t="s">
        <v>15</v>
      </c>
      <c r="F634" s="20" t="str">
        <f>INDEX(nrg_cb_e!$A$3:$A$40,MATCH(LEFT(MID(B634,43,1000),SEARCH(" - ",MID(B634,43,1000))-1),nrg_cb_e!$C$3:$C$40,0))</f>
        <v>FC_OTH_HH_E</v>
      </c>
      <c r="G634">
        <v>7511.598</v>
      </c>
    </row>
    <row r="635" spans="1:7" x14ac:dyDescent="0.2">
      <c r="A635" t="s">
        <v>35</v>
      </c>
      <c r="B635" t="s">
        <v>76</v>
      </c>
      <c r="C635" t="s">
        <v>8</v>
      </c>
      <c r="D635" t="s">
        <v>10</v>
      </c>
      <c r="E635" t="s">
        <v>16</v>
      </c>
      <c r="F635" s="20" t="str">
        <f>INDEX(nrg_cb_e!$A$3:$A$40,MATCH(LEFT(MID(B635,43,1000),SEARCH(" - ",MID(B635,43,1000))-1),nrg_cb_e!$C$3:$C$40,0))</f>
        <v>FC_OTH_HH_E</v>
      </c>
      <c r="G635">
        <v>8082.7259999999997</v>
      </c>
    </row>
    <row r="636" spans="1:7" x14ac:dyDescent="0.2">
      <c r="A636" t="s">
        <v>35</v>
      </c>
      <c r="B636" t="s">
        <v>76</v>
      </c>
      <c r="C636" t="s">
        <v>8</v>
      </c>
      <c r="D636" t="s">
        <v>10</v>
      </c>
      <c r="E636" t="s">
        <v>17</v>
      </c>
      <c r="F636" s="20" t="str">
        <f>INDEX(nrg_cb_e!$A$3:$A$40,MATCH(LEFT(MID(B636,43,1000),SEARCH(" - ",MID(B636,43,1000))-1),nrg_cb_e!$C$3:$C$40,0))</f>
        <v>FC_OTH_HH_E</v>
      </c>
      <c r="G636">
        <v>8062.94</v>
      </c>
    </row>
    <row r="637" spans="1:7" x14ac:dyDescent="0.2">
      <c r="A637" t="s">
        <v>35</v>
      </c>
      <c r="B637" t="s">
        <v>76</v>
      </c>
      <c r="C637" t="s">
        <v>8</v>
      </c>
      <c r="D637" t="s">
        <v>10</v>
      </c>
      <c r="E637" t="s">
        <v>18</v>
      </c>
      <c r="F637" s="20" t="str">
        <f>INDEX(nrg_cb_e!$A$3:$A$40,MATCH(LEFT(MID(B637,43,1000),SEARCH(" - ",MID(B637,43,1000))-1),nrg_cb_e!$C$3:$C$40,0))</f>
        <v>FC_OTH_HH_E</v>
      </c>
      <c r="G637">
        <v>8525.6540000000005</v>
      </c>
    </row>
    <row r="638" spans="1:7" x14ac:dyDescent="0.2">
      <c r="A638" t="s">
        <v>35</v>
      </c>
      <c r="B638" t="s">
        <v>76</v>
      </c>
      <c r="C638" t="s">
        <v>8</v>
      </c>
      <c r="D638" t="s">
        <v>10</v>
      </c>
      <c r="E638" t="s">
        <v>19</v>
      </c>
      <c r="F638" s="20" t="str">
        <f>INDEX(nrg_cb_e!$A$3:$A$40,MATCH(LEFT(MID(B638,43,1000),SEARCH(" - ",MID(B638,43,1000))-1),nrg_cb_e!$C$3:$C$40,0))</f>
        <v>FC_OTH_HH_E</v>
      </c>
      <c r="G638">
        <v>8123.1729999999998</v>
      </c>
    </row>
    <row r="639" spans="1:7" x14ac:dyDescent="0.2">
      <c r="A639" t="s">
        <v>35</v>
      </c>
      <c r="B639" t="s">
        <v>76</v>
      </c>
      <c r="C639" t="s">
        <v>8</v>
      </c>
      <c r="D639" t="s">
        <v>10</v>
      </c>
      <c r="E639" t="s">
        <v>20</v>
      </c>
      <c r="F639" s="20" t="str">
        <f>INDEX(nrg_cb_e!$A$3:$A$40,MATCH(LEFT(MID(B639,43,1000),SEARCH(" - ",MID(B639,43,1000))-1),nrg_cb_e!$C$3:$C$40,0))</f>
        <v>FC_OTH_HH_E</v>
      </c>
      <c r="G639">
        <v>8545.9689999999991</v>
      </c>
    </row>
    <row r="640" spans="1:7" x14ac:dyDescent="0.2">
      <c r="A640" t="s">
        <v>35</v>
      </c>
      <c r="B640" t="s">
        <v>76</v>
      </c>
      <c r="C640" t="s">
        <v>8</v>
      </c>
      <c r="D640" t="s">
        <v>10</v>
      </c>
      <c r="E640" t="s">
        <v>21</v>
      </c>
      <c r="F640" s="20" t="str">
        <f>INDEX(nrg_cb_e!$A$3:$A$40,MATCH(LEFT(MID(B640,43,1000),SEARCH(" - ",MID(B640,43,1000))-1),nrg_cb_e!$C$3:$C$40,0))</f>
        <v>FC_OTH_HH_E</v>
      </c>
      <c r="G640">
        <v>8283.2289999999994</v>
      </c>
    </row>
    <row r="641" spans="1:7" x14ac:dyDescent="0.2">
      <c r="A641" t="s">
        <v>35</v>
      </c>
      <c r="B641" t="s">
        <v>76</v>
      </c>
      <c r="C641" t="s">
        <v>8</v>
      </c>
      <c r="D641" t="s">
        <v>10</v>
      </c>
      <c r="E641" t="s">
        <v>22</v>
      </c>
      <c r="F641" s="20" t="str">
        <f>INDEX(nrg_cb_e!$A$3:$A$40,MATCH(LEFT(MID(B641,43,1000),SEARCH(" - ",MID(B641,43,1000))-1),nrg_cb_e!$C$3:$C$40,0))</f>
        <v>FC_OTH_HH_E</v>
      </c>
      <c r="G641">
        <v>8120.4669999999996</v>
      </c>
    </row>
    <row r="642" spans="1:7" x14ac:dyDescent="0.2">
      <c r="A642" t="s">
        <v>35</v>
      </c>
      <c r="B642" t="s">
        <v>76</v>
      </c>
      <c r="C642" t="s">
        <v>8</v>
      </c>
      <c r="D642" t="s">
        <v>10</v>
      </c>
      <c r="E642" t="s">
        <v>23</v>
      </c>
      <c r="F642" s="20" t="str">
        <f>INDEX(nrg_cb_e!$A$3:$A$40,MATCH(LEFT(MID(B642,43,1000),SEARCH(" - ",MID(B642,43,1000))-1),nrg_cb_e!$C$3:$C$40,0))</f>
        <v>FC_OTH_HH_E</v>
      </c>
      <c r="G642">
        <v>7947.7430000000004</v>
      </c>
    </row>
    <row r="643" spans="1:7" x14ac:dyDescent="0.2">
      <c r="A643" t="s">
        <v>35</v>
      </c>
      <c r="B643" t="s">
        <v>76</v>
      </c>
      <c r="C643" t="s">
        <v>8</v>
      </c>
      <c r="D643" t="s">
        <v>10</v>
      </c>
      <c r="E643" t="s">
        <v>24</v>
      </c>
      <c r="F643" s="20" t="str">
        <f>INDEX(nrg_cb_e!$A$3:$A$40,MATCH(LEFT(MID(B643,43,1000),SEARCH(" - ",MID(B643,43,1000))-1),nrg_cb_e!$C$3:$C$40,0))</f>
        <v>FC_OTH_HH_E</v>
      </c>
      <c r="G643">
        <v>7703.799</v>
      </c>
    </row>
    <row r="644" spans="1:7" x14ac:dyDescent="0.2">
      <c r="A644" t="s">
        <v>35</v>
      </c>
      <c r="B644" t="s">
        <v>76</v>
      </c>
      <c r="C644" t="s">
        <v>8</v>
      </c>
      <c r="D644" t="s">
        <v>10</v>
      </c>
      <c r="E644" t="s">
        <v>25</v>
      </c>
      <c r="F644" s="20" t="str">
        <f>INDEX(nrg_cb_e!$A$3:$A$40,MATCH(LEFT(MID(B644,43,1000),SEARCH(" - ",MID(B644,43,1000))-1),nrg_cb_e!$C$3:$C$40,0))</f>
        <v>FC_OTH_HH_E</v>
      </c>
      <c r="G644">
        <v>7880.7610000000004</v>
      </c>
    </row>
    <row r="645" spans="1:7" x14ac:dyDescent="0.2">
      <c r="A645" t="s">
        <v>35</v>
      </c>
      <c r="B645" t="s">
        <v>76</v>
      </c>
      <c r="C645" t="s">
        <v>8</v>
      </c>
      <c r="D645" t="s">
        <v>10</v>
      </c>
      <c r="E645" t="s">
        <v>26</v>
      </c>
      <c r="F645" s="20" t="str">
        <f>INDEX(nrg_cb_e!$A$3:$A$40,MATCH(LEFT(MID(B645,43,1000),SEARCH(" - ",MID(B645,43,1000))-1),nrg_cb_e!$C$3:$C$40,0))</f>
        <v>FC_OTH_HH_E</v>
      </c>
      <c r="G645">
        <v>7872.7449999999999</v>
      </c>
    </row>
    <row r="646" spans="1:7" x14ac:dyDescent="0.2">
      <c r="A646" t="s">
        <v>35</v>
      </c>
      <c r="B646" t="s">
        <v>76</v>
      </c>
      <c r="C646" t="s">
        <v>8</v>
      </c>
      <c r="D646" t="s">
        <v>10</v>
      </c>
      <c r="E646" t="s">
        <v>27</v>
      </c>
      <c r="F646" s="20" t="str">
        <f>INDEX(nrg_cb_e!$A$3:$A$40,MATCH(LEFT(MID(B646,43,1000),SEARCH(" - ",MID(B646,43,1000))-1),nrg_cb_e!$C$3:$C$40,0))</f>
        <v>FC_OTH_HH_E</v>
      </c>
      <c r="G646">
        <v>7959.0190000000002</v>
      </c>
    </row>
    <row r="647" spans="1:7" x14ac:dyDescent="0.2">
      <c r="A647" t="s">
        <v>35</v>
      </c>
      <c r="B647" t="s">
        <v>76</v>
      </c>
      <c r="C647" t="s">
        <v>8</v>
      </c>
      <c r="D647" t="s">
        <v>10</v>
      </c>
      <c r="E647" t="s">
        <v>28</v>
      </c>
      <c r="F647" s="20" t="str">
        <f>INDEX(nrg_cb_e!$A$3:$A$40,MATCH(LEFT(MID(B647,43,1000),SEARCH(" - ",MID(B647,43,1000))-1),nrg_cb_e!$C$3:$C$40,0))</f>
        <v>FC_OTH_HH_E</v>
      </c>
      <c r="G647">
        <v>8173.7759999999998</v>
      </c>
    </row>
    <row r="648" spans="1:7" x14ac:dyDescent="0.2">
      <c r="A648" t="s">
        <v>36</v>
      </c>
      <c r="B648" t="s">
        <v>76</v>
      </c>
      <c r="C648" t="s">
        <v>8</v>
      </c>
      <c r="D648" t="s">
        <v>10</v>
      </c>
      <c r="E648" t="s">
        <v>12</v>
      </c>
      <c r="F648" s="20" t="str">
        <f>INDEX(nrg_cb_e!$A$3:$A$40,MATCH(LEFT(MID(B648,43,1000),SEARCH(" - ",MID(B648,43,1000))-1),nrg_cb_e!$C$3:$C$40,0))</f>
        <v>FC_OTH_HH_E</v>
      </c>
      <c r="G648">
        <v>15775</v>
      </c>
    </row>
    <row r="649" spans="1:7" x14ac:dyDescent="0.2">
      <c r="A649" t="s">
        <v>36</v>
      </c>
      <c r="B649" t="s">
        <v>76</v>
      </c>
      <c r="C649" t="s">
        <v>8</v>
      </c>
      <c r="D649" t="s">
        <v>10</v>
      </c>
      <c r="E649" t="s">
        <v>13</v>
      </c>
      <c r="F649" s="20" t="str">
        <f>INDEX(nrg_cb_e!$A$3:$A$40,MATCH(LEFT(MID(B649,43,1000),SEARCH(" - ",MID(B649,43,1000))-1),nrg_cb_e!$C$3:$C$40,0))</f>
        <v>FC_OTH_HH_E</v>
      </c>
      <c r="G649">
        <v>16444</v>
      </c>
    </row>
    <row r="650" spans="1:7" x14ac:dyDescent="0.2">
      <c r="A650" t="s">
        <v>36</v>
      </c>
      <c r="B650" t="s">
        <v>76</v>
      </c>
      <c r="C650" t="s">
        <v>8</v>
      </c>
      <c r="D650" t="s">
        <v>10</v>
      </c>
      <c r="E650" t="s">
        <v>14</v>
      </c>
      <c r="F650" s="20" t="str">
        <f>INDEX(nrg_cb_e!$A$3:$A$40,MATCH(LEFT(MID(B650,43,1000),SEARCH(" - ",MID(B650,43,1000))-1),nrg_cb_e!$C$3:$C$40,0))</f>
        <v>FC_OTH_HH_E</v>
      </c>
      <c r="G650">
        <v>16852</v>
      </c>
    </row>
    <row r="651" spans="1:7" x14ac:dyDescent="0.2">
      <c r="A651" t="s">
        <v>36</v>
      </c>
      <c r="B651" t="s">
        <v>76</v>
      </c>
      <c r="C651" t="s">
        <v>8</v>
      </c>
      <c r="D651" t="s">
        <v>10</v>
      </c>
      <c r="E651" t="s">
        <v>15</v>
      </c>
      <c r="F651" s="20" t="str">
        <f>INDEX(nrg_cb_e!$A$3:$A$40,MATCH(LEFT(MID(B651,43,1000),SEARCH(" - ",MID(B651,43,1000))-1),nrg_cb_e!$C$3:$C$40,0))</f>
        <v>FC_OTH_HH_E</v>
      </c>
      <c r="G651">
        <v>16875</v>
      </c>
    </row>
    <row r="652" spans="1:7" x14ac:dyDescent="0.2">
      <c r="A652" t="s">
        <v>36</v>
      </c>
      <c r="B652" t="s">
        <v>76</v>
      </c>
      <c r="C652" t="s">
        <v>8</v>
      </c>
      <c r="D652" t="s">
        <v>10</v>
      </c>
      <c r="E652" t="s">
        <v>16</v>
      </c>
      <c r="F652" s="20" t="str">
        <f>INDEX(nrg_cb_e!$A$3:$A$40,MATCH(LEFT(MID(B652,43,1000),SEARCH(" - ",MID(B652,43,1000))-1),nrg_cb_e!$C$3:$C$40,0))</f>
        <v>FC_OTH_HH_E</v>
      </c>
      <c r="G652">
        <v>17676</v>
      </c>
    </row>
    <row r="653" spans="1:7" x14ac:dyDescent="0.2">
      <c r="A653" t="s">
        <v>36</v>
      </c>
      <c r="B653" t="s">
        <v>76</v>
      </c>
      <c r="C653" t="s">
        <v>8</v>
      </c>
      <c r="D653" t="s">
        <v>10</v>
      </c>
      <c r="E653" t="s">
        <v>17</v>
      </c>
      <c r="F653" s="20" t="str">
        <f>INDEX(nrg_cb_e!$A$3:$A$40,MATCH(LEFT(MID(B653,43,1000),SEARCH(" - ",MID(B653,43,1000))-1),nrg_cb_e!$C$3:$C$40,0))</f>
        <v>FC_OTH_HH_E</v>
      </c>
      <c r="G653">
        <v>17957</v>
      </c>
    </row>
    <row r="654" spans="1:7" x14ac:dyDescent="0.2">
      <c r="A654" t="s">
        <v>36</v>
      </c>
      <c r="B654" t="s">
        <v>76</v>
      </c>
      <c r="C654" t="s">
        <v>8</v>
      </c>
      <c r="D654" t="s">
        <v>10</v>
      </c>
      <c r="E654" t="s">
        <v>18</v>
      </c>
      <c r="F654" s="20" t="str">
        <f>INDEX(nrg_cb_e!$A$3:$A$40,MATCH(LEFT(MID(B654,43,1000),SEARCH(" - ",MID(B654,43,1000))-1),nrg_cb_e!$C$3:$C$40,0))</f>
        <v>FC_OTH_HH_E</v>
      </c>
      <c r="G654">
        <v>18126</v>
      </c>
    </row>
    <row r="655" spans="1:7" x14ac:dyDescent="0.2">
      <c r="A655" t="s">
        <v>36</v>
      </c>
      <c r="B655" t="s">
        <v>76</v>
      </c>
      <c r="C655" t="s">
        <v>8</v>
      </c>
      <c r="D655" t="s">
        <v>10</v>
      </c>
      <c r="E655" t="s">
        <v>19</v>
      </c>
      <c r="F655" s="20" t="str">
        <f>INDEX(nrg_cb_e!$A$3:$A$40,MATCH(LEFT(MID(B655,43,1000),SEARCH(" - ",MID(B655,43,1000))-1),nrg_cb_e!$C$3:$C$40,0))</f>
        <v>FC_OTH_HH_E</v>
      </c>
      <c r="G655">
        <v>18131</v>
      </c>
    </row>
    <row r="656" spans="1:7" x14ac:dyDescent="0.2">
      <c r="A656" t="s">
        <v>36</v>
      </c>
      <c r="B656" t="s">
        <v>76</v>
      </c>
      <c r="C656" t="s">
        <v>8</v>
      </c>
      <c r="D656" t="s">
        <v>10</v>
      </c>
      <c r="E656" t="s">
        <v>20</v>
      </c>
      <c r="F656" s="20" t="str">
        <f>INDEX(nrg_cb_e!$A$3:$A$40,MATCH(LEFT(MID(B656,43,1000),SEARCH(" - ",MID(B656,43,1000))-1),nrg_cb_e!$C$3:$C$40,0))</f>
        <v>FC_OTH_HH_E</v>
      </c>
      <c r="G656">
        <v>18130</v>
      </c>
    </row>
    <row r="657" spans="1:7" x14ac:dyDescent="0.2">
      <c r="A657" t="s">
        <v>36</v>
      </c>
      <c r="B657" t="s">
        <v>76</v>
      </c>
      <c r="C657" t="s">
        <v>8</v>
      </c>
      <c r="D657" t="s">
        <v>10</v>
      </c>
      <c r="E657" t="s">
        <v>21</v>
      </c>
      <c r="F657" s="20" t="str">
        <f>INDEX(nrg_cb_e!$A$3:$A$40,MATCH(LEFT(MID(B657,43,1000),SEARCH(" - ",MID(B657,43,1000))-1),nrg_cb_e!$C$3:$C$40,0))</f>
        <v>FC_OTH_HH_E</v>
      </c>
      <c r="G657">
        <v>17628</v>
      </c>
    </row>
    <row r="658" spans="1:7" x14ac:dyDescent="0.2">
      <c r="A658" t="s">
        <v>36</v>
      </c>
      <c r="B658" t="s">
        <v>76</v>
      </c>
      <c r="C658" t="s">
        <v>8</v>
      </c>
      <c r="D658" t="s">
        <v>10</v>
      </c>
      <c r="E658" t="s">
        <v>22</v>
      </c>
      <c r="F658" s="20" t="str">
        <f>INDEX(nrg_cb_e!$A$3:$A$40,MATCH(LEFT(MID(B658,43,1000),SEARCH(" - ",MID(B658,43,1000))-1),nrg_cb_e!$C$3:$C$40,0))</f>
        <v>FC_OTH_HH_E</v>
      </c>
      <c r="G658">
        <v>19058</v>
      </c>
    </row>
    <row r="659" spans="1:7" x14ac:dyDescent="0.2">
      <c r="A659" t="s">
        <v>36</v>
      </c>
      <c r="B659" t="s">
        <v>76</v>
      </c>
      <c r="C659" t="s">
        <v>8</v>
      </c>
      <c r="D659" t="s">
        <v>10</v>
      </c>
      <c r="E659" t="s">
        <v>23</v>
      </c>
      <c r="F659" s="20" t="str">
        <f>INDEX(nrg_cb_e!$A$3:$A$40,MATCH(LEFT(MID(B659,43,1000),SEARCH(" - ",MID(B659,43,1000))-1),nrg_cb_e!$C$3:$C$40,0))</f>
        <v>FC_OTH_HH_E</v>
      </c>
      <c r="G659">
        <v>17446</v>
      </c>
    </row>
    <row r="660" spans="1:7" x14ac:dyDescent="0.2">
      <c r="A660" t="s">
        <v>36</v>
      </c>
      <c r="B660" t="s">
        <v>76</v>
      </c>
      <c r="C660" t="s">
        <v>8</v>
      </c>
      <c r="D660" t="s">
        <v>10</v>
      </c>
      <c r="E660" t="s">
        <v>24</v>
      </c>
      <c r="F660" s="20" t="str">
        <f>INDEX(nrg_cb_e!$A$3:$A$40,MATCH(LEFT(MID(B660,43,1000),SEARCH(" - ",MID(B660,43,1000))-1),nrg_cb_e!$C$3:$C$40,0))</f>
        <v>FC_OTH_HH_E</v>
      </c>
      <c r="G660">
        <v>17151</v>
      </c>
    </row>
    <row r="661" spans="1:7" x14ac:dyDescent="0.2">
      <c r="A661" t="s">
        <v>36</v>
      </c>
      <c r="B661" t="s">
        <v>76</v>
      </c>
      <c r="C661" t="s">
        <v>8</v>
      </c>
      <c r="D661" t="s">
        <v>10</v>
      </c>
      <c r="E661" t="s">
        <v>25</v>
      </c>
      <c r="F661" s="20" t="str">
        <f>INDEX(nrg_cb_e!$A$3:$A$40,MATCH(LEFT(MID(B661,43,1000),SEARCH(" - ",MID(B661,43,1000))-1),nrg_cb_e!$C$3:$C$40,0))</f>
        <v>FC_OTH_HH_E</v>
      </c>
      <c r="G661">
        <v>17538</v>
      </c>
    </row>
    <row r="662" spans="1:7" x14ac:dyDescent="0.2">
      <c r="A662" t="s">
        <v>36</v>
      </c>
      <c r="B662" t="s">
        <v>76</v>
      </c>
      <c r="C662" t="s">
        <v>8</v>
      </c>
      <c r="D662" t="s">
        <v>10</v>
      </c>
      <c r="E662" t="s">
        <v>26</v>
      </c>
      <c r="F662" s="20" t="str">
        <f>INDEX(nrg_cb_e!$A$3:$A$40,MATCH(LEFT(MID(B662,43,1000),SEARCH(" - ",MID(B662,43,1000))-1),nrg_cb_e!$C$3:$C$40,0))</f>
        <v>FC_OTH_HH_E</v>
      </c>
      <c r="G662">
        <v>19997</v>
      </c>
    </row>
    <row r="663" spans="1:7" x14ac:dyDescent="0.2">
      <c r="A663" t="s">
        <v>36</v>
      </c>
      <c r="B663" t="s">
        <v>76</v>
      </c>
      <c r="C663" t="s">
        <v>8</v>
      </c>
      <c r="D663" t="s">
        <v>10</v>
      </c>
      <c r="E663" t="s">
        <v>27</v>
      </c>
      <c r="F663" s="20" t="str">
        <f>INDEX(nrg_cb_e!$A$3:$A$40,MATCH(LEFT(MID(B663,43,1000),SEARCH(" - ",MID(B663,43,1000))-1),nrg_cb_e!$C$3:$C$40,0))</f>
        <v>FC_OTH_HH_E</v>
      </c>
      <c r="G663">
        <v>19627.851999999999</v>
      </c>
    </row>
    <row r="664" spans="1:7" x14ac:dyDescent="0.2">
      <c r="A664" t="s">
        <v>36</v>
      </c>
      <c r="B664" t="s">
        <v>76</v>
      </c>
      <c r="C664" t="s">
        <v>8</v>
      </c>
      <c r="D664" t="s">
        <v>10</v>
      </c>
      <c r="E664" t="s">
        <v>28</v>
      </c>
      <c r="F664" s="20" t="str">
        <f>INDEX(nrg_cb_e!$A$3:$A$40,MATCH(LEFT(MID(B664,43,1000),SEARCH(" - ",MID(B664,43,1000))-1),nrg_cb_e!$C$3:$C$40,0))</f>
        <v>FC_OTH_HH_E</v>
      </c>
      <c r="G664">
        <v>16762.61</v>
      </c>
    </row>
    <row r="665" spans="1:7" x14ac:dyDescent="0.2">
      <c r="A665" t="s">
        <v>37</v>
      </c>
      <c r="B665" t="s">
        <v>76</v>
      </c>
      <c r="C665" t="s">
        <v>8</v>
      </c>
      <c r="D665" t="s">
        <v>10</v>
      </c>
      <c r="E665" t="s">
        <v>12</v>
      </c>
      <c r="F665" s="20" t="str">
        <f>INDEX(nrg_cb_e!$A$3:$A$40,MATCH(LEFT(MID(B665,43,1000),SEARCH(" - ",MID(B665,43,1000))-1),nrg_cb_e!$C$3:$C$40,0))</f>
        <v>FC_OTH_HH_E</v>
      </c>
      <c r="G665">
        <v>50636</v>
      </c>
    </row>
    <row r="666" spans="1:7" x14ac:dyDescent="0.2">
      <c r="A666" t="s">
        <v>37</v>
      </c>
      <c r="B666" t="s">
        <v>76</v>
      </c>
      <c r="C666" t="s">
        <v>8</v>
      </c>
      <c r="D666" t="s">
        <v>10</v>
      </c>
      <c r="E666" t="s">
        <v>13</v>
      </c>
      <c r="F666" s="20" t="str">
        <f>INDEX(nrg_cb_e!$A$3:$A$40,MATCH(LEFT(MID(B666,43,1000),SEARCH(" - ",MID(B666,43,1000))-1),nrg_cb_e!$C$3:$C$40,0))</f>
        <v>FC_OTH_HH_E</v>
      </c>
      <c r="G666">
        <v>54235</v>
      </c>
    </row>
    <row r="667" spans="1:7" x14ac:dyDescent="0.2">
      <c r="A667" t="s">
        <v>37</v>
      </c>
      <c r="B667" t="s">
        <v>76</v>
      </c>
      <c r="C667" t="s">
        <v>8</v>
      </c>
      <c r="D667" t="s">
        <v>10</v>
      </c>
      <c r="E667" t="s">
        <v>14</v>
      </c>
      <c r="F667" s="20" t="str">
        <f>INDEX(nrg_cb_e!$A$3:$A$40,MATCH(LEFT(MID(B667,43,1000),SEARCH(" - ",MID(B667,43,1000))-1),nrg_cb_e!$C$3:$C$40,0))</f>
        <v>FC_OTH_HH_E</v>
      </c>
      <c r="G667">
        <v>58046</v>
      </c>
    </row>
    <row r="668" spans="1:7" x14ac:dyDescent="0.2">
      <c r="A668" t="s">
        <v>37</v>
      </c>
      <c r="B668" t="s">
        <v>76</v>
      </c>
      <c r="C668" t="s">
        <v>8</v>
      </c>
      <c r="D668" t="s">
        <v>10</v>
      </c>
      <c r="E668" t="s">
        <v>15</v>
      </c>
      <c r="F668" s="20" t="str">
        <f>INDEX(nrg_cb_e!$A$3:$A$40,MATCH(LEFT(MID(B668,43,1000),SEARCH(" - ",MID(B668,43,1000))-1),nrg_cb_e!$C$3:$C$40,0))</f>
        <v>FC_OTH_HH_E</v>
      </c>
      <c r="G668">
        <v>62584</v>
      </c>
    </row>
    <row r="669" spans="1:7" x14ac:dyDescent="0.2">
      <c r="A669" t="s">
        <v>37</v>
      </c>
      <c r="B669" t="s">
        <v>76</v>
      </c>
      <c r="C669" t="s">
        <v>8</v>
      </c>
      <c r="D669" t="s">
        <v>10</v>
      </c>
      <c r="E669" t="s">
        <v>16</v>
      </c>
      <c r="F669" s="20" t="str">
        <f>INDEX(nrg_cb_e!$A$3:$A$40,MATCH(LEFT(MID(B669,43,1000),SEARCH(" - ",MID(B669,43,1000))-1),nrg_cb_e!$C$3:$C$40,0))</f>
        <v>FC_OTH_HH_E</v>
      </c>
      <c r="G669">
        <v>67882</v>
      </c>
    </row>
    <row r="670" spans="1:7" x14ac:dyDescent="0.2">
      <c r="A670" t="s">
        <v>37</v>
      </c>
      <c r="B670" t="s">
        <v>76</v>
      </c>
      <c r="C670" t="s">
        <v>8</v>
      </c>
      <c r="D670" t="s">
        <v>10</v>
      </c>
      <c r="E670" t="s">
        <v>17</v>
      </c>
      <c r="F670" s="20" t="str">
        <f>INDEX(nrg_cb_e!$A$3:$A$40,MATCH(LEFT(MID(B670,43,1000),SEARCH(" - ",MID(B670,43,1000))-1),nrg_cb_e!$C$3:$C$40,0))</f>
        <v>FC_OTH_HH_E</v>
      </c>
      <c r="G670">
        <v>68214</v>
      </c>
    </row>
    <row r="671" spans="1:7" x14ac:dyDescent="0.2">
      <c r="A671" t="s">
        <v>37</v>
      </c>
      <c r="B671" t="s">
        <v>76</v>
      </c>
      <c r="C671" t="s">
        <v>8</v>
      </c>
      <c r="D671" t="s">
        <v>10</v>
      </c>
      <c r="E671" t="s">
        <v>18</v>
      </c>
      <c r="F671" s="20" t="str">
        <f>INDEX(nrg_cb_e!$A$3:$A$40,MATCH(LEFT(MID(B671,43,1000),SEARCH(" - ",MID(B671,43,1000))-1),nrg_cb_e!$C$3:$C$40,0))</f>
        <v>FC_OTH_HH_E</v>
      </c>
      <c r="G671">
        <v>69438</v>
      </c>
    </row>
    <row r="672" spans="1:7" x14ac:dyDescent="0.2">
      <c r="A672" t="s">
        <v>37</v>
      </c>
      <c r="B672" t="s">
        <v>76</v>
      </c>
      <c r="C672" t="s">
        <v>8</v>
      </c>
      <c r="D672" t="s">
        <v>10</v>
      </c>
      <c r="E672" t="s">
        <v>19</v>
      </c>
      <c r="F672" s="20" t="str">
        <f>INDEX(nrg_cb_e!$A$3:$A$40,MATCH(LEFT(MID(B672,43,1000),SEARCH(" - ",MID(B672,43,1000))-1),nrg_cb_e!$C$3:$C$40,0))</f>
        <v>FC_OTH_HH_E</v>
      </c>
      <c r="G672">
        <v>71411</v>
      </c>
    </row>
    <row r="673" spans="1:7" x14ac:dyDescent="0.2">
      <c r="A673" t="s">
        <v>37</v>
      </c>
      <c r="B673" t="s">
        <v>76</v>
      </c>
      <c r="C673" t="s">
        <v>8</v>
      </c>
      <c r="D673" t="s">
        <v>10</v>
      </c>
      <c r="E673" t="s">
        <v>20</v>
      </c>
      <c r="F673" s="20" t="str">
        <f>INDEX(nrg_cb_e!$A$3:$A$40,MATCH(LEFT(MID(B673,43,1000),SEARCH(" - ",MID(B673,43,1000))-1),nrg_cb_e!$C$3:$C$40,0))</f>
        <v>FC_OTH_HH_E</v>
      </c>
      <c r="G673">
        <v>75679</v>
      </c>
    </row>
    <row r="674" spans="1:7" x14ac:dyDescent="0.2">
      <c r="A674" t="s">
        <v>37</v>
      </c>
      <c r="B674" t="s">
        <v>76</v>
      </c>
      <c r="C674" t="s">
        <v>8</v>
      </c>
      <c r="D674" t="s">
        <v>10</v>
      </c>
      <c r="E674" t="s">
        <v>21</v>
      </c>
      <c r="F674" s="20" t="str">
        <f>INDEX(nrg_cb_e!$A$3:$A$40,MATCH(LEFT(MID(B674,43,1000),SEARCH(" - ",MID(B674,43,1000))-1),nrg_cb_e!$C$3:$C$40,0))</f>
        <v>FC_OTH_HH_E</v>
      </c>
      <c r="G674">
        <v>76107</v>
      </c>
    </row>
    <row r="675" spans="1:7" x14ac:dyDescent="0.2">
      <c r="A675" t="s">
        <v>37</v>
      </c>
      <c r="B675" t="s">
        <v>76</v>
      </c>
      <c r="C675" t="s">
        <v>8</v>
      </c>
      <c r="D675" t="s">
        <v>10</v>
      </c>
      <c r="E675" t="s">
        <v>22</v>
      </c>
      <c r="F675" s="20" t="str">
        <f>INDEX(nrg_cb_e!$A$3:$A$40,MATCH(LEFT(MID(B675,43,1000),SEARCH(" - ",MID(B675,43,1000))-1),nrg_cb_e!$C$3:$C$40,0))</f>
        <v>FC_OTH_HH_E</v>
      </c>
      <c r="G675">
        <v>75088</v>
      </c>
    </row>
    <row r="676" spans="1:7" x14ac:dyDescent="0.2">
      <c r="A676" t="s">
        <v>37</v>
      </c>
      <c r="B676" t="s">
        <v>76</v>
      </c>
      <c r="C676" t="s">
        <v>8</v>
      </c>
      <c r="D676" t="s">
        <v>10</v>
      </c>
      <c r="E676" t="s">
        <v>23</v>
      </c>
      <c r="F676" s="20" t="str">
        <f>INDEX(nrg_cb_e!$A$3:$A$40,MATCH(LEFT(MID(B676,43,1000),SEARCH(" - ",MID(B676,43,1000))-1),nrg_cb_e!$C$3:$C$40,0))</f>
        <v>FC_OTH_HH_E</v>
      </c>
      <c r="G676">
        <v>71060</v>
      </c>
    </row>
    <row r="677" spans="1:7" x14ac:dyDescent="0.2">
      <c r="A677" t="s">
        <v>37</v>
      </c>
      <c r="B677" t="s">
        <v>76</v>
      </c>
      <c r="C677" t="s">
        <v>8</v>
      </c>
      <c r="D677" t="s">
        <v>10</v>
      </c>
      <c r="E677" t="s">
        <v>24</v>
      </c>
      <c r="F677" s="20" t="str">
        <f>INDEX(nrg_cb_e!$A$3:$A$40,MATCH(LEFT(MID(B677,43,1000),SEARCH(" - ",MID(B677,43,1000))-1),nrg_cb_e!$C$3:$C$40,0))</f>
        <v>FC_OTH_HH_E</v>
      </c>
      <c r="G677">
        <v>70710</v>
      </c>
    </row>
    <row r="678" spans="1:7" x14ac:dyDescent="0.2">
      <c r="A678" t="s">
        <v>37</v>
      </c>
      <c r="B678" t="s">
        <v>76</v>
      </c>
      <c r="C678" t="s">
        <v>8</v>
      </c>
      <c r="D678" t="s">
        <v>10</v>
      </c>
      <c r="E678" t="s">
        <v>25</v>
      </c>
      <c r="F678" s="20" t="str">
        <f>INDEX(nrg_cb_e!$A$3:$A$40,MATCH(LEFT(MID(B678,43,1000),SEARCH(" - ",MID(B678,43,1000))-1),nrg_cb_e!$C$3:$C$40,0))</f>
        <v>FC_OTH_HH_E</v>
      </c>
      <c r="G678">
        <v>70069</v>
      </c>
    </row>
    <row r="679" spans="1:7" x14ac:dyDescent="0.2">
      <c r="A679" t="s">
        <v>37</v>
      </c>
      <c r="B679" t="s">
        <v>76</v>
      </c>
      <c r="C679" t="s">
        <v>8</v>
      </c>
      <c r="D679" t="s">
        <v>10</v>
      </c>
      <c r="E679" t="s">
        <v>26</v>
      </c>
      <c r="F679" s="20" t="str">
        <f>INDEX(nrg_cb_e!$A$3:$A$40,MATCH(LEFT(MID(B679,43,1000),SEARCH(" - ",MID(B679,43,1000))-1),nrg_cb_e!$C$3:$C$40,0))</f>
        <v>FC_OTH_HH_E</v>
      </c>
      <c r="G679">
        <v>69648</v>
      </c>
    </row>
    <row r="680" spans="1:7" x14ac:dyDescent="0.2">
      <c r="A680" t="s">
        <v>37</v>
      </c>
      <c r="B680" t="s">
        <v>76</v>
      </c>
      <c r="C680" t="s">
        <v>8</v>
      </c>
      <c r="D680" t="s">
        <v>10</v>
      </c>
      <c r="E680" t="s">
        <v>27</v>
      </c>
      <c r="F680" s="20" t="str">
        <f>INDEX(nrg_cb_e!$A$3:$A$40,MATCH(LEFT(MID(B680,43,1000),SEARCH(" - ",MID(B680,43,1000))-1),nrg_cb_e!$C$3:$C$40,0))</f>
        <v>FC_OTH_HH_E</v>
      </c>
      <c r="G680">
        <v>71393</v>
      </c>
    </row>
    <row r="681" spans="1:7" x14ac:dyDescent="0.2">
      <c r="A681" t="s">
        <v>37</v>
      </c>
      <c r="B681" t="s">
        <v>76</v>
      </c>
      <c r="C681" t="s">
        <v>8</v>
      </c>
      <c r="D681" t="s">
        <v>10</v>
      </c>
      <c r="E681" t="s">
        <v>28</v>
      </c>
      <c r="F681" s="20" t="str">
        <f>INDEX(nrg_cb_e!$A$3:$A$40,MATCH(LEFT(MID(B681,43,1000),SEARCH(" - ",MID(B681,43,1000))-1),nrg_cb_e!$C$3:$C$40,0))</f>
        <v>FC_OTH_HH_E</v>
      </c>
      <c r="G681">
        <v>75006</v>
      </c>
    </row>
    <row r="682" spans="1:7" x14ac:dyDescent="0.2">
      <c r="A682" t="s">
        <v>38</v>
      </c>
      <c r="B682" t="s">
        <v>76</v>
      </c>
      <c r="C682" t="s">
        <v>8</v>
      </c>
      <c r="D682" t="s">
        <v>10</v>
      </c>
      <c r="E682" t="s">
        <v>12</v>
      </c>
      <c r="F682" s="20" t="str">
        <f>INDEX(nrg_cb_e!$A$3:$A$40,MATCH(LEFT(MID(B682,43,1000),SEARCH(" - ",MID(B682,43,1000))-1),nrg_cb_e!$C$3:$C$40,0))</f>
        <v>FC_OTH_HH_E</v>
      </c>
      <c r="G682">
        <v>132998</v>
      </c>
    </row>
    <row r="683" spans="1:7" x14ac:dyDescent="0.2">
      <c r="A683" t="s">
        <v>38</v>
      </c>
      <c r="B683" t="s">
        <v>76</v>
      </c>
      <c r="C683" t="s">
        <v>8</v>
      </c>
      <c r="D683" t="s">
        <v>10</v>
      </c>
      <c r="E683" t="s">
        <v>13</v>
      </c>
      <c r="F683" s="20" t="str">
        <f>INDEX(nrg_cb_e!$A$3:$A$40,MATCH(LEFT(MID(B683,43,1000),SEARCH(" - ",MID(B683,43,1000))-1),nrg_cb_e!$C$3:$C$40,0))</f>
        <v>FC_OTH_HH_E</v>
      </c>
      <c r="G683">
        <v>141554</v>
      </c>
    </row>
    <row r="684" spans="1:7" x14ac:dyDescent="0.2">
      <c r="A684" t="s">
        <v>38</v>
      </c>
      <c r="B684" t="s">
        <v>76</v>
      </c>
      <c r="C684" t="s">
        <v>8</v>
      </c>
      <c r="D684" t="s">
        <v>10</v>
      </c>
      <c r="E684" t="s">
        <v>14</v>
      </c>
      <c r="F684" s="20" t="str">
        <f>INDEX(nrg_cb_e!$A$3:$A$40,MATCH(LEFT(MID(B684,43,1000),SEARCH(" - ",MID(B684,43,1000))-1),nrg_cb_e!$C$3:$C$40,0))</f>
        <v>FC_OTH_HH_E</v>
      </c>
      <c r="G684">
        <v>143380</v>
      </c>
    </row>
    <row r="685" spans="1:7" x14ac:dyDescent="0.2">
      <c r="A685" t="s">
        <v>38</v>
      </c>
      <c r="B685" t="s">
        <v>76</v>
      </c>
      <c r="C685" t="s">
        <v>8</v>
      </c>
      <c r="D685" t="s">
        <v>10</v>
      </c>
      <c r="E685" t="s">
        <v>15</v>
      </c>
      <c r="F685" s="20" t="str">
        <f>INDEX(nrg_cb_e!$A$3:$A$40,MATCH(LEFT(MID(B685,43,1000),SEARCH(" - ",MID(B685,43,1000))-1),nrg_cb_e!$C$3:$C$40,0))</f>
        <v>FC_OTH_HH_E</v>
      </c>
      <c r="G685">
        <v>138483</v>
      </c>
    </row>
    <row r="686" spans="1:7" x14ac:dyDescent="0.2">
      <c r="A686" t="s">
        <v>38</v>
      </c>
      <c r="B686" t="s">
        <v>76</v>
      </c>
      <c r="C686" t="s">
        <v>8</v>
      </c>
      <c r="D686" t="s">
        <v>10</v>
      </c>
      <c r="E686" t="s">
        <v>16</v>
      </c>
      <c r="F686" s="20" t="str">
        <f>INDEX(nrg_cb_e!$A$3:$A$40,MATCH(LEFT(MID(B686,43,1000),SEARCH(" - ",MID(B686,43,1000))-1),nrg_cb_e!$C$3:$C$40,0))</f>
        <v>FC_OTH_HH_E</v>
      </c>
      <c r="G686">
        <v>143327</v>
      </c>
    </row>
    <row r="687" spans="1:7" x14ac:dyDescent="0.2">
      <c r="A687" t="s">
        <v>38</v>
      </c>
      <c r="B687" t="s">
        <v>76</v>
      </c>
      <c r="C687" t="s">
        <v>8</v>
      </c>
      <c r="D687" t="s">
        <v>10</v>
      </c>
      <c r="E687" t="s">
        <v>17</v>
      </c>
      <c r="F687" s="20" t="str">
        <f>INDEX(nrg_cb_e!$A$3:$A$40,MATCH(LEFT(MID(B687,43,1000),SEARCH(" - ",MID(B687,43,1000))-1),nrg_cb_e!$C$3:$C$40,0))</f>
        <v>FC_OTH_HH_E</v>
      </c>
      <c r="G687">
        <v>141589</v>
      </c>
    </row>
    <row r="688" spans="1:7" x14ac:dyDescent="0.2">
      <c r="A688" t="s">
        <v>38</v>
      </c>
      <c r="B688" t="s">
        <v>76</v>
      </c>
      <c r="C688" t="s">
        <v>8</v>
      </c>
      <c r="D688" t="s">
        <v>10</v>
      </c>
      <c r="E688" t="s">
        <v>18</v>
      </c>
      <c r="F688" s="20" t="str">
        <f>INDEX(nrg_cb_e!$A$3:$A$40,MATCH(LEFT(MID(B688,43,1000),SEARCH(" - ",MID(B688,43,1000))-1),nrg_cb_e!$C$3:$C$40,0))</f>
        <v>FC_OTH_HH_E</v>
      </c>
      <c r="G688">
        <v>152652</v>
      </c>
    </row>
    <row r="689" spans="1:7" x14ac:dyDescent="0.2">
      <c r="A689" t="s">
        <v>38</v>
      </c>
      <c r="B689" t="s">
        <v>76</v>
      </c>
      <c r="C689" t="s">
        <v>8</v>
      </c>
      <c r="D689" t="s">
        <v>10</v>
      </c>
      <c r="E689" t="s">
        <v>19</v>
      </c>
      <c r="F689" s="20" t="str">
        <f>INDEX(nrg_cb_e!$A$3:$A$40,MATCH(LEFT(MID(B689,43,1000),SEARCH(" - ",MID(B689,43,1000))-1),nrg_cb_e!$C$3:$C$40,0))</f>
        <v>FC_OTH_HH_E</v>
      </c>
      <c r="G689">
        <v>149032</v>
      </c>
    </row>
    <row r="690" spans="1:7" x14ac:dyDescent="0.2">
      <c r="A690" t="s">
        <v>38</v>
      </c>
      <c r="B690" t="s">
        <v>76</v>
      </c>
      <c r="C690" t="s">
        <v>8</v>
      </c>
      <c r="D690" t="s">
        <v>10</v>
      </c>
      <c r="E690" t="s">
        <v>20</v>
      </c>
      <c r="F690" s="20" t="str">
        <f>INDEX(nrg_cb_e!$A$3:$A$40,MATCH(LEFT(MID(B690,43,1000),SEARCH(" - ",MID(B690,43,1000))-1),nrg_cb_e!$C$3:$C$40,0))</f>
        <v>FC_OTH_HH_E</v>
      </c>
      <c r="G690">
        <v>161520</v>
      </c>
    </row>
    <row r="691" spans="1:7" x14ac:dyDescent="0.2">
      <c r="A691" t="s">
        <v>38</v>
      </c>
      <c r="B691" t="s">
        <v>76</v>
      </c>
      <c r="C691" t="s">
        <v>8</v>
      </c>
      <c r="D691" t="s">
        <v>10</v>
      </c>
      <c r="E691" t="s">
        <v>21</v>
      </c>
      <c r="F691" s="20" t="str">
        <f>INDEX(nrg_cb_e!$A$3:$A$40,MATCH(LEFT(MID(B691,43,1000),SEARCH(" - ",MID(B691,43,1000))-1),nrg_cb_e!$C$3:$C$40,0))</f>
        <v>FC_OTH_HH_E</v>
      </c>
      <c r="G691">
        <v>146269.61300000001</v>
      </c>
    </row>
    <row r="692" spans="1:7" x14ac:dyDescent="0.2">
      <c r="A692" t="s">
        <v>38</v>
      </c>
      <c r="B692" t="s">
        <v>76</v>
      </c>
      <c r="C692" t="s">
        <v>8</v>
      </c>
      <c r="D692" t="s">
        <v>10</v>
      </c>
      <c r="E692" t="s">
        <v>22</v>
      </c>
      <c r="F692" s="20" t="str">
        <f>INDEX(nrg_cb_e!$A$3:$A$40,MATCH(LEFT(MID(B692,43,1000),SEARCH(" - ",MID(B692,43,1000))-1),nrg_cb_e!$C$3:$C$40,0))</f>
        <v>FC_OTH_HH_E</v>
      </c>
      <c r="G692">
        <v>158184.20199999999</v>
      </c>
    </row>
    <row r="693" spans="1:7" x14ac:dyDescent="0.2">
      <c r="A693" t="s">
        <v>38</v>
      </c>
      <c r="B693" t="s">
        <v>76</v>
      </c>
      <c r="C693" t="s">
        <v>8</v>
      </c>
      <c r="D693" t="s">
        <v>10</v>
      </c>
      <c r="E693" t="s">
        <v>23</v>
      </c>
      <c r="F693" s="20" t="str">
        <f>INDEX(nrg_cb_e!$A$3:$A$40,MATCH(LEFT(MID(B693,43,1000),SEARCH(" - ",MID(B693,43,1000))-1),nrg_cb_e!$C$3:$C$40,0))</f>
        <v>FC_OTH_HH_E</v>
      </c>
      <c r="G693">
        <v>166129.611</v>
      </c>
    </row>
    <row r="694" spans="1:7" x14ac:dyDescent="0.2">
      <c r="A694" t="s">
        <v>38</v>
      </c>
      <c r="B694" t="s">
        <v>76</v>
      </c>
      <c r="C694" t="s">
        <v>8</v>
      </c>
      <c r="D694" t="s">
        <v>10</v>
      </c>
      <c r="E694" t="s">
        <v>24</v>
      </c>
      <c r="F694" s="20" t="str">
        <f>INDEX(nrg_cb_e!$A$3:$A$40,MATCH(LEFT(MID(B694,43,1000),SEARCH(" - ",MID(B694,43,1000))-1),nrg_cb_e!$C$3:$C$40,0))</f>
        <v>FC_OTH_HH_E</v>
      </c>
      <c r="G694">
        <v>149021.302</v>
      </c>
    </row>
    <row r="695" spans="1:7" x14ac:dyDescent="0.2">
      <c r="A695" t="s">
        <v>38</v>
      </c>
      <c r="B695" t="s">
        <v>76</v>
      </c>
      <c r="C695" t="s">
        <v>8</v>
      </c>
      <c r="D695" t="s">
        <v>10</v>
      </c>
      <c r="E695" t="s">
        <v>25</v>
      </c>
      <c r="F695" s="20" t="str">
        <f>INDEX(nrg_cb_e!$A$3:$A$40,MATCH(LEFT(MID(B695,43,1000),SEARCH(" - ",MID(B695,43,1000))-1),nrg_cb_e!$C$3:$C$40,0))</f>
        <v>FC_OTH_HH_E</v>
      </c>
      <c r="G695">
        <v>155430.87599999999</v>
      </c>
    </row>
    <row r="696" spans="1:7" x14ac:dyDescent="0.2">
      <c r="A696" t="s">
        <v>38</v>
      </c>
      <c r="B696" t="s">
        <v>76</v>
      </c>
      <c r="C696" t="s">
        <v>8</v>
      </c>
      <c r="D696" t="s">
        <v>10</v>
      </c>
      <c r="E696" t="s">
        <v>26</v>
      </c>
      <c r="F696" s="20" t="str">
        <f>INDEX(nrg_cb_e!$A$3:$A$40,MATCH(LEFT(MID(B696,43,1000),SEARCH(" - ",MID(B696,43,1000))-1),nrg_cb_e!$C$3:$C$40,0))</f>
        <v>FC_OTH_HH_E</v>
      </c>
      <c r="G696">
        <v>161164.253</v>
      </c>
    </row>
    <row r="697" spans="1:7" x14ac:dyDescent="0.2">
      <c r="A697" t="s">
        <v>38</v>
      </c>
      <c r="B697" t="s">
        <v>76</v>
      </c>
      <c r="C697" t="s">
        <v>8</v>
      </c>
      <c r="D697" t="s">
        <v>10</v>
      </c>
      <c r="E697" t="s">
        <v>27</v>
      </c>
      <c r="F697" s="20" t="str">
        <f>INDEX(nrg_cb_e!$A$3:$A$40,MATCH(LEFT(MID(B697,43,1000),SEARCH(" - ",MID(B697,43,1000))-1),nrg_cb_e!$C$3:$C$40,0))</f>
        <v>FC_OTH_HH_E</v>
      </c>
      <c r="G697">
        <v>159206.60500000001</v>
      </c>
    </row>
    <row r="698" spans="1:7" x14ac:dyDescent="0.2">
      <c r="A698" t="s">
        <v>38</v>
      </c>
      <c r="B698" t="s">
        <v>76</v>
      </c>
      <c r="C698" t="s">
        <v>8</v>
      </c>
      <c r="D698" t="s">
        <v>10</v>
      </c>
      <c r="E698" t="s">
        <v>28</v>
      </c>
      <c r="F698" s="20" t="str">
        <f>INDEX(nrg_cb_e!$A$3:$A$40,MATCH(LEFT(MID(B698,43,1000),SEARCH(" - ",MID(B698,43,1000))-1),nrg_cb_e!$C$3:$C$40,0))</f>
        <v>FC_OTH_HH_E</v>
      </c>
      <c r="G698">
        <v>158330.128</v>
      </c>
    </row>
    <row r="699" spans="1:7" x14ac:dyDescent="0.2">
      <c r="A699" t="s">
        <v>39</v>
      </c>
      <c r="B699" t="s">
        <v>76</v>
      </c>
      <c r="C699" t="s">
        <v>8</v>
      </c>
      <c r="D699" t="s">
        <v>10</v>
      </c>
      <c r="E699" t="s">
        <v>12</v>
      </c>
      <c r="F699" s="20" t="str">
        <f>INDEX(nrg_cb_e!$A$3:$A$40,MATCH(LEFT(MID(B699,43,1000),SEARCH(" - ",MID(B699,43,1000))-1),nrg_cb_e!$C$3:$C$40,0))</f>
        <v>FC_OTH_HH_E</v>
      </c>
      <c r="G699">
        <v>5954</v>
      </c>
    </row>
    <row r="700" spans="1:7" x14ac:dyDescent="0.2">
      <c r="A700" t="s">
        <v>39</v>
      </c>
      <c r="B700" t="s">
        <v>76</v>
      </c>
      <c r="C700" t="s">
        <v>8</v>
      </c>
      <c r="D700" t="s">
        <v>10</v>
      </c>
      <c r="E700" t="s">
        <v>13</v>
      </c>
      <c r="F700" s="20" t="str">
        <f>INDEX(nrg_cb_e!$A$3:$A$40,MATCH(LEFT(MID(B700,43,1000),SEARCH(" - ",MID(B700,43,1000))-1),nrg_cb_e!$C$3:$C$40,0))</f>
        <v>FC_OTH_HH_E</v>
      </c>
      <c r="G700">
        <v>5694</v>
      </c>
    </row>
    <row r="701" spans="1:7" x14ac:dyDescent="0.2">
      <c r="A701" t="s">
        <v>39</v>
      </c>
      <c r="B701" t="s">
        <v>76</v>
      </c>
      <c r="C701" t="s">
        <v>8</v>
      </c>
      <c r="D701" t="s">
        <v>10</v>
      </c>
      <c r="E701" t="s">
        <v>14</v>
      </c>
      <c r="F701" s="20" t="str">
        <f>INDEX(nrg_cb_e!$A$3:$A$40,MATCH(LEFT(MID(B701,43,1000),SEARCH(" - ",MID(B701,43,1000))-1),nrg_cb_e!$C$3:$C$40,0))</f>
        <v>FC_OTH_HH_E</v>
      </c>
      <c r="G701">
        <v>6072</v>
      </c>
    </row>
    <row r="702" spans="1:7" x14ac:dyDescent="0.2">
      <c r="A702" t="s">
        <v>39</v>
      </c>
      <c r="B702" t="s">
        <v>76</v>
      </c>
      <c r="C702" t="s">
        <v>8</v>
      </c>
      <c r="D702" t="s">
        <v>10</v>
      </c>
      <c r="E702" t="s">
        <v>15</v>
      </c>
      <c r="F702" s="20" t="str">
        <f>INDEX(nrg_cb_e!$A$3:$A$40,MATCH(LEFT(MID(B702,43,1000),SEARCH(" - ",MID(B702,43,1000))-1),nrg_cb_e!$C$3:$C$40,0))</f>
        <v>FC_OTH_HH_E</v>
      </c>
      <c r="G702">
        <v>6333</v>
      </c>
    </row>
    <row r="703" spans="1:7" x14ac:dyDescent="0.2">
      <c r="A703" t="s">
        <v>39</v>
      </c>
      <c r="B703" t="s">
        <v>76</v>
      </c>
      <c r="C703" t="s">
        <v>8</v>
      </c>
      <c r="D703" t="s">
        <v>10</v>
      </c>
      <c r="E703" t="s">
        <v>16</v>
      </c>
      <c r="F703" s="20" t="str">
        <f>INDEX(nrg_cb_e!$A$3:$A$40,MATCH(LEFT(MID(B703,43,1000),SEARCH(" - ",MID(B703,43,1000))-1),nrg_cb_e!$C$3:$C$40,0))</f>
        <v>FC_OTH_HH_E</v>
      </c>
      <c r="G703">
        <v>6520</v>
      </c>
    </row>
    <row r="704" spans="1:7" x14ac:dyDescent="0.2">
      <c r="A704" t="s">
        <v>39</v>
      </c>
      <c r="B704" t="s">
        <v>76</v>
      </c>
      <c r="C704" t="s">
        <v>8</v>
      </c>
      <c r="D704" t="s">
        <v>10</v>
      </c>
      <c r="E704" t="s">
        <v>17</v>
      </c>
      <c r="F704" s="20" t="str">
        <f>INDEX(nrg_cb_e!$A$3:$A$40,MATCH(LEFT(MID(B704,43,1000),SEARCH(" - ",MID(B704,43,1000))-1),nrg_cb_e!$C$3:$C$40,0))</f>
        <v>FC_OTH_HH_E</v>
      </c>
      <c r="G704">
        <v>6392</v>
      </c>
    </row>
    <row r="705" spans="1:7" x14ac:dyDescent="0.2">
      <c r="A705" t="s">
        <v>39</v>
      </c>
      <c r="B705" t="s">
        <v>76</v>
      </c>
      <c r="C705" t="s">
        <v>8</v>
      </c>
      <c r="D705" t="s">
        <v>10</v>
      </c>
      <c r="E705" t="s">
        <v>18</v>
      </c>
      <c r="F705" s="20" t="str">
        <f>INDEX(nrg_cb_e!$A$3:$A$40,MATCH(LEFT(MID(B705,43,1000),SEARCH(" - ",MID(B705,43,1000))-1),nrg_cb_e!$C$3:$C$40,0))</f>
        <v>FC_OTH_HH_E</v>
      </c>
      <c r="G705">
        <v>6711</v>
      </c>
    </row>
    <row r="706" spans="1:7" x14ac:dyDescent="0.2">
      <c r="A706" t="s">
        <v>39</v>
      </c>
      <c r="B706" t="s">
        <v>76</v>
      </c>
      <c r="C706" t="s">
        <v>8</v>
      </c>
      <c r="D706" t="s">
        <v>10</v>
      </c>
      <c r="E706" t="s">
        <v>19</v>
      </c>
      <c r="F706" s="20" t="str">
        <f>INDEX(nrg_cb_e!$A$3:$A$40,MATCH(LEFT(MID(B706,43,1000),SEARCH(" - ",MID(B706,43,1000))-1),nrg_cb_e!$C$3:$C$40,0))</f>
        <v>FC_OTH_HH_E</v>
      </c>
      <c r="G706">
        <v>6471</v>
      </c>
    </row>
    <row r="707" spans="1:7" x14ac:dyDescent="0.2">
      <c r="A707" t="s">
        <v>39</v>
      </c>
      <c r="B707" t="s">
        <v>76</v>
      </c>
      <c r="C707" t="s">
        <v>8</v>
      </c>
      <c r="D707" t="s">
        <v>10</v>
      </c>
      <c r="E707" t="s">
        <v>20</v>
      </c>
      <c r="F707" s="20" t="str">
        <f>INDEX(nrg_cb_e!$A$3:$A$40,MATCH(LEFT(MID(B707,43,1000),SEARCH(" - ",MID(B707,43,1000))-1),nrg_cb_e!$C$3:$C$40,0))</f>
        <v>FC_OTH_HH_E</v>
      </c>
      <c r="G707">
        <v>6664</v>
      </c>
    </row>
    <row r="708" spans="1:7" x14ac:dyDescent="0.2">
      <c r="A708" t="s">
        <v>39</v>
      </c>
      <c r="B708" t="s">
        <v>76</v>
      </c>
      <c r="C708" t="s">
        <v>8</v>
      </c>
      <c r="D708" t="s">
        <v>10</v>
      </c>
      <c r="E708" t="s">
        <v>21</v>
      </c>
      <c r="F708" s="20" t="str">
        <f>INDEX(nrg_cb_e!$A$3:$A$40,MATCH(LEFT(MID(B708,43,1000),SEARCH(" - ",MID(B708,43,1000))-1),nrg_cb_e!$C$3:$C$40,0))</f>
        <v>FC_OTH_HH_E</v>
      </c>
      <c r="G708">
        <v>6541</v>
      </c>
    </row>
    <row r="709" spans="1:7" x14ac:dyDescent="0.2">
      <c r="A709" t="s">
        <v>39</v>
      </c>
      <c r="B709" t="s">
        <v>76</v>
      </c>
      <c r="C709" t="s">
        <v>8</v>
      </c>
      <c r="D709" t="s">
        <v>10</v>
      </c>
      <c r="E709" t="s">
        <v>22</v>
      </c>
      <c r="F709" s="20" t="str">
        <f>INDEX(nrg_cb_e!$A$3:$A$40,MATCH(LEFT(MID(B709,43,1000),SEARCH(" - ",MID(B709,43,1000))-1),nrg_cb_e!$C$3:$C$40,0))</f>
        <v>FC_OTH_HH_E</v>
      </c>
      <c r="G709">
        <v>6486</v>
      </c>
    </row>
    <row r="710" spans="1:7" x14ac:dyDescent="0.2">
      <c r="A710" t="s">
        <v>39</v>
      </c>
      <c r="B710" t="s">
        <v>76</v>
      </c>
      <c r="C710" t="s">
        <v>8</v>
      </c>
      <c r="D710" t="s">
        <v>10</v>
      </c>
      <c r="E710" t="s">
        <v>23</v>
      </c>
      <c r="F710" s="20" t="str">
        <f>INDEX(nrg_cb_e!$A$3:$A$40,MATCH(LEFT(MID(B710,43,1000),SEARCH(" - ",MID(B710,43,1000))-1),nrg_cb_e!$C$3:$C$40,0))</f>
        <v>FC_OTH_HH_E</v>
      </c>
      <c r="G710">
        <v>6237</v>
      </c>
    </row>
    <row r="711" spans="1:7" x14ac:dyDescent="0.2">
      <c r="A711" t="s">
        <v>39</v>
      </c>
      <c r="B711" t="s">
        <v>76</v>
      </c>
      <c r="C711" t="s">
        <v>8</v>
      </c>
      <c r="D711" t="s">
        <v>10</v>
      </c>
      <c r="E711" t="s">
        <v>24</v>
      </c>
      <c r="F711" s="20" t="str">
        <f>INDEX(nrg_cb_e!$A$3:$A$40,MATCH(LEFT(MID(B711,43,1000),SEARCH(" - ",MID(B711,43,1000))-1),nrg_cb_e!$C$3:$C$40,0))</f>
        <v>FC_OTH_HH_E</v>
      </c>
      <c r="G711">
        <v>6033</v>
      </c>
    </row>
    <row r="712" spans="1:7" x14ac:dyDescent="0.2">
      <c r="A712" t="s">
        <v>39</v>
      </c>
      <c r="B712" t="s">
        <v>76</v>
      </c>
      <c r="C712" t="s">
        <v>8</v>
      </c>
      <c r="D712" t="s">
        <v>10</v>
      </c>
      <c r="E712" t="s">
        <v>25</v>
      </c>
      <c r="F712" s="20" t="str">
        <f>INDEX(nrg_cb_e!$A$3:$A$40,MATCH(LEFT(MID(B712,43,1000),SEARCH(" - ",MID(B712,43,1000))-1),nrg_cb_e!$C$3:$C$40,0))</f>
        <v>FC_OTH_HH_E</v>
      </c>
      <c r="G712">
        <v>6202</v>
      </c>
    </row>
    <row r="713" spans="1:7" x14ac:dyDescent="0.2">
      <c r="A713" t="s">
        <v>39</v>
      </c>
      <c r="B713" t="s">
        <v>76</v>
      </c>
      <c r="C713" t="s">
        <v>8</v>
      </c>
      <c r="D713" t="s">
        <v>10</v>
      </c>
      <c r="E713" t="s">
        <v>26</v>
      </c>
      <c r="F713" s="20" t="str">
        <f>INDEX(nrg_cb_e!$A$3:$A$40,MATCH(LEFT(MID(B713,43,1000),SEARCH(" - ",MID(B713,43,1000))-1),nrg_cb_e!$C$3:$C$40,0))</f>
        <v>FC_OTH_HH_E</v>
      </c>
      <c r="G713">
        <v>6128</v>
      </c>
    </row>
    <row r="714" spans="1:7" x14ac:dyDescent="0.2">
      <c r="A714" t="s">
        <v>39</v>
      </c>
      <c r="B714" t="s">
        <v>76</v>
      </c>
      <c r="C714" t="s">
        <v>8</v>
      </c>
      <c r="D714" t="s">
        <v>10</v>
      </c>
      <c r="E714" t="s">
        <v>27</v>
      </c>
      <c r="F714" s="20" t="str">
        <f>INDEX(nrg_cb_e!$A$3:$A$40,MATCH(LEFT(MID(B714,43,1000),SEARCH(" - ",MID(B714,43,1000))-1),nrg_cb_e!$C$3:$C$40,0))</f>
        <v>FC_OTH_HH_E</v>
      </c>
      <c r="G714">
        <v>6265.7</v>
      </c>
    </row>
    <row r="715" spans="1:7" x14ac:dyDescent="0.2">
      <c r="A715" t="s">
        <v>39</v>
      </c>
      <c r="B715" t="s">
        <v>76</v>
      </c>
      <c r="C715" t="s">
        <v>8</v>
      </c>
      <c r="D715" t="s">
        <v>10</v>
      </c>
      <c r="E715" t="s">
        <v>28</v>
      </c>
      <c r="F715" s="20" t="str">
        <f>INDEX(nrg_cb_e!$A$3:$A$40,MATCH(LEFT(MID(B715,43,1000),SEARCH(" - ",MID(B715,43,1000))-1),nrg_cb_e!$C$3:$C$40,0))</f>
        <v>FC_OTH_HH_E</v>
      </c>
      <c r="G715">
        <v>6201.7</v>
      </c>
    </row>
    <row r="716" spans="1:7" x14ac:dyDescent="0.2">
      <c r="A716" t="s">
        <v>40</v>
      </c>
      <c r="B716" t="s">
        <v>76</v>
      </c>
      <c r="C716" t="s">
        <v>8</v>
      </c>
      <c r="D716" t="s">
        <v>10</v>
      </c>
      <c r="E716" t="s">
        <v>12</v>
      </c>
      <c r="F716" s="20" t="str">
        <f>INDEX(nrg_cb_e!$A$3:$A$40,MATCH(LEFT(MID(B716,43,1000),SEARCH(" - ",MID(B716,43,1000))-1),nrg_cb_e!$C$3:$C$40,0))</f>
        <v>FC_OTH_HH_E</v>
      </c>
      <c r="G716">
        <v>62957</v>
      </c>
    </row>
    <row r="717" spans="1:7" x14ac:dyDescent="0.2">
      <c r="A717" t="s">
        <v>40</v>
      </c>
      <c r="B717" t="s">
        <v>76</v>
      </c>
      <c r="C717" t="s">
        <v>8</v>
      </c>
      <c r="D717" t="s">
        <v>10</v>
      </c>
      <c r="E717" t="s">
        <v>13</v>
      </c>
      <c r="F717" s="20" t="str">
        <f>INDEX(nrg_cb_e!$A$3:$A$40,MATCH(LEFT(MID(B717,43,1000),SEARCH(" - ",MID(B717,43,1000))-1),nrg_cb_e!$C$3:$C$40,0))</f>
        <v>FC_OTH_HH_E</v>
      </c>
      <c r="G717">
        <v>65016</v>
      </c>
    </row>
    <row r="718" spans="1:7" x14ac:dyDescent="0.2">
      <c r="A718" t="s">
        <v>40</v>
      </c>
      <c r="B718" t="s">
        <v>76</v>
      </c>
      <c r="C718" t="s">
        <v>8</v>
      </c>
      <c r="D718" t="s">
        <v>10</v>
      </c>
      <c r="E718" t="s">
        <v>14</v>
      </c>
      <c r="F718" s="20" t="str">
        <f>INDEX(nrg_cb_e!$A$3:$A$40,MATCH(LEFT(MID(B718,43,1000),SEARCH(" - ",MID(B718,43,1000))-1),nrg_cb_e!$C$3:$C$40,0))</f>
        <v>FC_OTH_HH_E</v>
      </c>
      <c r="G718">
        <v>66592</v>
      </c>
    </row>
    <row r="719" spans="1:7" x14ac:dyDescent="0.2">
      <c r="A719" t="s">
        <v>40</v>
      </c>
      <c r="B719" t="s">
        <v>76</v>
      </c>
      <c r="C719" t="s">
        <v>8</v>
      </c>
      <c r="D719" t="s">
        <v>10</v>
      </c>
      <c r="E719" t="s">
        <v>15</v>
      </c>
      <c r="F719" s="20" t="str">
        <f>INDEX(nrg_cb_e!$A$3:$A$40,MATCH(LEFT(MID(B719,43,1000),SEARCH(" - ",MID(B719,43,1000))-1),nrg_cb_e!$C$3:$C$40,0))</f>
        <v>FC_OTH_HH_E</v>
      </c>
      <c r="G719">
        <v>66960</v>
      </c>
    </row>
    <row r="720" spans="1:7" x14ac:dyDescent="0.2">
      <c r="A720" t="s">
        <v>40</v>
      </c>
      <c r="B720" t="s">
        <v>76</v>
      </c>
      <c r="C720" t="s">
        <v>8</v>
      </c>
      <c r="D720" t="s">
        <v>10</v>
      </c>
      <c r="E720" t="s">
        <v>16</v>
      </c>
      <c r="F720" s="20" t="str">
        <f>INDEX(nrg_cb_e!$A$3:$A$40,MATCH(LEFT(MID(B720,43,1000),SEARCH(" - ",MID(B720,43,1000))-1),nrg_cb_e!$C$3:$C$40,0))</f>
        <v>FC_OTH_HH_E</v>
      </c>
      <c r="G720">
        <v>67635</v>
      </c>
    </row>
    <row r="721" spans="1:7" x14ac:dyDescent="0.2">
      <c r="A721" t="s">
        <v>40</v>
      </c>
      <c r="B721" t="s">
        <v>76</v>
      </c>
      <c r="C721" t="s">
        <v>8</v>
      </c>
      <c r="D721" t="s">
        <v>10</v>
      </c>
      <c r="E721" t="s">
        <v>17</v>
      </c>
      <c r="F721" s="20" t="str">
        <f>INDEX(nrg_cb_e!$A$3:$A$40,MATCH(LEFT(MID(B721,43,1000),SEARCH(" - ",MID(B721,43,1000))-1),nrg_cb_e!$C$3:$C$40,0))</f>
        <v>FC_OTH_HH_E</v>
      </c>
      <c r="G721">
        <v>67220</v>
      </c>
    </row>
    <row r="722" spans="1:7" x14ac:dyDescent="0.2">
      <c r="A722" t="s">
        <v>40</v>
      </c>
      <c r="B722" t="s">
        <v>76</v>
      </c>
      <c r="C722" t="s">
        <v>8</v>
      </c>
      <c r="D722" t="s">
        <v>10</v>
      </c>
      <c r="E722" t="s">
        <v>18</v>
      </c>
      <c r="F722" s="20" t="str">
        <f>INDEX(nrg_cb_e!$A$3:$A$40,MATCH(LEFT(MID(B722,43,1000),SEARCH(" - ",MID(B722,43,1000))-1),nrg_cb_e!$C$3:$C$40,0))</f>
        <v>FC_OTH_HH_E</v>
      </c>
      <c r="G722">
        <v>68389</v>
      </c>
    </row>
    <row r="723" spans="1:7" x14ac:dyDescent="0.2">
      <c r="A723" t="s">
        <v>40</v>
      </c>
      <c r="B723" t="s">
        <v>76</v>
      </c>
      <c r="C723" t="s">
        <v>8</v>
      </c>
      <c r="D723" t="s">
        <v>10</v>
      </c>
      <c r="E723" t="s">
        <v>19</v>
      </c>
      <c r="F723" s="20" t="str">
        <f>INDEX(nrg_cb_e!$A$3:$A$40,MATCH(LEFT(MID(B723,43,1000),SEARCH(" - ",MID(B723,43,1000))-1),nrg_cb_e!$C$3:$C$40,0))</f>
        <v>FC_OTH_HH_E</v>
      </c>
      <c r="G723">
        <v>68924</v>
      </c>
    </row>
    <row r="724" spans="1:7" x14ac:dyDescent="0.2">
      <c r="A724" t="s">
        <v>40</v>
      </c>
      <c r="B724" t="s">
        <v>76</v>
      </c>
      <c r="C724" t="s">
        <v>8</v>
      </c>
      <c r="D724" t="s">
        <v>10</v>
      </c>
      <c r="E724" t="s">
        <v>20</v>
      </c>
      <c r="F724" s="20" t="str">
        <f>INDEX(nrg_cb_e!$A$3:$A$40,MATCH(LEFT(MID(B724,43,1000),SEARCH(" - ",MID(B724,43,1000))-1),nrg_cb_e!$C$3:$C$40,0))</f>
        <v>FC_OTH_HH_E</v>
      </c>
      <c r="G724">
        <v>69550</v>
      </c>
    </row>
    <row r="725" spans="1:7" x14ac:dyDescent="0.2">
      <c r="A725" t="s">
        <v>40</v>
      </c>
      <c r="B725" t="s">
        <v>76</v>
      </c>
      <c r="C725" t="s">
        <v>8</v>
      </c>
      <c r="D725" t="s">
        <v>10</v>
      </c>
      <c r="E725" t="s">
        <v>21</v>
      </c>
      <c r="F725" s="20" t="str">
        <f>INDEX(nrg_cb_e!$A$3:$A$40,MATCH(LEFT(MID(B725,43,1000),SEARCH(" - ",MID(B725,43,1000))-1),nrg_cb_e!$C$3:$C$40,0))</f>
        <v>FC_OTH_HH_E</v>
      </c>
      <c r="G725">
        <v>70140</v>
      </c>
    </row>
    <row r="726" spans="1:7" x14ac:dyDescent="0.2">
      <c r="A726" t="s">
        <v>40</v>
      </c>
      <c r="B726" t="s">
        <v>76</v>
      </c>
      <c r="C726" t="s">
        <v>8</v>
      </c>
      <c r="D726" t="s">
        <v>10</v>
      </c>
      <c r="E726" t="s">
        <v>22</v>
      </c>
      <c r="F726" s="20" t="str">
        <f>INDEX(nrg_cb_e!$A$3:$A$40,MATCH(LEFT(MID(B726,43,1000),SEARCH(" - ",MID(B726,43,1000))-1),nrg_cb_e!$C$3:$C$40,0))</f>
        <v>FC_OTH_HH_E</v>
      </c>
      <c r="G726">
        <v>69457</v>
      </c>
    </row>
    <row r="727" spans="1:7" x14ac:dyDescent="0.2">
      <c r="A727" t="s">
        <v>40</v>
      </c>
      <c r="B727" t="s">
        <v>76</v>
      </c>
      <c r="C727" t="s">
        <v>8</v>
      </c>
      <c r="D727" t="s">
        <v>10</v>
      </c>
      <c r="E727" t="s">
        <v>23</v>
      </c>
      <c r="F727" s="20" t="str">
        <f>INDEX(nrg_cb_e!$A$3:$A$40,MATCH(LEFT(MID(B727,43,1000),SEARCH(" - ",MID(B727,43,1000))-1),nrg_cb_e!$C$3:$C$40,0))</f>
        <v>FC_OTH_HH_E</v>
      </c>
      <c r="G727">
        <v>66983</v>
      </c>
    </row>
    <row r="728" spans="1:7" x14ac:dyDescent="0.2">
      <c r="A728" t="s">
        <v>40</v>
      </c>
      <c r="B728" t="s">
        <v>76</v>
      </c>
      <c r="C728" t="s">
        <v>8</v>
      </c>
      <c r="D728" t="s">
        <v>10</v>
      </c>
      <c r="E728" t="s">
        <v>24</v>
      </c>
      <c r="F728" s="20" t="str">
        <f>INDEX(nrg_cb_e!$A$3:$A$40,MATCH(LEFT(MID(B728,43,1000),SEARCH(" - ",MID(B728,43,1000))-1),nrg_cb_e!$C$3:$C$40,0))</f>
        <v>FC_OTH_HH_E</v>
      </c>
      <c r="G728">
        <v>64255</v>
      </c>
    </row>
    <row r="729" spans="1:7" x14ac:dyDescent="0.2">
      <c r="A729" t="s">
        <v>40</v>
      </c>
      <c r="B729" t="s">
        <v>76</v>
      </c>
      <c r="C729" t="s">
        <v>8</v>
      </c>
      <c r="D729" t="s">
        <v>10</v>
      </c>
      <c r="E729" t="s">
        <v>25</v>
      </c>
      <c r="F729" s="20" t="str">
        <f>INDEX(nrg_cb_e!$A$3:$A$40,MATCH(LEFT(MID(B729,43,1000),SEARCH(" - ",MID(B729,43,1000))-1),nrg_cb_e!$C$3:$C$40,0))</f>
        <v>FC_OTH_HH_E</v>
      </c>
      <c r="G729">
        <v>66187</v>
      </c>
    </row>
    <row r="730" spans="1:7" x14ac:dyDescent="0.2">
      <c r="A730" t="s">
        <v>40</v>
      </c>
      <c r="B730" t="s">
        <v>76</v>
      </c>
      <c r="C730" t="s">
        <v>8</v>
      </c>
      <c r="D730" t="s">
        <v>10</v>
      </c>
      <c r="E730" t="s">
        <v>26</v>
      </c>
      <c r="F730" s="20" t="str">
        <f>INDEX(nrg_cb_e!$A$3:$A$40,MATCH(LEFT(MID(B730,43,1000),SEARCH(" - ",MID(B730,43,1000))-1),nrg_cb_e!$C$3:$C$40,0))</f>
        <v>FC_OTH_HH_E</v>
      </c>
      <c r="G730">
        <v>64304</v>
      </c>
    </row>
    <row r="731" spans="1:7" x14ac:dyDescent="0.2">
      <c r="A731" t="s">
        <v>40</v>
      </c>
      <c r="B731" t="s">
        <v>76</v>
      </c>
      <c r="C731" t="s">
        <v>8</v>
      </c>
      <c r="D731" t="s">
        <v>10</v>
      </c>
      <c r="E731" t="s">
        <v>27</v>
      </c>
      <c r="F731" s="20" t="str">
        <f>INDEX(nrg_cb_e!$A$3:$A$40,MATCH(LEFT(MID(B731,43,1000),SEARCH(" - ",MID(B731,43,1000))-1),nrg_cb_e!$C$3:$C$40,0))</f>
        <v>FC_OTH_HH_E</v>
      </c>
      <c r="G731">
        <v>65490.697999999997</v>
      </c>
    </row>
    <row r="732" spans="1:7" x14ac:dyDescent="0.2">
      <c r="A732" t="s">
        <v>40</v>
      </c>
      <c r="B732" t="s">
        <v>76</v>
      </c>
      <c r="C732" t="s">
        <v>8</v>
      </c>
      <c r="D732" t="s">
        <v>10</v>
      </c>
      <c r="E732" t="s">
        <v>28</v>
      </c>
      <c r="F732" s="20" t="str">
        <f>INDEX(nrg_cb_e!$A$3:$A$40,MATCH(LEFT(MID(B732,43,1000),SEARCH(" - ",MID(B732,43,1000))-1),nrg_cb_e!$C$3:$C$40,0))</f>
        <v>FC_OTH_HH_E</v>
      </c>
      <c r="G732">
        <v>65137.794999999998</v>
      </c>
    </row>
    <row r="733" spans="1:7" x14ac:dyDescent="0.2">
      <c r="A733" t="s">
        <v>41</v>
      </c>
      <c r="B733" t="s">
        <v>76</v>
      </c>
      <c r="C733" t="s">
        <v>8</v>
      </c>
      <c r="D733" t="s">
        <v>10</v>
      </c>
      <c r="E733" t="s">
        <v>12</v>
      </c>
      <c r="F733" s="20" t="str">
        <f>INDEX(nrg_cb_e!$A$3:$A$40,MATCH(LEFT(MID(B733,43,1000),SEARCH(" - ",MID(B733,43,1000))-1),nrg_cb_e!$C$3:$C$40,0))</f>
        <v>FC_OTH_HH_E</v>
      </c>
      <c r="G733">
        <v>1157</v>
      </c>
    </row>
    <row r="734" spans="1:7" x14ac:dyDescent="0.2">
      <c r="A734" t="s">
        <v>41</v>
      </c>
      <c r="B734" t="s">
        <v>76</v>
      </c>
      <c r="C734" t="s">
        <v>8</v>
      </c>
      <c r="D734" t="s">
        <v>10</v>
      </c>
      <c r="E734" t="s">
        <v>13</v>
      </c>
      <c r="F734" s="20" t="str">
        <f>INDEX(nrg_cb_e!$A$3:$A$40,MATCH(LEFT(MID(B734,43,1000),SEARCH(" - ",MID(B734,43,1000))-1),nrg_cb_e!$C$3:$C$40,0))</f>
        <v>FC_OTH_HH_E</v>
      </c>
      <c r="G734">
        <v>1295</v>
      </c>
    </row>
    <row r="735" spans="1:7" x14ac:dyDescent="0.2">
      <c r="A735" t="s">
        <v>41</v>
      </c>
      <c r="B735" t="s">
        <v>76</v>
      </c>
      <c r="C735" t="s">
        <v>8</v>
      </c>
      <c r="D735" t="s">
        <v>10</v>
      </c>
      <c r="E735" t="s">
        <v>14</v>
      </c>
      <c r="F735" s="20" t="str">
        <f>INDEX(nrg_cb_e!$A$3:$A$40,MATCH(LEFT(MID(B735,43,1000),SEARCH(" - ",MID(B735,43,1000))-1),nrg_cb_e!$C$3:$C$40,0))</f>
        <v>FC_OTH_HH_E</v>
      </c>
      <c r="G735">
        <v>1316</v>
      </c>
    </row>
    <row r="736" spans="1:7" x14ac:dyDescent="0.2">
      <c r="A736" t="s">
        <v>41</v>
      </c>
      <c r="B736" t="s">
        <v>76</v>
      </c>
      <c r="C736" t="s">
        <v>8</v>
      </c>
      <c r="D736" t="s">
        <v>10</v>
      </c>
      <c r="E736" t="s">
        <v>15</v>
      </c>
      <c r="F736" s="20" t="str">
        <f>INDEX(nrg_cb_e!$A$3:$A$40,MATCH(LEFT(MID(B736,43,1000),SEARCH(" - ",MID(B736,43,1000))-1),nrg_cb_e!$C$3:$C$40,0))</f>
        <v>FC_OTH_HH_E</v>
      </c>
      <c r="G736">
        <v>1433</v>
      </c>
    </row>
    <row r="737" spans="1:7" x14ac:dyDescent="0.2">
      <c r="A737" t="s">
        <v>41</v>
      </c>
      <c r="B737" t="s">
        <v>76</v>
      </c>
      <c r="C737" t="s">
        <v>8</v>
      </c>
      <c r="D737" t="s">
        <v>10</v>
      </c>
      <c r="E737" t="s">
        <v>16</v>
      </c>
      <c r="F737" s="20" t="str">
        <f>INDEX(nrg_cb_e!$A$3:$A$40,MATCH(LEFT(MID(B737,43,1000),SEARCH(" - ",MID(B737,43,1000))-1),nrg_cb_e!$C$3:$C$40,0))</f>
        <v>FC_OTH_HH_E</v>
      </c>
      <c r="G737">
        <v>1500</v>
      </c>
    </row>
    <row r="738" spans="1:7" x14ac:dyDescent="0.2">
      <c r="A738" t="s">
        <v>41</v>
      </c>
      <c r="B738" t="s">
        <v>76</v>
      </c>
      <c r="C738" t="s">
        <v>8</v>
      </c>
      <c r="D738" t="s">
        <v>10</v>
      </c>
      <c r="E738" t="s">
        <v>17</v>
      </c>
      <c r="F738" s="20" t="str">
        <f>INDEX(nrg_cb_e!$A$3:$A$40,MATCH(LEFT(MID(B738,43,1000),SEARCH(" - ",MID(B738,43,1000))-1),nrg_cb_e!$C$3:$C$40,0))</f>
        <v>FC_OTH_HH_E</v>
      </c>
      <c r="G738">
        <v>1608</v>
      </c>
    </row>
    <row r="739" spans="1:7" x14ac:dyDescent="0.2">
      <c r="A739" t="s">
        <v>41</v>
      </c>
      <c r="B739" t="s">
        <v>76</v>
      </c>
      <c r="C739" t="s">
        <v>8</v>
      </c>
      <c r="D739" t="s">
        <v>10</v>
      </c>
      <c r="E739" t="s">
        <v>18</v>
      </c>
      <c r="F739" s="20" t="str">
        <f>INDEX(nrg_cb_e!$A$3:$A$40,MATCH(LEFT(MID(B739,43,1000),SEARCH(" - ",MID(B739,43,1000))-1),nrg_cb_e!$C$3:$C$40,0))</f>
        <v>FC_OTH_HH_E</v>
      </c>
      <c r="G739">
        <v>1683</v>
      </c>
    </row>
    <row r="740" spans="1:7" x14ac:dyDescent="0.2">
      <c r="A740" t="s">
        <v>41</v>
      </c>
      <c r="B740" t="s">
        <v>76</v>
      </c>
      <c r="C740" t="s">
        <v>8</v>
      </c>
      <c r="D740" t="s">
        <v>10</v>
      </c>
      <c r="E740" t="s">
        <v>19</v>
      </c>
      <c r="F740" s="20" t="str">
        <f>INDEX(nrg_cb_e!$A$3:$A$40,MATCH(LEFT(MID(B740,43,1000),SEARCH(" - ",MID(B740,43,1000))-1),nrg_cb_e!$C$3:$C$40,0))</f>
        <v>FC_OTH_HH_E</v>
      </c>
      <c r="G740">
        <v>1722</v>
      </c>
    </row>
    <row r="741" spans="1:7" x14ac:dyDescent="0.2">
      <c r="A741" t="s">
        <v>41</v>
      </c>
      <c r="B741" t="s">
        <v>76</v>
      </c>
      <c r="C741" t="s">
        <v>8</v>
      </c>
      <c r="D741" t="s">
        <v>10</v>
      </c>
      <c r="E741" t="s">
        <v>20</v>
      </c>
      <c r="F741" s="20" t="str">
        <f>INDEX(nrg_cb_e!$A$3:$A$40,MATCH(LEFT(MID(B741,43,1000),SEARCH(" - ",MID(B741,43,1000))-1),nrg_cb_e!$C$3:$C$40,0))</f>
        <v>FC_OTH_HH_E</v>
      </c>
      <c r="G741">
        <v>1738</v>
      </c>
    </row>
    <row r="742" spans="1:7" x14ac:dyDescent="0.2">
      <c r="A742" t="s">
        <v>41</v>
      </c>
      <c r="B742" t="s">
        <v>76</v>
      </c>
      <c r="C742" t="s">
        <v>8</v>
      </c>
      <c r="D742" t="s">
        <v>10</v>
      </c>
      <c r="E742" t="s">
        <v>21</v>
      </c>
      <c r="F742" s="20" t="str">
        <f>INDEX(nrg_cb_e!$A$3:$A$40,MATCH(LEFT(MID(B742,43,1000),SEARCH(" - ",MID(B742,43,1000))-1),nrg_cb_e!$C$3:$C$40,0))</f>
        <v>FC_OTH_HH_E</v>
      </c>
      <c r="G742">
        <v>1723</v>
      </c>
    </row>
    <row r="743" spans="1:7" x14ac:dyDescent="0.2">
      <c r="A743" t="s">
        <v>41</v>
      </c>
      <c r="B743" t="s">
        <v>76</v>
      </c>
      <c r="C743" t="s">
        <v>8</v>
      </c>
      <c r="D743" t="s">
        <v>10</v>
      </c>
      <c r="E743" t="s">
        <v>22</v>
      </c>
      <c r="F743" s="20" t="str">
        <f>INDEX(nrg_cb_e!$A$3:$A$40,MATCH(LEFT(MID(B743,43,1000),SEARCH(" - ",MID(B743,43,1000))-1),nrg_cb_e!$C$3:$C$40,0))</f>
        <v>FC_OTH_HH_E</v>
      </c>
      <c r="G743">
        <v>1673</v>
      </c>
    </row>
    <row r="744" spans="1:7" x14ac:dyDescent="0.2">
      <c r="A744" t="s">
        <v>41</v>
      </c>
      <c r="B744" t="s">
        <v>76</v>
      </c>
      <c r="C744" t="s">
        <v>8</v>
      </c>
      <c r="D744" t="s">
        <v>10</v>
      </c>
      <c r="E744" t="s">
        <v>23</v>
      </c>
      <c r="F744" s="20" t="str">
        <f>INDEX(nrg_cb_e!$A$3:$A$40,MATCH(LEFT(MID(B744,43,1000),SEARCH(" - ",MID(B744,43,1000))-1),nrg_cb_e!$C$3:$C$40,0))</f>
        <v>FC_OTH_HH_E</v>
      </c>
      <c r="G744">
        <v>1437</v>
      </c>
    </row>
    <row r="745" spans="1:7" x14ac:dyDescent="0.2">
      <c r="A745" t="s">
        <v>41</v>
      </c>
      <c r="B745" t="s">
        <v>76</v>
      </c>
      <c r="C745" t="s">
        <v>8</v>
      </c>
      <c r="D745" t="s">
        <v>10</v>
      </c>
      <c r="E745" t="s">
        <v>24</v>
      </c>
      <c r="F745" s="20" t="str">
        <f>INDEX(nrg_cb_e!$A$3:$A$40,MATCH(LEFT(MID(B745,43,1000),SEARCH(" - ",MID(B745,43,1000))-1),nrg_cb_e!$C$3:$C$40,0))</f>
        <v>FC_OTH_HH_E</v>
      </c>
      <c r="G745">
        <v>1425</v>
      </c>
    </row>
    <row r="746" spans="1:7" x14ac:dyDescent="0.2">
      <c r="A746" t="s">
        <v>41</v>
      </c>
      <c r="B746" t="s">
        <v>76</v>
      </c>
      <c r="C746" t="s">
        <v>8</v>
      </c>
      <c r="D746" t="s">
        <v>10</v>
      </c>
      <c r="E746" t="s">
        <v>25</v>
      </c>
      <c r="F746" s="20" t="str">
        <f>INDEX(nrg_cb_e!$A$3:$A$40,MATCH(LEFT(MID(B746,43,1000),SEARCH(" - ",MID(B746,43,1000))-1),nrg_cb_e!$C$3:$C$40,0))</f>
        <v>FC_OTH_HH_E</v>
      </c>
      <c r="G746">
        <v>1515</v>
      </c>
    </row>
    <row r="747" spans="1:7" x14ac:dyDescent="0.2">
      <c r="A747" t="s">
        <v>41</v>
      </c>
      <c r="B747" t="s">
        <v>76</v>
      </c>
      <c r="C747" t="s">
        <v>8</v>
      </c>
      <c r="D747" t="s">
        <v>10</v>
      </c>
      <c r="E747" t="s">
        <v>26</v>
      </c>
      <c r="F747" s="20" t="str">
        <f>INDEX(nrg_cb_e!$A$3:$A$40,MATCH(LEFT(MID(B747,43,1000),SEARCH(" - ",MID(B747,43,1000))-1),nrg_cb_e!$C$3:$C$40,0))</f>
        <v>FC_OTH_HH_E</v>
      </c>
      <c r="G747">
        <v>1585</v>
      </c>
    </row>
    <row r="748" spans="1:7" x14ac:dyDescent="0.2">
      <c r="A748" t="s">
        <v>41</v>
      </c>
      <c r="B748" t="s">
        <v>76</v>
      </c>
      <c r="C748" t="s">
        <v>8</v>
      </c>
      <c r="D748" t="s">
        <v>10</v>
      </c>
      <c r="E748" t="s">
        <v>27</v>
      </c>
      <c r="F748" s="20" t="str">
        <f>INDEX(nrg_cb_e!$A$3:$A$40,MATCH(LEFT(MID(B748,43,1000),SEARCH(" - ",MID(B748,43,1000))-1),nrg_cb_e!$C$3:$C$40,0))</f>
        <v>FC_OTH_HH_E</v>
      </c>
      <c r="G748">
        <v>1664.4739999999999</v>
      </c>
    </row>
    <row r="749" spans="1:7" x14ac:dyDescent="0.2">
      <c r="A749" t="s">
        <v>41</v>
      </c>
      <c r="B749" t="s">
        <v>76</v>
      </c>
      <c r="C749" t="s">
        <v>8</v>
      </c>
      <c r="D749" t="s">
        <v>10</v>
      </c>
      <c r="E749" t="s">
        <v>28</v>
      </c>
      <c r="F749" s="20" t="str">
        <f>INDEX(nrg_cb_e!$A$3:$A$40,MATCH(LEFT(MID(B749,43,1000),SEARCH(" - ",MID(B749,43,1000))-1),nrg_cb_e!$C$3:$C$40,0))</f>
        <v>FC_OTH_HH_E</v>
      </c>
      <c r="G749">
        <v>1688.278</v>
      </c>
    </row>
    <row r="750" spans="1:7" x14ac:dyDescent="0.2">
      <c r="A750" t="s">
        <v>42</v>
      </c>
      <c r="B750" t="s">
        <v>76</v>
      </c>
      <c r="C750" t="s">
        <v>8</v>
      </c>
      <c r="D750" t="s">
        <v>10</v>
      </c>
      <c r="E750" t="s">
        <v>12</v>
      </c>
      <c r="F750" s="20" t="str">
        <f>INDEX(nrg_cb_e!$A$3:$A$40,MATCH(LEFT(MID(B750,43,1000),SEARCH(" - ",MID(B750,43,1000))-1),nrg_cb_e!$C$3:$C$40,0))</f>
        <v>FC_OTH_HH_E</v>
      </c>
      <c r="G750">
        <v>1317</v>
      </c>
    </row>
    <row r="751" spans="1:7" x14ac:dyDescent="0.2">
      <c r="A751" t="s">
        <v>42</v>
      </c>
      <c r="B751" t="s">
        <v>76</v>
      </c>
      <c r="C751" t="s">
        <v>8</v>
      </c>
      <c r="D751" t="s">
        <v>10</v>
      </c>
      <c r="E751" t="s">
        <v>13</v>
      </c>
      <c r="F751" s="20" t="str">
        <f>INDEX(nrg_cb_e!$A$3:$A$40,MATCH(LEFT(MID(B751,43,1000),SEARCH(" - ",MID(B751,43,1000))-1),nrg_cb_e!$C$3:$C$40,0))</f>
        <v>FC_OTH_HH_E</v>
      </c>
      <c r="G751">
        <v>1421</v>
      </c>
    </row>
    <row r="752" spans="1:7" x14ac:dyDescent="0.2">
      <c r="A752" t="s">
        <v>42</v>
      </c>
      <c r="B752" t="s">
        <v>76</v>
      </c>
      <c r="C752" t="s">
        <v>8</v>
      </c>
      <c r="D752" t="s">
        <v>10</v>
      </c>
      <c r="E752" t="s">
        <v>14</v>
      </c>
      <c r="F752" s="20" t="str">
        <f>INDEX(nrg_cb_e!$A$3:$A$40,MATCH(LEFT(MID(B752,43,1000),SEARCH(" - ",MID(B752,43,1000))-1),nrg_cb_e!$C$3:$C$40,0))</f>
        <v>FC_OTH_HH_E</v>
      </c>
      <c r="G752">
        <v>1467</v>
      </c>
    </row>
    <row r="753" spans="1:7" x14ac:dyDescent="0.2">
      <c r="A753" t="s">
        <v>42</v>
      </c>
      <c r="B753" t="s">
        <v>76</v>
      </c>
      <c r="C753" t="s">
        <v>8</v>
      </c>
      <c r="D753" t="s">
        <v>10</v>
      </c>
      <c r="E753" t="s">
        <v>15</v>
      </c>
      <c r="F753" s="20" t="str">
        <f>INDEX(nrg_cb_e!$A$3:$A$40,MATCH(LEFT(MID(B753,43,1000),SEARCH(" - ",MID(B753,43,1000))-1),nrg_cb_e!$C$3:$C$40,0))</f>
        <v>FC_OTH_HH_E</v>
      </c>
      <c r="G753">
        <v>1572</v>
      </c>
    </row>
    <row r="754" spans="1:7" x14ac:dyDescent="0.2">
      <c r="A754" t="s">
        <v>42</v>
      </c>
      <c r="B754" t="s">
        <v>76</v>
      </c>
      <c r="C754" t="s">
        <v>8</v>
      </c>
      <c r="D754" t="s">
        <v>10</v>
      </c>
      <c r="E754" t="s">
        <v>16</v>
      </c>
      <c r="F754" s="20" t="str">
        <f>INDEX(nrg_cb_e!$A$3:$A$40,MATCH(LEFT(MID(B754,43,1000),SEARCH(" - ",MID(B754,43,1000))-1),nrg_cb_e!$C$3:$C$40,0))</f>
        <v>FC_OTH_HH_E</v>
      </c>
      <c r="G754">
        <v>1728</v>
      </c>
    </row>
    <row r="755" spans="1:7" x14ac:dyDescent="0.2">
      <c r="A755" t="s">
        <v>42</v>
      </c>
      <c r="B755" t="s">
        <v>76</v>
      </c>
      <c r="C755" t="s">
        <v>8</v>
      </c>
      <c r="D755" t="s">
        <v>10</v>
      </c>
      <c r="E755" t="s">
        <v>17</v>
      </c>
      <c r="F755" s="20" t="str">
        <f>INDEX(nrg_cb_e!$A$3:$A$40,MATCH(LEFT(MID(B755,43,1000),SEARCH(" - ",MID(B755,43,1000))-1),nrg_cb_e!$C$3:$C$40,0))</f>
        <v>FC_OTH_HH_E</v>
      </c>
      <c r="G755">
        <v>1794</v>
      </c>
    </row>
    <row r="756" spans="1:7" x14ac:dyDescent="0.2">
      <c r="A756" t="s">
        <v>42</v>
      </c>
      <c r="B756" t="s">
        <v>76</v>
      </c>
      <c r="C756" t="s">
        <v>8</v>
      </c>
      <c r="D756" t="s">
        <v>10</v>
      </c>
      <c r="E756" t="s">
        <v>18</v>
      </c>
      <c r="F756" s="20" t="str">
        <f>INDEX(nrg_cb_e!$A$3:$A$40,MATCH(LEFT(MID(B756,43,1000),SEARCH(" - ",MID(B756,43,1000))-1),nrg_cb_e!$C$3:$C$40,0))</f>
        <v>FC_OTH_HH_E</v>
      </c>
      <c r="G756">
        <v>2031</v>
      </c>
    </row>
    <row r="757" spans="1:7" x14ac:dyDescent="0.2">
      <c r="A757" t="s">
        <v>42</v>
      </c>
      <c r="B757" t="s">
        <v>76</v>
      </c>
      <c r="C757" t="s">
        <v>8</v>
      </c>
      <c r="D757" t="s">
        <v>10</v>
      </c>
      <c r="E757" t="s">
        <v>19</v>
      </c>
      <c r="F757" s="20" t="str">
        <f>INDEX(nrg_cb_e!$A$3:$A$40,MATCH(LEFT(MID(B757,43,1000),SEARCH(" - ",MID(B757,43,1000))-1),nrg_cb_e!$C$3:$C$40,0))</f>
        <v>FC_OTH_HH_E</v>
      </c>
      <c r="G757">
        <v>2000</v>
      </c>
    </row>
    <row r="758" spans="1:7" x14ac:dyDescent="0.2">
      <c r="A758" t="s">
        <v>42</v>
      </c>
      <c r="B758" t="s">
        <v>76</v>
      </c>
      <c r="C758" t="s">
        <v>8</v>
      </c>
      <c r="D758" t="s">
        <v>10</v>
      </c>
      <c r="E758" t="s">
        <v>20</v>
      </c>
      <c r="F758" s="20" t="str">
        <f>INDEX(nrg_cb_e!$A$3:$A$40,MATCH(LEFT(MID(B758,43,1000),SEARCH(" - ",MID(B758,43,1000))-1),nrg_cb_e!$C$3:$C$40,0))</f>
        <v>FC_OTH_HH_E</v>
      </c>
      <c r="G758">
        <v>1938</v>
      </c>
    </row>
    <row r="759" spans="1:7" x14ac:dyDescent="0.2">
      <c r="A759" t="s">
        <v>42</v>
      </c>
      <c r="B759" t="s">
        <v>76</v>
      </c>
      <c r="C759" t="s">
        <v>8</v>
      </c>
      <c r="D759" t="s">
        <v>10</v>
      </c>
      <c r="E759" t="s">
        <v>21</v>
      </c>
      <c r="F759" s="20" t="str">
        <f>INDEX(nrg_cb_e!$A$3:$A$40,MATCH(LEFT(MID(B759,43,1000),SEARCH(" - ",MID(B759,43,1000))-1),nrg_cb_e!$C$3:$C$40,0))</f>
        <v>FC_OTH_HH_E</v>
      </c>
      <c r="G759">
        <v>1772</v>
      </c>
    </row>
    <row r="760" spans="1:7" x14ac:dyDescent="0.2">
      <c r="A760" t="s">
        <v>42</v>
      </c>
      <c r="B760" t="s">
        <v>76</v>
      </c>
      <c r="C760" t="s">
        <v>8</v>
      </c>
      <c r="D760" t="s">
        <v>10</v>
      </c>
      <c r="E760" t="s">
        <v>22</v>
      </c>
      <c r="F760" s="20" t="str">
        <f>INDEX(nrg_cb_e!$A$3:$A$40,MATCH(LEFT(MID(B760,43,1000),SEARCH(" - ",MID(B760,43,1000))-1),nrg_cb_e!$C$3:$C$40,0))</f>
        <v>FC_OTH_HH_E</v>
      </c>
      <c r="G760">
        <v>1776</v>
      </c>
    </row>
    <row r="761" spans="1:7" x14ac:dyDescent="0.2">
      <c r="A761" t="s">
        <v>42</v>
      </c>
      <c r="B761" t="s">
        <v>76</v>
      </c>
      <c r="C761" t="s">
        <v>8</v>
      </c>
      <c r="D761" t="s">
        <v>10</v>
      </c>
      <c r="E761" t="s">
        <v>23</v>
      </c>
      <c r="F761" s="20" t="str">
        <f>INDEX(nrg_cb_e!$A$3:$A$40,MATCH(LEFT(MID(B761,43,1000),SEARCH(" - ",MID(B761,43,1000))-1),nrg_cb_e!$C$3:$C$40,0))</f>
        <v>FC_OTH_HH_E</v>
      </c>
      <c r="G761">
        <v>1783</v>
      </c>
    </row>
    <row r="762" spans="1:7" x14ac:dyDescent="0.2">
      <c r="A762" t="s">
        <v>42</v>
      </c>
      <c r="B762" t="s">
        <v>76</v>
      </c>
      <c r="C762" t="s">
        <v>8</v>
      </c>
      <c r="D762" t="s">
        <v>10</v>
      </c>
      <c r="E762" t="s">
        <v>24</v>
      </c>
      <c r="F762" s="20" t="str">
        <f>INDEX(nrg_cb_e!$A$3:$A$40,MATCH(LEFT(MID(B762,43,1000),SEARCH(" - ",MID(B762,43,1000))-1),nrg_cb_e!$C$3:$C$40,0))</f>
        <v>FC_OTH_HH_E</v>
      </c>
      <c r="G762">
        <v>1747</v>
      </c>
    </row>
    <row r="763" spans="1:7" x14ac:dyDescent="0.2">
      <c r="A763" t="s">
        <v>42</v>
      </c>
      <c r="B763" t="s">
        <v>76</v>
      </c>
      <c r="C763" t="s">
        <v>8</v>
      </c>
      <c r="D763" t="s">
        <v>10</v>
      </c>
      <c r="E763" t="s">
        <v>25</v>
      </c>
      <c r="F763" s="20" t="str">
        <f>INDEX(nrg_cb_e!$A$3:$A$40,MATCH(LEFT(MID(B763,43,1000),SEARCH(" - ",MID(B763,43,1000))-1),nrg_cb_e!$C$3:$C$40,0))</f>
        <v>FC_OTH_HH_E</v>
      </c>
      <c r="G763">
        <v>1759</v>
      </c>
    </row>
    <row r="764" spans="1:7" x14ac:dyDescent="0.2">
      <c r="A764" t="s">
        <v>42</v>
      </c>
      <c r="B764" t="s">
        <v>76</v>
      </c>
      <c r="C764" t="s">
        <v>8</v>
      </c>
      <c r="D764" t="s">
        <v>10</v>
      </c>
      <c r="E764" t="s">
        <v>26</v>
      </c>
      <c r="F764" s="20" t="str">
        <f>INDEX(nrg_cb_e!$A$3:$A$40,MATCH(LEFT(MID(B764,43,1000),SEARCH(" - ",MID(B764,43,1000))-1),nrg_cb_e!$C$3:$C$40,0))</f>
        <v>FC_OTH_HH_E</v>
      </c>
      <c r="G764">
        <v>1793</v>
      </c>
    </row>
    <row r="765" spans="1:7" x14ac:dyDescent="0.2">
      <c r="A765" t="s">
        <v>42</v>
      </c>
      <c r="B765" t="s">
        <v>76</v>
      </c>
      <c r="C765" t="s">
        <v>8</v>
      </c>
      <c r="D765" t="s">
        <v>10</v>
      </c>
      <c r="E765" t="s">
        <v>27</v>
      </c>
      <c r="F765" s="20" t="str">
        <f>INDEX(nrg_cb_e!$A$3:$A$40,MATCH(LEFT(MID(B765,43,1000),SEARCH(" - ",MID(B765,43,1000))-1),nrg_cb_e!$C$3:$C$40,0))</f>
        <v>FC_OTH_HH_E</v>
      </c>
      <c r="G765">
        <v>1656.4739999999999</v>
      </c>
    </row>
    <row r="766" spans="1:7" x14ac:dyDescent="0.2">
      <c r="A766" t="s">
        <v>42</v>
      </c>
      <c r="B766" t="s">
        <v>76</v>
      </c>
      <c r="C766" t="s">
        <v>8</v>
      </c>
      <c r="D766" t="s">
        <v>10</v>
      </c>
      <c r="E766" t="s">
        <v>28</v>
      </c>
      <c r="F766" s="20" t="str">
        <f>INDEX(nrg_cb_e!$A$3:$A$40,MATCH(LEFT(MID(B766,43,1000),SEARCH(" - ",MID(B766,43,1000))-1),nrg_cb_e!$C$3:$C$40,0))</f>
        <v>FC_OTH_HH_E</v>
      </c>
      <c r="G766">
        <v>1670.0830000000001</v>
      </c>
    </row>
    <row r="767" spans="1:7" x14ac:dyDescent="0.2">
      <c r="A767" t="s">
        <v>43</v>
      </c>
      <c r="B767" t="s">
        <v>76</v>
      </c>
      <c r="C767" t="s">
        <v>8</v>
      </c>
      <c r="D767" t="s">
        <v>10</v>
      </c>
      <c r="E767" t="s">
        <v>12</v>
      </c>
      <c r="F767" s="20" t="str">
        <f>INDEX(nrg_cb_e!$A$3:$A$40,MATCH(LEFT(MID(B767,43,1000),SEARCH(" - ",MID(B767,43,1000))-1),nrg_cb_e!$C$3:$C$40,0))</f>
        <v>FC_OTH_HH_E</v>
      </c>
      <c r="G767">
        <v>1811</v>
      </c>
    </row>
    <row r="768" spans="1:7" x14ac:dyDescent="0.2">
      <c r="A768" t="s">
        <v>43</v>
      </c>
      <c r="B768" t="s">
        <v>76</v>
      </c>
      <c r="C768" t="s">
        <v>8</v>
      </c>
      <c r="D768" t="s">
        <v>10</v>
      </c>
      <c r="E768" t="s">
        <v>13</v>
      </c>
      <c r="F768" s="20" t="str">
        <f>INDEX(nrg_cb_e!$A$3:$A$40,MATCH(LEFT(MID(B768,43,1000),SEARCH(" - ",MID(B768,43,1000))-1),nrg_cb_e!$C$3:$C$40,0))</f>
        <v>FC_OTH_HH_E</v>
      </c>
      <c r="G768">
        <v>1918</v>
      </c>
    </row>
    <row r="769" spans="1:7" x14ac:dyDescent="0.2">
      <c r="A769" t="s">
        <v>43</v>
      </c>
      <c r="B769" t="s">
        <v>76</v>
      </c>
      <c r="C769" t="s">
        <v>8</v>
      </c>
      <c r="D769" t="s">
        <v>10</v>
      </c>
      <c r="E769" t="s">
        <v>14</v>
      </c>
      <c r="F769" s="20" t="str">
        <f>INDEX(nrg_cb_e!$A$3:$A$40,MATCH(LEFT(MID(B769,43,1000),SEARCH(" - ",MID(B769,43,1000))-1),nrg_cb_e!$C$3:$C$40,0))</f>
        <v>FC_OTH_HH_E</v>
      </c>
      <c r="G769">
        <v>2090</v>
      </c>
    </row>
    <row r="770" spans="1:7" x14ac:dyDescent="0.2">
      <c r="A770" t="s">
        <v>43</v>
      </c>
      <c r="B770" t="s">
        <v>76</v>
      </c>
      <c r="C770" t="s">
        <v>8</v>
      </c>
      <c r="D770" t="s">
        <v>10</v>
      </c>
      <c r="E770" t="s">
        <v>15</v>
      </c>
      <c r="F770" s="20" t="str">
        <f>INDEX(nrg_cb_e!$A$3:$A$40,MATCH(LEFT(MID(B770,43,1000),SEARCH(" - ",MID(B770,43,1000))-1),nrg_cb_e!$C$3:$C$40,0))</f>
        <v>FC_OTH_HH_E</v>
      </c>
      <c r="G770">
        <v>2162</v>
      </c>
    </row>
    <row r="771" spans="1:7" x14ac:dyDescent="0.2">
      <c r="A771" t="s">
        <v>43</v>
      </c>
      <c r="B771" t="s">
        <v>76</v>
      </c>
      <c r="C771" t="s">
        <v>8</v>
      </c>
      <c r="D771" t="s">
        <v>10</v>
      </c>
      <c r="E771" t="s">
        <v>16</v>
      </c>
      <c r="F771" s="20" t="str">
        <f>INDEX(nrg_cb_e!$A$3:$A$40,MATCH(LEFT(MID(B771,43,1000),SEARCH(" - ",MID(B771,43,1000))-1),nrg_cb_e!$C$3:$C$40,0))</f>
        <v>FC_OTH_HH_E</v>
      </c>
      <c r="G771">
        <v>2374</v>
      </c>
    </row>
    <row r="772" spans="1:7" x14ac:dyDescent="0.2">
      <c r="A772" t="s">
        <v>43</v>
      </c>
      <c r="B772" t="s">
        <v>76</v>
      </c>
      <c r="C772" t="s">
        <v>8</v>
      </c>
      <c r="D772" t="s">
        <v>10</v>
      </c>
      <c r="E772" t="s">
        <v>17</v>
      </c>
      <c r="F772" s="20" t="str">
        <f>INDEX(nrg_cb_e!$A$3:$A$40,MATCH(LEFT(MID(B772,43,1000),SEARCH(" - ",MID(B772,43,1000))-1),nrg_cb_e!$C$3:$C$40,0))</f>
        <v>FC_OTH_HH_E</v>
      </c>
      <c r="G772">
        <v>2489</v>
      </c>
    </row>
    <row r="773" spans="1:7" x14ac:dyDescent="0.2">
      <c r="A773" t="s">
        <v>43</v>
      </c>
      <c r="B773" t="s">
        <v>76</v>
      </c>
      <c r="C773" t="s">
        <v>8</v>
      </c>
      <c r="D773" t="s">
        <v>10</v>
      </c>
      <c r="E773" t="s">
        <v>18</v>
      </c>
      <c r="F773" s="20" t="str">
        <f>INDEX(nrg_cb_e!$A$3:$A$40,MATCH(LEFT(MID(B773,43,1000),SEARCH(" - ",MID(B773,43,1000))-1),nrg_cb_e!$C$3:$C$40,0))</f>
        <v>FC_OTH_HH_E</v>
      </c>
      <c r="G773">
        <v>2730</v>
      </c>
    </row>
    <row r="774" spans="1:7" x14ac:dyDescent="0.2">
      <c r="A774" t="s">
        <v>43</v>
      </c>
      <c r="B774" t="s">
        <v>76</v>
      </c>
      <c r="C774" t="s">
        <v>8</v>
      </c>
      <c r="D774" t="s">
        <v>10</v>
      </c>
      <c r="E774" t="s">
        <v>19</v>
      </c>
      <c r="F774" s="20" t="str">
        <f>INDEX(nrg_cb_e!$A$3:$A$40,MATCH(LEFT(MID(B774,43,1000),SEARCH(" - ",MID(B774,43,1000))-1),nrg_cb_e!$C$3:$C$40,0))</f>
        <v>FC_OTH_HH_E</v>
      </c>
      <c r="G774">
        <v>2725</v>
      </c>
    </row>
    <row r="775" spans="1:7" x14ac:dyDescent="0.2">
      <c r="A775" t="s">
        <v>43</v>
      </c>
      <c r="B775" t="s">
        <v>76</v>
      </c>
      <c r="C775" t="s">
        <v>8</v>
      </c>
      <c r="D775" t="s">
        <v>10</v>
      </c>
      <c r="E775" t="s">
        <v>20</v>
      </c>
      <c r="F775" s="20" t="str">
        <f>INDEX(nrg_cb_e!$A$3:$A$40,MATCH(LEFT(MID(B775,43,1000),SEARCH(" - ",MID(B775,43,1000))-1),nrg_cb_e!$C$3:$C$40,0))</f>
        <v>FC_OTH_HH_E</v>
      </c>
      <c r="G775">
        <v>2590</v>
      </c>
    </row>
    <row r="776" spans="1:7" x14ac:dyDescent="0.2">
      <c r="A776" t="s">
        <v>43</v>
      </c>
      <c r="B776" t="s">
        <v>76</v>
      </c>
      <c r="C776" t="s">
        <v>8</v>
      </c>
      <c r="D776" t="s">
        <v>10</v>
      </c>
      <c r="E776" t="s">
        <v>21</v>
      </c>
      <c r="F776" s="20" t="str">
        <f>INDEX(nrg_cb_e!$A$3:$A$40,MATCH(LEFT(MID(B776,43,1000),SEARCH(" - ",MID(B776,43,1000))-1),nrg_cb_e!$C$3:$C$40,0))</f>
        <v>FC_OTH_HH_E</v>
      </c>
      <c r="G776">
        <v>2618</v>
      </c>
    </row>
    <row r="777" spans="1:7" x14ac:dyDescent="0.2">
      <c r="A777" t="s">
        <v>43</v>
      </c>
      <c r="B777" t="s">
        <v>76</v>
      </c>
      <c r="C777" t="s">
        <v>8</v>
      </c>
      <c r="D777" t="s">
        <v>10</v>
      </c>
      <c r="E777" t="s">
        <v>22</v>
      </c>
      <c r="F777" s="20" t="str">
        <f>INDEX(nrg_cb_e!$A$3:$A$40,MATCH(LEFT(MID(B777,43,1000),SEARCH(" - ",MID(B777,43,1000))-1),nrg_cb_e!$C$3:$C$40,0))</f>
        <v>FC_OTH_HH_E</v>
      </c>
      <c r="G777">
        <v>2642</v>
      </c>
    </row>
    <row r="778" spans="1:7" x14ac:dyDescent="0.2">
      <c r="A778" t="s">
        <v>43</v>
      </c>
      <c r="B778" t="s">
        <v>76</v>
      </c>
      <c r="C778" t="s">
        <v>8</v>
      </c>
      <c r="D778" t="s">
        <v>10</v>
      </c>
      <c r="E778" t="s">
        <v>23</v>
      </c>
      <c r="F778" s="20" t="str">
        <f>INDEX(nrg_cb_e!$A$3:$A$40,MATCH(LEFT(MID(B778,43,1000),SEARCH(" - ",MID(B778,43,1000))-1),nrg_cb_e!$C$3:$C$40,0))</f>
        <v>FC_OTH_HH_E</v>
      </c>
      <c r="G778">
        <v>2591</v>
      </c>
    </row>
    <row r="779" spans="1:7" x14ac:dyDescent="0.2">
      <c r="A779" t="s">
        <v>43</v>
      </c>
      <c r="B779" t="s">
        <v>76</v>
      </c>
      <c r="C779" t="s">
        <v>8</v>
      </c>
      <c r="D779" t="s">
        <v>10</v>
      </c>
      <c r="E779" t="s">
        <v>24</v>
      </c>
      <c r="F779" s="20" t="str">
        <f>INDEX(nrg_cb_e!$A$3:$A$40,MATCH(LEFT(MID(B779,43,1000),SEARCH(" - ",MID(B779,43,1000))-1),nrg_cb_e!$C$3:$C$40,0))</f>
        <v>FC_OTH_HH_E</v>
      </c>
      <c r="G779">
        <v>2656</v>
      </c>
    </row>
    <row r="780" spans="1:7" x14ac:dyDescent="0.2">
      <c r="A780" t="s">
        <v>43</v>
      </c>
      <c r="B780" t="s">
        <v>76</v>
      </c>
      <c r="C780" t="s">
        <v>8</v>
      </c>
      <c r="D780" t="s">
        <v>10</v>
      </c>
      <c r="E780" t="s">
        <v>25</v>
      </c>
      <c r="F780" s="20" t="str">
        <f>INDEX(nrg_cb_e!$A$3:$A$40,MATCH(LEFT(MID(B780,43,1000),SEARCH(" - ",MID(B780,43,1000))-1),nrg_cb_e!$C$3:$C$40,0))</f>
        <v>FC_OTH_HH_E</v>
      </c>
      <c r="G780">
        <v>2660</v>
      </c>
    </row>
    <row r="781" spans="1:7" x14ac:dyDescent="0.2">
      <c r="A781" t="s">
        <v>43</v>
      </c>
      <c r="B781" t="s">
        <v>76</v>
      </c>
      <c r="C781" t="s">
        <v>8</v>
      </c>
      <c r="D781" t="s">
        <v>10</v>
      </c>
      <c r="E781" t="s">
        <v>26</v>
      </c>
      <c r="F781" s="20" t="str">
        <f>INDEX(nrg_cb_e!$A$3:$A$40,MATCH(LEFT(MID(B781,43,1000),SEARCH(" - ",MID(B781,43,1000))-1),nrg_cb_e!$C$3:$C$40,0))</f>
        <v>FC_OTH_HH_E</v>
      </c>
      <c r="G781">
        <v>2775</v>
      </c>
    </row>
    <row r="782" spans="1:7" x14ac:dyDescent="0.2">
      <c r="A782" t="s">
        <v>43</v>
      </c>
      <c r="B782" t="s">
        <v>76</v>
      </c>
      <c r="C782" t="s">
        <v>8</v>
      </c>
      <c r="D782" t="s">
        <v>10</v>
      </c>
      <c r="E782" t="s">
        <v>27</v>
      </c>
      <c r="F782" s="20" t="str">
        <f>INDEX(nrg_cb_e!$A$3:$A$40,MATCH(LEFT(MID(B782,43,1000),SEARCH(" - ",MID(B782,43,1000))-1),nrg_cb_e!$C$3:$C$40,0))</f>
        <v>FC_OTH_HH_E</v>
      </c>
      <c r="G782">
        <v>2837.6</v>
      </c>
    </row>
    <row r="783" spans="1:7" x14ac:dyDescent="0.2">
      <c r="A783" t="s">
        <v>43</v>
      </c>
      <c r="B783" t="s">
        <v>76</v>
      </c>
      <c r="C783" t="s">
        <v>8</v>
      </c>
      <c r="D783" t="s">
        <v>10</v>
      </c>
      <c r="E783" t="s">
        <v>28</v>
      </c>
      <c r="F783" s="20" t="str">
        <f>INDEX(nrg_cb_e!$A$3:$A$40,MATCH(LEFT(MID(B783,43,1000),SEARCH(" - ",MID(B783,43,1000))-1),nrg_cb_e!$C$3:$C$40,0))</f>
        <v>FC_OTH_HH_E</v>
      </c>
      <c r="G783">
        <v>2984.5</v>
      </c>
    </row>
    <row r="784" spans="1:7" x14ac:dyDescent="0.2">
      <c r="A784" t="s">
        <v>44</v>
      </c>
      <c r="B784" t="s">
        <v>76</v>
      </c>
      <c r="C784" t="s">
        <v>8</v>
      </c>
      <c r="D784" t="s">
        <v>10</v>
      </c>
      <c r="E784" t="s">
        <v>12</v>
      </c>
      <c r="F784" s="20" t="str">
        <f>INDEX(nrg_cb_e!$A$3:$A$40,MATCH(LEFT(MID(B784,43,1000),SEARCH(" - ",MID(B784,43,1000))-1),nrg_cb_e!$C$3:$C$40,0))</f>
        <v>FC_OTH_HH_E</v>
      </c>
      <c r="G784">
        <v>808.46400000000006</v>
      </c>
    </row>
    <row r="785" spans="1:7" x14ac:dyDescent="0.2">
      <c r="A785" t="s">
        <v>44</v>
      </c>
      <c r="B785" t="s">
        <v>76</v>
      </c>
      <c r="C785" t="s">
        <v>8</v>
      </c>
      <c r="D785" t="s">
        <v>10</v>
      </c>
      <c r="E785" t="s">
        <v>13</v>
      </c>
      <c r="F785" s="20" t="str">
        <f>INDEX(nrg_cb_e!$A$3:$A$40,MATCH(LEFT(MID(B785,43,1000),SEARCH(" - ",MID(B785,43,1000))-1),nrg_cb_e!$C$3:$C$40,0))</f>
        <v>FC_OTH_HH_E</v>
      </c>
      <c r="G785">
        <v>822.38300000000004</v>
      </c>
    </row>
    <row r="786" spans="1:7" x14ac:dyDescent="0.2">
      <c r="A786" t="s">
        <v>44</v>
      </c>
      <c r="B786" t="s">
        <v>76</v>
      </c>
      <c r="C786" t="s">
        <v>8</v>
      </c>
      <c r="D786" t="s">
        <v>10</v>
      </c>
      <c r="E786" t="s">
        <v>14</v>
      </c>
      <c r="F786" s="20" t="str">
        <f>INDEX(nrg_cb_e!$A$3:$A$40,MATCH(LEFT(MID(B786,43,1000),SEARCH(" - ",MID(B786,43,1000))-1),nrg_cb_e!$C$3:$C$40,0))</f>
        <v>FC_OTH_HH_E</v>
      </c>
      <c r="G786">
        <v>838.76499999999999</v>
      </c>
    </row>
    <row r="787" spans="1:7" x14ac:dyDescent="0.2">
      <c r="A787" t="s">
        <v>44</v>
      </c>
      <c r="B787" t="s">
        <v>76</v>
      </c>
      <c r="C787" t="s">
        <v>8</v>
      </c>
      <c r="D787" t="s">
        <v>10</v>
      </c>
      <c r="E787" t="s">
        <v>15</v>
      </c>
      <c r="F787" s="20" t="str">
        <f>INDEX(nrg_cb_e!$A$3:$A$40,MATCH(LEFT(MID(B787,43,1000),SEARCH(" - ",MID(B787,43,1000))-1),nrg_cb_e!$C$3:$C$40,0))</f>
        <v>FC_OTH_HH_E</v>
      </c>
      <c r="G787">
        <v>845.08600000000001</v>
      </c>
    </row>
    <row r="788" spans="1:7" x14ac:dyDescent="0.2">
      <c r="A788" t="s">
        <v>44</v>
      </c>
      <c r="B788" t="s">
        <v>76</v>
      </c>
      <c r="C788" t="s">
        <v>8</v>
      </c>
      <c r="D788" t="s">
        <v>10</v>
      </c>
      <c r="E788" t="s">
        <v>16</v>
      </c>
      <c r="F788" s="20" t="str">
        <f>INDEX(nrg_cb_e!$A$3:$A$40,MATCH(LEFT(MID(B788,43,1000),SEARCH(" - ",MID(B788,43,1000))-1),nrg_cb_e!$C$3:$C$40,0))</f>
        <v>FC_OTH_HH_E</v>
      </c>
      <c r="G788">
        <v>830.98599999999999</v>
      </c>
    </row>
    <row r="789" spans="1:7" x14ac:dyDescent="0.2">
      <c r="A789" t="s">
        <v>44</v>
      </c>
      <c r="B789" t="s">
        <v>76</v>
      </c>
      <c r="C789" t="s">
        <v>8</v>
      </c>
      <c r="D789" t="s">
        <v>10</v>
      </c>
      <c r="E789" t="s">
        <v>17</v>
      </c>
      <c r="F789" s="20" t="str">
        <f>INDEX(nrg_cb_e!$A$3:$A$40,MATCH(LEFT(MID(B789,43,1000),SEARCH(" - ",MID(B789,43,1000))-1),nrg_cb_e!$C$3:$C$40,0))</f>
        <v>FC_OTH_HH_E</v>
      </c>
      <c r="G789">
        <v>843.57</v>
      </c>
    </row>
    <row r="790" spans="1:7" x14ac:dyDescent="0.2">
      <c r="A790" t="s">
        <v>44</v>
      </c>
      <c r="B790" t="s">
        <v>76</v>
      </c>
      <c r="C790" t="s">
        <v>8</v>
      </c>
      <c r="D790" t="s">
        <v>10</v>
      </c>
      <c r="E790" t="s">
        <v>18</v>
      </c>
      <c r="F790" s="20" t="str">
        <f>INDEX(nrg_cb_e!$A$3:$A$40,MATCH(LEFT(MID(B790,43,1000),SEARCH(" - ",MID(B790,43,1000))-1),nrg_cb_e!$C$3:$C$40,0))</f>
        <v>FC_OTH_HH_E</v>
      </c>
      <c r="G790">
        <v>776.42700000000002</v>
      </c>
    </row>
    <row r="791" spans="1:7" x14ac:dyDescent="0.2">
      <c r="A791" t="s">
        <v>44</v>
      </c>
      <c r="B791" t="s">
        <v>76</v>
      </c>
      <c r="C791" t="s">
        <v>8</v>
      </c>
      <c r="D791" t="s">
        <v>10</v>
      </c>
      <c r="E791" t="s">
        <v>19</v>
      </c>
      <c r="F791" s="20" t="str">
        <f>INDEX(nrg_cb_e!$A$3:$A$40,MATCH(LEFT(MID(B791,43,1000),SEARCH(" - ",MID(B791,43,1000))-1),nrg_cb_e!$C$3:$C$40,0))</f>
        <v>FC_OTH_HH_E</v>
      </c>
      <c r="G791">
        <v>904.44799999999998</v>
      </c>
    </row>
    <row r="792" spans="1:7" x14ac:dyDescent="0.2">
      <c r="A792" t="s">
        <v>44</v>
      </c>
      <c r="B792" t="s">
        <v>76</v>
      </c>
      <c r="C792" t="s">
        <v>8</v>
      </c>
      <c r="D792" t="s">
        <v>10</v>
      </c>
      <c r="E792" t="s">
        <v>20</v>
      </c>
      <c r="F792" s="20" t="str">
        <f>INDEX(nrg_cb_e!$A$3:$A$40,MATCH(LEFT(MID(B792,43,1000),SEARCH(" - ",MID(B792,43,1000))-1),nrg_cb_e!$C$3:$C$40,0))</f>
        <v>FC_OTH_HH_E</v>
      </c>
      <c r="G792">
        <v>815.15499999999997</v>
      </c>
    </row>
    <row r="793" spans="1:7" x14ac:dyDescent="0.2">
      <c r="A793" t="s">
        <v>44</v>
      </c>
      <c r="B793" t="s">
        <v>76</v>
      </c>
      <c r="C793" t="s">
        <v>8</v>
      </c>
      <c r="D793" t="s">
        <v>10</v>
      </c>
      <c r="E793" t="s">
        <v>21</v>
      </c>
      <c r="F793" s="20" t="str">
        <f>INDEX(nrg_cb_e!$A$3:$A$40,MATCH(LEFT(MID(B793,43,1000),SEARCH(" - ",MID(B793,43,1000))-1),nrg_cb_e!$C$3:$C$40,0))</f>
        <v>FC_OTH_HH_E</v>
      </c>
      <c r="G793">
        <v>851.61500000000001</v>
      </c>
    </row>
    <row r="794" spans="1:7" x14ac:dyDescent="0.2">
      <c r="A794" t="s">
        <v>44</v>
      </c>
      <c r="B794" t="s">
        <v>76</v>
      </c>
      <c r="C794" t="s">
        <v>8</v>
      </c>
      <c r="D794" t="s">
        <v>10</v>
      </c>
      <c r="E794" t="s">
        <v>22</v>
      </c>
      <c r="F794" s="20" t="str">
        <f>INDEX(nrg_cb_e!$A$3:$A$40,MATCH(LEFT(MID(B794,43,1000),SEARCH(" - ",MID(B794,43,1000))-1),nrg_cb_e!$C$3:$C$40,0))</f>
        <v>FC_OTH_HH_E</v>
      </c>
      <c r="G794">
        <v>916.49300000000005</v>
      </c>
    </row>
    <row r="795" spans="1:7" x14ac:dyDescent="0.2">
      <c r="A795" t="s">
        <v>44</v>
      </c>
      <c r="B795" t="s">
        <v>76</v>
      </c>
      <c r="C795" t="s">
        <v>8</v>
      </c>
      <c r="D795" t="s">
        <v>10</v>
      </c>
      <c r="E795" t="s">
        <v>23</v>
      </c>
      <c r="F795" s="20" t="str">
        <f>INDEX(nrg_cb_e!$A$3:$A$40,MATCH(LEFT(MID(B795,43,1000),SEARCH(" - ",MID(B795,43,1000))-1),nrg_cb_e!$C$3:$C$40,0))</f>
        <v>FC_OTH_HH_E</v>
      </c>
      <c r="G795">
        <v>979.40300000000002</v>
      </c>
    </row>
    <row r="796" spans="1:7" x14ac:dyDescent="0.2">
      <c r="A796" t="s">
        <v>44</v>
      </c>
      <c r="B796" t="s">
        <v>76</v>
      </c>
      <c r="C796" t="s">
        <v>8</v>
      </c>
      <c r="D796" t="s">
        <v>10</v>
      </c>
      <c r="E796" t="s">
        <v>24</v>
      </c>
      <c r="F796" s="20" t="str">
        <f>INDEX(nrg_cb_e!$A$3:$A$40,MATCH(LEFT(MID(B796,43,1000),SEARCH(" - ",MID(B796,43,1000))-1),nrg_cb_e!$C$3:$C$40,0))</f>
        <v>FC_OTH_HH_E</v>
      </c>
      <c r="G796">
        <v>1011.248</v>
      </c>
    </row>
    <row r="797" spans="1:7" x14ac:dyDescent="0.2">
      <c r="A797" t="s">
        <v>44</v>
      </c>
      <c r="B797" t="s">
        <v>76</v>
      </c>
      <c r="C797" t="s">
        <v>8</v>
      </c>
      <c r="D797" t="s">
        <v>10</v>
      </c>
      <c r="E797" t="s">
        <v>25</v>
      </c>
      <c r="F797" s="20" t="str">
        <f>INDEX(nrg_cb_e!$A$3:$A$40,MATCH(LEFT(MID(B797,43,1000),SEARCH(" - ",MID(B797,43,1000))-1),nrg_cb_e!$C$3:$C$40,0))</f>
        <v>FC_OTH_HH_E</v>
      </c>
      <c r="G797">
        <v>989.68600000000004</v>
      </c>
    </row>
    <row r="798" spans="1:7" x14ac:dyDescent="0.2">
      <c r="A798" t="s">
        <v>44</v>
      </c>
      <c r="B798" t="s">
        <v>76</v>
      </c>
      <c r="C798" t="s">
        <v>8</v>
      </c>
      <c r="D798" t="s">
        <v>10</v>
      </c>
      <c r="E798" t="s">
        <v>26</v>
      </c>
      <c r="F798" s="20" t="str">
        <f>INDEX(nrg_cb_e!$A$3:$A$40,MATCH(LEFT(MID(B798,43,1000),SEARCH(" - ",MID(B798,43,1000))-1),nrg_cb_e!$C$3:$C$40,0))</f>
        <v>FC_OTH_HH_E</v>
      </c>
      <c r="G798">
        <v>976.49</v>
      </c>
    </row>
    <row r="799" spans="1:7" x14ac:dyDescent="0.2">
      <c r="A799" t="s">
        <v>44</v>
      </c>
      <c r="B799" t="s">
        <v>76</v>
      </c>
      <c r="C799" t="s">
        <v>8</v>
      </c>
      <c r="D799" t="s">
        <v>10</v>
      </c>
      <c r="E799" t="s">
        <v>27</v>
      </c>
      <c r="F799" s="20" t="str">
        <f>INDEX(nrg_cb_e!$A$3:$A$40,MATCH(LEFT(MID(B799,43,1000),SEARCH(" - ",MID(B799,43,1000))-1),nrg_cb_e!$C$3:$C$40,0))</f>
        <v>FC_OTH_HH_E</v>
      </c>
      <c r="G799">
        <v>970.45899999999995</v>
      </c>
    </row>
    <row r="800" spans="1:7" x14ac:dyDescent="0.2">
      <c r="A800" t="s">
        <v>44</v>
      </c>
      <c r="B800" t="s">
        <v>76</v>
      </c>
      <c r="C800" t="s">
        <v>8</v>
      </c>
      <c r="D800" t="s">
        <v>10</v>
      </c>
      <c r="E800" t="s">
        <v>28</v>
      </c>
      <c r="F800" s="20" t="str">
        <f>INDEX(nrg_cb_e!$A$3:$A$40,MATCH(LEFT(MID(B800,43,1000),SEARCH(" - ",MID(B800,43,1000))-1),nrg_cb_e!$C$3:$C$40,0))</f>
        <v>FC_OTH_HH_E</v>
      </c>
      <c r="G800">
        <v>930.64099999999996</v>
      </c>
    </row>
    <row r="801" spans="1:7" x14ac:dyDescent="0.2">
      <c r="A801" t="s">
        <v>45</v>
      </c>
      <c r="B801" t="s">
        <v>76</v>
      </c>
      <c r="C801" t="s">
        <v>8</v>
      </c>
      <c r="D801" t="s">
        <v>10</v>
      </c>
      <c r="E801" t="s">
        <v>12</v>
      </c>
      <c r="F801" s="20" t="str">
        <f>INDEX(nrg_cb_e!$A$3:$A$40,MATCH(LEFT(MID(B801,43,1000),SEARCH(" - ",MID(B801,43,1000))-1),nrg_cb_e!$C$3:$C$40,0))</f>
        <v>FC_OTH_HH_E</v>
      </c>
      <c r="G801">
        <v>10440</v>
      </c>
    </row>
    <row r="802" spans="1:7" x14ac:dyDescent="0.2">
      <c r="A802" t="s">
        <v>45</v>
      </c>
      <c r="B802" t="s">
        <v>76</v>
      </c>
      <c r="C802" t="s">
        <v>8</v>
      </c>
      <c r="D802" t="s">
        <v>10</v>
      </c>
      <c r="E802" t="s">
        <v>13</v>
      </c>
      <c r="F802" s="20" t="str">
        <f>INDEX(nrg_cb_e!$A$3:$A$40,MATCH(LEFT(MID(B802,43,1000),SEARCH(" - ",MID(B802,43,1000))-1),nrg_cb_e!$C$3:$C$40,0))</f>
        <v>FC_OTH_HH_E</v>
      </c>
      <c r="G802">
        <v>11063</v>
      </c>
    </row>
    <row r="803" spans="1:7" x14ac:dyDescent="0.2">
      <c r="A803" t="s">
        <v>45</v>
      </c>
      <c r="B803" t="s">
        <v>76</v>
      </c>
      <c r="C803" t="s">
        <v>8</v>
      </c>
      <c r="D803" t="s">
        <v>10</v>
      </c>
      <c r="E803" t="s">
        <v>14</v>
      </c>
      <c r="F803" s="20" t="str">
        <f>INDEX(nrg_cb_e!$A$3:$A$40,MATCH(LEFT(MID(B803,43,1000),SEARCH(" - ",MID(B803,43,1000))-1),nrg_cb_e!$C$3:$C$40,0))</f>
        <v>FC_OTH_HH_E</v>
      </c>
      <c r="G803">
        <v>11032</v>
      </c>
    </row>
    <row r="804" spans="1:7" x14ac:dyDescent="0.2">
      <c r="A804" t="s">
        <v>45</v>
      </c>
      <c r="B804" t="s">
        <v>76</v>
      </c>
      <c r="C804" t="s">
        <v>8</v>
      </c>
      <c r="D804" t="s">
        <v>10</v>
      </c>
      <c r="E804" t="s">
        <v>15</v>
      </c>
      <c r="F804" s="20" t="str">
        <f>INDEX(nrg_cb_e!$A$3:$A$40,MATCH(LEFT(MID(B804,43,1000),SEARCH(" - ",MID(B804,43,1000))-1),nrg_cb_e!$C$3:$C$40,0))</f>
        <v>FC_OTH_HH_E</v>
      </c>
      <c r="G804">
        <v>11115</v>
      </c>
    </row>
    <row r="805" spans="1:7" x14ac:dyDescent="0.2">
      <c r="A805" t="s">
        <v>45</v>
      </c>
      <c r="B805" t="s">
        <v>76</v>
      </c>
      <c r="C805" t="s">
        <v>8</v>
      </c>
      <c r="D805" t="s">
        <v>10</v>
      </c>
      <c r="E805" t="s">
        <v>16</v>
      </c>
      <c r="F805" s="20" t="str">
        <f>INDEX(nrg_cb_e!$A$3:$A$40,MATCH(LEFT(MID(B805,43,1000),SEARCH(" - ",MID(B805,43,1000))-1),nrg_cb_e!$C$3:$C$40,0))</f>
        <v>FC_OTH_HH_E</v>
      </c>
      <c r="G805">
        <v>11451</v>
      </c>
    </row>
    <row r="806" spans="1:7" x14ac:dyDescent="0.2">
      <c r="A806" t="s">
        <v>45</v>
      </c>
      <c r="B806" t="s">
        <v>76</v>
      </c>
      <c r="C806" t="s">
        <v>8</v>
      </c>
      <c r="D806" t="s">
        <v>10</v>
      </c>
      <c r="E806" t="s">
        <v>17</v>
      </c>
      <c r="F806" s="20" t="str">
        <f>INDEX(nrg_cb_e!$A$3:$A$40,MATCH(LEFT(MID(B806,43,1000),SEARCH(" - ",MID(B806,43,1000))-1),nrg_cb_e!$C$3:$C$40,0))</f>
        <v>FC_OTH_HH_E</v>
      </c>
      <c r="G806">
        <v>11250</v>
      </c>
    </row>
    <row r="807" spans="1:7" x14ac:dyDescent="0.2">
      <c r="A807" t="s">
        <v>45</v>
      </c>
      <c r="B807" t="s">
        <v>76</v>
      </c>
      <c r="C807" t="s">
        <v>8</v>
      </c>
      <c r="D807" t="s">
        <v>10</v>
      </c>
      <c r="E807" t="s">
        <v>18</v>
      </c>
      <c r="F807" s="20" t="str">
        <f>INDEX(nrg_cb_e!$A$3:$A$40,MATCH(LEFT(MID(B807,43,1000),SEARCH(" - ",MID(B807,43,1000))-1),nrg_cb_e!$C$3:$C$40,0))</f>
        <v>FC_OTH_HH_E</v>
      </c>
      <c r="G807">
        <v>11460</v>
      </c>
    </row>
    <row r="808" spans="1:7" x14ac:dyDescent="0.2">
      <c r="A808" t="s">
        <v>45</v>
      </c>
      <c r="B808" t="s">
        <v>76</v>
      </c>
      <c r="C808" t="s">
        <v>8</v>
      </c>
      <c r="D808" t="s">
        <v>10</v>
      </c>
      <c r="E808" t="s">
        <v>19</v>
      </c>
      <c r="F808" s="20" t="str">
        <f>INDEX(nrg_cb_e!$A$3:$A$40,MATCH(LEFT(MID(B808,43,1000),SEARCH(" - ",MID(B808,43,1000))-1),nrg_cb_e!$C$3:$C$40,0))</f>
        <v>FC_OTH_HH_E</v>
      </c>
      <c r="G808">
        <v>11235</v>
      </c>
    </row>
    <row r="809" spans="1:7" x14ac:dyDescent="0.2">
      <c r="A809" t="s">
        <v>45</v>
      </c>
      <c r="B809" t="s">
        <v>76</v>
      </c>
      <c r="C809" t="s">
        <v>8</v>
      </c>
      <c r="D809" t="s">
        <v>10</v>
      </c>
      <c r="E809" t="s">
        <v>20</v>
      </c>
      <c r="F809" s="20" t="str">
        <f>INDEX(nrg_cb_e!$A$3:$A$40,MATCH(LEFT(MID(B809,43,1000),SEARCH(" - ",MID(B809,43,1000))-1),nrg_cb_e!$C$3:$C$40,0))</f>
        <v>FC_OTH_HH_E</v>
      </c>
      <c r="G809">
        <v>11202</v>
      </c>
    </row>
    <row r="810" spans="1:7" x14ac:dyDescent="0.2">
      <c r="A810" t="s">
        <v>45</v>
      </c>
      <c r="B810" t="s">
        <v>76</v>
      </c>
      <c r="C810" t="s">
        <v>8</v>
      </c>
      <c r="D810" t="s">
        <v>10</v>
      </c>
      <c r="E810" t="s">
        <v>21</v>
      </c>
      <c r="F810" s="20" t="str">
        <f>INDEX(nrg_cb_e!$A$3:$A$40,MATCH(LEFT(MID(B810,43,1000),SEARCH(" - ",MID(B810,43,1000))-1),nrg_cb_e!$C$3:$C$40,0))</f>
        <v>FC_OTH_HH_E</v>
      </c>
      <c r="G810">
        <v>11312</v>
      </c>
    </row>
    <row r="811" spans="1:7" x14ac:dyDescent="0.2">
      <c r="A811" t="s">
        <v>45</v>
      </c>
      <c r="B811" t="s">
        <v>76</v>
      </c>
      <c r="C811" t="s">
        <v>8</v>
      </c>
      <c r="D811" t="s">
        <v>10</v>
      </c>
      <c r="E811" t="s">
        <v>22</v>
      </c>
      <c r="F811" s="20" t="str">
        <f>INDEX(nrg_cb_e!$A$3:$A$40,MATCH(LEFT(MID(B811,43,1000),SEARCH(" - ",MID(B811,43,1000))-1),nrg_cb_e!$C$3:$C$40,0))</f>
        <v>FC_OTH_HH_E</v>
      </c>
      <c r="G811">
        <v>10620</v>
      </c>
    </row>
    <row r="812" spans="1:7" x14ac:dyDescent="0.2">
      <c r="A812" t="s">
        <v>45</v>
      </c>
      <c r="B812" t="s">
        <v>76</v>
      </c>
      <c r="C812" t="s">
        <v>8</v>
      </c>
      <c r="D812" t="s">
        <v>10</v>
      </c>
      <c r="E812" t="s">
        <v>23</v>
      </c>
      <c r="F812" s="20" t="str">
        <f>INDEX(nrg_cb_e!$A$3:$A$40,MATCH(LEFT(MID(B812,43,1000),SEARCH(" - ",MID(B812,43,1000))-1),nrg_cb_e!$C$3:$C$40,0))</f>
        <v>FC_OTH_HH_E</v>
      </c>
      <c r="G812">
        <v>10580</v>
      </c>
    </row>
    <row r="813" spans="1:7" x14ac:dyDescent="0.2">
      <c r="A813" t="s">
        <v>45</v>
      </c>
      <c r="B813" t="s">
        <v>76</v>
      </c>
      <c r="C813" t="s">
        <v>8</v>
      </c>
      <c r="D813" t="s">
        <v>10</v>
      </c>
      <c r="E813" t="s">
        <v>24</v>
      </c>
      <c r="F813" s="20" t="str">
        <f>INDEX(nrg_cb_e!$A$3:$A$40,MATCH(LEFT(MID(B813,43,1000),SEARCH(" - ",MID(B813,43,1000))-1),nrg_cb_e!$C$3:$C$40,0))</f>
        <v>FC_OTH_HH_E</v>
      </c>
      <c r="G813">
        <v>10423</v>
      </c>
    </row>
    <row r="814" spans="1:7" x14ac:dyDescent="0.2">
      <c r="A814" t="s">
        <v>45</v>
      </c>
      <c r="B814" t="s">
        <v>76</v>
      </c>
      <c r="C814" t="s">
        <v>8</v>
      </c>
      <c r="D814" t="s">
        <v>10</v>
      </c>
      <c r="E814" t="s">
        <v>25</v>
      </c>
      <c r="F814" s="20" t="str">
        <f>INDEX(nrg_cb_e!$A$3:$A$40,MATCH(LEFT(MID(B814,43,1000),SEARCH(" - ",MID(B814,43,1000))-1),nrg_cb_e!$C$3:$C$40,0))</f>
        <v>FC_OTH_HH_E</v>
      </c>
      <c r="G814">
        <v>10839</v>
      </c>
    </row>
    <row r="815" spans="1:7" x14ac:dyDescent="0.2">
      <c r="A815" t="s">
        <v>45</v>
      </c>
      <c r="B815" t="s">
        <v>76</v>
      </c>
      <c r="C815" t="s">
        <v>8</v>
      </c>
      <c r="D815" t="s">
        <v>10</v>
      </c>
      <c r="E815" t="s">
        <v>26</v>
      </c>
      <c r="F815" s="20" t="str">
        <f>INDEX(nrg_cb_e!$A$3:$A$40,MATCH(LEFT(MID(B815,43,1000),SEARCH(" - ",MID(B815,43,1000))-1),nrg_cb_e!$C$3:$C$40,0))</f>
        <v>FC_OTH_HH_E</v>
      </c>
      <c r="G815">
        <v>10954</v>
      </c>
    </row>
    <row r="816" spans="1:7" x14ac:dyDescent="0.2">
      <c r="A816" t="s">
        <v>45</v>
      </c>
      <c r="B816" t="s">
        <v>76</v>
      </c>
      <c r="C816" t="s">
        <v>8</v>
      </c>
      <c r="D816" t="s">
        <v>10</v>
      </c>
      <c r="E816" t="s">
        <v>27</v>
      </c>
      <c r="F816" s="20" t="str">
        <f>INDEX(nrg_cb_e!$A$3:$A$40,MATCH(LEFT(MID(B816,43,1000),SEARCH(" - ",MID(B816,43,1000))-1),nrg_cb_e!$C$3:$C$40,0))</f>
        <v>FC_OTH_HH_E</v>
      </c>
      <c r="G816">
        <v>11249</v>
      </c>
    </row>
    <row r="817" spans="1:7" x14ac:dyDescent="0.2">
      <c r="A817" t="s">
        <v>45</v>
      </c>
      <c r="B817" t="s">
        <v>76</v>
      </c>
      <c r="C817" t="s">
        <v>8</v>
      </c>
      <c r="D817" t="s">
        <v>10</v>
      </c>
      <c r="E817" t="s">
        <v>28</v>
      </c>
      <c r="F817" s="20" t="str">
        <f>INDEX(nrg_cb_e!$A$3:$A$40,MATCH(LEFT(MID(B817,43,1000),SEARCH(" - ",MID(B817,43,1000))-1),nrg_cb_e!$C$3:$C$40,0))</f>
        <v>FC_OTH_HH_E</v>
      </c>
      <c r="G817">
        <v>11370</v>
      </c>
    </row>
    <row r="818" spans="1:7" x14ac:dyDescent="0.2">
      <c r="A818" t="s">
        <v>46</v>
      </c>
      <c r="B818" t="s">
        <v>76</v>
      </c>
      <c r="C818" t="s">
        <v>8</v>
      </c>
      <c r="D818" t="s">
        <v>10</v>
      </c>
      <c r="E818" t="s">
        <v>12</v>
      </c>
      <c r="F818" s="20" t="str">
        <f>INDEX(nrg_cb_e!$A$3:$A$40,MATCH(LEFT(MID(B818,43,1000),SEARCH(" - ",MID(B818,43,1000))-1),nrg_cb_e!$C$3:$C$40,0))</f>
        <v>FC_OTH_HH_E</v>
      </c>
      <c r="G818">
        <v>570</v>
      </c>
    </row>
    <row r="819" spans="1:7" x14ac:dyDescent="0.2">
      <c r="A819" t="s">
        <v>46</v>
      </c>
      <c r="B819" t="s">
        <v>76</v>
      </c>
      <c r="C819" t="s">
        <v>8</v>
      </c>
      <c r="D819" t="s">
        <v>10</v>
      </c>
      <c r="E819" t="s">
        <v>13</v>
      </c>
      <c r="F819" s="20" t="str">
        <f>INDEX(nrg_cb_e!$A$3:$A$40,MATCH(LEFT(MID(B819,43,1000),SEARCH(" - ",MID(B819,43,1000))-1),nrg_cb_e!$C$3:$C$40,0))</f>
        <v>FC_OTH_HH_E</v>
      </c>
      <c r="G819">
        <v>629</v>
      </c>
    </row>
    <row r="820" spans="1:7" x14ac:dyDescent="0.2">
      <c r="A820" t="s">
        <v>46</v>
      </c>
      <c r="B820" t="s">
        <v>76</v>
      </c>
      <c r="C820" t="s">
        <v>8</v>
      </c>
      <c r="D820" t="s">
        <v>10</v>
      </c>
      <c r="E820" t="s">
        <v>14</v>
      </c>
      <c r="F820" s="20" t="str">
        <f>INDEX(nrg_cb_e!$A$3:$A$40,MATCH(LEFT(MID(B820,43,1000),SEARCH(" - ",MID(B820,43,1000))-1),nrg_cb_e!$C$3:$C$40,0))</f>
        <v>FC_OTH_HH_E</v>
      </c>
      <c r="G820">
        <v>615</v>
      </c>
    </row>
    <row r="821" spans="1:7" x14ac:dyDescent="0.2">
      <c r="A821" t="s">
        <v>46</v>
      </c>
      <c r="B821" t="s">
        <v>76</v>
      </c>
      <c r="C821" t="s">
        <v>8</v>
      </c>
      <c r="D821" t="s">
        <v>10</v>
      </c>
      <c r="E821" t="s">
        <v>15</v>
      </c>
      <c r="F821" s="20" t="str">
        <f>INDEX(nrg_cb_e!$A$3:$A$40,MATCH(LEFT(MID(B821,43,1000),SEARCH(" - ",MID(B821,43,1000))-1),nrg_cb_e!$C$3:$C$40,0))</f>
        <v>FC_OTH_HH_E</v>
      </c>
      <c r="G821">
        <v>623</v>
      </c>
    </row>
    <row r="822" spans="1:7" x14ac:dyDescent="0.2">
      <c r="A822" t="s">
        <v>46</v>
      </c>
      <c r="B822" t="s">
        <v>76</v>
      </c>
      <c r="C822" t="s">
        <v>8</v>
      </c>
      <c r="D822" t="s">
        <v>10</v>
      </c>
      <c r="E822" t="s">
        <v>16</v>
      </c>
      <c r="F822" s="20" t="str">
        <f>INDEX(nrg_cb_e!$A$3:$A$40,MATCH(LEFT(MID(B822,43,1000),SEARCH(" - ",MID(B822,43,1000))-1),nrg_cb_e!$C$3:$C$40,0))</f>
        <v>FC_OTH_HH_E</v>
      </c>
      <c r="G822">
        <v>659</v>
      </c>
    </row>
    <row r="823" spans="1:7" x14ac:dyDescent="0.2">
      <c r="A823" t="s">
        <v>46</v>
      </c>
      <c r="B823" t="s">
        <v>76</v>
      </c>
      <c r="C823" t="s">
        <v>8</v>
      </c>
      <c r="D823" t="s">
        <v>10</v>
      </c>
      <c r="E823" t="s">
        <v>17</v>
      </c>
      <c r="F823" s="20" t="str">
        <f>INDEX(nrg_cb_e!$A$3:$A$40,MATCH(LEFT(MID(B823,43,1000),SEARCH(" - ",MID(B823,43,1000))-1),nrg_cb_e!$C$3:$C$40,0))</f>
        <v>FC_OTH_HH_E</v>
      </c>
      <c r="G823">
        <v>658</v>
      </c>
    </row>
    <row r="824" spans="1:7" x14ac:dyDescent="0.2">
      <c r="A824" t="s">
        <v>46</v>
      </c>
      <c r="B824" t="s">
        <v>76</v>
      </c>
      <c r="C824" t="s">
        <v>8</v>
      </c>
      <c r="D824" t="s">
        <v>10</v>
      </c>
      <c r="E824" t="s">
        <v>18</v>
      </c>
      <c r="F824" s="20" t="str">
        <f>INDEX(nrg_cb_e!$A$3:$A$40,MATCH(LEFT(MID(B824,43,1000),SEARCH(" - ",MID(B824,43,1000))-1),nrg_cb_e!$C$3:$C$40,0))</f>
        <v>FC_OTH_HH_E</v>
      </c>
      <c r="G824">
        <v>645</v>
      </c>
    </row>
    <row r="825" spans="1:7" x14ac:dyDescent="0.2">
      <c r="A825" t="s">
        <v>46</v>
      </c>
      <c r="B825" t="s">
        <v>76</v>
      </c>
      <c r="C825" t="s">
        <v>8</v>
      </c>
      <c r="D825" t="s">
        <v>10</v>
      </c>
      <c r="E825" t="s">
        <v>19</v>
      </c>
      <c r="F825" s="20" t="str">
        <f>INDEX(nrg_cb_e!$A$3:$A$40,MATCH(LEFT(MID(B825,43,1000),SEARCH(" - ",MID(B825,43,1000))-1),nrg_cb_e!$C$3:$C$40,0))</f>
        <v>FC_OTH_HH_E</v>
      </c>
      <c r="G825">
        <v>570</v>
      </c>
    </row>
    <row r="826" spans="1:7" x14ac:dyDescent="0.2">
      <c r="A826" t="s">
        <v>46</v>
      </c>
      <c r="B826" t="s">
        <v>76</v>
      </c>
      <c r="C826" t="s">
        <v>8</v>
      </c>
      <c r="D826" t="s">
        <v>10</v>
      </c>
      <c r="E826" t="s">
        <v>20</v>
      </c>
      <c r="F826" s="20" t="str">
        <f>INDEX(nrg_cb_e!$A$3:$A$40,MATCH(LEFT(MID(B826,43,1000),SEARCH(" - ",MID(B826,43,1000))-1),nrg_cb_e!$C$3:$C$40,0))</f>
        <v>FC_OTH_HH_E</v>
      </c>
      <c r="G826">
        <v>589</v>
      </c>
    </row>
    <row r="827" spans="1:7" x14ac:dyDescent="0.2">
      <c r="A827" t="s">
        <v>46</v>
      </c>
      <c r="B827" t="s">
        <v>76</v>
      </c>
      <c r="C827" t="s">
        <v>8</v>
      </c>
      <c r="D827" t="s">
        <v>10</v>
      </c>
      <c r="E827" t="s">
        <v>21</v>
      </c>
      <c r="F827" s="20" t="str">
        <f>INDEX(nrg_cb_e!$A$3:$A$40,MATCH(LEFT(MID(B827,43,1000),SEARCH(" - ",MID(B827,43,1000))-1),nrg_cb_e!$C$3:$C$40,0))</f>
        <v>FC_OTH_HH_E</v>
      </c>
      <c r="G827">
        <v>594</v>
      </c>
    </row>
    <row r="828" spans="1:7" x14ac:dyDescent="0.2">
      <c r="A828" t="s">
        <v>46</v>
      </c>
      <c r="B828" t="s">
        <v>76</v>
      </c>
      <c r="C828" t="s">
        <v>8</v>
      </c>
      <c r="D828" t="s">
        <v>10</v>
      </c>
      <c r="E828" t="s">
        <v>22</v>
      </c>
      <c r="F828" s="20" t="str">
        <f>INDEX(nrg_cb_e!$A$3:$A$40,MATCH(LEFT(MID(B828,43,1000),SEARCH(" - ",MID(B828,43,1000))-1),nrg_cb_e!$C$3:$C$40,0))</f>
        <v>FC_OTH_HH_E</v>
      </c>
      <c r="G828">
        <v>614</v>
      </c>
    </row>
    <row r="829" spans="1:7" x14ac:dyDescent="0.2">
      <c r="A829" t="s">
        <v>46</v>
      </c>
      <c r="B829" t="s">
        <v>76</v>
      </c>
      <c r="C829" t="s">
        <v>8</v>
      </c>
      <c r="D829" t="s">
        <v>10</v>
      </c>
      <c r="E829" t="s">
        <v>23</v>
      </c>
      <c r="F829" s="20" t="str">
        <f>INDEX(nrg_cb_e!$A$3:$A$40,MATCH(LEFT(MID(B829,43,1000),SEARCH(" - ",MID(B829,43,1000))-1),nrg_cb_e!$C$3:$C$40,0))</f>
        <v>FC_OTH_HH_E</v>
      </c>
      <c r="G829">
        <v>609</v>
      </c>
    </row>
    <row r="830" spans="1:7" x14ac:dyDescent="0.2">
      <c r="A830" t="s">
        <v>46</v>
      </c>
      <c r="B830" t="s">
        <v>76</v>
      </c>
      <c r="C830" t="s">
        <v>8</v>
      </c>
      <c r="D830" t="s">
        <v>10</v>
      </c>
      <c r="E830" t="s">
        <v>24</v>
      </c>
      <c r="F830" s="20" t="str">
        <f>INDEX(nrg_cb_e!$A$3:$A$40,MATCH(LEFT(MID(B830,43,1000),SEARCH(" - ",MID(B830,43,1000))-1),nrg_cb_e!$C$3:$C$40,0))</f>
        <v>FC_OTH_HH_E</v>
      </c>
      <c r="G830">
        <v>615</v>
      </c>
    </row>
    <row r="831" spans="1:7" x14ac:dyDescent="0.2">
      <c r="A831" t="s">
        <v>46</v>
      </c>
      <c r="B831" t="s">
        <v>76</v>
      </c>
      <c r="C831" t="s">
        <v>8</v>
      </c>
      <c r="D831" t="s">
        <v>10</v>
      </c>
      <c r="E831" t="s">
        <v>25</v>
      </c>
      <c r="F831" s="20" t="str">
        <f>INDEX(nrg_cb_e!$A$3:$A$40,MATCH(LEFT(MID(B831,43,1000),SEARCH(" - ",MID(B831,43,1000))-1),nrg_cb_e!$C$3:$C$40,0))</f>
        <v>FC_OTH_HH_E</v>
      </c>
      <c r="G831">
        <v>656</v>
      </c>
    </row>
    <row r="832" spans="1:7" x14ac:dyDescent="0.2">
      <c r="A832" t="s">
        <v>46</v>
      </c>
      <c r="B832" t="s">
        <v>76</v>
      </c>
      <c r="C832" t="s">
        <v>8</v>
      </c>
      <c r="D832" t="s">
        <v>10</v>
      </c>
      <c r="E832" t="s">
        <v>26</v>
      </c>
      <c r="F832" s="20" t="str">
        <f>INDEX(nrg_cb_e!$A$3:$A$40,MATCH(LEFT(MID(B832,43,1000),SEARCH(" - ",MID(B832,43,1000))-1),nrg_cb_e!$C$3:$C$40,0))</f>
        <v>FC_OTH_HH_E</v>
      </c>
      <c r="G832">
        <v>665.94399999999996</v>
      </c>
    </row>
    <row r="833" spans="1:7" x14ac:dyDescent="0.2">
      <c r="A833" t="s">
        <v>46</v>
      </c>
      <c r="B833" t="s">
        <v>76</v>
      </c>
      <c r="C833" t="s">
        <v>8</v>
      </c>
      <c r="D833" t="s">
        <v>10</v>
      </c>
      <c r="E833" t="s">
        <v>27</v>
      </c>
      <c r="F833" s="20" t="str">
        <f>INDEX(nrg_cb_e!$A$3:$A$40,MATCH(LEFT(MID(B833,43,1000),SEARCH(" - ",MID(B833,43,1000))-1),nrg_cb_e!$C$3:$C$40,0))</f>
        <v>FC_OTH_HH_E</v>
      </c>
      <c r="G833">
        <v>727.83799999999997</v>
      </c>
    </row>
    <row r="834" spans="1:7" x14ac:dyDescent="0.2">
      <c r="A834" t="s">
        <v>46</v>
      </c>
      <c r="B834" t="s">
        <v>76</v>
      </c>
      <c r="C834" t="s">
        <v>8</v>
      </c>
      <c r="D834" t="s">
        <v>10</v>
      </c>
      <c r="E834" t="s">
        <v>28</v>
      </c>
      <c r="F834" s="20" t="str">
        <f>INDEX(nrg_cb_e!$A$3:$A$40,MATCH(LEFT(MID(B834,43,1000),SEARCH(" - ",MID(B834,43,1000))-1),nrg_cb_e!$C$3:$C$40,0))</f>
        <v>FC_OTH_HH_E</v>
      </c>
      <c r="G834">
        <v>755.61599999999999</v>
      </c>
    </row>
    <row r="835" spans="1:7" x14ac:dyDescent="0.2">
      <c r="A835" t="s">
        <v>47</v>
      </c>
      <c r="B835" t="s">
        <v>76</v>
      </c>
      <c r="C835" t="s">
        <v>8</v>
      </c>
      <c r="D835" t="s">
        <v>10</v>
      </c>
      <c r="E835" t="s">
        <v>12</v>
      </c>
      <c r="F835" s="20" t="str">
        <f>INDEX(nrg_cb_e!$A$3:$A$40,MATCH(LEFT(MID(B835,43,1000),SEARCH(" - ",MID(B835,43,1000))-1),nrg_cb_e!$C$3:$C$40,0))</f>
        <v>FC_OTH_HH_E</v>
      </c>
      <c r="G835">
        <v>20945</v>
      </c>
    </row>
    <row r="836" spans="1:7" x14ac:dyDescent="0.2">
      <c r="A836" t="s">
        <v>47</v>
      </c>
      <c r="B836" t="s">
        <v>76</v>
      </c>
      <c r="C836" t="s">
        <v>8</v>
      </c>
      <c r="D836" t="s">
        <v>10</v>
      </c>
      <c r="E836" t="s">
        <v>13</v>
      </c>
      <c r="F836" s="20" t="str">
        <f>INDEX(nrg_cb_e!$A$3:$A$40,MATCH(LEFT(MID(B836,43,1000),SEARCH(" - ",MID(B836,43,1000))-1),nrg_cb_e!$C$3:$C$40,0))</f>
        <v>FC_OTH_HH_E</v>
      </c>
      <c r="G836">
        <v>21418</v>
      </c>
    </row>
    <row r="837" spans="1:7" x14ac:dyDescent="0.2">
      <c r="A837" t="s">
        <v>47</v>
      </c>
      <c r="B837" t="s">
        <v>76</v>
      </c>
      <c r="C837" t="s">
        <v>8</v>
      </c>
      <c r="D837" t="s">
        <v>10</v>
      </c>
      <c r="E837" t="s">
        <v>14</v>
      </c>
      <c r="F837" s="20" t="str">
        <f>INDEX(nrg_cb_e!$A$3:$A$40,MATCH(LEFT(MID(B837,43,1000),SEARCH(" - ",MID(B837,43,1000))-1),nrg_cb_e!$C$3:$C$40,0))</f>
        <v>FC_OTH_HH_E</v>
      </c>
      <c r="G837">
        <v>21518</v>
      </c>
    </row>
    <row r="838" spans="1:7" x14ac:dyDescent="0.2">
      <c r="A838" t="s">
        <v>47</v>
      </c>
      <c r="B838" t="s">
        <v>76</v>
      </c>
      <c r="C838" t="s">
        <v>8</v>
      </c>
      <c r="D838" t="s">
        <v>10</v>
      </c>
      <c r="E838" t="s">
        <v>15</v>
      </c>
      <c r="F838" s="20" t="str">
        <f>INDEX(nrg_cb_e!$A$3:$A$40,MATCH(LEFT(MID(B838,43,1000),SEARCH(" - ",MID(B838,43,1000))-1),nrg_cb_e!$C$3:$C$40,0))</f>
        <v>FC_OTH_HH_E</v>
      </c>
      <c r="G838">
        <v>21796</v>
      </c>
    </row>
    <row r="839" spans="1:7" x14ac:dyDescent="0.2">
      <c r="A839" t="s">
        <v>47</v>
      </c>
      <c r="B839" t="s">
        <v>76</v>
      </c>
      <c r="C839" t="s">
        <v>8</v>
      </c>
      <c r="D839" t="s">
        <v>10</v>
      </c>
      <c r="E839" t="s">
        <v>16</v>
      </c>
      <c r="F839" s="20" t="str">
        <f>INDEX(nrg_cb_e!$A$3:$A$40,MATCH(LEFT(MID(B839,43,1000),SEARCH(" - ",MID(B839,43,1000))-1),nrg_cb_e!$C$3:$C$40,0))</f>
        <v>FC_OTH_HH_E</v>
      </c>
      <c r="G839">
        <v>22081</v>
      </c>
    </row>
    <row r="840" spans="1:7" x14ac:dyDescent="0.2">
      <c r="A840" t="s">
        <v>47</v>
      </c>
      <c r="B840" t="s">
        <v>76</v>
      </c>
      <c r="C840" t="s">
        <v>8</v>
      </c>
      <c r="D840" t="s">
        <v>10</v>
      </c>
      <c r="E840" t="s">
        <v>17</v>
      </c>
      <c r="F840" s="20" t="str">
        <f>INDEX(nrg_cb_e!$A$3:$A$40,MATCH(LEFT(MID(B840,43,1000),SEARCH(" - ",MID(B840,43,1000))-1),nrg_cb_e!$C$3:$C$40,0))</f>
        <v>FC_OTH_HH_E</v>
      </c>
      <c r="G840">
        <v>22268</v>
      </c>
    </row>
    <row r="841" spans="1:7" x14ac:dyDescent="0.2">
      <c r="A841" t="s">
        <v>47</v>
      </c>
      <c r="B841" t="s">
        <v>76</v>
      </c>
      <c r="C841" t="s">
        <v>8</v>
      </c>
      <c r="D841" t="s">
        <v>10</v>
      </c>
      <c r="E841" t="s">
        <v>18</v>
      </c>
      <c r="F841" s="20" t="str">
        <f>INDEX(nrg_cb_e!$A$3:$A$40,MATCH(LEFT(MID(B841,43,1000),SEARCH(" - ",MID(B841,43,1000))-1),nrg_cb_e!$C$3:$C$40,0))</f>
        <v>FC_OTH_HH_E</v>
      </c>
      <c r="G841">
        <v>22501</v>
      </c>
    </row>
    <row r="842" spans="1:7" x14ac:dyDescent="0.2">
      <c r="A842" t="s">
        <v>47</v>
      </c>
      <c r="B842" t="s">
        <v>76</v>
      </c>
      <c r="C842" t="s">
        <v>8</v>
      </c>
      <c r="D842" t="s">
        <v>10</v>
      </c>
      <c r="E842" t="s">
        <v>19</v>
      </c>
      <c r="F842" s="20" t="str">
        <f>INDEX(nrg_cb_e!$A$3:$A$40,MATCH(LEFT(MID(B842,43,1000),SEARCH(" - ",MID(B842,43,1000))-1),nrg_cb_e!$C$3:$C$40,0))</f>
        <v>FC_OTH_HH_E</v>
      </c>
      <c r="G842">
        <v>22872</v>
      </c>
    </row>
    <row r="843" spans="1:7" x14ac:dyDescent="0.2">
      <c r="A843" t="s">
        <v>47</v>
      </c>
      <c r="B843" t="s">
        <v>76</v>
      </c>
      <c r="C843" t="s">
        <v>8</v>
      </c>
      <c r="D843" t="s">
        <v>10</v>
      </c>
      <c r="E843" t="s">
        <v>20</v>
      </c>
      <c r="F843" s="20" t="str">
        <f>INDEX(nrg_cb_e!$A$3:$A$40,MATCH(LEFT(MID(B843,43,1000),SEARCH(" - ",MID(B843,43,1000))-1),nrg_cb_e!$C$3:$C$40,0))</f>
        <v>FC_OTH_HH_E</v>
      </c>
      <c r="G843">
        <v>22994</v>
      </c>
    </row>
    <row r="844" spans="1:7" x14ac:dyDescent="0.2">
      <c r="A844" t="s">
        <v>47</v>
      </c>
      <c r="B844" t="s">
        <v>76</v>
      </c>
      <c r="C844" t="s">
        <v>8</v>
      </c>
      <c r="D844" t="s">
        <v>10</v>
      </c>
      <c r="E844" t="s">
        <v>21</v>
      </c>
      <c r="F844" s="20" t="str">
        <f>INDEX(nrg_cb_e!$A$3:$A$40,MATCH(LEFT(MID(B844,43,1000),SEARCH(" - ",MID(B844,43,1000))-1),nrg_cb_e!$C$3:$C$40,0))</f>
        <v>FC_OTH_HH_E</v>
      </c>
      <c r="G844">
        <v>23043</v>
      </c>
    </row>
    <row r="845" spans="1:7" x14ac:dyDescent="0.2">
      <c r="A845" t="s">
        <v>47</v>
      </c>
      <c r="B845" t="s">
        <v>76</v>
      </c>
      <c r="C845" t="s">
        <v>8</v>
      </c>
      <c r="D845" t="s">
        <v>10</v>
      </c>
      <c r="E845" t="s">
        <v>22</v>
      </c>
      <c r="F845" s="20" t="str">
        <f>INDEX(nrg_cb_e!$A$3:$A$40,MATCH(LEFT(MID(B845,43,1000),SEARCH(" - ",MID(B845,43,1000))-1),nrg_cb_e!$C$3:$C$40,0))</f>
        <v>FC_OTH_HH_E</v>
      </c>
      <c r="G845">
        <v>23363.329000000002</v>
      </c>
    </row>
    <row r="846" spans="1:7" x14ac:dyDescent="0.2">
      <c r="A846" t="s">
        <v>47</v>
      </c>
      <c r="B846" t="s">
        <v>76</v>
      </c>
      <c r="C846" t="s">
        <v>8</v>
      </c>
      <c r="D846" t="s">
        <v>10</v>
      </c>
      <c r="E846" t="s">
        <v>23</v>
      </c>
      <c r="F846" s="20" t="str">
        <f>INDEX(nrg_cb_e!$A$3:$A$40,MATCH(LEFT(MID(B846,43,1000),SEARCH(" - ",MID(B846,43,1000))-1),nrg_cb_e!$C$3:$C$40,0))</f>
        <v>FC_OTH_HH_E</v>
      </c>
      <c r="G846">
        <v>23360.958999999999</v>
      </c>
    </row>
    <row r="847" spans="1:7" x14ac:dyDescent="0.2">
      <c r="A847" t="s">
        <v>47</v>
      </c>
      <c r="B847" t="s">
        <v>76</v>
      </c>
      <c r="C847" t="s">
        <v>8</v>
      </c>
      <c r="D847" t="s">
        <v>10</v>
      </c>
      <c r="E847" t="s">
        <v>24</v>
      </c>
      <c r="F847" s="20" t="str">
        <f>INDEX(nrg_cb_e!$A$3:$A$40,MATCH(LEFT(MID(B847,43,1000),SEARCH(" - ",MID(B847,43,1000))-1),nrg_cb_e!$C$3:$C$40,0))</f>
        <v>FC_OTH_HH_E</v>
      </c>
      <c r="G847">
        <v>22829.305</v>
      </c>
    </row>
    <row r="848" spans="1:7" x14ac:dyDescent="0.2">
      <c r="A848" t="s">
        <v>47</v>
      </c>
      <c r="B848" t="s">
        <v>76</v>
      </c>
      <c r="C848" t="s">
        <v>8</v>
      </c>
      <c r="D848" t="s">
        <v>10</v>
      </c>
      <c r="E848" t="s">
        <v>25</v>
      </c>
      <c r="F848" s="20" t="str">
        <f>INDEX(nrg_cb_e!$A$3:$A$40,MATCH(LEFT(MID(B848,43,1000),SEARCH(" - ",MID(B848,43,1000))-1),nrg_cb_e!$C$3:$C$40,0))</f>
        <v>FC_OTH_HH_E</v>
      </c>
      <c r="G848">
        <v>22620.42</v>
      </c>
    </row>
    <row r="849" spans="1:7" x14ac:dyDescent="0.2">
      <c r="A849" t="s">
        <v>47</v>
      </c>
      <c r="B849" t="s">
        <v>76</v>
      </c>
      <c r="C849" t="s">
        <v>8</v>
      </c>
      <c r="D849" t="s">
        <v>10</v>
      </c>
      <c r="E849" t="s">
        <v>26</v>
      </c>
      <c r="F849" s="20" t="str">
        <f>INDEX(nrg_cb_e!$A$3:$A$40,MATCH(LEFT(MID(B849,43,1000),SEARCH(" - ",MID(B849,43,1000))-1),nrg_cb_e!$C$3:$C$40,0))</f>
        <v>FC_OTH_HH_E</v>
      </c>
      <c r="G849">
        <v>22584.579000000002</v>
      </c>
    </row>
    <row r="850" spans="1:7" x14ac:dyDescent="0.2">
      <c r="A850" t="s">
        <v>47</v>
      </c>
      <c r="B850" t="s">
        <v>76</v>
      </c>
      <c r="C850" t="s">
        <v>8</v>
      </c>
      <c r="D850" t="s">
        <v>10</v>
      </c>
      <c r="E850" t="s">
        <v>27</v>
      </c>
      <c r="F850" s="20" t="str">
        <f>INDEX(nrg_cb_e!$A$3:$A$40,MATCH(LEFT(MID(B850,43,1000),SEARCH(" - ",MID(B850,43,1000))-1),nrg_cb_e!$C$3:$C$40,0))</f>
        <v>FC_OTH_HH_E</v>
      </c>
      <c r="G850">
        <v>22596.661</v>
      </c>
    </row>
    <row r="851" spans="1:7" x14ac:dyDescent="0.2">
      <c r="A851" t="s">
        <v>47</v>
      </c>
      <c r="B851" t="s">
        <v>76</v>
      </c>
      <c r="C851" t="s">
        <v>8</v>
      </c>
      <c r="D851" t="s">
        <v>10</v>
      </c>
      <c r="E851" t="s">
        <v>28</v>
      </c>
      <c r="F851" s="20" t="str">
        <f>INDEX(nrg_cb_e!$A$3:$A$40,MATCH(LEFT(MID(B851,43,1000),SEARCH(" - ",MID(B851,43,1000))-1),nrg_cb_e!$C$3:$C$40,0))</f>
        <v>FC_OTH_HH_E</v>
      </c>
      <c r="G851">
        <v>22970.68</v>
      </c>
    </row>
    <row r="852" spans="1:7" x14ac:dyDescent="0.2">
      <c r="A852" t="s">
        <v>48</v>
      </c>
      <c r="B852" t="s">
        <v>76</v>
      </c>
      <c r="C852" t="s">
        <v>8</v>
      </c>
      <c r="D852" t="s">
        <v>10</v>
      </c>
      <c r="E852" t="s">
        <v>12</v>
      </c>
      <c r="F852" s="20" t="str">
        <f>INDEX(nrg_cb_e!$A$3:$A$40,MATCH(LEFT(MID(B852,43,1000),SEARCH(" - ",MID(B852,43,1000))-1),nrg_cb_e!$C$3:$C$40,0))</f>
        <v>FC_OTH_HH_E</v>
      </c>
      <c r="G852">
        <v>16730</v>
      </c>
    </row>
    <row r="853" spans="1:7" x14ac:dyDescent="0.2">
      <c r="A853" t="s">
        <v>48</v>
      </c>
      <c r="B853" t="s">
        <v>76</v>
      </c>
      <c r="C853" t="s">
        <v>8</v>
      </c>
      <c r="D853" t="s">
        <v>10</v>
      </c>
      <c r="E853" t="s">
        <v>13</v>
      </c>
      <c r="F853" s="20" t="str">
        <f>INDEX(nrg_cb_e!$A$3:$A$40,MATCH(LEFT(MID(B853,43,1000),SEARCH(" - ",MID(B853,43,1000))-1),nrg_cb_e!$C$3:$C$40,0))</f>
        <v>FC_OTH_HH_E</v>
      </c>
      <c r="G853">
        <v>17275</v>
      </c>
    </row>
    <row r="854" spans="1:7" x14ac:dyDescent="0.2">
      <c r="A854" t="s">
        <v>48</v>
      </c>
      <c r="B854" t="s">
        <v>76</v>
      </c>
      <c r="C854" t="s">
        <v>8</v>
      </c>
      <c r="D854" t="s">
        <v>10</v>
      </c>
      <c r="E854" t="s">
        <v>14</v>
      </c>
      <c r="F854" s="20" t="str">
        <f>INDEX(nrg_cb_e!$A$3:$A$40,MATCH(LEFT(MID(B854,43,1000),SEARCH(" - ",MID(B854,43,1000))-1),nrg_cb_e!$C$3:$C$40,0))</f>
        <v>FC_OTH_HH_E</v>
      </c>
      <c r="G854">
        <v>17119</v>
      </c>
    </row>
    <row r="855" spans="1:7" x14ac:dyDescent="0.2">
      <c r="A855" t="s">
        <v>48</v>
      </c>
      <c r="B855" t="s">
        <v>76</v>
      </c>
      <c r="C855" t="s">
        <v>8</v>
      </c>
      <c r="D855" t="s">
        <v>10</v>
      </c>
      <c r="E855" t="s">
        <v>15</v>
      </c>
      <c r="F855" s="20" t="str">
        <f>INDEX(nrg_cb_e!$A$3:$A$40,MATCH(LEFT(MID(B855,43,1000),SEARCH(" - ",MID(B855,43,1000))-1),nrg_cb_e!$C$3:$C$40,0))</f>
        <v>FC_OTH_HH_E</v>
      </c>
      <c r="G855">
        <v>16417.681</v>
      </c>
    </row>
    <row r="856" spans="1:7" x14ac:dyDescent="0.2">
      <c r="A856" t="s">
        <v>48</v>
      </c>
      <c r="B856" t="s">
        <v>76</v>
      </c>
      <c r="C856" t="s">
        <v>8</v>
      </c>
      <c r="D856" t="s">
        <v>10</v>
      </c>
      <c r="E856" t="s">
        <v>16</v>
      </c>
      <c r="F856" s="20" t="str">
        <f>INDEX(nrg_cb_e!$A$3:$A$40,MATCH(LEFT(MID(B856,43,1000),SEARCH(" - ",MID(B856,43,1000))-1),nrg_cb_e!$C$3:$C$40,0))</f>
        <v>FC_OTH_HH_E</v>
      </c>
      <c r="G856">
        <v>16441.653999999999</v>
      </c>
    </row>
    <row r="857" spans="1:7" x14ac:dyDescent="0.2">
      <c r="A857" t="s">
        <v>48</v>
      </c>
      <c r="B857" t="s">
        <v>76</v>
      </c>
      <c r="C857" t="s">
        <v>8</v>
      </c>
      <c r="D857" t="s">
        <v>10</v>
      </c>
      <c r="E857" t="s">
        <v>17</v>
      </c>
      <c r="F857" s="20" t="str">
        <f>INDEX(nrg_cb_e!$A$3:$A$40,MATCH(LEFT(MID(B857,43,1000),SEARCH(" - ",MID(B857,43,1000))-1),nrg_cb_e!$C$3:$C$40,0))</f>
        <v>FC_OTH_HH_E</v>
      </c>
      <c r="G857">
        <v>16483.886999999999</v>
      </c>
    </row>
    <row r="858" spans="1:7" x14ac:dyDescent="0.2">
      <c r="A858" t="s">
        <v>48</v>
      </c>
      <c r="B858" t="s">
        <v>76</v>
      </c>
      <c r="C858" t="s">
        <v>8</v>
      </c>
      <c r="D858" t="s">
        <v>10</v>
      </c>
      <c r="E858" t="s">
        <v>18</v>
      </c>
      <c r="F858" s="20" t="str">
        <f>INDEX(nrg_cb_e!$A$3:$A$40,MATCH(LEFT(MID(B858,43,1000),SEARCH(" - ",MID(B858,43,1000))-1),nrg_cb_e!$C$3:$C$40,0))</f>
        <v>FC_OTH_HH_E</v>
      </c>
      <c r="G858">
        <v>16616.866999999998</v>
      </c>
    </row>
    <row r="859" spans="1:7" x14ac:dyDescent="0.2">
      <c r="A859" t="s">
        <v>48</v>
      </c>
      <c r="B859" t="s">
        <v>76</v>
      </c>
      <c r="C859" t="s">
        <v>8</v>
      </c>
      <c r="D859" t="s">
        <v>10</v>
      </c>
      <c r="E859" t="s">
        <v>19</v>
      </c>
      <c r="F859" s="20" t="str">
        <f>INDEX(nrg_cb_e!$A$3:$A$40,MATCH(LEFT(MID(B859,43,1000),SEARCH(" - ",MID(B859,43,1000))-1),nrg_cb_e!$C$3:$C$40,0))</f>
        <v>FC_OTH_HH_E</v>
      </c>
      <c r="G859">
        <v>17233.268</v>
      </c>
    </row>
    <row r="860" spans="1:7" x14ac:dyDescent="0.2">
      <c r="A860" t="s">
        <v>48</v>
      </c>
      <c r="B860" t="s">
        <v>76</v>
      </c>
      <c r="C860" t="s">
        <v>8</v>
      </c>
      <c r="D860" t="s">
        <v>10</v>
      </c>
      <c r="E860" t="s">
        <v>20</v>
      </c>
      <c r="F860" s="20" t="str">
        <f>INDEX(nrg_cb_e!$A$3:$A$40,MATCH(LEFT(MID(B860,43,1000),SEARCH(" - ",MID(B860,43,1000))-1),nrg_cb_e!$C$3:$C$40,0))</f>
        <v>FC_OTH_HH_E</v>
      </c>
      <c r="G860">
        <v>17657.492999999999</v>
      </c>
    </row>
    <row r="861" spans="1:7" x14ac:dyDescent="0.2">
      <c r="A861" t="s">
        <v>48</v>
      </c>
      <c r="B861" t="s">
        <v>76</v>
      </c>
      <c r="C861" t="s">
        <v>8</v>
      </c>
      <c r="D861" t="s">
        <v>10</v>
      </c>
      <c r="E861" t="s">
        <v>21</v>
      </c>
      <c r="F861" s="20" t="str">
        <f>INDEX(nrg_cb_e!$A$3:$A$40,MATCH(LEFT(MID(B861,43,1000),SEARCH(" - ",MID(B861,43,1000))-1),nrg_cb_e!$C$3:$C$40,0))</f>
        <v>FC_OTH_HH_E</v>
      </c>
      <c r="G861">
        <v>17273.638999999999</v>
      </c>
    </row>
    <row r="862" spans="1:7" x14ac:dyDescent="0.2">
      <c r="A862" t="s">
        <v>48</v>
      </c>
      <c r="B862" t="s">
        <v>76</v>
      </c>
      <c r="C862" t="s">
        <v>8</v>
      </c>
      <c r="D862" t="s">
        <v>10</v>
      </c>
      <c r="E862" t="s">
        <v>22</v>
      </c>
      <c r="F862" s="20" t="str">
        <f>INDEX(nrg_cb_e!$A$3:$A$40,MATCH(LEFT(MID(B862,43,1000),SEARCH(" - ",MID(B862,43,1000))-1),nrg_cb_e!$C$3:$C$40,0))</f>
        <v>FC_OTH_HH_E</v>
      </c>
      <c r="G862">
        <v>17550.883000000002</v>
      </c>
    </row>
    <row r="863" spans="1:7" x14ac:dyDescent="0.2">
      <c r="A863" t="s">
        <v>48</v>
      </c>
      <c r="B863" t="s">
        <v>76</v>
      </c>
      <c r="C863" t="s">
        <v>8</v>
      </c>
      <c r="D863" t="s">
        <v>10</v>
      </c>
      <c r="E863" t="s">
        <v>23</v>
      </c>
      <c r="F863" s="20" t="str">
        <f>INDEX(nrg_cb_e!$A$3:$A$40,MATCH(LEFT(MID(B863,43,1000),SEARCH(" - ",MID(B863,43,1000))-1),nrg_cb_e!$C$3:$C$40,0))</f>
        <v>FC_OTH_HH_E</v>
      </c>
      <c r="G863">
        <v>17649.164000000001</v>
      </c>
    </row>
    <row r="864" spans="1:7" x14ac:dyDescent="0.2">
      <c r="A864" t="s">
        <v>48</v>
      </c>
      <c r="B864" t="s">
        <v>76</v>
      </c>
      <c r="C864" t="s">
        <v>8</v>
      </c>
      <c r="D864" t="s">
        <v>10</v>
      </c>
      <c r="E864" t="s">
        <v>24</v>
      </c>
      <c r="F864" s="20" t="str">
        <f>INDEX(nrg_cb_e!$A$3:$A$40,MATCH(LEFT(MID(B864,43,1000),SEARCH(" - ",MID(B864,43,1000))-1),nrg_cb_e!$C$3:$C$40,0))</f>
        <v>FC_OTH_HH_E</v>
      </c>
      <c r="G864">
        <v>16704.824000000001</v>
      </c>
    </row>
    <row r="865" spans="1:7" x14ac:dyDescent="0.2">
      <c r="A865" t="s">
        <v>48</v>
      </c>
      <c r="B865" t="s">
        <v>76</v>
      </c>
      <c r="C865" t="s">
        <v>8</v>
      </c>
      <c r="D865" t="s">
        <v>10</v>
      </c>
      <c r="E865" t="s">
        <v>25</v>
      </c>
      <c r="F865" s="20" t="str">
        <f>INDEX(nrg_cb_e!$A$3:$A$40,MATCH(LEFT(MID(B865,43,1000),SEARCH(" - ",MID(B865,43,1000))-1),nrg_cb_e!$C$3:$C$40,0))</f>
        <v>FC_OTH_HH_E</v>
      </c>
      <c r="G865">
        <v>17262.511999999999</v>
      </c>
    </row>
    <row r="866" spans="1:7" x14ac:dyDescent="0.2">
      <c r="A866" t="s">
        <v>48</v>
      </c>
      <c r="B866" t="s">
        <v>76</v>
      </c>
      <c r="C866" t="s">
        <v>8</v>
      </c>
      <c r="D866" t="s">
        <v>10</v>
      </c>
      <c r="E866" t="s">
        <v>26</v>
      </c>
      <c r="F866" s="20" t="str">
        <f>INDEX(nrg_cb_e!$A$3:$A$40,MATCH(LEFT(MID(B866,43,1000),SEARCH(" - ",MID(B866,43,1000))-1),nrg_cb_e!$C$3:$C$40,0))</f>
        <v>FC_OTH_HH_E</v>
      </c>
      <c r="G866">
        <v>17880.723000000002</v>
      </c>
    </row>
    <row r="867" spans="1:7" x14ac:dyDescent="0.2">
      <c r="A867" t="s">
        <v>48</v>
      </c>
      <c r="B867" t="s">
        <v>76</v>
      </c>
      <c r="C867" t="s">
        <v>8</v>
      </c>
      <c r="D867" t="s">
        <v>10</v>
      </c>
      <c r="E867" t="s">
        <v>27</v>
      </c>
      <c r="F867" s="20" t="str">
        <f>INDEX(nrg_cb_e!$A$3:$A$40,MATCH(LEFT(MID(B867,43,1000),SEARCH(" - ",MID(B867,43,1000))-1),nrg_cb_e!$C$3:$C$40,0))</f>
        <v>FC_OTH_HH_E</v>
      </c>
      <c r="G867">
        <v>17980.802</v>
      </c>
    </row>
    <row r="868" spans="1:7" x14ac:dyDescent="0.2">
      <c r="A868" t="s">
        <v>48</v>
      </c>
      <c r="B868" t="s">
        <v>76</v>
      </c>
      <c r="C868" t="s">
        <v>8</v>
      </c>
      <c r="D868" t="s">
        <v>10</v>
      </c>
      <c r="E868" t="s">
        <v>28</v>
      </c>
      <c r="F868" s="20" t="str">
        <f>INDEX(nrg_cb_e!$A$3:$A$40,MATCH(LEFT(MID(B868,43,1000),SEARCH(" - ",MID(B868,43,1000))-1),nrg_cb_e!$C$3:$C$40,0))</f>
        <v>FC_OTH_HH_E</v>
      </c>
      <c r="G868">
        <v>17711.332999999999</v>
      </c>
    </row>
    <row r="869" spans="1:7" x14ac:dyDescent="0.2">
      <c r="A869" t="s">
        <v>49</v>
      </c>
      <c r="B869" t="s">
        <v>76</v>
      </c>
      <c r="C869" t="s">
        <v>8</v>
      </c>
      <c r="D869" t="s">
        <v>10</v>
      </c>
      <c r="E869" t="s">
        <v>12</v>
      </c>
      <c r="F869" s="20" t="str">
        <f>INDEX(nrg_cb_e!$A$3:$A$40,MATCH(LEFT(MID(B869,43,1000),SEARCH(" - ",MID(B869,43,1000))-1),nrg_cb_e!$C$3:$C$40,0))</f>
        <v>FC_OTH_HH_E</v>
      </c>
      <c r="G869">
        <v>21659</v>
      </c>
    </row>
    <row r="870" spans="1:7" x14ac:dyDescent="0.2">
      <c r="A870" t="s">
        <v>49</v>
      </c>
      <c r="B870" t="s">
        <v>76</v>
      </c>
      <c r="C870" t="s">
        <v>8</v>
      </c>
      <c r="D870" t="s">
        <v>10</v>
      </c>
      <c r="E870" t="s">
        <v>13</v>
      </c>
      <c r="F870" s="20" t="str">
        <f>INDEX(nrg_cb_e!$A$3:$A$40,MATCH(LEFT(MID(B870,43,1000),SEARCH(" - ",MID(B870,43,1000))-1),nrg_cb_e!$C$3:$C$40,0))</f>
        <v>FC_OTH_HH_E</v>
      </c>
      <c r="G870">
        <v>24852</v>
      </c>
    </row>
    <row r="871" spans="1:7" x14ac:dyDescent="0.2">
      <c r="A871" t="s">
        <v>49</v>
      </c>
      <c r="B871" t="s">
        <v>76</v>
      </c>
      <c r="C871" t="s">
        <v>8</v>
      </c>
      <c r="D871" t="s">
        <v>10</v>
      </c>
      <c r="E871" t="s">
        <v>14</v>
      </c>
      <c r="F871" s="20" t="str">
        <f>INDEX(nrg_cb_e!$A$3:$A$40,MATCH(LEFT(MID(B871,43,1000),SEARCH(" - ",MID(B871,43,1000))-1),nrg_cb_e!$C$3:$C$40,0))</f>
        <v>FC_OTH_HH_E</v>
      </c>
      <c r="G871">
        <v>25476</v>
      </c>
    </row>
    <row r="872" spans="1:7" x14ac:dyDescent="0.2">
      <c r="A872" t="s">
        <v>49</v>
      </c>
      <c r="B872" t="s">
        <v>76</v>
      </c>
      <c r="C872" t="s">
        <v>8</v>
      </c>
      <c r="D872" t="s">
        <v>10</v>
      </c>
      <c r="E872" t="s">
        <v>15</v>
      </c>
      <c r="F872" s="20" t="str">
        <f>INDEX(nrg_cb_e!$A$3:$A$40,MATCH(LEFT(MID(B872,43,1000),SEARCH(" - ",MID(B872,43,1000))-1),nrg_cb_e!$C$3:$C$40,0))</f>
        <v>FC_OTH_HH_E</v>
      </c>
      <c r="G872">
        <v>25253</v>
      </c>
    </row>
    <row r="873" spans="1:7" x14ac:dyDescent="0.2">
      <c r="A873" t="s">
        <v>49</v>
      </c>
      <c r="B873" t="s">
        <v>76</v>
      </c>
      <c r="C873" t="s">
        <v>8</v>
      </c>
      <c r="D873" t="s">
        <v>10</v>
      </c>
      <c r="E873" t="s">
        <v>16</v>
      </c>
      <c r="F873" s="20" t="str">
        <f>INDEX(nrg_cb_e!$A$3:$A$40,MATCH(LEFT(MID(B873,43,1000),SEARCH(" - ",MID(B873,43,1000))-1),nrg_cb_e!$C$3:$C$40,0))</f>
        <v>FC_OTH_HH_E</v>
      </c>
      <c r="G873">
        <v>26467</v>
      </c>
    </row>
    <row r="874" spans="1:7" x14ac:dyDescent="0.2">
      <c r="A874" t="s">
        <v>49</v>
      </c>
      <c r="B874" t="s">
        <v>76</v>
      </c>
      <c r="C874" t="s">
        <v>8</v>
      </c>
      <c r="D874" t="s">
        <v>10</v>
      </c>
      <c r="E874" t="s">
        <v>17</v>
      </c>
      <c r="F874" s="20" t="str">
        <f>INDEX(nrg_cb_e!$A$3:$A$40,MATCH(LEFT(MID(B874,43,1000),SEARCH(" - ",MID(B874,43,1000))-1),nrg_cb_e!$C$3:$C$40,0))</f>
        <v>FC_OTH_HH_E</v>
      </c>
      <c r="G874">
        <v>26369</v>
      </c>
    </row>
    <row r="875" spans="1:7" x14ac:dyDescent="0.2">
      <c r="A875" t="s">
        <v>49</v>
      </c>
      <c r="B875" t="s">
        <v>76</v>
      </c>
      <c r="C875" t="s">
        <v>8</v>
      </c>
      <c r="D875" t="s">
        <v>10</v>
      </c>
      <c r="E875" t="s">
        <v>18</v>
      </c>
      <c r="F875" s="20" t="str">
        <f>INDEX(nrg_cb_e!$A$3:$A$40,MATCH(LEFT(MID(B875,43,1000),SEARCH(" - ",MID(B875,43,1000))-1),nrg_cb_e!$C$3:$C$40,0))</f>
        <v>FC_OTH_HH_E</v>
      </c>
      <c r="G875">
        <v>27115</v>
      </c>
    </row>
    <row r="876" spans="1:7" x14ac:dyDescent="0.2">
      <c r="A876" t="s">
        <v>49</v>
      </c>
      <c r="B876" t="s">
        <v>76</v>
      </c>
      <c r="C876" t="s">
        <v>8</v>
      </c>
      <c r="D876" t="s">
        <v>10</v>
      </c>
      <c r="E876" t="s">
        <v>19</v>
      </c>
      <c r="F876" s="20" t="str">
        <f>INDEX(nrg_cb_e!$A$3:$A$40,MATCH(LEFT(MID(B876,43,1000),SEARCH(" - ",MID(B876,43,1000))-1),nrg_cb_e!$C$3:$C$40,0))</f>
        <v>FC_OTH_HH_E</v>
      </c>
      <c r="G876">
        <v>27534</v>
      </c>
    </row>
    <row r="877" spans="1:7" x14ac:dyDescent="0.2">
      <c r="A877" t="s">
        <v>49</v>
      </c>
      <c r="B877" t="s">
        <v>76</v>
      </c>
      <c r="C877" t="s">
        <v>8</v>
      </c>
      <c r="D877" t="s">
        <v>10</v>
      </c>
      <c r="E877" t="s">
        <v>20</v>
      </c>
      <c r="F877" s="20" t="str">
        <f>INDEX(nrg_cb_e!$A$3:$A$40,MATCH(LEFT(MID(B877,43,1000),SEARCH(" - ",MID(B877,43,1000))-1),nrg_cb_e!$C$3:$C$40,0))</f>
        <v>FC_OTH_HH_E</v>
      </c>
      <c r="G877">
        <v>28615</v>
      </c>
    </row>
    <row r="878" spans="1:7" x14ac:dyDescent="0.2">
      <c r="A878" t="s">
        <v>49</v>
      </c>
      <c r="B878" t="s">
        <v>76</v>
      </c>
      <c r="C878" t="s">
        <v>8</v>
      </c>
      <c r="D878" t="s">
        <v>10</v>
      </c>
      <c r="E878" t="s">
        <v>21</v>
      </c>
      <c r="F878" s="20" t="str">
        <f>INDEX(nrg_cb_e!$A$3:$A$40,MATCH(LEFT(MID(B878,43,1000),SEARCH(" - ",MID(B878,43,1000))-1),nrg_cb_e!$C$3:$C$40,0))</f>
        <v>FC_OTH_HH_E</v>
      </c>
      <c r="G878">
        <v>28258</v>
      </c>
    </row>
    <row r="879" spans="1:7" x14ac:dyDescent="0.2">
      <c r="A879" t="s">
        <v>49</v>
      </c>
      <c r="B879" t="s">
        <v>76</v>
      </c>
      <c r="C879" t="s">
        <v>8</v>
      </c>
      <c r="D879" t="s">
        <v>10</v>
      </c>
      <c r="E879" t="s">
        <v>22</v>
      </c>
      <c r="F879" s="20" t="str">
        <f>INDEX(nrg_cb_e!$A$3:$A$40,MATCH(LEFT(MID(B879,43,1000),SEARCH(" - ",MID(B879,43,1000))-1),nrg_cb_e!$C$3:$C$40,0))</f>
        <v>FC_OTH_HH_E</v>
      </c>
      <c r="G879">
        <v>28318</v>
      </c>
    </row>
    <row r="880" spans="1:7" x14ac:dyDescent="0.2">
      <c r="A880" t="s">
        <v>49</v>
      </c>
      <c r="B880" t="s">
        <v>76</v>
      </c>
      <c r="C880" t="s">
        <v>8</v>
      </c>
      <c r="D880" t="s">
        <v>10</v>
      </c>
      <c r="E880" t="s">
        <v>23</v>
      </c>
      <c r="F880" s="20" t="str">
        <f>INDEX(nrg_cb_e!$A$3:$A$40,MATCH(LEFT(MID(B880,43,1000),SEARCH(" - ",MID(B880,43,1000))-1),nrg_cb_e!$C$3:$C$40,0))</f>
        <v>FC_OTH_HH_E</v>
      </c>
      <c r="G880">
        <v>28442</v>
      </c>
    </row>
    <row r="881" spans="1:7" x14ac:dyDescent="0.2">
      <c r="A881" t="s">
        <v>49</v>
      </c>
      <c r="B881" t="s">
        <v>76</v>
      </c>
      <c r="C881" t="s">
        <v>8</v>
      </c>
      <c r="D881" t="s">
        <v>10</v>
      </c>
      <c r="E881" t="s">
        <v>24</v>
      </c>
      <c r="F881" s="20" t="str">
        <f>INDEX(nrg_cb_e!$A$3:$A$40,MATCH(LEFT(MID(B881,43,1000),SEARCH(" - ",MID(B881,43,1000))-1),nrg_cb_e!$C$3:$C$40,0))</f>
        <v>FC_OTH_HH_E</v>
      </c>
      <c r="G881">
        <v>28083</v>
      </c>
    </row>
    <row r="882" spans="1:7" x14ac:dyDescent="0.2">
      <c r="A882" t="s">
        <v>49</v>
      </c>
      <c r="B882" t="s">
        <v>76</v>
      </c>
      <c r="C882" t="s">
        <v>8</v>
      </c>
      <c r="D882" t="s">
        <v>10</v>
      </c>
      <c r="E882" t="s">
        <v>25</v>
      </c>
      <c r="F882" s="20" t="str">
        <f>INDEX(nrg_cb_e!$A$3:$A$40,MATCH(LEFT(MID(B882,43,1000),SEARCH(" - ",MID(B882,43,1000))-1),nrg_cb_e!$C$3:$C$40,0))</f>
        <v>FC_OTH_HH_E</v>
      </c>
      <c r="G882">
        <v>28280</v>
      </c>
    </row>
    <row r="883" spans="1:7" x14ac:dyDescent="0.2">
      <c r="A883" t="s">
        <v>49</v>
      </c>
      <c r="B883" t="s">
        <v>76</v>
      </c>
      <c r="C883" t="s">
        <v>8</v>
      </c>
      <c r="D883" t="s">
        <v>10</v>
      </c>
      <c r="E883" t="s">
        <v>26</v>
      </c>
      <c r="F883" s="20" t="str">
        <f>INDEX(nrg_cb_e!$A$3:$A$40,MATCH(LEFT(MID(B883,43,1000),SEARCH(" - ",MID(B883,43,1000))-1),nrg_cb_e!$C$3:$C$40,0))</f>
        <v>FC_OTH_HH_E</v>
      </c>
      <c r="G883">
        <v>28909</v>
      </c>
    </row>
    <row r="884" spans="1:7" x14ac:dyDescent="0.2">
      <c r="A884" t="s">
        <v>49</v>
      </c>
      <c r="B884" t="s">
        <v>76</v>
      </c>
      <c r="C884" t="s">
        <v>8</v>
      </c>
      <c r="D884" t="s">
        <v>10</v>
      </c>
      <c r="E884" t="s">
        <v>27</v>
      </c>
      <c r="F884" s="20" t="str">
        <f>INDEX(nrg_cb_e!$A$3:$A$40,MATCH(LEFT(MID(B884,43,1000),SEARCH(" - ",MID(B884,43,1000))-1),nrg_cb_e!$C$3:$C$40,0))</f>
        <v>FC_OTH_HH_E</v>
      </c>
      <c r="G884">
        <v>29181</v>
      </c>
    </row>
    <row r="885" spans="1:7" x14ac:dyDescent="0.2">
      <c r="A885" t="s">
        <v>49</v>
      </c>
      <c r="B885" t="s">
        <v>76</v>
      </c>
      <c r="C885" t="s">
        <v>8</v>
      </c>
      <c r="D885" t="s">
        <v>10</v>
      </c>
      <c r="E885" t="s">
        <v>28</v>
      </c>
      <c r="F885" s="20" t="str">
        <f>INDEX(nrg_cb_e!$A$3:$A$40,MATCH(LEFT(MID(B885,43,1000),SEARCH(" - ",MID(B885,43,1000))-1),nrg_cb_e!$C$3:$C$40,0))</f>
        <v>FC_OTH_HH_E</v>
      </c>
      <c r="G885">
        <v>29284</v>
      </c>
    </row>
    <row r="886" spans="1:7" x14ac:dyDescent="0.2">
      <c r="A886" t="s">
        <v>50</v>
      </c>
      <c r="B886" t="s">
        <v>76</v>
      </c>
      <c r="C886" t="s">
        <v>8</v>
      </c>
      <c r="D886" t="s">
        <v>10</v>
      </c>
      <c r="E886" t="s">
        <v>12</v>
      </c>
      <c r="F886" s="20" t="str">
        <f>INDEX(nrg_cb_e!$A$3:$A$40,MATCH(LEFT(MID(B886,43,1000),SEARCH(" - ",MID(B886,43,1000))-1),nrg_cb_e!$C$3:$C$40,0))</f>
        <v>FC_OTH_HH_E</v>
      </c>
      <c r="G886">
        <v>11382</v>
      </c>
    </row>
    <row r="887" spans="1:7" x14ac:dyDescent="0.2">
      <c r="A887" t="s">
        <v>50</v>
      </c>
      <c r="B887" t="s">
        <v>76</v>
      </c>
      <c r="C887" t="s">
        <v>8</v>
      </c>
      <c r="D887" t="s">
        <v>10</v>
      </c>
      <c r="E887" t="s">
        <v>13</v>
      </c>
      <c r="F887" s="20" t="str">
        <f>INDEX(nrg_cb_e!$A$3:$A$40,MATCH(LEFT(MID(B887,43,1000),SEARCH(" - ",MID(B887,43,1000))-1),nrg_cb_e!$C$3:$C$40,0))</f>
        <v>FC_OTH_HH_E</v>
      </c>
      <c r="G887">
        <v>11835</v>
      </c>
    </row>
    <row r="888" spans="1:7" x14ac:dyDescent="0.2">
      <c r="A888" t="s">
        <v>50</v>
      </c>
      <c r="B888" t="s">
        <v>76</v>
      </c>
      <c r="C888" t="s">
        <v>8</v>
      </c>
      <c r="D888" t="s">
        <v>10</v>
      </c>
      <c r="E888" t="s">
        <v>14</v>
      </c>
      <c r="F888" s="20" t="str">
        <f>INDEX(nrg_cb_e!$A$3:$A$40,MATCH(LEFT(MID(B888,43,1000),SEARCH(" - ",MID(B888,43,1000))-1),nrg_cb_e!$C$3:$C$40,0))</f>
        <v>FC_OTH_HH_E</v>
      </c>
      <c r="G888">
        <v>12432</v>
      </c>
    </row>
    <row r="889" spans="1:7" x14ac:dyDescent="0.2">
      <c r="A889" t="s">
        <v>50</v>
      </c>
      <c r="B889" t="s">
        <v>76</v>
      </c>
      <c r="C889" t="s">
        <v>8</v>
      </c>
      <c r="D889" t="s">
        <v>10</v>
      </c>
      <c r="E889" t="s">
        <v>15</v>
      </c>
      <c r="F889" s="20" t="str">
        <f>INDEX(nrg_cb_e!$A$3:$A$40,MATCH(LEFT(MID(B889,43,1000),SEARCH(" - ",MID(B889,43,1000))-1),nrg_cb_e!$C$3:$C$40,0))</f>
        <v>FC_OTH_HH_E</v>
      </c>
      <c r="G889">
        <v>13242</v>
      </c>
    </row>
    <row r="890" spans="1:7" x14ac:dyDescent="0.2">
      <c r="A890" t="s">
        <v>50</v>
      </c>
      <c r="B890" t="s">
        <v>76</v>
      </c>
      <c r="C890" t="s">
        <v>8</v>
      </c>
      <c r="D890" t="s">
        <v>10</v>
      </c>
      <c r="E890" t="s">
        <v>16</v>
      </c>
      <c r="F890" s="20" t="str">
        <f>INDEX(nrg_cb_e!$A$3:$A$40,MATCH(LEFT(MID(B890,43,1000),SEARCH(" - ",MID(B890,43,1000))-1),nrg_cb_e!$C$3:$C$40,0))</f>
        <v>FC_OTH_HH_E</v>
      </c>
      <c r="G890">
        <v>13406</v>
      </c>
    </row>
    <row r="891" spans="1:7" x14ac:dyDescent="0.2">
      <c r="A891" t="s">
        <v>50</v>
      </c>
      <c r="B891" t="s">
        <v>76</v>
      </c>
      <c r="C891" t="s">
        <v>8</v>
      </c>
      <c r="D891" t="s">
        <v>10</v>
      </c>
      <c r="E891" t="s">
        <v>17</v>
      </c>
      <c r="F891" s="20" t="str">
        <f>INDEX(nrg_cb_e!$A$3:$A$40,MATCH(LEFT(MID(B891,43,1000),SEARCH(" - ",MID(B891,43,1000))-1),nrg_cb_e!$C$3:$C$40,0))</f>
        <v>FC_OTH_HH_E</v>
      </c>
      <c r="G891">
        <v>13863</v>
      </c>
    </row>
    <row r="892" spans="1:7" x14ac:dyDescent="0.2">
      <c r="A892" t="s">
        <v>50</v>
      </c>
      <c r="B892" t="s">
        <v>76</v>
      </c>
      <c r="C892" t="s">
        <v>8</v>
      </c>
      <c r="D892" t="s">
        <v>10</v>
      </c>
      <c r="E892" t="s">
        <v>18</v>
      </c>
      <c r="F892" s="20" t="str">
        <f>INDEX(nrg_cb_e!$A$3:$A$40,MATCH(LEFT(MID(B892,43,1000),SEARCH(" - ",MID(B892,43,1000))-1),nrg_cb_e!$C$3:$C$40,0))</f>
        <v>FC_OTH_HH_E</v>
      </c>
      <c r="G892">
        <v>13444</v>
      </c>
    </row>
    <row r="893" spans="1:7" x14ac:dyDescent="0.2">
      <c r="A893" t="s">
        <v>50</v>
      </c>
      <c r="B893" t="s">
        <v>76</v>
      </c>
      <c r="C893" t="s">
        <v>8</v>
      </c>
      <c r="D893" t="s">
        <v>10</v>
      </c>
      <c r="E893" t="s">
        <v>19</v>
      </c>
      <c r="F893" s="20" t="str">
        <f>INDEX(nrg_cb_e!$A$3:$A$40,MATCH(LEFT(MID(B893,43,1000),SEARCH(" - ",MID(B893,43,1000))-1),nrg_cb_e!$C$3:$C$40,0))</f>
        <v>FC_OTH_HH_E</v>
      </c>
      <c r="G893">
        <v>14190</v>
      </c>
    </row>
    <row r="894" spans="1:7" x14ac:dyDescent="0.2">
      <c r="A894" t="s">
        <v>50</v>
      </c>
      <c r="B894" t="s">
        <v>76</v>
      </c>
      <c r="C894" t="s">
        <v>8</v>
      </c>
      <c r="D894" t="s">
        <v>10</v>
      </c>
      <c r="E894" t="s">
        <v>20</v>
      </c>
      <c r="F894" s="20" t="str">
        <f>INDEX(nrg_cb_e!$A$3:$A$40,MATCH(LEFT(MID(B894,43,1000),SEARCH(" - ",MID(B894,43,1000))-1),nrg_cb_e!$C$3:$C$40,0))</f>
        <v>FC_OTH_HH_E</v>
      </c>
      <c r="G894">
        <v>14522</v>
      </c>
    </row>
    <row r="895" spans="1:7" x14ac:dyDescent="0.2">
      <c r="A895" t="s">
        <v>50</v>
      </c>
      <c r="B895" t="s">
        <v>76</v>
      </c>
      <c r="C895" t="s">
        <v>8</v>
      </c>
      <c r="D895" t="s">
        <v>10</v>
      </c>
      <c r="E895" t="s">
        <v>21</v>
      </c>
      <c r="F895" s="20" t="str">
        <f>INDEX(nrg_cb_e!$A$3:$A$40,MATCH(LEFT(MID(B895,43,1000),SEARCH(" - ",MID(B895,43,1000))-1),nrg_cb_e!$C$3:$C$40,0))</f>
        <v>FC_OTH_HH_E</v>
      </c>
      <c r="G895">
        <v>13752</v>
      </c>
    </row>
    <row r="896" spans="1:7" x14ac:dyDescent="0.2">
      <c r="A896" t="s">
        <v>50</v>
      </c>
      <c r="B896" t="s">
        <v>76</v>
      </c>
      <c r="C896" t="s">
        <v>8</v>
      </c>
      <c r="D896" t="s">
        <v>10</v>
      </c>
      <c r="E896" t="s">
        <v>22</v>
      </c>
      <c r="F896" s="20" t="str">
        <f>INDEX(nrg_cb_e!$A$3:$A$40,MATCH(LEFT(MID(B896,43,1000),SEARCH(" - ",MID(B896,43,1000))-1),nrg_cb_e!$C$3:$C$40,0))</f>
        <v>FC_OTH_HH_E</v>
      </c>
      <c r="G896">
        <v>12898</v>
      </c>
    </row>
    <row r="897" spans="1:7" x14ac:dyDescent="0.2">
      <c r="A897" t="s">
        <v>50</v>
      </c>
      <c r="B897" t="s">
        <v>76</v>
      </c>
      <c r="C897" t="s">
        <v>8</v>
      </c>
      <c r="D897" t="s">
        <v>10</v>
      </c>
      <c r="E897" t="s">
        <v>23</v>
      </c>
      <c r="F897" s="20" t="str">
        <f>INDEX(nrg_cb_e!$A$3:$A$40,MATCH(LEFT(MID(B897,43,1000),SEARCH(" - ",MID(B897,43,1000))-1),nrg_cb_e!$C$3:$C$40,0))</f>
        <v>FC_OTH_HH_E</v>
      </c>
      <c r="G897">
        <v>12314</v>
      </c>
    </row>
    <row r="898" spans="1:7" x14ac:dyDescent="0.2">
      <c r="A898" t="s">
        <v>50</v>
      </c>
      <c r="B898" t="s">
        <v>76</v>
      </c>
      <c r="C898" t="s">
        <v>8</v>
      </c>
      <c r="D898" t="s">
        <v>10</v>
      </c>
      <c r="E898" t="s">
        <v>24</v>
      </c>
      <c r="F898" s="20" t="str">
        <f>INDEX(nrg_cb_e!$A$3:$A$40,MATCH(LEFT(MID(B898,43,1000),SEARCH(" - ",MID(B898,43,1000))-1),nrg_cb_e!$C$3:$C$40,0))</f>
        <v>FC_OTH_HH_E</v>
      </c>
      <c r="G898">
        <v>11915</v>
      </c>
    </row>
    <row r="899" spans="1:7" x14ac:dyDescent="0.2">
      <c r="A899" t="s">
        <v>50</v>
      </c>
      <c r="B899" t="s">
        <v>76</v>
      </c>
      <c r="C899" t="s">
        <v>8</v>
      </c>
      <c r="D899" t="s">
        <v>10</v>
      </c>
      <c r="E899" t="s">
        <v>25</v>
      </c>
      <c r="F899" s="20" t="str">
        <f>INDEX(nrg_cb_e!$A$3:$A$40,MATCH(LEFT(MID(B899,43,1000),SEARCH(" - ",MID(B899,43,1000))-1),nrg_cb_e!$C$3:$C$40,0))</f>
        <v>FC_OTH_HH_E</v>
      </c>
      <c r="G899">
        <v>11974</v>
      </c>
    </row>
    <row r="900" spans="1:7" x14ac:dyDescent="0.2">
      <c r="A900" t="s">
        <v>50</v>
      </c>
      <c r="B900" t="s">
        <v>76</v>
      </c>
      <c r="C900" t="s">
        <v>8</v>
      </c>
      <c r="D900" t="s">
        <v>10</v>
      </c>
      <c r="E900" t="s">
        <v>26</v>
      </c>
      <c r="F900" s="20" t="str">
        <f>INDEX(nrg_cb_e!$A$3:$A$40,MATCH(LEFT(MID(B900,43,1000),SEARCH(" - ",MID(B900,43,1000))-1),nrg_cb_e!$C$3:$C$40,0))</f>
        <v>FC_OTH_HH_E</v>
      </c>
      <c r="G900">
        <v>12972.684999999999</v>
      </c>
    </row>
    <row r="901" spans="1:7" x14ac:dyDescent="0.2">
      <c r="A901" t="s">
        <v>50</v>
      </c>
      <c r="B901" t="s">
        <v>76</v>
      </c>
      <c r="C901" t="s">
        <v>8</v>
      </c>
      <c r="D901" t="s">
        <v>10</v>
      </c>
      <c r="E901" t="s">
        <v>27</v>
      </c>
      <c r="F901" s="20" t="str">
        <f>INDEX(nrg_cb_e!$A$3:$A$40,MATCH(LEFT(MID(B901,43,1000),SEARCH(" - ",MID(B901,43,1000))-1),nrg_cb_e!$C$3:$C$40,0))</f>
        <v>FC_OTH_HH_E</v>
      </c>
      <c r="G901">
        <v>12589.675999999999</v>
      </c>
    </row>
    <row r="902" spans="1:7" x14ac:dyDescent="0.2">
      <c r="A902" t="s">
        <v>50</v>
      </c>
      <c r="B902" t="s">
        <v>76</v>
      </c>
      <c r="C902" t="s">
        <v>8</v>
      </c>
      <c r="D902" t="s">
        <v>10</v>
      </c>
      <c r="E902" t="s">
        <v>28</v>
      </c>
      <c r="F902" s="20" t="str">
        <f>INDEX(nrg_cb_e!$A$3:$A$40,MATCH(LEFT(MID(B902,43,1000),SEARCH(" - ",MID(B902,43,1000))-1),nrg_cb_e!$C$3:$C$40,0))</f>
        <v>FC_OTH_HH_E</v>
      </c>
      <c r="G902">
        <v>13212.525</v>
      </c>
    </row>
    <row r="903" spans="1:7" x14ac:dyDescent="0.2">
      <c r="A903" t="s">
        <v>51</v>
      </c>
      <c r="B903" t="s">
        <v>76</v>
      </c>
      <c r="C903" t="s">
        <v>8</v>
      </c>
      <c r="D903" t="s">
        <v>10</v>
      </c>
      <c r="E903" t="s">
        <v>12</v>
      </c>
      <c r="F903" s="20" t="str">
        <f>INDEX(nrg_cb_e!$A$3:$A$40,MATCH(LEFT(MID(B903,43,1000),SEARCH(" - ",MID(B903,43,1000))-1),nrg_cb_e!$C$3:$C$40,0))</f>
        <v>FC_OTH_HH_E</v>
      </c>
      <c r="G903">
        <v>7771</v>
      </c>
    </row>
    <row r="904" spans="1:7" x14ac:dyDescent="0.2">
      <c r="A904" t="s">
        <v>51</v>
      </c>
      <c r="B904" t="s">
        <v>76</v>
      </c>
      <c r="C904" t="s">
        <v>8</v>
      </c>
      <c r="D904" t="s">
        <v>10</v>
      </c>
      <c r="E904" t="s">
        <v>13</v>
      </c>
      <c r="F904" s="20" t="str">
        <f>INDEX(nrg_cb_e!$A$3:$A$40,MATCH(LEFT(MID(B904,43,1000),SEARCH(" - ",MID(B904,43,1000))-1),nrg_cb_e!$C$3:$C$40,0))</f>
        <v>FC_OTH_HH_E</v>
      </c>
      <c r="G904">
        <v>8243</v>
      </c>
    </row>
    <row r="905" spans="1:7" x14ac:dyDescent="0.2">
      <c r="A905" t="s">
        <v>51</v>
      </c>
      <c r="B905" t="s">
        <v>76</v>
      </c>
      <c r="C905" t="s">
        <v>8</v>
      </c>
      <c r="D905" t="s">
        <v>10</v>
      </c>
      <c r="E905" t="s">
        <v>14</v>
      </c>
      <c r="F905" s="20" t="str">
        <f>INDEX(nrg_cb_e!$A$3:$A$40,MATCH(LEFT(MID(B905,43,1000),SEARCH(" - ",MID(B905,43,1000))-1),nrg_cb_e!$C$3:$C$40,0))</f>
        <v>FC_OTH_HH_E</v>
      </c>
      <c r="G905">
        <v>8043</v>
      </c>
    </row>
    <row r="906" spans="1:7" x14ac:dyDescent="0.2">
      <c r="A906" t="s">
        <v>51</v>
      </c>
      <c r="B906" t="s">
        <v>76</v>
      </c>
      <c r="C906" t="s">
        <v>8</v>
      </c>
      <c r="D906" t="s">
        <v>10</v>
      </c>
      <c r="E906" t="s">
        <v>15</v>
      </c>
      <c r="F906" s="20" t="str">
        <f>INDEX(nrg_cb_e!$A$3:$A$40,MATCH(LEFT(MID(B906,43,1000),SEARCH(" - ",MID(B906,43,1000))-1),nrg_cb_e!$C$3:$C$40,0))</f>
        <v>FC_OTH_HH_E</v>
      </c>
      <c r="G906">
        <v>9234</v>
      </c>
    </row>
    <row r="907" spans="1:7" x14ac:dyDescent="0.2">
      <c r="A907" t="s">
        <v>51</v>
      </c>
      <c r="B907" t="s">
        <v>76</v>
      </c>
      <c r="C907" t="s">
        <v>8</v>
      </c>
      <c r="D907" t="s">
        <v>10</v>
      </c>
      <c r="E907" t="s">
        <v>16</v>
      </c>
      <c r="F907" s="20" t="str">
        <f>INDEX(nrg_cb_e!$A$3:$A$40,MATCH(LEFT(MID(B907,43,1000),SEARCH(" - ",MID(B907,43,1000))-1),nrg_cb_e!$C$3:$C$40,0))</f>
        <v>FC_OTH_HH_E</v>
      </c>
      <c r="G907">
        <v>9999</v>
      </c>
    </row>
    <row r="908" spans="1:7" x14ac:dyDescent="0.2">
      <c r="A908" t="s">
        <v>51</v>
      </c>
      <c r="B908" t="s">
        <v>76</v>
      </c>
      <c r="C908" t="s">
        <v>8</v>
      </c>
      <c r="D908" t="s">
        <v>10</v>
      </c>
      <c r="E908" t="s">
        <v>17</v>
      </c>
      <c r="F908" s="20" t="str">
        <f>INDEX(nrg_cb_e!$A$3:$A$40,MATCH(LEFT(MID(B908,43,1000),SEARCH(" - ",MID(B908,43,1000))-1),nrg_cb_e!$C$3:$C$40,0))</f>
        <v>FC_OTH_HH_E</v>
      </c>
      <c r="G908">
        <v>10389</v>
      </c>
    </row>
    <row r="909" spans="1:7" x14ac:dyDescent="0.2">
      <c r="A909" t="s">
        <v>51</v>
      </c>
      <c r="B909" t="s">
        <v>76</v>
      </c>
      <c r="C909" t="s">
        <v>8</v>
      </c>
      <c r="D909" t="s">
        <v>10</v>
      </c>
      <c r="E909" t="s">
        <v>18</v>
      </c>
      <c r="F909" s="20" t="str">
        <f>INDEX(nrg_cb_e!$A$3:$A$40,MATCH(LEFT(MID(B909,43,1000),SEARCH(" - ",MID(B909,43,1000))-1),nrg_cb_e!$C$3:$C$40,0))</f>
        <v>FC_OTH_HH_E</v>
      </c>
      <c r="G909">
        <v>10400</v>
      </c>
    </row>
    <row r="910" spans="1:7" x14ac:dyDescent="0.2">
      <c r="A910" t="s">
        <v>51</v>
      </c>
      <c r="B910" t="s">
        <v>76</v>
      </c>
      <c r="C910" t="s">
        <v>8</v>
      </c>
      <c r="D910" t="s">
        <v>10</v>
      </c>
      <c r="E910" t="s">
        <v>19</v>
      </c>
      <c r="F910" s="20" t="str">
        <f>INDEX(nrg_cb_e!$A$3:$A$40,MATCH(LEFT(MID(B910,43,1000),SEARCH(" - ",MID(B910,43,1000))-1),nrg_cb_e!$C$3:$C$40,0))</f>
        <v>FC_OTH_HH_E</v>
      </c>
      <c r="G910">
        <v>11021</v>
      </c>
    </row>
    <row r="911" spans="1:7" x14ac:dyDescent="0.2">
      <c r="A911" t="s">
        <v>51</v>
      </c>
      <c r="B911" t="s">
        <v>76</v>
      </c>
      <c r="C911" t="s">
        <v>8</v>
      </c>
      <c r="D911" t="s">
        <v>10</v>
      </c>
      <c r="E911" t="s">
        <v>20</v>
      </c>
      <c r="F911" s="20" t="str">
        <f>INDEX(nrg_cb_e!$A$3:$A$40,MATCH(LEFT(MID(B911,43,1000),SEARCH(" - ",MID(B911,43,1000))-1),nrg_cb_e!$C$3:$C$40,0))</f>
        <v>FC_OTH_HH_E</v>
      </c>
      <c r="G911">
        <v>11329</v>
      </c>
    </row>
    <row r="912" spans="1:7" x14ac:dyDescent="0.2">
      <c r="A912" t="s">
        <v>51</v>
      </c>
      <c r="B912" t="s">
        <v>76</v>
      </c>
      <c r="C912" t="s">
        <v>8</v>
      </c>
      <c r="D912" t="s">
        <v>10</v>
      </c>
      <c r="E912" t="s">
        <v>21</v>
      </c>
      <c r="F912" s="20" t="str">
        <f>INDEX(nrg_cb_e!$A$3:$A$40,MATCH(LEFT(MID(B912,43,1000),SEARCH(" - ",MID(B912,43,1000))-1),nrg_cb_e!$C$3:$C$40,0))</f>
        <v>FC_OTH_HH_E</v>
      </c>
      <c r="G912">
        <v>11577</v>
      </c>
    </row>
    <row r="913" spans="1:7" x14ac:dyDescent="0.2">
      <c r="A913" t="s">
        <v>51</v>
      </c>
      <c r="B913" t="s">
        <v>76</v>
      </c>
      <c r="C913" t="s">
        <v>8</v>
      </c>
      <c r="D913" t="s">
        <v>10</v>
      </c>
      <c r="E913" t="s">
        <v>22</v>
      </c>
      <c r="F913" s="20" t="str">
        <f>INDEX(nrg_cb_e!$A$3:$A$40,MATCH(LEFT(MID(B913,43,1000),SEARCH(" - ",MID(B913,43,1000))-1),nrg_cb_e!$C$3:$C$40,0))</f>
        <v>FC_OTH_HH_E</v>
      </c>
      <c r="G913">
        <v>12035</v>
      </c>
    </row>
    <row r="914" spans="1:7" x14ac:dyDescent="0.2">
      <c r="A914" t="s">
        <v>51</v>
      </c>
      <c r="B914" t="s">
        <v>76</v>
      </c>
      <c r="C914" t="s">
        <v>8</v>
      </c>
      <c r="D914" t="s">
        <v>10</v>
      </c>
      <c r="E914" t="s">
        <v>23</v>
      </c>
      <c r="F914" s="20" t="str">
        <f>INDEX(nrg_cb_e!$A$3:$A$40,MATCH(LEFT(MID(B914,43,1000),SEARCH(" - ",MID(B914,43,1000))-1),nrg_cb_e!$C$3:$C$40,0))</f>
        <v>FC_OTH_HH_E</v>
      </c>
      <c r="G914">
        <v>11896</v>
      </c>
    </row>
    <row r="915" spans="1:7" x14ac:dyDescent="0.2">
      <c r="A915" t="s">
        <v>51</v>
      </c>
      <c r="B915" t="s">
        <v>76</v>
      </c>
      <c r="C915" t="s">
        <v>8</v>
      </c>
      <c r="D915" t="s">
        <v>10</v>
      </c>
      <c r="E915" t="s">
        <v>24</v>
      </c>
      <c r="F915" s="20" t="str">
        <f>INDEX(nrg_cb_e!$A$3:$A$40,MATCH(LEFT(MID(B915,43,1000),SEARCH(" - ",MID(B915,43,1000))-1),nrg_cb_e!$C$3:$C$40,0))</f>
        <v>FC_OTH_HH_E</v>
      </c>
      <c r="G915">
        <v>11910</v>
      </c>
    </row>
    <row r="916" spans="1:7" x14ac:dyDescent="0.2">
      <c r="A916" t="s">
        <v>51</v>
      </c>
      <c r="B916" t="s">
        <v>76</v>
      </c>
      <c r="C916" t="s">
        <v>8</v>
      </c>
      <c r="D916" t="s">
        <v>10</v>
      </c>
      <c r="E916" t="s">
        <v>25</v>
      </c>
      <c r="F916" s="20" t="str">
        <f>INDEX(nrg_cb_e!$A$3:$A$40,MATCH(LEFT(MID(B916,43,1000),SEARCH(" - ",MID(B916,43,1000))-1),nrg_cb_e!$C$3:$C$40,0))</f>
        <v>FC_OTH_HH_E</v>
      </c>
      <c r="G916">
        <v>12095</v>
      </c>
    </row>
    <row r="917" spans="1:7" x14ac:dyDescent="0.2">
      <c r="A917" t="s">
        <v>51</v>
      </c>
      <c r="B917" t="s">
        <v>76</v>
      </c>
      <c r="C917" t="s">
        <v>8</v>
      </c>
      <c r="D917" t="s">
        <v>10</v>
      </c>
      <c r="E917" t="s">
        <v>26</v>
      </c>
      <c r="F917" s="20" t="str">
        <f>INDEX(nrg_cb_e!$A$3:$A$40,MATCH(LEFT(MID(B917,43,1000),SEARCH(" - ",MID(B917,43,1000))-1),nrg_cb_e!$C$3:$C$40,0))</f>
        <v>FC_OTH_HH_E</v>
      </c>
      <c r="G917">
        <v>12067</v>
      </c>
    </row>
    <row r="918" spans="1:7" x14ac:dyDescent="0.2">
      <c r="A918" t="s">
        <v>51</v>
      </c>
      <c r="B918" t="s">
        <v>76</v>
      </c>
      <c r="C918" t="s">
        <v>8</v>
      </c>
      <c r="D918" t="s">
        <v>10</v>
      </c>
      <c r="E918" t="s">
        <v>27</v>
      </c>
      <c r="F918" s="20" t="str">
        <f>INDEX(nrg_cb_e!$A$3:$A$40,MATCH(LEFT(MID(B918,43,1000),SEARCH(" - ",MID(B918,43,1000))-1),nrg_cb_e!$C$3:$C$40,0))</f>
        <v>FC_OTH_HH_E</v>
      </c>
      <c r="G918">
        <v>12596.669</v>
      </c>
    </row>
    <row r="919" spans="1:7" x14ac:dyDescent="0.2">
      <c r="A919" t="s">
        <v>51</v>
      </c>
      <c r="B919" t="s">
        <v>76</v>
      </c>
      <c r="C919" t="s">
        <v>8</v>
      </c>
      <c r="D919" t="s">
        <v>10</v>
      </c>
      <c r="E919" t="s">
        <v>28</v>
      </c>
      <c r="F919" s="20" t="str">
        <f>INDEX(nrg_cb_e!$A$3:$A$40,MATCH(LEFT(MID(B919,43,1000),SEARCH(" - ",MID(B919,43,1000))-1),nrg_cb_e!$C$3:$C$40,0))</f>
        <v>FC_OTH_HH_E</v>
      </c>
      <c r="G919">
        <v>12779.884</v>
      </c>
    </row>
    <row r="920" spans="1:7" x14ac:dyDescent="0.2">
      <c r="A920" t="s">
        <v>52</v>
      </c>
      <c r="B920" t="s">
        <v>76</v>
      </c>
      <c r="C920" t="s">
        <v>8</v>
      </c>
      <c r="D920" t="s">
        <v>10</v>
      </c>
      <c r="E920" t="s">
        <v>12</v>
      </c>
      <c r="F920" s="20" t="str">
        <f>INDEX(nrg_cb_e!$A$3:$A$40,MATCH(LEFT(MID(B920,43,1000),SEARCH(" - ",MID(B920,43,1000))-1),nrg_cb_e!$C$3:$C$40,0))</f>
        <v>FC_OTH_HH_E</v>
      </c>
      <c r="G920">
        <v>2704</v>
      </c>
    </row>
    <row r="921" spans="1:7" x14ac:dyDescent="0.2">
      <c r="A921" t="s">
        <v>52</v>
      </c>
      <c r="B921" t="s">
        <v>76</v>
      </c>
      <c r="C921" t="s">
        <v>8</v>
      </c>
      <c r="D921" t="s">
        <v>10</v>
      </c>
      <c r="E921" t="s">
        <v>13</v>
      </c>
      <c r="F921" s="20" t="str">
        <f>INDEX(nrg_cb_e!$A$3:$A$40,MATCH(LEFT(MID(B921,43,1000),SEARCH(" - ",MID(B921,43,1000))-1),nrg_cb_e!$C$3:$C$40,0))</f>
        <v>FC_OTH_HH_E</v>
      </c>
      <c r="G921">
        <v>3008</v>
      </c>
    </row>
    <row r="922" spans="1:7" x14ac:dyDescent="0.2">
      <c r="A922" t="s">
        <v>52</v>
      </c>
      <c r="B922" t="s">
        <v>76</v>
      </c>
      <c r="C922" t="s">
        <v>8</v>
      </c>
      <c r="D922" t="s">
        <v>10</v>
      </c>
      <c r="E922" t="s">
        <v>14</v>
      </c>
      <c r="F922" s="20" t="str">
        <f>INDEX(nrg_cb_e!$A$3:$A$40,MATCH(LEFT(MID(B922,43,1000),SEARCH(" - ",MID(B922,43,1000))-1),nrg_cb_e!$C$3:$C$40,0))</f>
        <v>FC_OTH_HH_E</v>
      </c>
      <c r="G922">
        <v>3012</v>
      </c>
    </row>
    <row r="923" spans="1:7" x14ac:dyDescent="0.2">
      <c r="A923" t="s">
        <v>52</v>
      </c>
      <c r="B923" t="s">
        <v>76</v>
      </c>
      <c r="C923" t="s">
        <v>8</v>
      </c>
      <c r="D923" t="s">
        <v>10</v>
      </c>
      <c r="E923" t="s">
        <v>15</v>
      </c>
      <c r="F923" s="20" t="str">
        <f>INDEX(nrg_cb_e!$A$3:$A$40,MATCH(LEFT(MID(B923,43,1000),SEARCH(" - ",MID(B923,43,1000))-1),nrg_cb_e!$C$3:$C$40,0))</f>
        <v>FC_OTH_HH_E</v>
      </c>
      <c r="G923">
        <v>2951</v>
      </c>
    </row>
    <row r="924" spans="1:7" x14ac:dyDescent="0.2">
      <c r="A924" t="s">
        <v>52</v>
      </c>
      <c r="B924" t="s">
        <v>76</v>
      </c>
      <c r="C924" t="s">
        <v>8</v>
      </c>
      <c r="D924" t="s">
        <v>10</v>
      </c>
      <c r="E924" t="s">
        <v>16</v>
      </c>
      <c r="F924" s="20" t="str">
        <f>INDEX(nrg_cb_e!$A$3:$A$40,MATCH(LEFT(MID(B924,43,1000),SEARCH(" - ",MID(B924,43,1000))-1),nrg_cb_e!$C$3:$C$40,0))</f>
        <v>FC_OTH_HH_E</v>
      </c>
      <c r="G924">
        <v>3055</v>
      </c>
    </row>
    <row r="925" spans="1:7" x14ac:dyDescent="0.2">
      <c r="A925" t="s">
        <v>52</v>
      </c>
      <c r="B925" t="s">
        <v>76</v>
      </c>
      <c r="C925" t="s">
        <v>8</v>
      </c>
      <c r="D925" t="s">
        <v>10</v>
      </c>
      <c r="E925" t="s">
        <v>17</v>
      </c>
      <c r="F925" s="20" t="str">
        <f>INDEX(nrg_cb_e!$A$3:$A$40,MATCH(LEFT(MID(B925,43,1000),SEARCH(" - ",MID(B925,43,1000))-1),nrg_cb_e!$C$3:$C$40,0))</f>
        <v>FC_OTH_HH_E</v>
      </c>
      <c r="G925">
        <v>3021</v>
      </c>
    </row>
    <row r="926" spans="1:7" x14ac:dyDescent="0.2">
      <c r="A926" t="s">
        <v>52</v>
      </c>
      <c r="B926" t="s">
        <v>76</v>
      </c>
      <c r="C926" t="s">
        <v>8</v>
      </c>
      <c r="D926" t="s">
        <v>10</v>
      </c>
      <c r="E926" t="s">
        <v>18</v>
      </c>
      <c r="F926" s="20" t="str">
        <f>INDEX(nrg_cb_e!$A$3:$A$40,MATCH(LEFT(MID(B926,43,1000),SEARCH(" - ",MID(B926,43,1000))-1),nrg_cb_e!$C$3:$C$40,0))</f>
        <v>FC_OTH_HH_E</v>
      </c>
      <c r="G926">
        <v>3182</v>
      </c>
    </row>
    <row r="927" spans="1:7" x14ac:dyDescent="0.2">
      <c r="A927" t="s">
        <v>52</v>
      </c>
      <c r="B927" t="s">
        <v>76</v>
      </c>
      <c r="C927" t="s">
        <v>8</v>
      </c>
      <c r="D927" t="s">
        <v>10</v>
      </c>
      <c r="E927" t="s">
        <v>19</v>
      </c>
      <c r="F927" s="20" t="str">
        <f>INDEX(nrg_cb_e!$A$3:$A$40,MATCH(LEFT(MID(B927,43,1000),SEARCH(" - ",MID(B927,43,1000))-1),nrg_cb_e!$C$3:$C$40,0))</f>
        <v>FC_OTH_HH_E</v>
      </c>
      <c r="G927">
        <v>3137</v>
      </c>
    </row>
    <row r="928" spans="1:7" x14ac:dyDescent="0.2">
      <c r="A928" t="s">
        <v>52</v>
      </c>
      <c r="B928" t="s">
        <v>76</v>
      </c>
      <c r="C928" t="s">
        <v>8</v>
      </c>
      <c r="D928" t="s">
        <v>10</v>
      </c>
      <c r="E928" t="s">
        <v>20</v>
      </c>
      <c r="F928" s="20" t="str">
        <f>INDEX(nrg_cb_e!$A$3:$A$40,MATCH(LEFT(MID(B928,43,1000),SEARCH(" - ",MID(B928,43,1000))-1),nrg_cb_e!$C$3:$C$40,0))</f>
        <v>FC_OTH_HH_E</v>
      </c>
      <c r="G928">
        <v>3219</v>
      </c>
    </row>
    <row r="929" spans="1:7" x14ac:dyDescent="0.2">
      <c r="A929" t="s">
        <v>52</v>
      </c>
      <c r="B929" t="s">
        <v>76</v>
      </c>
      <c r="C929" t="s">
        <v>8</v>
      </c>
      <c r="D929" t="s">
        <v>10</v>
      </c>
      <c r="E929" t="s">
        <v>21</v>
      </c>
      <c r="F929" s="20" t="str">
        <f>INDEX(nrg_cb_e!$A$3:$A$40,MATCH(LEFT(MID(B929,43,1000),SEARCH(" - ",MID(B929,43,1000))-1),nrg_cb_e!$C$3:$C$40,0))</f>
        <v>FC_OTH_HH_E</v>
      </c>
      <c r="G929">
        <v>3211</v>
      </c>
    </row>
    <row r="930" spans="1:7" x14ac:dyDescent="0.2">
      <c r="A930" t="s">
        <v>52</v>
      </c>
      <c r="B930" t="s">
        <v>76</v>
      </c>
      <c r="C930" t="s">
        <v>8</v>
      </c>
      <c r="D930" t="s">
        <v>10</v>
      </c>
      <c r="E930" t="s">
        <v>22</v>
      </c>
      <c r="F930" s="20" t="str">
        <f>INDEX(nrg_cb_e!$A$3:$A$40,MATCH(LEFT(MID(B930,43,1000),SEARCH(" - ",MID(B930,43,1000))-1),nrg_cb_e!$C$3:$C$40,0))</f>
        <v>FC_OTH_HH_E</v>
      </c>
      <c r="G930">
        <v>3179</v>
      </c>
    </row>
    <row r="931" spans="1:7" x14ac:dyDescent="0.2">
      <c r="A931" t="s">
        <v>52</v>
      </c>
      <c r="B931" t="s">
        <v>76</v>
      </c>
      <c r="C931" t="s">
        <v>8</v>
      </c>
      <c r="D931" t="s">
        <v>10</v>
      </c>
      <c r="E931" t="s">
        <v>23</v>
      </c>
      <c r="F931" s="20" t="str">
        <f>INDEX(nrg_cb_e!$A$3:$A$40,MATCH(LEFT(MID(B931,43,1000),SEARCH(" - ",MID(B931,43,1000))-1),nrg_cb_e!$C$3:$C$40,0))</f>
        <v>FC_OTH_HH_E</v>
      </c>
      <c r="G931">
        <v>3229</v>
      </c>
    </row>
    <row r="932" spans="1:7" x14ac:dyDescent="0.2">
      <c r="A932" t="s">
        <v>52</v>
      </c>
      <c r="B932" t="s">
        <v>76</v>
      </c>
      <c r="C932" t="s">
        <v>8</v>
      </c>
      <c r="D932" t="s">
        <v>10</v>
      </c>
      <c r="E932" t="s">
        <v>24</v>
      </c>
      <c r="F932" s="20" t="str">
        <f>INDEX(nrg_cb_e!$A$3:$A$40,MATCH(LEFT(MID(B932,43,1000),SEARCH(" - ",MID(B932,43,1000))-1),nrg_cb_e!$C$3:$C$40,0))</f>
        <v>FC_OTH_HH_E</v>
      </c>
      <c r="G932">
        <v>3125</v>
      </c>
    </row>
    <row r="933" spans="1:7" x14ac:dyDescent="0.2">
      <c r="A933" t="s">
        <v>52</v>
      </c>
      <c r="B933" t="s">
        <v>76</v>
      </c>
      <c r="C933" t="s">
        <v>8</v>
      </c>
      <c r="D933" t="s">
        <v>10</v>
      </c>
      <c r="E933" t="s">
        <v>25</v>
      </c>
      <c r="F933" s="20" t="str">
        <f>INDEX(nrg_cb_e!$A$3:$A$40,MATCH(LEFT(MID(B933,43,1000),SEARCH(" - ",MID(B933,43,1000))-1),nrg_cb_e!$C$3:$C$40,0))</f>
        <v>FC_OTH_HH_E</v>
      </c>
      <c r="G933">
        <v>3205</v>
      </c>
    </row>
    <row r="934" spans="1:7" x14ac:dyDescent="0.2">
      <c r="A934" t="s">
        <v>52</v>
      </c>
      <c r="B934" t="s">
        <v>76</v>
      </c>
      <c r="C934" t="s">
        <v>8</v>
      </c>
      <c r="D934" t="s">
        <v>10</v>
      </c>
      <c r="E934" t="s">
        <v>26</v>
      </c>
      <c r="F934" s="20" t="str">
        <f>INDEX(nrg_cb_e!$A$3:$A$40,MATCH(LEFT(MID(B934,43,1000),SEARCH(" - ",MID(B934,43,1000))-1),nrg_cb_e!$C$3:$C$40,0))</f>
        <v>FC_OTH_HH_E</v>
      </c>
      <c r="G934">
        <v>3260</v>
      </c>
    </row>
    <row r="935" spans="1:7" x14ac:dyDescent="0.2">
      <c r="A935" t="s">
        <v>52</v>
      </c>
      <c r="B935" t="s">
        <v>76</v>
      </c>
      <c r="C935" t="s">
        <v>8</v>
      </c>
      <c r="D935" t="s">
        <v>10</v>
      </c>
      <c r="E935" t="s">
        <v>27</v>
      </c>
      <c r="F935" s="20" t="str">
        <f>INDEX(nrg_cb_e!$A$3:$A$40,MATCH(LEFT(MID(B935,43,1000),SEARCH(" - ",MID(B935,43,1000))-1),nrg_cb_e!$C$3:$C$40,0))</f>
        <v>FC_OTH_HH_E</v>
      </c>
      <c r="G935">
        <v>3327.0160000000001</v>
      </c>
    </row>
    <row r="936" spans="1:7" x14ac:dyDescent="0.2">
      <c r="A936" t="s">
        <v>52</v>
      </c>
      <c r="B936" t="s">
        <v>76</v>
      </c>
      <c r="C936" t="s">
        <v>8</v>
      </c>
      <c r="D936" t="s">
        <v>10</v>
      </c>
      <c r="E936" t="s">
        <v>28</v>
      </c>
      <c r="F936" s="20" t="str">
        <f>INDEX(nrg_cb_e!$A$3:$A$40,MATCH(LEFT(MID(B936,43,1000),SEARCH(" - ",MID(B936,43,1000))-1),nrg_cb_e!$C$3:$C$40,0))</f>
        <v>FC_OTH_HH_E</v>
      </c>
      <c r="G936">
        <v>3367.8139999999999</v>
      </c>
    </row>
    <row r="937" spans="1:7" x14ac:dyDescent="0.2">
      <c r="A937" t="s">
        <v>53</v>
      </c>
      <c r="B937" t="s">
        <v>76</v>
      </c>
      <c r="C937" t="s">
        <v>8</v>
      </c>
      <c r="D937" t="s">
        <v>10</v>
      </c>
      <c r="E937" t="s">
        <v>12</v>
      </c>
      <c r="F937" s="20" t="str">
        <f>INDEX(nrg_cb_e!$A$3:$A$40,MATCH(LEFT(MID(B937,43,1000),SEARCH(" - ",MID(B937,43,1000))-1),nrg_cb_e!$C$3:$C$40,0))</f>
        <v>FC_OTH_HH_E</v>
      </c>
      <c r="G937">
        <v>5157</v>
      </c>
    </row>
    <row r="938" spans="1:7" x14ac:dyDescent="0.2">
      <c r="A938" t="s">
        <v>53</v>
      </c>
      <c r="B938" t="s">
        <v>76</v>
      </c>
      <c r="C938" t="s">
        <v>8</v>
      </c>
      <c r="D938" t="s">
        <v>10</v>
      </c>
      <c r="E938" t="s">
        <v>13</v>
      </c>
      <c r="F938" s="20" t="str">
        <f>INDEX(nrg_cb_e!$A$3:$A$40,MATCH(LEFT(MID(B938,43,1000),SEARCH(" - ",MID(B938,43,1000))-1),nrg_cb_e!$C$3:$C$40,0))</f>
        <v>FC_OTH_HH_E</v>
      </c>
      <c r="G938">
        <v>5039</v>
      </c>
    </row>
    <row r="939" spans="1:7" x14ac:dyDescent="0.2">
      <c r="A939" t="s">
        <v>53</v>
      </c>
      <c r="B939" t="s">
        <v>76</v>
      </c>
      <c r="C939" t="s">
        <v>8</v>
      </c>
      <c r="D939" t="s">
        <v>10</v>
      </c>
      <c r="E939" t="s">
        <v>14</v>
      </c>
      <c r="F939" s="20" t="str">
        <f>INDEX(nrg_cb_e!$A$3:$A$40,MATCH(LEFT(MID(B939,43,1000),SEARCH(" - ",MID(B939,43,1000))-1),nrg_cb_e!$C$3:$C$40,0))</f>
        <v>FC_OTH_HH_E</v>
      </c>
      <c r="G939">
        <v>4817</v>
      </c>
    </row>
    <row r="940" spans="1:7" x14ac:dyDescent="0.2">
      <c r="A940" t="s">
        <v>53</v>
      </c>
      <c r="B940" t="s">
        <v>76</v>
      </c>
      <c r="C940" t="s">
        <v>8</v>
      </c>
      <c r="D940" t="s">
        <v>10</v>
      </c>
      <c r="E940" t="s">
        <v>15</v>
      </c>
      <c r="F940" s="20" t="str">
        <f>INDEX(nrg_cb_e!$A$3:$A$40,MATCH(LEFT(MID(B940,43,1000),SEARCH(" - ",MID(B940,43,1000))-1),nrg_cb_e!$C$3:$C$40,0))</f>
        <v>FC_OTH_HH_E</v>
      </c>
      <c r="G940">
        <v>4701</v>
      </c>
    </row>
    <row r="941" spans="1:7" x14ac:dyDescent="0.2">
      <c r="A941" t="s">
        <v>53</v>
      </c>
      <c r="B941" t="s">
        <v>76</v>
      </c>
      <c r="C941" t="s">
        <v>8</v>
      </c>
      <c r="D941" t="s">
        <v>10</v>
      </c>
      <c r="E941" t="s">
        <v>16</v>
      </c>
      <c r="F941" s="20" t="str">
        <f>INDEX(nrg_cb_e!$A$3:$A$40,MATCH(LEFT(MID(B941,43,1000),SEARCH(" - ",MID(B941,43,1000))-1),nrg_cb_e!$C$3:$C$40,0))</f>
        <v>FC_OTH_HH_E</v>
      </c>
      <c r="G941">
        <v>4577</v>
      </c>
    </row>
    <row r="942" spans="1:7" x14ac:dyDescent="0.2">
      <c r="A942" t="s">
        <v>53</v>
      </c>
      <c r="B942" t="s">
        <v>76</v>
      </c>
      <c r="C942" t="s">
        <v>8</v>
      </c>
      <c r="D942" t="s">
        <v>10</v>
      </c>
      <c r="E942" t="s">
        <v>17</v>
      </c>
      <c r="F942" s="20" t="str">
        <f>INDEX(nrg_cb_e!$A$3:$A$40,MATCH(LEFT(MID(B942,43,1000),SEARCH(" - ",MID(B942,43,1000))-1),nrg_cb_e!$C$3:$C$40,0))</f>
        <v>FC_OTH_HH_E</v>
      </c>
      <c r="G942">
        <v>4602</v>
      </c>
    </row>
    <row r="943" spans="1:7" x14ac:dyDescent="0.2">
      <c r="A943" t="s">
        <v>53</v>
      </c>
      <c r="B943" t="s">
        <v>76</v>
      </c>
      <c r="C943" t="s">
        <v>8</v>
      </c>
      <c r="D943" t="s">
        <v>10</v>
      </c>
      <c r="E943" t="s">
        <v>18</v>
      </c>
      <c r="F943" s="20" t="str">
        <f>INDEX(nrg_cb_e!$A$3:$A$40,MATCH(LEFT(MID(B943,43,1000),SEARCH(" - ",MID(B943,43,1000))-1),nrg_cb_e!$C$3:$C$40,0))</f>
        <v>FC_OTH_HH_E</v>
      </c>
      <c r="G943">
        <v>4531</v>
      </c>
    </row>
    <row r="944" spans="1:7" x14ac:dyDescent="0.2">
      <c r="A944" t="s">
        <v>53</v>
      </c>
      <c r="B944" t="s">
        <v>76</v>
      </c>
      <c r="C944" t="s">
        <v>8</v>
      </c>
      <c r="D944" t="s">
        <v>10</v>
      </c>
      <c r="E944" t="s">
        <v>19</v>
      </c>
      <c r="F944" s="20" t="str">
        <f>INDEX(nrg_cb_e!$A$3:$A$40,MATCH(LEFT(MID(B944,43,1000),SEARCH(" - ",MID(B944,43,1000))-1),nrg_cb_e!$C$3:$C$40,0))</f>
        <v>FC_OTH_HH_E</v>
      </c>
      <c r="G944">
        <v>4428</v>
      </c>
    </row>
    <row r="945" spans="1:7" x14ac:dyDescent="0.2">
      <c r="A945" t="s">
        <v>53</v>
      </c>
      <c r="B945" t="s">
        <v>76</v>
      </c>
      <c r="C945" t="s">
        <v>8</v>
      </c>
      <c r="D945" t="s">
        <v>10</v>
      </c>
      <c r="E945" t="s">
        <v>20</v>
      </c>
      <c r="F945" s="20" t="str">
        <f>INDEX(nrg_cb_e!$A$3:$A$40,MATCH(LEFT(MID(B945,43,1000),SEARCH(" - ",MID(B945,43,1000))-1),nrg_cb_e!$C$3:$C$40,0))</f>
        <v>FC_OTH_HH_E</v>
      </c>
      <c r="G945">
        <v>4370</v>
      </c>
    </row>
    <row r="946" spans="1:7" x14ac:dyDescent="0.2">
      <c r="A946" t="s">
        <v>53</v>
      </c>
      <c r="B946" t="s">
        <v>76</v>
      </c>
      <c r="C946" t="s">
        <v>8</v>
      </c>
      <c r="D946" t="s">
        <v>10</v>
      </c>
      <c r="E946" t="s">
        <v>21</v>
      </c>
      <c r="F946" s="20" t="str">
        <f>INDEX(nrg_cb_e!$A$3:$A$40,MATCH(LEFT(MID(B946,43,1000),SEARCH(" - ",MID(B946,43,1000))-1),nrg_cb_e!$C$3:$C$40,0))</f>
        <v>FC_OTH_HH_E</v>
      </c>
      <c r="G946">
        <v>4503</v>
      </c>
    </row>
    <row r="947" spans="1:7" x14ac:dyDescent="0.2">
      <c r="A947" t="s">
        <v>53</v>
      </c>
      <c r="B947" t="s">
        <v>76</v>
      </c>
      <c r="C947" t="s">
        <v>8</v>
      </c>
      <c r="D947" t="s">
        <v>10</v>
      </c>
      <c r="E947" t="s">
        <v>22</v>
      </c>
      <c r="F947" s="20" t="str">
        <f>INDEX(nrg_cb_e!$A$3:$A$40,MATCH(LEFT(MID(B947,43,1000),SEARCH(" - ",MID(B947,43,1000))-1),nrg_cb_e!$C$3:$C$40,0))</f>
        <v>FC_OTH_HH_E</v>
      </c>
      <c r="G947">
        <v>4734</v>
      </c>
    </row>
    <row r="948" spans="1:7" x14ac:dyDescent="0.2">
      <c r="A948" t="s">
        <v>53</v>
      </c>
      <c r="B948" t="s">
        <v>76</v>
      </c>
      <c r="C948" t="s">
        <v>8</v>
      </c>
      <c r="D948" t="s">
        <v>10</v>
      </c>
      <c r="E948" t="s">
        <v>23</v>
      </c>
      <c r="F948" s="20" t="str">
        <f>INDEX(nrg_cb_e!$A$3:$A$40,MATCH(LEFT(MID(B948,43,1000),SEARCH(" - ",MID(B948,43,1000))-1),nrg_cb_e!$C$3:$C$40,0))</f>
        <v>FC_OTH_HH_E</v>
      </c>
      <c r="G948">
        <v>4930</v>
      </c>
    </row>
    <row r="949" spans="1:7" x14ac:dyDescent="0.2">
      <c r="A949" t="s">
        <v>53</v>
      </c>
      <c r="B949" t="s">
        <v>76</v>
      </c>
      <c r="C949" t="s">
        <v>8</v>
      </c>
      <c r="D949" t="s">
        <v>10</v>
      </c>
      <c r="E949" t="s">
        <v>24</v>
      </c>
      <c r="F949" s="20" t="str">
        <f>INDEX(nrg_cb_e!$A$3:$A$40,MATCH(LEFT(MID(B949,43,1000),SEARCH(" - ",MID(B949,43,1000))-1),nrg_cb_e!$C$3:$C$40,0))</f>
        <v>FC_OTH_HH_E</v>
      </c>
      <c r="G949">
        <v>4917</v>
      </c>
    </row>
    <row r="950" spans="1:7" x14ac:dyDescent="0.2">
      <c r="A950" t="s">
        <v>53</v>
      </c>
      <c r="B950" t="s">
        <v>76</v>
      </c>
      <c r="C950" t="s">
        <v>8</v>
      </c>
      <c r="D950" t="s">
        <v>10</v>
      </c>
      <c r="E950" t="s">
        <v>25</v>
      </c>
      <c r="F950" s="20" t="str">
        <f>INDEX(nrg_cb_e!$A$3:$A$40,MATCH(LEFT(MID(B950,43,1000),SEARCH(" - ",MID(B950,43,1000))-1),nrg_cb_e!$C$3:$C$40,0))</f>
        <v>FC_OTH_HH_E</v>
      </c>
      <c r="G950">
        <v>5035</v>
      </c>
    </row>
    <row r="951" spans="1:7" x14ac:dyDescent="0.2">
      <c r="A951" t="s">
        <v>53</v>
      </c>
      <c r="B951" t="s">
        <v>76</v>
      </c>
      <c r="C951" t="s">
        <v>8</v>
      </c>
      <c r="D951" t="s">
        <v>10</v>
      </c>
      <c r="E951" t="s">
        <v>26</v>
      </c>
      <c r="F951" s="20" t="str">
        <f>INDEX(nrg_cb_e!$A$3:$A$40,MATCH(LEFT(MID(B951,43,1000),SEARCH(" - ",MID(B951,43,1000))-1),nrg_cb_e!$C$3:$C$40,0))</f>
        <v>FC_OTH_HH_E</v>
      </c>
      <c r="G951">
        <v>5097</v>
      </c>
    </row>
    <row r="952" spans="1:7" x14ac:dyDescent="0.2">
      <c r="A952" t="s">
        <v>53</v>
      </c>
      <c r="B952" t="s">
        <v>76</v>
      </c>
      <c r="C952" t="s">
        <v>8</v>
      </c>
      <c r="D952" t="s">
        <v>10</v>
      </c>
      <c r="E952" t="s">
        <v>27</v>
      </c>
      <c r="F952" s="20" t="str">
        <f>INDEX(nrg_cb_e!$A$3:$A$40,MATCH(LEFT(MID(B952,43,1000),SEARCH(" - ",MID(B952,43,1000))-1),nrg_cb_e!$C$3:$C$40,0))</f>
        <v>FC_OTH_HH_E</v>
      </c>
      <c r="G952">
        <v>4916</v>
      </c>
    </row>
    <row r="953" spans="1:7" x14ac:dyDescent="0.2">
      <c r="A953" t="s">
        <v>53</v>
      </c>
      <c r="B953" t="s">
        <v>76</v>
      </c>
      <c r="C953" t="s">
        <v>8</v>
      </c>
      <c r="D953" t="s">
        <v>10</v>
      </c>
      <c r="E953" t="s">
        <v>28</v>
      </c>
      <c r="F953" s="20" t="str">
        <f>INDEX(nrg_cb_e!$A$3:$A$40,MATCH(LEFT(MID(B953,43,1000),SEARCH(" - ",MID(B953,43,1000))-1),nrg_cb_e!$C$3:$C$40,0))</f>
        <v>FC_OTH_HH_E</v>
      </c>
      <c r="G953">
        <v>5095</v>
      </c>
    </row>
    <row r="954" spans="1:7" x14ac:dyDescent="0.2">
      <c r="A954" t="s">
        <v>54</v>
      </c>
      <c r="B954" t="s">
        <v>76</v>
      </c>
      <c r="C954" t="s">
        <v>8</v>
      </c>
      <c r="D954" t="s">
        <v>10</v>
      </c>
      <c r="E954" t="s">
        <v>12</v>
      </c>
      <c r="F954" s="20" t="str">
        <f>INDEX(nrg_cb_e!$A$3:$A$40,MATCH(LEFT(MID(B954,43,1000),SEARCH(" - ",MID(B954,43,1000))-1),nrg_cb_e!$C$3:$C$40,0))</f>
        <v>FC_OTH_HH_E</v>
      </c>
      <c r="G954">
        <v>19094</v>
      </c>
    </row>
    <row r="955" spans="1:7" x14ac:dyDescent="0.2">
      <c r="A955" t="s">
        <v>54</v>
      </c>
      <c r="B955" t="s">
        <v>76</v>
      </c>
      <c r="C955" t="s">
        <v>8</v>
      </c>
      <c r="D955" t="s">
        <v>10</v>
      </c>
      <c r="E955" t="s">
        <v>13</v>
      </c>
      <c r="F955" s="20" t="str">
        <f>INDEX(nrg_cb_e!$A$3:$A$40,MATCH(LEFT(MID(B955,43,1000),SEARCH(" - ",MID(B955,43,1000))-1),nrg_cb_e!$C$3:$C$40,0))</f>
        <v>FC_OTH_HH_E</v>
      </c>
      <c r="G955">
        <v>19913</v>
      </c>
    </row>
    <row r="956" spans="1:7" x14ac:dyDescent="0.2">
      <c r="A956" t="s">
        <v>54</v>
      </c>
      <c r="B956" t="s">
        <v>76</v>
      </c>
      <c r="C956" t="s">
        <v>8</v>
      </c>
      <c r="D956" t="s">
        <v>10</v>
      </c>
      <c r="E956" t="s">
        <v>14</v>
      </c>
      <c r="F956" s="20" t="str">
        <f>INDEX(nrg_cb_e!$A$3:$A$40,MATCH(LEFT(MID(B956,43,1000),SEARCH(" - ",MID(B956,43,1000))-1),nrg_cb_e!$C$3:$C$40,0))</f>
        <v>FC_OTH_HH_E</v>
      </c>
      <c r="G956">
        <v>19786</v>
      </c>
    </row>
    <row r="957" spans="1:7" x14ac:dyDescent="0.2">
      <c r="A957" t="s">
        <v>54</v>
      </c>
      <c r="B957" t="s">
        <v>76</v>
      </c>
      <c r="C957" t="s">
        <v>8</v>
      </c>
      <c r="D957" t="s">
        <v>10</v>
      </c>
      <c r="E957" t="s">
        <v>15</v>
      </c>
      <c r="F957" s="20" t="str">
        <f>INDEX(nrg_cb_e!$A$3:$A$40,MATCH(LEFT(MID(B957,43,1000),SEARCH(" - ",MID(B957,43,1000))-1),nrg_cb_e!$C$3:$C$40,0))</f>
        <v>FC_OTH_HH_E</v>
      </c>
      <c r="G957">
        <v>20271</v>
      </c>
    </row>
    <row r="958" spans="1:7" x14ac:dyDescent="0.2">
      <c r="A958" t="s">
        <v>54</v>
      </c>
      <c r="B958" t="s">
        <v>76</v>
      </c>
      <c r="C958" t="s">
        <v>8</v>
      </c>
      <c r="D958" t="s">
        <v>10</v>
      </c>
      <c r="E958" t="s">
        <v>16</v>
      </c>
      <c r="F958" s="20" t="str">
        <f>INDEX(nrg_cb_e!$A$3:$A$40,MATCH(LEFT(MID(B958,43,1000),SEARCH(" - ",MID(B958,43,1000))-1),nrg_cb_e!$C$3:$C$40,0))</f>
        <v>FC_OTH_HH_E</v>
      </c>
      <c r="G958">
        <v>20676</v>
      </c>
    </row>
    <row r="959" spans="1:7" x14ac:dyDescent="0.2">
      <c r="A959" t="s">
        <v>54</v>
      </c>
      <c r="B959" t="s">
        <v>76</v>
      </c>
      <c r="C959" t="s">
        <v>8</v>
      </c>
      <c r="D959" t="s">
        <v>10</v>
      </c>
      <c r="E959" t="s">
        <v>17</v>
      </c>
      <c r="F959" s="20" t="str">
        <f>INDEX(nrg_cb_e!$A$3:$A$40,MATCH(LEFT(MID(B959,43,1000),SEARCH(" - ",MID(B959,43,1000))-1),nrg_cb_e!$C$3:$C$40,0))</f>
        <v>FC_OTH_HH_E</v>
      </c>
      <c r="G959">
        <v>20666</v>
      </c>
    </row>
    <row r="960" spans="1:7" x14ac:dyDescent="0.2">
      <c r="A960" t="s">
        <v>54</v>
      </c>
      <c r="B960" t="s">
        <v>76</v>
      </c>
      <c r="C960" t="s">
        <v>8</v>
      </c>
      <c r="D960" t="s">
        <v>10</v>
      </c>
      <c r="E960" t="s">
        <v>18</v>
      </c>
      <c r="F960" s="20" t="str">
        <f>INDEX(nrg_cb_e!$A$3:$A$40,MATCH(LEFT(MID(B960,43,1000),SEARCH(" - ",MID(B960,43,1000))-1),nrg_cb_e!$C$3:$C$40,0))</f>
        <v>FC_OTH_HH_E</v>
      </c>
      <c r="G960">
        <v>20395</v>
      </c>
    </row>
    <row r="961" spans="1:7" x14ac:dyDescent="0.2">
      <c r="A961" t="s">
        <v>54</v>
      </c>
      <c r="B961" t="s">
        <v>76</v>
      </c>
      <c r="C961" t="s">
        <v>8</v>
      </c>
      <c r="D961" t="s">
        <v>10</v>
      </c>
      <c r="E961" t="s">
        <v>19</v>
      </c>
      <c r="F961" s="20" t="str">
        <f>INDEX(nrg_cb_e!$A$3:$A$40,MATCH(LEFT(MID(B961,43,1000),SEARCH(" - ",MID(B961,43,1000))-1),nrg_cb_e!$C$3:$C$40,0))</f>
        <v>FC_OTH_HH_E</v>
      </c>
      <c r="G961">
        <v>21346</v>
      </c>
    </row>
    <row r="962" spans="1:7" x14ac:dyDescent="0.2">
      <c r="A962" t="s">
        <v>54</v>
      </c>
      <c r="B962" t="s">
        <v>76</v>
      </c>
      <c r="C962" t="s">
        <v>8</v>
      </c>
      <c r="D962" t="s">
        <v>10</v>
      </c>
      <c r="E962" t="s">
        <v>20</v>
      </c>
      <c r="F962" s="20" t="str">
        <f>INDEX(nrg_cb_e!$A$3:$A$40,MATCH(LEFT(MID(B962,43,1000),SEARCH(" - ",MID(B962,43,1000))-1),nrg_cb_e!$C$3:$C$40,0))</f>
        <v>FC_OTH_HH_E</v>
      </c>
      <c r="G962">
        <v>22904</v>
      </c>
    </row>
    <row r="963" spans="1:7" x14ac:dyDescent="0.2">
      <c r="A963" t="s">
        <v>54</v>
      </c>
      <c r="B963" t="s">
        <v>76</v>
      </c>
      <c r="C963" t="s">
        <v>8</v>
      </c>
      <c r="D963" t="s">
        <v>10</v>
      </c>
      <c r="E963" t="s">
        <v>21</v>
      </c>
      <c r="F963" s="20" t="str">
        <f>INDEX(nrg_cb_e!$A$3:$A$40,MATCH(LEFT(MID(B963,43,1000),SEARCH(" - ",MID(B963,43,1000))-1),nrg_cb_e!$C$3:$C$40,0))</f>
        <v>FC_OTH_HH_E</v>
      </c>
      <c r="G963">
        <v>21426</v>
      </c>
    </row>
    <row r="964" spans="1:7" x14ac:dyDescent="0.2">
      <c r="A964" t="s">
        <v>54</v>
      </c>
      <c r="B964" t="s">
        <v>76</v>
      </c>
      <c r="C964" t="s">
        <v>8</v>
      </c>
      <c r="D964" t="s">
        <v>10</v>
      </c>
      <c r="E964" t="s">
        <v>22</v>
      </c>
      <c r="F964" s="20" t="str">
        <f>INDEX(nrg_cb_e!$A$3:$A$40,MATCH(LEFT(MID(B964,43,1000),SEARCH(" - ",MID(B964,43,1000))-1),nrg_cb_e!$C$3:$C$40,0))</f>
        <v>FC_OTH_HH_E</v>
      </c>
      <c r="G964">
        <v>22382</v>
      </c>
    </row>
    <row r="965" spans="1:7" x14ac:dyDescent="0.2">
      <c r="A965" t="s">
        <v>54</v>
      </c>
      <c r="B965" t="s">
        <v>76</v>
      </c>
      <c r="C965" t="s">
        <v>8</v>
      </c>
      <c r="D965" t="s">
        <v>10</v>
      </c>
      <c r="E965" t="s">
        <v>23</v>
      </c>
      <c r="F965" s="20" t="str">
        <f>INDEX(nrg_cb_e!$A$3:$A$40,MATCH(LEFT(MID(B965,43,1000),SEARCH(" - ",MID(B965,43,1000))-1),nrg_cb_e!$C$3:$C$40,0))</f>
        <v>FC_OTH_HH_E</v>
      </c>
      <c r="G965">
        <v>21510</v>
      </c>
    </row>
    <row r="966" spans="1:7" x14ac:dyDescent="0.2">
      <c r="A966" t="s">
        <v>54</v>
      </c>
      <c r="B966" t="s">
        <v>76</v>
      </c>
      <c r="C966" t="s">
        <v>8</v>
      </c>
      <c r="D966" t="s">
        <v>10</v>
      </c>
      <c r="E966" t="s">
        <v>24</v>
      </c>
      <c r="F966" s="20" t="str">
        <f>INDEX(nrg_cb_e!$A$3:$A$40,MATCH(LEFT(MID(B966,43,1000),SEARCH(" - ",MID(B966,43,1000))-1),nrg_cb_e!$C$3:$C$40,0))</f>
        <v>FC_OTH_HH_E</v>
      </c>
      <c r="G966">
        <v>21264</v>
      </c>
    </row>
    <row r="967" spans="1:7" x14ac:dyDescent="0.2">
      <c r="A967" t="s">
        <v>54</v>
      </c>
      <c r="B967" t="s">
        <v>76</v>
      </c>
      <c r="C967" t="s">
        <v>8</v>
      </c>
      <c r="D967" t="s">
        <v>10</v>
      </c>
      <c r="E967" t="s">
        <v>25</v>
      </c>
      <c r="F967" s="20" t="str">
        <f>INDEX(nrg_cb_e!$A$3:$A$40,MATCH(LEFT(MID(B967,43,1000),SEARCH(" - ",MID(B967,43,1000))-1),nrg_cb_e!$C$3:$C$40,0))</f>
        <v>FC_OTH_HH_E</v>
      </c>
      <c r="G967">
        <v>20918</v>
      </c>
    </row>
    <row r="968" spans="1:7" x14ac:dyDescent="0.2">
      <c r="A968" t="s">
        <v>54</v>
      </c>
      <c r="B968" t="s">
        <v>76</v>
      </c>
      <c r="C968" t="s">
        <v>8</v>
      </c>
      <c r="D968" t="s">
        <v>10</v>
      </c>
      <c r="E968" t="s">
        <v>26</v>
      </c>
      <c r="F968" s="20" t="str">
        <f>INDEX(nrg_cb_e!$A$3:$A$40,MATCH(LEFT(MID(B968,43,1000),SEARCH(" - ",MID(B968,43,1000))-1),nrg_cb_e!$C$3:$C$40,0))</f>
        <v>FC_OTH_HH_E</v>
      </c>
      <c r="G968">
        <v>22518</v>
      </c>
    </row>
    <row r="969" spans="1:7" x14ac:dyDescent="0.2">
      <c r="A969" t="s">
        <v>54</v>
      </c>
      <c r="B969" t="s">
        <v>76</v>
      </c>
      <c r="C969" t="s">
        <v>8</v>
      </c>
      <c r="D969" t="s">
        <v>10</v>
      </c>
      <c r="E969" t="s">
        <v>27</v>
      </c>
      <c r="F969" s="20" t="str">
        <f>INDEX(nrg_cb_e!$A$3:$A$40,MATCH(LEFT(MID(B969,43,1000),SEARCH(" - ",MID(B969,43,1000))-1),nrg_cb_e!$C$3:$C$40,0))</f>
        <v>FC_OTH_HH_E</v>
      </c>
      <c r="G969">
        <v>22512</v>
      </c>
    </row>
    <row r="970" spans="1:7" x14ac:dyDescent="0.2">
      <c r="A970" t="s">
        <v>54</v>
      </c>
      <c r="B970" t="s">
        <v>76</v>
      </c>
      <c r="C970" t="s">
        <v>8</v>
      </c>
      <c r="D970" t="s">
        <v>10</v>
      </c>
      <c r="E970" t="s">
        <v>28</v>
      </c>
      <c r="F970" s="20" t="str">
        <f>INDEX(nrg_cb_e!$A$3:$A$40,MATCH(LEFT(MID(B970,43,1000),SEARCH(" - ",MID(B970,43,1000))-1),nrg_cb_e!$C$3:$C$40,0))</f>
        <v>FC_OTH_HH_E</v>
      </c>
      <c r="G970">
        <v>22731</v>
      </c>
    </row>
    <row r="971" spans="1:7" x14ac:dyDescent="0.2">
      <c r="A971" t="s">
        <v>55</v>
      </c>
      <c r="B971" t="s">
        <v>76</v>
      </c>
      <c r="C971" t="s">
        <v>8</v>
      </c>
      <c r="D971" t="s">
        <v>10</v>
      </c>
      <c r="E971" t="s">
        <v>12</v>
      </c>
      <c r="F971" s="20" t="str">
        <f>INDEX(nrg_cb_e!$A$3:$A$40,MATCH(LEFT(MID(B971,43,1000),SEARCH(" - ",MID(B971,43,1000))-1),nrg_cb_e!$C$3:$C$40,0))</f>
        <v>FC_OTH_HH_E</v>
      </c>
      <c r="G971">
        <v>41473</v>
      </c>
    </row>
    <row r="972" spans="1:7" x14ac:dyDescent="0.2">
      <c r="A972" t="s">
        <v>55</v>
      </c>
      <c r="B972" t="s">
        <v>76</v>
      </c>
      <c r="C972" t="s">
        <v>8</v>
      </c>
      <c r="D972" t="s">
        <v>10</v>
      </c>
      <c r="E972" t="s">
        <v>13</v>
      </c>
      <c r="F972" s="20" t="str">
        <f>INDEX(nrg_cb_e!$A$3:$A$40,MATCH(LEFT(MID(B972,43,1000),SEARCH(" - ",MID(B972,43,1000))-1),nrg_cb_e!$C$3:$C$40,0))</f>
        <v>FC_OTH_HH_E</v>
      </c>
      <c r="G972">
        <v>41998</v>
      </c>
    </row>
    <row r="973" spans="1:7" x14ac:dyDescent="0.2">
      <c r="A973" t="s">
        <v>55</v>
      </c>
      <c r="B973" t="s">
        <v>76</v>
      </c>
      <c r="C973" t="s">
        <v>8</v>
      </c>
      <c r="D973" t="s">
        <v>10</v>
      </c>
      <c r="E973" t="s">
        <v>14</v>
      </c>
      <c r="F973" s="20" t="str">
        <f>INDEX(nrg_cb_e!$A$3:$A$40,MATCH(LEFT(MID(B973,43,1000),SEARCH(" - ",MID(B973,43,1000))-1),nrg_cb_e!$C$3:$C$40,0))</f>
        <v>FC_OTH_HH_E</v>
      </c>
      <c r="G973">
        <v>41375</v>
      </c>
    </row>
    <row r="974" spans="1:7" x14ac:dyDescent="0.2">
      <c r="A974" t="s">
        <v>55</v>
      </c>
      <c r="B974" t="s">
        <v>76</v>
      </c>
      <c r="C974" t="s">
        <v>8</v>
      </c>
      <c r="D974" t="s">
        <v>10</v>
      </c>
      <c r="E974" t="s">
        <v>15</v>
      </c>
      <c r="F974" s="20" t="str">
        <f>INDEX(nrg_cb_e!$A$3:$A$40,MATCH(LEFT(MID(B974,43,1000),SEARCH(" - ",MID(B974,43,1000))-1),nrg_cb_e!$C$3:$C$40,0))</f>
        <v>FC_OTH_HH_E</v>
      </c>
      <c r="G974">
        <v>42663</v>
      </c>
    </row>
    <row r="975" spans="1:7" x14ac:dyDescent="0.2">
      <c r="A975" t="s">
        <v>55</v>
      </c>
      <c r="B975" t="s">
        <v>76</v>
      </c>
      <c r="C975" t="s">
        <v>8</v>
      </c>
      <c r="D975" t="s">
        <v>10</v>
      </c>
      <c r="E975" t="s">
        <v>16</v>
      </c>
      <c r="F975" s="20" t="str">
        <f>INDEX(nrg_cb_e!$A$3:$A$40,MATCH(LEFT(MID(B975,43,1000),SEARCH(" - ",MID(B975,43,1000))-1),nrg_cb_e!$C$3:$C$40,0))</f>
        <v>FC_OTH_HH_E</v>
      </c>
      <c r="G975">
        <v>41490</v>
      </c>
    </row>
    <row r="976" spans="1:7" x14ac:dyDescent="0.2">
      <c r="A976" t="s">
        <v>55</v>
      </c>
      <c r="B976" t="s">
        <v>76</v>
      </c>
      <c r="C976" t="s">
        <v>8</v>
      </c>
      <c r="D976" t="s">
        <v>10</v>
      </c>
      <c r="E976" t="s">
        <v>17</v>
      </c>
      <c r="F976" s="20" t="str">
        <f>INDEX(nrg_cb_e!$A$3:$A$40,MATCH(LEFT(MID(B976,43,1000),SEARCH(" - ",MID(B976,43,1000))-1),nrg_cb_e!$C$3:$C$40,0))</f>
        <v>FC_OTH_HH_E</v>
      </c>
      <c r="G976">
        <v>39638</v>
      </c>
    </row>
    <row r="977" spans="1:7" x14ac:dyDescent="0.2">
      <c r="A977" t="s">
        <v>55</v>
      </c>
      <c r="B977" t="s">
        <v>76</v>
      </c>
      <c r="C977" t="s">
        <v>8</v>
      </c>
      <c r="D977" t="s">
        <v>10</v>
      </c>
      <c r="E977" t="s">
        <v>18</v>
      </c>
      <c r="F977" s="20" t="str">
        <f>INDEX(nrg_cb_e!$A$3:$A$40,MATCH(LEFT(MID(B977,43,1000),SEARCH(" - ",MID(B977,43,1000))-1),nrg_cb_e!$C$3:$C$40,0))</f>
        <v>FC_OTH_HH_E</v>
      </c>
      <c r="G977">
        <v>38929</v>
      </c>
    </row>
    <row r="978" spans="1:7" x14ac:dyDescent="0.2">
      <c r="A978" t="s">
        <v>55</v>
      </c>
      <c r="B978" t="s">
        <v>76</v>
      </c>
      <c r="C978" t="s">
        <v>8</v>
      </c>
      <c r="D978" t="s">
        <v>10</v>
      </c>
      <c r="E978" t="s">
        <v>19</v>
      </c>
      <c r="F978" s="20" t="str">
        <f>INDEX(nrg_cb_e!$A$3:$A$40,MATCH(LEFT(MID(B978,43,1000),SEARCH(" - ",MID(B978,43,1000))-1),nrg_cb_e!$C$3:$C$40,0))</f>
        <v>FC_OTH_HH_E</v>
      </c>
      <c r="G978">
        <v>40946</v>
      </c>
    </row>
    <row r="979" spans="1:7" x14ac:dyDescent="0.2">
      <c r="A979" t="s">
        <v>55</v>
      </c>
      <c r="B979" t="s">
        <v>76</v>
      </c>
      <c r="C979" t="s">
        <v>8</v>
      </c>
      <c r="D979" t="s">
        <v>10</v>
      </c>
      <c r="E979" t="s">
        <v>20</v>
      </c>
      <c r="F979" s="20" t="str">
        <f>INDEX(nrg_cb_e!$A$3:$A$40,MATCH(LEFT(MID(B979,43,1000),SEARCH(" - ",MID(B979,43,1000))-1),nrg_cb_e!$C$3:$C$40,0))</f>
        <v>FC_OTH_HH_E</v>
      </c>
      <c r="G979">
        <v>45982</v>
      </c>
    </row>
    <row r="980" spans="1:7" x14ac:dyDescent="0.2">
      <c r="A980" t="s">
        <v>55</v>
      </c>
      <c r="B980" t="s">
        <v>76</v>
      </c>
      <c r="C980" t="s">
        <v>8</v>
      </c>
      <c r="D980" t="s">
        <v>10</v>
      </c>
      <c r="E980" t="s">
        <v>21</v>
      </c>
      <c r="F980" s="20" t="str">
        <f>INDEX(nrg_cb_e!$A$3:$A$40,MATCH(LEFT(MID(B980,43,1000),SEARCH(" - ",MID(B980,43,1000))-1),nrg_cb_e!$C$3:$C$40,0))</f>
        <v>FC_OTH_HH_E</v>
      </c>
      <c r="G980">
        <v>42354</v>
      </c>
    </row>
    <row r="981" spans="1:7" x14ac:dyDescent="0.2">
      <c r="A981" t="s">
        <v>55</v>
      </c>
      <c r="B981" t="s">
        <v>76</v>
      </c>
      <c r="C981" t="s">
        <v>8</v>
      </c>
      <c r="D981" t="s">
        <v>10</v>
      </c>
      <c r="E981" t="s">
        <v>22</v>
      </c>
      <c r="F981" s="20" t="str">
        <f>INDEX(nrg_cb_e!$A$3:$A$40,MATCH(LEFT(MID(B981,43,1000),SEARCH(" - ",MID(B981,43,1000))-1),nrg_cb_e!$C$3:$C$40,0))</f>
        <v>FC_OTH_HH_E</v>
      </c>
      <c r="G981">
        <v>43909</v>
      </c>
    </row>
    <row r="982" spans="1:7" x14ac:dyDescent="0.2">
      <c r="A982" t="s">
        <v>55</v>
      </c>
      <c r="B982" t="s">
        <v>76</v>
      </c>
      <c r="C982" t="s">
        <v>8</v>
      </c>
      <c r="D982" t="s">
        <v>10</v>
      </c>
      <c r="E982" t="s">
        <v>23</v>
      </c>
      <c r="F982" s="20" t="str">
        <f>INDEX(nrg_cb_e!$A$3:$A$40,MATCH(LEFT(MID(B982,43,1000),SEARCH(" - ",MID(B982,43,1000))-1),nrg_cb_e!$C$3:$C$40,0))</f>
        <v>FC_OTH_HH_E</v>
      </c>
      <c r="G982">
        <v>43504</v>
      </c>
    </row>
    <row r="983" spans="1:7" x14ac:dyDescent="0.2">
      <c r="A983" t="s">
        <v>55</v>
      </c>
      <c r="B983" t="s">
        <v>76</v>
      </c>
      <c r="C983" t="s">
        <v>8</v>
      </c>
      <c r="D983" t="s">
        <v>10</v>
      </c>
      <c r="E983" t="s">
        <v>24</v>
      </c>
      <c r="F983" s="20" t="str">
        <f>INDEX(nrg_cb_e!$A$3:$A$40,MATCH(LEFT(MID(B983,43,1000),SEARCH(" - ",MID(B983,43,1000))-1),nrg_cb_e!$C$3:$C$40,0))</f>
        <v>FC_OTH_HH_E</v>
      </c>
      <c r="G983">
        <v>41300</v>
      </c>
    </row>
    <row r="984" spans="1:7" x14ac:dyDescent="0.2">
      <c r="A984" t="s">
        <v>55</v>
      </c>
      <c r="B984" t="s">
        <v>76</v>
      </c>
      <c r="C984" t="s">
        <v>8</v>
      </c>
      <c r="D984" t="s">
        <v>10</v>
      </c>
      <c r="E984" t="s">
        <v>25</v>
      </c>
      <c r="F984" s="20" t="str">
        <f>INDEX(nrg_cb_e!$A$3:$A$40,MATCH(LEFT(MID(B984,43,1000),SEARCH(" - ",MID(B984,43,1000))-1),nrg_cb_e!$C$3:$C$40,0))</f>
        <v>FC_OTH_HH_E</v>
      </c>
      <c r="G984">
        <v>42987</v>
      </c>
    </row>
    <row r="985" spans="1:7" x14ac:dyDescent="0.2">
      <c r="A985" t="s">
        <v>55</v>
      </c>
      <c r="B985" t="s">
        <v>76</v>
      </c>
      <c r="C985" t="s">
        <v>8</v>
      </c>
      <c r="D985" t="s">
        <v>10</v>
      </c>
      <c r="E985" t="s">
        <v>26</v>
      </c>
      <c r="F985" s="20" t="str">
        <f>INDEX(nrg_cb_e!$A$3:$A$40,MATCH(LEFT(MID(B985,43,1000),SEARCH(" - ",MID(B985,43,1000))-1),nrg_cb_e!$C$3:$C$40,0))</f>
        <v>FC_OTH_HH_E</v>
      </c>
      <c r="G985">
        <v>44519</v>
      </c>
    </row>
    <row r="986" spans="1:7" x14ac:dyDescent="0.2">
      <c r="A986" t="s">
        <v>55</v>
      </c>
      <c r="B986" t="s">
        <v>76</v>
      </c>
      <c r="C986" t="s">
        <v>8</v>
      </c>
      <c r="D986" t="s">
        <v>10</v>
      </c>
      <c r="E986" t="s">
        <v>27</v>
      </c>
      <c r="F986" s="20" t="str">
        <f>INDEX(nrg_cb_e!$A$3:$A$40,MATCH(LEFT(MID(B986,43,1000),SEARCH(" - ",MID(B986,43,1000))-1),nrg_cb_e!$C$3:$C$40,0))</f>
        <v>FC_OTH_HH_E</v>
      </c>
      <c r="G986">
        <v>45132</v>
      </c>
    </row>
    <row r="987" spans="1:7" x14ac:dyDescent="0.2">
      <c r="A987" t="s">
        <v>55</v>
      </c>
      <c r="B987" t="s">
        <v>76</v>
      </c>
      <c r="C987" t="s">
        <v>8</v>
      </c>
      <c r="D987" t="s">
        <v>10</v>
      </c>
      <c r="E987" t="s">
        <v>28</v>
      </c>
      <c r="F987" s="20" t="str">
        <f>INDEX(nrg_cb_e!$A$3:$A$40,MATCH(LEFT(MID(B987,43,1000),SEARCH(" - ",MID(B987,43,1000))-1),nrg_cb_e!$C$3:$C$40,0))</f>
        <v>FC_OTH_HH_E</v>
      </c>
      <c r="G987">
        <v>45068</v>
      </c>
    </row>
    <row r="988" spans="1:7" x14ac:dyDescent="0.2">
      <c r="A988" t="s">
        <v>56</v>
      </c>
      <c r="B988" t="s">
        <v>76</v>
      </c>
      <c r="C988" t="s">
        <v>8</v>
      </c>
      <c r="D988" t="s">
        <v>10</v>
      </c>
      <c r="E988" t="s">
        <v>12</v>
      </c>
      <c r="F988" s="20" t="str">
        <f>INDEX(nrg_cb_e!$A$3:$A$40,MATCH(LEFT(MID(B988,43,1000),SEARCH(" - ",MID(B988,43,1000))-1),nrg_cb_e!$C$3:$C$40,0))</f>
        <v>FC_OTH_HH_E</v>
      </c>
      <c r="G988">
        <v>114534</v>
      </c>
    </row>
    <row r="989" spans="1:7" x14ac:dyDescent="0.2">
      <c r="A989" t="s">
        <v>56</v>
      </c>
      <c r="B989" t="s">
        <v>76</v>
      </c>
      <c r="C989" t="s">
        <v>8</v>
      </c>
      <c r="D989" t="s">
        <v>10</v>
      </c>
      <c r="E989" t="s">
        <v>13</v>
      </c>
      <c r="F989" s="20" t="str">
        <f>INDEX(nrg_cb_e!$A$3:$A$40,MATCH(LEFT(MID(B989,43,1000),SEARCH(" - ",MID(B989,43,1000))-1),nrg_cb_e!$C$3:$C$40,0))</f>
        <v>FC_OTH_HH_E</v>
      </c>
      <c r="G989">
        <v>123001</v>
      </c>
    </row>
    <row r="990" spans="1:7" x14ac:dyDescent="0.2">
      <c r="A990" t="s">
        <v>56</v>
      </c>
      <c r="B990" t="s">
        <v>76</v>
      </c>
      <c r="C990" t="s">
        <v>8</v>
      </c>
      <c r="D990" t="s">
        <v>10</v>
      </c>
      <c r="E990" t="s">
        <v>14</v>
      </c>
      <c r="F990" s="20" t="str">
        <f>INDEX(nrg_cb_e!$A$3:$A$40,MATCH(LEFT(MID(B990,43,1000),SEARCH(" - ",MID(B990,43,1000))-1),nrg_cb_e!$C$3:$C$40,0))</f>
        <v>FC_OTH_HH_E</v>
      </c>
      <c r="G990">
        <v>124200</v>
      </c>
    </row>
    <row r="991" spans="1:7" x14ac:dyDescent="0.2">
      <c r="A991" t="s">
        <v>56</v>
      </c>
      <c r="B991" t="s">
        <v>76</v>
      </c>
      <c r="C991" t="s">
        <v>8</v>
      </c>
      <c r="D991" t="s">
        <v>10</v>
      </c>
      <c r="E991" t="s">
        <v>15</v>
      </c>
      <c r="F991" s="20" t="str">
        <f>INDEX(nrg_cb_e!$A$3:$A$40,MATCH(LEFT(MID(B991,43,1000),SEARCH(" - ",MID(B991,43,1000))-1),nrg_cb_e!$C$3:$C$40,0))</f>
        <v>FC_OTH_HH_E</v>
      </c>
      <c r="G991">
        <v>125711</v>
      </c>
    </row>
    <row r="992" spans="1:7" x14ac:dyDescent="0.2">
      <c r="A992" t="s">
        <v>56</v>
      </c>
      <c r="B992" t="s">
        <v>76</v>
      </c>
      <c r="C992" t="s">
        <v>8</v>
      </c>
      <c r="D992" t="s">
        <v>10</v>
      </c>
      <c r="E992" t="s">
        <v>16</v>
      </c>
      <c r="F992" s="20" t="str">
        <f>INDEX(nrg_cb_e!$A$3:$A$40,MATCH(LEFT(MID(B992,43,1000),SEARCH(" - ",MID(B992,43,1000))-1),nrg_cb_e!$C$3:$C$40,0))</f>
        <v>FC_OTH_HH_E</v>
      </c>
      <c r="G992">
        <v>124704</v>
      </c>
    </row>
    <row r="993" spans="1:7" x14ac:dyDescent="0.2">
      <c r="A993" t="s">
        <v>56</v>
      </c>
      <c r="B993" t="s">
        <v>76</v>
      </c>
      <c r="C993" t="s">
        <v>8</v>
      </c>
      <c r="D993" t="s">
        <v>10</v>
      </c>
      <c r="E993" t="s">
        <v>17</v>
      </c>
      <c r="F993" s="20" t="str">
        <f>INDEX(nrg_cb_e!$A$3:$A$40,MATCH(LEFT(MID(B993,43,1000),SEARCH(" - ",MID(B993,43,1000))-1),nrg_cb_e!$C$3:$C$40,0))</f>
        <v>FC_OTH_HH_E</v>
      </c>
      <c r="G993">
        <v>123076</v>
      </c>
    </row>
    <row r="994" spans="1:7" x14ac:dyDescent="0.2">
      <c r="A994" t="s">
        <v>56</v>
      </c>
      <c r="B994" t="s">
        <v>76</v>
      </c>
      <c r="C994" t="s">
        <v>8</v>
      </c>
      <c r="D994" t="s">
        <v>10</v>
      </c>
      <c r="E994" t="s">
        <v>18</v>
      </c>
      <c r="F994" s="20" t="str">
        <f>INDEX(nrg_cb_e!$A$3:$A$40,MATCH(LEFT(MID(B994,43,1000),SEARCH(" - ",MID(B994,43,1000))-1),nrg_cb_e!$C$3:$C$40,0))</f>
        <v>FC_OTH_HH_E</v>
      </c>
      <c r="G994">
        <v>119800</v>
      </c>
    </row>
    <row r="995" spans="1:7" x14ac:dyDescent="0.2">
      <c r="A995" t="s">
        <v>56</v>
      </c>
      <c r="B995" t="s">
        <v>76</v>
      </c>
      <c r="C995" t="s">
        <v>8</v>
      </c>
      <c r="D995" t="s">
        <v>10</v>
      </c>
      <c r="E995" t="s">
        <v>19</v>
      </c>
      <c r="F995" s="20" t="str">
        <f>INDEX(nrg_cb_e!$A$3:$A$40,MATCH(LEFT(MID(B995,43,1000),SEARCH(" - ",MID(B995,43,1000))-1),nrg_cb_e!$C$3:$C$40,0))</f>
        <v>FC_OTH_HH_E</v>
      </c>
      <c r="G995">
        <v>118541</v>
      </c>
    </row>
    <row r="996" spans="1:7" x14ac:dyDescent="0.2">
      <c r="A996" t="s">
        <v>56</v>
      </c>
      <c r="B996" t="s">
        <v>76</v>
      </c>
      <c r="C996" t="s">
        <v>8</v>
      </c>
      <c r="D996" t="s">
        <v>10</v>
      </c>
      <c r="E996" t="s">
        <v>20</v>
      </c>
      <c r="F996" s="20" t="str">
        <f>INDEX(nrg_cb_e!$A$3:$A$40,MATCH(LEFT(MID(B996,43,1000),SEARCH(" - ",MID(B996,43,1000))-1),nrg_cb_e!$C$3:$C$40,0))</f>
        <v>FC_OTH_HH_E</v>
      </c>
      <c r="G996">
        <v>118832</v>
      </c>
    </row>
    <row r="997" spans="1:7" x14ac:dyDescent="0.2">
      <c r="A997" t="s">
        <v>56</v>
      </c>
      <c r="B997" t="s">
        <v>76</v>
      </c>
      <c r="C997" t="s">
        <v>8</v>
      </c>
      <c r="D997" t="s">
        <v>10</v>
      </c>
      <c r="E997" t="s">
        <v>21</v>
      </c>
      <c r="F997" s="20" t="str">
        <f>INDEX(nrg_cb_e!$A$3:$A$40,MATCH(LEFT(MID(B997,43,1000),SEARCH(" - ",MID(B997,43,1000))-1),nrg_cb_e!$C$3:$C$40,0))</f>
        <v>FC_OTH_HH_E</v>
      </c>
      <c r="G997">
        <v>111586</v>
      </c>
    </row>
    <row r="998" spans="1:7" x14ac:dyDescent="0.2">
      <c r="A998" t="s">
        <v>56</v>
      </c>
      <c r="B998" t="s">
        <v>76</v>
      </c>
      <c r="C998" t="s">
        <v>8</v>
      </c>
      <c r="D998" t="s">
        <v>10</v>
      </c>
      <c r="E998" t="s">
        <v>22</v>
      </c>
      <c r="F998" s="20" t="str">
        <f>INDEX(nrg_cb_e!$A$3:$A$40,MATCH(LEFT(MID(B998,43,1000),SEARCH(" - ",MID(B998,43,1000))-1),nrg_cb_e!$C$3:$C$40,0))</f>
        <v>FC_OTH_HH_E</v>
      </c>
      <c r="G998">
        <v>114663</v>
      </c>
    </row>
    <row r="999" spans="1:7" x14ac:dyDescent="0.2">
      <c r="A999" t="s">
        <v>56</v>
      </c>
      <c r="B999" t="s">
        <v>76</v>
      </c>
      <c r="C999" t="s">
        <v>8</v>
      </c>
      <c r="D999" t="s">
        <v>10</v>
      </c>
      <c r="E999" t="s">
        <v>23</v>
      </c>
      <c r="F999" s="20" t="str">
        <f>INDEX(nrg_cb_e!$A$3:$A$40,MATCH(LEFT(MID(B999,43,1000),SEARCH(" - ",MID(B999,43,1000))-1),nrg_cb_e!$C$3:$C$40,0))</f>
        <v>FC_OTH_HH_E</v>
      </c>
      <c r="G999">
        <v>113412</v>
      </c>
    </row>
    <row r="1000" spans="1:7" x14ac:dyDescent="0.2">
      <c r="A1000" t="s">
        <v>56</v>
      </c>
      <c r="B1000" t="s">
        <v>76</v>
      </c>
      <c r="C1000" t="s">
        <v>8</v>
      </c>
      <c r="D1000" t="s">
        <v>10</v>
      </c>
      <c r="E1000" t="s">
        <v>24</v>
      </c>
      <c r="F1000" s="20" t="str">
        <f>INDEX(nrg_cb_e!$A$3:$A$40,MATCH(LEFT(MID(B1000,43,1000),SEARCH(" - ",MID(B1000,43,1000))-1),nrg_cb_e!$C$3:$C$40,0))</f>
        <v>FC_OTH_HH_E</v>
      </c>
      <c r="G1000">
        <v>108076</v>
      </c>
    </row>
    <row r="1001" spans="1:7" x14ac:dyDescent="0.2">
      <c r="A1001" t="s">
        <v>56</v>
      </c>
      <c r="B1001" t="s">
        <v>76</v>
      </c>
      <c r="C1001" t="s">
        <v>8</v>
      </c>
      <c r="D1001" t="s">
        <v>10</v>
      </c>
      <c r="E1001" t="s">
        <v>25</v>
      </c>
      <c r="F1001" s="20" t="str">
        <f>INDEX(nrg_cb_e!$A$3:$A$40,MATCH(LEFT(MID(B1001,43,1000),SEARCH(" - ",MID(B1001,43,1000))-1),nrg_cb_e!$C$3:$C$40,0))</f>
        <v>FC_OTH_HH_E</v>
      </c>
      <c r="G1001">
        <v>107763.848</v>
      </c>
    </row>
    <row r="1002" spans="1:7" x14ac:dyDescent="0.2">
      <c r="A1002" t="s">
        <v>56</v>
      </c>
      <c r="B1002" t="s">
        <v>76</v>
      </c>
      <c r="C1002" t="s">
        <v>8</v>
      </c>
      <c r="D1002" t="s">
        <v>10</v>
      </c>
      <c r="E1002" t="s">
        <v>26</v>
      </c>
      <c r="F1002" s="20" t="str">
        <f>INDEX(nrg_cb_e!$A$3:$A$40,MATCH(LEFT(MID(B1002,43,1000),SEARCH(" - ",MID(B1002,43,1000))-1),nrg_cb_e!$C$3:$C$40,0))</f>
        <v>FC_OTH_HH_E</v>
      </c>
      <c r="G1002">
        <v>108025.04300000001</v>
      </c>
    </row>
    <row r="1003" spans="1:7" x14ac:dyDescent="0.2">
      <c r="A1003" t="s">
        <v>56</v>
      </c>
      <c r="B1003" t="s">
        <v>76</v>
      </c>
      <c r="C1003" t="s">
        <v>8</v>
      </c>
      <c r="D1003" t="s">
        <v>10</v>
      </c>
      <c r="E1003" t="s">
        <v>27</v>
      </c>
      <c r="F1003" s="20" t="str">
        <f>INDEX(nrg_cb_e!$A$3:$A$40,MATCH(LEFT(MID(B1003,43,1000),SEARCH(" - ",MID(B1003,43,1000))-1),nrg_cb_e!$C$3:$C$40,0))</f>
        <v>FC_OTH_HH_E</v>
      </c>
      <c r="G1003">
        <v>105367.901</v>
      </c>
    </row>
    <row r="1004" spans="1:7" x14ac:dyDescent="0.2">
      <c r="A1004" t="s">
        <v>56</v>
      </c>
      <c r="B1004" t="s">
        <v>76</v>
      </c>
      <c r="C1004" t="s">
        <v>8</v>
      </c>
      <c r="D1004" t="s">
        <v>10</v>
      </c>
      <c r="E1004" t="s">
        <v>28</v>
      </c>
      <c r="F1004" s="20" t="str">
        <f>INDEX(nrg_cb_e!$A$3:$A$40,MATCH(LEFT(MID(B1004,43,1000),SEARCH(" - ",MID(B1004,43,1000))-1),nrg_cb_e!$C$3:$C$40,0))</f>
        <v>FC_OTH_HH_E</v>
      </c>
      <c r="G1004">
        <v>105064.54700000001</v>
      </c>
    </row>
    <row r="1005" spans="1:7" x14ac:dyDescent="0.2">
      <c r="A1005" t="s">
        <v>57</v>
      </c>
      <c r="B1005" t="s">
        <v>76</v>
      </c>
      <c r="C1005" t="s">
        <v>8</v>
      </c>
      <c r="D1005" t="s">
        <v>10</v>
      </c>
      <c r="E1005" t="s">
        <v>12</v>
      </c>
      <c r="F1005" s="20" t="str">
        <f>INDEX(nrg_cb_e!$A$3:$A$40,MATCH(LEFT(MID(B1005,43,1000),SEARCH(" - ",MID(B1005,43,1000))-1),nrg_cb_e!$C$3:$C$40,0))</f>
        <v>FC_OTH_HH_E</v>
      </c>
      <c r="G1005">
        <v>637</v>
      </c>
    </row>
    <row r="1006" spans="1:7" x14ac:dyDescent="0.2">
      <c r="A1006" t="s">
        <v>57</v>
      </c>
      <c r="B1006" t="s">
        <v>76</v>
      </c>
      <c r="C1006" t="s">
        <v>8</v>
      </c>
      <c r="D1006" t="s">
        <v>10</v>
      </c>
      <c r="E1006" t="s">
        <v>13</v>
      </c>
      <c r="F1006" s="20" t="str">
        <f>INDEX(nrg_cb_e!$A$3:$A$40,MATCH(LEFT(MID(B1006,43,1000),SEARCH(" - ",MID(B1006,43,1000))-1),nrg_cb_e!$C$3:$C$40,0))</f>
        <v>FC_OTH_HH_E</v>
      </c>
      <c r="G1006">
        <v>612</v>
      </c>
    </row>
    <row r="1007" spans="1:7" x14ac:dyDescent="0.2">
      <c r="A1007" t="s">
        <v>57</v>
      </c>
      <c r="B1007" t="s">
        <v>76</v>
      </c>
      <c r="C1007" t="s">
        <v>8</v>
      </c>
      <c r="D1007" t="s">
        <v>10</v>
      </c>
      <c r="E1007" t="s">
        <v>14</v>
      </c>
      <c r="F1007" s="20" t="str">
        <f>INDEX(nrg_cb_e!$A$3:$A$40,MATCH(LEFT(MID(B1007,43,1000),SEARCH(" - ",MID(B1007,43,1000))-1),nrg_cb_e!$C$3:$C$40,0))</f>
        <v>FC_OTH_HH_E</v>
      </c>
      <c r="G1007">
        <v>672</v>
      </c>
    </row>
    <row r="1008" spans="1:7" x14ac:dyDescent="0.2">
      <c r="A1008" t="s">
        <v>57</v>
      </c>
      <c r="B1008" t="s">
        <v>76</v>
      </c>
      <c r="C1008" t="s">
        <v>8</v>
      </c>
      <c r="D1008" t="s">
        <v>10</v>
      </c>
      <c r="E1008" t="s">
        <v>15</v>
      </c>
      <c r="F1008" s="20" t="str">
        <f>INDEX(nrg_cb_e!$A$3:$A$40,MATCH(LEFT(MID(B1008,43,1000),SEARCH(" - ",MID(B1008,43,1000))-1),nrg_cb_e!$C$3:$C$40,0))</f>
        <v>FC_OTH_HH_E</v>
      </c>
      <c r="G1008">
        <v>690</v>
      </c>
    </row>
    <row r="1009" spans="1:7" x14ac:dyDescent="0.2">
      <c r="A1009" t="s">
        <v>57</v>
      </c>
      <c r="B1009" t="s">
        <v>76</v>
      </c>
      <c r="C1009" t="s">
        <v>8</v>
      </c>
      <c r="D1009" t="s">
        <v>10</v>
      </c>
      <c r="E1009" t="s">
        <v>16</v>
      </c>
      <c r="F1009" s="20" t="str">
        <f>INDEX(nrg_cb_e!$A$3:$A$40,MATCH(LEFT(MID(B1009,43,1000),SEARCH(" - ",MID(B1009,43,1000))-1),nrg_cb_e!$C$3:$C$40,0))</f>
        <v>FC_OTH_HH_E</v>
      </c>
      <c r="G1009">
        <v>797</v>
      </c>
    </row>
    <row r="1010" spans="1:7" x14ac:dyDescent="0.2">
      <c r="A1010" t="s">
        <v>57</v>
      </c>
      <c r="B1010" t="s">
        <v>76</v>
      </c>
      <c r="C1010" t="s">
        <v>8</v>
      </c>
      <c r="D1010" t="s">
        <v>10</v>
      </c>
      <c r="E1010" t="s">
        <v>17</v>
      </c>
      <c r="F1010" s="20" t="str">
        <f>INDEX(nrg_cb_e!$A$3:$A$40,MATCH(LEFT(MID(B1010,43,1000),SEARCH(" - ",MID(B1010,43,1000))-1),nrg_cb_e!$C$3:$C$40,0))</f>
        <v>FC_OTH_HH_E</v>
      </c>
      <c r="G1010">
        <v>827</v>
      </c>
    </row>
    <row r="1011" spans="1:7" x14ac:dyDescent="0.2">
      <c r="A1011" t="s">
        <v>57</v>
      </c>
      <c r="B1011" t="s">
        <v>76</v>
      </c>
      <c r="C1011" t="s">
        <v>8</v>
      </c>
      <c r="D1011" t="s">
        <v>10</v>
      </c>
      <c r="E1011" t="s">
        <v>18</v>
      </c>
      <c r="F1011" s="20" t="str">
        <f>INDEX(nrg_cb_e!$A$3:$A$40,MATCH(LEFT(MID(B1011,43,1000),SEARCH(" - ",MID(B1011,43,1000))-1),nrg_cb_e!$C$3:$C$40,0))</f>
        <v>FC_OTH_HH_E</v>
      </c>
      <c r="G1011">
        <v>860</v>
      </c>
    </row>
    <row r="1012" spans="1:7" x14ac:dyDescent="0.2">
      <c r="A1012" t="s">
        <v>57</v>
      </c>
      <c r="B1012" t="s">
        <v>76</v>
      </c>
      <c r="C1012" t="s">
        <v>8</v>
      </c>
      <c r="D1012" t="s">
        <v>10</v>
      </c>
      <c r="E1012" t="s">
        <v>19</v>
      </c>
      <c r="F1012" s="20" t="str">
        <f>INDEX(nrg_cb_e!$A$3:$A$40,MATCH(LEFT(MID(B1012,43,1000),SEARCH(" - ",MID(B1012,43,1000))-1),nrg_cb_e!$C$3:$C$40,0))</f>
        <v>FC_OTH_HH_E</v>
      </c>
      <c r="G1012">
        <v>882</v>
      </c>
    </row>
    <row r="1013" spans="1:7" x14ac:dyDescent="0.2">
      <c r="A1013" t="s">
        <v>57</v>
      </c>
      <c r="B1013" t="s">
        <v>76</v>
      </c>
      <c r="C1013" t="s">
        <v>8</v>
      </c>
      <c r="D1013" t="s">
        <v>10</v>
      </c>
      <c r="E1013" t="s">
        <v>20</v>
      </c>
      <c r="F1013" s="20" t="str">
        <f>INDEX(nrg_cb_e!$A$3:$A$40,MATCH(LEFT(MID(B1013,43,1000),SEARCH(" - ",MID(B1013,43,1000))-1),nrg_cb_e!$C$3:$C$40,0))</f>
        <v>FC_OTH_HH_E</v>
      </c>
      <c r="G1013">
        <v>929</v>
      </c>
    </row>
    <row r="1014" spans="1:7" x14ac:dyDescent="0.2">
      <c r="A1014" t="s">
        <v>57</v>
      </c>
      <c r="B1014" t="s">
        <v>76</v>
      </c>
      <c r="C1014" t="s">
        <v>8</v>
      </c>
      <c r="D1014" t="s">
        <v>10</v>
      </c>
      <c r="E1014" t="s">
        <v>21</v>
      </c>
      <c r="F1014" s="20" t="str">
        <f>INDEX(nrg_cb_e!$A$3:$A$40,MATCH(LEFT(MID(B1014,43,1000),SEARCH(" - ",MID(B1014,43,1000))-1),nrg_cb_e!$C$3:$C$40,0))</f>
        <v>FC_OTH_HH_E</v>
      </c>
      <c r="G1014">
        <v>859</v>
      </c>
    </row>
    <row r="1015" spans="1:7" x14ac:dyDescent="0.2">
      <c r="A1015" t="s">
        <v>57</v>
      </c>
      <c r="B1015" t="s">
        <v>76</v>
      </c>
      <c r="C1015" t="s">
        <v>8</v>
      </c>
      <c r="D1015" t="s">
        <v>10</v>
      </c>
      <c r="E1015" t="s">
        <v>22</v>
      </c>
      <c r="F1015" s="20" t="str">
        <f>INDEX(nrg_cb_e!$A$3:$A$40,MATCH(LEFT(MID(B1015,43,1000),SEARCH(" - ",MID(B1015,43,1000))-1),nrg_cb_e!$C$3:$C$40,0))</f>
        <v>FC_OTH_HH_E</v>
      </c>
      <c r="G1015">
        <v>852</v>
      </c>
    </row>
    <row r="1016" spans="1:7" x14ac:dyDescent="0.2">
      <c r="A1016" t="s">
        <v>57</v>
      </c>
      <c r="B1016" t="s">
        <v>76</v>
      </c>
      <c r="C1016" t="s">
        <v>8</v>
      </c>
      <c r="D1016" t="s">
        <v>10</v>
      </c>
      <c r="E1016" t="s">
        <v>23</v>
      </c>
      <c r="F1016" s="20" t="str">
        <f>INDEX(nrg_cb_e!$A$3:$A$40,MATCH(LEFT(MID(B1016,43,1000),SEARCH(" - ",MID(B1016,43,1000))-1),nrg_cb_e!$C$3:$C$40,0))</f>
        <v>FC_OTH_HH_E</v>
      </c>
      <c r="G1016">
        <v>837</v>
      </c>
    </row>
    <row r="1017" spans="1:7" x14ac:dyDescent="0.2">
      <c r="A1017" t="s">
        <v>57</v>
      </c>
      <c r="B1017" t="s">
        <v>76</v>
      </c>
      <c r="C1017" t="s">
        <v>8</v>
      </c>
      <c r="D1017" t="s">
        <v>10</v>
      </c>
      <c r="E1017" t="s">
        <v>24</v>
      </c>
      <c r="F1017" s="20" t="str">
        <f>INDEX(nrg_cb_e!$A$3:$A$40,MATCH(LEFT(MID(B1017,43,1000),SEARCH(" - ",MID(B1017,43,1000))-1),nrg_cb_e!$C$3:$C$40,0))</f>
        <v>FC_OTH_HH_E</v>
      </c>
      <c r="G1017">
        <v>840.91800000000001</v>
      </c>
    </row>
    <row r="1018" spans="1:7" x14ac:dyDescent="0.2">
      <c r="A1018" t="s">
        <v>57</v>
      </c>
      <c r="B1018" t="s">
        <v>76</v>
      </c>
      <c r="C1018" t="s">
        <v>8</v>
      </c>
      <c r="D1018" t="s">
        <v>10</v>
      </c>
      <c r="E1018" t="s">
        <v>25</v>
      </c>
      <c r="F1018" s="20" t="str">
        <f>INDEX(nrg_cb_e!$A$3:$A$40,MATCH(LEFT(MID(B1018,43,1000),SEARCH(" - ",MID(B1018,43,1000))-1),nrg_cb_e!$C$3:$C$40,0))</f>
        <v>FC_OTH_HH_E</v>
      </c>
      <c r="G1018">
        <v>822.23500000000001</v>
      </c>
    </row>
    <row r="1019" spans="1:7" x14ac:dyDescent="0.2">
      <c r="A1019" t="s">
        <v>57</v>
      </c>
      <c r="B1019" t="s">
        <v>76</v>
      </c>
      <c r="C1019" t="s">
        <v>8</v>
      </c>
      <c r="D1019" t="s">
        <v>10</v>
      </c>
      <c r="E1019" t="s">
        <v>26</v>
      </c>
      <c r="F1019" s="20" t="str">
        <f>INDEX(nrg_cb_e!$A$3:$A$40,MATCH(LEFT(MID(B1019,43,1000),SEARCH(" - ",MID(B1019,43,1000))-1),nrg_cb_e!$C$3:$C$40,0))</f>
        <v>FC_OTH_HH_E</v>
      </c>
      <c r="G1019">
        <v>838.50900000000001</v>
      </c>
    </row>
    <row r="1020" spans="1:7" x14ac:dyDescent="0.2">
      <c r="A1020" t="s">
        <v>57</v>
      </c>
      <c r="B1020" t="s">
        <v>76</v>
      </c>
      <c r="C1020" t="s">
        <v>8</v>
      </c>
      <c r="D1020" t="s">
        <v>10</v>
      </c>
      <c r="E1020" t="s">
        <v>27</v>
      </c>
      <c r="F1020" s="20" t="str">
        <f>INDEX(nrg_cb_e!$A$3:$A$40,MATCH(LEFT(MID(B1020,43,1000),SEARCH(" - ",MID(B1020,43,1000))-1),nrg_cb_e!$C$3:$C$40,0))</f>
        <v>FC_OTH_HH_E</v>
      </c>
      <c r="G1020">
        <v>810.697</v>
      </c>
    </row>
    <row r="1021" spans="1:7" x14ac:dyDescent="0.2">
      <c r="A1021" t="s">
        <v>57</v>
      </c>
      <c r="B1021" t="s">
        <v>76</v>
      </c>
      <c r="C1021" t="s">
        <v>8</v>
      </c>
      <c r="D1021" t="s">
        <v>10</v>
      </c>
      <c r="E1021" t="s">
        <v>28</v>
      </c>
      <c r="F1021" s="20" t="str">
        <f>INDEX(nrg_cb_e!$A$3:$A$40,MATCH(LEFT(MID(B1021,43,1000),SEARCH(" - ",MID(B1021,43,1000))-1),nrg_cb_e!$C$3:$C$40,0))</f>
        <v>FC_OTH_HH_E</v>
      </c>
      <c r="G1021">
        <v>847.83199999999999</v>
      </c>
    </row>
    <row r="1022" spans="1:7" x14ac:dyDescent="0.2">
      <c r="A1022" t="s">
        <v>58</v>
      </c>
      <c r="B1022" t="s">
        <v>76</v>
      </c>
      <c r="C1022" t="s">
        <v>8</v>
      </c>
      <c r="D1022" t="s">
        <v>10</v>
      </c>
      <c r="E1022" t="s">
        <v>12</v>
      </c>
      <c r="F1022" s="20" t="str">
        <f>INDEX(nrg_cb_e!$A$3:$A$40,MATCH(LEFT(MID(B1022,43,1000),SEARCH(" - ",MID(B1022,43,1000))-1),nrg_cb_e!$C$3:$C$40,0))</f>
        <v>FC_OTH_HH_E</v>
      </c>
      <c r="G1022">
        <v>34647</v>
      </c>
    </row>
    <row r="1023" spans="1:7" x14ac:dyDescent="0.2">
      <c r="A1023" t="s">
        <v>58</v>
      </c>
      <c r="B1023" t="s">
        <v>76</v>
      </c>
      <c r="C1023" t="s">
        <v>8</v>
      </c>
      <c r="D1023" t="s">
        <v>10</v>
      </c>
      <c r="E1023" t="s">
        <v>13</v>
      </c>
      <c r="F1023" s="20" t="str">
        <f>INDEX(nrg_cb_e!$A$3:$A$40,MATCH(LEFT(MID(B1023,43,1000),SEARCH(" - ",MID(B1023,43,1000))-1),nrg_cb_e!$C$3:$C$40,0))</f>
        <v>FC_OTH_HH_E</v>
      </c>
      <c r="G1023">
        <v>32023</v>
      </c>
    </row>
    <row r="1024" spans="1:7" x14ac:dyDescent="0.2">
      <c r="A1024" t="s">
        <v>58</v>
      </c>
      <c r="B1024" t="s">
        <v>76</v>
      </c>
      <c r="C1024" t="s">
        <v>8</v>
      </c>
      <c r="D1024" t="s">
        <v>10</v>
      </c>
      <c r="E1024" t="s">
        <v>14</v>
      </c>
      <c r="F1024" s="20" t="str">
        <f>INDEX(nrg_cb_e!$A$3:$A$40,MATCH(LEFT(MID(B1024,43,1000),SEARCH(" - ",MID(B1024,43,1000))-1),nrg_cb_e!$C$3:$C$40,0))</f>
        <v>FC_OTH_HH_E</v>
      </c>
      <c r="G1024">
        <v>32405</v>
      </c>
    </row>
    <row r="1025" spans="1:7" x14ac:dyDescent="0.2">
      <c r="A1025" t="s">
        <v>58</v>
      </c>
      <c r="B1025" t="s">
        <v>76</v>
      </c>
      <c r="C1025" t="s">
        <v>8</v>
      </c>
      <c r="D1025" t="s">
        <v>10</v>
      </c>
      <c r="E1025" t="s">
        <v>15</v>
      </c>
      <c r="F1025" s="20" t="str">
        <f>INDEX(nrg_cb_e!$A$3:$A$40,MATCH(LEFT(MID(B1025,43,1000),SEARCH(" - ",MID(B1025,43,1000))-1),nrg_cb_e!$C$3:$C$40,0))</f>
        <v>FC_OTH_HH_E</v>
      </c>
      <c r="G1025">
        <v>34006</v>
      </c>
    </row>
    <row r="1026" spans="1:7" x14ac:dyDescent="0.2">
      <c r="A1026" t="s">
        <v>58</v>
      </c>
      <c r="B1026" t="s">
        <v>76</v>
      </c>
      <c r="C1026" t="s">
        <v>8</v>
      </c>
      <c r="D1026" t="s">
        <v>10</v>
      </c>
      <c r="E1026" t="s">
        <v>16</v>
      </c>
      <c r="F1026" s="20" t="str">
        <f>INDEX(nrg_cb_e!$A$3:$A$40,MATCH(LEFT(MID(B1026,43,1000),SEARCH(" - ",MID(B1026,43,1000))-1),nrg_cb_e!$C$3:$C$40,0))</f>
        <v>FC_OTH_HH_E</v>
      </c>
      <c r="G1026">
        <v>33646</v>
      </c>
    </row>
    <row r="1027" spans="1:7" x14ac:dyDescent="0.2">
      <c r="A1027" t="s">
        <v>58</v>
      </c>
      <c r="B1027" t="s">
        <v>76</v>
      </c>
      <c r="C1027" t="s">
        <v>8</v>
      </c>
      <c r="D1027" t="s">
        <v>10</v>
      </c>
      <c r="E1027" t="s">
        <v>17</v>
      </c>
      <c r="F1027" s="20" t="str">
        <f>INDEX(nrg_cb_e!$A$3:$A$40,MATCH(LEFT(MID(B1027,43,1000),SEARCH(" - ",MID(B1027,43,1000))-1),nrg_cb_e!$C$3:$C$40,0))</f>
        <v>FC_OTH_HH_E</v>
      </c>
      <c r="G1027">
        <v>34948</v>
      </c>
    </row>
    <row r="1028" spans="1:7" x14ac:dyDescent="0.2">
      <c r="A1028" t="s">
        <v>58</v>
      </c>
      <c r="B1028" t="s">
        <v>76</v>
      </c>
      <c r="C1028" t="s">
        <v>8</v>
      </c>
      <c r="D1028" t="s">
        <v>10</v>
      </c>
      <c r="E1028" t="s">
        <v>18</v>
      </c>
      <c r="F1028" s="20" t="str">
        <f>INDEX(nrg_cb_e!$A$3:$A$40,MATCH(LEFT(MID(B1028,43,1000),SEARCH(" - ",MID(B1028,43,1000))-1),nrg_cb_e!$C$3:$C$40,0))</f>
        <v>FC_OTH_HH_E</v>
      </c>
      <c r="G1028">
        <v>34889</v>
      </c>
    </row>
    <row r="1029" spans="1:7" x14ac:dyDescent="0.2">
      <c r="A1029" t="s">
        <v>58</v>
      </c>
      <c r="B1029" t="s">
        <v>76</v>
      </c>
      <c r="C1029" t="s">
        <v>8</v>
      </c>
      <c r="D1029" t="s">
        <v>10</v>
      </c>
      <c r="E1029" t="s">
        <v>19</v>
      </c>
      <c r="F1029" s="20" t="str">
        <f>INDEX(nrg_cb_e!$A$3:$A$40,MATCH(LEFT(MID(B1029,43,1000),SEARCH(" - ",MID(B1029,43,1000))-1),nrg_cb_e!$C$3:$C$40,0))</f>
        <v>FC_OTH_HH_E</v>
      </c>
      <c r="G1029">
        <v>36313</v>
      </c>
    </row>
    <row r="1030" spans="1:7" x14ac:dyDescent="0.2">
      <c r="A1030" t="s">
        <v>58</v>
      </c>
      <c r="B1030" t="s">
        <v>76</v>
      </c>
      <c r="C1030" t="s">
        <v>8</v>
      </c>
      <c r="D1030" t="s">
        <v>10</v>
      </c>
      <c r="E1030" t="s">
        <v>20</v>
      </c>
      <c r="F1030" s="20" t="str">
        <f>INDEX(nrg_cb_e!$A$3:$A$40,MATCH(LEFT(MID(B1030,43,1000),SEARCH(" - ",MID(B1030,43,1000))-1),nrg_cb_e!$C$3:$C$40,0))</f>
        <v>FC_OTH_HH_E</v>
      </c>
      <c r="G1030">
        <v>39732</v>
      </c>
    </row>
    <row r="1031" spans="1:7" x14ac:dyDescent="0.2">
      <c r="A1031" t="s">
        <v>58</v>
      </c>
      <c r="B1031" t="s">
        <v>76</v>
      </c>
      <c r="C1031" t="s">
        <v>8</v>
      </c>
      <c r="D1031" t="s">
        <v>10</v>
      </c>
      <c r="E1031" t="s">
        <v>21</v>
      </c>
      <c r="F1031" s="20" t="str">
        <f>INDEX(nrg_cb_e!$A$3:$A$40,MATCH(LEFT(MID(B1031,43,1000),SEARCH(" - ",MID(B1031,43,1000))-1),nrg_cb_e!$C$3:$C$40,0))</f>
        <v>FC_OTH_HH_E</v>
      </c>
      <c r="G1031">
        <v>36059</v>
      </c>
    </row>
    <row r="1032" spans="1:7" x14ac:dyDescent="0.2">
      <c r="A1032" t="s">
        <v>58</v>
      </c>
      <c r="B1032" t="s">
        <v>76</v>
      </c>
      <c r="C1032" t="s">
        <v>8</v>
      </c>
      <c r="D1032" t="s">
        <v>10</v>
      </c>
      <c r="E1032" t="s">
        <v>22</v>
      </c>
      <c r="F1032" s="20" t="str">
        <f>INDEX(nrg_cb_e!$A$3:$A$40,MATCH(LEFT(MID(B1032,43,1000),SEARCH(" - ",MID(B1032,43,1000))-1),nrg_cb_e!$C$3:$C$40,0))</f>
        <v>FC_OTH_HH_E</v>
      </c>
      <c r="G1032">
        <v>38250</v>
      </c>
    </row>
    <row r="1033" spans="1:7" x14ac:dyDescent="0.2">
      <c r="A1033" t="s">
        <v>58</v>
      </c>
      <c r="B1033" t="s">
        <v>76</v>
      </c>
      <c r="C1033" t="s">
        <v>8</v>
      </c>
      <c r="D1033" t="s">
        <v>10</v>
      </c>
      <c r="E1033" t="s">
        <v>23</v>
      </c>
      <c r="F1033" s="20" t="str">
        <f>INDEX(nrg_cb_e!$A$3:$A$40,MATCH(LEFT(MID(B1033,43,1000),SEARCH(" - ",MID(B1033,43,1000))-1),nrg_cb_e!$C$3:$C$40,0))</f>
        <v>FC_OTH_HH_E</v>
      </c>
      <c r="G1033">
        <v>38904</v>
      </c>
    </row>
    <row r="1034" spans="1:7" x14ac:dyDescent="0.2">
      <c r="A1034" t="s">
        <v>58</v>
      </c>
      <c r="B1034" t="s">
        <v>76</v>
      </c>
      <c r="C1034" t="s">
        <v>8</v>
      </c>
      <c r="D1034" t="s">
        <v>10</v>
      </c>
      <c r="E1034" t="s">
        <v>24</v>
      </c>
      <c r="F1034" s="20" t="str">
        <f>INDEX(nrg_cb_e!$A$3:$A$40,MATCH(LEFT(MID(B1034,43,1000),SEARCH(" - ",MID(B1034,43,1000))-1),nrg_cb_e!$C$3:$C$40,0))</f>
        <v>FC_OTH_HH_E</v>
      </c>
      <c r="G1034">
        <v>36885</v>
      </c>
    </row>
    <row r="1035" spans="1:7" x14ac:dyDescent="0.2">
      <c r="A1035" t="s">
        <v>58</v>
      </c>
      <c r="B1035" t="s">
        <v>76</v>
      </c>
      <c r="C1035" t="s">
        <v>8</v>
      </c>
      <c r="D1035" t="s">
        <v>10</v>
      </c>
      <c r="E1035" t="s">
        <v>25</v>
      </c>
      <c r="F1035" s="20" t="str">
        <f>INDEX(nrg_cb_e!$A$3:$A$40,MATCH(LEFT(MID(B1035,43,1000),SEARCH(" - ",MID(B1035,43,1000))-1),nrg_cb_e!$C$3:$C$40,0))</f>
        <v>FC_OTH_HH_E</v>
      </c>
      <c r="G1035">
        <v>38609</v>
      </c>
    </row>
    <row r="1036" spans="1:7" x14ac:dyDescent="0.2">
      <c r="A1036" t="s">
        <v>58</v>
      </c>
      <c r="B1036" t="s">
        <v>76</v>
      </c>
      <c r="C1036" t="s">
        <v>8</v>
      </c>
      <c r="D1036" t="s">
        <v>10</v>
      </c>
      <c r="E1036" t="s">
        <v>26</v>
      </c>
      <c r="F1036" s="20" t="str">
        <f>INDEX(nrg_cb_e!$A$3:$A$40,MATCH(LEFT(MID(B1036,43,1000),SEARCH(" - ",MID(B1036,43,1000))-1),nrg_cb_e!$C$3:$C$40,0))</f>
        <v>FC_OTH_HH_E</v>
      </c>
      <c r="G1036">
        <v>38821</v>
      </c>
    </row>
    <row r="1037" spans="1:7" x14ac:dyDescent="0.2">
      <c r="A1037" t="s">
        <v>58</v>
      </c>
      <c r="B1037" t="s">
        <v>76</v>
      </c>
      <c r="C1037" t="s">
        <v>8</v>
      </c>
      <c r="D1037" t="s">
        <v>10</v>
      </c>
      <c r="E1037" t="s">
        <v>27</v>
      </c>
      <c r="F1037" s="20" t="str">
        <f>INDEX(nrg_cb_e!$A$3:$A$40,MATCH(LEFT(MID(B1037,43,1000),SEARCH(" - ",MID(B1037,43,1000))-1),nrg_cb_e!$C$3:$C$40,0))</f>
        <v>FC_OTH_HH_E</v>
      </c>
      <c r="G1037">
        <v>39700</v>
      </c>
    </row>
    <row r="1038" spans="1:7" x14ac:dyDescent="0.2">
      <c r="A1038" t="s">
        <v>58</v>
      </c>
      <c r="B1038" t="s">
        <v>76</v>
      </c>
      <c r="C1038" t="s">
        <v>8</v>
      </c>
      <c r="D1038" t="s">
        <v>10</v>
      </c>
      <c r="E1038" t="s">
        <v>28</v>
      </c>
      <c r="F1038" s="20" t="str">
        <f>INDEX(nrg_cb_e!$A$3:$A$40,MATCH(LEFT(MID(B1038,43,1000),SEARCH(" - ",MID(B1038,43,1000))-1),nrg_cb_e!$C$3:$C$40,0))</f>
        <v>FC_OTH_HH_E</v>
      </c>
      <c r="G1038">
        <v>40299.33</v>
      </c>
    </row>
    <row r="1039" spans="1:7" x14ac:dyDescent="0.2">
      <c r="A1039" t="s">
        <v>59</v>
      </c>
      <c r="B1039" t="s">
        <v>76</v>
      </c>
      <c r="C1039" t="s">
        <v>8</v>
      </c>
      <c r="D1039" t="s">
        <v>10</v>
      </c>
      <c r="E1039" t="s">
        <v>12</v>
      </c>
      <c r="F1039" s="20" t="str">
        <f>INDEX(nrg_cb_e!$A$3:$A$40,MATCH(LEFT(MID(B1039,43,1000),SEARCH(" - ",MID(B1039,43,1000))-1),nrg_cb_e!$C$3:$C$40,0))</f>
        <v>FC_OTH_HH_E</v>
      </c>
      <c r="G1039">
        <v>16300</v>
      </c>
    </row>
    <row r="1040" spans="1:7" x14ac:dyDescent="0.2">
      <c r="A1040" t="s">
        <v>59</v>
      </c>
      <c r="B1040" t="s">
        <v>76</v>
      </c>
      <c r="C1040" t="s">
        <v>8</v>
      </c>
      <c r="D1040" t="s">
        <v>10</v>
      </c>
      <c r="E1040" t="s">
        <v>13</v>
      </c>
      <c r="F1040" s="20" t="str">
        <f>INDEX(nrg_cb_e!$A$3:$A$40,MATCH(LEFT(MID(B1040,43,1000),SEARCH(" - ",MID(B1040,43,1000))-1),nrg_cb_e!$C$3:$C$40,0))</f>
        <v>FC_OTH_HH_E</v>
      </c>
      <c r="G1040">
        <v>16300</v>
      </c>
    </row>
    <row r="1041" spans="1:7" x14ac:dyDescent="0.2">
      <c r="A1041" t="s">
        <v>59</v>
      </c>
      <c r="B1041" t="s">
        <v>76</v>
      </c>
      <c r="C1041" t="s">
        <v>8</v>
      </c>
      <c r="D1041" t="s">
        <v>10</v>
      </c>
      <c r="E1041" t="s">
        <v>14</v>
      </c>
      <c r="F1041" s="20" t="str">
        <f>INDEX(nrg_cb_e!$A$3:$A$40,MATCH(LEFT(MID(B1041,43,1000),SEARCH(" - ",MID(B1041,43,1000))-1),nrg_cb_e!$C$3:$C$40,0))</f>
        <v>FC_OTH_HH_E</v>
      </c>
      <c r="G1041">
        <v>13626</v>
      </c>
    </row>
    <row r="1042" spans="1:7" x14ac:dyDescent="0.2">
      <c r="A1042" t="s">
        <v>59</v>
      </c>
      <c r="B1042" t="s">
        <v>76</v>
      </c>
      <c r="C1042" t="s">
        <v>8</v>
      </c>
      <c r="D1042" t="s">
        <v>10</v>
      </c>
      <c r="E1042" t="s">
        <v>15</v>
      </c>
      <c r="F1042" s="20" t="str">
        <f>INDEX(nrg_cb_e!$A$3:$A$40,MATCH(LEFT(MID(B1042,43,1000),SEARCH(" - ",MID(B1042,43,1000))-1),nrg_cb_e!$C$3:$C$40,0))</f>
        <v>FC_OTH_HH_E</v>
      </c>
      <c r="G1042">
        <v>14191</v>
      </c>
    </row>
    <row r="1043" spans="1:7" x14ac:dyDescent="0.2">
      <c r="A1043" t="s">
        <v>59</v>
      </c>
      <c r="B1043" t="s">
        <v>76</v>
      </c>
      <c r="C1043" t="s">
        <v>8</v>
      </c>
      <c r="D1043" t="s">
        <v>10</v>
      </c>
      <c r="E1043" t="s">
        <v>16</v>
      </c>
      <c r="F1043" s="20" t="str">
        <f>INDEX(nrg_cb_e!$A$3:$A$40,MATCH(LEFT(MID(B1043,43,1000),SEARCH(" - ",MID(B1043,43,1000))-1),nrg_cb_e!$C$3:$C$40,0))</f>
        <v>FC_OTH_HH_E</v>
      </c>
      <c r="G1043">
        <v>14062</v>
      </c>
    </row>
    <row r="1044" spans="1:7" x14ac:dyDescent="0.2">
      <c r="A1044" t="s">
        <v>59</v>
      </c>
      <c r="B1044" t="s">
        <v>76</v>
      </c>
      <c r="C1044" t="s">
        <v>8</v>
      </c>
      <c r="D1044" t="s">
        <v>10</v>
      </c>
      <c r="E1044" t="s">
        <v>17</v>
      </c>
      <c r="F1044" s="20" t="str">
        <f>INDEX(nrg_cb_e!$A$3:$A$40,MATCH(LEFT(MID(B1044,43,1000),SEARCH(" - ",MID(B1044,43,1000))-1),nrg_cb_e!$C$3:$C$40,0))</f>
        <v>FC_OTH_HH_E</v>
      </c>
      <c r="G1044">
        <v>13933</v>
      </c>
    </row>
    <row r="1045" spans="1:7" x14ac:dyDescent="0.2">
      <c r="A1045" t="s">
        <v>59</v>
      </c>
      <c r="B1045" t="s">
        <v>76</v>
      </c>
      <c r="C1045" t="s">
        <v>8</v>
      </c>
      <c r="D1045" t="s">
        <v>10</v>
      </c>
      <c r="E1045" t="s">
        <v>18</v>
      </c>
      <c r="F1045" s="20" t="str">
        <f>INDEX(nrg_cb_e!$A$3:$A$40,MATCH(LEFT(MID(B1045,43,1000),SEARCH(" - ",MID(B1045,43,1000))-1),nrg_cb_e!$C$3:$C$40,0))</f>
        <v>FC_OTH_HH_E</v>
      </c>
      <c r="G1045">
        <v>14098</v>
      </c>
    </row>
    <row r="1046" spans="1:7" x14ac:dyDescent="0.2">
      <c r="A1046" t="s">
        <v>59</v>
      </c>
      <c r="B1046" t="s">
        <v>76</v>
      </c>
      <c r="C1046" t="s">
        <v>8</v>
      </c>
      <c r="D1046" t="s">
        <v>10</v>
      </c>
      <c r="E1046" t="s">
        <v>19</v>
      </c>
      <c r="F1046" s="20" t="str">
        <f>INDEX(nrg_cb_e!$A$3:$A$40,MATCH(LEFT(MID(B1046,43,1000),SEARCH(" - ",MID(B1046,43,1000))-1),nrg_cb_e!$C$3:$C$40,0))</f>
        <v>FC_OTH_HH_E</v>
      </c>
      <c r="G1046">
        <v>14412</v>
      </c>
    </row>
    <row r="1047" spans="1:7" x14ac:dyDescent="0.2">
      <c r="A1047" t="s">
        <v>59</v>
      </c>
      <c r="B1047" t="s">
        <v>76</v>
      </c>
      <c r="C1047" t="s">
        <v>8</v>
      </c>
      <c r="D1047" t="s">
        <v>10</v>
      </c>
      <c r="E1047" t="s">
        <v>20</v>
      </c>
      <c r="F1047" s="20" t="str">
        <f>INDEX(nrg_cb_e!$A$3:$A$40,MATCH(LEFT(MID(B1047,43,1000),SEARCH(" - ",MID(B1047,43,1000))-1),nrg_cb_e!$C$3:$C$40,0))</f>
        <v>FC_OTH_HH_E</v>
      </c>
      <c r="G1047">
        <v>14645</v>
      </c>
    </row>
    <row r="1048" spans="1:7" x14ac:dyDescent="0.2">
      <c r="A1048" t="s">
        <v>59</v>
      </c>
      <c r="B1048" t="s">
        <v>76</v>
      </c>
      <c r="C1048" t="s">
        <v>8</v>
      </c>
      <c r="D1048" t="s">
        <v>10</v>
      </c>
      <c r="E1048" t="s">
        <v>21</v>
      </c>
      <c r="F1048" s="20" t="str">
        <f>INDEX(nrg_cb_e!$A$3:$A$40,MATCH(LEFT(MID(B1048,43,1000),SEARCH(" - ",MID(B1048,43,1000))-1),nrg_cb_e!$C$3:$C$40,0))</f>
        <v>FC_OTH_HH_E</v>
      </c>
      <c r="G1048">
        <v>14665</v>
      </c>
    </row>
    <row r="1049" spans="1:7" x14ac:dyDescent="0.2">
      <c r="A1049" t="s">
        <v>59</v>
      </c>
      <c r="B1049" t="s">
        <v>76</v>
      </c>
      <c r="C1049" t="s">
        <v>8</v>
      </c>
      <c r="D1049" t="s">
        <v>10</v>
      </c>
      <c r="E1049" t="s">
        <v>22</v>
      </c>
      <c r="F1049" s="20" t="str">
        <f>INDEX(nrg_cb_e!$A$3:$A$40,MATCH(LEFT(MID(B1049,43,1000),SEARCH(" - ",MID(B1049,43,1000))-1),nrg_cb_e!$C$3:$C$40,0))</f>
        <v>FC_OTH_HH_E</v>
      </c>
      <c r="G1049">
        <v>14517</v>
      </c>
    </row>
    <row r="1050" spans="1:7" x14ac:dyDescent="0.2">
      <c r="A1050" t="s">
        <v>59</v>
      </c>
      <c r="B1050" t="s">
        <v>76</v>
      </c>
      <c r="C1050" t="s">
        <v>8</v>
      </c>
      <c r="D1050" t="s">
        <v>10</v>
      </c>
      <c r="E1050" t="s">
        <v>23</v>
      </c>
      <c r="F1050" s="20" t="str">
        <f>INDEX(nrg_cb_e!$A$3:$A$40,MATCH(LEFT(MID(B1050,43,1000),SEARCH(" - ",MID(B1050,43,1000))-1),nrg_cb_e!$C$3:$C$40,0))</f>
        <v>FC_OTH_HH_E</v>
      </c>
      <c r="G1050">
        <v>14146</v>
      </c>
    </row>
    <row r="1051" spans="1:7" x14ac:dyDescent="0.2">
      <c r="A1051" t="s">
        <v>59</v>
      </c>
      <c r="B1051" t="s">
        <v>76</v>
      </c>
      <c r="C1051" t="s">
        <v>8</v>
      </c>
      <c r="D1051" t="s">
        <v>10</v>
      </c>
      <c r="E1051" t="s">
        <v>24</v>
      </c>
      <c r="F1051" s="20" t="str">
        <f>INDEX(nrg_cb_e!$A$3:$A$40,MATCH(LEFT(MID(B1051,43,1000),SEARCH(" - ",MID(B1051,43,1000))-1),nrg_cb_e!$C$3:$C$40,0))</f>
        <v>FC_OTH_HH_E</v>
      </c>
      <c r="G1051">
        <v>13802</v>
      </c>
    </row>
    <row r="1052" spans="1:7" x14ac:dyDescent="0.2">
      <c r="A1052" t="s">
        <v>59</v>
      </c>
      <c r="B1052" t="s">
        <v>76</v>
      </c>
      <c r="C1052" t="s">
        <v>8</v>
      </c>
      <c r="D1052" t="s">
        <v>10</v>
      </c>
      <c r="E1052" t="s">
        <v>25</v>
      </c>
      <c r="F1052" s="20" t="str">
        <f>INDEX(nrg_cb_e!$A$3:$A$40,MATCH(LEFT(MID(B1052,43,1000),SEARCH(" - ",MID(B1052,43,1000))-1),nrg_cb_e!$C$3:$C$40,0))</f>
        <v>FC_OTH_HH_E</v>
      </c>
      <c r="G1052">
        <v>14062</v>
      </c>
    </row>
    <row r="1053" spans="1:7" x14ac:dyDescent="0.2">
      <c r="A1053" t="s">
        <v>59</v>
      </c>
      <c r="B1053" t="s">
        <v>76</v>
      </c>
      <c r="C1053" t="s">
        <v>8</v>
      </c>
      <c r="D1053" t="s">
        <v>10</v>
      </c>
      <c r="E1053" t="s">
        <v>26</v>
      </c>
      <c r="F1053" s="20" t="str">
        <f>INDEX(nrg_cb_e!$A$3:$A$40,MATCH(LEFT(MID(B1053,43,1000),SEARCH(" - ",MID(B1053,43,1000))-1),nrg_cb_e!$C$3:$C$40,0))</f>
        <v>FC_OTH_HH_E</v>
      </c>
      <c r="G1053">
        <v>13931</v>
      </c>
    </row>
    <row r="1054" spans="1:7" x14ac:dyDescent="0.2">
      <c r="A1054" t="s">
        <v>59</v>
      </c>
      <c r="B1054" t="s">
        <v>76</v>
      </c>
      <c r="C1054" t="s">
        <v>8</v>
      </c>
      <c r="D1054" t="s">
        <v>10</v>
      </c>
      <c r="E1054" t="s">
        <v>27</v>
      </c>
      <c r="F1054" s="20" t="str">
        <f>INDEX(nrg_cb_e!$A$3:$A$40,MATCH(LEFT(MID(B1054,43,1000),SEARCH(" - ",MID(B1054,43,1000))-1),nrg_cb_e!$C$3:$C$40,0))</f>
        <v>FC_OTH_HH_E</v>
      </c>
      <c r="G1054">
        <v>13815.01</v>
      </c>
    </row>
    <row r="1055" spans="1:7" x14ac:dyDescent="0.2">
      <c r="A1055" t="s">
        <v>59</v>
      </c>
      <c r="B1055" t="s">
        <v>76</v>
      </c>
      <c r="C1055" t="s">
        <v>8</v>
      </c>
      <c r="D1055" t="s">
        <v>10</v>
      </c>
      <c r="E1055" t="s">
        <v>28</v>
      </c>
      <c r="F1055" s="20" t="str">
        <f>INDEX(nrg_cb_e!$A$3:$A$40,MATCH(LEFT(MID(B1055,43,1000),SEARCH(" - ",MID(B1055,43,1000))-1),nrg_cb_e!$C$3:$C$40,0))</f>
        <v>FC_OTH_HH_E</v>
      </c>
      <c r="G1055">
        <v>13414.571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/>
  </sheetPr>
  <dimension ref="B1:S95"/>
  <sheetViews>
    <sheetView topLeftCell="D1" workbookViewId="0">
      <selection activeCell="S9" sqref="S9"/>
    </sheetView>
  </sheetViews>
  <sheetFormatPr baseColWidth="10" defaultRowHeight="14.25" x14ac:dyDescent="0.2"/>
  <cols>
    <col min="2" max="2" width="11" style="12"/>
    <col min="9" max="9" width="21.875" bestFit="1" customWidth="1"/>
    <col min="10" max="10" width="23.375" bestFit="1" customWidth="1"/>
    <col min="11" max="11" width="9.875" customWidth="1"/>
    <col min="12" max="12" width="11.875" customWidth="1"/>
    <col min="13" max="13" width="15.5" bestFit="1" customWidth="1"/>
    <col min="19" max="19" width="41.125" customWidth="1"/>
  </cols>
  <sheetData>
    <row r="1" spans="2:19" x14ac:dyDescent="0.2">
      <c r="O1" s="31"/>
      <c r="P1" s="31"/>
      <c r="Q1" s="31"/>
      <c r="R1" s="31"/>
      <c r="S1" s="31"/>
    </row>
    <row r="2" spans="2:19" x14ac:dyDescent="0.2">
      <c r="B2" s="12" t="s">
        <v>77</v>
      </c>
      <c r="C2" s="12" t="s">
        <v>80</v>
      </c>
      <c r="D2" s="24">
        <v>2016</v>
      </c>
      <c r="E2" s="27">
        <v>2017</v>
      </c>
      <c r="F2" s="27">
        <v>2018</v>
      </c>
      <c r="G2" s="12"/>
      <c r="I2" s="22" t="s">
        <v>165</v>
      </c>
      <c r="J2" s="22" t="s">
        <v>199</v>
      </c>
      <c r="O2" s="31"/>
      <c r="P2" s="31"/>
      <c r="Q2" s="33" t="s">
        <v>203</v>
      </c>
      <c r="R2" s="34"/>
      <c r="S2" s="34"/>
    </row>
    <row r="3" spans="2:19" x14ac:dyDescent="0.2">
      <c r="B3" s="25" t="s">
        <v>29</v>
      </c>
      <c r="C3" s="12" t="s">
        <v>166</v>
      </c>
      <c r="D3" t="e">
        <f>VLOOKUP(CONCATENATE($B3&amp;" Ergebnis"),'Industriesektor GWh'!$J$3:$AB$436,17,FALSE)</f>
        <v>#N/A</v>
      </c>
      <c r="E3" t="e">
        <f>VLOOKUP(CONCATENATE($B3&amp;" Ergebnis"),'Industriesektor GWh'!$J$3:$AB$436,17,FALSE)</f>
        <v>#N/A</v>
      </c>
      <c r="F3" t="e">
        <f>VLOOKUP(CONCATENATE($B3&amp;" Ergebnis"),'Industriesektor GWh'!$J$3:$AB$436,17,FALSE)</f>
        <v>#N/A</v>
      </c>
      <c r="I3" s="22" t="s">
        <v>198</v>
      </c>
      <c r="J3" t="s">
        <v>26</v>
      </c>
      <c r="K3" t="s">
        <v>27</v>
      </c>
      <c r="L3" t="s">
        <v>28</v>
      </c>
      <c r="M3" t="s">
        <v>164</v>
      </c>
      <c r="Q3">
        <v>2016</v>
      </c>
      <c r="R3">
        <v>2017</v>
      </c>
      <c r="S3">
        <v>2018</v>
      </c>
    </row>
    <row r="4" spans="2:19" x14ac:dyDescent="0.2">
      <c r="B4" s="26" t="s">
        <v>29</v>
      </c>
      <c r="C4" s="12" t="s">
        <v>167</v>
      </c>
      <c r="D4">
        <f t="array" ref="D4">INDEX('Sonstige Sektoren GWh'!$K$3:$AA$64,MATCH($B4&amp;"FC_OTH_CP_E",'Sonstige Sektoren GWh'!$I$3:$I$64&amp;'Sonstige Sektoren GWh'!$J$3:$J$64,0),15)</f>
        <v>21807.5</v>
      </c>
      <c r="E4">
        <f t="array" ref="E4">INDEX('Sonstige Sektoren GWh'!$K$3:$AA$64,MATCH($B4&amp;"FC_OTH_CP_E",'Sonstige Sektoren GWh'!$I$3:$I$64&amp;'Sonstige Sektoren GWh'!$J$3:$J$64,0),16)</f>
        <v>21767.1</v>
      </c>
      <c r="F4">
        <f t="array" ref="F4">INDEX('Sonstige Sektoren GWh'!$K$3:$AA$64,MATCH($B4&amp;"FC_OTH_CP_E",'Sonstige Sektoren GWh'!$I$3:$I$64&amp;'Sonstige Sektoren GWh'!$J$3:$J$64,0),17)</f>
        <v>22047.9</v>
      </c>
      <c r="I4" s="29" t="s">
        <v>168</v>
      </c>
      <c r="J4" s="23">
        <v>10505930</v>
      </c>
      <c r="K4" s="23">
        <v>10852721</v>
      </c>
      <c r="L4" s="23">
        <v>14964610</v>
      </c>
      <c r="M4" s="23">
        <v>36323261</v>
      </c>
      <c r="O4" s="29" t="s">
        <v>168</v>
      </c>
      <c r="P4" s="12" t="s">
        <v>48</v>
      </c>
      <c r="Q4" t="e">
        <f>VLOOKUP($O4,$I$4:$L$33,2,FALSE)/(SUMIF($B$3:$B$95,$P4,D$3:D$95)*1000)</f>
        <v>#N/A</v>
      </c>
      <c r="R4" t="e">
        <f>VLOOKUP($O4,$I$4:$L$33,3,FALSE)/(SUMIF($B$3:$B$95,$P4,E$3:E$95)*1000)</f>
        <v>#N/A</v>
      </c>
      <c r="S4" t="e">
        <f>VLOOKUP($O4,$I$4:$L$33,4,FALSE)/(SUMIF($B$3:$B$95,$P4,F$3:F$95)*1000)</f>
        <v>#N/A</v>
      </c>
    </row>
    <row r="5" spans="2:19" x14ac:dyDescent="0.2">
      <c r="B5" s="26" t="s">
        <v>29</v>
      </c>
      <c r="C5" s="12" t="s">
        <v>158</v>
      </c>
      <c r="D5" t="e">
        <f t="array" ref="D5">INDEX('Sonstige Sektoren GWh'!$K$3:$AA$64,MATCH($B5&amp;"FC_OTH_HH_E",'Sonstige Sektoren GWh'!$I$3:$I$64&amp;'Sonstige Sektoren GWh'!$J$3:$J$64,0),15)</f>
        <v>#N/A</v>
      </c>
      <c r="E5" t="e">
        <f t="array" ref="E5">INDEX('Sonstige Sektoren GWh'!$K$3:$AA$64,MATCH($B5&amp;"FC_OTH_HH_E",'Sonstige Sektoren GWh'!$I$3:$I$64&amp;'Sonstige Sektoren GWh'!$J$3:$J$64,0),16)</f>
        <v>#N/A</v>
      </c>
      <c r="F5" t="e">
        <f t="array" ref="F5">INDEX('Sonstige Sektoren GWh'!$K$3:$AA$64,MATCH($B5&amp;"FC_OTH_HH_E",'Sonstige Sektoren GWh'!$I$3:$I$64&amp;'Sonstige Sektoren GWh'!$J$3:$J$64,0),17)</f>
        <v>#N/A</v>
      </c>
      <c r="I5" s="29" t="s">
        <v>173</v>
      </c>
      <c r="J5" s="23">
        <v>0</v>
      </c>
      <c r="K5" s="23">
        <v>0</v>
      </c>
      <c r="L5" s="23">
        <v>0</v>
      </c>
      <c r="M5" s="23">
        <v>0</v>
      </c>
      <c r="O5" s="30" t="s">
        <v>202</v>
      </c>
      <c r="P5" s="12" t="s">
        <v>29</v>
      </c>
      <c r="Q5" t="e">
        <f>SUM(J6:J9)/(SUMIF($B$3:$B$95,$P5,D$3:D$95)*1000)</f>
        <v>#N/A</v>
      </c>
      <c r="R5" t="e">
        <f t="shared" ref="R5:S5" si="0">SUM(K6:K9)/(SUMIF($B$3:$B$95,$P5,E$3:E$95)*1000)</f>
        <v>#N/A</v>
      </c>
      <c r="S5" t="e">
        <f t="shared" si="0"/>
        <v>#N/A</v>
      </c>
    </row>
    <row r="6" spans="2:19" x14ac:dyDescent="0.2">
      <c r="B6" s="25" t="s">
        <v>30</v>
      </c>
      <c r="C6" s="12" t="s">
        <v>166</v>
      </c>
      <c r="D6" t="e">
        <f>VLOOKUP(CONCATENATE($B6&amp;" Ergebnis"),'Industriesektor GWh'!$J$3:$AB$436,17,FALSE)</f>
        <v>#N/A</v>
      </c>
      <c r="E6" t="e">
        <f>VLOOKUP(CONCATENATE($B6&amp;" Ergebnis"),'Industriesektor GWh'!$J$3:$AB$436,17,FALSE)</f>
        <v>#N/A</v>
      </c>
      <c r="F6" t="e">
        <f>VLOOKUP(CONCATENATE($B6&amp;" Ergebnis"),'Industriesektor GWh'!$J$3:$AB$436,17,FALSE)</f>
        <v>#N/A</v>
      </c>
      <c r="I6" s="29" t="s">
        <v>170</v>
      </c>
      <c r="J6" s="23">
        <v>2377838</v>
      </c>
      <c r="K6" s="23">
        <v>2503789</v>
      </c>
      <c r="L6" s="23">
        <v>2590215</v>
      </c>
      <c r="M6" s="23">
        <v>7471842</v>
      </c>
      <c r="O6" s="29" t="s">
        <v>185</v>
      </c>
      <c r="P6" s="12" t="s">
        <v>39</v>
      </c>
      <c r="Q6" t="e">
        <f t="shared" ref="Q6:Q29" si="1">VLOOKUP($O6,$I$4:$L$33,2,FALSE)/(SUMIF($B$3:$B$95,$P6,D$3:D$95)*1000)</f>
        <v>#N/A</v>
      </c>
      <c r="R6" t="e">
        <f t="shared" ref="R6:R29" si="2">VLOOKUP($O6,$I$4:$L$33,3,FALSE)/(SUMIF($B$3:$B$95,$P6,E$3:E$95)*1000)</f>
        <v>#N/A</v>
      </c>
      <c r="S6" t="e">
        <f t="shared" ref="S6:S29" si="3">VLOOKUP($O6,$I$4:$L$33,4,FALSE)/(SUMIF($B$3:$B$95,$P6,F$3:F$95)*1000)</f>
        <v>#N/A</v>
      </c>
    </row>
    <row r="7" spans="2:19" x14ac:dyDescent="0.2">
      <c r="B7" s="26" t="s">
        <v>30</v>
      </c>
      <c r="C7" s="12" t="s">
        <v>167</v>
      </c>
      <c r="D7">
        <f t="array" ref="D7">INDEX('Sonstige Sektoren GWh'!$K$3:$AA$64,MATCH($B7&amp;"FC_OTH_CP_E",'Sonstige Sektoren GWh'!$I$3:$I$64&amp;'Sonstige Sektoren GWh'!$J$3:$J$64,0),15)</f>
        <v>8505</v>
      </c>
      <c r="E7">
        <f t="array" ref="E7">INDEX('Sonstige Sektoren GWh'!$K$3:$AA$64,MATCH($B7&amp;"FC_OTH_CP_E",'Sonstige Sektoren GWh'!$I$3:$I$64&amp;'Sonstige Sektoren GWh'!$J$3:$J$64,0),16)</f>
        <v>8433.7720000000008</v>
      </c>
      <c r="F7">
        <f t="array" ref="F7">INDEX('Sonstige Sektoren GWh'!$K$3:$AA$64,MATCH($B7&amp;"FC_OTH_CP_E",'Sonstige Sektoren GWh'!$I$3:$I$64&amp;'Sonstige Sektoren GWh'!$J$3:$J$64,0),17)</f>
        <v>8470.5470000000005</v>
      </c>
      <c r="I7" s="29" t="s">
        <v>171</v>
      </c>
      <c r="J7" s="23">
        <v>0</v>
      </c>
      <c r="K7" s="23">
        <v>0</v>
      </c>
      <c r="L7" s="23">
        <v>0</v>
      </c>
      <c r="M7" s="23">
        <v>0</v>
      </c>
      <c r="O7" s="29" t="s">
        <v>176</v>
      </c>
      <c r="P7" s="12" t="s">
        <v>41</v>
      </c>
      <c r="Q7" t="e">
        <f t="shared" si="1"/>
        <v>#N/A</v>
      </c>
      <c r="R7" t="e">
        <f t="shared" si="2"/>
        <v>#N/A</v>
      </c>
      <c r="S7" t="e">
        <f t="shared" si="3"/>
        <v>#N/A</v>
      </c>
    </row>
    <row r="8" spans="2:19" x14ac:dyDescent="0.2">
      <c r="B8" s="26" t="s">
        <v>30</v>
      </c>
      <c r="C8" s="12" t="s">
        <v>158</v>
      </c>
      <c r="D8" t="e">
        <f t="array" ref="D8">INDEX('Sonstige Sektoren GWh'!$K$3:$AA$64,MATCH($B8&amp;"FC_OTH_HH_E",'Sonstige Sektoren GWh'!$I$3:$I$64&amp;'Sonstige Sektoren GWh'!$J$3:$J$64,0),15)</f>
        <v>#N/A</v>
      </c>
      <c r="E8" t="e">
        <f t="array" ref="E8">INDEX('Sonstige Sektoren GWh'!$K$3:$AA$64,MATCH($B8&amp;"FC_OTH_HH_E",'Sonstige Sektoren GWh'!$I$3:$I$64&amp;'Sonstige Sektoren GWh'!$J$3:$J$64,0),16)</f>
        <v>#N/A</v>
      </c>
      <c r="F8" t="e">
        <f t="array" ref="F8">INDEX('Sonstige Sektoren GWh'!$K$3:$AA$64,MATCH($B8&amp;"FC_OTH_HH_E",'Sonstige Sektoren GWh'!$I$3:$I$64&amp;'Sonstige Sektoren GWh'!$J$3:$J$64,0),17)</f>
        <v>#N/A</v>
      </c>
      <c r="I8" s="29" t="s">
        <v>172</v>
      </c>
      <c r="J8" s="23">
        <v>4183694</v>
      </c>
      <c r="K8" s="23">
        <v>4545514</v>
      </c>
      <c r="L8" s="23">
        <v>4968416</v>
      </c>
      <c r="M8" s="23">
        <v>13697624</v>
      </c>
      <c r="O8" s="29" t="s">
        <v>177</v>
      </c>
      <c r="P8" s="12" t="s">
        <v>31</v>
      </c>
      <c r="Q8" t="e">
        <f t="shared" si="1"/>
        <v>#N/A</v>
      </c>
      <c r="R8" t="e">
        <f t="shared" si="2"/>
        <v>#N/A</v>
      </c>
      <c r="S8" t="e">
        <f t="shared" si="3"/>
        <v>#N/A</v>
      </c>
    </row>
    <row r="9" spans="2:19" x14ac:dyDescent="0.2">
      <c r="B9" s="25" t="s">
        <v>32</v>
      </c>
      <c r="C9" s="12" t="s">
        <v>166</v>
      </c>
      <c r="D9" t="e">
        <f>VLOOKUP(CONCATENATE($B9&amp;" Ergebnis"),'Industriesektor GWh'!$J$3:$AB$436,17,FALSE)</f>
        <v>#N/A</v>
      </c>
      <c r="E9" t="e">
        <f>VLOOKUP(CONCATENATE($B9&amp;" Ergebnis"),'Industriesektor GWh'!$J$3:$AB$436,17,FALSE)</f>
        <v>#N/A</v>
      </c>
      <c r="F9" t="e">
        <f>VLOOKUP(CONCATENATE($B9&amp;" Ergebnis"),'Industriesektor GWh'!$J$3:$AB$436,17,FALSE)</f>
        <v>#N/A</v>
      </c>
      <c r="I9" s="29" t="s">
        <v>174</v>
      </c>
      <c r="J9" s="23">
        <v>2698096</v>
      </c>
      <c r="K9" s="23">
        <v>2971077</v>
      </c>
      <c r="L9" s="23">
        <v>2872601</v>
      </c>
      <c r="M9" s="23">
        <v>8541774</v>
      </c>
      <c r="O9" s="29" t="s">
        <v>179</v>
      </c>
      <c r="P9" s="12" t="s">
        <v>32</v>
      </c>
      <c r="Q9" t="e">
        <f t="shared" si="1"/>
        <v>#N/A</v>
      </c>
      <c r="R9" t="e">
        <f t="shared" si="2"/>
        <v>#N/A</v>
      </c>
      <c r="S9" t="e">
        <f t="shared" si="3"/>
        <v>#N/A</v>
      </c>
    </row>
    <row r="10" spans="2:19" x14ac:dyDescent="0.2">
      <c r="B10" s="26" t="s">
        <v>32</v>
      </c>
      <c r="C10" s="12" t="s">
        <v>167</v>
      </c>
      <c r="D10">
        <f t="array" ref="D10">INDEX('Sonstige Sektoren GWh'!$K$3:$AA$64,MATCH($B10&amp;"FC_OTH_CP_E",'Sonstige Sektoren GWh'!$I$3:$I$64&amp;'Sonstige Sektoren GWh'!$J$3:$J$64,0),15)</f>
        <v>10216.535</v>
      </c>
      <c r="E10">
        <f t="array" ref="E10">INDEX('Sonstige Sektoren GWh'!$K$3:$AA$64,MATCH($B10&amp;"FC_OTH_CP_E",'Sonstige Sektoren GWh'!$I$3:$I$64&amp;'Sonstige Sektoren GWh'!$J$3:$J$64,0),16)</f>
        <v>10685.246999999999</v>
      </c>
      <c r="F10">
        <f t="array" ref="F10">INDEX('Sonstige Sektoren GWh'!$K$3:$AA$64,MATCH($B10&amp;"FC_OTH_CP_E",'Sonstige Sektoren GWh'!$I$3:$I$64&amp;'Sonstige Sektoren GWh'!$J$3:$J$64,0),17)</f>
        <v>10594.387000000001</v>
      </c>
      <c r="I10" s="29" t="s">
        <v>185</v>
      </c>
      <c r="J10" s="23">
        <v>603336</v>
      </c>
      <c r="K10" s="23">
        <v>1738230</v>
      </c>
      <c r="L10" s="23">
        <v>2623851</v>
      </c>
      <c r="M10" s="23">
        <v>4965417</v>
      </c>
      <c r="O10" s="29" t="s">
        <v>180</v>
      </c>
      <c r="P10" s="12" t="s">
        <v>34</v>
      </c>
      <c r="Q10" t="e">
        <f t="shared" si="1"/>
        <v>#N/A</v>
      </c>
      <c r="R10" t="e">
        <f t="shared" si="2"/>
        <v>#N/A</v>
      </c>
      <c r="S10" t="e">
        <f t="shared" si="3"/>
        <v>#N/A</v>
      </c>
    </row>
    <row r="11" spans="2:19" x14ac:dyDescent="0.2">
      <c r="B11" s="26" t="s">
        <v>32</v>
      </c>
      <c r="C11" s="12" t="s">
        <v>158</v>
      </c>
      <c r="D11" t="e">
        <f t="array" ref="D11">INDEX('Sonstige Sektoren GWh'!$K$3:$AA$64,MATCH($B11&amp;"FC_OTH_HH_E",'Sonstige Sektoren GWh'!$I$3:$I$64&amp;'Sonstige Sektoren GWh'!$J$3:$J$64,0),15)</f>
        <v>#N/A</v>
      </c>
      <c r="E11" t="e">
        <f t="array" ref="E11">INDEX('Sonstige Sektoren GWh'!$K$3:$AA$64,MATCH($B11&amp;"FC_OTH_HH_E",'Sonstige Sektoren GWh'!$I$3:$I$64&amp;'Sonstige Sektoren GWh'!$J$3:$J$64,0),16)</f>
        <v>#N/A</v>
      </c>
      <c r="F11" t="e">
        <f t="array" ref="F11">INDEX('Sonstige Sektoren GWh'!$K$3:$AA$64,MATCH($B11&amp;"FC_OTH_HH_E",'Sonstige Sektoren GWh'!$I$3:$I$64&amp;'Sonstige Sektoren GWh'!$J$3:$J$64,0),17)</f>
        <v>#N/A</v>
      </c>
      <c r="I11" s="29" t="s">
        <v>176</v>
      </c>
      <c r="J11" s="23">
        <v>78921</v>
      </c>
      <c r="K11" s="23">
        <v>210614</v>
      </c>
      <c r="L11" s="23">
        <v>213151.61845999997</v>
      </c>
      <c r="M11" s="23">
        <v>502686.61845999997</v>
      </c>
      <c r="O11" s="29" t="s">
        <v>182</v>
      </c>
      <c r="P11" s="12" t="s">
        <v>54</v>
      </c>
      <c r="Q11" t="e">
        <f t="shared" si="1"/>
        <v>#N/A</v>
      </c>
      <c r="R11" t="e">
        <f t="shared" si="2"/>
        <v>#N/A</v>
      </c>
      <c r="S11" t="e">
        <f t="shared" si="3"/>
        <v>#N/A</v>
      </c>
    </row>
    <row r="12" spans="2:19" x14ac:dyDescent="0.2">
      <c r="B12" s="25" t="s">
        <v>33</v>
      </c>
      <c r="C12" s="12" t="s">
        <v>166</v>
      </c>
      <c r="D12" t="e">
        <f>VLOOKUP(CONCATENATE($B12&amp;" Ergebnis"),'Industriesektor GWh'!$J$3:$AB$436,17,FALSE)</f>
        <v>#N/A</v>
      </c>
      <c r="E12" t="e">
        <f>VLOOKUP(CONCATENATE($B12&amp;" Ergebnis"),'Industriesektor GWh'!$J$3:$AB$436,17,FALSE)</f>
        <v>#N/A</v>
      </c>
      <c r="F12" t="e">
        <f>VLOOKUP(CONCATENATE($B12&amp;" Ergebnis"),'Industriesektor GWh'!$J$3:$AB$436,17,FALSE)</f>
        <v>#N/A</v>
      </c>
      <c r="I12" s="29" t="s">
        <v>177</v>
      </c>
      <c r="J12" s="23">
        <v>620696</v>
      </c>
      <c r="K12" s="23">
        <v>2897117</v>
      </c>
      <c r="L12" s="23">
        <v>3499533</v>
      </c>
      <c r="M12" s="23">
        <v>7017346</v>
      </c>
      <c r="O12" s="29" t="s">
        <v>183</v>
      </c>
      <c r="P12" s="12" t="s">
        <v>38</v>
      </c>
      <c r="Q12" t="e">
        <f t="shared" si="1"/>
        <v>#N/A</v>
      </c>
      <c r="R12" t="e">
        <f t="shared" si="2"/>
        <v>#N/A</v>
      </c>
      <c r="S12" t="e">
        <f t="shared" si="3"/>
        <v>#N/A</v>
      </c>
    </row>
    <row r="13" spans="2:19" x14ac:dyDescent="0.2">
      <c r="B13" s="25" t="s">
        <v>33</v>
      </c>
      <c r="C13" s="12" t="s">
        <v>167</v>
      </c>
      <c r="D13">
        <f t="array" ref="D13">INDEX('Sonstige Sektoren GWh'!$K$3:$AA$64,MATCH($B13&amp;"FC_OTH_CP_E",'Sonstige Sektoren GWh'!$I$3:$I$64&amp;'Sonstige Sektoren GWh'!$J$3:$J$64,0),15)</f>
        <v>141585</v>
      </c>
      <c r="E13">
        <f t="array" ref="E13">INDEX('Sonstige Sektoren GWh'!$K$3:$AA$64,MATCH($B13&amp;"FC_OTH_CP_E",'Sonstige Sektoren GWh'!$I$3:$I$64&amp;'Sonstige Sektoren GWh'!$J$3:$J$64,0),16)</f>
        <v>141479</v>
      </c>
      <c r="F13">
        <f t="array" ref="F13">INDEX('Sonstige Sektoren GWh'!$K$3:$AA$64,MATCH($B13&amp;"FC_OTH_CP_E",'Sonstige Sektoren GWh'!$I$3:$I$64&amp;'Sonstige Sektoren GWh'!$J$3:$J$64,0),17)</f>
        <v>137097</v>
      </c>
      <c r="I13" s="29" t="s">
        <v>179</v>
      </c>
      <c r="J13" s="23">
        <v>16037121</v>
      </c>
      <c r="K13" s="23">
        <v>19371001</v>
      </c>
      <c r="L13" s="23">
        <v>18852959</v>
      </c>
      <c r="M13" s="23">
        <v>54261081</v>
      </c>
      <c r="O13" s="29" t="s">
        <v>178</v>
      </c>
      <c r="P13" s="12" t="s">
        <v>33</v>
      </c>
      <c r="Q13" t="e">
        <f>VLOOKUP($O13,$I$4:$L$33,2,FALSE)/(SUMIF($B$3:$B$95,$P13,D$3:D$95)*1000)</f>
        <v>#N/A</v>
      </c>
      <c r="R13" t="e">
        <f t="shared" si="2"/>
        <v>#N/A</v>
      </c>
      <c r="S13" t="e">
        <f t="shared" si="3"/>
        <v>#N/A</v>
      </c>
    </row>
    <row r="14" spans="2:19" x14ac:dyDescent="0.2">
      <c r="B14" s="25" t="s">
        <v>33</v>
      </c>
      <c r="C14" s="12" t="s">
        <v>158</v>
      </c>
      <c r="D14" t="e">
        <f t="array" ref="D14">INDEX('Sonstige Sektoren GWh'!$K$3:$AA$64,MATCH($B14&amp;"FC_OTH_HH_E",'Sonstige Sektoren GWh'!$I$3:$I$64&amp;'Sonstige Sektoren GWh'!$J$3:$J$64,0),15)</f>
        <v>#N/A</v>
      </c>
      <c r="E14" t="e">
        <f t="array" ref="E14">INDEX('Sonstige Sektoren GWh'!$K$3:$AA$64,MATCH($B14&amp;"FC_OTH_HH_E",'Sonstige Sektoren GWh'!$I$3:$I$64&amp;'Sonstige Sektoren GWh'!$J$3:$J$64,0),16)</f>
        <v>#N/A</v>
      </c>
      <c r="F14" t="e">
        <f t="array" ref="F14">INDEX('Sonstige Sektoren GWh'!$K$3:$AA$64,MATCH($B14&amp;"FC_OTH_HH_E",'Sonstige Sektoren GWh'!$I$3:$I$64&amp;'Sonstige Sektoren GWh'!$J$3:$J$64,0),17)</f>
        <v>#N/A</v>
      </c>
      <c r="I14" s="29" t="s">
        <v>180</v>
      </c>
      <c r="J14" s="23">
        <v>1691639</v>
      </c>
      <c r="K14" s="23">
        <v>2031853</v>
      </c>
      <c r="L14" s="23">
        <v>1923821</v>
      </c>
      <c r="M14" s="23">
        <v>5647313</v>
      </c>
      <c r="O14" s="29" t="s">
        <v>184</v>
      </c>
      <c r="P14" s="12" t="s">
        <v>36</v>
      </c>
      <c r="Q14" t="e">
        <f t="shared" si="1"/>
        <v>#N/A</v>
      </c>
      <c r="R14" t="e">
        <f t="shared" si="2"/>
        <v>#N/A</v>
      </c>
      <c r="S14" t="e">
        <f t="shared" si="3"/>
        <v>#N/A</v>
      </c>
    </row>
    <row r="15" spans="2:19" x14ac:dyDescent="0.2">
      <c r="B15" s="25" t="s">
        <v>34</v>
      </c>
      <c r="C15" s="12" t="s">
        <v>166</v>
      </c>
      <c r="D15" t="e">
        <f>VLOOKUP(CONCATENATE($B15&amp;" Ergebnis"),'Industriesektor GWh'!$J$3:$AB$436,17,FALSE)</f>
        <v>#N/A</v>
      </c>
      <c r="E15" t="e">
        <f>VLOOKUP(CONCATENATE($B15&amp;" Ergebnis"),'Industriesektor GWh'!$J$3:$AB$436,17,FALSE)</f>
        <v>#N/A</v>
      </c>
      <c r="F15" t="e">
        <f>VLOOKUP(CONCATENATE($B15&amp;" Ergebnis"),'Industriesektor GWh'!$J$3:$AB$436,17,FALSE)</f>
        <v>#N/A</v>
      </c>
      <c r="I15" s="29" t="s">
        <v>182</v>
      </c>
      <c r="J15" s="23">
        <v>24908710</v>
      </c>
      <c r="K15" s="23">
        <v>25603169</v>
      </c>
      <c r="L15" s="23">
        <v>29015374</v>
      </c>
      <c r="M15" s="23">
        <v>79527253</v>
      </c>
      <c r="O15" s="29" t="s">
        <v>187</v>
      </c>
      <c r="P15" s="12" t="s">
        <v>57</v>
      </c>
      <c r="Q15" t="e">
        <f t="shared" si="1"/>
        <v>#N/A</v>
      </c>
      <c r="R15" t="e">
        <f t="shared" si="2"/>
        <v>#N/A</v>
      </c>
      <c r="S15" t="e">
        <f t="shared" si="3"/>
        <v>#N/A</v>
      </c>
    </row>
    <row r="16" spans="2:19" x14ac:dyDescent="0.2">
      <c r="B16" s="26" t="s">
        <v>34</v>
      </c>
      <c r="C16" s="12" t="s">
        <v>167</v>
      </c>
      <c r="D16">
        <f t="array" ref="D16">INDEX('Sonstige Sektoren GWh'!$K$3:$AA$64,MATCH($B16&amp;"FC_OTH_CP_E",'Sonstige Sektoren GWh'!$I$3:$I$64&amp;'Sonstige Sektoren GWh'!$J$3:$J$64,0),15)</f>
        <v>2971</v>
      </c>
      <c r="E16">
        <f t="array" ref="E16">INDEX('Sonstige Sektoren GWh'!$K$3:$AA$64,MATCH($B16&amp;"FC_OTH_CP_E",'Sonstige Sektoren GWh'!$I$3:$I$64&amp;'Sonstige Sektoren GWh'!$J$3:$J$64,0),16)</f>
        <v>2715.4920000000002</v>
      </c>
      <c r="F16">
        <f t="array" ref="F16">INDEX('Sonstige Sektoren GWh'!$K$3:$AA$64,MATCH($B16&amp;"FC_OTH_CP_E",'Sonstige Sektoren GWh'!$I$3:$I$64&amp;'Sonstige Sektoren GWh'!$J$3:$J$64,0),17)</f>
        <v>2933</v>
      </c>
      <c r="I16" s="29" t="s">
        <v>183</v>
      </c>
      <c r="J16" s="23">
        <v>39816428</v>
      </c>
      <c r="K16" s="23">
        <v>45206289</v>
      </c>
      <c r="L16" s="23">
        <v>52710997</v>
      </c>
      <c r="M16" s="23">
        <v>137733714</v>
      </c>
      <c r="O16" s="29" t="s">
        <v>186</v>
      </c>
      <c r="P16" s="12" t="s">
        <v>35</v>
      </c>
      <c r="Q16" t="e">
        <f t="shared" si="1"/>
        <v>#N/A</v>
      </c>
      <c r="R16" t="e">
        <f t="shared" si="2"/>
        <v>#N/A</v>
      </c>
      <c r="S16" t="e">
        <f t="shared" si="3"/>
        <v>#N/A</v>
      </c>
    </row>
    <row r="17" spans="2:19" x14ac:dyDescent="0.2">
      <c r="B17" s="26" t="s">
        <v>34</v>
      </c>
      <c r="C17" s="12" t="s">
        <v>158</v>
      </c>
      <c r="D17" t="e">
        <f t="array" ref="D17">INDEX('Sonstige Sektoren GWh'!$K$3:$AA$64,MATCH($B17&amp;"FC_OTH_HH_E",'Sonstige Sektoren GWh'!$I$3:$I$64&amp;'Sonstige Sektoren GWh'!$J$3:$J$64,0),15)</f>
        <v>#N/A</v>
      </c>
      <c r="E17" t="e">
        <f t="array" ref="E17">INDEX('Sonstige Sektoren GWh'!$K$3:$AA$64,MATCH($B17&amp;"FC_OTH_HH_E",'Sonstige Sektoren GWh'!$I$3:$I$64&amp;'Sonstige Sektoren GWh'!$J$3:$J$64,0),16)</f>
        <v>#N/A</v>
      </c>
      <c r="F17" t="e">
        <f t="array" ref="F17">INDEX('Sonstige Sektoren GWh'!$K$3:$AA$64,MATCH($B17&amp;"FC_OTH_HH_E",'Sonstige Sektoren GWh'!$I$3:$I$64&amp;'Sonstige Sektoren GWh'!$J$3:$J$64,0),17)</f>
        <v>#N/A</v>
      </c>
      <c r="I17" s="29" t="s">
        <v>178</v>
      </c>
      <c r="J17" s="23">
        <v>14621681</v>
      </c>
      <c r="K17" s="23">
        <v>16347808</v>
      </c>
      <c r="L17" s="23">
        <v>18811551</v>
      </c>
      <c r="M17" s="23">
        <v>49781040</v>
      </c>
      <c r="O17" s="29" t="s">
        <v>188</v>
      </c>
      <c r="P17" s="12" t="s">
        <v>40</v>
      </c>
      <c r="Q17" t="e">
        <f t="shared" si="1"/>
        <v>#N/A</v>
      </c>
      <c r="R17" t="e">
        <f t="shared" si="2"/>
        <v>#N/A</v>
      </c>
      <c r="S17" t="e">
        <f t="shared" si="3"/>
        <v>#N/A</v>
      </c>
    </row>
    <row r="18" spans="2:19" x14ac:dyDescent="0.2">
      <c r="B18" s="25" t="s">
        <v>54</v>
      </c>
      <c r="C18" s="12" t="s">
        <v>166</v>
      </c>
      <c r="D18" t="e">
        <f>VLOOKUP(CONCATENATE($B18&amp;" Ergebnis"),'Industriesektor GWh'!$J$3:$AB$436,17,FALSE)</f>
        <v>#N/A</v>
      </c>
      <c r="E18" t="e">
        <f>VLOOKUP(CONCATENATE($B18&amp;" Ergebnis"),'Industriesektor GWh'!$J$3:$AB$436,17,FALSE)</f>
        <v>#N/A</v>
      </c>
      <c r="F18" t="e">
        <f>VLOOKUP(CONCATENATE($B18&amp;" Ergebnis"),'Industriesektor GWh'!$J$3:$AB$436,17,FALSE)</f>
        <v>#N/A</v>
      </c>
      <c r="I18" s="29" t="s">
        <v>184</v>
      </c>
      <c r="J18" s="23">
        <v>0</v>
      </c>
      <c r="K18" s="23">
        <v>0</v>
      </c>
      <c r="L18" s="23">
        <v>0</v>
      </c>
      <c r="M18" s="23">
        <v>0</v>
      </c>
      <c r="O18" s="29" t="s">
        <v>189</v>
      </c>
      <c r="P18" s="12" t="s">
        <v>43</v>
      </c>
      <c r="Q18" t="e">
        <f t="shared" si="1"/>
        <v>#N/A</v>
      </c>
      <c r="R18" t="e">
        <f t="shared" si="2"/>
        <v>#N/A</v>
      </c>
      <c r="S18" t="e">
        <f t="shared" si="3"/>
        <v>#N/A</v>
      </c>
    </row>
    <row r="19" spans="2:19" x14ac:dyDescent="0.2">
      <c r="B19" s="26" t="s">
        <v>54</v>
      </c>
      <c r="C19" s="12" t="s">
        <v>167</v>
      </c>
      <c r="D19">
        <f t="array" ref="D19">INDEX('Sonstige Sektoren GWh'!$K$3:$AA$64,MATCH($B19&amp;"FC_OTH_CP_E",'Sonstige Sektoren GWh'!$I$3:$I$64&amp;'Sonstige Sektoren GWh'!$J$3:$J$64,0),15)</f>
        <v>17645</v>
      </c>
      <c r="E19">
        <f t="array" ref="E19">INDEX('Sonstige Sektoren GWh'!$K$3:$AA$64,MATCH($B19&amp;"FC_OTH_CP_E",'Sonstige Sektoren GWh'!$I$3:$I$64&amp;'Sonstige Sektoren GWh'!$J$3:$J$64,0),16)</f>
        <v>17520</v>
      </c>
      <c r="F19">
        <f t="array" ref="F19">INDEX('Sonstige Sektoren GWh'!$K$3:$AA$64,MATCH($B19&amp;"FC_OTH_CP_E",'Sonstige Sektoren GWh'!$I$3:$I$64&amp;'Sonstige Sektoren GWh'!$J$3:$J$64,0),17)</f>
        <v>18200</v>
      </c>
      <c r="I19" s="29" t="s">
        <v>187</v>
      </c>
      <c r="J19" s="23">
        <v>9196668</v>
      </c>
      <c r="K19" s="23">
        <v>20081290</v>
      </c>
      <c r="L19" s="23">
        <v>19421167</v>
      </c>
      <c r="M19" s="23">
        <v>48699125</v>
      </c>
      <c r="O19" s="29" t="s">
        <v>190</v>
      </c>
      <c r="P19" s="12" t="s">
        <v>44</v>
      </c>
      <c r="Q19" t="e">
        <f t="shared" si="1"/>
        <v>#N/A</v>
      </c>
      <c r="R19" t="e">
        <f t="shared" si="2"/>
        <v>#N/A</v>
      </c>
      <c r="S19" t="e">
        <f t="shared" si="3"/>
        <v>#N/A</v>
      </c>
    </row>
    <row r="20" spans="2:19" x14ac:dyDescent="0.2">
      <c r="B20" s="26" t="s">
        <v>54</v>
      </c>
      <c r="C20" s="12" t="s">
        <v>158</v>
      </c>
      <c r="D20" t="e">
        <f t="array" ref="D20">INDEX('Sonstige Sektoren GWh'!$K$3:$AA$64,MATCH($B20&amp;"FC_OTH_HH_E",'Sonstige Sektoren GWh'!$I$3:$I$64&amp;'Sonstige Sektoren GWh'!$J$3:$J$64,0),15)</f>
        <v>#N/A</v>
      </c>
      <c r="E20" t="e">
        <f t="array" ref="E20">INDEX('Sonstige Sektoren GWh'!$K$3:$AA$64,MATCH($B20&amp;"FC_OTH_HH_E",'Sonstige Sektoren GWh'!$I$3:$I$64&amp;'Sonstige Sektoren GWh'!$J$3:$J$64,0),16)</f>
        <v>#N/A</v>
      </c>
      <c r="F20" t="e">
        <f t="array" ref="F20">INDEX('Sonstige Sektoren GWh'!$K$3:$AA$64,MATCH($B20&amp;"FC_OTH_HH_E",'Sonstige Sektoren GWh'!$I$3:$I$64&amp;'Sonstige Sektoren GWh'!$J$3:$J$64,0),17)</f>
        <v>#N/A</v>
      </c>
      <c r="I20" s="29" t="s">
        <v>186</v>
      </c>
      <c r="J20" s="23">
        <v>2176944</v>
      </c>
      <c r="K20" s="23">
        <v>2021089</v>
      </c>
      <c r="L20" s="23">
        <v>2055457</v>
      </c>
      <c r="M20" s="23">
        <v>6253490</v>
      </c>
      <c r="O20" s="29" t="s">
        <v>191</v>
      </c>
      <c r="P20" s="12" t="s">
        <v>47</v>
      </c>
      <c r="Q20" t="e">
        <f t="shared" si="1"/>
        <v>#N/A</v>
      </c>
      <c r="R20" t="e">
        <f t="shared" si="2"/>
        <v>#N/A</v>
      </c>
      <c r="S20" t="e">
        <f t="shared" si="3"/>
        <v>#N/A</v>
      </c>
    </row>
    <row r="21" spans="2:19" x14ac:dyDescent="0.2">
      <c r="B21" s="25" t="s">
        <v>38</v>
      </c>
      <c r="C21" s="12" t="s">
        <v>166</v>
      </c>
      <c r="D21" t="e">
        <f>VLOOKUP(CONCATENATE($B21&amp;" Ergebnis"),'Industriesektor GWh'!$J$3:$AB$436,17,FALSE)</f>
        <v>#N/A</v>
      </c>
      <c r="E21" t="e">
        <f>VLOOKUP(CONCATENATE($B21&amp;" Ergebnis"),'Industriesektor GWh'!$J$3:$AB$436,17,FALSE)</f>
        <v>#N/A</v>
      </c>
      <c r="F21" t="e">
        <f>VLOOKUP(CONCATENATE($B21&amp;" Ergebnis"),'Industriesektor GWh'!$J$3:$AB$436,17,FALSE)</f>
        <v>#N/A</v>
      </c>
      <c r="I21" s="29" t="s">
        <v>188</v>
      </c>
      <c r="J21" s="23">
        <v>73676345</v>
      </c>
      <c r="K21" s="23">
        <v>71273042</v>
      </c>
      <c r="L21" s="23">
        <v>91299884</v>
      </c>
      <c r="M21" s="23">
        <v>236249271</v>
      </c>
      <c r="O21" s="29" t="s">
        <v>192</v>
      </c>
      <c r="P21" s="12" t="s">
        <v>58</v>
      </c>
      <c r="Q21" t="e">
        <f t="shared" si="1"/>
        <v>#N/A</v>
      </c>
      <c r="R21" t="e">
        <f t="shared" si="2"/>
        <v>#N/A</v>
      </c>
      <c r="S21" t="e">
        <f t="shared" si="3"/>
        <v>#N/A</v>
      </c>
    </row>
    <row r="22" spans="2:19" x14ac:dyDescent="0.2">
      <c r="B22" s="26" t="s">
        <v>38</v>
      </c>
      <c r="C22" s="12" t="s">
        <v>167</v>
      </c>
      <c r="D22">
        <f t="array" ref="D22">INDEX('Sonstige Sektoren GWh'!$K$3:$AA$64,MATCH($B22&amp;"FC_OTH_CP_E",'Sonstige Sektoren GWh'!$I$3:$I$64&amp;'Sonstige Sektoren GWh'!$J$3:$J$64,0),15)</f>
        <v>139851.70199999999</v>
      </c>
      <c r="E22">
        <f t="array" ref="E22">INDEX('Sonstige Sektoren GWh'!$K$3:$AA$64,MATCH($B22&amp;"FC_OTH_CP_E",'Sonstige Sektoren GWh'!$I$3:$I$64&amp;'Sonstige Sektoren GWh'!$J$3:$J$64,0),16)</f>
        <v>139382.383</v>
      </c>
      <c r="F22">
        <f t="array" ref="F22">INDEX('Sonstige Sektoren GWh'!$K$3:$AA$64,MATCH($B22&amp;"FC_OTH_CP_E",'Sonstige Sektoren GWh'!$I$3:$I$64&amp;'Sonstige Sektoren GWh'!$J$3:$J$64,0),17)</f>
        <v>138487.65400000001</v>
      </c>
      <c r="I22" s="29" t="s">
        <v>189</v>
      </c>
      <c r="J22" s="23">
        <v>0</v>
      </c>
      <c r="K22" s="23">
        <v>0</v>
      </c>
      <c r="L22" s="23">
        <v>358638</v>
      </c>
      <c r="M22" s="23">
        <v>358638</v>
      </c>
      <c r="O22" s="29" t="s">
        <v>50</v>
      </c>
      <c r="P22" s="12" t="s">
        <v>50</v>
      </c>
      <c r="Q22" t="e">
        <f t="shared" si="1"/>
        <v>#N/A</v>
      </c>
      <c r="R22" t="e">
        <f t="shared" si="2"/>
        <v>#N/A</v>
      </c>
      <c r="S22" t="e">
        <f t="shared" si="3"/>
        <v>#N/A</v>
      </c>
    </row>
    <row r="23" spans="2:19" x14ac:dyDescent="0.2">
      <c r="B23" s="26" t="s">
        <v>38</v>
      </c>
      <c r="C23" s="12" t="s">
        <v>158</v>
      </c>
      <c r="D23" t="e">
        <f t="array" ref="D23">INDEX('Sonstige Sektoren GWh'!$K$3:$AA$64,MATCH($B23&amp;"FC_OTH_HH_E",'Sonstige Sektoren GWh'!$I$3:$I$64&amp;'Sonstige Sektoren GWh'!$J$3:$J$64,0),15)</f>
        <v>#N/A</v>
      </c>
      <c r="E23" t="e">
        <f t="array" ref="E23">INDEX('Sonstige Sektoren GWh'!$K$3:$AA$64,MATCH($B23&amp;"FC_OTH_HH_E",'Sonstige Sektoren GWh'!$I$3:$I$64&amp;'Sonstige Sektoren GWh'!$J$3:$J$64,0),16)</f>
        <v>#N/A</v>
      </c>
      <c r="F23" t="e">
        <f t="array" ref="F23">INDEX('Sonstige Sektoren GWh'!$K$3:$AA$64,MATCH($B23&amp;"FC_OTH_HH_E",'Sonstige Sektoren GWh'!$I$3:$I$64&amp;'Sonstige Sektoren GWh'!$J$3:$J$64,0),17)</f>
        <v>#N/A</v>
      </c>
      <c r="I23" s="29" t="s">
        <v>190</v>
      </c>
      <c r="J23" s="23">
        <v>147728</v>
      </c>
      <c r="K23" s="23">
        <v>106055</v>
      </c>
      <c r="L23" s="23">
        <v>171062</v>
      </c>
      <c r="M23" s="23">
        <v>424845</v>
      </c>
      <c r="O23" s="29" t="s">
        <v>193</v>
      </c>
      <c r="P23" s="12" t="s">
        <v>59</v>
      </c>
      <c r="Q23" t="e">
        <f t="shared" si="1"/>
        <v>#N/A</v>
      </c>
      <c r="R23" t="e">
        <f t="shared" si="2"/>
        <v>#N/A</v>
      </c>
      <c r="S23" t="e">
        <f t="shared" si="3"/>
        <v>#N/A</v>
      </c>
    </row>
    <row r="24" spans="2:19" x14ac:dyDescent="0.2">
      <c r="B24" s="25" t="s">
        <v>36</v>
      </c>
      <c r="C24" s="12" t="s">
        <v>166</v>
      </c>
      <c r="D24" t="e">
        <f>VLOOKUP(CONCATENATE($B24&amp;" Ergebnis"),'Industriesektor GWh'!$J$3:$AB$436,17,FALSE)</f>
        <v>#N/A</v>
      </c>
      <c r="E24" t="e">
        <f>VLOOKUP(CONCATENATE($B24&amp;" Ergebnis"),'Industriesektor GWh'!$J$3:$AB$436,17,FALSE)</f>
        <v>#N/A</v>
      </c>
      <c r="F24" t="e">
        <f>VLOOKUP(CONCATENATE($B24&amp;" Ergebnis"),'Industriesektor GWh'!$J$3:$AB$436,17,FALSE)</f>
        <v>#N/A</v>
      </c>
      <c r="I24" s="29" t="s">
        <v>191</v>
      </c>
      <c r="J24" s="23">
        <v>13837637</v>
      </c>
      <c r="K24" s="23">
        <v>15700924</v>
      </c>
      <c r="L24" s="23">
        <v>23608943</v>
      </c>
      <c r="M24" s="23">
        <v>53147504</v>
      </c>
      <c r="O24" s="29" t="s">
        <v>196</v>
      </c>
      <c r="P24" s="12" t="s">
        <v>53</v>
      </c>
      <c r="Q24" t="e">
        <f t="shared" si="1"/>
        <v>#N/A</v>
      </c>
      <c r="R24" t="e">
        <f t="shared" si="2"/>
        <v>#N/A</v>
      </c>
      <c r="S24" t="e">
        <f t="shared" si="3"/>
        <v>#N/A</v>
      </c>
    </row>
    <row r="25" spans="2:19" x14ac:dyDescent="0.2">
      <c r="B25" s="26" t="s">
        <v>36</v>
      </c>
      <c r="C25" s="12" t="s">
        <v>167</v>
      </c>
      <c r="D25">
        <f t="array" ref="D25">INDEX('Sonstige Sektoren GWh'!$K$3:$AA$64,MATCH($B25&amp;"FC_OTH_CP_E",'Sonstige Sektoren GWh'!$I$3:$I$64&amp;'Sonstige Sektoren GWh'!$J$3:$J$64,0),15)</f>
        <v>19448</v>
      </c>
      <c r="E25">
        <f t="array" ref="E25">INDEX('Sonstige Sektoren GWh'!$K$3:$AA$64,MATCH($B25&amp;"FC_OTH_CP_E",'Sonstige Sektoren GWh'!$I$3:$I$64&amp;'Sonstige Sektoren GWh'!$J$3:$J$64,0),16)</f>
        <v>19243.437000000002</v>
      </c>
      <c r="F25">
        <f t="array" ref="F25">INDEX('Sonstige Sektoren GWh'!$K$3:$AA$64,MATCH($B25&amp;"FC_OTH_CP_E",'Sonstige Sektoren GWh'!$I$3:$I$64&amp;'Sonstige Sektoren GWh'!$J$3:$J$64,0),17)</f>
        <v>17807.75</v>
      </c>
      <c r="I25" s="29" t="s">
        <v>192</v>
      </c>
      <c r="J25" s="23">
        <v>138459470</v>
      </c>
      <c r="K25" s="23">
        <v>134952185</v>
      </c>
      <c r="L25" s="23">
        <v>138006496</v>
      </c>
      <c r="M25" s="23">
        <v>411418151</v>
      </c>
      <c r="O25" s="29" t="s">
        <v>195</v>
      </c>
      <c r="P25" s="12" t="s">
        <v>52</v>
      </c>
      <c r="Q25" t="e">
        <f t="shared" si="1"/>
        <v>#N/A</v>
      </c>
      <c r="R25" t="e">
        <f t="shared" si="2"/>
        <v>#N/A</v>
      </c>
      <c r="S25" t="e">
        <f t="shared" si="3"/>
        <v>#N/A</v>
      </c>
    </row>
    <row r="26" spans="2:19" x14ac:dyDescent="0.2">
      <c r="B26" s="26" t="s">
        <v>36</v>
      </c>
      <c r="C26" s="12" t="s">
        <v>158</v>
      </c>
      <c r="D26" t="e">
        <f t="array" ref="D26">INDEX('Sonstige Sektoren GWh'!$K$3:$AA$64,MATCH($B26&amp;"FC_OTH_HH_E",'Sonstige Sektoren GWh'!$I$3:$I$64&amp;'Sonstige Sektoren GWh'!$J$3:$J$64,0),15)</f>
        <v>#N/A</v>
      </c>
      <c r="E26" t="e">
        <f t="array" ref="E26">INDEX('Sonstige Sektoren GWh'!$K$3:$AA$64,MATCH($B26&amp;"FC_OTH_HH_E",'Sonstige Sektoren GWh'!$I$3:$I$64&amp;'Sonstige Sektoren GWh'!$J$3:$J$64,0),16)</f>
        <v>#N/A</v>
      </c>
      <c r="F26" t="e">
        <f t="array" ref="F26">INDEX('Sonstige Sektoren GWh'!$K$3:$AA$64,MATCH($B26&amp;"FC_OTH_HH_E",'Sonstige Sektoren GWh'!$I$3:$I$64&amp;'Sonstige Sektoren GWh'!$J$3:$J$64,0),17)</f>
        <v>#N/A</v>
      </c>
      <c r="I26" s="29" t="s">
        <v>50</v>
      </c>
      <c r="J26" s="23">
        <v>0</v>
      </c>
      <c r="K26" s="23">
        <v>0</v>
      </c>
      <c r="L26" s="23">
        <v>0</v>
      </c>
      <c r="M26" s="23">
        <v>0</v>
      </c>
      <c r="O26" s="29" t="s">
        <v>181</v>
      </c>
      <c r="P26" s="12" t="s">
        <v>37</v>
      </c>
      <c r="Q26" t="e">
        <f t="shared" si="1"/>
        <v>#N/A</v>
      </c>
      <c r="R26" t="e">
        <f t="shared" si="2"/>
        <v>#N/A</v>
      </c>
      <c r="S26" t="e">
        <f t="shared" si="3"/>
        <v>#N/A</v>
      </c>
    </row>
    <row r="27" spans="2:19" x14ac:dyDescent="0.2">
      <c r="B27" s="25" t="s">
        <v>35</v>
      </c>
      <c r="C27" s="12" t="s">
        <v>166</v>
      </c>
      <c r="D27" t="e">
        <f>VLOOKUP(CONCATENATE($B27&amp;" Ergebnis"),'Industriesektor GWh'!$J$3:$AB$436,17,FALSE)</f>
        <v>#N/A</v>
      </c>
      <c r="E27" t="e">
        <f>VLOOKUP(CONCATENATE($B27&amp;" Ergebnis"),'Industriesektor GWh'!$J$3:$AB$436,17,FALSE)</f>
        <v>#N/A</v>
      </c>
      <c r="F27" t="e">
        <f>VLOOKUP(CONCATENATE($B27&amp;" Ergebnis"),'Industriesektor GWh'!$J$3:$AB$436,17,FALSE)</f>
        <v>#N/A</v>
      </c>
      <c r="I27" s="29" t="s">
        <v>193</v>
      </c>
      <c r="J27" s="23">
        <v>0</v>
      </c>
      <c r="K27" s="23">
        <v>0</v>
      </c>
      <c r="L27" s="23">
        <v>395</v>
      </c>
      <c r="M27" s="23">
        <v>395</v>
      </c>
      <c r="O27" s="29" t="s">
        <v>194</v>
      </c>
      <c r="P27" s="12" t="s">
        <v>55</v>
      </c>
      <c r="Q27" t="e">
        <f t="shared" si="1"/>
        <v>#N/A</v>
      </c>
      <c r="R27" t="e">
        <f t="shared" si="2"/>
        <v>#N/A</v>
      </c>
      <c r="S27" t="e">
        <f t="shared" si="3"/>
        <v>#N/A</v>
      </c>
    </row>
    <row r="28" spans="2:19" x14ac:dyDescent="0.2">
      <c r="B28" s="26" t="s">
        <v>35</v>
      </c>
      <c r="C28" s="12" t="s">
        <v>167</v>
      </c>
      <c r="D28">
        <f t="array" ref="D28">INDEX('Sonstige Sektoren GWh'!$K$3:$AA$64,MATCH($B28&amp;"FC_OTH_CP_E",'Sonstige Sektoren GWh'!$I$3:$I$64&amp;'Sonstige Sektoren GWh'!$J$3:$J$64,0),15)</f>
        <v>6951.1149999999998</v>
      </c>
      <c r="E28">
        <f t="array" ref="E28">INDEX('Sonstige Sektoren GWh'!$K$3:$AA$64,MATCH($B28&amp;"FC_OTH_CP_E",'Sonstige Sektoren GWh'!$I$3:$I$64&amp;'Sonstige Sektoren GWh'!$J$3:$J$64,0),16)</f>
        <v>7027.0330000000004</v>
      </c>
      <c r="F28">
        <f t="array" ref="F28">INDEX('Sonstige Sektoren GWh'!$K$3:$AA$64,MATCH($B28&amp;"FC_OTH_CP_E",'Sonstige Sektoren GWh'!$I$3:$I$64&amp;'Sonstige Sektoren GWh'!$J$3:$J$64,0),17)</f>
        <v>7462.2259999999997</v>
      </c>
      <c r="I28" s="29" t="s">
        <v>196</v>
      </c>
      <c r="J28" s="23">
        <v>0</v>
      </c>
      <c r="K28" s="23">
        <v>0</v>
      </c>
      <c r="L28" s="23">
        <v>0</v>
      </c>
      <c r="M28" s="23">
        <v>0</v>
      </c>
      <c r="O28" s="29" t="s">
        <v>175</v>
      </c>
      <c r="P28" s="12" t="s">
        <v>201</v>
      </c>
      <c r="Q28" t="e">
        <f t="shared" si="1"/>
        <v>#DIV/0!</v>
      </c>
      <c r="R28" t="e">
        <f t="shared" si="2"/>
        <v>#DIV/0!</v>
      </c>
      <c r="S28" t="e">
        <f t="shared" si="3"/>
        <v>#DIV/0!</v>
      </c>
    </row>
    <row r="29" spans="2:19" x14ac:dyDescent="0.2">
      <c r="B29" s="26" t="s">
        <v>35</v>
      </c>
      <c r="C29" s="12" t="s">
        <v>158</v>
      </c>
      <c r="D29" t="e">
        <f t="array" ref="D29">INDEX('Sonstige Sektoren GWh'!$K$3:$AA$64,MATCH($B29&amp;"FC_OTH_HH_E",'Sonstige Sektoren GWh'!$I$3:$I$64&amp;'Sonstige Sektoren GWh'!$J$3:$J$64,0),15)</f>
        <v>#N/A</v>
      </c>
      <c r="E29" t="e">
        <f t="array" ref="E29">INDEX('Sonstige Sektoren GWh'!$K$3:$AA$64,MATCH($B29&amp;"FC_OTH_HH_E",'Sonstige Sektoren GWh'!$I$3:$I$64&amp;'Sonstige Sektoren GWh'!$J$3:$J$64,0),16)</f>
        <v>#N/A</v>
      </c>
      <c r="F29" t="e">
        <f t="array" ref="F29">INDEX('Sonstige Sektoren GWh'!$K$3:$AA$64,MATCH($B29&amp;"FC_OTH_HH_E",'Sonstige Sektoren GWh'!$I$3:$I$64&amp;'Sonstige Sektoren GWh'!$J$3:$J$64,0),17)</f>
        <v>#N/A</v>
      </c>
      <c r="I29" s="29" t="s">
        <v>195</v>
      </c>
      <c r="J29" s="23">
        <v>4293000</v>
      </c>
      <c r="K29" s="23">
        <v>2734000</v>
      </c>
      <c r="L29" s="23">
        <v>3660000</v>
      </c>
      <c r="M29" s="23">
        <v>10687000</v>
      </c>
      <c r="O29" s="29" t="s">
        <v>197</v>
      </c>
      <c r="P29" s="12" t="s">
        <v>56</v>
      </c>
      <c r="Q29" t="e">
        <f t="shared" si="1"/>
        <v>#N/A</v>
      </c>
      <c r="R29" t="e">
        <f t="shared" si="2"/>
        <v>#N/A</v>
      </c>
      <c r="S29" t="e">
        <f t="shared" si="3"/>
        <v>#N/A</v>
      </c>
    </row>
    <row r="30" spans="2:19" x14ac:dyDescent="0.2">
      <c r="B30" s="25" t="s">
        <v>57</v>
      </c>
      <c r="C30" s="12" t="s">
        <v>166</v>
      </c>
      <c r="D30" t="e">
        <f>VLOOKUP(CONCATENATE($B30&amp;" Ergebnis"),'Industriesektor GWh'!$J$3:$AB$436,17,FALSE)</f>
        <v>#N/A</v>
      </c>
      <c r="E30" t="e">
        <f>VLOOKUP(CONCATENATE($B30&amp;" Ergebnis"),'Industriesektor GWh'!$J$3:$AB$436,17,FALSE)</f>
        <v>#N/A</v>
      </c>
      <c r="F30" t="e">
        <f>VLOOKUP(CONCATENATE($B30&amp;" Ergebnis"),'Industriesektor GWh'!$J$3:$AB$436,17,FALSE)</f>
        <v>#N/A</v>
      </c>
      <c r="I30" s="29" t="s">
        <v>181</v>
      </c>
      <c r="J30" s="23">
        <v>47495237</v>
      </c>
      <c r="K30" s="23">
        <v>78875350</v>
      </c>
      <c r="L30" s="23">
        <v>102254536</v>
      </c>
      <c r="M30" s="23">
        <v>228625123</v>
      </c>
      <c r="Q30" t="e">
        <f>AVERAGE(Q4:Q27)</f>
        <v>#N/A</v>
      </c>
      <c r="R30" t="e">
        <f t="shared" ref="R30:S30" si="4">AVERAGE(R4:R27)</f>
        <v>#N/A</v>
      </c>
      <c r="S30" t="e">
        <f t="shared" si="4"/>
        <v>#N/A</v>
      </c>
    </row>
    <row r="31" spans="2:19" x14ac:dyDescent="0.2">
      <c r="B31" s="25" t="s">
        <v>57</v>
      </c>
      <c r="C31" s="12" t="s">
        <v>167</v>
      </c>
      <c r="D31">
        <f t="array" ref="D31">INDEX('Sonstige Sektoren GWh'!$K$3:$AA$64,MATCH($B31&amp;"FC_OTH_CP_E",'Sonstige Sektoren GWh'!$I$3:$I$64&amp;'Sonstige Sektoren GWh'!$J$3:$J$64,0),15)</f>
        <v>1263</v>
      </c>
      <c r="E31">
        <f t="array" ref="E31">INDEX('Sonstige Sektoren GWh'!$K$3:$AA$64,MATCH($B31&amp;"FC_OTH_CP_E",'Sonstige Sektoren GWh'!$I$3:$I$64&amp;'Sonstige Sektoren GWh'!$J$3:$J$64,0),16)</f>
        <v>1331.617</v>
      </c>
      <c r="F31">
        <f t="array" ref="F31">INDEX('Sonstige Sektoren GWh'!$K$3:$AA$64,MATCH($B31&amp;"FC_OTH_CP_E",'Sonstige Sektoren GWh'!$I$3:$I$64&amp;'Sonstige Sektoren GWh'!$J$3:$J$64,0),17)</f>
        <v>1714.0719999999999</v>
      </c>
      <c r="I31" s="29" t="s">
        <v>194</v>
      </c>
      <c r="J31" s="23">
        <v>31384598</v>
      </c>
      <c r="K31" s="23">
        <v>39473491</v>
      </c>
      <c r="L31" s="23">
        <v>55747861</v>
      </c>
      <c r="M31" s="23">
        <v>126605950</v>
      </c>
    </row>
    <row r="32" spans="2:19" x14ac:dyDescent="0.2">
      <c r="B32" s="26" t="s">
        <v>57</v>
      </c>
      <c r="C32" s="12" t="s">
        <v>158</v>
      </c>
      <c r="D32" t="e">
        <f t="array" ref="D32">INDEX('Sonstige Sektoren GWh'!$K$3:$AA$64,MATCH($B32&amp;"FC_OTH_HH_E",'Sonstige Sektoren GWh'!$I$3:$I$64&amp;'Sonstige Sektoren GWh'!$J$3:$J$64,0),15)</f>
        <v>#N/A</v>
      </c>
      <c r="E32" t="e">
        <f t="array" ref="E32">INDEX('Sonstige Sektoren GWh'!$K$3:$AA$64,MATCH($B32&amp;"FC_OTH_HH_E",'Sonstige Sektoren GWh'!$I$3:$I$64&amp;'Sonstige Sektoren GWh'!$J$3:$J$64,0),16)</f>
        <v>#N/A</v>
      </c>
      <c r="F32" t="e">
        <f t="array" ref="F32">INDEX('Sonstige Sektoren GWh'!$K$3:$AA$64,MATCH($B32&amp;"FC_OTH_HH_E",'Sonstige Sektoren GWh'!$I$3:$I$64&amp;'Sonstige Sektoren GWh'!$J$3:$J$64,0),17)</f>
        <v>#N/A</v>
      </c>
      <c r="I32" s="29" t="s">
        <v>175</v>
      </c>
      <c r="J32" s="23">
        <v>58237337</v>
      </c>
      <c r="K32" s="23">
        <v>56043346</v>
      </c>
      <c r="L32" s="23">
        <v>63035107</v>
      </c>
      <c r="M32" s="23">
        <v>177315790</v>
      </c>
    </row>
    <row r="33" spans="2:13" x14ac:dyDescent="0.2">
      <c r="B33" s="25" t="s">
        <v>40</v>
      </c>
      <c r="C33" s="12" t="s">
        <v>166</v>
      </c>
      <c r="D33" t="e">
        <f>VLOOKUP(CONCATENATE($B33&amp;" Ergebnis"),'Industriesektor GWh'!$J$3:$AB$436,17,FALSE)</f>
        <v>#N/A</v>
      </c>
      <c r="E33" t="e">
        <f>VLOOKUP(CONCATENATE($B33&amp;" Ergebnis"),'Industriesektor GWh'!$J$3:$AB$436,17,FALSE)</f>
        <v>#N/A</v>
      </c>
      <c r="F33" t="e">
        <f>VLOOKUP(CONCATENATE($B33&amp;" Ergebnis"),'Industriesektor GWh'!$J$3:$AB$436,17,FALSE)</f>
        <v>#N/A</v>
      </c>
      <c r="I33" s="29" t="s">
        <v>197</v>
      </c>
      <c r="J33" s="23">
        <v>0</v>
      </c>
      <c r="K33" s="23">
        <v>0</v>
      </c>
      <c r="L33" s="23">
        <v>0</v>
      </c>
      <c r="M33" s="23">
        <v>0</v>
      </c>
    </row>
    <row r="34" spans="2:13" x14ac:dyDescent="0.2">
      <c r="B34" s="26" t="s">
        <v>40</v>
      </c>
      <c r="C34" s="12" t="s">
        <v>167</v>
      </c>
      <c r="D34">
        <f t="array" ref="D34">INDEX('Sonstige Sektoren GWh'!$K$3:$AA$64,MATCH($B34&amp;"FC_OTH_CP_E",'Sonstige Sektoren GWh'!$I$3:$I$64&amp;'Sonstige Sektoren GWh'!$J$3:$J$64,0),15)</f>
        <v>91736</v>
      </c>
      <c r="E34">
        <f t="array" ref="E34">INDEX('Sonstige Sektoren GWh'!$K$3:$AA$64,MATCH($B34&amp;"FC_OTH_CP_E",'Sonstige Sektoren GWh'!$I$3:$I$64&amp;'Sonstige Sektoren GWh'!$J$3:$J$64,0),16)</f>
        <v>93491.933999999994</v>
      </c>
      <c r="F34">
        <f t="array" ref="F34">INDEX('Sonstige Sektoren GWh'!$K$3:$AA$64,MATCH($B34&amp;"FC_OTH_CP_E",'Sonstige Sektoren GWh'!$I$3:$I$64&amp;'Sonstige Sektoren GWh'!$J$3:$J$64,0),17)</f>
        <v>94489.797999999995</v>
      </c>
      <c r="I34" s="29" t="s">
        <v>164</v>
      </c>
      <c r="J34" s="23">
        <v>497049054</v>
      </c>
      <c r="K34" s="23">
        <v>555539954</v>
      </c>
      <c r="L34" s="23">
        <v>652666625.61845994</v>
      </c>
      <c r="M34" s="23">
        <v>1705255633.6184599</v>
      </c>
    </row>
    <row r="35" spans="2:13" x14ac:dyDescent="0.2">
      <c r="B35" s="26" t="s">
        <v>40</v>
      </c>
      <c r="C35" s="12" t="s">
        <v>158</v>
      </c>
      <c r="D35" t="e">
        <f t="array" ref="D35">INDEX('Sonstige Sektoren GWh'!$K$3:$AA$64,MATCH($B35&amp;"FC_OTH_HH_E",'Sonstige Sektoren GWh'!$I$3:$I$64&amp;'Sonstige Sektoren GWh'!$J$3:$J$64,0),15)</f>
        <v>#N/A</v>
      </c>
      <c r="E35" t="e">
        <f t="array" ref="E35">INDEX('Sonstige Sektoren GWh'!$K$3:$AA$64,MATCH($B35&amp;"FC_OTH_HH_E",'Sonstige Sektoren GWh'!$I$3:$I$64&amp;'Sonstige Sektoren GWh'!$J$3:$J$64,0),16)</f>
        <v>#N/A</v>
      </c>
      <c r="F35" t="e">
        <f t="array" ref="F35">INDEX('Sonstige Sektoren GWh'!$K$3:$AA$64,MATCH($B35&amp;"FC_OTH_HH_E",'Sonstige Sektoren GWh'!$I$3:$I$64&amp;'Sonstige Sektoren GWh'!$J$3:$J$64,0),17)</f>
        <v>#N/A</v>
      </c>
    </row>
    <row r="36" spans="2:13" x14ac:dyDescent="0.2">
      <c r="B36" s="25" t="s">
        <v>39</v>
      </c>
      <c r="C36" s="12" t="s">
        <v>166</v>
      </c>
      <c r="D36" t="e">
        <f>VLOOKUP(CONCATENATE($B36&amp;" Ergebnis"),'Industriesektor GWh'!$J$3:$AB$436,17,FALSE)</f>
        <v>#N/A</v>
      </c>
      <c r="E36" t="e">
        <f>VLOOKUP(CONCATENATE($B36&amp;" Ergebnis"),'Industriesektor GWh'!$J$3:$AB$436,17,FALSE)</f>
        <v>#N/A</v>
      </c>
      <c r="F36" t="e">
        <f>VLOOKUP(CONCATENATE($B36&amp;" Ergebnis"),'Industriesektor GWh'!$J$3:$AB$436,17,FALSE)</f>
        <v>#N/A</v>
      </c>
    </row>
    <row r="37" spans="2:13" x14ac:dyDescent="0.2">
      <c r="B37" s="26" t="s">
        <v>39</v>
      </c>
      <c r="C37" s="12" t="s">
        <v>167</v>
      </c>
      <c r="D37">
        <f t="array" ref="D37">INDEX('Sonstige Sektoren GWh'!$K$3:$AA$64,MATCH($B37&amp;"FC_OTH_CP_E",'Sonstige Sektoren GWh'!$I$3:$I$64&amp;'Sonstige Sektoren GWh'!$J$3:$J$64,0),15)</f>
        <v>5433</v>
      </c>
      <c r="E37">
        <f t="array" ref="E37">INDEX('Sonstige Sektoren GWh'!$K$3:$AA$64,MATCH($B37&amp;"FC_OTH_CP_E",'Sonstige Sektoren GWh'!$I$3:$I$64&amp;'Sonstige Sektoren GWh'!$J$3:$J$64,0),16)</f>
        <v>5777.1</v>
      </c>
      <c r="F37">
        <f t="array" ref="F37">INDEX('Sonstige Sektoren GWh'!$K$3:$AA$64,MATCH($B37&amp;"FC_OTH_CP_E",'Sonstige Sektoren GWh'!$I$3:$I$64&amp;'Sonstige Sektoren GWh'!$J$3:$J$64,0),17)</f>
        <v>5945.2</v>
      </c>
    </row>
    <row r="38" spans="2:13" x14ac:dyDescent="0.2">
      <c r="B38" s="26" t="s">
        <v>39</v>
      </c>
      <c r="C38" s="12" t="s">
        <v>158</v>
      </c>
      <c r="D38" t="e">
        <f t="array" ref="D38">INDEX('Sonstige Sektoren GWh'!$K$3:$AA$64,MATCH($B38&amp;"FC_OTH_HH_E",'Sonstige Sektoren GWh'!$I$3:$I$64&amp;'Sonstige Sektoren GWh'!$J$3:$J$64,0),15)</f>
        <v>#N/A</v>
      </c>
      <c r="E38" t="e">
        <f t="array" ref="E38">INDEX('Sonstige Sektoren GWh'!$K$3:$AA$64,MATCH($B38&amp;"FC_OTH_HH_E",'Sonstige Sektoren GWh'!$I$3:$I$64&amp;'Sonstige Sektoren GWh'!$J$3:$J$64,0),16)</f>
        <v>#N/A</v>
      </c>
      <c r="F38" t="e">
        <f t="array" ref="F38">INDEX('Sonstige Sektoren GWh'!$K$3:$AA$64,MATCH($B38&amp;"FC_OTH_HH_E",'Sonstige Sektoren GWh'!$I$3:$I$64&amp;'Sonstige Sektoren GWh'!$J$3:$J$64,0),17)</f>
        <v>#N/A</v>
      </c>
    </row>
    <row r="39" spans="2:13" x14ac:dyDescent="0.2">
      <c r="B39" s="25" t="s">
        <v>42</v>
      </c>
      <c r="C39" s="12" t="s">
        <v>166</v>
      </c>
      <c r="D39" t="e">
        <f>VLOOKUP(CONCATENATE($B39&amp;" Ergebnis"),'Industriesektor GWh'!$J$3:$AB$436,17,FALSE)</f>
        <v>#N/A</v>
      </c>
      <c r="E39" t="e">
        <f>VLOOKUP(CONCATENATE($B39&amp;" Ergebnis"),'Industriesektor GWh'!$J$3:$AB$436,17,FALSE)</f>
        <v>#N/A</v>
      </c>
      <c r="F39" t="e">
        <f>VLOOKUP(CONCATENATE($B39&amp;" Ergebnis"),'Industriesektor GWh'!$J$3:$AB$436,17,FALSE)</f>
        <v>#N/A</v>
      </c>
    </row>
    <row r="40" spans="2:13" x14ac:dyDescent="0.2">
      <c r="B40" s="26" t="s">
        <v>42</v>
      </c>
      <c r="C40" s="12" t="s">
        <v>167</v>
      </c>
      <c r="D40">
        <f t="array" ref="D40">INDEX('Sonstige Sektoren GWh'!$K$3:$AA$64,MATCH($B40&amp;"FC_OTH_CP_E",'Sonstige Sektoren GWh'!$I$3:$I$64&amp;'Sonstige Sektoren GWh'!$J$3:$J$64,0),15)</f>
        <v>2733</v>
      </c>
      <c r="E40">
        <f t="array" ref="E40">INDEX('Sonstige Sektoren GWh'!$K$3:$AA$64,MATCH($B40&amp;"FC_OTH_CP_E",'Sonstige Sektoren GWh'!$I$3:$I$64&amp;'Sonstige Sektoren GWh'!$J$3:$J$64,0),16)</f>
        <v>2764.703</v>
      </c>
      <c r="F40">
        <f t="array" ref="F40">INDEX('Sonstige Sektoren GWh'!$K$3:$AA$64,MATCH($B40&amp;"FC_OTH_CP_E",'Sonstige Sektoren GWh'!$I$3:$I$64&amp;'Sonstige Sektoren GWh'!$J$3:$J$64,0),17)</f>
        <v>2856.0070000000001</v>
      </c>
    </row>
    <row r="41" spans="2:13" x14ac:dyDescent="0.2">
      <c r="B41" s="26" t="s">
        <v>42</v>
      </c>
      <c r="C41" s="12" t="s">
        <v>158</v>
      </c>
      <c r="D41" t="e">
        <f t="array" ref="D41">INDEX('Sonstige Sektoren GWh'!$K$3:$AA$64,MATCH($B41&amp;"FC_OTH_HH_E",'Sonstige Sektoren GWh'!$I$3:$I$64&amp;'Sonstige Sektoren GWh'!$J$3:$J$64,0),15)</f>
        <v>#N/A</v>
      </c>
      <c r="E41" t="e">
        <f t="array" ref="E41">INDEX('Sonstige Sektoren GWh'!$K$3:$AA$64,MATCH($B41&amp;"FC_OTH_HH_E",'Sonstige Sektoren GWh'!$I$3:$I$64&amp;'Sonstige Sektoren GWh'!$J$3:$J$64,0),16)</f>
        <v>#N/A</v>
      </c>
      <c r="F41" t="e">
        <f t="array" ref="F41">INDEX('Sonstige Sektoren GWh'!$K$3:$AA$64,MATCH($B41&amp;"FC_OTH_HH_E",'Sonstige Sektoren GWh'!$I$3:$I$64&amp;'Sonstige Sektoren GWh'!$J$3:$J$64,0),17)</f>
        <v>#N/A</v>
      </c>
    </row>
    <row r="42" spans="2:13" x14ac:dyDescent="0.2">
      <c r="B42" s="25" t="s">
        <v>43</v>
      </c>
      <c r="C42" s="12" t="s">
        <v>166</v>
      </c>
      <c r="D42" t="e">
        <f>VLOOKUP(CONCATENATE($B42&amp;" Ergebnis"),'Industriesektor GWh'!$J$3:$AB$436,17,FALSE)</f>
        <v>#N/A</v>
      </c>
      <c r="E42" t="e">
        <f>VLOOKUP(CONCATENATE($B42&amp;" Ergebnis"),'Industriesektor GWh'!$J$3:$AB$436,17,FALSE)</f>
        <v>#N/A</v>
      </c>
      <c r="F42" t="e">
        <f>VLOOKUP(CONCATENATE($B42&amp;" Ergebnis"),'Industriesektor GWh'!$J$3:$AB$436,17,FALSE)</f>
        <v>#N/A</v>
      </c>
    </row>
    <row r="43" spans="2:13" x14ac:dyDescent="0.2">
      <c r="B43" s="26" t="s">
        <v>43</v>
      </c>
      <c r="C43" s="12" t="s">
        <v>167</v>
      </c>
      <c r="D43">
        <f t="array" ref="D43">INDEX('Sonstige Sektoren GWh'!$K$3:$AA$64,MATCH($B43&amp;"FC_OTH_CP_E",'Sonstige Sektoren GWh'!$I$3:$I$64&amp;'Sonstige Sektoren GWh'!$J$3:$J$64,0),15)</f>
        <v>3280</v>
      </c>
      <c r="E43">
        <f t="array" ref="E43">INDEX('Sonstige Sektoren GWh'!$K$3:$AA$64,MATCH($B43&amp;"FC_OTH_CP_E",'Sonstige Sektoren GWh'!$I$3:$I$64&amp;'Sonstige Sektoren GWh'!$J$3:$J$64,0),16)</f>
        <v>3307.3</v>
      </c>
      <c r="F43">
        <f t="array" ref="F43">INDEX('Sonstige Sektoren GWh'!$K$3:$AA$64,MATCH($B43&amp;"FC_OTH_CP_E",'Sonstige Sektoren GWh'!$I$3:$I$64&amp;'Sonstige Sektoren GWh'!$J$3:$J$64,0),17)</f>
        <v>3436.5</v>
      </c>
    </row>
    <row r="44" spans="2:13" x14ac:dyDescent="0.2">
      <c r="B44" s="26" t="s">
        <v>43</v>
      </c>
      <c r="C44" s="12" t="s">
        <v>158</v>
      </c>
      <c r="D44" t="e">
        <f t="array" ref="D44">INDEX('Sonstige Sektoren GWh'!$K$3:$AA$64,MATCH($B44&amp;"FC_OTH_HH_E",'Sonstige Sektoren GWh'!$I$3:$I$64&amp;'Sonstige Sektoren GWh'!$J$3:$J$64,0),15)</f>
        <v>#N/A</v>
      </c>
      <c r="E44" t="e">
        <f t="array" ref="E44">INDEX('Sonstige Sektoren GWh'!$K$3:$AA$64,MATCH($B44&amp;"FC_OTH_HH_E",'Sonstige Sektoren GWh'!$I$3:$I$64&amp;'Sonstige Sektoren GWh'!$J$3:$J$64,0),16)</f>
        <v>#N/A</v>
      </c>
      <c r="F44" t="e">
        <f t="array" ref="F44">INDEX('Sonstige Sektoren GWh'!$K$3:$AA$64,MATCH($B44&amp;"FC_OTH_HH_E",'Sonstige Sektoren GWh'!$I$3:$I$64&amp;'Sonstige Sektoren GWh'!$J$3:$J$64,0),17)</f>
        <v>#N/A</v>
      </c>
    </row>
    <row r="45" spans="2:13" x14ac:dyDescent="0.2">
      <c r="B45" s="25" t="s">
        <v>44</v>
      </c>
      <c r="C45" s="12" t="s">
        <v>166</v>
      </c>
      <c r="D45" t="e">
        <f>VLOOKUP(CONCATENATE($B45&amp;" Ergebnis"),'Industriesektor GWh'!$J$3:$AB$436,17,FALSE)</f>
        <v>#N/A</v>
      </c>
      <c r="E45" t="e">
        <f>VLOOKUP(CONCATENATE($B45&amp;" Ergebnis"),'Industriesektor GWh'!$J$3:$AB$436,17,FALSE)</f>
        <v>#N/A</v>
      </c>
      <c r="F45" t="e">
        <f>VLOOKUP(CONCATENATE($B45&amp;" Ergebnis"),'Industriesektor GWh'!$J$3:$AB$436,17,FALSE)</f>
        <v>#N/A</v>
      </c>
    </row>
    <row r="46" spans="2:13" x14ac:dyDescent="0.2">
      <c r="B46" s="26" t="s">
        <v>44</v>
      </c>
      <c r="C46" s="12" t="s">
        <v>167</v>
      </c>
      <c r="D46">
        <f t="array" ref="D46">INDEX('Sonstige Sektoren GWh'!$K$3:$AA$64,MATCH($B46&amp;"FC_OTH_CP_E",'Sonstige Sektoren GWh'!$I$3:$I$64&amp;'Sonstige Sektoren GWh'!$J$3:$J$64,0),15)</f>
        <v>1793.7170000000001</v>
      </c>
      <c r="E46">
        <f t="array" ref="E46">INDEX('Sonstige Sektoren GWh'!$K$3:$AA$64,MATCH($B46&amp;"FC_OTH_CP_E",'Sonstige Sektoren GWh'!$I$3:$I$64&amp;'Sonstige Sektoren GWh'!$J$3:$J$64,0),16)</f>
        <v>2252.107</v>
      </c>
      <c r="F46">
        <f t="array" ref="F46">INDEX('Sonstige Sektoren GWh'!$K$3:$AA$64,MATCH($B46&amp;"FC_OTH_CP_E",'Sonstige Sektoren GWh'!$I$3:$I$64&amp;'Sonstige Sektoren GWh'!$J$3:$J$64,0),17)</f>
        <v>2261.9299999999998</v>
      </c>
    </row>
    <row r="47" spans="2:13" x14ac:dyDescent="0.2">
      <c r="B47" s="26" t="s">
        <v>44</v>
      </c>
      <c r="C47" s="12" t="s">
        <v>158</v>
      </c>
      <c r="D47" t="e">
        <f t="array" ref="D47">INDEX('Sonstige Sektoren GWh'!$K$3:$AA$64,MATCH($B47&amp;"FC_OTH_HH_E",'Sonstige Sektoren GWh'!$I$3:$I$64&amp;'Sonstige Sektoren GWh'!$J$3:$J$64,0),15)</f>
        <v>#N/A</v>
      </c>
      <c r="E47" t="e">
        <f t="array" ref="E47">INDEX('Sonstige Sektoren GWh'!$K$3:$AA$64,MATCH($B47&amp;"FC_OTH_HH_E",'Sonstige Sektoren GWh'!$I$3:$I$64&amp;'Sonstige Sektoren GWh'!$J$3:$J$64,0),16)</f>
        <v>#N/A</v>
      </c>
      <c r="F47" t="e">
        <f t="array" ref="F47">INDEX('Sonstige Sektoren GWh'!$K$3:$AA$64,MATCH($B47&amp;"FC_OTH_HH_E",'Sonstige Sektoren GWh'!$I$3:$I$64&amp;'Sonstige Sektoren GWh'!$J$3:$J$64,0),17)</f>
        <v>#N/A</v>
      </c>
    </row>
    <row r="48" spans="2:13" x14ac:dyDescent="0.2">
      <c r="B48" s="25" t="s">
        <v>46</v>
      </c>
      <c r="C48" s="12" t="s">
        <v>166</v>
      </c>
      <c r="D48" t="e">
        <f>VLOOKUP(CONCATENATE($B48&amp;" Ergebnis"),'Industriesektor GWh'!$J$3:$AB$436,17,FALSE)</f>
        <v>#N/A</v>
      </c>
      <c r="E48" t="e">
        <f>VLOOKUP(CONCATENATE($B48&amp;" Ergebnis"),'Industriesektor GWh'!$J$3:$AB$436,17,FALSE)</f>
        <v>#N/A</v>
      </c>
      <c r="F48" t="e">
        <f>VLOOKUP(CONCATENATE($B48&amp;" Ergebnis"),'Industriesektor GWh'!$J$3:$AB$436,17,FALSE)</f>
        <v>#N/A</v>
      </c>
    </row>
    <row r="49" spans="2:6" x14ac:dyDescent="0.2">
      <c r="B49" s="26" t="s">
        <v>46</v>
      </c>
      <c r="C49" s="12" t="s">
        <v>167</v>
      </c>
      <c r="D49">
        <f t="array" ref="D49">INDEX('Sonstige Sektoren GWh'!$K$3:$AA$64,MATCH($B49&amp;"FC_OTH_CP_E",'Sonstige Sektoren GWh'!$I$3:$I$64&amp;'Sonstige Sektoren GWh'!$J$3:$J$64,0),15)</f>
        <v>992.40599999999995</v>
      </c>
      <c r="E49">
        <f t="array" ref="E49">INDEX('Sonstige Sektoren GWh'!$K$3:$AA$64,MATCH($B49&amp;"FC_OTH_CP_E",'Sonstige Sektoren GWh'!$I$3:$I$64&amp;'Sonstige Sektoren GWh'!$J$3:$J$64,0),16)</f>
        <v>1092.5350000000001</v>
      </c>
      <c r="F49">
        <f t="array" ref="F49">INDEX('Sonstige Sektoren GWh'!$K$3:$AA$64,MATCH($B49&amp;"FC_OTH_CP_E",'Sonstige Sektoren GWh'!$I$3:$I$64&amp;'Sonstige Sektoren GWh'!$J$3:$J$64,0),17)</f>
        <v>1117.828</v>
      </c>
    </row>
    <row r="50" spans="2:6" x14ac:dyDescent="0.2">
      <c r="B50" s="26" t="s">
        <v>46</v>
      </c>
      <c r="C50" s="12" t="s">
        <v>158</v>
      </c>
      <c r="D50" t="e">
        <f t="array" ref="D50">INDEX('Sonstige Sektoren GWh'!$K$3:$AA$64,MATCH($B50&amp;"FC_OTH_HH_E",'Sonstige Sektoren GWh'!$I$3:$I$64&amp;'Sonstige Sektoren GWh'!$J$3:$J$64,0),15)</f>
        <v>#N/A</v>
      </c>
      <c r="E50" t="e">
        <f t="array" ref="E50">INDEX('Sonstige Sektoren GWh'!$K$3:$AA$64,MATCH($B50&amp;"FC_OTH_HH_E",'Sonstige Sektoren GWh'!$I$3:$I$64&amp;'Sonstige Sektoren GWh'!$J$3:$J$64,0),16)</f>
        <v>#N/A</v>
      </c>
      <c r="F50" t="e">
        <f t="array" ref="F50">INDEX('Sonstige Sektoren GWh'!$K$3:$AA$64,MATCH($B50&amp;"FC_OTH_HH_E",'Sonstige Sektoren GWh'!$I$3:$I$64&amp;'Sonstige Sektoren GWh'!$J$3:$J$64,0),17)</f>
        <v>#N/A</v>
      </c>
    </row>
    <row r="51" spans="2:6" x14ac:dyDescent="0.2">
      <c r="B51" s="25" t="s">
        <v>47</v>
      </c>
      <c r="C51" s="12" t="s">
        <v>166</v>
      </c>
      <c r="D51" t="e">
        <f>VLOOKUP(CONCATENATE($B51&amp;" Ergebnis"),'Industriesektor GWh'!$J$3:$AB$436,17,FALSE)</f>
        <v>#N/A</v>
      </c>
      <c r="E51" t="e">
        <f>VLOOKUP(CONCATENATE($B51&amp;" Ergebnis"),'Industriesektor GWh'!$J$3:$AB$436,17,FALSE)</f>
        <v>#N/A</v>
      </c>
      <c r="F51" t="e">
        <f>VLOOKUP(CONCATENATE($B51&amp;" Ergebnis"),'Industriesektor GWh'!$J$3:$AB$436,17,FALSE)</f>
        <v>#N/A</v>
      </c>
    </row>
    <row r="52" spans="2:6" x14ac:dyDescent="0.2">
      <c r="B52" s="26" t="s">
        <v>47</v>
      </c>
      <c r="C52" s="12" t="s">
        <v>167</v>
      </c>
      <c r="D52">
        <f t="array" ref="D52">INDEX('Sonstige Sektoren GWh'!$K$3:$AA$64,MATCH($B52&amp;"FC_OTH_CP_E",'Sonstige Sektoren GWh'!$I$3:$I$64&amp;'Sonstige Sektoren GWh'!$J$3:$J$64,0),15)</f>
        <v>36165.339</v>
      </c>
      <c r="E52">
        <f t="array" ref="E52">INDEX('Sonstige Sektoren GWh'!$K$3:$AA$64,MATCH($B52&amp;"FC_OTH_CP_E",'Sonstige Sektoren GWh'!$I$3:$I$64&amp;'Sonstige Sektoren GWh'!$J$3:$J$64,0),16)</f>
        <v>36615.023999999998</v>
      </c>
      <c r="F52">
        <f t="array" ref="F52">INDEX('Sonstige Sektoren GWh'!$K$3:$AA$64,MATCH($B52&amp;"FC_OTH_CP_E",'Sonstige Sektoren GWh'!$I$3:$I$64&amp;'Sonstige Sektoren GWh'!$J$3:$J$64,0),17)</f>
        <v>36907.129000000001</v>
      </c>
    </row>
    <row r="53" spans="2:6" x14ac:dyDescent="0.2">
      <c r="B53" s="26" t="s">
        <v>47</v>
      </c>
      <c r="C53" s="12" t="s">
        <v>158</v>
      </c>
      <c r="D53" t="e">
        <f t="array" ref="D53">INDEX('Sonstige Sektoren GWh'!$K$3:$AA$64,MATCH($B53&amp;"FC_OTH_HH_E",'Sonstige Sektoren GWh'!$I$3:$I$64&amp;'Sonstige Sektoren GWh'!$J$3:$J$64,0),15)</f>
        <v>#N/A</v>
      </c>
      <c r="E53" t="e">
        <f t="array" ref="E53">INDEX('Sonstige Sektoren GWh'!$K$3:$AA$64,MATCH($B53&amp;"FC_OTH_HH_E",'Sonstige Sektoren GWh'!$I$3:$I$64&amp;'Sonstige Sektoren GWh'!$J$3:$J$64,0),16)</f>
        <v>#N/A</v>
      </c>
      <c r="F53" t="e">
        <f t="array" ref="F53">INDEX('Sonstige Sektoren GWh'!$K$3:$AA$64,MATCH($B53&amp;"FC_OTH_HH_E",'Sonstige Sektoren GWh'!$I$3:$I$64&amp;'Sonstige Sektoren GWh'!$J$3:$J$64,0),17)</f>
        <v>#N/A</v>
      </c>
    </row>
    <row r="54" spans="2:6" x14ac:dyDescent="0.2">
      <c r="B54" s="26" t="s">
        <v>58</v>
      </c>
      <c r="C54" s="12" t="s">
        <v>166</v>
      </c>
      <c r="D54" t="e">
        <f>VLOOKUP(CONCATENATE($B54&amp;" Ergebnis"),'Industriesektor GWh'!$J$3:$AB$436,17,FALSE)</f>
        <v>#N/A</v>
      </c>
      <c r="E54" t="e">
        <f>VLOOKUP(CONCATENATE($B54&amp;" Ergebnis"),'Industriesektor GWh'!$J$3:$AB$436,17,FALSE)</f>
        <v>#N/A</v>
      </c>
      <c r="F54" t="e">
        <f>VLOOKUP(CONCATENATE($B54&amp;" Ergebnis"),'Industriesektor GWh'!$J$3:$AB$436,17,FALSE)</f>
        <v>#N/A</v>
      </c>
    </row>
    <row r="55" spans="2:6" x14ac:dyDescent="0.2">
      <c r="B55" s="26" t="s">
        <v>58</v>
      </c>
      <c r="C55" s="12" t="s">
        <v>167</v>
      </c>
      <c r="D55">
        <f t="array" ref="D55">INDEX('Sonstige Sektoren GWh'!$K$3:$AA$64,MATCH($B55&amp;"FC_OTH_CP_E",'Sonstige Sektoren GWh'!$I$3:$I$64&amp;'Sonstige Sektoren GWh'!$J$3:$J$64,0),15)</f>
        <v>26133</v>
      </c>
      <c r="E55">
        <f t="array" ref="E55">INDEX('Sonstige Sektoren GWh'!$K$3:$AA$64,MATCH($B55&amp;"FC_OTH_CP_E",'Sonstige Sektoren GWh'!$I$3:$I$64&amp;'Sonstige Sektoren GWh'!$J$3:$J$64,0),16)</f>
        <v>25012</v>
      </c>
      <c r="F55">
        <f t="array" ref="F55">INDEX('Sonstige Sektoren GWh'!$K$3:$AA$64,MATCH($B55&amp;"FC_OTH_CP_E",'Sonstige Sektoren GWh'!$I$3:$I$64&amp;'Sonstige Sektoren GWh'!$J$3:$J$64,0),17)</f>
        <v>25446.355</v>
      </c>
    </row>
    <row r="56" spans="2:6" x14ac:dyDescent="0.2">
      <c r="B56" s="26" t="s">
        <v>58</v>
      </c>
      <c r="C56" s="12" t="s">
        <v>158</v>
      </c>
      <c r="D56" t="e">
        <f t="array" ref="D56">INDEX('Sonstige Sektoren GWh'!$K$3:$AA$64,MATCH($B56&amp;"FC_OTH_HH_E",'Sonstige Sektoren GWh'!$I$3:$I$64&amp;'Sonstige Sektoren GWh'!$J$3:$J$64,0),15)</f>
        <v>#N/A</v>
      </c>
      <c r="E56" t="e">
        <f t="array" ref="E56">INDEX('Sonstige Sektoren GWh'!$K$3:$AA$64,MATCH($B56&amp;"FC_OTH_HH_E",'Sonstige Sektoren GWh'!$I$3:$I$64&amp;'Sonstige Sektoren GWh'!$J$3:$J$64,0),16)</f>
        <v>#N/A</v>
      </c>
      <c r="F56" t="e">
        <f t="array" ref="F56">INDEX('Sonstige Sektoren GWh'!$K$3:$AA$64,MATCH($B56&amp;"FC_OTH_HH_E",'Sonstige Sektoren GWh'!$I$3:$I$64&amp;'Sonstige Sektoren GWh'!$J$3:$J$64,0),17)</f>
        <v>#N/A</v>
      </c>
    </row>
    <row r="57" spans="2:6" x14ac:dyDescent="0.2">
      <c r="B57" s="25" t="s">
        <v>48</v>
      </c>
      <c r="C57" s="12" t="s">
        <v>166</v>
      </c>
      <c r="D57" t="e">
        <f>VLOOKUP(CONCATENATE($B57&amp;" Ergebnis"),'Industriesektor GWh'!$J$3:$AB$436,17,FALSE)</f>
        <v>#N/A</v>
      </c>
      <c r="E57" t="e">
        <f>VLOOKUP(CONCATENATE($B57&amp;" Ergebnis"),'Industriesektor GWh'!$J$3:$AB$436,17,FALSE)</f>
        <v>#N/A</v>
      </c>
      <c r="F57" t="e">
        <f>VLOOKUP(CONCATENATE($B57&amp;" Ergebnis"),'Industriesektor GWh'!$J$3:$AB$436,17,FALSE)</f>
        <v>#N/A</v>
      </c>
    </row>
    <row r="58" spans="2:6" x14ac:dyDescent="0.2">
      <c r="B58" s="26" t="s">
        <v>48</v>
      </c>
      <c r="C58" s="12" t="s">
        <v>167</v>
      </c>
      <c r="D58">
        <f t="array" ref="D58">INDEX('Sonstige Sektoren GWh'!$K$3:$AA$64,MATCH($B58&amp;"FC_OTH_CP_E",'Sonstige Sektoren GWh'!$I$3:$I$64&amp;'Sonstige Sektoren GWh'!$J$3:$J$64,0),15)</f>
        <v>11541.174999999999</v>
      </c>
      <c r="E58">
        <f t="array" ref="E58">INDEX('Sonstige Sektoren GWh'!$K$3:$AA$64,MATCH($B58&amp;"FC_OTH_CP_E",'Sonstige Sektoren GWh'!$I$3:$I$64&amp;'Sonstige Sektoren GWh'!$J$3:$J$64,0),16)</f>
        <v>12214.653</v>
      </c>
      <c r="F58">
        <f t="array" ref="F58">INDEX('Sonstige Sektoren GWh'!$K$3:$AA$64,MATCH($B58&amp;"FC_OTH_CP_E",'Sonstige Sektoren GWh'!$I$3:$I$64&amp;'Sonstige Sektoren GWh'!$J$3:$J$64,0),17)</f>
        <v>12253.928</v>
      </c>
    </row>
    <row r="59" spans="2:6" x14ac:dyDescent="0.2">
      <c r="B59" s="26" t="s">
        <v>48</v>
      </c>
      <c r="C59" s="12" t="s">
        <v>158</v>
      </c>
      <c r="D59" t="e">
        <f t="array" ref="D59">INDEX('Sonstige Sektoren GWh'!$K$3:$AA$64,MATCH($B59&amp;"FC_OTH_HH_E",'Sonstige Sektoren GWh'!$I$3:$I$64&amp;'Sonstige Sektoren GWh'!$J$3:$J$64,0),15)</f>
        <v>#N/A</v>
      </c>
      <c r="E59" t="e">
        <f t="array" ref="E59">INDEX('Sonstige Sektoren GWh'!$K$3:$AA$64,MATCH($B59&amp;"FC_OTH_HH_E",'Sonstige Sektoren GWh'!$I$3:$I$64&amp;'Sonstige Sektoren GWh'!$J$3:$J$64,0),16)</f>
        <v>#N/A</v>
      </c>
      <c r="F59" t="e">
        <f t="array" ref="F59">INDEX('Sonstige Sektoren GWh'!$K$3:$AA$64,MATCH($B59&amp;"FC_OTH_HH_E",'Sonstige Sektoren GWh'!$I$3:$I$64&amp;'Sonstige Sektoren GWh'!$J$3:$J$64,0),17)</f>
        <v>#N/A</v>
      </c>
    </row>
    <row r="60" spans="2:6" x14ac:dyDescent="0.2">
      <c r="B60" s="25" t="s">
        <v>49</v>
      </c>
      <c r="C60" s="12" t="s">
        <v>166</v>
      </c>
      <c r="D60" t="e">
        <f>VLOOKUP(CONCATENATE($B60&amp;" Ergebnis"),'Industriesektor GWh'!$J$3:$AB$436,17,FALSE)</f>
        <v>#N/A</v>
      </c>
      <c r="E60" t="e">
        <f>VLOOKUP(CONCATENATE($B60&amp;" Ergebnis"),'Industriesektor GWh'!$J$3:$AB$436,17,FALSE)</f>
        <v>#N/A</v>
      </c>
      <c r="F60" t="e">
        <f>VLOOKUP(CONCATENATE($B60&amp;" Ergebnis"),'Industriesektor GWh'!$J$3:$AB$436,17,FALSE)</f>
        <v>#N/A</v>
      </c>
    </row>
    <row r="61" spans="2:6" x14ac:dyDescent="0.2">
      <c r="B61" s="25" t="s">
        <v>49</v>
      </c>
      <c r="C61" s="12" t="s">
        <v>167</v>
      </c>
      <c r="D61">
        <f t="array" ref="D61">INDEX('Sonstige Sektoren GWh'!$K$3:$AA$64,MATCH($B61&amp;"FC_OTH_CP_E",'Sonstige Sektoren GWh'!$I$3:$I$64&amp;'Sonstige Sektoren GWh'!$J$3:$J$64,0),15)</f>
        <v>47799.5</v>
      </c>
      <c r="E61">
        <f t="array" ref="E61">INDEX('Sonstige Sektoren GWh'!$K$3:$AA$64,MATCH($B61&amp;"FC_OTH_CP_E",'Sonstige Sektoren GWh'!$I$3:$I$64&amp;'Sonstige Sektoren GWh'!$J$3:$J$64,0),16)</f>
        <v>47018.758000000002</v>
      </c>
      <c r="F61">
        <f t="array" ref="F61">INDEX('Sonstige Sektoren GWh'!$K$3:$AA$64,MATCH($B61&amp;"FC_OTH_CP_E",'Sonstige Sektoren GWh'!$I$3:$I$64&amp;'Sonstige Sektoren GWh'!$J$3:$J$64,0),17)</f>
        <v>49441.15</v>
      </c>
    </row>
    <row r="62" spans="2:6" x14ac:dyDescent="0.2">
      <c r="B62" s="26" t="s">
        <v>49</v>
      </c>
      <c r="C62" s="12" t="s">
        <v>158</v>
      </c>
      <c r="D62" t="e">
        <f t="array" ref="D62">INDEX('Sonstige Sektoren GWh'!$K$3:$AA$64,MATCH($B62&amp;"FC_OTH_HH_E",'Sonstige Sektoren GWh'!$I$3:$I$64&amp;'Sonstige Sektoren GWh'!$J$3:$J$64,0),15)</f>
        <v>#N/A</v>
      </c>
      <c r="E62" t="e">
        <f t="array" ref="E62">INDEX('Sonstige Sektoren GWh'!$K$3:$AA$64,MATCH($B62&amp;"FC_OTH_HH_E",'Sonstige Sektoren GWh'!$I$3:$I$64&amp;'Sonstige Sektoren GWh'!$J$3:$J$64,0),16)</f>
        <v>#N/A</v>
      </c>
      <c r="F62" t="e">
        <f t="array" ref="F62">INDEX('Sonstige Sektoren GWh'!$K$3:$AA$64,MATCH($B62&amp;"FC_OTH_HH_E",'Sonstige Sektoren GWh'!$I$3:$I$64&amp;'Sonstige Sektoren GWh'!$J$3:$J$64,0),17)</f>
        <v>#N/A</v>
      </c>
    </row>
    <row r="63" spans="2:6" x14ac:dyDescent="0.2">
      <c r="B63" s="25" t="s">
        <v>50</v>
      </c>
      <c r="C63" s="12" t="s">
        <v>166</v>
      </c>
      <c r="D63" t="e">
        <f>VLOOKUP(CONCATENATE($B63&amp;" Ergebnis"),'Industriesektor GWh'!$J$3:$AB$436,17,FALSE)</f>
        <v>#N/A</v>
      </c>
      <c r="E63" t="e">
        <f>VLOOKUP(CONCATENATE($B63&amp;" Ergebnis"),'Industriesektor GWh'!$J$3:$AB$436,17,FALSE)</f>
        <v>#N/A</v>
      </c>
      <c r="F63" t="e">
        <f>VLOOKUP(CONCATENATE($B63&amp;" Ergebnis"),'Industriesektor GWh'!$J$3:$AB$436,17,FALSE)</f>
        <v>#N/A</v>
      </c>
    </row>
    <row r="64" spans="2:6" x14ac:dyDescent="0.2">
      <c r="B64" s="26" t="s">
        <v>50</v>
      </c>
      <c r="C64" s="12" t="s">
        <v>167</v>
      </c>
      <c r="D64">
        <f t="array" ref="D64">INDEX('Sonstige Sektoren GWh'!$K$3:$AA$64,MATCH($B64&amp;"FC_OTH_CP_E",'Sonstige Sektoren GWh'!$I$3:$I$64&amp;'Sonstige Sektoren GWh'!$J$3:$J$64,0),15)</f>
        <v>16456.566999999999</v>
      </c>
      <c r="E64">
        <f t="array" ref="E64">INDEX('Sonstige Sektoren GWh'!$K$3:$AA$64,MATCH($B64&amp;"FC_OTH_CP_E",'Sonstige Sektoren GWh'!$I$3:$I$64&amp;'Sonstige Sektoren GWh'!$J$3:$J$64,0),16)</f>
        <v>16369.539000000001</v>
      </c>
      <c r="F64">
        <f t="array" ref="F64">INDEX('Sonstige Sektoren GWh'!$K$3:$AA$64,MATCH($B64&amp;"FC_OTH_CP_E",'Sonstige Sektoren GWh'!$I$3:$I$64&amp;'Sonstige Sektoren GWh'!$J$3:$J$64,0),17)</f>
        <v>16749.644</v>
      </c>
    </row>
    <row r="65" spans="2:6" x14ac:dyDescent="0.2">
      <c r="B65" s="26" t="s">
        <v>50</v>
      </c>
      <c r="C65" s="12" t="s">
        <v>158</v>
      </c>
      <c r="D65" t="e">
        <f t="array" ref="D65">INDEX('Sonstige Sektoren GWh'!$K$3:$AA$64,MATCH($B65&amp;"FC_OTH_HH_E",'Sonstige Sektoren GWh'!$I$3:$I$64&amp;'Sonstige Sektoren GWh'!$J$3:$J$64,0),15)</f>
        <v>#N/A</v>
      </c>
      <c r="E65" t="e">
        <f t="array" ref="E65">INDEX('Sonstige Sektoren GWh'!$K$3:$AA$64,MATCH($B65&amp;"FC_OTH_HH_E",'Sonstige Sektoren GWh'!$I$3:$I$64&amp;'Sonstige Sektoren GWh'!$J$3:$J$64,0),16)</f>
        <v>#N/A</v>
      </c>
      <c r="F65" t="e">
        <f t="array" ref="F65">INDEX('Sonstige Sektoren GWh'!$K$3:$AA$64,MATCH($B65&amp;"FC_OTH_HH_E",'Sonstige Sektoren GWh'!$I$3:$I$64&amp;'Sonstige Sektoren GWh'!$J$3:$J$64,0),17)</f>
        <v>#N/A</v>
      </c>
    </row>
    <row r="66" spans="2:6" x14ac:dyDescent="0.2">
      <c r="B66" s="25" t="s">
        <v>51</v>
      </c>
      <c r="C66" s="12" t="s">
        <v>166</v>
      </c>
      <c r="D66" t="e">
        <f>VLOOKUP(CONCATENATE($B66&amp;" Ergebnis"),'Industriesektor GWh'!$J$3:$AB$436,17,FALSE)</f>
        <v>#N/A</v>
      </c>
      <c r="E66" t="e">
        <f>VLOOKUP(CONCATENATE($B66&amp;" Ergebnis"),'Industriesektor GWh'!$J$3:$AB$436,17,FALSE)</f>
        <v>#N/A</v>
      </c>
      <c r="F66" t="e">
        <f>VLOOKUP(CONCATENATE($B66&amp;" Ergebnis"),'Industriesektor GWh'!$J$3:$AB$436,17,FALSE)</f>
        <v>#N/A</v>
      </c>
    </row>
    <row r="67" spans="2:6" x14ac:dyDescent="0.2">
      <c r="B67" s="26" t="s">
        <v>51</v>
      </c>
      <c r="C67" s="12" t="s">
        <v>167</v>
      </c>
      <c r="D67">
        <f t="array" ref="D67">INDEX('Sonstige Sektoren GWh'!$K$3:$AA$64,MATCH($B67&amp;"FC_OTH_CP_E",'Sonstige Sektoren GWh'!$I$3:$I$64&amp;'Sonstige Sektoren GWh'!$J$3:$J$64,0),15)</f>
        <v>8581</v>
      </c>
      <c r="E67">
        <f t="array" ref="E67">INDEX('Sonstige Sektoren GWh'!$K$3:$AA$64,MATCH($B67&amp;"FC_OTH_CP_E",'Sonstige Sektoren GWh'!$I$3:$I$64&amp;'Sonstige Sektoren GWh'!$J$3:$J$64,0),16)</f>
        <v>8547.5400000000009</v>
      </c>
      <c r="F67">
        <f t="array" ref="F67">INDEX('Sonstige Sektoren GWh'!$K$3:$AA$64,MATCH($B67&amp;"FC_OTH_CP_E",'Sonstige Sektoren GWh'!$I$3:$I$64&amp;'Sonstige Sektoren GWh'!$J$3:$J$64,0),17)</f>
        <v>8752.6859999999997</v>
      </c>
    </row>
    <row r="68" spans="2:6" x14ac:dyDescent="0.2">
      <c r="B68" s="26" t="s">
        <v>51</v>
      </c>
      <c r="C68" s="12" t="s">
        <v>158</v>
      </c>
      <c r="D68" t="e">
        <f t="array" ref="D68">INDEX('Sonstige Sektoren GWh'!$K$3:$AA$64,MATCH($B68&amp;"FC_OTH_HH_E",'Sonstige Sektoren GWh'!$I$3:$I$64&amp;'Sonstige Sektoren GWh'!$J$3:$J$64,0),15)</f>
        <v>#N/A</v>
      </c>
      <c r="E68" t="e">
        <f t="array" ref="E68">INDEX('Sonstige Sektoren GWh'!$K$3:$AA$64,MATCH($B68&amp;"FC_OTH_HH_E",'Sonstige Sektoren GWh'!$I$3:$I$64&amp;'Sonstige Sektoren GWh'!$J$3:$J$64,0),16)</f>
        <v>#N/A</v>
      </c>
      <c r="F68" t="e">
        <f t="array" ref="F68">INDEX('Sonstige Sektoren GWh'!$K$3:$AA$64,MATCH($B68&amp;"FC_OTH_HH_E",'Sonstige Sektoren GWh'!$I$3:$I$64&amp;'Sonstige Sektoren GWh'!$J$3:$J$64,0),17)</f>
        <v>#N/A</v>
      </c>
    </row>
    <row r="69" spans="2:6" x14ac:dyDescent="0.2">
      <c r="B69" s="25" t="s">
        <v>55</v>
      </c>
      <c r="C69" s="12" t="s">
        <v>166</v>
      </c>
      <c r="D69" t="e">
        <f>VLOOKUP(CONCATENATE($B69&amp;" Ergebnis"),'Industriesektor GWh'!$J$3:$AB$436,17,FALSE)</f>
        <v>#N/A</v>
      </c>
      <c r="E69" t="e">
        <f>VLOOKUP(CONCATENATE($B69&amp;" Ergebnis"),'Industriesektor GWh'!$J$3:$AB$436,17,FALSE)</f>
        <v>#N/A</v>
      </c>
      <c r="F69" t="e">
        <f>VLOOKUP(CONCATENATE($B69&amp;" Ergebnis"),'Industriesektor GWh'!$J$3:$AB$436,17,FALSE)</f>
        <v>#N/A</v>
      </c>
    </row>
    <row r="70" spans="2:6" x14ac:dyDescent="0.2">
      <c r="B70" s="26" t="s">
        <v>55</v>
      </c>
      <c r="C70" s="12" t="s">
        <v>167</v>
      </c>
      <c r="D70">
        <f t="array" ref="D70">INDEX('Sonstige Sektoren GWh'!$K$3:$AA$64,MATCH($B70&amp;"FC_OTH_CP_E",'Sonstige Sektoren GWh'!$I$3:$I$64&amp;'Sonstige Sektoren GWh'!$J$3:$J$64,0),15)</f>
        <v>28733</v>
      </c>
      <c r="E70">
        <f t="array" ref="E70">INDEX('Sonstige Sektoren GWh'!$K$3:$AA$64,MATCH($B70&amp;"FC_OTH_CP_E",'Sonstige Sektoren GWh'!$I$3:$I$64&amp;'Sonstige Sektoren GWh'!$J$3:$J$64,0),16)</f>
        <v>27563</v>
      </c>
      <c r="F70">
        <f t="array" ref="F70">INDEX('Sonstige Sektoren GWh'!$K$3:$AA$64,MATCH($B70&amp;"FC_OTH_CP_E",'Sonstige Sektoren GWh'!$I$3:$I$64&amp;'Sonstige Sektoren GWh'!$J$3:$J$64,0),17)</f>
        <v>28012</v>
      </c>
    </row>
    <row r="71" spans="2:6" x14ac:dyDescent="0.2">
      <c r="B71" s="26" t="s">
        <v>55</v>
      </c>
      <c r="C71" s="12" t="s">
        <v>158</v>
      </c>
      <c r="D71" t="e">
        <f t="array" ref="D71">INDEX('Sonstige Sektoren GWh'!$K$3:$AA$64,MATCH($B71&amp;"FC_OTH_HH_E",'Sonstige Sektoren GWh'!$I$3:$I$64&amp;'Sonstige Sektoren GWh'!$J$3:$J$64,0),15)</f>
        <v>#N/A</v>
      </c>
      <c r="E71" t="e">
        <f t="array" ref="E71">INDEX('Sonstige Sektoren GWh'!$K$3:$AA$64,MATCH($B71&amp;"FC_OTH_HH_E",'Sonstige Sektoren GWh'!$I$3:$I$64&amp;'Sonstige Sektoren GWh'!$J$3:$J$64,0),16)</f>
        <v>#N/A</v>
      </c>
      <c r="F71" t="e">
        <f t="array" ref="F71">INDEX('Sonstige Sektoren GWh'!$K$3:$AA$64,MATCH($B71&amp;"FC_OTH_HH_E",'Sonstige Sektoren GWh'!$I$3:$I$64&amp;'Sonstige Sektoren GWh'!$J$3:$J$64,0),17)</f>
        <v>#N/A</v>
      </c>
    </row>
    <row r="72" spans="2:6" x14ac:dyDescent="0.2">
      <c r="B72" s="25" t="s">
        <v>59</v>
      </c>
      <c r="C72" s="12" t="s">
        <v>166</v>
      </c>
      <c r="D72" t="e">
        <f>VLOOKUP(CONCATENATE($B72&amp;" Ergebnis"),'Industriesektor GWh'!$J$3:$AB$436,17,FALSE)</f>
        <v>#N/A</v>
      </c>
      <c r="E72" t="e">
        <f>VLOOKUP(CONCATENATE($B72&amp;" Ergebnis"),'Industriesektor GWh'!$J$3:$AB$436,17,FALSE)</f>
        <v>#N/A</v>
      </c>
      <c r="F72" t="e">
        <f>VLOOKUP(CONCATENATE($B72&amp;" Ergebnis"),'Industriesektor GWh'!$J$3:$AB$436,17,FALSE)</f>
        <v>#N/A</v>
      </c>
    </row>
    <row r="73" spans="2:6" x14ac:dyDescent="0.2">
      <c r="B73" s="26" t="s">
        <v>59</v>
      </c>
      <c r="C73" s="12" t="s">
        <v>167</v>
      </c>
      <c r="D73">
        <f t="array" ref="D73">INDEX('Sonstige Sektoren GWh'!$K$3:$AA$64,MATCH($B73&amp;"FC_OTH_CP_E",'Sonstige Sektoren GWh'!$I$3:$I$64&amp;'Sonstige Sektoren GWh'!$J$3:$J$64,0),15)</f>
        <v>5005</v>
      </c>
      <c r="E73">
        <f t="array" ref="E73">INDEX('Sonstige Sektoren GWh'!$K$3:$AA$64,MATCH($B73&amp;"FC_OTH_CP_E",'Sonstige Sektoren GWh'!$I$3:$I$64&amp;'Sonstige Sektoren GWh'!$J$3:$J$64,0),16)</f>
        <v>5190.2700000000004</v>
      </c>
      <c r="F73">
        <f t="array" ref="F73">INDEX('Sonstige Sektoren GWh'!$K$3:$AA$64,MATCH($B73&amp;"FC_OTH_CP_E",'Sonstige Sektoren GWh'!$I$3:$I$64&amp;'Sonstige Sektoren GWh'!$J$3:$J$64,0),17)</f>
        <v>5183.1689999999999</v>
      </c>
    </row>
    <row r="74" spans="2:6" x14ac:dyDescent="0.2">
      <c r="B74" s="26" t="s">
        <v>59</v>
      </c>
      <c r="C74" s="12" t="s">
        <v>158</v>
      </c>
      <c r="D74" t="e">
        <f t="array" ref="D74">INDEX('Sonstige Sektoren GWh'!$K$3:$AA$64,MATCH($B74&amp;"FC_OTH_HH_E",'Sonstige Sektoren GWh'!$I$3:$I$64&amp;'Sonstige Sektoren GWh'!$J$3:$J$64,0),15)</f>
        <v>#N/A</v>
      </c>
      <c r="E74" t="e">
        <f t="array" ref="E74">INDEX('Sonstige Sektoren GWh'!$K$3:$AA$64,MATCH($B74&amp;"FC_OTH_HH_E",'Sonstige Sektoren GWh'!$I$3:$I$64&amp;'Sonstige Sektoren GWh'!$J$3:$J$64,0),16)</f>
        <v>#N/A</v>
      </c>
      <c r="F74" t="e">
        <f t="array" ref="F74">INDEX('Sonstige Sektoren GWh'!$K$3:$AA$64,MATCH($B74&amp;"FC_OTH_HH_E",'Sonstige Sektoren GWh'!$I$3:$I$64&amp;'Sonstige Sektoren GWh'!$J$3:$J$64,0),17)</f>
        <v>#N/A</v>
      </c>
    </row>
    <row r="75" spans="2:6" x14ac:dyDescent="0.2">
      <c r="B75" s="25" t="s">
        <v>53</v>
      </c>
      <c r="C75" s="12" t="s">
        <v>166</v>
      </c>
      <c r="D75" t="e">
        <f>VLOOKUP(CONCATENATE($B75&amp;" Ergebnis"),'Industriesektor GWh'!$J$3:$AB$436,17,FALSE)</f>
        <v>#N/A</v>
      </c>
      <c r="E75" t="e">
        <f>VLOOKUP(CONCATENATE($B75&amp;" Ergebnis"),'Industriesektor GWh'!$J$3:$AB$436,17,FALSE)</f>
        <v>#N/A</v>
      </c>
      <c r="F75" t="e">
        <f>VLOOKUP(CONCATENATE($B75&amp;" Ergebnis"),'Industriesektor GWh'!$J$3:$AB$436,17,FALSE)</f>
        <v>#N/A</v>
      </c>
    </row>
    <row r="76" spans="2:6" x14ac:dyDescent="0.2">
      <c r="B76" s="26" t="s">
        <v>53</v>
      </c>
      <c r="C76" s="12" t="s">
        <v>167</v>
      </c>
      <c r="D76">
        <f t="array" ref="D76">INDEX('Sonstige Sektoren GWh'!$K$3:$AA$64,MATCH($B76&amp;"FC_OTH_CP_E",'Sonstige Sektoren GWh'!$I$3:$I$64&amp;'Sonstige Sektoren GWh'!$J$3:$J$64,0),15)</f>
        <v>6946</v>
      </c>
      <c r="E76">
        <f t="array" ref="E76">INDEX('Sonstige Sektoren GWh'!$K$3:$AA$64,MATCH($B76&amp;"FC_OTH_CP_E",'Sonstige Sektoren GWh'!$I$3:$I$64&amp;'Sonstige Sektoren GWh'!$J$3:$J$64,0),16)</f>
        <v>7674</v>
      </c>
      <c r="F76">
        <f t="array" ref="F76">INDEX('Sonstige Sektoren GWh'!$K$3:$AA$64,MATCH($B76&amp;"FC_OTH_CP_E",'Sonstige Sektoren GWh'!$I$3:$I$64&amp;'Sonstige Sektoren GWh'!$J$3:$J$64,0),17)</f>
        <v>7218</v>
      </c>
    </row>
    <row r="77" spans="2:6" x14ac:dyDescent="0.2">
      <c r="B77" s="26" t="s">
        <v>53</v>
      </c>
      <c r="C77" s="12" t="s">
        <v>158</v>
      </c>
      <c r="D77" t="e">
        <f t="array" ref="D77">INDEX('Sonstige Sektoren GWh'!$K$3:$AA$64,MATCH($B77&amp;"FC_OTH_HH_E",'Sonstige Sektoren GWh'!$I$3:$I$64&amp;'Sonstige Sektoren GWh'!$J$3:$J$64,0),15)</f>
        <v>#N/A</v>
      </c>
      <c r="E77" t="e">
        <f t="array" ref="E77">INDEX('Sonstige Sektoren GWh'!$K$3:$AA$64,MATCH($B77&amp;"FC_OTH_HH_E",'Sonstige Sektoren GWh'!$I$3:$I$64&amp;'Sonstige Sektoren GWh'!$J$3:$J$64,0),16)</f>
        <v>#N/A</v>
      </c>
      <c r="F77" t="e">
        <f t="array" ref="F77">INDEX('Sonstige Sektoren GWh'!$K$3:$AA$64,MATCH($B77&amp;"FC_OTH_HH_E",'Sonstige Sektoren GWh'!$I$3:$I$64&amp;'Sonstige Sektoren GWh'!$J$3:$J$64,0),17)</f>
        <v>#N/A</v>
      </c>
    </row>
    <row r="78" spans="2:6" x14ac:dyDescent="0.2">
      <c r="B78" s="25" t="s">
        <v>52</v>
      </c>
      <c r="C78" s="12" t="s">
        <v>166</v>
      </c>
      <c r="D78" t="e">
        <f>VLOOKUP(CONCATENATE($B78&amp;" Ergebnis"),'Industriesektor GWh'!$J$3:$AB$436,17,FALSE)</f>
        <v>#N/A</v>
      </c>
      <c r="E78" t="e">
        <f>VLOOKUP(CONCATENATE($B78&amp;" Ergebnis"),'Industriesektor GWh'!$J$3:$AB$436,17,FALSE)</f>
        <v>#N/A</v>
      </c>
      <c r="F78" t="e">
        <f>VLOOKUP(CONCATENATE($B78&amp;" Ergebnis"),'Industriesektor GWh'!$J$3:$AB$436,17,FALSE)</f>
        <v>#N/A</v>
      </c>
    </row>
    <row r="79" spans="2:6" x14ac:dyDescent="0.2">
      <c r="B79" s="25" t="s">
        <v>52</v>
      </c>
      <c r="C79" s="12" t="s">
        <v>167</v>
      </c>
      <c r="D79">
        <f t="array" ref="D79">INDEX('Sonstige Sektoren GWh'!$K$3:$AA$64,MATCH($B79&amp;"FC_OTH_CP_E",'Sonstige Sektoren GWh'!$I$3:$I$64&amp;'Sonstige Sektoren GWh'!$J$3:$J$64,0),15)</f>
        <v>3365</v>
      </c>
      <c r="E79">
        <f t="array" ref="E79">INDEX('Sonstige Sektoren GWh'!$K$3:$AA$64,MATCH($B79&amp;"FC_OTH_CP_E",'Sonstige Sektoren GWh'!$I$3:$I$64&amp;'Sonstige Sektoren GWh'!$J$3:$J$64,0),16)</f>
        <v>3523.8670000000002</v>
      </c>
      <c r="F79">
        <f t="array" ref="F79">INDEX('Sonstige Sektoren GWh'!$K$3:$AA$64,MATCH($B79&amp;"FC_OTH_CP_E",'Sonstige Sektoren GWh'!$I$3:$I$64&amp;'Sonstige Sektoren GWh'!$J$3:$J$64,0),17)</f>
        <v>3269.0990000000002</v>
      </c>
    </row>
    <row r="80" spans="2:6" x14ac:dyDescent="0.2">
      <c r="B80" s="26" t="s">
        <v>52</v>
      </c>
      <c r="C80" s="12" t="s">
        <v>158</v>
      </c>
      <c r="D80" t="e">
        <f t="array" ref="D80">INDEX('Sonstige Sektoren GWh'!$K$3:$AA$64,MATCH($B80&amp;"FC_OTH_HH_E",'Sonstige Sektoren GWh'!$I$3:$I$64&amp;'Sonstige Sektoren GWh'!$J$3:$J$64,0),15)</f>
        <v>#N/A</v>
      </c>
      <c r="E80" t="e">
        <f t="array" ref="E80">INDEX('Sonstige Sektoren GWh'!$K$3:$AA$64,MATCH($B80&amp;"FC_OTH_HH_E",'Sonstige Sektoren GWh'!$I$3:$I$64&amp;'Sonstige Sektoren GWh'!$J$3:$J$64,0),16)</f>
        <v>#N/A</v>
      </c>
      <c r="F80" t="e">
        <f t="array" ref="F80">INDEX('Sonstige Sektoren GWh'!$K$3:$AA$64,MATCH($B80&amp;"FC_OTH_HH_E",'Sonstige Sektoren GWh'!$I$3:$I$64&amp;'Sonstige Sektoren GWh'!$J$3:$J$64,0),17)</f>
        <v>#N/A</v>
      </c>
    </row>
    <row r="81" spans="2:6" x14ac:dyDescent="0.2">
      <c r="B81" s="25" t="s">
        <v>37</v>
      </c>
      <c r="C81" s="12" t="s">
        <v>166</v>
      </c>
      <c r="D81" t="e">
        <f>VLOOKUP(CONCATENATE($B81&amp;" Ergebnis"),'Industriesektor GWh'!$J$3:$AB$436,17,FALSE)</f>
        <v>#N/A</v>
      </c>
      <c r="E81" t="e">
        <f>VLOOKUP(CONCATENATE($B81&amp;" Ergebnis"),'Industriesektor GWh'!$J$3:$AB$436,17,FALSE)</f>
        <v>#N/A</v>
      </c>
      <c r="F81" t="e">
        <f>VLOOKUP(CONCATENATE($B81&amp;" Ergebnis"),'Industriesektor GWh'!$J$3:$AB$436,17,FALSE)</f>
        <v>#N/A</v>
      </c>
    </row>
    <row r="82" spans="2:6" x14ac:dyDescent="0.2">
      <c r="B82" s="26" t="s">
        <v>37</v>
      </c>
      <c r="C82" s="12" t="s">
        <v>167</v>
      </c>
      <c r="D82">
        <f t="array" ref="D82">INDEX('Sonstige Sektoren GWh'!$K$3:$AA$64,MATCH($B82&amp;"FC_OTH_CP_E",'Sonstige Sektoren GWh'!$I$3:$I$64&amp;'Sonstige Sektoren GWh'!$J$3:$J$64,0),15)</f>
        <v>73388</v>
      </c>
      <c r="E82">
        <f t="array" ref="E82">INDEX('Sonstige Sektoren GWh'!$K$3:$AA$64,MATCH($B82&amp;"FC_OTH_CP_E",'Sonstige Sektoren GWh'!$I$3:$I$64&amp;'Sonstige Sektoren GWh'!$J$3:$J$64,0),16)</f>
        <v>75307</v>
      </c>
      <c r="F82">
        <f t="array" ref="F82">INDEX('Sonstige Sektoren GWh'!$K$3:$AA$64,MATCH($B82&amp;"FC_OTH_CP_E",'Sonstige Sektoren GWh'!$I$3:$I$64&amp;'Sonstige Sektoren GWh'!$J$3:$J$64,0),17)</f>
        <v>74513</v>
      </c>
    </row>
    <row r="83" spans="2:6" x14ac:dyDescent="0.2">
      <c r="B83" s="26" t="s">
        <v>37</v>
      </c>
      <c r="C83" s="12" t="s">
        <v>158</v>
      </c>
      <c r="D83" t="e">
        <f t="array" ref="D83">INDEX('Sonstige Sektoren GWh'!$K$3:$AA$64,MATCH($B83&amp;"FC_OTH_HH_E",'Sonstige Sektoren GWh'!$I$3:$I$64&amp;'Sonstige Sektoren GWh'!$J$3:$J$64,0),15)</f>
        <v>#N/A</v>
      </c>
      <c r="E83" t="e">
        <f t="array" ref="E83">INDEX('Sonstige Sektoren GWh'!$K$3:$AA$64,MATCH($B83&amp;"FC_OTH_HH_E",'Sonstige Sektoren GWh'!$I$3:$I$64&amp;'Sonstige Sektoren GWh'!$J$3:$J$64,0),16)</f>
        <v>#N/A</v>
      </c>
      <c r="F83" t="e">
        <f t="array" ref="F83">INDEX('Sonstige Sektoren GWh'!$K$3:$AA$64,MATCH($B83&amp;"FC_OTH_HH_E",'Sonstige Sektoren GWh'!$I$3:$I$64&amp;'Sonstige Sektoren GWh'!$J$3:$J$64,0),17)</f>
        <v>#N/A</v>
      </c>
    </row>
    <row r="84" spans="2:6" x14ac:dyDescent="0.2">
      <c r="B84" s="25" t="s">
        <v>31</v>
      </c>
      <c r="C84" s="12" t="s">
        <v>166</v>
      </c>
      <c r="D84" t="e">
        <f>VLOOKUP(CONCATENATE($B84&amp;" Ergebnis"),'Industriesektor GWh'!$J$3:$AB$436,17,FALSE)</f>
        <v>#N/A</v>
      </c>
      <c r="E84" t="e">
        <f>VLOOKUP(CONCATENATE($B84&amp;" Ergebnis"),'Industriesektor GWh'!$J$3:$AB$436,17,FALSE)</f>
        <v>#N/A</v>
      </c>
      <c r="F84" t="e">
        <f>VLOOKUP(CONCATENATE($B84&amp;" Ergebnis"),'Industriesektor GWh'!$J$3:$AB$436,17,FALSE)</f>
        <v>#N/A</v>
      </c>
    </row>
    <row r="85" spans="2:6" x14ac:dyDescent="0.2">
      <c r="B85" s="26" t="s">
        <v>31</v>
      </c>
      <c r="C85" s="12" t="s">
        <v>167</v>
      </c>
      <c r="D85">
        <f t="array" ref="D85">INDEX('Sonstige Sektoren GWh'!$K$3:$AA$64,MATCH($B85&amp;"FC_OTH_CP_E",'Sonstige Sektoren GWh'!$I$3:$I$64&amp;'Sonstige Sektoren GWh'!$J$3:$J$64,0),15)</f>
        <v>15327</v>
      </c>
      <c r="E85">
        <f t="array" ref="E85">INDEX('Sonstige Sektoren GWh'!$K$3:$AA$64,MATCH($B85&amp;"FC_OTH_CP_E",'Sonstige Sektoren GWh'!$I$3:$I$64&amp;'Sonstige Sektoren GWh'!$J$3:$J$64,0),16)</f>
        <v>15618.21</v>
      </c>
      <c r="F85">
        <f t="array" ref="F85">INDEX('Sonstige Sektoren GWh'!$K$3:$AA$64,MATCH($B85&amp;"FC_OTH_CP_E",'Sonstige Sektoren GWh'!$I$3:$I$64&amp;'Sonstige Sektoren GWh'!$J$3:$J$64,0),17)</f>
        <v>16027.522999999999</v>
      </c>
    </row>
    <row r="86" spans="2:6" x14ac:dyDescent="0.2">
      <c r="B86" s="26" t="s">
        <v>31</v>
      </c>
      <c r="C86" s="12" t="s">
        <v>158</v>
      </c>
      <c r="D86" t="e">
        <f t="array" ref="D86">INDEX('Sonstige Sektoren GWh'!$K$3:$AA$64,MATCH($B86&amp;"FC_OTH_HH_E",'Sonstige Sektoren GWh'!$I$3:$I$64&amp;'Sonstige Sektoren GWh'!$J$3:$J$64,0),15)</f>
        <v>#N/A</v>
      </c>
      <c r="E86" t="e">
        <f t="array" ref="E86">INDEX('Sonstige Sektoren GWh'!$K$3:$AA$64,MATCH($B86&amp;"FC_OTH_HH_E",'Sonstige Sektoren GWh'!$I$3:$I$64&amp;'Sonstige Sektoren GWh'!$J$3:$J$64,0),16)</f>
        <v>#N/A</v>
      </c>
      <c r="F86" t="e">
        <f t="array" ref="F86">INDEX('Sonstige Sektoren GWh'!$K$3:$AA$64,MATCH($B86&amp;"FC_OTH_HH_E",'Sonstige Sektoren GWh'!$I$3:$I$64&amp;'Sonstige Sektoren GWh'!$J$3:$J$64,0),17)</f>
        <v>#N/A</v>
      </c>
    </row>
    <row r="87" spans="2:6" x14ac:dyDescent="0.2">
      <c r="B87" s="25" t="s">
        <v>45</v>
      </c>
      <c r="C87" s="12" t="s">
        <v>166</v>
      </c>
      <c r="D87" t="e">
        <f>VLOOKUP(CONCATENATE($B87&amp;" Ergebnis"),'Industriesektor GWh'!$J$3:$AB$436,17,FALSE)</f>
        <v>#N/A</v>
      </c>
      <c r="E87" t="e">
        <f>VLOOKUP(CONCATENATE($B87&amp;" Ergebnis"),'Industriesektor GWh'!$J$3:$AB$436,17,FALSE)</f>
        <v>#N/A</v>
      </c>
      <c r="F87" t="e">
        <f>VLOOKUP(CONCATENATE($B87&amp;" Ergebnis"),'Industriesektor GWh'!$J$3:$AB$436,17,FALSE)</f>
        <v>#N/A</v>
      </c>
    </row>
    <row r="88" spans="2:6" x14ac:dyDescent="0.2">
      <c r="B88" s="26" t="s">
        <v>45</v>
      </c>
      <c r="C88" s="12" t="s">
        <v>167</v>
      </c>
      <c r="D88">
        <f t="array" ref="D88">INDEX('Sonstige Sektoren GWh'!$K$3:$AA$64,MATCH($B88&amp;"FC_OTH_CP_E",'Sonstige Sektoren GWh'!$I$3:$I$64&amp;'Sonstige Sektoren GWh'!$J$3:$J$64,0),15)</f>
        <v>8045</v>
      </c>
      <c r="E88">
        <f t="array" ref="E88">INDEX('Sonstige Sektoren GWh'!$K$3:$AA$64,MATCH($B88&amp;"FC_OTH_CP_E",'Sonstige Sektoren GWh'!$I$3:$I$64&amp;'Sonstige Sektoren GWh'!$J$3:$J$64,0),16)</f>
        <v>8323</v>
      </c>
      <c r="F88">
        <f t="array" ref="F88">INDEX('Sonstige Sektoren GWh'!$K$3:$AA$64,MATCH($B88&amp;"FC_OTH_CP_E",'Sonstige Sektoren GWh'!$I$3:$I$64&amp;'Sonstige Sektoren GWh'!$J$3:$J$64,0),17)</f>
        <v>8540</v>
      </c>
    </row>
    <row r="89" spans="2:6" x14ac:dyDescent="0.2">
      <c r="B89" s="26" t="s">
        <v>45</v>
      </c>
      <c r="C89" s="12" t="s">
        <v>158</v>
      </c>
      <c r="D89" t="e">
        <f t="array" ref="D89">INDEX('Sonstige Sektoren GWh'!$K$3:$AA$64,MATCH($B89&amp;"FC_OTH_HH_E",'Sonstige Sektoren GWh'!$I$3:$I$64&amp;'Sonstige Sektoren GWh'!$J$3:$J$64,0),15)</f>
        <v>#N/A</v>
      </c>
      <c r="E89" t="e">
        <f t="array" ref="E89">INDEX('Sonstige Sektoren GWh'!$K$3:$AA$64,MATCH($B89&amp;"FC_OTH_HH_E",'Sonstige Sektoren GWh'!$I$3:$I$64&amp;'Sonstige Sektoren GWh'!$J$3:$J$64,0),16)</f>
        <v>#N/A</v>
      </c>
      <c r="F89" t="e">
        <f t="array" ref="F89">INDEX('Sonstige Sektoren GWh'!$K$3:$AA$64,MATCH($B89&amp;"FC_OTH_HH_E",'Sonstige Sektoren GWh'!$I$3:$I$64&amp;'Sonstige Sektoren GWh'!$J$3:$J$64,0),17)</f>
        <v>#N/A</v>
      </c>
    </row>
    <row r="90" spans="2:6" x14ac:dyDescent="0.2">
      <c r="B90" s="25" t="s">
        <v>56</v>
      </c>
      <c r="C90" s="12" t="s">
        <v>166</v>
      </c>
      <c r="D90" t="e">
        <f>VLOOKUP(CONCATENATE($B90&amp;" Ergebnis"),'Industriesektor GWh'!$J$3:$AB$436,17,FALSE)</f>
        <v>#N/A</v>
      </c>
      <c r="E90" t="e">
        <f>VLOOKUP(CONCATENATE($B90&amp;" Ergebnis"),'Industriesektor GWh'!$J$3:$AB$436,17,FALSE)</f>
        <v>#N/A</v>
      </c>
      <c r="F90" t="e">
        <f>VLOOKUP(CONCATENATE($B90&amp;" Ergebnis"),'Industriesektor GWh'!$J$3:$AB$436,17,FALSE)</f>
        <v>#N/A</v>
      </c>
    </row>
    <row r="91" spans="2:6" x14ac:dyDescent="0.2">
      <c r="B91" s="26" t="s">
        <v>56</v>
      </c>
      <c r="C91" s="12" t="s">
        <v>167</v>
      </c>
      <c r="D91">
        <f t="array" ref="D91">INDEX('Sonstige Sektoren GWh'!$K$3:$AA$64,MATCH($B91&amp;"FC_OTH_CP_E",'Sonstige Sektoren GWh'!$I$3:$I$64&amp;'Sonstige Sektoren GWh'!$J$3:$J$64,0),15)</f>
        <v>93692.277000000002</v>
      </c>
      <c r="E91">
        <f t="array" ref="E91">INDEX('Sonstige Sektoren GWh'!$K$3:$AA$64,MATCH($B91&amp;"FC_OTH_CP_E",'Sonstige Sektoren GWh'!$I$3:$I$64&amp;'Sonstige Sektoren GWh'!$J$3:$J$64,0),16)</f>
        <v>92792.122000000003</v>
      </c>
      <c r="F91">
        <f t="array" ref="F91">INDEX('Sonstige Sektoren GWh'!$K$3:$AA$64,MATCH($B91&amp;"FC_OTH_CP_E",'Sonstige Sektoren GWh'!$I$3:$I$64&amp;'Sonstige Sektoren GWh'!$J$3:$J$64,0),17)</f>
        <v>92256.781000000003</v>
      </c>
    </row>
    <row r="92" spans="2:6" x14ac:dyDescent="0.2">
      <c r="B92" s="26" t="s">
        <v>56</v>
      </c>
      <c r="C92" s="12" t="s">
        <v>158</v>
      </c>
      <c r="D92" t="e">
        <f t="array" ref="D92">INDEX('Sonstige Sektoren GWh'!$K$3:$AA$64,MATCH($B92&amp;"FC_OTH_HH_E",'Sonstige Sektoren GWh'!$I$3:$I$64&amp;'Sonstige Sektoren GWh'!$J$3:$J$64,0),15)</f>
        <v>#N/A</v>
      </c>
      <c r="E92" t="e">
        <f t="array" ref="E92">INDEX('Sonstige Sektoren GWh'!$K$3:$AA$64,MATCH($B92&amp;"FC_OTH_HH_E",'Sonstige Sektoren GWh'!$I$3:$I$64&amp;'Sonstige Sektoren GWh'!$J$3:$J$64,0),16)</f>
        <v>#N/A</v>
      </c>
      <c r="F92" t="e">
        <f t="array" ref="F92">INDEX('Sonstige Sektoren GWh'!$K$3:$AA$64,MATCH($B92&amp;"FC_OTH_HH_E",'Sonstige Sektoren GWh'!$I$3:$I$64&amp;'Sonstige Sektoren GWh'!$J$3:$J$64,0),17)</f>
        <v>#N/A</v>
      </c>
    </row>
    <row r="93" spans="2:6" x14ac:dyDescent="0.2">
      <c r="B93" s="25" t="s">
        <v>41</v>
      </c>
      <c r="C93" s="12" t="s">
        <v>166</v>
      </c>
      <c r="D93" t="e">
        <f>VLOOKUP(CONCATENATE($B93&amp;" Ergebnis"),'Industriesektor GWh'!$J$3:$AB$436,17,FALSE)</f>
        <v>#N/A</v>
      </c>
      <c r="E93" t="e">
        <f>VLOOKUP(CONCATENATE($B93&amp;" Ergebnis"),'Industriesektor GWh'!$J$3:$AB$436,17,FALSE)</f>
        <v>#N/A</v>
      </c>
      <c r="F93" t="e">
        <f>VLOOKUP(CONCATENATE($B93&amp;" Ergebnis"),'Industriesektor GWh'!$J$3:$AB$436,17,FALSE)</f>
        <v>#N/A</v>
      </c>
    </row>
    <row r="94" spans="2:6" x14ac:dyDescent="0.2">
      <c r="B94" s="26" t="s">
        <v>41</v>
      </c>
      <c r="C94" s="12" t="s">
        <v>167</v>
      </c>
      <c r="D94">
        <f t="array" ref="D94">INDEX('Sonstige Sektoren GWh'!$K$3:$AA$64,MATCH($B94&amp;"FC_OTH_CP_E",'Sonstige Sektoren GWh'!$I$3:$I$64&amp;'Sonstige Sektoren GWh'!$J$3:$J$64,0),15)</f>
        <v>2065.4290000000001</v>
      </c>
      <c r="E94">
        <f t="array" ref="E94">INDEX('Sonstige Sektoren GWh'!$K$3:$AA$64,MATCH($B94&amp;"FC_OTH_CP_E",'Sonstige Sektoren GWh'!$I$3:$I$64&amp;'Sonstige Sektoren GWh'!$J$3:$J$64,0),16)</f>
        <v>2096.6610000000001</v>
      </c>
      <c r="F94">
        <f t="array" ref="F94">INDEX('Sonstige Sektoren GWh'!$K$3:$AA$64,MATCH($B94&amp;"FC_OTH_CP_E",'Sonstige Sektoren GWh'!$I$3:$I$64&amp;'Sonstige Sektoren GWh'!$J$3:$J$64,0),17)</f>
        <v>2174.0340000000001</v>
      </c>
    </row>
    <row r="95" spans="2:6" x14ac:dyDescent="0.2">
      <c r="B95" s="26" t="s">
        <v>41</v>
      </c>
      <c r="C95" s="12" t="s">
        <v>158</v>
      </c>
      <c r="D95" t="e">
        <f t="array" ref="D95">INDEX('Sonstige Sektoren GWh'!$K$3:$AA$64,MATCH($B95&amp;"FC_OTH_HH_E",'Sonstige Sektoren GWh'!$I$3:$I$64&amp;'Sonstige Sektoren GWh'!$J$3:$J$64,0),15)</f>
        <v>#N/A</v>
      </c>
      <c r="E95" t="e">
        <f t="array" ref="E95">INDEX('Sonstige Sektoren GWh'!$K$3:$AA$64,MATCH($B95&amp;"FC_OTH_HH_E",'Sonstige Sektoren GWh'!$I$3:$I$64&amp;'Sonstige Sektoren GWh'!$J$3:$J$64,0),16)</f>
        <v>#N/A</v>
      </c>
      <c r="F95" t="e">
        <f t="array" ref="F95">INDEX('Sonstige Sektoren GWh'!$K$3:$AA$64,MATCH($B95&amp;"FC_OTH_HH_E",'Sonstige Sektoren GWh'!$I$3:$I$64&amp;'Sonstige Sektoren GWh'!$J$3:$J$64,0),17)</f>
        <v>#N/A</v>
      </c>
    </row>
  </sheetData>
  <mergeCells count="1">
    <mergeCell ref="Q2:S2"/>
  </mergeCell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DCF8D49-37C3-4568-AEF3-9F0D0398E6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Aggregierte Daten</vt:lpstr>
      <vt:lpstr>Data</vt:lpstr>
      <vt:lpstr>nrg_cb_e</vt:lpstr>
      <vt:lpstr>GoO Issuance 2016-2018</vt:lpstr>
      <vt:lpstr>Industriesektor GWh</vt:lpstr>
      <vt:lpstr>Sonstige Sektoren GWh</vt:lpstr>
      <vt:lpstr>Aufsummierung der Sektoren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Wimmers</dc:creator>
  <cp:lastModifiedBy>Alex Wimmers</cp:lastModifiedBy>
  <dcterms:created xsi:type="dcterms:W3CDTF">2020-06-11T09:26:49Z</dcterms:created>
  <dcterms:modified xsi:type="dcterms:W3CDTF">2020-10-13T12:57:20Z</dcterms:modified>
</cp:coreProperties>
</file>